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<sst xmlns="http://schemas.openxmlformats.org/spreadsheetml/2006/main" count="2466" uniqueCount="947">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</sst>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7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1.1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2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629.024</v>
      </c>
      <c r="J22" s="13" t="n">
        <f aca="false">IF(Inputs!$F$34&lt;&gt;1,J20/100*Inputs!$F$58+J20/100*Inputs!$F$59*Inputs!$F$60/J16,Inputs!$F$57*Inputs!$F$36*J20/100)</f>
        <v>62.9024</v>
      </c>
      <c r="K22" s="13" t="n">
        <f aca="false">IF(Inputs!$F$34&lt;&gt;1,K20/100*Inputs!$F$58+K20/100*Inputs!$F$59*Inputs!$F$60/K16,Inputs!$F$57*Inputs!$F$36*K20/100)</f>
        <v>0.067934592</v>
      </c>
      <c r="L22" s="13" t="n">
        <f aca="false">IF(Inputs!$F$34&lt;&gt;1,L20/100*Inputs!$F$58+L20/100*Inputs!$F$59*Inputs!$F$60/L16,Inputs!$F$57*Inputs!$F$36*L20/100)</f>
        <v>0.712684192</v>
      </c>
      <c r="M22" s="13" t="n">
        <f aca="false">IF(Inputs!$F$34&lt;&gt;1,M20/100*Inputs!$F$58+M20/100*Inputs!$F$59*Inputs!$F$60/M16,Inputs!$F$57*Inputs!$F$36*M20/100)</f>
        <v>2.037408736</v>
      </c>
      <c r="N22" s="13" t="n">
        <f aca="false">IF(Inputs!$F$34&lt;&gt;1,N20/100*Inputs!$F$58+N20/100*Inputs!$F$59*Inputs!$F$60/N16,Inputs!$F$57*Inputs!$F$36*N20/100)</f>
        <v>3.959077056</v>
      </c>
      <c r="O22" s="13" t="n">
        <f aca="false">IF(Inputs!$F$34&lt;&gt;1,O20/100*Inputs!$F$58+O20/100*Inputs!$F$59*Inputs!$F$60/O16,Inputs!$F$57*Inputs!$F$36*O20/100)</f>
        <v>6.361948736</v>
      </c>
      <c r="P22" s="13" t="n">
        <f aca="false">IF(Inputs!$F$34&lt;&gt;1,P20/100*Inputs!$F$58+P20/100*Inputs!$F$59*Inputs!$F$60/P16,Inputs!$F$57*Inputs!$F$36*P20/100)</f>
        <v>9.118331904</v>
      </c>
      <c r="Q22" s="13" t="n">
        <f aca="false">IF(Inputs!$F$34&lt;&gt;1,Q20/100*Inputs!$F$58+Q20/100*Inputs!$F$59*Inputs!$F$60/Q16,Inputs!$F$57*Inputs!$F$36*Q20/100)</f>
        <v>12.099905664</v>
      </c>
      <c r="R22" s="13" t="n">
        <f aca="false">IF(Inputs!$F$34&lt;&gt;1,R20/100*Inputs!$F$58+R20/100*Inputs!$F$59*Inputs!$F$60/R16,Inputs!$F$57*Inputs!$F$36*R20/100)</f>
        <v>15.180236192</v>
      </c>
      <c r="S22" s="13" t="n">
        <f aca="false">IF(Inputs!$F$34&lt;&gt;1,S20/100*Inputs!$F$58+S20/100*Inputs!$F$59*Inputs!$F$60/S16,Inputs!$F$57*Inputs!$F$36*S20/100)</f>
        <v>18.241066976</v>
      </c>
      <c r="T22" s="13" t="n">
        <f aca="false">IF(Inputs!$F$34&lt;&gt;1,T20/100*Inputs!$F$58+T20/100*Inputs!$F$59*Inputs!$F$60/T16,Inputs!$F$57*Inputs!$F$36*T20/100)</f>
        <v>21.172318816</v>
      </c>
      <c r="U22" s="13" t="n">
        <f aca="false">IF(Inputs!$F$34&lt;&gt;1,U20/100*Inputs!$F$58+U20/100*Inputs!$F$59*Inputs!$F$60/U16,Inputs!$F$57*Inputs!$F$36*U20/100)</f>
        <v>23.875863968</v>
      </c>
      <c r="V22" s="13" t="n">
        <f aca="false">IF(Inputs!$F$34&lt;&gt;1,V20/100*Inputs!$F$58+V20/100*Inputs!$F$59*Inputs!$F$60/V16,Inputs!$F$57*Inputs!$F$36*V20/100)</f>
        <v>26.26489712</v>
      </c>
      <c r="W22" s="13" t="n">
        <f aca="false">IF(Inputs!$F$34&lt;&gt;1,W20/100*Inputs!$F$58+W20/100*Inputs!$F$59*Inputs!$F$60/W16,Inputs!$F$57*Inputs!$F$36*W20/100)</f>
        <v>28.26519344</v>
      </c>
      <c r="X22" s="13" t="n">
        <f aca="false">IF(Inputs!$F$34&lt;&gt;1,X20/100*Inputs!$F$58+X20/100*Inputs!$F$59*Inputs!$F$60/X16,Inputs!$F$57*Inputs!$F$36*X20/100)</f>
        <v>29.81888272</v>
      </c>
      <c r="Y22" s="13" t="n">
        <f aca="false">IF(Inputs!$F$34&lt;&gt;1,Y20/100*Inputs!$F$58+Y20/100*Inputs!$F$59*Inputs!$F$60/Y16,Inputs!$F$57*Inputs!$F$36*Y20/100)</f>
        <v>30.879417184</v>
      </c>
      <c r="Z22" s="13" t="n">
        <f aca="false">IF(Inputs!$F$34&lt;&gt;1,Z20/100*Inputs!$F$58+Z20/100*Inputs!$F$59*Inputs!$F$60/Z16,Inputs!$F$57*Inputs!$F$36*Z20/100)</f>
        <v>31.417232704</v>
      </c>
      <c r="AA22" s="13" t="n">
        <f aca="false">IF(Inputs!$F$34&lt;&gt;1,AA20/100*Inputs!$F$58+AA20/100*Inputs!$F$59*Inputs!$F$60/AA16,Inputs!$F$57*Inputs!$F$36*AA20/100)</f>
        <v>31.417232704</v>
      </c>
      <c r="AB22" s="13" t="n">
        <f aca="false">IF(Inputs!$F$34&lt;&gt;1,AB20/100*Inputs!$F$58+AB20/100*Inputs!$F$59*Inputs!$F$60/AB16,Inputs!$F$57*Inputs!$F$36*AB20/100)</f>
        <v>30.879417184</v>
      </c>
      <c r="AC22" s="13" t="n">
        <f aca="false">IF(Inputs!$F$34&lt;&gt;1,AC20/100*Inputs!$F$58+AC20/100*Inputs!$F$59*Inputs!$F$60/AC16,Inputs!$F$57*Inputs!$F$36*AC20/100)</f>
        <v>29.81888272</v>
      </c>
      <c r="AD22" s="13" t="n">
        <f aca="false">IF(Inputs!$F$34&lt;&gt;1,AD20/100*Inputs!$F$58+AD20/100*Inputs!$F$59*Inputs!$F$60/AD16,Inputs!$F$57*Inputs!$F$36*AD20/100)</f>
        <v>28.26519344</v>
      </c>
      <c r="AE22" s="13" t="n">
        <f aca="false">IF(Inputs!$F$34&lt;&gt;1,AE20/100*Inputs!$F$58+AE20/100*Inputs!$F$59*Inputs!$F$60/AE16,Inputs!$F$57*Inputs!$F$36*AE20/100)</f>
        <v>26.26489712</v>
      </c>
      <c r="AF22" s="13" t="n">
        <f aca="false">IF(Inputs!$F$34&lt;&gt;1,AF20/100*Inputs!$F$58+AF20/100*Inputs!$F$59*Inputs!$F$60/AF16,Inputs!$F$57*Inputs!$F$36*AF20/100)</f>
        <v>23.875863968</v>
      </c>
      <c r="AG22" s="13" t="n">
        <f aca="false">IF(Inputs!$F$34&lt;&gt;1,AG20/100*Inputs!$F$58+AG20/100*Inputs!$F$59*Inputs!$F$60/AG16,Inputs!$F$57*Inputs!$F$36*AG20/100)</f>
        <v>21.172318816</v>
      </c>
      <c r="AH22" s="13" t="n">
        <f aca="false">IF(Inputs!$F$34&lt;&gt;1,AH20/100*Inputs!$F$58+AH20/100*Inputs!$F$59*Inputs!$F$60/AH16,Inputs!$F$57*Inputs!$F$36*AH20/100)</f>
        <v>18.241066976</v>
      </c>
      <c r="AI22" s="13" t="n">
        <f aca="false">IF(Inputs!$F$34&lt;&gt;1,AI20/100*Inputs!$F$58+AI20/100*Inputs!$F$59*Inputs!$F$60/AI16,Inputs!$F$57*Inputs!$F$36*AI20/100)</f>
        <v>15.180236192</v>
      </c>
      <c r="AJ22" s="13" t="n">
        <f aca="false">IF(Inputs!$F$34&lt;&gt;1,AJ20/100*Inputs!$F$58+AJ20/100*Inputs!$F$59*Inputs!$F$60/AJ16,Inputs!$F$57*Inputs!$F$36*AJ20/100)</f>
        <v>12.099905664</v>
      </c>
      <c r="AK22" s="13" t="n">
        <f aca="false">IF(Inputs!$F$34&lt;&gt;1,AK20/100*Inputs!$F$58+AK20/100*Inputs!$F$59*Inputs!$F$60/AK16,Inputs!$F$57*Inputs!$F$36*AK20/100)</f>
        <v>9.118331904</v>
      </c>
      <c r="AL22" s="13" t="n">
        <f aca="false">IF(Inputs!$F$34&lt;&gt;1,AL20/100*Inputs!$F$58+AL20/100*Inputs!$F$59*Inputs!$F$60/AL16,Inputs!$F$57*Inputs!$F$36*AL20/100)</f>
        <v>6.361948736</v>
      </c>
      <c r="AM22" s="13" t="n">
        <f aca="false">IF(Inputs!$F$34&lt;&gt;1,AM20/100*Inputs!$F$58+AM20/100*Inputs!$F$59*Inputs!$F$60/AM16,Inputs!$F$57*Inputs!$F$36*AM20/100)</f>
        <v>3.959077056</v>
      </c>
      <c r="AN22" s="13" t="n">
        <f aca="false">IF(Inputs!$F$34&lt;&gt;1,AN20/100*Inputs!$F$58+AN20/100*Inputs!$F$59*Inputs!$F$60/AN16,Inputs!$F$57*Inputs!$F$36*AN20/100)</f>
        <v>2.037408736</v>
      </c>
      <c r="AO22" s="13" t="n">
        <f aca="false">IF(Inputs!$F$34&lt;&gt;1,AO20/100*Inputs!$F$58+AO20/100*Inputs!$F$59*Inputs!$F$60/AO16,Inputs!$F$57*Inputs!$F$36*AO20/100)</f>
        <v>0.712684192</v>
      </c>
      <c r="AP22" s="13" t="n">
        <f aca="false">IF(Inputs!$F$34&lt;&gt;1,AP20/100*Inputs!$F$58+AP20/100*Inputs!$F$59*Inputs!$F$60/AP16,Inputs!$F$57*Inputs!$F$36*AP20/100)</f>
        <v>47.244734592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50.798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6.09576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1.396945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1.396945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1.396945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1.396945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1.396945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1.396945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1.396945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1.396945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1.396945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1.396945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1.396945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1.396945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1.396945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1.396945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1.396945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1.396945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1.396945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1.396945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1.396945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1.396945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1.396945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1.396945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1.396945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1.396945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1.396945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1.396945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1.396945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1.396945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1.396945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1.396945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1.396945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1.396945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8.382</v>
      </c>
      <c r="J24" s="13" t="n">
        <f aca="false">Inputs!$F$62*Inputs!$F$36*(Inputs!$F$243*IF(J8=1,1,0)+(1-Inputs!$F$243)*IF(J8=Inputs!$F$242,1,0))</f>
        <v>7.1247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1.2573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9.867</v>
      </c>
      <c r="J26" s="13" t="n">
        <f aca="false">Inputs!$F$65*Inputs!$F$36*(Inputs!$F$244*IF(J8=1,1,0)+(1-Inputs!$F$244)/(Time!$F$11-1)*IF(AND(J8&gt;1,J8&lt;=Time!$F$11),1,0))</f>
        <v>6.9069</v>
      </c>
      <c r="K26" s="13" t="n">
        <f aca="false">Inputs!$F$65*Inputs!$F$36*(Inputs!$F$244*IF(K8=1,1,0)+(1-Inputs!$F$244)/(Time!$F$11-1)*IF(AND(K8&gt;1,K8&lt;=Time!$F$11),1,0))</f>
        <v>0.092503125</v>
      </c>
      <c r="L26" s="13" t="n">
        <f aca="false">Inputs!$F$65*Inputs!$F$36*(Inputs!$F$244*IF(L8=1,1,0)+(1-Inputs!$F$244)/(Time!$F$11-1)*IF(AND(L8&gt;1,L8&lt;=Time!$F$11),1,0))</f>
        <v>0.092503125</v>
      </c>
      <c r="M26" s="13" t="n">
        <f aca="false">Inputs!$F$65*Inputs!$F$36*(Inputs!$F$244*IF(M8=1,1,0)+(1-Inputs!$F$244)/(Time!$F$11-1)*IF(AND(M8&gt;1,M8&lt;=Time!$F$11),1,0))</f>
        <v>0.092503125</v>
      </c>
      <c r="N26" s="13" t="n">
        <f aca="false">Inputs!$F$65*Inputs!$F$36*(Inputs!$F$244*IF(N8=1,1,0)+(1-Inputs!$F$244)/(Time!$F$11-1)*IF(AND(N8&gt;1,N8&lt;=Time!$F$11),1,0))</f>
        <v>0.092503125</v>
      </c>
      <c r="O26" s="13" t="n">
        <f aca="false">Inputs!$F$65*Inputs!$F$36*(Inputs!$F$244*IF(O8=1,1,0)+(1-Inputs!$F$244)/(Time!$F$11-1)*IF(AND(O8&gt;1,O8&lt;=Time!$F$11),1,0))</f>
        <v>0.092503125</v>
      </c>
      <c r="P26" s="13" t="n">
        <f aca="false">Inputs!$F$65*Inputs!$F$36*(Inputs!$F$244*IF(P8=1,1,0)+(1-Inputs!$F$244)/(Time!$F$11-1)*IF(AND(P8&gt;1,P8&lt;=Time!$F$11),1,0))</f>
        <v>0.092503125</v>
      </c>
      <c r="Q26" s="13" t="n">
        <f aca="false">Inputs!$F$65*Inputs!$F$36*(Inputs!$F$244*IF(Q8=1,1,0)+(1-Inputs!$F$244)/(Time!$F$11-1)*IF(AND(Q8&gt;1,Q8&lt;=Time!$F$11),1,0))</f>
        <v>0.092503125</v>
      </c>
      <c r="R26" s="13" t="n">
        <f aca="false">Inputs!$F$65*Inputs!$F$36*(Inputs!$F$244*IF(R8=1,1,0)+(1-Inputs!$F$244)/(Time!$F$11-1)*IF(AND(R8&gt;1,R8&lt;=Time!$F$11),1,0))</f>
        <v>0.092503125</v>
      </c>
      <c r="S26" s="13" t="n">
        <f aca="false">Inputs!$F$65*Inputs!$F$36*(Inputs!$F$244*IF(S8=1,1,0)+(1-Inputs!$F$244)/(Time!$F$11-1)*IF(AND(S8&gt;1,S8&lt;=Time!$F$11),1,0))</f>
        <v>0.092503125</v>
      </c>
      <c r="T26" s="13" t="n">
        <f aca="false">Inputs!$F$65*Inputs!$F$36*(Inputs!$F$244*IF(T8=1,1,0)+(1-Inputs!$F$244)/(Time!$F$11-1)*IF(AND(T8&gt;1,T8&lt;=Time!$F$11),1,0))</f>
        <v>0.092503125</v>
      </c>
      <c r="U26" s="13" t="n">
        <f aca="false">Inputs!$F$65*Inputs!$F$36*(Inputs!$F$244*IF(U8=1,1,0)+(1-Inputs!$F$244)/(Time!$F$11-1)*IF(AND(U8&gt;1,U8&lt;=Time!$F$11),1,0))</f>
        <v>0.092503125</v>
      </c>
      <c r="V26" s="13" t="n">
        <f aca="false">Inputs!$F$65*Inputs!$F$36*(Inputs!$F$244*IF(V8=1,1,0)+(1-Inputs!$F$244)/(Time!$F$11-1)*IF(AND(V8&gt;1,V8&lt;=Time!$F$11),1,0))</f>
        <v>0.092503125</v>
      </c>
      <c r="W26" s="13" t="n">
        <f aca="false">Inputs!$F$65*Inputs!$F$36*(Inputs!$F$244*IF(W8=1,1,0)+(1-Inputs!$F$244)/(Time!$F$11-1)*IF(AND(W8&gt;1,W8&lt;=Time!$F$11),1,0))</f>
        <v>0.092503125</v>
      </c>
      <c r="X26" s="13" t="n">
        <f aca="false">Inputs!$F$65*Inputs!$F$36*(Inputs!$F$244*IF(X8=1,1,0)+(1-Inputs!$F$244)/(Time!$F$11-1)*IF(AND(X8&gt;1,X8&lt;=Time!$F$11),1,0))</f>
        <v>0.092503125</v>
      </c>
      <c r="Y26" s="13" t="n">
        <f aca="false">Inputs!$F$65*Inputs!$F$36*(Inputs!$F$244*IF(Y8=1,1,0)+(1-Inputs!$F$244)/(Time!$F$11-1)*IF(AND(Y8&gt;1,Y8&lt;=Time!$F$11),1,0))</f>
        <v>0.092503125</v>
      </c>
      <c r="Z26" s="13" t="n">
        <f aca="false">Inputs!$F$65*Inputs!$F$36*(Inputs!$F$244*IF(Z8=1,1,0)+(1-Inputs!$F$244)/(Time!$F$11-1)*IF(AND(Z8&gt;1,Z8&lt;=Time!$F$11),1,0))</f>
        <v>0.092503125</v>
      </c>
      <c r="AA26" s="13" t="n">
        <f aca="false">Inputs!$F$65*Inputs!$F$36*(Inputs!$F$244*IF(AA8=1,1,0)+(1-Inputs!$F$244)/(Time!$F$11-1)*IF(AND(AA8&gt;1,AA8&lt;=Time!$F$11),1,0))</f>
        <v>0.092503125</v>
      </c>
      <c r="AB26" s="13" t="n">
        <f aca="false">Inputs!$F$65*Inputs!$F$36*(Inputs!$F$244*IF(AB8=1,1,0)+(1-Inputs!$F$244)/(Time!$F$11-1)*IF(AND(AB8&gt;1,AB8&lt;=Time!$F$11),1,0))</f>
        <v>0.092503125</v>
      </c>
      <c r="AC26" s="13" t="n">
        <f aca="false">Inputs!$F$65*Inputs!$F$36*(Inputs!$F$244*IF(AC8=1,1,0)+(1-Inputs!$F$244)/(Time!$F$11-1)*IF(AND(AC8&gt;1,AC8&lt;=Time!$F$11),1,0))</f>
        <v>0.092503125</v>
      </c>
      <c r="AD26" s="13" t="n">
        <f aca="false">Inputs!$F$65*Inputs!$F$36*(Inputs!$F$244*IF(AD8=1,1,0)+(1-Inputs!$F$244)/(Time!$F$11-1)*IF(AND(AD8&gt;1,AD8&lt;=Time!$F$11),1,0))</f>
        <v>0.092503125</v>
      </c>
      <c r="AE26" s="13" t="n">
        <f aca="false">Inputs!$F$65*Inputs!$F$36*(Inputs!$F$244*IF(AE8=1,1,0)+(1-Inputs!$F$244)/(Time!$F$11-1)*IF(AND(AE8&gt;1,AE8&lt;=Time!$F$11),1,0))</f>
        <v>0.092503125</v>
      </c>
      <c r="AF26" s="13" t="n">
        <f aca="false">Inputs!$F$65*Inputs!$F$36*(Inputs!$F$244*IF(AF8=1,1,0)+(1-Inputs!$F$244)/(Time!$F$11-1)*IF(AND(AF8&gt;1,AF8&lt;=Time!$F$11),1,0))</f>
        <v>0.092503125</v>
      </c>
      <c r="AG26" s="13" t="n">
        <f aca="false">Inputs!$F$65*Inputs!$F$36*(Inputs!$F$244*IF(AG8=1,1,0)+(1-Inputs!$F$244)/(Time!$F$11-1)*IF(AND(AG8&gt;1,AG8&lt;=Time!$F$11),1,0))</f>
        <v>0.092503125</v>
      </c>
      <c r="AH26" s="13" t="n">
        <f aca="false">Inputs!$F$65*Inputs!$F$36*(Inputs!$F$244*IF(AH8=1,1,0)+(1-Inputs!$F$244)/(Time!$F$11-1)*IF(AND(AH8&gt;1,AH8&lt;=Time!$F$11),1,0))</f>
        <v>0.092503125</v>
      </c>
      <c r="AI26" s="13" t="n">
        <f aca="false">Inputs!$F$65*Inputs!$F$36*(Inputs!$F$244*IF(AI8=1,1,0)+(1-Inputs!$F$244)/(Time!$F$11-1)*IF(AND(AI8&gt;1,AI8&lt;=Time!$F$11),1,0))</f>
        <v>0.092503125</v>
      </c>
      <c r="AJ26" s="13" t="n">
        <f aca="false">Inputs!$F$65*Inputs!$F$36*(Inputs!$F$244*IF(AJ8=1,1,0)+(1-Inputs!$F$244)/(Time!$F$11-1)*IF(AND(AJ8&gt;1,AJ8&lt;=Time!$F$11),1,0))</f>
        <v>0.092503125</v>
      </c>
      <c r="AK26" s="13" t="n">
        <f aca="false">Inputs!$F$65*Inputs!$F$36*(Inputs!$F$244*IF(AK8=1,1,0)+(1-Inputs!$F$244)/(Time!$F$11-1)*IF(AND(AK8&gt;1,AK8&lt;=Time!$F$11),1,0))</f>
        <v>0.092503125</v>
      </c>
      <c r="AL26" s="13" t="n">
        <f aca="false">Inputs!$F$65*Inputs!$F$36*(Inputs!$F$244*IF(AL8=1,1,0)+(1-Inputs!$F$244)/(Time!$F$11-1)*IF(AND(AL8&gt;1,AL8&lt;=Time!$F$11),1,0))</f>
        <v>0.092503125</v>
      </c>
      <c r="AM26" s="13" t="n">
        <f aca="false">Inputs!$F$65*Inputs!$F$36*(Inputs!$F$244*IF(AM8=1,1,0)+(1-Inputs!$F$244)/(Time!$F$11-1)*IF(AND(AM8&gt;1,AM8&lt;=Time!$F$11),1,0))</f>
        <v>0.092503125</v>
      </c>
      <c r="AN26" s="13" t="n">
        <f aca="false">Inputs!$F$65*Inputs!$F$36*(Inputs!$F$244*IF(AN8=1,1,0)+(1-Inputs!$F$244)/(Time!$F$11-1)*IF(AND(AN8&gt;1,AN8&lt;=Time!$F$11),1,0))</f>
        <v>0.092503125</v>
      </c>
      <c r="AO26" s="13" t="n">
        <f aca="false">Inputs!$F$65*Inputs!$F$36*(Inputs!$F$244*IF(AO8=1,1,0)+(1-Inputs!$F$244)/(Time!$F$11-1)*IF(AND(AO8&gt;1,AO8&lt;=Time!$F$11),1,0))</f>
        <v>0.092503125</v>
      </c>
      <c r="AP26" s="13" t="n">
        <f aca="false">Inputs!$F$65*Inputs!$F$36*(Inputs!$F$244*IF(AP8=1,1,0)+(1-Inputs!$F$244)/(Time!$F$11-1)*IF(AND(AP8&gt;1,AP8&lt;=Time!$F$11),1,0))</f>
        <v>0.092503125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42.24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0.0055296</v>
      </c>
      <c r="L27" s="13" t="n">
        <f aca="false">IF(Inputs!$F$34=1,Inputs!$F$66*Inputs!$F$36*L21/SUM($J$21:$BJ$21),0)</f>
        <v>0.0580096</v>
      </c>
      <c r="M27" s="13" t="n">
        <f aca="false">IF(Inputs!$F$34=1,Inputs!$F$66*Inputs!$F$36*M21/SUM($J$21:$BJ$21),0)</f>
        <v>0.1658368</v>
      </c>
      <c r="N27" s="13" t="n">
        <f aca="false">IF(Inputs!$F$34=1,Inputs!$F$66*Inputs!$F$36*N21/SUM($J$21:$BJ$21),0)</f>
        <v>0.3222528</v>
      </c>
      <c r="O27" s="13" t="n">
        <f aca="false">IF(Inputs!$F$34=1,Inputs!$F$66*Inputs!$F$36*O21/SUM($J$21:$BJ$21),0)</f>
        <v>0.5178368</v>
      </c>
      <c r="P27" s="13" t="n">
        <f aca="false">IF(Inputs!$F$34=1,Inputs!$F$66*Inputs!$F$36*P21/SUM($J$21:$BJ$21),0)</f>
        <v>0.7421952</v>
      </c>
      <c r="Q27" s="13" t="n">
        <f aca="false">IF(Inputs!$F$34=1,Inputs!$F$66*Inputs!$F$36*Q21/SUM($J$21:$BJ$21),0)</f>
        <v>0.9848832</v>
      </c>
      <c r="R27" s="13" t="n">
        <f aca="false">IF(Inputs!$F$34=1,Inputs!$F$66*Inputs!$F$36*R21/SUM($J$21:$BJ$21),0)</f>
        <v>1.2356096</v>
      </c>
      <c r="S27" s="13" t="n">
        <f aca="false">IF(Inputs!$F$34=1,Inputs!$F$66*Inputs!$F$36*S21/SUM($J$21:$BJ$21),0)</f>
        <v>1.4847488</v>
      </c>
      <c r="T27" s="13" t="n">
        <f aca="false">IF(Inputs!$F$34=1,Inputs!$F$66*Inputs!$F$36*T21/SUM($J$21:$BJ$21),0)</f>
        <v>1.7233408</v>
      </c>
      <c r="U27" s="13" t="n">
        <f aca="false">IF(Inputs!$F$34=1,Inputs!$F$66*Inputs!$F$36*U21/SUM($J$21:$BJ$21),0)</f>
        <v>1.9433984</v>
      </c>
      <c r="V27" s="13" t="n">
        <f aca="false">IF(Inputs!$F$34=1,Inputs!$F$66*Inputs!$F$36*V21/SUM($J$21:$BJ$21),0)</f>
        <v>2.137856</v>
      </c>
      <c r="W27" s="13" t="n">
        <f aca="false">IF(Inputs!$F$34=1,Inputs!$F$66*Inputs!$F$36*W21/SUM($J$21:$BJ$21),0)</f>
        <v>2.300672</v>
      </c>
      <c r="X27" s="13" t="n">
        <f aca="false">IF(Inputs!$F$34=1,Inputs!$F$66*Inputs!$F$36*X21/SUM($J$21:$BJ$21),0)</f>
        <v>2.427136</v>
      </c>
      <c r="Y27" s="13" t="n">
        <f aca="false">IF(Inputs!$F$34=1,Inputs!$F$66*Inputs!$F$36*Y21/SUM($J$21:$BJ$21),0)</f>
        <v>2.5134592</v>
      </c>
      <c r="Z27" s="13" t="n">
        <f aca="false">IF(Inputs!$F$34=1,Inputs!$F$66*Inputs!$F$36*Z21/SUM($J$21:$BJ$21),0)</f>
        <v>2.5572352</v>
      </c>
      <c r="AA27" s="13" t="n">
        <f aca="false">IF(Inputs!$F$34=1,Inputs!$F$66*Inputs!$F$36*AA21/SUM($J$21:$BJ$21),0)</f>
        <v>2.5572352</v>
      </c>
      <c r="AB27" s="13" t="n">
        <f aca="false">IF(Inputs!$F$34=1,Inputs!$F$66*Inputs!$F$36*AB21/SUM($J$21:$BJ$21),0)</f>
        <v>2.5134592</v>
      </c>
      <c r="AC27" s="13" t="n">
        <f aca="false">IF(Inputs!$F$34=1,Inputs!$F$66*Inputs!$F$36*AC21/SUM($J$21:$BJ$21),0)</f>
        <v>2.427136</v>
      </c>
      <c r="AD27" s="13" t="n">
        <f aca="false">IF(Inputs!$F$34=1,Inputs!$F$66*Inputs!$F$36*AD21/SUM($J$21:$BJ$21),0)</f>
        <v>2.300672</v>
      </c>
      <c r="AE27" s="13" t="n">
        <f aca="false">IF(Inputs!$F$34=1,Inputs!$F$66*Inputs!$F$36*AE21/SUM($J$21:$BJ$21),0)</f>
        <v>2.137856</v>
      </c>
      <c r="AF27" s="13" t="n">
        <f aca="false">IF(Inputs!$F$34=1,Inputs!$F$66*Inputs!$F$36*AF21/SUM($J$21:$BJ$21),0)</f>
        <v>1.9433984</v>
      </c>
      <c r="AG27" s="13" t="n">
        <f aca="false">IF(Inputs!$F$34=1,Inputs!$F$66*Inputs!$F$36*AG21/SUM($J$21:$BJ$21),0)</f>
        <v>1.7233408</v>
      </c>
      <c r="AH27" s="13" t="n">
        <f aca="false">IF(Inputs!$F$34=1,Inputs!$F$66*Inputs!$F$36*AH21/SUM($J$21:$BJ$21),0)</f>
        <v>1.4847488</v>
      </c>
      <c r="AI27" s="13" t="n">
        <f aca="false">IF(Inputs!$F$34=1,Inputs!$F$66*Inputs!$F$36*AI21/SUM($J$21:$BJ$21),0)</f>
        <v>1.2356096</v>
      </c>
      <c r="AJ27" s="13" t="n">
        <f aca="false">IF(Inputs!$F$34=1,Inputs!$F$66*Inputs!$F$36*AJ21/SUM($J$21:$BJ$21),0)</f>
        <v>0.9848832</v>
      </c>
      <c r="AK27" s="13" t="n">
        <f aca="false">IF(Inputs!$F$34=1,Inputs!$F$66*Inputs!$F$36*AK21/SUM($J$21:$BJ$21),0)</f>
        <v>0.7421952</v>
      </c>
      <c r="AL27" s="13" t="n">
        <f aca="false">IF(Inputs!$F$34=1,Inputs!$F$66*Inputs!$F$36*AL21/SUM($J$21:$BJ$21),0)</f>
        <v>0.5178368</v>
      </c>
      <c r="AM27" s="13" t="n">
        <f aca="false">IF(Inputs!$F$34=1,Inputs!$F$66*Inputs!$F$36*AM21/SUM($J$21:$BJ$21),0)</f>
        <v>0.3222528</v>
      </c>
      <c r="AN27" s="13" t="n">
        <f aca="false">IF(Inputs!$F$34=1,Inputs!$F$66*Inputs!$F$36*AN21/SUM($J$21:$BJ$21),0)</f>
        <v>0.1658368</v>
      </c>
      <c r="AO27" s="13" t="n">
        <f aca="false">IF(Inputs!$F$34=1,Inputs!$F$66*Inputs!$F$36*AO21/SUM($J$21:$BJ$21),0)</f>
        <v>0.0580096</v>
      </c>
      <c r="AP27" s="13" t="n">
        <f aca="false">IF(Inputs!$F$34=1,Inputs!$F$66*Inputs!$F$36*AP21/SUM($J$21:$BJ$21),0)</f>
        <v>0.00552959999999985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5.885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5.885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778.826</v>
      </c>
      <c r="J32" s="13" t="n">
        <f aca="false">J22+J23+J24+J25+J26+J27+J28+J29-J31</f>
        <v>115.65976</v>
      </c>
      <c r="K32" s="13" t="n">
        <f aca="false">K22+K23+K24+K25+K26+K27+K28+K29-K31</f>
        <v>1.562912317</v>
      </c>
      <c r="L32" s="13" t="n">
        <f aca="false">L22+L23+L24+L25+L26+L27+L28+L29-L31</f>
        <v>2.260141917</v>
      </c>
      <c r="M32" s="13" t="n">
        <f aca="false">M22+M23+M24+M25+M26+M27+M28+M29-M31</f>
        <v>3.692693661</v>
      </c>
      <c r="N32" s="13" t="n">
        <f aca="false">N22+N23+N24+N25+N26+N27+N28+N29-N31</f>
        <v>5.770777981</v>
      </c>
      <c r="O32" s="13" t="n">
        <f aca="false">O22+O23+O24+O25+O26+O27+O28+O29-O31</f>
        <v>8.369233661</v>
      </c>
      <c r="P32" s="13" t="n">
        <f aca="false">P22+P23+P24+P25+P26+P27+P28+P29-P31</f>
        <v>11.349975229</v>
      </c>
      <c r="Q32" s="13" t="n">
        <f aca="false">Q22+Q23+Q24+Q25+Q26+Q27+Q28+Q29-Q31</f>
        <v>14.574236989</v>
      </c>
      <c r="R32" s="13" t="n">
        <f aca="false">R22+R23+R24+R25+R26+R27+R28+R29-R31</f>
        <v>17.905293917</v>
      </c>
      <c r="S32" s="13" t="n">
        <f aca="false">S22+S23+S24+S25+S26+S27+S28+S29-S31</f>
        <v>21.215263901</v>
      </c>
      <c r="T32" s="13" t="n">
        <f aca="false">T22+T23+T24+T25+T26+T27+T28+T29-T31</f>
        <v>24.385107741</v>
      </c>
      <c r="U32" s="13" t="n">
        <f aca="false">U22+U23+U24+U25+U26+U27+U28+U29-U31</f>
        <v>27.308710493</v>
      </c>
      <c r="V32" s="13" t="n">
        <f aca="false">V22+V23+V24+V25+V26+V27+V28+V29-V31</f>
        <v>29.892201245</v>
      </c>
      <c r="W32" s="13" t="n">
        <f aca="false">W22+W23+W24+W25+W26+W27+W28+W29-W31</f>
        <v>32.055313565</v>
      </c>
      <c r="X32" s="13" t="n">
        <f aca="false">X22+X23+X24+X25+X26+X27+X28+X29-X31</f>
        <v>33.735466845</v>
      </c>
      <c r="Y32" s="13" t="n">
        <f aca="false">Y22+Y23+Y24+Y25+Y26+Y27+Y28+Y29-Y31</f>
        <v>34.882324509</v>
      </c>
      <c r="Z32" s="13" t="n">
        <f aca="false">Z22+Z23+Z24+Z25+Z26+Z27+Z28+Z29-Z31</f>
        <v>35.463916029</v>
      </c>
      <c r="AA32" s="13" t="n">
        <f aca="false">AA22+AA23+AA24+AA25+AA26+AA27+AA28+AA29-AA31</f>
        <v>36.721216029</v>
      </c>
      <c r="AB32" s="13" t="n">
        <f aca="false">AB22+AB23+AB24+AB25+AB26+AB27+AB28+AB29-AB31</f>
        <v>34.882324509</v>
      </c>
      <c r="AC32" s="13" t="n">
        <f aca="false">AC22+AC23+AC24+AC25+AC26+AC27+AC28+AC29-AC31</f>
        <v>33.735466845</v>
      </c>
      <c r="AD32" s="13" t="n">
        <f aca="false">AD22+AD23+AD24+AD25+AD26+AD27+AD28+AD29-AD31</f>
        <v>32.055313565</v>
      </c>
      <c r="AE32" s="13" t="n">
        <f aca="false">AE22+AE23+AE24+AE25+AE26+AE27+AE28+AE29-AE31</f>
        <v>29.892201245</v>
      </c>
      <c r="AF32" s="13" t="n">
        <f aca="false">AF22+AF23+AF24+AF25+AF26+AF27+AF28+AF29-AF31</f>
        <v>27.308710493</v>
      </c>
      <c r="AG32" s="13" t="n">
        <f aca="false">AG22+AG23+AG24+AG25+AG26+AG27+AG28+AG29-AG31</f>
        <v>24.385107741</v>
      </c>
      <c r="AH32" s="13" t="n">
        <f aca="false">AH22+AH23+AH24+AH25+AH26+AH27+AH28+AH29-AH31</f>
        <v>21.215263901</v>
      </c>
      <c r="AI32" s="13" t="n">
        <f aca="false">AI22+AI23+AI24+AI25+AI26+AI27+AI28+AI29-AI31</f>
        <v>17.905293917</v>
      </c>
      <c r="AJ32" s="13" t="n">
        <f aca="false">AJ22+AJ23+AJ24+AJ25+AJ26+AJ27+AJ28+AJ29-AJ31</f>
        <v>14.574236989</v>
      </c>
      <c r="AK32" s="13" t="n">
        <f aca="false">AK22+AK23+AK24+AK25+AK26+AK27+AK28+AK29-AK31</f>
        <v>11.349975229</v>
      </c>
      <c r="AL32" s="13" t="n">
        <f aca="false">AL22+AL23+AL24+AL25+AL26+AL27+AL28+AL29-AL31</f>
        <v>8.369233661</v>
      </c>
      <c r="AM32" s="13" t="n">
        <f aca="false">AM22+AM23+AM24+AM25+AM26+AM27+AM28+AM29-AM31</f>
        <v>5.770777981</v>
      </c>
      <c r="AN32" s="13" t="n">
        <f aca="false">AN22+AN23+AN24+AN25+AN26+AN27+AN28+AN29-AN31</f>
        <v>3.692693661</v>
      </c>
      <c r="AO32" s="13" t="n">
        <f aca="false">AO22+AO23+AO24+AO25+AO26+AO27+AO28+AO29-AO31</f>
        <v>2.260141917</v>
      </c>
      <c r="AP32" s="13" t="n">
        <f aca="false">AP22+AP23+AP24+AP25+AP26+AP27+AP28+AP29-AP31</f>
        <v>54.624712317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47232.6778</v>
      </c>
      <c r="J34" s="13" t="n">
        <f aca="false">J20/100*Inputs!$F$59*Inputs!$F$60*Inputs!$F$36</f>
        <v>4723.26778</v>
      </c>
      <c r="K34" s="13" t="n">
        <f aca="false">K20/100*Inputs!$F$59*Inputs!$F$60*Inputs!$F$36</f>
        <v>5.1011292024</v>
      </c>
      <c r="L34" s="13" t="n">
        <f aca="false">L20/100*Inputs!$F$59*Inputs!$F$60*Inputs!$F$36</f>
        <v>53.5146239474</v>
      </c>
      <c r="M34" s="13" t="n">
        <f aca="false">M20/100*Inputs!$F$59*Inputs!$F$60*Inputs!$F$36</f>
        <v>152.9866433942</v>
      </c>
      <c r="N34" s="13" t="n">
        <f aca="false">N20/100*Inputs!$F$59*Inputs!$F$60*Inputs!$F$36</f>
        <v>297.2824740732</v>
      </c>
      <c r="O34" s="13" t="n">
        <f aca="false">O20/100*Inputs!$F$59*Inputs!$F$60*Inputs!$F$36</f>
        <v>477.7113032692</v>
      </c>
      <c r="P34" s="13" t="n">
        <f aca="false">P20/100*Inputs!$F$59*Inputs!$F$60*Inputs!$F$36</f>
        <v>684.6848973888</v>
      </c>
      <c r="Q34" s="13" t="n">
        <f aca="false">Q20/100*Inputs!$F$59*Inputs!$F$60*Inputs!$F$36</f>
        <v>908.5677901608</v>
      </c>
      <c r="R34" s="13" t="n">
        <f aca="false">R20/100*Inputs!$F$59*Inputs!$F$60*Inputs!$F$36</f>
        <v>1139.8662133474</v>
      </c>
      <c r="S34" s="13" t="n">
        <f aca="false">S20/100*Inputs!$F$59*Inputs!$F$60*Inputs!$F$36</f>
        <v>1369.7004235222</v>
      </c>
      <c r="T34" s="13" t="n">
        <f aca="false">T20/100*Inputs!$F$59*Inputs!$F$60*Inputs!$F$36</f>
        <v>1589.8047020702</v>
      </c>
      <c r="U34" s="13" t="n">
        <f aca="false">U20/100*Inputs!$F$59*Inputs!$F$60*Inputs!$F$36</f>
        <v>1792.8107512546</v>
      </c>
      <c r="V34" s="13" t="n">
        <f aca="false">V20/100*Inputs!$F$59*Inputs!$F$60*Inputs!$F$36</f>
        <v>1972.200461539</v>
      </c>
      <c r="W34" s="13" t="n">
        <f aca="false">W20/100*Inputs!$F$59*Inputs!$F$60*Inputs!$F$36</f>
        <v>2122.400376943</v>
      </c>
      <c r="X34" s="13" t="n">
        <f aca="false">X20/100*Inputs!$F$59*Inputs!$F$60*Inputs!$F$36</f>
        <v>2239.065091109</v>
      </c>
      <c r="Y34" s="13" t="n">
        <f aca="false">Y20/100*Inputs!$F$59*Inputs!$F$60*Inputs!$F$36</f>
        <v>2318.6993858798</v>
      </c>
      <c r="Z34" s="13" t="n">
        <f aca="false">Z20/100*Inputs!$F$59*Inputs!$F$60*Inputs!$F$36</f>
        <v>2359.0833253988</v>
      </c>
      <c r="AA34" s="13" t="n">
        <f aca="false">AA20/100*Inputs!$F$59*Inputs!$F$60*Inputs!$F$36</f>
        <v>2359.0833253988</v>
      </c>
      <c r="AB34" s="13" t="n">
        <f aca="false">AB20/100*Inputs!$F$59*Inputs!$F$60*Inputs!$F$36</f>
        <v>2318.6993858798</v>
      </c>
      <c r="AC34" s="13" t="n">
        <f aca="false">AC20/100*Inputs!$F$59*Inputs!$F$60*Inputs!$F$36</f>
        <v>2239.065091109</v>
      </c>
      <c r="AD34" s="13" t="n">
        <f aca="false">AD20/100*Inputs!$F$59*Inputs!$F$60*Inputs!$F$36</f>
        <v>2122.400376943</v>
      </c>
      <c r="AE34" s="13" t="n">
        <f aca="false">AE20/100*Inputs!$F$59*Inputs!$F$60*Inputs!$F$36</f>
        <v>1972.200461539</v>
      </c>
      <c r="AF34" s="13" t="n">
        <f aca="false">AF20/100*Inputs!$F$59*Inputs!$F$60*Inputs!$F$36</f>
        <v>1792.8107512546</v>
      </c>
      <c r="AG34" s="13" t="n">
        <f aca="false">AG20/100*Inputs!$F$59*Inputs!$F$60*Inputs!$F$36</f>
        <v>1589.8047020702</v>
      </c>
      <c r="AH34" s="13" t="n">
        <f aca="false">AH20/100*Inputs!$F$59*Inputs!$F$60*Inputs!$F$36</f>
        <v>1369.7004235222</v>
      </c>
      <c r="AI34" s="13" t="n">
        <f aca="false">AI20/100*Inputs!$F$59*Inputs!$F$60*Inputs!$F$36</f>
        <v>1139.8662133474</v>
      </c>
      <c r="AJ34" s="13" t="n">
        <f aca="false">AJ20/100*Inputs!$F$59*Inputs!$F$60*Inputs!$F$36</f>
        <v>908.5677901608</v>
      </c>
      <c r="AK34" s="13" t="n">
        <f aca="false">AK20/100*Inputs!$F$59*Inputs!$F$60*Inputs!$F$36</f>
        <v>684.6848973888</v>
      </c>
      <c r="AL34" s="13" t="n">
        <f aca="false">AL20/100*Inputs!$F$59*Inputs!$F$60*Inputs!$F$36</f>
        <v>477.7113032692</v>
      </c>
      <c r="AM34" s="13" t="n">
        <f aca="false">AM20/100*Inputs!$F$59*Inputs!$F$60*Inputs!$F$36</f>
        <v>297.2824740732</v>
      </c>
      <c r="AN34" s="13" t="n">
        <f aca="false">AN20/100*Inputs!$F$59*Inputs!$F$60*Inputs!$F$36</f>
        <v>152.9866433942</v>
      </c>
      <c r="AO34" s="13" t="n">
        <f aca="false">AO20/100*Inputs!$F$59*Inputs!$F$60*Inputs!$F$36</f>
        <v>53.5146239474</v>
      </c>
      <c r="AP34" s="13" t="n">
        <f aca="false">AP20/100*Inputs!$F$59*Inputs!$F$60*Inputs!$F$36</f>
        <v>3547.5519642024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8501.882004</v>
      </c>
      <c r="J35" s="13" t="n">
        <f aca="false">Inputs!$F$70/100*J34</f>
        <v>850.1882004</v>
      </c>
      <c r="K35" s="13" t="n">
        <f aca="false">Inputs!$F$70/100*K34</f>
        <v>0.918203256432</v>
      </c>
      <c r="L35" s="13" t="n">
        <f aca="false">Inputs!$F$70/100*L34</f>
        <v>9.632632310532</v>
      </c>
      <c r="M35" s="13" t="n">
        <f aca="false">Inputs!$F$70/100*M34</f>
        <v>27.537595810956</v>
      </c>
      <c r="N35" s="13" t="n">
        <f aca="false">Inputs!$F$70/100*N34</f>
        <v>53.510845333176</v>
      </c>
      <c r="O35" s="13" t="n">
        <f aca="false">Inputs!$F$70/100*O34</f>
        <v>85.988034588456</v>
      </c>
      <c r="P35" s="13" t="n">
        <f aca="false">Inputs!$F$70/100*P34</f>
        <v>123.243281529984</v>
      </c>
      <c r="Q35" s="13" t="n">
        <f aca="false">Inputs!$F$70/100*Q34</f>
        <v>163.542202228944</v>
      </c>
      <c r="R35" s="13" t="n">
        <f aca="false">Inputs!$F$70/100*R34</f>
        <v>205.175918402532</v>
      </c>
      <c r="S35" s="13" t="n">
        <f aca="false">Inputs!$F$70/100*S34</f>
        <v>246.546076233996</v>
      </c>
      <c r="T35" s="13" t="n">
        <f aca="false">Inputs!$F$70/100*T34</f>
        <v>286.164846372636</v>
      </c>
      <c r="U35" s="13" t="n">
        <f aca="false">Inputs!$F$70/100*U34</f>
        <v>322.705935225828</v>
      </c>
      <c r="V35" s="13" t="n">
        <f aca="false">Inputs!$F$70/100*V34</f>
        <v>354.99608307702</v>
      </c>
      <c r="W35" s="13" t="n">
        <f aca="false">Inputs!$F$70/100*W34</f>
        <v>382.03206784974</v>
      </c>
      <c r="X35" s="13" t="n">
        <f aca="false">Inputs!$F$70/100*X34</f>
        <v>403.03171639962</v>
      </c>
      <c r="Y35" s="13" t="n">
        <f aca="false">Inputs!$F$70/100*Y34</f>
        <v>417.365889458364</v>
      </c>
      <c r="Z35" s="13" t="n">
        <f aca="false">Inputs!$F$70/100*Z34</f>
        <v>424.634998571784</v>
      </c>
      <c r="AA35" s="13" t="n">
        <f aca="false">Inputs!$F$70/100*AA34</f>
        <v>424.634998571784</v>
      </c>
      <c r="AB35" s="13" t="n">
        <f aca="false">Inputs!$F$70/100*AB34</f>
        <v>417.365889458364</v>
      </c>
      <c r="AC35" s="13" t="n">
        <f aca="false">Inputs!$F$70/100*AC34</f>
        <v>403.03171639962</v>
      </c>
      <c r="AD35" s="13" t="n">
        <f aca="false">Inputs!$F$70/100*AD34</f>
        <v>382.03206784974</v>
      </c>
      <c r="AE35" s="13" t="n">
        <f aca="false">Inputs!$F$70/100*AE34</f>
        <v>354.99608307702</v>
      </c>
      <c r="AF35" s="13" t="n">
        <f aca="false">Inputs!$F$70/100*AF34</f>
        <v>322.705935225828</v>
      </c>
      <c r="AG35" s="13" t="n">
        <f aca="false">Inputs!$F$70/100*AG34</f>
        <v>286.164846372636</v>
      </c>
      <c r="AH35" s="13" t="n">
        <f aca="false">Inputs!$F$70/100*AH34</f>
        <v>246.546076233996</v>
      </c>
      <c r="AI35" s="13" t="n">
        <f aca="false">Inputs!$F$70/100*AI34</f>
        <v>205.175918402532</v>
      </c>
      <c r="AJ35" s="13" t="n">
        <f aca="false">Inputs!$F$70/100*AJ34</f>
        <v>163.542202228944</v>
      </c>
      <c r="AK35" s="13" t="n">
        <f aca="false">Inputs!$F$70/100*AK34</f>
        <v>123.243281529984</v>
      </c>
      <c r="AL35" s="13" t="n">
        <f aca="false">Inputs!$F$70/100*AL34</f>
        <v>85.988034588456</v>
      </c>
      <c r="AM35" s="13" t="n">
        <f aca="false">Inputs!$F$70/100*AM34</f>
        <v>53.510845333176</v>
      </c>
      <c r="AN35" s="13" t="n">
        <f aca="false">Inputs!$F$70/100*AN34</f>
        <v>27.537595810956</v>
      </c>
      <c r="AO35" s="13" t="n">
        <f aca="false">Inputs!$F$70/100*AO34</f>
        <v>9.632632310532</v>
      </c>
      <c r="AP35" s="13" t="n">
        <f aca="false">Inputs!$F$70/100*AP34</f>
        <v>638.559353556432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8501.882004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850.1882004</v>
      </c>
      <c r="T36" s="13" t="n">
        <f aca="false">SUMIFS($J$35:$BJ$35,$J$8:$BJ$8,T8-Inputs!$F$246)</f>
        <v>0.918203256432</v>
      </c>
      <c r="U36" s="13" t="n">
        <f aca="false">SUMIFS($J$35:$BJ$35,$J$8:$BJ$8,U8-Inputs!$F$246)</f>
        <v>9.632632310532</v>
      </c>
      <c r="V36" s="13" t="n">
        <f aca="false">SUMIFS($J$35:$BJ$35,$J$8:$BJ$8,V8-Inputs!$F$246)</f>
        <v>27.537595810956</v>
      </c>
      <c r="W36" s="13" t="n">
        <f aca="false">SUMIFS($J$35:$BJ$35,$J$8:$BJ$8,W8-Inputs!$F$246)</f>
        <v>53.510845333176</v>
      </c>
      <c r="X36" s="13" t="n">
        <f aca="false">SUMIFS($J$35:$BJ$35,$J$8:$BJ$8,X8-Inputs!$F$246)</f>
        <v>85.988034588456</v>
      </c>
      <c r="Y36" s="13" t="n">
        <f aca="false">SUMIFS($J$35:$BJ$35,$J$8:$BJ$8,Y8-Inputs!$F$246)</f>
        <v>123.243281529984</v>
      </c>
      <c r="Z36" s="13" t="n">
        <f aca="false">SUMIFS($J$35:$BJ$35,$J$8:$BJ$8,Z8-Inputs!$F$246)</f>
        <v>163.542202228944</v>
      </c>
      <c r="AA36" s="13" t="n">
        <f aca="false">SUMIFS($J$35:$BJ$35,$J$8:$BJ$8,AA8-Inputs!$F$246)</f>
        <v>205.175918402532</v>
      </c>
      <c r="AB36" s="13" t="n">
        <f aca="false">SUMIFS($J$35:$BJ$35,$J$8:$BJ$8,AB8-Inputs!$F$246)</f>
        <v>246.546076233996</v>
      </c>
      <c r="AC36" s="13" t="n">
        <f aca="false">SUMIFS($J$35:$BJ$35,$J$8:$BJ$8,AC8-Inputs!$F$246)</f>
        <v>286.164846372636</v>
      </c>
      <c r="AD36" s="13" t="n">
        <f aca="false">SUMIFS($J$35:$BJ$35,$J$8:$BJ$8,AD8-Inputs!$F$246)</f>
        <v>322.705935225828</v>
      </c>
      <c r="AE36" s="13" t="n">
        <f aca="false">SUMIFS($J$35:$BJ$35,$J$8:$BJ$8,AE8-Inputs!$F$246)</f>
        <v>354.99608307702</v>
      </c>
      <c r="AF36" s="13" t="n">
        <f aca="false">SUMIFS($J$35:$BJ$35,$J$8:$BJ$8,AF8-Inputs!$F$246)</f>
        <v>382.03206784974</v>
      </c>
      <c r="AG36" s="13" t="n">
        <f aca="false">SUMIFS($J$35:$BJ$35,$J$8:$BJ$8,AG8-Inputs!$F$246)</f>
        <v>403.03171639962</v>
      </c>
      <c r="AH36" s="13" t="n">
        <f aca="false">SUMIFS($J$35:$BJ$35,$J$8:$BJ$8,AH8-Inputs!$F$246)</f>
        <v>417.365889458364</v>
      </c>
      <c r="AI36" s="13" t="n">
        <f aca="false">SUMIFS($J$35:$BJ$35,$J$8:$BJ$8,AI8-Inputs!$F$246)</f>
        <v>424.634998571784</v>
      </c>
      <c r="AJ36" s="13" t="n">
        <f aca="false">SUMIFS($J$35:$BJ$35,$J$8:$BJ$8,AJ8-Inputs!$F$246)</f>
        <v>424.634998571784</v>
      </c>
      <c r="AK36" s="13" t="n">
        <f aca="false">SUMIFS($J$35:$BJ$35,$J$8:$BJ$8,AK8-Inputs!$F$246)</f>
        <v>417.365889458364</v>
      </c>
      <c r="AL36" s="13" t="n">
        <f aca="false">SUMIFS($J$35:$BJ$35,$J$8:$BJ$8,AL8-Inputs!$F$246)</f>
        <v>403.03171639962</v>
      </c>
      <c r="AM36" s="13" t="n">
        <f aca="false">SUMIFS($J$35:$BJ$35,$J$8:$BJ$8,AM8-Inputs!$F$246)</f>
        <v>382.03206784974</v>
      </c>
      <c r="AN36" s="13" t="n">
        <f aca="false">SUMIFS($J$35:$BJ$35,$J$8:$BJ$8,AN8-Inputs!$F$246)</f>
        <v>354.99608307702</v>
      </c>
      <c r="AO36" s="13" t="n">
        <f aca="false">SUMIFS($J$35:$BJ$35,$J$8:$BJ$8,AO8-Inputs!$F$246)</f>
        <v>322.705935225828</v>
      </c>
      <c r="AP36" s="13" t="n">
        <f aca="false">SUMIFS($J$35:$BJ$35,$J$8:$BJ$8,AP8-Inputs!$F$246)</f>
        <v>286.164846372636</v>
      </c>
      <c r="AQ36" s="13" t="n">
        <f aca="false">SUMIFS($J$35:$BJ$35,$J$8:$BJ$8,AQ8-Inputs!$F$246)</f>
        <v>246.546076233996</v>
      </c>
      <c r="AR36" s="13" t="n">
        <f aca="false">SUMIFS($J$35:$BJ$35,$J$8:$BJ$8,AR8-Inputs!$F$246)</f>
        <v>205.175918402532</v>
      </c>
      <c r="AS36" s="13" t="n">
        <f aca="false">SUMIFS($J$35:$BJ$35,$J$8:$BJ$8,AS8-Inputs!$F$246)</f>
        <v>163.542202228944</v>
      </c>
      <c r="AT36" s="13" t="n">
        <f aca="false">SUMIFS($J$35:$BJ$35,$J$8:$BJ$8,AT8-Inputs!$F$246)</f>
        <v>123.243281529984</v>
      </c>
      <c r="AU36" s="13" t="n">
        <f aca="false">SUMIFS($J$35:$BJ$35,$J$8:$BJ$8,AU8-Inputs!$F$246)</f>
        <v>85.988034588456</v>
      </c>
      <c r="AV36" s="13" t="n">
        <f aca="false">SUMIFS($J$35:$BJ$35,$J$8:$BJ$8,AV8-Inputs!$F$246)</f>
        <v>53.510845333176</v>
      </c>
      <c r="AW36" s="13" t="n">
        <f aca="false">SUMIFS($J$35:$BJ$35,$J$8:$BJ$8,AW8-Inputs!$F$246)</f>
        <v>27.537595810956</v>
      </c>
      <c r="AX36" s="13" t="n">
        <f aca="false">SUMIFS($J$35:$BJ$35,$J$8:$BJ$8,AX8-Inputs!$F$246)</f>
        <v>9.632632310532</v>
      </c>
      <c r="AY36" s="13" t="n">
        <f aca="false">SUMIFS($J$35:$BJ$35,$J$8:$BJ$8,AY8-Inputs!$F$246)</f>
        <v>638.559353556432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850.1882004</v>
      </c>
      <c r="K37" s="13" t="n">
        <f aca="false">J37+K35-K36</f>
        <v>851.106403656432</v>
      </c>
      <c r="L37" s="13" t="n">
        <f aca="false">K37+L35-L36</f>
        <v>860.739035966964</v>
      </c>
      <c r="M37" s="13" t="n">
        <f aca="false">L37+M35-M36</f>
        <v>888.27663177792</v>
      </c>
      <c r="N37" s="13" t="n">
        <f aca="false">M37+N35-N36</f>
        <v>941.787477111096</v>
      </c>
      <c r="O37" s="13" t="n">
        <f aca="false">N37+O35-O36</f>
        <v>1027.77551169955</v>
      </c>
      <c r="P37" s="13" t="n">
        <f aca="false">O37+P35-P36</f>
        <v>1151.01879322954</v>
      </c>
      <c r="Q37" s="13" t="n">
        <f aca="false">P37+Q35-Q36</f>
        <v>1314.56099545848</v>
      </c>
      <c r="R37" s="13" t="n">
        <f aca="false">Q37+R35-R36</f>
        <v>1519.73691386101</v>
      </c>
      <c r="S37" s="13" t="n">
        <f aca="false">R37+S35-S36</f>
        <v>916.094789695008</v>
      </c>
      <c r="T37" s="13" t="n">
        <f aca="false">S37+T35-T36</f>
        <v>1201.34143281121</v>
      </c>
      <c r="U37" s="13" t="n">
        <f aca="false">T37+U35-U36</f>
        <v>1514.41473572651</v>
      </c>
      <c r="V37" s="13" t="n">
        <f aca="false">U37+V35-V36</f>
        <v>1841.87322299257</v>
      </c>
      <c r="W37" s="13" t="n">
        <f aca="false">V37+W35-W36</f>
        <v>2170.39444550914</v>
      </c>
      <c r="X37" s="13" t="n">
        <f aca="false">W37+X35-X36</f>
        <v>2487.4381273203</v>
      </c>
      <c r="Y37" s="13" t="n">
        <f aca="false">X37+Y35-Y36</f>
        <v>2781.56073524868</v>
      </c>
      <c r="Z37" s="13" t="n">
        <f aca="false">Y37+Z35-Z36</f>
        <v>3042.65353159152</v>
      </c>
      <c r="AA37" s="13" t="n">
        <f aca="false">Z37+AA35-AA36</f>
        <v>3262.11261176077</v>
      </c>
      <c r="AB37" s="13" t="n">
        <f aca="false">AA37+AB35-AB36</f>
        <v>3432.93242498514</v>
      </c>
      <c r="AC37" s="13" t="n">
        <f aca="false">AB37+AC35-AC36</f>
        <v>3549.79929501213</v>
      </c>
      <c r="AD37" s="13" t="n">
        <f aca="false">AC37+AD35-AD36</f>
        <v>3609.12542763604</v>
      </c>
      <c r="AE37" s="13" t="n">
        <f aca="false">AD37+AE35-AE36</f>
        <v>3609.12542763604</v>
      </c>
      <c r="AF37" s="13" t="n">
        <f aca="false">AE37+AF35-AF36</f>
        <v>3549.79929501213</v>
      </c>
      <c r="AG37" s="13" t="n">
        <f aca="false">AF37+AG35-AG36</f>
        <v>3432.93242498514</v>
      </c>
      <c r="AH37" s="13" t="n">
        <f aca="false">AG37+AH35-AH36</f>
        <v>3262.11261176077</v>
      </c>
      <c r="AI37" s="13" t="n">
        <f aca="false">AH37+AI35-AI36</f>
        <v>3042.65353159152</v>
      </c>
      <c r="AJ37" s="13" t="n">
        <f aca="false">AI37+AJ35-AJ36</f>
        <v>2781.56073524868</v>
      </c>
      <c r="AK37" s="13" t="n">
        <f aca="false">AJ37+AK35-AK36</f>
        <v>2487.4381273203</v>
      </c>
      <c r="AL37" s="13" t="n">
        <f aca="false">AK37+AL35-AL36</f>
        <v>2170.39444550914</v>
      </c>
      <c r="AM37" s="13" t="n">
        <f aca="false">AL37+AM35-AM36</f>
        <v>1841.87322299257</v>
      </c>
      <c r="AN37" s="13" t="n">
        <f aca="false">AM37+AN35-AN36</f>
        <v>1514.41473572651</v>
      </c>
      <c r="AO37" s="13" t="n">
        <f aca="false">AN37+AO35-AO36</f>
        <v>1201.34143281121</v>
      </c>
      <c r="AP37" s="13" t="n">
        <f aca="false">AO37+AP35-AP36</f>
        <v>1553.73593999501</v>
      </c>
      <c r="AQ37" s="13" t="n">
        <f aca="false">AP37+AQ35-AQ36</f>
        <v>1307.18986376101</v>
      </c>
      <c r="AR37" s="13" t="n">
        <f aca="false">AQ37+AR35-AR36</f>
        <v>1102.01394535848</v>
      </c>
      <c r="AS37" s="13" t="n">
        <f aca="false">AR37+AS35-AS36</f>
        <v>938.471743129537</v>
      </c>
      <c r="AT37" s="13" t="n">
        <f aca="false">AS37+AT35-AT36</f>
        <v>815.228461599553</v>
      </c>
      <c r="AU37" s="13" t="n">
        <f aca="false">AT37+AU35-AU36</f>
        <v>729.240427011097</v>
      </c>
      <c r="AV37" s="13" t="n">
        <f aca="false">AU37+AV35-AV36</f>
        <v>675.729581677921</v>
      </c>
      <c r="AW37" s="13" t="n">
        <f aca="false">AV37+AW35-AW36</f>
        <v>648.191985866965</v>
      </c>
      <c r="AX37" s="13" t="n">
        <f aca="false">AW37+AX35-AX36</f>
        <v>638.559353556433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1.79835380359527</v>
      </c>
      <c r="J38" s="13" t="n">
        <f aca="false">I37*(J18+Inputs!$F$71)/100*J11/Inputs!$F$248/J16</f>
        <v>0</v>
      </c>
      <c r="K38" s="13" t="n">
        <f aca="false">J37*(K18+Inputs!$F$71)/100*K11/Inputs!$F$248/K16</f>
        <v>0.0213902965097506</v>
      </c>
      <c r="L38" s="13" t="n">
        <f aca="false">K37*(L18+Inputs!$F$71)/100*L11/Inputs!$F$248/L16</f>
        <v>0.0220341464394753</v>
      </c>
      <c r="M38" s="13" t="n">
        <f aca="false">L37*(M18+Inputs!$F$71)/100*M11/Inputs!$F$248/M16</f>
        <v>0.0214740339916263</v>
      </c>
      <c r="N38" s="13" t="n">
        <f aca="false">M37*(N18+Inputs!$F$71)/100*N11/Inputs!$F$248/N16</f>
        <v>0.0228034740504093</v>
      </c>
      <c r="O38" s="13" t="n">
        <f aca="false">N37*(O18+Inputs!$F$71)/100*O11/Inputs!$F$248/O16</f>
        <v>0.0240755319998248</v>
      </c>
      <c r="P38" s="13" t="n">
        <f aca="false">O37*(P18+Inputs!$F$71)/100*P11/Inputs!$F$248/P16</f>
        <v>0.0236313094397995</v>
      </c>
      <c r="Q38" s="13" t="n">
        <f aca="false">P37*(Q18+Inputs!$F$71)/100*Q11/Inputs!$F$248/Q16</f>
        <v>0.0291773470463707</v>
      </c>
      <c r="R38" s="13" t="n">
        <f aca="false">Q37*(R18+Inputs!$F$71)/100*R11/Inputs!$F$248/R16</f>
        <v>0.032112483349384</v>
      </c>
      <c r="S38" s="13" t="n">
        <f aca="false">R37*(S18+Inputs!$F$71)/100*S11/Inputs!$F$248/S16</f>
        <v>0.0382007776737884</v>
      </c>
      <c r="T38" s="13" t="n">
        <f aca="false">S37*(T18+Inputs!$F$71)/100*T11/Inputs!$F$248/T16</f>
        <v>0.0221908515595197</v>
      </c>
      <c r="U38" s="13" t="n">
        <f aca="false">T37*(U18+Inputs!$F$71)/100*U11/Inputs!$F$248/U16</f>
        <v>0.0299440578127453</v>
      </c>
      <c r="V38" s="13" t="n">
        <f aca="false">U37*(V18+Inputs!$F$71)/100*V11/Inputs!$F$248/V16</f>
        <v>0.0375888662167028</v>
      </c>
      <c r="W38" s="13" t="n">
        <f aca="false">V37*(W18+Inputs!$F$71)/100*W11/Inputs!$F$248/W16</f>
        <v>0.0440558817014945</v>
      </c>
      <c r="X38" s="13" t="n">
        <f aca="false">W37*(X18+Inputs!$F$71)/100*X11/Inputs!$F$248/X16</f>
        <v>0.0534187196016898</v>
      </c>
      <c r="Y38" s="13" t="n">
        <f aca="false">X37*(Y18+Inputs!$F$71)/100*Y11/Inputs!$F$248/Y16</f>
        <v>0.0589979410032407</v>
      </c>
      <c r="Z38" s="13" t="n">
        <f aca="false">Y37*(Z18+Inputs!$F$71)/100*Z11/Inputs!$F$248/Z16</f>
        <v>0.0678865529611454</v>
      </c>
      <c r="AA38" s="13" t="n">
        <f aca="false">Z37*(AA18+Inputs!$F$71)/100*AA11/Inputs!$F$248/AA16</f>
        <v>0.0739465496497872</v>
      </c>
      <c r="AB38" s="13" t="n">
        <f aca="false">AA37*(AB18+Inputs!$F$71)/100*AB11/Inputs!$F$248/AB16</f>
        <v>0.0738534637607191</v>
      </c>
      <c r="AC38" s="13" t="n">
        <f aca="false">AB37*(AC18+Inputs!$F$71)/100*AC11/Inputs!$F$248/AC16</f>
        <v>0.0827315331743052</v>
      </c>
      <c r="AD38" s="13" t="n">
        <f aca="false">AC37*(AD18+Inputs!$F$71)/100*AD11/Inputs!$F$248/AD16</f>
        <v>0.0824402652301631</v>
      </c>
      <c r="AE38" s="13" t="n">
        <f aca="false">AD37*(AE18+Inputs!$F$71)/100*AE11/Inputs!$F$248/AE16</f>
        <v>0.086247834284371</v>
      </c>
      <c r="AF38" s="13" t="n">
        <f aca="false">AE37*(AF18+Inputs!$F$71)/100*AF11/Inputs!$F$248/AF16</f>
        <v>0.0831147230521001</v>
      </c>
      <c r="AG38" s="13" t="n">
        <f aca="false">AF37*(AG18+Inputs!$F$71)/100*AG11/Inputs!$F$248/AG16</f>
        <v>0.0841182884115323</v>
      </c>
      <c r="AH38" s="13" t="n">
        <f aca="false">AG37*(AH18+Inputs!$F$71)/100*AH11/Inputs!$F$248/AH16</f>
        <v>0.0810069136348272</v>
      </c>
      <c r="AI38" s="13" t="n">
        <f aca="false">AH37*(AI18+Inputs!$F$71)/100*AI11/Inputs!$F$248/AI16</f>
        <v>0.0741797805086076</v>
      </c>
      <c r="AJ38" s="13" t="n">
        <f aca="false">AI37*(AJ18+Inputs!$F$71)/100*AJ11/Inputs!$F$248/AJ16</f>
        <v>0.0711950399836167</v>
      </c>
      <c r="AK38" s="13" t="n">
        <f aca="false">AJ37*(AK18+Inputs!$F$71)/100*AK11/Inputs!$F$248/AK16</f>
        <v>0.0627213716154098</v>
      </c>
      <c r="AL38" s="13" t="n">
        <f aca="false">AK37*(AL18+Inputs!$F$71)/100*AL11/Inputs!$F$248/AL16</f>
        <v>0.0577151632675836</v>
      </c>
      <c r="AM38" s="13" t="n">
        <f aca="false">AL37*(AM18+Inputs!$F$71)/100*AM11/Inputs!$F$248/AM16</f>
        <v>0.0501471797546113</v>
      </c>
      <c r="AN38" s="13" t="n">
        <f aca="false">AM37*(AN18+Inputs!$F$71)/100*AN11/Inputs!$F$248/AN16</f>
        <v>0.0382766674175561</v>
      </c>
      <c r="AO38" s="13" t="n">
        <f aca="false">AN37*(AO18+Inputs!$F$71)/100*AO11/Inputs!$F$248/AO16</f>
        <v>0.0346970918971182</v>
      </c>
      <c r="AP38" s="13" t="n">
        <f aca="false">AO37*(AP18+Inputs!$F$71)/100*AP11/Inputs!$F$248/AP16</f>
        <v>0.0265243328204506</v>
      </c>
      <c r="AQ38" s="13" t="n">
        <f aca="false">AP37*(AQ18+Inputs!$F$71)/100*AQ11/Inputs!$F$248/AQ16</f>
        <v>0.0352992815695252</v>
      </c>
      <c r="AR38" s="13" t="n">
        <f aca="false">AQ37*(AR18+Inputs!$F$71)/100*AR11/Inputs!$F$248/AR16</f>
        <v>0.0286191736581365</v>
      </c>
      <c r="AS38" s="13" t="n">
        <f aca="false">AR37*(AS18+Inputs!$F$71)/100*AS11/Inputs!$F$248/AS16</f>
        <v>0.0248265373079246</v>
      </c>
      <c r="AT38" s="13" t="n">
        <f aca="false">AS37*(AT18+Inputs!$F$71)/100*AT11/Inputs!$F$248/AT16</f>
        <v>0.0210533137905118</v>
      </c>
      <c r="AU38" s="13" t="n">
        <f aca="false">AT37*(AU18+Inputs!$F$71)/100*AU11/Inputs!$F$248/AU16</f>
        <v>0.0176241572756038</v>
      </c>
      <c r="AV38" s="13" t="n">
        <f aca="false">AU37*(AV18+Inputs!$F$71)/100*AV11/Inputs!$F$248/AV16</f>
        <v>0.0162222244001886</v>
      </c>
      <c r="AW38" s="13" t="n">
        <f aca="false">AV37*(AW18+Inputs!$F$71)/100*AW11/Inputs!$F$248/AW16</f>
        <v>0.0144857959415015</v>
      </c>
      <c r="AX38" s="13" t="n">
        <f aca="false">AW37*(AX18+Inputs!$F$71)/100*AX11/Inputs!$F$248/AX16</f>
        <v>0.0142982777907088</v>
      </c>
      <c r="AY38" s="13" t="n">
        <f aca="false">AX37*(AY18+Inputs!$F$71)/100*AY11/Inputs!$F$248/AY16</f>
        <v>0.0140265720414384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0.122536878547878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0.108510306506439</v>
      </c>
      <c r="Q75" s="13" t="n">
        <f aca="false">SUMIFS(Construction!$J$38:$BJ$38,Construction!$J$12:$BJ$12,Time!Q20,Construction!$J$8:$BJ$8,"&gt;"&amp;Time!$F$14)</f>
        <v>0.0140265720414384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6926.37972641901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108.728731720486</v>
      </c>
      <c r="Q83" s="13" t="n">
        <f aca="false">Q72+Q74+Q75+Q76+Q79+Q82</f>
        <v>110.069346097666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2617.84263572868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50.6527714698497</v>
      </c>
      <c r="Q84" s="13" t="n">
        <f aca="false">Q56-Q83+Q58</f>
        <v>50.8680984114992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5.885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5.885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916.099218989225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8.24489297090303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24.7346789127091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24.7346789127091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24.7346789127091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24.7346789127091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24.7346789127091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24.7346789127091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24.7346789127091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24.7346789127091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24.7346789127091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23.8185796937199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21.9863812557414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21.9863812557414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21.9863812557414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21.9863812557414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21.9863812557414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21.9863812557414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21.9863812557414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21.9863812557414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21.9863812557414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21.9863812557414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21.9863812557414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21.9863812557414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21.9863812557414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21.9863812557414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21.9863812557414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21.9863812557414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21.9863812557414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21.9863812557414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21.9863812557414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21.9863812557414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21.9863812557414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21.9863812557414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21.9863812557414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21.9863812557414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21.9863812557414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21.9863812557414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21.9863812557414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21.9863812557414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21.9863812557414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14.9629539101573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0.916099218989225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0.916099218989225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0.916099218989225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0.916099218989225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0.916099218989225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0.916099218989225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0.916099218989225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0.916099218989225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0.916099218989225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0.610732812659483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247.346789127091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8.24489297090303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24.7346789127091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24.7346789127091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24.7346789127091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24.7346789127091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24.7346789127091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24.7346789127091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24.7346789127091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24.7346789127091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24.7346789127091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16.4897859418061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668.752429862134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7.3287937519138</v>
      </c>
      <c r="Z12" s="13" t="n">
        <f aca="false">Z10-Z11</f>
        <v>21.9863812557414</v>
      </c>
      <c r="AA12" s="13" t="n">
        <f aca="false">AA10-AA11</f>
        <v>21.9863812557414</v>
      </c>
      <c r="AB12" s="13" t="n">
        <f aca="false">AB10-AB11</f>
        <v>21.9863812557414</v>
      </c>
      <c r="AC12" s="13" t="n">
        <f aca="false">AC10-AC11</f>
        <v>21.9863812557414</v>
      </c>
      <c r="AD12" s="13" t="n">
        <f aca="false">AD10-AD11</f>
        <v>21.9863812557414</v>
      </c>
      <c r="AE12" s="13" t="n">
        <f aca="false">AE10-AE11</f>
        <v>21.9863812557414</v>
      </c>
      <c r="AF12" s="13" t="n">
        <f aca="false">AF10-AF11</f>
        <v>21.9863812557414</v>
      </c>
      <c r="AG12" s="13" t="n">
        <f aca="false">AG10-AG11</f>
        <v>21.9863812557414</v>
      </c>
      <c r="AH12" s="13" t="n">
        <f aca="false">AH10-AH11</f>
        <v>21.9863812557414</v>
      </c>
      <c r="AI12" s="13" t="n">
        <f aca="false">AI10-AI11</f>
        <v>21.9863812557414</v>
      </c>
      <c r="AJ12" s="13" t="n">
        <f aca="false">AJ10-AJ11</f>
        <v>21.9863812557414</v>
      </c>
      <c r="AK12" s="13" t="n">
        <f aca="false">AK10-AK11</f>
        <v>21.9863812557414</v>
      </c>
      <c r="AL12" s="13" t="n">
        <f aca="false">AL10-AL11</f>
        <v>21.9863812557414</v>
      </c>
      <c r="AM12" s="13" t="n">
        <f aca="false">AM10-AM11</f>
        <v>21.9863812557414</v>
      </c>
      <c r="AN12" s="13" t="n">
        <f aca="false">AN10-AN11</f>
        <v>21.9863812557414</v>
      </c>
      <c r="AO12" s="13" t="n">
        <f aca="false">AO10-AO11</f>
        <v>21.9863812557414</v>
      </c>
      <c r="AP12" s="13" t="n">
        <f aca="false">AP10-AP11</f>
        <v>21.9863812557414</v>
      </c>
      <c r="AQ12" s="13" t="n">
        <f aca="false">AQ10-AQ11</f>
        <v>21.9863812557414</v>
      </c>
      <c r="AR12" s="13" t="n">
        <f aca="false">AR10-AR11</f>
        <v>21.9863812557414</v>
      </c>
      <c r="AS12" s="13" t="n">
        <f aca="false">AS10-AS11</f>
        <v>21.9863812557414</v>
      </c>
      <c r="AT12" s="13" t="n">
        <f aca="false">AT10-AT11</f>
        <v>21.9863812557414</v>
      </c>
      <c r="AU12" s="13" t="n">
        <f aca="false">AU10-AU11</f>
        <v>21.9863812557414</v>
      </c>
      <c r="AV12" s="13" t="n">
        <f aca="false">AV10-AV11</f>
        <v>21.9863812557414</v>
      </c>
      <c r="AW12" s="13" t="n">
        <f aca="false">AW10-AW11</f>
        <v>21.9863812557414</v>
      </c>
      <c r="AX12" s="13" t="n">
        <f aca="false">AX10-AX11</f>
        <v>21.9863812557414</v>
      </c>
      <c r="AY12" s="13" t="n">
        <f aca="false">AY10-AY11</f>
        <v>21.9863812557414</v>
      </c>
      <c r="AZ12" s="13" t="n">
        <f aca="false">AZ10-AZ11</f>
        <v>21.9863812557414</v>
      </c>
      <c r="BA12" s="13" t="n">
        <f aca="false">BA10-BA11</f>
        <v>21.9863812557414</v>
      </c>
      <c r="BB12" s="13" t="n">
        <f aca="false">BB10-BB11</f>
        <v>21.9863812557414</v>
      </c>
      <c r="BC12" s="13" t="n">
        <f aca="false">BC10-BC11</f>
        <v>14.9629539101573</v>
      </c>
      <c r="BD12" s="13" t="n">
        <f aca="false">BD10-BD11</f>
        <v>0.916099218989225</v>
      </c>
      <c r="BE12" s="13" t="n">
        <f aca="false">BE10-BE11</f>
        <v>0.916099218989225</v>
      </c>
      <c r="BF12" s="13" t="n">
        <f aca="false">BF10-BF11</f>
        <v>0.916099218989225</v>
      </c>
      <c r="BG12" s="13" t="n">
        <f aca="false">BG10-BG11</f>
        <v>0.916099218989225</v>
      </c>
      <c r="BH12" s="13" t="n">
        <f aca="false">BH10-BH11</f>
        <v>0.916099218989225</v>
      </c>
      <c r="BI12" s="13" t="n">
        <f aca="false">BI10-BI11</f>
        <v>0.916099218989225</v>
      </c>
      <c r="BJ12" s="13" t="n">
        <f aca="false">BJ10-BJ11</f>
        <v>0.916099218989225</v>
      </c>
      <c r="BK12" s="13" t="n">
        <f aca="false">BK10-BK11</f>
        <v>0.916099218989225</v>
      </c>
      <c r="BL12" s="13" t="n">
        <f aca="false">BL10-BL11</f>
        <v>0.916099218989225</v>
      </c>
      <c r="BM12" s="13" t="n">
        <f aca="false">BM10-BM11</f>
        <v>0.610732812659483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345.254038505176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3.50463854678449</v>
      </c>
      <c r="P13" s="13" t="n">
        <f aca="false">IF(Time!P20&gt;=Time!$F$12,Waterfall!P33*Inputs!$F$104/100*Time!P31/Inputs!$F$248,0)</f>
        <v>10.7392073115523</v>
      </c>
      <c r="Q13" s="13" t="n">
        <f aca="false">IF(Time!Q20&gt;=Time!$F$12,Waterfall!Q33*Inputs!$F$104/100*Time!Q31/Inputs!$F$248,0)</f>
        <v>10.5324972632321</v>
      </c>
      <c r="R13" s="13" t="n">
        <f aca="false">IF(Time!R20&gt;=Time!$F$12,Waterfall!R33*Inputs!$F$104/100*Time!R31/Inputs!$F$248,0)</f>
        <v>10.7850767548457</v>
      </c>
      <c r="S13" s="13" t="n">
        <f aca="false">IF(Time!S20&gt;=Time!$F$12,Waterfall!S33*Inputs!$F$104/100*Time!S31/Inputs!$F$248,0)</f>
        <v>10.6525129641547</v>
      </c>
      <c r="T13" s="13" t="n">
        <f aca="false">IF(Time!T20&gt;=Time!$F$12,Waterfall!T33*Inputs!$F$104/100*Time!T31/Inputs!$F$248,0)</f>
        <v>10.9079614480826</v>
      </c>
      <c r="U13" s="13" t="n">
        <f aca="false">IF(Time!U20&gt;=Time!$F$12,Waterfall!U33*Inputs!$F$104/100*Time!U31/Inputs!$F$248,0)</f>
        <v>10.8430148231271</v>
      </c>
      <c r="V13" s="13" t="n">
        <f aca="false">IF(Time!V20&gt;=Time!$F$12,Waterfall!V33*Inputs!$F$104/100*Time!V31/Inputs!$F$248,0)</f>
        <v>11.0628166946216</v>
      </c>
      <c r="W13" s="13" t="n">
        <f aca="false">IF(Time!W20&gt;=Time!$F$12,Waterfall!W33*Inputs!$F$104/100*Time!W31/Inputs!$F$248,0)</f>
        <v>10.931973743873</v>
      </c>
      <c r="X13" s="13" t="n">
        <f aca="false">IF(Time!X20&gt;=Time!$F$12,Waterfall!X33*Inputs!$F$104/100*Time!X31/Inputs!$F$248,0)</f>
        <v>11.1172519781952</v>
      </c>
      <c r="Y13" s="13" t="n">
        <f aca="false">IF(Time!Y20&gt;=Time!$F$12,Waterfall!Y33*Inputs!$F$104/100*Time!Y31/Inputs!$F$248,0)</f>
        <v>10.9995583653103</v>
      </c>
      <c r="Z13" s="13" t="n">
        <f aca="false">IF(Time!Z20&gt;=Time!$F$12,Waterfall!Z33*Inputs!$F$104/100*Time!Z31/Inputs!$F$248,0)</f>
        <v>11.2800375416009</v>
      </c>
      <c r="AA13" s="13" t="n">
        <f aca="false">IF(Time!AA20&gt;=Time!$F$12,Waterfall!AA33*Inputs!$F$104/100*Time!AA31/Inputs!$F$248,0)</f>
        <v>11.1709448854053</v>
      </c>
      <c r="AB13" s="13" t="n">
        <f aca="false">IF(Time!AB20&gt;=Time!$F$12,Waterfall!AB33*Inputs!$F$104/100*Time!AB31/Inputs!$F$248,0)</f>
        <v>11.6800542092155</v>
      </c>
      <c r="AC13" s="13" t="n">
        <f aca="false">IF(Time!AC20&gt;=Time!$F$12,Waterfall!AC33*Inputs!$F$104/100*Time!AC31/Inputs!$F$248,0)</f>
        <v>11.8580970786552</v>
      </c>
      <c r="AD13" s="13" t="n">
        <f aca="false">IF(Time!AD20&gt;=Time!$F$12,Waterfall!AD33*Inputs!$F$104/100*Time!AD31/Inputs!$F$248,0)</f>
        <v>12.3302912372591</v>
      </c>
      <c r="AE13" s="13" t="n">
        <f aca="false">IF(Time!AE20&gt;=Time!$F$12,Waterfall!AE33*Inputs!$F$104/100*Time!AE31/Inputs!$F$248,0)</f>
        <v>12.4314384675885</v>
      </c>
      <c r="AF13" s="13" t="n">
        <f aca="false">IF(Time!AF20&gt;=Time!$F$12,Waterfall!AF33*Inputs!$F$104/100*Time!AF31/Inputs!$F$248,0)</f>
        <v>12.9282981909934</v>
      </c>
      <c r="AG13" s="13" t="n">
        <f aca="false">IF(Time!AG20&gt;=Time!$F$12,Waterfall!AG33*Inputs!$F$104/100*Time!AG31/Inputs!$F$248,0)</f>
        <v>12.9928760862881</v>
      </c>
      <c r="AH13" s="13" t="n">
        <f aca="false">IF(Time!AH20&gt;=Time!$F$12,Waterfall!AH33*Inputs!$F$104/100*Time!AH31/Inputs!$F$248,0)</f>
        <v>13.4826033632801</v>
      </c>
      <c r="AI13" s="13" t="n">
        <f aca="false">IF(Time!AI20&gt;=Time!$F$12,Waterfall!AI33*Inputs!$F$104/100*Time!AI31/Inputs!$F$248,0)</f>
        <v>13.5022696769854</v>
      </c>
      <c r="AJ13" s="13" t="n">
        <f aca="false">IF(Time!AJ20&gt;=Time!$F$12,Waterfall!AJ33*Inputs!$F$104/100*Time!AJ31/Inputs!$F$248,0)</f>
        <v>13.9459283060875</v>
      </c>
      <c r="AK13" s="13" t="n">
        <f aca="false">IF(Time!AK20&gt;=Time!$F$12,Waterfall!AK33*Inputs!$F$104/100*Time!AK31/Inputs!$F$248,0)</f>
        <v>13.9634482870116</v>
      </c>
      <c r="AL13" s="13" t="n">
        <f aca="false">IF(Time!AL20&gt;=Time!$F$12,Waterfall!AL33*Inputs!$F$104/100*Time!AL31/Inputs!$F$248,0)</f>
        <v>14.2334989490375</v>
      </c>
      <c r="AM13" s="13" t="n">
        <f aca="false">IF(Time!AM20&gt;=Time!$F$12,Waterfall!AM33*Inputs!$F$104/100*Time!AM31/Inputs!$F$248,0)</f>
        <v>13.5193268016592</v>
      </c>
      <c r="AN13" s="13" t="n">
        <f aca="false">IF(Time!AN20&gt;=Time!$F$12,Waterfall!AN33*Inputs!$F$104/100*Time!AN31/Inputs!$F$248,0)</f>
        <v>12.7653078344911</v>
      </c>
      <c r="AO13" s="13" t="n">
        <f aca="false">IF(Time!AO20&gt;=Time!$F$12,Waterfall!AO33*Inputs!$F$104/100*Time!AO31/Inputs!$F$248,0)</f>
        <v>11.7284361963406</v>
      </c>
      <c r="AP13" s="13" t="n">
        <f aca="false">IF(Time!AP20&gt;=Time!$F$12,Waterfall!AP33*Inputs!$F$104/100*Time!AP31/Inputs!$F$248,0)</f>
        <v>10.0568813544105</v>
      </c>
      <c r="AQ13" s="13" t="n">
        <f aca="false">IF(Time!AQ20&gt;=Time!$F$12,Waterfall!AQ33*Inputs!$F$104/100*Time!AQ31/Inputs!$F$248,0)</f>
        <v>7.94571494710025</v>
      </c>
      <c r="AR13" s="13" t="n">
        <f aca="false">IF(Time!AR20&gt;=Time!$F$12,Waterfall!AR33*Inputs!$F$104/100*Time!AR31/Inputs!$F$248,0)</f>
        <v>6.01668925892919</v>
      </c>
      <c r="AS13" s="13" t="n">
        <f aca="false">IF(Time!AS20&gt;=Time!$F$12,Waterfall!AS33*Inputs!$F$104/100*Time!AS31/Inputs!$F$248,0)</f>
        <v>3.7920672902852</v>
      </c>
      <c r="AT13" s="13" t="n">
        <f aca="false">IF(Time!AT20&gt;=Time!$F$12,Waterfall!AT33*Inputs!$F$104/100*Time!AT31/Inputs!$F$248,0)</f>
        <v>1.5533186487733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0.66032996609246</v>
      </c>
      <c r="P14" s="6" t="n">
        <f aca="false">IF(Waterfall!P33&gt;0,MIN(1,Inputs!$F$183*(Waterfall!$F$32+MAX(0,Waterfall!O43))/Waterfall!P33),1)</f>
        <v>0.771820452163358</v>
      </c>
      <c r="Q14" s="6" t="n">
        <f aca="false">IF(Waterfall!Q33&gt;0,MIN(1,Inputs!$F$183*(Waterfall!$F$32+MAX(0,Waterfall!P43))/Waterfall!Q33),1)</f>
        <v>0.817228520734371</v>
      </c>
      <c r="R14" s="6" t="n">
        <f aca="false">IF(Waterfall!R33&gt;0,MIN(1,Inputs!$F$183*(Waterfall!$F$32+MAX(0,Waterfall!Q43))/Waterfall!R33),1)</f>
        <v>0.870694396684769</v>
      </c>
      <c r="S14" s="6" t="n">
        <f aca="false">IF(Waterfall!S33&gt;0,MIN(1,Inputs!$F$183*(Waterfall!$F$32+MAX(0,Waterfall!R43))/Waterfall!S33),1)</f>
        <v>0.929525343924886</v>
      </c>
      <c r="T14" s="6" t="n">
        <f aca="false">IF(Waterfall!T33&gt;0,MIN(1,Inputs!$F$183*(Waterfall!$F$32+MAX(0,Waterfall!S43))/Waterfall!T33),1)</f>
        <v>0.999252764419667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337.534656376547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2.31421785276453</v>
      </c>
      <c r="P15" s="13" t="n">
        <f aca="false">P13*P14</f>
        <v>8.28873984307833</v>
      </c>
      <c r="Q15" s="13" t="n">
        <f aca="false">Q13*Q14</f>
        <v>8.60745715807</v>
      </c>
      <c r="R15" s="13" t="n">
        <f aca="false">R13*R14</f>
        <v>9.39050589825929</v>
      </c>
      <c r="S15" s="13" t="n">
        <f aca="false">S13*S14</f>
        <v>9.90178077667024</v>
      </c>
      <c r="T15" s="13" t="n">
        <f aca="false">T13*T14</f>
        <v>10.8998106311797</v>
      </c>
      <c r="U15" s="13" t="n">
        <f aca="false">U13*U14</f>
        <v>10.8430148231271</v>
      </c>
      <c r="V15" s="13" t="n">
        <f aca="false">V13*V14</f>
        <v>11.0628166946216</v>
      </c>
      <c r="W15" s="13" t="n">
        <f aca="false">W13*W14</f>
        <v>10.931973743873</v>
      </c>
      <c r="X15" s="13" t="n">
        <f aca="false">X13*X14</f>
        <v>11.1172519781952</v>
      </c>
      <c r="Y15" s="13" t="n">
        <f aca="false">Y13*Y14</f>
        <v>10.9995583653103</v>
      </c>
      <c r="Z15" s="13" t="n">
        <f aca="false">Z13*Z14</f>
        <v>11.2800375416009</v>
      </c>
      <c r="AA15" s="13" t="n">
        <f aca="false">AA13*AA14</f>
        <v>11.1709448854053</v>
      </c>
      <c r="AB15" s="13" t="n">
        <f aca="false">AB13*AB14</f>
        <v>11.6800542092155</v>
      </c>
      <c r="AC15" s="13" t="n">
        <f aca="false">AC13*AC14</f>
        <v>11.8580970786552</v>
      </c>
      <c r="AD15" s="13" t="n">
        <f aca="false">AD13*AD14</f>
        <v>12.3302912372591</v>
      </c>
      <c r="AE15" s="13" t="n">
        <f aca="false">AE13*AE14</f>
        <v>12.4314384675885</v>
      </c>
      <c r="AF15" s="13" t="n">
        <f aca="false">AF13*AF14</f>
        <v>12.9282981909934</v>
      </c>
      <c r="AG15" s="13" t="n">
        <f aca="false">AG13*AG14</f>
        <v>12.9928760862881</v>
      </c>
      <c r="AH15" s="13" t="n">
        <f aca="false">AH13*AH14</f>
        <v>13.4826033632801</v>
      </c>
      <c r="AI15" s="13" t="n">
        <f aca="false">AI13*AI14</f>
        <v>13.5022696769854</v>
      </c>
      <c r="AJ15" s="13" t="n">
        <f aca="false">AJ13*AJ14</f>
        <v>13.9459283060875</v>
      </c>
      <c r="AK15" s="13" t="n">
        <f aca="false">AK13*AK14</f>
        <v>13.9634482870116</v>
      </c>
      <c r="AL15" s="13" t="n">
        <f aca="false">AL13*AL14</f>
        <v>14.2334989490375</v>
      </c>
      <c r="AM15" s="13" t="n">
        <f aca="false">AM13*AM14</f>
        <v>13.5193268016592</v>
      </c>
      <c r="AN15" s="13" t="n">
        <f aca="false">AN13*AN14</f>
        <v>12.7653078344911</v>
      </c>
      <c r="AO15" s="13" t="n">
        <f aca="false">AO13*AO14</f>
        <v>11.7284361963406</v>
      </c>
      <c r="AP15" s="13" t="n">
        <f aca="false">AP13*AP14</f>
        <v>10.0568813544105</v>
      </c>
      <c r="AQ15" s="13" t="n">
        <f aca="false">AQ13*AQ14</f>
        <v>7.94571494710025</v>
      </c>
      <c r="AR15" s="13" t="n">
        <f aca="false">AR13*AR14</f>
        <v>6.01668925892919</v>
      </c>
      <c r="AS15" s="13" t="n">
        <f aca="false">AS13*AS14</f>
        <v>3.7920672902852</v>
      </c>
      <c r="AT15" s="13" t="n">
        <f aca="false">AT13*AT14</f>
        <v>1.5533186487733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350.356963816273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23.8767990812414</v>
      </c>
      <c r="Q16" s="13" t="n">
        <f aca="false">Debt!Q112+Debt!Q110+Debt!Q104-Debt!Q103</f>
        <v>23.0529265730097</v>
      </c>
      <c r="R16" s="13" t="n">
        <f aca="false">Debt!R112+Debt!R110+Debt!R104-Debt!R103</f>
        <v>22.7050016911826</v>
      </c>
      <c r="S16" s="13" t="n">
        <f aca="false">Debt!S112+Debt!S110+Debt!S104-Debt!S103</f>
        <v>21.8283114595013</v>
      </c>
      <c r="T16" s="13" t="n">
        <f aca="false">Debt!T112+Debt!T110+Debt!T104-Debt!T103</f>
        <v>21.4173948774799</v>
      </c>
      <c r="U16" s="13" t="n">
        <f aca="false">Debt!U112+Debt!U110+Debt!U104-Debt!U103</f>
        <v>20.5736612340971</v>
      </c>
      <c r="V16" s="13" t="n">
        <f aca="false">Debt!V112+Debt!V110+Debt!V104-Debt!V103</f>
        <v>20.0178971276787</v>
      </c>
      <c r="W16" s="13" t="n">
        <f aca="false">Debt!W112+Debt!W110+Debt!W104-Debt!W103</f>
        <v>19.0447430769965</v>
      </c>
      <c r="X16" s="13" t="n">
        <f aca="false">Debt!X112+Debt!X110+Debt!X104-Debt!X103</f>
        <v>18.4804241788837</v>
      </c>
      <c r="Y16" s="13" t="n">
        <f aca="false">Debt!Y112+Debt!Y110+Debt!Y104-Debt!Y103</f>
        <v>18.0686234275263</v>
      </c>
      <c r="Z16" s="13" t="n">
        <f aca="false">Debt!Z112+Debt!Z110+Debt!Z104-Debt!Z103</f>
        <v>17.4936379685215</v>
      </c>
      <c r="AA16" s="13" t="n">
        <f aca="false">Debt!AA112+Debt!AA110+Debt!AA104-Debt!AA103</f>
        <v>16.4888397749711</v>
      </c>
      <c r="AB16" s="13" t="n">
        <f aca="false">Debt!AB112+Debt!AB110+Debt!AB104-Debt!AB103</f>
        <v>15.6232934134946</v>
      </c>
      <c r="AC16" s="13" t="n">
        <f aca="false">Debt!AC112+Debt!AC110+Debt!AC104-Debt!AC103</f>
        <v>14.3907215371015</v>
      </c>
      <c r="AD16" s="13" t="n">
        <f aca="false">Debt!AD112+Debt!AD110+Debt!AD104-Debt!AD103</f>
        <v>13.3873941450756</v>
      </c>
      <c r="AE16" s="13" t="n">
        <f aca="false">Debt!AE112+Debt!AE110+Debt!AE104-Debt!AE103</f>
        <v>12.0187452412908</v>
      </c>
      <c r="AF16" s="13" t="n">
        <f aca="false">Debt!AF112+Debt!AF110+Debt!AF104-Debt!AF103</f>
        <v>10.878077372764</v>
      </c>
      <c r="AG16" s="13" t="n">
        <f aca="false">Debt!AG112+Debt!AG110+Debt!AG104-Debt!AG103</f>
        <v>9.70809912854477</v>
      </c>
      <c r="AH16" s="13" t="n">
        <f aca="false">Debt!AH112+Debt!AH110+Debt!AH104-Debt!AH103</f>
        <v>8.46014718382021</v>
      </c>
      <c r="AI16" s="13" t="n">
        <f aca="false">Debt!AI112+Debt!AI110+Debt!AI104-Debt!AI103</f>
        <v>6.97028665805171</v>
      </c>
      <c r="AJ16" s="13" t="n">
        <f aca="false">Debt!AJ112+Debt!AJ110+Debt!AJ104-Debt!AJ103</f>
        <v>5.62748062553862</v>
      </c>
      <c r="AK16" s="13" t="n">
        <f aca="false">Debt!AK112+Debt!AK110+Debt!AK104-Debt!AK103</f>
        <v>4.14216688772503</v>
      </c>
      <c r="AL16" s="13" t="n">
        <f aca="false">Debt!AL112+Debt!AL110+Debt!AL104-Debt!AL103</f>
        <v>2.72523834208825</v>
      </c>
      <c r="AM16" s="13" t="n">
        <f aca="false">Debt!AM112+Debt!AM110+Debt!AM104-Debt!AM103</f>
        <v>1.73844173117821</v>
      </c>
      <c r="AN16" s="13" t="n">
        <f aca="false">Debt!AN112+Debt!AN110+Debt!AN104-Debt!AN103</f>
        <v>1.09190476651279</v>
      </c>
      <c r="AO16" s="13" t="n">
        <f aca="false">Debt!AO112+Debt!AO110+Debt!AO104-Debt!AO103</f>
        <v>0.546706311997093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1055.01279159561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0.235895305287935</v>
      </c>
      <c r="Z18" s="13" t="n">
        <f aca="false">(Operations!Z84-Z16-Z15)*Z17-Z12</f>
        <v>1.14915750029784</v>
      </c>
      <c r="AA18" s="13" t="n">
        <f aca="false">(Operations!AA84-AA16-AA15)*AA17-AA12</f>
        <v>2.36376458308877</v>
      </c>
      <c r="AB18" s="13" t="n">
        <f aca="false">(Operations!AB84-AB16-AB15)*AB17-AB12</f>
        <v>2.80365640609557</v>
      </c>
      <c r="AC18" s="13" t="n">
        <f aca="false">(Operations!AC84-AC16-AC15)*AC17-AC12</f>
        <v>4.07325731693114</v>
      </c>
      <c r="AD18" s="13" t="n">
        <f aca="false">(Operations!AD84-AD16-AD15)*AD17-AD12</f>
        <v>-7.8693862124379</v>
      </c>
      <c r="AE18" s="13" t="n">
        <f aca="false">(Operations!AE84-AE16-AE15)*AE17-AE12</f>
        <v>6.21344938754909</v>
      </c>
      <c r="AF18" s="13" t="n">
        <f aca="false">(Operations!AF84-AF16-AF15)*AF17-AF12</f>
        <v>6.78101433637704</v>
      </c>
      <c r="AG18" s="13" t="n">
        <f aca="false">(Operations!AG84-AG16-AG15)*AG17-AG12</f>
        <v>8.02755507226626</v>
      </c>
      <c r="AH18" s="13" t="n">
        <f aca="false">(Operations!AH84-AH16-AH15)*AH17-AH12</f>
        <v>8.94658428263199</v>
      </c>
      <c r="AI18" s="13" t="n">
        <f aca="false">(Operations!AI84-AI16-AI15)*AI17-AI12</f>
        <v>10.5245898206235</v>
      </c>
      <c r="AJ18" s="13" t="n">
        <f aca="false">(Operations!AJ84-AJ16-AJ15)*AJ17-AJ12</f>
        <v>11.5137910925803</v>
      </c>
      <c r="AK18" s="13" t="n">
        <f aca="false">(Operations!AK84-AK16-AK15)*AK17-AK12</f>
        <v>13.1766603235256</v>
      </c>
      <c r="AL18" s="13" t="n">
        <f aca="false">(Operations!AL84-AL16-AL15)*AL17-AL12</f>
        <v>11.6177792777557</v>
      </c>
      <c r="AM18" s="13" t="n">
        <f aca="false">(Operations!AM84-AM16-AM15)*AM17-AM12</f>
        <v>16.3551980967719</v>
      </c>
      <c r="AN18" s="13" t="n">
        <f aca="false">(Operations!AN84-AN16-AN15)*AN17-AN12</f>
        <v>17.7500177217632</v>
      </c>
      <c r="AO18" s="13" t="n">
        <f aca="false">(Operations!AO84-AO16-AO15)*AO17-AO12</f>
        <v>19.4846515889679</v>
      </c>
      <c r="AP18" s="13" t="n">
        <f aca="false">(Operations!AP84-AP16-AP15)*AP17-AP12</f>
        <v>21.8788417214847</v>
      </c>
      <c r="AQ18" s="13" t="n">
        <f aca="false">(Operations!AQ84-AQ16-AQ15)*AQ17-AQ12</f>
        <v>24.105420048261</v>
      </c>
      <c r="AR18" s="13" t="n">
        <f aca="false">(Operations!AR84-AR16-AR15)*AR17-AR12</f>
        <v>26.1316204816851</v>
      </c>
      <c r="AS18" s="13" t="n">
        <f aca="false">(Operations!AS84-AS16-AS15)*AS17-AS12</f>
        <v>28.6130303092986</v>
      </c>
      <c r="AT18" s="13" t="n">
        <f aca="false">(Operations!AT84-AT16-AT15)*AT17-AT12</f>
        <v>16.1253244634528</v>
      </c>
      <c r="AU18" s="13" t="n">
        <f aca="false">(Operations!AU84-AU16-AU15)*AU17-AU12</f>
        <v>32.8119453788409</v>
      </c>
      <c r="AV18" s="13" t="n">
        <f aca="false">(Operations!AV84-AV16-AV15)*AV17-AV12</f>
        <v>32.7113016311622</v>
      </c>
      <c r="AW18" s="13" t="n">
        <f aca="false">(Operations!AW84-AW16-AW15)*AW17-AW12</f>
        <v>32.8762351787341</v>
      </c>
      <c r="AX18" s="13" t="n">
        <f aca="false">(Operations!AX84-AX16-AX15)*AX17-AX12</f>
        <v>33.0686918750269</v>
      </c>
      <c r="AY18" s="13" t="n">
        <f aca="false">(Operations!AY84-AY16-AY15)*AY17-AY12</f>
        <v>33.1922466210587</v>
      </c>
      <c r="AZ18" s="13" t="n">
        <f aca="false">(Operations!AZ84-AZ16-AZ15)*AZ17-AZ12</f>
        <v>33.297105200698</v>
      </c>
      <c r="BA18" s="13" t="n">
        <f aca="false">(Operations!BA84-BA16-BA15)*BA17-BA12</f>
        <v>33.5283434634952</v>
      </c>
      <c r="BB18" s="13" t="n">
        <f aca="false">(Operations!BB84-BB16-BB15)*BB17-BB12</f>
        <v>30.3135839799271</v>
      </c>
      <c r="BC18" s="13" t="n">
        <f aca="false">(Operations!BC84-BC16-BC15)*BC17-BC12</f>
        <v>40.9438214200448</v>
      </c>
      <c r="BD18" s="13" t="n">
        <f aca="false">(Operations!BD84-BD16-BD15)*BD17-BD12</f>
        <v>54.9769390505911</v>
      </c>
      <c r="BE18" s="13" t="n">
        <f aca="false">(Operations!BE84-BE16-BE15)*BE17-BE12</f>
        <v>55.1552690048142</v>
      </c>
      <c r="BF18" s="13" t="n">
        <f aca="false">(Operations!BF84-BF16-BF15)*BF17-BF12</f>
        <v>55.3657855477176</v>
      </c>
      <c r="BG18" s="13" t="n">
        <f aca="false">(Operations!BG84-BG16-BG15)*BG17-BG12</f>
        <v>55.4980648335499</v>
      </c>
      <c r="BH18" s="13" t="n">
        <f aca="false">(Operations!BH84-BH16-BH15)*BH17-BH12</f>
        <v>55.6112145995545</v>
      </c>
      <c r="BI18" s="13" t="n">
        <f aca="false">(Operations!BI84-BI16-BI15)*BI17-BI12</f>
        <v>55.9178105350303</v>
      </c>
      <c r="BJ18" s="13" t="n">
        <f aca="false">(Operations!BJ84-BJ16-BJ15)*BJ17-BJ12</f>
        <v>38.5115379239581</v>
      </c>
      <c r="BK18" s="13" t="n">
        <f aca="false">(Operations!BK84-BK16-BK15)*BK17-BK12</f>
        <v>56.4024176680441</v>
      </c>
      <c r="BL18" s="13" t="n">
        <f aca="false">(Operations!BL84-BL16-BL15)*BL17-BL12</f>
        <v>56.2712299399664</v>
      </c>
      <c r="BM18" s="13" t="n">
        <f aca="false">(Operations!BM84-BM16-BM15)*BM17-BM12</f>
        <v>18.5573748191348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7.8693862124379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6.21344938754909</v>
      </c>
      <c r="AF19" s="13" t="n">
        <f aca="false">MIN(AE22,MAX(0,AF18))</f>
        <v>1.65593682488881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247.346789127091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0.235895305287935</v>
      </c>
      <c r="Z20" s="13" t="n">
        <f aca="false">MIN(Y21,MAX(0,Z18-Z19))</f>
        <v>1.14915750029784</v>
      </c>
      <c r="AA20" s="13" t="n">
        <f aca="false">MIN(Z21,MAX(0,AA18-AA19))</f>
        <v>2.36376458308877</v>
      </c>
      <c r="AB20" s="13" t="n">
        <f aca="false">MIN(AA21,MAX(0,AB18-AB19))</f>
        <v>2.80365640609557</v>
      </c>
      <c r="AC20" s="13" t="n">
        <f aca="false">MIN(AB21,MAX(0,AC18-AC19))</f>
        <v>4.07325731693114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5.12507751148823</v>
      </c>
      <c r="AG20" s="13" t="n">
        <f aca="false">MIN(AF21,MAX(0,AG18-AG19))</f>
        <v>8.02755507226626</v>
      </c>
      <c r="AH20" s="13" t="n">
        <f aca="false">MIN(AG21,MAX(0,AH18-AH19))</f>
        <v>8.94658428263199</v>
      </c>
      <c r="AI20" s="13" t="n">
        <f aca="false">MIN(AH21,MAX(0,AI18-AI19))</f>
        <v>10.5245898206235</v>
      </c>
      <c r="AJ20" s="13" t="n">
        <f aca="false">MIN(AI21,MAX(0,AJ18-AJ19))</f>
        <v>11.5137910925803</v>
      </c>
      <c r="AK20" s="13" t="n">
        <f aca="false">MIN(AJ21,MAX(0,AK18-AK19))</f>
        <v>13.1766603235256</v>
      </c>
      <c r="AL20" s="13" t="n">
        <f aca="false">MIN(AK21,MAX(0,AL18-AL19))</f>
        <v>11.6177792777557</v>
      </c>
      <c r="AM20" s="13" t="n">
        <f aca="false">MIN(AL21,MAX(0,AM18-AM19))</f>
        <v>16.3551980967719</v>
      </c>
      <c r="AN20" s="13" t="n">
        <f aca="false">MIN(AM21,MAX(0,AN18-AN19))</f>
        <v>17.7500177217632</v>
      </c>
      <c r="AO20" s="13" t="n">
        <f aca="false">MIN(AN21,MAX(0,AO18-AO19))</f>
        <v>19.4846515889679</v>
      </c>
      <c r="AP20" s="13" t="n">
        <f aca="false">MIN(AO21,MAX(0,AP18-AP19))</f>
        <v>21.8788417214847</v>
      </c>
      <c r="AQ20" s="13" t="n">
        <f aca="false">MIN(AP21,MAX(0,AQ18-AQ19))</f>
        <v>24.105420048261</v>
      </c>
      <c r="AR20" s="13" t="n">
        <f aca="false">MIN(AQ21,MAX(0,AR18-AR19))</f>
        <v>26.1316204816851</v>
      </c>
      <c r="AS20" s="13" t="n">
        <f aca="false">MIN(AR21,MAX(0,AS18-AS19))</f>
        <v>28.6130303092986</v>
      </c>
      <c r="AT20" s="13" t="n">
        <f aca="false">MIN(AS21,MAX(0,AT18-AT19))</f>
        <v>13.4702406662856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8.24489297090303</v>
      </c>
      <c r="P21" s="13" t="n">
        <f aca="false">O21+P11-P20</f>
        <v>32.9795718836121</v>
      </c>
      <c r="Q21" s="13" t="n">
        <f aca="false">P21+Q11-Q20</f>
        <v>57.7142507963212</v>
      </c>
      <c r="R21" s="13" t="n">
        <f aca="false">Q21+R11-R20</f>
        <v>82.4489297090303</v>
      </c>
      <c r="S21" s="13" t="n">
        <f aca="false">R21+S11-S20</f>
        <v>107.183608621739</v>
      </c>
      <c r="T21" s="13" t="n">
        <f aca="false">S21+T11-T20</f>
        <v>131.918287534448</v>
      </c>
      <c r="U21" s="13" t="n">
        <f aca="false">T21+U11-U20</f>
        <v>156.652966447158</v>
      </c>
      <c r="V21" s="13" t="n">
        <f aca="false">U21+V11-V20</f>
        <v>181.387645359867</v>
      </c>
      <c r="W21" s="13" t="n">
        <f aca="false">V21+W11-W20</f>
        <v>206.122324272576</v>
      </c>
      <c r="X21" s="13" t="n">
        <f aca="false">W21+X11-X20</f>
        <v>230.857003185285</v>
      </c>
      <c r="Y21" s="13" t="n">
        <f aca="false">X21+Y11-Y20</f>
        <v>247.110893821803</v>
      </c>
      <c r="Z21" s="13" t="n">
        <f aca="false">Y21+Z11-Z20</f>
        <v>245.961736321505</v>
      </c>
      <c r="AA21" s="13" t="n">
        <f aca="false">Z21+AA11-AA20</f>
        <v>243.597971738416</v>
      </c>
      <c r="AB21" s="13" t="n">
        <f aca="false">AA21+AB11-AB20</f>
        <v>240.794315332321</v>
      </c>
      <c r="AC21" s="13" t="n">
        <f aca="false">AB21+AC11-AC20</f>
        <v>236.72105801539</v>
      </c>
      <c r="AD21" s="13" t="n">
        <f aca="false">AC21+AD11-AD20</f>
        <v>236.72105801539</v>
      </c>
      <c r="AE21" s="13" t="n">
        <f aca="false">AD21+AE11-AE20</f>
        <v>236.72105801539</v>
      </c>
      <c r="AF21" s="13" t="n">
        <f aca="false">AE21+AF11-AF20</f>
        <v>231.595980503901</v>
      </c>
      <c r="AG21" s="13" t="n">
        <f aca="false">AF21+AG11-AG20</f>
        <v>223.568425431635</v>
      </c>
      <c r="AH21" s="13" t="n">
        <f aca="false">AG21+AH11-AH20</f>
        <v>214.621841149003</v>
      </c>
      <c r="AI21" s="13" t="n">
        <f aca="false">AH21+AI11-AI20</f>
        <v>204.09725132838</v>
      </c>
      <c r="AJ21" s="13" t="n">
        <f aca="false">AI21+AJ11-AJ20</f>
        <v>192.583460235799</v>
      </c>
      <c r="AK21" s="13" t="n">
        <f aca="false">AJ21+AK11-AK20</f>
        <v>179.406799912274</v>
      </c>
      <c r="AL21" s="13" t="n">
        <f aca="false">AK21+AL11-AL20</f>
        <v>167.789020634518</v>
      </c>
      <c r="AM21" s="13" t="n">
        <f aca="false">AL21+AM11-AM20</f>
        <v>151.433822537746</v>
      </c>
      <c r="AN21" s="13" t="n">
        <f aca="false">AM21+AN11-AN20</f>
        <v>133.683804815983</v>
      </c>
      <c r="AO21" s="13" t="n">
        <f aca="false">AN21+AO11-AO20</f>
        <v>114.199153227015</v>
      </c>
      <c r="AP21" s="13" t="n">
        <f aca="false">AO21+AP11-AP20</f>
        <v>92.3203115055303</v>
      </c>
      <c r="AQ21" s="13" t="n">
        <f aca="false">AP21+AQ11-AQ20</f>
        <v>68.2148914572693</v>
      </c>
      <c r="AR21" s="13" t="n">
        <f aca="false">AQ21+AR11-AR20</f>
        <v>42.0832709755842</v>
      </c>
      <c r="AS21" s="13" t="n">
        <f aca="false">AR21+AS11-AS20</f>
        <v>13.4702406662856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7.8693862124379</v>
      </c>
      <c r="AE22" s="13" t="n">
        <f aca="false">AD22-AE19+MAX(0,-AE18)</f>
        <v>1.65593682488881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807.666002468516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0</v>
      </c>
      <c r="AS23" s="13" t="n">
        <f aca="false">MAX(0,AS18-AS19-AS20)</f>
        <v>0</v>
      </c>
      <c r="AT23" s="13" t="n">
        <f aca="false">MAX(0,AT18-AT19-AT20)</f>
        <v>2.65508379716725</v>
      </c>
      <c r="AU23" s="13" t="n">
        <f aca="false">MAX(0,AU18-AU19-AU20)</f>
        <v>32.8119453788409</v>
      </c>
      <c r="AV23" s="13" t="n">
        <f aca="false">MAX(0,AV18-AV19-AV20)</f>
        <v>32.7113016311622</v>
      </c>
      <c r="AW23" s="13" t="n">
        <f aca="false">MAX(0,AW18-AW19-AW20)</f>
        <v>32.8762351787341</v>
      </c>
      <c r="AX23" s="13" t="n">
        <f aca="false">MAX(0,AX18-AX19-AX20)</f>
        <v>33.0686918750269</v>
      </c>
      <c r="AY23" s="13" t="n">
        <f aca="false">MAX(0,AY18-AY19-AY20)</f>
        <v>33.1922466210587</v>
      </c>
      <c r="AZ23" s="13" t="n">
        <f aca="false">MAX(0,AZ18-AZ19-AZ20)</f>
        <v>33.297105200698</v>
      </c>
      <c r="BA23" s="13" t="n">
        <f aca="false">MAX(0,BA18-BA19-BA20)</f>
        <v>33.5283434634952</v>
      </c>
      <c r="BB23" s="13" t="n">
        <f aca="false">MAX(0,BB18-BB19-BB20)</f>
        <v>30.3135839799271</v>
      </c>
      <c r="BC23" s="13" t="n">
        <f aca="false">MAX(0,BC18-BC19-BC20)</f>
        <v>40.9438214200448</v>
      </c>
      <c r="BD23" s="13" t="n">
        <f aca="false">MAX(0,BD18-BD19-BD20)</f>
        <v>54.9769390505911</v>
      </c>
      <c r="BE23" s="13" t="n">
        <f aca="false">MAX(0,BE18-BE19-BE20)</f>
        <v>55.1552690048142</v>
      </c>
      <c r="BF23" s="13" t="n">
        <f aca="false">MAX(0,BF18-BF19-BF20)</f>
        <v>55.3657855477176</v>
      </c>
      <c r="BG23" s="13" t="n">
        <f aca="false">MAX(0,BG18-BG19-BG20)</f>
        <v>55.4980648335499</v>
      </c>
      <c r="BH23" s="13" t="n">
        <f aca="false">MAX(0,BH18-BH19-BH20)</f>
        <v>55.6112145995545</v>
      </c>
      <c r="BI23" s="13" t="n">
        <f aca="false">MAX(0,BI18-BI19-BI20)</f>
        <v>55.9178105350303</v>
      </c>
      <c r="BJ23" s="13" t="n">
        <f aca="false">MAX(0,BJ18-BJ19-BJ20)</f>
        <v>38.5115379239581</v>
      </c>
      <c r="BK23" s="13" t="n">
        <f aca="false">MAX(0,BK18-BK19-BK20)</f>
        <v>56.4024176680441</v>
      </c>
      <c r="BL23" s="13" t="n">
        <f aca="false">MAX(0,BL18-BL19-BL20)</f>
        <v>56.2712299399664</v>
      </c>
      <c r="BM23" s="13" t="n">
        <f aca="false">MAX(0,BM18-BM19-BM20)</f>
        <v>18.5573748191348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242.299800740555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0</v>
      </c>
      <c r="AS25" s="13" t="n">
        <f aca="false">AS23*AS24</f>
        <v>0</v>
      </c>
      <c r="AT25" s="13" t="n">
        <f aca="false">AT23*AT24</f>
        <v>0.796525139150175</v>
      </c>
      <c r="AU25" s="13" t="n">
        <f aca="false">AU23*AU24</f>
        <v>9.84358361365228</v>
      </c>
      <c r="AV25" s="13" t="n">
        <f aca="false">AV23*AV24</f>
        <v>9.81339048934867</v>
      </c>
      <c r="AW25" s="13" t="n">
        <f aca="false">AW23*AW24</f>
        <v>9.86287055362022</v>
      </c>
      <c r="AX25" s="13" t="n">
        <f aca="false">AX23*AX24</f>
        <v>9.92060756250806</v>
      </c>
      <c r="AY25" s="13" t="n">
        <f aca="false">AY23*AY24</f>
        <v>9.95767398631761</v>
      </c>
      <c r="AZ25" s="13" t="n">
        <f aca="false">AZ23*AZ24</f>
        <v>9.9891315602094</v>
      </c>
      <c r="BA25" s="13" t="n">
        <f aca="false">BA23*BA24</f>
        <v>10.0585030390486</v>
      </c>
      <c r="BB25" s="13" t="n">
        <f aca="false">BB23*BB24</f>
        <v>9.09407519397812</v>
      </c>
      <c r="BC25" s="13" t="n">
        <f aca="false">BC23*BC24</f>
        <v>12.2831464260134</v>
      </c>
      <c r="BD25" s="13" t="n">
        <f aca="false">BD23*BD24</f>
        <v>16.4930817151773</v>
      </c>
      <c r="BE25" s="13" t="n">
        <f aca="false">BE23*BE24</f>
        <v>16.5465807014443</v>
      </c>
      <c r="BF25" s="13" t="n">
        <f aca="false">BF23*BF24</f>
        <v>16.6097356643153</v>
      </c>
      <c r="BG25" s="13" t="n">
        <f aca="false">BG23*BG24</f>
        <v>16.649419450065</v>
      </c>
      <c r="BH25" s="13" t="n">
        <f aca="false">BH23*BH24</f>
        <v>16.6833643798663</v>
      </c>
      <c r="BI25" s="13" t="n">
        <f aca="false">BI23*BI24</f>
        <v>16.7753431605091</v>
      </c>
      <c r="BJ25" s="13" t="n">
        <f aca="false">BJ23*BJ24</f>
        <v>11.5534613771874</v>
      </c>
      <c r="BK25" s="13" t="n">
        <f aca="false">BK23*BK24</f>
        <v>16.9207253004132</v>
      </c>
      <c r="BL25" s="13" t="n">
        <f aca="false">BL23*BL24</f>
        <v>16.8813689819899</v>
      </c>
      <c r="BM25" s="13" t="n">
        <f aca="false">BM23*BM24</f>
        <v>5.56721244574044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249.852854589365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0.382320018205603</v>
      </c>
      <c r="AP27" s="13" t="n">
        <f aca="false">MAX(AP25,AP26)</f>
        <v>0.383928865419879</v>
      </c>
      <c r="AQ27" s="13" t="n">
        <f aca="false">MAX(AQ25,AQ26)</f>
        <v>0.38603288955021</v>
      </c>
      <c r="AR27" s="13" t="n">
        <f aca="false">MAX(AR25,AR26)</f>
        <v>0.388322975302412</v>
      </c>
      <c r="AS27" s="13" t="n">
        <f aca="false">MAX(AS25,AS26)</f>
        <v>0.389386468394401</v>
      </c>
      <c r="AT27" s="13" t="n">
        <f aca="false">MAX(AT25,AT26)</f>
        <v>0.796525139150175</v>
      </c>
      <c r="AU27" s="13" t="n">
        <f aca="false">MAX(AU25,AU26)</f>
        <v>9.84358361365228</v>
      </c>
      <c r="AV27" s="13" t="n">
        <f aca="false">MAX(AV25,AV26)</f>
        <v>9.81339048934867</v>
      </c>
      <c r="AW27" s="13" t="n">
        <f aca="false">MAX(AW25,AW26)</f>
        <v>9.86287055362022</v>
      </c>
      <c r="AX27" s="13" t="n">
        <f aca="false">MAX(AX25,AX26)</f>
        <v>9.92060756250806</v>
      </c>
      <c r="AY27" s="13" t="n">
        <f aca="false">MAX(AY25,AY26)</f>
        <v>9.95767398631761</v>
      </c>
      <c r="AZ27" s="13" t="n">
        <f aca="false">MAX(AZ25,AZ26)</f>
        <v>9.9891315602094</v>
      </c>
      <c r="BA27" s="13" t="n">
        <f aca="false">MAX(BA25,BA26)</f>
        <v>10.0585030390486</v>
      </c>
      <c r="BB27" s="13" t="n">
        <f aca="false">MAX(BB25,BB26)</f>
        <v>9.09407519397812</v>
      </c>
      <c r="BC27" s="13" t="n">
        <f aca="false">MAX(BC25,BC26)</f>
        <v>12.2831464260134</v>
      </c>
      <c r="BD27" s="13" t="n">
        <f aca="false">MAX(BD25,BD26)</f>
        <v>16.4930817151773</v>
      </c>
      <c r="BE27" s="13" t="n">
        <f aca="false">MAX(BE25,BE26)</f>
        <v>16.5465807014443</v>
      </c>
      <c r="BF27" s="13" t="n">
        <f aca="false">MAX(BF25,BF26)</f>
        <v>16.6097356643153</v>
      </c>
      <c r="BG27" s="13" t="n">
        <f aca="false">MAX(BG25,BG26)</f>
        <v>16.649419450065</v>
      </c>
      <c r="BH27" s="13" t="n">
        <f aca="false">MAX(BH25,BH26)</f>
        <v>16.6833643798663</v>
      </c>
      <c r="BI27" s="13" t="n">
        <f aca="false">MAX(BI25,BI26)</f>
        <v>16.7753431605091</v>
      </c>
      <c r="BJ27" s="13" t="n">
        <f aca="false">MAX(BJ25,BJ26)</f>
        <v>11.5534613771874</v>
      </c>
      <c r="BK27" s="13" t="n">
        <f aca="false">MAX(BK25,BK26)</f>
        <v>16.9207253004132</v>
      </c>
      <c r="BL27" s="13" t="n">
        <f aca="false">MAX(BL25,BL26)</f>
        <v>16.8813689819899</v>
      </c>
      <c r="BM27" s="13" t="n">
        <f aca="false">MAX(BM25,BM26)</f>
        <v>5.56721244574044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7.71938212862986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1.19042069401996</v>
      </c>
      <c r="P28" s="13" t="n">
        <f aca="false">P13-P15</f>
        <v>2.45046746847397</v>
      </c>
      <c r="Q28" s="13" t="n">
        <f aca="false">Q13-Q15</f>
        <v>1.92504010516213</v>
      </c>
      <c r="R28" s="13" t="n">
        <f aca="false">R13-R15</f>
        <v>1.3945708565864</v>
      </c>
      <c r="S28" s="13" t="n">
        <f aca="false">S13-S15</f>
        <v>0.750732187484498</v>
      </c>
      <c r="T28" s="13" t="n">
        <f aca="false">T13-T15</f>
        <v>0.00815081690290676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0.740572531284416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0.975894364106692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115.704776666667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1.65418624005659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2.34820687457102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3.7852497257876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5.86091433476279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8.44269471263079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11.4412507308727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14.6534505326881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17.9951168400408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21.3045347982116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24.4680348642019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27.3730330430977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29.9629577328091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32.1446327416325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33.8193117037293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34.986809831231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35.5591861028856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36.8035131387336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35.006000719547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33.8204390130931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32.1627990943378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29.9749941389134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27.414596413198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24.4479820099121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21.2722965141533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17.9861879171174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14.6169304868159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11.4173682013656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8.39519607194698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5.77674976075673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3.79680139773309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2.24879412121024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54.6421617549762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-0.554163900679393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0.0127614762054949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87.804359251698</v>
      </c>
      <c r="K22" s="13" t="n">
        <f aca="false">J22+Construction!K14*$F$9/$F$10*(K21+(K19-K20)*J22)</f>
        <v>89.3531335646831</v>
      </c>
      <c r="L22" s="13" t="n">
        <f aca="false">K22+Construction!L14*$F$9/$F$10*(L21+(L19-L20)*K22)</f>
        <v>91.4437075219307</v>
      </c>
      <c r="M22" s="13" t="n">
        <f aca="false">L22+Construction!M14*$F$9/$F$10*(M21+(M19-M20)*L22)</f>
        <v>94.621836154684</v>
      </c>
      <c r="N22" s="13" t="n">
        <f aca="false">M22+Construction!N14*$F$9/$F$10*(N21+(N19-N20)*M22)</f>
        <v>99.3962791275599</v>
      </c>
      <c r="O22" s="13" t="n">
        <f aca="false">N22+Construction!O14*$F$9/$F$10*(O21+(O19-O20)*N22)</f>
        <v>106.164713226221</v>
      </c>
      <c r="P22" s="13" t="n">
        <f aca="false">O22+Construction!P14*$F$9/$F$10*(P21+(P19-P20)*O22)</f>
        <v>115.195896045772</v>
      </c>
      <c r="Q22" s="13" t="n">
        <f aca="false">P22+Construction!Q14*$F$9/$F$10*(Q21+(Q19-Q20)*P22)</f>
        <v>126.734931057075</v>
      </c>
      <c r="R22" s="13" t="n">
        <f aca="false">Q22+Construction!R14*$F$9/$F$10*(R21+(R19-R20)*Q22)</f>
        <v>140.836944354494</v>
      </c>
      <c r="S22" s="13" t="n">
        <f aca="false">R22+Construction!S14*$F$9/$F$10*(S21+(S19-S20)*R22)</f>
        <v>157.516529593172</v>
      </c>
      <c r="T22" s="13" t="n">
        <f aca="false">S22+Construction!T14*$F$9/$F$10*(T21+(T19-T20)*S22)</f>
        <v>176.638976234125</v>
      </c>
      <c r="U22" s="13" t="n">
        <f aca="false">T22+Construction!U14*$F$9/$F$10*(U21+(U19-U20)*T22)</f>
        <v>198.072014174426</v>
      </c>
      <c r="V22" s="13" t="n">
        <f aca="false">U22+Construction!V14*$F$9/$F$10*(V21+(V19-V20)*U22)</f>
        <v>221.550611071161</v>
      </c>
      <c r="W22" s="13" t="n">
        <f aca="false">V22+Construction!W14*$F$9/$F$10*(W21+(W19-W20)*V22)</f>
        <v>246.74588291417</v>
      </c>
      <c r="X22" s="13" t="n">
        <f aca="false">W22+Construction!X14*$F$9/$F$10*(X21+(X19-X20)*W22)</f>
        <v>273.332962551224</v>
      </c>
      <c r="Y22" s="13" t="n">
        <f aca="false">X22+Construction!Y14*$F$9/$F$10*(Y21+(Y19-Y20)*X22)</f>
        <v>300.872471422035</v>
      </c>
      <c r="Z22" s="13" t="n">
        <f aca="false">Y22+Construction!Z14*$F$9/$F$10*(Z21+(Z19-Z20)*Y22)</f>
        <v>328.982302440024</v>
      </c>
      <c r="AA22" s="13" t="n">
        <f aca="false">Z22+Construction!AA14*$F$9/$F$10*(AA21+(AA19-AA20)*Z22)</f>
        <v>358.159458959893</v>
      </c>
      <c r="AB22" s="13" t="n">
        <f aca="false">AA22+Construction!AB14*$F$9/$F$10*(AB21+(AB19-AB20)*AA22)</f>
        <v>385.995576842009</v>
      </c>
      <c r="AC22" s="13" t="n">
        <f aca="false">AB22+Construction!AC14*$F$9/$F$10*(AC21+(AC19-AC20)*AB22)</f>
        <v>413.125304089628</v>
      </c>
      <c r="AD22" s="13" t="n">
        <f aca="false">AC22+Construction!AD14*$F$9/$F$10*(AD21+(AD19-AD20)*AC22)</f>
        <v>439.049478088895</v>
      </c>
      <c r="AE22" s="13" t="n">
        <f aca="false">AD22+Construction!AE14*$F$9/$F$10*(AE21+(AE19-AE20)*AD22)</f>
        <v>463.462329829505</v>
      </c>
      <c r="AF22" s="13" t="n">
        <f aca="false">AE22+Construction!AF14*$F$9/$F$10*(AF21+(AF19-AF20)*AE22)</f>
        <v>485.968087081098</v>
      </c>
      <c r="AG22" s="13" t="n">
        <f aca="false">AF22+Construction!AG14*$F$9/$F$10*(AG21+(AG19-AG20)*AF22)</f>
        <v>506.377940063308</v>
      </c>
      <c r="AH22" s="13" t="n">
        <f aca="false">AG22+Construction!AH14*$F$9/$F$10*(AH21+(AH19-AH20)*AG22)</f>
        <v>524.45587110594</v>
      </c>
      <c r="AI22" s="13" t="n">
        <f aca="false">AH22+Construction!AI14*$F$9/$F$10*(AI21+(AI19-AI20)*AH22)</f>
        <v>540.044520748084</v>
      </c>
      <c r="AJ22" s="13" t="n">
        <f aca="false">AI22+Construction!AJ14*$F$9/$F$10*(AJ21+(AJ19-AJ20)*AI22)</f>
        <v>553.200580957696</v>
      </c>
      <c r="AK22" s="13" t="n">
        <f aca="false">AJ22+Construction!AK14*$F$9/$F$10*(AK21+(AK19-AK20)*AJ22)</f>
        <v>563.910684403538</v>
      </c>
      <c r="AL22" s="13" t="n">
        <f aca="false">AK22+Construction!AL14*$F$9/$F$10*(AL21+(AL19-AL20)*AK22)</f>
        <v>572.436489609046</v>
      </c>
      <c r="AM22" s="13" t="n">
        <f aca="false">AL22+Construction!AM14*$F$9/$F$10*(AM21+(AM19-AM20)*AL22)</f>
        <v>579.019523520274</v>
      </c>
      <c r="AN22" s="13" t="n">
        <f aca="false">AM22+Construction!AN14*$F$9/$F$10*(AN21+(AN19-AN20)*AM22)</f>
        <v>583.910055529328</v>
      </c>
      <c r="AO22" s="13" t="n">
        <f aca="false">AN22+Construction!AO14*$F$9/$F$10*(AO21+(AO19-AO20)*AN22)</f>
        <v>587.859926319279</v>
      </c>
      <c r="AP22" s="13" t="n">
        <f aca="false">AO22+Construction!AP14*$F$9/$F$10*(AP21+(AP19-AP20)*AO22)</f>
        <v>631.511634274969</v>
      </c>
      <c r="AQ22" s="13" t="n">
        <f aca="false">AP22+Construction!AQ14*$F$9/$F$10*(AQ21+(AQ19-AQ20)*AP22)</f>
        <v>633.517318711205</v>
      </c>
      <c r="AR22" s="13" t="n">
        <f aca="false">AQ22+Construction!AR14*$F$9/$F$10*(AR21+(AR19-AR20)*AQ22)</f>
        <v>635.882415185681</v>
      </c>
      <c r="AS22" s="13" t="n">
        <f aca="false">AR22+Construction!AS14*$F$9/$F$10*(AS21+(AS19-AS20)*AR22)</f>
        <v>635.882415185681</v>
      </c>
      <c r="AT22" s="13" t="n">
        <f aca="false">AS22+Construction!AT14*$F$9/$F$10*(AT21+(AT19-AT20)*AS22)</f>
        <v>635.882415185681</v>
      </c>
      <c r="AU22" s="13" t="n">
        <f aca="false">AT22+Construction!AU14*$F$9/$F$10*(AU21+(AU19-AU20)*AT22)</f>
        <v>635.882415185681</v>
      </c>
      <c r="AV22" s="13" t="n">
        <f aca="false">AU22+Construction!AV14*$F$9/$F$10*(AV21+(AV19-AV20)*AU22)</f>
        <v>635.882415185681</v>
      </c>
      <c r="AW22" s="13" t="n">
        <f aca="false">AV22+Construction!AW14*$F$9/$F$10*(AW21+(AW19-AW20)*AV22)</f>
        <v>635.882415185681</v>
      </c>
      <c r="AX22" s="13" t="n">
        <f aca="false">AW22+Construction!AX14*$F$9/$F$10*(AX21+(AX19-AX20)*AW22)</f>
        <v>635.882415185681</v>
      </c>
      <c r="AY22" s="13" t="n">
        <f aca="false">AX22+Construction!AY14*$F$9/$F$10*(AY21+(AY19-AY20)*AX22)</f>
        <v>635.882415185681</v>
      </c>
      <c r="AZ22" s="13" t="n">
        <f aca="false">AY22+Construction!AZ14*$F$9/$F$10*(AZ21+(AZ19-AZ20)*AY22)</f>
        <v>635.882415185681</v>
      </c>
      <c r="BA22" s="13" t="n">
        <f aca="false">AZ22+Construction!BA14*$F$9/$F$10*(BA21+(BA19-BA20)*AZ22)</f>
        <v>635.882415185681</v>
      </c>
      <c r="BB22" s="13" t="n">
        <f aca="false">BA22+Construction!BB14*$F$9/$F$10*(BB21+(BB19-BB20)*BA22)</f>
        <v>635.882415185681</v>
      </c>
      <c r="BC22" s="13" t="n">
        <f aca="false">BB22+Construction!BC14*$F$9/$F$10*(BC21+(BC19-BC20)*BB22)</f>
        <v>635.882415185681</v>
      </c>
      <c r="BD22" s="13" t="n">
        <f aca="false">BC22+Construction!BD14*$F$9/$F$10*(BD21+(BD19-BD20)*BC22)</f>
        <v>635.882415185681</v>
      </c>
      <c r="BE22" s="13" t="n">
        <f aca="false">BD22+Construction!BE14*$F$9/$F$10*(BE21+(BE19-BE20)*BD22)</f>
        <v>635.882415185681</v>
      </c>
      <c r="BF22" s="13" t="n">
        <f aca="false">BE22+Construction!BF14*$F$9/$F$10*(BF21+(BF19-BF20)*BE22)</f>
        <v>635.882415185681</v>
      </c>
      <c r="BG22" s="13" t="n">
        <f aca="false">BF22+Construction!BG14*$F$9/$F$10*(BG21+(BG19-BG20)*BF22)</f>
        <v>635.882415185681</v>
      </c>
      <c r="BH22" s="13" t="n">
        <f aca="false">BG22+Construction!BH14*$F$9/$F$10*(BH21+(BH19-BH20)*BG22)</f>
        <v>635.882415185681</v>
      </c>
      <c r="BI22" s="13" t="n">
        <f aca="false">BH22+Construction!BI14*$F$9/$F$10*(BI21+(BI19-BI20)*BH22)</f>
        <v>635.882415185681</v>
      </c>
      <c r="BJ22" s="13" t="n">
        <f aca="false">BI22+Construction!BJ14*$F$9/$F$10*(BJ21+(BJ19-BJ20)*BI22)</f>
        <v>635.882415185681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0.00932246850411913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0.00982579649361803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0.0103476404375495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0.0108543948707758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0.0113797913072085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0.0119090948981582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0.0123889146307161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0.0129218890161516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0.01343954689068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0.0139763430638164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0.014497712896278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0.0150398393301528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0.015583993190123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0.0161125630625409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0.0166607286584316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0.0171931953749219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0.017745402282973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0.0183006411680649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0.0188220289880693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0.0193813528649341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0.0199246877926284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0.0204881954335813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0.0210355945274096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0.0216038902858452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0.0221743577826383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0.0227285328159614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0.0233032981264983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0.0238616482286695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0.0244407437320131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0.0250225516120317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0.0255500744501565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0.0261361442955021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0.0267054876648769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0.0608263889125215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0.061524710328826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0.061524710328826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0.061524710328826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0.061524710328826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0.061524710328826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0.061524710328826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0.061524710328826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0.061524710328826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0.061524710328826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0.061524710328826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0.061524710328826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0.061524710328826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0.061524710328826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0.061524710328826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0.061524710328826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0.061524710328826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0.061524710328826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0.061524710328826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0.061524710328826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936.432450796817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693.496150463468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28.9602663841459</v>
      </c>
      <c r="L28" s="13" t="n">
        <f aca="false">K61</f>
        <v>29.5662984768698</v>
      </c>
      <c r="M28" s="13" t="n">
        <f aca="false">L61</f>
        <v>30.3400721450488</v>
      </c>
      <c r="N28" s="13" t="n">
        <f aca="false">M61</f>
        <v>31.4358731236323</v>
      </c>
      <c r="O28" s="13" t="n">
        <f aca="false">N61</f>
        <v>33.0158054972776</v>
      </c>
      <c r="P28" s="13" t="n">
        <f aca="false">O61</f>
        <v>35.1950328445424</v>
      </c>
      <c r="Q28" s="13" t="n">
        <f aca="false">P61</f>
        <v>38.0391833208377</v>
      </c>
      <c r="R28" s="13" t="n">
        <f aca="false">Q61</f>
        <v>41.6506221772183</v>
      </c>
      <c r="S28" s="13" t="n">
        <f aca="false">R61</f>
        <v>46.0266516560796</v>
      </c>
      <c r="T28" s="13" t="n">
        <f aca="false">S61</f>
        <v>51.1813292344796</v>
      </c>
      <c r="U28" s="13" t="n">
        <f aca="false">T61</f>
        <v>57.0645315157606</v>
      </c>
      <c r="V28" s="13" t="n">
        <f aca="false">U61</f>
        <v>63.6467423333854</v>
      </c>
      <c r="W28" s="13" t="n">
        <f aca="false">V61</f>
        <v>70.8431904022166</v>
      </c>
      <c r="X28" s="13" t="n">
        <f aca="false">W61</f>
        <v>78.550262949433</v>
      </c>
      <c r="Y28" s="13" t="n">
        <f aca="false">X61</f>
        <v>86.6803828562698</v>
      </c>
      <c r="Z28" s="13" t="n">
        <f aca="false">Y61</f>
        <v>95.0918212512005</v>
      </c>
      <c r="AA28" s="13" t="n">
        <f aca="false">Z61</f>
        <v>103.679901897073</v>
      </c>
      <c r="AB28" s="13" t="n">
        <f aca="false">AA61</f>
        <v>112.589031966017</v>
      </c>
      <c r="AC28" s="13" t="n">
        <f aca="false">AB61</f>
        <v>121.086340672883</v>
      </c>
      <c r="AD28" s="13" t="n">
        <f aca="false">AC61</f>
        <v>129.382389555809</v>
      </c>
      <c r="AE28" s="13" t="n">
        <f aca="false">AD61</f>
        <v>137.312280692972</v>
      </c>
      <c r="AF28" s="13" t="n">
        <f aca="false">AE61</f>
        <v>144.794442267533</v>
      </c>
      <c r="AG28" s="13" t="n">
        <f aca="false">AF61</f>
        <v>151.69995012551</v>
      </c>
      <c r="AH28" s="13" t="n">
        <f aca="false">AG61</f>
        <v>157.982557197128</v>
      </c>
      <c r="AI28" s="13" t="n">
        <f aca="false">AH61</f>
        <v>163.566197792754</v>
      </c>
      <c r="AJ28" s="13" t="n">
        <f aca="false">AI61</f>
        <v>168.398476930785</v>
      </c>
      <c r="AK28" s="13" t="n">
        <f aca="false">AJ61</f>
        <v>172.506763660183</v>
      </c>
      <c r="AL28" s="13" t="n">
        <f aca="false">AK61</f>
        <v>175.876651840309</v>
      </c>
      <c r="AM28" s="13" t="n">
        <f aca="false">AL61</f>
        <v>178.597078548393</v>
      </c>
      <c r="AN28" s="13" t="n">
        <f aca="false">AM61</f>
        <v>180.735435855456</v>
      </c>
      <c r="AO28" s="13" t="n">
        <f aca="false">AN61</f>
        <v>182.350792309419</v>
      </c>
      <c r="AP28" s="13" t="n">
        <f aca="false">AO61</f>
        <v>183.700397992889</v>
      </c>
      <c r="AQ28" s="13" t="n">
        <f aca="false">AP61</f>
        <v>196.955855861614</v>
      </c>
      <c r="AR28" s="13" t="n">
        <f aca="false">AQ61</f>
        <v>207.143136946103</v>
      </c>
      <c r="AS28" s="13" t="n">
        <f aca="false">AR61</f>
        <v>208.04884513904</v>
      </c>
      <c r="AT28" s="13" t="n">
        <f aca="false">AS61</f>
        <v>208.04884513904</v>
      </c>
      <c r="AU28" s="13" t="n">
        <f aca="false">AT61</f>
        <v>208.04884513904</v>
      </c>
      <c r="AV28" s="13" t="n">
        <f aca="false">AU61</f>
        <v>208.04884513904</v>
      </c>
      <c r="AW28" s="13" t="n">
        <f aca="false">AV61</f>
        <v>208.04884513904</v>
      </c>
      <c r="AX28" s="13" t="n">
        <f aca="false">AW61</f>
        <v>208.04884513904</v>
      </c>
      <c r="AY28" s="13" t="n">
        <f aca="false">AX61</f>
        <v>208.04884513904</v>
      </c>
      <c r="AZ28" s="13" t="n">
        <f aca="false">AY61</f>
        <v>208.04884513904</v>
      </c>
      <c r="BA28" s="13" t="n">
        <f aca="false">AZ61</f>
        <v>208.04884513904</v>
      </c>
      <c r="BB28" s="13" t="n">
        <f aca="false">BA61</f>
        <v>208.04884513904</v>
      </c>
      <c r="BC28" s="13" t="n">
        <f aca="false">BB61</f>
        <v>208.04884513904</v>
      </c>
      <c r="BD28" s="13" t="n">
        <f aca="false">BC61</f>
        <v>208.04884513904</v>
      </c>
      <c r="BE28" s="13" t="n">
        <f aca="false">BD61</f>
        <v>208.04884513904</v>
      </c>
      <c r="BF28" s="13" t="n">
        <f aca="false">BE61</f>
        <v>208.04884513904</v>
      </c>
      <c r="BG28" s="13" t="n">
        <f aca="false">BF61</f>
        <v>208.04884513904</v>
      </c>
      <c r="BH28" s="13" t="n">
        <f aca="false">BG61</f>
        <v>208.04884513904</v>
      </c>
      <c r="BI28" s="13" t="n">
        <f aca="false">BH61</f>
        <v>208.04884513904</v>
      </c>
      <c r="BJ28" s="13" t="n">
        <f aca="false">BI61</f>
        <v>208.04884513904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21.237528681707</v>
      </c>
      <c r="L29" s="13" t="n">
        <f aca="false">K62</f>
        <v>21.6819522163712</v>
      </c>
      <c r="M29" s="13" t="n">
        <f aca="false">L62</f>
        <v>22.2493862397025</v>
      </c>
      <c r="N29" s="13" t="n">
        <f aca="false">M62</f>
        <v>23.052973623997</v>
      </c>
      <c r="O29" s="13" t="n">
        <f aca="false">N62</f>
        <v>24.2115906980036</v>
      </c>
      <c r="P29" s="13" t="n">
        <f aca="false">O62</f>
        <v>25.8096907526644</v>
      </c>
      <c r="Q29" s="13" t="n">
        <f aca="false">P62</f>
        <v>27.8954011019477</v>
      </c>
      <c r="R29" s="13" t="n">
        <f aca="false">Q62</f>
        <v>30.5437895966268</v>
      </c>
      <c r="S29" s="13" t="n">
        <f aca="false">R62</f>
        <v>33.7528778811251</v>
      </c>
      <c r="T29" s="13" t="n">
        <f aca="false">S62</f>
        <v>37.5329747719517</v>
      </c>
      <c r="U29" s="13" t="n">
        <f aca="false">T62</f>
        <v>41.8473231115578</v>
      </c>
      <c r="V29" s="13" t="n">
        <f aca="false">U62</f>
        <v>46.6742777111493</v>
      </c>
      <c r="W29" s="13" t="n">
        <f aca="false">V62</f>
        <v>51.9516729616255</v>
      </c>
      <c r="X29" s="13" t="n">
        <f aca="false">W62</f>
        <v>57.6035261629175</v>
      </c>
      <c r="Y29" s="13" t="n">
        <f aca="false">X62</f>
        <v>63.5656140945979</v>
      </c>
      <c r="Z29" s="13" t="n">
        <f aca="false">Y62</f>
        <v>69.7340022508804</v>
      </c>
      <c r="AA29" s="13" t="n">
        <f aca="false">Z62</f>
        <v>76.0319280578537</v>
      </c>
      <c r="AB29" s="13" t="n">
        <f aca="false">AA62</f>
        <v>82.5652901084125</v>
      </c>
      <c r="AC29" s="13" t="n">
        <f aca="false">AB62</f>
        <v>88.7966498267806</v>
      </c>
      <c r="AD29" s="13" t="n">
        <f aca="false">AC62</f>
        <v>94.8804190075931</v>
      </c>
      <c r="AE29" s="13" t="n">
        <f aca="false">AD62</f>
        <v>100.69567250818</v>
      </c>
      <c r="AF29" s="13" t="n">
        <f aca="false">AE62</f>
        <v>106.182590996191</v>
      </c>
      <c r="AG29" s="13" t="n">
        <f aca="false">AF62</f>
        <v>111.246630092041</v>
      </c>
      <c r="AH29" s="13" t="n">
        <f aca="false">AG62</f>
        <v>115.853875277894</v>
      </c>
      <c r="AI29" s="13" t="n">
        <f aca="false">AH62</f>
        <v>119.94854504802</v>
      </c>
      <c r="AJ29" s="13" t="n">
        <f aca="false">AI62</f>
        <v>123.492216415909</v>
      </c>
      <c r="AK29" s="13" t="n">
        <f aca="false">AJ62</f>
        <v>126.504960017467</v>
      </c>
      <c r="AL29" s="13" t="n">
        <f aca="false">AK62</f>
        <v>128.97621134956</v>
      </c>
      <c r="AM29" s="13" t="n">
        <f aca="false">AL62</f>
        <v>130.971190935488</v>
      </c>
      <c r="AN29" s="13" t="n">
        <f aca="false">AM62</f>
        <v>132.539319627334</v>
      </c>
      <c r="AO29" s="13" t="n">
        <f aca="false">AN62</f>
        <v>133.72391436024</v>
      </c>
      <c r="AP29" s="13" t="n">
        <f aca="false">AO62</f>
        <v>134.713625194785</v>
      </c>
      <c r="AQ29" s="13" t="n">
        <f aca="false">AP62</f>
        <v>144.434294298517</v>
      </c>
      <c r="AR29" s="13" t="n">
        <f aca="false">AQ62</f>
        <v>151.904967093809</v>
      </c>
      <c r="AS29" s="13" t="n">
        <f aca="false">AR62</f>
        <v>152.569153101963</v>
      </c>
      <c r="AT29" s="13" t="n">
        <f aca="false">AS62</f>
        <v>152.569153101963</v>
      </c>
      <c r="AU29" s="13" t="n">
        <f aca="false">AT62</f>
        <v>152.569153101963</v>
      </c>
      <c r="AV29" s="13" t="n">
        <f aca="false">AU62</f>
        <v>152.569153101963</v>
      </c>
      <c r="AW29" s="13" t="n">
        <f aca="false">AV62</f>
        <v>152.569153101963</v>
      </c>
      <c r="AX29" s="13" t="n">
        <f aca="false">AW62</f>
        <v>152.569153101963</v>
      </c>
      <c r="AY29" s="13" t="n">
        <f aca="false">AX62</f>
        <v>152.569153101963</v>
      </c>
      <c r="AZ29" s="13" t="n">
        <f aca="false">AY62</f>
        <v>152.569153101963</v>
      </c>
      <c r="BA29" s="13" t="n">
        <f aca="false">AZ62</f>
        <v>152.569153101963</v>
      </c>
      <c r="BB29" s="13" t="n">
        <f aca="false">BA62</f>
        <v>152.569153101963</v>
      </c>
      <c r="BC29" s="13" t="n">
        <f aca="false">BB62</f>
        <v>152.569153101963</v>
      </c>
      <c r="BD29" s="13" t="n">
        <f aca="false">BC62</f>
        <v>152.569153101963</v>
      </c>
      <c r="BE29" s="13" t="n">
        <f aca="false">BD62</f>
        <v>152.569153101963</v>
      </c>
      <c r="BF29" s="13" t="n">
        <f aca="false">BE62</f>
        <v>152.569153101963</v>
      </c>
      <c r="BG29" s="13" t="n">
        <f aca="false">BF62</f>
        <v>152.569153101963</v>
      </c>
      <c r="BH29" s="13" t="n">
        <f aca="false">BG62</f>
        <v>152.569153101963</v>
      </c>
      <c r="BI29" s="13" t="n">
        <f aca="false">BH62</f>
        <v>152.569153101963</v>
      </c>
      <c r="BJ29" s="13" t="n">
        <f aca="false">BI62</f>
        <v>152.569153101963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9.65342212804864</v>
      </c>
      <c r="L30" s="13" t="n">
        <f aca="false">K63</f>
        <v>9.85543282562326</v>
      </c>
      <c r="M30" s="13" t="n">
        <f aca="false">L63</f>
        <v>10.1133573816829</v>
      </c>
      <c r="N30" s="13" t="n">
        <f aca="false">M63</f>
        <v>10.4786243745441</v>
      </c>
      <c r="O30" s="13" t="n">
        <f aca="false">N63</f>
        <v>11.0052684990925</v>
      </c>
      <c r="P30" s="13" t="n">
        <f aca="false">O63</f>
        <v>11.7316776148475</v>
      </c>
      <c r="Q30" s="13" t="n">
        <f aca="false">P63</f>
        <v>12.6797277736126</v>
      </c>
      <c r="R30" s="13" t="n">
        <f aca="false">Q63</f>
        <v>13.8835407257394</v>
      </c>
      <c r="S30" s="13" t="n">
        <f aca="false">R63</f>
        <v>15.3422172186932</v>
      </c>
      <c r="T30" s="13" t="n">
        <f aca="false">S63</f>
        <v>17.0604430781599</v>
      </c>
      <c r="U30" s="13" t="n">
        <f aca="false">T63</f>
        <v>19.0215105052535</v>
      </c>
      <c r="V30" s="13" t="n">
        <f aca="false">U63</f>
        <v>21.2155807777951</v>
      </c>
      <c r="W30" s="13" t="n">
        <f aca="false">V63</f>
        <v>23.6143968007389</v>
      </c>
      <c r="X30" s="13" t="n">
        <f aca="false">W63</f>
        <v>26.1834209831443</v>
      </c>
      <c r="Y30" s="13" t="n">
        <f aca="false">X63</f>
        <v>28.8934609520899</v>
      </c>
      <c r="Z30" s="13" t="n">
        <f aca="false">Y63</f>
        <v>31.6972737504002</v>
      </c>
      <c r="AA30" s="13" t="n">
        <f aca="false">Z63</f>
        <v>34.5599672990244</v>
      </c>
      <c r="AB30" s="13" t="n">
        <f aca="false">AA63</f>
        <v>37.5296773220057</v>
      </c>
      <c r="AC30" s="13" t="n">
        <f aca="false">AB63</f>
        <v>40.3621135576275</v>
      </c>
      <c r="AD30" s="13" t="n">
        <f aca="false">AC63</f>
        <v>43.1274631852696</v>
      </c>
      <c r="AE30" s="13" t="n">
        <f aca="false">AD63</f>
        <v>45.7707602309908</v>
      </c>
      <c r="AF30" s="13" t="n">
        <f aca="false">AE63</f>
        <v>48.2648140891778</v>
      </c>
      <c r="AG30" s="13" t="n">
        <f aca="false">AF63</f>
        <v>50.5666500418368</v>
      </c>
      <c r="AH30" s="13" t="n">
        <f aca="false">AG63</f>
        <v>52.6608523990427</v>
      </c>
      <c r="AI30" s="13" t="n">
        <f aca="false">AH63</f>
        <v>54.5220659309182</v>
      </c>
      <c r="AJ30" s="13" t="n">
        <f aca="false">AI63</f>
        <v>56.1328256435951</v>
      </c>
      <c r="AK30" s="13" t="n">
        <f aca="false">AJ63</f>
        <v>57.5022545533942</v>
      </c>
      <c r="AL30" s="13" t="n">
        <f aca="false">AK63</f>
        <v>58.6255506134362</v>
      </c>
      <c r="AM30" s="13" t="n">
        <f aca="false">AL63</f>
        <v>59.5323595161311</v>
      </c>
      <c r="AN30" s="13" t="n">
        <f aca="false">AM63</f>
        <v>60.2451452851518</v>
      </c>
      <c r="AO30" s="13" t="n">
        <f aca="false">AN63</f>
        <v>60.7835974364729</v>
      </c>
      <c r="AP30" s="13" t="n">
        <f aca="false">AO63</f>
        <v>61.2334659976295</v>
      </c>
      <c r="AQ30" s="13" t="n">
        <f aca="false">AP63</f>
        <v>65.6519519538714</v>
      </c>
      <c r="AR30" s="13" t="n">
        <f aca="false">AQ63</f>
        <v>69.0477123153678</v>
      </c>
      <c r="AS30" s="13" t="n">
        <f aca="false">AR63</f>
        <v>69.3496150463468</v>
      </c>
      <c r="AT30" s="13" t="n">
        <f aca="false">AS63</f>
        <v>69.3496150463468</v>
      </c>
      <c r="AU30" s="13" t="n">
        <f aca="false">AT63</f>
        <v>69.3496150463468</v>
      </c>
      <c r="AV30" s="13" t="n">
        <f aca="false">AU63</f>
        <v>69.3496150463468</v>
      </c>
      <c r="AW30" s="13" t="n">
        <f aca="false">AV63</f>
        <v>69.3496150463468</v>
      </c>
      <c r="AX30" s="13" t="n">
        <f aca="false">AW63</f>
        <v>69.3496150463468</v>
      </c>
      <c r="AY30" s="13" t="n">
        <f aca="false">AX63</f>
        <v>69.3496150463468</v>
      </c>
      <c r="AZ30" s="13" t="n">
        <f aca="false">AY63</f>
        <v>69.3496150463468</v>
      </c>
      <c r="BA30" s="13" t="n">
        <f aca="false">AZ63</f>
        <v>69.3496150463468</v>
      </c>
      <c r="BB30" s="13" t="n">
        <f aca="false">BA63</f>
        <v>69.3496150463468</v>
      </c>
      <c r="BC30" s="13" t="n">
        <f aca="false">BB63</f>
        <v>69.3496150463468</v>
      </c>
      <c r="BD30" s="13" t="n">
        <f aca="false">BC63</f>
        <v>69.3496150463468</v>
      </c>
      <c r="BE30" s="13" t="n">
        <f aca="false">BD63</f>
        <v>69.3496150463468</v>
      </c>
      <c r="BF30" s="13" t="n">
        <f aca="false">BE63</f>
        <v>69.3496150463468</v>
      </c>
      <c r="BG30" s="13" t="n">
        <f aca="false">BF63</f>
        <v>69.3496150463468</v>
      </c>
      <c r="BH30" s="13" t="n">
        <f aca="false">BG63</f>
        <v>69.3496150463468</v>
      </c>
      <c r="BI30" s="13" t="n">
        <f aca="false">BH63</f>
        <v>69.3496150463468</v>
      </c>
      <c r="BJ30" s="13" t="n">
        <f aca="false">BI63</f>
        <v>69.3496150463468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36.6830040865848</v>
      </c>
      <c r="L31" s="13" t="n">
        <f aca="false">K64</f>
        <v>37.4506447373684</v>
      </c>
      <c r="M31" s="13" t="n">
        <f aca="false">L64</f>
        <v>38.4307580503952</v>
      </c>
      <c r="N31" s="13" t="n">
        <f aca="false">M64</f>
        <v>39.8187726232676</v>
      </c>
      <c r="O31" s="13" t="n">
        <f aca="false">N64</f>
        <v>41.8200202965517</v>
      </c>
      <c r="P31" s="13" t="n">
        <f aca="false">O64</f>
        <v>44.5803749364204</v>
      </c>
      <c r="Q31" s="13" t="n">
        <f aca="false">P64</f>
        <v>48.1829655397278</v>
      </c>
      <c r="R31" s="13" t="n">
        <f aca="false">Q64</f>
        <v>52.7574547578099</v>
      </c>
      <c r="S31" s="13" t="n">
        <f aca="false">R64</f>
        <v>58.3004254310342</v>
      </c>
      <c r="T31" s="13" t="n">
        <f aca="false">S64</f>
        <v>64.8296836970075</v>
      </c>
      <c r="U31" s="13" t="n">
        <f aca="false">T64</f>
        <v>72.2817399199634</v>
      </c>
      <c r="V31" s="13" t="n">
        <f aca="false">U64</f>
        <v>80.6192069556215</v>
      </c>
      <c r="W31" s="13" t="n">
        <f aca="false">V64</f>
        <v>89.7347078428077</v>
      </c>
      <c r="X31" s="13" t="n">
        <f aca="false">W64</f>
        <v>99.4969997359484</v>
      </c>
      <c r="Y31" s="13" t="n">
        <f aca="false">X64</f>
        <v>109.795151617942</v>
      </c>
      <c r="Z31" s="13" t="n">
        <f aca="false">Y64</f>
        <v>120.449640251521</v>
      </c>
      <c r="AA31" s="13" t="n">
        <f aca="false">Z64</f>
        <v>131.327875736293</v>
      </c>
      <c r="AB31" s="13" t="n">
        <f aca="false">AA64</f>
        <v>142.612773823622</v>
      </c>
      <c r="AC31" s="13" t="n">
        <f aca="false">AB64</f>
        <v>153.376031518985</v>
      </c>
      <c r="AD31" s="13" t="n">
        <f aca="false">AC64</f>
        <v>163.884360104025</v>
      </c>
      <c r="AE31" s="13" t="n">
        <f aca="false">AD64</f>
        <v>173.928888877765</v>
      </c>
      <c r="AF31" s="13" t="n">
        <f aca="false">AE64</f>
        <v>183.406293538876</v>
      </c>
      <c r="AG31" s="13" t="n">
        <f aca="false">AF64</f>
        <v>192.15327015898</v>
      </c>
      <c r="AH31" s="13" t="n">
        <f aca="false">AG64</f>
        <v>200.111239116362</v>
      </c>
      <c r="AI31" s="13" t="n">
        <f aca="false">AH64</f>
        <v>207.183850537489</v>
      </c>
      <c r="AJ31" s="13" t="n">
        <f aca="false">AI64</f>
        <v>213.304737445661</v>
      </c>
      <c r="AK31" s="13" t="n">
        <f aca="false">AJ64</f>
        <v>218.508567302898</v>
      </c>
      <c r="AL31" s="13" t="n">
        <f aca="false">AK64</f>
        <v>222.777092331058</v>
      </c>
      <c r="AM31" s="13" t="n">
        <f aca="false">AL64</f>
        <v>226.222966161298</v>
      </c>
      <c r="AN31" s="13" t="n">
        <f aca="false">AM64</f>
        <v>228.931552083577</v>
      </c>
      <c r="AO31" s="13" t="n">
        <f aca="false">AN64</f>
        <v>230.977670258597</v>
      </c>
      <c r="AP31" s="13" t="n">
        <f aca="false">AO64</f>
        <v>232.687170790992</v>
      </c>
      <c r="AQ31" s="13" t="n">
        <f aca="false">AP64</f>
        <v>249.477417424711</v>
      </c>
      <c r="AR31" s="13" t="n">
        <f aca="false">AQ64</f>
        <v>262.381306798398</v>
      </c>
      <c r="AS31" s="13" t="n">
        <f aca="false">AR64</f>
        <v>263.528537176118</v>
      </c>
      <c r="AT31" s="13" t="n">
        <f aca="false">AS64</f>
        <v>263.528537176118</v>
      </c>
      <c r="AU31" s="13" t="n">
        <f aca="false">AT64</f>
        <v>263.528537176118</v>
      </c>
      <c r="AV31" s="13" t="n">
        <f aca="false">AU64</f>
        <v>263.528537176118</v>
      </c>
      <c r="AW31" s="13" t="n">
        <f aca="false">AV64</f>
        <v>263.528537176118</v>
      </c>
      <c r="AX31" s="13" t="n">
        <f aca="false">AW64</f>
        <v>263.528537176118</v>
      </c>
      <c r="AY31" s="13" t="n">
        <f aca="false">AX64</f>
        <v>263.528537176118</v>
      </c>
      <c r="AZ31" s="13" t="n">
        <f aca="false">AY64</f>
        <v>263.528537176118</v>
      </c>
      <c r="BA31" s="13" t="n">
        <f aca="false">AZ64</f>
        <v>263.528537176118</v>
      </c>
      <c r="BB31" s="13" t="n">
        <f aca="false">BA64</f>
        <v>263.528537176118</v>
      </c>
      <c r="BC31" s="13" t="n">
        <f aca="false">BB64</f>
        <v>263.528537176118</v>
      </c>
      <c r="BD31" s="13" t="n">
        <f aca="false">BC64</f>
        <v>263.528537176118</v>
      </c>
      <c r="BE31" s="13" t="n">
        <f aca="false">BD64</f>
        <v>263.528537176118</v>
      </c>
      <c r="BF31" s="13" t="n">
        <f aca="false">BE64</f>
        <v>263.528537176118</v>
      </c>
      <c r="BG31" s="13" t="n">
        <f aca="false">BF64</f>
        <v>263.528537176118</v>
      </c>
      <c r="BH31" s="13" t="n">
        <f aca="false">BG64</f>
        <v>263.528537176118</v>
      </c>
      <c r="BI31" s="13" t="n">
        <f aca="false">BH64</f>
        <v>263.528537176118</v>
      </c>
      <c r="BJ31" s="13" t="n">
        <f aca="false">BI64</f>
        <v>263.528537176118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4.72955008490317E-014</v>
      </c>
      <c r="AT32" s="13" t="n">
        <f aca="false">AS65</f>
        <v>4.72955008490317E-014</v>
      </c>
      <c r="AU32" s="13" t="n">
        <f aca="false">AT65</f>
        <v>4.72955008490317E-014</v>
      </c>
      <c r="AV32" s="13" t="n">
        <f aca="false">AU65</f>
        <v>4.72955008490317E-014</v>
      </c>
      <c r="AW32" s="13" t="n">
        <f aca="false">AV65</f>
        <v>4.72955008490317E-014</v>
      </c>
      <c r="AX32" s="13" t="n">
        <f aca="false">AW65</f>
        <v>4.72955008490317E-014</v>
      </c>
      <c r="AY32" s="13" t="n">
        <f aca="false">AX65</f>
        <v>4.72955008490317E-014</v>
      </c>
      <c r="AZ32" s="13" t="n">
        <f aca="false">AY65</f>
        <v>4.72955008490317E-014</v>
      </c>
      <c r="BA32" s="13" t="n">
        <f aca="false">AZ65</f>
        <v>4.72955008490317E-014</v>
      </c>
      <c r="BB32" s="13" t="n">
        <f aca="false">BA65</f>
        <v>4.72955008490317E-014</v>
      </c>
      <c r="BC32" s="13" t="n">
        <f aca="false">BB65</f>
        <v>4.72955008490317E-014</v>
      </c>
      <c r="BD32" s="13" t="n">
        <f aca="false">BC65</f>
        <v>4.72955008490317E-014</v>
      </c>
      <c r="BE32" s="13" t="n">
        <f aca="false">BD65</f>
        <v>4.72955008490317E-014</v>
      </c>
      <c r="BF32" s="13" t="n">
        <f aca="false">BE65</f>
        <v>4.72955008490317E-014</v>
      </c>
      <c r="BG32" s="13" t="n">
        <f aca="false">BF65</f>
        <v>4.72955008490317E-014</v>
      </c>
      <c r="BH32" s="13" t="n">
        <f aca="false">BG65</f>
        <v>4.72955008490317E-014</v>
      </c>
      <c r="BI32" s="13" t="n">
        <f aca="false">BH65</f>
        <v>4.72955008490317E-014</v>
      </c>
      <c r="BJ32" s="13" t="n">
        <f aca="false">BI65</f>
        <v>4.72955008490317E-014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13.5751766039415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0.0933968590888706</v>
      </c>
      <c r="L33" s="13" t="n">
        <f aca="false">Construction!L14*L28*(Construction!L17+Inputs!$F$79)/100*Construction!L11/Inputs!$F$247*1</f>
        <v>0.0985296896741686</v>
      </c>
      <c r="M33" s="13" t="n">
        <f aca="false">Construction!M14*M28*(Construction!M17+Inputs!$F$79)/100*Construction!M11/Inputs!$F$247*1</f>
        <v>0.0978467326677825</v>
      </c>
      <c r="N33" s="13" t="n">
        <f aca="false">Construction!N14*N28*(Construction!N17+Inputs!$F$79)/100*Construction!N11/Inputs!$F$247*1</f>
        <v>0.104760047184505</v>
      </c>
      <c r="O33" s="13" t="n">
        <f aca="false">Construction!O14*O28*(Construction!O17+Inputs!$F$79)/100*Construction!O11/Inputs!$F$247*1</f>
        <v>0.117701346597795</v>
      </c>
      <c r="P33" s="13" t="n">
        <f aca="false">Construction!P14*P28*(Construction!P17+Inputs!$F$79)/100*Construction!P11/Inputs!$F$247*1</f>
        <v>0.113328005759427</v>
      </c>
      <c r="Q33" s="13" t="n">
        <f aca="false">Construction!Q14*Q28*(Construction!Q17+Inputs!$F$79)/100*Construction!Q11/Inputs!$F$247*1</f>
        <v>0.135609688538786</v>
      </c>
      <c r="R33" s="13" t="n">
        <f aca="false">Construction!R14*R28*(Construction!R17+Inputs!$F$79)/100*Construction!R11/Inputs!$F$247*1</f>
        <v>0.143694646511403</v>
      </c>
      <c r="S33" s="13" t="n">
        <f aca="false">Construction!S14*S28*(Construction!S17+Inputs!$F$79)/100*Construction!S11/Inputs!$F$247*1</f>
        <v>0.164085013153924</v>
      </c>
      <c r="T33" s="13" t="n">
        <f aca="false">Construction!T14*T28*(Construction!T17+Inputs!$F$79)/100*Construction!T11/Inputs!$F$247*1</f>
        <v>0.176575585858955</v>
      </c>
      <c r="U33" s="13" t="n">
        <f aca="false">Construction!U14*U28*(Construction!U17+Inputs!$F$79)/100*Construction!U11/Inputs!$F$247*1</f>
        <v>0.210805890174472</v>
      </c>
      <c r="V33" s="13" t="n">
        <f aca="false">Construction!V14*V28*(Construction!V17+Inputs!$F$79)/100*Construction!V11/Inputs!$F$247*1</f>
        <v>0.235121673969915</v>
      </c>
      <c r="W33" s="13" t="n">
        <f aca="false">Construction!W14*W28*(Construction!W17+Inputs!$F$79)/100*Construction!W11/Inputs!$F$247*1</f>
        <v>0.253264405687924</v>
      </c>
      <c r="X33" s="13" t="n">
        <f aca="false">Construction!X14*X28*(Construction!X17+Inputs!$F$79)/100*Construction!X11/Inputs!$F$247*1</f>
        <v>0.290177763045697</v>
      </c>
      <c r="Y33" s="13" t="n">
        <f aca="false">Construction!Y14*Y28*(Construction!Y17+Inputs!$F$79)/100*Construction!Y11/Inputs!$F$247*1</f>
        <v>0.309882368711165</v>
      </c>
      <c r="Z33" s="13" t="n">
        <f aca="false">Construction!Z14*Z28*(Construction!Z17+Inputs!$F$79)/100*Construction!Z11/Inputs!$F$247*1</f>
        <v>0.35128503633881</v>
      </c>
      <c r="AA33" s="13" t="n">
        <f aca="false">Construction!AA14*AA28*(Construction!AA17+Inputs!$F$79)/100*Construction!AA11/Inputs!$F$247*1</f>
        <v>0.390153230833236</v>
      </c>
      <c r="AB33" s="13" t="n">
        <f aca="false">Construction!AB14*AB28*(Construction!AB17+Inputs!$F$79)/100*Construction!AB11/Inputs!$F$247*1</f>
        <v>0.396344667251482</v>
      </c>
      <c r="AC33" s="13" t="n">
        <f aca="false">Construction!AC14*AC28*(Construction!AC17+Inputs!$F$79)/100*Construction!AC11/Inputs!$F$247*1</f>
        <v>0.455654626970984</v>
      </c>
      <c r="AD33" s="13" t="n">
        <f aca="false">Construction!AD14*AD28*(Construction!AD17+Inputs!$F$79)/100*Construction!AD11/Inputs!$F$247*1</f>
        <v>0.471167535299071</v>
      </c>
      <c r="AE33" s="13" t="n">
        <f aca="false">Construction!AE14*AE28*(Construction!AE17+Inputs!$F$79)/100*Construction!AE11/Inputs!$F$247*1</f>
        <v>0.516713740707694</v>
      </c>
      <c r="AF33" s="13" t="n">
        <f aca="false">Construction!AF14*AF28*(Construction!AF17+Inputs!$F$79)/100*Construction!AF11/Inputs!$F$247*1</f>
        <v>0.527293093924267</v>
      </c>
      <c r="AG33" s="13" t="n">
        <f aca="false">Construction!AG14*AG28*(Construction!AG17+Inputs!$F$79)/100*Construction!AG11/Inputs!$F$247*1</f>
        <v>0.576080560601626</v>
      </c>
      <c r="AH33" s="13" t="n">
        <f aca="false">Construction!AH14*AH28*(Construction!AH17+Inputs!$F$79)/100*Construction!AH11/Inputs!$F$247*1</f>
        <v>0.599938760956094</v>
      </c>
      <c r="AI33" s="13" t="n">
        <f aca="false">Construction!AI14*AI28*(Construction!AI17+Inputs!$F$79)/100*Construction!AI11/Inputs!$F$247*1</f>
        <v>0.601105776888373</v>
      </c>
      <c r="AJ33" s="13" t="n">
        <f aca="false">Construction!AJ14*AJ28*(Construction!AJ17+Inputs!$F$79)/100*Construction!AJ11/Inputs!$F$247*1</f>
        <v>0.639493216144657</v>
      </c>
      <c r="AK33" s="13" t="n">
        <f aca="false">Construction!AK14*AK28*(Construction!AK17+Inputs!$F$79)/100*Construction!AK11/Inputs!$F$247*1</f>
        <v>0.633962356451171</v>
      </c>
      <c r="AL33" s="13" t="n">
        <f aca="false">Construction!AL14*AL28*(Construction!AL17+Inputs!$F$79)/100*Construction!AL11/Inputs!$F$247*1</f>
        <v>0.667891585363572</v>
      </c>
      <c r="AM33" s="13" t="n">
        <f aca="false">Construction!AM14*AM28*(Construction!AM17+Inputs!$F$79)/100*Construction!AM11/Inputs!$F$247*1</f>
        <v>0.682836163650024</v>
      </c>
      <c r="AN33" s="13" t="n">
        <f aca="false">Construction!AN14*AN28*(Construction!AN17+Inputs!$F$79)/100*Construction!AN11/Inputs!$F$247*1</f>
        <v>0.624139705154173</v>
      </c>
      <c r="AO33" s="13" t="n">
        <f aca="false">Construction!AO14*AO28*(Construction!AO17+Inputs!$F$79)/100*Construction!AO11/Inputs!$F$247*1</f>
        <v>0.697187862596344</v>
      </c>
      <c r="AP33" s="13" t="n">
        <f aca="false">Construction!AP14*AP28*(Construction!AP17+Inputs!$F$79)/100*Construction!AP11/Inputs!$F$247*1</f>
        <v>0.679691472573688</v>
      </c>
      <c r="AQ33" s="13" t="n">
        <f aca="false">Construction!AQ14*AQ28*(Construction!AQ17+Inputs!$F$79)/100*Construction!AQ11/Inputs!$F$247*1</f>
        <v>0.753027888910905</v>
      </c>
      <c r="AR33" s="13" t="n">
        <f aca="false">Construction!AR14*AR28*(Construction!AR17+Inputs!$F$79)/100*Construction!AR11/Inputs!$F$247*1</f>
        <v>0.766429606700583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15.2058774322282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0.10919629330511</v>
      </c>
      <c r="L34" s="13" t="n">
        <f aca="false">Construction!L14*L29*(Construction!L17+Inputs!$F$80)/100*Construction!L11/Inputs!$F$247*1</f>
        <v>0.115197416678481</v>
      </c>
      <c r="M34" s="13" t="n">
        <f aca="false">Construction!M14*M29*(Construction!M17+Inputs!$F$80)/100*Construction!M11/Inputs!$F$247*1</f>
        <v>0.11439892758247</v>
      </c>
      <c r="N34" s="13" t="n">
        <f aca="false">Construction!N14*N29*(Construction!N17+Inputs!$F$80)/100*Construction!N11/Inputs!$F$247*1</f>
        <v>0.122481729585053</v>
      </c>
      <c r="O34" s="13" t="n">
        <f aca="false">Construction!O14*O29*(Construction!O17+Inputs!$F$80)/100*Construction!O11/Inputs!$F$247*1</f>
        <v>0.134266721304151</v>
      </c>
      <c r="P34" s="13" t="n">
        <f aca="false">Construction!P14*P29*(Construction!P17+Inputs!$F$80)/100*Construction!P11/Inputs!$F$247*1</f>
        <v>0.129277873236679</v>
      </c>
      <c r="Q34" s="13" t="n">
        <f aca="false">Construction!Q14*Q29*(Construction!Q17+Inputs!$F$80)/100*Construction!Q11/Inputs!$F$247*1</f>
        <v>0.154695496555356</v>
      </c>
      <c r="R34" s="13" t="n">
        <f aca="false">Construction!R14*R29*(Construction!R17+Inputs!$F$80)/100*Construction!R11/Inputs!$F$247*1</f>
        <v>0.163918337501897</v>
      </c>
      <c r="S34" s="13" t="n">
        <f aca="false">Construction!S14*S29*(Construction!S17+Inputs!$F$80)/100*Construction!S11/Inputs!$F$247*1</f>
        <v>0.187178459449661</v>
      </c>
      <c r="T34" s="13" t="n">
        <f aca="false">Construction!T14*T29*(Construction!T17+Inputs!$F$80)/100*Construction!T11/Inputs!$F$247*1</f>
        <v>0.201426964609474</v>
      </c>
      <c r="U34" s="13" t="n">
        <f aca="false">Construction!U14*U29*(Construction!U17+Inputs!$F$80)/100*Construction!U11/Inputs!$F$247*1</f>
        <v>0.23747193440167</v>
      </c>
      <c r="V34" s="13" t="n">
        <f aca="false">Construction!V14*V29*(Construction!V17+Inputs!$F$80)/100*Construction!V11/Inputs!$F$247*1</f>
        <v>0.26486356093363</v>
      </c>
      <c r="W34" s="13" t="n">
        <f aca="false">Construction!W14*W29*(Construction!W17+Inputs!$F$80)/100*Construction!W11/Inputs!$F$247*1</f>
        <v>0.285301270680927</v>
      </c>
      <c r="X34" s="13" t="n">
        <f aca="false">Construction!X14*X29*(Construction!X17+Inputs!$F$80)/100*Construction!X11/Inputs!$F$247*1</f>
        <v>0.326884009995067</v>
      </c>
      <c r="Y34" s="13" t="n">
        <f aca="false">Construction!Y14*Y29*(Construction!Y17+Inputs!$F$80)/100*Construction!Y11/Inputs!$F$247*1</f>
        <v>0.3490811640695</v>
      </c>
      <c r="Z34" s="13" t="n">
        <f aca="false">Construction!Z14*Z29*(Construction!Z17+Inputs!$F$80)/100*Construction!Z11/Inputs!$F$247*1</f>
        <v>0.395721092217565</v>
      </c>
      <c r="AA34" s="13" t="n">
        <f aca="false">Construction!AA14*AA29*(Construction!AA17+Inputs!$F$80)/100*Construction!AA11/Inputs!$F$247*1</f>
        <v>0.436697826792289</v>
      </c>
      <c r="AB34" s="13" t="n">
        <f aca="false">Construction!AB14*AB29*(Construction!AB17+Inputs!$F$80)/100*Construction!AB11/Inputs!$F$247*1</f>
        <v>0.443627890713062</v>
      </c>
      <c r="AC34" s="13" t="n">
        <f aca="false">Construction!AC14*AC29*(Construction!AC17+Inputs!$F$80)/100*Construction!AC11/Inputs!$F$247*1</f>
        <v>0.51001342457454</v>
      </c>
      <c r="AD34" s="13" t="n">
        <f aca="false">Construction!AD14*AD29*(Construction!AD17+Inputs!$F$80)/100*Construction!AD11/Inputs!$F$247*1</f>
        <v>0.527376995650538</v>
      </c>
      <c r="AE34" s="13" t="n">
        <f aca="false">Construction!AE14*AE29*(Construction!AE17+Inputs!$F$80)/100*Construction!AE11/Inputs!$F$247*1</f>
        <v>0.578356783458786</v>
      </c>
      <c r="AF34" s="13" t="n">
        <f aca="false">Construction!AF14*AF29*(Construction!AF17+Inputs!$F$80)/100*Construction!AF11/Inputs!$F$247*1</f>
        <v>0.590198234953829</v>
      </c>
      <c r="AG34" s="13" t="n">
        <f aca="false">Construction!AG14*AG29*(Construction!AG17+Inputs!$F$80)/100*Construction!AG11/Inputs!$F$247*1</f>
        <v>0.642789209040151</v>
      </c>
      <c r="AH34" s="13" t="n">
        <f aca="false">Construction!AH14*AH29*(Construction!AH17+Inputs!$F$80)/100*Construction!AH11/Inputs!$F$247*1</f>
        <v>0.669410127682076</v>
      </c>
      <c r="AI34" s="13" t="n">
        <f aca="false">Construction!AI14*AI29*(Construction!AI17+Inputs!$F$80)/100*Construction!AI11/Inputs!$F$247*1</f>
        <v>0.670712281060178</v>
      </c>
      <c r="AJ34" s="13" t="n">
        <f aca="false">Construction!AJ14*AJ29*(Construction!AJ17+Inputs!$F$80)/100*Construction!AJ11/Inputs!$F$247*1</f>
        <v>0.713544887129813</v>
      </c>
      <c r="AK34" s="13" t="n">
        <f aca="false">Construction!AK14*AK29*(Construction!AK17+Inputs!$F$80)/100*Construction!AK11/Inputs!$F$247*1</f>
        <v>0.707373568097671</v>
      </c>
      <c r="AL34" s="13" t="n">
        <f aca="false">Construction!AL14*AL29*(Construction!AL17+Inputs!$F$80)/100*Construction!AL11/Inputs!$F$247*1</f>
        <v>0.745231714522831</v>
      </c>
      <c r="AM34" s="13" t="n">
        <f aca="false">Construction!AM14*AM29*(Construction!AM17+Inputs!$F$80)/100*Construction!AM11/Inputs!$F$247*1</f>
        <v>0.760142239835027</v>
      </c>
      <c r="AN34" s="13" t="n">
        <f aca="false">Construction!AN14*AN29*(Construction!AN17+Inputs!$F$80)/100*Construction!AN11/Inputs!$F$247*1</f>
        <v>0.694800566668624</v>
      </c>
      <c r="AO34" s="13" t="n">
        <f aca="false">Construction!AO14*AO29*(Construction!AO17+Inputs!$F$80)/100*Construction!AO11/Inputs!$F$247*1</f>
        <v>0.776118740734128</v>
      </c>
      <c r="AP34" s="13" t="n">
        <f aca="false">Construction!AP14*AP29*(Construction!AP17+Inputs!$F$80)/100*Construction!AP11/Inputs!$F$247*1</f>
        <v>0.756641528177375</v>
      </c>
      <c r="AQ34" s="13" t="n">
        <f aca="false">Construction!AQ14*AQ29*(Construction!AQ17+Inputs!$F$80)/100*Construction!AQ11/Inputs!$F$247*1</f>
        <v>0.838280595853671</v>
      </c>
      <c r="AR34" s="13" t="n">
        <f aca="false">Construction!AR14*AR29*(Construction!AR17+Inputs!$F$80)/100*Construction!AR11/Inputs!$F$247*1</f>
        <v>0.853199565176895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6.65233816471483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0.04762354916504</v>
      </c>
      <c r="L35" s="13" t="n">
        <f aca="false">Construction!L14*L30*(Construction!L17+Inputs!$F$81)/100*Construction!L11/Inputs!$F$247*1</f>
        <v>0.0502408064488439</v>
      </c>
      <c r="M35" s="13" t="n">
        <f aca="false">Construction!M14*M30*(Construction!M17+Inputs!$F$81)/100*Construction!M11/Inputs!$F$247*1</f>
        <v>0.0498925630829692</v>
      </c>
      <c r="N35" s="13" t="n">
        <f aca="false">Construction!N14*N30*(Construction!N17+Inputs!$F$81)/100*Construction!N11/Inputs!$F$247*1</f>
        <v>0.0534176984782314</v>
      </c>
      <c r="O35" s="13" t="n">
        <f aca="false">Construction!O14*O30*(Construction!O17+Inputs!$F$81)/100*Construction!O11/Inputs!$F$247*1</f>
        <v>0.0586611381191908</v>
      </c>
      <c r="P35" s="13" t="n">
        <f aca="false">Construction!P14*P30*(Construction!P17+Inputs!$F$81)/100*Construction!P11/Inputs!$F$247*1</f>
        <v>0.0564815101168157</v>
      </c>
      <c r="Q35" s="13" t="n">
        <f aca="false">Construction!Q14*Q30*(Construction!Q17+Inputs!$F$81)/100*Construction!Q11/Inputs!$F$247*1</f>
        <v>0.0675864711799588</v>
      </c>
      <c r="R35" s="13" t="n">
        <f aca="false">Construction!R14*R30*(Construction!R17+Inputs!$F$81)/100*Construction!R11/Inputs!$F$247*1</f>
        <v>0.0716159309102726</v>
      </c>
      <c r="S35" s="13" t="n">
        <f aca="false">Construction!S14*S30*(Construction!S17+Inputs!$F$81)/100*Construction!S11/Inputs!$F$247*1</f>
        <v>0.08177827950264</v>
      </c>
      <c r="T35" s="13" t="n">
        <f aca="false">Construction!T14*T30*(Construction!T17+Inputs!$F$81)/100*Construction!T11/Inputs!$F$247*1</f>
        <v>0.0880034522115079</v>
      </c>
      <c r="U35" s="13" t="n">
        <f aca="false">Construction!U14*U30*(Construction!U17+Inputs!$F$81)/100*Construction!U11/Inputs!$F$247*1</f>
        <v>0.103846879852848</v>
      </c>
      <c r="V35" s="13" t="n">
        <f aca="false">Construction!V14*V30*(Construction!V17+Inputs!$F$81)/100*Construction!V11/Inputs!$F$247*1</f>
        <v>0.115825284612996</v>
      </c>
      <c r="W35" s="13" t="n">
        <f aca="false">Construction!W14*W30*(Construction!W17+Inputs!$F$81)/100*Construction!W11/Inputs!$F$247*1</f>
        <v>0.124762729763904</v>
      </c>
      <c r="X35" s="13" t="n">
        <f aca="false">Construction!X14*X30*(Construction!X17+Inputs!$F$81)/100*Construction!X11/Inputs!$F$247*1</f>
        <v>0.142946932222977</v>
      </c>
      <c r="Y35" s="13" t="n">
        <f aca="false">Construction!Y14*Y30*(Construction!Y17+Inputs!$F$81)/100*Construction!Y11/Inputs!$F$247*1</f>
        <v>0.152653785363542</v>
      </c>
      <c r="Z35" s="13" t="n">
        <f aca="false">Construction!Z14*Z30*(Construction!Z17+Inputs!$F$81)/100*Construction!Z11/Inputs!$F$247*1</f>
        <v>0.173049505080657</v>
      </c>
      <c r="AA35" s="13" t="n">
        <f aca="false">Construction!AA14*AA30*(Construction!AA17+Inputs!$F$81)/100*Construction!AA11/Inputs!$F$247*1</f>
        <v>0.191059019218107</v>
      </c>
      <c r="AB35" s="13" t="n">
        <f aca="false">Construction!AB14*AB30*(Construction!AB17+Inputs!$F$81)/100*Construction!AB11/Inputs!$F$247*1</f>
        <v>0.194090981216973</v>
      </c>
      <c r="AC35" s="13" t="n">
        <f aca="false">Construction!AC14*AC30*(Construction!AC17+Inputs!$F$81)/100*Construction!AC11/Inputs!$F$247*1</f>
        <v>0.223135217784418</v>
      </c>
      <c r="AD35" s="13" t="n">
        <f aca="false">Construction!AD14*AD30*(Construction!AD17+Inputs!$F$81)/100*Construction!AD11/Inputs!$F$247*1</f>
        <v>0.230731928041192</v>
      </c>
      <c r="AE35" s="13" t="n">
        <f aca="false">Construction!AE14*AE30*(Construction!AE17+Inputs!$F$81)/100*Construction!AE11/Inputs!$F$247*1</f>
        <v>0.253036019476994</v>
      </c>
      <c r="AF35" s="13" t="n">
        <f aca="false">Construction!AF14*AF30*(Construction!AF17+Inputs!$F$81)/100*Construction!AF11/Inputs!$F$247*1</f>
        <v>0.258216755377101</v>
      </c>
      <c r="AG35" s="13" t="n">
        <f aca="false">Construction!AG14*AG30*(Construction!AG17+Inputs!$F$81)/100*Construction!AG11/Inputs!$F$247*1</f>
        <v>0.281291037149395</v>
      </c>
      <c r="AH35" s="13" t="n">
        <f aca="false">Construction!AH14*AH30*(Construction!AH17+Inputs!$F$81)/100*Construction!AH11/Inputs!$F$247*1</f>
        <v>0.29294061948423</v>
      </c>
      <c r="AI35" s="13" t="n">
        <f aca="false">Construction!AI14*AI30*(Construction!AI17+Inputs!$F$81)/100*Construction!AI11/Inputs!$F$247*1</f>
        <v>0.293510454928109</v>
      </c>
      <c r="AJ35" s="13" t="n">
        <f aca="false">Construction!AJ14*AJ30*(Construction!AJ17+Inputs!$F$81)/100*Construction!AJ11/Inputs!$F$247*1</f>
        <v>0.312254435094065</v>
      </c>
      <c r="AK35" s="13" t="n">
        <f aca="false">Construction!AK14*AK30*(Construction!AK17+Inputs!$F$81)/100*Construction!AK11/Inputs!$F$247*1</f>
        <v>0.309553803679105</v>
      </c>
      <c r="AL35" s="13" t="n">
        <f aca="false">Construction!AL14*AL30*(Construction!AL17+Inputs!$F$81)/100*Construction!AL11/Inputs!$F$247*1</f>
        <v>0.326120910162409</v>
      </c>
      <c r="AM35" s="13" t="n">
        <f aca="false">Construction!AM14*AM30*(Construction!AM17+Inputs!$F$81)/100*Construction!AM11/Inputs!$F$247*1</f>
        <v>0.332703205862512</v>
      </c>
      <c r="AN35" s="13" t="n">
        <f aca="false">Construction!AN14*AN30*(Construction!AN17+Inputs!$F$81)/100*Construction!AN11/Inputs!$F$247*1</f>
        <v>0.304104105589383</v>
      </c>
      <c r="AO35" s="13" t="n">
        <f aca="false">Construction!AO14*AO30*(Construction!AO17+Inputs!$F$81)/100*Construction!AO11/Inputs!$F$247*1</f>
        <v>0.339695888006777</v>
      </c>
      <c r="AP35" s="13" t="n">
        <f aca="false">Construction!AP14*AP30*(Construction!AP17+Inputs!$F$81)/100*Construction!AP11/Inputs!$F$247*1</f>
        <v>0.331170995270513</v>
      </c>
      <c r="AQ35" s="13" t="n">
        <f aca="false">Construction!AQ14*AQ30*(Construction!AQ17+Inputs!$F$81)/100*Construction!AQ11/Inputs!$F$247*1</f>
        <v>0.366903228155538</v>
      </c>
      <c r="AR35" s="13" t="n">
        <f aca="false">Construction!AR14*AR30*(Construction!AR17+Inputs!$F$81)/100*Construction!AR11/Inputs!$F$247*1</f>
        <v>0.373433044105614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31.1546218062015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0.224853228752955</v>
      </c>
      <c r="L36" s="13" t="n">
        <f aca="false">Construction!L14*L31*(Construction!L17+Inputs!$F$82)/100*Construction!L11/Inputs!$F$247*(1/(1-Inputs!$F$93/100))</f>
        <v>0.237210534351936</v>
      </c>
      <c r="M36" s="13" t="n">
        <f aca="false">Construction!M14*M31*(Construction!M17+Inputs!$F$82)/100*Construction!M11/Inputs!$F$247*(1/(1-Inputs!$F$93/100))</f>
        <v>0.23556631323483</v>
      </c>
      <c r="N36" s="13" t="n">
        <f aca="false">Construction!N14*N31*(Construction!N17+Inputs!$F$82)/100*Construction!N11/Inputs!$F$247*(1/(1-Inputs!$F$93/100))</f>
        <v>0.252210139436635</v>
      </c>
      <c r="O36" s="13" t="n">
        <f aca="false">Construction!O14*O31*(Construction!O17+Inputs!$F$82)/100*Construction!O11/Inputs!$F$247*(1/(1-Inputs!$F$93/100))</f>
        <v>0.275689448615447</v>
      </c>
      <c r="P36" s="13" t="n">
        <f aca="false">Construction!P14*P31*(Construction!P17+Inputs!$F$82)/100*Construction!P11/Inputs!$F$247*(1/(1-Inputs!$F$93/100))</f>
        <v>0.265445862121427</v>
      </c>
      <c r="Q36" s="13" t="n">
        <f aca="false">Construction!Q14*Q31*(Construction!Q17+Inputs!$F$82)/100*Construction!Q11/Inputs!$F$247*(1/(1-Inputs!$F$93/100))</f>
        <v>0.317635790420693</v>
      </c>
      <c r="R36" s="13" t="n">
        <f aca="false">Construction!R14*R31*(Construction!R17+Inputs!$F$82)/100*Construction!R11/Inputs!$F$247*(1/(1-Inputs!$F$93/100))</f>
        <v>0.336573021556768</v>
      </c>
      <c r="S36" s="13" t="n">
        <f aca="false">Construction!S14*S31*(Construction!S17+Inputs!$F$82)/100*Construction!S11/Inputs!$F$247*(1/(1-Inputs!$F$93/100))</f>
        <v>0.384332958883167</v>
      </c>
      <c r="T36" s="13" t="n">
        <f aca="false">Construction!T14*T31*(Construction!T17+Inputs!$F$82)/100*Construction!T11/Inputs!$F$247*(1/(1-Inputs!$F$93/100))</f>
        <v>0.413589370992946</v>
      </c>
      <c r="U36" s="13" t="n">
        <f aca="false">Construction!U14*U31*(Construction!U17+Inputs!$F$82)/100*Construction!U11/Inputs!$F$247*(1/(1-Inputs!$F$93/100))</f>
        <v>0.486875522226322</v>
      </c>
      <c r="V36" s="13" t="n">
        <f aca="false">Construction!V14*V31*(Construction!V17+Inputs!$F$82)/100*Construction!V11/Inputs!$F$247*(1/(1-Inputs!$F$93/100))</f>
        <v>0.543035053271446</v>
      </c>
      <c r="W36" s="13" t="n">
        <f aca="false">Construction!W14*W31*(Construction!W17+Inputs!$F$82)/100*Construction!W11/Inputs!$F$247*(1/(1-Inputs!$F$93/100))</f>
        <v>0.584937354827191</v>
      </c>
      <c r="X36" s="13" t="n">
        <f aca="false">Construction!X14*X31*(Construction!X17+Inputs!$F$82)/100*Construction!X11/Inputs!$F$247*(1/(1-Inputs!$F$93/100))</f>
        <v>0.670192136493006</v>
      </c>
      <c r="Y36" s="13" t="n">
        <f aca="false">Construction!Y14*Y31*(Construction!Y17+Inputs!$F$82)/100*Construction!Y11/Inputs!$F$247*(1/(1-Inputs!$F$93/100))</f>
        <v>0.715701729065102</v>
      </c>
      <c r="Z36" s="13" t="n">
        <f aca="false">Construction!Z14*Z31*(Construction!Z17+Inputs!$F$82)/100*Construction!Z11/Inputs!$F$247*(1/(1-Inputs!$F$93/100))</f>
        <v>0.811324984212712</v>
      </c>
      <c r="AA36" s="13" t="n">
        <f aca="false">Construction!AA14*AA31*(Construction!AA17+Inputs!$F$82)/100*Construction!AA11/Inputs!$F$247*(1/(1-Inputs!$F$93/100))</f>
        <v>0.894650886806004</v>
      </c>
      <c r="AB36" s="13" t="n">
        <f aca="false">Construction!AB14*AB31*(Construction!AB17+Inputs!$F$82)/100*Construction!AB11/Inputs!$F$247*(1/(1-Inputs!$F$93/100))</f>
        <v>0.908848319108068</v>
      </c>
      <c r="AC36" s="13" t="n">
        <f aca="false">Construction!AC14*AC31*(Construction!AC17+Inputs!$F$82)/100*Construction!AC11/Inputs!$F$247*(1/(1-Inputs!$F$93/100))</f>
        <v>1.04485054558242</v>
      </c>
      <c r="AD36" s="13" t="n">
        <f aca="false">Construction!AD14*AD31*(Construction!AD17+Inputs!$F$82)/100*Construction!AD11/Inputs!$F$247*(1/(1-Inputs!$F$93/100))</f>
        <v>1.08042281846357</v>
      </c>
      <c r="AE36" s="13" t="n">
        <f aca="false">Construction!AE14*AE31*(Construction!AE17+Inputs!$F$82)/100*Construction!AE11/Inputs!$F$247*(1/(1-Inputs!$F$93/100))</f>
        <v>1.18486371460186</v>
      </c>
      <c r="AF36" s="13" t="n">
        <f aca="false">Construction!AF14*AF31*(Construction!AF17+Inputs!$F$82)/100*Construction!AF11/Inputs!$F$247*(1/(1-Inputs!$F$93/100))</f>
        <v>1.20912297221925</v>
      </c>
      <c r="AG36" s="13" t="n">
        <f aca="false">Construction!AG14*AG31*(Construction!AG17+Inputs!$F$82)/100*Construction!AG11/Inputs!$F$247*(1/(1-Inputs!$F$93/100))</f>
        <v>1.31636851371874</v>
      </c>
      <c r="AH36" s="13" t="n">
        <f aca="false">Construction!AH14*AH31*(Construction!AH17+Inputs!$F$82)/100*Construction!AH11/Inputs!$F$247*(1/(1-Inputs!$F$93/100))</f>
        <v>1.37088551340333</v>
      </c>
      <c r="AI36" s="13" t="n">
        <f aca="false">Construction!AI14*AI31*(Construction!AI17+Inputs!$F$82)/100*Construction!AI11/Inputs!$F$247*(1/(1-Inputs!$F$93/100))</f>
        <v>1.37355219430409</v>
      </c>
      <c r="AJ36" s="13" t="n">
        <f aca="false">Construction!AJ14*AJ31*(Construction!AJ17+Inputs!$F$82)/100*Construction!AJ11/Inputs!$F$247*(1/(1-Inputs!$F$93/100))</f>
        <v>1.4612691210938</v>
      </c>
      <c r="AK36" s="13" t="n">
        <f aca="false">Construction!AK14*AK31*(Construction!AK17+Inputs!$F$82)/100*Construction!AK11/Inputs!$F$247*(1/(1-Inputs!$F$93/100))</f>
        <v>1.44863087211921</v>
      </c>
      <c r="AL36" s="13" t="n">
        <f aca="false">Construction!AL14*AL31*(Construction!AL17+Inputs!$F$82)/100*Construction!AL11/Inputs!$F$247*(1/(1-Inputs!$F$93/100))</f>
        <v>1.52616059919141</v>
      </c>
      <c r="AM36" s="13" t="n">
        <f aca="false">Construction!AM14*AM31*(Construction!AM17+Inputs!$F$82)/100*Construction!AM11/Inputs!$F$247*(1/(1-Inputs!$F$93/100))</f>
        <v>1.55626039900283</v>
      </c>
      <c r="AN36" s="13" t="n">
        <f aca="false">Construction!AN14*AN31*(Construction!AN17+Inputs!$F$82)/100*Construction!AN11/Inputs!$F$247*(1/(1-Inputs!$F$93/100))</f>
        <v>1.42248456992178</v>
      </c>
      <c r="AO36" s="13" t="n">
        <f aca="false">Construction!AO14*AO31*(Construction!AO17+Inputs!$F$82)/100*Construction!AO11/Inputs!$F$247*(1/(1-Inputs!$F$93/100))</f>
        <v>1.58896953468947</v>
      </c>
      <c r="AP36" s="13" t="n">
        <f aca="false">Construction!AP14*AP31*(Construction!AP17+Inputs!$F$82)/100*Construction!AP11/Inputs!$F$247*(1/(1-Inputs!$F$93/100))</f>
        <v>1.54909329443262</v>
      </c>
      <c r="AQ36" s="13" t="n">
        <f aca="false">Construction!AQ14*AQ31*(Construction!AQ17+Inputs!$F$82)/100*Construction!AQ11/Inputs!$F$247*(1/(1-Inputs!$F$93/100))</f>
        <v>1.71623523363561</v>
      </c>
      <c r="AR36" s="13" t="n">
        <f aca="false">Construction!AR14*AR31*(Construction!AR17+Inputs!$F$82)/100*Construction!AR11/Inputs!$F$247*(1/(1-Inputs!$F$93/100))</f>
        <v>1.74677925544489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4.02535544358194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0.0312056788188619</v>
      </c>
      <c r="L38" s="13" t="n">
        <f aca="false">Construction!L14*(Inputs!$F$95/100*Inputs!$F$96/100)*L31*Construction!L11/Inputs!$F$248</f>
        <v>0.0329206557917388</v>
      </c>
      <c r="M38" s="13" t="n">
        <f aca="false">Construction!M14*(Inputs!$F$95/100*Inputs!$F$96/100)*M31*Construction!M11/Inputs!$F$248</f>
        <v>0.0326924667798567</v>
      </c>
      <c r="N38" s="13" t="n">
        <f aca="false">Construction!N14*(Inputs!$F$95/100*Inputs!$F$96/100)*N31*Construction!N11/Inputs!$F$248</f>
        <v>0.0350023375237682</v>
      </c>
      <c r="O38" s="13" t="n">
        <f aca="false">Construction!O14*(Inputs!$F$95/100*Inputs!$F$96/100)*O31*Construction!O11/Inputs!$F$248</f>
        <v>0.03676151647164</v>
      </c>
      <c r="P38" s="13" t="n">
        <f aca="false">Construction!P14*(Inputs!$F$95/100*Inputs!$F$96/100)*P31*Construction!P11/Inputs!$F$248</f>
        <v>0.0353955963193826</v>
      </c>
      <c r="Q38" s="13" t="n">
        <f aca="false">Construction!Q14*(Inputs!$F$95/100*Inputs!$F$96/100)*Q31*Construction!Q11/Inputs!$F$248</f>
        <v>0.0423548068312922</v>
      </c>
      <c r="R38" s="13" t="n">
        <f aca="false">Construction!R14*(Inputs!$F$95/100*Inputs!$F$96/100)*R31*Construction!R11/Inputs!$F$248</f>
        <v>0.0448799717871232</v>
      </c>
      <c r="S38" s="13" t="n">
        <f aca="false">Construction!S14*(Inputs!$F$95/100*Inputs!$F$96/100)*S31*Construction!S11/Inputs!$F$248</f>
        <v>0.0512484698617735</v>
      </c>
      <c r="T38" s="13" t="n">
        <f aca="false">Construction!T14*(Inputs!$F$95/100*Inputs!$F$96/100)*T31*Construction!T11/Inputs!$F$248</f>
        <v>0.0551496350353995</v>
      </c>
      <c r="U38" s="13" t="n">
        <f aca="false">Construction!U14*(Inputs!$F$95/100*Inputs!$F$96/100)*U31*Construction!U11/Inputs!$F$248</f>
        <v>0.0635386198721103</v>
      </c>
      <c r="V38" s="13" t="n">
        <f aca="false">Construction!V14*(Inputs!$F$95/100*Inputs!$F$96/100)*V31*Construction!V11/Inputs!$F$248</f>
        <v>0.0708675960320854</v>
      </c>
      <c r="W38" s="13" t="n">
        <f aca="false">Construction!W14*(Inputs!$F$95/100*Inputs!$F$96/100)*W31*Construction!W11/Inputs!$F$248</f>
        <v>0.076335963795046</v>
      </c>
      <c r="X38" s="13" t="n">
        <f aca="false">Construction!X14*(Inputs!$F$95/100*Inputs!$F$96/100)*X31*Construction!X11/Inputs!$F$248</f>
        <v>0.087461951685696</v>
      </c>
      <c r="Y38" s="13" t="n">
        <f aca="false">Construction!Y14*(Inputs!$F$95/100*Inputs!$F$96/100)*Y31*Construction!Y11/Inputs!$F$248</f>
        <v>0.093401081033893</v>
      </c>
      <c r="Z38" s="13" t="n">
        <f aca="false">Construction!Z14*(Inputs!$F$95/100*Inputs!$F$96/100)*Z31*Construction!Z11/Inputs!$F$248</f>
        <v>0.105880183766303</v>
      </c>
      <c r="AA38" s="13" t="n">
        <f aca="false">Construction!AA14*(Inputs!$F$95/100*Inputs!$F$96/100)*AA31*Construction!AA11/Inputs!$F$248</f>
        <v>0.11544259980819</v>
      </c>
      <c r="AB38" s="13" t="n">
        <f aca="false">Construction!AB14*(Inputs!$F$95/100*Inputs!$F$96/100)*AB31*Construction!AB11/Inputs!$F$248</f>
        <v>0.117274586474411</v>
      </c>
      <c r="AC38" s="13" t="n">
        <f aca="false">Construction!AC14*(Inputs!$F$95/100*Inputs!$F$96/100)*AC31*Construction!AC11/Inputs!$F$248</f>
        <v>0.134823834829771</v>
      </c>
      <c r="AD38" s="13" t="n">
        <f aca="false">Construction!AD14*(Inputs!$F$95/100*Inputs!$F$96/100)*AD31*Construction!AD11/Inputs!$F$248</f>
        <v>0.139413955650136</v>
      </c>
      <c r="AE38" s="13" t="n">
        <f aca="false">Construction!AE14*(Inputs!$F$95/100*Inputs!$F$96/100)*AE31*Construction!AE11/Inputs!$F$248</f>
        <v>0.152890641086112</v>
      </c>
      <c r="AF38" s="13" t="n">
        <f aca="false">Construction!AF14*(Inputs!$F$95/100*Inputs!$F$96/100)*AF31*Construction!AF11/Inputs!$F$248</f>
        <v>0.156020970257043</v>
      </c>
      <c r="AG38" s="13" t="n">
        <f aca="false">Construction!AG14*(Inputs!$F$95/100*Inputs!$F$96/100)*AG31*Construction!AG11/Inputs!$F$248</f>
        <v>0.168910621179476</v>
      </c>
      <c r="AH38" s="13" t="n">
        <f aca="false">Construction!AH14*(Inputs!$F$95/100*Inputs!$F$96/100)*AH31*Construction!AH11/Inputs!$F$248</f>
        <v>0.175906002932835</v>
      </c>
      <c r="AI38" s="13" t="n">
        <f aca="false">Construction!AI14*(Inputs!$F$95/100*Inputs!$F$96/100)*AI31*Construction!AI11/Inputs!$F$248</f>
        <v>0.176248179703809</v>
      </c>
      <c r="AJ38" s="13" t="n">
        <f aca="false">Construction!AJ14*(Inputs!$F$95/100*Inputs!$F$96/100)*AJ31*Construction!AJ11/Inputs!$F$248</f>
        <v>0.187503630162851</v>
      </c>
      <c r="AK38" s="13" t="n">
        <f aca="false">Construction!AK14*(Inputs!$F$95/100*Inputs!$F$96/100)*AK31*Construction!AK11/Inputs!$F$248</f>
        <v>0.185881945609726</v>
      </c>
      <c r="AL38" s="13" t="n">
        <f aca="false">Construction!AL14*(Inputs!$F$95/100*Inputs!$F$96/100)*AL31*Construction!AL11/Inputs!$F$248</f>
        <v>0.195830219381972</v>
      </c>
      <c r="AM38" s="13" t="n">
        <f aca="false">Construction!AM14*(Inputs!$F$95/100*Inputs!$F$96/100)*AM31*Construction!AM11/Inputs!$F$248</f>
        <v>0.198859284090007</v>
      </c>
      <c r="AN38" s="13" t="n">
        <f aca="false">Construction!AN14*(Inputs!$F$95/100*Inputs!$F$96/100)*AN31*Construction!AN11/Inputs!$F$248</f>
        <v>0.181765380257043</v>
      </c>
      <c r="AO38" s="13" t="n">
        <f aca="false">Construction!AO14*(Inputs!$F$95/100*Inputs!$F$96/100)*AO31*Construction!AO11/Inputs!$F$248</f>
        <v>0.203038864390331</v>
      </c>
      <c r="AP38" s="13" t="n">
        <f aca="false">Construction!AP14*(Inputs!$F$95/100*Inputs!$F$96/100)*AP31*Construction!AP11/Inputs!$F$248</f>
        <v>0.197943469946858</v>
      </c>
      <c r="AQ38" s="13" t="n">
        <f aca="false">Construction!AQ14*(Inputs!$F$95/100*Inputs!$F$96/100)*AQ31*Construction!AQ11/Inputs!$F$248</f>
        <v>0.219300902412928</v>
      </c>
      <c r="AR38" s="13" t="n">
        <f aca="false">Construction!AR14*(Inputs!$F$95/100*Inputs!$F$96/100)*AR31*Construction!AR11/Inputs!$F$248</f>
        <v>0.223203824002473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10.2220950413164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0.602074094050426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0.501547514168568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0.516511963878594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0.497683291479284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0.511101587959627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0.506529409960332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0.451814257365626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0.491992219666525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0.466007467750303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0.468877225884736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0.439316193152717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0.436934623596733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0.417886314954491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0.384252058626849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0.374756906247262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0.339899121315248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0.326887168147715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0.302034057951212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0.258429159776872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0.251661435841314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0.220309779219484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0.204705067825028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0.177147469375149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0.163068484678877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0.144887201536492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0.12457612515146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0.114744494264301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0.0995375737416235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0.0931033484997426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0.0852306854979074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0.0713932054362861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0.074367785439589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0.0681891789243063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0.032102083840235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0.00253648611144189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10.9017594852857</v>
      </c>
      <c r="J42" s="13" t="n">
        <f aca="false">IF(Construction!J8=1,Inputs!$F$75*$F$25*Inputs!$F$89/100+Inputs!$F$76*$F$25*Inputs!$F$90/100+Inputs!$F$77*$F$25*Inputs!$F$91/100+Inputs!$F$78*$F$25*Inputs!$F$92/100,0)</f>
        <v>10.9017594852857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40.840014591187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40.840014591187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127.208610246003</v>
      </c>
      <c r="K45" s="13" t="n">
        <f aca="false">Construction!K14*(Construction!K32+Construction!K38)+K33+K34+K35+K36+K37+K38+K39+K40+K41+K42+K43+K44</f>
        <v>2.662009363356</v>
      </c>
      <c r="L45" s="13" t="n">
        <f aca="false">Construction!L14*(Construction!L32+Construction!L38)+L33+L34+L35+L36+L37+L38+L39+L40+L41+L42+L43+L44</f>
        <v>3.39881794139479</v>
      </c>
      <c r="M45" s="13" t="n">
        <f aca="false">Construction!M14*(Construction!M32+Construction!M38)+M33+M34+M35+M36+M37+M38+M39+M40+M41+M42+M43+M44</f>
        <v>4.81333002061479</v>
      </c>
      <c r="N45" s="13" t="n">
        <f aca="false">Construction!N14*(Construction!N32+Construction!N38)+N33+N34+N35+N36+N37+N38+N39+N40+N41+N42+N43+N44</f>
        <v>6.93988787493061</v>
      </c>
      <c r="O45" s="13" t="n">
        <f aca="false">Construction!O14*(Construction!O32+Construction!O38)+O33+O34+O35+O36+O37+O38+O39+O40+O41+O42+O43+O44</f>
        <v>9.57230429369934</v>
      </c>
      <c r="P45" s="13" t="n">
        <f aca="false">Construction!P14*(Construction!P32+Construction!P38)+P33+P34+P35+P36+P37+P38+P39+P40+P41+P42+P43+P44</f>
        <v>12.4929938357921</v>
      </c>
      <c r="Q45" s="13" t="n">
        <f aca="false">Construction!Q14*(Construction!Q32+Construction!Q38)+Q33+Q34+Q35+Q36+Q37+Q38+Q39+Q40+Q41+Q42+Q43+Q44</f>
        <v>15.8633250058807</v>
      </c>
      <c r="R45" s="13" t="n">
        <f aca="false">Construction!R14*(Construction!R32+Construction!R38)+R33+R34+R35+R36+R37+R38+R39+R40+R41+R42+R43+R44</f>
        <v>19.2218062160586</v>
      </c>
      <c r="S45" s="13" t="n">
        <f aca="false">Construction!S14*(Construction!S32+Construction!S38)+S33+S34+S35+S36+S37+S38+S39+S40+S41+S42+S43+S44</f>
        <v>22.6420352049475</v>
      </c>
      <c r="T45" s="13" t="n">
        <f aca="false">Construction!T14*(Construction!T32+Construction!T38)+T33+T34+T35+T36+T37+T38+T39+T40+T41+T42+T43+T44</f>
        <v>25.8420960660629</v>
      </c>
      <c r="U45" s="13" t="n">
        <f aca="false">Construction!U14*(Construction!U32+Construction!U38)+U33+U34+U35+U36+U37+U38+U39+U40+U41+U42+U43+U44</f>
        <v>28.9125065132218</v>
      </c>
      <c r="V45" s="13" t="n">
        <f aca="false">Construction!V14*(Construction!V32+Construction!V38)+V33+V34+V35+V36+V37+V38+V39+V40+V41+V42+V43+V44</f>
        <v>31.6105572165837</v>
      </c>
      <c r="W45" s="13" t="n">
        <f aca="false">Construction!W14*(Construction!W32+Construction!W38)+W33+W34+W35+W36+W37+W38+W39+W40+W41+W42+W43+W44</f>
        <v>33.8534865250143</v>
      </c>
      <c r="X45" s="13" t="n">
        <f aca="false">Construction!X14*(Construction!X32+Construction!X38)+X33+X34+X35+X36+X37+X38+X39+X40+X41+X42+X43+X44</f>
        <v>35.711731403419</v>
      </c>
      <c r="Y45" s="13" t="n">
        <f aca="false">Construction!Y14*(Construction!Y32+Construction!Y38)+Y33+Y34+Y35+Y36+Y37+Y38+Y39+Y40+Y41+Y42+Y43+Y44</f>
        <v>36.9474290807895</v>
      </c>
      <c r="Z45" s="13" t="n">
        <f aca="false">Construction!Z14*(Construction!Z32+Construction!Z38)+Z33+Z34+Z35+Z36+Z37+Z38+Z39+Z40+Z41+Z42+Z43+Z44</f>
        <v>37.7233340726493</v>
      </c>
      <c r="AA45" s="13" t="n">
        <f aca="false">Construction!AA14*(Construction!AA32+Construction!AA38)+AA33+AA34+AA35+AA36+AA37+AA38+AA39+AA40+AA41+AA42+AA43+AA44</f>
        <v>39.1335507601427</v>
      </c>
      <c r="AB45" s="13" t="n">
        <f aca="false">Construction!AB14*(Construction!AB32+Construction!AB38)+AB33+AB34+AB35+AB36+AB37+AB38+AB39+AB40+AB41+AB42+AB43+AB44</f>
        <v>37.3246163240879</v>
      </c>
      <c r="AC45" s="13" t="n">
        <f aca="false">Construction!AC14*(Construction!AC32+Construction!AC38)+AC33+AC34+AC35+AC36+AC37+AC38+AC39+AC40+AC41+AC42+AC43+AC44</f>
        <v>36.4405780986766</v>
      </c>
      <c r="AD45" s="13" t="n">
        <f aca="false">Construction!AD14*(Construction!AD32+Construction!AD38)+AD33+AD34+AD35+AD36+AD37+AD38+AD39+AD40+AD41+AD42+AD43+AD44</f>
        <v>34.8322221066618</v>
      </c>
      <c r="AE45" s="13" t="n">
        <f aca="false">Construction!AE14*(Construction!AE32+Construction!AE38)+AE33+AE34+AE35+AE36+AE37+AE38+AE39+AE40+AE41+AE42+AE43+AE44</f>
        <v>32.8655601060699</v>
      </c>
      <c r="AF45" s="13" t="n">
        <f aca="false">Construction!AF14*(Construction!AF32+Construction!AF38)+AF33+AF34+AF35+AF36+AF37+AF38+AF39+AF40+AF41+AF42+AF43+AF44</f>
        <v>30.3325959093046</v>
      </c>
      <c r="AG45" s="13" t="n">
        <f aca="false">Construction!AG14*(Construction!AG32+Construction!AG38)+AG33+AG34+AG35+AG36+AG37+AG38+AG39+AG40+AG41+AG42+AG43+AG44</f>
        <v>27.5964904362803</v>
      </c>
      <c r="AH45" s="13" t="n">
        <f aca="false">Construction!AH14*(Construction!AH32+Construction!AH38)+AH33+AH34+AH35+AH36+AH37+AH38+AH39+AH40+AH41+AH42+AH43+AH44</f>
        <v>24.5262647401484</v>
      </c>
      <c r="AI45" s="13" t="n">
        <f aca="false">Construction!AI14*(Construction!AI32+Construction!AI38)+AI33+AI34+AI35+AI36+AI37+AI38+AI39+AI40+AI41+AI42+AI43+AI44</f>
        <v>21.2258929291534</v>
      </c>
      <c r="AJ45" s="13" t="n">
        <f aca="false">Construction!AJ14*(Construction!AJ32+Construction!AJ38)+AJ33+AJ34+AJ35+AJ36+AJ37+AJ38+AJ39+AJ40+AJ41+AJ42+AJ43+AJ44</f>
        <v>18.0457402707053</v>
      </c>
      <c r="AK45" s="13" t="n">
        <f aca="false">Construction!AK14*(Construction!AK32+Construction!AK38)+AK33+AK34+AK35+AK36+AK37+AK38+AK39+AK40+AK41+AK42+AK43+AK44</f>
        <v>14.8023083210641</v>
      </c>
      <c r="AL45" s="13" t="n">
        <f aca="false">Construction!AL14*(Construction!AL32+Construction!AL38)+AL33+AL34+AL35+AL36+AL37+AL38+AL39+AL40+AL41+AL42+AL43+AL44</f>
        <v>11.9495344490689</v>
      </c>
      <c r="AM45" s="13" t="n">
        <f aca="false">Construction!AM14*(Construction!AM32+Construction!AM38)+AM33+AM34+AM35+AM36+AM37+AM38+AM39+AM40+AM41+AM42+AM43+AM44</f>
        <v>9.39278173869504</v>
      </c>
      <c r="AN45" s="13" t="n">
        <f aca="false">Construction!AN14*(Construction!AN32+Construction!AN38)+AN33+AN34+AN35+AN36+AN37+AN38+AN39+AN40+AN41+AN42+AN43+AN44</f>
        <v>7.09548893076038</v>
      </c>
      <c r="AO45" s="13" t="n">
        <f aca="false">Construction!AO14*(Construction!AO32+Construction!AO38)+AO33+AO34+AO35+AO36+AO37+AO38+AO39+AO40+AO41+AO42+AO43+AO44</f>
        <v>5.92817279706688</v>
      </c>
      <c r="AP45" s="13" t="n">
        <f aca="false">Construction!AP14*(Construction!AP32+Construction!AP38)+AP33+AP34+AP35+AP36+AP37+AP38+AP39+AP40+AP41+AP42+AP43+AP44</f>
        <v>58.2248916943015</v>
      </c>
      <c r="AQ45" s="13" t="n">
        <f aca="false">Construction!AQ14*(Construction!AQ32+Construction!AQ38)+AQ33+AQ34+AQ35+AQ36+AQ37+AQ38+AQ39+AQ40+AQ41+AQ42+AQ43+AQ44</f>
        <v>44.7478573488783</v>
      </c>
      <c r="AR45" s="13" t="n">
        <f aca="false">Construction!AR14*(Construction!AR32+Construction!AR38)+AR33+AR34+AR35+AR36+AR37+AR38+AR39+AR40+AR41+AR42+AR43+AR44</f>
        <v>3.97834325774739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693.496150463468</v>
      </c>
      <c r="K46" s="13" t="n">
        <f aca="false">$F$25-K28-K29-K30-K31</f>
        <v>596.961929182982</v>
      </c>
      <c r="L46" s="13" t="n">
        <f aca="false">$F$25-L28-L29-L30-L31</f>
        <v>594.941822207236</v>
      </c>
      <c r="M46" s="13" t="n">
        <f aca="false">$F$25-M28-M29-M30-M31</f>
        <v>592.362576646639</v>
      </c>
      <c r="N46" s="13" t="n">
        <f aca="false">$F$25-N28-N29-N30-N31</f>
        <v>588.709906718027</v>
      </c>
      <c r="O46" s="13" t="n">
        <f aca="false">$F$25-O28-O29-O30-O31</f>
        <v>583.443465472543</v>
      </c>
      <c r="P46" s="13" t="n">
        <f aca="false">$F$25-P28-P29-P30-P31</f>
        <v>576.179374314993</v>
      </c>
      <c r="Q46" s="13" t="n">
        <f aca="false">$F$25-Q28-Q29-Q30-Q31</f>
        <v>566.698872727342</v>
      </c>
      <c r="R46" s="13" t="n">
        <f aca="false">$F$25-R28-R29-R30-R31</f>
        <v>554.660743206074</v>
      </c>
      <c r="S46" s="13" t="n">
        <f aca="false">$F$25-S28-S29-S30-S31</f>
        <v>540.073978276536</v>
      </c>
      <c r="T46" s="13" t="n">
        <f aca="false">$F$25-T28-T29-T30-T31</f>
        <v>522.89171968187</v>
      </c>
      <c r="U46" s="13" t="n">
        <f aca="false">$F$25-U28-U29-U30-U31</f>
        <v>503.281045410933</v>
      </c>
      <c r="V46" s="13" t="n">
        <f aca="false">$F$25-V28-V29-V30-V31</f>
        <v>481.340342685517</v>
      </c>
      <c r="W46" s="13" t="n">
        <f aca="false">$F$25-W28-W29-W30-W31</f>
        <v>457.352182456079</v>
      </c>
      <c r="X46" s="13" t="n">
        <f aca="false">$F$25-X28-X29-X30-X31</f>
        <v>431.661940632025</v>
      </c>
      <c r="Y46" s="13" t="n">
        <f aca="false">$F$25-Y28-Y29-Y30-Y31</f>
        <v>404.561540942569</v>
      </c>
      <c r="Z46" s="13" t="n">
        <f aca="false">$F$25-Z28-Z29-Z30-Z31</f>
        <v>376.523412959466</v>
      </c>
      <c r="AA46" s="13" t="n">
        <f aca="false">$F$25-AA28-AA29-AA30-AA31</f>
        <v>347.896477473224</v>
      </c>
      <c r="AB46" s="13" t="n">
        <f aca="false">$F$25-AB28-AB29-AB30-AB31</f>
        <v>318.199377243411</v>
      </c>
      <c r="AC46" s="13" t="n">
        <f aca="false">$F$25-AC28-AC29-AC30-AC31</f>
        <v>289.875014887193</v>
      </c>
      <c r="AD46" s="13" t="n">
        <f aca="false">$F$25-AD28-AD29-AD30-AD31</f>
        <v>262.221518610772</v>
      </c>
      <c r="AE46" s="13" t="n">
        <f aca="false">$F$25-AE28-AE29-AE30-AE31</f>
        <v>235.78854815356</v>
      </c>
      <c r="AF46" s="13" t="n">
        <f aca="false">$F$25-AF28-AF29-AF30-AF31</f>
        <v>210.84800957169</v>
      </c>
      <c r="AG46" s="13" t="n">
        <f aca="false">$F$25-AG28-AG29-AG30-AG31</f>
        <v>187.8296500451</v>
      </c>
      <c r="AH46" s="13" t="n">
        <f aca="false">$F$25-AH28-AH29-AH30-AH31</f>
        <v>166.887626473041</v>
      </c>
      <c r="AI46" s="13" t="n">
        <f aca="false">$F$25-AI28-AI29-AI30-AI31</f>
        <v>148.275491154287</v>
      </c>
      <c r="AJ46" s="13" t="n">
        <f aca="false">$F$25-AJ28-AJ29-AJ30-AJ31</f>
        <v>132.167894027517</v>
      </c>
      <c r="AK46" s="13" t="n">
        <f aca="false">$F$25-AK28-AK29-AK30-AK31</f>
        <v>118.473604929526</v>
      </c>
      <c r="AL46" s="13" t="n">
        <f aca="false">$F$25-AL28-AL29-AL30-AL31</f>
        <v>107.240644329106</v>
      </c>
      <c r="AM46" s="13" t="n">
        <f aca="false">$F$25-AM28-AM29-AM30-AM31</f>
        <v>98.1725553021566</v>
      </c>
      <c r="AN46" s="13" t="n">
        <f aca="false">$F$25-AN28-AN29-AN30-AN31</f>
        <v>91.0446976119498</v>
      </c>
      <c r="AO46" s="13" t="n">
        <f aca="false">$F$25-AO28-AO29-AO30-AO31</f>
        <v>85.6601760987389</v>
      </c>
      <c r="AP46" s="13" t="n">
        <f aca="false">$F$25-AP28-AP29-AP30-AP31</f>
        <v>81.1614904871728</v>
      </c>
      <c r="AQ46" s="13" t="n">
        <f aca="false">$F$25-AQ28-AQ29-AQ30-AQ31</f>
        <v>36.9766309247543</v>
      </c>
      <c r="AR46" s="13" t="n">
        <f aca="false">$F$25-AR28-AR29-AR30-AR31</f>
        <v>3.01902730978998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693.496150463468</v>
      </c>
      <c r="J47" s="13" t="n">
        <f aca="false">MIN($F$26*J45/(1-Inputs!$F$94/100*Inputs!$F$75*$F$26),J46)</f>
        <v>96.5342212804864</v>
      </c>
      <c r="K47" s="13" t="n">
        <f aca="false">MIN($F$26*K45/(1-Inputs!$F$94/100*Inputs!$F$75*$F$26),K46)</f>
        <v>2.02010697574624</v>
      </c>
      <c r="L47" s="13" t="n">
        <f aca="false">MIN($F$26*L45/(1-Inputs!$F$94/100*Inputs!$F$75*$F$26),L46)</f>
        <v>2.5792455605968</v>
      </c>
      <c r="M47" s="13" t="n">
        <f aca="false">MIN($F$26*M45/(1-Inputs!$F$94/100*Inputs!$F$75*$F$26),M46)</f>
        <v>3.65266992861151</v>
      </c>
      <c r="N47" s="13" t="n">
        <f aca="false">MIN($F$26*N45/(1-Inputs!$F$94/100*Inputs!$F$75*$F$26),N46)</f>
        <v>5.26644124548453</v>
      </c>
      <c r="O47" s="13" t="n">
        <f aca="false">MIN($F$26*O45/(1-Inputs!$F$94/100*Inputs!$F$75*$F$26),O46)</f>
        <v>7.26409115754928</v>
      </c>
      <c r="P47" s="13" t="n">
        <f aca="false">MIN($F$26*P45/(1-Inputs!$F$94/100*Inputs!$F$75*$F$26),P46)</f>
        <v>9.48050158765097</v>
      </c>
      <c r="Q47" s="13" t="n">
        <f aca="false">MIN($F$26*Q45/(1-Inputs!$F$94/100*Inputs!$F$75*$F$26),Q46)</f>
        <v>12.0381295212686</v>
      </c>
      <c r="R47" s="13" t="n">
        <f aca="false">MIN($F$26*R45/(1-Inputs!$F$94/100*Inputs!$F$75*$F$26),R46)</f>
        <v>14.5867649295378</v>
      </c>
      <c r="S47" s="13" t="n">
        <f aca="false">MIN($F$26*S45/(1-Inputs!$F$94/100*Inputs!$F$75*$F$26),S46)</f>
        <v>17.1822585946665</v>
      </c>
      <c r="T47" s="13" t="n">
        <f aca="false">MIN($F$26*T45/(1-Inputs!$F$94/100*Inputs!$F$75*$F$26),T46)</f>
        <v>19.6106742709367</v>
      </c>
      <c r="U47" s="13" t="n">
        <f aca="false">MIN($F$26*U45/(1-Inputs!$F$94/100*Inputs!$F$75*$F$26),U46)</f>
        <v>21.940702725416</v>
      </c>
      <c r="V47" s="13" t="n">
        <f aca="false">MIN($F$26*V45/(1-Inputs!$F$94/100*Inputs!$F$75*$F$26),V46)</f>
        <v>23.9881602294374</v>
      </c>
      <c r="W47" s="13" t="n">
        <f aca="false">MIN($F$26*W45/(1-Inputs!$F$94/100*Inputs!$F$75*$F$26),W46)</f>
        <v>25.6902418240544</v>
      </c>
      <c r="X47" s="13" t="n">
        <f aca="false">MIN($F$26*X45/(1-Inputs!$F$94/100*Inputs!$F$75*$F$26),X46)</f>
        <v>27.1003996894563</v>
      </c>
      <c r="Y47" s="13" t="n">
        <f aca="false">MIN($F$26*Y45/(1-Inputs!$F$94/100*Inputs!$F$75*$F$26),Y46)</f>
        <v>28.0381279831023</v>
      </c>
      <c r="Z47" s="13" t="n">
        <f aca="false">MIN($F$26*Z45/(1-Inputs!$F$94/100*Inputs!$F$75*$F$26),Z46)</f>
        <v>28.6269354862421</v>
      </c>
      <c r="AA47" s="13" t="n">
        <f aca="false">MIN($F$26*AA45/(1-Inputs!$F$94/100*Inputs!$F$75*$F$26),AA46)</f>
        <v>29.697100229813</v>
      </c>
      <c r="AB47" s="13" t="n">
        <f aca="false">MIN($F$26*AB45/(1-Inputs!$F$94/100*Inputs!$F$75*$F$26),AB46)</f>
        <v>28.3243623562185</v>
      </c>
      <c r="AC47" s="13" t="n">
        <f aca="false">MIN($F$26*AC45/(1-Inputs!$F$94/100*Inputs!$F$75*$F$26),AC46)</f>
        <v>27.6534962764207</v>
      </c>
      <c r="AD47" s="13" t="n">
        <f aca="false">MIN($F$26*AD45/(1-Inputs!$F$94/100*Inputs!$F$75*$F$26),AD46)</f>
        <v>26.4329704572116</v>
      </c>
      <c r="AE47" s="13" t="n">
        <f aca="false">MIN($F$26*AE45/(1-Inputs!$F$94/100*Inputs!$F$75*$F$26),AE46)</f>
        <v>24.9405385818698</v>
      </c>
      <c r="AF47" s="13" t="n">
        <f aca="false">MIN($F$26*AF45/(1-Inputs!$F$94/100*Inputs!$F$75*$F$26),AF46)</f>
        <v>23.0183595265903</v>
      </c>
      <c r="AG47" s="13" t="n">
        <f aca="false">MIN($F$26*AG45/(1-Inputs!$F$94/100*Inputs!$F$75*$F$26),AG46)</f>
        <v>20.9420235720594</v>
      </c>
      <c r="AH47" s="13" t="n">
        <f aca="false">MIN($F$26*AH45/(1-Inputs!$F$94/100*Inputs!$F$75*$F$26),AH46)</f>
        <v>18.6121353187543</v>
      </c>
      <c r="AI47" s="13" t="n">
        <f aca="false">MIN($F$26*AI45/(1-Inputs!$F$94/100*Inputs!$F$75*$F$26),AI46)</f>
        <v>16.1075971267691</v>
      </c>
      <c r="AJ47" s="13" t="n">
        <f aca="false">MIN($F$26*AJ45/(1-Inputs!$F$94/100*Inputs!$F$75*$F$26),AJ46)</f>
        <v>13.6942890979912</v>
      </c>
      <c r="AK47" s="13" t="n">
        <f aca="false">MIN($F$26*AK45/(1-Inputs!$F$94/100*Inputs!$F$75*$F$26),AK46)</f>
        <v>11.2329606004204</v>
      </c>
      <c r="AL47" s="13" t="n">
        <f aca="false">MIN($F$26*AL45/(1-Inputs!$F$94/100*Inputs!$F$75*$F$26),AL46)</f>
        <v>9.06808902694903</v>
      </c>
      <c r="AM47" s="13" t="n">
        <f aca="false">MIN($F$26*AM45/(1-Inputs!$F$94/100*Inputs!$F$75*$F$26),AM46)</f>
        <v>7.12785769020686</v>
      </c>
      <c r="AN47" s="13" t="n">
        <f aca="false">MIN($F$26*AN45/(1-Inputs!$F$94/100*Inputs!$F$75*$F$26),AN46)</f>
        <v>5.38452151321092</v>
      </c>
      <c r="AO47" s="13" t="n">
        <f aca="false">MIN($F$26*AO45/(1-Inputs!$F$94/100*Inputs!$F$75*$F$26),AO46)</f>
        <v>4.49868561156611</v>
      </c>
      <c r="AP47" s="13" t="n">
        <f aca="false">MIN($F$26*AP45/(1-Inputs!$F$94/100*Inputs!$F$75*$F$26),AP46)</f>
        <v>44.1848595624184</v>
      </c>
      <c r="AQ47" s="13" t="n">
        <f aca="false">MIN($F$26*AQ45/(1-Inputs!$F$94/100*Inputs!$F$75*$F$26),AQ46)</f>
        <v>33.9576036149644</v>
      </c>
      <c r="AR47" s="13" t="n">
        <f aca="false">MIN($F$26*AR45/(1-Inputs!$F$94/100*Inputs!$F$75*$F$26),AR46)</f>
        <v>3.01902730978998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22.5732996975859</v>
      </c>
      <c r="J48" s="13" t="n">
        <f aca="false">Inputs!$F$94/100*Inputs!$F$75*J47</f>
        <v>3.14218890267983</v>
      </c>
      <c r="K48" s="13" t="n">
        <f aca="false">Inputs!$F$94/100*Inputs!$F$75*K47</f>
        <v>0.06575448206054</v>
      </c>
      <c r="L48" s="13" t="n">
        <f aca="false">Inputs!$F$94/100*Inputs!$F$75*L47</f>
        <v>0.0839544429974259</v>
      </c>
      <c r="M48" s="13" t="n">
        <f aca="false">Inputs!$F$94/100*Inputs!$F$75*M47</f>
        <v>0.118894406176305</v>
      </c>
      <c r="N48" s="13" t="n">
        <f aca="false">Inputs!$F$94/100*Inputs!$F$75*N47</f>
        <v>0.171422662540522</v>
      </c>
      <c r="O48" s="13" t="n">
        <f aca="false">Inputs!$F$94/100*Inputs!$F$75*O47</f>
        <v>0.236446167178229</v>
      </c>
      <c r="P48" s="13" t="n">
        <f aca="false">Inputs!$F$94/100*Inputs!$F$75*P47</f>
        <v>0.308590326678039</v>
      </c>
      <c r="Q48" s="13" t="n">
        <f aca="false">Inputs!$F$94/100*Inputs!$F$75*Q47</f>
        <v>0.391841115917294</v>
      </c>
      <c r="R48" s="13" t="n">
        <f aca="false">Inputs!$F$94/100*Inputs!$F$75*R47</f>
        <v>0.474799198456454</v>
      </c>
      <c r="S48" s="13" t="n">
        <f aca="false">Inputs!$F$94/100*Inputs!$F$75*S47</f>
        <v>0.559282517256394</v>
      </c>
      <c r="T48" s="13" t="n">
        <f aca="false">Inputs!$F$94/100*Inputs!$F$75*T47</f>
        <v>0.63832744751899</v>
      </c>
      <c r="U48" s="13" t="n">
        <f aca="false">Inputs!$F$94/100*Inputs!$F$75*U47</f>
        <v>0.714169873712292</v>
      </c>
      <c r="V48" s="13" t="n">
        <f aca="false">Inputs!$F$94/100*Inputs!$F$75*V47</f>
        <v>0.780814615468187</v>
      </c>
      <c r="W48" s="13" t="n">
        <f aca="false">Inputs!$F$94/100*Inputs!$F$75*W47</f>
        <v>0.836217371372971</v>
      </c>
      <c r="X48" s="13" t="n">
        <f aca="false">Inputs!$F$94/100*Inputs!$F$75*X47</f>
        <v>0.882118009891804</v>
      </c>
      <c r="Y48" s="13" t="n">
        <f aca="false">Inputs!$F$94/100*Inputs!$F$75*Y47</f>
        <v>0.912641065849981</v>
      </c>
      <c r="Z48" s="13" t="n">
        <f aca="false">Inputs!$F$94/100*Inputs!$F$75*Z47</f>
        <v>0.931806750077181</v>
      </c>
      <c r="AA48" s="13" t="n">
        <f aca="false">Inputs!$F$94/100*Inputs!$F$75*AA47</f>
        <v>0.966640612480412</v>
      </c>
      <c r="AB48" s="13" t="n">
        <f aca="false">Inputs!$F$94/100*Inputs!$F$75*AB47</f>
        <v>0.921957994694913</v>
      </c>
      <c r="AC48" s="13" t="n">
        <f aca="false">Inputs!$F$94/100*Inputs!$F$75*AC47</f>
        <v>0.900121303797494</v>
      </c>
      <c r="AD48" s="13" t="n">
        <f aca="false">Inputs!$F$94/100*Inputs!$F$75*AD47</f>
        <v>0.860393188382238</v>
      </c>
      <c r="AE48" s="13" t="n">
        <f aca="false">Inputs!$F$94/100*Inputs!$F$75*AE47</f>
        <v>0.811814530839862</v>
      </c>
      <c r="AF48" s="13" t="n">
        <f aca="false">Inputs!$F$94/100*Inputs!$F$75*AF47</f>
        <v>0.749247602590513</v>
      </c>
      <c r="AG48" s="13" t="n">
        <f aca="false">Inputs!$F$94/100*Inputs!$F$75*AG47</f>
        <v>0.681662867270534</v>
      </c>
      <c r="AH48" s="13" t="n">
        <f aca="false">Inputs!$F$94/100*Inputs!$F$75*AH47</f>
        <v>0.605825004625452</v>
      </c>
      <c r="AI48" s="13" t="n">
        <f aca="false">Inputs!$F$94/100*Inputs!$F$75*AI47</f>
        <v>0.524302286476334</v>
      </c>
      <c r="AJ48" s="13" t="n">
        <f aca="false">Inputs!$F$94/100*Inputs!$F$75*AJ47</f>
        <v>0.445749110139615</v>
      </c>
      <c r="AK48" s="13" t="n">
        <f aca="false">Inputs!$F$94/100*Inputs!$F$75*AK47</f>
        <v>0.365632867543685</v>
      </c>
      <c r="AL48" s="13" t="n">
        <f aca="false">Inputs!$F$94/100*Inputs!$F$75*AL47</f>
        <v>0.295166297827191</v>
      </c>
      <c r="AM48" s="13" t="n">
        <f aca="false">Inputs!$F$94/100*Inputs!$F$75*AM47</f>
        <v>0.232011767816233</v>
      </c>
      <c r="AN48" s="13" t="n">
        <f aca="false">Inputs!$F$94/100*Inputs!$F$75*AN47</f>
        <v>0.175266175255015</v>
      </c>
      <c r="AO48" s="13" t="n">
        <f aca="false">Inputs!$F$94/100*Inputs!$F$75*AO47</f>
        <v>0.146432216656477</v>
      </c>
      <c r="AP48" s="13" t="n">
        <f aca="false">Inputs!$F$94/100*Inputs!$F$75*AP47</f>
        <v>1.43821717875672</v>
      </c>
      <c r="AQ48" s="13" t="n">
        <f aca="false">Inputs!$F$94/100*Inputs!$F$75*AQ47</f>
        <v>1.10531999766709</v>
      </c>
      <c r="AR48" s="13" t="n">
        <f aca="false">Inputs!$F$94/100*Inputs!$F$75*AR47</f>
        <v>0.0982693389336637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936.432450796817</v>
      </c>
      <c r="J49" s="13" t="n">
        <f aca="false">J45+J48</f>
        <v>130.350799148683</v>
      </c>
      <c r="K49" s="13" t="n">
        <f aca="false">K45+K48</f>
        <v>2.72776384541654</v>
      </c>
      <c r="L49" s="13" t="n">
        <f aca="false">L45+L48</f>
        <v>3.48277238439221</v>
      </c>
      <c r="M49" s="13" t="n">
        <f aca="false">M45+M48</f>
        <v>4.9322244267911</v>
      </c>
      <c r="N49" s="13" t="n">
        <f aca="false">N45+N48</f>
        <v>7.11131053747113</v>
      </c>
      <c r="O49" s="13" t="n">
        <f aca="false">O45+O48</f>
        <v>9.80875046087757</v>
      </c>
      <c r="P49" s="13" t="n">
        <f aca="false">P45+P48</f>
        <v>12.8015841624701</v>
      </c>
      <c r="Q49" s="13" t="n">
        <f aca="false">Q45+Q48</f>
        <v>16.255166121798</v>
      </c>
      <c r="R49" s="13" t="n">
        <f aca="false">R45+R48</f>
        <v>19.6966054145151</v>
      </c>
      <c r="S49" s="13" t="n">
        <f aca="false">S45+S48</f>
        <v>23.2013177222039</v>
      </c>
      <c r="T49" s="13" t="n">
        <f aca="false">T45+T48</f>
        <v>26.4804235135819</v>
      </c>
      <c r="U49" s="13" t="n">
        <f aca="false">U45+U48</f>
        <v>29.6266763869341</v>
      </c>
      <c r="V49" s="13" t="n">
        <f aca="false">V45+V48</f>
        <v>32.3913718320519</v>
      </c>
      <c r="W49" s="13" t="n">
        <f aca="false">W45+W48</f>
        <v>34.6897038963873</v>
      </c>
      <c r="X49" s="13" t="n">
        <f aca="false">X45+X48</f>
        <v>36.5938494133108</v>
      </c>
      <c r="Y49" s="13" t="n">
        <f aca="false">Y45+Y48</f>
        <v>37.8600701466395</v>
      </c>
      <c r="Z49" s="13" t="n">
        <f aca="false">Z45+Z48</f>
        <v>38.6551408227265</v>
      </c>
      <c r="AA49" s="13" t="n">
        <f aca="false">AA45+AA48</f>
        <v>40.1001913726231</v>
      </c>
      <c r="AB49" s="13" t="n">
        <f aca="false">AB45+AB48</f>
        <v>38.2465743187828</v>
      </c>
      <c r="AC49" s="13" t="n">
        <f aca="false">AC45+AC48</f>
        <v>37.3406994024741</v>
      </c>
      <c r="AD49" s="13" t="n">
        <f aca="false">AD45+AD48</f>
        <v>35.692615295044</v>
      </c>
      <c r="AE49" s="13" t="n">
        <f aca="false">AE45+AE48</f>
        <v>33.6773746369097</v>
      </c>
      <c r="AF49" s="13" t="n">
        <f aca="false">AF45+AF48</f>
        <v>31.0818435118951</v>
      </c>
      <c r="AG49" s="13" t="n">
        <f aca="false">AG45+AG48</f>
        <v>28.2781533035509</v>
      </c>
      <c r="AH49" s="13" t="n">
        <f aca="false">AH45+AH48</f>
        <v>25.1320897447739</v>
      </c>
      <c r="AI49" s="13" t="n">
        <f aca="false">AI45+AI48</f>
        <v>21.7501952156297</v>
      </c>
      <c r="AJ49" s="13" t="n">
        <f aca="false">AJ45+AJ48</f>
        <v>18.491489380845</v>
      </c>
      <c r="AK49" s="13" t="n">
        <f aca="false">AK45+AK48</f>
        <v>15.1679411886078</v>
      </c>
      <c r="AL49" s="13" t="n">
        <f aca="false">AL45+AL48</f>
        <v>12.2447007468961</v>
      </c>
      <c r="AM49" s="13" t="n">
        <f aca="false">AM45+AM48</f>
        <v>9.62479350651127</v>
      </c>
      <c r="AN49" s="13" t="n">
        <f aca="false">AN45+AN48</f>
        <v>7.2707551060154</v>
      </c>
      <c r="AO49" s="13" t="n">
        <f aca="false">AO45+AO48</f>
        <v>6.07460501372335</v>
      </c>
      <c r="AP49" s="13" t="n">
        <f aca="false">AP45+AP48</f>
        <v>59.6631088730582</v>
      </c>
      <c r="AQ49" s="13" t="n">
        <f aca="false">AQ45+AQ48</f>
        <v>45.8531773465454</v>
      </c>
      <c r="AR49" s="13" t="n">
        <f aca="false">AR45+AR48</f>
        <v>4.07661259668105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936.432450796817</v>
      </c>
      <c r="J50" s="13" t="n">
        <f aca="false">J47/$F$26</f>
        <v>130.350799148683</v>
      </c>
      <c r="K50" s="13" t="n">
        <f aca="false">K47/$F$26</f>
        <v>2.72776384541654</v>
      </c>
      <c r="L50" s="13" t="n">
        <f aca="false">L47/$F$26</f>
        <v>3.48277238439221</v>
      </c>
      <c r="M50" s="13" t="n">
        <f aca="false">M47/$F$26</f>
        <v>4.9322244267911</v>
      </c>
      <c r="N50" s="13" t="n">
        <f aca="false">N47/$F$26</f>
        <v>7.11131053747113</v>
      </c>
      <c r="O50" s="13" t="n">
        <f aca="false">O47/$F$26</f>
        <v>9.80875046087757</v>
      </c>
      <c r="P50" s="13" t="n">
        <f aca="false">P47/$F$26</f>
        <v>12.8015841624701</v>
      </c>
      <c r="Q50" s="13" t="n">
        <f aca="false">Q47/$F$26</f>
        <v>16.255166121798</v>
      </c>
      <c r="R50" s="13" t="n">
        <f aca="false">R47/$F$26</f>
        <v>19.6966054145151</v>
      </c>
      <c r="S50" s="13" t="n">
        <f aca="false">S47/$F$26</f>
        <v>23.2013177222039</v>
      </c>
      <c r="T50" s="13" t="n">
        <f aca="false">T47/$F$26</f>
        <v>26.4804235135819</v>
      </c>
      <c r="U50" s="13" t="n">
        <f aca="false">U47/$F$26</f>
        <v>29.6266763869341</v>
      </c>
      <c r="V50" s="13" t="n">
        <f aca="false">V47/$F$26</f>
        <v>32.3913718320519</v>
      </c>
      <c r="W50" s="13" t="n">
        <f aca="false">W47/$F$26</f>
        <v>34.6897038963873</v>
      </c>
      <c r="X50" s="13" t="n">
        <f aca="false">X47/$F$26</f>
        <v>36.5938494133108</v>
      </c>
      <c r="Y50" s="13" t="n">
        <f aca="false">Y47/$F$26</f>
        <v>37.8600701466395</v>
      </c>
      <c r="Z50" s="13" t="n">
        <f aca="false">Z47/$F$26</f>
        <v>38.6551408227265</v>
      </c>
      <c r="AA50" s="13" t="n">
        <f aca="false">AA47/$F$26</f>
        <v>40.1001913726231</v>
      </c>
      <c r="AB50" s="13" t="n">
        <f aca="false">AB47/$F$26</f>
        <v>38.2465743187828</v>
      </c>
      <c r="AC50" s="13" t="n">
        <f aca="false">AC47/$F$26</f>
        <v>37.3406994024741</v>
      </c>
      <c r="AD50" s="13" t="n">
        <f aca="false">AD47/$F$26</f>
        <v>35.692615295044</v>
      </c>
      <c r="AE50" s="13" t="n">
        <f aca="false">AE47/$F$26</f>
        <v>33.6773746369097</v>
      </c>
      <c r="AF50" s="13" t="n">
        <f aca="false">AF47/$F$26</f>
        <v>31.0818435118951</v>
      </c>
      <c r="AG50" s="13" t="n">
        <f aca="false">AG47/$F$26</f>
        <v>28.2781533035509</v>
      </c>
      <c r="AH50" s="13" t="n">
        <f aca="false">AH47/$F$26</f>
        <v>25.1320897447739</v>
      </c>
      <c r="AI50" s="13" t="n">
        <f aca="false">AI47/$F$26</f>
        <v>21.7501952156297</v>
      </c>
      <c r="AJ50" s="13" t="n">
        <f aca="false">AJ47/$F$26</f>
        <v>18.491489380845</v>
      </c>
      <c r="AK50" s="13" t="n">
        <f aca="false">AK47/$F$26</f>
        <v>15.1679411886078</v>
      </c>
      <c r="AL50" s="13" t="n">
        <f aca="false">AL47/$F$26</f>
        <v>12.2447007468961</v>
      </c>
      <c r="AM50" s="13" t="n">
        <f aca="false">AM47/$F$26</f>
        <v>9.62479350651127</v>
      </c>
      <c r="AN50" s="13" t="n">
        <f aca="false">AN47/$F$26</f>
        <v>7.2707551060154</v>
      </c>
      <c r="AO50" s="13" t="n">
        <f aca="false">AO47/$F$26</f>
        <v>6.07460501372335</v>
      </c>
      <c r="AP50" s="13" t="n">
        <f aca="false">AP47/$F$26</f>
        <v>59.6631088730582</v>
      </c>
      <c r="AQ50" s="13" t="n">
        <f aca="false">AQ47/$F$26</f>
        <v>45.8531773465454</v>
      </c>
      <c r="AR50" s="13" t="n">
        <f aca="false">AR47/$F$26</f>
        <v>4.07661259668099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6.30606677987089E-014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4.72955008490317E-014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4.72955008490317E-014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1.57651669496772E-014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1.57651669496772E-014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208.04884513904</v>
      </c>
      <c r="J57" s="13" t="n">
        <f aca="false">Inputs!$F$75*J47</f>
        <v>28.9602663841459</v>
      </c>
      <c r="K57" s="13" t="n">
        <f aca="false">Inputs!$F$75*K47</f>
        <v>0.606032092723871</v>
      </c>
      <c r="L57" s="13" t="n">
        <f aca="false">Inputs!$F$75*L47</f>
        <v>0.77377366817904</v>
      </c>
      <c r="M57" s="13" t="n">
        <f aca="false">Inputs!$F$75*M47</f>
        <v>1.09580097858345</v>
      </c>
      <c r="N57" s="13" t="n">
        <f aca="false">Inputs!$F$75*N47</f>
        <v>1.57993237364536</v>
      </c>
      <c r="O57" s="13" t="n">
        <f aca="false">Inputs!$F$75*O47</f>
        <v>2.17922734726479</v>
      </c>
      <c r="P57" s="13" t="n">
        <f aca="false">Inputs!$F$75*P47</f>
        <v>2.84415047629529</v>
      </c>
      <c r="Q57" s="13" t="n">
        <f aca="false">Inputs!$F$75*Q47</f>
        <v>3.61143885638059</v>
      </c>
      <c r="R57" s="13" t="n">
        <f aca="false">Inputs!$F$75*R47</f>
        <v>4.37602947886133</v>
      </c>
      <c r="S57" s="13" t="n">
        <f aca="false">Inputs!$F$75*S47</f>
        <v>5.15467757839995</v>
      </c>
      <c r="T57" s="13" t="n">
        <f aca="false">Inputs!$F$75*T47</f>
        <v>5.88320228128102</v>
      </c>
      <c r="U57" s="13" t="n">
        <f aca="false">Inputs!$F$75*U47</f>
        <v>6.58221081762481</v>
      </c>
      <c r="V57" s="13" t="n">
        <f aca="false">Inputs!$F$75*V47</f>
        <v>7.19644806883122</v>
      </c>
      <c r="W57" s="13" t="n">
        <f aca="false">Inputs!$F$75*W47</f>
        <v>7.70707254721633</v>
      </c>
      <c r="X57" s="13" t="n">
        <f aca="false">Inputs!$F$75*X47</f>
        <v>8.1301199068369</v>
      </c>
      <c r="Y57" s="13" t="n">
        <f aca="false">Inputs!$F$75*Y47</f>
        <v>8.4114383949307</v>
      </c>
      <c r="Z57" s="13" t="n">
        <f aca="false">Inputs!$F$75*Z47</f>
        <v>8.58808064587263</v>
      </c>
      <c r="AA57" s="13" t="n">
        <f aca="false">Inputs!$F$75*AA47</f>
        <v>8.90913006894389</v>
      </c>
      <c r="AB57" s="13" t="n">
        <f aca="false">Inputs!$F$75*AB47</f>
        <v>8.49730870686556</v>
      </c>
      <c r="AC57" s="13" t="n">
        <f aca="false">Inputs!$F$75*AC47</f>
        <v>8.29604888292621</v>
      </c>
      <c r="AD57" s="13" t="n">
        <f aca="false">Inputs!$F$75*AD47</f>
        <v>7.92989113716349</v>
      </c>
      <c r="AE57" s="13" t="n">
        <f aca="false">Inputs!$F$75*AE47</f>
        <v>7.48216157456094</v>
      </c>
      <c r="AF57" s="13" t="n">
        <f aca="false">Inputs!$F$75*AF47</f>
        <v>6.90550785797708</v>
      </c>
      <c r="AG57" s="13" t="n">
        <f aca="false">Inputs!$F$75*AG47</f>
        <v>6.28260707161783</v>
      </c>
      <c r="AH57" s="13" t="n">
        <f aca="false">Inputs!$F$75*AH47</f>
        <v>5.58364059562629</v>
      </c>
      <c r="AI57" s="13" t="n">
        <f aca="false">Inputs!$F$75*AI47</f>
        <v>4.83227913803073</v>
      </c>
      <c r="AJ57" s="13" t="n">
        <f aca="false">Inputs!$F$75*AJ47</f>
        <v>4.10828672939737</v>
      </c>
      <c r="AK57" s="13" t="n">
        <f aca="false">Inputs!$F$75*AK47</f>
        <v>3.36988818012613</v>
      </c>
      <c r="AL57" s="13" t="n">
        <f aca="false">Inputs!$F$75*AL47</f>
        <v>2.72042670808471</v>
      </c>
      <c r="AM57" s="13" t="n">
        <f aca="false">Inputs!$F$75*AM47</f>
        <v>2.13835730706206</v>
      </c>
      <c r="AN57" s="13" t="n">
        <f aca="false">Inputs!$F$75*AN47</f>
        <v>1.61535645396327</v>
      </c>
      <c r="AO57" s="13" t="n">
        <f aca="false">Inputs!$F$75*AO47</f>
        <v>1.34960568346983</v>
      </c>
      <c r="AP57" s="13" t="n">
        <f aca="false">Inputs!$F$75*AP47</f>
        <v>13.2554578687255</v>
      </c>
      <c r="AQ57" s="13" t="n">
        <f aca="false">Inputs!$F$75*AQ47</f>
        <v>10.1872810844893</v>
      </c>
      <c r="AR57" s="13" t="n">
        <f aca="false">Inputs!$F$75*AR47</f>
        <v>0.905708192936993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152.569153101963</v>
      </c>
      <c r="J58" s="13" t="n">
        <f aca="false">Inputs!$F$76*J47</f>
        <v>21.237528681707</v>
      </c>
      <c r="K58" s="13" t="n">
        <f aca="false">Inputs!$F$76*K47</f>
        <v>0.444423534664172</v>
      </c>
      <c r="L58" s="13" t="n">
        <f aca="false">Inputs!$F$76*L47</f>
        <v>0.567434023331296</v>
      </c>
      <c r="M58" s="13" t="n">
        <f aca="false">Inputs!$F$76*M47</f>
        <v>0.803587384294532</v>
      </c>
      <c r="N58" s="13" t="n">
        <f aca="false">Inputs!$F$76*N47</f>
        <v>1.1586170740066</v>
      </c>
      <c r="O58" s="13" t="n">
        <f aca="false">Inputs!$F$76*O47</f>
        <v>1.59810005466084</v>
      </c>
      <c r="P58" s="13" t="n">
        <f aca="false">Inputs!$F$76*P47</f>
        <v>2.08571034928321</v>
      </c>
      <c r="Q58" s="13" t="n">
        <f aca="false">Inputs!$F$76*Q47</f>
        <v>2.6483884946791</v>
      </c>
      <c r="R58" s="13" t="n">
        <f aca="false">Inputs!$F$76*R47</f>
        <v>3.20908828449831</v>
      </c>
      <c r="S58" s="13" t="n">
        <f aca="false">Inputs!$F$76*S47</f>
        <v>3.78009689082663</v>
      </c>
      <c r="T58" s="13" t="n">
        <f aca="false">Inputs!$F$76*T47</f>
        <v>4.31434833960608</v>
      </c>
      <c r="U58" s="13" t="n">
        <f aca="false">Inputs!$F$76*U47</f>
        <v>4.82695459959153</v>
      </c>
      <c r="V58" s="13" t="n">
        <f aca="false">Inputs!$F$76*V47</f>
        <v>5.27739525047623</v>
      </c>
      <c r="W58" s="13" t="n">
        <f aca="false">Inputs!$F$76*W47</f>
        <v>5.65185320129197</v>
      </c>
      <c r="X58" s="13" t="n">
        <f aca="false">Inputs!$F$76*X47</f>
        <v>5.96208793168039</v>
      </c>
      <c r="Y58" s="13" t="n">
        <f aca="false">Inputs!$F$76*Y47</f>
        <v>6.16838815628252</v>
      </c>
      <c r="Z58" s="13" t="n">
        <f aca="false">Inputs!$F$76*Z47</f>
        <v>6.29792580697326</v>
      </c>
      <c r="AA58" s="13" t="n">
        <f aca="false">Inputs!$F$76*AA47</f>
        <v>6.53336205055885</v>
      </c>
      <c r="AB58" s="13" t="n">
        <f aca="false">Inputs!$F$76*AB47</f>
        <v>6.23135971836808</v>
      </c>
      <c r="AC58" s="13" t="n">
        <f aca="false">Inputs!$F$76*AC47</f>
        <v>6.08376918081255</v>
      </c>
      <c r="AD58" s="13" t="n">
        <f aca="false">Inputs!$F$76*AD47</f>
        <v>5.81525350058656</v>
      </c>
      <c r="AE58" s="13" t="n">
        <f aca="false">Inputs!$F$76*AE47</f>
        <v>5.48691848801136</v>
      </c>
      <c r="AF58" s="13" t="n">
        <f aca="false">Inputs!$F$76*AF47</f>
        <v>5.06403909584986</v>
      </c>
      <c r="AG58" s="13" t="n">
        <f aca="false">Inputs!$F$76*AG47</f>
        <v>4.60724518585308</v>
      </c>
      <c r="AH58" s="13" t="n">
        <f aca="false">Inputs!$F$76*AH47</f>
        <v>4.09466977012594</v>
      </c>
      <c r="AI58" s="13" t="n">
        <f aca="false">Inputs!$F$76*AI47</f>
        <v>3.5436713678892</v>
      </c>
      <c r="AJ58" s="13" t="n">
        <f aca="false">Inputs!$F$76*AJ47</f>
        <v>3.01274360155807</v>
      </c>
      <c r="AK58" s="13" t="n">
        <f aca="false">Inputs!$F$76*AK47</f>
        <v>2.4712513320925</v>
      </c>
      <c r="AL58" s="13" t="n">
        <f aca="false">Inputs!$F$76*AL47</f>
        <v>1.99497958592879</v>
      </c>
      <c r="AM58" s="13" t="n">
        <f aca="false">Inputs!$F$76*AM47</f>
        <v>1.56812869184551</v>
      </c>
      <c r="AN58" s="13" t="n">
        <f aca="false">Inputs!$F$76*AN47</f>
        <v>1.1845947329064</v>
      </c>
      <c r="AO58" s="13" t="n">
        <f aca="false">Inputs!$F$76*AO47</f>
        <v>0.989710834544544</v>
      </c>
      <c r="AP58" s="13" t="n">
        <f aca="false">Inputs!$F$76*AP47</f>
        <v>9.72066910373206</v>
      </c>
      <c r="AQ58" s="13" t="n">
        <f aca="false">Inputs!$F$76*AQ47</f>
        <v>7.47067279529216</v>
      </c>
      <c r="AR58" s="13" t="n">
        <f aca="false">Inputs!$F$76*AR47</f>
        <v>0.664186008153795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69.3496150463468</v>
      </c>
      <c r="J59" s="13" t="n">
        <f aca="false">Inputs!$F$77*J47</f>
        <v>9.65342212804864</v>
      </c>
      <c r="K59" s="13" t="n">
        <f aca="false">Inputs!$F$77*K47</f>
        <v>0.202010697574624</v>
      </c>
      <c r="L59" s="13" t="n">
        <f aca="false">Inputs!$F$77*L47</f>
        <v>0.25792455605968</v>
      </c>
      <c r="M59" s="13" t="n">
        <f aca="false">Inputs!$F$77*M47</f>
        <v>0.365266992861151</v>
      </c>
      <c r="N59" s="13" t="n">
        <f aca="false">Inputs!$F$77*N47</f>
        <v>0.526644124548453</v>
      </c>
      <c r="O59" s="13" t="n">
        <f aca="false">Inputs!$F$77*O47</f>
        <v>0.726409115754928</v>
      </c>
      <c r="P59" s="13" t="n">
        <f aca="false">Inputs!$F$77*P47</f>
        <v>0.948050158765097</v>
      </c>
      <c r="Q59" s="13" t="n">
        <f aca="false">Inputs!$F$77*Q47</f>
        <v>1.20381295212686</v>
      </c>
      <c r="R59" s="13" t="n">
        <f aca="false">Inputs!$F$77*R47</f>
        <v>1.45867649295378</v>
      </c>
      <c r="S59" s="13" t="n">
        <f aca="false">Inputs!$F$77*S47</f>
        <v>1.71822585946665</v>
      </c>
      <c r="T59" s="13" t="n">
        <f aca="false">Inputs!$F$77*T47</f>
        <v>1.96106742709367</v>
      </c>
      <c r="U59" s="13" t="n">
        <f aca="false">Inputs!$F$77*U47</f>
        <v>2.1940702725416</v>
      </c>
      <c r="V59" s="13" t="n">
        <f aca="false">Inputs!$F$77*V47</f>
        <v>2.39881602294374</v>
      </c>
      <c r="W59" s="13" t="n">
        <f aca="false">Inputs!$F$77*W47</f>
        <v>2.56902418240544</v>
      </c>
      <c r="X59" s="13" t="n">
        <f aca="false">Inputs!$F$77*X47</f>
        <v>2.71003996894563</v>
      </c>
      <c r="Y59" s="13" t="n">
        <f aca="false">Inputs!$F$77*Y47</f>
        <v>2.80381279831023</v>
      </c>
      <c r="Z59" s="13" t="n">
        <f aca="false">Inputs!$F$77*Z47</f>
        <v>2.86269354862421</v>
      </c>
      <c r="AA59" s="13" t="n">
        <f aca="false">Inputs!$F$77*AA47</f>
        <v>2.9697100229813</v>
      </c>
      <c r="AB59" s="13" t="n">
        <f aca="false">Inputs!$F$77*AB47</f>
        <v>2.83243623562185</v>
      </c>
      <c r="AC59" s="13" t="n">
        <f aca="false">Inputs!$F$77*AC47</f>
        <v>2.76534962764207</v>
      </c>
      <c r="AD59" s="13" t="n">
        <f aca="false">Inputs!$F$77*AD47</f>
        <v>2.64329704572116</v>
      </c>
      <c r="AE59" s="13" t="n">
        <f aca="false">Inputs!$F$77*AE47</f>
        <v>2.49405385818698</v>
      </c>
      <c r="AF59" s="13" t="n">
        <f aca="false">Inputs!$F$77*AF47</f>
        <v>2.30183595265903</v>
      </c>
      <c r="AG59" s="13" t="n">
        <f aca="false">Inputs!$F$77*AG47</f>
        <v>2.09420235720594</v>
      </c>
      <c r="AH59" s="13" t="n">
        <f aca="false">Inputs!$F$77*AH47</f>
        <v>1.86121353187543</v>
      </c>
      <c r="AI59" s="13" t="n">
        <f aca="false">Inputs!$F$77*AI47</f>
        <v>1.61075971267691</v>
      </c>
      <c r="AJ59" s="13" t="n">
        <f aca="false">Inputs!$F$77*AJ47</f>
        <v>1.36942890979912</v>
      </c>
      <c r="AK59" s="13" t="n">
        <f aca="false">Inputs!$F$77*AK47</f>
        <v>1.12329606004204</v>
      </c>
      <c r="AL59" s="13" t="n">
        <f aca="false">Inputs!$F$77*AL47</f>
        <v>0.906808902694903</v>
      </c>
      <c r="AM59" s="13" t="n">
        <f aca="false">Inputs!$F$77*AM47</f>
        <v>0.712785769020686</v>
      </c>
      <c r="AN59" s="13" t="n">
        <f aca="false">Inputs!$F$77*AN47</f>
        <v>0.538452151321092</v>
      </c>
      <c r="AO59" s="13" t="n">
        <f aca="false">Inputs!$F$77*AO47</f>
        <v>0.449868561156611</v>
      </c>
      <c r="AP59" s="13" t="n">
        <f aca="false">Inputs!$F$77*AP47</f>
        <v>4.41848595624184</v>
      </c>
      <c r="AQ59" s="13" t="n">
        <f aca="false">Inputs!$F$77*AQ47</f>
        <v>3.39576036149644</v>
      </c>
      <c r="AR59" s="13" t="n">
        <f aca="false">Inputs!$F$77*AR47</f>
        <v>0.301902730978998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263.528537176118</v>
      </c>
      <c r="J60" s="13" t="n">
        <f aca="false">Inputs!$F$78*J47</f>
        <v>36.6830040865848</v>
      </c>
      <c r="K60" s="13" t="n">
        <f aca="false">Inputs!$F$78*K47</f>
        <v>0.76764065078357</v>
      </c>
      <c r="L60" s="13" t="n">
        <f aca="false">Inputs!$F$78*L47</f>
        <v>0.980113313026784</v>
      </c>
      <c r="M60" s="13" t="n">
        <f aca="false">Inputs!$F$78*M47</f>
        <v>1.38801457287237</v>
      </c>
      <c r="N60" s="13" t="n">
        <f aca="false">Inputs!$F$78*N47</f>
        <v>2.00124767328412</v>
      </c>
      <c r="O60" s="13" t="n">
        <f aca="false">Inputs!$F$78*O47</f>
        <v>2.76035463986873</v>
      </c>
      <c r="P60" s="13" t="n">
        <f aca="false">Inputs!$F$78*P47</f>
        <v>3.60259060330737</v>
      </c>
      <c r="Q60" s="13" t="n">
        <f aca="false">Inputs!$F$78*Q47</f>
        <v>4.57448921808208</v>
      </c>
      <c r="R60" s="13" t="n">
        <f aca="false">Inputs!$F$78*R47</f>
        <v>5.54297067322435</v>
      </c>
      <c r="S60" s="13" t="n">
        <f aca="false">Inputs!$F$78*S47</f>
        <v>6.52925826597327</v>
      </c>
      <c r="T60" s="13" t="n">
        <f aca="false">Inputs!$F$78*T47</f>
        <v>7.45205622295595</v>
      </c>
      <c r="U60" s="13" t="n">
        <f aca="false">Inputs!$F$78*U47</f>
        <v>8.33746703565809</v>
      </c>
      <c r="V60" s="13" t="n">
        <f aca="false">Inputs!$F$78*V47</f>
        <v>9.11550088718621</v>
      </c>
      <c r="W60" s="13" t="n">
        <f aca="false">Inputs!$F$78*W47</f>
        <v>9.76229189314068</v>
      </c>
      <c r="X60" s="13" t="n">
        <f aca="false">Inputs!$F$78*X47</f>
        <v>10.2981518819934</v>
      </c>
      <c r="Y60" s="13" t="n">
        <f aca="false">Inputs!$F$78*Y47</f>
        <v>10.6544886335789</v>
      </c>
      <c r="Z60" s="13" t="n">
        <f aca="false">Inputs!$F$78*Z47</f>
        <v>10.878235484772</v>
      </c>
      <c r="AA60" s="13" t="n">
        <f aca="false">Inputs!$F$78*AA47</f>
        <v>11.2848980873289</v>
      </c>
      <c r="AB60" s="13" t="n">
        <f aca="false">Inputs!$F$78*AB47</f>
        <v>10.763257695363</v>
      </c>
      <c r="AC60" s="13" t="n">
        <f aca="false">Inputs!$F$78*AC47</f>
        <v>10.5083285850399</v>
      </c>
      <c r="AD60" s="13" t="n">
        <f aca="false">Inputs!$F$78*AD47</f>
        <v>10.0445287737404</v>
      </c>
      <c r="AE60" s="13" t="n">
        <f aca="false">Inputs!$F$78*AE47</f>
        <v>9.47740466111053</v>
      </c>
      <c r="AF60" s="13" t="n">
        <f aca="false">Inputs!$F$78*AF47</f>
        <v>8.7469766201043</v>
      </c>
      <c r="AG60" s="13" t="n">
        <f aca="false">Inputs!$F$78*AG47</f>
        <v>7.95796895738258</v>
      </c>
      <c r="AH60" s="13" t="n">
        <f aca="false">Inputs!$F$78*AH47</f>
        <v>7.07261142112663</v>
      </c>
      <c r="AI60" s="13" t="n">
        <f aca="false">Inputs!$F$78*AI47</f>
        <v>6.12088690817226</v>
      </c>
      <c r="AJ60" s="13" t="n">
        <f aca="false">Inputs!$F$78*AJ47</f>
        <v>5.20382985723667</v>
      </c>
      <c r="AK60" s="13" t="n">
        <f aca="false">Inputs!$F$78*AK47</f>
        <v>4.26852502815977</v>
      </c>
      <c r="AL60" s="13" t="n">
        <f aca="false">Inputs!$F$78*AL47</f>
        <v>3.44587383024063</v>
      </c>
      <c r="AM60" s="13" t="n">
        <f aca="false">Inputs!$F$78*AM47</f>
        <v>2.70858592227861</v>
      </c>
      <c r="AN60" s="13" t="n">
        <f aca="false">Inputs!$F$78*AN47</f>
        <v>2.04611817502015</v>
      </c>
      <c r="AO60" s="13" t="n">
        <f aca="false">Inputs!$F$78*AO47</f>
        <v>1.70950053239512</v>
      </c>
      <c r="AP60" s="13" t="n">
        <f aca="false">Inputs!$F$78*AP47</f>
        <v>16.790246633719</v>
      </c>
      <c r="AQ60" s="13" t="n">
        <f aca="false">Inputs!$F$78*AQ47</f>
        <v>12.9038893736865</v>
      </c>
      <c r="AR60" s="13" t="n">
        <f aca="false">Inputs!$F$78*AR47</f>
        <v>1.14723037772019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28.9602663841459</v>
      </c>
      <c r="K61" s="13" t="n">
        <f aca="false">K28+K57</f>
        <v>29.5662984768698</v>
      </c>
      <c r="L61" s="13" t="n">
        <f aca="false">L28+L57</f>
        <v>30.3400721450488</v>
      </c>
      <c r="M61" s="13" t="n">
        <f aca="false">M28+M57</f>
        <v>31.4358731236323</v>
      </c>
      <c r="N61" s="13" t="n">
        <f aca="false">N28+N57</f>
        <v>33.0158054972776</v>
      </c>
      <c r="O61" s="13" t="n">
        <f aca="false">O28+O57</f>
        <v>35.1950328445424</v>
      </c>
      <c r="P61" s="13" t="n">
        <f aca="false">P28+P57</f>
        <v>38.0391833208377</v>
      </c>
      <c r="Q61" s="13" t="n">
        <f aca="false">Q28+Q57</f>
        <v>41.6506221772183</v>
      </c>
      <c r="R61" s="13" t="n">
        <f aca="false">R28+R57</f>
        <v>46.0266516560796</v>
      </c>
      <c r="S61" s="13" t="n">
        <f aca="false">S28+S57</f>
        <v>51.1813292344796</v>
      </c>
      <c r="T61" s="13" t="n">
        <f aca="false">T28+T57</f>
        <v>57.0645315157606</v>
      </c>
      <c r="U61" s="13" t="n">
        <f aca="false">U28+U57</f>
        <v>63.6467423333854</v>
      </c>
      <c r="V61" s="13" t="n">
        <f aca="false">V28+V57</f>
        <v>70.8431904022166</v>
      </c>
      <c r="W61" s="13" t="n">
        <f aca="false">W28+W57</f>
        <v>78.550262949433</v>
      </c>
      <c r="X61" s="13" t="n">
        <f aca="false">X28+X57</f>
        <v>86.6803828562698</v>
      </c>
      <c r="Y61" s="13" t="n">
        <f aca="false">Y28+Y57</f>
        <v>95.0918212512005</v>
      </c>
      <c r="Z61" s="13" t="n">
        <f aca="false">Z28+Z57</f>
        <v>103.679901897073</v>
      </c>
      <c r="AA61" s="13" t="n">
        <f aca="false">AA28+AA57</f>
        <v>112.589031966017</v>
      </c>
      <c r="AB61" s="13" t="n">
        <f aca="false">AB28+AB57</f>
        <v>121.086340672883</v>
      </c>
      <c r="AC61" s="13" t="n">
        <f aca="false">AC28+AC57</f>
        <v>129.382389555809</v>
      </c>
      <c r="AD61" s="13" t="n">
        <f aca="false">AD28+AD57</f>
        <v>137.312280692972</v>
      </c>
      <c r="AE61" s="13" t="n">
        <f aca="false">AE28+AE57</f>
        <v>144.794442267533</v>
      </c>
      <c r="AF61" s="13" t="n">
        <f aca="false">AF28+AF57</f>
        <v>151.69995012551</v>
      </c>
      <c r="AG61" s="13" t="n">
        <f aca="false">AG28+AG57</f>
        <v>157.982557197128</v>
      </c>
      <c r="AH61" s="13" t="n">
        <f aca="false">AH28+AH57</f>
        <v>163.566197792754</v>
      </c>
      <c r="AI61" s="13" t="n">
        <f aca="false">AI28+AI57</f>
        <v>168.398476930785</v>
      </c>
      <c r="AJ61" s="13" t="n">
        <f aca="false">AJ28+AJ57</f>
        <v>172.506763660183</v>
      </c>
      <c r="AK61" s="13" t="n">
        <f aca="false">AK28+AK57</f>
        <v>175.876651840309</v>
      </c>
      <c r="AL61" s="13" t="n">
        <f aca="false">AL28+AL57</f>
        <v>178.597078548393</v>
      </c>
      <c r="AM61" s="13" t="n">
        <f aca="false">AM28+AM57</f>
        <v>180.735435855456</v>
      </c>
      <c r="AN61" s="13" t="n">
        <f aca="false">AN28+AN57</f>
        <v>182.350792309419</v>
      </c>
      <c r="AO61" s="13" t="n">
        <f aca="false">AO28+AO57</f>
        <v>183.700397992889</v>
      </c>
      <c r="AP61" s="13" t="n">
        <f aca="false">AP28+AP57</f>
        <v>196.955855861614</v>
      </c>
      <c r="AQ61" s="13" t="n">
        <f aca="false">AQ28+AQ57</f>
        <v>207.143136946103</v>
      </c>
      <c r="AR61" s="13" t="n">
        <f aca="false">AR28+AR57</f>
        <v>208.04884513904</v>
      </c>
      <c r="AS61" s="13" t="n">
        <f aca="false">AS28+AS57</f>
        <v>208.04884513904</v>
      </c>
      <c r="AT61" s="13" t="n">
        <f aca="false">AT28+AT57</f>
        <v>208.04884513904</v>
      </c>
      <c r="AU61" s="13" t="n">
        <f aca="false">AU28+AU57</f>
        <v>208.04884513904</v>
      </c>
      <c r="AV61" s="13" t="n">
        <f aca="false">AV28+AV57</f>
        <v>208.04884513904</v>
      </c>
      <c r="AW61" s="13" t="n">
        <f aca="false">AW28+AW57</f>
        <v>208.04884513904</v>
      </c>
      <c r="AX61" s="13" t="n">
        <f aca="false">AX28+AX57</f>
        <v>208.04884513904</v>
      </c>
      <c r="AY61" s="13" t="n">
        <f aca="false">AY28+AY57</f>
        <v>208.04884513904</v>
      </c>
      <c r="AZ61" s="13" t="n">
        <f aca="false">AZ28+AZ57</f>
        <v>208.04884513904</v>
      </c>
      <c r="BA61" s="13" t="n">
        <f aca="false">BA28+BA57</f>
        <v>208.04884513904</v>
      </c>
      <c r="BB61" s="13" t="n">
        <f aca="false">BB28+BB57</f>
        <v>208.04884513904</v>
      </c>
      <c r="BC61" s="13" t="n">
        <f aca="false">BC28+BC57</f>
        <v>208.04884513904</v>
      </c>
      <c r="BD61" s="13" t="n">
        <f aca="false">BD28+BD57</f>
        <v>208.04884513904</v>
      </c>
      <c r="BE61" s="13" t="n">
        <f aca="false">BE28+BE57</f>
        <v>208.04884513904</v>
      </c>
      <c r="BF61" s="13" t="n">
        <f aca="false">BF28+BF57</f>
        <v>208.04884513904</v>
      </c>
      <c r="BG61" s="13" t="n">
        <f aca="false">BG28+BG57</f>
        <v>208.04884513904</v>
      </c>
      <c r="BH61" s="13" t="n">
        <f aca="false">BH28+BH57</f>
        <v>208.04884513904</v>
      </c>
      <c r="BI61" s="13" t="n">
        <f aca="false">BI28+BI57</f>
        <v>208.04884513904</v>
      </c>
      <c r="BJ61" s="13" t="n">
        <f aca="false">BJ28+BJ57</f>
        <v>208.04884513904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21.237528681707</v>
      </c>
      <c r="K62" s="13" t="n">
        <f aca="false">K29+K58</f>
        <v>21.6819522163712</v>
      </c>
      <c r="L62" s="13" t="n">
        <f aca="false">L29+L58</f>
        <v>22.2493862397025</v>
      </c>
      <c r="M62" s="13" t="n">
        <f aca="false">M29+M58</f>
        <v>23.052973623997</v>
      </c>
      <c r="N62" s="13" t="n">
        <f aca="false">N29+N58</f>
        <v>24.2115906980036</v>
      </c>
      <c r="O62" s="13" t="n">
        <f aca="false">O29+O58</f>
        <v>25.8096907526644</v>
      </c>
      <c r="P62" s="13" t="n">
        <f aca="false">P29+P58</f>
        <v>27.8954011019477</v>
      </c>
      <c r="Q62" s="13" t="n">
        <f aca="false">Q29+Q58</f>
        <v>30.5437895966268</v>
      </c>
      <c r="R62" s="13" t="n">
        <f aca="false">R29+R58</f>
        <v>33.7528778811251</v>
      </c>
      <c r="S62" s="13" t="n">
        <f aca="false">S29+S58</f>
        <v>37.5329747719517</v>
      </c>
      <c r="T62" s="13" t="n">
        <f aca="false">T29+T58</f>
        <v>41.8473231115578</v>
      </c>
      <c r="U62" s="13" t="n">
        <f aca="false">U29+U58</f>
        <v>46.6742777111493</v>
      </c>
      <c r="V62" s="13" t="n">
        <f aca="false">V29+V58</f>
        <v>51.9516729616255</v>
      </c>
      <c r="W62" s="13" t="n">
        <f aca="false">W29+W58</f>
        <v>57.6035261629175</v>
      </c>
      <c r="X62" s="13" t="n">
        <f aca="false">X29+X58</f>
        <v>63.5656140945979</v>
      </c>
      <c r="Y62" s="13" t="n">
        <f aca="false">Y29+Y58</f>
        <v>69.7340022508804</v>
      </c>
      <c r="Z62" s="13" t="n">
        <f aca="false">Z29+Z58</f>
        <v>76.0319280578537</v>
      </c>
      <c r="AA62" s="13" t="n">
        <f aca="false">AA29+AA58</f>
        <v>82.5652901084125</v>
      </c>
      <c r="AB62" s="13" t="n">
        <f aca="false">AB29+AB58</f>
        <v>88.7966498267806</v>
      </c>
      <c r="AC62" s="13" t="n">
        <f aca="false">AC29+AC58</f>
        <v>94.8804190075931</v>
      </c>
      <c r="AD62" s="13" t="n">
        <f aca="false">AD29+AD58</f>
        <v>100.69567250818</v>
      </c>
      <c r="AE62" s="13" t="n">
        <f aca="false">AE29+AE58</f>
        <v>106.182590996191</v>
      </c>
      <c r="AF62" s="13" t="n">
        <f aca="false">AF29+AF58</f>
        <v>111.246630092041</v>
      </c>
      <c r="AG62" s="13" t="n">
        <f aca="false">AG29+AG58</f>
        <v>115.853875277894</v>
      </c>
      <c r="AH62" s="13" t="n">
        <f aca="false">AH29+AH58</f>
        <v>119.94854504802</v>
      </c>
      <c r="AI62" s="13" t="n">
        <f aca="false">AI29+AI58</f>
        <v>123.492216415909</v>
      </c>
      <c r="AJ62" s="13" t="n">
        <f aca="false">AJ29+AJ58</f>
        <v>126.504960017467</v>
      </c>
      <c r="AK62" s="13" t="n">
        <f aca="false">AK29+AK58</f>
        <v>128.97621134956</v>
      </c>
      <c r="AL62" s="13" t="n">
        <f aca="false">AL29+AL58</f>
        <v>130.971190935488</v>
      </c>
      <c r="AM62" s="13" t="n">
        <f aca="false">AM29+AM58</f>
        <v>132.539319627334</v>
      </c>
      <c r="AN62" s="13" t="n">
        <f aca="false">AN29+AN58</f>
        <v>133.72391436024</v>
      </c>
      <c r="AO62" s="13" t="n">
        <f aca="false">AO29+AO58</f>
        <v>134.713625194785</v>
      </c>
      <c r="AP62" s="13" t="n">
        <f aca="false">AP29+AP58</f>
        <v>144.434294298517</v>
      </c>
      <c r="AQ62" s="13" t="n">
        <f aca="false">AQ29+AQ58</f>
        <v>151.904967093809</v>
      </c>
      <c r="AR62" s="13" t="n">
        <f aca="false">AR29+AR58</f>
        <v>152.569153101963</v>
      </c>
      <c r="AS62" s="13" t="n">
        <f aca="false">AS29+AS58</f>
        <v>152.569153101963</v>
      </c>
      <c r="AT62" s="13" t="n">
        <f aca="false">AT29+AT58</f>
        <v>152.569153101963</v>
      </c>
      <c r="AU62" s="13" t="n">
        <f aca="false">AU29+AU58</f>
        <v>152.569153101963</v>
      </c>
      <c r="AV62" s="13" t="n">
        <f aca="false">AV29+AV58</f>
        <v>152.569153101963</v>
      </c>
      <c r="AW62" s="13" t="n">
        <f aca="false">AW29+AW58</f>
        <v>152.569153101963</v>
      </c>
      <c r="AX62" s="13" t="n">
        <f aca="false">AX29+AX58</f>
        <v>152.569153101963</v>
      </c>
      <c r="AY62" s="13" t="n">
        <f aca="false">AY29+AY58</f>
        <v>152.569153101963</v>
      </c>
      <c r="AZ62" s="13" t="n">
        <f aca="false">AZ29+AZ58</f>
        <v>152.569153101963</v>
      </c>
      <c r="BA62" s="13" t="n">
        <f aca="false">BA29+BA58</f>
        <v>152.569153101963</v>
      </c>
      <c r="BB62" s="13" t="n">
        <f aca="false">BB29+BB58</f>
        <v>152.569153101963</v>
      </c>
      <c r="BC62" s="13" t="n">
        <f aca="false">BC29+BC58</f>
        <v>152.569153101963</v>
      </c>
      <c r="BD62" s="13" t="n">
        <f aca="false">BD29+BD58</f>
        <v>152.569153101963</v>
      </c>
      <c r="BE62" s="13" t="n">
        <f aca="false">BE29+BE58</f>
        <v>152.569153101963</v>
      </c>
      <c r="BF62" s="13" t="n">
        <f aca="false">BF29+BF58</f>
        <v>152.569153101963</v>
      </c>
      <c r="BG62" s="13" t="n">
        <f aca="false">BG29+BG58</f>
        <v>152.569153101963</v>
      </c>
      <c r="BH62" s="13" t="n">
        <f aca="false">BH29+BH58</f>
        <v>152.569153101963</v>
      </c>
      <c r="BI62" s="13" t="n">
        <f aca="false">BI29+BI58</f>
        <v>152.569153101963</v>
      </c>
      <c r="BJ62" s="13" t="n">
        <f aca="false">BJ29+BJ58</f>
        <v>152.569153101963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9.65342212804864</v>
      </c>
      <c r="K63" s="13" t="n">
        <f aca="false">K30+K59</f>
        <v>9.85543282562326</v>
      </c>
      <c r="L63" s="13" t="n">
        <f aca="false">L30+L59</f>
        <v>10.1133573816829</v>
      </c>
      <c r="M63" s="13" t="n">
        <f aca="false">M30+M59</f>
        <v>10.4786243745441</v>
      </c>
      <c r="N63" s="13" t="n">
        <f aca="false">N30+N59</f>
        <v>11.0052684990925</v>
      </c>
      <c r="O63" s="13" t="n">
        <f aca="false">O30+O59</f>
        <v>11.7316776148475</v>
      </c>
      <c r="P63" s="13" t="n">
        <f aca="false">P30+P59</f>
        <v>12.6797277736126</v>
      </c>
      <c r="Q63" s="13" t="n">
        <f aca="false">Q30+Q59</f>
        <v>13.8835407257394</v>
      </c>
      <c r="R63" s="13" t="n">
        <f aca="false">R30+R59</f>
        <v>15.3422172186932</v>
      </c>
      <c r="S63" s="13" t="n">
        <f aca="false">S30+S59</f>
        <v>17.0604430781599</v>
      </c>
      <c r="T63" s="13" t="n">
        <f aca="false">T30+T59</f>
        <v>19.0215105052535</v>
      </c>
      <c r="U63" s="13" t="n">
        <f aca="false">U30+U59</f>
        <v>21.2155807777951</v>
      </c>
      <c r="V63" s="13" t="n">
        <f aca="false">V30+V59</f>
        <v>23.6143968007389</v>
      </c>
      <c r="W63" s="13" t="n">
        <f aca="false">W30+W59</f>
        <v>26.1834209831443</v>
      </c>
      <c r="X63" s="13" t="n">
        <f aca="false">X30+X59</f>
        <v>28.8934609520899</v>
      </c>
      <c r="Y63" s="13" t="n">
        <f aca="false">Y30+Y59</f>
        <v>31.6972737504002</v>
      </c>
      <c r="Z63" s="13" t="n">
        <f aca="false">Z30+Z59</f>
        <v>34.5599672990244</v>
      </c>
      <c r="AA63" s="13" t="n">
        <f aca="false">AA30+AA59</f>
        <v>37.5296773220057</v>
      </c>
      <c r="AB63" s="13" t="n">
        <f aca="false">AB30+AB59</f>
        <v>40.3621135576275</v>
      </c>
      <c r="AC63" s="13" t="n">
        <f aca="false">AC30+AC59</f>
        <v>43.1274631852696</v>
      </c>
      <c r="AD63" s="13" t="n">
        <f aca="false">AD30+AD59</f>
        <v>45.7707602309908</v>
      </c>
      <c r="AE63" s="13" t="n">
        <f aca="false">AE30+AE59</f>
        <v>48.2648140891778</v>
      </c>
      <c r="AF63" s="13" t="n">
        <f aca="false">AF30+AF59</f>
        <v>50.5666500418368</v>
      </c>
      <c r="AG63" s="13" t="n">
        <f aca="false">AG30+AG59</f>
        <v>52.6608523990427</v>
      </c>
      <c r="AH63" s="13" t="n">
        <f aca="false">AH30+AH59</f>
        <v>54.5220659309182</v>
      </c>
      <c r="AI63" s="13" t="n">
        <f aca="false">AI30+AI59</f>
        <v>56.1328256435951</v>
      </c>
      <c r="AJ63" s="13" t="n">
        <f aca="false">AJ30+AJ59</f>
        <v>57.5022545533942</v>
      </c>
      <c r="AK63" s="13" t="n">
        <f aca="false">AK30+AK59</f>
        <v>58.6255506134362</v>
      </c>
      <c r="AL63" s="13" t="n">
        <f aca="false">AL30+AL59</f>
        <v>59.5323595161311</v>
      </c>
      <c r="AM63" s="13" t="n">
        <f aca="false">AM30+AM59</f>
        <v>60.2451452851518</v>
      </c>
      <c r="AN63" s="13" t="n">
        <f aca="false">AN30+AN59</f>
        <v>60.7835974364729</v>
      </c>
      <c r="AO63" s="13" t="n">
        <f aca="false">AO30+AO59</f>
        <v>61.2334659976295</v>
      </c>
      <c r="AP63" s="13" t="n">
        <f aca="false">AP30+AP59</f>
        <v>65.6519519538714</v>
      </c>
      <c r="AQ63" s="13" t="n">
        <f aca="false">AQ30+AQ59</f>
        <v>69.0477123153678</v>
      </c>
      <c r="AR63" s="13" t="n">
        <f aca="false">AR30+AR59</f>
        <v>69.3496150463468</v>
      </c>
      <c r="AS63" s="13" t="n">
        <f aca="false">AS30+AS59</f>
        <v>69.3496150463468</v>
      </c>
      <c r="AT63" s="13" t="n">
        <f aca="false">AT30+AT59</f>
        <v>69.3496150463468</v>
      </c>
      <c r="AU63" s="13" t="n">
        <f aca="false">AU30+AU59</f>
        <v>69.3496150463468</v>
      </c>
      <c r="AV63" s="13" t="n">
        <f aca="false">AV30+AV59</f>
        <v>69.3496150463468</v>
      </c>
      <c r="AW63" s="13" t="n">
        <f aca="false">AW30+AW59</f>
        <v>69.3496150463468</v>
      </c>
      <c r="AX63" s="13" t="n">
        <f aca="false">AX30+AX59</f>
        <v>69.3496150463468</v>
      </c>
      <c r="AY63" s="13" t="n">
        <f aca="false">AY30+AY59</f>
        <v>69.3496150463468</v>
      </c>
      <c r="AZ63" s="13" t="n">
        <f aca="false">AZ30+AZ59</f>
        <v>69.3496150463468</v>
      </c>
      <c r="BA63" s="13" t="n">
        <f aca="false">BA30+BA59</f>
        <v>69.3496150463468</v>
      </c>
      <c r="BB63" s="13" t="n">
        <f aca="false">BB30+BB59</f>
        <v>69.3496150463468</v>
      </c>
      <c r="BC63" s="13" t="n">
        <f aca="false">BC30+BC59</f>
        <v>69.3496150463468</v>
      </c>
      <c r="BD63" s="13" t="n">
        <f aca="false">BD30+BD59</f>
        <v>69.3496150463468</v>
      </c>
      <c r="BE63" s="13" t="n">
        <f aca="false">BE30+BE59</f>
        <v>69.3496150463468</v>
      </c>
      <c r="BF63" s="13" t="n">
        <f aca="false">BF30+BF59</f>
        <v>69.3496150463468</v>
      </c>
      <c r="BG63" s="13" t="n">
        <f aca="false">BG30+BG59</f>
        <v>69.3496150463468</v>
      </c>
      <c r="BH63" s="13" t="n">
        <f aca="false">BH30+BH59</f>
        <v>69.3496150463468</v>
      </c>
      <c r="BI63" s="13" t="n">
        <f aca="false">BI30+BI59</f>
        <v>69.3496150463468</v>
      </c>
      <c r="BJ63" s="13" t="n">
        <f aca="false">BJ30+BJ59</f>
        <v>69.3496150463468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36.6830040865848</v>
      </c>
      <c r="K64" s="13" t="n">
        <f aca="false">K31+K60</f>
        <v>37.4506447373684</v>
      </c>
      <c r="L64" s="13" t="n">
        <f aca="false">L31+L60</f>
        <v>38.4307580503952</v>
      </c>
      <c r="M64" s="13" t="n">
        <f aca="false">M31+M60</f>
        <v>39.8187726232676</v>
      </c>
      <c r="N64" s="13" t="n">
        <f aca="false">N31+N60</f>
        <v>41.8200202965517</v>
      </c>
      <c r="O64" s="13" t="n">
        <f aca="false">O31+O60</f>
        <v>44.5803749364204</v>
      </c>
      <c r="P64" s="13" t="n">
        <f aca="false">P31+P60</f>
        <v>48.1829655397278</v>
      </c>
      <c r="Q64" s="13" t="n">
        <f aca="false">Q31+Q60</f>
        <v>52.7574547578099</v>
      </c>
      <c r="R64" s="13" t="n">
        <f aca="false">R31+R60</f>
        <v>58.3004254310342</v>
      </c>
      <c r="S64" s="13" t="n">
        <f aca="false">S31+S60</f>
        <v>64.8296836970075</v>
      </c>
      <c r="T64" s="13" t="n">
        <f aca="false">T31+T60</f>
        <v>72.2817399199634</v>
      </c>
      <c r="U64" s="13" t="n">
        <f aca="false">U31+U60</f>
        <v>80.6192069556215</v>
      </c>
      <c r="V64" s="13" t="n">
        <f aca="false">V31+V60</f>
        <v>89.7347078428077</v>
      </c>
      <c r="W64" s="13" t="n">
        <f aca="false">W31+W60</f>
        <v>99.4969997359484</v>
      </c>
      <c r="X64" s="13" t="n">
        <f aca="false">X31+X60</f>
        <v>109.795151617942</v>
      </c>
      <c r="Y64" s="13" t="n">
        <f aca="false">Y31+Y60</f>
        <v>120.449640251521</v>
      </c>
      <c r="Z64" s="13" t="n">
        <f aca="false">Z31+Z60</f>
        <v>131.327875736293</v>
      </c>
      <c r="AA64" s="13" t="n">
        <f aca="false">AA31+AA60</f>
        <v>142.612773823622</v>
      </c>
      <c r="AB64" s="13" t="n">
        <f aca="false">AB31+AB60</f>
        <v>153.376031518985</v>
      </c>
      <c r="AC64" s="13" t="n">
        <f aca="false">AC31+AC60</f>
        <v>163.884360104025</v>
      </c>
      <c r="AD64" s="13" t="n">
        <f aca="false">AD31+AD60</f>
        <v>173.928888877765</v>
      </c>
      <c r="AE64" s="13" t="n">
        <f aca="false">AE31+AE60</f>
        <v>183.406293538876</v>
      </c>
      <c r="AF64" s="13" t="n">
        <f aca="false">AF31+AF60</f>
        <v>192.15327015898</v>
      </c>
      <c r="AG64" s="13" t="n">
        <f aca="false">AG31+AG60</f>
        <v>200.111239116362</v>
      </c>
      <c r="AH64" s="13" t="n">
        <f aca="false">AH31+AH60</f>
        <v>207.183850537489</v>
      </c>
      <c r="AI64" s="13" t="n">
        <f aca="false">AI31+AI60</f>
        <v>213.304737445661</v>
      </c>
      <c r="AJ64" s="13" t="n">
        <f aca="false">AJ31+AJ60</f>
        <v>218.508567302898</v>
      </c>
      <c r="AK64" s="13" t="n">
        <f aca="false">AK31+AK60</f>
        <v>222.777092331058</v>
      </c>
      <c r="AL64" s="13" t="n">
        <f aca="false">AL31+AL60</f>
        <v>226.222966161298</v>
      </c>
      <c r="AM64" s="13" t="n">
        <f aca="false">AM31+AM60</f>
        <v>228.931552083577</v>
      </c>
      <c r="AN64" s="13" t="n">
        <f aca="false">AN31+AN60</f>
        <v>230.977670258597</v>
      </c>
      <c r="AO64" s="13" t="n">
        <f aca="false">AO31+AO60</f>
        <v>232.687170790992</v>
      </c>
      <c r="AP64" s="13" t="n">
        <f aca="false">AP31+AP60</f>
        <v>249.477417424711</v>
      </c>
      <c r="AQ64" s="13" t="n">
        <f aca="false">AQ31+AQ60</f>
        <v>262.381306798398</v>
      </c>
      <c r="AR64" s="13" t="n">
        <f aca="false">AR31+AR60</f>
        <v>263.528537176118</v>
      </c>
      <c r="AS64" s="13" t="n">
        <f aca="false">AS31+AS60</f>
        <v>263.528537176118</v>
      </c>
      <c r="AT64" s="13" t="n">
        <f aca="false">AT31+AT60</f>
        <v>263.528537176118</v>
      </c>
      <c r="AU64" s="13" t="n">
        <f aca="false">AU31+AU60</f>
        <v>263.528537176118</v>
      </c>
      <c r="AV64" s="13" t="n">
        <f aca="false">AV31+AV60</f>
        <v>263.528537176118</v>
      </c>
      <c r="AW64" s="13" t="n">
        <f aca="false">AW31+AW60</f>
        <v>263.528537176118</v>
      </c>
      <c r="AX64" s="13" t="n">
        <f aca="false">AX31+AX60</f>
        <v>263.528537176118</v>
      </c>
      <c r="AY64" s="13" t="n">
        <f aca="false">AY31+AY60</f>
        <v>263.528537176118</v>
      </c>
      <c r="AZ64" s="13" t="n">
        <f aca="false">AZ31+AZ60</f>
        <v>263.528537176118</v>
      </c>
      <c r="BA64" s="13" t="n">
        <f aca="false">BA31+BA60</f>
        <v>263.528537176118</v>
      </c>
      <c r="BB64" s="13" t="n">
        <f aca="false">BB31+BB60</f>
        <v>263.528537176118</v>
      </c>
      <c r="BC64" s="13" t="n">
        <f aca="false">BC31+BC60</f>
        <v>263.528537176118</v>
      </c>
      <c r="BD64" s="13" t="n">
        <f aca="false">BD31+BD60</f>
        <v>263.528537176118</v>
      </c>
      <c r="BE64" s="13" t="n">
        <f aca="false">BE31+BE60</f>
        <v>263.528537176118</v>
      </c>
      <c r="BF64" s="13" t="n">
        <f aca="false">BF31+BF60</f>
        <v>263.528537176118</v>
      </c>
      <c r="BG64" s="13" t="n">
        <f aca="false">BG31+BG60</f>
        <v>263.528537176118</v>
      </c>
      <c r="BH64" s="13" t="n">
        <f aca="false">BH31+BH60</f>
        <v>263.528537176118</v>
      </c>
      <c r="BI64" s="13" t="n">
        <f aca="false">BI31+BI60</f>
        <v>263.528537176118</v>
      </c>
      <c r="BJ64" s="13" t="n">
        <f aca="false">BJ31+BJ60</f>
        <v>263.528537176118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4.72955008490317E-014</v>
      </c>
      <c r="AS65" s="13" t="n">
        <f aca="false">AS32+AS55</f>
        <v>4.72955008490317E-014</v>
      </c>
      <c r="AT65" s="13" t="n">
        <f aca="false">AT32+AT55</f>
        <v>4.72955008490317E-014</v>
      </c>
      <c r="AU65" s="13" t="n">
        <f aca="false">AU32+AU55</f>
        <v>4.72955008490317E-014</v>
      </c>
      <c r="AV65" s="13" t="n">
        <f aca="false">AV32+AV55</f>
        <v>4.72955008490317E-014</v>
      </c>
      <c r="AW65" s="13" t="n">
        <f aca="false">AW32+AW55</f>
        <v>4.72955008490317E-014</v>
      </c>
      <c r="AX65" s="13" t="n">
        <f aca="false">AX32+AX55</f>
        <v>4.72955008490317E-014</v>
      </c>
      <c r="AY65" s="13" t="n">
        <f aca="false">AY32+AY55</f>
        <v>4.72955008490317E-014</v>
      </c>
      <c r="AZ65" s="13" t="n">
        <f aca="false">AZ32+AZ55</f>
        <v>4.72955008490317E-014</v>
      </c>
      <c r="BA65" s="13" t="n">
        <f aca="false">BA32+BA55</f>
        <v>4.72955008490317E-014</v>
      </c>
      <c r="BB65" s="13" t="n">
        <f aca="false">BB32+BB55</f>
        <v>4.72955008490317E-014</v>
      </c>
      <c r="BC65" s="13" t="n">
        <f aca="false">BC32+BC55</f>
        <v>4.72955008490317E-014</v>
      </c>
      <c r="BD65" s="13" t="n">
        <f aca="false">BD32+BD55</f>
        <v>4.72955008490317E-014</v>
      </c>
      <c r="BE65" s="13" t="n">
        <f aca="false">BE32+BE55</f>
        <v>4.72955008490317E-014</v>
      </c>
      <c r="BF65" s="13" t="n">
        <f aca="false">BF32+BF55</f>
        <v>4.72955008490317E-014</v>
      </c>
      <c r="BG65" s="13" t="n">
        <f aca="false">BG32+BG55</f>
        <v>4.72955008490317E-014</v>
      </c>
      <c r="BH65" s="13" t="n">
        <f aca="false">BH32+BH55</f>
        <v>4.72955008490317E-014</v>
      </c>
      <c r="BI65" s="13" t="n">
        <f aca="false">BI32+BI55</f>
        <v>4.72955008490317E-014</v>
      </c>
      <c r="BJ65" s="13" t="n">
        <f aca="false">BJ32+BJ55</f>
        <v>4.72955008490317E-014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242.936300333349</v>
      </c>
      <c r="J67" s="13" t="n">
        <f aca="false">J50-J47+J56</f>
        <v>33.8165778681963</v>
      </c>
      <c r="K67" s="13" t="n">
        <f aca="false">K50-K47+K56</f>
        <v>0.7076568696703</v>
      </c>
      <c r="L67" s="13" t="n">
        <f aca="false">L50-L47+L56</f>
        <v>0.903526823795411</v>
      </c>
      <c r="M67" s="13" t="n">
        <f aca="false">M50-M47+M56</f>
        <v>1.27955449817959</v>
      </c>
      <c r="N67" s="13" t="n">
        <f aca="false">N50-N47+N56</f>
        <v>1.84486929198659</v>
      </c>
      <c r="O67" s="13" t="n">
        <f aca="false">O50-O47+O56</f>
        <v>2.54465930332829</v>
      </c>
      <c r="P67" s="13" t="n">
        <f aca="false">P50-P47+P56</f>
        <v>3.32108257481913</v>
      </c>
      <c r="Q67" s="13" t="n">
        <f aca="false">Q50-Q47+Q56</f>
        <v>4.21703660052937</v>
      </c>
      <c r="R67" s="13" t="n">
        <f aca="false">R50-R47+R56</f>
        <v>5.10984048497731</v>
      </c>
      <c r="S67" s="13" t="n">
        <f aca="false">S50-S47+S56</f>
        <v>6.01905912753737</v>
      </c>
      <c r="T67" s="13" t="n">
        <f aca="false">T50-T47+T56</f>
        <v>6.86974924264519</v>
      </c>
      <c r="U67" s="13" t="n">
        <f aca="false">U50-U47+U56</f>
        <v>7.68597366151808</v>
      </c>
      <c r="V67" s="13" t="n">
        <f aca="false">V50-V47+V56</f>
        <v>8.40321160261449</v>
      </c>
      <c r="W67" s="13" t="n">
        <f aca="false">W50-W47+W56</f>
        <v>8.9994620723329</v>
      </c>
      <c r="X67" s="13" t="n">
        <f aca="false">X50-X47+X56</f>
        <v>9.49344972385449</v>
      </c>
      <c r="Y67" s="13" t="n">
        <f aca="false">Y50-Y47+Y56</f>
        <v>9.82194216353713</v>
      </c>
      <c r="Z67" s="13" t="n">
        <f aca="false">Z50-Z47+Z56</f>
        <v>10.0282053364844</v>
      </c>
      <c r="AA67" s="13" t="n">
        <f aca="false">AA50-AA47+AA56</f>
        <v>10.4030911428101</v>
      </c>
      <c r="AB67" s="13" t="n">
        <f aca="false">AB50-AB47+AB56</f>
        <v>9.92221196256429</v>
      </c>
      <c r="AC67" s="13" t="n">
        <f aca="false">AC50-AC47+AC56</f>
        <v>9.68720312605337</v>
      </c>
      <c r="AD67" s="13" t="n">
        <f aca="false">AD50-AD47+AD56</f>
        <v>9.25964483783241</v>
      </c>
      <c r="AE67" s="13" t="n">
        <f aca="false">AE50-AE47+AE56</f>
        <v>8.7368360550399</v>
      </c>
      <c r="AF67" s="13" t="n">
        <f aca="false">AF50-AF47+AF56</f>
        <v>8.06348398530485</v>
      </c>
      <c r="AG67" s="13" t="n">
        <f aca="false">AG50-AG47+AG56</f>
        <v>7.33612973149143</v>
      </c>
      <c r="AH67" s="13" t="n">
        <f aca="false">AH50-AH47+AH56</f>
        <v>6.51995442601957</v>
      </c>
      <c r="AI67" s="13" t="n">
        <f aca="false">AI50-AI47+AI56</f>
        <v>5.64259808886063</v>
      </c>
      <c r="AJ67" s="13" t="n">
        <f aca="false">AJ50-AJ47+AJ56</f>
        <v>4.79720028285371</v>
      </c>
      <c r="AK67" s="13" t="n">
        <f aca="false">AK50-AK47+AK56</f>
        <v>3.93498058818737</v>
      </c>
      <c r="AL67" s="13" t="n">
        <f aca="false">AL50-AL47+AL56</f>
        <v>3.17661171994708</v>
      </c>
      <c r="AM67" s="13" t="n">
        <f aca="false">AM50-AM47+AM56</f>
        <v>2.49693581630441</v>
      </c>
      <c r="AN67" s="13" t="n">
        <f aca="false">AN50-AN47+AN56</f>
        <v>1.88623359280448</v>
      </c>
      <c r="AO67" s="13" t="n">
        <f aca="false">AO50-AO47+AO56</f>
        <v>1.57591940215725</v>
      </c>
      <c r="AP67" s="13" t="n">
        <f aca="false">AP50-AP47+AP56</f>
        <v>15.4782493106398</v>
      </c>
      <c r="AQ67" s="13" t="n">
        <f aca="false">AQ50-AQ47+AQ56</f>
        <v>11.895573731581</v>
      </c>
      <c r="AR67" s="13" t="n">
        <f aca="false">AR50-AR47+AR56</f>
        <v>1.05758528689103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228.736300333349</v>
      </c>
      <c r="J68" s="13" t="n">
        <f aca="false">J67-IF(Construction!J8=1,Inputs!$F$68,0)</f>
        <v>19.6165778681963</v>
      </c>
      <c r="K68" s="13" t="n">
        <f aca="false">K67-IF(Construction!K8=1,Inputs!$F$68,0)</f>
        <v>0.7076568696703</v>
      </c>
      <c r="L68" s="13" t="n">
        <f aca="false">L67-IF(Construction!L8=1,Inputs!$F$68,0)</f>
        <v>0.903526823795411</v>
      </c>
      <c r="M68" s="13" t="n">
        <f aca="false">M67-IF(Construction!M8=1,Inputs!$F$68,0)</f>
        <v>1.27955449817959</v>
      </c>
      <c r="N68" s="13" t="n">
        <f aca="false">N67-IF(Construction!N8=1,Inputs!$F$68,0)</f>
        <v>1.84486929198659</v>
      </c>
      <c r="O68" s="13" t="n">
        <f aca="false">O67-IF(Construction!O8=1,Inputs!$F$68,0)</f>
        <v>2.54465930332829</v>
      </c>
      <c r="P68" s="13" t="n">
        <f aca="false">P67-IF(Construction!P8=1,Inputs!$F$68,0)</f>
        <v>3.32108257481913</v>
      </c>
      <c r="Q68" s="13" t="n">
        <f aca="false">Q67-IF(Construction!Q8=1,Inputs!$F$68,0)</f>
        <v>4.21703660052937</v>
      </c>
      <c r="R68" s="13" t="n">
        <f aca="false">R67-IF(Construction!R8=1,Inputs!$F$68,0)</f>
        <v>5.10984048497731</v>
      </c>
      <c r="S68" s="13" t="n">
        <f aca="false">S67-IF(Construction!S8=1,Inputs!$F$68,0)</f>
        <v>6.01905912753737</v>
      </c>
      <c r="T68" s="13" t="n">
        <f aca="false">T67-IF(Construction!T8=1,Inputs!$F$68,0)</f>
        <v>6.86974924264519</v>
      </c>
      <c r="U68" s="13" t="n">
        <f aca="false">U67-IF(Construction!U8=1,Inputs!$F$68,0)</f>
        <v>7.68597366151808</v>
      </c>
      <c r="V68" s="13" t="n">
        <f aca="false">V67-IF(Construction!V8=1,Inputs!$F$68,0)</f>
        <v>8.40321160261449</v>
      </c>
      <c r="W68" s="13" t="n">
        <f aca="false">W67-IF(Construction!W8=1,Inputs!$F$68,0)</f>
        <v>8.9994620723329</v>
      </c>
      <c r="X68" s="13" t="n">
        <f aca="false">X67-IF(Construction!X8=1,Inputs!$F$68,0)</f>
        <v>9.49344972385449</v>
      </c>
      <c r="Y68" s="13" t="n">
        <f aca="false">Y67-IF(Construction!Y8=1,Inputs!$F$68,0)</f>
        <v>9.82194216353713</v>
      </c>
      <c r="Z68" s="13" t="n">
        <f aca="false">Z67-IF(Construction!Z8=1,Inputs!$F$68,0)</f>
        <v>10.0282053364844</v>
      </c>
      <c r="AA68" s="13" t="n">
        <f aca="false">AA67-IF(Construction!AA8=1,Inputs!$F$68,0)</f>
        <v>10.4030911428101</v>
      </c>
      <c r="AB68" s="13" t="n">
        <f aca="false">AB67-IF(Construction!AB8=1,Inputs!$F$68,0)</f>
        <v>9.92221196256429</v>
      </c>
      <c r="AC68" s="13" t="n">
        <f aca="false">AC67-IF(Construction!AC8=1,Inputs!$F$68,0)</f>
        <v>9.68720312605337</v>
      </c>
      <c r="AD68" s="13" t="n">
        <f aca="false">AD67-IF(Construction!AD8=1,Inputs!$F$68,0)</f>
        <v>9.25964483783241</v>
      </c>
      <c r="AE68" s="13" t="n">
        <f aca="false">AE67-IF(Construction!AE8=1,Inputs!$F$68,0)</f>
        <v>8.7368360550399</v>
      </c>
      <c r="AF68" s="13" t="n">
        <f aca="false">AF67-IF(Construction!AF8=1,Inputs!$F$68,0)</f>
        <v>8.06348398530485</v>
      </c>
      <c r="AG68" s="13" t="n">
        <f aca="false">AG67-IF(Construction!AG8=1,Inputs!$F$68,0)</f>
        <v>7.33612973149143</v>
      </c>
      <c r="AH68" s="13" t="n">
        <f aca="false">AH67-IF(Construction!AH8=1,Inputs!$F$68,0)</f>
        <v>6.51995442601957</v>
      </c>
      <c r="AI68" s="13" t="n">
        <f aca="false">AI67-IF(Construction!AI8=1,Inputs!$F$68,0)</f>
        <v>5.64259808886063</v>
      </c>
      <c r="AJ68" s="13" t="n">
        <f aca="false">AJ67-IF(Construction!AJ8=1,Inputs!$F$68,0)</f>
        <v>4.79720028285371</v>
      </c>
      <c r="AK68" s="13" t="n">
        <f aca="false">AK67-IF(Construction!AK8=1,Inputs!$F$68,0)</f>
        <v>3.93498058818737</v>
      </c>
      <c r="AL68" s="13" t="n">
        <f aca="false">AL67-IF(Construction!AL8=1,Inputs!$F$68,0)</f>
        <v>3.17661171994708</v>
      </c>
      <c r="AM68" s="13" t="n">
        <f aca="false">AM67-IF(Construction!AM8=1,Inputs!$F$68,0)</f>
        <v>2.49693581630441</v>
      </c>
      <c r="AN68" s="13" t="n">
        <f aca="false">AN67-IF(Construction!AN8=1,Inputs!$F$68,0)</f>
        <v>1.88623359280448</v>
      </c>
      <c r="AO68" s="13" t="n">
        <f aca="false">AO67-IF(Construction!AO8=1,Inputs!$F$68,0)</f>
        <v>1.57591940215725</v>
      </c>
      <c r="AP68" s="13" t="n">
        <f aca="false">AP67-IF(Construction!AP8=1,Inputs!$F$68,0)</f>
        <v>15.4782493106398</v>
      </c>
      <c r="AQ68" s="13" t="n">
        <f aca="false">AQ67-IF(Construction!AQ8=1,Inputs!$F$68,0)</f>
        <v>11.895573731581</v>
      </c>
      <c r="AR68" s="13" t="n">
        <f aca="false">AR67-IF(Construction!AR8=1,Inputs!$F$68,0)</f>
        <v>1.05758528689103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48.5872600666698</v>
      </c>
      <c r="J69" s="13" t="n">
        <f aca="false">(1-Inputs!$F$53)*J67</f>
        <v>6.76331557363925</v>
      </c>
      <c r="K69" s="13" t="n">
        <f aca="false">(1-Inputs!$F$53)*K67</f>
        <v>0.14153137393406</v>
      </c>
      <c r="L69" s="13" t="n">
        <f aca="false">(1-Inputs!$F$53)*L67</f>
        <v>0.180705364759082</v>
      </c>
      <c r="M69" s="13" t="n">
        <f aca="false">(1-Inputs!$F$53)*M67</f>
        <v>0.255910899635917</v>
      </c>
      <c r="N69" s="13" t="n">
        <f aca="false">(1-Inputs!$F$53)*N67</f>
        <v>0.368973858397319</v>
      </c>
      <c r="O69" s="13" t="n">
        <f aca="false">(1-Inputs!$F$53)*O67</f>
        <v>0.508931860665657</v>
      </c>
      <c r="P69" s="13" t="n">
        <f aca="false">(1-Inputs!$F$53)*P67</f>
        <v>0.664216514963825</v>
      </c>
      <c r="Q69" s="13" t="n">
        <f aca="false">(1-Inputs!$F$53)*Q67</f>
        <v>0.843407320105874</v>
      </c>
      <c r="R69" s="13" t="n">
        <f aca="false">(1-Inputs!$F$53)*R67</f>
        <v>1.02196809699546</v>
      </c>
      <c r="S69" s="13" t="n">
        <f aca="false">(1-Inputs!$F$53)*S67</f>
        <v>1.20381182550747</v>
      </c>
      <c r="T69" s="13" t="n">
        <f aca="false">(1-Inputs!$F$53)*T67</f>
        <v>1.37394984852904</v>
      </c>
      <c r="U69" s="13" t="n">
        <f aca="false">(1-Inputs!$F$53)*U67</f>
        <v>1.53719473230362</v>
      </c>
      <c r="V69" s="13" t="n">
        <f aca="false">(1-Inputs!$F$53)*V67</f>
        <v>1.6806423205229</v>
      </c>
      <c r="W69" s="13" t="n">
        <f aca="false">(1-Inputs!$F$53)*W67</f>
        <v>1.79989241446658</v>
      </c>
      <c r="X69" s="13" t="n">
        <f aca="false">(1-Inputs!$F$53)*X67</f>
        <v>1.8986899447709</v>
      </c>
      <c r="Y69" s="13" t="n">
        <f aca="false">(1-Inputs!$F$53)*Y67</f>
        <v>1.96438843270743</v>
      </c>
      <c r="Z69" s="13" t="n">
        <f aca="false">(1-Inputs!$F$53)*Z67</f>
        <v>2.00564106729687</v>
      </c>
      <c r="AA69" s="13" t="n">
        <f aca="false">(1-Inputs!$F$53)*AA67</f>
        <v>2.08061822856202</v>
      </c>
      <c r="AB69" s="13" t="n">
        <f aca="false">(1-Inputs!$F$53)*AB67</f>
        <v>1.98444239251286</v>
      </c>
      <c r="AC69" s="13" t="n">
        <f aca="false">(1-Inputs!$F$53)*AC67</f>
        <v>1.93744062521067</v>
      </c>
      <c r="AD69" s="13" t="n">
        <f aca="false">(1-Inputs!$F$53)*AD67</f>
        <v>1.85192896756648</v>
      </c>
      <c r="AE69" s="13" t="n">
        <f aca="false">(1-Inputs!$F$53)*AE67</f>
        <v>1.74736721100798</v>
      </c>
      <c r="AF69" s="13" t="n">
        <f aca="false">(1-Inputs!$F$53)*AF67</f>
        <v>1.61269679706097</v>
      </c>
      <c r="AG69" s="13" t="n">
        <f aca="false">(1-Inputs!$F$53)*AG67</f>
        <v>1.46722594629829</v>
      </c>
      <c r="AH69" s="13" t="n">
        <f aca="false">(1-Inputs!$F$53)*AH67</f>
        <v>1.30399088520391</v>
      </c>
      <c r="AI69" s="13" t="n">
        <f aca="false">(1-Inputs!$F$53)*AI67</f>
        <v>1.12851961777213</v>
      </c>
      <c r="AJ69" s="13" t="n">
        <f aca="false">(1-Inputs!$F$53)*AJ67</f>
        <v>0.959440056570742</v>
      </c>
      <c r="AK69" s="13" t="n">
        <f aca="false">(1-Inputs!$F$53)*AK67</f>
        <v>0.786996117637474</v>
      </c>
      <c r="AL69" s="13" t="n">
        <f aca="false">(1-Inputs!$F$53)*AL67</f>
        <v>0.635322343989416</v>
      </c>
      <c r="AM69" s="13" t="n">
        <f aca="false">(1-Inputs!$F$53)*AM67</f>
        <v>0.499387163260882</v>
      </c>
      <c r="AN69" s="13" t="n">
        <f aca="false">(1-Inputs!$F$53)*AN67</f>
        <v>0.377246718560896</v>
      </c>
      <c r="AO69" s="13" t="n">
        <f aca="false">(1-Inputs!$F$53)*AO67</f>
        <v>0.315183880431449</v>
      </c>
      <c r="AP69" s="13" t="n">
        <f aca="false">(1-Inputs!$F$53)*AP67</f>
        <v>3.09564986212796</v>
      </c>
      <c r="AQ69" s="13" t="n">
        <f aca="false">(1-Inputs!$F$53)*AQ67</f>
        <v>2.37911474631621</v>
      </c>
      <c r="AR69" s="13" t="n">
        <f aca="false">(1-Inputs!$F$53)*AR67</f>
        <v>0.211517057378206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194.349040266679</v>
      </c>
      <c r="J70" s="13" t="n">
        <f aca="false">Inputs!$F$53*J67</f>
        <v>27.053262294557</v>
      </c>
      <c r="K70" s="13" t="n">
        <f aca="false">Inputs!$F$53*K67</f>
        <v>0.56612549573624</v>
      </c>
      <c r="L70" s="13" t="n">
        <f aca="false">Inputs!$F$53*L67</f>
        <v>0.722821459036329</v>
      </c>
      <c r="M70" s="13" t="n">
        <f aca="false">Inputs!$F$53*M67</f>
        <v>1.02364359854367</v>
      </c>
      <c r="N70" s="13" t="n">
        <f aca="false">Inputs!$F$53*N67</f>
        <v>1.47589543358928</v>
      </c>
      <c r="O70" s="13" t="n">
        <f aca="false">Inputs!$F$53*O67</f>
        <v>2.03572744266263</v>
      </c>
      <c r="P70" s="13" t="n">
        <f aca="false">Inputs!$F$53*P67</f>
        <v>2.6568660598553</v>
      </c>
      <c r="Q70" s="13" t="n">
        <f aca="false">Inputs!$F$53*Q67</f>
        <v>3.3736292804235</v>
      </c>
      <c r="R70" s="13" t="n">
        <f aca="false">Inputs!$F$53*R67</f>
        <v>4.08787238798185</v>
      </c>
      <c r="S70" s="13" t="n">
        <f aca="false">Inputs!$F$53*S67</f>
        <v>4.8152473020299</v>
      </c>
      <c r="T70" s="13" t="n">
        <f aca="false">Inputs!$F$53*T67</f>
        <v>5.49579939411615</v>
      </c>
      <c r="U70" s="13" t="n">
        <f aca="false">Inputs!$F$53*U67</f>
        <v>6.14877892921447</v>
      </c>
      <c r="V70" s="13" t="n">
        <f aca="false">Inputs!$F$53*V67</f>
        <v>6.72256928209159</v>
      </c>
      <c r="W70" s="13" t="n">
        <f aca="false">Inputs!$F$53*W67</f>
        <v>7.19956965786632</v>
      </c>
      <c r="X70" s="13" t="n">
        <f aca="false">Inputs!$F$53*X67</f>
        <v>7.59475977908359</v>
      </c>
      <c r="Y70" s="13" t="n">
        <f aca="false">Inputs!$F$53*Y67</f>
        <v>7.85755373082971</v>
      </c>
      <c r="Z70" s="13" t="n">
        <f aca="false">Inputs!$F$53*Z67</f>
        <v>8.0225642691875</v>
      </c>
      <c r="AA70" s="13" t="n">
        <f aca="false">Inputs!$F$53*AA67</f>
        <v>8.32247291424809</v>
      </c>
      <c r="AB70" s="13" t="n">
        <f aca="false">Inputs!$F$53*AB67</f>
        <v>7.93776957005144</v>
      </c>
      <c r="AC70" s="13" t="n">
        <f aca="false">Inputs!$F$53*AC67</f>
        <v>7.7497625008427</v>
      </c>
      <c r="AD70" s="13" t="n">
        <f aca="false">Inputs!$F$53*AD67</f>
        <v>7.40771587026593</v>
      </c>
      <c r="AE70" s="13" t="n">
        <f aca="false">Inputs!$F$53*AE67</f>
        <v>6.98946884403192</v>
      </c>
      <c r="AF70" s="13" t="n">
        <f aca="false">Inputs!$F$53*AF67</f>
        <v>6.45078718824388</v>
      </c>
      <c r="AG70" s="13" t="n">
        <f aca="false">Inputs!$F$53*AG67</f>
        <v>5.86890378519315</v>
      </c>
      <c r="AH70" s="13" t="n">
        <f aca="false">Inputs!$F$53*AH67</f>
        <v>5.21596354081566</v>
      </c>
      <c r="AI70" s="13" t="n">
        <f aca="false">Inputs!$F$53*AI67</f>
        <v>4.51407847108851</v>
      </c>
      <c r="AJ70" s="13" t="n">
        <f aca="false">Inputs!$F$53*AJ67</f>
        <v>3.83776022628297</v>
      </c>
      <c r="AK70" s="13" t="n">
        <f aca="false">Inputs!$F$53*AK67</f>
        <v>3.1479844705499</v>
      </c>
      <c r="AL70" s="13" t="n">
        <f aca="false">Inputs!$F$53*AL67</f>
        <v>2.54128937595766</v>
      </c>
      <c r="AM70" s="13" t="n">
        <f aca="false">Inputs!$F$53*AM67</f>
        <v>1.99754865304353</v>
      </c>
      <c r="AN70" s="13" t="n">
        <f aca="false">Inputs!$F$53*AN67</f>
        <v>1.50898687424359</v>
      </c>
      <c r="AO70" s="13" t="n">
        <f aca="false">Inputs!$F$53*AO67</f>
        <v>1.2607355217258</v>
      </c>
      <c r="AP70" s="13" t="n">
        <f aca="false">Inputs!$F$53*AP67</f>
        <v>12.3825994485118</v>
      </c>
      <c r="AQ70" s="13" t="n">
        <f aca="false">Inputs!$F$53*AQ67</f>
        <v>9.51645898526484</v>
      </c>
      <c r="AR70" s="13" t="n">
        <f aca="false">Inputs!$F$53*AR67</f>
        <v>0.846068229512824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26.3917827835951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0.211237801478048</v>
      </c>
      <c r="L71" s="13" t="n">
        <f aca="false">IF(Construction!L8&lt;=Time!$F$11,K72*Inputs!$F$104/100*Construction!L11/Inputs!$F$248,0)</f>
        <v>0.224551211966484</v>
      </c>
      <c r="M71" s="13" t="n">
        <f aca="false">IF(Construction!M8&lt;=Time!$F$11,L72*Inputs!$F$104/100*Construction!M11/Inputs!$F$248,0)</f>
        <v>0.224704917942209</v>
      </c>
      <c r="N71" s="13" t="n">
        <f aca="false">IF(Construction!N8&lt;=Time!$F$11,M72*Inputs!$F$104/100*Construction!N11/Inputs!$F$248,0)</f>
        <v>0.24226737332855</v>
      </c>
      <c r="O71" s="13" t="n">
        <f aca="false">IF(Construction!O8&lt;=Time!$F$11,N72*Inputs!$F$104/100*Construction!O11/Inputs!$F$248,0)</f>
        <v>0.256130358167928</v>
      </c>
      <c r="P71" s="13" t="n">
        <f aca="false">IF(Construction!P8&lt;=Time!$F$11,O72*Inputs!$F$104/100*Construction!P11/Inputs!$F$248,0)</f>
        <v>0.248045855477924</v>
      </c>
      <c r="Q71" s="13" t="n">
        <f aca="false">IF(Construction!Q8&lt;=Time!$F$11,P72*Inputs!$F$104/100*Construction!Q11/Inputs!$F$248,0)</f>
        <v>0.298060459028482</v>
      </c>
      <c r="R71" s="13" t="n">
        <f aca="false">IF(Construction!R8&lt;=Time!$F$11,Q72*Inputs!$F$104/100*Construction!R11/Inputs!$F$248,0)</f>
        <v>0.317114963750991</v>
      </c>
      <c r="S71" s="13" t="n">
        <f aca="false">IF(Construction!S8&lt;=Time!$F$11,R72*Inputs!$F$104/100*Construction!S11/Inputs!$F$248,0)</f>
        <v>0.363227072819001</v>
      </c>
      <c r="T71" s="13" t="n">
        <f aca="false">IF(Construction!T8&lt;=Time!$F$11,S72*Inputs!$F$104/100*Construction!T11/Inputs!$F$248,0)</f>
        <v>0.391944733396903</v>
      </c>
      <c r="U71" s="13" t="n">
        <f aca="false">IF(Construction!U8&lt;=Time!$F$11,T72*Inputs!$F$104/100*Construction!U11/Inputs!$F$248,0)</f>
        <v>0.452514781009291</v>
      </c>
      <c r="V71" s="13" t="n">
        <f aca="false">IF(Construction!V8&lt;=Time!$F$11,U72*Inputs!$F$104/100*Construction!V11/Inputs!$F$248,0)</f>
        <v>0.505777274095891</v>
      </c>
      <c r="W71" s="13" t="n">
        <f aca="false">IF(Construction!W8&lt;=Time!$F$11,V72*Inputs!$F$104/100*Construction!W11/Inputs!$F$248,0)</f>
        <v>0.545902392363161</v>
      </c>
      <c r="X71" s="13" t="n">
        <f aca="false">IF(Construction!X8&lt;=Time!$F$11,W72*Inputs!$F$104/100*Construction!X11/Inputs!$F$248,0)</f>
        <v>0.626593426961365</v>
      </c>
      <c r="Y71" s="13" t="n">
        <f aca="false">IF(Construction!Y8&lt;=Time!$F$11,X72*Inputs!$F$104/100*Construction!Y11/Inputs!$F$248,0)</f>
        <v>0.670574863542291</v>
      </c>
      <c r="Z71" s="13" t="n">
        <f aca="false">IF(Construction!Z8&lt;=Time!$F$11,Y72*Inputs!$F$104/100*Construction!Z11/Inputs!$F$248,0)</f>
        <v>0.761736506145551</v>
      </c>
      <c r="AA71" s="13" t="n">
        <f aca="false">IF(Construction!AA8&lt;=Time!$F$11,Z72*Inputs!$F$104/100*Construction!AA11/Inputs!$F$248,0)</f>
        <v>0.832612576784882</v>
      </c>
      <c r="AB71" s="13" t="n">
        <f aca="false">IF(Construction!AB8&lt;=Time!$F$11,AA72*Inputs!$F$104/100*Construction!AB11/Inputs!$F$248,0)</f>
        <v>0.847997719984944</v>
      </c>
      <c r="AC71" s="13" t="n">
        <f aca="false">IF(Construction!AC8&lt;=Time!$F$11,AB72*Inputs!$F$104/100*Construction!AC11/Inputs!$F$248,0)</f>
        <v>0.977368224566387</v>
      </c>
      <c r="AD71" s="13" t="n">
        <f aca="false">IF(Construction!AD8&lt;=Time!$F$11,AC72*Inputs!$F$104/100*Construction!AD11/Inputs!$F$248,0)</f>
        <v>1.01398356682208</v>
      </c>
      <c r="AE71" s="13" t="n">
        <f aca="false">IF(Construction!AE8&lt;=Time!$F$11,AD72*Inputs!$F$104/100*Construction!AE11/Inputs!$F$248,0)</f>
        <v>1.11573344327475</v>
      </c>
      <c r="AF71" s="13" t="n">
        <f aca="false">IF(Construction!AF8&lt;=Time!$F$11,AE72*Inputs!$F$104/100*Construction!AF11/Inputs!$F$248,0)</f>
        <v>1.14302923782078</v>
      </c>
      <c r="AG71" s="13" t="n">
        <f aca="false">IF(Construction!AG8&lt;=Time!$F$11,AF72*Inputs!$F$104/100*Construction!AG11/Inputs!$F$248,0)</f>
        <v>1.24240086823606</v>
      </c>
      <c r="AH71" s="13" t="n">
        <f aca="false">IF(Construction!AH8&lt;=Time!$F$11,AG72*Inputs!$F$104/100*Construction!AH11/Inputs!$F$248,0)</f>
        <v>1.29977838112469</v>
      </c>
      <c r="AI71" s="13" t="n">
        <f aca="false">IF(Construction!AI8&lt;=Time!$F$11,AH72*Inputs!$F$104/100*Construction!AI11/Inputs!$F$248,0)</f>
        <v>1.30872638728403</v>
      </c>
      <c r="AJ71" s="13" t="n">
        <f aca="false">IF(Construction!AJ8&lt;=Time!$F$11,AI72*Inputs!$F$104/100*Construction!AJ11/Inputs!$F$248,0)</f>
        <v>1.39933186131105</v>
      </c>
      <c r="AK71" s="13" t="n">
        <f aca="false">IF(Construction!AK8&lt;=Time!$F$11,AJ72*Inputs!$F$104/100*Construction!AK11/Inputs!$F$248,0)</f>
        <v>1.39508448672514</v>
      </c>
      <c r="AL71" s="13" t="n">
        <f aca="false">IF(Construction!AL8&lt;=Time!$F$11,AK72*Inputs!$F$104/100*Construction!AL11/Inputs!$F$248,0)</f>
        <v>1.47824302371417</v>
      </c>
      <c r="AM71" s="13" t="n">
        <f aca="false">IF(Construction!AM8&lt;=Time!$F$11,AL72*Inputs!$F$104/100*Construction!AM11/Inputs!$F$248,0)</f>
        <v>1.51067459334988</v>
      </c>
      <c r="AN71" s="13" t="n">
        <f aca="false">IF(Construction!AN8&lt;=Time!$F$11,AM72*Inputs!$F$104/100*Construction!AN11/Inputs!$F$248,0)</f>
        <v>1.39004705549566</v>
      </c>
      <c r="AO71" s="13" t="n">
        <f aca="false">IF(Construction!AO8&lt;=Time!$F$11,AN72*Inputs!$F$104/100*Construction!AO11/Inputs!$F$248,0)</f>
        <v>1.56237150399019</v>
      </c>
      <c r="AP71" s="13" t="n">
        <f aca="false">IF(Construction!AP8&lt;=Time!$F$11,AO72*Inputs!$F$104/100*Construction!AP11/Inputs!$F$248,0)</f>
        <v>1.53401586163628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27.053262294557</v>
      </c>
      <c r="K72" s="13" t="n">
        <f aca="false">J72+K71+K70</f>
        <v>27.8306255917713</v>
      </c>
      <c r="L72" s="13" t="n">
        <f aca="false">K72+L71+L70</f>
        <v>28.7779982627741</v>
      </c>
      <c r="M72" s="13" t="n">
        <f aca="false">L72+M71+M70</f>
        <v>30.02634677926</v>
      </c>
      <c r="N72" s="13" t="n">
        <f aca="false">M72+N71+N70</f>
        <v>31.7445095861778</v>
      </c>
      <c r="O72" s="13" t="n">
        <f aca="false">N72+O71+O70</f>
        <v>34.0363673870084</v>
      </c>
      <c r="P72" s="13" t="n">
        <f aca="false">O72+P71+P70</f>
        <v>36.9412793023416</v>
      </c>
      <c r="Q72" s="13" t="n">
        <f aca="false">P72+Q71+Q70</f>
        <v>40.6129690417936</v>
      </c>
      <c r="R72" s="13" t="n">
        <f aca="false">Q72+R71+R70</f>
        <v>45.0179563935264</v>
      </c>
      <c r="S72" s="13" t="n">
        <f aca="false">R72+S71+S70</f>
        <v>50.1964307683753</v>
      </c>
      <c r="T72" s="13" t="n">
        <f aca="false">S72+T71+T70</f>
        <v>56.0841748958884</v>
      </c>
      <c r="U72" s="13" t="n">
        <f aca="false">T72+U71+U70</f>
        <v>62.6854686061121</v>
      </c>
      <c r="V72" s="13" t="n">
        <f aca="false">U72+V71+V70</f>
        <v>69.9138151622996</v>
      </c>
      <c r="W72" s="13" t="n">
        <f aca="false">V72+W71+W70</f>
        <v>77.6592872125291</v>
      </c>
      <c r="X72" s="13" t="n">
        <f aca="false">W72+X71+X70</f>
        <v>85.8806404185741</v>
      </c>
      <c r="Y72" s="13" t="n">
        <f aca="false">X72+Y71+Y70</f>
        <v>94.408769012946</v>
      </c>
      <c r="Z72" s="13" t="n">
        <f aca="false">Y72+Z71+Z70</f>
        <v>103.193069788279</v>
      </c>
      <c r="AA72" s="13" t="n">
        <f aca="false">Z72+AA71+AA70</f>
        <v>112.348155279312</v>
      </c>
      <c r="AB72" s="13" t="n">
        <f aca="false">AA72+AB71+AB70</f>
        <v>121.133922569348</v>
      </c>
      <c r="AC72" s="13" t="n">
        <f aca="false">AB72+AC71+AC70</f>
        <v>129.861053294758</v>
      </c>
      <c r="AD72" s="13" t="n">
        <f aca="false">AC72+AD71+AD70</f>
        <v>138.282752731846</v>
      </c>
      <c r="AE72" s="13" t="n">
        <f aca="false">AD72+AE71+AE70</f>
        <v>146.387955019152</v>
      </c>
      <c r="AF72" s="13" t="n">
        <f aca="false">AE72+AF71+AF70</f>
        <v>153.981771445217</v>
      </c>
      <c r="AG72" s="13" t="n">
        <f aca="false">AF72+AG71+AG70</f>
        <v>161.093076098646</v>
      </c>
      <c r="AH72" s="13" t="n">
        <f aca="false">AG72+AH71+AH70</f>
        <v>167.608818020586</v>
      </c>
      <c r="AI72" s="13" t="n">
        <f aca="false">AH72+AI71+AI70</f>
        <v>173.431622878959</v>
      </c>
      <c r="AJ72" s="13" t="n">
        <f aca="false">AI72+AJ71+AJ70</f>
        <v>178.668714966553</v>
      </c>
      <c r="AK72" s="13" t="n">
        <f aca="false">AJ72+AK71+AK70</f>
        <v>183.211783923828</v>
      </c>
      <c r="AL72" s="13" t="n">
        <f aca="false">AK72+AL71+AL70</f>
        <v>187.2313163235</v>
      </c>
      <c r="AM72" s="13" t="n">
        <f aca="false">AL72+AM71+AM70</f>
        <v>190.739539569893</v>
      </c>
      <c r="AN72" s="13" t="n">
        <f aca="false">AM72+AN71+AN70</f>
        <v>193.638573499633</v>
      </c>
      <c r="AO72" s="13" t="n">
        <f aca="false">AN72+AO71+AO70</f>
        <v>196.461680525349</v>
      </c>
      <c r="AP72" s="13" t="n">
        <f aca="false">AO72+AP71+AP70</f>
        <v>210.378295835497</v>
      </c>
      <c r="AQ72" s="13" t="n">
        <f aca="false">AP72+AQ71+AQ70</f>
        <v>219.894754820761</v>
      </c>
      <c r="AR72" s="13" t="n">
        <f aca="false">AQ72+AR71+AR70</f>
        <v>220.740823050274</v>
      </c>
      <c r="AS72" s="13" t="n">
        <f aca="false">AR72+AS71+AS70</f>
        <v>220.740823050274</v>
      </c>
      <c r="AT72" s="13" t="n">
        <f aca="false">AS72+AT71+AT70</f>
        <v>220.740823050274</v>
      </c>
      <c r="AU72" s="13" t="n">
        <f aca="false">AT72+AU71+AU70</f>
        <v>220.740823050274</v>
      </c>
      <c r="AV72" s="13" t="n">
        <f aca="false">AU72+AV71+AV70</f>
        <v>220.740823050274</v>
      </c>
      <c r="AW72" s="13" t="n">
        <f aca="false">AV72+AW71+AW70</f>
        <v>220.740823050274</v>
      </c>
      <c r="AX72" s="13" t="n">
        <f aca="false">AW72+AX71+AX70</f>
        <v>220.740823050274</v>
      </c>
      <c r="AY72" s="13" t="n">
        <f aca="false">AX72+AY71+AY70</f>
        <v>220.740823050274</v>
      </c>
      <c r="AZ72" s="13" t="n">
        <f aca="false">AY72+AZ71+AZ70</f>
        <v>220.740823050274</v>
      </c>
      <c r="BA72" s="13" t="n">
        <f aca="false">AZ72+BA71+BA70</f>
        <v>220.740823050274</v>
      </c>
      <c r="BB72" s="13" t="n">
        <f aca="false">BA72+BB71+BB70</f>
        <v>220.740823050274</v>
      </c>
      <c r="BC72" s="13" t="n">
        <f aca="false">BB72+BC71+BC70</f>
        <v>220.740823050274</v>
      </c>
      <c r="BD72" s="13" t="n">
        <f aca="false">BC72+BD71+BD70</f>
        <v>220.740823050274</v>
      </c>
      <c r="BE72" s="13" t="n">
        <f aca="false">BD72+BE71+BE70</f>
        <v>220.740823050274</v>
      </c>
      <c r="BF72" s="13" t="n">
        <f aca="false">BE72+BF71+BF70</f>
        <v>220.740823050274</v>
      </c>
      <c r="BG72" s="13" t="n">
        <f aca="false">BF72+BG71+BG70</f>
        <v>220.740823050274</v>
      </c>
      <c r="BH72" s="13" t="n">
        <f aca="false">BG72+BH71+BH70</f>
        <v>220.740823050274</v>
      </c>
      <c r="BI72" s="13" t="n">
        <f aca="false">BH72+BI71+BI70</f>
        <v>220.740823050274</v>
      </c>
      <c r="BJ72" s="13" t="n">
        <f aca="false">BI72+BJ71+BJ70</f>
        <v>220.740823050274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693.496150463468</v>
      </c>
      <c r="J73" s="13" t="n">
        <f aca="false">J47+J55</f>
        <v>96.5342212804864</v>
      </c>
      <c r="K73" s="13" t="n">
        <f aca="false">K47+K55</f>
        <v>2.02010697574624</v>
      </c>
      <c r="L73" s="13" t="n">
        <f aca="false">L47+L55</f>
        <v>2.5792455605968</v>
      </c>
      <c r="M73" s="13" t="n">
        <f aca="false">M47+M55</f>
        <v>3.65266992861151</v>
      </c>
      <c r="N73" s="13" t="n">
        <f aca="false">N47+N55</f>
        <v>5.26644124548453</v>
      </c>
      <c r="O73" s="13" t="n">
        <f aca="false">O47+O55</f>
        <v>7.26409115754928</v>
      </c>
      <c r="P73" s="13" t="n">
        <f aca="false">P47+P55</f>
        <v>9.48050158765097</v>
      </c>
      <c r="Q73" s="13" t="n">
        <f aca="false">Q47+Q55</f>
        <v>12.0381295212686</v>
      </c>
      <c r="R73" s="13" t="n">
        <f aca="false">R47+R55</f>
        <v>14.5867649295378</v>
      </c>
      <c r="S73" s="13" t="n">
        <f aca="false">S47+S55</f>
        <v>17.1822585946665</v>
      </c>
      <c r="T73" s="13" t="n">
        <f aca="false">T47+T55</f>
        <v>19.6106742709367</v>
      </c>
      <c r="U73" s="13" t="n">
        <f aca="false">U47+U55</f>
        <v>21.940702725416</v>
      </c>
      <c r="V73" s="13" t="n">
        <f aca="false">V47+V55</f>
        <v>23.9881602294374</v>
      </c>
      <c r="W73" s="13" t="n">
        <f aca="false">W47+W55</f>
        <v>25.6902418240544</v>
      </c>
      <c r="X73" s="13" t="n">
        <f aca="false">X47+X55</f>
        <v>27.1003996894563</v>
      </c>
      <c r="Y73" s="13" t="n">
        <f aca="false">Y47+Y55</f>
        <v>28.0381279831023</v>
      </c>
      <c r="Z73" s="13" t="n">
        <f aca="false">Z47+Z55</f>
        <v>28.6269354862421</v>
      </c>
      <c r="AA73" s="13" t="n">
        <f aca="false">AA47+AA55</f>
        <v>29.697100229813</v>
      </c>
      <c r="AB73" s="13" t="n">
        <f aca="false">AB47+AB55</f>
        <v>28.3243623562185</v>
      </c>
      <c r="AC73" s="13" t="n">
        <f aca="false">AC47+AC55</f>
        <v>27.6534962764207</v>
      </c>
      <c r="AD73" s="13" t="n">
        <f aca="false">AD47+AD55</f>
        <v>26.4329704572116</v>
      </c>
      <c r="AE73" s="13" t="n">
        <f aca="false">AE47+AE55</f>
        <v>24.9405385818698</v>
      </c>
      <c r="AF73" s="13" t="n">
        <f aca="false">AF47+AF55</f>
        <v>23.0183595265903</v>
      </c>
      <c r="AG73" s="13" t="n">
        <f aca="false">AG47+AG55</f>
        <v>20.9420235720594</v>
      </c>
      <c r="AH73" s="13" t="n">
        <f aca="false">AH47+AH55</f>
        <v>18.6121353187543</v>
      </c>
      <c r="AI73" s="13" t="n">
        <f aca="false">AI47+AI55</f>
        <v>16.1075971267691</v>
      </c>
      <c r="AJ73" s="13" t="n">
        <f aca="false">AJ47+AJ55</f>
        <v>13.6942890979912</v>
      </c>
      <c r="AK73" s="13" t="n">
        <f aca="false">AK47+AK55</f>
        <v>11.2329606004204</v>
      </c>
      <c r="AL73" s="13" t="n">
        <f aca="false">AL47+AL55</f>
        <v>9.06808902694903</v>
      </c>
      <c r="AM73" s="13" t="n">
        <f aca="false">AM47+AM55</f>
        <v>7.12785769020686</v>
      </c>
      <c r="AN73" s="13" t="n">
        <f aca="false">AN47+AN55</f>
        <v>5.38452151321092</v>
      </c>
      <c r="AO73" s="13" t="n">
        <f aca="false">AO47+AO55</f>
        <v>4.49868561156611</v>
      </c>
      <c r="AP73" s="13" t="n">
        <f aca="false">AP47+AP55</f>
        <v>44.1848595624184</v>
      </c>
      <c r="AQ73" s="13" t="n">
        <f aca="false">AQ47+AQ55</f>
        <v>33.9576036149644</v>
      </c>
      <c r="AR73" s="13" t="n">
        <f aca="false">AR47+AR55</f>
        <v>3.01902730979002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116.76643620563</v>
      </c>
      <c r="J74" s="13" t="n">
        <f aca="false">J33+J34+J35+J36+J37+J38+J39+J40+J41+J42+J43+J48+Construction!J14*Construction!J38</f>
        <v>14.6910391486826</v>
      </c>
      <c r="K74" s="13" t="n">
        <f aca="false">K33+K34+K35+K36+K37+K38+K39+K40+K41+K42+K43+K48+Construction!K14*Construction!K38</f>
        <v>1.16485152841654</v>
      </c>
      <c r="L74" s="13" t="n">
        <f aca="false">L33+L34+L35+L36+L37+L38+L39+L40+L41+L42+L43+L48+Construction!L14*Construction!L38</f>
        <v>1.22263046739221</v>
      </c>
      <c r="M74" s="13" t="n">
        <f aca="false">M33+M34+M35+M36+M37+M38+M39+M40+M41+M42+M43+M48+Construction!M14*Construction!M38</f>
        <v>1.23953076579109</v>
      </c>
      <c r="N74" s="13" t="n">
        <f aca="false">N33+N34+N35+N36+N37+N38+N39+N40+N41+N42+N43+N48+Construction!N14*Construction!N38</f>
        <v>1.34053255647113</v>
      </c>
      <c r="O74" s="13" t="n">
        <f aca="false">O33+O34+O35+O36+O37+O38+O39+O40+O41+O42+O43+O48+Construction!O14*Construction!O38</f>
        <v>1.43951679987757</v>
      </c>
      <c r="P74" s="13" t="n">
        <f aca="false">P33+P34+P35+P36+P37+P38+P39+P40+P41+P42+P43+P48+Construction!P14*Construction!P38</f>
        <v>1.45160893347009</v>
      </c>
      <c r="Q74" s="13" t="n">
        <f aca="false">Q33+Q34+Q35+Q36+Q37+Q38+Q39+Q40+Q41+Q42+Q43+Q48+Construction!Q14*Construction!Q38</f>
        <v>1.68092913279798</v>
      </c>
      <c r="R74" s="13" t="n">
        <f aca="false">R33+R34+R35+R36+R37+R38+R39+R40+R41+R42+R43+R48+Construction!R14*Construction!R38</f>
        <v>1.79131149751507</v>
      </c>
      <c r="S74" s="13" t="n">
        <f aca="false">S33+S34+S35+S36+S37+S38+S39+S40+S41+S42+S43+S48+Construction!S14*Construction!S38</f>
        <v>1.98605382120387</v>
      </c>
      <c r="T74" s="13" t="n">
        <f aca="false">T33+T34+T35+T36+T37+T38+T39+T40+T41+T42+T43+T48+Construction!T14*Construction!T38</f>
        <v>2.09531577258191</v>
      </c>
      <c r="U74" s="13" t="n">
        <f aca="false">U33+U34+U35+U36+U37+U38+U39+U40+U41+U42+U43+U48+Construction!U14*Construction!U38</f>
        <v>2.31796589393411</v>
      </c>
      <c r="V74" s="13" t="n">
        <f aca="false">V33+V34+V35+V36+V37+V38+V39+V40+V41+V42+V43+V48+Construction!V14*Construction!V38</f>
        <v>2.49917058705189</v>
      </c>
      <c r="W74" s="13" t="n">
        <f aca="false">W33+W34+W35+W36+W37+W38+W39+W40+W41+W42+W43+W48+Construction!W14*Construction!W38</f>
        <v>2.63439033138731</v>
      </c>
      <c r="X74" s="13" t="n">
        <f aca="false">X33+X34+X35+X36+X37+X38+X39+X40+X41+X42+X43+X48+Construction!X14*Construction!X38</f>
        <v>2.85838256831081</v>
      </c>
      <c r="Y74" s="13" t="n">
        <f aca="false">Y33+Y34+Y35+Y36+Y37+Y38+Y39+Y40+Y41+Y42+Y43+Y48+Construction!Y14*Construction!Y38</f>
        <v>2.97774563763946</v>
      </c>
      <c r="Z74" s="13" t="n">
        <f aca="false">Z33+Z34+Z35+Z36+Z37+Z38+Z39+Z40+Z41+Z42+Z43+Z48+Construction!Z14*Construction!Z38</f>
        <v>3.19122479372648</v>
      </c>
      <c r="AA74" s="13" t="n">
        <f aca="false">AA33+AA34+AA35+AA36+AA37+AA38+AA39+AA40+AA41+AA42+AA43+AA48+Construction!AA14*Construction!AA38</f>
        <v>3.37897534362306</v>
      </c>
      <c r="AB74" s="13" t="n">
        <f aca="false">AB33+AB34+AB35+AB36+AB37+AB38+AB39+AB40+AB41+AB42+AB43+AB48+Construction!AB14*Construction!AB38</f>
        <v>3.36424980978282</v>
      </c>
      <c r="AC74" s="13" t="n">
        <f aca="false">AC33+AC34+AC35+AC36+AC37+AC38+AC39+AC40+AC41+AC42+AC43+AC48+Construction!AC14*Construction!AC38</f>
        <v>3.60523255747407</v>
      </c>
      <c r="AD74" s="13" t="n">
        <f aca="false">AD33+AD34+AD35+AD36+AD37+AD38+AD39+AD40+AD41+AD42+AD43+AD48+Construction!AD14*Construction!AD38</f>
        <v>3.63730173004402</v>
      </c>
      <c r="AE74" s="13" t="n">
        <f aca="false">AE33+AE34+AE35+AE36+AE37+AE38+AE39+AE40+AE41+AE42+AE43+AE48+Construction!AE14*Construction!AE38</f>
        <v>3.78517339190971</v>
      </c>
      <c r="AF74" s="13" t="n">
        <f aca="false">AF33+AF34+AF35+AF36+AF37+AF38+AF39+AF40+AF41+AF42+AF43+AF48+Construction!AF14*Construction!AF38</f>
        <v>3.77313301889512</v>
      </c>
      <c r="AG74" s="13" t="n">
        <f aca="false">AG33+AG34+AG35+AG36+AG37+AG38+AG39+AG40+AG41+AG42+AG43+AG48+Construction!AG14*Construction!AG38</f>
        <v>3.89304556255087</v>
      </c>
      <c r="AH74" s="13" t="n">
        <f aca="false">AH33+AH34+AH35+AH36+AH37+AH38+AH39+AH40+AH41+AH42+AH43+AH48+Construction!AH14*Construction!AH38</f>
        <v>3.91682584377386</v>
      </c>
      <c r="AI74" s="13" t="n">
        <f aca="false">AI33+AI34+AI35+AI36+AI37+AI38+AI39+AI40+AI41+AI42+AI43+AI48+Construction!AI14*Construction!AI38</f>
        <v>3.84490129862973</v>
      </c>
      <c r="AJ74" s="13" t="n">
        <f aca="false">AJ33+AJ34+AJ35+AJ36+AJ37+AJ38+AJ39+AJ40+AJ41+AJ42+AJ43+AJ48+Construction!AJ14*Construction!AJ38</f>
        <v>3.91725239184495</v>
      </c>
      <c r="AK74" s="13" t="n">
        <f aca="false">AK33+AK34+AK35+AK36+AK37+AK38+AK39+AK40+AK41+AK42+AK43+AK48+Construction!AK14*Construction!AK38</f>
        <v>3.81796595960781</v>
      </c>
      <c r="AL74" s="13" t="n">
        <f aca="false">AL33+AL34+AL35+AL36+AL37+AL38+AL39+AL40+AL41+AL42+AL43+AL48+Construction!AL14*Construction!AL38</f>
        <v>3.87546708589611</v>
      </c>
      <c r="AM74" s="13" t="n">
        <f aca="false">AM33+AM34+AM35+AM36+AM37+AM38+AM39+AM40+AM41+AM42+AM43+AM48+Construction!AM14*Construction!AM38</f>
        <v>3.85401552551127</v>
      </c>
      <c r="AN74" s="13" t="n">
        <f aca="false">AN33+AN34+AN35+AN36+AN37+AN38+AN39+AN40+AN41+AN42+AN43+AN48+Construction!AN14*Construction!AN38</f>
        <v>3.5780614450154</v>
      </c>
      <c r="AO74" s="13" t="n">
        <f aca="false">AO33+AO34+AO35+AO36+AO37+AO38+AO39+AO40+AO41+AO42+AO43+AO48+Construction!AO14*Construction!AO38</f>
        <v>3.81446309672335</v>
      </c>
      <c r="AP74" s="13" t="n">
        <f aca="false">AP33+AP34+AP35+AP36+AP37+AP38+AP39+AP40+AP41+AP42+AP43+AP48+Construction!AP14*Construction!AP38</f>
        <v>5.03839655605822</v>
      </c>
      <c r="AQ74" s="13" t="n">
        <f aca="false">AQ33+AQ34+AQ35+AQ36+AQ37+AQ38+AQ39+AQ40+AQ41+AQ42+AQ43+AQ48+Construction!AQ14*Construction!AQ38</f>
        <v>5.01316275535845</v>
      </c>
      <c r="AR74" s="13" t="n">
        <f aca="false">AR33+AR34+AR35+AR36+AR37+AR38+AR39+AR40+AR41+AR42+AR43+AR48+Construction!AR14*Construction!AR38</f>
        <v>4.07661259668105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936.432450796817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916.099218989225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208.04884513904</v>
      </c>
      <c r="Q21" s="13" t="n">
        <f aca="false">Time!Q35*P33</f>
        <v>202.959880486057</v>
      </c>
      <c r="R21" s="13" t="n">
        <f aca="false">Time!R35*Q33</f>
        <v>197.655542044633</v>
      </c>
      <c r="S21" s="13" t="n">
        <f aca="false">Time!S35*R33</f>
        <v>192.089918726349</v>
      </c>
      <c r="T21" s="13" t="n">
        <f aca="false">Time!T35*S33</f>
        <v>186.360285492789</v>
      </c>
      <c r="U21" s="13" t="n">
        <f aca="false">Time!U35*T33</f>
        <v>180.367091183693</v>
      </c>
      <c r="V21" s="13" t="n">
        <f aca="false">Time!V35*U33</f>
        <v>174.182763357559</v>
      </c>
      <c r="W21" s="13" t="n">
        <f aca="false">Time!W35*V33</f>
        <v>167.594417763912</v>
      </c>
      <c r="X21" s="13" t="n">
        <f aca="false">Time!X35*W33</f>
        <v>160.804670488938</v>
      </c>
      <c r="Y21" s="13" t="n">
        <f aca="false">Time!Y35*X33</f>
        <v>154.203391208234</v>
      </c>
      <c r="Z21" s="13" t="n">
        <f aca="false">Time!Z35*Y33</f>
        <v>147.59900569903</v>
      </c>
      <c r="AA21" s="13" t="n">
        <f aca="false">Time!AA35*Z33</f>
        <v>140.721014004655</v>
      </c>
      <c r="AB21" s="13" t="n">
        <f aca="false">Time!AB35*AA33</f>
        <v>133.642305268603</v>
      </c>
      <c r="AC21" s="13" t="n">
        <f aca="false">Time!AC35*AB33</f>
        <v>126.225416261113</v>
      </c>
      <c r="AD21" s="13" t="n">
        <f aca="false">Time!AD35*AC33</f>
        <v>118.562817170604</v>
      </c>
      <c r="AE21" s="13" t="n">
        <f aca="false">Time!AE35*AD33</f>
        <v>110.195818136175</v>
      </c>
      <c r="AF21" s="13" t="n">
        <f aca="false">Time!AF35*AE33</f>
        <v>101.46920097046</v>
      </c>
      <c r="AG21" s="13" t="n">
        <f aca="false">Time!AG35*AF33</f>
        <v>92.4364384802081</v>
      </c>
      <c r="AH21" s="13" t="n">
        <f aca="false">Time!AH35*AG33</f>
        <v>83.2350955906011</v>
      </c>
      <c r="AI21" s="13" t="n">
        <f aca="false">Time!AI35*AH33</f>
        <v>73.5718311142942</v>
      </c>
      <c r="AJ21" s="13" t="n">
        <f aca="false">Time!AJ35*AI33</f>
        <v>63.6248288279922</v>
      </c>
      <c r="AK21" s="13" t="n">
        <f aca="false">Time!AK35*AJ33</f>
        <v>53.1976085139539</v>
      </c>
      <c r="AL21" s="13" t="n">
        <f aca="false">Time!AL35*AK33</f>
        <v>42.4328775425208</v>
      </c>
      <c r="AM21" s="13" t="n">
        <f aca="false">Time!AM35*AL33</f>
        <v>31.0186160785637</v>
      </c>
      <c r="AN21" s="13" t="n">
        <f aca="false">Time!AN35*AM33</f>
        <v>19.3671095690874</v>
      </c>
      <c r="AO21" s="13" t="n">
        <f aca="false">Time!AO35*AN33</f>
        <v>9.75475501734081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71.8750523286669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4.72132179235529</v>
      </c>
      <c r="Q23" s="13" t="n">
        <f aca="false">Q21*Q10</f>
        <v>4.55114980892151</v>
      </c>
      <c r="R23" s="13" t="n">
        <f aca="false">R21*R10</f>
        <v>4.50566788954188</v>
      </c>
      <c r="S23" s="13" t="n">
        <f aca="false">S21*S10</f>
        <v>4.31706084844242</v>
      </c>
      <c r="T23" s="13" t="n">
        <f aca="false">T21*T10</f>
        <v>4.25771132255859</v>
      </c>
      <c r="U23" s="13" t="n">
        <f aca="false">U21*U10</f>
        <v>4.07599564893283</v>
      </c>
      <c r="V23" s="13" t="n">
        <f aca="false">V21*V10</f>
        <v>3.97949553350904</v>
      </c>
      <c r="W23" s="13" t="n">
        <f aca="false">W21*W10</f>
        <v>3.76654487722912</v>
      </c>
      <c r="X23" s="13" t="n">
        <f aca="false">X21*X10</f>
        <v>3.67385070510393</v>
      </c>
      <c r="Y23" s="13" t="n">
        <f aca="false">Y21*Y10</f>
        <v>3.46559271457906</v>
      </c>
      <c r="Z23" s="13" t="n">
        <f aca="false">Z21*Z10</f>
        <v>3.37214528353718</v>
      </c>
      <c r="AA23" s="13" t="n">
        <f aca="false">AA21*AA10</f>
        <v>3.16258752224295</v>
      </c>
      <c r="AB23" s="13" t="n">
        <f aca="false">AB21*AB10</f>
        <v>3.05328120103669</v>
      </c>
      <c r="AC23" s="13" t="n">
        <f aca="false">AC21*AC10</f>
        <v>2.85248403180738</v>
      </c>
      <c r="AD23" s="13" t="n">
        <f aca="false">AD21*AD10</f>
        <v>2.70876516295772</v>
      </c>
      <c r="AE23" s="13" t="n">
        <f aca="false">AE21*AE10</f>
        <v>2.47655918276209</v>
      </c>
      <c r="AF23" s="13" t="n">
        <f aca="false">AF21*AF10</f>
        <v>2.3182330115051</v>
      </c>
      <c r="AG23" s="13" t="n">
        <f aca="false">AG21*AG10</f>
        <v>2.07743192447728</v>
      </c>
      <c r="AH23" s="13" t="n">
        <f aca="false">AH21*AH10</f>
        <v>1.9016444839266</v>
      </c>
      <c r="AI23" s="13" t="n">
        <f aca="false">AI21*AI10</f>
        <v>1.6534655944345</v>
      </c>
      <c r="AJ23" s="13" t="n">
        <f aca="false">AJ21*AJ10</f>
        <v>1.45361525595686</v>
      </c>
      <c r="AK23" s="13" t="n">
        <f aca="false">AK21*AK10</f>
        <v>1.2021772897345</v>
      </c>
      <c r="AL23" s="13" t="n">
        <f aca="false">AL21*AL10</f>
        <v>0.969449808921458</v>
      </c>
      <c r="AM23" s="13" t="n">
        <f aca="false">AM21*AM10</f>
        <v>0.697117547518986</v>
      </c>
      <c r="AN23" s="13" t="n">
        <f aca="false">AN21*AN10</f>
        <v>0.44247389662175</v>
      </c>
      <c r="AO23" s="13" t="n">
        <f aca="false">AO21*AO10</f>
        <v>0.21922999005222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208.048845139041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5.08896465298368</v>
      </c>
      <c r="Q24" s="13" t="n">
        <f aca="false">Time!Q35*(Q21-Q22)*Q19</f>
        <v>5.30433844142357</v>
      </c>
      <c r="R24" s="13" t="n">
        <f aca="false">Time!R35*(R21-R22)*R19</f>
        <v>5.5656233182844</v>
      </c>
      <c r="S24" s="13" t="n">
        <f aca="false">Time!S35*(S21-S22)*S19</f>
        <v>5.72963323355983</v>
      </c>
      <c r="T24" s="13" t="n">
        <f aca="false">Time!T35*(T21-T22)*T19</f>
        <v>5.99319430909569</v>
      </c>
      <c r="U24" s="13" t="n">
        <f aca="false">Time!U35*(U21-U22)*U19</f>
        <v>6.18432782613381</v>
      </c>
      <c r="V24" s="13" t="n">
        <f aca="false">Time!V35*(V21-V22)*V19</f>
        <v>6.58834559364736</v>
      </c>
      <c r="W24" s="13" t="n">
        <f aca="false">Time!W35*(W21-W22)*W19</f>
        <v>6.78974727497452</v>
      </c>
      <c r="X24" s="13" t="n">
        <f aca="false">Time!X35*(X21-X22)*X19</f>
        <v>6.60127928070334</v>
      </c>
      <c r="Y24" s="13" t="n">
        <f aca="false">Time!Y35*(Y21-Y22)*Y19</f>
        <v>6.60438550920397</v>
      </c>
      <c r="Z24" s="13" t="n">
        <f aca="false">Time!Z35*(Z21-Z22)*Z19</f>
        <v>6.87799169437544</v>
      </c>
      <c r="AA24" s="13" t="n">
        <f aca="false">Time!AA35*(AA21-AA22)*AA19</f>
        <v>7.07870873605143</v>
      </c>
      <c r="AB24" s="13" t="n">
        <f aca="false">Time!AB35*(AB21-AB22)*AB19</f>
        <v>7.41688900749081</v>
      </c>
      <c r="AC24" s="13" t="n">
        <f aca="false">Time!AC35*(AC21-AC22)*AC19</f>
        <v>7.66259909050909</v>
      </c>
      <c r="AD24" s="13" t="n">
        <f aca="false">Time!AD35*(AD21-AD22)*AD19</f>
        <v>8.36699903442832</v>
      </c>
      <c r="AE24" s="13" t="n">
        <f aca="false">Time!AE35*(AE21-AE22)*AE19</f>
        <v>8.72661716571543</v>
      </c>
      <c r="AF24" s="13" t="n">
        <f aca="false">Time!AF35*(AF21-AF22)*AF19</f>
        <v>9.03276249025165</v>
      </c>
      <c r="AG24" s="13" t="n">
        <f aca="false">Time!AG35*(AG21-AG22)*AG19</f>
        <v>9.20134288960707</v>
      </c>
      <c r="AH24" s="13" t="n">
        <f aca="false">Time!AH35*(AH21-AH22)*AH19</f>
        <v>9.66326447630693</v>
      </c>
      <c r="AI24" s="13" t="n">
        <f aca="false">Time!AI35*(AI21-AI22)*AI19</f>
        <v>9.94700228630194</v>
      </c>
      <c r="AJ24" s="13" t="n">
        <f aca="false">Time!AJ35*(AJ21-AJ22)*AJ19</f>
        <v>10.4272203140383</v>
      </c>
      <c r="AK24" s="13" t="n">
        <f aca="false">Time!AK35*(AK21-AK22)*AK19</f>
        <v>10.7647309714331</v>
      </c>
      <c r="AL24" s="13" t="n">
        <f aca="false">Time!AL35*(AL21-AL22)*AL19</f>
        <v>11.4142614639571</v>
      </c>
      <c r="AM24" s="13" t="n">
        <f aca="false">Time!AM35*(AM21-AM22)*AM19</f>
        <v>11.6515065094763</v>
      </c>
      <c r="AN24" s="13" t="n">
        <f aca="false">Time!AN35*(AN21-AN22)*AN19</f>
        <v>9.6123545517466</v>
      </c>
      <c r="AO24" s="13" t="n">
        <f aca="false">Time!AO35*(AO21-AO22)*AO19</f>
        <v>9.75475501734081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208.048845139041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5.08896465298368</v>
      </c>
      <c r="Q27" s="13" t="n">
        <f aca="false">Q24-Q25+Q26</f>
        <v>5.30433844142357</v>
      </c>
      <c r="R27" s="13" t="n">
        <f aca="false">R24-R25+R26</f>
        <v>5.5656233182844</v>
      </c>
      <c r="S27" s="13" t="n">
        <f aca="false">S24-S25+S26</f>
        <v>5.72963323355983</v>
      </c>
      <c r="T27" s="13" t="n">
        <f aca="false">T24-T25+T26</f>
        <v>5.99319430909569</v>
      </c>
      <c r="U27" s="13" t="n">
        <f aca="false">U24-U25+U26</f>
        <v>6.18432782613381</v>
      </c>
      <c r="V27" s="13" t="n">
        <f aca="false">V24-V25+V26</f>
        <v>6.58834559364736</v>
      </c>
      <c r="W27" s="13" t="n">
        <f aca="false">W24-W25+W26</f>
        <v>6.78974727497452</v>
      </c>
      <c r="X27" s="13" t="n">
        <f aca="false">X24-X25+X26</f>
        <v>6.60127928070334</v>
      </c>
      <c r="Y27" s="13" t="n">
        <f aca="false">Y24-Y25+Y26</f>
        <v>6.60438550920397</v>
      </c>
      <c r="Z27" s="13" t="n">
        <f aca="false">Z24-Z25+Z26</f>
        <v>6.87799169437544</v>
      </c>
      <c r="AA27" s="13" t="n">
        <f aca="false">AA24-AA25+AA26</f>
        <v>7.07870873605143</v>
      </c>
      <c r="AB27" s="13" t="n">
        <f aca="false">AB24-AB25+AB26</f>
        <v>7.41688900749081</v>
      </c>
      <c r="AC27" s="13" t="n">
        <f aca="false">AC24-AC25+AC26</f>
        <v>7.66259909050909</v>
      </c>
      <c r="AD27" s="13" t="n">
        <f aca="false">AD24-AD25+AD26</f>
        <v>8.36699903442832</v>
      </c>
      <c r="AE27" s="13" t="n">
        <f aca="false">AE24-AE25+AE26</f>
        <v>8.72661716571543</v>
      </c>
      <c r="AF27" s="13" t="n">
        <f aca="false">AF24-AF25+AF26</f>
        <v>9.03276249025165</v>
      </c>
      <c r="AG27" s="13" t="n">
        <f aca="false">AG24-AG25+AG26</f>
        <v>9.20134288960707</v>
      </c>
      <c r="AH27" s="13" t="n">
        <f aca="false">AH24-AH25+AH26</f>
        <v>9.66326447630693</v>
      </c>
      <c r="AI27" s="13" t="n">
        <f aca="false">AI24-AI25+AI26</f>
        <v>9.94700228630194</v>
      </c>
      <c r="AJ27" s="13" t="n">
        <f aca="false">AJ24-AJ25+AJ26</f>
        <v>10.4272203140383</v>
      </c>
      <c r="AK27" s="13" t="n">
        <f aca="false">AK24-AK25+AK26</f>
        <v>10.7647309714331</v>
      </c>
      <c r="AL27" s="13" t="n">
        <f aca="false">AL24-AL25+AL26</f>
        <v>11.4142614639571</v>
      </c>
      <c r="AM27" s="13" t="n">
        <f aca="false">AM24-AM25+AM26</f>
        <v>11.6515065094763</v>
      </c>
      <c r="AN27" s="13" t="n">
        <f aca="false">AN24-AN25+AN26</f>
        <v>9.6123545517466</v>
      </c>
      <c r="AO27" s="13" t="n">
        <f aca="false">AO24-AO25+AO26</f>
        <v>9.75475501734081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202.959880486057</v>
      </c>
      <c r="Q31" s="13" t="n">
        <f aca="false">Q21-Q27-Q28-Q29</f>
        <v>197.655542044633</v>
      </c>
      <c r="R31" s="13" t="n">
        <f aca="false">R21-R27-R28-R29</f>
        <v>192.089918726349</v>
      </c>
      <c r="S31" s="13" t="n">
        <f aca="false">S21-S27-S28-S29</f>
        <v>186.360285492789</v>
      </c>
      <c r="T31" s="13" t="n">
        <f aca="false">T21-T27-T28-T29</f>
        <v>180.367091183693</v>
      </c>
      <c r="U31" s="13" t="n">
        <f aca="false">U21-U27-U28-U29</f>
        <v>174.182763357559</v>
      </c>
      <c r="V31" s="13" t="n">
        <f aca="false">V21-V27-V28-V29</f>
        <v>167.594417763912</v>
      </c>
      <c r="W31" s="13" t="n">
        <f aca="false">W21-W27-W28-W29</f>
        <v>160.804670488938</v>
      </c>
      <c r="X31" s="13" t="n">
        <f aca="false">X21-X27-X28-X29</f>
        <v>154.203391208234</v>
      </c>
      <c r="Y31" s="13" t="n">
        <f aca="false">Y21-Y27-Y28-Y29</f>
        <v>147.59900569903</v>
      </c>
      <c r="Z31" s="13" t="n">
        <f aca="false">Z21-Z27-Z28-Z29</f>
        <v>140.721014004655</v>
      </c>
      <c r="AA31" s="13" t="n">
        <f aca="false">AA21-AA27-AA28-AA29</f>
        <v>133.642305268603</v>
      </c>
      <c r="AB31" s="13" t="n">
        <f aca="false">AB21-AB27-AB28-AB29</f>
        <v>126.225416261113</v>
      </c>
      <c r="AC31" s="13" t="n">
        <f aca="false">AC21-AC27-AC28-AC29</f>
        <v>118.562817170604</v>
      </c>
      <c r="AD31" s="13" t="n">
        <f aca="false">AD21-AD27-AD28-AD29</f>
        <v>110.195818136175</v>
      </c>
      <c r="AE31" s="13" t="n">
        <f aca="false">AE21-AE27-AE28-AE29</f>
        <v>101.46920097046</v>
      </c>
      <c r="AF31" s="13" t="n">
        <f aca="false">AF21-AF27-AF28-AF29</f>
        <v>92.4364384802081</v>
      </c>
      <c r="AG31" s="13" t="n">
        <f aca="false">AG21-AG27-AG28-AG29</f>
        <v>83.2350955906011</v>
      </c>
      <c r="AH31" s="13" t="n">
        <f aca="false">AH21-AH27-AH28-AH29</f>
        <v>73.5718311142942</v>
      </c>
      <c r="AI31" s="13" t="n">
        <f aca="false">AI21-AI27-AI28-AI29</f>
        <v>63.6248288279922</v>
      </c>
      <c r="AJ31" s="13" t="n">
        <f aca="false">AJ21-AJ27-AJ28-AJ29</f>
        <v>53.1976085139539</v>
      </c>
      <c r="AK31" s="13" t="n">
        <f aca="false">AK21-AK27-AK28-AK29</f>
        <v>42.4328775425208</v>
      </c>
      <c r="AL31" s="13" t="n">
        <f aca="false">AL21-AL27-AL28-AL29</f>
        <v>31.0186160785637</v>
      </c>
      <c r="AM31" s="13" t="n">
        <f aca="false">AM21-AM27-AM28-AM29</f>
        <v>19.3671095690874</v>
      </c>
      <c r="AN31" s="13" t="n">
        <f aca="false">AN21-AN27-AN28-AN29</f>
        <v>9.75475501734081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208.04884513904</v>
      </c>
      <c r="P33" s="13" t="n">
        <f aca="false">IF(Time!P34=1,INDEX(Funding!$J$61:$BJ$61,1,Time!$F$14),Time!P35*(P31-P32))</f>
        <v>202.959880486057</v>
      </c>
      <c r="Q33" s="13" t="n">
        <f aca="false">IF(Time!Q34=1,INDEX(Funding!$J$61:$BJ$61,1,Time!$F$14),Time!Q35*(Q31-Q32))</f>
        <v>197.655542044633</v>
      </c>
      <c r="R33" s="13" t="n">
        <f aca="false">IF(Time!R34=1,INDEX(Funding!$J$61:$BJ$61,1,Time!$F$14),Time!R35*(R31-R32))</f>
        <v>192.089918726349</v>
      </c>
      <c r="S33" s="13" t="n">
        <f aca="false">IF(Time!S34=1,INDEX(Funding!$J$61:$BJ$61,1,Time!$F$14),Time!S35*(S31-S32))</f>
        <v>186.360285492789</v>
      </c>
      <c r="T33" s="13" t="n">
        <f aca="false">IF(Time!T34=1,INDEX(Funding!$J$61:$BJ$61,1,Time!$F$14),Time!T35*(T31-T32))</f>
        <v>180.367091183693</v>
      </c>
      <c r="U33" s="13" t="n">
        <f aca="false">IF(Time!U34=1,INDEX(Funding!$J$61:$BJ$61,1,Time!$F$14),Time!U35*(U31-U32))</f>
        <v>174.182763357559</v>
      </c>
      <c r="V33" s="13" t="n">
        <f aca="false">IF(Time!V34=1,INDEX(Funding!$J$61:$BJ$61,1,Time!$F$14),Time!V35*(V31-V32))</f>
        <v>167.594417763912</v>
      </c>
      <c r="W33" s="13" t="n">
        <f aca="false">IF(Time!W34=1,INDEX(Funding!$J$61:$BJ$61,1,Time!$F$14),Time!W35*(W31-W32))</f>
        <v>160.804670488938</v>
      </c>
      <c r="X33" s="13" t="n">
        <f aca="false">IF(Time!X34=1,INDEX(Funding!$J$61:$BJ$61,1,Time!$F$14),Time!X35*(X31-X32))</f>
        <v>154.203391208234</v>
      </c>
      <c r="Y33" s="13" t="n">
        <f aca="false">IF(Time!Y34=1,INDEX(Funding!$J$61:$BJ$61,1,Time!$F$14),Time!Y35*(Y31-Y32))</f>
        <v>147.59900569903</v>
      </c>
      <c r="Z33" s="13" t="n">
        <f aca="false">IF(Time!Z34=1,INDEX(Funding!$J$61:$BJ$61,1,Time!$F$14),Time!Z35*(Z31-Z32))</f>
        <v>140.721014004655</v>
      </c>
      <c r="AA33" s="13" t="n">
        <f aca="false">IF(Time!AA34=1,INDEX(Funding!$J$61:$BJ$61,1,Time!$F$14),Time!AA35*(AA31-AA32))</f>
        <v>133.642305268603</v>
      </c>
      <c r="AB33" s="13" t="n">
        <f aca="false">IF(Time!AB34=1,INDEX(Funding!$J$61:$BJ$61,1,Time!$F$14),Time!AB35*(AB31-AB32))</f>
        <v>126.225416261113</v>
      </c>
      <c r="AC33" s="13" t="n">
        <f aca="false">IF(Time!AC34=1,INDEX(Funding!$J$61:$BJ$61,1,Time!$F$14),Time!AC35*(AC31-AC32))</f>
        <v>118.562817170604</v>
      </c>
      <c r="AD33" s="13" t="n">
        <f aca="false">IF(Time!AD34=1,INDEX(Funding!$J$61:$BJ$61,1,Time!$F$14),Time!AD35*(AD31-AD32))</f>
        <v>110.195818136175</v>
      </c>
      <c r="AE33" s="13" t="n">
        <f aca="false">IF(Time!AE34=1,INDEX(Funding!$J$61:$BJ$61,1,Time!$F$14),Time!AE35*(AE31-AE32))</f>
        <v>101.46920097046</v>
      </c>
      <c r="AF33" s="13" t="n">
        <f aca="false">IF(Time!AF34=1,INDEX(Funding!$J$61:$BJ$61,1,Time!$F$14),Time!AF35*(AF31-AF32))</f>
        <v>92.4364384802081</v>
      </c>
      <c r="AG33" s="13" t="n">
        <f aca="false">IF(Time!AG34=1,INDEX(Funding!$J$61:$BJ$61,1,Time!$F$14),Time!AG35*(AG31-AG32))</f>
        <v>83.2350955906011</v>
      </c>
      <c r="AH33" s="13" t="n">
        <f aca="false">IF(Time!AH34=1,INDEX(Funding!$J$61:$BJ$61,1,Time!$F$14),Time!AH35*(AH31-AH32))</f>
        <v>73.5718311142942</v>
      </c>
      <c r="AI33" s="13" t="n">
        <f aca="false">IF(Time!AI34=1,INDEX(Funding!$J$61:$BJ$61,1,Time!$F$14),Time!AI35*(AI31-AI32))</f>
        <v>63.6248288279922</v>
      </c>
      <c r="AJ33" s="13" t="n">
        <f aca="false">IF(Time!AJ34=1,INDEX(Funding!$J$61:$BJ$61,1,Time!$F$14),Time!AJ35*(AJ31-AJ32))</f>
        <v>53.1976085139539</v>
      </c>
      <c r="AK33" s="13" t="n">
        <f aca="false">IF(Time!AK34=1,INDEX(Funding!$J$61:$BJ$61,1,Time!$F$14),Time!AK35*(AK31-AK32))</f>
        <v>42.4328775425208</v>
      </c>
      <c r="AL33" s="13" t="n">
        <f aca="false">IF(Time!AL34=1,INDEX(Funding!$J$61:$BJ$61,1,Time!$F$14),Time!AL35*(AL31-AL32))</f>
        <v>31.0186160785637</v>
      </c>
      <c r="AM33" s="13" t="n">
        <f aca="false">IF(Time!AM34=1,INDEX(Funding!$J$61:$BJ$61,1,Time!$F$14),Time!AM35*(AM31-AM32))</f>
        <v>19.3671095690874</v>
      </c>
      <c r="AN33" s="13" t="n">
        <f aca="false">IF(Time!AN34=1,INDEX(Funding!$J$61:$BJ$61,1,Time!$F$14),Time!AN35*(AN31-AN32))</f>
        <v>9.75475501734081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152.569153101963</v>
      </c>
      <c r="Q35" s="13" t="n">
        <f aca="false">Time!Q35*P47</f>
        <v>148.837245689775</v>
      </c>
      <c r="R35" s="13" t="n">
        <f aca="false">Time!R35*Q47</f>
        <v>144.947397499398</v>
      </c>
      <c r="S35" s="13" t="n">
        <f aca="false">Time!S35*R47</f>
        <v>140.865940399322</v>
      </c>
      <c r="T35" s="13" t="n">
        <f aca="false">Time!T35*S47</f>
        <v>136.664209361379</v>
      </c>
      <c r="U35" s="13" t="n">
        <f aca="false">Time!U35*T47</f>
        <v>132.269200201375</v>
      </c>
      <c r="V35" s="13" t="n">
        <f aca="false">Time!V35*U47</f>
        <v>127.73402646221</v>
      </c>
      <c r="W35" s="13" t="n">
        <f aca="false">Time!W35*V47</f>
        <v>122.902573026869</v>
      </c>
      <c r="X35" s="13" t="n">
        <f aca="false">Time!X35*W47</f>
        <v>117.923425025221</v>
      </c>
      <c r="Y35" s="13" t="n">
        <f aca="false">Time!Y35*X47</f>
        <v>113.082486886038</v>
      </c>
      <c r="Z35" s="13" t="n">
        <f aca="false">Time!Z35*Y47</f>
        <v>108.239270845955</v>
      </c>
      <c r="AA35" s="13" t="n">
        <f aca="false">Time!AA35*Z47</f>
        <v>103.19541027008</v>
      </c>
      <c r="AB35" s="13" t="n">
        <f aca="false">Time!AB35*AA47</f>
        <v>98.0043571969758</v>
      </c>
      <c r="AC35" s="13" t="n">
        <f aca="false">Time!AC35*AB47</f>
        <v>92.5653052581492</v>
      </c>
      <c r="AD35" s="13" t="n">
        <f aca="false">Time!AD35*AC47</f>
        <v>86.9460659251092</v>
      </c>
      <c r="AE35" s="13" t="n">
        <f aca="false">Time!AE35*AD47</f>
        <v>80.8102666331951</v>
      </c>
      <c r="AF35" s="13" t="n">
        <f aca="false">Time!AF35*AE47</f>
        <v>74.4107473783371</v>
      </c>
      <c r="AG35" s="13" t="n">
        <f aca="false">Time!AG35*AF47</f>
        <v>67.7867215521526</v>
      </c>
      <c r="AH35" s="13" t="n">
        <f aca="false">Time!AH35*AG47</f>
        <v>61.0390700997741</v>
      </c>
      <c r="AI35" s="13" t="n">
        <f aca="false">Time!AI35*AH47</f>
        <v>53.9526761504823</v>
      </c>
      <c r="AJ35" s="13" t="n">
        <f aca="false">Time!AJ35*AI47</f>
        <v>46.6582078071943</v>
      </c>
      <c r="AK35" s="13" t="n">
        <f aca="false">Time!AK35*AJ47</f>
        <v>39.0115795768995</v>
      </c>
      <c r="AL35" s="13" t="n">
        <f aca="false">Time!AL35*AK47</f>
        <v>31.1174435311819</v>
      </c>
      <c r="AM35" s="13" t="n">
        <f aca="false">Time!AM35*AL47</f>
        <v>22.74698512428</v>
      </c>
      <c r="AN35" s="13" t="n">
        <f aca="false">Time!AN35*AM47</f>
        <v>14.2025470173308</v>
      </c>
      <c r="AO35" s="13" t="n">
        <f aca="false">Time!AO35*AN47</f>
        <v>7.15348701271659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79.8487099018505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5.2558378030814</v>
      </c>
      <c r="Q37" s="13" t="n">
        <f aca="false">Q35*Q11</f>
        <v>5.05864723156058</v>
      </c>
      <c r="R37" s="13" t="n">
        <f aca="false">R35*R11</f>
        <v>5.00809363626807</v>
      </c>
      <c r="S37" s="13" t="n">
        <f aca="false">S35*S11</f>
        <v>4.79480270519771</v>
      </c>
      <c r="T37" s="13" t="n">
        <f aca="false">T35*T11</f>
        <v>4.72888534214672</v>
      </c>
      <c r="U37" s="13" t="n">
        <f aca="false">U35*U11</f>
        <v>4.52706034267006</v>
      </c>
      <c r="V37" s="13" t="n">
        <f aca="false">V35*V11</f>
        <v>4.41988116898461</v>
      </c>
      <c r="W37" s="13" t="n">
        <f aca="false">W35*W11</f>
        <v>4.18336460860928</v>
      </c>
      <c r="X37" s="13" t="n">
        <f aca="false">X35*X11</f>
        <v>4.08041255792825</v>
      </c>
      <c r="Y37" s="13" t="n">
        <f aca="false">Y35*Y11</f>
        <v>3.84910797098736</v>
      </c>
      <c r="Z37" s="13" t="n">
        <f aca="false">Z35*Z11</f>
        <v>3.74531930298305</v>
      </c>
      <c r="AA37" s="13" t="n">
        <f aca="false">AA35*AA11</f>
        <v>3.51257110785134</v>
      </c>
      <c r="AB37" s="13" t="n">
        <f aca="false">AB35*AB11</f>
        <v>3.3911685464758</v>
      </c>
      <c r="AC37" s="13" t="n">
        <f aca="false">AC35*AC11</f>
        <v>3.16815042279933</v>
      </c>
      <c r="AD37" s="13" t="n">
        <f aca="false">AD35*AD11</f>
        <v>3.00852709448861</v>
      </c>
      <c r="AE37" s="13" t="n">
        <f aca="false">AE35*AE11</f>
        <v>2.75062434511995</v>
      </c>
      <c r="AF37" s="13" t="n">
        <f aca="false">AF35*AF11</f>
        <v>2.57477721650686</v>
      </c>
      <c r="AG37" s="13" t="n">
        <f aca="false">AG35*AG11</f>
        <v>2.30732819412114</v>
      </c>
      <c r="AH37" s="13" t="n">
        <f aca="false">AH35*AH11</f>
        <v>2.11208746783018</v>
      </c>
      <c r="AI37" s="13" t="n">
        <f aca="false">AI35*AI11</f>
        <v>1.83644418818101</v>
      </c>
      <c r="AJ37" s="13" t="n">
        <f aca="false">AJ35*AJ11</f>
        <v>1.61447767503516</v>
      </c>
      <c r="AK37" s="13" t="n">
        <f aca="false">AK35*AK11</f>
        <v>1.33521465721891</v>
      </c>
      <c r="AL37" s="13" t="n">
        <f aca="false">AL35*AL11</f>
        <v>1.07673269605341</v>
      </c>
      <c r="AM37" s="13" t="n">
        <f aca="false">AM35*AM11</f>
        <v>0.774263143381638</v>
      </c>
      <c r="AN37" s="13" t="n">
        <f aca="false">AN35*AN11</f>
        <v>0.491439688015238</v>
      </c>
      <c r="AO37" s="13" t="n">
        <f aca="false">AO35*AO11</f>
        <v>0.243490788354792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152.569153101963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3.73190741218803</v>
      </c>
      <c r="Q38" s="13" t="n">
        <f aca="false">Time!Q35*(Q35-Q36)*Q19</f>
        <v>3.88984819037728</v>
      </c>
      <c r="R38" s="13" t="n">
        <f aca="false">Time!R35*(R35-R36)*R19</f>
        <v>4.08145710007523</v>
      </c>
      <c r="S38" s="13" t="n">
        <f aca="false">Time!S35*(S35-S36)*S19</f>
        <v>4.20173103794387</v>
      </c>
      <c r="T38" s="13" t="n">
        <f aca="false">Time!T35*(T35-T36)*T19</f>
        <v>4.39500916000351</v>
      </c>
      <c r="U38" s="13" t="n">
        <f aca="false">Time!U35*(U35-U36)*U19</f>
        <v>4.53517373916479</v>
      </c>
      <c r="V38" s="13" t="n">
        <f aca="false">Time!V35*(V35-V36)*V19</f>
        <v>4.8314534353414</v>
      </c>
      <c r="W38" s="13" t="n">
        <f aca="false">Time!W35*(W35-W36)*W19</f>
        <v>4.97914800164798</v>
      </c>
      <c r="X38" s="13" t="n">
        <f aca="false">Time!X35*(X35-X36)*X19</f>
        <v>4.84093813918245</v>
      </c>
      <c r="Y38" s="13" t="n">
        <f aca="false">Time!Y35*(Y35-Y36)*Y19</f>
        <v>4.84321604008291</v>
      </c>
      <c r="Z38" s="13" t="n">
        <f aca="false">Time!Z35*(Z35-Z36)*Z19</f>
        <v>5.04386057587532</v>
      </c>
      <c r="AA38" s="13" t="n">
        <f aca="false">Time!AA35*(AA35-AA36)*AA19</f>
        <v>5.19105307310438</v>
      </c>
      <c r="AB38" s="13" t="n">
        <f aca="false">Time!AB35*(AB35-AB36)*AB19</f>
        <v>5.43905193882659</v>
      </c>
      <c r="AC38" s="13" t="n">
        <f aca="false">Time!AC35*(AC35-AC36)*AC19</f>
        <v>5.61923933304</v>
      </c>
      <c r="AD38" s="13" t="n">
        <f aca="false">Time!AD35*(AD35-AD36)*AD19</f>
        <v>6.1357992919141</v>
      </c>
      <c r="AE38" s="13" t="n">
        <f aca="false">Time!AE35*(AE35-AE36)*AE19</f>
        <v>6.39951925485798</v>
      </c>
      <c r="AF38" s="13" t="n">
        <f aca="false">Time!AF35*(AF35-AF36)*AF19</f>
        <v>6.62402582618454</v>
      </c>
      <c r="AG38" s="13" t="n">
        <f aca="false">Time!AG35*(AG35-AG36)*AG19</f>
        <v>6.74765145237851</v>
      </c>
      <c r="AH38" s="13" t="n">
        <f aca="false">Time!AH35*(AH35-AH36)*AH19</f>
        <v>7.08639394929174</v>
      </c>
      <c r="AI38" s="13" t="n">
        <f aca="false">Time!AI35*(AI35-AI36)*AI19</f>
        <v>7.29446834328808</v>
      </c>
      <c r="AJ38" s="13" t="n">
        <f aca="false">Time!AJ35*(AJ35-AJ36)*AJ19</f>
        <v>7.64662823029478</v>
      </c>
      <c r="AK38" s="13" t="n">
        <f aca="false">Time!AK35*(AK35-AK36)*AK19</f>
        <v>7.89413604571761</v>
      </c>
      <c r="AL38" s="13" t="n">
        <f aca="false">Time!AL35*(AL35-AL36)*AL19</f>
        <v>8.37045840690187</v>
      </c>
      <c r="AM38" s="13" t="n">
        <f aca="false">Time!AM35*(AM35-AM36)*AM19</f>
        <v>8.54443810694924</v>
      </c>
      <c r="AN38" s="13" t="n">
        <f aca="false">Time!AN35*(AN35-AN36)*AN19</f>
        <v>7.04906000461417</v>
      </c>
      <c r="AO38" s="13" t="n">
        <f aca="false">Time!AO35*(AO35-AO36)*AO19</f>
        <v>7.15348701271659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152.569153101963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3.73190741218803</v>
      </c>
      <c r="Q41" s="13" t="n">
        <f aca="false">Q38-Q39+Q40</f>
        <v>3.88984819037728</v>
      </c>
      <c r="R41" s="13" t="n">
        <f aca="false">R38-R39+R40</f>
        <v>4.08145710007523</v>
      </c>
      <c r="S41" s="13" t="n">
        <f aca="false">S38-S39+S40</f>
        <v>4.20173103794387</v>
      </c>
      <c r="T41" s="13" t="n">
        <f aca="false">T38-T39+T40</f>
        <v>4.39500916000351</v>
      </c>
      <c r="U41" s="13" t="n">
        <f aca="false">U38-U39+U40</f>
        <v>4.53517373916479</v>
      </c>
      <c r="V41" s="13" t="n">
        <f aca="false">V38-V39+V40</f>
        <v>4.8314534353414</v>
      </c>
      <c r="W41" s="13" t="n">
        <f aca="false">W38-W39+W40</f>
        <v>4.97914800164798</v>
      </c>
      <c r="X41" s="13" t="n">
        <f aca="false">X38-X39+X40</f>
        <v>4.84093813918245</v>
      </c>
      <c r="Y41" s="13" t="n">
        <f aca="false">Y38-Y39+Y40</f>
        <v>4.84321604008291</v>
      </c>
      <c r="Z41" s="13" t="n">
        <f aca="false">Z38-Z39+Z40</f>
        <v>5.04386057587532</v>
      </c>
      <c r="AA41" s="13" t="n">
        <f aca="false">AA38-AA39+AA40</f>
        <v>5.19105307310438</v>
      </c>
      <c r="AB41" s="13" t="n">
        <f aca="false">AB38-AB39+AB40</f>
        <v>5.43905193882659</v>
      </c>
      <c r="AC41" s="13" t="n">
        <f aca="false">AC38-AC39+AC40</f>
        <v>5.61923933304</v>
      </c>
      <c r="AD41" s="13" t="n">
        <f aca="false">AD38-AD39+AD40</f>
        <v>6.1357992919141</v>
      </c>
      <c r="AE41" s="13" t="n">
        <f aca="false">AE38-AE39+AE40</f>
        <v>6.39951925485798</v>
      </c>
      <c r="AF41" s="13" t="n">
        <f aca="false">AF38-AF39+AF40</f>
        <v>6.62402582618454</v>
      </c>
      <c r="AG41" s="13" t="n">
        <f aca="false">AG38-AG39+AG40</f>
        <v>6.74765145237851</v>
      </c>
      <c r="AH41" s="13" t="n">
        <f aca="false">AH38-AH39+AH40</f>
        <v>7.08639394929174</v>
      </c>
      <c r="AI41" s="13" t="n">
        <f aca="false">AI38-AI39+AI40</f>
        <v>7.29446834328808</v>
      </c>
      <c r="AJ41" s="13" t="n">
        <f aca="false">AJ38-AJ39+AJ40</f>
        <v>7.64662823029478</v>
      </c>
      <c r="AK41" s="13" t="n">
        <f aca="false">AK38-AK39+AK40</f>
        <v>7.89413604571761</v>
      </c>
      <c r="AL41" s="13" t="n">
        <f aca="false">AL38-AL39+AL40</f>
        <v>8.37045840690187</v>
      </c>
      <c r="AM41" s="13" t="n">
        <f aca="false">AM38-AM39+AM40</f>
        <v>8.54443810694924</v>
      </c>
      <c r="AN41" s="13" t="n">
        <f aca="false">AN38-AN39+AN40</f>
        <v>7.04906000461417</v>
      </c>
      <c r="AO41" s="13" t="n">
        <f aca="false">AO38-AO39+AO40</f>
        <v>7.15348701271659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148.837245689775</v>
      </c>
      <c r="Q45" s="13" t="n">
        <f aca="false">Q35-Q41-Q42-Q43</f>
        <v>144.947397499398</v>
      </c>
      <c r="R45" s="13" t="n">
        <f aca="false">R35-R41-R42-R43</f>
        <v>140.865940399322</v>
      </c>
      <c r="S45" s="13" t="n">
        <f aca="false">S35-S41-S42-S43</f>
        <v>136.664209361379</v>
      </c>
      <c r="T45" s="13" t="n">
        <f aca="false">T35-T41-T42-T43</f>
        <v>132.269200201375</v>
      </c>
      <c r="U45" s="13" t="n">
        <f aca="false">U35-U41-U42-U43</f>
        <v>127.73402646221</v>
      </c>
      <c r="V45" s="13" t="n">
        <f aca="false">V35-V41-V42-V43</f>
        <v>122.902573026869</v>
      </c>
      <c r="W45" s="13" t="n">
        <f aca="false">W35-W41-W42-W43</f>
        <v>117.923425025221</v>
      </c>
      <c r="X45" s="13" t="n">
        <f aca="false">X35-X41-X42-X43</f>
        <v>113.082486886038</v>
      </c>
      <c r="Y45" s="13" t="n">
        <f aca="false">Y35-Y41-Y42-Y43</f>
        <v>108.239270845955</v>
      </c>
      <c r="Z45" s="13" t="n">
        <f aca="false">Z35-Z41-Z42-Z43</f>
        <v>103.19541027008</v>
      </c>
      <c r="AA45" s="13" t="n">
        <f aca="false">AA35-AA41-AA42-AA43</f>
        <v>98.0043571969758</v>
      </c>
      <c r="AB45" s="13" t="n">
        <f aca="false">AB35-AB41-AB42-AB43</f>
        <v>92.5653052581492</v>
      </c>
      <c r="AC45" s="13" t="n">
        <f aca="false">AC35-AC41-AC42-AC43</f>
        <v>86.9460659251092</v>
      </c>
      <c r="AD45" s="13" t="n">
        <f aca="false">AD35-AD41-AD42-AD43</f>
        <v>80.8102666331951</v>
      </c>
      <c r="AE45" s="13" t="n">
        <f aca="false">AE35-AE41-AE42-AE43</f>
        <v>74.4107473783371</v>
      </c>
      <c r="AF45" s="13" t="n">
        <f aca="false">AF35-AF41-AF42-AF43</f>
        <v>67.7867215521526</v>
      </c>
      <c r="AG45" s="13" t="n">
        <f aca="false">AG35-AG41-AG42-AG43</f>
        <v>61.0390700997741</v>
      </c>
      <c r="AH45" s="13" t="n">
        <f aca="false">AH35-AH41-AH42-AH43</f>
        <v>53.9526761504823</v>
      </c>
      <c r="AI45" s="13" t="n">
        <f aca="false">AI35-AI41-AI42-AI43</f>
        <v>46.6582078071943</v>
      </c>
      <c r="AJ45" s="13" t="n">
        <f aca="false">AJ35-AJ41-AJ42-AJ43</f>
        <v>39.0115795768995</v>
      </c>
      <c r="AK45" s="13" t="n">
        <f aca="false">AK35-AK41-AK42-AK43</f>
        <v>31.1174435311819</v>
      </c>
      <c r="AL45" s="13" t="n">
        <f aca="false">AL35-AL41-AL42-AL43</f>
        <v>22.74698512428</v>
      </c>
      <c r="AM45" s="13" t="n">
        <f aca="false">AM35-AM41-AM42-AM43</f>
        <v>14.2025470173308</v>
      </c>
      <c r="AN45" s="13" t="n">
        <f aca="false">AN35-AN41-AN42-AN43</f>
        <v>7.15348701271659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152.569153101963</v>
      </c>
      <c r="P47" s="13" t="n">
        <f aca="false">IF(Time!P34=1,INDEX(Funding!$J$62:$BJ$62,1,Time!$F$14),Time!P35*(P45-P46))</f>
        <v>148.837245689775</v>
      </c>
      <c r="Q47" s="13" t="n">
        <f aca="false">IF(Time!Q34=1,INDEX(Funding!$J$62:$BJ$62,1,Time!$F$14),Time!Q35*(Q45-Q46))</f>
        <v>144.947397499398</v>
      </c>
      <c r="R47" s="13" t="n">
        <f aca="false">IF(Time!R34=1,INDEX(Funding!$J$62:$BJ$62,1,Time!$F$14),Time!R35*(R45-R46))</f>
        <v>140.865940399322</v>
      </c>
      <c r="S47" s="13" t="n">
        <f aca="false">IF(Time!S34=1,INDEX(Funding!$J$62:$BJ$62,1,Time!$F$14),Time!S35*(S45-S46))</f>
        <v>136.664209361379</v>
      </c>
      <c r="T47" s="13" t="n">
        <f aca="false">IF(Time!T34=1,INDEX(Funding!$J$62:$BJ$62,1,Time!$F$14),Time!T35*(T45-T46))</f>
        <v>132.269200201375</v>
      </c>
      <c r="U47" s="13" t="n">
        <f aca="false">IF(Time!U34=1,INDEX(Funding!$J$62:$BJ$62,1,Time!$F$14),Time!U35*(U45-U46))</f>
        <v>127.73402646221</v>
      </c>
      <c r="V47" s="13" t="n">
        <f aca="false">IF(Time!V34=1,INDEX(Funding!$J$62:$BJ$62,1,Time!$F$14),Time!V35*(V45-V46))</f>
        <v>122.902573026869</v>
      </c>
      <c r="W47" s="13" t="n">
        <f aca="false">IF(Time!W34=1,INDEX(Funding!$J$62:$BJ$62,1,Time!$F$14),Time!W35*(W45-W46))</f>
        <v>117.923425025221</v>
      </c>
      <c r="X47" s="13" t="n">
        <f aca="false">IF(Time!X34=1,INDEX(Funding!$J$62:$BJ$62,1,Time!$F$14),Time!X35*(X45-X46))</f>
        <v>113.082486886038</v>
      </c>
      <c r="Y47" s="13" t="n">
        <f aca="false">IF(Time!Y34=1,INDEX(Funding!$J$62:$BJ$62,1,Time!$F$14),Time!Y35*(Y45-Y46))</f>
        <v>108.239270845955</v>
      </c>
      <c r="Z47" s="13" t="n">
        <f aca="false">IF(Time!Z34=1,INDEX(Funding!$J$62:$BJ$62,1,Time!$F$14),Time!Z35*(Z45-Z46))</f>
        <v>103.19541027008</v>
      </c>
      <c r="AA47" s="13" t="n">
        <f aca="false">IF(Time!AA34=1,INDEX(Funding!$J$62:$BJ$62,1,Time!$F$14),Time!AA35*(AA45-AA46))</f>
        <v>98.0043571969758</v>
      </c>
      <c r="AB47" s="13" t="n">
        <f aca="false">IF(Time!AB34=1,INDEX(Funding!$J$62:$BJ$62,1,Time!$F$14),Time!AB35*(AB45-AB46))</f>
        <v>92.5653052581492</v>
      </c>
      <c r="AC47" s="13" t="n">
        <f aca="false">IF(Time!AC34=1,INDEX(Funding!$J$62:$BJ$62,1,Time!$F$14),Time!AC35*(AC45-AC46))</f>
        <v>86.9460659251092</v>
      </c>
      <c r="AD47" s="13" t="n">
        <f aca="false">IF(Time!AD34=1,INDEX(Funding!$J$62:$BJ$62,1,Time!$F$14),Time!AD35*(AD45-AD46))</f>
        <v>80.8102666331951</v>
      </c>
      <c r="AE47" s="13" t="n">
        <f aca="false">IF(Time!AE34=1,INDEX(Funding!$J$62:$BJ$62,1,Time!$F$14),Time!AE35*(AE45-AE46))</f>
        <v>74.4107473783371</v>
      </c>
      <c r="AF47" s="13" t="n">
        <f aca="false">IF(Time!AF34=1,INDEX(Funding!$J$62:$BJ$62,1,Time!$F$14),Time!AF35*(AF45-AF46))</f>
        <v>67.7867215521526</v>
      </c>
      <c r="AG47" s="13" t="n">
        <f aca="false">IF(Time!AG34=1,INDEX(Funding!$J$62:$BJ$62,1,Time!$F$14),Time!AG35*(AG45-AG46))</f>
        <v>61.0390700997741</v>
      </c>
      <c r="AH47" s="13" t="n">
        <f aca="false">IF(Time!AH34=1,INDEX(Funding!$J$62:$BJ$62,1,Time!$F$14),Time!AH35*(AH45-AH46))</f>
        <v>53.9526761504823</v>
      </c>
      <c r="AI47" s="13" t="n">
        <f aca="false">IF(Time!AI34=1,INDEX(Funding!$J$62:$BJ$62,1,Time!$F$14),Time!AI35*(AI45-AI46))</f>
        <v>46.6582078071943</v>
      </c>
      <c r="AJ47" s="13" t="n">
        <f aca="false">IF(Time!AJ34=1,INDEX(Funding!$J$62:$BJ$62,1,Time!$F$14),Time!AJ35*(AJ45-AJ46))</f>
        <v>39.0115795768995</v>
      </c>
      <c r="AK47" s="13" t="n">
        <f aca="false">IF(Time!AK34=1,INDEX(Funding!$J$62:$BJ$62,1,Time!$F$14),Time!AK35*(AK45-AK46))</f>
        <v>31.1174435311819</v>
      </c>
      <c r="AL47" s="13" t="n">
        <f aca="false">IF(Time!AL34=1,INDEX(Funding!$J$62:$BJ$62,1,Time!$F$14),Time!AL35*(AL45-AL46))</f>
        <v>22.74698512428</v>
      </c>
      <c r="AM47" s="13" t="n">
        <f aca="false">IF(Time!AM34=1,INDEX(Funding!$J$62:$BJ$62,1,Time!$F$14),Time!AM35*(AM45-AM46))</f>
        <v>14.2025470173308</v>
      </c>
      <c r="AN47" s="13" t="n">
        <f aca="false">IF(Time!AN34=1,INDEX(Funding!$J$62:$BJ$62,1,Time!$F$14),Time!AN35*(AN45-AN46))</f>
        <v>7.15348701271659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69.3496150463468</v>
      </c>
      <c r="Q49" s="13" t="n">
        <f aca="false">Time!Q35*P61</f>
        <v>67.6532934953522</v>
      </c>
      <c r="R49" s="13" t="n">
        <f aca="false">Time!R35*Q61</f>
        <v>65.8851806815444</v>
      </c>
      <c r="S49" s="13" t="n">
        <f aca="false">Time!S35*R61</f>
        <v>64.0299729087829</v>
      </c>
      <c r="T49" s="13" t="n">
        <f aca="false">Time!T35*S61</f>
        <v>62.120095164263</v>
      </c>
      <c r="U49" s="13" t="n">
        <f aca="false">Time!U35*T61</f>
        <v>60.1223637278978</v>
      </c>
      <c r="V49" s="13" t="n">
        <f aca="false">Time!V35*U61</f>
        <v>58.0609211191865</v>
      </c>
      <c r="W49" s="13" t="n">
        <f aca="false">Time!W35*V61</f>
        <v>55.864805921304</v>
      </c>
      <c r="X49" s="13" t="n">
        <f aca="false">Time!X35*W61</f>
        <v>53.6015568296459</v>
      </c>
      <c r="Y49" s="13" t="n">
        <f aca="false">Time!Y35*X61</f>
        <v>51.4011304027447</v>
      </c>
      <c r="Z49" s="13" t="n">
        <f aca="false">Time!Z35*Y61</f>
        <v>49.1996685663434</v>
      </c>
      <c r="AA49" s="13" t="n">
        <f aca="false">Time!AA35*Z61</f>
        <v>46.9070046682183</v>
      </c>
      <c r="AB49" s="13" t="n">
        <f aca="false">Time!AB35*AA61</f>
        <v>44.5474350895345</v>
      </c>
      <c r="AC49" s="13" t="n">
        <f aca="false">Time!AC35*AB61</f>
        <v>42.0751387537042</v>
      </c>
      <c r="AD49" s="13" t="n">
        <f aca="false">Time!AD35*AC61</f>
        <v>39.5209390568678</v>
      </c>
      <c r="AE49" s="13" t="n">
        <f aca="false">Time!AE35*AD61</f>
        <v>36.7319393787251</v>
      </c>
      <c r="AF49" s="13" t="n">
        <f aca="false">Time!AF35*AE61</f>
        <v>33.8230669901532</v>
      </c>
      <c r="AG49" s="13" t="n">
        <f aca="false">Time!AG35*AF61</f>
        <v>30.8121461600694</v>
      </c>
      <c r="AH49" s="13" t="n">
        <f aca="false">Time!AH35*AG61</f>
        <v>27.7450318635337</v>
      </c>
      <c r="AI49" s="13" t="n">
        <f aca="false">Time!AI35*AH61</f>
        <v>24.5239437047647</v>
      </c>
      <c r="AJ49" s="13" t="n">
        <f aca="false">Time!AJ35*AI61</f>
        <v>21.2082762759974</v>
      </c>
      <c r="AK49" s="13" t="n">
        <f aca="false">Time!AK35*AJ61</f>
        <v>17.7325361713179</v>
      </c>
      <c r="AL49" s="13" t="n">
        <f aca="false">Time!AL35*AK61</f>
        <v>14.1442925141736</v>
      </c>
      <c r="AM49" s="13" t="n">
        <f aca="false">Time!AM35*AL61</f>
        <v>10.3395386928545</v>
      </c>
      <c r="AN49" s="13" t="n">
        <f aca="false">Time!AN35*AM61</f>
        <v>6.4557031896958</v>
      </c>
      <c r="AO49" s="13" t="n">
        <f aca="false">Time!AO35*AN61</f>
        <v>3.25158500578027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34.953942337098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2.30040378621515</v>
      </c>
      <c r="Q51" s="13" t="n">
        <f aca="false">Q49*Q12</f>
        <v>2.21434867384746</v>
      </c>
      <c r="R51" s="13" t="n">
        <f aca="false">R49*R12</f>
        <v>2.19221957854392</v>
      </c>
      <c r="S51" s="13" t="n">
        <f aca="false">S49*S12</f>
        <v>2.09897365636425</v>
      </c>
      <c r="T51" s="13" t="n">
        <f aca="false">T49*T12</f>
        <v>2.07011766018508</v>
      </c>
      <c r="U51" s="13" t="n">
        <f aca="false">U49*U12</f>
        <v>1.98176671372424</v>
      </c>
      <c r="V51" s="13" t="n">
        <f aca="false">V49*V12</f>
        <v>1.9348479402296</v>
      </c>
      <c r="W51" s="13" t="n">
        <f aca="false">W49*W12</f>
        <v>1.83131041010693</v>
      </c>
      <c r="X51" s="13" t="n">
        <f aca="false">X49*X12</f>
        <v>1.78624210270526</v>
      </c>
      <c r="Y51" s="13" t="n">
        <f aca="false">Y49*Y12</f>
        <v>1.68498616696909</v>
      </c>
      <c r="Z51" s="13" t="n">
        <f aca="false">Z49*Z12</f>
        <v>1.63955162182419</v>
      </c>
      <c r="AA51" s="13" t="n">
        <f aca="false">AA49*AA12</f>
        <v>1.53766373191827</v>
      </c>
      <c r="AB51" s="13" t="n">
        <f aca="false">AB49*AB12</f>
        <v>1.48451852578369</v>
      </c>
      <c r="AC51" s="13" t="n">
        <f aca="false">AC49*AC12</f>
        <v>1.38689007363043</v>
      </c>
      <c r="AD51" s="13" t="n">
        <f aca="false">AD49*AD12</f>
        <v>1.31701333799287</v>
      </c>
      <c r="AE51" s="13" t="n">
        <f aca="false">AE49*AE12</f>
        <v>1.20411378610058</v>
      </c>
      <c r="AF51" s="13" t="n">
        <f aca="false">AF49*AF12</f>
        <v>1.12713491685408</v>
      </c>
      <c r="AG51" s="13" t="n">
        <f aca="false">AG49*AG12</f>
        <v>1.01005638684503</v>
      </c>
      <c r="AH51" s="13" t="n">
        <f aca="false">AH49*AH12</f>
        <v>0.924587772945669</v>
      </c>
      <c r="AI51" s="13" t="n">
        <f aca="false">AI49*AI12</f>
        <v>0.803922123468525</v>
      </c>
      <c r="AJ51" s="13" t="n">
        <f aca="false">AJ49*AJ12</f>
        <v>0.706754024521904</v>
      </c>
      <c r="AK51" s="13" t="n">
        <f aca="false">AK49*AK12</f>
        <v>0.584503797842576</v>
      </c>
      <c r="AL51" s="13" t="n">
        <f aca="false">AL49*AL12</f>
        <v>0.471350690094549</v>
      </c>
      <c r="AM51" s="13" t="n">
        <f aca="false">AM49*AM12</f>
        <v>0.338941566728097</v>
      </c>
      <c r="AN51" s="13" t="n">
        <f aca="false">AN49*AN12</f>
        <v>0.21513272229484</v>
      </c>
      <c r="AO51" s="13" t="n">
        <f aca="false">AO49*AO12</f>
        <v>0.106590569361706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69.3496150463468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1.69632155099456</v>
      </c>
      <c r="Q52" s="13" t="n">
        <f aca="false">Time!Q35*(Q49-Q50)*Q19</f>
        <v>1.76811281380786</v>
      </c>
      <c r="R52" s="13" t="n">
        <f aca="false">Time!R35*(R49-R50)*R19</f>
        <v>1.85520777276147</v>
      </c>
      <c r="S52" s="13" t="n">
        <f aca="false">Time!S35*(S49-S50)*S19</f>
        <v>1.90987774451994</v>
      </c>
      <c r="T52" s="13" t="n">
        <f aca="false">Time!T35*(T49-T50)*T19</f>
        <v>1.99773143636523</v>
      </c>
      <c r="U52" s="13" t="n">
        <f aca="false">Time!U35*(U49-U50)*U19</f>
        <v>2.06144260871127</v>
      </c>
      <c r="V52" s="13" t="n">
        <f aca="false">Time!V35*(V49-V50)*V19</f>
        <v>2.19611519788245</v>
      </c>
      <c r="W52" s="13" t="n">
        <f aca="false">Time!W35*(W49-W50)*W19</f>
        <v>2.26324909165817</v>
      </c>
      <c r="X52" s="13" t="n">
        <f aca="false">Time!X35*(X49-X50)*X19</f>
        <v>2.20042642690111</v>
      </c>
      <c r="Y52" s="13" t="n">
        <f aca="false">Time!Y35*(Y49-Y50)*Y19</f>
        <v>2.20146183640132</v>
      </c>
      <c r="Z52" s="13" t="n">
        <f aca="false">Time!Z35*(Z49-Z50)*Z19</f>
        <v>2.29266389812515</v>
      </c>
      <c r="AA52" s="13" t="n">
        <f aca="false">Time!AA35*(AA49-AA50)*AA19</f>
        <v>2.35956957868381</v>
      </c>
      <c r="AB52" s="13" t="n">
        <f aca="false">Time!AB35*(AB49-AB50)*AB19</f>
        <v>2.47229633583027</v>
      </c>
      <c r="AC52" s="13" t="n">
        <f aca="false">Time!AC35*(AC49-AC50)*AC19</f>
        <v>2.55419969683636</v>
      </c>
      <c r="AD52" s="13" t="n">
        <f aca="false">Time!AD35*(AD49-AD50)*AD19</f>
        <v>2.78899967814277</v>
      </c>
      <c r="AE52" s="13" t="n">
        <f aca="false">Time!AE35*(AE49-AE50)*AE19</f>
        <v>2.90887238857181</v>
      </c>
      <c r="AF52" s="13" t="n">
        <f aca="false">Time!AF35*(AF49-AF50)*AF19</f>
        <v>3.01092083008388</v>
      </c>
      <c r="AG52" s="13" t="n">
        <f aca="false">Time!AG35*(AG49-AG50)*AG19</f>
        <v>3.06711429653569</v>
      </c>
      <c r="AH52" s="13" t="n">
        <f aca="false">Time!AH35*(AH49-AH50)*AH19</f>
        <v>3.22108815876897</v>
      </c>
      <c r="AI52" s="13" t="n">
        <f aca="false">Time!AI35*(AI49-AI50)*AI19</f>
        <v>3.31566742876731</v>
      </c>
      <c r="AJ52" s="13" t="n">
        <f aca="false">Time!AJ35*(AJ49-AJ50)*AJ19</f>
        <v>3.47574010467945</v>
      </c>
      <c r="AK52" s="13" t="n">
        <f aca="false">Time!AK35*(AK49-AK50)*AK19</f>
        <v>3.58824365714437</v>
      </c>
      <c r="AL52" s="13" t="n">
        <f aca="false">Time!AL35*(AL49-AL50)*AL19</f>
        <v>3.80475382131903</v>
      </c>
      <c r="AM52" s="13" t="n">
        <f aca="false">Time!AM35*(AM49-AM50)*AM19</f>
        <v>3.88383550315875</v>
      </c>
      <c r="AN52" s="13" t="n">
        <f aca="false">Time!AN35*(AN49-AN50)*AN19</f>
        <v>3.20411818391553</v>
      </c>
      <c r="AO52" s="13" t="n">
        <f aca="false">Time!AO35*(AO49-AO50)*AO19</f>
        <v>3.25158500578027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69.3496150463468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1.69632155099456</v>
      </c>
      <c r="Q55" s="13" t="n">
        <f aca="false">Q52-Q53+Q54</f>
        <v>1.76811281380786</v>
      </c>
      <c r="R55" s="13" t="n">
        <f aca="false">R52-R53+R54</f>
        <v>1.85520777276147</v>
      </c>
      <c r="S55" s="13" t="n">
        <f aca="false">S52-S53+S54</f>
        <v>1.90987774451994</v>
      </c>
      <c r="T55" s="13" t="n">
        <f aca="false">T52-T53+T54</f>
        <v>1.99773143636523</v>
      </c>
      <c r="U55" s="13" t="n">
        <f aca="false">U52-U53+U54</f>
        <v>2.06144260871127</v>
      </c>
      <c r="V55" s="13" t="n">
        <f aca="false">V52-V53+V54</f>
        <v>2.19611519788245</v>
      </c>
      <c r="W55" s="13" t="n">
        <f aca="false">W52-W53+W54</f>
        <v>2.26324909165817</v>
      </c>
      <c r="X55" s="13" t="n">
        <f aca="false">X52-X53+X54</f>
        <v>2.20042642690111</v>
      </c>
      <c r="Y55" s="13" t="n">
        <f aca="false">Y52-Y53+Y54</f>
        <v>2.20146183640132</v>
      </c>
      <c r="Z55" s="13" t="n">
        <f aca="false">Z52-Z53+Z54</f>
        <v>2.29266389812515</v>
      </c>
      <c r="AA55" s="13" t="n">
        <f aca="false">AA52-AA53+AA54</f>
        <v>2.35956957868381</v>
      </c>
      <c r="AB55" s="13" t="n">
        <f aca="false">AB52-AB53+AB54</f>
        <v>2.47229633583027</v>
      </c>
      <c r="AC55" s="13" t="n">
        <f aca="false">AC52-AC53+AC54</f>
        <v>2.55419969683636</v>
      </c>
      <c r="AD55" s="13" t="n">
        <f aca="false">AD52-AD53+AD54</f>
        <v>2.78899967814277</v>
      </c>
      <c r="AE55" s="13" t="n">
        <f aca="false">AE52-AE53+AE54</f>
        <v>2.90887238857181</v>
      </c>
      <c r="AF55" s="13" t="n">
        <f aca="false">AF52-AF53+AF54</f>
        <v>3.01092083008388</v>
      </c>
      <c r="AG55" s="13" t="n">
        <f aca="false">AG52-AG53+AG54</f>
        <v>3.06711429653569</v>
      </c>
      <c r="AH55" s="13" t="n">
        <f aca="false">AH52-AH53+AH54</f>
        <v>3.22108815876897</v>
      </c>
      <c r="AI55" s="13" t="n">
        <f aca="false">AI52-AI53+AI54</f>
        <v>3.31566742876731</v>
      </c>
      <c r="AJ55" s="13" t="n">
        <f aca="false">AJ52-AJ53+AJ54</f>
        <v>3.47574010467945</v>
      </c>
      <c r="AK55" s="13" t="n">
        <f aca="false">AK52-AK53+AK54</f>
        <v>3.58824365714437</v>
      </c>
      <c r="AL55" s="13" t="n">
        <f aca="false">AL52-AL53+AL54</f>
        <v>3.80475382131903</v>
      </c>
      <c r="AM55" s="13" t="n">
        <f aca="false">AM52-AM53+AM54</f>
        <v>3.88383550315875</v>
      </c>
      <c r="AN55" s="13" t="n">
        <f aca="false">AN52-AN53+AN54</f>
        <v>3.20411818391553</v>
      </c>
      <c r="AO55" s="13" t="n">
        <f aca="false">AO52-AO53+AO54</f>
        <v>3.25158500578027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67.6532934953522</v>
      </c>
      <c r="Q59" s="13" t="n">
        <f aca="false">Q49-Q55-Q56-Q57</f>
        <v>65.8851806815444</v>
      </c>
      <c r="R59" s="13" t="n">
        <f aca="false">R49-R55-R56-R57</f>
        <v>64.0299729087829</v>
      </c>
      <c r="S59" s="13" t="n">
        <f aca="false">S49-S55-S56-S57</f>
        <v>62.120095164263</v>
      </c>
      <c r="T59" s="13" t="n">
        <f aca="false">T49-T55-T56-T57</f>
        <v>60.1223637278978</v>
      </c>
      <c r="U59" s="13" t="n">
        <f aca="false">U49-U55-U56-U57</f>
        <v>58.0609211191865</v>
      </c>
      <c r="V59" s="13" t="n">
        <f aca="false">V49-V55-V56-V57</f>
        <v>55.864805921304</v>
      </c>
      <c r="W59" s="13" t="n">
        <f aca="false">W49-W55-W56-W57</f>
        <v>53.6015568296459</v>
      </c>
      <c r="X59" s="13" t="n">
        <f aca="false">X49-X55-X56-X57</f>
        <v>51.4011304027447</v>
      </c>
      <c r="Y59" s="13" t="n">
        <f aca="false">Y49-Y55-Y56-Y57</f>
        <v>49.1996685663434</v>
      </c>
      <c r="Z59" s="13" t="n">
        <f aca="false">Z49-Z55-Z56-Z57</f>
        <v>46.9070046682183</v>
      </c>
      <c r="AA59" s="13" t="n">
        <f aca="false">AA49-AA55-AA56-AA57</f>
        <v>44.5474350895345</v>
      </c>
      <c r="AB59" s="13" t="n">
        <f aca="false">AB49-AB55-AB56-AB57</f>
        <v>42.0751387537042</v>
      </c>
      <c r="AC59" s="13" t="n">
        <f aca="false">AC49-AC55-AC56-AC57</f>
        <v>39.5209390568678</v>
      </c>
      <c r="AD59" s="13" t="n">
        <f aca="false">AD49-AD55-AD56-AD57</f>
        <v>36.7319393787251</v>
      </c>
      <c r="AE59" s="13" t="n">
        <f aca="false">AE49-AE55-AE56-AE57</f>
        <v>33.8230669901532</v>
      </c>
      <c r="AF59" s="13" t="n">
        <f aca="false">AF49-AF55-AF56-AF57</f>
        <v>30.8121461600694</v>
      </c>
      <c r="AG59" s="13" t="n">
        <f aca="false">AG49-AG55-AG56-AG57</f>
        <v>27.7450318635337</v>
      </c>
      <c r="AH59" s="13" t="n">
        <f aca="false">AH49-AH55-AH56-AH57</f>
        <v>24.5239437047647</v>
      </c>
      <c r="AI59" s="13" t="n">
        <f aca="false">AI49-AI55-AI56-AI57</f>
        <v>21.2082762759974</v>
      </c>
      <c r="AJ59" s="13" t="n">
        <f aca="false">AJ49-AJ55-AJ56-AJ57</f>
        <v>17.7325361713179</v>
      </c>
      <c r="AK59" s="13" t="n">
        <f aca="false">AK49-AK55-AK56-AK57</f>
        <v>14.1442925141736</v>
      </c>
      <c r="AL59" s="13" t="n">
        <f aca="false">AL49-AL55-AL56-AL57</f>
        <v>10.3395386928545</v>
      </c>
      <c r="AM59" s="13" t="n">
        <f aca="false">AM49-AM55-AM56-AM57</f>
        <v>6.4557031896958</v>
      </c>
      <c r="AN59" s="13" t="n">
        <f aca="false">AN49-AN55-AN56-AN57</f>
        <v>3.25158500578027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69.3496150463468</v>
      </c>
      <c r="P61" s="13" t="n">
        <f aca="false">IF(Time!P34=1,INDEX(Funding!$J$63:$BJ$63,1,Time!$F$14),Time!P35*(P59-P60))</f>
        <v>67.6532934953522</v>
      </c>
      <c r="Q61" s="13" t="n">
        <f aca="false">IF(Time!Q34=1,INDEX(Funding!$J$63:$BJ$63,1,Time!$F$14),Time!Q35*(Q59-Q60))</f>
        <v>65.8851806815444</v>
      </c>
      <c r="R61" s="13" t="n">
        <f aca="false">IF(Time!R34=1,INDEX(Funding!$J$63:$BJ$63,1,Time!$F$14),Time!R35*(R59-R60))</f>
        <v>64.0299729087829</v>
      </c>
      <c r="S61" s="13" t="n">
        <f aca="false">IF(Time!S34=1,INDEX(Funding!$J$63:$BJ$63,1,Time!$F$14),Time!S35*(S59-S60))</f>
        <v>62.120095164263</v>
      </c>
      <c r="T61" s="13" t="n">
        <f aca="false">IF(Time!T34=1,INDEX(Funding!$J$63:$BJ$63,1,Time!$F$14),Time!T35*(T59-T60))</f>
        <v>60.1223637278978</v>
      </c>
      <c r="U61" s="13" t="n">
        <f aca="false">IF(Time!U34=1,INDEX(Funding!$J$63:$BJ$63,1,Time!$F$14),Time!U35*(U59-U60))</f>
        <v>58.0609211191865</v>
      </c>
      <c r="V61" s="13" t="n">
        <f aca="false">IF(Time!V34=1,INDEX(Funding!$J$63:$BJ$63,1,Time!$F$14),Time!V35*(V59-V60))</f>
        <v>55.864805921304</v>
      </c>
      <c r="W61" s="13" t="n">
        <f aca="false">IF(Time!W34=1,INDEX(Funding!$J$63:$BJ$63,1,Time!$F$14),Time!W35*(W59-W60))</f>
        <v>53.6015568296459</v>
      </c>
      <c r="X61" s="13" t="n">
        <f aca="false">IF(Time!X34=1,INDEX(Funding!$J$63:$BJ$63,1,Time!$F$14),Time!X35*(X59-X60))</f>
        <v>51.4011304027447</v>
      </c>
      <c r="Y61" s="13" t="n">
        <f aca="false">IF(Time!Y34=1,INDEX(Funding!$J$63:$BJ$63,1,Time!$F$14),Time!Y35*(Y59-Y60))</f>
        <v>49.1996685663434</v>
      </c>
      <c r="Z61" s="13" t="n">
        <f aca="false">IF(Time!Z34=1,INDEX(Funding!$J$63:$BJ$63,1,Time!$F$14),Time!Z35*(Z59-Z60))</f>
        <v>46.9070046682183</v>
      </c>
      <c r="AA61" s="13" t="n">
        <f aca="false">IF(Time!AA34=1,INDEX(Funding!$J$63:$BJ$63,1,Time!$F$14),Time!AA35*(AA59-AA60))</f>
        <v>44.5474350895345</v>
      </c>
      <c r="AB61" s="13" t="n">
        <f aca="false">IF(Time!AB34=1,INDEX(Funding!$J$63:$BJ$63,1,Time!$F$14),Time!AB35*(AB59-AB60))</f>
        <v>42.0751387537042</v>
      </c>
      <c r="AC61" s="13" t="n">
        <f aca="false">IF(Time!AC34=1,INDEX(Funding!$J$63:$BJ$63,1,Time!$F$14),Time!AC35*(AC59-AC60))</f>
        <v>39.5209390568678</v>
      </c>
      <c r="AD61" s="13" t="n">
        <f aca="false">IF(Time!AD34=1,INDEX(Funding!$J$63:$BJ$63,1,Time!$F$14),Time!AD35*(AD59-AD60))</f>
        <v>36.7319393787251</v>
      </c>
      <c r="AE61" s="13" t="n">
        <f aca="false">IF(Time!AE34=1,INDEX(Funding!$J$63:$BJ$63,1,Time!$F$14),Time!AE35*(AE59-AE60))</f>
        <v>33.8230669901532</v>
      </c>
      <c r="AF61" s="13" t="n">
        <f aca="false">IF(Time!AF34=1,INDEX(Funding!$J$63:$BJ$63,1,Time!$F$14),Time!AF35*(AF59-AF60))</f>
        <v>30.8121461600694</v>
      </c>
      <c r="AG61" s="13" t="n">
        <f aca="false">IF(Time!AG34=1,INDEX(Funding!$J$63:$BJ$63,1,Time!$F$14),Time!AG35*(AG59-AG60))</f>
        <v>27.7450318635337</v>
      </c>
      <c r="AH61" s="13" t="n">
        <f aca="false">IF(Time!AH34=1,INDEX(Funding!$J$63:$BJ$63,1,Time!$F$14),Time!AH35*(AH59-AH60))</f>
        <v>24.5239437047647</v>
      </c>
      <c r="AI61" s="13" t="n">
        <f aca="false">IF(Time!AI34=1,INDEX(Funding!$J$63:$BJ$63,1,Time!$F$14),Time!AI35*(AI59-AI60))</f>
        <v>21.2082762759974</v>
      </c>
      <c r="AJ61" s="13" t="n">
        <f aca="false">IF(Time!AJ34=1,INDEX(Funding!$J$63:$BJ$63,1,Time!$F$14),Time!AJ35*(AJ59-AJ60))</f>
        <v>17.7325361713179</v>
      </c>
      <c r="AK61" s="13" t="n">
        <f aca="false">IF(Time!AK34=1,INDEX(Funding!$J$63:$BJ$63,1,Time!$F$14),Time!AK35*(AK59-AK60))</f>
        <v>14.1442925141736</v>
      </c>
      <c r="AL61" s="13" t="n">
        <f aca="false">IF(Time!AL34=1,INDEX(Funding!$J$63:$BJ$63,1,Time!$F$14),Time!AL35*(AL59-AL60))</f>
        <v>10.3395386928545</v>
      </c>
      <c r="AM61" s="13" t="n">
        <f aca="false">IF(Time!AM34=1,INDEX(Funding!$J$63:$BJ$63,1,Time!$F$14),Time!AM35*(AM59-AM60))</f>
        <v>6.4557031896958</v>
      </c>
      <c r="AN61" s="13" t="n">
        <f aca="false">IF(Time!AN34=1,INDEX(Funding!$J$63:$BJ$63,1,Time!$F$14),Time!AN35*(AN59-AN60))</f>
        <v>3.25158500578027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263.528537176118</v>
      </c>
      <c r="Q63" s="13" t="n">
        <f aca="false">Time!Q35*P75</f>
        <v>257.082515282339</v>
      </c>
      <c r="R63" s="13" t="n">
        <f aca="false">Time!R35*Q75</f>
        <v>250.363686589869</v>
      </c>
      <c r="S63" s="13" t="n">
        <f aca="false">Time!S35*R75</f>
        <v>243.313897053375</v>
      </c>
      <c r="T63" s="13" t="n">
        <f aca="false">Time!T35*S75</f>
        <v>236.056361624199</v>
      </c>
      <c r="U63" s="13" t="n">
        <f aca="false">Time!U35*T75</f>
        <v>228.464982166011</v>
      </c>
      <c r="V63" s="13" t="n">
        <f aca="false">Time!V35*U75</f>
        <v>220.631500252909</v>
      </c>
      <c r="W63" s="13" t="n">
        <f aca="false">Time!W35*V75</f>
        <v>212.286262500955</v>
      </c>
      <c r="X63" s="13" t="n">
        <f aca="false">Time!X35*W75</f>
        <v>203.685915952654</v>
      </c>
      <c r="Y63" s="13" t="n">
        <f aca="false">Time!Y35*X75</f>
        <v>195.32429553043</v>
      </c>
      <c r="Z63" s="13" t="n">
        <f aca="false">Time!Z35*Y75</f>
        <v>186.958740552105</v>
      </c>
      <c r="AA63" s="13" t="n">
        <f aca="false">Time!AA35*Z75</f>
        <v>178.246617739229</v>
      </c>
      <c r="AB63" s="13" t="n">
        <f aca="false">Time!AB35*AA75</f>
        <v>164.873826334138</v>
      </c>
      <c r="AC63" s="13" t="n">
        <f aca="false">Time!AC35*AB75</f>
        <v>150.482286682553</v>
      </c>
      <c r="AD63" s="13" t="n">
        <f aca="false">Time!AD35*AC75</f>
        <v>136.627972196129</v>
      </c>
      <c r="AE63" s="13" t="n">
        <f aca="false">Time!AE35*AD75</f>
        <v>121.070323459339</v>
      </c>
      <c r="AF63" s="13" t="n">
        <f aca="false">Time!AF35*AE75</f>
        <v>105.123579571042</v>
      </c>
      <c r="AG63" s="13" t="n">
        <f aca="false">Time!AG35*AF75</f>
        <v>88.6824154398308</v>
      </c>
      <c r="AH63" s="13" t="n">
        <f aca="false">Time!AH35*AG75</f>
        <v>72.5911225472358</v>
      </c>
      <c r="AI63" s="13" t="n">
        <f aca="false">Time!AI35*AH75</f>
        <v>55.7646852075802</v>
      </c>
      <c r="AJ63" s="13" t="n">
        <f aca="false">Time!AJ35*AI75</f>
        <v>39.3139451948761</v>
      </c>
      <c r="AK63" s="13" t="n">
        <f aca="false">Time!AK35*AJ75</f>
        <v>22.4949208891092</v>
      </c>
      <c r="AL63" s="13" t="n">
        <f aca="false">Time!AL35*AK75</f>
        <v>6.41439729847958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153.162618367358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10.7604232574851</v>
      </c>
      <c r="Q65" s="13" t="n">
        <f aca="false">Q63*Q13</f>
        <v>10.3547917675495</v>
      </c>
      <c r="R65" s="13" t="n">
        <f aca="false">R63*R13</f>
        <v>10.2513111474563</v>
      </c>
      <c r="S65" s="13" t="n">
        <f aca="false">S63*S13</f>
        <v>9.81381070824974</v>
      </c>
      <c r="T65" s="13" t="n">
        <f aca="false">T63*T13</f>
        <v>9.67889368180606</v>
      </c>
      <c r="U65" s="13" t="n">
        <f aca="false">U63*U13</f>
        <v>9.26580633226623</v>
      </c>
      <c r="V65" s="13" t="n">
        <f aca="false">V63*V13</f>
        <v>9.04643627950568</v>
      </c>
      <c r="W65" s="13" t="n">
        <f aca="false">W63*W13</f>
        <v>8.56234362844131</v>
      </c>
      <c r="X65" s="13" t="n">
        <f aca="false">X63*X13</f>
        <v>8.35162548224636</v>
      </c>
      <c r="Y65" s="13" t="n">
        <f aca="false">Y63*Y13</f>
        <v>8.42378224168458</v>
      </c>
      <c r="Z65" s="13" t="n">
        <f aca="false">Z63*Z13</f>
        <v>8.19664048702019</v>
      </c>
      <c r="AA65" s="13" t="n">
        <f aca="false">AA63*AA13</f>
        <v>7.68727049072161</v>
      </c>
      <c r="AB65" s="13" t="n">
        <f aca="false">AB63*AB13</f>
        <v>7.2283942231826</v>
      </c>
      <c r="AC65" s="13" t="n">
        <f aca="false">AC63*AC13</f>
        <v>6.5257293851992</v>
      </c>
      <c r="AD65" s="13" t="n">
        <f aca="false">AD63*AD13</f>
        <v>5.9900401834925</v>
      </c>
      <c r="AE65" s="13" t="n">
        <f aca="false">AE63*AE13</f>
        <v>5.2214192708705</v>
      </c>
      <c r="AF65" s="13" t="n">
        <f aca="false">AF63*AF13</f>
        <v>4.60882537990967</v>
      </c>
      <c r="AG65" s="13" t="n">
        <f aca="false">AG63*AG13</f>
        <v>4.07232936233608</v>
      </c>
      <c r="AH65" s="13" t="n">
        <f aca="false">AH63*AH13</f>
        <v>3.38866114290874</v>
      </c>
      <c r="AI65" s="13" t="n">
        <f aca="false">AI63*AI13</f>
        <v>2.5607349983192</v>
      </c>
      <c r="AJ65" s="13" t="n">
        <f aca="false">AJ63*AJ13</f>
        <v>1.83523320457859</v>
      </c>
      <c r="AK65" s="13" t="n">
        <f aca="false">AK63*AK13</f>
        <v>1.03868214342416</v>
      </c>
      <c r="AL65" s="13" t="n">
        <f aca="false">AL63*AL13</f>
        <v>0.299433568703839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178.636350380959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6.44602189377933</v>
      </c>
      <c r="Q66" s="13" t="n">
        <f aca="false">Time!Q35*(Q63-Q64)*Q19</f>
        <v>6.71882869246986</v>
      </c>
      <c r="R66" s="13" t="n">
        <f aca="false">Time!R35*(R63-R64)*R19</f>
        <v>7.04978953649358</v>
      </c>
      <c r="S66" s="13" t="n">
        <f aca="false">Time!S35*(S63-S64)*S19</f>
        <v>7.25753542917578</v>
      </c>
      <c r="T66" s="13" t="n">
        <f aca="false">Time!T35*(T63-T64)*T19</f>
        <v>7.59137945818788</v>
      </c>
      <c r="U66" s="13" t="n">
        <f aca="false">Time!U35*(U63-U64)*U19</f>
        <v>7.83348191310282</v>
      </c>
      <c r="V66" s="13" t="n">
        <f aca="false">Time!V35*(V63-V64)*V19</f>
        <v>8.34523775195332</v>
      </c>
      <c r="W66" s="13" t="n">
        <f aca="false">Time!W35*(W63-W64)*W19</f>
        <v>8.60034654830106</v>
      </c>
      <c r="X66" s="13" t="n">
        <f aca="false">Time!X35*(X63-X64)*X19</f>
        <v>8.36162042222423</v>
      </c>
      <c r="Y66" s="13" t="n">
        <f aca="false">Time!Y35*(Y63-Y64)*Y19</f>
        <v>8.36555497832502</v>
      </c>
      <c r="Z66" s="13" t="n">
        <f aca="false">Time!Z35*(Z63-Z64)*Z19</f>
        <v>8.71212281287555</v>
      </c>
      <c r="AA66" s="13" t="n">
        <f aca="false">Time!AA35*(AA63-AA64)*AA19</f>
        <v>8.96636439899848</v>
      </c>
      <c r="AB66" s="13" t="n">
        <f aca="false">Time!AB35*(AB63-AB64)*AB19</f>
        <v>9.15017791486646</v>
      </c>
      <c r="AC66" s="13" t="n">
        <f aca="false">Time!AC35*(AC63-AC64)*AC19</f>
        <v>9.13512878171985</v>
      </c>
      <c r="AD66" s="13" t="n">
        <f aca="false">Time!AD35*(AD63-AD64)*AD19</f>
        <v>9.64186022837138</v>
      </c>
      <c r="AE66" s="13" t="n">
        <f aca="false">Time!AE35*(AE63-AE64)*AE19</f>
        <v>9.58778999810475</v>
      </c>
      <c r="AF66" s="13" t="n">
        <f aca="false">Time!AF35*(AF63-AF64)*AF19</f>
        <v>9.35807434481257</v>
      </c>
      <c r="AG66" s="13" t="n">
        <f aca="false">Time!AG35*(AG63-AG64)*AG19</f>
        <v>8.82765850953012</v>
      </c>
      <c r="AH66" s="13" t="n">
        <f aca="false">Time!AH35*(AH63-AH64)*AH19</f>
        <v>8.42754142142363</v>
      </c>
      <c r="AI66" s="13" t="n">
        <f aca="false">Time!AI35*(AI63-AI64)*AI19</f>
        <v>7.53945420215235</v>
      </c>
      <c r="AJ66" s="13" t="n">
        <f aca="false">Time!AJ35*(AJ63-AJ64)*AJ19</f>
        <v>6.44300622119156</v>
      </c>
      <c r="AK66" s="13" t="n">
        <f aca="false">Time!AK35*(AK63-AK64)*AK19</f>
        <v>4.55192965171385</v>
      </c>
      <c r="AL66" s="13" t="n">
        <f aca="false">Time!AL35*(AL63-AL64)*AL19</f>
        <v>1.72544527118574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178.636350380959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6.44602189377933</v>
      </c>
      <c r="Q69" s="13" t="n">
        <f aca="false">Q66-Q67+Q68</f>
        <v>6.71882869246986</v>
      </c>
      <c r="R69" s="13" t="n">
        <f aca="false">R66-R67+R68</f>
        <v>7.04978953649358</v>
      </c>
      <c r="S69" s="13" t="n">
        <f aca="false">S66-S67+S68</f>
        <v>7.25753542917578</v>
      </c>
      <c r="T69" s="13" t="n">
        <f aca="false">T66-T67+T68</f>
        <v>7.59137945818788</v>
      </c>
      <c r="U69" s="13" t="n">
        <f aca="false">U66-U67+U68</f>
        <v>7.83348191310282</v>
      </c>
      <c r="V69" s="13" t="n">
        <f aca="false">V66-V67+V68</f>
        <v>8.34523775195332</v>
      </c>
      <c r="W69" s="13" t="n">
        <f aca="false">W66-W67+W68</f>
        <v>8.60034654830106</v>
      </c>
      <c r="X69" s="13" t="n">
        <f aca="false">X66-X67+X68</f>
        <v>8.36162042222423</v>
      </c>
      <c r="Y69" s="13" t="n">
        <f aca="false">Y66-Y67+Y68</f>
        <v>8.36555497832502</v>
      </c>
      <c r="Z69" s="13" t="n">
        <f aca="false">Z66-Z67+Z68</f>
        <v>8.71212281287555</v>
      </c>
      <c r="AA69" s="13" t="n">
        <f aca="false">AA66-AA67+AA68</f>
        <v>8.96636439899848</v>
      </c>
      <c r="AB69" s="13" t="n">
        <f aca="false">AB66-AB67+AB68</f>
        <v>9.15017791486646</v>
      </c>
      <c r="AC69" s="13" t="n">
        <f aca="false">AC66-AC67+AC68</f>
        <v>9.13512878171985</v>
      </c>
      <c r="AD69" s="13" t="n">
        <f aca="false">AD66-AD67+AD68</f>
        <v>9.64186022837138</v>
      </c>
      <c r="AE69" s="13" t="n">
        <f aca="false">AE66-AE67+AE68</f>
        <v>9.58778999810475</v>
      </c>
      <c r="AF69" s="13" t="n">
        <f aca="false">AF66-AF67+AF68</f>
        <v>9.35807434481257</v>
      </c>
      <c r="AG69" s="13" t="n">
        <f aca="false">AG66-AG67+AG68</f>
        <v>8.82765850953012</v>
      </c>
      <c r="AH69" s="13" t="n">
        <f aca="false">AH66-AH67+AH68</f>
        <v>8.42754142142363</v>
      </c>
      <c r="AI69" s="13" t="n">
        <f aca="false">AI66-AI67+AI68</f>
        <v>7.53945420215235</v>
      </c>
      <c r="AJ69" s="13" t="n">
        <f aca="false">AJ66-AJ67+AJ68</f>
        <v>6.44300622119156</v>
      </c>
      <c r="AK69" s="13" t="n">
        <f aca="false">AK66-AK67+AK68</f>
        <v>4.55192965171385</v>
      </c>
      <c r="AL69" s="13" t="n">
        <f aca="false">AL66-AL67+AL68</f>
        <v>1.72544527118574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257.082515282339</v>
      </c>
      <c r="Q73" s="13" t="n">
        <f aca="false">Q63-Q69-Q70-Q71</f>
        <v>250.363686589869</v>
      </c>
      <c r="R73" s="13" t="n">
        <f aca="false">R63-R69-R70-R71</f>
        <v>243.313897053375</v>
      </c>
      <c r="S73" s="13" t="n">
        <f aca="false">S63-S69-S70-S71</f>
        <v>236.056361624199</v>
      </c>
      <c r="T73" s="13" t="n">
        <f aca="false">T63-T69-T70-T71</f>
        <v>228.464982166011</v>
      </c>
      <c r="U73" s="13" t="n">
        <f aca="false">U63-U69-U70-U71</f>
        <v>220.631500252909</v>
      </c>
      <c r="V73" s="13" t="n">
        <f aca="false">V63-V69-V70-V71</f>
        <v>212.286262500955</v>
      </c>
      <c r="W73" s="13" t="n">
        <f aca="false">W63-W69-W70-W71</f>
        <v>203.685915952654</v>
      </c>
      <c r="X73" s="13" t="n">
        <f aca="false">X63-X69-X70-X71</f>
        <v>195.32429553043</v>
      </c>
      <c r="Y73" s="13" t="n">
        <f aca="false">Y63-Y69-Y70-Y71</f>
        <v>186.958740552105</v>
      </c>
      <c r="Z73" s="13" t="n">
        <f aca="false">Z63-Z69-Z70-Z71</f>
        <v>178.246617739229</v>
      </c>
      <c r="AA73" s="13" t="n">
        <f aca="false">AA63-AA69-AA70-AA71</f>
        <v>169.280253340231</v>
      </c>
      <c r="AB73" s="13" t="n">
        <f aca="false">AB63-AB69-AB70-AB71</f>
        <v>155.723648419271</v>
      </c>
      <c r="AC73" s="13" t="n">
        <f aca="false">AC63-AC69-AC70-AC71</f>
        <v>141.347157900833</v>
      </c>
      <c r="AD73" s="13" t="n">
        <f aca="false">AD63-AD69-AD70-AD71</f>
        <v>126.986111967757</v>
      </c>
      <c r="AE73" s="13" t="n">
        <f aca="false">AE63-AE69-AE70-AE71</f>
        <v>111.482533461235</v>
      </c>
      <c r="AF73" s="13" t="n">
        <f aca="false">AF63-AF69-AF70-AF71</f>
        <v>95.7655052262292</v>
      </c>
      <c r="AG73" s="13" t="n">
        <f aca="false">AG63-AG69-AG70-AG71</f>
        <v>79.8547569303007</v>
      </c>
      <c r="AH73" s="13" t="n">
        <f aca="false">AH63-AH69-AH70-AH71</f>
        <v>64.1635811258121</v>
      </c>
      <c r="AI73" s="13" t="n">
        <f aca="false">AI63-AI69-AI70-AI71</f>
        <v>48.2252310054279</v>
      </c>
      <c r="AJ73" s="13" t="n">
        <f aca="false">AJ63-AJ69-AJ70-AJ71</f>
        <v>32.8709389736845</v>
      </c>
      <c r="AK73" s="13" t="n">
        <f aca="false">AK63-AK69-AK70-AK71</f>
        <v>17.9429912373954</v>
      </c>
      <c r="AL73" s="13" t="n">
        <f aca="false">AL63-AL69-AL70-AL71</f>
        <v>4.68895202729384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84.8921867951587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4.40642700609312</v>
      </c>
      <c r="AB74" s="13" t="n">
        <f aca="false">Waterfall!AB28*AB73/(AB31+AB45+AB59+AB73+AB87+Inputs!$F$253)+Waterfall!AB29</f>
        <v>5.24136173671851</v>
      </c>
      <c r="AC74" s="13" t="n">
        <f aca="false">Waterfall!AC28*AC73/(AC31+AC45+AC59+AC73+AC87+Inputs!$F$253)+Waterfall!AC29</f>
        <v>4.71918570470418</v>
      </c>
      <c r="AD74" s="13" t="n">
        <f aca="false">Waterfall!AD28*AD73/(AD31+AD45+AD59+AD73+AD87+Inputs!$F$253)+Waterfall!AD29</f>
        <v>5.91578850841811</v>
      </c>
      <c r="AE74" s="13" t="n">
        <f aca="false">Waterfall!AE28*AE73/(AE31+AE45+AE59+AE73+AE87+Inputs!$F$253)+Waterfall!AE29</f>
        <v>6.35895389019279</v>
      </c>
      <c r="AF74" s="13" t="n">
        <f aca="false">Waterfall!AF28*AF73/(AF31+AF45+AF59+AF73+AF87+Inputs!$F$253)+Waterfall!AF29</f>
        <v>7.08308978639843</v>
      </c>
      <c r="AG74" s="13" t="n">
        <f aca="false">Waterfall!AG28*AG73/(AG31+AG45+AG59+AG73+AG87+Inputs!$F$253)+Waterfall!AG29</f>
        <v>7.26363438306493</v>
      </c>
      <c r="AH74" s="13" t="n">
        <f aca="false">Waterfall!AH28*AH73/(AH31+AH45+AH59+AH73+AH87+Inputs!$F$253)+Waterfall!AH29</f>
        <v>8.39889591823189</v>
      </c>
      <c r="AI74" s="13" t="n">
        <f aca="false">Waterfall!AI28*AI73/(AI31+AI45+AI59+AI73+AI87+Inputs!$F$253)+Waterfall!AI29</f>
        <v>8.9112858105518</v>
      </c>
      <c r="AJ74" s="13" t="n">
        <f aca="false">Waterfall!AJ28*AJ73/(AJ31+AJ45+AJ59+AJ73+AJ87+Inputs!$F$253)+Waterfall!AJ29</f>
        <v>10.3760180845753</v>
      </c>
      <c r="AK74" s="13" t="n">
        <f aca="false">Waterfall!AK28*AK73/(AK31+AK45+AK59+AK73+AK87+Inputs!$F$253)+Waterfall!AK29</f>
        <v>11.5285939389158</v>
      </c>
      <c r="AL74" s="13" t="n">
        <f aca="false">Waterfall!AL28*AL73/(AL31+AL45+AL59+AL73+AL87+Inputs!$F$253)+Waterfall!AL29</f>
        <v>4.68895202729384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263.528537176118</v>
      </c>
      <c r="P75" s="13" t="n">
        <f aca="false">IF(Time!P34=1,INDEX(Funding!$J$64:$BJ$64,1,Time!$F$14),Time!P35*(P73-P74))</f>
        <v>257.082515282339</v>
      </c>
      <c r="Q75" s="13" t="n">
        <f aca="false">IF(Time!Q34=1,INDEX(Funding!$J$64:$BJ$64,1,Time!$F$14),Time!Q35*(Q73-Q74))</f>
        <v>250.363686589869</v>
      </c>
      <c r="R75" s="13" t="n">
        <f aca="false">IF(Time!R34=1,INDEX(Funding!$J$64:$BJ$64,1,Time!$F$14),Time!R35*(R73-R74))</f>
        <v>243.313897053375</v>
      </c>
      <c r="S75" s="13" t="n">
        <f aca="false">IF(Time!S34=1,INDEX(Funding!$J$64:$BJ$64,1,Time!$F$14),Time!S35*(S73-S74))</f>
        <v>236.056361624199</v>
      </c>
      <c r="T75" s="13" t="n">
        <f aca="false">IF(Time!T34=1,INDEX(Funding!$J$64:$BJ$64,1,Time!$F$14),Time!T35*(T73-T74))</f>
        <v>228.464982166011</v>
      </c>
      <c r="U75" s="13" t="n">
        <f aca="false">IF(Time!U34=1,INDEX(Funding!$J$64:$BJ$64,1,Time!$F$14),Time!U35*(U73-U74))</f>
        <v>220.631500252909</v>
      </c>
      <c r="V75" s="13" t="n">
        <f aca="false">IF(Time!V34=1,INDEX(Funding!$J$64:$BJ$64,1,Time!$F$14),Time!V35*(V73-V74))</f>
        <v>212.286262500955</v>
      </c>
      <c r="W75" s="13" t="n">
        <f aca="false">IF(Time!W34=1,INDEX(Funding!$J$64:$BJ$64,1,Time!$F$14),Time!W35*(W73-W74))</f>
        <v>203.685915952654</v>
      </c>
      <c r="X75" s="13" t="n">
        <f aca="false">IF(Time!X34=1,INDEX(Funding!$J$64:$BJ$64,1,Time!$F$14),Time!X35*(X73-X74))</f>
        <v>195.32429553043</v>
      </c>
      <c r="Y75" s="13" t="n">
        <f aca="false">IF(Time!Y34=1,INDEX(Funding!$J$64:$BJ$64,1,Time!$F$14),Time!Y35*(Y73-Y74))</f>
        <v>186.958740552105</v>
      </c>
      <c r="Z75" s="13" t="n">
        <f aca="false">IF(Time!Z34=1,INDEX(Funding!$J$64:$BJ$64,1,Time!$F$14),Time!Z35*(Z73-Z74))</f>
        <v>178.246617739229</v>
      </c>
      <c r="AA75" s="13" t="n">
        <f aca="false">IF(Time!AA34=1,INDEX(Funding!$J$64:$BJ$64,1,Time!$F$14),Time!AA35*(AA73-AA74))</f>
        <v>164.873826334138</v>
      </c>
      <c r="AB75" s="13" t="n">
        <f aca="false">IF(Time!AB34=1,INDEX(Funding!$J$64:$BJ$64,1,Time!$F$14),Time!AB35*(AB73-AB74))</f>
        <v>150.482286682553</v>
      </c>
      <c r="AC75" s="13" t="n">
        <f aca="false">IF(Time!AC34=1,INDEX(Funding!$J$64:$BJ$64,1,Time!$F$14),Time!AC35*(AC73-AC74))</f>
        <v>136.627972196129</v>
      </c>
      <c r="AD75" s="13" t="n">
        <f aca="false">IF(Time!AD34=1,INDEX(Funding!$J$64:$BJ$64,1,Time!$F$14),Time!AD35*(AD73-AD74))</f>
        <v>121.070323459339</v>
      </c>
      <c r="AE75" s="13" t="n">
        <f aca="false">IF(Time!AE34=1,INDEX(Funding!$J$64:$BJ$64,1,Time!$F$14),Time!AE35*(AE73-AE74))</f>
        <v>105.123579571042</v>
      </c>
      <c r="AF75" s="13" t="n">
        <f aca="false">IF(Time!AF34=1,INDEX(Funding!$J$64:$BJ$64,1,Time!$F$14),Time!AF35*(AF73-AF74))</f>
        <v>88.6824154398308</v>
      </c>
      <c r="AG75" s="13" t="n">
        <f aca="false">IF(Time!AG34=1,INDEX(Funding!$J$64:$BJ$64,1,Time!$F$14),Time!AG35*(AG73-AG74))</f>
        <v>72.5911225472358</v>
      </c>
      <c r="AH75" s="13" t="n">
        <f aca="false">IF(Time!AH34=1,INDEX(Funding!$J$64:$BJ$64,1,Time!$F$14),Time!AH35*(AH73-AH74))</f>
        <v>55.7646852075802</v>
      </c>
      <c r="AI75" s="13" t="n">
        <f aca="false">IF(Time!AI34=1,INDEX(Funding!$J$64:$BJ$64,1,Time!$F$14),Time!AI35*(AI73-AI74))</f>
        <v>39.3139451948761</v>
      </c>
      <c r="AJ75" s="13" t="n">
        <f aca="false">IF(Time!AJ34=1,INDEX(Funding!$J$64:$BJ$64,1,Time!$F$14),Time!AJ35*(AJ73-AJ74))</f>
        <v>22.4949208891092</v>
      </c>
      <c r="AK75" s="13" t="n">
        <f aca="false">IF(Time!AK34=1,INDEX(Funding!$J$64:$BJ$64,1,Time!$F$14),Time!AK35*(AK73-AK74))</f>
        <v>6.41439729847958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4.72955008490317E-014</v>
      </c>
      <c r="Q77" s="13" t="n">
        <f aca="false">Time!Q35*P89</f>
        <v>4.61386324612017E-014</v>
      </c>
      <c r="R77" s="13" t="n">
        <f aca="false">Time!R35*Q89</f>
        <v>4.49328034017218E-014</v>
      </c>
      <c r="S77" s="13" t="n">
        <f aca="false">Time!S35*R89</f>
        <v>4.36675767565107E-014</v>
      </c>
      <c r="T77" s="13" t="n">
        <f aca="false">Time!T35*S89</f>
        <v>4.23650659289146E-014</v>
      </c>
      <c r="U77" s="13" t="n">
        <f aca="false">Time!U35*T89</f>
        <v>4.10026400700024E-014</v>
      </c>
      <c r="V77" s="13" t="n">
        <f aca="false">Time!V35*U89</f>
        <v>3.95967640520118E-014</v>
      </c>
      <c r="W77" s="13" t="n">
        <f aca="false">Time!W35*V89</f>
        <v>3.80990431470493E-014</v>
      </c>
      <c r="X77" s="13" t="n">
        <f aca="false">Time!X35*W89</f>
        <v>3.65555378332194E-014</v>
      </c>
      <c r="Y77" s="13" t="n">
        <f aca="false">Time!Y35*X89</f>
        <v>3.50548767282921E-014</v>
      </c>
      <c r="Z77" s="13" t="n">
        <f aca="false">Time!Z35*Y89</f>
        <v>3.35535094880696E-014</v>
      </c>
      <c r="AA77" s="13" t="n">
        <f aca="false">Time!AA35*Z89</f>
        <v>3.19899436734958E-014</v>
      </c>
      <c r="AB77" s="13" t="n">
        <f aca="false">Time!AB35*AA89</f>
        <v>3.03807490883866E-014</v>
      </c>
      <c r="AC77" s="13" t="n">
        <f aca="false">Time!AC35*AB89</f>
        <v>2.86946763773532E-014</v>
      </c>
      <c r="AD77" s="13" t="n">
        <f aca="false">Time!AD35*AC89</f>
        <v>2.69527466802728E-014</v>
      </c>
      <c r="AE77" s="13" t="n">
        <f aca="false">Time!AE35*AD89</f>
        <v>2.50506865670711E-014</v>
      </c>
      <c r="AF77" s="13" t="n">
        <f aca="false">Time!AF35*AE89</f>
        <v>2.30668748843173E-014</v>
      </c>
      <c r="AG77" s="13" t="n">
        <f aca="false">Time!AG35*AF89</f>
        <v>2.10134675426841E-014</v>
      </c>
      <c r="AH77" s="13" t="n">
        <f aca="false">Time!AH35*AG89</f>
        <v>1.8921737015861E-014</v>
      </c>
      <c r="AI77" s="13" t="n">
        <f aca="false">Time!AI35*AH89</f>
        <v>1.67249983945139E-014</v>
      </c>
      <c r="AJ77" s="13" t="n">
        <f aca="false">Time!AJ35*AI89</f>
        <v>1.44637579883837E-014</v>
      </c>
      <c r="AK77" s="13" t="n">
        <f aca="false">Time!AK35*AJ89</f>
        <v>1.20933501791692E-014</v>
      </c>
      <c r="AL77" s="13" t="n">
        <f aca="false">Time!AL35*AK89</f>
        <v>9.64621646660876E-015</v>
      </c>
      <c r="AM77" s="13" t="n">
        <f aca="false">Time!AM35*AL89</f>
        <v>7.05142574619465E-015</v>
      </c>
      <c r="AN77" s="13" t="n">
        <f aca="false">Time!AN35*AM89</f>
        <v>4.40270238681647E-015</v>
      </c>
      <c r="AO77" s="13" t="n">
        <f aca="false">Time!AO35*AN89</f>
        <v>2.21753705912864E-015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2.92324294411368E-014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1.87487773454601E-015</v>
      </c>
      <c r="Q79" s="13" t="n">
        <f aca="false">Q77*Q14</f>
        <v>1.80414527442446E-015</v>
      </c>
      <c r="R79" s="13" t="n">
        <f aca="false">R77*R14</f>
        <v>1.78611554713232E-015</v>
      </c>
      <c r="S79" s="13" t="n">
        <f aca="false">S77*S14</f>
        <v>1.70986219133685E-015</v>
      </c>
      <c r="T79" s="13" t="n">
        <f aca="false">T77*T14</f>
        <v>1.68635557098909E-015</v>
      </c>
      <c r="U79" s="13" t="n">
        <f aca="false">U77*U14</f>
        <v>1.61438327992951E-015</v>
      </c>
      <c r="V79" s="13" t="n">
        <f aca="false">V77*V14</f>
        <v>1.57616239201168E-015</v>
      </c>
      <c r="W79" s="13" t="n">
        <f aca="false">W77*W14</f>
        <v>1.49181883314691E-015</v>
      </c>
      <c r="X79" s="13" t="n">
        <f aca="false">X77*X14</f>
        <v>1.45510536863058E-015</v>
      </c>
      <c r="Y79" s="13" t="n">
        <f aca="false">Y77*Y14</f>
        <v>1.431369814871E-015</v>
      </c>
      <c r="Z79" s="13" t="n">
        <f aca="false">Z77*Z14</f>
        <v>1.39277386806285E-015</v>
      </c>
      <c r="AA79" s="13" t="n">
        <f aca="false">AA77*AA14</f>
        <v>1.30622167376528E-015</v>
      </c>
      <c r="AB79" s="13" t="n">
        <f aca="false">AB77*AB14</f>
        <v>1.26107563912277E-015</v>
      </c>
      <c r="AC79" s="13" t="n">
        <f aca="false">AC77*AC14</f>
        <v>1.1781417716382E-015</v>
      </c>
      <c r="AD79" s="13" t="n">
        <f aca="false">AD77*AD14</f>
        <v>1.11878256020132E-015</v>
      </c>
      <c r="AE79" s="13" t="n">
        <f aca="false">AE77*AE14</f>
        <v>1.02287612852909E-015</v>
      </c>
      <c r="AF79" s="13" t="n">
        <f aca="false">AF77*AF14</f>
        <v>9.57483763901825E-016</v>
      </c>
      <c r="AG79" s="13" t="n">
        <f aca="false">AG77*AG14</f>
        <v>8.93244369687296E-016</v>
      </c>
      <c r="AH79" s="13" t="n">
        <f aca="false">AH77*AH14</f>
        <v>8.17660116030877E-016</v>
      </c>
      <c r="AI79" s="13" t="n">
        <f aca="false">AI77*AI14</f>
        <v>7.1094932897592E-016</v>
      </c>
      <c r="AJ79" s="13" t="n">
        <f aca="false">AJ77*AJ14</f>
        <v>6.25018624088843E-016</v>
      </c>
      <c r="AK79" s="13" t="n">
        <f aca="false">AK77*AK14</f>
        <v>5.16906514610087E-016</v>
      </c>
      <c r="AL79" s="13" t="n">
        <f aca="false">AL77*AL14</f>
        <v>4.16839451300628E-016</v>
      </c>
      <c r="AM79" s="13" t="n">
        <f aca="false">AM77*AM14</f>
        <v>2.99743311438825E-016</v>
      </c>
      <c r="AN79" s="13" t="n">
        <f aca="false">AN77*AN14</f>
        <v>1.9025283680014E-016</v>
      </c>
      <c r="AO79" s="13" t="n">
        <f aca="false">AO77*AO14</f>
        <v>9.42634759644512E-017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4.72955008490317E-014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1.15686838782994E-015</v>
      </c>
      <c r="Q80" s="13" t="n">
        <f aca="false">Time!Q35*(Q77-Q78)*Q19</f>
        <v>1.20582905947995E-015</v>
      </c>
      <c r="R80" s="13" t="n">
        <f aca="false">Time!R35*(R77-R78)*R19</f>
        <v>1.26522664521109E-015</v>
      </c>
      <c r="S80" s="13" t="n">
        <f aca="false">Time!S35*(S77-S78)*S19</f>
        <v>1.30251082759612E-015</v>
      </c>
      <c r="T80" s="13" t="n">
        <f aca="false">Time!T35*(T77-T78)*T19</f>
        <v>1.36242585891219E-015</v>
      </c>
      <c r="U80" s="13" t="n">
        <f aca="false">Time!U35*(U77-U78)*U19</f>
        <v>1.40587601799052E-015</v>
      </c>
      <c r="V80" s="13" t="n">
        <f aca="false">Time!V35*(V77-V78)*V19</f>
        <v>1.49772090496258E-015</v>
      </c>
      <c r="W80" s="13" t="n">
        <f aca="false">Time!W35*(W77-W78)*W19</f>
        <v>1.54350531382983E-015</v>
      </c>
      <c r="X80" s="13" t="n">
        <f aca="false">Time!X35*(X77-X78)*X19</f>
        <v>1.50066110492729E-015</v>
      </c>
      <c r="Y80" s="13" t="n">
        <f aca="false">Time!Y35*(Y77-Y78)*Y19</f>
        <v>1.50136724022254E-015</v>
      </c>
      <c r="Z80" s="13" t="n">
        <f aca="false">Time!Z35*(Z77-Z78)*Z19</f>
        <v>1.56356581457382E-015</v>
      </c>
      <c r="AA80" s="13" t="n">
        <f aca="false">Time!AA35*(AA77-AA78)*AA19</f>
        <v>1.60919458510921E-015</v>
      </c>
      <c r="AB80" s="13" t="n">
        <f aca="false">Time!AB35*(AB77-AB78)*AB19</f>
        <v>1.68607271103343E-015</v>
      </c>
      <c r="AC80" s="13" t="n">
        <f aca="false">Time!AC35*(AC77-AC78)*AC19</f>
        <v>1.74192969708033E-015</v>
      </c>
      <c r="AD80" s="13" t="n">
        <f aca="false">Time!AD35*(AD77-AD78)*AD19</f>
        <v>1.90206011320173E-015</v>
      </c>
      <c r="AE80" s="13" t="n">
        <f aca="false">Time!AE35*(AE77-AE78)*AE19</f>
        <v>1.98381168275382E-015</v>
      </c>
      <c r="AF80" s="13" t="n">
        <f aca="false">Time!AF35*(AF77-AF78)*AF19</f>
        <v>2.05340734163312E-015</v>
      </c>
      <c r="AG80" s="13" t="n">
        <f aca="false">Time!AG35*(AG77-AG78)*AG19</f>
        <v>2.0917305268232E-015</v>
      </c>
      <c r="AH80" s="13" t="n">
        <f aca="false">Time!AH35*(AH77-AH78)*AH19</f>
        <v>2.1967386213471E-015</v>
      </c>
      <c r="AI80" s="13" t="n">
        <f aca="false">Time!AI35*(AI77-AI78)*AI19</f>
        <v>2.26124040613015E-015</v>
      </c>
      <c r="AJ80" s="13" t="n">
        <f aca="false">Time!AJ35*(AJ77-AJ78)*AJ19</f>
        <v>2.37040780921451E-015</v>
      </c>
      <c r="AK80" s="13" t="n">
        <f aca="false">Time!AK35*(AK77-AK78)*AK19</f>
        <v>2.44713371256044E-015</v>
      </c>
      <c r="AL80" s="13" t="n">
        <f aca="false">Time!AL35*(AL77-AL78)*AL19</f>
        <v>2.5947907204141E-015</v>
      </c>
      <c r="AM80" s="13" t="n">
        <f aca="false">Time!AM35*(AM77-AM78)*AM19</f>
        <v>2.64872335937819E-015</v>
      </c>
      <c r="AN80" s="13" t="n">
        <f aca="false">Time!AN35*(AN77-AN78)*AN19</f>
        <v>2.18516532768782E-015</v>
      </c>
      <c r="AO80" s="13" t="n">
        <f aca="false">Time!AO35*(AO77-AO78)*AO19</f>
        <v>2.21753705912864E-015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4.72955008490317E-014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1.15686838782994E-015</v>
      </c>
      <c r="Q83" s="13" t="n">
        <f aca="false">Q80-Q81+Q82</f>
        <v>1.20582905947995E-015</v>
      </c>
      <c r="R83" s="13" t="n">
        <f aca="false">R80-R81+R82</f>
        <v>1.26522664521109E-015</v>
      </c>
      <c r="S83" s="13" t="n">
        <f aca="false">S80-S81+S82</f>
        <v>1.30251082759612E-015</v>
      </c>
      <c r="T83" s="13" t="n">
        <f aca="false">T80-T81+T82</f>
        <v>1.36242585891219E-015</v>
      </c>
      <c r="U83" s="13" t="n">
        <f aca="false">U80-U81+U82</f>
        <v>1.40587601799052E-015</v>
      </c>
      <c r="V83" s="13" t="n">
        <f aca="false">V80-V81+V82</f>
        <v>1.49772090496258E-015</v>
      </c>
      <c r="W83" s="13" t="n">
        <f aca="false">W80-W81+W82</f>
        <v>1.54350531382983E-015</v>
      </c>
      <c r="X83" s="13" t="n">
        <f aca="false">X80-X81+X82</f>
        <v>1.50066110492729E-015</v>
      </c>
      <c r="Y83" s="13" t="n">
        <f aca="false">Y80-Y81+Y82</f>
        <v>1.50136724022254E-015</v>
      </c>
      <c r="Z83" s="13" t="n">
        <f aca="false">Z80-Z81+Z82</f>
        <v>1.56356581457382E-015</v>
      </c>
      <c r="AA83" s="13" t="n">
        <f aca="false">AA80-AA81+AA82</f>
        <v>1.60919458510921E-015</v>
      </c>
      <c r="AB83" s="13" t="n">
        <f aca="false">AB80-AB81+AB82</f>
        <v>1.68607271103343E-015</v>
      </c>
      <c r="AC83" s="13" t="n">
        <f aca="false">AC80-AC81+AC82</f>
        <v>1.74192969708033E-015</v>
      </c>
      <c r="AD83" s="13" t="n">
        <f aca="false">AD80-AD81+AD82</f>
        <v>1.90206011320173E-015</v>
      </c>
      <c r="AE83" s="13" t="n">
        <f aca="false">AE80-AE81+AE82</f>
        <v>1.98381168275382E-015</v>
      </c>
      <c r="AF83" s="13" t="n">
        <f aca="false">AF80-AF81+AF82</f>
        <v>2.05340734163312E-015</v>
      </c>
      <c r="AG83" s="13" t="n">
        <f aca="false">AG80-AG81+AG82</f>
        <v>2.0917305268232E-015</v>
      </c>
      <c r="AH83" s="13" t="n">
        <f aca="false">AH80-AH81+AH82</f>
        <v>2.1967386213471E-015</v>
      </c>
      <c r="AI83" s="13" t="n">
        <f aca="false">AI80-AI81+AI82</f>
        <v>2.26124040613015E-015</v>
      </c>
      <c r="AJ83" s="13" t="n">
        <f aca="false">AJ80-AJ81+AJ82</f>
        <v>2.37040780921451E-015</v>
      </c>
      <c r="AK83" s="13" t="n">
        <f aca="false">AK80-AK81+AK82</f>
        <v>2.44713371256044E-015</v>
      </c>
      <c r="AL83" s="13" t="n">
        <f aca="false">AL80-AL81+AL82</f>
        <v>2.5947907204141E-015</v>
      </c>
      <c r="AM83" s="13" t="n">
        <f aca="false">AM80-AM81+AM82</f>
        <v>2.64872335937819E-015</v>
      </c>
      <c r="AN83" s="13" t="n">
        <f aca="false">AN80-AN81+AN82</f>
        <v>2.18516532768782E-015</v>
      </c>
      <c r="AO83" s="13" t="n">
        <f aca="false">AO80-AO81+AO82</f>
        <v>2.21753705912864E-015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4.61386324612017E-014</v>
      </c>
      <c r="Q87" s="13" t="n">
        <f aca="false">Q77-Q83-Q84-Q85</f>
        <v>4.49328034017218E-014</v>
      </c>
      <c r="R87" s="13" t="n">
        <f aca="false">R77-R83-R84-R85</f>
        <v>4.36675767565107E-014</v>
      </c>
      <c r="S87" s="13" t="n">
        <f aca="false">S77-S83-S84-S85</f>
        <v>4.23650659289146E-014</v>
      </c>
      <c r="T87" s="13" t="n">
        <f aca="false">T77-T83-T84-T85</f>
        <v>4.10026400700024E-014</v>
      </c>
      <c r="U87" s="13" t="n">
        <f aca="false">U77-U83-U84-U85</f>
        <v>3.95967640520118E-014</v>
      </c>
      <c r="V87" s="13" t="n">
        <f aca="false">V77-V83-V84-V85</f>
        <v>3.80990431470493E-014</v>
      </c>
      <c r="W87" s="13" t="n">
        <f aca="false">W77-W83-W84-W85</f>
        <v>3.65555378332194E-014</v>
      </c>
      <c r="X87" s="13" t="n">
        <f aca="false">X77-X83-X84-X85</f>
        <v>3.50548767282921E-014</v>
      </c>
      <c r="Y87" s="13" t="n">
        <f aca="false">Y77-Y83-Y84-Y85</f>
        <v>3.35535094880696E-014</v>
      </c>
      <c r="Z87" s="13" t="n">
        <f aca="false">Z77-Z83-Z84-Z85</f>
        <v>3.19899436734958E-014</v>
      </c>
      <c r="AA87" s="13" t="n">
        <f aca="false">AA77-AA83-AA84-AA85</f>
        <v>3.03807490883866E-014</v>
      </c>
      <c r="AB87" s="13" t="n">
        <f aca="false">AB77-AB83-AB84-AB85</f>
        <v>2.86946763773532E-014</v>
      </c>
      <c r="AC87" s="13" t="n">
        <f aca="false">AC77-AC83-AC84-AC85</f>
        <v>2.69527466802728E-014</v>
      </c>
      <c r="AD87" s="13" t="n">
        <f aca="false">AD77-AD83-AD84-AD85</f>
        <v>2.50506865670711E-014</v>
      </c>
      <c r="AE87" s="13" t="n">
        <f aca="false">AE77-AE83-AE84-AE85</f>
        <v>2.30668748843173E-014</v>
      </c>
      <c r="AF87" s="13" t="n">
        <f aca="false">AF77-AF83-AF84-AF85</f>
        <v>2.10134675426841E-014</v>
      </c>
      <c r="AG87" s="13" t="n">
        <f aca="false">AG77-AG83-AG84-AG85</f>
        <v>1.8921737015861E-014</v>
      </c>
      <c r="AH87" s="13" t="n">
        <f aca="false">AH77-AH83-AH84-AH85</f>
        <v>1.67249983945139E-014</v>
      </c>
      <c r="AI87" s="13" t="n">
        <f aca="false">AI77-AI83-AI84-AI85</f>
        <v>1.44637579883837E-014</v>
      </c>
      <c r="AJ87" s="13" t="n">
        <f aca="false">AJ77-AJ83-AJ84-AJ85</f>
        <v>1.20933501791692E-014</v>
      </c>
      <c r="AK87" s="13" t="n">
        <f aca="false">AK77-AK83-AK84-AK85</f>
        <v>9.64621646660876E-015</v>
      </c>
      <c r="AL87" s="13" t="n">
        <f aca="false">AL77-AL83-AL84-AL85</f>
        <v>7.05142574619465E-015</v>
      </c>
      <c r="AM87" s="13" t="n">
        <f aca="false">AM77-AM83-AM84-AM85</f>
        <v>4.40270238681647E-015</v>
      </c>
      <c r="AN87" s="13" t="n">
        <f aca="false">AN77-AN83-AN84-AN85</f>
        <v>2.21753705912864E-015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4.72955008490317E-014</v>
      </c>
      <c r="P89" s="13" t="n">
        <f aca="false">IF(Time!P34=1,INDEX(Funding!$J$65:$BJ$65,1,Time!$F$14),Time!P35*(P87-P88))</f>
        <v>4.61386324612017E-014</v>
      </c>
      <c r="Q89" s="13" t="n">
        <f aca="false">IF(Time!Q34=1,INDEX(Funding!$J$65:$BJ$65,1,Time!$F$14),Time!Q35*(Q87-Q88))</f>
        <v>4.49328034017218E-014</v>
      </c>
      <c r="R89" s="13" t="n">
        <f aca="false">IF(Time!R34=1,INDEX(Funding!$J$65:$BJ$65,1,Time!$F$14),Time!R35*(R87-R88))</f>
        <v>4.36675767565107E-014</v>
      </c>
      <c r="S89" s="13" t="n">
        <f aca="false">IF(Time!S34=1,INDEX(Funding!$J$65:$BJ$65,1,Time!$F$14),Time!S35*(S87-S88))</f>
        <v>4.23650659289146E-014</v>
      </c>
      <c r="T89" s="13" t="n">
        <f aca="false">IF(Time!T34=1,INDEX(Funding!$J$65:$BJ$65,1,Time!$F$14),Time!T35*(T87-T88))</f>
        <v>4.10026400700024E-014</v>
      </c>
      <c r="U89" s="13" t="n">
        <f aca="false">IF(Time!U34=1,INDEX(Funding!$J$65:$BJ$65,1,Time!$F$14),Time!U35*(U87-U88))</f>
        <v>3.95967640520118E-014</v>
      </c>
      <c r="V89" s="13" t="n">
        <f aca="false">IF(Time!V34=1,INDEX(Funding!$J$65:$BJ$65,1,Time!$F$14),Time!V35*(V87-V88))</f>
        <v>3.80990431470493E-014</v>
      </c>
      <c r="W89" s="13" t="n">
        <f aca="false">IF(Time!W34=1,INDEX(Funding!$J$65:$BJ$65,1,Time!$F$14),Time!W35*(W87-W88))</f>
        <v>3.65555378332194E-014</v>
      </c>
      <c r="X89" s="13" t="n">
        <f aca="false">IF(Time!X34=1,INDEX(Funding!$J$65:$BJ$65,1,Time!$F$14),Time!X35*(X87-X88))</f>
        <v>3.50548767282921E-014</v>
      </c>
      <c r="Y89" s="13" t="n">
        <f aca="false">IF(Time!Y34=1,INDEX(Funding!$J$65:$BJ$65,1,Time!$F$14),Time!Y35*(Y87-Y88))</f>
        <v>3.35535094880696E-014</v>
      </c>
      <c r="Z89" s="13" t="n">
        <f aca="false">IF(Time!Z34=1,INDEX(Funding!$J$65:$BJ$65,1,Time!$F$14),Time!Z35*(Z87-Z88))</f>
        <v>3.19899436734958E-014</v>
      </c>
      <c r="AA89" s="13" t="n">
        <f aca="false">IF(Time!AA34=1,INDEX(Funding!$J$65:$BJ$65,1,Time!$F$14),Time!AA35*(AA87-AA88))</f>
        <v>3.03807490883866E-014</v>
      </c>
      <c r="AB89" s="13" t="n">
        <f aca="false">IF(Time!AB34=1,INDEX(Funding!$J$65:$BJ$65,1,Time!$F$14),Time!AB35*(AB87-AB88))</f>
        <v>2.86946763773532E-014</v>
      </c>
      <c r="AC89" s="13" t="n">
        <f aca="false">IF(Time!AC34=1,INDEX(Funding!$J$65:$BJ$65,1,Time!$F$14),Time!AC35*(AC87-AC88))</f>
        <v>2.69527466802728E-014</v>
      </c>
      <c r="AD89" s="13" t="n">
        <f aca="false">IF(Time!AD34=1,INDEX(Funding!$J$65:$BJ$65,1,Time!$F$14),Time!AD35*(AD87-AD88))</f>
        <v>2.50506865670711E-014</v>
      </c>
      <c r="AE89" s="13" t="n">
        <f aca="false">IF(Time!AE34=1,INDEX(Funding!$J$65:$BJ$65,1,Time!$F$14),Time!AE35*(AE87-AE88))</f>
        <v>2.30668748843173E-014</v>
      </c>
      <c r="AF89" s="13" t="n">
        <f aca="false">IF(Time!AF34=1,INDEX(Funding!$J$65:$BJ$65,1,Time!$F$14),Time!AF35*(AF87-AF88))</f>
        <v>2.10134675426841E-014</v>
      </c>
      <c r="AG89" s="13" t="n">
        <f aca="false">IF(Time!AG34=1,INDEX(Funding!$J$65:$BJ$65,1,Time!$F$14),Time!AG35*(AG87-AG88))</f>
        <v>1.8921737015861E-014</v>
      </c>
      <c r="AH89" s="13" t="n">
        <f aca="false">IF(Time!AH34=1,INDEX(Funding!$J$65:$BJ$65,1,Time!$F$14),Time!AH35*(AH87-AH88))</f>
        <v>1.67249983945139E-014</v>
      </c>
      <c r="AI89" s="13" t="n">
        <f aca="false">IF(Time!AI34=1,INDEX(Funding!$J$65:$BJ$65,1,Time!$F$14),Time!AI35*(AI87-AI88))</f>
        <v>1.44637579883837E-014</v>
      </c>
      <c r="AJ89" s="13" t="n">
        <f aca="false">IF(Time!AJ34=1,INDEX(Funding!$J$65:$BJ$65,1,Time!$F$14),Time!AJ35*(AJ87-AJ88))</f>
        <v>1.20933501791692E-014</v>
      </c>
      <c r="AK89" s="13" t="n">
        <f aca="false">IF(Time!AK34=1,INDEX(Funding!$J$65:$BJ$65,1,Time!$F$14),Time!AK35*(AK87-AK88))</f>
        <v>9.64621646660876E-015</v>
      </c>
      <c r="AL89" s="13" t="n">
        <f aca="false">IF(Time!AL34=1,INDEX(Funding!$J$65:$BJ$65,1,Time!$F$14),Time!AL35*(AL87-AL88))</f>
        <v>7.05142574619465E-015</v>
      </c>
      <c r="AM89" s="13" t="n">
        <f aca="false">IF(Time!AM34=1,INDEX(Funding!$J$65:$BJ$65,1,Time!$F$14),Time!AM35*(AM87-AM88))</f>
        <v>4.40270238681647E-015</v>
      </c>
      <c r="AN89" s="13" t="n">
        <f aca="false">IF(Time!AN34=1,INDEX(Funding!$J$65:$BJ$65,1,Time!$F$14),Time!AN35*(AN87-AN88))</f>
        <v>2.21753705912864E-015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18.850844484285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1.3749691676663</v>
      </c>
      <c r="Q108" s="13" t="n">
        <f aca="false">(Inputs!$F$95/100*Inputs!$F$96/100)*Q63*Time!Q25/Inputs!$F$248</f>
        <v>1.31946720549087</v>
      </c>
      <c r="R108" s="13" t="n">
        <f aca="false">(Inputs!$F$95/100*Inputs!$F$96/100)*R63*Time!R25/Inputs!$F$248</f>
        <v>1.3062811088815</v>
      </c>
      <c r="S108" s="13" t="n">
        <f aca="false">(Inputs!$F$95/100*Inputs!$F$96/100)*S63*Time!S25/Inputs!$F$248</f>
        <v>1.24880024395874</v>
      </c>
      <c r="T108" s="13" t="n">
        <f aca="false">(Inputs!$F$95/100*Inputs!$F$96/100)*T63*Time!T25/Inputs!$F$248</f>
        <v>1.23163215089623</v>
      </c>
      <c r="U108" s="13" t="n">
        <f aca="false">(Inputs!$F$95/100*Inputs!$F$96/100)*U63*Time!U25/Inputs!$F$248</f>
        <v>1.17906708741402</v>
      </c>
      <c r="V108" s="13" t="n">
        <f aca="false">(Inputs!$F$95/100*Inputs!$F$96/100)*V63*Time!V25/Inputs!$F$248</f>
        <v>1.15115240844285</v>
      </c>
      <c r="W108" s="13" t="n">
        <f aca="false">(Inputs!$F$95/100*Inputs!$F$96/100)*W63*Time!W25/Inputs!$F$248</f>
        <v>1.08955197220867</v>
      </c>
      <c r="X108" s="13" t="n">
        <f aca="false">(Inputs!$F$95/100*Inputs!$F$96/100)*X63*Time!X25/Inputs!$F$248</f>
        <v>1.06273824202804</v>
      </c>
      <c r="Y108" s="13" t="n">
        <f aca="false">(Inputs!$F$95/100*Inputs!$F$96/100)*Y63*Time!Y25/Inputs!$F$248</f>
        <v>1.00249525762173</v>
      </c>
      <c r="Z108" s="13" t="n">
        <f aca="false">(Inputs!$F$95/100*Inputs!$F$96/100)*Z63*Time!Z25/Inputs!$F$248</f>
        <v>0.975463631527202</v>
      </c>
      <c r="AA108" s="13" t="n">
        <f aca="false">(Inputs!$F$95/100*Inputs!$F$96/100)*AA63*Time!AA25/Inputs!$F$248</f>
        <v>0.914844661210371</v>
      </c>
      <c r="AB108" s="13" t="n">
        <f aca="false">(Inputs!$F$95/100*Inputs!$F$96/100)*AB63*Time!AB25/Inputs!$F$248</f>
        <v>0.86023483526228</v>
      </c>
      <c r="AC108" s="13" t="n">
        <f aca="false">(Inputs!$F$95/100*Inputs!$F$96/100)*AC63*Time!AC25/Inputs!$F$248</f>
        <v>0.776612283353219</v>
      </c>
      <c r="AD108" s="13" t="n">
        <f aca="false">(Inputs!$F$95/100*Inputs!$F$96/100)*AD63*Time!AD25/Inputs!$F$248</f>
        <v>0.712861123973446</v>
      </c>
      <c r="AE108" s="13" t="n">
        <f aca="false">(Inputs!$F$95/100*Inputs!$F$96/100)*AE63*Time!AE25/Inputs!$F$248</f>
        <v>0.621389288911105</v>
      </c>
      <c r="AF108" s="13" t="n">
        <f aca="false">(Inputs!$F$95/100*Inputs!$F$96/100)*AF63*Time!AF25/Inputs!$F$248</f>
        <v>0.548485876534499</v>
      </c>
      <c r="AG108" s="13" t="n">
        <f aca="false">(Inputs!$F$95/100*Inputs!$F$96/100)*AG63*Time!AG25/Inputs!$F$248</f>
        <v>0.45515946017591</v>
      </c>
      <c r="AH108" s="13" t="n">
        <f aca="false">(Inputs!$F$95/100*Inputs!$F$96/100)*AH63*Time!AH25/Inputs!$F$248</f>
        <v>0.37874666788755</v>
      </c>
      <c r="AI108" s="13" t="n">
        <f aca="false">(Inputs!$F$95/100*Inputs!$F$96/100)*AI63*Time!AI25/Inputs!$F$248</f>
        <v>0.286210337078412</v>
      </c>
      <c r="AJ108" s="13" t="n">
        <f aca="false">(Inputs!$F$95/100*Inputs!$F$96/100)*AJ63*Time!AJ25/Inputs!$F$248</f>
        <v>0.205121855422252</v>
      </c>
      <c r="AK108" s="13" t="n">
        <f aca="false">(Inputs!$F$95/100*Inputs!$F$96/100)*AK63*Time!AK25/Inputs!$F$248</f>
        <v>0.116092280763877</v>
      </c>
      <c r="AL108" s="13" t="n">
        <f aca="false">(Inputs!$F$95/100*Inputs!$F$96/100)*AL63*Time!AL25/Inputs!$F$248</f>
        <v>0.0334673375759576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339.840322934973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23.0379866391369</v>
      </c>
      <c r="Q111" s="13" t="n">
        <f aca="false">Q23+Q37+Q51+Q65+Q79+Q92</f>
        <v>22.1789374818791</v>
      </c>
      <c r="R111" s="13" t="n">
        <f aca="false">R23+R37+R51+R65+R79+R92</f>
        <v>21.9572922518102</v>
      </c>
      <c r="S111" s="13" t="n">
        <f aca="false">S23+S37+S51+S65+S79+S92</f>
        <v>21.0246479182541</v>
      </c>
      <c r="T111" s="13" t="n">
        <f aca="false">T23+T37+T51+T65+T79+T92</f>
        <v>20.7356080066965</v>
      </c>
      <c r="U111" s="13" t="n">
        <f aca="false">U23+U37+U51+U65+U79+U92</f>
        <v>19.8506290375934</v>
      </c>
      <c r="V111" s="13" t="n">
        <f aca="false">V23+V37+V51+V65+V79+V92</f>
        <v>19.3806609222289</v>
      </c>
      <c r="W111" s="13" t="n">
        <f aca="false">W23+W37+W51+W65+W79+W92</f>
        <v>18.3435635243866</v>
      </c>
      <c r="X111" s="13" t="n">
        <f aca="false">X23+X37+X51+X65+X79+X92</f>
        <v>17.8921308479838</v>
      </c>
      <c r="Y111" s="13" t="n">
        <f aca="false">Y23+Y37+Y51+Y65+Y79+Y92</f>
        <v>17.4234690942201</v>
      </c>
      <c r="Z111" s="13" t="n">
        <f aca="false">Z23+Z37+Z51+Z65+Z79+Z92</f>
        <v>16.9536566953646</v>
      </c>
      <c r="AA111" s="13" t="n">
        <f aca="false">AA23+AA37+AA51+AA65+AA79+AA92</f>
        <v>15.9000928527342</v>
      </c>
      <c r="AB111" s="13" t="n">
        <f aca="false">AB23+AB37+AB51+AB65+AB79+AB92</f>
        <v>15.1573624964788</v>
      </c>
      <c r="AC111" s="13" t="n">
        <f aca="false">AC23+AC37+AC51+AC65+AC79+AC92</f>
        <v>13.9332539134363</v>
      </c>
      <c r="AD111" s="13" t="n">
        <f aca="false">AD23+AD37+AD51+AD65+AD79+AD92</f>
        <v>13.0243457789317</v>
      </c>
      <c r="AE111" s="13" t="n">
        <f aca="false">AE23+AE37+AE51+AE65+AE79+AE92</f>
        <v>11.6527165848531</v>
      </c>
      <c r="AF111" s="13" t="n">
        <f aca="false">AF23+AF37+AF51+AF65+AF79+AF92</f>
        <v>10.6289705247757</v>
      </c>
      <c r="AG111" s="13" t="n">
        <f aca="false">AG23+AG37+AG51+AG65+AG79+AG92</f>
        <v>9.46714586777953</v>
      </c>
      <c r="AH111" s="13" t="n">
        <f aca="false">AH23+AH37+AH51+AH65+AH79+AH92</f>
        <v>8.32698086761119</v>
      </c>
      <c r="AI111" s="13" t="n">
        <f aca="false">AI23+AI37+AI51+AI65+AI79+AI92</f>
        <v>6.85456690440324</v>
      </c>
      <c r="AJ111" s="13" t="n">
        <f aca="false">AJ23+AJ37+AJ51+AJ65+AJ79+AJ92</f>
        <v>5.61008016009251</v>
      </c>
      <c r="AK111" s="13" t="n">
        <f aca="false">AK23+AK37+AK51+AK65+AK79+AK92</f>
        <v>4.16057788822016</v>
      </c>
      <c r="AL111" s="13" t="n">
        <f aca="false">AL23+AL37+AL51+AL65+AL79+AL92</f>
        <v>2.81696676377325</v>
      </c>
      <c r="AM111" s="13" t="n">
        <f aca="false">AM23+AM37+AM51+AM65+AM79+AM92</f>
        <v>1.81032225762872</v>
      </c>
      <c r="AN111" s="13" t="n">
        <f aca="false">AN23+AN37+AN51+AN65+AN79+AN92</f>
        <v>1.14904630693183</v>
      </c>
      <c r="AO111" s="13" t="n">
        <f aca="false">AO23+AO37+AO51+AO65+AO79+AO92</f>
        <v>0.569311347768719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350.356963816273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23.8767990812414</v>
      </c>
      <c r="Q112" s="13" t="n">
        <f aca="false">Q111+Q107+Q108+Q109</f>
        <v>23.0529265730097</v>
      </c>
      <c r="R112" s="13" t="n">
        <f aca="false">R111+R107+R108+R109</f>
        <v>22.7050016911826</v>
      </c>
      <c r="S112" s="13" t="n">
        <f aca="false">S111+S107+S108+S109</f>
        <v>21.8283114595013</v>
      </c>
      <c r="T112" s="13" t="n">
        <f aca="false">T111+T107+T108+T109</f>
        <v>21.4173948774799</v>
      </c>
      <c r="U112" s="13" t="n">
        <f aca="false">U111+U107+U108+U109</f>
        <v>20.5736612340971</v>
      </c>
      <c r="V112" s="13" t="n">
        <f aca="false">V111+V107+V108+V109</f>
        <v>20.0178971276787</v>
      </c>
      <c r="W112" s="13" t="n">
        <f aca="false">W111+W107+W108+W109</f>
        <v>19.0447430769965</v>
      </c>
      <c r="X112" s="13" t="n">
        <f aca="false">X111+X107+X108+X109</f>
        <v>18.4804241788837</v>
      </c>
      <c r="Y112" s="13" t="n">
        <f aca="false">Y111+Y107+Y108+Y109</f>
        <v>18.0686234275263</v>
      </c>
      <c r="Z112" s="13" t="n">
        <f aca="false">Z111+Z107+Z108+Z109</f>
        <v>17.4936379685215</v>
      </c>
      <c r="AA112" s="13" t="n">
        <f aca="false">AA111+AA107+AA108+AA109</f>
        <v>16.4888397749711</v>
      </c>
      <c r="AB112" s="13" t="n">
        <f aca="false">AB111+AB107+AB108+AB109</f>
        <v>15.6232934134946</v>
      </c>
      <c r="AC112" s="13" t="n">
        <f aca="false">AC111+AC107+AC108+AC109</f>
        <v>14.3907215371015</v>
      </c>
      <c r="AD112" s="13" t="n">
        <f aca="false">AD111+AD107+AD108+AD109</f>
        <v>13.3873941450756</v>
      </c>
      <c r="AE112" s="13" t="n">
        <f aca="false">AE111+AE107+AE108+AE109</f>
        <v>12.0187452412908</v>
      </c>
      <c r="AF112" s="13" t="n">
        <f aca="false">AF111+AF107+AF108+AF109</f>
        <v>10.878077372764</v>
      </c>
      <c r="AG112" s="13" t="n">
        <f aca="false">AG111+AG107+AG108+AG109</f>
        <v>9.70809912854477</v>
      </c>
      <c r="AH112" s="13" t="n">
        <f aca="false">AH111+AH107+AH108+AH109</f>
        <v>8.46014718382021</v>
      </c>
      <c r="AI112" s="13" t="n">
        <f aca="false">AI111+AI107+AI108+AI109</f>
        <v>6.97028665805171</v>
      </c>
      <c r="AJ112" s="13" t="n">
        <f aca="false">AJ111+AJ107+AJ108+AJ109</f>
        <v>5.62748062553862</v>
      </c>
      <c r="AK112" s="13" t="n">
        <f aca="false">AK111+AK107+AK108+AK109</f>
        <v>4.14216688772503</v>
      </c>
      <c r="AL112" s="13" t="n">
        <f aca="false">AL111+AL107+AL108+AL109</f>
        <v>2.72523834208825</v>
      </c>
      <c r="AM112" s="13" t="n">
        <f aca="false">AM111+AM107+AM108+AM109</f>
        <v>1.73844173117821</v>
      </c>
      <c r="AN112" s="13" t="n">
        <f aca="false">AN111+AN107+AN108+AN109</f>
        <v>1.09190476651279</v>
      </c>
      <c r="AO112" s="13" t="n">
        <f aca="false">AO111+AO107+AO108+AO109</f>
        <v>0.546706311997093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608.60396366831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16.9632155099456</v>
      </c>
      <c r="Q113" s="13" t="n">
        <f aca="false">Q27+Q41+Q55+Q69+Q83+Q93</f>
        <v>17.6811281380786</v>
      </c>
      <c r="R113" s="13" t="n">
        <f aca="false">R27+R41+R55+R69+R83+R93</f>
        <v>18.5520777276147</v>
      </c>
      <c r="S113" s="13" t="n">
        <f aca="false">S27+S41+S55+S69+S83+S93</f>
        <v>19.0987774451994</v>
      </c>
      <c r="T113" s="13" t="n">
        <f aca="false">T27+T41+T55+T69+T83+T93</f>
        <v>19.9773143636523</v>
      </c>
      <c r="U113" s="13" t="n">
        <f aca="false">U27+U41+U55+U69+U83+U93</f>
        <v>20.6144260871127</v>
      </c>
      <c r="V113" s="13" t="n">
        <f aca="false">V27+V41+V55+V69+V83+V93</f>
        <v>21.9611519788245</v>
      </c>
      <c r="W113" s="13" t="n">
        <f aca="false">W27+W41+W55+W69+W83+W93</f>
        <v>22.6324909165817</v>
      </c>
      <c r="X113" s="13" t="n">
        <f aca="false">X27+X41+X55+X69+X83+X93</f>
        <v>22.0042642690111</v>
      </c>
      <c r="Y113" s="13" t="n">
        <f aca="false">Y27+Y41+Y55+Y69+Y83+Y93</f>
        <v>22.0146183640132</v>
      </c>
      <c r="Z113" s="13" t="n">
        <f aca="false">Z27+Z41+Z55+Z69+Z83+Z93</f>
        <v>22.9266389812515</v>
      </c>
      <c r="AA113" s="13" t="n">
        <f aca="false">AA27+AA41+AA55+AA69+AA83+AA93</f>
        <v>23.5956957868381</v>
      </c>
      <c r="AB113" s="13" t="n">
        <f aca="false">AB27+AB41+AB55+AB69+AB83+AB93</f>
        <v>24.4784151970141</v>
      </c>
      <c r="AC113" s="13" t="n">
        <f aca="false">AC27+AC41+AC55+AC69+AC83+AC93</f>
        <v>24.9711669021053</v>
      </c>
      <c r="AD113" s="13" t="n">
        <f aca="false">AD27+AD41+AD55+AD69+AD83+AD93</f>
        <v>26.9336582328566</v>
      </c>
      <c r="AE113" s="13" t="n">
        <f aca="false">AE27+AE41+AE55+AE69+AE83+AE93</f>
        <v>27.62279880725</v>
      </c>
      <c r="AF113" s="13" t="n">
        <f aca="false">AF27+AF41+AF55+AF69+AF83+AF93</f>
        <v>28.0257834913326</v>
      </c>
      <c r="AG113" s="13" t="n">
        <f aca="false">AG27+AG41+AG55+AG69+AG83+AG93</f>
        <v>27.8437671480514</v>
      </c>
      <c r="AH113" s="13" t="n">
        <f aca="false">AH27+AH41+AH55+AH69+AH83+AH93</f>
        <v>28.3982880057913</v>
      </c>
      <c r="AI113" s="13" t="n">
        <f aca="false">AI27+AI41+AI55+AI69+AI83+AI93</f>
        <v>28.0965922605097</v>
      </c>
      <c r="AJ113" s="13" t="n">
        <f aca="false">AJ27+AJ41+AJ55+AJ69+AJ83+AJ93</f>
        <v>27.9925948702041</v>
      </c>
      <c r="AK113" s="13" t="n">
        <f aca="false">AK27+AK41+AK55+AK69+AK83+AK93</f>
        <v>26.7990403260089</v>
      </c>
      <c r="AL113" s="13" t="n">
        <f aca="false">AL27+AL41+AL55+AL69+AL83+AL93</f>
        <v>25.3149189633637</v>
      </c>
      <c r="AM113" s="13" t="n">
        <f aca="false">AM27+AM41+AM55+AM69+AM83+AM93</f>
        <v>24.0797801195842</v>
      </c>
      <c r="AN113" s="13" t="n">
        <f aca="false">AN27+AN41+AN55+AN69+AN83+AN93</f>
        <v>19.8655327402763</v>
      </c>
      <c r="AO113" s="13" t="n">
        <f aca="false">AO27+AO41+AO55+AO69+AO83+AO93</f>
        <v>20.1598270358377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958.960927484583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40.840014591187</v>
      </c>
      <c r="Q114" s="13" t="n">
        <f aca="false">Q112+Q113</f>
        <v>40.7340547110883</v>
      </c>
      <c r="R114" s="13" t="n">
        <f aca="false">R112+R113</f>
        <v>41.2570794187973</v>
      </c>
      <c r="S114" s="13" t="n">
        <f aca="false">S112+S113</f>
        <v>40.9270889047008</v>
      </c>
      <c r="T114" s="13" t="n">
        <f aca="false">T112+T113</f>
        <v>41.3947092411322</v>
      </c>
      <c r="U114" s="13" t="n">
        <f aca="false">U112+U113</f>
        <v>41.1880873212098</v>
      </c>
      <c r="V114" s="13" t="n">
        <f aca="false">V112+V113</f>
        <v>41.9790491065032</v>
      </c>
      <c r="W114" s="13" t="n">
        <f aca="false">W112+W113</f>
        <v>41.6772339935783</v>
      </c>
      <c r="X114" s="13" t="n">
        <f aca="false">X112+X113</f>
        <v>40.4846884478948</v>
      </c>
      <c r="Y114" s="13" t="n">
        <f aca="false">Y112+Y113</f>
        <v>40.0832417915395</v>
      </c>
      <c r="Z114" s="13" t="n">
        <f aca="false">Z112+Z113</f>
        <v>40.420276949773</v>
      </c>
      <c r="AA114" s="13" t="n">
        <f aca="false">AA112+AA113</f>
        <v>40.0845355618092</v>
      </c>
      <c r="AB114" s="13" t="n">
        <f aca="false">AB112+AB113</f>
        <v>40.1017086105087</v>
      </c>
      <c r="AC114" s="13" t="n">
        <f aca="false">AC112+AC113</f>
        <v>39.3618884392068</v>
      </c>
      <c r="AD114" s="13" t="n">
        <f aca="false">AD112+AD113</f>
        <v>40.3210523779322</v>
      </c>
      <c r="AE114" s="13" t="n">
        <f aca="false">AE112+AE113</f>
        <v>39.6415440485407</v>
      </c>
      <c r="AF114" s="13" t="n">
        <f aca="false">AF112+AF113</f>
        <v>38.9038608640967</v>
      </c>
      <c r="AG114" s="13" t="n">
        <f aca="false">AG112+AG113</f>
        <v>37.5518662765962</v>
      </c>
      <c r="AH114" s="13" t="n">
        <f aca="false">AH112+AH113</f>
        <v>36.8584351896115</v>
      </c>
      <c r="AI114" s="13" t="n">
        <f aca="false">AI112+AI113</f>
        <v>35.0668789185614</v>
      </c>
      <c r="AJ114" s="13" t="n">
        <f aca="false">AJ112+AJ113</f>
        <v>33.6200754957428</v>
      </c>
      <c r="AK114" s="13" t="n">
        <f aca="false">AK112+AK113</f>
        <v>30.941207213734</v>
      </c>
      <c r="AL114" s="13" t="n">
        <f aca="false">AL112+AL113</f>
        <v>28.040157305452</v>
      </c>
      <c r="AM114" s="13" t="n">
        <f aca="false">AM112+AM113</f>
        <v>25.8182218507625</v>
      </c>
      <c r="AN114" s="13" t="n">
        <f aca="false">AN112+AN113</f>
        <v>20.9574375067891</v>
      </c>
      <c r="AO114" s="13" t="n">
        <f aca="false">AO112+AO113</f>
        <v>20.7065333478348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693.496150463468</v>
      </c>
      <c r="Q115" s="13" t="n">
        <f aca="false">Q21+Q35+Q49+Q63+Q77+Q91</f>
        <v>676.532934953523</v>
      </c>
      <c r="R115" s="13" t="n">
        <f aca="false">R21+R35+R49+R63+R77+R91</f>
        <v>658.851806815444</v>
      </c>
      <c r="S115" s="13" t="n">
        <f aca="false">S21+S35+S49+S63+S77+S91</f>
        <v>640.299729087829</v>
      </c>
      <c r="T115" s="13" t="n">
        <f aca="false">T21+T35+T49+T63+T77+T91</f>
        <v>621.20095164263</v>
      </c>
      <c r="U115" s="13" t="n">
        <f aca="false">U21+U35+U49+U63+U77+U91</f>
        <v>601.223637278978</v>
      </c>
      <c r="V115" s="13" t="n">
        <f aca="false">V21+V35+V49+V63+V77+V91</f>
        <v>580.609211191865</v>
      </c>
      <c r="W115" s="13" t="n">
        <f aca="false">W21+W35+W49+W63+W77+W91</f>
        <v>558.64805921304</v>
      </c>
      <c r="X115" s="13" t="n">
        <f aca="false">X21+X35+X49+X63+X77+X91</f>
        <v>536.015568296459</v>
      </c>
      <c r="Y115" s="13" t="n">
        <f aca="false">Y21+Y35+Y49+Y63+Y77+Y91</f>
        <v>514.011304027447</v>
      </c>
      <c r="Z115" s="13" t="n">
        <f aca="false">Z21+Z35+Z49+Z63+Z77+Z91</f>
        <v>491.996685663434</v>
      </c>
      <c r="AA115" s="13" t="n">
        <f aca="false">AA21+AA35+AA49+AA63+AA77+AA91</f>
        <v>469.070046682183</v>
      </c>
      <c r="AB115" s="13" t="n">
        <f aca="false">AB21+AB35+AB49+AB63+AB77+AB91</f>
        <v>441.067923889252</v>
      </c>
      <c r="AC115" s="13" t="n">
        <f aca="false">AC21+AC35+AC49+AC63+AC77+AC91</f>
        <v>411.348146955519</v>
      </c>
      <c r="AD115" s="13" t="n">
        <f aca="false">AD21+AD35+AD49+AD63+AD77+AD91</f>
        <v>381.657794348709</v>
      </c>
      <c r="AE115" s="13" t="n">
        <f aca="false">AE21+AE35+AE49+AE63+AE77+AE91</f>
        <v>348.808347607435</v>
      </c>
      <c r="AF115" s="13" t="n">
        <f aca="false">AF21+AF35+AF49+AF63+AF77+AF91</f>
        <v>314.826594909992</v>
      </c>
      <c r="AG115" s="13" t="n">
        <f aca="false">AG21+AG35+AG49+AG63+AG77+AG91</f>
        <v>279.717721632261</v>
      </c>
      <c r="AH115" s="13" t="n">
        <f aca="false">AH21+AH35+AH49+AH63+AH77+AH91</f>
        <v>244.610320101145</v>
      </c>
      <c r="AI115" s="13" t="n">
        <f aca="false">AI21+AI35+AI49+AI63+AI77+AI91</f>
        <v>207.813136177121</v>
      </c>
      <c r="AJ115" s="13" t="n">
        <f aca="false">AJ21+AJ35+AJ49+AJ63+AJ77+AJ91</f>
        <v>170.80525810606</v>
      </c>
      <c r="AK115" s="13" t="n">
        <f aca="false">AK21+AK35+AK49+AK63+AK77+AK91</f>
        <v>132.436645151281</v>
      </c>
      <c r="AL115" s="13" t="n">
        <f aca="false">AL21+AL35+AL49+AL63+AL77+AL91</f>
        <v>94.1090108863558</v>
      </c>
      <c r="AM115" s="13" t="n">
        <f aca="false">AM21+AM35+AM49+AM63+AM77+AM91</f>
        <v>64.1051398956982</v>
      </c>
      <c r="AN115" s="13" t="n">
        <f aca="false">AN21+AN35+AN49+AN63+AN77+AN91</f>
        <v>40.025359776114</v>
      </c>
      <c r="AO115" s="13" t="n">
        <f aca="false">AO21+AO35+AO49+AO63+AO77+AO91</f>
        <v>20.1598270358377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693.496150463468</v>
      </c>
      <c r="P116" s="13" t="n">
        <f aca="false">P33+P47+P61+P75+P89+P95</f>
        <v>676.532934953523</v>
      </c>
      <c r="Q116" s="13" t="n">
        <f aca="false">Q33+Q47+Q61+Q75+Q89+Q95</f>
        <v>658.851806815444</v>
      </c>
      <c r="R116" s="13" t="n">
        <f aca="false">R33+R47+R61+R75+R89+R95</f>
        <v>640.299729087829</v>
      </c>
      <c r="S116" s="13" t="n">
        <f aca="false">S33+S47+S61+S75+S89+S95</f>
        <v>621.20095164263</v>
      </c>
      <c r="T116" s="13" t="n">
        <f aca="false">T33+T47+T61+T75+T89+T95</f>
        <v>601.223637278978</v>
      </c>
      <c r="U116" s="13" t="n">
        <f aca="false">U33+U47+U61+U75+U89+U95</f>
        <v>580.609211191865</v>
      </c>
      <c r="V116" s="13" t="n">
        <f aca="false">V33+V47+V61+V75+V89+V95</f>
        <v>558.64805921304</v>
      </c>
      <c r="W116" s="13" t="n">
        <f aca="false">W33+W47+W61+W75+W89+W95</f>
        <v>536.015568296459</v>
      </c>
      <c r="X116" s="13" t="n">
        <f aca="false">X33+X47+X61+X75+X89+X95</f>
        <v>514.011304027447</v>
      </c>
      <c r="Y116" s="13" t="n">
        <f aca="false">Y33+Y47+Y61+Y75+Y89+Y95</f>
        <v>491.996685663434</v>
      </c>
      <c r="Z116" s="13" t="n">
        <f aca="false">Z33+Z47+Z61+Z75+Z89+Z95</f>
        <v>469.070046682183</v>
      </c>
      <c r="AA116" s="13" t="n">
        <f aca="false">AA33+AA47+AA61+AA75+AA89+AA95</f>
        <v>441.067923889252</v>
      </c>
      <c r="AB116" s="13" t="n">
        <f aca="false">AB33+AB47+AB61+AB75+AB89+AB95</f>
        <v>411.348146955519</v>
      </c>
      <c r="AC116" s="13" t="n">
        <f aca="false">AC33+AC47+AC61+AC75+AC89+AC95</f>
        <v>381.657794348709</v>
      </c>
      <c r="AD116" s="13" t="n">
        <f aca="false">AD33+AD47+AD61+AD75+AD89+AD95</f>
        <v>348.808347607435</v>
      </c>
      <c r="AE116" s="13" t="n">
        <f aca="false">AE33+AE47+AE61+AE75+AE89+AE95</f>
        <v>314.826594909992</v>
      </c>
      <c r="AF116" s="13" t="n">
        <f aca="false">AF33+AF47+AF61+AF75+AF89+AF95</f>
        <v>279.717721632261</v>
      </c>
      <c r="AG116" s="13" t="n">
        <f aca="false">AG33+AG47+AG61+AG75+AG89+AG95</f>
        <v>244.610320101145</v>
      </c>
      <c r="AH116" s="13" t="n">
        <f aca="false">AH33+AH47+AH61+AH75+AH89+AH95</f>
        <v>207.813136177121</v>
      </c>
      <c r="AI116" s="13" t="n">
        <f aca="false">AI33+AI47+AI61+AI75+AI89+AI95</f>
        <v>170.80525810606</v>
      </c>
      <c r="AJ116" s="13" t="n">
        <f aca="false">AJ33+AJ47+AJ61+AJ75+AJ89+AJ95</f>
        <v>132.436645151281</v>
      </c>
      <c r="AK116" s="13" t="n">
        <f aca="false">AK33+AK47+AK61+AK75+AK89+AK95</f>
        <v>94.1090108863558</v>
      </c>
      <c r="AL116" s="13" t="n">
        <f aca="false">AL33+AL47+AL61+AL75+AL89+AL95</f>
        <v>64.1051398956982</v>
      </c>
      <c r="AM116" s="13" t="n">
        <f aca="false">AM33+AM47+AM61+AM75+AM89+AM95</f>
        <v>40.025359776114</v>
      </c>
      <c r="AN116" s="13" t="n">
        <f aca="false">AN33+AN47+AN61+AN75+AN89+AN95</f>
        <v>20.1598270358377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263.528537176118</v>
      </c>
      <c r="P118" s="13" t="n">
        <f aca="false">IF(Time!P34=1,P75,P73)</f>
        <v>257.082515282339</v>
      </c>
      <c r="Q118" s="13" t="n">
        <f aca="false">IF(Time!Q34=1,Q75,Q73)</f>
        <v>250.363686589869</v>
      </c>
      <c r="R118" s="13" t="n">
        <f aca="false">IF(Time!R34=1,R75,R73)</f>
        <v>243.313897053375</v>
      </c>
      <c r="S118" s="13" t="n">
        <f aca="false">IF(Time!S34=1,S75,S73)</f>
        <v>236.056361624199</v>
      </c>
      <c r="T118" s="13" t="n">
        <f aca="false">IF(Time!T34=1,T75,T73)</f>
        <v>228.464982166011</v>
      </c>
      <c r="U118" s="13" t="n">
        <f aca="false">IF(Time!U34=1,U75,U73)</f>
        <v>220.631500252909</v>
      </c>
      <c r="V118" s="13" t="n">
        <f aca="false">IF(Time!V34=1,V75,V73)</f>
        <v>212.286262500955</v>
      </c>
      <c r="W118" s="13" t="n">
        <f aca="false">IF(Time!W34=1,W75,W73)</f>
        <v>203.685915952654</v>
      </c>
      <c r="X118" s="13" t="n">
        <f aca="false">IF(Time!X34=1,X75,X73)</f>
        <v>195.32429553043</v>
      </c>
      <c r="Y118" s="13" t="n">
        <f aca="false">IF(Time!Y34=1,Y75,Y73)</f>
        <v>186.958740552105</v>
      </c>
      <c r="Z118" s="13" t="n">
        <f aca="false">IF(Time!Z34=1,Z75,Z73)</f>
        <v>178.246617739229</v>
      </c>
      <c r="AA118" s="13" t="n">
        <f aca="false">IF(Time!AA34=1,AA75,AA73)</f>
        <v>169.280253340231</v>
      </c>
      <c r="AB118" s="13" t="n">
        <f aca="false">IF(Time!AB34=1,AB75,AB73)</f>
        <v>155.723648419271</v>
      </c>
      <c r="AC118" s="13" t="n">
        <f aca="false">IF(Time!AC34=1,AC75,AC73)</f>
        <v>141.347157900833</v>
      </c>
      <c r="AD118" s="13" t="n">
        <f aca="false">IF(Time!AD34=1,AD75,AD73)</f>
        <v>126.986111967757</v>
      </c>
      <c r="AE118" s="13" t="n">
        <f aca="false">IF(Time!AE34=1,AE75,AE73)</f>
        <v>111.482533461235</v>
      </c>
      <c r="AF118" s="13" t="n">
        <f aca="false">IF(Time!AF34=1,AF75,AF73)</f>
        <v>95.7655052262292</v>
      </c>
      <c r="AG118" s="13" t="n">
        <f aca="false">IF(Time!AG34=1,AG75,AG73)</f>
        <v>79.8547569303007</v>
      </c>
      <c r="AH118" s="13" t="n">
        <f aca="false">IF(Time!AH34=1,AH75,AH73)</f>
        <v>64.1635811258121</v>
      </c>
      <c r="AI118" s="13" t="n">
        <f aca="false">IF(Time!AI34=1,AI75,AI73)</f>
        <v>48.2252310054279</v>
      </c>
      <c r="AJ118" s="13" t="n">
        <f aca="false">IF(Time!AJ34=1,AJ75,AJ73)</f>
        <v>32.8709389736845</v>
      </c>
      <c r="AK118" s="13" t="n">
        <f aca="false">IF(Time!AK34=1,AK75,AK73)</f>
        <v>17.9429912373954</v>
      </c>
      <c r="AL118" s="13" t="n">
        <f aca="false">IF(Time!AL34=1,AL75,AL73)</f>
        <v>4.68895202729384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9.81028644533897</v>
      </c>
      <c r="P119" s="13" t="n">
        <f aca="false">IF(AND(Time!P20&gt;=Time!$F$12,Time!Q20&gt;0),(IF(Time!P34=1,P33,P31)-P30)*Q19+IF(Time!Q46&gt;0,Time!Q45*P30/Time!Q46,0)+IF(Time!P34=1,P33,P31)*Q10,0)</f>
        <v>9.85548825034508</v>
      </c>
      <c r="Q119" s="13" t="n">
        <f aca="false">IF(AND(Time!Q20&gt;=Time!$F$12,Time!R20&gt;0),(IF(Time!Q34=1,Q33,Q31)-Q30)*R19+IF(Time!R46&gt;0,Time!R45*Q30/Time!R46,0)+IF(Time!Q34=1,Q33,Q31)*R10,0)</f>
        <v>10.0712912078263</v>
      </c>
      <c r="R119" s="13" t="n">
        <f aca="false">IF(AND(Time!R20&gt;=Time!$F$12,Time!S20&gt;0),(IF(Time!R34=1,R33,R31)-R30)*S19+IF(Time!S46&gt;0,Time!S45*R30/Time!S46,0)+IF(Time!R34=1,R33,R31)*S10,0)</f>
        <v>10.0466940820022</v>
      </c>
      <c r="S119" s="13" t="n">
        <f aca="false">IF(AND(Time!S20&gt;=Time!$F$12,Time!T20&gt;0),(IF(Time!S34=1,S33,S31)-S30)*T19+IF(Time!T46&gt;0,Time!T45*S30/Time!T46,0)+IF(Time!S34=1,S33,S31)*T10,0)</f>
        <v>10.2509056316543</v>
      </c>
      <c r="T119" s="13" t="n">
        <f aca="false">IF(AND(Time!T20&gt;=Time!$F$12,Time!U20&gt;0),(IF(Time!T34=1,T33,T31)-T30)*U19+IF(Time!U46&gt;0,Time!U45*T30/Time!U46,0)+IF(Time!T34=1,T33,T31)*U10,0)</f>
        <v>10.2603234750666</v>
      </c>
      <c r="U119" s="13" t="n">
        <f aca="false">IF(AND(Time!U20&gt;=Time!$F$12,Time!V20&gt;0),(IF(Time!U34=1,U33,U31)-U30)*V19+IF(Time!V46&gt;0,Time!V45*U30/Time!V46,0)+IF(Time!U34=1,U33,U31)*V10,0)</f>
        <v>10.5678411271564</v>
      </c>
      <c r="V119" s="13" t="n">
        <f aca="false">IF(AND(Time!V20&gt;=Time!$F$12,Time!W20&gt;0),(IF(Time!V34=1,V33,V31)-V30)*W19+IF(Time!W46&gt;0,Time!W45*V30/Time!W46,0)+IF(Time!V34=1,V33,V31)*W10,0)</f>
        <v>10.5562921522036</v>
      </c>
      <c r="W119" s="13" t="n">
        <f aca="false">IF(AND(Time!W20&gt;=Time!$F$12,Time!X20&gt;0),(IF(Time!W34=1,W33,W31)-W30)*X19+IF(Time!X46&gt;0,Time!X45*W30/Time!X46,0)+IF(Time!W34=1,W33,W31)*X10,0)</f>
        <v>10.2751299858073</v>
      </c>
      <c r="X119" s="13" t="n">
        <f aca="false">IF(AND(Time!X20&gt;=Time!$F$12,Time!Y20&gt;0),(IF(Time!X34=1,X33,X31)-X30)*Y19+IF(Time!Y46&gt;0,Time!Y45*X30/Time!Y46,0)+IF(Time!X34=1,X33,X31)*Y10,0)</f>
        <v>10.069978223783</v>
      </c>
      <c r="Y119" s="13" t="n">
        <f aca="false">IF(AND(Time!Y20&gt;=Time!$F$12,Time!Z20&gt;0),(IF(Time!Y34=1,Y33,Y31)-Y30)*Z19+IF(Time!Z46&gt;0,Time!Z45*Y30/Time!Z46,0)+IF(Time!Y34=1,Y33,Y31)*Z10,0)</f>
        <v>10.2501369779126</v>
      </c>
      <c r="Z119" s="13" t="n">
        <f aca="false">IF(AND(Time!Z20&gt;=Time!$F$12,Time!AA20&gt;0),(IF(Time!Z34=1,Z33,Z31)-Z30)*AA19+IF(Time!AA46&gt;0,Time!AA45*Z30/Time!AA46,0)+IF(Time!Z34=1,Z33,Z31)*AA10,0)</f>
        <v>10.2412962582944</v>
      </c>
      <c r="AA119" s="13" t="n">
        <f aca="false">IF(AND(Time!AA20&gt;=Time!$F$12,Time!AB20&gt;0),(IF(Time!AA34=1,AA33,AA31)-AA30)*AB19+IF(Time!AB46&gt;0,Time!AB45*AA30/Time!AB46,0)+IF(Time!AA34=1,AA33,AA31)*AB10,0)</f>
        <v>10.4701702085275</v>
      </c>
      <c r="AB119" s="13" t="n">
        <f aca="false">IF(AND(Time!AB20&gt;=Time!$F$12,Time!AC20&gt;0),(IF(Time!AB34=1,AB33,AB31)-AB30)*AC19+IF(Time!AC46&gt;0,Time!AC45*AB30/Time!AC46,0)+IF(Time!AB34=1,AB33,AB31)*AC10,0)</f>
        <v>10.5150831223165</v>
      </c>
      <c r="AC119" s="13" t="n">
        <f aca="false">IF(AND(Time!AC20&gt;=Time!$F$12,Time!AD20&gt;0),(IF(Time!AC34=1,AC33,AC31)-AC30)*AD19+IF(Time!AD46&gt;0,Time!AD45*AC30/Time!AD46,0)+IF(Time!AC34=1,AC33,AC31)*AD10,0)</f>
        <v>11.075764197386</v>
      </c>
      <c r="AD119" s="13" t="n">
        <f aca="false">IF(AND(Time!AD20&gt;=Time!$F$12,Time!AE20&gt;0),(IF(Time!AD34=1,AD33,AD31)-AD30)*AE19+IF(Time!AE46&gt;0,Time!AE45*AD30/Time!AE46,0)+IF(Time!AD34=1,AD33,AD31)*AE10,0)</f>
        <v>11.2031763484775</v>
      </c>
      <c r="AE119" s="13" t="n">
        <f aca="false">IF(AND(Time!AE20&gt;=Time!$F$12,Time!AF20&gt;0),(IF(Time!AE34=1,AE33,AE31)-AE30)*AF19+IF(Time!AF46&gt;0,Time!AF45*AE30/Time!AF46,0)+IF(Time!AE34=1,AE33,AE31)*AF10,0)</f>
        <v>11.3509955017568</v>
      </c>
      <c r="AF119" s="13" t="n">
        <f aca="false">IF(AND(Time!AF20&gt;=Time!$F$12,Time!AG20&gt;0),(IF(Time!AF34=1,AF33,AF31)-AF30)*AG19+IF(Time!AG46&gt;0,Time!AG45*AF30/Time!AG46,0)+IF(Time!AF34=1,AF33,AF31)*AG10,0)</f>
        <v>11.2787748140843</v>
      </c>
      <c r="AG119" s="13" t="n">
        <f aca="false">IF(AND(Time!AG20&gt;=Time!$F$12,Time!AH20&gt;0),(IF(Time!AG34=1,AG33,AG31)-AG30)*AH19+IF(Time!AH46&gt;0,Time!AH45*AG30/Time!AH46,0)+IF(Time!AG34=1,AG33,AG31)*AH10,0)</f>
        <v>11.5649089602335</v>
      </c>
      <c r="AH119" s="13" t="n">
        <f aca="false">IF(AND(Time!AH20&gt;=Time!$F$12,Time!AI20&gt;0),(IF(Time!AH34=1,AH33,AH31)-AH30)*AI19+IF(Time!AI46&gt;0,Time!AI45*AH30/Time!AI46,0)+IF(Time!AH34=1,AH33,AH31)*AI10,0)</f>
        <v>11.6004678807364</v>
      </c>
      <c r="AI119" s="13" t="n">
        <f aca="false">IF(AND(Time!AI20&gt;=Time!$F$12,Time!AJ20&gt;0),(IF(Time!AI34=1,AI33,AI31)-AI30)*AJ19+IF(Time!AJ46&gt;0,Time!AJ45*AI30/Time!AJ46,0)+IF(Time!AI34=1,AI33,AI31)*AJ10,0)</f>
        <v>11.8808355699952</v>
      </c>
      <c r="AJ119" s="13" t="n">
        <f aca="false">IF(AND(Time!AJ20&gt;=Time!$F$12,Time!AK20&gt;0),(IF(Time!AJ34=1,AJ33,AJ31)-AJ30)*AK19+IF(Time!AK46&gt;0,Time!AK45*AJ30/Time!AK46,0)+IF(Time!AJ34=1,AJ33,AJ31)*AK10,0)</f>
        <v>11.9669082611676</v>
      </c>
      <c r="AK119" s="13" t="n">
        <f aca="false">IF(AND(Time!AK20&gt;=Time!$F$12,Time!AL20&gt;0),(IF(Time!AK34=1,AK33,AK31)-AK30)*AL19+IF(Time!AL46&gt;0,Time!AL45*AK30/Time!AL46,0)+IF(Time!AK34=1,AK33,AK31)*AL10,0)</f>
        <v>12.3837112728786</v>
      </c>
      <c r="AL119" s="13" t="n">
        <f aca="false">IF(AND(Time!AL20&gt;=Time!$F$12,Time!AM20&gt;0),(IF(Time!AL34=1,AL33,AL31)-AL30)*AM19+IF(Time!AM46&gt;0,Time!AM45*AL30/Time!AM46,0)+IF(Time!AL34=1,AL33,AL31)*AM10,0)</f>
        <v>12.3486240569952</v>
      </c>
      <c r="AM119" s="13" t="n">
        <f aca="false">IF(AND(Time!AM20&gt;=Time!$F$12,Time!AN20&gt;0),(IF(Time!AM34=1,AM33,AM31)-AM30)*AN19+IF(Time!AN46&gt;0,Time!AN45*AM30/Time!AN46,0)+IF(Time!AM34=1,AM33,AM31)*AN10,0)</f>
        <v>10.0548284483684</v>
      </c>
      <c r="AN119" s="13" t="n">
        <f aca="false">IF(AND(Time!AN20&gt;=Time!$F$12,Time!AO20&gt;0),(IF(Time!AN34=1,AN33,AN31)-AN30)*AO19+IF(Time!AO46&gt;0,Time!AO45*AN30/Time!AO46,0)+IF(Time!AN34=1,AN33,AN31)*AO10,0)</f>
        <v>9.97398500739303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8.98774521526943</v>
      </c>
      <c r="P120" s="13" t="n">
        <f aca="false">IF(AND(Time!P20&gt;=Time!$F$12,Time!Q20&gt;0),(IF(Time!P34=1,P47,P45)-P44)*Q19+IF(Time!Q46&gt;0,Time!Q45*P44/Time!Q46,0)+IF(Time!P34=1,P47,P45)*Q11,0)</f>
        <v>8.94849542193787</v>
      </c>
      <c r="Q120" s="13" t="n">
        <f aca="false">IF(AND(Time!Q20&gt;=Time!$F$12,Time!R20&gt;0),(IF(Time!Q34=1,Q47,Q45)-Q44)*R19+IF(Time!R46&gt;0,Time!R45*Q44/Time!R46,0)+IF(Time!Q34=1,Q47,Q45)*R11,0)</f>
        <v>9.0895507363433</v>
      </c>
      <c r="R120" s="13" t="n">
        <f aca="false">IF(AND(Time!R20&gt;=Time!$F$12,Time!S20&gt;0),(IF(Time!R34=1,R47,R45)-R44)*S19+IF(Time!S46&gt;0,Time!S45*R44/Time!S46,0)+IF(Time!R34=1,R47,R45)*S11,0)</f>
        <v>8.99653374314159</v>
      </c>
      <c r="S120" s="13" t="n">
        <f aca="false">IF(AND(Time!S20&gt;=Time!$F$12,Time!T20&gt;0),(IF(Time!S34=1,S47,S45)-S44)*T19+IF(Time!T46&gt;0,Time!T45*S44/Time!T46,0)+IF(Time!S34=1,S47,S45)*T11,0)</f>
        <v>9.12389450215023</v>
      </c>
      <c r="T120" s="13" t="n">
        <f aca="false">IF(AND(Time!T20&gt;=Time!$F$12,Time!U20&gt;0),(IF(Time!T34=1,T47,T45)-T44)*U19+IF(Time!U46&gt;0,Time!U45*T44/Time!U46,0)+IF(Time!T34=1,T47,T45)*U11,0)</f>
        <v>9.06223408183485</v>
      </c>
      <c r="U120" s="13" t="n">
        <f aca="false">IF(AND(Time!U20&gt;=Time!$F$12,Time!V20&gt;0),(IF(Time!U34=1,U47,U45)-U44)*V19+IF(Time!V46&gt;0,Time!V45*U44/Time!V46,0)+IF(Time!U34=1,U47,U45)*V11,0)</f>
        <v>9.25133460432601</v>
      </c>
      <c r="V120" s="13" t="n">
        <f aca="false">IF(AND(Time!V20&gt;=Time!$F$12,Time!W20&gt;0),(IF(Time!V34=1,V47,V45)-V44)*W19+IF(Time!W46&gt;0,Time!W45*V44/Time!W46,0)+IF(Time!V34=1,V47,V45)*W11,0)</f>
        <v>9.16251261025727</v>
      </c>
      <c r="W120" s="13" t="n">
        <f aca="false">IF(AND(Time!W20&gt;=Time!$F$12,Time!X20&gt;0),(IF(Time!W34=1,W47,W45)-W44)*X19+IF(Time!X46&gt;0,Time!X45*W44/Time!X46,0)+IF(Time!W34=1,W47,W45)*X11,0)</f>
        <v>8.9213506971107</v>
      </c>
      <c r="X120" s="13" t="n">
        <f aca="false">IF(AND(Time!X20&gt;=Time!$F$12,Time!Y20&gt;0),(IF(Time!X34=1,X47,X45)-X44)*Y19+IF(Time!Y46&gt;0,Time!Y45*X44/Time!Y46,0)+IF(Time!X34=1,X47,X45)*Y11,0)</f>
        <v>8.69232401107026</v>
      </c>
      <c r="Y120" s="13" t="n">
        <f aca="false">IF(AND(Time!Y20&gt;=Time!$F$12,Time!Z20&gt;0),(IF(Time!Y34=1,Y47,Y45)-Y44)*Z19+IF(Time!Z46&gt;0,Time!Z45*Y44/Time!Z46,0)+IF(Time!Y34=1,Y47,Y45)*Z11,0)</f>
        <v>8.78917987885837</v>
      </c>
      <c r="Z120" s="13" t="n">
        <f aca="false">IF(AND(Time!Z20&gt;=Time!$F$12,Time!AA20&gt;0),(IF(Time!Z34=1,Z47,Z45)-Z44)*AA19+IF(Time!AA46&gt;0,Time!AA45*Z44/Time!AA46,0)+IF(Time!Z34=1,Z47,Z45)*AA11,0)</f>
        <v>8.70362418095572</v>
      </c>
      <c r="AA120" s="13" t="n">
        <f aca="false">IF(AND(Time!AA20&gt;=Time!$F$12,Time!AB20&gt;0),(IF(Time!AA34=1,AA47,AA45)-AA44)*AB19+IF(Time!AB46&gt;0,Time!AB45*AA44/Time!AB46,0)+IF(Time!AA34=1,AA47,AA45)*AB11,0)</f>
        <v>8.83022048530239</v>
      </c>
      <c r="AB120" s="13" t="n">
        <f aca="false">IF(AND(Time!AB20&gt;=Time!$F$12,Time!AC20&gt;0),(IF(Time!AB34=1,AB47,AB45)-AB44)*AC19+IF(Time!AC46&gt;0,Time!AC45*AB44/Time!AC46,0)+IF(Time!AB34=1,AB47,AB45)*AC11,0)</f>
        <v>8.78738975583933</v>
      </c>
      <c r="AC120" s="13" t="n">
        <f aca="false">IF(AND(Time!AC20&gt;=Time!$F$12,Time!AD20&gt;0),(IF(Time!AC34=1,AC47,AC45)-AC44)*AD19+IF(Time!AD46&gt;0,Time!AD45*AC44/Time!AD46,0)+IF(Time!AC34=1,AC47,AC45)*AD11,0)</f>
        <v>9.14432638640271</v>
      </c>
      <c r="AD120" s="13" t="n">
        <f aca="false">IF(AND(Time!AD20&gt;=Time!$F$12,Time!AE20&gt;0),(IF(Time!AD34=1,AD47,AD45)-AD44)*AE19+IF(Time!AE46&gt;0,Time!AE45*AD44/Time!AE46,0)+IF(Time!AD34=1,AD47,AD45)*AE11,0)</f>
        <v>9.15014359997793</v>
      </c>
      <c r="AE120" s="13" t="n">
        <f aca="false">IF(AND(Time!AE20&gt;=Time!$F$12,Time!AF20&gt;0),(IF(Time!AE34=1,AE47,AE45)-AE44)*AF19+IF(Time!AF46&gt;0,Time!AF45*AE44/Time!AF46,0)+IF(Time!AE34=1,AE47,AE45)*AF11,0)</f>
        <v>9.1988030426914</v>
      </c>
      <c r="AF120" s="13" t="n">
        <f aca="false">IF(AND(Time!AF20&gt;=Time!$F$12,Time!AG20&gt;0),(IF(Time!AF34=1,AF47,AF45)-AF44)*AG19+IF(Time!AG46&gt;0,Time!AG45*AF44/Time!AG46,0)+IF(Time!AF34=1,AF47,AF45)*AG11,0)</f>
        <v>9.05497964649966</v>
      </c>
      <c r="AG120" s="13" t="n">
        <f aca="false">IF(AND(Time!AG20&gt;=Time!$F$12,Time!AH20&gt;0),(IF(Time!AG34=1,AG47,AG45)-AG44)*AH19+IF(Time!AH46&gt;0,Time!AH45*AG44/Time!AH46,0)+IF(Time!AG34=1,AG47,AG45)*AH11,0)</f>
        <v>9.19848141712192</v>
      </c>
      <c r="AH120" s="13" t="n">
        <f aca="false">IF(AND(Time!AH20&gt;=Time!$F$12,Time!AI20&gt;0),(IF(Time!AH34=1,AH47,AH45)-AH44)*AI19+IF(Time!AI46&gt;0,Time!AI45*AH44/Time!AI46,0)+IF(Time!AH34=1,AH47,AH45)*AI11,0)</f>
        <v>9.13091253146909</v>
      </c>
      <c r="AI120" s="13" t="n">
        <f aca="false">IF(AND(Time!AI20&gt;=Time!$F$12,Time!AJ20&gt;0),(IF(Time!AI34=1,AI47,AI45)-AI44)*AJ19+IF(Time!AJ46&gt;0,Time!AJ45*AI44/Time!AJ46,0)+IF(Time!AI34=1,AI47,AI45)*AJ11,0)</f>
        <v>9.26110590532994</v>
      </c>
      <c r="AJ120" s="13" t="n">
        <f aca="false">IF(AND(Time!AJ20&gt;=Time!$F$12,Time!AK20&gt;0),(IF(Time!AJ34=1,AJ47,AJ45)-AJ44)*AK19+IF(Time!AK46&gt;0,Time!AK45*AJ44/Time!AK46,0)+IF(Time!AJ34=1,AJ47,AJ45)*AK11,0)</f>
        <v>9.22935070293652</v>
      </c>
      <c r="AK120" s="13" t="n">
        <f aca="false">IF(AND(Time!AK20&gt;=Time!$F$12,Time!AL20&gt;0),(IF(Time!AK34=1,AK47,AK45)-AK44)*AL19+IF(Time!AL46&gt;0,Time!AL45*AK44/Time!AL46,0)+IF(Time!AK34=1,AK47,AK45)*AL11,0)</f>
        <v>9.44719110295528</v>
      </c>
      <c r="AL120" s="13" t="n">
        <f aca="false">IF(AND(Time!AL20&gt;=Time!$F$12,Time!AM20&gt;0),(IF(Time!AL34=1,AL47,AL45)-AL44)*AM19+IF(Time!AM46&gt;0,Time!AM45*AL44/Time!AM46,0)+IF(Time!AL34=1,AL47,AL45)*AM11,0)</f>
        <v>9.31870125033088</v>
      </c>
      <c r="AM120" s="13" t="n">
        <f aca="false">IF(AND(Time!AM20&gt;=Time!$F$12,Time!AN20&gt;0),(IF(Time!AM34=1,AM47,AM45)-AM44)*AN19+IF(Time!AN46&gt;0,Time!AN45*AM44/Time!AN46,0)+IF(Time!AM34=1,AM47,AM45)*AN11,0)</f>
        <v>7.5404996926294</v>
      </c>
      <c r="AN120" s="13" t="n">
        <f aca="false">IF(AND(Time!AN20&gt;=Time!$F$12,Time!AO20&gt;0),(IF(Time!AN34=1,AN47,AN45)-AN44)*AO19+IF(Time!AO46&gt;0,Time!AO45*AN44/Time!AO46,0)+IF(Time!AN34=1,AN47,AN45)*AO11,0)</f>
        <v>7.39697780107138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3.99672533720971</v>
      </c>
      <c r="P121" s="13" t="n">
        <f aca="false">IF(AND(Time!P20&gt;=Time!$F$12,Time!Q20&gt;0),(IF(Time!P34=1,P61,P59)-P58)*Q19+IF(Time!Q46&gt;0,Time!Q45*P58/Time!Q46,0)+IF(Time!P34=1,P61,P59)*Q12,0)</f>
        <v>3.98246148765532</v>
      </c>
      <c r="Q121" s="13" t="n">
        <f aca="false">IF(AND(Time!Q20&gt;=Time!$F$12,Time!R20&gt;0),(IF(Time!Q34=1,Q61,Q59)-Q58)*R19+IF(Time!R46&gt;0,Time!R45*Q58/Time!R46,0)+IF(Time!Q34=1,Q61,Q59)*R12,0)</f>
        <v>4.04742735130539</v>
      </c>
      <c r="R121" s="13" t="n">
        <f aca="false">IF(AND(Time!R20&gt;=Time!$F$12,Time!S20&gt;0),(IF(Time!R34=1,R61,R59)-R58)*S19+IF(Time!S46&gt;0,Time!S45*R58/Time!S46,0)+IF(Time!R34=1,R61,R59)*S12,0)</f>
        <v>4.00885140088419</v>
      </c>
      <c r="S121" s="13" t="n">
        <f aca="false">IF(AND(Time!S20&gt;=Time!$F$12,Time!T20&gt;0),(IF(Time!S34=1,S61,S59)-S58)*T19+IF(Time!T46&gt;0,Time!T45*S58/Time!T46,0)+IF(Time!S34=1,S61,S59)*T12,0)</f>
        <v>4.06784909655031</v>
      </c>
      <c r="T121" s="13" t="n">
        <f aca="false">IF(AND(Time!T20&gt;=Time!$F$12,Time!U20&gt;0),(IF(Time!T34=1,T61,T59)-T58)*U19+IF(Time!U46&gt;0,Time!U45*T58/Time!U46,0)+IF(Time!T34=1,T61,T59)*U12,0)</f>
        <v>4.04320932243551</v>
      </c>
      <c r="U121" s="13" t="n">
        <f aca="false">IF(AND(Time!U20&gt;=Time!$F$12,Time!V20&gt;0),(IF(Time!U34=1,U61,U59)-U58)*V19+IF(Time!V46&gt;0,Time!V45*U58/Time!V46,0)+IF(Time!U34=1,U61,U59)*V12,0)</f>
        <v>4.13096313811206</v>
      </c>
      <c r="V121" s="13" t="n">
        <f aca="false">IF(AND(Time!V20&gt;=Time!$F$12,Time!W20&gt;0),(IF(Time!V34=1,V61,V59)-V58)*W19+IF(Time!W46&gt;0,Time!W45*V58/Time!W46,0)+IF(Time!V34=1,V61,V59)*W12,0)</f>
        <v>4.0945595017651</v>
      </c>
      <c r="W121" s="13" t="n">
        <f aca="false">IF(AND(Time!W20&gt;=Time!$F$12,Time!X20&gt;0),(IF(Time!W34=1,W61,W59)-W58)*X19+IF(Time!X46&gt;0,Time!X45*W58/Time!X46,0)+IF(Time!W34=1,W61,W59)*X12,0)</f>
        <v>3.98666852960638</v>
      </c>
      <c r="X121" s="13" t="n">
        <f aca="false">IF(AND(Time!X20&gt;=Time!$F$12,Time!Y20&gt;0),(IF(Time!X34=1,X61,X59)-X58)*Y19+IF(Time!Y46&gt;0,Time!Y45*X58/Time!Y46,0)+IF(Time!X34=1,X61,X59)*Y12,0)</f>
        <v>3.88644800337041</v>
      </c>
      <c r="Y121" s="13" t="n">
        <f aca="false">IF(AND(Time!Y20&gt;=Time!$F$12,Time!Z20&gt;0),(IF(Time!Y34=1,Y61,Y59)-Y58)*Z19+IF(Time!Z46&gt;0,Time!Z45*Y58/Time!Z46,0)+IF(Time!Y34=1,Y61,Y59)*Z12,0)</f>
        <v>3.93221551994934</v>
      </c>
      <c r="Z121" s="13" t="n">
        <f aca="false">IF(AND(Time!Z20&gt;=Time!$F$12,Time!AA20&gt;0),(IF(Time!Z34=1,Z61,Z59)-Z58)*AA19+IF(Time!AA46&gt;0,Time!AA45*Z58/Time!AA46,0)+IF(Time!Z34=1,Z61,Z59)*AA12,0)</f>
        <v>3.89723331060208</v>
      </c>
      <c r="AA121" s="13" t="n">
        <f aca="false">IF(AND(Time!AA20&gt;=Time!$F$12,Time!AB20&gt;0),(IF(Time!AA34=1,AA61,AA59)-AA58)*AB19+IF(Time!AB46&gt;0,Time!AB45*AA58/Time!AB46,0)+IF(Time!AA34=1,AA61,AA59)*AB12,0)</f>
        <v>3.95681486161396</v>
      </c>
      <c r="AB121" s="13" t="n">
        <f aca="false">IF(AND(Time!AB20&gt;=Time!$F$12,Time!AC20&gt;0),(IF(Time!AB34=1,AB61,AB59)-AB58)*AC19+IF(Time!AC46&gt;0,Time!AC45*AB58/Time!AC46,0)+IF(Time!AB34=1,AB61,AB59)*AC12,0)</f>
        <v>3.9410897704668</v>
      </c>
      <c r="AC121" s="13" t="n">
        <f aca="false">IF(AND(Time!AC20&gt;=Time!$F$12,Time!AD20&gt;0),(IF(Time!AC34=1,AC61,AC59)-AC58)*AD19+IF(Time!AD46&gt;0,Time!AD45*AC58/Time!AD46,0)+IF(Time!AC34=1,AC61,AC59)*AD12,0)</f>
        <v>4.10601301613564</v>
      </c>
      <c r="AD121" s="13" t="n">
        <f aca="false">IF(AND(Time!AD20&gt;=Time!$F$12,Time!AE20&gt;0),(IF(Time!AD34=1,AD61,AD59)-AD58)*AE19+IF(Time!AE46&gt;0,Time!AE45*AD58/Time!AE46,0)+IF(Time!AD34=1,AD61,AD59)*AE12,0)</f>
        <v>4.11298617467239</v>
      </c>
      <c r="AE121" s="13" t="n">
        <f aca="false">IF(AND(Time!AE20&gt;=Time!$F$12,Time!AF20&gt;0),(IF(Time!AE34=1,AE61,AE59)-AE58)*AF19+IF(Time!AF46&gt;0,Time!AF45*AE58/Time!AF46,0)+IF(Time!AE34=1,AE61,AE59)*AF12,0)</f>
        <v>4.13805574693797</v>
      </c>
      <c r="AF121" s="13" t="n">
        <f aca="false">IF(AND(Time!AF20&gt;=Time!$F$12,Time!AG20&gt;0),(IF(Time!AF34=1,AF61,AF59)-AF58)*AG19+IF(Time!AG46&gt;0,Time!AG45*AF58/Time!AG46,0)+IF(Time!AF34=1,AF61,AF59)*AG12,0)</f>
        <v>4.07717068338072</v>
      </c>
      <c r="AG121" s="13" t="n">
        <f aca="false">IF(AND(Time!AG20&gt;=Time!$F$12,Time!AH20&gt;0),(IF(Time!AG34=1,AG61,AG59)-AG58)*AH19+IF(Time!AH46&gt;0,Time!AH45*AG58/Time!AH46,0)+IF(Time!AG34=1,AG61,AG59)*AH12,0)</f>
        <v>4.14567593171464</v>
      </c>
      <c r="AH121" s="13" t="n">
        <f aca="false">IF(AND(Time!AH20&gt;=Time!$F$12,Time!AI20&gt;0),(IF(Time!AH34=1,AH61,AH59)-AH58)*AI19+IF(Time!AI46&gt;0,Time!AI45*AH58/Time!AI46,0)+IF(Time!AH34=1,AH61,AH59)*AI12,0)</f>
        <v>4.11958955223583</v>
      </c>
      <c r="AI121" s="13" t="n">
        <f aca="false">IF(AND(Time!AI20&gt;=Time!$F$12,Time!AJ20&gt;0),(IF(Time!AI34=1,AI61,AI59)-AI58)*AJ19+IF(Time!AJ46&gt;0,Time!AJ45*AI58/Time!AJ46,0)+IF(Time!AI34=1,AI61,AI59)*AJ12,0)</f>
        <v>4.18249412920135</v>
      </c>
      <c r="AJ121" s="13" t="n">
        <f aca="false">IF(AND(Time!AJ20&gt;=Time!$F$12,Time!AK20&gt;0),(IF(Time!AJ34=1,AJ61,AJ59)-AJ58)*AK19+IF(Time!AK46&gt;0,Time!AK45*AJ58/Time!AK46,0)+IF(Time!AJ34=1,AJ61,AJ59)*AK12,0)</f>
        <v>4.17274745498694</v>
      </c>
      <c r="AK121" s="13" t="n">
        <f aca="false">IF(AND(Time!AK20&gt;=Time!$F$12,Time!AL20&gt;0),(IF(Time!AK34=1,AK61,AK59)-AK58)*AL19+IF(Time!AL46&gt;0,Time!AL45*AK58/Time!AL46,0)+IF(Time!AK34=1,AK61,AK59)*AL12,0)</f>
        <v>4.27610451141358</v>
      </c>
      <c r="AL121" s="13" t="n">
        <f aca="false">IF(AND(Time!AL20&gt;=Time!$F$12,Time!AM20&gt;0),(IF(Time!AL34=1,AL61,AL59)-AL58)*AM19+IF(Time!AM46&gt;0,Time!AM45*AL58/Time!AM46,0)+IF(Time!AL34=1,AL61,AL59)*AM12,0)</f>
        <v>4.22277706988684</v>
      </c>
      <c r="AM121" s="13" t="n">
        <f aca="false">IF(AND(Time!AM20&gt;=Time!$F$12,Time!AN20&gt;0),(IF(Time!AM34=1,AM61,AM59)-AM58)*AN19+IF(Time!AN46&gt;0,Time!AN45*AM58/Time!AN46,0)+IF(Time!AM34=1,AM61,AM59)*AN12,0)</f>
        <v>3.41925090621037</v>
      </c>
      <c r="AN121" s="13" t="n">
        <f aca="false">IF(AND(Time!AN20&gt;=Time!$F$12,Time!AO20&gt;0),(IF(Time!AN34=1,AN61,AN59)-AN58)*AO19+IF(Time!AO46&gt;0,Time!AO45*AN58/Time!AO46,0)+IF(Time!AN34=1,AN61,AN59)*AO12,0)</f>
        <v>3.35817557514197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17.2064451512644</v>
      </c>
      <c r="P122" s="13" t="n">
        <f aca="false">IF(AND(Time!P20&gt;=Time!$F$12,Time!Q20&gt;0),(IF(Time!P34=1,P75,P73)-P72)*Q19+IF(Time!Q46&gt;0,Time!Q45*P72/Time!Q46,0)+IF(Time!P34=1,P75,P73)*Q13,0)</f>
        <v>17.0736204600194</v>
      </c>
      <c r="Q122" s="13" t="n">
        <f aca="false">IF(AND(Time!Q20&gt;=Time!$F$12,Time!R20&gt;0),(IF(Time!Q34=1,Q75,Q73)-Q72)*R19+IF(Time!R46&gt;0,Time!R45*Q72/Time!R46,0)+IF(Time!Q34=1,Q75,Q73)*R13,0)</f>
        <v>17.3011006839499</v>
      </c>
      <c r="R122" s="13" t="n">
        <f aca="false">IF(AND(Time!R20&gt;=Time!$F$12,Time!S20&gt;0),(IF(Time!R34=1,R75,R73)-R72)*S19+IF(Time!S46&gt;0,Time!S45*R72/Time!S46,0)+IF(Time!R34=1,R75,R73)*S13,0)</f>
        <v>17.0713461374255</v>
      </c>
      <c r="S122" s="13" t="n">
        <f aca="false">IF(AND(Time!S20&gt;=Time!$F$12,Time!T20&gt;0),(IF(Time!S34=1,S75,S73)-S72)*T19+IF(Time!T46&gt;0,Time!T45*S72/Time!T46,0)+IF(Time!S34=1,S75,S73)*T13,0)</f>
        <v>17.2702731399939</v>
      </c>
      <c r="T122" s="13" t="n">
        <f aca="false">IF(AND(Time!T20&gt;=Time!$F$12,Time!U20&gt;0),(IF(Time!T34=1,T75,T73)-T72)*U19+IF(Time!U46&gt;0,Time!U45*T72/Time!U46,0)+IF(Time!T34=1,T75,T73)*U13,0)</f>
        <v>17.099288245369</v>
      </c>
      <c r="U122" s="13" t="n">
        <f aca="false">IF(AND(Time!U20&gt;=Time!$F$12,Time!V20&gt;0),(IF(Time!U34=1,U75,U73)-U72)*V19+IF(Time!V46&gt;0,Time!V45*U72/Time!V46,0)+IF(Time!U34=1,U75,U73)*V13,0)</f>
        <v>17.391674031459</v>
      </c>
      <c r="V122" s="13" t="n">
        <f aca="false">IF(AND(Time!V20&gt;=Time!$F$12,Time!W20&gt;0),(IF(Time!V34=1,V75,V73)-V72)*W19+IF(Time!W46&gt;0,Time!W45*V72/Time!W46,0)+IF(Time!V34=1,V75,V73)*W13,0)</f>
        <v>17.1626901767424</v>
      </c>
      <c r="W122" s="13" t="n">
        <f aca="false">IF(AND(Time!W20&gt;=Time!$F$12,Time!X20&gt;0),(IF(Time!W34=1,W75,W73)-W72)*X19+IF(Time!X46&gt;0,Time!X45*W72/Time!X46,0)+IF(Time!W34=1,W75,W73)*X13,0)</f>
        <v>16.7132459044706</v>
      </c>
      <c r="X122" s="13" t="n">
        <f aca="false">IF(AND(Time!X20&gt;=Time!$F$12,Time!Y20&gt;0),(IF(Time!X34=1,X75,X73)-X72)*Y19+IF(Time!Y46&gt;0,Time!Y45*X72/Time!Y46,0)+IF(Time!X34=1,X75,X73)*Y13,0)</f>
        <v>16.7893372200096</v>
      </c>
      <c r="Y122" s="13" t="n">
        <f aca="false">IF(AND(Time!Y20&gt;=Time!$F$12,Time!Z20&gt;0),(IF(Time!Y34=1,Y75,Y73)-Y72)*Z19+IF(Time!Z46&gt;0,Time!Z45*Y72/Time!Z46,0)+IF(Time!Y34=1,Y75,Y73)*Z13,0)</f>
        <v>16.9087632998957</v>
      </c>
      <c r="Z122" s="13" t="n">
        <f aca="false">IF(AND(Time!Z20&gt;=Time!$F$12,Time!AA20&gt;0),(IF(Time!Z34=1,Z75,Z73)-Z72)*AA19+IF(Time!AA46&gt;0,Time!AA45*Z72/Time!AA46,0)+IF(Time!Z34=1,Z75,Z73)*AA13,0)</f>
        <v>16.6536348897201</v>
      </c>
      <c r="AA122" s="13" t="n">
        <f aca="false">IF(AND(Time!AA20&gt;=Time!$F$12,Time!AB20&gt;0),(IF(Time!AA34=1,AA75,AA73)-AA72)*AB19+IF(Time!AB46&gt;0,Time!AB45*AA72/Time!AB46,0)+IF(Time!AA34=1,AA75,AA73)*AB13,0)</f>
        <v>16.8163067633381</v>
      </c>
      <c r="AB122" s="13" t="n">
        <f aca="false">IF(AND(Time!AB20&gt;=Time!$F$12,Time!AC20&gt;0),(IF(Time!AB34=1,AB75,AB73)-AB72)*AC19+IF(Time!AC46&gt;0,Time!AC45*AB72/Time!AC46,0)+IF(Time!AB34=1,AB75,AB73)*AC13,0)</f>
        <v>16.2063324853245</v>
      </c>
      <c r="AC122" s="13" t="n">
        <f aca="false">IF(AND(Time!AC20&gt;=Time!$F$12,Time!AD20&gt;0),(IF(Time!AC34=1,AC75,AC73)-AC72)*AD19+IF(Time!AD46&gt;0,Time!AD45*AC72/Time!AD46,0)+IF(Time!AC34=1,AC75,AC73)*AD13,0)</f>
        <v>16.1718326071184</v>
      </c>
      <c r="AD122" s="13" t="n">
        <f aca="false">IF(AND(Time!AD20&gt;=Time!$F$12,Time!AE20&gt;0),(IF(Time!AD34=1,AD75,AD73)-AD72)*AE19+IF(Time!AE46&gt;0,Time!AE45*AD72/Time!AE46,0)+IF(Time!AD34=1,AD75,AD73)*AE13,0)</f>
        <v>15.5328230126982</v>
      </c>
      <c r="AE122" s="13" t="n">
        <f aca="false">IF(AND(Time!AE20&gt;=Time!$F$12,Time!AF20&gt;0),(IF(Time!AE34=1,AE75,AE73)-AE72)*AF19+IF(Time!AF46&gt;0,Time!AF45*AE72/Time!AF46,0)+IF(Time!AE34=1,AE75,AE73)*AF13,0)</f>
        <v>14.8117612838593</v>
      </c>
      <c r="AF122" s="13" t="n">
        <f aca="false">IF(AND(Time!AF20&gt;=Time!$F$12,Time!AG20&gt;0),(IF(Time!AF34=1,AF75,AF73)-AF72)*AG19+IF(Time!AG46&gt;0,Time!AG45*AF72/Time!AG46,0)+IF(Time!AF34=1,AF75,AF73)*AG13,0)</f>
        <v>13.9303135783404</v>
      </c>
      <c r="AG122" s="13" t="n">
        <f aca="false">IF(AND(Time!AG20&gt;=Time!$F$12,Time!AH20&gt;0),(IF(Time!AG34=1,AG75,AG73)-AG72)*AH19+IF(Time!AH46&gt;0,Time!AH45*AG72/Time!AH46,0)+IF(Time!AG34=1,AG75,AG73)*AH13,0)</f>
        <v>12.9985589215811</v>
      </c>
      <c r="AH122" s="13" t="n">
        <f aca="false">IF(AND(Time!AH20&gt;=Time!$F$12,Time!AI20&gt;0),(IF(Time!AH34=1,AH75,AH73)-AH72)*AI19+IF(Time!AI46&gt;0,Time!AI45*AH72/Time!AI46,0)+IF(Time!AH34=1,AH75,AH73)*AI13,0)</f>
        <v>11.6214106963598</v>
      </c>
      <c r="AI122" s="13" t="n">
        <f aca="false">IF(AND(Time!AI20&gt;=Time!$F$12,Time!AJ20&gt;0),(IF(Time!AI34=1,AI75,AI73)-AI72)*AJ19+IF(Time!AJ46&gt;0,Time!AJ45*AI72/Time!AJ46,0)+IF(Time!AI34=1,AI75,AI73)*AJ13,0)</f>
        <v>10.1546666620993</v>
      </c>
      <c r="AJ122" s="13" t="n">
        <f aca="false">IF(AND(Time!AJ20&gt;=Time!$F$12,Time!AK20&gt;0),(IF(Time!AJ34=1,AJ75,AJ73)-AJ72)*AK19+IF(Time!AK46&gt;0,Time!AK45*AJ72/Time!AK46,0)+IF(Time!AJ34=1,AJ75,AJ73)*AK13,0)</f>
        <v>8.16934009456833</v>
      </c>
      <c r="AK122" s="13" t="n">
        <f aca="false">IF(AND(Time!AK20&gt;=Time!$F$12,Time!AL20&gt;0),(IF(Time!AK34=1,AK75,AK73)-AK72)*AL19+IF(Time!AL46&gt;0,Time!AL45*AK72/Time!AL46,0)+IF(Time!AK34=1,AK75,AK73)*AL13,0)</f>
        <v>5.66419284467115</v>
      </c>
      <c r="AL122" s="13" t="n">
        <f aca="false">IF(AND(Time!AL20&gt;=Time!$F$12,Time!AM20&gt;0),(IF(Time!AL34=1,AL75,AL73)-AL72)*AM19+IF(Time!AM46&gt;0,Time!AM45*AL72/Time!AM46,0)+IF(Time!AL34=1,AL75,AL73)*AM13,0)</f>
        <v>1.97662700759636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3.03174612237595E-015</v>
      </c>
      <c r="P123" s="13" t="n">
        <f aca="false">IF(AND(Time!P20&gt;=Time!$F$12,Time!Q20&gt;0),(IF(Time!P34=1,P89,P87)-P86)*Q19+IF(Time!Q46&gt;0,Time!Q45*P86/Time!Q46,0)+IF(Time!P34=1,P89,P87)*Q14,0)</f>
        <v>3.00997433390441E-015</v>
      </c>
      <c r="Q123" s="13" t="n">
        <f aca="false">IF(AND(Time!Q20&gt;=Time!$F$12,Time!R20&gt;0),(IF(Time!Q34=1,Q89,Q87)-Q86)*R19+IF(Time!R46&gt;0,Time!R45*Q86/Time!R46,0)+IF(Time!Q34=1,Q89,Q87)*R14,0)</f>
        <v>3.05134219234342E-015</v>
      </c>
      <c r="R123" s="13" t="n">
        <f aca="false">IF(AND(Time!R20&gt;=Time!$F$12,Time!S20&gt;0),(IF(Time!R34=1,R89,R87)-R86)*S19+IF(Time!S46&gt;0,Time!S45*R86/Time!S46,0)+IF(Time!R34=1,R89,R87)*S14,0)</f>
        <v>3.01237301893297E-015</v>
      </c>
      <c r="S123" s="13" t="n">
        <f aca="false">IF(AND(Time!S20&gt;=Time!$F$12,Time!T20&gt;0),(IF(Time!S34=1,S89,S87)-S86)*T19+IF(Time!T46&gt;0,Time!T45*S86/Time!T46,0)+IF(Time!S34=1,S89,S87)*T14,0)</f>
        <v>3.04878142990128E-015</v>
      </c>
      <c r="T123" s="13" t="n">
        <f aca="false">IF(AND(Time!T20&gt;=Time!$F$12,Time!U20&gt;0),(IF(Time!T34=1,T89,T87)-T86)*U19+IF(Time!U46&gt;0,Time!U45*T86/Time!U46,0)+IF(Time!T34=1,T89,T87)*U14,0)</f>
        <v>3.02025929792004E-015</v>
      </c>
      <c r="U123" s="13" t="n">
        <f aca="false">IF(AND(Time!U20&gt;=Time!$F$12,Time!V20&gt;0),(IF(Time!U34=1,U89,U87)-U86)*V19+IF(Time!V46&gt;0,Time!V45*U86/Time!V46,0)+IF(Time!U34=1,U89,U87)*V14,0)</f>
        <v>3.07388329697426E-015</v>
      </c>
      <c r="V123" s="13" t="n">
        <f aca="false">IF(AND(Time!V20&gt;=Time!$F$12,Time!W20&gt;0),(IF(Time!V34=1,V89,V87)-V86)*W19+IF(Time!W46&gt;0,Time!W45*V86/Time!W46,0)+IF(Time!V34=1,V89,V87)*W14,0)</f>
        <v>3.03532414697674E-015</v>
      </c>
      <c r="W123" s="13" t="n">
        <f aca="false">IF(AND(Time!W20&gt;=Time!$F$12,Time!X20&gt;0),(IF(Time!W34=1,W89,W87)-W86)*X19+IF(Time!X46&gt;0,Time!X45*W86/Time!X46,0)+IF(Time!W34=1,W89,W87)*X14,0)</f>
        <v>2.95576647355787E-015</v>
      </c>
      <c r="X123" s="13" t="n">
        <f aca="false">IF(AND(Time!X20&gt;=Time!$F$12,Time!Y20&gt;0),(IF(Time!X34=1,X89,X87)-X86)*Y19+IF(Time!Y46&gt;0,Time!Y45*X86/Time!Y46,0)+IF(Time!X34=1,X89,X87)*Y14,0)</f>
        <v>2.93273705509354E-015</v>
      </c>
      <c r="Y123" s="13" t="n">
        <f aca="false">IF(AND(Time!Y20&gt;=Time!$F$12,Time!Z20&gt;0),(IF(Time!Y34=1,Y89,Y87)-Y86)*Z19+IF(Time!Z46&gt;0,Time!Z45*Y86/Time!Z46,0)+IF(Time!Y34=1,Y89,Y87)*Z14,0)</f>
        <v>2.95633968263667E-015</v>
      </c>
      <c r="Z123" s="13" t="n">
        <f aca="false">IF(AND(Time!Z20&gt;=Time!$F$12,Time!AA20&gt;0),(IF(Time!Z34=1,Z89,Z87)-Z86)*AA19+IF(Time!AA46&gt;0,Time!AA45*Z86/Time!AA46,0)+IF(Time!Z34=1,Z89,Z87)*AA14,0)</f>
        <v>2.91541625887449E-015</v>
      </c>
      <c r="AA123" s="13" t="n">
        <f aca="false">IF(AND(Time!AA20&gt;=Time!$F$12,Time!AB20&gt;0),(IF(Time!AA34=1,AA89,AA87)-AA86)*AB19+IF(Time!AB46&gt;0,Time!AB45*AA86/Time!AB46,0)+IF(Time!AA34=1,AA89,AA87)*AB14,0)</f>
        <v>2.94714835015619E-015</v>
      </c>
      <c r="AB123" s="13" t="n">
        <f aca="false">IF(AND(Time!AB20&gt;=Time!$F$12,Time!AC20&gt;0),(IF(Time!AB34=1,AB89,AB87)-AB86)*AC19+IF(Time!AC46&gt;0,Time!AC45*AB86/Time!AC46,0)+IF(Time!AB34=1,AB89,AB87)*AC14,0)</f>
        <v>2.92007146871853E-015</v>
      </c>
      <c r="AC123" s="13" t="n">
        <f aca="false">IF(AND(Time!AC20&gt;=Time!$F$12,Time!AD20&gt;0),(IF(Time!AC34=1,AC89,AC87)-AC86)*AD19+IF(Time!AD46&gt;0,Time!AD45*AC86/Time!AD46,0)+IF(Time!AC34=1,AC89,AC87)*AD14,0)</f>
        <v>3.02084267340305E-015</v>
      </c>
      <c r="AD123" s="13" t="n">
        <f aca="false">IF(AND(Time!AD20&gt;=Time!$F$12,Time!AE20&gt;0),(IF(Time!AD34=1,AD89,AD87)-AD86)*AE19+IF(Time!AE46&gt;0,Time!AE45*AD86/Time!AE46,0)+IF(Time!AD34=1,AD89,AD87)*AE14,0)</f>
        <v>3.00668781128291E-015</v>
      </c>
      <c r="AE123" s="13" t="n">
        <f aca="false">IF(AND(Time!AE20&gt;=Time!$F$12,Time!AF20&gt;0),(IF(Time!AE34=1,AE89,AE87)-AE86)*AF19+IF(Time!AF46&gt;0,Time!AF45*AE86/Time!AF46,0)+IF(Time!AE34=1,AE89,AE87)*AF14,0)</f>
        <v>3.01089110553495E-015</v>
      </c>
      <c r="AF123" s="13" t="n">
        <f aca="false">IF(AND(Time!AF20&gt;=Time!$F$12,Time!AG20&gt;0),(IF(Time!AF34=1,AF89,AF87)-AF86)*AG19+IF(Time!AG46&gt;0,Time!AG45*AF86/Time!AG46,0)+IF(Time!AF34=1,AF89,AF87)*AG14,0)</f>
        <v>2.98497489651049E-015</v>
      </c>
      <c r="AG123" s="13" t="n">
        <f aca="false">IF(AND(Time!AG20&gt;=Time!$F$12,Time!AH20&gt;0),(IF(Time!AG34=1,AG89,AG87)-AG86)*AH19+IF(Time!AH46&gt;0,Time!AH45*AG86/Time!AH46,0)+IF(Time!AG34=1,AG89,AG87)*AH14,0)</f>
        <v>3.01439873737798E-015</v>
      </c>
      <c r="AH123" s="13" t="n">
        <f aca="false">IF(AND(Time!AH20&gt;=Time!$F$12,Time!AI20&gt;0),(IF(Time!AH34=1,AH89,AH87)-AH86)*AI19+IF(Time!AI46&gt;0,Time!AI45*AH86/Time!AI46,0)+IF(Time!AH34=1,AH89,AH87)*AI14,0)</f>
        <v>2.97218973510607E-015</v>
      </c>
      <c r="AI123" s="13" t="n">
        <f aca="false">IF(AND(Time!AI20&gt;=Time!$F$12,Time!AJ20&gt;0),(IF(Time!AI34=1,AI89,AI87)-AI86)*AJ19+IF(Time!AJ46&gt;0,Time!AJ45*AI86/Time!AJ46,0)+IF(Time!AI34=1,AI89,AI87)*AJ14,0)</f>
        <v>2.99542643330335E-015</v>
      </c>
      <c r="AJ123" s="13" t="n">
        <f aca="false">IF(AND(Time!AJ20&gt;=Time!$F$12,Time!AK20&gt;0),(IF(Time!AJ34=1,AJ89,AJ87)-AJ86)*AK19+IF(Time!AK46&gt;0,Time!AK45*AJ86/Time!AK46,0)+IF(Time!AJ34=1,AJ89,AJ87)*AK14,0)</f>
        <v>2.96404022717053E-015</v>
      </c>
      <c r="AK123" s="13" t="n">
        <f aca="false">IF(AND(Time!AK20&gt;=Time!$F$12,Time!AL20&gt;0),(IF(Time!AK34=1,AK89,AK87)-AK86)*AL19+IF(Time!AL46&gt;0,Time!AL45*AK86/Time!AL46,0)+IF(Time!AK34=1,AK89,AK87)*AL14,0)</f>
        <v>3.01163017171473E-015</v>
      </c>
      <c r="AL123" s="13" t="n">
        <f aca="false">IF(AND(Time!AL20&gt;=Time!$F$12,Time!AM20&gt;0),(IF(Time!AL34=1,AL89,AL87)-AL86)*AM19+IF(Time!AM46&gt;0,Time!AM45*AL86/Time!AM46,0)+IF(Time!AL34=1,AL89,AL87)*AM14,0)</f>
        <v>2.94846667081701E-015</v>
      </c>
      <c r="AM123" s="13" t="n">
        <f aca="false">IF(AND(Time!AM20&gt;=Time!$F$12,Time!AN20&gt;0),(IF(Time!AM34=1,AM89,AM87)-AM86)*AN19+IF(Time!AN46&gt;0,Time!AN45*AM86/Time!AN46,0)+IF(Time!AM34=1,AM89,AM87)*AN14,0)</f>
        <v>2.37541816448796E-015</v>
      </c>
      <c r="AN123" s="13" t="n">
        <f aca="false">IF(AND(Time!AN20&gt;=Time!$F$12,Time!AO20&gt;0),(IF(Time!AN34=1,AN89,AN87)-AN86)*AO19+IF(Time!AO46&gt;0,Time!AO45*AN86/Time!AO46,0)+IF(Time!AN34=1,AN89,AN87)*AO14,0)</f>
        <v>2.31180053509309E-015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40.840014591187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40.7340547110883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41.2570794187973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40.9270889047008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41.3947092411322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41.1880873212098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41.9790491065032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41.6772339935783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40.4846884478949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40.0832417915395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40.420276949773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40.0845355618092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40.5624339196071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39.9344124921423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40.8856070862169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40.3955203741877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39.7819004829281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38.6185456988274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38.0786898080084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36.6312074601165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35.5429976709695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33.5734842947147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31.7396221439247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27.8189147440583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20.9574375067891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20.7065333478348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0.034429605795626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0.034075098760112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0.034461469872758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0.0340907710371797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0.034477401911324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0.0342196479952278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0.034477401911324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0.0340907710371797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0.034477401911324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0.0351521907902661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0.035556414257003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0.0351521907902661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0.035556414257003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0.035286931945845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0.035556414257003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0.0351521907902661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0.035556414257003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0.0362136105433525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0.036635426602682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0.0362136105433525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0.036635426602682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0.0363542158964623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0.036635426602682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0.0362136105433525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0.036635426602682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0.0362136105433525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861.697810468344</v>
      </c>
      <c r="Q128" s="13" t="n">
        <f aca="false">IF(Time!Q53=1,(Waterfall!Q7+R128)/(1+Q127),0)</f>
        <v>841.093632126456</v>
      </c>
      <c r="R128" s="13" t="n">
        <f aca="false">IF(Time!R53=1,(Waterfall!R7+S128)/(1+R127),0)</f>
        <v>819.593283632389</v>
      </c>
      <c r="S128" s="13" t="n">
        <f aca="false">IF(Time!S53=1,(Waterfall!S7+T128)/(1+S127),0)</f>
        <v>797.044213011142</v>
      </c>
      <c r="T128" s="13" t="n">
        <f aca="false">IF(Time!T53=1,(Waterfall!T7+U128)/(1+T127),0)</f>
        <v>773.816092914722</v>
      </c>
      <c r="U128" s="13" t="n">
        <f aca="false">IF(Time!U53=1,(Waterfall!U7+V128)/(1+U127),0)</f>
        <v>749.531117345613</v>
      </c>
      <c r="V128" s="13" t="n">
        <f aca="false">IF(Time!V53=1,(Waterfall!V7+W128)/(1+V127),0)</f>
        <v>724.459373119766</v>
      </c>
      <c r="W128" s="13" t="n">
        <f aca="false">IF(Time!W53=1,(Waterfall!W7+X128)/(1+W127),0)</f>
        <v>697.74815777346</v>
      </c>
      <c r="X128" s="13" t="n">
        <f aca="false">IF(Time!X53=1,(Waterfall!X7+Y128)/(1+X127),0)</f>
        <v>670.203573433541</v>
      </c>
      <c r="Y128" s="13" t="n">
        <f aca="false">IF(Time!Y53=1,(Waterfall!Y7+Z128)/(1+Y127),0)</f>
        <v>643.459278042532</v>
      </c>
      <c r="Z128" s="13" t="n">
        <f aca="false">IF(Time!Z53=1,(Waterfall!Z7+AA128)/(1+Z127),0)</f>
        <v>616.708252086912</v>
      </c>
      <c r="AA128" s="13" t="n">
        <f aca="false">IF(Time!AA53=1,(Waterfall!AA7+AB128)/(1+AA127),0)</f>
        <v>588.859845973673</v>
      </c>
      <c r="AB128" s="13" t="n">
        <f aca="false">IF(Time!AB53=1,(Waterfall!AB7+AC128)/(1+AB127),0)</f>
        <v>560.184271696273</v>
      </c>
      <c r="AC128" s="13" t="n">
        <f aca="false">IF(Time!AC53=1,(Waterfall!AC7+AD128)/(1+AC127),0)</f>
        <v>530.146005064483</v>
      </c>
      <c r="AD128" s="13" t="n">
        <f aca="false">IF(Time!AD53=1,(Waterfall!AD7+AE128)/(1+AD127),0)</f>
        <v>499.101776623865</v>
      </c>
      <c r="AE128" s="13" t="n">
        <f aca="false">IF(Time!AE53=1,(Waterfall!AE7+AF128)/(1+AE127),0)</f>
        <v>465.18550346717</v>
      </c>
      <c r="AF128" s="13" t="n">
        <f aca="false">IF(Time!AF53=1,(Waterfall!AF7+AG128)/(1+AF127),0)</f>
        <v>429.791961100247</v>
      </c>
      <c r="AG128" s="13" t="n">
        <f aca="false">IF(Time!AG53=1,(Waterfall!AG7+AH128)/(1+AG127),0)</f>
        <v>393.167136460665</v>
      </c>
      <c r="AH128" s="13" t="n">
        <f aca="false">IF(Time!AH53=1,(Waterfall!AH7+AI128)/(1+AH127),0)</f>
        <v>355.865858866989</v>
      </c>
      <c r="AI128" s="13" t="n">
        <f aca="false">IF(Time!AI53=1,(Waterfall!AI7+AJ128)/(1+AI127),0)</f>
        <v>316.694411741728</v>
      </c>
      <c r="AJ128" s="13" t="n">
        <f aca="false">IF(Time!AJ53=1,(Waterfall!AJ7+AK128)/(1+AJ127),0)</f>
        <v>276.361819079281</v>
      </c>
      <c r="AK128" s="13" t="n">
        <f aca="false">IF(Time!AK53=1,(Waterfall!AK7+AL128)/(1+AK127),0)</f>
        <v>234.083853929305</v>
      </c>
      <c r="AL128" s="13" t="n">
        <f aca="false">IF(Time!AL53=1,(Waterfall!AL7+AM128)/(1+AL127),0)</f>
        <v>190.429255952151</v>
      </c>
      <c r="AM128" s="13" t="n">
        <f aca="false">IF(Time!AM53=1,(Waterfall!AM7+AN128)/(1+AM127),0)</f>
        <v>144.130136970171</v>
      </c>
      <c r="AN128" s="13" t="n">
        <f aca="false">IF(Time!AN53=1,(Waterfall!AN7+AO128)/(1+AN127),0)</f>
        <v>96.4499045903592</v>
      </c>
      <c r="AO128" s="13" t="n">
        <f aca="false">IF(Time!AO53=1,(Waterfall!AO7+AP128)/(1+AO127),0)</f>
        <v>48.9197648384334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1.24254159146012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638.294674420996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702.324338097613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40.4590837174247</v>
      </c>
      <c r="Q132" s="13" t="n">
        <f aca="false">IF(Time!Q53=1,(Waterfall!Q7)/$F$129,0)</f>
        <v>40.3694310275224</v>
      </c>
      <c r="R132" s="13" t="n">
        <f aca="false">IF(Time!R53=1,(Waterfall!R7)/$F$129,0)</f>
        <v>40.8786798141473</v>
      </c>
      <c r="S132" s="13" t="n">
        <f aca="false">IF(Time!S53=1,(Waterfall!S7)/$F$129,0)</f>
        <v>40.5619998679215</v>
      </c>
      <c r="T132" s="13" t="n">
        <f aca="false">IF(Time!T53=1,(Waterfall!T7)/$F$129,0)</f>
        <v>41.016046754694</v>
      </c>
      <c r="U132" s="13" t="n">
        <f aca="false">IF(Time!U53=1,(Waterfall!U7)/$F$129,0)</f>
        <v>40.8199094271615</v>
      </c>
      <c r="V132" s="13" t="n">
        <f aca="false">IF(Time!V53=1,(Waterfall!V7)/$F$129,0)</f>
        <v>41.599164709684</v>
      </c>
      <c r="W132" s="13" t="n">
        <f aca="false">IF(Time!W53=1,(Waterfall!W7)/$F$129,0)</f>
        <v>41.3115805386181</v>
      </c>
      <c r="X132" s="13" t="n">
        <f aca="false">IF(Time!X53=1,(Waterfall!X7)/$F$129,0)</f>
        <v>40.1203257076506</v>
      </c>
      <c r="Y132" s="13" t="n">
        <f aca="false">IF(Time!Y53=1,(Waterfall!Y7)/$F$129,0)</f>
        <v>39.7330999641818</v>
      </c>
      <c r="Z132" s="13" t="n">
        <f aca="false">IF(Time!Z53=1,(Waterfall!Z7)/$F$129,0)</f>
        <v>40.0600998326831</v>
      </c>
      <c r="AA132" s="13" t="n">
        <f aca="false">IF(Time!AA53=1,(Waterfall!AA7)/$F$129,0)</f>
        <v>39.7373321514108</v>
      </c>
      <c r="AB132" s="13" t="n">
        <f aca="false">IF(Time!AB53=1,(Waterfall!AB7)/$F$129,0)</f>
        <v>40.2050209021791</v>
      </c>
      <c r="AC132" s="13" t="n">
        <f aca="false">IF(Time!AC53=1,(Waterfall!AC7)/$F$129,0)</f>
        <v>40.0400717244616</v>
      </c>
      <c r="AD132" s="13" t="n">
        <f aca="false">IF(Time!AD53=1,(Waterfall!AD7)/$F$129,0)</f>
        <v>41.5781194269965</v>
      </c>
      <c r="AE132" s="13" t="n">
        <f aca="false">IF(Time!AE53=1,(Waterfall!AE7)/$F$129,0)</f>
        <v>41.6451507887635</v>
      </c>
      <c r="AF132" s="13" t="n">
        <f aca="false">IF(Time!AF53=1,(Waterfall!AF7)/$F$129,0)</f>
        <v>41.7746061858556</v>
      </c>
      <c r="AG132" s="13" t="n">
        <f aca="false">IF(Time!AG53=1,(Waterfall!AG7)/$F$129,0)</f>
        <v>41.4789166866783</v>
      </c>
      <c r="AH132" s="13" t="n">
        <f aca="false">IF(Time!AH53=1,(Waterfall!AH7)/$F$129,0)</f>
        <v>42.0177039038448</v>
      </c>
      <c r="AI132" s="13" t="n">
        <f aca="false">IF(Time!AI53=1,(Waterfall!AI7)/$F$129,0)</f>
        <v>41.6897439140415</v>
      </c>
      <c r="AJ132" s="13" t="n">
        <f aca="false">IF(Time!AJ53=1,(Waterfall!AJ7)/$F$129,0)</f>
        <v>42.1737176838161</v>
      </c>
      <c r="AK132" s="13" t="n">
        <f aca="false">IF(Time!AK53=1,(Waterfall!AK7)/$F$129,0)</f>
        <v>41.9821222076572</v>
      </c>
      <c r="AL132" s="13" t="n">
        <f aca="false">IF(Time!AL53=1,(Waterfall!AL7)/$F$129,0)</f>
        <v>42.8762919306503</v>
      </c>
      <c r="AM132" s="13" t="n">
        <f aca="false">IF(Time!AM53=1,(Waterfall!AM7)/$F$129,0)</f>
        <v>42.5737901984002</v>
      </c>
      <c r="AN132" s="13" t="n">
        <f aca="false">IF(Time!AN53=1,(Waterfall!AN7)/$F$129,0)</f>
        <v>41.0961077708283</v>
      </c>
      <c r="AO132" s="13" t="n">
        <f aca="false">IF(Time!AO53=1,(Waterfall!AO7)/$F$129,0)</f>
        <v>40.7964823862331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693.496150463468</v>
      </c>
      <c r="Q133" s="13" t="n">
        <f aca="false">IF(Time!Q53=1,IF(Time!Q20=Time!$F$13,Funding!$F$25,P133-P134),0)</f>
        <v>676.913865827285</v>
      </c>
      <c r="R133" s="13" t="n">
        <f aca="false">IF(Time!R53=1,IF(Time!R20=Time!$F$13,Funding!$F$25,Q133-Q134),0)</f>
        <v>659.610341629916</v>
      </c>
      <c r="S133" s="13" t="n">
        <f aca="false">IF(Time!S53=1,IF(Time!S20=Time!$F$13,Funding!$F$25,R133-R134),0)</f>
        <v>641.462803731608</v>
      </c>
      <c r="T133" s="13" t="n">
        <f aca="false">IF(Time!T53=1,IF(Time!T20=Time!$F$13,Funding!$F$25,S133-S134),0)</f>
        <v>622.768765434568</v>
      </c>
      <c r="U133" s="13" t="n">
        <f aca="false">IF(Time!U53=1,IF(Time!U20=Time!$F$13,Funding!$F$25,T133-T134),0)</f>
        <v>603.224167703581</v>
      </c>
      <c r="V133" s="13" t="n">
        <f aca="false">IF(Time!V53=1,IF(Time!V20=Time!$F$13,Funding!$F$25,U133-U134),0)</f>
        <v>583.04637695745</v>
      </c>
      <c r="W133" s="13" t="n">
        <f aca="false">IF(Time!W53=1,IF(Time!W20=Time!$F$13,Funding!$F$25,V133-V134),0)</f>
        <v>561.549136519069</v>
      </c>
      <c r="X133" s="13" t="n">
        <f aca="false">IF(Time!X53=1,IF(Time!X20=Time!$F$13,Funding!$F$25,W133-W134),0)</f>
        <v>539.381199019649</v>
      </c>
      <c r="Y133" s="13" t="n">
        <f aca="false">IF(Time!Y53=1,IF(Time!Y20=Time!$F$13,Funding!$F$25,X133-X134),0)</f>
        <v>517.85733569401</v>
      </c>
      <c r="Z133" s="13" t="n">
        <f aca="false">IF(Time!Z53=1,IF(Time!Z20=Time!$F$13,Funding!$F$25,Y133-Y134),0)</f>
        <v>496.328055596283</v>
      </c>
      <c r="AA133" s="13" t="n">
        <f aca="false">IF(Time!AA53=1,IF(Time!AA20=Time!$F$13,Funding!$F$25,Z133-Z134),0)</f>
        <v>473.915601715755</v>
      </c>
      <c r="AB133" s="13" t="n">
        <f aca="false">IF(Time!AB53=1,IF(Time!AB20=Time!$F$13,Funding!$F$25,AA133-AA134),0)</f>
        <v>450.83744121434</v>
      </c>
      <c r="AC133" s="13" t="n">
        <f aca="false">IF(Time!AC53=1,IF(Time!AC20=Time!$F$13,Funding!$F$25,AB133-AB134),0)</f>
        <v>426.662583134545</v>
      </c>
      <c r="AD133" s="13" t="n">
        <f aca="false">IF(Time!AD53=1,IF(Time!AD20=Time!$F$13,Funding!$F$25,AC133-AC134),0)</f>
        <v>401.678124944991</v>
      </c>
      <c r="AE133" s="13" t="n">
        <f aca="false">IF(Time!AE53=1,IF(Time!AE20=Time!$F$13,Funding!$F$25,AD133-AD134),0)</f>
        <v>374.382239326514</v>
      </c>
      <c r="AF133" s="13" t="n">
        <f aca="false">IF(Time!AF53=1,IF(Time!AF20=Time!$F$13,Funding!$F$25,AE133-AE134),0)</f>
        <v>345.897444443043</v>
      </c>
      <c r="AG133" s="13" t="n">
        <f aca="false">IF(Time!AG53=1,IF(Time!AG20=Time!$F$13,Funding!$F$25,AF133-AF134),0)</f>
        <v>316.421711082243</v>
      </c>
      <c r="AH133" s="13" t="n">
        <f aca="false">IF(Time!AH53=1,IF(Time!AH20=Time!$F$13,Funding!$F$25,AG133-AG134),0)</f>
        <v>286.401567008159</v>
      </c>
      <c r="AI133" s="13" t="n">
        <f aca="false">IF(Time!AI53=1,IF(Time!AI20=Time!$F$13,Funding!$F$25,AH133-AH134),0)</f>
        <v>254.876306691334</v>
      </c>
      <c r="AJ133" s="13" t="n">
        <f aca="false">IF(Time!AJ53=1,IF(Time!AJ20=Time!$F$13,Funding!$F$25,AI133-AI134),0)</f>
        <v>222.416554084541</v>
      </c>
      <c r="AK133" s="13" t="n">
        <f aca="false">IF(Time!AK53=1,IF(Time!AK20=Time!$F$13,Funding!$F$25,AJ133-AJ134),0)</f>
        <v>188.39116174311</v>
      </c>
      <c r="AL133" s="13" t="n">
        <f aca="false">IF(Time!AL53=1,IF(Time!AL20=Time!$F$13,Funding!$F$25,AK133-AK134),0)</f>
        <v>153.257852502448</v>
      </c>
      <c r="AM133" s="13" t="n">
        <f aca="false">IF(Time!AM53=1,IF(Time!AM20=Time!$F$13,Funding!$F$25,AL133-AL134),0)</f>
        <v>115.996227378435</v>
      </c>
      <c r="AN133" s="13" t="n">
        <f aca="false">IF(Time!AN53=1,IF(Time!AN20=Time!$F$13,Funding!$F$25,AM133-AM134),0)</f>
        <v>77.623079382816</v>
      </c>
      <c r="AO133" s="13" t="n">
        <f aca="false">IF(Time!AO53=1,IF(Time!AO20=Time!$F$13,Funding!$F$25,AN133-AN134),0)</f>
        <v>39.3707262393911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16.5822846361833</v>
      </c>
      <c r="Q134" s="13" t="n">
        <f aca="false">Q132-Q133*Q127</f>
        <v>17.3035241973685</v>
      </c>
      <c r="R134" s="13" t="n">
        <f aca="false">R132-R133*R127</f>
        <v>18.1475378983083</v>
      </c>
      <c r="S134" s="13" t="n">
        <f aca="false">S132-S133*S127</f>
        <v>18.6940382970399</v>
      </c>
      <c r="T134" s="13" t="n">
        <f aca="false">T132-T133*T127</f>
        <v>19.5445977309874</v>
      </c>
      <c r="U134" s="13" t="n">
        <f aca="false">U132-U133*U127</f>
        <v>20.1777907461308</v>
      </c>
      <c r="V134" s="13" t="n">
        <f aca="false">V132-V133*V127</f>
        <v>21.4972404383807</v>
      </c>
      <c r="W134" s="13" t="n">
        <f aca="false">W132-W133*W127</f>
        <v>22.1679374994206</v>
      </c>
      <c r="X134" s="13" t="n">
        <f aca="false">X132-X133*X127</f>
        <v>21.5238633256383</v>
      </c>
      <c r="Y134" s="13" t="n">
        <f aca="false">Y132-Y133*Y127</f>
        <v>21.529280097727</v>
      </c>
      <c r="Z134" s="13" t="n">
        <f aca="false">Z132-Z133*Z127</f>
        <v>22.4124538805289</v>
      </c>
      <c r="AA134" s="13" t="n">
        <f aca="false">AA132-AA133*AA127</f>
        <v>23.0781605014148</v>
      </c>
      <c r="AB134" s="13" t="n">
        <f aca="false">AB132-AB133*AB127</f>
        <v>24.1748580797948</v>
      </c>
      <c r="AC134" s="13" t="n">
        <f aca="false">AC132-AC133*AC127</f>
        <v>24.9844581895544</v>
      </c>
      <c r="AD134" s="13" t="n">
        <f aca="false">AD132-AD133*AD127</f>
        <v>27.2958856184762</v>
      </c>
      <c r="AE134" s="13" t="n">
        <f aca="false">AE132-AE133*AE127</f>
        <v>28.4847948834708</v>
      </c>
      <c r="AF134" s="13" t="n">
        <f aca="false">AF132-AF133*AF127</f>
        <v>29.4757333608001</v>
      </c>
      <c r="AG134" s="13" t="n">
        <f aca="false">AG132-AG133*AG127</f>
        <v>30.0201440740848</v>
      </c>
      <c r="AH134" s="13" t="n">
        <f aca="false">AH132-AH133*AH127</f>
        <v>31.5252603168243</v>
      </c>
      <c r="AI134" s="13" t="n">
        <f aca="false">AI132-AI133*AI127</f>
        <v>32.4597526067935</v>
      </c>
      <c r="AJ134" s="13" t="n">
        <f aca="false">AJ132-AJ133*AJ127</f>
        <v>34.0253923414305</v>
      </c>
      <c r="AK134" s="13" t="n">
        <f aca="false">AK132-AK133*AK127</f>
        <v>35.1333092406628</v>
      </c>
      <c r="AL134" s="13" t="n">
        <f aca="false">AL132-AL133*AL127</f>
        <v>37.2616251240122</v>
      </c>
      <c r="AM134" s="13" t="n">
        <f aca="false">AM132-AM133*AM127</f>
        <v>38.3731479956194</v>
      </c>
      <c r="AN134" s="13" t="n">
        <f aca="false">AN132-AN133*AN127</f>
        <v>38.252353143425</v>
      </c>
      <c r="AO134" s="13" t="n">
        <f aca="false">AO132-AO133*AO127</f>
        <v>39.3707262393909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40.840014591187</v>
      </c>
      <c r="P9" s="13" t="n">
        <f aca="false">IF(Time!P34=1,SUM(Funding!$J$44:$BJ$44),O13)</f>
        <v>40.840014591187</v>
      </c>
      <c r="Q9" s="13" t="n">
        <f aca="false">IF(Time!Q34=1,SUM(Funding!$J$44:$BJ$44),P13)</f>
        <v>40.7340547110883</v>
      </c>
      <c r="R9" s="13" t="n">
        <f aca="false">IF(Time!R34=1,SUM(Funding!$J$44:$BJ$44),Q13)</f>
        <v>41.2570794187973</v>
      </c>
      <c r="S9" s="13" t="n">
        <f aca="false">IF(Time!S34=1,SUM(Funding!$J$44:$BJ$44),R13)</f>
        <v>40.9270889047008</v>
      </c>
      <c r="T9" s="13" t="n">
        <f aca="false">IF(Time!T34=1,SUM(Funding!$J$44:$BJ$44),S13)</f>
        <v>41.3947092411322</v>
      </c>
      <c r="U9" s="13" t="n">
        <f aca="false">IF(Time!U34=1,SUM(Funding!$J$44:$BJ$44),T13)</f>
        <v>41.1880873212098</v>
      </c>
      <c r="V9" s="13" t="n">
        <f aca="false">IF(Time!V34=1,SUM(Funding!$J$44:$BJ$44),U13)</f>
        <v>41.9790491065032</v>
      </c>
      <c r="W9" s="13" t="n">
        <f aca="false">IF(Time!W34=1,SUM(Funding!$J$44:$BJ$44),V13)</f>
        <v>41.6772339935783</v>
      </c>
      <c r="X9" s="13" t="n">
        <f aca="false">IF(Time!X34=1,SUM(Funding!$J$44:$BJ$44),W13)</f>
        <v>40.4846884478949</v>
      </c>
      <c r="Y9" s="13" t="n">
        <f aca="false">IF(Time!Y34=1,SUM(Funding!$J$44:$BJ$44),X13)</f>
        <v>40.0832417915395</v>
      </c>
      <c r="Z9" s="13" t="n">
        <f aca="false">IF(Time!Z34=1,SUM(Funding!$J$44:$BJ$44),Y13)</f>
        <v>40.420276949773</v>
      </c>
      <c r="AA9" s="13" t="n">
        <f aca="false">IF(Time!AA34=1,SUM(Funding!$J$44:$BJ$44),Z13)</f>
        <v>40.0845355618092</v>
      </c>
      <c r="AB9" s="13" t="n">
        <f aca="false">IF(Time!AB34=1,SUM(Funding!$J$44:$BJ$44),AA13)</f>
        <v>40.5624339196071</v>
      </c>
      <c r="AC9" s="13" t="n">
        <f aca="false">IF(Time!AC34=1,SUM(Funding!$J$44:$BJ$44),AB13)</f>
        <v>39.9344124921423</v>
      </c>
      <c r="AD9" s="13" t="n">
        <f aca="false">IF(Time!AD34=1,SUM(Funding!$J$44:$BJ$44),AC13)</f>
        <v>40.8856070862169</v>
      </c>
      <c r="AE9" s="13" t="n">
        <f aca="false">IF(Time!AE34=1,SUM(Funding!$J$44:$BJ$44),AD13)</f>
        <v>40.3955203741877</v>
      </c>
      <c r="AF9" s="13" t="n">
        <f aca="false">IF(Time!AF34=1,SUM(Funding!$J$44:$BJ$44),AE13)</f>
        <v>39.7819004829281</v>
      </c>
      <c r="AG9" s="13" t="n">
        <f aca="false">IF(Time!AG34=1,SUM(Funding!$J$44:$BJ$44),AF13)</f>
        <v>38.6185456988274</v>
      </c>
      <c r="AH9" s="13" t="n">
        <f aca="false">IF(Time!AH34=1,SUM(Funding!$J$44:$BJ$44),AG13)</f>
        <v>38.0786898080084</v>
      </c>
      <c r="AI9" s="13" t="n">
        <f aca="false">IF(Time!AI34=1,SUM(Funding!$J$44:$BJ$44),AH13)</f>
        <v>36.6312074601165</v>
      </c>
      <c r="AJ9" s="13" t="n">
        <f aca="false">IF(Time!AJ34=1,SUM(Funding!$J$44:$BJ$44),AI13)</f>
        <v>35.5429976709695</v>
      </c>
      <c r="AK9" s="13" t="n">
        <f aca="false">IF(Time!AK34=1,SUM(Funding!$J$44:$BJ$44),AJ13)</f>
        <v>33.5734842947147</v>
      </c>
      <c r="AL9" s="13" t="n">
        <f aca="false">IF(Time!AL34=1,SUM(Funding!$J$44:$BJ$44),AK13)</f>
        <v>31.7396221439247</v>
      </c>
      <c r="AM9" s="13" t="n">
        <f aca="false">IF(Time!AM34=1,SUM(Funding!$J$44:$BJ$44),AL13)</f>
        <v>27.8189147440583</v>
      </c>
      <c r="AN9" s="13" t="n">
        <f aca="false">IF(Time!AN34=1,SUM(Funding!$J$44:$BJ$44),AM13)</f>
        <v>20.9574375067891</v>
      </c>
      <c r="AO9" s="13" t="n">
        <f aca="false">IF(Time!AO34=1,SUM(Funding!$J$44:$BJ$44),AN13)</f>
        <v>20.7065333478348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3.54773493953978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0.523024707708963</v>
      </c>
      <c r="R11" s="13" t="n">
        <f aca="false">MIN(Waterfall!R13,MAX(0,Debt!R125-(R9-R10)))</f>
        <v>0</v>
      </c>
      <c r="S11" s="13" t="n">
        <f aca="false">MIN(Waterfall!S13,MAX(0,Debt!S125-(S9-S10)))</f>
        <v>0.467620336431409</v>
      </c>
      <c r="T11" s="13" t="n">
        <f aca="false">MIN(Waterfall!T13,MAX(0,Debt!T125-(T9-T10)))</f>
        <v>0</v>
      </c>
      <c r="U11" s="13" t="n">
        <f aca="false">MIN(Waterfall!U13,MAX(0,Debt!U125-(U9-U10)))</f>
        <v>0.790961785293462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0.337035158233491</v>
      </c>
      <c r="Z11" s="13" t="n">
        <f aca="false">MIN(Waterfall!Z13,MAX(0,Debt!Z125-(Z9-Z10)))</f>
        <v>0</v>
      </c>
      <c r="AA11" s="13" t="n">
        <f aca="false">MIN(Waterfall!AA13,MAX(0,Debt!AA125-(AA9-AA10)))</f>
        <v>0.477898357797869</v>
      </c>
      <c r="AB11" s="13" t="n">
        <f aca="false">MIN(Waterfall!AB13,MAX(0,Debt!AB125-(AB9-AB10)))</f>
        <v>0</v>
      </c>
      <c r="AC11" s="13" t="n">
        <f aca="false">MIN(Waterfall!AC13,MAX(0,Debt!AC125-(AC9-AC10)))</f>
        <v>0.951194594074586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44.3877495307268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0.105959880098688</v>
      </c>
      <c r="Q12" s="13" t="n">
        <f aca="false">MAX(0,Q9-Q10-Debt!Q125)</f>
        <v>0</v>
      </c>
      <c r="R12" s="13" t="n">
        <f aca="false">MAX(0,R9-R10-Debt!R125)</f>
        <v>0.32999051409648</v>
      </c>
      <c r="S12" s="13" t="n">
        <f aca="false">MAX(0,S9-S10-Debt!S125)</f>
        <v>0</v>
      </c>
      <c r="T12" s="13" t="n">
        <f aca="false">MAX(0,T9-T10-Debt!T125)</f>
        <v>0.206621919922405</v>
      </c>
      <c r="U12" s="13" t="n">
        <f aca="false">MAX(0,U9-U10-Debt!U125)</f>
        <v>0</v>
      </c>
      <c r="V12" s="13" t="n">
        <f aca="false">MAX(0,V9-V10-Debt!V125)</f>
        <v>0.301815112924963</v>
      </c>
      <c r="W12" s="13" t="n">
        <f aca="false">MAX(0,W9-W10-Debt!W125)</f>
        <v>1.19254554568343</v>
      </c>
      <c r="X12" s="13" t="n">
        <f aca="false">MAX(0,X9-X10-Debt!X125)</f>
        <v>0.40144665635534</v>
      </c>
      <c r="Y12" s="13" t="n">
        <f aca="false">MAX(0,Y9-Y10-Debt!Y125)</f>
        <v>0</v>
      </c>
      <c r="Z12" s="13" t="n">
        <f aca="false">MAX(0,Z9-Z10-Debt!Z125)</f>
        <v>0.335741387963786</v>
      </c>
      <c r="AA12" s="13" t="n">
        <f aca="false">MAX(0,AA9-AA10-Debt!AA125)</f>
        <v>0</v>
      </c>
      <c r="AB12" s="13" t="n">
        <f aca="false">MAX(0,AB9-AB10-Debt!AB125)</f>
        <v>0.628021427464738</v>
      </c>
      <c r="AC12" s="13" t="n">
        <f aca="false">MAX(0,AC9-AC10-Debt!AC125)</f>
        <v>0</v>
      </c>
      <c r="AD12" s="13" t="n">
        <f aca="false">MAX(0,AD9-AD10-Debt!AD125)</f>
        <v>0.490086712029267</v>
      </c>
      <c r="AE12" s="13" t="n">
        <f aca="false">MAX(0,AE9-AE10-Debt!AE125)</f>
        <v>0.613619891259532</v>
      </c>
      <c r="AF12" s="13" t="n">
        <f aca="false">MAX(0,AF9-AF10-Debt!AF125)</f>
        <v>1.16335478410069</v>
      </c>
      <c r="AG12" s="13" t="n">
        <f aca="false">MAX(0,AG9-AG10-Debt!AG125)</f>
        <v>0.539855890819005</v>
      </c>
      <c r="AH12" s="13" t="n">
        <f aca="false">MAX(0,AH9-AH10-Debt!AH125)</f>
        <v>1.44748234789194</v>
      </c>
      <c r="AI12" s="13" t="n">
        <f aca="false">MAX(0,AI9-AI10-Debt!AI125)</f>
        <v>1.08820978914703</v>
      </c>
      <c r="AJ12" s="13" t="n">
        <f aca="false">MAX(0,AJ9-AJ10-Debt!AJ125)</f>
        <v>1.96951337625474</v>
      </c>
      <c r="AK12" s="13" t="n">
        <f aca="false">MAX(0,AK9-AK10-Debt!AK125)</f>
        <v>1.83386215079</v>
      </c>
      <c r="AL12" s="13" t="n">
        <f aca="false">MAX(0,AL9-AL10-Debt!AL125)</f>
        <v>3.92070739986637</v>
      </c>
      <c r="AM12" s="13" t="n">
        <f aca="false">MAX(0,AM9-AM10-Debt!AM125)</f>
        <v>6.86147723726926</v>
      </c>
      <c r="AN12" s="13" t="n">
        <f aca="false">MAX(0,AN9-AN10-Debt!AN125)</f>
        <v>0.25090415895432</v>
      </c>
      <c r="AO12" s="13" t="n">
        <f aca="false">MAX(0,AO9-AO10-Debt!AO125)</f>
        <v>20.7065333478348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40.840014591187</v>
      </c>
      <c r="P13" s="13" t="n">
        <f aca="false">(1-Time!P37)*(P9-P10+P11-P12)</f>
        <v>40.7340547110883</v>
      </c>
      <c r="Q13" s="13" t="n">
        <f aca="false">(1-Time!Q37)*(Q9-Q10+Q11-Q12)</f>
        <v>41.2570794187973</v>
      </c>
      <c r="R13" s="13" t="n">
        <f aca="false">(1-Time!R37)*(R9-R10+R11-R12)</f>
        <v>40.9270889047008</v>
      </c>
      <c r="S13" s="13" t="n">
        <f aca="false">(1-Time!S37)*(S9-S10+S11-S12)</f>
        <v>41.3947092411322</v>
      </c>
      <c r="T13" s="13" t="n">
        <f aca="false">(1-Time!T37)*(T9-T10+T11-T12)</f>
        <v>41.1880873212098</v>
      </c>
      <c r="U13" s="13" t="n">
        <f aca="false">(1-Time!U37)*(U9-U10+U11-U12)</f>
        <v>41.9790491065032</v>
      </c>
      <c r="V13" s="13" t="n">
        <f aca="false">(1-Time!V37)*(V9-V10+V11-V12)</f>
        <v>41.6772339935783</v>
      </c>
      <c r="W13" s="13" t="n">
        <f aca="false">(1-Time!W37)*(W9-W10+W11-W12)</f>
        <v>40.4846884478949</v>
      </c>
      <c r="X13" s="13" t="n">
        <f aca="false">(1-Time!X37)*(X9-X10+X11-X12)</f>
        <v>40.0832417915395</v>
      </c>
      <c r="Y13" s="13" t="n">
        <f aca="false">(1-Time!Y37)*(Y9-Y10+Y11-Y12)</f>
        <v>40.420276949773</v>
      </c>
      <c r="Z13" s="13" t="n">
        <f aca="false">(1-Time!Z37)*(Z9-Z10+Z11-Z12)</f>
        <v>40.0845355618092</v>
      </c>
      <c r="AA13" s="13" t="n">
        <f aca="false">(1-Time!AA37)*(AA9-AA10+AA11-AA12)</f>
        <v>40.5624339196071</v>
      </c>
      <c r="AB13" s="13" t="n">
        <f aca="false">(1-Time!AB37)*(AB9-AB10+AB11-AB12)</f>
        <v>39.9344124921423</v>
      </c>
      <c r="AC13" s="13" t="n">
        <f aca="false">(1-Time!AC37)*(AC9-AC10+AC11-AC12)</f>
        <v>40.8856070862169</v>
      </c>
      <c r="AD13" s="13" t="n">
        <f aca="false">(1-Time!AD37)*(AD9-AD10+AD11-AD12)</f>
        <v>40.3955203741877</v>
      </c>
      <c r="AE13" s="13" t="n">
        <f aca="false">(1-Time!AE37)*(AE9-AE10+AE11-AE12)</f>
        <v>39.7819004829281</v>
      </c>
      <c r="AF13" s="13" t="n">
        <f aca="false">(1-Time!AF37)*(AF9-AF10+AF11-AF12)</f>
        <v>38.6185456988274</v>
      </c>
      <c r="AG13" s="13" t="n">
        <f aca="false">(1-Time!AG37)*(AG9-AG10+AG11-AG12)</f>
        <v>38.0786898080084</v>
      </c>
      <c r="AH13" s="13" t="n">
        <f aca="false">(1-Time!AH37)*(AH9-AH10+AH11-AH12)</f>
        <v>36.6312074601165</v>
      </c>
      <c r="AI13" s="13" t="n">
        <f aca="false">(1-Time!AI37)*(AI9-AI10+AI11-AI12)</f>
        <v>35.5429976709695</v>
      </c>
      <c r="AJ13" s="13" t="n">
        <f aca="false">(1-Time!AJ37)*(AJ9-AJ10+AJ11-AJ12)</f>
        <v>33.5734842947147</v>
      </c>
      <c r="AK13" s="13" t="n">
        <f aca="false">(1-Time!AK37)*(AK9-AK10+AK11-AK12)</f>
        <v>31.7396221439247</v>
      </c>
      <c r="AL13" s="13" t="n">
        <f aca="false">(1-Time!AL37)*(AL9-AL10+AL11-AL12)</f>
        <v>27.8189147440583</v>
      </c>
      <c r="AM13" s="13" t="n">
        <f aca="false">(1-Time!AM37)*(AM9-AM10+AM11-AM12)</f>
        <v>20.9574375067891</v>
      </c>
      <c r="AN13" s="13" t="n">
        <f aca="false">(1-Time!AN37)*(AN9-AN10+AN11-AN12)</f>
        <v>20.7065333478348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2373.87478113931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50.272094271267</v>
      </c>
      <c r="Q7" s="13" t="n">
        <f aca="false">Operations!Q84-Tax!Q27-Operations!Q96-Reserves!Q7+Operations!Q79+Operations!Q97</f>
        <v>50.1606970752772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51.0636231523816</v>
      </c>
      <c r="AO7" s="13" t="n">
        <f aca="false">Operations!AO84-Tax!AO27-Operations!AO96-Reserves!AO7+Operations!AO79+Operations!AO97</f>
        <v>50.6913261501648</v>
      </c>
      <c r="AP7" s="13" t="n">
        <f aca="false">Operations!AP84-Tax!AP27-Operations!AP96-Reserves!AP7+Operations!AP79+Operations!AP97</f>
        <v>51.3901970401744</v>
      </c>
      <c r="AQ7" s="13" t="n">
        <f aca="false">Operations!AQ84-Tax!AQ27-Operations!AQ96-Reserves!AQ7+Operations!AQ79+Operations!AQ97</f>
        <v>50.9756781429533</v>
      </c>
      <c r="AR7" s="13" t="n">
        <f aca="false">Operations!AR84-Tax!AR27-Operations!AR96-Reserves!AR7+Operations!AR79+Operations!AR97</f>
        <v>51.5989019777388</v>
      </c>
      <c r="AS7" s="13" t="n">
        <f aca="false">Operations!AS84-Tax!AS27-Operations!AS96-Reserves!AS7+Operations!AS79+Operations!AS97</f>
        <v>51.4095269231289</v>
      </c>
      <c r="AT7" s="13" t="n">
        <f aca="false">Operations!AT84-Tax!AT27-Operations!AT96-Reserves!AT7+Operations!AT79+Operations!AT97</f>
        <v>53.3175320256317</v>
      </c>
      <c r="AU7" s="13" t="n">
        <f aca="false">Operations!AU84-Tax!AU27-Operations!AU96-Reserves!AU7+Operations!AU79+Operations!AU97</f>
        <v>44.3732919394454</v>
      </c>
      <c r="AV7" s="13" t="n">
        <f aca="false">Operations!AV84-Tax!AV27-Operations!AV96-Reserves!AV7+Operations!AV79+Operations!AV97</f>
        <v>44.4967907429513</v>
      </c>
      <c r="AW7" s="13" t="n">
        <f aca="false">Operations!AW84-Tax!AW27-Operations!AW96-Reserves!AW7+Operations!AW79+Operations!AW97</f>
        <v>44.0724059550148</v>
      </c>
      <c r="AX7" s="13" t="n">
        <f aca="false">Operations!AX84-Tax!AX27-Operations!AX96-Reserves!AX7+Operations!AX79+Operations!AX97</f>
        <v>44.7472459853546</v>
      </c>
      <c r="AY7" s="13" t="n">
        <f aca="false">Operations!AY84-Tax!AY27-Operations!AY96-Reserves!AY7+Operations!AY79+Operations!AY97</f>
        <v>44.2903234988012</v>
      </c>
      <c r="AZ7" s="13" t="n">
        <f aca="false">Operations!AZ84-Tax!AZ27-Operations!AZ96-Reserves!AZ7+Operations!AZ79+Operations!AZ97</f>
        <v>44.9082136387042</v>
      </c>
      <c r="BA7" s="13" t="n">
        <f aca="false">Operations!BA84-Tax!BA27-Operations!BA96-Reserves!BA7+Operations!BA79+Operations!BA97</f>
        <v>44.6105693072517</v>
      </c>
      <c r="BB7" s="13" t="n">
        <f aca="false">Operations!BB84-Tax!BB27-Operations!BB96-Reserves!BB7+Operations!BB79+Operations!BB97</f>
        <v>46.8577311811449</v>
      </c>
      <c r="BC7" s="13" t="n">
        <f aca="false">Operations!BC84-Tax!BC27-Operations!BC96-Reserves!BC7+Operations!BC79+Operations!BC97</f>
        <v>43.2760022026388</v>
      </c>
      <c r="BD7" s="13" t="n">
        <f aca="false">Operations!BD84-Tax!BD27-Operations!BD96-Reserves!BD7+Operations!BD79+Operations!BD97</f>
        <v>36.8115526372434</v>
      </c>
      <c r="BE7" s="13" t="n">
        <f aca="false">Operations!BE84-Tax!BE27-Operations!BE96-Reserves!BE7+Operations!BE79+Operations!BE97</f>
        <v>36.3785752317215</v>
      </c>
      <c r="BF7" s="13" t="n">
        <f aca="false">Operations!BF84-Tax!BF27-Operations!BF96-Reserves!BF7+Operations!BF79+Operations!BF97</f>
        <v>37.0828773569055</v>
      </c>
      <c r="BG7" s="13" t="n">
        <f aca="false">Operations!BG84-Tax!BG27-Operations!BG96-Reserves!BG7+Operations!BG79+Operations!BG97</f>
        <v>36.6152459765377</v>
      </c>
      <c r="BH7" s="13" t="n">
        <f aca="false">Operations!BH84-Tax!BH27-Operations!BH96-Reserves!BH7+Operations!BH79+Operations!BH97</f>
        <v>37.2564100972111</v>
      </c>
      <c r="BI7" s="13" t="n">
        <f aca="false">Operations!BI84-Tax!BI27-Operations!BI96-Reserves!BI7+Operations!BI79+Operations!BI97</f>
        <v>36.9953095368472</v>
      </c>
      <c r="BJ7" s="13" t="n">
        <f aca="false">Operations!BJ84-Tax!BJ27-Operations!BJ96-Reserves!BJ7+Operations!BJ79+Operations!BJ97</f>
        <v>45.0191208299957</v>
      </c>
      <c r="BK7" s="13" t="n">
        <f aca="false">Operations!BK84-Tax!BK27-Operations!BK96-Reserves!BK7+Operations!BK79+Operations!BK97</f>
        <v>39.7694783221553</v>
      </c>
      <c r="BL7" s="13" t="n">
        <f aca="false">Operations!BL84-Tax!BL27-Operations!BL96-Reserves!BL7+Operations!BL79+Operations!BL97</f>
        <v>40.5176294452962</v>
      </c>
      <c r="BM7" s="13" t="n">
        <f aca="false">Operations!BM84-Tax!BM27-Operations!BM96-Reserves!BM7+Operations!BM79+Operations!BM97</f>
        <v>37.4586900017771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1.87224719782305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52.1443414690901</v>
      </c>
      <c r="Q9" s="13" t="n">
        <f aca="false">Q7+Q8</f>
        <v>50.1606970752772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51.0636231523816</v>
      </c>
      <c r="AO9" s="13" t="n">
        <f aca="false">AO7+AO8</f>
        <v>50.6913261501648</v>
      </c>
      <c r="AP9" s="13" t="n">
        <f aca="false">AP7+AP8</f>
        <v>51.3901970401744</v>
      </c>
      <c r="AQ9" s="13" t="n">
        <f aca="false">AQ7+AQ8</f>
        <v>50.9756781429533</v>
      </c>
      <c r="AR9" s="13" t="n">
        <f aca="false">AR7+AR8</f>
        <v>51.5989019777388</v>
      </c>
      <c r="AS9" s="13" t="n">
        <f aca="false">AS7+AS8</f>
        <v>51.4095269231289</v>
      </c>
      <c r="AT9" s="13" t="n">
        <f aca="false">AT7+AT8</f>
        <v>53.3175320256317</v>
      </c>
      <c r="AU9" s="13" t="n">
        <f aca="false">AU7+AU8</f>
        <v>44.3732919394454</v>
      </c>
      <c r="AV9" s="13" t="n">
        <f aca="false">AV7+AV8</f>
        <v>44.4967907429513</v>
      </c>
      <c r="AW9" s="13" t="n">
        <f aca="false">AW7+AW8</f>
        <v>44.0724059550148</v>
      </c>
      <c r="AX9" s="13" t="n">
        <f aca="false">AX7+AX8</f>
        <v>44.7472459853546</v>
      </c>
      <c r="AY9" s="13" t="n">
        <f aca="false">AY7+AY8</f>
        <v>44.2903234988012</v>
      </c>
      <c r="AZ9" s="13" t="n">
        <f aca="false">AZ7+AZ8</f>
        <v>44.9082136387042</v>
      </c>
      <c r="BA9" s="13" t="n">
        <f aca="false">BA7+BA8</f>
        <v>44.6105693072517</v>
      </c>
      <c r="BB9" s="13" t="n">
        <f aca="false">BB7+BB8</f>
        <v>46.8577311811449</v>
      </c>
      <c r="BC9" s="13" t="n">
        <f aca="false">BC7+BC8</f>
        <v>43.2760022026388</v>
      </c>
      <c r="BD9" s="13" t="n">
        <f aca="false">BD7+BD8</f>
        <v>36.8115526372434</v>
      </c>
      <c r="BE9" s="13" t="n">
        <f aca="false">BE7+BE8</f>
        <v>36.3785752317215</v>
      </c>
      <c r="BF9" s="13" t="n">
        <f aca="false">BF7+BF8</f>
        <v>37.0828773569055</v>
      </c>
      <c r="BG9" s="13" t="n">
        <f aca="false">BG7+BG8</f>
        <v>36.6152459765377</v>
      </c>
      <c r="BH9" s="13" t="n">
        <f aca="false">BH7+BH8</f>
        <v>37.2564100972111</v>
      </c>
      <c r="BI9" s="13" t="n">
        <f aca="false">BI7+BI8</f>
        <v>36.9953095368472</v>
      </c>
      <c r="BJ9" s="13" t="n">
        <f aca="false">BJ7+BJ8</f>
        <v>45.0191208299957</v>
      </c>
      <c r="BK9" s="13" t="n">
        <f aca="false">BK7+BK8</f>
        <v>39.7694783221553</v>
      </c>
      <c r="BL9" s="13" t="n">
        <f aca="false">BL7+BL8</f>
        <v>40.5176294452962</v>
      </c>
      <c r="BM9" s="13" t="n">
        <f aca="false">BM7+BM8</f>
        <v>37.4586900017771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958.960927484583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40.840014591187</v>
      </c>
      <c r="Q10" s="13" t="n">
        <f aca="false">Debt!Q114+Debt!Q110</f>
        <v>40.7340547110883</v>
      </c>
      <c r="R10" s="13" t="n">
        <f aca="false">Debt!R114+Debt!R110</f>
        <v>41.2570794187973</v>
      </c>
      <c r="S10" s="13" t="n">
        <f aca="false">Debt!S114+Debt!S110</f>
        <v>40.9270889047008</v>
      </c>
      <c r="T10" s="13" t="n">
        <f aca="false">Debt!T114+Debt!T110</f>
        <v>41.3947092411322</v>
      </c>
      <c r="U10" s="13" t="n">
        <f aca="false">Debt!U114+Debt!U110</f>
        <v>41.1880873212098</v>
      </c>
      <c r="V10" s="13" t="n">
        <f aca="false">Debt!V114+Debt!V110</f>
        <v>41.9790491065032</v>
      </c>
      <c r="W10" s="13" t="n">
        <f aca="false">Debt!W114+Debt!W110</f>
        <v>41.6772339935783</v>
      </c>
      <c r="X10" s="13" t="n">
        <f aca="false">Debt!X114+Debt!X110</f>
        <v>40.4846884478948</v>
      </c>
      <c r="Y10" s="13" t="n">
        <f aca="false">Debt!Y114+Debt!Y110</f>
        <v>40.0832417915395</v>
      </c>
      <c r="Z10" s="13" t="n">
        <f aca="false">Debt!Z114+Debt!Z110</f>
        <v>40.420276949773</v>
      </c>
      <c r="AA10" s="13" t="n">
        <f aca="false">Debt!AA114+Debt!AA110</f>
        <v>40.0845355618092</v>
      </c>
      <c r="AB10" s="13" t="n">
        <f aca="false">Debt!AB114+Debt!AB110</f>
        <v>40.1017086105087</v>
      </c>
      <c r="AC10" s="13" t="n">
        <f aca="false">Debt!AC114+Debt!AC110</f>
        <v>39.3618884392068</v>
      </c>
      <c r="AD10" s="13" t="n">
        <f aca="false">Debt!AD114+Debt!AD110</f>
        <v>40.3210523779322</v>
      </c>
      <c r="AE10" s="13" t="n">
        <f aca="false">Debt!AE114+Debt!AE110</f>
        <v>39.6415440485407</v>
      </c>
      <c r="AF10" s="13" t="n">
        <f aca="false">Debt!AF114+Debt!AF110</f>
        <v>38.9038608640967</v>
      </c>
      <c r="AG10" s="13" t="n">
        <f aca="false">Debt!AG114+Debt!AG110</f>
        <v>37.5518662765962</v>
      </c>
      <c r="AH10" s="13" t="n">
        <f aca="false">Debt!AH114+Debt!AH110</f>
        <v>36.8584351896115</v>
      </c>
      <c r="AI10" s="13" t="n">
        <f aca="false">Debt!AI114+Debt!AI110</f>
        <v>35.0668789185614</v>
      </c>
      <c r="AJ10" s="13" t="n">
        <f aca="false">Debt!AJ114+Debt!AJ110</f>
        <v>33.6200754957428</v>
      </c>
      <c r="AK10" s="13" t="n">
        <f aca="false">Debt!AK114+Debt!AK110</f>
        <v>30.941207213734</v>
      </c>
      <c r="AL10" s="13" t="n">
        <f aca="false">Debt!AL114+Debt!AL110</f>
        <v>28.040157305452</v>
      </c>
      <c r="AM10" s="13" t="n">
        <f aca="false">Debt!AM114+Debt!AM110</f>
        <v>25.8182218507625</v>
      </c>
      <c r="AN10" s="13" t="n">
        <f aca="false">Debt!AN114+Debt!AN110</f>
        <v>20.9574375067891</v>
      </c>
      <c r="AO10" s="13" t="n">
        <f aca="false">Debt!AO114+Debt!AO110</f>
        <v>20.7065333478348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11.3043268779031</v>
      </c>
      <c r="Q13" s="13" t="n">
        <f aca="false">MAX(0,Q9-Q10)</f>
        <v>9.42664236418892</v>
      </c>
      <c r="R13" s="13" t="n">
        <f aca="false">MAX(0,R9-R10)</f>
        <v>9.53638045426195</v>
      </c>
      <c r="S13" s="13" t="n">
        <f aca="false">MAX(0,S9-S10)</f>
        <v>9.47288296399152</v>
      </c>
      <c r="T13" s="13" t="n">
        <f aca="false">MAX(0,T9-T10)</f>
        <v>9.56943476884799</v>
      </c>
      <c r="U13" s="13" t="n">
        <f aca="false">MAX(0,U9-U10)</f>
        <v>9.53234790167343</v>
      </c>
      <c r="V13" s="13" t="n">
        <f aca="false">MAX(0,V9-V10)</f>
        <v>9.70964321527909</v>
      </c>
      <c r="W13" s="13" t="n">
        <f aca="false">MAX(0,W9-W10)</f>
        <v>9.65412303460915</v>
      </c>
      <c r="X13" s="13" t="n">
        <f aca="false">MAX(0,X9-X10)</f>
        <v>9.36648490678766</v>
      </c>
      <c r="Y13" s="13" t="n">
        <f aca="false">MAX(0,Y9-Y10)</f>
        <v>9.2867874715989</v>
      </c>
      <c r="Z13" s="13" t="n">
        <f aca="false">MAX(0,Z9-Z10)</f>
        <v>9.35606325038032</v>
      </c>
      <c r="AA13" s="13" t="n">
        <f aca="false">MAX(0,AA9-AA10)</f>
        <v>9.29075236998411</v>
      </c>
      <c r="AB13" s="13" t="n">
        <f aca="false">MAX(0,AB9-AB10)</f>
        <v>9.85470204597228</v>
      </c>
      <c r="AC13" s="13" t="n">
        <f aca="false">MAX(0,AC9-AC10)</f>
        <v>10.3895660034829</v>
      </c>
      <c r="AD13" s="13" t="n">
        <f aca="false">MAX(0,AD9-AD10)</f>
        <v>11.341490304807</v>
      </c>
      <c r="AE13" s="13" t="n">
        <f aca="false">MAX(0,AE9-AE10)</f>
        <v>12.104287889126</v>
      </c>
      <c r="AF13" s="13" t="n">
        <f aca="false">MAX(0,AF9-AF10)</f>
        <v>13.0028247886962</v>
      </c>
      <c r="AG13" s="13" t="n">
        <f aca="false">MAX(0,AG9-AG10)</f>
        <v>13.9874128753109</v>
      </c>
      <c r="AH13" s="13" t="n">
        <f aca="false">MAX(0,AH9-AH10)</f>
        <v>15.3503094885718</v>
      </c>
      <c r="AI13" s="13" t="n">
        <f aca="false">MAX(0,AI9-AI10)</f>
        <v>16.7343618319566</v>
      </c>
      <c r="AJ13" s="13" t="n">
        <f aca="false">MAX(0,AJ9-AJ10)</f>
        <v>18.7825227928959</v>
      </c>
      <c r="AK13" s="13" t="n">
        <f aca="false">MAX(0,AK9-AK10)</f>
        <v>21.2233257270416</v>
      </c>
      <c r="AL13" s="13" t="n">
        <f aca="false">MAX(0,AL9-AL10)</f>
        <v>25.2354187059669</v>
      </c>
      <c r="AM13" s="13" t="n">
        <f aca="false">MAX(0,AM9-AM10)</f>
        <v>27.0814831768469</v>
      </c>
      <c r="AN13" s="13" t="n">
        <f aca="false">MAX(0,AN9-AN10)</f>
        <v>30.1061856455925</v>
      </c>
      <c r="AO13" s="13" t="n">
        <f aca="false">MAX(0,AO9-AO10)</f>
        <v>29.9847928023301</v>
      </c>
      <c r="AP13" s="13" t="n">
        <f aca="false">MAX(0,AP9-AP10)</f>
        <v>51.3901970401744</v>
      </c>
      <c r="AQ13" s="13" t="n">
        <f aca="false">MAX(0,AQ9-AQ10)</f>
        <v>50.9756781429533</v>
      </c>
      <c r="AR13" s="13" t="n">
        <f aca="false">MAX(0,AR9-AR10)</f>
        <v>51.5989019777388</v>
      </c>
      <c r="AS13" s="13" t="n">
        <f aca="false">MAX(0,AS9-AS10)</f>
        <v>51.4095269231289</v>
      </c>
      <c r="AT13" s="13" t="n">
        <f aca="false">MAX(0,AT9-AT10)</f>
        <v>53.3175320256317</v>
      </c>
      <c r="AU13" s="13" t="n">
        <f aca="false">MAX(0,AU9-AU10)</f>
        <v>44.3732919394454</v>
      </c>
      <c r="AV13" s="13" t="n">
        <f aca="false">MAX(0,AV9-AV10)</f>
        <v>44.4967907429513</v>
      </c>
      <c r="AW13" s="13" t="n">
        <f aca="false">MAX(0,AW9-AW10)</f>
        <v>44.0724059550148</v>
      </c>
      <c r="AX13" s="13" t="n">
        <f aca="false">MAX(0,AX9-AX10)</f>
        <v>44.7472459853546</v>
      </c>
      <c r="AY13" s="13" t="n">
        <f aca="false">MAX(0,AY9-AY10)</f>
        <v>44.2903234988012</v>
      </c>
      <c r="AZ13" s="13" t="n">
        <f aca="false">MAX(0,AZ9-AZ10)</f>
        <v>44.9082136387042</v>
      </c>
      <c r="BA13" s="13" t="n">
        <f aca="false">MAX(0,BA9-BA10)</f>
        <v>44.6105693072517</v>
      </c>
      <c r="BB13" s="13" t="n">
        <f aca="false">MAX(0,BB9-BB10)</f>
        <v>46.8577311811449</v>
      </c>
      <c r="BC13" s="13" t="n">
        <f aca="false">MAX(0,BC9-BC10)</f>
        <v>43.2760022026388</v>
      </c>
      <c r="BD13" s="13" t="n">
        <f aca="false">MAX(0,BD9-BD10)</f>
        <v>36.8115526372434</v>
      </c>
      <c r="BE13" s="13" t="n">
        <f aca="false">MAX(0,BE9-BE10)</f>
        <v>36.3785752317215</v>
      </c>
      <c r="BF13" s="13" t="n">
        <f aca="false">MAX(0,BF9-BF10)</f>
        <v>37.0828773569055</v>
      </c>
      <c r="BG13" s="13" t="n">
        <f aca="false">MAX(0,BG9-BG10)</f>
        <v>36.6152459765377</v>
      </c>
      <c r="BH13" s="13" t="n">
        <f aca="false">MAX(0,BH9-BH10)</f>
        <v>37.2564100972111</v>
      </c>
      <c r="BI13" s="13" t="n">
        <f aca="false">MAX(0,BI9-BI10)</f>
        <v>36.9953095368472</v>
      </c>
      <c r="BJ13" s="13" t="n">
        <f aca="false">MAX(0,BJ9-BJ10)</f>
        <v>45.0191208299957</v>
      </c>
      <c r="BK13" s="13" t="n">
        <f aca="false">MAX(0,BK9-BK10)</f>
        <v>39.7694783221553</v>
      </c>
      <c r="BL13" s="13" t="n">
        <f aca="false">MAX(0,BL9-BL10)</f>
        <v>40.5176294452962</v>
      </c>
      <c r="BM13" s="13" t="n">
        <f aca="false">MAX(0,BM9-BM10)</f>
        <v>37.4586900017771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1.87224719782305</v>
      </c>
      <c r="P14" s="13" t="n">
        <f aca="false">P13-Reserves!P11+Reserves!P12</f>
        <v>11.4102867580018</v>
      </c>
      <c r="Q14" s="13" t="n">
        <f aca="false">Q13-Reserves!Q11+Reserves!Q12</f>
        <v>8.90361765647996</v>
      </c>
      <c r="R14" s="13" t="n">
        <f aca="false">R13-Reserves!R11+Reserves!R12</f>
        <v>9.86637096835842</v>
      </c>
      <c r="S14" s="13" t="n">
        <f aca="false">S13-Reserves!S11+Reserves!S12</f>
        <v>9.00526262756011</v>
      </c>
      <c r="T14" s="13" t="n">
        <f aca="false">T13-Reserves!T11+Reserves!T12</f>
        <v>9.7760566887704</v>
      </c>
      <c r="U14" s="13" t="n">
        <f aca="false">U13-Reserves!U11+Reserves!U12</f>
        <v>8.74138611637996</v>
      </c>
      <c r="V14" s="13" t="n">
        <f aca="false">V13-Reserves!V11+Reserves!V12</f>
        <v>10.0114583282041</v>
      </c>
      <c r="W14" s="13" t="n">
        <f aca="false">W13-Reserves!W11+Reserves!W12</f>
        <v>10.8466685802926</v>
      </c>
      <c r="X14" s="13" t="n">
        <f aca="false">X13-Reserves!X11+Reserves!X12</f>
        <v>9.767931563143</v>
      </c>
      <c r="Y14" s="13" t="n">
        <f aca="false">Y13-Reserves!Y11+Reserves!Y12</f>
        <v>8.94975231336541</v>
      </c>
      <c r="Z14" s="13" t="n">
        <f aca="false">Z13-Reserves!Z11+Reserves!Z12</f>
        <v>9.69180463834411</v>
      </c>
      <c r="AA14" s="13" t="n">
        <f aca="false">AA13-Reserves!AA11+Reserves!AA12</f>
        <v>8.81285401218624</v>
      </c>
      <c r="AB14" s="13" t="n">
        <f aca="false">AB13-Reserves!AB11+Reserves!AB12</f>
        <v>10.482723473437</v>
      </c>
      <c r="AC14" s="13" t="n">
        <f aca="false">AC13-Reserves!AC11+Reserves!AC12</f>
        <v>9.43837140940835</v>
      </c>
      <c r="AD14" s="13" t="n">
        <f aca="false">AD13-Reserves!AD11+Reserves!AD12</f>
        <v>11.8315770168362</v>
      </c>
      <c r="AE14" s="13" t="n">
        <f aca="false">AE13-Reserves!AE11+Reserves!AE12</f>
        <v>12.7179077803856</v>
      </c>
      <c r="AF14" s="13" t="n">
        <f aca="false">AF13-Reserves!AF11+Reserves!AF12</f>
        <v>14.1661795727969</v>
      </c>
      <c r="AG14" s="13" t="n">
        <f aca="false">AG13-Reserves!AG11+Reserves!AG12</f>
        <v>14.5272687661299</v>
      </c>
      <c r="AH14" s="13" t="n">
        <f aca="false">AH13-Reserves!AH11+Reserves!AH12</f>
        <v>16.7977918364638</v>
      </c>
      <c r="AI14" s="13" t="n">
        <f aca="false">AI13-Reserves!AI11+Reserves!AI12</f>
        <v>17.8225716211036</v>
      </c>
      <c r="AJ14" s="13" t="n">
        <f aca="false">AJ13-Reserves!AJ11+Reserves!AJ12</f>
        <v>20.7520361691506</v>
      </c>
      <c r="AK14" s="13" t="n">
        <f aca="false">AK13-Reserves!AK11+Reserves!AK12</f>
        <v>23.0571878778316</v>
      </c>
      <c r="AL14" s="13" t="n">
        <f aca="false">AL13-Reserves!AL11+Reserves!AL12</f>
        <v>29.1561261058333</v>
      </c>
      <c r="AM14" s="13" t="n">
        <f aca="false">AM13-Reserves!AM11+Reserves!AM12</f>
        <v>33.9429604141162</v>
      </c>
      <c r="AN14" s="13" t="n">
        <f aca="false">AN13-Reserves!AN11+Reserves!AN12</f>
        <v>30.3570898045468</v>
      </c>
      <c r="AO14" s="13" t="n">
        <f aca="false">AO13-Reserves!AO11+Reserves!AO12</f>
        <v>50.6913261501648</v>
      </c>
      <c r="AP14" s="13" t="n">
        <f aca="false">AP13-Reserves!AP11+Reserves!AP12</f>
        <v>51.3901970401744</v>
      </c>
      <c r="AQ14" s="13" t="n">
        <f aca="false">AQ13-Reserves!AQ11+Reserves!AQ12</f>
        <v>50.9756781429533</v>
      </c>
      <c r="AR14" s="13" t="n">
        <f aca="false">AR13-Reserves!AR11+Reserves!AR12</f>
        <v>51.5989019777388</v>
      </c>
      <c r="AS14" s="13" t="n">
        <f aca="false">AS13-Reserves!AS11+Reserves!AS12</f>
        <v>51.4095269231289</v>
      </c>
      <c r="AT14" s="13" t="n">
        <f aca="false">AT13-Reserves!AT11+Reserves!AT12</f>
        <v>53.3175320256317</v>
      </c>
      <c r="AU14" s="13" t="n">
        <f aca="false">AU13-Reserves!AU11+Reserves!AU12</f>
        <v>44.3732919394454</v>
      </c>
      <c r="AV14" s="13" t="n">
        <f aca="false">AV13-Reserves!AV11+Reserves!AV12</f>
        <v>44.4967907429513</v>
      </c>
      <c r="AW14" s="13" t="n">
        <f aca="false">AW13-Reserves!AW11+Reserves!AW12</f>
        <v>44.0724059550148</v>
      </c>
      <c r="AX14" s="13" t="n">
        <f aca="false">AX13-Reserves!AX11+Reserves!AX12</f>
        <v>44.7472459853546</v>
      </c>
      <c r="AY14" s="13" t="n">
        <f aca="false">AY13-Reserves!AY11+Reserves!AY12</f>
        <v>44.2903234988012</v>
      </c>
      <c r="AZ14" s="13" t="n">
        <f aca="false">AZ13-Reserves!AZ11+Reserves!AZ12</f>
        <v>44.9082136387042</v>
      </c>
      <c r="BA14" s="13" t="n">
        <f aca="false">BA13-Reserves!BA11+Reserves!BA12</f>
        <v>44.6105693072517</v>
      </c>
      <c r="BB14" s="13" t="n">
        <f aca="false">BB13-Reserves!BB11+Reserves!BB12</f>
        <v>46.8577311811449</v>
      </c>
      <c r="BC14" s="13" t="n">
        <f aca="false">BC13-Reserves!BC11+Reserves!BC12</f>
        <v>43.2760022026388</v>
      </c>
      <c r="BD14" s="13" t="n">
        <f aca="false">BD13-Reserves!BD11+Reserves!BD12</f>
        <v>36.8115526372434</v>
      </c>
      <c r="BE14" s="13" t="n">
        <f aca="false">BE13-Reserves!BE11+Reserves!BE12</f>
        <v>36.3785752317215</v>
      </c>
      <c r="BF14" s="13" t="n">
        <f aca="false">BF13-Reserves!BF11+Reserves!BF12</f>
        <v>37.0828773569055</v>
      </c>
      <c r="BG14" s="13" t="n">
        <f aca="false">BG13-Reserves!BG11+Reserves!BG12</f>
        <v>36.6152459765377</v>
      </c>
      <c r="BH14" s="13" t="n">
        <f aca="false">BH13-Reserves!BH11+Reserves!BH12</f>
        <v>37.2564100972111</v>
      </c>
      <c r="BI14" s="13" t="n">
        <f aca="false">BI13-Reserves!BI11+Reserves!BI12</f>
        <v>36.9953095368472</v>
      </c>
      <c r="BJ14" s="13" t="n">
        <f aca="false">BJ13-Reserves!BJ11+Reserves!BJ12</f>
        <v>45.0191208299957</v>
      </c>
      <c r="BK14" s="13" t="n">
        <f aca="false">BK13-Reserves!BK11+Reserves!BK12</f>
        <v>39.7694783221553</v>
      </c>
      <c r="BL14" s="13" t="n">
        <f aca="false">BL13-Reserves!BL11+Reserves!BL12</f>
        <v>40.5176294452962</v>
      </c>
      <c r="BM14" s="13" t="n">
        <f aca="false">BM13-Reserves!BM11+Reserves!BM12</f>
        <v>37.4586900017771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1.87224719782305</v>
      </c>
      <c r="P15" s="13" t="n">
        <f aca="false">P14-Reserves!P14+Reserves!P15</f>
        <v>11.4102867580018</v>
      </c>
      <c r="Q15" s="13" t="n">
        <f aca="false">Q14-Reserves!Q14+Reserves!Q15</f>
        <v>8.90361765647996</v>
      </c>
      <c r="R15" s="13" t="n">
        <f aca="false">R14-Reserves!R14+Reserves!R15</f>
        <v>9.86637096835842</v>
      </c>
      <c r="S15" s="13" t="n">
        <f aca="false">S14-Reserves!S14+Reserves!S15</f>
        <v>9.00526262756011</v>
      </c>
      <c r="T15" s="13" t="n">
        <f aca="false">T14-Reserves!T14+Reserves!T15</f>
        <v>9.7760566887704</v>
      </c>
      <c r="U15" s="13" t="n">
        <f aca="false">U14-Reserves!U14+Reserves!U15</f>
        <v>8.74138611637996</v>
      </c>
      <c r="V15" s="13" t="n">
        <f aca="false">V14-Reserves!V14+Reserves!V15</f>
        <v>10.0114583282041</v>
      </c>
      <c r="W15" s="13" t="n">
        <f aca="false">W14-Reserves!W14+Reserves!W15</f>
        <v>10.8466685802926</v>
      </c>
      <c r="X15" s="13" t="n">
        <f aca="false">X14-Reserves!X14+Reserves!X15</f>
        <v>9.767931563143</v>
      </c>
      <c r="Y15" s="13" t="n">
        <f aca="false">Y14-Reserves!Y14+Reserves!Y15</f>
        <v>8.94975231336541</v>
      </c>
      <c r="Z15" s="13" t="n">
        <f aca="false">Z14-Reserves!Z14+Reserves!Z15</f>
        <v>9.69180463834411</v>
      </c>
      <c r="AA15" s="13" t="n">
        <f aca="false">AA14-Reserves!AA14+Reserves!AA15</f>
        <v>8.81285401218624</v>
      </c>
      <c r="AB15" s="13" t="n">
        <f aca="false">AB14-Reserves!AB14+Reserves!AB15</f>
        <v>10.482723473437</v>
      </c>
      <c r="AC15" s="13" t="n">
        <f aca="false">AC14-Reserves!AC14+Reserves!AC15</f>
        <v>9.43837140940835</v>
      </c>
      <c r="AD15" s="13" t="n">
        <f aca="false">AD14-Reserves!AD14+Reserves!AD15</f>
        <v>11.8315770168362</v>
      </c>
      <c r="AE15" s="13" t="n">
        <f aca="false">AE14-Reserves!AE14+Reserves!AE15</f>
        <v>12.7179077803856</v>
      </c>
      <c r="AF15" s="13" t="n">
        <f aca="false">AF14-Reserves!AF14+Reserves!AF15</f>
        <v>14.1661795727969</v>
      </c>
      <c r="AG15" s="13" t="n">
        <f aca="false">AG14-Reserves!AG14+Reserves!AG15</f>
        <v>14.5272687661299</v>
      </c>
      <c r="AH15" s="13" t="n">
        <f aca="false">AH14-Reserves!AH14+Reserves!AH15</f>
        <v>16.7977918364638</v>
      </c>
      <c r="AI15" s="13" t="n">
        <f aca="false">AI14-Reserves!AI14+Reserves!AI15</f>
        <v>17.8225716211036</v>
      </c>
      <c r="AJ15" s="13" t="n">
        <f aca="false">AJ14-Reserves!AJ14+Reserves!AJ15</f>
        <v>20.7520361691506</v>
      </c>
      <c r="AK15" s="13" t="n">
        <f aca="false">AK14-Reserves!AK14+Reserves!AK15</f>
        <v>23.0571878778316</v>
      </c>
      <c r="AL15" s="13" t="n">
        <f aca="false">AL14-Reserves!AL14+Reserves!AL15</f>
        <v>29.1561261058333</v>
      </c>
      <c r="AM15" s="13" t="n">
        <f aca="false">AM14-Reserves!AM14+Reserves!AM15</f>
        <v>33.9429604141162</v>
      </c>
      <c r="AN15" s="13" t="n">
        <f aca="false">AN14-Reserves!AN14+Reserves!AN15</f>
        <v>30.3570898045468</v>
      </c>
      <c r="AO15" s="13" t="n">
        <f aca="false">AO14-Reserves!AO14+Reserves!AO15</f>
        <v>50.6913261501648</v>
      </c>
      <c r="AP15" s="13" t="n">
        <f aca="false">AP14-Reserves!AP14+Reserves!AP15</f>
        <v>51.3901970401744</v>
      </c>
      <c r="AQ15" s="13" t="n">
        <f aca="false">AQ14-Reserves!AQ14+Reserves!AQ15</f>
        <v>50.9756781429533</v>
      </c>
      <c r="AR15" s="13" t="n">
        <f aca="false">AR14-Reserves!AR14+Reserves!AR15</f>
        <v>51.5989019777388</v>
      </c>
      <c r="AS15" s="13" t="n">
        <f aca="false">AS14-Reserves!AS14+Reserves!AS15</f>
        <v>51.4095269231289</v>
      </c>
      <c r="AT15" s="13" t="n">
        <f aca="false">AT14-Reserves!AT14+Reserves!AT15</f>
        <v>53.3175320256317</v>
      </c>
      <c r="AU15" s="13" t="n">
        <f aca="false">AU14-Reserves!AU14+Reserves!AU15</f>
        <v>44.3732919394454</v>
      </c>
      <c r="AV15" s="13" t="n">
        <f aca="false">AV14-Reserves!AV14+Reserves!AV15</f>
        <v>44.4967907429513</v>
      </c>
      <c r="AW15" s="13" t="n">
        <f aca="false">AW14-Reserves!AW14+Reserves!AW15</f>
        <v>44.0724059550148</v>
      </c>
      <c r="AX15" s="13" t="n">
        <f aca="false">AX14-Reserves!AX14+Reserves!AX15</f>
        <v>44.7472459853546</v>
      </c>
      <c r="AY15" s="13" t="n">
        <f aca="false">AY14-Reserves!AY14+Reserves!AY15</f>
        <v>44.2903234988012</v>
      </c>
      <c r="AZ15" s="13" t="n">
        <f aca="false">AZ14-Reserves!AZ14+Reserves!AZ15</f>
        <v>44.9082136387042</v>
      </c>
      <c r="BA15" s="13" t="n">
        <f aca="false">BA14-Reserves!BA14+Reserves!BA15</f>
        <v>44.115600920643</v>
      </c>
      <c r="BB15" s="13" t="n">
        <f aca="false">BB14-Reserves!BB14+Reserves!BB15</f>
        <v>45.3565809265004</v>
      </c>
      <c r="BC15" s="13" t="n">
        <f aca="false">BC14-Reserves!BC14+Reserves!BC15</f>
        <v>41.7584291292966</v>
      </c>
      <c r="BD15" s="13" t="n">
        <f aca="false">BD14-Reserves!BD14+Reserves!BD15</f>
        <v>35.2773770769969</v>
      </c>
      <c r="BE15" s="13" t="n">
        <f aca="false">BE14-Reserves!BE14+Reserves!BE15</f>
        <v>34.8276155507657</v>
      </c>
      <c r="BF15" s="13" t="n">
        <f aca="false">BF14-Reserves!BF14+Reserves!BF15</f>
        <v>35.5149499343334</v>
      </c>
      <c r="BG15" s="13" t="n">
        <f aca="false">BG14-Reserves!BG14+Reserves!BG15</f>
        <v>35.0301651826009</v>
      </c>
      <c r="BH15" s="13" t="n">
        <f aca="false">BH14-Reserves!BH14+Reserves!BH15</f>
        <v>35.6539882713425</v>
      </c>
      <c r="BI15" s="13" t="n">
        <f aca="false">BI14-Reserves!BI14+Reserves!BI15</f>
        <v>35.3753569654438</v>
      </c>
      <c r="BJ15" s="13" t="n">
        <f aca="false">BJ14-Reserves!BJ14+Reserves!BJ15</f>
        <v>43.381445723958</v>
      </c>
      <c r="BK15" s="13" t="n">
        <f aca="false">BK14-Reserves!BK14+Reserves!BK15</f>
        <v>38.113886794181</v>
      </c>
      <c r="BL15" s="13" t="n">
        <f aca="false">BL14-Reserves!BL14+Reserves!BL15</f>
        <v>38.8439254869256</v>
      </c>
      <c r="BM15" s="13" t="n">
        <f aca="false">BM14-Reserves!BM14+Reserves!BM15</f>
        <v>55.3998701637381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1.23095191748818</v>
      </c>
      <c r="Q17" s="6" t="n">
        <f aca="false">IF(Debt!Q114&gt;Inputs!$F$253,Q7/Debt!Q114,0)</f>
        <v>1.23141920025022</v>
      </c>
      <c r="R17" s="6" t="n">
        <f aca="false">IF(Debt!R114&gt;Inputs!$F$253,R7/Debt!R114,0)</f>
        <v>1.23114531102551</v>
      </c>
      <c r="S17" s="6" t="n">
        <f aca="false">IF(Debt!S114&gt;Inputs!$F$253,S7/Debt!S114,0)</f>
        <v>1.23145753136875</v>
      </c>
      <c r="T17" s="6" t="n">
        <f aca="false">IF(Debt!T114&gt;Inputs!$F$253,T7/Debt!T114,0)</f>
        <v>1.23117531066843</v>
      </c>
      <c r="U17" s="6" t="n">
        <f aca="false">IF(Debt!U114&gt;Inputs!$F$253,U7/Debt!U114,0)</f>
        <v>1.23143458513464</v>
      </c>
      <c r="V17" s="6" t="n">
        <f aca="false">IF(Debt!V114&gt;Inputs!$F$253,V7/Debt!V114,0)</f>
        <v>1.23129735956251</v>
      </c>
      <c r="W17" s="6" t="n">
        <f aca="false">IF(Debt!W114&gt;Inputs!$F$253,W7/Debt!W114,0)</f>
        <v>1.23164020520404</v>
      </c>
      <c r="X17" s="6" t="n">
        <f aca="false">IF(Debt!X114&gt;Inputs!$F$253,X7/Debt!X114,0)</f>
        <v>1.23135870043418</v>
      </c>
      <c r="Y17" s="6" t="n">
        <f aca="false">IF(Debt!Y114&gt;Inputs!$F$253,Y7/Debt!Y114,0)</f>
        <v>1.23168753465342</v>
      </c>
      <c r="Z17" s="6" t="n">
        <f aca="false">IF(Debt!Z114&gt;Inputs!$F$253,Z7/Debt!Z114,0)</f>
        <v>1.2314695483657</v>
      </c>
      <c r="AA17" s="6" t="n">
        <f aca="false">IF(Debt!AA114&gt;Inputs!$F$253,AA7/Debt!AA114,0)</f>
        <v>1.23177897011325</v>
      </c>
      <c r="AB17" s="6" t="n">
        <f aca="false">IF(Debt!AB114&gt;Inputs!$F$253,AB7/Debt!AB114,0)</f>
        <v>1.24574269744182</v>
      </c>
      <c r="AC17" s="6" t="n">
        <f aca="false">IF(Debt!AC114&gt;Inputs!$F$253,AC7/Debt!AC114,0)</f>
        <v>1.26394988694532</v>
      </c>
      <c r="AD17" s="6" t="n">
        <f aca="false">IF(Debt!AD114&gt;Inputs!$F$253,AD7/Debt!AD114,0)</f>
        <v>1.28127962034578</v>
      </c>
      <c r="AE17" s="6" t="n">
        <f aca="false">IF(Debt!AE114&gt;Inputs!$F$253,AE7/Debt!AE114,0)</f>
        <v>1.30534350211749</v>
      </c>
      <c r="AF17" s="6" t="n">
        <f aca="false">IF(Debt!AF114&gt;Inputs!$F$253,AF7/Debt!AF114,0)</f>
        <v>1.33422967540726</v>
      </c>
      <c r="AG17" s="6" t="n">
        <f aca="false">IF(Debt!AG114&gt;Inputs!$F$253,AG7/Debt!AG114,0)</f>
        <v>1.37248249587074</v>
      </c>
      <c r="AH17" s="6" t="n">
        <f aca="false">IF(Debt!AH114&gt;Inputs!$F$253,AH7/Debt!AH114,0)</f>
        <v>1.41646666250493</v>
      </c>
      <c r="AI17" s="6" t="n">
        <f aca="false">IF(Debt!AI114&gt;Inputs!$F$253,AI7/Debt!AI114,0)</f>
        <v>1.47721275311727</v>
      </c>
      <c r="AJ17" s="6" t="n">
        <f aca="false">IF(Debt!AJ114&gt;Inputs!$F$253,AJ7/Debt!AJ114,0)</f>
        <v>1.55866985769483</v>
      </c>
      <c r="AK17" s="6" t="n">
        <f aca="false">IF(Debt!AK114&gt;Inputs!$F$253,AK7/Debt!AK114,0)</f>
        <v>1.68592429443481</v>
      </c>
      <c r="AL17" s="6" t="n">
        <f aca="false">IF(Debt!AL114&gt;Inputs!$F$253,AL7/Debt!AL114,0)</f>
        <v>1.89997422022523</v>
      </c>
      <c r="AM17" s="6" t="n">
        <f aca="false">IF(Debt!AM114&gt;Inputs!$F$253,AM7/Debt!AM114,0)</f>
        <v>2.04892906000214</v>
      </c>
      <c r="AN17" s="6" t="n">
        <f aca="false">IF(Debt!AN114&gt;Inputs!$F$253,AN7/Debt!AN114,0)</f>
        <v>2.43653944504616</v>
      </c>
      <c r="AO17" s="6" t="n">
        <f aca="false">IF(Debt!AO114&gt;Inputs!$F$253,AO7/Debt!AO114,0)</f>
        <v>2.44808366995268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1.23095191748818</v>
      </c>
      <c r="Q18" s="6" t="n">
        <f aca="false">IF(Debt!Q114&gt;Inputs!$F$253,IF(Debt!P114&gt;Inputs!$F$253,(Q7+P7)/(Debt!Q114+Debt!P114),Q17),0)</f>
        <v>1.2311852553829</v>
      </c>
      <c r="R18" s="6" t="n">
        <f aca="false">IF(Debt!R114&gt;Inputs!$F$253,IF(Debt!Q114&gt;Inputs!$F$253,(R7+Q7)/(Debt!R114+Debt!Q114),R17),0)</f>
        <v>1.23128138206273</v>
      </c>
      <c r="S18" s="6" t="n">
        <f aca="false">IF(Debt!S114&gt;Inputs!$F$253,IF(Debt!R114&gt;Inputs!$F$253,(S7+R7)/(Debt!S114+Debt!R114),S17),0)</f>
        <v>1.23130079437475</v>
      </c>
      <c r="T18" s="6" t="n">
        <f aca="false">IF(Debt!T114&gt;Inputs!$F$253,IF(Debt!S114&gt;Inputs!$F$253,(T7+S7)/(Debt!T114+Debt!S114),T17),0)</f>
        <v>1.23131561945605</v>
      </c>
      <c r="U18" s="6" t="n">
        <f aca="false">IF(Debt!U114&gt;Inputs!$F$253,IF(Debt!T114&gt;Inputs!$F$253,(U7+T7)/(Debt!U114+Debt!T114),U17),0)</f>
        <v>1.23130462354955</v>
      </c>
      <c r="V18" s="6" t="n">
        <f aca="false">IF(Debt!V114&gt;Inputs!$F$253,IF(Debt!U114&gt;Inputs!$F$253,(V7+U7)/(Debt!V114+Debt!U114),V17),0)</f>
        <v>1.23136531980607</v>
      </c>
      <c r="W18" s="6" t="n">
        <f aca="false">IF(Debt!W114&gt;Inputs!$F$253,IF(Debt!V114&gt;Inputs!$F$253,(W7+V7)/(Debt!W114+Debt!V114),W17),0)</f>
        <v>1.23146816392407</v>
      </c>
      <c r="X18" s="6" t="n">
        <f aca="false">IF(Debt!X114&gt;Inputs!$F$253,IF(Debt!W114&gt;Inputs!$F$253,(X7+W7)/(Debt!X114+Debt!W114),X17),0)</f>
        <v>1.23150149578043</v>
      </c>
      <c r="Y18" s="6" t="n">
        <f aca="false">IF(Debt!Y114&gt;Inputs!$F$253,IF(Debt!X114&gt;Inputs!$F$253,(Y7+X7)/(Debt!Y114+Debt!X114),Y17),0)</f>
        <v>1.23152229830098</v>
      </c>
      <c r="Z18" s="6" t="n">
        <f aca="false">IF(Debt!Z114&gt;Inputs!$F$253,IF(Debt!Y114&gt;Inputs!$F$253,(Z7+Y7)/(Debt!Z114+Debt!Y114),Z17),0)</f>
        <v>1.23157808520005</v>
      </c>
      <c r="AA18" s="6" t="n">
        <f aca="false">IF(Debt!AA114&gt;Inputs!$F$253,IF(Debt!Z114&gt;Inputs!$F$253,(AA7+Z7)/(Debt!AA114+Debt!Z114),AA17),0)</f>
        <v>1.23162361402533</v>
      </c>
      <c r="AB18" s="6" t="n">
        <f aca="false">IF(Debt!AB114&gt;Inputs!$F$253,IF(Debt!AA114&gt;Inputs!$F$253,(AB7+AA7)/(Debt!AB114+Debt!AA114),AB17),0)</f>
        <v>1.23876232904503</v>
      </c>
      <c r="AC18" s="6" t="n">
        <f aca="false">IF(Debt!AC114&gt;Inputs!$F$253,IF(Debt!AB114&gt;Inputs!$F$253,(AC7+AB7)/(Debt!AC114+Debt!AB114),AC17),0)</f>
        <v>1.25476153611307</v>
      </c>
      <c r="AD18" s="6" t="n">
        <f aca="false">IF(Debt!AD114&gt;Inputs!$F$253,IF(Debt!AC114&gt;Inputs!$F$253,(AD7+AC7)/(Debt!AD114+Debt!AC114),AD17),0)</f>
        <v>1.27271905486219</v>
      </c>
      <c r="AE18" s="6" t="n">
        <f aca="false">IF(Debt!AE114&gt;Inputs!$F$253,IF(Debt!AD114&gt;Inputs!$F$253,(AE7+AD7)/(Debt!AE114+Debt!AD114),AE17),0)</f>
        <v>1.29320931587673</v>
      </c>
      <c r="AF18" s="6" t="n">
        <f aca="false">IF(Debt!AF114&gt;Inputs!$F$253,IF(Debt!AE114&gt;Inputs!$F$253,(AF7+AE7)/(Debt!AF114+Debt!AE114),AF17),0)</f>
        <v>1.31965094209837</v>
      </c>
      <c r="AG18" s="6" t="n">
        <f aca="false">IF(Debt!AG114&gt;Inputs!$F$253,IF(Debt!AF114&gt;Inputs!$F$253,(AG7+AF7)/(Debt!AG114+Debt!AF114),AG17),0)</f>
        <v>1.35301786633119</v>
      </c>
      <c r="AH18" s="6" t="n">
        <f aca="false">IF(Debt!AH114&gt;Inputs!$F$253,IF(Debt!AG114&gt;Inputs!$F$253,(AH7+AG7)/(Debt!AH114+Debt!AG114),AH17),0)</f>
        <v>1.39426963452374</v>
      </c>
      <c r="AI18" s="6" t="n">
        <f aca="false">IF(Debt!AI114&gt;Inputs!$F$253,IF(Debt!AH114&gt;Inputs!$F$253,(AI7+AH7)/(Debt!AI114+Debt!AH114),AI17),0)</f>
        <v>1.44608315887609</v>
      </c>
      <c r="AJ18" s="6" t="n">
        <f aca="false">IF(Debt!AJ114&gt;Inputs!$F$253,IF(Debt!AI114&gt;Inputs!$F$253,(AJ7+AI7)/(Debt!AJ114+Debt!AI114),AJ17),0)</f>
        <v>1.51708341020076</v>
      </c>
      <c r="AK18" s="6" t="n">
        <f aca="false">IF(Debt!AK114&gt;Inputs!$F$253,IF(Debt!AJ114&gt;Inputs!$F$253,(AK7+AJ7)/(Debt!AK114+Debt!AJ114),AK17),0)</f>
        <v>1.61965696530477</v>
      </c>
      <c r="AL18" s="6" t="n">
        <f aca="false">IF(Debt!AL114&gt;Inputs!$F$253,IF(Debt!AK114&gt;Inputs!$F$253,(AL7+AK7)/(Debt!AL114+Debt!AK114),AL17),0)</f>
        <v>1.78768514109056</v>
      </c>
      <c r="AM18" s="6" t="n">
        <f aca="false">IF(Debt!AM114&gt;Inputs!$F$253,IF(Debt!AL114&gt;Inputs!$F$253,(AM7+AL7)/(Debt!AM114+Debt!AL114),AM17),0)</f>
        <v>1.97137906306223</v>
      </c>
      <c r="AN18" s="6" t="n">
        <f aca="false">IF(Debt!AN114&gt;Inputs!$F$253,IF(Debt!AM114&gt;Inputs!$F$253,(AN7+AM7)/(Debt!AN114+Debt!AM114),AN17),0)</f>
        <v>2.2225946059958</v>
      </c>
      <c r="AO18" s="6" t="n">
        <f aca="false">IF(Debt!AO114&gt;Inputs!$F$253,IF(Debt!AN114&gt;Inputs!$F$253,(AO7+AN7)/(Debt!AO114+Debt!AN114),AO17),0)</f>
        <v>2.44227679732196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84.8921867951587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4.40642700609312</v>
      </c>
      <c r="AB29" s="13" t="n">
        <f aca="false">IF(AND(AB24=1,Time!AB52=1,Inputs!$F$52=1),MIN(Inputs!$F$111*AB15,Debt!AB73),0)</f>
        <v>5.24136173671851</v>
      </c>
      <c r="AC29" s="13" t="n">
        <f aca="false">IF(AND(AC24=1,Time!AC52=1,Inputs!$F$52=1),MIN(Inputs!$F$111*AC15,Debt!AC73),0)</f>
        <v>4.71918570470418</v>
      </c>
      <c r="AD29" s="13" t="n">
        <f aca="false">IF(AND(AD24=1,Time!AD52=1,Inputs!$F$52=1),MIN(Inputs!$F$111*AD15,Debt!AD73),0)</f>
        <v>5.91578850841811</v>
      </c>
      <c r="AE29" s="13" t="n">
        <f aca="false">IF(AND(AE24=1,Time!AE52=1,Inputs!$F$52=1),MIN(Inputs!$F$111*AE15,Debt!AE73),0)</f>
        <v>6.35895389019279</v>
      </c>
      <c r="AF29" s="13" t="n">
        <f aca="false">IF(AND(AF24=1,Time!AF52=1,Inputs!$F$52=1),MIN(Inputs!$F$111*AF15,Debt!AF73),0)</f>
        <v>7.08308978639843</v>
      </c>
      <c r="AG29" s="13" t="n">
        <f aca="false">IF(AND(AG24=1,Time!AG52=1,Inputs!$F$52=1),MIN(Inputs!$F$111*AG15,Debt!AG73),0)</f>
        <v>7.26363438306493</v>
      </c>
      <c r="AH29" s="13" t="n">
        <f aca="false">IF(AND(AH24=1,Time!AH52=1,Inputs!$F$52=1),MIN(Inputs!$F$111*AH15,Debt!AH73),0)</f>
        <v>8.39889591823189</v>
      </c>
      <c r="AI29" s="13" t="n">
        <f aca="false">IF(AND(AI24=1,Time!AI52=1,Inputs!$F$52=1),MIN(Inputs!$F$111*AI15,Debt!AI73),0)</f>
        <v>8.9112858105518</v>
      </c>
      <c r="AJ29" s="13" t="n">
        <f aca="false">IF(AND(AJ24=1,Time!AJ52=1,Inputs!$F$52=1),MIN(Inputs!$F$111*AJ15,Debt!AJ73),0)</f>
        <v>10.3760180845753</v>
      </c>
      <c r="AK29" s="13" t="n">
        <f aca="false">IF(AND(AK24=1,Time!AK52=1,Inputs!$F$52=1),MIN(Inputs!$F$111*AK15,Debt!AK73),0)</f>
        <v>11.5285939389158</v>
      </c>
      <c r="AL29" s="13" t="n">
        <f aca="false">IF(AND(AL24=1,Time!AL52=1,Inputs!$F$52=1),MIN(Inputs!$F$111*AL15,Debt!AL73),0)</f>
        <v>4.68895202729384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1.87224719782305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1370.86168145076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11.4102867580018</v>
      </c>
      <c r="Q31" s="13" t="n">
        <f aca="false">IF(Q24=1,Q15-Q29,0)</f>
        <v>8.90361765647996</v>
      </c>
      <c r="R31" s="13" t="n">
        <f aca="false">IF(R24=1,R15-R29,0)</f>
        <v>9.86637096835842</v>
      </c>
      <c r="S31" s="13" t="n">
        <f aca="false">IF(S24=1,S15-S29,0)</f>
        <v>9.00526262756011</v>
      </c>
      <c r="T31" s="13" t="n">
        <f aca="false">IF(T24=1,T15-T29,0)</f>
        <v>9.7760566887704</v>
      </c>
      <c r="U31" s="13" t="n">
        <f aca="false">IF(U24=1,U15-U29,0)</f>
        <v>8.74138611637996</v>
      </c>
      <c r="V31" s="13" t="n">
        <f aca="false">IF(V24=1,V15-V29,0)</f>
        <v>10.0114583282041</v>
      </c>
      <c r="W31" s="13" t="n">
        <f aca="false">IF(W24=1,W15-W29,0)</f>
        <v>10.8466685802926</v>
      </c>
      <c r="X31" s="13" t="n">
        <f aca="false">IF(X24=1,X15-X29,0)</f>
        <v>9.767931563143</v>
      </c>
      <c r="Y31" s="13" t="n">
        <f aca="false">IF(Y24=1,Y15-Y29,0)</f>
        <v>8.94975231336541</v>
      </c>
      <c r="Z31" s="13" t="n">
        <f aca="false">IF(Z24=1,Z15-Z29,0)</f>
        <v>9.69180463834411</v>
      </c>
      <c r="AA31" s="13" t="n">
        <f aca="false">IF(AA24=1,AA15-AA29,0)</f>
        <v>4.40642700609312</v>
      </c>
      <c r="AB31" s="13" t="n">
        <f aca="false">IF(AB24=1,AB15-AB29,0)</f>
        <v>5.24136173671851</v>
      </c>
      <c r="AC31" s="13" t="n">
        <f aca="false">IF(AC24=1,AC15-AC29,0)</f>
        <v>4.71918570470418</v>
      </c>
      <c r="AD31" s="13" t="n">
        <f aca="false">IF(AD24=1,AD15-AD29,0)</f>
        <v>5.91578850841811</v>
      </c>
      <c r="AE31" s="13" t="n">
        <f aca="false">IF(AE24=1,AE15-AE29,0)</f>
        <v>6.35895389019279</v>
      </c>
      <c r="AF31" s="13" t="n">
        <f aca="false">IF(AF24=1,AF15-AF29,0)</f>
        <v>7.08308978639843</v>
      </c>
      <c r="AG31" s="13" t="n">
        <f aca="false">IF(AG24=1,AG15-AG29,0)</f>
        <v>7.26363438306493</v>
      </c>
      <c r="AH31" s="13" t="n">
        <f aca="false">IF(AH24=1,AH15-AH29,0)</f>
        <v>8.39889591823189</v>
      </c>
      <c r="AI31" s="13" t="n">
        <f aca="false">IF(AI24=1,AI15-AI29,0)</f>
        <v>8.9112858105518</v>
      </c>
      <c r="AJ31" s="13" t="n">
        <f aca="false">IF(AJ24=1,AJ15-AJ29,0)</f>
        <v>10.3760180845753</v>
      </c>
      <c r="AK31" s="13" t="n">
        <f aca="false">IF(AK24=1,AK15-AK29,0)</f>
        <v>11.5285939389158</v>
      </c>
      <c r="AL31" s="13" t="n">
        <f aca="false">IF(AL24=1,AL15-AL29,0)</f>
        <v>24.4671740785395</v>
      </c>
      <c r="AM31" s="13" t="n">
        <f aca="false">IF(AM24=1,AM15-AM29,0)</f>
        <v>33.9429604141162</v>
      </c>
      <c r="AN31" s="13" t="n">
        <f aca="false">IF(AN24=1,AN15-AN29,0)</f>
        <v>30.3570898045468</v>
      </c>
      <c r="AO31" s="13" t="n">
        <f aca="false">IF(AO24=1,AO15-AO29,0)</f>
        <v>50.6913261501648</v>
      </c>
      <c r="AP31" s="13" t="n">
        <f aca="false">IF(AP24=1,AP15-AP29,0)</f>
        <v>51.3901970401744</v>
      </c>
      <c r="AQ31" s="13" t="n">
        <f aca="false">IF(AQ24=1,AQ15-AQ29,0)</f>
        <v>50.9756781429533</v>
      </c>
      <c r="AR31" s="13" t="n">
        <f aca="false">IF(AR24=1,AR15-AR29,0)</f>
        <v>51.5989019777388</v>
      </c>
      <c r="AS31" s="13" t="n">
        <f aca="false">IF(AS24=1,AS15-AS29,0)</f>
        <v>51.4095269231289</v>
      </c>
      <c r="AT31" s="13" t="n">
        <f aca="false">IF(AT24=1,AT15-AT29,0)</f>
        <v>53.3175320256317</v>
      </c>
      <c r="AU31" s="13" t="n">
        <f aca="false">IF(AU24=1,AU15-AU29,0)</f>
        <v>44.3732919394454</v>
      </c>
      <c r="AV31" s="13" t="n">
        <f aca="false">IF(AV24=1,AV15-AV29,0)</f>
        <v>44.4967907429513</v>
      </c>
      <c r="AW31" s="13" t="n">
        <f aca="false">IF(AW24=1,AW15-AW29,0)</f>
        <v>44.0724059550148</v>
      </c>
      <c r="AX31" s="13" t="n">
        <f aca="false">IF(AX24=1,AX15-AX29,0)</f>
        <v>44.7472459853546</v>
      </c>
      <c r="AY31" s="13" t="n">
        <f aca="false">IF(AY24=1,AY15-AY29,0)</f>
        <v>44.2903234988012</v>
      </c>
      <c r="AZ31" s="13" t="n">
        <f aca="false">IF(AZ24=1,AZ15-AZ29,0)</f>
        <v>44.9082136387042</v>
      </c>
      <c r="BA31" s="13" t="n">
        <f aca="false">IF(BA24=1,BA15-BA29,0)</f>
        <v>44.115600920643</v>
      </c>
      <c r="BB31" s="13" t="n">
        <f aca="false">IF(BB24=1,BB15-BB29,0)</f>
        <v>45.3565809265004</v>
      </c>
      <c r="BC31" s="13" t="n">
        <f aca="false">IF(BC24=1,BC15-BC29,0)</f>
        <v>41.7584291292966</v>
      </c>
      <c r="BD31" s="13" t="n">
        <f aca="false">IF(BD24=1,BD15-BD29,0)</f>
        <v>35.2773770769969</v>
      </c>
      <c r="BE31" s="13" t="n">
        <f aca="false">IF(BE24=1,BE15-BE29,0)</f>
        <v>34.8276155507657</v>
      </c>
      <c r="BF31" s="13" t="n">
        <f aca="false">IF(BF24=1,BF15-BF29,0)</f>
        <v>35.5149499343334</v>
      </c>
      <c r="BG31" s="13" t="n">
        <f aca="false">IF(BG24=1,BG15-BG29,0)</f>
        <v>35.0301651826009</v>
      </c>
      <c r="BH31" s="13" t="n">
        <f aca="false">IF(BH24=1,BH15-BH29,0)</f>
        <v>35.6539882713425</v>
      </c>
      <c r="BI31" s="13" t="n">
        <f aca="false">IF(BI24=1,BI15-BI29,0)</f>
        <v>35.3753569654438</v>
      </c>
      <c r="BJ31" s="13" t="n">
        <f aca="false">IF(BJ24=1,BJ15-BJ29,0)</f>
        <v>43.381445723958</v>
      </c>
      <c r="BK31" s="13" t="n">
        <f aca="false">IF(BK24=1,BK15-BK29,0)</f>
        <v>38.113886794181</v>
      </c>
      <c r="BL31" s="13" t="n">
        <f aca="false">IF(BL24=1,BL15-BL29,0)</f>
        <v>38.8439254869256</v>
      </c>
      <c r="BM31" s="13" t="n">
        <f aca="false">IF(BM24=1,BM15-BM29,0)</f>
        <v>55.3998701637381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48.5872600666698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220.740823050274</v>
      </c>
      <c r="P33" s="13" t="n">
        <f aca="false">IF(Time!P20&lt;Time!$F$12,0,IF(Time!P34=1,INDEX(Funding!$J$72:$BJ$72,1,Time!$F$14),O36))</f>
        <v>224.245461597059</v>
      </c>
      <c r="Q33" s="13" t="n">
        <f aca="false">IF(Time!Q20&lt;Time!$F$12,0,IF(Time!Q34=1,INDEX(Funding!$J$72:$BJ$72,1,Time!$F$14),P36))</f>
        <v>223.574382150609</v>
      </c>
      <c r="R33" s="13" t="n">
        <f aca="false">IF(Time!R20&lt;Time!$F$12,0,IF(Time!R34=1,INDEX(Funding!$J$72:$BJ$72,1,Time!$F$14),Q36))</f>
        <v>225.203261757361</v>
      </c>
      <c r="S33" s="13" t="n">
        <f aca="false">IF(Time!S20&lt;Time!$F$12,0,IF(Time!S34=1,INDEX(Funding!$J$72:$BJ$72,1,Time!$F$14),R36))</f>
        <v>226.121967543849</v>
      </c>
      <c r="T33" s="13" t="n">
        <f aca="false">IF(Time!T20&lt;Time!$F$12,0,IF(Time!T34=1,INDEX(Funding!$J$72:$BJ$72,1,Time!$F$14),S36))</f>
        <v>227.769217880443</v>
      </c>
      <c r="U33" s="13" t="n">
        <f aca="false">IF(Time!U20&lt;Time!$F$12,0,IF(Time!U34=1,INDEX(Funding!$J$72:$BJ$72,1,Time!$F$14),T36))</f>
        <v>228.901122639756</v>
      </c>
      <c r="V33" s="13" t="n">
        <f aca="false">IF(Time!V20&lt;Time!$F$12,0,IF(Time!V34=1,INDEX(Funding!$J$72:$BJ$72,1,Time!$F$14),U36))</f>
        <v>231.002751346503</v>
      </c>
      <c r="W33" s="13" t="n">
        <f aca="false">IF(Time!W20&lt;Time!$F$12,0,IF(Time!W34=1,INDEX(Funding!$J$72:$BJ$72,1,Time!$F$14),V36))</f>
        <v>232.05410971292</v>
      </c>
      <c r="X33" s="13" t="n">
        <f aca="false">IF(Time!X20&lt;Time!$F$12,0,IF(Time!X34=1,INDEX(Funding!$J$72:$BJ$72,1,Time!$F$14),W36))</f>
        <v>232.139414876501</v>
      </c>
      <c r="Y33" s="13" t="n">
        <f aca="false">IF(Time!Y20&lt;Time!$F$12,0,IF(Time!Y34=1,INDEX(Funding!$J$72:$BJ$72,1,Time!$F$14),X36))</f>
        <v>233.488735291553</v>
      </c>
      <c r="Z33" s="13" t="n">
        <f aca="false">IF(Time!Z20&lt;Time!$F$12,0,IF(Time!Z34=1,INDEX(Funding!$J$72:$BJ$72,1,Time!$F$14),Y36))</f>
        <v>235.538541343498</v>
      </c>
      <c r="AA33" s="13" t="n">
        <f aca="false">IF(Time!AA20&lt;Time!$F$12,0,IF(Time!AA34=1,INDEX(Funding!$J$72:$BJ$72,1,Time!$F$14),Z36))</f>
        <v>237.126774246754</v>
      </c>
      <c r="AB33" s="13" t="n">
        <f aca="false">IF(Time!AB20&lt;Time!$F$12,0,IF(Time!AB34=1,INDEX(Funding!$J$72:$BJ$72,1,Time!$F$14),AA36))</f>
        <v>243.891292126067</v>
      </c>
      <c r="AC33" s="13" t="n">
        <f aca="false">IF(Time!AC20&lt;Time!$F$12,0,IF(Time!AC34=1,INDEX(Funding!$J$72:$BJ$72,1,Time!$F$14),AB36))</f>
        <v>250.329984598564</v>
      </c>
      <c r="AD33" s="13" t="n">
        <f aca="false">IF(Time!AD20&lt;Time!$F$12,0,IF(Time!AD34=1,INDEX(Funding!$J$72:$BJ$72,1,Time!$F$14),AC36))</f>
        <v>257.468895972515</v>
      </c>
      <c r="AE33" s="13" t="n">
        <f aca="false">IF(Time!AE20&lt;Time!$F$12,0,IF(Time!AE34=1,INDEX(Funding!$J$72:$BJ$72,1,Time!$F$14),AD36))</f>
        <v>263.883398701356</v>
      </c>
      <c r="AF33" s="13" t="n">
        <f aca="false">IF(Time!AF20&lt;Time!$F$12,0,IF(Time!AF34=1,INDEX(Funding!$J$72:$BJ$72,1,Time!$F$14),AE36))</f>
        <v>269.955883278751</v>
      </c>
      <c r="AG33" s="13" t="n">
        <f aca="false">IF(Time!AG20&lt;Time!$F$12,0,IF(Time!AG34=1,INDEX(Funding!$J$72:$BJ$72,1,Time!$F$14),AF36))</f>
        <v>275.801091683346</v>
      </c>
      <c r="AH33" s="13" t="n">
        <f aca="false">IF(Time!AH20&lt;Time!$F$12,0,IF(Time!AH34=1,INDEX(Funding!$J$72:$BJ$72,1,Time!$F$14),AG36))</f>
        <v>281.530333386569</v>
      </c>
      <c r="AI33" s="13" t="n">
        <f aca="false">IF(Time!AI20&lt;Time!$F$12,0,IF(Time!AI34=1,INDEX(Funding!$J$72:$BJ$72,1,Time!$F$14),AH36))</f>
        <v>286.614040831618</v>
      </c>
      <c r="AJ33" s="13" t="n">
        <f aca="false">IF(Time!AJ20&lt;Time!$F$12,0,IF(Time!AJ34=1,INDEX(Funding!$J$72:$BJ$72,1,Time!$F$14),AI36))</f>
        <v>291.205024698051</v>
      </c>
      <c r="AK33" s="13" t="n">
        <f aca="false">IF(Time!AK20&lt;Time!$F$12,0,IF(Time!AK34=1,INDEX(Funding!$J$72:$BJ$72,1,Time!$F$14),AJ36))</f>
        <v>294.774934919563</v>
      </c>
      <c r="AL33" s="13" t="n">
        <f aca="false">IF(Time!AL20&lt;Time!$F$12,0,IF(Time!AL34=1,INDEX(Funding!$J$72:$BJ$72,1,Time!$F$14),AK36))</f>
        <v>297.209789267659</v>
      </c>
      <c r="AM33" s="13" t="n">
        <f aca="false">IF(Time!AM20&lt;Time!$F$12,0,IF(Time!AM34=1,INDEX(Funding!$J$72:$BJ$72,1,Time!$F$14),AL36))</f>
        <v>286.976114138157</v>
      </c>
      <c r="AN33" s="13" t="n">
        <f aca="false">IF(Time!AN20&lt;Time!$F$12,0,IF(Time!AN34=1,INDEX(Funding!$J$72:$BJ$72,1,Time!$F$14),AM36))</f>
        <v>266.5524805257</v>
      </c>
      <c r="AO33" s="13" t="n">
        <f aca="false">IF(Time!AO20&lt;Time!$F$12,0,IF(Time!AO34=1,INDEX(Funding!$J$72:$BJ$72,1,Time!$F$14),AN36))</f>
        <v>248.960698555645</v>
      </c>
      <c r="AP33" s="13" t="n">
        <f aca="false">IF(Time!AP20&lt;Time!$F$12,0,IF(Time!AP34=1,INDEX(Funding!$J$72:$BJ$72,1,Time!$F$14),AO36))</f>
        <v>209.99780860182</v>
      </c>
      <c r="AQ33" s="13" t="n">
        <f aca="false">IF(Time!AQ20&lt;Time!$F$12,0,IF(Time!AQ34=1,INDEX(Funding!$J$72:$BJ$72,1,Time!$F$14),AP36))</f>
        <v>168.664492916056</v>
      </c>
      <c r="AR33" s="13" t="n">
        <f aca="false">IF(Time!AR20&lt;Time!$F$12,0,IF(Time!AR34=1,INDEX(Funding!$J$72:$BJ$72,1,Time!$F$14),AQ36))</f>
        <v>125.634529720203</v>
      </c>
      <c r="AS33" s="13" t="n">
        <f aca="false">IF(Time!AS20&lt;Time!$F$12,0,IF(Time!AS34=1,INDEX(Funding!$J$72:$BJ$72,1,Time!$F$14),AR36))</f>
        <v>80.0523170013937</v>
      </c>
      <c r="AT33" s="13" t="n">
        <f aca="false">IF(Time!AT20&lt;Time!$F$12,0,IF(Time!AT34=1,INDEX(Funding!$J$72:$BJ$72,1,Time!$F$14),AS36))</f>
        <v>32.43485736855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268.113992841342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10.7392073115523</v>
      </c>
      <c r="Q34" s="13" t="n">
        <f aca="false">Q24*MIN(Q31,Tax!Q13)</f>
        <v>8.90361765647996</v>
      </c>
      <c r="R34" s="13" t="n">
        <f aca="false">R24*MIN(R31,Tax!R13)</f>
        <v>9.86637096835842</v>
      </c>
      <c r="S34" s="13" t="n">
        <f aca="false">S24*MIN(S31,Tax!S13)</f>
        <v>9.00526262756011</v>
      </c>
      <c r="T34" s="13" t="n">
        <f aca="false">T24*MIN(T31,Tax!T13)</f>
        <v>9.7760566887704</v>
      </c>
      <c r="U34" s="13" t="n">
        <f aca="false">U24*MIN(U31,Tax!U13)</f>
        <v>8.74138611637996</v>
      </c>
      <c r="V34" s="13" t="n">
        <f aca="false">V24*MIN(V31,Tax!V13)</f>
        <v>10.0114583282041</v>
      </c>
      <c r="W34" s="13" t="n">
        <f aca="false">W24*MIN(W31,Tax!W13)</f>
        <v>10.8466685802926</v>
      </c>
      <c r="X34" s="13" t="n">
        <f aca="false">X24*MIN(X31,Tax!X13)</f>
        <v>9.767931563143</v>
      </c>
      <c r="Y34" s="13" t="n">
        <f aca="false">Y24*MIN(Y31,Tax!Y13)</f>
        <v>8.94975231336541</v>
      </c>
      <c r="Z34" s="13" t="n">
        <f aca="false">Z24*MIN(Z31,Tax!Z13)</f>
        <v>9.69180463834411</v>
      </c>
      <c r="AA34" s="13" t="n">
        <f aca="false">AA24*MIN(AA31,Tax!AA13)</f>
        <v>4.40642700609312</v>
      </c>
      <c r="AB34" s="13" t="n">
        <f aca="false">AB24*MIN(AB31,Tax!AB13)</f>
        <v>5.24136173671851</v>
      </c>
      <c r="AC34" s="13" t="n">
        <f aca="false">AC24*MIN(AC31,Tax!AC13)</f>
        <v>4.71918570470418</v>
      </c>
      <c r="AD34" s="13" t="n">
        <f aca="false">AD24*MIN(AD31,Tax!AD13)</f>
        <v>5.91578850841811</v>
      </c>
      <c r="AE34" s="13" t="n">
        <f aca="false">AE24*MIN(AE31,Tax!AE13)</f>
        <v>6.35895389019279</v>
      </c>
      <c r="AF34" s="13" t="n">
        <f aca="false">AF24*MIN(AF31,Tax!AF13)</f>
        <v>7.08308978639843</v>
      </c>
      <c r="AG34" s="13" t="n">
        <f aca="false">AG24*MIN(AG31,Tax!AG13)</f>
        <v>7.26363438306493</v>
      </c>
      <c r="AH34" s="13" t="n">
        <f aca="false">AH24*MIN(AH31,Tax!AH13)</f>
        <v>8.39889591823189</v>
      </c>
      <c r="AI34" s="13" t="n">
        <f aca="false">AI24*MIN(AI31,Tax!AI13)</f>
        <v>8.9112858105518</v>
      </c>
      <c r="AJ34" s="13" t="n">
        <f aca="false">AJ24*MIN(AJ31,Tax!AJ13)</f>
        <v>10.3760180845753</v>
      </c>
      <c r="AK34" s="13" t="n">
        <f aca="false">AK24*MIN(AK31,Tax!AK13)</f>
        <v>11.5285939389158</v>
      </c>
      <c r="AL34" s="13" t="n">
        <f aca="false">AL24*MIN(AL31,Tax!AL13)</f>
        <v>14.2334989490375</v>
      </c>
      <c r="AM34" s="13" t="n">
        <f aca="false">AM24*MIN(AM31,Tax!AM13)</f>
        <v>13.5193268016592</v>
      </c>
      <c r="AN34" s="13" t="n">
        <f aca="false">AN24*MIN(AN31,Tax!AN13)</f>
        <v>12.7653078344911</v>
      </c>
      <c r="AO34" s="13" t="n">
        <f aca="false">AO24*MIN(AO31,Tax!AO13)</f>
        <v>11.7284361963406</v>
      </c>
      <c r="AP34" s="13" t="n">
        <f aca="false">AP24*MIN(AP31,Tax!AP13)</f>
        <v>10.0568813544105</v>
      </c>
      <c r="AQ34" s="13" t="n">
        <f aca="false">AQ24*MIN(AQ31,Tax!AQ13)</f>
        <v>7.94571494710025</v>
      </c>
      <c r="AR34" s="13" t="n">
        <f aca="false">AR24*MIN(AR31,Tax!AR13)</f>
        <v>6.01668925892919</v>
      </c>
      <c r="AS34" s="13" t="n">
        <f aca="false">AS24*MIN(AS31,Tax!AS13)</f>
        <v>3.7920672902852</v>
      </c>
      <c r="AT34" s="13" t="n">
        <f aca="false">AT24*MIN(AT31,Tax!AT13)</f>
        <v>1.5533186487733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297.880868714109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0.671079446449516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0</v>
      </c>
      <c r="W35" s="13" t="n">
        <f aca="false">W24*MIN(W31-W34,W33+Tax!W13-W34)</f>
        <v>0</v>
      </c>
      <c r="X35" s="13" t="n">
        <f aca="false">X24*MIN(X31-X34,X33+Tax!X13-X34)</f>
        <v>0</v>
      </c>
      <c r="Y35" s="13" t="n">
        <f aca="false">Y24*MIN(Y31-Y34,Y33+Tax!Y13-Y34)</f>
        <v>0</v>
      </c>
      <c r="Z35" s="13" t="n">
        <f aca="false">Z24*MIN(Z31-Z34,Z33+Tax!Z13-Z34)</f>
        <v>0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</v>
      </c>
      <c r="AL35" s="13" t="n">
        <f aca="false">AL24*MIN(AL31-AL34,AL33+Tax!AL13-AL34)</f>
        <v>10.233675129502</v>
      </c>
      <c r="AM35" s="13" t="n">
        <f aca="false">AM24*MIN(AM31-AM34,AM33+Tax!AM13-AM34)</f>
        <v>20.423633612457</v>
      </c>
      <c r="AN35" s="13" t="n">
        <f aca="false">AN24*MIN(AN31-AN34,AN33+Tax!AN13-AN34)</f>
        <v>17.5917819700557</v>
      </c>
      <c r="AO35" s="13" t="n">
        <f aca="false">AO24*MIN(AO31-AO34,AO33+Tax!AO13-AO34)</f>
        <v>38.9628899538242</v>
      </c>
      <c r="AP35" s="13" t="n">
        <f aca="false">AP24*MIN(AP31-AP34,AP33+Tax!AP13-AP34)</f>
        <v>41.333315685764</v>
      </c>
      <c r="AQ35" s="13" t="n">
        <f aca="false">AQ24*MIN(AQ31-AQ34,AQ33+Tax!AQ13-AQ34)</f>
        <v>43.0299631958531</v>
      </c>
      <c r="AR35" s="13" t="n">
        <f aca="false">AR24*MIN(AR31-AR34,AR33+Tax!AR13-AR34)</f>
        <v>45.5822127188096</v>
      </c>
      <c r="AS35" s="13" t="n">
        <f aca="false">AS24*MIN(AS31-AS34,AS33+Tax!AS13-AS34)</f>
        <v>47.6174596328437</v>
      </c>
      <c r="AT35" s="13" t="n">
        <f aca="false">AT24*MIN(AT31-AT34,AT33+Tax!AT13-AT34)</f>
        <v>32.43485736855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224.245461597059</v>
      </c>
      <c r="P36" s="13" t="n">
        <f aca="false">P33+Tax!P13-P34-P35</f>
        <v>223.574382150609</v>
      </c>
      <c r="Q36" s="13" t="n">
        <f aca="false">Q33+Tax!Q13-Q34-Q35</f>
        <v>225.203261757361</v>
      </c>
      <c r="R36" s="13" t="n">
        <f aca="false">R33+Tax!R13-R34-R35</f>
        <v>226.121967543849</v>
      </c>
      <c r="S36" s="13" t="n">
        <f aca="false">S33+Tax!S13-S34-S35</f>
        <v>227.769217880443</v>
      </c>
      <c r="T36" s="13" t="n">
        <f aca="false">T33+Tax!T13-T34-T35</f>
        <v>228.901122639756</v>
      </c>
      <c r="U36" s="13" t="n">
        <f aca="false">U33+Tax!U13-U34-U35</f>
        <v>231.002751346503</v>
      </c>
      <c r="V36" s="13" t="n">
        <f aca="false">V33+Tax!V13-V34-V35</f>
        <v>232.05410971292</v>
      </c>
      <c r="W36" s="13" t="n">
        <f aca="false">W33+Tax!W13-W34-W35</f>
        <v>232.139414876501</v>
      </c>
      <c r="X36" s="13" t="n">
        <f aca="false">X33+Tax!X13-X34-X35</f>
        <v>233.488735291553</v>
      </c>
      <c r="Y36" s="13" t="n">
        <f aca="false">Y33+Tax!Y13-Y34-Y35</f>
        <v>235.538541343498</v>
      </c>
      <c r="Z36" s="13" t="n">
        <f aca="false">Z33+Tax!Z13-Z34-Z35</f>
        <v>237.126774246754</v>
      </c>
      <c r="AA36" s="13" t="n">
        <f aca="false">AA33+Tax!AA13-AA34-AA35</f>
        <v>243.891292126067</v>
      </c>
      <c r="AB36" s="13" t="n">
        <f aca="false">AB33+Tax!AB13-AB34-AB35</f>
        <v>250.329984598564</v>
      </c>
      <c r="AC36" s="13" t="n">
        <f aca="false">AC33+Tax!AC13-AC34-AC35</f>
        <v>257.468895972515</v>
      </c>
      <c r="AD36" s="13" t="n">
        <f aca="false">AD33+Tax!AD13-AD34-AD35</f>
        <v>263.883398701356</v>
      </c>
      <c r="AE36" s="13" t="n">
        <f aca="false">AE33+Tax!AE13-AE34-AE35</f>
        <v>269.955883278751</v>
      </c>
      <c r="AF36" s="13" t="n">
        <f aca="false">AF33+Tax!AF13-AF34-AF35</f>
        <v>275.801091683346</v>
      </c>
      <c r="AG36" s="13" t="n">
        <f aca="false">AG33+Tax!AG13-AG34-AG35</f>
        <v>281.530333386569</v>
      </c>
      <c r="AH36" s="13" t="n">
        <f aca="false">AH33+Tax!AH13-AH34-AH35</f>
        <v>286.614040831618</v>
      </c>
      <c r="AI36" s="13" t="n">
        <f aca="false">AI33+Tax!AI13-AI34-AI35</f>
        <v>291.205024698051</v>
      </c>
      <c r="AJ36" s="13" t="n">
        <f aca="false">AJ33+Tax!AJ13-AJ34-AJ35</f>
        <v>294.774934919563</v>
      </c>
      <c r="AK36" s="13" t="n">
        <f aca="false">AK33+Tax!AK13-AK34-AK35</f>
        <v>297.209789267659</v>
      </c>
      <c r="AL36" s="13" t="n">
        <f aca="false">AL33+Tax!AL13-AL34-AL35</f>
        <v>286.976114138157</v>
      </c>
      <c r="AM36" s="13" t="n">
        <f aca="false">AM33+Tax!AM13-AM34-AM35</f>
        <v>266.5524805257</v>
      </c>
      <c r="AN36" s="13" t="n">
        <f aca="false">AN33+Tax!AN13-AN34-AN35</f>
        <v>248.960698555645</v>
      </c>
      <c r="AO36" s="13" t="n">
        <f aca="false">AO33+Tax!AO13-AO34-AO35</f>
        <v>209.99780860182</v>
      </c>
      <c r="AP36" s="13" t="n">
        <f aca="false">AP33+Tax!AP13-AP34-AP35</f>
        <v>168.664492916056</v>
      </c>
      <c r="AQ36" s="13" t="n">
        <f aca="false">AQ33+Tax!AQ13-AQ34-AQ35</f>
        <v>125.634529720203</v>
      </c>
      <c r="AR36" s="13" t="n">
        <f aca="false">AR33+Tax!AR13-AR34-AR35</f>
        <v>80.0523170013937</v>
      </c>
      <c r="AS36" s="13" t="n">
        <f aca="false">AS33+Tax!AS13-AS34-AS35</f>
        <v>32.43485736855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9.10515112180447</v>
      </c>
      <c r="P37" s="13" t="n">
        <f aca="false">MAX(0,O43+Financials!P14)</f>
        <v>12.3165271330113</v>
      </c>
      <c r="Q37" s="13" t="n">
        <f aca="false">MAX(0,P43+Financials!Q14)</f>
        <v>16.7738126424195</v>
      </c>
      <c r="R37" s="13" t="n">
        <f aca="false">MAX(0,Q43+Financials!R14)</f>
        <v>21.4747731500528</v>
      </c>
      <c r="S37" s="13" t="n">
        <f aca="false">MAX(0,R43+Financials!S14)</f>
        <v>27.2790801389097</v>
      </c>
      <c r="T37" s="13" t="n">
        <f aca="false">MAX(0,S43+Financials!T14)</f>
        <v>33.3161945542571</v>
      </c>
      <c r="U37" s="13" t="n">
        <f aca="false">MAX(0,T43+Financials!U14)</f>
        <v>40.4266045012986</v>
      </c>
      <c r="V37" s="13" t="n">
        <f aca="false">MAX(0,U43+Financials!V14)</f>
        <v>45.5954670251313</v>
      </c>
      <c r="W37" s="13" t="n">
        <f aca="false">MAX(0,V43+Financials!W14)</f>
        <v>54.4248083387529</v>
      </c>
      <c r="X37" s="13" t="n">
        <f aca="false">MAX(0,W43+Financials!X14)</f>
        <v>63.6334025538222</v>
      </c>
      <c r="Y37" s="13" t="n">
        <f aca="false">MAX(0,X43+Financials!Y14)</f>
        <v>71.1146281064973</v>
      </c>
      <c r="Z37" s="13" t="n">
        <f aca="false">MAX(0,Y43+Financials!Z14)</f>
        <v>74.128624635202</v>
      </c>
      <c r="AA37" s="13" t="n">
        <f aca="false">MAX(0,Z43+Financials!AA14)</f>
        <v>77.991071095928</v>
      </c>
      <c r="AB37" s="13" t="n">
        <f aca="false">MAX(0,AA43+Financials!AB14)</f>
        <v>82.1595087085334</v>
      </c>
      <c r="AC37" s="13" t="n">
        <f aca="false">MAX(0,AB43+Financials!AC14)</f>
        <v>87.2157772430752</v>
      </c>
      <c r="AD37" s="13" t="n">
        <f aca="false">MAX(0,AC43+Financials!AD14)</f>
        <v>81.5558866538651</v>
      </c>
      <c r="AE37" s="13" t="n">
        <f aca="false">MAX(0,AD43+Financials!AE14)</f>
        <v>89.971734582769</v>
      </c>
      <c r="AF37" s="13" t="n">
        <f aca="false">MAX(0,AE43+Financials!AF14)</f>
        <v>97.4142821600475</v>
      </c>
      <c r="AG37" s="13" t="n">
        <f aca="false">MAX(0,AF43+Financials!AG14)</f>
        <v>105.231020722189</v>
      </c>
      <c r="AH37" s="13" t="n">
        <f aca="false">MAX(0,AG43+Financials!AH14)</f>
        <v>113.689603783104</v>
      </c>
      <c r="AI37" s="13" t="n">
        <f aca="false">MAX(0,AH43+Financials!AI14)</f>
        <v>123.250858180123</v>
      </c>
      <c r="AJ37" s="13" t="n">
        <f aca="false">MAX(0,AI43+Financials!AJ14)</f>
        <v>133.502449413312</v>
      </c>
      <c r="AK37" s="13" t="n">
        <f aca="false">MAX(0,AJ43+Financials!AK14)</f>
        <v>144.916757846253</v>
      </c>
      <c r="AL37" s="13" t="n">
        <f aca="false">MAX(0,AK43+Financials!AL14)</f>
        <v>155.239091518245</v>
      </c>
      <c r="AM37" s="13" t="n">
        <f aca="false">MAX(0,AL43+Financials!AM14)</f>
        <v>168.875220315966</v>
      </c>
      <c r="AN37" s="13" t="n">
        <f aca="false">MAX(0,AM43+Financials!AN14)</f>
        <v>183.484740812102</v>
      </c>
      <c r="AO37" s="13" t="n">
        <f aca="false">MAX(0,AN43+Financials!AO14)</f>
        <v>199.306754719344</v>
      </c>
      <c r="AP37" s="13" t="n">
        <f aca="false">MAX(0,AO43+Financials!AP14)</f>
        <v>216.803092872133</v>
      </c>
      <c r="AQ37" s="13" t="n">
        <f aca="false">MAX(0,AP43+Financials!AQ14)</f>
        <v>235.855931829535</v>
      </c>
      <c r="AR37" s="13" t="n">
        <f aca="false">MAX(0,AQ43+Financials!AR14)</f>
        <v>256.324821004582</v>
      </c>
      <c r="AS37" s="13" t="n">
        <f aca="false">MAX(0,AR43+Financials!AS14)</f>
        <v>278.529633565867</v>
      </c>
      <c r="AT37" s="13" t="n">
        <f aca="false">MAX(0,AS43+Financials!AT14)</f>
        <v>292.382438503453</v>
      </c>
      <c r="AU37" s="13" t="n">
        <f aca="false">MAX(0,AT43+Financials!AU14)</f>
        <v>298.586522073504</v>
      </c>
      <c r="AV37" s="13" t="n">
        <f aca="false">MAX(0,AU43+Financials!AV14)</f>
        <v>279.676219089042</v>
      </c>
      <c r="AW37" s="13" t="n">
        <f aca="false">MAX(0,AV43+Financials!AW14)</f>
        <v>260.757870784374</v>
      </c>
      <c r="AX37" s="13" t="n">
        <f aca="false">MAX(0,AW43+Financials!AX14)</f>
        <v>242.398626955048</v>
      </c>
      <c r="AY37" s="13" t="n">
        <f aca="false">MAX(0,AX43+Financials!AY14)</f>
        <v>223.451031417604</v>
      </c>
      <c r="AZ37" s="13" t="n">
        <f aca="false">MAX(0,AY43+Financials!AZ14)</f>
        <v>205.033759372462</v>
      </c>
      <c r="BA37" s="13" t="n">
        <f aca="false">MAX(0,AZ43+Financials!BA14)</f>
        <v>186.160463971374</v>
      </c>
      <c r="BB37" s="13" t="n">
        <f aca="false">MAX(0,BA43+Financials!BB14)</f>
        <v>165.82944964985</v>
      </c>
      <c r="BC37" s="13" t="n">
        <f aca="false">MAX(0,BB43+Financials!BC14)</f>
        <v>146.782222388642</v>
      </c>
      <c r="BD37" s="13" t="n">
        <f aca="false">MAX(0,BC43+Financials!BD14)</f>
        <v>131.323530982202</v>
      </c>
      <c r="BE37" s="13" t="n">
        <f aca="false">MAX(0,BD43+Financials!BE14)</f>
        <v>122.470722596018</v>
      </c>
      <c r="BF37" s="13" t="n">
        <f aca="false">MAX(0,BE43+Financials!BF14)</f>
        <v>114.215037316098</v>
      </c>
      <c r="BG37" s="13" t="n">
        <f aca="false">MAX(0,BF43+Financials!BG14)</f>
        <v>105.364613152693</v>
      </c>
      <c r="BH37" s="13" t="n">
        <f aca="false">MAX(0,BG43+Financials!BH14)</f>
        <v>97.0781785772237</v>
      </c>
      <c r="BI37" s="13" t="n">
        <f aca="false">MAX(0,BH43+Financials!BI14)</f>
        <v>88.3825380678458</v>
      </c>
      <c r="BJ37" s="13" t="n">
        <f aca="false">MAX(0,BI43+Financials!BJ14)</f>
        <v>67.781138036616</v>
      </c>
      <c r="BK37" s="13" t="n">
        <f aca="false">MAX(0,BJ43+Financials!BK14)</f>
        <v>51.6972650677321</v>
      </c>
      <c r="BL37" s="13" t="n">
        <f aca="false">MAX(0,BK43+Financials!BL14)</f>
        <v>40.7891196189709</v>
      </c>
      <c r="BM37" s="13" t="n">
        <f aca="false">MAX(0,BL43+Financials!BM14)</f>
        <v>6.81261009706847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0</v>
      </c>
      <c r="AT38" s="13" t="n">
        <f aca="false">AT24*MIN(AT31-AT34-AT35,AT37)</f>
        <v>19.3293560083083</v>
      </c>
      <c r="AU38" s="13" t="n">
        <f aca="false">AU24*MIN(AU31-AU34-AU35,AU37)</f>
        <v>44.3732919394454</v>
      </c>
      <c r="AV38" s="13" t="n">
        <f aca="false">AV24*MIN(AV31-AV34-AV35,AV37)</f>
        <v>44.4967907429513</v>
      </c>
      <c r="AW38" s="13" t="n">
        <f aca="false">AW24*MIN(AW31-AW34-AW35,AW37)</f>
        <v>44.0724059550148</v>
      </c>
      <c r="AX38" s="13" t="n">
        <f aca="false">AX24*MIN(AX31-AX34-AX35,AX37)</f>
        <v>44.7472459853546</v>
      </c>
      <c r="AY38" s="13" t="n">
        <f aca="false">AY24*MIN(AY31-AY34-AY35,AY37)</f>
        <v>44.2903234988012</v>
      </c>
      <c r="AZ38" s="13" t="n">
        <f aca="false">AZ24*MIN(AZ31-AZ34-AZ35,AZ37)</f>
        <v>44.9082136387042</v>
      </c>
      <c r="BA38" s="13" t="n">
        <f aca="false">BA24*MIN(BA31-BA34-BA35,BA37)</f>
        <v>44.115600920643</v>
      </c>
      <c r="BB38" s="13" t="n">
        <f aca="false">BB24*MIN(BB31-BB34-BB35,BB37)</f>
        <v>45.3565809265004</v>
      </c>
      <c r="BC38" s="13" t="n">
        <f aca="false">BC24*MIN(BC31-BC34-BC35,BC37)</f>
        <v>41.7584291292966</v>
      </c>
      <c r="BD38" s="13" t="n">
        <f aca="false">BD24*MIN(BD31-BD34-BD35,BD37)</f>
        <v>35.2773770769969</v>
      </c>
      <c r="BE38" s="13" t="n">
        <f aca="false">BE24*MIN(BE31-BE34-BE35,BE37)</f>
        <v>34.8276155507657</v>
      </c>
      <c r="BF38" s="13" t="n">
        <f aca="false">BF24*MIN(BF31-BF34-BF35,BF37)</f>
        <v>35.5149499343334</v>
      </c>
      <c r="BG38" s="13" t="n">
        <f aca="false">BG24*MIN(BG31-BG34-BG35,BG37)</f>
        <v>35.0301651826009</v>
      </c>
      <c r="BH38" s="13" t="n">
        <f aca="false">BH24*MIN(BH31-BH34-BH35,BH37)</f>
        <v>35.6539882713425</v>
      </c>
      <c r="BI38" s="13" t="n">
        <f aca="false">BI24*MIN(BI31-BI34-BI35,BI37)</f>
        <v>35.3753569654438</v>
      </c>
      <c r="BJ38" s="13" t="n">
        <f aca="false">BJ24*MIN(BJ31-BJ34-BJ35,BJ37)</f>
        <v>43.381445723958</v>
      </c>
      <c r="BK38" s="13" t="n">
        <f aca="false">BK24*MIN(BK31-BK34-BK35,BK37)</f>
        <v>38.113886794181</v>
      </c>
      <c r="BL38" s="13" t="n">
        <f aca="false">BL24*MIN(BL31-BL34-BL35,BL37)</f>
        <v>38.8439254869256</v>
      </c>
      <c r="BM38" s="13" t="n">
        <f aca="false">BM24*MIN(BM31-BM34-BM35,BM37)</f>
        <v>6.81261009706847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48.5872600666696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48.5872600666696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48.5872600666696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804.866819895306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0</v>
      </c>
      <c r="AT41" s="13" t="n">
        <f aca="false">AT38+AT40</f>
        <v>19.3293560083083</v>
      </c>
      <c r="AU41" s="13" t="n">
        <f aca="false">AU38+AU40</f>
        <v>44.3732919394454</v>
      </c>
      <c r="AV41" s="13" t="n">
        <f aca="false">AV38+AV40</f>
        <v>44.4967907429513</v>
      </c>
      <c r="AW41" s="13" t="n">
        <f aca="false">AW38+AW40</f>
        <v>44.0724059550148</v>
      </c>
      <c r="AX41" s="13" t="n">
        <f aca="false">AX38+AX40</f>
        <v>44.7472459853546</v>
      </c>
      <c r="AY41" s="13" t="n">
        <f aca="false">AY38+AY40</f>
        <v>44.2903234988012</v>
      </c>
      <c r="AZ41" s="13" t="n">
        <f aca="false">AZ38+AZ40</f>
        <v>44.9082136387042</v>
      </c>
      <c r="BA41" s="13" t="n">
        <f aca="false">BA38+BA40</f>
        <v>44.115600920643</v>
      </c>
      <c r="BB41" s="13" t="n">
        <f aca="false">BB38+BB40</f>
        <v>45.3565809265004</v>
      </c>
      <c r="BC41" s="13" t="n">
        <f aca="false">BC38+BC40</f>
        <v>41.7584291292966</v>
      </c>
      <c r="BD41" s="13" t="n">
        <f aca="false">BD38+BD40</f>
        <v>35.2773770769969</v>
      </c>
      <c r="BE41" s="13" t="n">
        <f aca="false">BE38+BE40</f>
        <v>34.8276155507657</v>
      </c>
      <c r="BF41" s="13" t="n">
        <f aca="false">BF38+BF40</f>
        <v>35.5149499343334</v>
      </c>
      <c r="BG41" s="13" t="n">
        <f aca="false">BG38+BG40</f>
        <v>35.0301651826009</v>
      </c>
      <c r="BH41" s="13" t="n">
        <f aca="false">BH38+BH40</f>
        <v>35.6539882713425</v>
      </c>
      <c r="BI41" s="13" t="n">
        <f aca="false">BI38+BI40</f>
        <v>35.3753569654438</v>
      </c>
      <c r="BJ41" s="13" t="n">
        <f aca="false">BJ38+BJ40</f>
        <v>43.381445723958</v>
      </c>
      <c r="BK41" s="13" t="n">
        <f aca="false">BK38+BK40</f>
        <v>38.113886794181</v>
      </c>
      <c r="BL41" s="13" t="n">
        <f aca="false">BL38+BL40</f>
        <v>38.8439254869256</v>
      </c>
      <c r="BM41" s="13" t="n">
        <f aca="false">BM38+BM40</f>
        <v>55.3998701637381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9.10515112180447</v>
      </c>
      <c r="P43" s="13" t="n">
        <f aca="false">IF(Time!P20&lt;Time!$F$12,0,O43+Financials!P14-P41)</f>
        <v>12.3165271330113</v>
      </c>
      <c r="Q43" s="13" t="n">
        <f aca="false">IF(Time!Q20&lt;Time!$F$12,0,P43+Financials!Q14-Q41)</f>
        <v>16.7738126424195</v>
      </c>
      <c r="R43" s="13" t="n">
        <f aca="false">IF(Time!R20&lt;Time!$F$12,0,Q43+Financials!R14-R41)</f>
        <v>21.4747731500528</v>
      </c>
      <c r="S43" s="13" t="n">
        <f aca="false">IF(Time!S20&lt;Time!$F$12,0,R43+Financials!S14-S41)</f>
        <v>27.2790801389097</v>
      </c>
      <c r="T43" s="13" t="n">
        <f aca="false">IF(Time!T20&lt;Time!$F$12,0,S43+Financials!T14-T41)</f>
        <v>33.3161945542571</v>
      </c>
      <c r="U43" s="13" t="n">
        <f aca="false">IF(Time!U20&lt;Time!$F$12,0,T43+Financials!U14-U41)</f>
        <v>40.4266045012986</v>
      </c>
      <c r="V43" s="13" t="n">
        <f aca="false">IF(Time!V20&lt;Time!$F$12,0,U43+Financials!V14-V41)</f>
        <v>45.5954670251313</v>
      </c>
      <c r="W43" s="13" t="n">
        <f aca="false">IF(Time!W20&lt;Time!$F$12,0,V43+Financials!W14-W41)</f>
        <v>54.4248083387529</v>
      </c>
      <c r="X43" s="13" t="n">
        <f aca="false">IF(Time!X20&lt;Time!$F$12,0,W43+Financials!X14-X41)</f>
        <v>63.6334025538222</v>
      </c>
      <c r="Y43" s="13" t="n">
        <f aca="false">IF(Time!Y20&lt;Time!$F$12,0,X43+Financials!Y14-Y41)</f>
        <v>71.1146281064973</v>
      </c>
      <c r="Z43" s="13" t="n">
        <f aca="false">IF(Time!Z20&lt;Time!$F$12,0,Y43+Financials!Z14-Z41)</f>
        <v>74.128624635202</v>
      </c>
      <c r="AA43" s="13" t="n">
        <f aca="false">IF(Time!AA20&lt;Time!$F$12,0,Z43+Financials!AA14-AA41)</f>
        <v>77.991071095928</v>
      </c>
      <c r="AB43" s="13" t="n">
        <f aca="false">IF(Time!AB20&lt;Time!$F$12,0,AA43+Financials!AB14-AB41)</f>
        <v>82.1595087085334</v>
      </c>
      <c r="AC43" s="13" t="n">
        <f aca="false">IF(Time!AC20&lt;Time!$F$12,0,AB43+Financials!AC14-AC41)</f>
        <v>87.2157772430752</v>
      </c>
      <c r="AD43" s="13" t="n">
        <f aca="false">IF(Time!AD20&lt;Time!$F$12,0,AC43+Financials!AD14-AD41)</f>
        <v>81.5558866538651</v>
      </c>
      <c r="AE43" s="13" t="n">
        <f aca="false">IF(Time!AE20&lt;Time!$F$12,0,AD43+Financials!AE14-AE41)</f>
        <v>89.971734582769</v>
      </c>
      <c r="AF43" s="13" t="n">
        <f aca="false">IF(Time!AF20&lt;Time!$F$12,0,AE43+Financials!AF14-AF41)</f>
        <v>97.4142821600475</v>
      </c>
      <c r="AG43" s="13" t="n">
        <f aca="false">IF(Time!AG20&lt;Time!$F$12,0,AF43+Financials!AG14-AG41)</f>
        <v>105.231020722189</v>
      </c>
      <c r="AH43" s="13" t="n">
        <f aca="false">IF(Time!AH20&lt;Time!$F$12,0,AG43+Financials!AH14-AH41)</f>
        <v>113.689603783104</v>
      </c>
      <c r="AI43" s="13" t="n">
        <f aca="false">IF(Time!AI20&lt;Time!$F$12,0,AH43+Financials!AI14-AI41)</f>
        <v>123.250858180123</v>
      </c>
      <c r="AJ43" s="13" t="n">
        <f aca="false">IF(Time!AJ20&lt;Time!$F$12,0,AI43+Financials!AJ14-AJ41)</f>
        <v>133.502449413312</v>
      </c>
      <c r="AK43" s="13" t="n">
        <f aca="false">IF(Time!AK20&lt;Time!$F$12,0,AJ43+Financials!AK14-AK41)</f>
        <v>144.916757846253</v>
      </c>
      <c r="AL43" s="13" t="n">
        <f aca="false">IF(Time!AL20&lt;Time!$F$12,0,AK43+Financials!AL14-AL41)</f>
        <v>155.239091518245</v>
      </c>
      <c r="AM43" s="13" t="n">
        <f aca="false">IF(Time!AM20&lt;Time!$F$12,0,AL43+Financials!AM14-AM41)</f>
        <v>168.875220315966</v>
      </c>
      <c r="AN43" s="13" t="n">
        <f aca="false">IF(Time!AN20&lt;Time!$F$12,0,AM43+Financials!AN14-AN41)</f>
        <v>183.484740812102</v>
      </c>
      <c r="AO43" s="13" t="n">
        <f aca="false">IF(Time!AO20&lt;Time!$F$12,0,AN43+Financials!AO14-AO41)</f>
        <v>199.306754719344</v>
      </c>
      <c r="AP43" s="13" t="n">
        <f aca="false">IF(Time!AP20&lt;Time!$F$12,0,AO43+Financials!AP14-AP41)</f>
        <v>216.803092872133</v>
      </c>
      <c r="AQ43" s="13" t="n">
        <f aca="false">IF(Time!AQ20&lt;Time!$F$12,0,AP43+Financials!AQ14-AQ41)</f>
        <v>235.855931829535</v>
      </c>
      <c r="AR43" s="13" t="n">
        <f aca="false">IF(Time!AR20&lt;Time!$F$12,0,AQ43+Financials!AR14-AR41)</f>
        <v>256.324821004582</v>
      </c>
      <c r="AS43" s="13" t="n">
        <f aca="false">IF(Time!AS20&lt;Time!$F$12,0,AR43+Financials!AS14-AS41)</f>
        <v>278.529633565867</v>
      </c>
      <c r="AT43" s="13" t="n">
        <f aca="false">IF(Time!AT20&lt;Time!$F$12,0,AS43+Financials!AT14-AT41)</f>
        <v>273.053082495145</v>
      </c>
      <c r="AU43" s="13" t="n">
        <f aca="false">IF(Time!AU20&lt;Time!$F$12,0,AT43+Financials!AU14-AU41)</f>
        <v>254.213230134058</v>
      </c>
      <c r="AV43" s="13" t="n">
        <f aca="false">IF(Time!AV20&lt;Time!$F$12,0,AU43+Financials!AV14-AV41)</f>
        <v>235.17942834609</v>
      </c>
      <c r="AW43" s="13" t="n">
        <f aca="false">IF(Time!AW20&lt;Time!$F$12,0,AV43+Financials!AW14-AW41)</f>
        <v>216.685464829359</v>
      </c>
      <c r="AX43" s="13" t="n">
        <f aca="false">IF(Time!AX20&lt;Time!$F$12,0,AW43+Financials!AX14-AX41)</f>
        <v>197.651380969693</v>
      </c>
      <c r="AY43" s="13" t="n">
        <f aca="false">IF(Time!AY20&lt;Time!$F$12,0,AX43+Financials!AY14-AY41)</f>
        <v>179.160707918803</v>
      </c>
      <c r="AZ43" s="13" t="n">
        <f aca="false">IF(Time!AZ20&lt;Time!$F$12,0,AY43+Financials!AZ14-AZ41)</f>
        <v>160.125545733757</v>
      </c>
      <c r="BA43" s="13" t="n">
        <f aca="false">IF(Time!BA20&lt;Time!$F$12,0,AZ43+Financials!BA14-BA41)</f>
        <v>142.044863050731</v>
      </c>
      <c r="BB43" s="13" t="n">
        <f aca="false">IF(Time!BB20&lt;Time!$F$12,0,BA43+Financials!BB14-BB41)</f>
        <v>120.472868723349</v>
      </c>
      <c r="BC43" s="13" t="n">
        <f aca="false">IF(Time!BC20&lt;Time!$F$12,0,BB43+Financials!BC14-BC41)</f>
        <v>105.023793259345</v>
      </c>
      <c r="BD43" s="13" t="n">
        <f aca="false">IF(Time!BD20&lt;Time!$F$12,0,BC43+Financials!BD14-BD41)</f>
        <v>96.0461539052052</v>
      </c>
      <c r="BE43" s="13" t="n">
        <f aca="false">IF(Time!BE20&lt;Time!$F$12,0,BD43+Financials!BE14-BE41)</f>
        <v>87.6431070452527</v>
      </c>
      <c r="BF43" s="13" t="n">
        <f aca="false">IF(Time!BF20&lt;Time!$F$12,0,BE43+Financials!BF14-BF41)</f>
        <v>78.7000873817649</v>
      </c>
      <c r="BG43" s="13" t="n">
        <f aca="false">IF(Time!BG20&lt;Time!$F$12,0,BF43+Financials!BG14-BG41)</f>
        <v>70.3344479700923</v>
      </c>
      <c r="BH43" s="13" t="n">
        <f aca="false">IF(Time!BH20&lt;Time!$F$12,0,BG43+Financials!BH14-BH41)</f>
        <v>61.4241903058813</v>
      </c>
      <c r="BI43" s="13" t="n">
        <f aca="false">IF(Time!BI20&lt;Time!$F$12,0,BH43+Financials!BI14-BI41)</f>
        <v>53.007181102402</v>
      </c>
      <c r="BJ43" s="13" t="n">
        <f aca="false">IF(Time!BJ20&lt;Time!$F$12,0,BI43+Financials!BJ14-BJ41)</f>
        <v>24.399692312658</v>
      </c>
      <c r="BK43" s="13" t="n">
        <f aca="false">IF(Time!BK20&lt;Time!$F$12,0,BJ43+Financials!BK14-BK41)</f>
        <v>13.5833782735511</v>
      </c>
      <c r="BL43" s="13" t="n">
        <f aca="false">IF(Time!BL20&lt;Time!$F$12,0,BK43+Financials!BL14-BL41)</f>
        <v>1.94519413204521</v>
      </c>
      <c r="BM43" s="13" t="n">
        <f aca="false">IF(Time!BM20&lt;Time!$F$12,0,BL43+Financials!BM14-BM41)</f>
        <v>-48.5872600666696</v>
      </c>
      <c r="BN43" s="13" t="n">
        <f aca="false">IF(Time!BN20&lt;Time!$F$12,0,BM43+Financials!BN14-BN41)</f>
        <v>-48.5872600666696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1370.86168145076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11.4102867580018</v>
      </c>
      <c r="Q44" s="13" t="n">
        <f aca="false">Q34+Q35+Q41</f>
        <v>8.90361765647996</v>
      </c>
      <c r="R44" s="13" t="n">
        <f aca="false">R34+R35+R41</f>
        <v>9.86637096835842</v>
      </c>
      <c r="S44" s="13" t="n">
        <f aca="false">S34+S35+S41</f>
        <v>9.00526262756011</v>
      </c>
      <c r="T44" s="13" t="n">
        <f aca="false">T34+T35+T41</f>
        <v>9.7760566887704</v>
      </c>
      <c r="U44" s="13" t="n">
        <f aca="false">U34+U35+U41</f>
        <v>8.74138611637996</v>
      </c>
      <c r="V44" s="13" t="n">
        <f aca="false">V34+V35+V41</f>
        <v>10.0114583282041</v>
      </c>
      <c r="W44" s="13" t="n">
        <f aca="false">W34+W35+W41</f>
        <v>10.8466685802926</v>
      </c>
      <c r="X44" s="13" t="n">
        <f aca="false">X34+X35+X41</f>
        <v>9.767931563143</v>
      </c>
      <c r="Y44" s="13" t="n">
        <f aca="false">Y34+Y35+Y41</f>
        <v>8.94975231336541</v>
      </c>
      <c r="Z44" s="13" t="n">
        <f aca="false">Z34+Z35+Z41</f>
        <v>9.69180463834411</v>
      </c>
      <c r="AA44" s="13" t="n">
        <f aca="false">AA34+AA35+AA41</f>
        <v>4.40642700609312</v>
      </c>
      <c r="AB44" s="13" t="n">
        <f aca="false">AB34+AB35+AB41</f>
        <v>5.24136173671851</v>
      </c>
      <c r="AC44" s="13" t="n">
        <f aca="false">AC34+AC35+AC41</f>
        <v>4.71918570470418</v>
      </c>
      <c r="AD44" s="13" t="n">
        <f aca="false">AD34+AD35+AD41</f>
        <v>5.91578850841811</v>
      </c>
      <c r="AE44" s="13" t="n">
        <f aca="false">AE34+AE35+AE41</f>
        <v>6.35895389019279</v>
      </c>
      <c r="AF44" s="13" t="n">
        <f aca="false">AF34+AF35+AF41</f>
        <v>7.08308978639843</v>
      </c>
      <c r="AG44" s="13" t="n">
        <f aca="false">AG34+AG35+AG41</f>
        <v>7.26363438306493</v>
      </c>
      <c r="AH44" s="13" t="n">
        <f aca="false">AH34+AH35+AH41</f>
        <v>8.39889591823189</v>
      </c>
      <c r="AI44" s="13" t="n">
        <f aca="false">AI34+AI35+AI41</f>
        <v>8.9112858105518</v>
      </c>
      <c r="AJ44" s="13" t="n">
        <f aca="false">AJ34+AJ35+AJ41</f>
        <v>10.3760180845753</v>
      </c>
      <c r="AK44" s="13" t="n">
        <f aca="false">AK34+AK35+AK41</f>
        <v>11.5285939389158</v>
      </c>
      <c r="AL44" s="13" t="n">
        <f aca="false">AL34+AL35+AL41</f>
        <v>24.4671740785395</v>
      </c>
      <c r="AM44" s="13" t="n">
        <f aca="false">AM34+AM35+AM41</f>
        <v>33.9429604141162</v>
      </c>
      <c r="AN44" s="13" t="n">
        <f aca="false">AN34+AN35+AN41</f>
        <v>30.3570898045468</v>
      </c>
      <c r="AO44" s="13" t="n">
        <f aca="false">AO34+AO35+AO41</f>
        <v>50.6913261501648</v>
      </c>
      <c r="AP44" s="13" t="n">
        <f aca="false">AP34+AP35+AP41</f>
        <v>51.3901970401744</v>
      </c>
      <c r="AQ44" s="13" t="n">
        <f aca="false">AQ34+AQ35+AQ41</f>
        <v>50.9756781429533</v>
      </c>
      <c r="AR44" s="13" t="n">
        <f aca="false">AR34+AR35+AR41</f>
        <v>51.5989019777388</v>
      </c>
      <c r="AS44" s="13" t="n">
        <f aca="false">AS34+AS35+AS41</f>
        <v>51.4095269231289</v>
      </c>
      <c r="AT44" s="13" t="n">
        <f aca="false">AT34+AT35+AT41</f>
        <v>53.3175320256317</v>
      </c>
      <c r="AU44" s="13" t="n">
        <f aca="false">AU34+AU35+AU41</f>
        <v>44.3732919394454</v>
      </c>
      <c r="AV44" s="13" t="n">
        <f aca="false">AV34+AV35+AV41</f>
        <v>44.4967907429513</v>
      </c>
      <c r="AW44" s="13" t="n">
        <f aca="false">AW34+AW35+AW41</f>
        <v>44.0724059550148</v>
      </c>
      <c r="AX44" s="13" t="n">
        <f aca="false">AX34+AX35+AX41</f>
        <v>44.7472459853546</v>
      </c>
      <c r="AY44" s="13" t="n">
        <f aca="false">AY34+AY35+AY41</f>
        <v>44.2903234988012</v>
      </c>
      <c r="AZ44" s="13" t="n">
        <f aca="false">AZ34+AZ35+AZ41</f>
        <v>44.9082136387042</v>
      </c>
      <c r="BA44" s="13" t="n">
        <f aca="false">BA34+BA35+BA41</f>
        <v>44.115600920643</v>
      </c>
      <c r="BB44" s="13" t="n">
        <f aca="false">BB34+BB35+BB41</f>
        <v>45.3565809265004</v>
      </c>
      <c r="BC44" s="13" t="n">
        <f aca="false">BC34+BC35+BC41</f>
        <v>41.7584291292966</v>
      </c>
      <c r="BD44" s="13" t="n">
        <f aca="false">BD34+BD35+BD41</f>
        <v>35.2773770769969</v>
      </c>
      <c r="BE44" s="13" t="n">
        <f aca="false">BE34+BE35+BE41</f>
        <v>34.8276155507657</v>
      </c>
      <c r="BF44" s="13" t="n">
        <f aca="false">BF34+BF35+BF41</f>
        <v>35.5149499343334</v>
      </c>
      <c r="BG44" s="13" t="n">
        <f aca="false">BG34+BG35+BG41</f>
        <v>35.0301651826009</v>
      </c>
      <c r="BH44" s="13" t="n">
        <f aca="false">BH34+BH35+BH41</f>
        <v>35.6539882713425</v>
      </c>
      <c r="BI44" s="13" t="n">
        <f aca="false">BI34+BI35+BI41</f>
        <v>35.3753569654438</v>
      </c>
      <c r="BJ44" s="13" t="n">
        <f aca="false">BJ34+BJ35+BJ41</f>
        <v>43.381445723958</v>
      </c>
      <c r="BK44" s="13" t="n">
        <f aca="false">BK34+BK35+BK41</f>
        <v>38.113886794181</v>
      </c>
      <c r="BL44" s="13" t="n">
        <f aca="false">BL34+BL35+BL41</f>
        <v>38.8439254869256</v>
      </c>
      <c r="BM44" s="13" t="n">
        <f aca="false">BM34+BM35+BM41</f>
        <v>55.3998701637381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916.099218989225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6.10732812659483</v>
      </c>
      <c r="P8" s="13" t="n">
        <f aca="false">Funding!$F$76/Time!$F$9*Time!P30</f>
        <v>18.3219843797845</v>
      </c>
      <c r="Q8" s="13" t="n">
        <f aca="false">Funding!$F$76/Time!$F$9*Time!Q30</f>
        <v>18.3219843797845</v>
      </c>
      <c r="R8" s="13" t="n">
        <f aca="false">Funding!$F$76/Time!$F$9*Time!R30</f>
        <v>18.3219843797845</v>
      </c>
      <c r="S8" s="13" t="n">
        <f aca="false">Funding!$F$76/Time!$F$9*Time!S30</f>
        <v>18.3219843797845</v>
      </c>
      <c r="T8" s="13" t="n">
        <f aca="false">Funding!$F$76/Time!$F$9*Time!T30</f>
        <v>18.3219843797845</v>
      </c>
      <c r="U8" s="13" t="n">
        <f aca="false">Funding!$F$76/Time!$F$9*Time!U30</f>
        <v>18.3219843797845</v>
      </c>
      <c r="V8" s="13" t="n">
        <f aca="false">Funding!$F$76/Time!$F$9*Time!V30</f>
        <v>18.3219843797845</v>
      </c>
      <c r="W8" s="13" t="n">
        <f aca="false">Funding!$F$76/Time!$F$9*Time!W30</f>
        <v>18.3219843797845</v>
      </c>
      <c r="X8" s="13" t="n">
        <f aca="false">Funding!$F$76/Time!$F$9*Time!X30</f>
        <v>18.3219843797845</v>
      </c>
      <c r="Y8" s="13" t="n">
        <f aca="false">Funding!$F$76/Time!$F$9*Time!Y30</f>
        <v>18.3219843797845</v>
      </c>
      <c r="Z8" s="13" t="n">
        <f aca="false">Funding!$F$76/Time!$F$9*Time!Z30</f>
        <v>18.3219843797845</v>
      </c>
      <c r="AA8" s="13" t="n">
        <f aca="false">Funding!$F$76/Time!$F$9*Time!AA30</f>
        <v>18.3219843797845</v>
      </c>
      <c r="AB8" s="13" t="n">
        <f aca="false">Funding!$F$76/Time!$F$9*Time!AB30</f>
        <v>18.3219843797845</v>
      </c>
      <c r="AC8" s="13" t="n">
        <f aca="false">Funding!$F$76/Time!$F$9*Time!AC30</f>
        <v>18.3219843797845</v>
      </c>
      <c r="AD8" s="13" t="n">
        <f aca="false">Funding!$F$76/Time!$F$9*Time!AD30</f>
        <v>18.3219843797845</v>
      </c>
      <c r="AE8" s="13" t="n">
        <f aca="false">Funding!$F$76/Time!$F$9*Time!AE30</f>
        <v>18.3219843797845</v>
      </c>
      <c r="AF8" s="13" t="n">
        <f aca="false">Funding!$F$76/Time!$F$9*Time!AF30</f>
        <v>18.3219843797845</v>
      </c>
      <c r="AG8" s="13" t="n">
        <f aca="false">Funding!$F$76/Time!$F$9*Time!AG30</f>
        <v>18.3219843797845</v>
      </c>
      <c r="AH8" s="13" t="n">
        <f aca="false">Funding!$F$76/Time!$F$9*Time!AH30</f>
        <v>18.3219843797845</v>
      </c>
      <c r="AI8" s="13" t="n">
        <f aca="false">Funding!$F$76/Time!$F$9*Time!AI30</f>
        <v>18.3219843797845</v>
      </c>
      <c r="AJ8" s="13" t="n">
        <f aca="false">Funding!$F$76/Time!$F$9*Time!AJ30</f>
        <v>18.3219843797845</v>
      </c>
      <c r="AK8" s="13" t="n">
        <f aca="false">Funding!$F$76/Time!$F$9*Time!AK30</f>
        <v>18.3219843797845</v>
      </c>
      <c r="AL8" s="13" t="n">
        <f aca="false">Funding!$F$76/Time!$F$9*Time!AL30</f>
        <v>18.3219843797845</v>
      </c>
      <c r="AM8" s="13" t="n">
        <f aca="false">Funding!$F$76/Time!$F$9*Time!AM30</f>
        <v>18.3219843797845</v>
      </c>
      <c r="AN8" s="13" t="n">
        <f aca="false">Funding!$F$76/Time!$F$9*Time!AN30</f>
        <v>18.3219843797845</v>
      </c>
      <c r="AO8" s="13" t="n">
        <f aca="false">Funding!$F$76/Time!$F$9*Time!AO30</f>
        <v>18.3219843797845</v>
      </c>
      <c r="AP8" s="13" t="n">
        <f aca="false">Funding!$F$76/Time!$F$9*Time!AP30</f>
        <v>18.3219843797845</v>
      </c>
      <c r="AQ8" s="13" t="n">
        <f aca="false">Funding!$F$76/Time!$F$9*Time!AQ30</f>
        <v>18.3219843797845</v>
      </c>
      <c r="AR8" s="13" t="n">
        <f aca="false">Funding!$F$76/Time!$F$9*Time!AR30</f>
        <v>18.3219843797845</v>
      </c>
      <c r="AS8" s="13" t="n">
        <f aca="false">Funding!$F$76/Time!$F$9*Time!AS30</f>
        <v>18.3219843797845</v>
      </c>
      <c r="AT8" s="13" t="n">
        <f aca="false">Funding!$F$76/Time!$F$9*Time!AT30</f>
        <v>18.3219843797845</v>
      </c>
      <c r="AU8" s="13" t="n">
        <f aca="false">Funding!$F$76/Time!$F$9*Time!AU30</f>
        <v>18.3219843797845</v>
      </c>
      <c r="AV8" s="13" t="n">
        <f aca="false">Funding!$F$76/Time!$F$9*Time!AV30</f>
        <v>18.3219843797845</v>
      </c>
      <c r="AW8" s="13" t="n">
        <f aca="false">Funding!$F$76/Time!$F$9*Time!AW30</f>
        <v>18.3219843797845</v>
      </c>
      <c r="AX8" s="13" t="n">
        <f aca="false">Funding!$F$76/Time!$F$9*Time!AX30</f>
        <v>18.3219843797845</v>
      </c>
      <c r="AY8" s="13" t="n">
        <f aca="false">Funding!$F$76/Time!$F$9*Time!AY30</f>
        <v>18.3219843797845</v>
      </c>
      <c r="AZ8" s="13" t="n">
        <f aca="false">Funding!$F$76/Time!$F$9*Time!AZ30</f>
        <v>18.3219843797845</v>
      </c>
      <c r="BA8" s="13" t="n">
        <f aca="false">Funding!$F$76/Time!$F$9*Time!BA30</f>
        <v>18.3219843797845</v>
      </c>
      <c r="BB8" s="13" t="n">
        <f aca="false">Funding!$F$76/Time!$F$9*Time!BB30</f>
        <v>18.3219843797845</v>
      </c>
      <c r="BC8" s="13" t="n">
        <f aca="false">Funding!$F$76/Time!$F$9*Time!BC30</f>
        <v>18.3219843797845</v>
      </c>
      <c r="BD8" s="13" t="n">
        <f aca="false">Funding!$F$76/Time!$F$9*Time!BD30</f>
        <v>18.3219843797845</v>
      </c>
      <c r="BE8" s="13" t="n">
        <f aca="false">Funding!$F$76/Time!$F$9*Time!BE30</f>
        <v>18.3219843797845</v>
      </c>
      <c r="BF8" s="13" t="n">
        <f aca="false">Funding!$F$76/Time!$F$9*Time!BF30</f>
        <v>18.3219843797845</v>
      </c>
      <c r="BG8" s="13" t="n">
        <f aca="false">Funding!$F$76/Time!$F$9*Time!BG30</f>
        <v>18.3219843797845</v>
      </c>
      <c r="BH8" s="13" t="n">
        <f aca="false">Funding!$F$76/Time!$F$9*Time!BH30</f>
        <v>18.3219843797845</v>
      </c>
      <c r="BI8" s="13" t="n">
        <f aca="false">Funding!$F$76/Time!$F$9*Time!BI30</f>
        <v>18.3219843797845</v>
      </c>
      <c r="BJ8" s="13" t="n">
        <f aca="false">Funding!$F$76/Time!$F$9*Time!BJ30</f>
        <v>18.3219843797845</v>
      </c>
      <c r="BK8" s="13" t="n">
        <f aca="false">Funding!$F$76/Time!$F$9*Time!BK30</f>
        <v>18.3219843797845</v>
      </c>
      <c r="BL8" s="13" t="n">
        <f aca="false">Funding!$F$76/Time!$F$9*Time!BL30</f>
        <v>18.3219843797845</v>
      </c>
      <c r="BM8" s="13" t="n">
        <f aca="false">Funding!$F$76/Time!$F$9*Time!BM30</f>
        <v>12.2146562531897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695.611002321449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3.50463854678449</v>
      </c>
      <c r="P9" s="13" t="n">
        <f aca="false">Debt!P112+Debt!P110+Debt!P104-Debt!P103+Tax!P13</f>
        <v>34.6160063927937</v>
      </c>
      <c r="Q9" s="13" t="n">
        <f aca="false">Debt!Q112+Debt!Q110+Debt!Q104-Debt!Q103+Tax!Q13</f>
        <v>33.5854238362419</v>
      </c>
      <c r="R9" s="13" t="n">
        <f aca="false">Debt!R112+Debt!R110+Debt!R104-Debt!R103+Tax!R13</f>
        <v>33.4900784460283</v>
      </c>
      <c r="S9" s="13" t="n">
        <f aca="false">Debt!S112+Debt!S110+Debt!S104-Debt!S103+Tax!S13</f>
        <v>32.4808244236561</v>
      </c>
      <c r="T9" s="13" t="n">
        <f aca="false">Debt!T112+Debt!T110+Debt!T104-Debt!T103+Tax!T13</f>
        <v>32.3253563255625</v>
      </c>
      <c r="U9" s="13" t="n">
        <f aca="false">Debt!U112+Debt!U110+Debt!U104-Debt!U103+Tax!U13</f>
        <v>31.4166760572241</v>
      </c>
      <c r="V9" s="13" t="n">
        <f aca="false">Debt!V112+Debt!V110+Debt!V104-Debt!V103+Tax!V13</f>
        <v>31.0807138223003</v>
      </c>
      <c r="W9" s="13" t="n">
        <f aca="false">Debt!W112+Debt!W110+Debt!W104-Debt!W103+Tax!W13</f>
        <v>29.9767168208696</v>
      </c>
      <c r="X9" s="13" t="n">
        <f aca="false">Debt!X112+Debt!X110+Debt!X104-Debt!X103+Tax!X13</f>
        <v>29.5976761570789</v>
      </c>
      <c r="Y9" s="13" t="n">
        <f aca="false">Debt!Y112+Debt!Y110+Debt!Y104-Debt!Y103+Tax!Y13</f>
        <v>29.0681817928366</v>
      </c>
      <c r="Z9" s="13" t="n">
        <f aca="false">Debt!Z112+Debt!Z110+Debt!Z104-Debt!Z103+Tax!Z13</f>
        <v>28.7736755101225</v>
      </c>
      <c r="AA9" s="13" t="n">
        <f aca="false">Debt!AA112+Debt!AA110+Debt!AA104-Debt!AA103+Tax!AA13</f>
        <v>27.6597846603764</v>
      </c>
      <c r="AB9" s="13" t="n">
        <f aca="false">Debt!AB112+Debt!AB110+Debt!AB104-Debt!AB103+Tax!AB13</f>
        <v>27.3033476227101</v>
      </c>
      <c r="AC9" s="13" t="n">
        <f aca="false">Debt!AC112+Debt!AC110+Debt!AC104-Debt!AC103+Tax!AC13</f>
        <v>26.2488186157568</v>
      </c>
      <c r="AD9" s="13" t="n">
        <f aca="false">Debt!AD112+Debt!AD110+Debt!AD104-Debt!AD103+Tax!AD13</f>
        <v>25.7176853823347</v>
      </c>
      <c r="AE9" s="13" t="n">
        <f aca="false">Debt!AE112+Debt!AE110+Debt!AE104-Debt!AE103+Tax!AE13</f>
        <v>24.4501837088793</v>
      </c>
      <c r="AF9" s="13" t="n">
        <f aca="false">Debt!AF112+Debt!AF110+Debt!AF104-Debt!AF103+Tax!AF13</f>
        <v>23.8063755637574</v>
      </c>
      <c r="AG9" s="13" t="n">
        <f aca="false">Debt!AG112+Debt!AG110+Debt!AG104-Debt!AG103+Tax!AG13</f>
        <v>22.7009752148328</v>
      </c>
      <c r="AH9" s="13" t="n">
        <f aca="false">Debt!AH112+Debt!AH110+Debt!AH104-Debt!AH103+Tax!AH13</f>
        <v>21.9427505471003</v>
      </c>
      <c r="AI9" s="13" t="n">
        <f aca="false">Debt!AI112+Debt!AI110+Debt!AI104-Debt!AI103+Tax!AI13</f>
        <v>20.4725563350371</v>
      </c>
      <c r="AJ9" s="13" t="n">
        <f aca="false">Debt!AJ112+Debt!AJ110+Debt!AJ104-Debt!AJ103+Tax!AJ13</f>
        <v>19.5734089316261</v>
      </c>
      <c r="AK9" s="13" t="n">
        <f aca="false">Debt!AK112+Debt!AK110+Debt!AK104-Debt!AK103+Tax!AK13</f>
        <v>18.1056151747367</v>
      </c>
      <c r="AL9" s="13" t="n">
        <f aca="false">Debt!AL112+Debt!AL110+Debt!AL104-Debt!AL103+Tax!AL13</f>
        <v>16.9587372911257</v>
      </c>
      <c r="AM9" s="13" t="n">
        <f aca="false">Debt!AM112+Debt!AM110+Debt!AM104-Debt!AM103+Tax!AM13</f>
        <v>15.2577685328374</v>
      </c>
      <c r="AN9" s="13" t="n">
        <f aca="false">Debt!AN112+Debt!AN110+Debt!AN104-Debt!AN103+Tax!AN13</f>
        <v>13.8572126010039</v>
      </c>
      <c r="AO9" s="13" t="n">
        <f aca="false">Debt!AO112+Debt!AO110+Debt!AO104-Debt!AO103+Tax!AO13</f>
        <v>12.2751425083377</v>
      </c>
      <c r="AP9" s="13" t="n">
        <f aca="false">Debt!AP112+Debt!AP110+Debt!AP104-Debt!AP103+Tax!AP13</f>
        <v>10.0568813544105</v>
      </c>
      <c r="AQ9" s="13" t="n">
        <f aca="false">Debt!AQ112+Debt!AQ110+Debt!AQ104-Debt!AQ103+Tax!AQ13</f>
        <v>7.94571494710025</v>
      </c>
      <c r="AR9" s="13" t="n">
        <f aca="false">Debt!AR112+Debt!AR110+Debt!AR104-Debt!AR103+Tax!AR13</f>
        <v>6.01668925892919</v>
      </c>
      <c r="AS9" s="13" t="n">
        <f aca="false">Debt!AS112+Debt!AS110+Debt!AS104-Debt!AS103+Tax!AS13</f>
        <v>3.7920672902852</v>
      </c>
      <c r="AT9" s="13" t="n">
        <f aca="false">Debt!AT112+Debt!AT110+Debt!AT104-Debt!AT103+Tax!AT13</f>
        <v>1.5533186487733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916.099218989225</v>
      </c>
      <c r="K10" s="13" t="n">
        <f aca="false">Funding!$F$76-SUM(Tax!$J$10:K$10)</f>
        <v>916.099218989225</v>
      </c>
      <c r="L10" s="13" t="n">
        <f aca="false">Funding!$F$76-SUM(Tax!$J$10:L$10)</f>
        <v>916.099218989225</v>
      </c>
      <c r="M10" s="13" t="n">
        <f aca="false">Funding!$F$76-SUM(Tax!$J$10:M$10)</f>
        <v>916.099218989225</v>
      </c>
      <c r="N10" s="13" t="n">
        <f aca="false">Funding!$F$76-SUM(Tax!$J$10:N$10)</f>
        <v>916.099218989225</v>
      </c>
      <c r="O10" s="13" t="n">
        <f aca="false">Funding!$F$76-SUM(Tax!$J$10:O$10)</f>
        <v>907.854326018322</v>
      </c>
      <c r="P10" s="13" t="n">
        <f aca="false">Funding!$F$76-SUM(Tax!$J$10:P$10)</f>
        <v>883.119647105613</v>
      </c>
      <c r="Q10" s="13" t="n">
        <f aca="false">Funding!$F$76-SUM(Tax!$J$10:Q$10)</f>
        <v>858.384968192904</v>
      </c>
      <c r="R10" s="13" t="n">
        <f aca="false">Funding!$F$76-SUM(Tax!$J$10:R$10)</f>
        <v>833.650289280195</v>
      </c>
      <c r="S10" s="13" t="n">
        <f aca="false">Funding!$F$76-SUM(Tax!$J$10:S$10)</f>
        <v>808.915610367486</v>
      </c>
      <c r="T10" s="13" t="n">
        <f aca="false">Funding!$F$76-SUM(Tax!$J$10:T$10)</f>
        <v>784.180931454777</v>
      </c>
      <c r="U10" s="13" t="n">
        <f aca="false">Funding!$F$76-SUM(Tax!$J$10:U$10)</f>
        <v>759.446252542068</v>
      </c>
      <c r="V10" s="13" t="n">
        <f aca="false">Funding!$F$76-SUM(Tax!$J$10:V$10)</f>
        <v>734.711573629359</v>
      </c>
      <c r="W10" s="13" t="n">
        <f aca="false">Funding!$F$76-SUM(Tax!$J$10:W$10)</f>
        <v>709.976894716649</v>
      </c>
      <c r="X10" s="13" t="n">
        <f aca="false">Funding!$F$76-SUM(Tax!$J$10:X$10)</f>
        <v>685.24221580394</v>
      </c>
      <c r="Y10" s="13" t="n">
        <f aca="false">Funding!$F$76-SUM(Tax!$J$10:Y$10)</f>
        <v>661.423636110221</v>
      </c>
      <c r="Z10" s="13" t="n">
        <f aca="false">Funding!$F$76-SUM(Tax!$J$10:Z$10)</f>
        <v>639.437254854479</v>
      </c>
      <c r="AA10" s="13" t="n">
        <f aca="false">Funding!$F$76-SUM(Tax!$J$10:AA$10)</f>
        <v>617.450873598738</v>
      </c>
      <c r="AB10" s="13" t="n">
        <f aca="false">Funding!$F$76-SUM(Tax!$J$10:AB$10)</f>
        <v>595.464492342996</v>
      </c>
      <c r="AC10" s="13" t="n">
        <f aca="false">Funding!$F$76-SUM(Tax!$J$10:AC$10)</f>
        <v>573.478111087255</v>
      </c>
      <c r="AD10" s="13" t="n">
        <f aca="false">Funding!$F$76-SUM(Tax!$J$10:AD$10)</f>
        <v>551.491729831514</v>
      </c>
      <c r="AE10" s="13" t="n">
        <f aca="false">Funding!$F$76-SUM(Tax!$J$10:AE$10)</f>
        <v>529.505348575772</v>
      </c>
      <c r="AF10" s="13" t="n">
        <f aca="false">Funding!$F$76-SUM(Tax!$J$10:AF$10)</f>
        <v>507.518967320031</v>
      </c>
      <c r="AG10" s="13" t="n">
        <f aca="false">Funding!$F$76-SUM(Tax!$J$10:AG$10)</f>
        <v>485.532586064289</v>
      </c>
      <c r="AH10" s="13" t="n">
        <f aca="false">Funding!$F$76-SUM(Tax!$J$10:AH$10)</f>
        <v>463.546204808548</v>
      </c>
      <c r="AI10" s="13" t="n">
        <f aca="false">Funding!$F$76-SUM(Tax!$J$10:AI$10)</f>
        <v>441.559823552807</v>
      </c>
      <c r="AJ10" s="13" t="n">
        <f aca="false">Funding!$F$76-SUM(Tax!$J$10:AJ$10)</f>
        <v>419.573442297065</v>
      </c>
      <c r="AK10" s="13" t="n">
        <f aca="false">Funding!$F$76-SUM(Tax!$J$10:AK$10)</f>
        <v>397.587061041324</v>
      </c>
      <c r="AL10" s="13" t="n">
        <f aca="false">Funding!$F$76-SUM(Tax!$J$10:AL$10)</f>
        <v>375.600679785582</v>
      </c>
      <c r="AM10" s="13" t="n">
        <f aca="false">Funding!$F$76-SUM(Tax!$J$10:AM$10)</f>
        <v>353.614298529841</v>
      </c>
      <c r="AN10" s="13" t="n">
        <f aca="false">Funding!$F$76-SUM(Tax!$J$10:AN$10)</f>
        <v>331.627917274099</v>
      </c>
      <c r="AO10" s="13" t="n">
        <f aca="false">Funding!$F$76-SUM(Tax!$J$10:AO$10)</f>
        <v>309.641536018358</v>
      </c>
      <c r="AP10" s="13" t="n">
        <f aca="false">Funding!$F$76-SUM(Tax!$J$10:AP$10)</f>
        <v>287.655154762617</v>
      </c>
      <c r="AQ10" s="13" t="n">
        <f aca="false">Funding!$F$76-SUM(Tax!$J$10:AQ$10)</f>
        <v>265.668773506875</v>
      </c>
      <c r="AR10" s="13" t="n">
        <f aca="false">Funding!$F$76-SUM(Tax!$J$10:AR$10)</f>
        <v>243.682392251134</v>
      </c>
      <c r="AS10" s="13" t="n">
        <f aca="false">Funding!$F$76-SUM(Tax!$J$10:AS$10)</f>
        <v>221.696010995393</v>
      </c>
      <c r="AT10" s="13" t="n">
        <f aca="false">Funding!$F$76-SUM(Tax!$J$10:AT$10)</f>
        <v>199.709629739651</v>
      </c>
      <c r="AU10" s="13" t="n">
        <f aca="false">Funding!$F$76-SUM(Tax!$J$10:AU$10)</f>
        <v>177.72324848391</v>
      </c>
      <c r="AV10" s="13" t="n">
        <f aca="false">Funding!$F$76-SUM(Tax!$J$10:AV$10)</f>
        <v>155.736867228168</v>
      </c>
      <c r="AW10" s="13" t="n">
        <f aca="false">Funding!$F$76-SUM(Tax!$J$10:AW$10)</f>
        <v>133.750485972427</v>
      </c>
      <c r="AX10" s="13" t="n">
        <f aca="false">Funding!$F$76-SUM(Tax!$J$10:AX$10)</f>
        <v>111.764104716685</v>
      </c>
      <c r="AY10" s="13" t="n">
        <f aca="false">Funding!$F$76-SUM(Tax!$J$10:AY$10)</f>
        <v>89.7777234609441</v>
      </c>
      <c r="AZ10" s="13" t="n">
        <f aca="false">Funding!$F$76-SUM(Tax!$J$10:AZ$10)</f>
        <v>67.7913422052027</v>
      </c>
      <c r="BA10" s="13" t="n">
        <f aca="false">Funding!$F$76-SUM(Tax!$J$10:BA$10)</f>
        <v>45.8049609494613</v>
      </c>
      <c r="BB10" s="13" t="n">
        <f aca="false">Funding!$F$76-SUM(Tax!$J$10:BB$10)</f>
        <v>23.8185796937198</v>
      </c>
      <c r="BC10" s="13" t="n">
        <f aca="false">Funding!$F$76-SUM(Tax!$J$10:BC$10)</f>
        <v>8.85562578356257</v>
      </c>
      <c r="BD10" s="13" t="n">
        <f aca="false">Funding!$F$76-SUM(Tax!$J$10:BD$10)</f>
        <v>7.93952656457338</v>
      </c>
      <c r="BE10" s="13" t="n">
        <f aca="false">Funding!$F$76-SUM(Tax!$J$10:BE$10)</f>
        <v>7.02342734558408</v>
      </c>
      <c r="BF10" s="13" t="n">
        <f aca="false">Funding!$F$76-SUM(Tax!$J$10:BF$10)</f>
        <v>6.10732812659489</v>
      </c>
      <c r="BG10" s="13" t="n">
        <f aca="false">Funding!$F$76-SUM(Tax!$J$10:BG$10)</f>
        <v>5.19122890760571</v>
      </c>
      <c r="BH10" s="13" t="n">
        <f aca="false">Funding!$F$76-SUM(Tax!$J$10:BH$10)</f>
        <v>4.2751296886164</v>
      </c>
      <c r="BI10" s="13" t="n">
        <f aca="false">Funding!$F$76-SUM(Tax!$J$10:BI$10)</f>
        <v>3.35903046962721</v>
      </c>
      <c r="BJ10" s="13" t="n">
        <f aca="false">Funding!$F$76-SUM(Tax!$J$10:BJ$10)</f>
        <v>2.44293125063803</v>
      </c>
      <c r="BK10" s="13" t="n">
        <f aca="false">Funding!$F$76-SUM(Tax!$J$10:BK$10)</f>
        <v>1.52683203164872</v>
      </c>
      <c r="BL10" s="13" t="n">
        <f aca="false">Funding!$F$76-SUM(Tax!$J$10:BL$10)</f>
        <v>0.610732812659535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916.099218989225</v>
      </c>
      <c r="K11" s="13" t="n">
        <f aca="false">Funding!$F$76-SUM($J$8:K$8)</f>
        <v>916.099218989225</v>
      </c>
      <c r="L11" s="13" t="n">
        <f aca="false">Funding!$F$76-SUM($J$8:L$8)</f>
        <v>916.099218989225</v>
      </c>
      <c r="M11" s="13" t="n">
        <f aca="false">Funding!$F$76-SUM($J$8:M$8)</f>
        <v>916.099218989225</v>
      </c>
      <c r="N11" s="13" t="n">
        <f aca="false">Funding!$F$76-SUM($J$8:N$8)</f>
        <v>916.099218989225</v>
      </c>
      <c r="O11" s="13" t="n">
        <f aca="false">Funding!$F$76-SUM($J$8:O$8)</f>
        <v>909.99189086263</v>
      </c>
      <c r="P11" s="13" t="n">
        <f aca="false">Funding!$F$76-SUM($J$8:P$8)</f>
        <v>891.669906482846</v>
      </c>
      <c r="Q11" s="13" t="n">
        <f aca="false">Funding!$F$76-SUM($J$8:Q$8)</f>
        <v>873.347922103061</v>
      </c>
      <c r="R11" s="13" t="n">
        <f aca="false">Funding!$F$76-SUM($J$8:R$8)</f>
        <v>855.025937723277</v>
      </c>
      <c r="S11" s="13" t="n">
        <f aca="false">Funding!$F$76-SUM($J$8:S$8)</f>
        <v>836.703953343492</v>
      </c>
      <c r="T11" s="13" t="n">
        <f aca="false">Funding!$F$76-SUM($J$8:T$8)</f>
        <v>818.381968963708</v>
      </c>
      <c r="U11" s="13" t="n">
        <f aca="false">Funding!$F$76-SUM($J$8:U$8)</f>
        <v>800.059984583923</v>
      </c>
      <c r="V11" s="13" t="n">
        <f aca="false">Funding!$F$76-SUM($J$8:V$8)</f>
        <v>781.738000204139</v>
      </c>
      <c r="W11" s="13" t="n">
        <f aca="false">Funding!$F$76-SUM($J$8:W$8)</f>
        <v>763.416015824354</v>
      </c>
      <c r="X11" s="13" t="n">
        <f aca="false">Funding!$F$76-SUM($J$8:X$8)</f>
        <v>745.09403144457</v>
      </c>
      <c r="Y11" s="13" t="n">
        <f aca="false">Funding!$F$76-SUM($J$8:Y$8)</f>
        <v>726.772047064785</v>
      </c>
      <c r="Z11" s="13" t="n">
        <f aca="false">Funding!$F$76-SUM($J$8:Z$8)</f>
        <v>708.450062685001</v>
      </c>
      <c r="AA11" s="13" t="n">
        <f aca="false">Funding!$F$76-SUM($J$8:AA$8)</f>
        <v>690.128078305216</v>
      </c>
      <c r="AB11" s="13" t="n">
        <f aca="false">Funding!$F$76-SUM($J$8:AB$8)</f>
        <v>671.806093925432</v>
      </c>
      <c r="AC11" s="13" t="n">
        <f aca="false">Funding!$F$76-SUM($J$8:AC$8)</f>
        <v>653.484109545647</v>
      </c>
      <c r="AD11" s="13" t="n">
        <f aca="false">Funding!$F$76-SUM($J$8:AD$8)</f>
        <v>635.162125165863</v>
      </c>
      <c r="AE11" s="13" t="n">
        <f aca="false">Funding!$F$76-SUM($J$8:AE$8)</f>
        <v>616.840140786078</v>
      </c>
      <c r="AF11" s="13" t="n">
        <f aca="false">Funding!$F$76-SUM($J$8:AF$8)</f>
        <v>598.518156406294</v>
      </c>
      <c r="AG11" s="13" t="n">
        <f aca="false">Funding!$F$76-SUM($J$8:AG$8)</f>
        <v>580.196172026509</v>
      </c>
      <c r="AH11" s="13" t="n">
        <f aca="false">Funding!$F$76-SUM($J$8:AH$8)</f>
        <v>561.874187646725</v>
      </c>
      <c r="AI11" s="13" t="n">
        <f aca="false">Funding!$F$76-SUM($J$8:AI$8)</f>
        <v>543.55220326694</v>
      </c>
      <c r="AJ11" s="13" t="n">
        <f aca="false">Funding!$F$76-SUM($J$8:AJ$8)</f>
        <v>525.230218887156</v>
      </c>
      <c r="AK11" s="13" t="n">
        <f aca="false">Funding!$F$76-SUM($J$8:AK$8)</f>
        <v>506.908234507371</v>
      </c>
      <c r="AL11" s="13" t="n">
        <f aca="false">Funding!$F$76-SUM($J$8:AL$8)</f>
        <v>488.586250127587</v>
      </c>
      <c r="AM11" s="13" t="n">
        <f aca="false">Funding!$F$76-SUM($J$8:AM$8)</f>
        <v>470.264265747802</v>
      </c>
      <c r="AN11" s="13" t="n">
        <f aca="false">Funding!$F$76-SUM($J$8:AN$8)</f>
        <v>451.942281368018</v>
      </c>
      <c r="AO11" s="13" t="n">
        <f aca="false">Funding!$F$76-SUM($J$8:AO$8)</f>
        <v>433.620296988233</v>
      </c>
      <c r="AP11" s="13" t="n">
        <f aca="false">Funding!$F$76-SUM($J$8:AP$8)</f>
        <v>415.298312608449</v>
      </c>
      <c r="AQ11" s="13" t="n">
        <f aca="false">Funding!$F$76-SUM($J$8:AQ$8)</f>
        <v>396.976328228664</v>
      </c>
      <c r="AR11" s="13" t="n">
        <f aca="false">Funding!$F$76-SUM($J$8:AR$8)</f>
        <v>378.65434384888</v>
      </c>
      <c r="AS11" s="13" t="n">
        <f aca="false">Funding!$F$76-SUM($J$8:AS$8)</f>
        <v>360.332359469095</v>
      </c>
      <c r="AT11" s="13" t="n">
        <f aca="false">Funding!$F$76-SUM($J$8:AT$8)</f>
        <v>342.010375089311</v>
      </c>
      <c r="AU11" s="13" t="n">
        <f aca="false">Funding!$F$76-SUM($J$8:AU$8)</f>
        <v>323.688390709526</v>
      </c>
      <c r="AV11" s="13" t="n">
        <f aca="false">Funding!$F$76-SUM($J$8:AV$8)</f>
        <v>305.366406329742</v>
      </c>
      <c r="AW11" s="13" t="n">
        <f aca="false">Funding!$F$76-SUM($J$8:AW$8)</f>
        <v>287.044421949957</v>
      </c>
      <c r="AX11" s="13" t="n">
        <f aca="false">Funding!$F$76-SUM($J$8:AX$8)</f>
        <v>268.722437570173</v>
      </c>
      <c r="AY11" s="13" t="n">
        <f aca="false">Funding!$F$76-SUM($J$8:AY$8)</f>
        <v>250.400453190388</v>
      </c>
      <c r="AZ11" s="13" t="n">
        <f aca="false">Funding!$F$76-SUM($J$8:AZ$8)</f>
        <v>232.078468810604</v>
      </c>
      <c r="BA11" s="13" t="n">
        <f aca="false">Funding!$F$76-SUM($J$8:BA$8)</f>
        <v>213.756484430819</v>
      </c>
      <c r="BB11" s="13" t="n">
        <f aca="false">Funding!$F$76-SUM($J$8:BB$8)</f>
        <v>195.434500051035</v>
      </c>
      <c r="BC11" s="13" t="n">
        <f aca="false">Funding!$F$76-SUM($J$8:BC$8)</f>
        <v>177.11251567125</v>
      </c>
      <c r="BD11" s="13" t="n">
        <f aca="false">Funding!$F$76-SUM($J$8:BD$8)</f>
        <v>158.790531291466</v>
      </c>
      <c r="BE11" s="13" t="n">
        <f aca="false">Funding!$F$76-SUM($J$8:BE$8)</f>
        <v>140.468546911681</v>
      </c>
      <c r="BF11" s="13" t="n">
        <f aca="false">Funding!$F$76-SUM($J$8:BF$8)</f>
        <v>122.146562531897</v>
      </c>
      <c r="BG11" s="13" t="n">
        <f aca="false">Funding!$F$76-SUM($J$8:BG$8)</f>
        <v>103.824578152112</v>
      </c>
      <c r="BH11" s="13" t="n">
        <f aca="false">Funding!$F$76-SUM($J$8:BH$8)</f>
        <v>85.5025937723277</v>
      </c>
      <c r="BI11" s="13" t="n">
        <f aca="false">Funding!$F$76-SUM($J$8:BI$8)</f>
        <v>67.1806093925433</v>
      </c>
      <c r="BJ11" s="13" t="n">
        <f aca="false">Funding!$F$76-SUM($J$8:BJ$8)</f>
        <v>48.8586250127587</v>
      </c>
      <c r="BK11" s="13" t="n">
        <f aca="false">Funding!$F$76-SUM($J$8:BK$8)</f>
        <v>30.5366406329742</v>
      </c>
      <c r="BL11" s="13" t="n">
        <f aca="false">Funding!$F$76-SUM($J$8:BL$8)</f>
        <v>12.2146562531898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-1.83219843797843</v>
      </c>
      <c r="P12" s="13" t="n">
        <f aca="false">IF(Time!P20&gt;=Time!$F$12,Inputs!$F$184/100*(P11-P10-Tax!P21),0)</f>
        <v>-7.32879375191379</v>
      </c>
      <c r="Q12" s="13" t="n">
        <f aca="false">IF(Time!Q20&gt;=Time!$F$12,Inputs!$F$184/100*(Q11-Q10-Tax!Q21),0)</f>
        <v>-12.8253890658492</v>
      </c>
      <c r="R12" s="13" t="n">
        <f aca="false">IF(Time!R20&gt;=Time!$F$12,Inputs!$F$184/100*(R11-R10-Tax!R21),0)</f>
        <v>-18.3219843797845</v>
      </c>
      <c r="S12" s="13" t="n">
        <f aca="false">IF(Time!S20&gt;=Time!$F$12,Inputs!$F$184/100*(S11-S10-Tax!S21),0)</f>
        <v>-23.8185796937198</v>
      </c>
      <c r="T12" s="13" t="n">
        <f aca="false">IF(Time!T20&gt;=Time!$F$12,Inputs!$F$184/100*(T11-T10-Tax!T21),0)</f>
        <v>-29.3151750076552</v>
      </c>
      <c r="U12" s="13" t="n">
        <f aca="false">IF(Time!U20&gt;=Time!$F$12,Inputs!$F$184/100*(U11-U10-Tax!U21),0)</f>
        <v>-34.8117703215906</v>
      </c>
      <c r="V12" s="13" t="n">
        <f aca="false">IF(Time!V20&gt;=Time!$F$12,Inputs!$F$184/100*(V11-V10-Tax!V21),0)</f>
        <v>-40.3083656355259</v>
      </c>
      <c r="W12" s="13" t="n">
        <f aca="false">IF(Time!W20&gt;=Time!$F$12,Inputs!$F$184/100*(W11-W10-Tax!W21),0)</f>
        <v>-45.8049609494613</v>
      </c>
      <c r="X12" s="13" t="n">
        <f aca="false">IF(Time!X20&gt;=Time!$F$12,Inputs!$F$184/100*(X11-X10-Tax!X21),0)</f>
        <v>-51.3015562633966</v>
      </c>
      <c r="Y12" s="13" t="n">
        <f aca="false">IF(Time!Y20&gt;=Time!$F$12,Inputs!$F$184/100*(Y11-Y10-Tax!Y21),0)</f>
        <v>-54.5287448601714</v>
      </c>
      <c r="Z12" s="13" t="n">
        <f aca="false">IF(Time!Z20&gt;=Time!$F$12,Inputs!$F$184/100*(Z11-Z10-Tax!Z21),0)</f>
        <v>-53.084678547295</v>
      </c>
      <c r="AA12" s="13" t="n">
        <f aca="false">IF(Time!AA20&gt;=Time!$F$12,Inputs!$F$184/100*(AA11-AA10-Tax!AA21),0)</f>
        <v>-51.2762301095814</v>
      </c>
      <c r="AB12" s="13" t="n">
        <f aca="false">IF(Time!AB20&gt;=Time!$F$12,Inputs!$F$184/100*(AB11-AB10-Tax!AB21),0)</f>
        <v>-49.3358141249656</v>
      </c>
      <c r="AC12" s="13" t="n">
        <f aca="false">IF(Time!AC20&gt;=Time!$F$12,Inputs!$F$184/100*(AC11-AC10-Tax!AC21),0)</f>
        <v>-47.0145178670992</v>
      </c>
      <c r="AD12" s="13" t="n">
        <f aca="false">IF(Time!AD20&gt;=Time!$F$12,Inputs!$F$184/100*(AD11-AD10-Tax!AD21),0)</f>
        <v>-45.9151988043121</v>
      </c>
      <c r="AE12" s="13" t="n">
        <f aca="false">IF(Time!AE20&gt;=Time!$F$12,Inputs!$F$184/100*(AE11-AE10-Tax!AE21),0)</f>
        <v>-44.815879741525</v>
      </c>
      <c r="AF12" s="13" t="n">
        <f aca="false">IF(Time!AF20&gt;=Time!$F$12,Inputs!$F$184/100*(AF11-AF10-Tax!AF21),0)</f>
        <v>-42.1790374252915</v>
      </c>
      <c r="AG12" s="13" t="n">
        <f aca="false">IF(Time!AG20&gt;=Time!$F$12,Inputs!$F$184/100*(AG11-AG10-Tax!AG21),0)</f>
        <v>-38.6714518408246</v>
      </c>
      <c r="AH12" s="13" t="n">
        <f aca="false">IF(Time!AH20&gt;=Time!$F$12,Inputs!$F$184/100*(AH11-AH10-Tax!AH21),0)</f>
        <v>-34.8881574932479</v>
      </c>
      <c r="AI12" s="13" t="n">
        <f aca="false">IF(Time!AI20&gt;=Time!$F$12,Inputs!$F$184/100*(AI11-AI10-Tax!AI21),0)</f>
        <v>-30.6314614842738</v>
      </c>
      <c r="AJ12" s="13" t="n">
        <f aca="false">IF(Time!AJ20&gt;=Time!$F$12,Inputs!$F$184/100*(AJ11-AJ10-Tax!AJ21),0)</f>
        <v>-26.0780050937126</v>
      </c>
      <c r="AK12" s="13" t="n">
        <f aca="false">IF(Time!AK20&gt;=Time!$F$12,Inputs!$F$184/100*(AK11-AK10-Tax!AK21),0)</f>
        <v>-21.0256879338678</v>
      </c>
      <c r="AL12" s="13" t="n">
        <f aca="false">IF(Time!AL20&gt;=Time!$F$12,Inputs!$F$184/100*(AL11-AL10-Tax!AL21),0)</f>
        <v>-16.4410350877541</v>
      </c>
      <c r="AM12" s="13" t="n">
        <f aca="false">IF(Time!AM20&gt;=Time!$F$12,Inputs!$F$184/100*(AM11-AM10-Tax!AM21),0)</f>
        <v>-10.4351565959354</v>
      </c>
      <c r="AN12" s="13" t="n">
        <f aca="false">IF(Time!AN20&gt;=Time!$F$12,Inputs!$F$184/100*(AN11-AN10-Tax!AN21),0)</f>
        <v>-4.01083221661937</v>
      </c>
      <c r="AO12" s="13" t="n">
        <f aca="false">IF(Time!AO20&gt;=Time!$F$12,Inputs!$F$184/100*(AO11-AO10-Tax!AO21),0)</f>
        <v>2.93388232285805</v>
      </c>
      <c r="AP12" s="13" t="n">
        <f aca="false">IF(Time!AP20&gt;=Time!$F$12,Inputs!$F$184/100*(AP11-AP10-Tax!AP21),0)</f>
        <v>10.5968539020905</v>
      </c>
      <c r="AQ12" s="13" t="n">
        <f aca="false">IF(Time!AQ20&gt;=Time!$F$12,Inputs!$F$184/100*(AQ11-AQ10-Tax!AQ21),0)</f>
        <v>18.9277989793559</v>
      </c>
      <c r="AR12" s="13" t="n">
        <f aca="false">IF(Time!AR20&gt;=Time!$F$12,Inputs!$F$184/100*(AR11-AR10-Tax!AR21),0)</f>
        <v>27.8666041866485</v>
      </c>
      <c r="AS12" s="13" t="n">
        <f aca="false">IF(Time!AS20&gt;=Time!$F$12,Inputs!$F$184/100*(AS11-AS10-Tax!AS21),0)</f>
        <v>37.5498323422252</v>
      </c>
      <c r="AT12" s="13" t="n">
        <f aca="false">IF(Time!AT20&gt;=Time!$F$12,Inputs!$F$184/100*(AT11-AT10-Tax!AT21),0)</f>
        <v>42.6902236048979</v>
      </c>
      <c r="AU12" s="13" t="n">
        <f aca="false">IF(Time!AU20&gt;=Time!$F$12,Inputs!$F$184/100*(AU11-AU10-Tax!AU21),0)</f>
        <v>43.789542667685</v>
      </c>
      <c r="AV12" s="13" t="n">
        <f aca="false">IF(Time!AV20&gt;=Time!$F$12,Inputs!$F$184/100*(AV11-AV10-Tax!AV21),0)</f>
        <v>44.8888617304721</v>
      </c>
      <c r="AW12" s="13" t="n">
        <f aca="false">IF(Time!AW20&gt;=Time!$F$12,Inputs!$F$184/100*(AW11-AW10-Tax!AW21),0)</f>
        <v>45.9881807932591</v>
      </c>
      <c r="AX12" s="13" t="n">
        <f aca="false">IF(Time!AX20&gt;=Time!$F$12,Inputs!$F$184/100*(AX11-AX10-Tax!AX21),0)</f>
        <v>47.0874998560462</v>
      </c>
      <c r="AY12" s="13" t="n">
        <f aca="false">IF(Time!AY20&gt;=Time!$F$12,Inputs!$F$184/100*(AY11-AY10-Tax!AY21),0)</f>
        <v>48.1868189188332</v>
      </c>
      <c r="AZ12" s="13" t="n">
        <f aca="false">IF(Time!AZ20&gt;=Time!$F$12,Inputs!$F$184/100*(AZ11-AZ10-Tax!AZ21),0)</f>
        <v>49.2861379816203</v>
      </c>
      <c r="BA12" s="13" t="n">
        <f aca="false">IF(Time!BA20&gt;=Time!$F$12,Inputs!$F$184/100*(BA11-BA10-Tax!BA21),0)</f>
        <v>50.3854570444074</v>
      </c>
      <c r="BB12" s="13" t="n">
        <f aca="false">IF(Time!BB20&gt;=Time!$F$12,Inputs!$F$184/100*(BB11-BB10-Tax!BB21),0)</f>
        <v>51.4847761071945</v>
      </c>
      <c r="BC12" s="13" t="n">
        <f aca="false">IF(Time!BC20&gt;=Time!$F$12,Inputs!$F$184/100*(BC11-BC10-Tax!BC21),0)</f>
        <v>50.4770669663063</v>
      </c>
      <c r="BD12" s="13" t="n">
        <f aca="false">IF(Time!BD20&gt;=Time!$F$12,Inputs!$F$184/100*(BD11-BD10-Tax!BD21),0)</f>
        <v>45.2553014180677</v>
      </c>
      <c r="BE12" s="13" t="n">
        <f aca="false">IF(Time!BE20&gt;=Time!$F$12,Inputs!$F$184/100*(BE11-BE10-Tax!BE21),0)</f>
        <v>40.0335358698292</v>
      </c>
      <c r="BF12" s="13" t="n">
        <f aca="false">IF(Time!BF20&gt;=Time!$F$12,Inputs!$F$184/100*(BF11-BF10-Tax!BF21),0)</f>
        <v>34.8117703215906</v>
      </c>
      <c r="BG12" s="13" t="n">
        <f aca="false">IF(Time!BG20&gt;=Time!$F$12,Inputs!$F$184/100*(BG11-BG10-Tax!BG21),0)</f>
        <v>29.590004773352</v>
      </c>
      <c r="BH12" s="13" t="n">
        <f aca="false">IF(Time!BH20&gt;=Time!$F$12,Inputs!$F$184/100*(BH11-BH10-Tax!BH21),0)</f>
        <v>24.3682392251134</v>
      </c>
      <c r="BI12" s="13" t="n">
        <f aca="false">IF(Time!BI20&gt;=Time!$F$12,Inputs!$F$184/100*(BI11-BI10-Tax!BI21),0)</f>
        <v>19.1464736768748</v>
      </c>
      <c r="BJ12" s="13" t="n">
        <f aca="false">IF(Time!BJ20&gt;=Time!$F$12,Inputs!$F$184/100*(BJ11-BJ10-Tax!BJ21),0)</f>
        <v>13.9247081286362</v>
      </c>
      <c r="BK12" s="13" t="n">
        <f aca="false">IF(Time!BK20&gt;=Time!$F$12,Inputs!$F$184/100*(BK11-BK10-Tax!BK21),0)</f>
        <v>8.70294258039766</v>
      </c>
      <c r="BL12" s="13" t="n">
        <f aca="false">IF(Time!BL20&gt;=Time!$F$12,Inputs!$F$184/100*(BL11-BL10-Tax!BL21),0)</f>
        <v>3.48117703215908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-1.83219843797843</v>
      </c>
      <c r="P13" s="13" t="n">
        <f aca="false">P12-O12</f>
        <v>-5.49659531393536</v>
      </c>
      <c r="Q13" s="13" t="n">
        <f aca="false">Q12-P12</f>
        <v>-5.49659531393536</v>
      </c>
      <c r="R13" s="13" t="n">
        <f aca="false">R12-Q12</f>
        <v>-5.49659531393536</v>
      </c>
      <c r="S13" s="13" t="n">
        <f aca="false">S12-R12</f>
        <v>-5.49659531393533</v>
      </c>
      <c r="T13" s="13" t="n">
        <f aca="false">T12-S12</f>
        <v>-5.49659531393539</v>
      </c>
      <c r="U13" s="13" t="n">
        <f aca="false">U12-T12</f>
        <v>-5.49659531393533</v>
      </c>
      <c r="V13" s="13" t="n">
        <f aca="false">V12-U12</f>
        <v>-5.49659531393533</v>
      </c>
      <c r="W13" s="13" t="n">
        <f aca="false">W12-V12</f>
        <v>-5.49659531393536</v>
      </c>
      <c r="X13" s="13" t="n">
        <f aca="false">X12-W12</f>
        <v>-5.49659531393539</v>
      </c>
      <c r="Y13" s="13" t="n">
        <f aca="false">Y12-X12</f>
        <v>-3.2271885967748</v>
      </c>
      <c r="Z13" s="13" t="n">
        <f aca="false">Z12-Y12</f>
        <v>1.44406631287641</v>
      </c>
      <c r="AA13" s="13" t="n">
        <f aca="false">AA12-Z12</f>
        <v>1.80844843771366</v>
      </c>
      <c r="AB13" s="13" t="n">
        <f aca="false">AB12-AA12</f>
        <v>1.94041598461576</v>
      </c>
      <c r="AC13" s="13" t="n">
        <f aca="false">AC12-AB12</f>
        <v>2.32129625786641</v>
      </c>
      <c r="AD13" s="13" t="n">
        <f aca="false">AD12-AC12</f>
        <v>1.0993190627871</v>
      </c>
      <c r="AE13" s="13" t="n">
        <f aca="false">AE12-AD12</f>
        <v>1.09931906278709</v>
      </c>
      <c r="AF13" s="13" t="n">
        <f aca="false">AF12-AE12</f>
        <v>2.63684231623351</v>
      </c>
      <c r="AG13" s="13" t="n">
        <f aca="false">AG12-AF12</f>
        <v>3.50758558446692</v>
      </c>
      <c r="AH13" s="13" t="n">
        <f aca="false">AH12-AG12</f>
        <v>3.78329434757668</v>
      </c>
      <c r="AI13" s="13" t="n">
        <f aca="false">AI12-AH12</f>
        <v>4.25669600897415</v>
      </c>
      <c r="AJ13" s="13" t="n">
        <f aca="false">AJ12-AI12</f>
        <v>4.55345639056118</v>
      </c>
      <c r="AK13" s="13" t="n">
        <f aca="false">AK12-AJ12</f>
        <v>5.05231715984474</v>
      </c>
      <c r="AL13" s="13" t="n">
        <f aca="false">AL12-AK12</f>
        <v>4.58465284611378</v>
      </c>
      <c r="AM13" s="13" t="n">
        <f aca="false">AM12-AL12</f>
        <v>6.00587849181866</v>
      </c>
      <c r="AN13" s="13" t="n">
        <f aca="false">AN12-AM12</f>
        <v>6.42432437931604</v>
      </c>
      <c r="AO13" s="13" t="n">
        <f aca="false">AO12-AN12</f>
        <v>6.94471453947741</v>
      </c>
      <c r="AP13" s="13" t="n">
        <f aca="false">AP12-AO12</f>
        <v>7.66297157923248</v>
      </c>
      <c r="AQ13" s="13" t="n">
        <f aca="false">AQ12-AP12</f>
        <v>8.33094507726538</v>
      </c>
      <c r="AR13" s="13" t="n">
        <f aca="false">AR12-AQ12</f>
        <v>8.93880520729259</v>
      </c>
      <c r="AS13" s="13" t="n">
        <f aca="false">AS12-AR12</f>
        <v>9.68322815557668</v>
      </c>
      <c r="AT13" s="13" t="n">
        <f aca="false">AT12-AS12</f>
        <v>5.14039126267274</v>
      </c>
      <c r="AU13" s="13" t="n">
        <f aca="false">AU12-AT12</f>
        <v>1.0993190627871</v>
      </c>
      <c r="AV13" s="13" t="n">
        <f aca="false">AV12-AU12</f>
        <v>1.09931906278706</v>
      </c>
      <c r="AW13" s="13" t="n">
        <f aca="false">AW12-AV12</f>
        <v>1.09931906278706</v>
      </c>
      <c r="AX13" s="13" t="n">
        <f aca="false">AX12-AW12</f>
        <v>1.0993190627871</v>
      </c>
      <c r="AY13" s="13" t="n">
        <f aca="false">AY12-AX12</f>
        <v>1.09931906278702</v>
      </c>
      <c r="AZ13" s="13" t="n">
        <f aca="false">AZ12-AY12</f>
        <v>1.0993190627871</v>
      </c>
      <c r="BA13" s="13" t="n">
        <f aca="false">BA12-AZ12</f>
        <v>1.09931906278706</v>
      </c>
      <c r="BB13" s="13" t="n">
        <f aca="false">BB12-BA12</f>
        <v>1.09931906278709</v>
      </c>
      <c r="BC13" s="13" t="n">
        <f aca="false">BC12-BB12</f>
        <v>-1.0077091408882</v>
      </c>
      <c r="BD13" s="13" t="n">
        <f aca="false">BD12-BC12</f>
        <v>-5.22176554823858</v>
      </c>
      <c r="BE13" s="13" t="n">
        <f aca="false">BE12-BD12</f>
        <v>-5.22176554823854</v>
      </c>
      <c r="BF13" s="13" t="n">
        <f aca="false">BF12-BE12</f>
        <v>-5.22176554823862</v>
      </c>
      <c r="BG13" s="13" t="n">
        <f aca="false">BG12-BF12</f>
        <v>-5.22176554823858</v>
      </c>
      <c r="BH13" s="13" t="n">
        <f aca="false">BH12-BG12</f>
        <v>-5.22176554823858</v>
      </c>
      <c r="BI13" s="13" t="n">
        <f aca="false">BI12-BH12</f>
        <v>-5.22176554823858</v>
      </c>
      <c r="BJ13" s="13" t="n">
        <f aca="false">BJ12-BI12</f>
        <v>-5.22176554823861</v>
      </c>
      <c r="BK13" s="13" t="n">
        <f aca="false">BK12-BJ12</f>
        <v>-5.22176554823854</v>
      </c>
      <c r="BL13" s="13" t="n">
        <f aca="false">BL12-BK12</f>
        <v>-5.22176554823858</v>
      </c>
      <c r="BM13" s="13" t="n">
        <f aca="false">BM12-BL12</f>
        <v>-3.48117703215908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756.279559828636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9.10515112180447</v>
      </c>
      <c r="P14" s="13" t="n">
        <f aca="false">Operations!P84-P8-P9-Tax!P27-P13</f>
        <v>3.21137601120685</v>
      </c>
      <c r="Q14" s="13" t="n">
        <f aca="false">Operations!Q84-Q8-Q9-Tax!Q27-Q13</f>
        <v>4.45728550940818</v>
      </c>
      <c r="R14" s="13" t="n">
        <f aca="false">Operations!R84-R8-R9-Tax!R27-R13</f>
        <v>4.70096050763335</v>
      </c>
      <c r="S14" s="13" t="n">
        <f aca="false">Operations!S84-S8-S9-Tax!S27-S13</f>
        <v>5.80430698885686</v>
      </c>
      <c r="T14" s="13" t="n">
        <f aca="false">Operations!T84-T8-T9-Tax!T27-T13</f>
        <v>6.03711441534742</v>
      </c>
      <c r="U14" s="13" t="n">
        <f aca="false">Operations!U84-U8-U9-Tax!U27-U13</f>
        <v>7.11040994704144</v>
      </c>
      <c r="V14" s="13" t="n">
        <f aca="false">Operations!V84-V8-V9-Tax!V27-V13</f>
        <v>5.16886252383273</v>
      </c>
      <c r="W14" s="13" t="n">
        <f aca="false">Operations!W84-W8-W9-Tax!W27-W13</f>
        <v>8.82934131362156</v>
      </c>
      <c r="X14" s="13" t="n">
        <f aca="false">Operations!X84-X8-X9-Tax!X27-X13</f>
        <v>9.20859421506932</v>
      </c>
      <c r="Y14" s="13" t="n">
        <f aca="false">Operations!Y84-Y8-Y9-Tax!Y27-Y13</f>
        <v>7.48122555267515</v>
      </c>
      <c r="Z14" s="13" t="n">
        <f aca="false">Operations!Z84-Z8-Z9-Tax!Z27-Z13</f>
        <v>3.01399652870468</v>
      </c>
      <c r="AA14" s="13" t="n">
        <f aca="false">Operations!AA84-AA8-AA9-Tax!AA27-AA13</f>
        <v>3.86244646072604</v>
      </c>
      <c r="AB14" s="13" t="n">
        <f aca="false">Operations!AB84-AB8-AB9-Tax!AB27-AB13</f>
        <v>4.16843761260533</v>
      </c>
      <c r="AC14" s="13" t="n">
        <f aca="false">Operations!AC84-AC8-AC9-Tax!AC27-AC13</f>
        <v>5.05626853454179</v>
      </c>
      <c r="AD14" s="13" t="n">
        <f aca="false">Operations!AD84-AD8-AD9-Tax!AD27-AD13</f>
        <v>-5.6598905892101</v>
      </c>
      <c r="AE14" s="13" t="n">
        <f aca="false">Operations!AE84-AE8-AE9-Tax!AE27-AE13</f>
        <v>8.41584792890389</v>
      </c>
      <c r="AF14" s="13" t="n">
        <f aca="false">Operations!AF84-AF8-AF9-Tax!AF27-AF13</f>
        <v>7.44254757727858</v>
      </c>
      <c r="AG14" s="13" t="n">
        <f aca="false">Operations!AG84-AG8-AG9-Tax!AG27-AG13</f>
        <v>7.81673856214149</v>
      </c>
      <c r="AH14" s="13" t="n">
        <f aca="false">Operations!AH84-AH8-AH9-Tax!AH27-AH13</f>
        <v>8.45858306091536</v>
      </c>
      <c r="AI14" s="13" t="n">
        <f aca="false">Operations!AI84-AI8-AI9-Tax!AI27-AI13</f>
        <v>9.56125439701885</v>
      </c>
      <c r="AJ14" s="13" t="n">
        <f aca="false">Operations!AJ84-AJ8-AJ9-Tax!AJ27-AJ13</f>
        <v>10.251591233189</v>
      </c>
      <c r="AK14" s="13" t="n">
        <f aca="false">Operations!AK84-AK8-AK9-Tax!AK27-AK13</f>
        <v>11.4143084329407</v>
      </c>
      <c r="AL14" s="13" t="n">
        <f aca="false">Operations!AL84-AL8-AL9-Tax!AL27-AL13</f>
        <v>10.3223336719919</v>
      </c>
      <c r="AM14" s="13" t="n">
        <f aca="false">Operations!AM84-AM8-AM9-Tax!AM27-AM13</f>
        <v>13.6361287977209</v>
      </c>
      <c r="AN14" s="13" t="n">
        <f aca="false">Operations!AN84-AN8-AN9-Tax!AN27-AN13</f>
        <v>14.6095204961362</v>
      </c>
      <c r="AO14" s="13" t="n">
        <f aca="false">Operations!AO84-AO8-AO9-Tax!AO27-AO13</f>
        <v>15.8220139072418</v>
      </c>
      <c r="AP14" s="13" t="n">
        <f aca="false">Operations!AP84-AP8-AP9-Tax!AP27-AP13</f>
        <v>17.4963381527892</v>
      </c>
      <c r="AQ14" s="13" t="n">
        <f aca="false">Operations!AQ84-AQ8-AQ9-Tax!AQ27-AQ13</f>
        <v>19.0528389574023</v>
      </c>
      <c r="AR14" s="13" t="n">
        <f aca="false">Operations!AR84-AR8-AR9-Tax!AR27-AR13</f>
        <v>20.468889175047</v>
      </c>
      <c r="AS14" s="13" t="n">
        <f aca="false">Operations!AS84-AS8-AS9-Tax!AS27-AS13</f>
        <v>22.2048125612844</v>
      </c>
      <c r="AT14" s="13" t="n">
        <f aca="false">Operations!AT84-AT8-AT9-Tax!AT27-AT13</f>
        <v>13.8528049375868</v>
      </c>
      <c r="AU14" s="13" t="n">
        <f aca="false">Operations!AU84-AU8-AU9-Tax!AU27-AU13</f>
        <v>25.5334395783585</v>
      </c>
      <c r="AV14" s="13" t="n">
        <f aca="false">Operations!AV84-AV8-AV9-Tax!AV27-AV13</f>
        <v>25.4629889549834</v>
      </c>
      <c r="AW14" s="13" t="n">
        <f aca="false">Operations!AW84-AW8-AW9-Tax!AW27-AW13</f>
        <v>25.5784424382837</v>
      </c>
      <c r="AX14" s="13" t="n">
        <f aca="false">Operations!AX84-AX8-AX9-Tax!AX27-AX13</f>
        <v>25.7131621256886</v>
      </c>
      <c r="AY14" s="13" t="n">
        <f aca="false">Operations!AY84-AY8-AY9-Tax!AY27-AY13</f>
        <v>25.799650447911</v>
      </c>
      <c r="AZ14" s="13" t="n">
        <f aca="false">Operations!AZ84-AZ8-AZ9-Tax!AZ27-AZ13</f>
        <v>25.8730514536584</v>
      </c>
      <c r="BA14" s="13" t="n">
        <f aca="false">Operations!BA84-BA8-BA9-Tax!BA27-BA13</f>
        <v>26.0349182376165</v>
      </c>
      <c r="BB14" s="13" t="n">
        <f aca="false">Operations!BB84-BB8-BB9-Tax!BB27-BB13</f>
        <v>23.7845865991188</v>
      </c>
      <c r="BC14" s="13" t="n">
        <f aca="false">Operations!BC84-BC8-BC9-Tax!BC27-BC13</f>
        <v>26.3093536652924</v>
      </c>
      <c r="BD14" s="13" t="n">
        <f aca="false">Operations!BD84-BD8-BD9-Tax!BD27-BD13</f>
        <v>26.2997377228571</v>
      </c>
      <c r="BE14" s="13" t="n">
        <f aca="false">Operations!BE84-BE8-BE9-Tax!BE27-BE13</f>
        <v>26.4245686908132</v>
      </c>
      <c r="BF14" s="13" t="n">
        <f aca="false">Operations!BF84-BF8-BF9-Tax!BF27-BF13</f>
        <v>26.5719302708457</v>
      </c>
      <c r="BG14" s="13" t="n">
        <f aca="false">Operations!BG84-BG8-BG9-Tax!BG27-BG13</f>
        <v>26.6645257709283</v>
      </c>
      <c r="BH14" s="13" t="n">
        <f aca="false">Operations!BH84-BH8-BH9-Tax!BH27-BH13</f>
        <v>26.7437306071314</v>
      </c>
      <c r="BI14" s="13" t="n">
        <f aca="false">Operations!BI84-BI8-BI9-Tax!BI27-BI13</f>
        <v>26.9583477619645</v>
      </c>
      <c r="BJ14" s="13" t="n">
        <f aca="false">Operations!BJ84-BJ8-BJ9-Tax!BJ27-BJ13</f>
        <v>14.773956934214</v>
      </c>
      <c r="BK14" s="13" t="n">
        <f aca="false">Operations!BK84-BK8-BK9-Tax!BK27-BK13</f>
        <v>27.2975727550741</v>
      </c>
      <c r="BL14" s="13" t="n">
        <f aca="false">Operations!BL84-BL8-BL9-Tax!BL27-BL13</f>
        <v>27.2057413454198</v>
      </c>
      <c r="BM14" s="13" t="n">
        <f aca="false">Operations!BM84-BM8-BM9-Tax!BM27-BM13</f>
        <v>4.86741596502326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149.507631647469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259.626002485557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473.005914227724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695.075937534707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824.264072123405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909.99189086263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891.669906482846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873.347922103061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855.025937723277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836.703953343492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818.381968963708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800.059984583923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781.738000204139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763.416015824354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745.09403144457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726.772047064785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708.450062685001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690.128078305216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671.806093925432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653.484109545647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635.162125165863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616.840140786078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598.518156406294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580.196172026509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561.874187646725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543.55220326694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525.230218887156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506.908234507371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488.586250127587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470.264265747802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451.942281368018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433.620296988233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415.298312608449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396.976328228664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378.65434384888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360.332359469095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342.010375089311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323.688390709526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305.366406329742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287.044421949957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268.722437570173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250.400453190388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232.078468810604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213.756484430819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195.434500051035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177.11251567125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158.790531291466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140.468546911681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122.146562531897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103.824578152112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85.5025937723277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67.1806093925433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48.8586250127587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30.5366406329742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12.2146562531898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42.71226178901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41.1503230135432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42.089616023707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42.1758938120654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43.0597824509516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43.2694288334841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44.4766589212324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41.6772339935783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40.4846884478949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42.055984335173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44.3657620370399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46.0027631927096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48.4534040941409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49.7981252103096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52.7220623480177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40.3955203741877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39.7819004829281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39.1139736537434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39.0695457178403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38.1174913248642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37.5247094906331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36.0506240692943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34.7121898734202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27.8189147440583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20.9574375067891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23.0544224333217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5.885</v>
      </c>
      <c r="P19" s="13" t="n">
        <f aca="false">IF(Time!P20&lt;Time!$F$12,SUMIFS(Construction!$J$28:$BJ$28,Construction!$J$12:$BJ$12,"&lt;="&amp;Time!P20),IF(Time!P20&lt;Time!$F$15,Inputs!$F$67*Inputs!$F$36,0))</f>
        <v>5.885</v>
      </c>
      <c r="Q19" s="13" t="n">
        <f aca="false">IF(Time!Q20&lt;Time!$F$12,SUMIFS(Construction!$J$28:$BJ$28,Construction!$J$12:$BJ$12,"&lt;="&amp;Time!Q20),IF(Time!Q20&lt;Time!$F$15,Inputs!$F$67*Inputs!$F$36,0))</f>
        <v>5.885</v>
      </c>
      <c r="R19" s="13" t="n">
        <f aca="false">IF(Time!R20&lt;Time!$F$12,SUMIFS(Construction!$J$28:$BJ$28,Construction!$J$12:$BJ$12,"&lt;="&amp;Time!R20),IF(Time!R20&lt;Time!$F$15,Inputs!$F$67*Inputs!$F$36,0))</f>
        <v>5.885</v>
      </c>
      <c r="S19" s="13" t="n">
        <f aca="false">IF(Time!S20&lt;Time!$F$12,SUMIFS(Construction!$J$28:$BJ$28,Construction!$J$12:$BJ$12,"&lt;="&amp;Time!S20),IF(Time!S20&lt;Time!$F$15,Inputs!$F$67*Inputs!$F$36,0))</f>
        <v>5.885</v>
      </c>
      <c r="T19" s="13" t="n">
        <f aca="false">IF(Time!T20&lt;Time!$F$12,SUMIFS(Construction!$J$28:$BJ$28,Construction!$J$12:$BJ$12,"&lt;="&amp;Time!T20),IF(Time!T20&lt;Time!$F$15,Inputs!$F$67*Inputs!$F$36,0))</f>
        <v>5.885</v>
      </c>
      <c r="U19" s="13" t="n">
        <f aca="false">IF(Time!U20&lt;Time!$F$12,SUMIFS(Construction!$J$28:$BJ$28,Construction!$J$12:$BJ$12,"&lt;="&amp;Time!U20),IF(Time!U20&lt;Time!$F$15,Inputs!$F$67*Inputs!$F$36,0))</f>
        <v>5.885</v>
      </c>
      <c r="V19" s="13" t="n">
        <f aca="false">IF(Time!V20&lt;Time!$F$12,SUMIFS(Construction!$J$28:$BJ$28,Construction!$J$12:$BJ$12,"&lt;="&amp;Time!V20),IF(Time!V20&lt;Time!$F$15,Inputs!$F$67*Inputs!$F$36,0))</f>
        <v>5.885</v>
      </c>
      <c r="W19" s="13" t="n">
        <f aca="false">IF(Time!W20&lt;Time!$F$12,SUMIFS(Construction!$J$28:$BJ$28,Construction!$J$12:$BJ$12,"&lt;="&amp;Time!W20),IF(Time!W20&lt;Time!$F$15,Inputs!$F$67*Inputs!$F$36,0))</f>
        <v>5.885</v>
      </c>
      <c r="X19" s="13" t="n">
        <f aca="false">IF(Time!X20&lt;Time!$F$12,SUMIFS(Construction!$J$28:$BJ$28,Construction!$J$12:$BJ$12,"&lt;="&amp;Time!X20),IF(Time!X20&lt;Time!$F$15,Inputs!$F$67*Inputs!$F$36,0))</f>
        <v>5.885</v>
      </c>
      <c r="Y19" s="13" t="n">
        <f aca="false">IF(Time!Y20&lt;Time!$F$12,SUMIFS(Construction!$J$28:$BJ$28,Construction!$J$12:$BJ$12,"&lt;="&amp;Time!Y20),IF(Time!Y20&lt;Time!$F$15,Inputs!$F$67*Inputs!$F$36,0))</f>
        <v>5.885</v>
      </c>
      <c r="Z19" s="13" t="n">
        <f aca="false">IF(Time!Z20&lt;Time!$F$12,SUMIFS(Construction!$J$28:$BJ$28,Construction!$J$12:$BJ$12,"&lt;="&amp;Time!Z20),IF(Time!Z20&lt;Time!$F$15,Inputs!$F$67*Inputs!$F$36,0))</f>
        <v>5.885</v>
      </c>
      <c r="AA19" s="13" t="n">
        <f aca="false">IF(Time!AA20&lt;Time!$F$12,SUMIFS(Construction!$J$28:$BJ$28,Construction!$J$12:$BJ$12,"&lt;="&amp;Time!AA20),IF(Time!AA20&lt;Time!$F$15,Inputs!$F$67*Inputs!$F$36,0))</f>
        <v>5.885</v>
      </c>
      <c r="AB19" s="13" t="n">
        <f aca="false">IF(Time!AB20&lt;Time!$F$12,SUMIFS(Construction!$J$28:$BJ$28,Construction!$J$12:$BJ$12,"&lt;="&amp;Time!AB20),IF(Time!AB20&lt;Time!$F$15,Inputs!$F$67*Inputs!$F$36,0))</f>
        <v>5.885</v>
      </c>
      <c r="AC19" s="13" t="n">
        <f aca="false">IF(Time!AC20&lt;Time!$F$12,SUMIFS(Construction!$J$28:$BJ$28,Construction!$J$12:$BJ$12,"&lt;="&amp;Time!AC20),IF(Time!AC20&lt;Time!$F$15,Inputs!$F$67*Inputs!$F$36,0))</f>
        <v>5.885</v>
      </c>
      <c r="AD19" s="13" t="n">
        <f aca="false">IF(Time!AD20&lt;Time!$F$12,SUMIFS(Construction!$J$28:$BJ$28,Construction!$J$12:$BJ$12,"&lt;="&amp;Time!AD20),IF(Time!AD20&lt;Time!$F$15,Inputs!$F$67*Inputs!$F$36,0))</f>
        <v>5.885</v>
      </c>
      <c r="AE19" s="13" t="n">
        <f aca="false">IF(Time!AE20&lt;Time!$F$12,SUMIFS(Construction!$J$28:$BJ$28,Construction!$J$12:$BJ$12,"&lt;="&amp;Time!AE20),IF(Time!AE20&lt;Time!$F$15,Inputs!$F$67*Inputs!$F$36,0))</f>
        <v>5.885</v>
      </c>
      <c r="AF19" s="13" t="n">
        <f aca="false">IF(Time!AF20&lt;Time!$F$12,SUMIFS(Construction!$J$28:$BJ$28,Construction!$J$12:$BJ$12,"&lt;="&amp;Time!AF20),IF(Time!AF20&lt;Time!$F$15,Inputs!$F$67*Inputs!$F$36,0))</f>
        <v>5.885</v>
      </c>
      <c r="AG19" s="13" t="n">
        <f aca="false">IF(Time!AG20&lt;Time!$F$12,SUMIFS(Construction!$J$28:$BJ$28,Construction!$J$12:$BJ$12,"&lt;="&amp;Time!AG20),IF(Time!AG20&lt;Time!$F$15,Inputs!$F$67*Inputs!$F$36,0))</f>
        <v>5.885</v>
      </c>
      <c r="AH19" s="13" t="n">
        <f aca="false">IF(Time!AH20&lt;Time!$F$12,SUMIFS(Construction!$J$28:$BJ$28,Construction!$J$12:$BJ$12,"&lt;="&amp;Time!AH20),IF(Time!AH20&lt;Time!$F$15,Inputs!$F$67*Inputs!$F$36,0))</f>
        <v>5.885</v>
      </c>
      <c r="AI19" s="13" t="n">
        <f aca="false">IF(Time!AI20&lt;Time!$F$12,SUMIFS(Construction!$J$28:$BJ$28,Construction!$J$12:$BJ$12,"&lt;="&amp;Time!AI20),IF(Time!AI20&lt;Time!$F$15,Inputs!$F$67*Inputs!$F$36,0))</f>
        <v>5.885</v>
      </c>
      <c r="AJ19" s="13" t="n">
        <f aca="false">IF(Time!AJ20&lt;Time!$F$12,SUMIFS(Construction!$J$28:$BJ$28,Construction!$J$12:$BJ$12,"&lt;="&amp;Time!AJ20),IF(Time!AJ20&lt;Time!$F$15,Inputs!$F$67*Inputs!$F$36,0))</f>
        <v>5.885</v>
      </c>
      <c r="AK19" s="13" t="n">
        <f aca="false">IF(Time!AK20&lt;Time!$F$12,SUMIFS(Construction!$J$28:$BJ$28,Construction!$J$12:$BJ$12,"&lt;="&amp;Time!AK20),IF(Time!AK20&lt;Time!$F$15,Inputs!$F$67*Inputs!$F$36,0))</f>
        <v>5.885</v>
      </c>
      <c r="AL19" s="13" t="n">
        <f aca="false">IF(Time!AL20&lt;Time!$F$12,SUMIFS(Construction!$J$28:$BJ$28,Construction!$J$12:$BJ$12,"&lt;="&amp;Time!AL20),IF(Time!AL20&lt;Time!$F$15,Inputs!$F$67*Inputs!$F$36,0))</f>
        <v>5.885</v>
      </c>
      <c r="AM19" s="13" t="n">
        <f aca="false">IF(Time!AM20&lt;Time!$F$12,SUMIFS(Construction!$J$28:$BJ$28,Construction!$J$12:$BJ$12,"&lt;="&amp;Time!AM20),IF(Time!AM20&lt;Time!$F$15,Inputs!$F$67*Inputs!$F$36,0))</f>
        <v>5.885</v>
      </c>
      <c r="AN19" s="13" t="n">
        <f aca="false">IF(Time!AN20&lt;Time!$F$12,SUMIFS(Construction!$J$28:$BJ$28,Construction!$J$12:$BJ$12,"&lt;="&amp;Time!AN20),IF(Time!AN20&lt;Time!$F$15,Inputs!$F$67*Inputs!$F$36,0))</f>
        <v>5.885</v>
      </c>
      <c r="AO19" s="13" t="n">
        <f aca="false">IF(Time!AO20&lt;Time!$F$12,SUMIFS(Construction!$J$28:$BJ$28,Construction!$J$12:$BJ$12,"&lt;="&amp;Time!AO20),IF(Time!AO20&lt;Time!$F$15,Inputs!$F$67*Inputs!$F$36,0))</f>
        <v>5.885</v>
      </c>
      <c r="AP19" s="13" t="n">
        <f aca="false">IF(Time!AP20&lt;Time!$F$12,SUMIFS(Construction!$J$28:$BJ$28,Construction!$J$12:$BJ$12,"&lt;="&amp;Time!AP20),IF(Time!AP20&lt;Time!$F$15,Inputs!$F$67*Inputs!$F$36,0))</f>
        <v>5.885</v>
      </c>
      <c r="AQ19" s="13" t="n">
        <f aca="false">IF(Time!AQ20&lt;Time!$F$12,SUMIFS(Construction!$J$28:$BJ$28,Construction!$J$12:$BJ$12,"&lt;="&amp;Time!AQ20),IF(Time!AQ20&lt;Time!$F$15,Inputs!$F$67*Inputs!$F$36,0))</f>
        <v>5.885</v>
      </c>
      <c r="AR19" s="13" t="n">
        <f aca="false">IF(Time!AR20&lt;Time!$F$12,SUMIFS(Construction!$J$28:$BJ$28,Construction!$J$12:$BJ$12,"&lt;="&amp;Time!AR20),IF(Time!AR20&lt;Time!$F$15,Inputs!$F$67*Inputs!$F$36,0))</f>
        <v>5.885</v>
      </c>
      <c r="AS19" s="13" t="n">
        <f aca="false">IF(Time!AS20&lt;Time!$F$12,SUMIFS(Construction!$J$28:$BJ$28,Construction!$J$12:$BJ$12,"&lt;="&amp;Time!AS20),IF(Time!AS20&lt;Time!$F$15,Inputs!$F$67*Inputs!$F$36,0))</f>
        <v>5.885</v>
      </c>
      <c r="AT19" s="13" t="n">
        <f aca="false">IF(Time!AT20&lt;Time!$F$12,SUMIFS(Construction!$J$28:$BJ$28,Construction!$J$12:$BJ$12,"&lt;="&amp;Time!AT20),IF(Time!AT20&lt;Time!$F$15,Inputs!$F$67*Inputs!$F$36,0))</f>
        <v>5.885</v>
      </c>
      <c r="AU19" s="13" t="n">
        <f aca="false">IF(Time!AU20&lt;Time!$F$12,SUMIFS(Construction!$J$28:$BJ$28,Construction!$J$12:$BJ$12,"&lt;="&amp;Time!AU20),IF(Time!AU20&lt;Time!$F$15,Inputs!$F$67*Inputs!$F$36,0))</f>
        <v>5.885</v>
      </c>
      <c r="AV19" s="13" t="n">
        <f aca="false">IF(Time!AV20&lt;Time!$F$12,SUMIFS(Construction!$J$28:$BJ$28,Construction!$J$12:$BJ$12,"&lt;="&amp;Time!AV20),IF(Time!AV20&lt;Time!$F$15,Inputs!$F$67*Inputs!$F$36,0))</f>
        <v>5.885</v>
      </c>
      <c r="AW19" s="13" t="n">
        <f aca="false">IF(Time!AW20&lt;Time!$F$12,SUMIFS(Construction!$J$28:$BJ$28,Construction!$J$12:$BJ$12,"&lt;="&amp;Time!AW20),IF(Time!AW20&lt;Time!$F$15,Inputs!$F$67*Inputs!$F$36,0))</f>
        <v>5.885</v>
      </c>
      <c r="AX19" s="13" t="n">
        <f aca="false">IF(Time!AX20&lt;Time!$F$12,SUMIFS(Construction!$J$28:$BJ$28,Construction!$J$12:$BJ$12,"&lt;="&amp;Time!AX20),IF(Time!AX20&lt;Time!$F$15,Inputs!$F$67*Inputs!$F$36,0))</f>
        <v>5.885</v>
      </c>
      <c r="AY19" s="13" t="n">
        <f aca="false">IF(Time!AY20&lt;Time!$F$12,SUMIFS(Construction!$J$28:$BJ$28,Construction!$J$12:$BJ$12,"&lt;="&amp;Time!AY20),IF(Time!AY20&lt;Time!$F$15,Inputs!$F$67*Inputs!$F$36,0))</f>
        <v>5.885</v>
      </c>
      <c r="AZ19" s="13" t="n">
        <f aca="false">IF(Time!AZ20&lt;Time!$F$12,SUMIFS(Construction!$J$28:$BJ$28,Construction!$J$12:$BJ$12,"&lt;="&amp;Time!AZ20),IF(Time!AZ20&lt;Time!$F$15,Inputs!$F$67*Inputs!$F$36,0))</f>
        <v>5.885</v>
      </c>
      <c r="BA19" s="13" t="n">
        <f aca="false">IF(Time!BA20&lt;Time!$F$12,SUMIFS(Construction!$J$28:$BJ$28,Construction!$J$12:$BJ$12,"&lt;="&amp;Time!BA20),IF(Time!BA20&lt;Time!$F$15,Inputs!$F$67*Inputs!$F$36,0))</f>
        <v>5.885</v>
      </c>
      <c r="BB19" s="13" t="n">
        <f aca="false">IF(Time!BB20&lt;Time!$F$12,SUMIFS(Construction!$J$28:$BJ$28,Construction!$J$12:$BJ$12,"&lt;="&amp;Time!BB20),IF(Time!BB20&lt;Time!$F$15,Inputs!$F$67*Inputs!$F$36,0))</f>
        <v>5.885</v>
      </c>
      <c r="BC19" s="13" t="n">
        <f aca="false">IF(Time!BC20&lt;Time!$F$12,SUMIFS(Construction!$J$28:$BJ$28,Construction!$J$12:$BJ$12,"&lt;="&amp;Time!BC20),IF(Time!BC20&lt;Time!$F$15,Inputs!$F$67*Inputs!$F$36,0))</f>
        <v>5.885</v>
      </c>
      <c r="BD19" s="13" t="n">
        <f aca="false">IF(Time!BD20&lt;Time!$F$12,SUMIFS(Construction!$J$28:$BJ$28,Construction!$J$12:$BJ$12,"&lt;="&amp;Time!BD20),IF(Time!BD20&lt;Time!$F$15,Inputs!$F$67*Inputs!$F$36,0))</f>
        <v>5.885</v>
      </c>
      <c r="BE19" s="13" t="n">
        <f aca="false">IF(Time!BE20&lt;Time!$F$12,SUMIFS(Construction!$J$28:$BJ$28,Construction!$J$12:$BJ$12,"&lt;="&amp;Time!BE20),IF(Time!BE20&lt;Time!$F$15,Inputs!$F$67*Inputs!$F$36,0))</f>
        <v>5.885</v>
      </c>
      <c r="BF19" s="13" t="n">
        <f aca="false">IF(Time!BF20&lt;Time!$F$12,SUMIFS(Construction!$J$28:$BJ$28,Construction!$J$12:$BJ$12,"&lt;="&amp;Time!BF20),IF(Time!BF20&lt;Time!$F$15,Inputs!$F$67*Inputs!$F$36,0))</f>
        <v>5.885</v>
      </c>
      <c r="BG19" s="13" t="n">
        <f aca="false">IF(Time!BG20&lt;Time!$F$12,SUMIFS(Construction!$J$28:$BJ$28,Construction!$J$12:$BJ$12,"&lt;="&amp;Time!BG20),IF(Time!BG20&lt;Time!$F$15,Inputs!$F$67*Inputs!$F$36,0))</f>
        <v>5.885</v>
      </c>
      <c r="BH19" s="13" t="n">
        <f aca="false">IF(Time!BH20&lt;Time!$F$12,SUMIFS(Construction!$J$28:$BJ$28,Construction!$J$12:$BJ$12,"&lt;="&amp;Time!BH20),IF(Time!BH20&lt;Time!$F$15,Inputs!$F$67*Inputs!$F$36,0))</f>
        <v>5.885</v>
      </c>
      <c r="BI19" s="13" t="n">
        <f aca="false">IF(Time!BI20&lt;Time!$F$12,SUMIFS(Construction!$J$28:$BJ$28,Construction!$J$12:$BJ$12,"&lt;="&amp;Time!BI20),IF(Time!BI20&lt;Time!$F$15,Inputs!$F$67*Inputs!$F$36,0))</f>
        <v>5.885</v>
      </c>
      <c r="BJ19" s="13" t="n">
        <f aca="false">IF(Time!BJ20&lt;Time!$F$12,SUMIFS(Construction!$J$28:$BJ$28,Construction!$J$12:$BJ$12,"&lt;="&amp;Time!BJ20),IF(Time!BJ20&lt;Time!$F$15,Inputs!$F$67*Inputs!$F$36,0))</f>
        <v>5.885</v>
      </c>
      <c r="BK19" s="13" t="n">
        <f aca="false">IF(Time!BK20&lt;Time!$F$12,SUMIFS(Construction!$J$28:$BJ$28,Construction!$J$12:$BJ$12,"&lt;="&amp;Time!BK20),IF(Time!BK20&lt;Time!$F$15,Inputs!$F$67*Inputs!$F$36,0))</f>
        <v>5.885</v>
      </c>
      <c r="BL19" s="13" t="n">
        <f aca="false">IF(Time!BL20&lt;Time!$F$12,SUMIFS(Construction!$J$28:$BJ$28,Construction!$J$12:$BJ$12,"&lt;="&amp;Time!BL20),IF(Time!BL20&lt;Time!$F$15,Inputs!$F$67*Inputs!$F$36,0))</f>
        <v>5.885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1.83219843797843</v>
      </c>
      <c r="P20" s="13" t="n">
        <f aca="false">MAX(0,-P12)</f>
        <v>7.32879375191379</v>
      </c>
      <c r="Q20" s="13" t="n">
        <f aca="false">MAX(0,-Q12)</f>
        <v>12.8253890658492</v>
      </c>
      <c r="R20" s="13" t="n">
        <f aca="false">MAX(0,-R12)</f>
        <v>18.3219843797845</v>
      </c>
      <c r="S20" s="13" t="n">
        <f aca="false">MAX(0,-S12)</f>
        <v>23.8185796937198</v>
      </c>
      <c r="T20" s="13" t="n">
        <f aca="false">MAX(0,-T12)</f>
        <v>29.3151750076552</v>
      </c>
      <c r="U20" s="13" t="n">
        <f aca="false">MAX(0,-U12)</f>
        <v>34.8117703215906</v>
      </c>
      <c r="V20" s="13" t="n">
        <f aca="false">MAX(0,-V12)</f>
        <v>40.3083656355259</v>
      </c>
      <c r="W20" s="13" t="n">
        <f aca="false">MAX(0,-W12)</f>
        <v>45.8049609494613</v>
      </c>
      <c r="X20" s="13" t="n">
        <f aca="false">MAX(0,-X12)</f>
        <v>51.3015562633966</v>
      </c>
      <c r="Y20" s="13" t="n">
        <f aca="false">MAX(0,-Y12)</f>
        <v>54.5287448601714</v>
      </c>
      <c r="Z20" s="13" t="n">
        <f aca="false">MAX(0,-Z12)</f>
        <v>53.084678547295</v>
      </c>
      <c r="AA20" s="13" t="n">
        <f aca="false">MAX(0,-AA12)</f>
        <v>51.2762301095814</v>
      </c>
      <c r="AB20" s="13" t="n">
        <f aca="false">MAX(0,-AB12)</f>
        <v>49.3358141249656</v>
      </c>
      <c r="AC20" s="13" t="n">
        <f aca="false">MAX(0,-AC12)</f>
        <v>47.0145178670992</v>
      </c>
      <c r="AD20" s="13" t="n">
        <f aca="false">MAX(0,-AD12)</f>
        <v>45.9151988043121</v>
      </c>
      <c r="AE20" s="13" t="n">
        <f aca="false">MAX(0,-AE12)</f>
        <v>44.815879741525</v>
      </c>
      <c r="AF20" s="13" t="n">
        <f aca="false">MAX(0,-AF12)</f>
        <v>42.1790374252915</v>
      </c>
      <c r="AG20" s="13" t="n">
        <f aca="false">MAX(0,-AG12)</f>
        <v>38.6714518408246</v>
      </c>
      <c r="AH20" s="13" t="n">
        <f aca="false">MAX(0,-AH12)</f>
        <v>34.8881574932479</v>
      </c>
      <c r="AI20" s="13" t="n">
        <f aca="false">MAX(0,-AI12)</f>
        <v>30.6314614842738</v>
      </c>
      <c r="AJ20" s="13" t="n">
        <f aca="false">MAX(0,-AJ12)</f>
        <v>26.0780050937126</v>
      </c>
      <c r="AK20" s="13" t="n">
        <f aca="false">MAX(0,-AK12)</f>
        <v>21.0256879338678</v>
      </c>
      <c r="AL20" s="13" t="n">
        <f aca="false">MAX(0,-AL12)</f>
        <v>16.4410350877541</v>
      </c>
      <c r="AM20" s="13" t="n">
        <f aca="false">MAX(0,-AM12)</f>
        <v>10.4351565959354</v>
      </c>
      <c r="AN20" s="13" t="n">
        <f aca="false">MAX(0,-AN12)</f>
        <v>4.01083221661937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149.507631647469</v>
      </c>
      <c r="K21" s="13" t="n">
        <f aca="false">K16+K17+K18+K19+K20</f>
        <v>259.626002485557</v>
      </c>
      <c r="L21" s="13" t="n">
        <f aca="false">L16+L17+L18+L19+L20</f>
        <v>473.005914227724</v>
      </c>
      <c r="M21" s="13" t="n">
        <f aca="false">M16+M17+M18+M19+M20</f>
        <v>695.075937534707</v>
      </c>
      <c r="N21" s="13" t="n">
        <f aca="false">N16+N17+N18+N19+N20</f>
        <v>824.264072123405</v>
      </c>
      <c r="O21" s="13" t="n">
        <f aca="false">O16+O17+O18+O19+O20</f>
        <v>999.529064034639</v>
      </c>
      <c r="P21" s="13" t="n">
        <f aca="false">P16+P17+P18+P19+P20</f>
        <v>985.0131952242</v>
      </c>
      <c r="Q21" s="13" t="n">
        <f aca="false">Q16+Q17+Q18+Q19+Q20</f>
        <v>974.159999031913</v>
      </c>
      <c r="R21" s="13" t="n">
        <f aca="false">R16+R17+R18+R19+R20</f>
        <v>960.743695267914</v>
      </c>
      <c r="S21" s="13" t="n">
        <f aca="false">S16+S17+S18+S19+S20</f>
        <v>949.989022385031</v>
      </c>
      <c r="T21" s="13" t="n">
        <f aca="false">T16+T17+T18+T19+T20</f>
        <v>936.971412424982</v>
      </c>
      <c r="U21" s="13" t="n">
        <f aca="false">U16+U17+U18+U19+U20</f>
        <v>926.02331294281</v>
      </c>
      <c r="V21" s="13" t="n">
        <f aca="false">V16+V17+V18+V19+V20</f>
        <v>909.542782110598</v>
      </c>
      <c r="W21" s="13" t="n">
        <f aca="false">W16+W17+W18+W19+W20</f>
        <v>896.923981852787</v>
      </c>
      <c r="X21" s="13" t="n">
        <f aca="false">X16+X17+X18+X19+X20</f>
        <v>885.641985432454</v>
      </c>
      <c r="Y21" s="13" t="n">
        <f aca="false">Y16+Y17+Y18+Y19+Y20</f>
        <v>873.959884247377</v>
      </c>
      <c r="Z21" s="13" t="n">
        <f aca="false">Z16+Z17+Z18+Z19+Z20</f>
        <v>855.112240290185</v>
      </c>
      <c r="AA21" s="13" t="n">
        <f aca="false">AA16+AA17+AA18+AA19+AA20</f>
        <v>838.701619793556</v>
      </c>
      <c r="AB21" s="13" t="n">
        <f aca="false">AB16+AB17+AB18+AB19+AB20</f>
        <v>819.362696852245</v>
      </c>
      <c r="AC21" s="13" t="n">
        <f aca="false">AC16+AC17+AC18+AC19+AC20</f>
        <v>802.191664477437</v>
      </c>
      <c r="AD21" s="13" t="n">
        <f aca="false">AD16+AD17+AD18+AD19+AD20</f>
        <v>768.974549811659</v>
      </c>
      <c r="AE21" s="13" t="n">
        <f aca="false">AE16+AE17+AE18+AE19+AE20</f>
        <v>750.816617886045</v>
      </c>
      <c r="AF21" s="13" t="n">
        <f aca="false">AF16+AF17+AF18+AF19+AF20</f>
        <v>729.514597815033</v>
      </c>
      <c r="AG21" s="13" t="n">
        <f aca="false">AG16+AG17+AG18+AG19+AG20</f>
        <v>708.819174183891</v>
      </c>
      <c r="AH21" s="13" t="n">
        <f aca="false">AH16+AH17+AH18+AH19+AH20</f>
        <v>684.99852115916</v>
      </c>
      <c r="AI21" s="13" t="n">
        <f aca="false">AI16+AI17+AI18+AI19+AI20</f>
        <v>663.185195129315</v>
      </c>
      <c r="AJ21" s="13" t="n">
        <f aca="false">AJ16+AJ17+AJ18+AJ19+AJ20</f>
        <v>638.393474300622</v>
      </c>
      <c r="AK21" s="13" t="n">
        <f aca="false">AK16+AK17+AK18+AK19+AK20</f>
        <v>614.44468878146</v>
      </c>
      <c r="AL21" s="13" t="n">
        <f aca="false">AL16+AL17+AL18+AL19+AL20</f>
        <v>583.664692100204</v>
      </c>
      <c r="AM21" s="13" t="n">
        <f aca="false">AM16+AM17+AM18+AM19+AM20</f>
        <v>554.081155144976</v>
      </c>
      <c r="AN21" s="13" t="n">
        <f aca="false">AN16+AN17+AN18+AN19+AN20</f>
        <v>531.425775419157</v>
      </c>
      <c r="AO21" s="13" t="n">
        <f aca="false">AO16+AO17+AO18+AO19+AO20</f>
        <v>491.994640067093</v>
      </c>
      <c r="AP21" s="13" t="n">
        <f aca="false">AP16+AP17+AP18+AP19+AP20</f>
        <v>475.20891078032</v>
      </c>
      <c r="AQ21" s="13" t="n">
        <f aca="false">AQ16+AQ17+AQ18+AQ19+AQ20</f>
        <v>460.689068255168</v>
      </c>
      <c r="AR21" s="13" t="n">
        <f aca="false">AR16+AR17+AR18+AR19+AR20</f>
        <v>444.2501254757</v>
      </c>
      <c r="AS21" s="13" t="n">
        <f aca="false">AS16+AS17+AS18+AS19+AS20</f>
        <v>428.898053758026</v>
      </c>
      <c r="AT21" s="13" t="n">
        <f aca="false">AT16+AT17+AT18+AT19+AT20</f>
        <v>394.815014636089</v>
      </c>
      <c r="AU21" s="13" t="n">
        <f aca="false">AU16+AU17+AU18+AU19+AU20</f>
        <v>378.634347609299</v>
      </c>
      <c r="AV21" s="13" t="n">
        <f aca="false">AV16+AV17+AV18+AV19+AV20</f>
        <v>361.307111849234</v>
      </c>
      <c r="AW21" s="13" t="n">
        <f aca="false">AW16+AW17+AW18+AW19+AW20</f>
        <v>344.923428969066</v>
      </c>
      <c r="AX21" s="13" t="n">
        <f aca="false">AX16+AX17+AX18+AX19+AX20</f>
        <v>326.327262873176</v>
      </c>
      <c r="AY21" s="13" t="n">
        <f aca="false">AY16+AY17+AY18+AY19+AY20</f>
        <v>310.153013959022</v>
      </c>
      <c r="AZ21" s="13" t="n">
        <f aca="false">AZ16+AZ17+AZ18+AZ19+AZ20</f>
        <v>291.931330710907</v>
      </c>
      <c r="BA21" s="13" t="n">
        <f aca="false">BA16+BA17+BA18+BA19+BA20</f>
        <v>275.567538926684</v>
      </c>
      <c r="BB21" s="13" t="n">
        <f aca="false">BB16+BB17+BB18+BB19+BB20</f>
        <v>254.083856621258</v>
      </c>
      <c r="BC21" s="13" t="n">
        <f aca="false">BC16+BC17+BC18+BC19+BC20</f>
        <v>239.126414815312</v>
      </c>
      <c r="BD21" s="13" t="n">
        <f aca="false">BD16+BD17+BD18+BD19+BD20</f>
        <v>225.152207791825</v>
      </c>
      <c r="BE21" s="13" t="n">
        <f aca="false">BE16+BE17+BE18+BE19+BE20</f>
        <v>212.619666859265</v>
      </c>
      <c r="BF21" s="13" t="n">
        <f aca="false">BF16+BF17+BF18+BF19+BF20</f>
        <v>197.73979052728</v>
      </c>
      <c r="BG21" s="13" t="n">
        <f aca="false">BG16+BG17+BG18+BG19+BG20</f>
        <v>185.467542685624</v>
      </c>
      <c r="BH21" s="13" t="n">
        <f aca="false">BH16+BH17+BH18+BH19+BH20</f>
        <v>171.026534995497</v>
      </c>
      <c r="BI21" s="13" t="n">
        <f aca="false">BI16+BI17+BI18+BI19+BI20</f>
        <v>157.827050869432</v>
      </c>
      <c r="BJ21" s="13" t="n">
        <f aca="false">BJ16+BJ17+BJ18+BJ19+BJ20</f>
        <v>122.464180378029</v>
      </c>
      <c r="BK21" s="13" t="n">
        <f aca="false">BK16+BK17+BK18+BK19+BK20</f>
        <v>108.247853499266</v>
      </c>
      <c r="BL21" s="13" t="n">
        <f aca="false">BL16+BL17+BL18+BL19+BL20</f>
        <v>92.0981210320779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110.052684990925</v>
      </c>
      <c r="K22" s="13" t="n">
        <f aca="false">IF(Time!K20&lt;Time!$F$12,SUMIFS(Funding!$J$73:$BJ$73,Construction!$J$12:$BJ$12,"&lt;="&amp;Time!K20),Debt!K116)</f>
        <v>190.215105052535</v>
      </c>
      <c r="L22" s="13" t="n">
        <f aca="false">IF(Time!L20&lt;Time!$F$12,SUMIFS(Funding!$J$73:$BJ$73,Construction!$J$12:$BJ$12,"&lt;="&amp;Time!L20),Debt!L116)</f>
        <v>345.599672990244</v>
      </c>
      <c r="M22" s="13" t="n">
        <f aca="false">IF(Time!M20&lt;Time!$F$12,SUMIFS(Funding!$J$73:$BJ$73,Construction!$J$12:$BJ$12,"&lt;="&amp;Time!M20),Debt!M116)</f>
        <v>505.666500418368</v>
      </c>
      <c r="N22" s="13" t="n">
        <f aca="false">IF(Time!N20&lt;Time!$F$12,SUMIFS(Funding!$J$73:$BJ$73,Construction!$J$12:$BJ$12,"&lt;="&amp;Time!N20),Debt!N116)</f>
        <v>595.323595161311</v>
      </c>
      <c r="O22" s="13" t="n">
        <f aca="false">IF(Time!O20&lt;Time!$F$12,SUMIFS(Funding!$J$73:$BJ$73,Construction!$J$12:$BJ$12,"&lt;="&amp;Time!O20),Debt!O116)</f>
        <v>693.496150463468</v>
      </c>
      <c r="P22" s="13" t="n">
        <f aca="false">IF(Time!P20&lt;Time!$F$12,SUMIFS(Funding!$J$73:$BJ$73,Construction!$J$12:$BJ$12,"&lt;="&amp;Time!P20),Debt!P116)</f>
        <v>676.532934953523</v>
      </c>
      <c r="Q22" s="13" t="n">
        <f aca="false">IF(Time!Q20&lt;Time!$F$12,SUMIFS(Funding!$J$73:$BJ$73,Construction!$J$12:$BJ$12,"&lt;="&amp;Time!Q20),Debt!Q116)</f>
        <v>658.851806815444</v>
      </c>
      <c r="R22" s="13" t="n">
        <f aca="false">IF(Time!R20&lt;Time!$F$12,SUMIFS(Funding!$J$73:$BJ$73,Construction!$J$12:$BJ$12,"&lt;="&amp;Time!R20),Debt!R116)</f>
        <v>640.299729087829</v>
      </c>
      <c r="S22" s="13" t="n">
        <f aca="false">IF(Time!S20&lt;Time!$F$12,SUMIFS(Funding!$J$73:$BJ$73,Construction!$J$12:$BJ$12,"&lt;="&amp;Time!S20),Debt!S116)</f>
        <v>621.20095164263</v>
      </c>
      <c r="T22" s="13" t="n">
        <f aca="false">IF(Time!T20&lt;Time!$F$12,SUMIFS(Funding!$J$73:$BJ$73,Construction!$J$12:$BJ$12,"&lt;="&amp;Time!T20),Debt!T116)</f>
        <v>601.223637278978</v>
      </c>
      <c r="U22" s="13" t="n">
        <f aca="false">IF(Time!U20&lt;Time!$F$12,SUMIFS(Funding!$J$73:$BJ$73,Construction!$J$12:$BJ$12,"&lt;="&amp;Time!U20),Debt!U116)</f>
        <v>580.609211191865</v>
      </c>
      <c r="V22" s="13" t="n">
        <f aca="false">IF(Time!V20&lt;Time!$F$12,SUMIFS(Funding!$J$73:$BJ$73,Construction!$J$12:$BJ$12,"&lt;="&amp;Time!V20),Debt!V116)</f>
        <v>558.64805921304</v>
      </c>
      <c r="W22" s="13" t="n">
        <f aca="false">IF(Time!W20&lt;Time!$F$12,SUMIFS(Funding!$J$73:$BJ$73,Construction!$J$12:$BJ$12,"&lt;="&amp;Time!W20),Debt!W116)</f>
        <v>536.015568296459</v>
      </c>
      <c r="X22" s="13" t="n">
        <f aca="false">IF(Time!X20&lt;Time!$F$12,SUMIFS(Funding!$J$73:$BJ$73,Construction!$J$12:$BJ$12,"&lt;="&amp;Time!X20),Debt!X116)</f>
        <v>514.011304027447</v>
      </c>
      <c r="Y22" s="13" t="n">
        <f aca="false">IF(Time!Y20&lt;Time!$F$12,SUMIFS(Funding!$J$73:$BJ$73,Construction!$J$12:$BJ$12,"&lt;="&amp;Time!Y20),Debt!Y116)</f>
        <v>491.996685663434</v>
      </c>
      <c r="Z22" s="13" t="n">
        <f aca="false">IF(Time!Z20&lt;Time!$F$12,SUMIFS(Funding!$J$73:$BJ$73,Construction!$J$12:$BJ$12,"&lt;="&amp;Time!Z20),Debt!Z116)</f>
        <v>469.070046682183</v>
      </c>
      <c r="AA22" s="13" t="n">
        <f aca="false">IF(Time!AA20&lt;Time!$F$12,SUMIFS(Funding!$J$73:$BJ$73,Construction!$J$12:$BJ$12,"&lt;="&amp;Time!AA20),Debt!AA116)</f>
        <v>441.067923889252</v>
      </c>
      <c r="AB22" s="13" t="n">
        <f aca="false">IF(Time!AB20&lt;Time!$F$12,SUMIFS(Funding!$J$73:$BJ$73,Construction!$J$12:$BJ$12,"&lt;="&amp;Time!AB20),Debt!AB116)</f>
        <v>411.348146955519</v>
      </c>
      <c r="AC22" s="13" t="n">
        <f aca="false">IF(Time!AC20&lt;Time!$F$12,SUMIFS(Funding!$J$73:$BJ$73,Construction!$J$12:$BJ$12,"&lt;="&amp;Time!AC20),Debt!AC116)</f>
        <v>381.657794348709</v>
      </c>
      <c r="AD22" s="13" t="n">
        <f aca="false">IF(Time!AD20&lt;Time!$F$12,SUMIFS(Funding!$J$73:$BJ$73,Construction!$J$12:$BJ$12,"&lt;="&amp;Time!AD20),Debt!AD116)</f>
        <v>348.808347607435</v>
      </c>
      <c r="AE22" s="13" t="n">
        <f aca="false">IF(Time!AE20&lt;Time!$F$12,SUMIFS(Funding!$J$73:$BJ$73,Construction!$J$12:$BJ$12,"&lt;="&amp;Time!AE20),Debt!AE116)</f>
        <v>314.826594909992</v>
      </c>
      <c r="AF22" s="13" t="n">
        <f aca="false">IF(Time!AF20&lt;Time!$F$12,SUMIFS(Funding!$J$73:$BJ$73,Construction!$J$12:$BJ$12,"&lt;="&amp;Time!AF20),Debt!AF116)</f>
        <v>279.717721632261</v>
      </c>
      <c r="AG22" s="13" t="n">
        <f aca="false">IF(Time!AG20&lt;Time!$F$12,SUMIFS(Funding!$J$73:$BJ$73,Construction!$J$12:$BJ$12,"&lt;="&amp;Time!AG20),Debt!AG116)</f>
        <v>244.610320101145</v>
      </c>
      <c r="AH22" s="13" t="n">
        <f aca="false">IF(Time!AH20&lt;Time!$F$12,SUMIFS(Funding!$J$73:$BJ$73,Construction!$J$12:$BJ$12,"&lt;="&amp;Time!AH20),Debt!AH116)</f>
        <v>207.813136177121</v>
      </c>
      <c r="AI22" s="13" t="n">
        <f aca="false">IF(Time!AI20&lt;Time!$F$12,SUMIFS(Funding!$J$73:$BJ$73,Construction!$J$12:$BJ$12,"&lt;="&amp;Time!AI20),Debt!AI116)</f>
        <v>170.80525810606</v>
      </c>
      <c r="AJ22" s="13" t="n">
        <f aca="false">IF(Time!AJ20&lt;Time!$F$12,SUMIFS(Funding!$J$73:$BJ$73,Construction!$J$12:$BJ$12,"&lt;="&amp;Time!AJ20),Debt!AJ116)</f>
        <v>132.436645151281</v>
      </c>
      <c r="AK22" s="13" t="n">
        <f aca="false">IF(Time!AK20&lt;Time!$F$12,SUMIFS(Funding!$J$73:$BJ$73,Construction!$J$12:$BJ$12,"&lt;="&amp;Time!AK20),Debt!AK116)</f>
        <v>94.1090108863558</v>
      </c>
      <c r="AL22" s="13" t="n">
        <f aca="false">IF(Time!AL20&lt;Time!$F$12,SUMIFS(Funding!$J$73:$BJ$73,Construction!$J$12:$BJ$12,"&lt;="&amp;Time!AL20),Debt!AL116)</f>
        <v>64.1051398956982</v>
      </c>
      <c r="AM22" s="13" t="n">
        <f aca="false">IF(Time!AM20&lt;Time!$F$12,SUMIFS(Funding!$J$73:$BJ$73,Construction!$J$12:$BJ$12,"&lt;="&amp;Time!AM20),Debt!AM116)</f>
        <v>40.025359776114</v>
      </c>
      <c r="AN22" s="13" t="n">
        <f aca="false">IF(Time!AN20&lt;Time!$F$12,SUMIFS(Funding!$J$73:$BJ$73,Construction!$J$12:$BJ$12,"&lt;="&amp;Time!AN20),Debt!AN116)</f>
        <v>20.1598270358377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31.7445095861778</v>
      </c>
      <c r="K23" s="13" t="n">
        <f aca="false">IF(Time!K20&lt;Time!$F$12,SUMIFS(Funding!$J$70:$BJ$70,Construction!$J$12:$BJ$12,"&lt;="&amp;Time!K20)+SUMIFS(Funding!$J$71:$BJ$71,Construction!$J$12:$BJ$12,"&lt;="&amp;Time!K20),Waterfall!K36)</f>
        <v>56.0841748958884</v>
      </c>
      <c r="L23" s="13" t="n">
        <f aca="false">IF(Time!L20&lt;Time!$F$12,SUMIFS(Funding!$J$70:$BJ$70,Construction!$J$12:$BJ$12,"&lt;="&amp;Time!L20)+SUMIFS(Funding!$J$71:$BJ$71,Construction!$J$12:$BJ$12,"&lt;="&amp;Time!L20),Waterfall!L36)</f>
        <v>103.193069788279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153.981771445217</v>
      </c>
      <c r="N23" s="13" t="n">
        <f aca="false">IF(Time!N20&lt;Time!$F$12,SUMIFS(Funding!$J$70:$BJ$70,Construction!$J$12:$BJ$12,"&lt;="&amp;Time!N20)+SUMIFS(Funding!$J$71:$BJ$71,Construction!$J$12:$BJ$12,"&lt;="&amp;Time!N20),Waterfall!N36)</f>
        <v>187.2313163235</v>
      </c>
      <c r="O23" s="13" t="n">
        <f aca="false">IF(Time!O20&lt;Time!$F$12,SUMIFS(Funding!$J$70:$BJ$70,Construction!$J$12:$BJ$12,"&lt;="&amp;Time!O20)+SUMIFS(Funding!$J$71:$BJ$71,Construction!$J$12:$BJ$12,"&lt;="&amp;Time!O20),Waterfall!O36)</f>
        <v>224.245461597059</v>
      </c>
      <c r="P23" s="13" t="n">
        <f aca="false">IF(Time!P20&lt;Time!$F$12,SUMIFS(Funding!$J$70:$BJ$70,Construction!$J$12:$BJ$12,"&lt;="&amp;Time!P20)+SUMIFS(Funding!$J$71:$BJ$71,Construction!$J$12:$BJ$12,"&lt;="&amp;Time!P20),Waterfall!P36)</f>
        <v>223.574382150609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225.203261757361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226.121967543849</v>
      </c>
      <c r="S23" s="13" t="n">
        <f aca="false">IF(Time!S20&lt;Time!$F$12,SUMIFS(Funding!$J$70:$BJ$70,Construction!$J$12:$BJ$12,"&lt;="&amp;Time!S20)+SUMIFS(Funding!$J$71:$BJ$71,Construction!$J$12:$BJ$12,"&lt;="&amp;Time!S20),Waterfall!S36)</f>
        <v>227.769217880443</v>
      </c>
      <c r="T23" s="13" t="n">
        <f aca="false">IF(Time!T20&lt;Time!$F$12,SUMIFS(Funding!$J$70:$BJ$70,Construction!$J$12:$BJ$12,"&lt;="&amp;Time!T20)+SUMIFS(Funding!$J$71:$BJ$71,Construction!$J$12:$BJ$12,"&lt;="&amp;Time!T20),Waterfall!T36)</f>
        <v>228.901122639756</v>
      </c>
      <c r="U23" s="13" t="n">
        <f aca="false">IF(Time!U20&lt;Time!$F$12,SUMIFS(Funding!$J$70:$BJ$70,Construction!$J$12:$BJ$12,"&lt;="&amp;Time!U20)+SUMIFS(Funding!$J$71:$BJ$71,Construction!$J$12:$BJ$12,"&lt;="&amp;Time!U20),Waterfall!U36)</f>
        <v>231.002751346503</v>
      </c>
      <c r="V23" s="13" t="n">
        <f aca="false">IF(Time!V20&lt;Time!$F$12,SUMIFS(Funding!$J$70:$BJ$70,Construction!$J$12:$BJ$12,"&lt;="&amp;Time!V20)+SUMIFS(Funding!$J$71:$BJ$71,Construction!$J$12:$BJ$12,"&lt;="&amp;Time!V20),Waterfall!V36)</f>
        <v>232.05410971292</v>
      </c>
      <c r="W23" s="13" t="n">
        <f aca="false">IF(Time!W20&lt;Time!$F$12,SUMIFS(Funding!$J$70:$BJ$70,Construction!$J$12:$BJ$12,"&lt;="&amp;Time!W20)+SUMIFS(Funding!$J$71:$BJ$71,Construction!$J$12:$BJ$12,"&lt;="&amp;Time!W20),Waterfall!W36)</f>
        <v>232.139414876501</v>
      </c>
      <c r="X23" s="13" t="n">
        <f aca="false">IF(Time!X20&lt;Time!$F$12,SUMIFS(Funding!$J$70:$BJ$70,Construction!$J$12:$BJ$12,"&lt;="&amp;Time!X20)+SUMIFS(Funding!$J$71:$BJ$71,Construction!$J$12:$BJ$12,"&lt;="&amp;Time!X20),Waterfall!X36)</f>
        <v>233.488735291553</v>
      </c>
      <c r="Y23" s="13" t="n">
        <f aca="false">IF(Time!Y20&lt;Time!$F$12,SUMIFS(Funding!$J$70:$BJ$70,Construction!$J$12:$BJ$12,"&lt;="&amp;Time!Y20)+SUMIFS(Funding!$J$71:$BJ$71,Construction!$J$12:$BJ$12,"&lt;="&amp;Time!Y20),Waterfall!Y36)</f>
        <v>235.538541343498</v>
      </c>
      <c r="Z23" s="13" t="n">
        <f aca="false">IF(Time!Z20&lt;Time!$F$12,SUMIFS(Funding!$J$70:$BJ$70,Construction!$J$12:$BJ$12,"&lt;="&amp;Time!Z20)+SUMIFS(Funding!$J$71:$BJ$71,Construction!$J$12:$BJ$12,"&lt;="&amp;Time!Z20),Waterfall!Z36)</f>
        <v>237.126774246754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243.891292126067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250.329984598564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257.468895972515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263.883398701356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269.955883278751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275.801091683346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281.530333386569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286.614040831618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291.205024698051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294.774934919563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297.209789267659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286.976114138157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266.5524805257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248.960698555645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209.99780860182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168.664492916056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125.634529720203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80.0523170013937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32.43485736855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</v>
      </c>
      <c r="AN25" s="13" t="n">
        <f aca="false">MAX(0,AN12)</f>
        <v>0</v>
      </c>
      <c r="AO25" s="13" t="n">
        <f aca="false">MAX(0,AO12)</f>
        <v>2.93388232285805</v>
      </c>
      <c r="AP25" s="13" t="n">
        <f aca="false">MAX(0,AP12)</f>
        <v>10.5968539020905</v>
      </c>
      <c r="AQ25" s="13" t="n">
        <f aca="false">MAX(0,AQ12)</f>
        <v>18.9277989793559</v>
      </c>
      <c r="AR25" s="13" t="n">
        <f aca="false">MAX(0,AR12)</f>
        <v>27.8666041866485</v>
      </c>
      <c r="AS25" s="13" t="n">
        <f aca="false">MAX(0,AS12)</f>
        <v>37.5498323422252</v>
      </c>
      <c r="AT25" s="13" t="n">
        <f aca="false">MAX(0,AT12)</f>
        <v>42.6902236048979</v>
      </c>
      <c r="AU25" s="13" t="n">
        <f aca="false">MAX(0,AU12)</f>
        <v>43.789542667685</v>
      </c>
      <c r="AV25" s="13" t="n">
        <f aca="false">MAX(0,AV12)</f>
        <v>44.8888617304721</v>
      </c>
      <c r="AW25" s="13" t="n">
        <f aca="false">MAX(0,AW12)</f>
        <v>45.9881807932591</v>
      </c>
      <c r="AX25" s="13" t="n">
        <f aca="false">MAX(0,AX12)</f>
        <v>47.0874998560462</v>
      </c>
      <c r="AY25" s="13" t="n">
        <f aca="false">MAX(0,AY12)</f>
        <v>48.1868189188332</v>
      </c>
      <c r="AZ25" s="13" t="n">
        <f aca="false">MAX(0,AZ12)</f>
        <v>49.2861379816203</v>
      </c>
      <c r="BA25" s="13" t="n">
        <f aca="false">MAX(0,BA12)</f>
        <v>50.3854570444074</v>
      </c>
      <c r="BB25" s="13" t="n">
        <f aca="false">MAX(0,BB12)</f>
        <v>51.4847761071945</v>
      </c>
      <c r="BC25" s="13" t="n">
        <f aca="false">MAX(0,BC12)</f>
        <v>50.4770669663063</v>
      </c>
      <c r="BD25" s="13" t="n">
        <f aca="false">MAX(0,BD12)</f>
        <v>45.2553014180677</v>
      </c>
      <c r="BE25" s="13" t="n">
        <f aca="false">MAX(0,BE12)</f>
        <v>40.0335358698292</v>
      </c>
      <c r="BF25" s="13" t="n">
        <f aca="false">MAX(0,BF12)</f>
        <v>34.8117703215906</v>
      </c>
      <c r="BG25" s="13" t="n">
        <f aca="false">MAX(0,BG12)</f>
        <v>29.590004773352</v>
      </c>
      <c r="BH25" s="13" t="n">
        <f aca="false">MAX(0,BH12)</f>
        <v>24.3682392251134</v>
      </c>
      <c r="BI25" s="13" t="n">
        <f aca="false">MAX(0,BI12)</f>
        <v>19.1464736768748</v>
      </c>
      <c r="BJ25" s="13" t="n">
        <f aca="false">MAX(0,BJ12)</f>
        <v>13.9247081286362</v>
      </c>
      <c r="BK25" s="13" t="n">
        <f aca="false">MAX(0,BK12)</f>
        <v>8.70294258039766</v>
      </c>
      <c r="BL25" s="13" t="n">
        <f aca="false">MAX(0,BL12)</f>
        <v>3.48117703215908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7.71043707036563</v>
      </c>
      <c r="K26" s="13" t="n">
        <f aca="false">SUMIFS(Funding!$J$69:$BJ$69,Construction!$J$12:$BJ$12,"&lt;="&amp;Time!K20)</f>
        <v>13.326722537133</v>
      </c>
      <c r="L26" s="13" t="n">
        <f aca="false">SUMIFS(Funding!$J$69:$BJ$69,Construction!$J$12:$BJ$12,"&lt;="&amp;Time!L20)</f>
        <v>24.2131714492012</v>
      </c>
      <c r="M26" s="13" t="n">
        <f aca="false">SUMIFS(Funding!$J$69:$BJ$69,Construction!$J$12:$BJ$12,"&lt;="&amp;Time!M20)</f>
        <v>35.4276656711222</v>
      </c>
      <c r="N26" s="13" t="n">
        <f aca="false">SUMIFS(Funding!$J$69:$BJ$69,Construction!$J$12:$BJ$12,"&lt;="&amp;Time!N20)</f>
        <v>41.7091606385942</v>
      </c>
      <c r="O26" s="13" t="n">
        <f aca="false">SUMIFS(Funding!$J$69:$BJ$69,Construction!$J$12:$BJ$12,"&lt;="&amp;Time!O20)</f>
        <v>48.5872600666698</v>
      </c>
      <c r="P26" s="13" t="n">
        <f aca="false">SUMIFS(Funding!$J$69:$BJ$69,Construction!$J$12:$BJ$12,"&lt;="&amp;Time!P20)</f>
        <v>48.5872600666698</v>
      </c>
      <c r="Q26" s="13" t="n">
        <f aca="false">SUMIFS(Funding!$J$69:$BJ$69,Construction!$J$12:$BJ$12,"&lt;="&amp;Time!Q20)</f>
        <v>48.5872600666698</v>
      </c>
      <c r="R26" s="13" t="n">
        <f aca="false">SUMIFS(Funding!$J$69:$BJ$69,Construction!$J$12:$BJ$12,"&lt;="&amp;Time!R20)</f>
        <v>48.5872600666698</v>
      </c>
      <c r="S26" s="13" t="n">
        <f aca="false">SUMIFS(Funding!$J$69:$BJ$69,Construction!$J$12:$BJ$12,"&lt;="&amp;Time!S20)</f>
        <v>48.5872600666698</v>
      </c>
      <c r="T26" s="13" t="n">
        <f aca="false">SUMIFS(Funding!$J$69:$BJ$69,Construction!$J$12:$BJ$12,"&lt;="&amp;Time!T20)</f>
        <v>48.5872600666698</v>
      </c>
      <c r="U26" s="13" t="n">
        <f aca="false">SUMIFS(Funding!$J$69:$BJ$69,Construction!$J$12:$BJ$12,"&lt;="&amp;Time!U20)</f>
        <v>48.5872600666698</v>
      </c>
      <c r="V26" s="13" t="n">
        <f aca="false">SUMIFS(Funding!$J$69:$BJ$69,Construction!$J$12:$BJ$12,"&lt;="&amp;Time!V20)</f>
        <v>48.5872600666698</v>
      </c>
      <c r="W26" s="13" t="n">
        <f aca="false">SUMIFS(Funding!$J$69:$BJ$69,Construction!$J$12:$BJ$12,"&lt;="&amp;Time!W20)</f>
        <v>48.5872600666698</v>
      </c>
      <c r="X26" s="13" t="n">
        <f aca="false">SUMIFS(Funding!$J$69:$BJ$69,Construction!$J$12:$BJ$12,"&lt;="&amp;Time!X20)</f>
        <v>48.5872600666698</v>
      </c>
      <c r="Y26" s="13" t="n">
        <f aca="false">SUMIFS(Funding!$J$69:$BJ$69,Construction!$J$12:$BJ$12,"&lt;="&amp;Time!Y20)</f>
        <v>48.5872600666698</v>
      </c>
      <c r="Z26" s="13" t="n">
        <f aca="false">SUMIFS(Funding!$J$69:$BJ$69,Construction!$J$12:$BJ$12,"&lt;="&amp;Time!Z20)</f>
        <v>48.5872600666698</v>
      </c>
      <c r="AA26" s="13" t="n">
        <f aca="false">SUMIFS(Funding!$J$69:$BJ$69,Construction!$J$12:$BJ$12,"&lt;="&amp;Time!AA20)</f>
        <v>48.5872600666698</v>
      </c>
      <c r="AB26" s="13" t="n">
        <f aca="false">SUMIFS(Funding!$J$69:$BJ$69,Construction!$J$12:$BJ$12,"&lt;="&amp;Time!AB20)</f>
        <v>48.5872600666698</v>
      </c>
      <c r="AC26" s="13" t="n">
        <f aca="false">SUMIFS(Funding!$J$69:$BJ$69,Construction!$J$12:$BJ$12,"&lt;="&amp;Time!AC20)</f>
        <v>48.5872600666698</v>
      </c>
      <c r="AD26" s="13" t="n">
        <f aca="false">SUMIFS(Funding!$J$69:$BJ$69,Construction!$J$12:$BJ$12,"&lt;="&amp;Time!AD20)</f>
        <v>48.5872600666698</v>
      </c>
      <c r="AE26" s="13" t="n">
        <f aca="false">SUMIFS(Funding!$J$69:$BJ$69,Construction!$J$12:$BJ$12,"&lt;="&amp;Time!AE20)</f>
        <v>48.5872600666698</v>
      </c>
      <c r="AF26" s="13" t="n">
        <f aca="false">SUMIFS(Funding!$J$69:$BJ$69,Construction!$J$12:$BJ$12,"&lt;="&amp;Time!AF20)</f>
        <v>48.5872600666698</v>
      </c>
      <c r="AG26" s="13" t="n">
        <f aca="false">SUMIFS(Funding!$J$69:$BJ$69,Construction!$J$12:$BJ$12,"&lt;="&amp;Time!AG20)</f>
        <v>48.5872600666698</v>
      </c>
      <c r="AH26" s="13" t="n">
        <f aca="false">SUMIFS(Funding!$J$69:$BJ$69,Construction!$J$12:$BJ$12,"&lt;="&amp;Time!AH20)</f>
        <v>48.5872600666698</v>
      </c>
      <c r="AI26" s="13" t="n">
        <f aca="false">SUMIFS(Funding!$J$69:$BJ$69,Construction!$J$12:$BJ$12,"&lt;="&amp;Time!AI20)</f>
        <v>48.5872600666698</v>
      </c>
      <c r="AJ26" s="13" t="n">
        <f aca="false">SUMIFS(Funding!$J$69:$BJ$69,Construction!$J$12:$BJ$12,"&lt;="&amp;Time!AJ20)</f>
        <v>48.5872600666698</v>
      </c>
      <c r="AK26" s="13" t="n">
        <f aca="false">SUMIFS(Funding!$J$69:$BJ$69,Construction!$J$12:$BJ$12,"&lt;="&amp;Time!AK20)</f>
        <v>48.5872600666698</v>
      </c>
      <c r="AL26" s="13" t="n">
        <f aca="false">SUMIFS(Funding!$J$69:$BJ$69,Construction!$J$12:$BJ$12,"&lt;="&amp;Time!AL20)</f>
        <v>48.5872600666698</v>
      </c>
      <c r="AM26" s="13" t="n">
        <f aca="false">SUMIFS(Funding!$J$69:$BJ$69,Construction!$J$12:$BJ$12,"&lt;="&amp;Time!AM20)</f>
        <v>48.5872600666698</v>
      </c>
      <c r="AN26" s="13" t="n">
        <f aca="false">SUMIFS(Funding!$J$69:$BJ$69,Construction!$J$12:$BJ$12,"&lt;="&amp;Time!AN20)</f>
        <v>48.5872600666698</v>
      </c>
      <c r="AO26" s="13" t="n">
        <f aca="false">SUMIFS(Funding!$J$69:$BJ$69,Construction!$J$12:$BJ$12,"&lt;="&amp;Time!AO20)</f>
        <v>48.5872600666698</v>
      </c>
      <c r="AP26" s="13" t="n">
        <f aca="false">SUMIFS(Funding!$J$69:$BJ$69,Construction!$J$12:$BJ$12,"&lt;="&amp;Time!AP20)</f>
        <v>48.5872600666698</v>
      </c>
      <c r="AQ26" s="13" t="n">
        <f aca="false">SUMIFS(Funding!$J$69:$BJ$69,Construction!$J$12:$BJ$12,"&lt;="&amp;Time!AQ20)</f>
        <v>48.5872600666698</v>
      </c>
      <c r="AR26" s="13" t="n">
        <f aca="false">SUMIFS(Funding!$J$69:$BJ$69,Construction!$J$12:$BJ$12,"&lt;="&amp;Time!AR20)</f>
        <v>48.5872600666698</v>
      </c>
      <c r="AS26" s="13" t="n">
        <f aca="false">SUMIFS(Funding!$J$69:$BJ$69,Construction!$J$12:$BJ$12,"&lt;="&amp;Time!AS20)</f>
        <v>48.5872600666698</v>
      </c>
      <c r="AT26" s="13" t="n">
        <f aca="false">SUMIFS(Funding!$J$69:$BJ$69,Construction!$J$12:$BJ$12,"&lt;="&amp;Time!AT20)</f>
        <v>48.5872600666698</v>
      </c>
      <c r="AU26" s="13" t="n">
        <f aca="false">SUMIFS(Funding!$J$69:$BJ$69,Construction!$J$12:$BJ$12,"&lt;="&amp;Time!AU20)</f>
        <v>48.5872600666698</v>
      </c>
      <c r="AV26" s="13" t="n">
        <f aca="false">SUMIFS(Funding!$J$69:$BJ$69,Construction!$J$12:$BJ$12,"&lt;="&amp;Time!AV20)</f>
        <v>48.5872600666698</v>
      </c>
      <c r="AW26" s="13" t="n">
        <f aca="false">SUMIFS(Funding!$J$69:$BJ$69,Construction!$J$12:$BJ$12,"&lt;="&amp;Time!AW20)</f>
        <v>48.5872600666698</v>
      </c>
      <c r="AX26" s="13" t="n">
        <f aca="false">SUMIFS(Funding!$J$69:$BJ$69,Construction!$J$12:$BJ$12,"&lt;="&amp;Time!AX20)</f>
        <v>48.5872600666698</v>
      </c>
      <c r="AY26" s="13" t="n">
        <f aca="false">SUMIFS(Funding!$J$69:$BJ$69,Construction!$J$12:$BJ$12,"&lt;="&amp;Time!AY20)</f>
        <v>48.5872600666698</v>
      </c>
      <c r="AZ26" s="13" t="n">
        <f aca="false">SUMIFS(Funding!$J$69:$BJ$69,Construction!$J$12:$BJ$12,"&lt;="&amp;Time!AZ20)</f>
        <v>48.5872600666698</v>
      </c>
      <c r="BA26" s="13" t="n">
        <f aca="false">SUMIFS(Funding!$J$69:$BJ$69,Construction!$J$12:$BJ$12,"&lt;="&amp;Time!BA20)</f>
        <v>48.5872600666698</v>
      </c>
      <c r="BB26" s="13" t="n">
        <f aca="false">SUMIFS(Funding!$J$69:$BJ$69,Construction!$J$12:$BJ$12,"&lt;="&amp;Time!BB20)</f>
        <v>48.5872600666698</v>
      </c>
      <c r="BC26" s="13" t="n">
        <f aca="false">SUMIFS(Funding!$J$69:$BJ$69,Construction!$J$12:$BJ$12,"&lt;="&amp;Time!BC20)</f>
        <v>48.5872600666698</v>
      </c>
      <c r="BD26" s="13" t="n">
        <f aca="false">SUMIFS(Funding!$J$69:$BJ$69,Construction!$J$12:$BJ$12,"&lt;="&amp;Time!BD20)</f>
        <v>48.5872600666698</v>
      </c>
      <c r="BE26" s="13" t="n">
        <f aca="false">SUMIFS(Funding!$J$69:$BJ$69,Construction!$J$12:$BJ$12,"&lt;="&amp;Time!BE20)</f>
        <v>48.5872600666698</v>
      </c>
      <c r="BF26" s="13" t="n">
        <f aca="false">SUMIFS(Funding!$J$69:$BJ$69,Construction!$J$12:$BJ$12,"&lt;="&amp;Time!BF20)</f>
        <v>48.5872600666698</v>
      </c>
      <c r="BG26" s="13" t="n">
        <f aca="false">SUMIFS(Funding!$J$69:$BJ$69,Construction!$J$12:$BJ$12,"&lt;="&amp;Time!BG20)</f>
        <v>48.5872600666698</v>
      </c>
      <c r="BH26" s="13" t="n">
        <f aca="false">SUMIFS(Funding!$J$69:$BJ$69,Construction!$J$12:$BJ$12,"&lt;="&amp;Time!BH20)</f>
        <v>48.5872600666698</v>
      </c>
      <c r="BI26" s="13" t="n">
        <f aca="false">SUMIFS(Funding!$J$69:$BJ$69,Construction!$J$12:$BJ$12,"&lt;="&amp;Time!BI20)</f>
        <v>48.5872600666698</v>
      </c>
      <c r="BJ26" s="13" t="n">
        <f aca="false">SUMIFS(Funding!$J$69:$BJ$69,Construction!$J$12:$BJ$12,"&lt;="&amp;Time!BJ20)</f>
        <v>48.5872600666698</v>
      </c>
      <c r="BK26" s="13" t="n">
        <f aca="false">SUMIFS(Funding!$J$69:$BJ$69,Construction!$J$12:$BJ$12,"&lt;="&amp;Time!BK20)</f>
        <v>48.5872600666698</v>
      </c>
      <c r="BL26" s="13" t="n">
        <f aca="false">SUMIFS(Funding!$J$69:$BJ$69,Construction!$J$12:$BJ$12,"&lt;="&amp;Time!BL20)</f>
        <v>48.5872600666698</v>
      </c>
      <c r="BM26" s="13" t="n">
        <f aca="false">SUMIFS(Funding!$J$69:$BJ$69,Construction!$J$12:$BJ$12,"&lt;="&amp;Time!BM20)</f>
        <v>48.5872600666698</v>
      </c>
      <c r="BN26" s="13" t="n">
        <f aca="false">SUMIFS(Funding!$J$69:$BJ$69,Construction!$J$12:$BJ$12,"&lt;="&amp;Time!BN20)</f>
        <v>48.5872600666698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9.10515112180447</v>
      </c>
      <c r="P27" s="18" t="n">
        <f aca="false">Waterfall!P43</f>
        <v>12.3165271330113</v>
      </c>
      <c r="Q27" s="18" t="n">
        <f aca="false">Waterfall!Q43</f>
        <v>16.7738126424195</v>
      </c>
      <c r="R27" s="18" t="n">
        <f aca="false">Waterfall!R43</f>
        <v>21.4747731500528</v>
      </c>
      <c r="S27" s="18" t="n">
        <f aca="false">Waterfall!S43</f>
        <v>27.2790801389097</v>
      </c>
      <c r="T27" s="18" t="n">
        <f aca="false">Waterfall!T43</f>
        <v>33.3161945542571</v>
      </c>
      <c r="U27" s="18" t="n">
        <f aca="false">Waterfall!U43</f>
        <v>40.4266045012986</v>
      </c>
      <c r="V27" s="18" t="n">
        <f aca="false">Waterfall!V43</f>
        <v>45.5954670251313</v>
      </c>
      <c r="W27" s="18" t="n">
        <f aca="false">Waterfall!W43</f>
        <v>54.4248083387529</v>
      </c>
      <c r="X27" s="18" t="n">
        <f aca="false">Waterfall!X43</f>
        <v>63.6334025538222</v>
      </c>
      <c r="Y27" s="18" t="n">
        <f aca="false">Waterfall!Y43</f>
        <v>71.1146281064973</v>
      </c>
      <c r="Z27" s="18" t="n">
        <f aca="false">Waterfall!Z43</f>
        <v>74.128624635202</v>
      </c>
      <c r="AA27" s="18" t="n">
        <f aca="false">Waterfall!AA43</f>
        <v>77.991071095928</v>
      </c>
      <c r="AB27" s="18" t="n">
        <f aca="false">Waterfall!AB43</f>
        <v>82.1595087085334</v>
      </c>
      <c r="AC27" s="18" t="n">
        <f aca="false">Waterfall!AC43</f>
        <v>87.2157772430752</v>
      </c>
      <c r="AD27" s="18" t="n">
        <f aca="false">Waterfall!AD43</f>
        <v>81.5558866538651</v>
      </c>
      <c r="AE27" s="18" t="n">
        <f aca="false">Waterfall!AE43</f>
        <v>89.971734582769</v>
      </c>
      <c r="AF27" s="18" t="n">
        <f aca="false">Waterfall!AF43</f>
        <v>97.4142821600475</v>
      </c>
      <c r="AG27" s="18" t="n">
        <f aca="false">Waterfall!AG43</f>
        <v>105.231020722189</v>
      </c>
      <c r="AH27" s="18" t="n">
        <f aca="false">Waterfall!AH43</f>
        <v>113.689603783104</v>
      </c>
      <c r="AI27" s="18" t="n">
        <f aca="false">Waterfall!AI43</f>
        <v>123.250858180123</v>
      </c>
      <c r="AJ27" s="18" t="n">
        <f aca="false">Waterfall!AJ43</f>
        <v>133.502449413312</v>
      </c>
      <c r="AK27" s="18" t="n">
        <f aca="false">Waterfall!AK43</f>
        <v>144.916757846253</v>
      </c>
      <c r="AL27" s="18" t="n">
        <f aca="false">Waterfall!AL43</f>
        <v>155.239091518245</v>
      </c>
      <c r="AM27" s="18" t="n">
        <f aca="false">Waterfall!AM43</f>
        <v>168.875220315966</v>
      </c>
      <c r="AN27" s="18" t="n">
        <f aca="false">Waterfall!AN43</f>
        <v>183.484740812102</v>
      </c>
      <c r="AO27" s="18" t="n">
        <f aca="false">Waterfall!AO43</f>
        <v>199.306754719344</v>
      </c>
      <c r="AP27" s="18" t="n">
        <f aca="false">Waterfall!AP43</f>
        <v>216.803092872133</v>
      </c>
      <c r="AQ27" s="18" t="n">
        <f aca="false">Waterfall!AQ43</f>
        <v>235.855931829535</v>
      </c>
      <c r="AR27" s="18" t="n">
        <f aca="false">Waterfall!AR43</f>
        <v>256.324821004582</v>
      </c>
      <c r="AS27" s="18" t="n">
        <f aca="false">Waterfall!AS43</f>
        <v>278.529633565867</v>
      </c>
      <c r="AT27" s="18" t="n">
        <f aca="false">Waterfall!AT43</f>
        <v>273.053082495145</v>
      </c>
      <c r="AU27" s="18" t="n">
        <f aca="false">Waterfall!AU43</f>
        <v>254.213230134058</v>
      </c>
      <c r="AV27" s="18" t="n">
        <f aca="false">Waterfall!AV43</f>
        <v>235.17942834609</v>
      </c>
      <c r="AW27" s="18" t="n">
        <f aca="false">Waterfall!AW43</f>
        <v>216.685464829359</v>
      </c>
      <c r="AX27" s="18" t="n">
        <f aca="false">Waterfall!AX43</f>
        <v>197.651380969693</v>
      </c>
      <c r="AY27" s="18" t="n">
        <f aca="false">Waterfall!AY43</f>
        <v>179.160707918803</v>
      </c>
      <c r="AZ27" s="18" t="n">
        <f aca="false">Waterfall!AZ43</f>
        <v>160.125545733757</v>
      </c>
      <c r="BA27" s="18" t="n">
        <f aca="false">Waterfall!BA43</f>
        <v>142.044863050731</v>
      </c>
      <c r="BB27" s="18" t="n">
        <f aca="false">Waterfall!BB43</f>
        <v>120.472868723349</v>
      </c>
      <c r="BC27" s="18" t="n">
        <f aca="false">Waterfall!BC43</f>
        <v>105.023793259345</v>
      </c>
      <c r="BD27" s="18" t="n">
        <f aca="false">Waterfall!BD43</f>
        <v>96.0461539052052</v>
      </c>
      <c r="BE27" s="18" t="n">
        <f aca="false">Waterfall!BE43</f>
        <v>87.6431070452527</v>
      </c>
      <c r="BF27" s="18" t="n">
        <f aca="false">Waterfall!BF43</f>
        <v>78.7000873817649</v>
      </c>
      <c r="BG27" s="18" t="n">
        <f aca="false">Waterfall!BG43</f>
        <v>70.3344479700923</v>
      </c>
      <c r="BH27" s="18" t="n">
        <f aca="false">Waterfall!BH43</f>
        <v>61.4241903058813</v>
      </c>
      <c r="BI27" s="18" t="n">
        <f aca="false">Waterfall!BI43</f>
        <v>53.007181102402</v>
      </c>
      <c r="BJ27" s="18" t="n">
        <f aca="false">Waterfall!BJ43</f>
        <v>24.399692312658</v>
      </c>
      <c r="BK27" s="18" t="n">
        <f aca="false">Waterfall!BK43</f>
        <v>13.5833782735511</v>
      </c>
      <c r="BL27" s="18" t="n">
        <f aca="false">Waterfall!BL43</f>
        <v>1.94519413204521</v>
      </c>
      <c r="BM27" s="18" t="n">
        <f aca="false">Waterfall!BM43</f>
        <v>-48.5872600666696</v>
      </c>
      <c r="BN27" s="18" t="n">
        <f aca="false">Waterfall!BN43</f>
        <v>-48.5872600666696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149.507631647469</v>
      </c>
      <c r="K28" s="13" t="n">
        <f aca="false">K22+K23+K24+K25+K26+K27</f>
        <v>259.626002485557</v>
      </c>
      <c r="L28" s="13" t="n">
        <f aca="false">L22+L23+L24+L25+L26+L27</f>
        <v>473.005914227724</v>
      </c>
      <c r="M28" s="13" t="n">
        <f aca="false">M22+M23+M24+M25+M26+M27</f>
        <v>695.075937534707</v>
      </c>
      <c r="N28" s="13" t="n">
        <f aca="false">N22+N23+N24+N25+N26+N27</f>
        <v>824.264072123405</v>
      </c>
      <c r="O28" s="13" t="n">
        <f aca="false">O22+O23+O24+O25+O26+O27</f>
        <v>999.529064034639</v>
      </c>
      <c r="P28" s="13" t="n">
        <f aca="false">P22+P23+P24+P25+P26+P27</f>
        <v>985.0131952242</v>
      </c>
      <c r="Q28" s="13" t="n">
        <f aca="false">Q22+Q23+Q24+Q25+Q26+Q27</f>
        <v>974.159999031913</v>
      </c>
      <c r="R28" s="13" t="n">
        <f aca="false">R22+R23+R24+R25+R26+R27</f>
        <v>960.743695267915</v>
      </c>
      <c r="S28" s="13" t="n">
        <f aca="false">S22+S23+S24+S25+S26+S27</f>
        <v>949.989022385031</v>
      </c>
      <c r="T28" s="13" t="n">
        <f aca="false">T22+T23+T24+T25+T26+T27</f>
        <v>936.971412424982</v>
      </c>
      <c r="U28" s="13" t="n">
        <f aca="false">U22+U23+U24+U25+U26+U27</f>
        <v>926.02331294281</v>
      </c>
      <c r="V28" s="13" t="n">
        <f aca="false">V22+V23+V24+V25+V26+V27</f>
        <v>909.542782110598</v>
      </c>
      <c r="W28" s="13" t="n">
        <f aca="false">W22+W23+W24+W25+W26+W27</f>
        <v>896.923981852787</v>
      </c>
      <c r="X28" s="13" t="n">
        <f aca="false">X22+X23+X24+X25+X26+X27</f>
        <v>885.641985432454</v>
      </c>
      <c r="Y28" s="13" t="n">
        <f aca="false">Y22+Y23+Y24+Y25+Y26+Y27</f>
        <v>873.959884247377</v>
      </c>
      <c r="Z28" s="13" t="n">
        <f aca="false">Z22+Z23+Z24+Z25+Z26+Z27</f>
        <v>855.112240290185</v>
      </c>
      <c r="AA28" s="13" t="n">
        <f aca="false">AA22+AA23+AA24+AA25+AA26+AA27</f>
        <v>838.701619793556</v>
      </c>
      <c r="AB28" s="13" t="n">
        <f aca="false">AB22+AB23+AB24+AB25+AB26+AB27</f>
        <v>819.362696852245</v>
      </c>
      <c r="AC28" s="13" t="n">
        <f aca="false">AC22+AC23+AC24+AC25+AC26+AC27</f>
        <v>802.191664477437</v>
      </c>
      <c r="AD28" s="13" t="n">
        <f aca="false">AD22+AD23+AD24+AD25+AD26+AD27</f>
        <v>768.974549811659</v>
      </c>
      <c r="AE28" s="13" t="n">
        <f aca="false">AE22+AE23+AE24+AE25+AE26+AE27</f>
        <v>750.816617886046</v>
      </c>
      <c r="AF28" s="13" t="n">
        <f aca="false">AF22+AF23+AF24+AF25+AF26+AF27</f>
        <v>729.514597815033</v>
      </c>
      <c r="AG28" s="13" t="n">
        <f aca="false">AG22+AG23+AG24+AG25+AG26+AG27</f>
        <v>708.819174183891</v>
      </c>
      <c r="AH28" s="13" t="n">
        <f aca="false">AH22+AH23+AH24+AH25+AH26+AH27</f>
        <v>684.99852115916</v>
      </c>
      <c r="AI28" s="13" t="n">
        <f aca="false">AI22+AI23+AI24+AI25+AI26+AI27</f>
        <v>663.185195129315</v>
      </c>
      <c r="AJ28" s="13" t="n">
        <f aca="false">AJ22+AJ23+AJ24+AJ25+AJ26+AJ27</f>
        <v>638.393474300622</v>
      </c>
      <c r="AK28" s="13" t="n">
        <f aca="false">AK22+AK23+AK24+AK25+AK26+AK27</f>
        <v>614.44468878146</v>
      </c>
      <c r="AL28" s="13" t="n">
        <f aca="false">AL22+AL23+AL24+AL25+AL26+AL27</f>
        <v>583.664692100204</v>
      </c>
      <c r="AM28" s="13" t="n">
        <f aca="false">AM22+AM23+AM24+AM25+AM26+AM27</f>
        <v>554.081155144976</v>
      </c>
      <c r="AN28" s="13" t="n">
        <f aca="false">AN22+AN23+AN24+AN25+AN26+AN27</f>
        <v>531.425775419157</v>
      </c>
      <c r="AO28" s="13" t="n">
        <f aca="false">AO22+AO23+AO24+AO25+AO26+AO27</f>
        <v>491.994640067093</v>
      </c>
      <c r="AP28" s="13" t="n">
        <f aca="false">AP22+AP23+AP24+AP25+AP26+AP27</f>
        <v>475.20891078032</v>
      </c>
      <c r="AQ28" s="13" t="n">
        <f aca="false">AQ22+AQ23+AQ24+AQ25+AQ26+AQ27</f>
        <v>460.689068255168</v>
      </c>
      <c r="AR28" s="13" t="n">
        <f aca="false">AR22+AR23+AR24+AR25+AR26+AR27</f>
        <v>444.2501254757</v>
      </c>
      <c r="AS28" s="13" t="n">
        <f aca="false">AS22+AS23+AS24+AS25+AS26+AS27</f>
        <v>428.898053758026</v>
      </c>
      <c r="AT28" s="13" t="n">
        <f aca="false">AT22+AT23+AT24+AT25+AT26+AT27</f>
        <v>394.815014636089</v>
      </c>
      <c r="AU28" s="13" t="n">
        <f aca="false">AU22+AU23+AU24+AU25+AU26+AU27</f>
        <v>378.634347609299</v>
      </c>
      <c r="AV28" s="13" t="n">
        <f aca="false">AV22+AV23+AV24+AV25+AV26+AV27</f>
        <v>361.307111849234</v>
      </c>
      <c r="AW28" s="13" t="n">
        <f aca="false">AW22+AW23+AW24+AW25+AW26+AW27</f>
        <v>344.923428969066</v>
      </c>
      <c r="AX28" s="13" t="n">
        <f aca="false">AX22+AX23+AX24+AX25+AX26+AX27</f>
        <v>326.327262873176</v>
      </c>
      <c r="AY28" s="13" t="n">
        <f aca="false">AY22+AY23+AY24+AY25+AY26+AY27</f>
        <v>310.153013959022</v>
      </c>
      <c r="AZ28" s="13" t="n">
        <f aca="false">AZ22+AZ23+AZ24+AZ25+AZ26+AZ27</f>
        <v>291.931330710907</v>
      </c>
      <c r="BA28" s="13" t="n">
        <f aca="false">BA22+BA23+BA24+BA25+BA26+BA27</f>
        <v>275.567538926684</v>
      </c>
      <c r="BB28" s="13" t="n">
        <f aca="false">BB22+BB23+BB24+BB25+BB26+BB27</f>
        <v>254.083856621258</v>
      </c>
      <c r="BC28" s="13" t="n">
        <f aca="false">BC22+BC23+BC24+BC25+BC26+BC27</f>
        <v>239.126414815312</v>
      </c>
      <c r="BD28" s="13" t="n">
        <f aca="false">BD22+BD23+BD24+BD25+BD26+BD27</f>
        <v>225.152207791825</v>
      </c>
      <c r="BE28" s="13" t="n">
        <f aca="false">BE22+BE23+BE24+BE25+BE26+BE27</f>
        <v>212.619666859265</v>
      </c>
      <c r="BF28" s="13" t="n">
        <f aca="false">BF22+BF23+BF24+BF25+BF26+BF27</f>
        <v>197.73979052728</v>
      </c>
      <c r="BG28" s="13" t="n">
        <f aca="false">BG22+BG23+BG24+BG25+BG26+BG27</f>
        <v>185.467542685624</v>
      </c>
      <c r="BH28" s="13" t="n">
        <f aca="false">BH22+BH23+BH24+BH25+BH26+BH27</f>
        <v>171.026534995497</v>
      </c>
      <c r="BI28" s="13" t="n">
        <f aca="false">BI22+BI23+BI24+BI25+BI26+BI27</f>
        <v>157.827050869432</v>
      </c>
      <c r="BJ28" s="13" t="n">
        <f aca="false">BJ22+BJ23+BJ24+BJ25+BJ26+BJ27</f>
        <v>122.464180378029</v>
      </c>
      <c r="BK28" s="13" t="n">
        <f aca="false">BK22+BK23+BK24+BK25+BK26+BK27</f>
        <v>108.247853499266</v>
      </c>
      <c r="BL28" s="13" t="n">
        <f aca="false">BL22+BL23+BL24+BL25+BL26+BL27</f>
        <v>92.098121032078</v>
      </c>
      <c r="BM28" s="13" t="n">
        <f aca="false">BM22+BM23+BM24+BM25+BM26+BM27</f>
        <v>1.91846538655227E-013</v>
      </c>
      <c r="BN28" s="13" t="n">
        <f aca="false">BN22+BN23+BN24+BN25+BN26+BN27</f>
        <v>1.91846538655227E-013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-1.91846538655227E-013</v>
      </c>
      <c r="BN29" s="13" t="n">
        <f aca="false">BN21-BN28</f>
        <v>-1.91846538655227E-013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0.034429605795626</v>
      </c>
      <c r="Q7" s="16" t="n">
        <f aca="false">IF(Debt!Q115&gt;Inputs!$F$253,Debt!Q112/Debt!Q115,0)</f>
        <v>0.034075098760112</v>
      </c>
      <c r="R7" s="16" t="n">
        <f aca="false">IF(Debt!R115&gt;Inputs!$F$253,Debt!R112/Debt!R115,0)</f>
        <v>0.034461469872758</v>
      </c>
      <c r="S7" s="16" t="n">
        <f aca="false">IF(Debt!S115&gt;Inputs!$F$253,Debt!S112/Debt!S115,0)</f>
        <v>0.0340907710371797</v>
      </c>
      <c r="T7" s="16" t="n">
        <f aca="false">IF(Debt!T115&gt;Inputs!$F$253,Debt!T112/Debt!T115,0)</f>
        <v>0.034477401911324</v>
      </c>
      <c r="U7" s="16" t="n">
        <f aca="false">IF(Debt!U115&gt;Inputs!$F$253,Debt!U112/Debt!U115,0)</f>
        <v>0.0342196479952277</v>
      </c>
      <c r="V7" s="16" t="n">
        <f aca="false">IF(Debt!V115&gt;Inputs!$F$253,Debt!V112/Debt!V115,0)</f>
        <v>0.034477401911324</v>
      </c>
      <c r="W7" s="16" t="n">
        <f aca="false">IF(Debt!W115&gt;Inputs!$F$253,Debt!W112/Debt!W115,0)</f>
        <v>0.0340907710371797</v>
      </c>
      <c r="X7" s="16" t="n">
        <f aca="false">IF(Debt!X115&gt;Inputs!$F$253,Debt!X112/Debt!X115,0)</f>
        <v>0.034477401911324</v>
      </c>
      <c r="Y7" s="16" t="n">
        <f aca="false">IF(Debt!Y115&gt;Inputs!$F$253,Debt!Y112/Debt!Y115,0)</f>
        <v>0.0351521907902661</v>
      </c>
      <c r="Z7" s="16" t="n">
        <f aca="false">IF(Debt!Z115&gt;Inputs!$F$253,Debt!Z112/Debt!Z115,0)</f>
        <v>0.035556414257003</v>
      </c>
      <c r="AA7" s="16" t="n">
        <f aca="false">IF(Debt!AA115&gt;Inputs!$F$253,Debt!AA112/Debt!AA115,0)</f>
        <v>0.0351521907902661</v>
      </c>
      <c r="AB7" s="16" t="n">
        <f aca="false">IF(Debt!AB115&gt;Inputs!$F$253,Debt!AB112/Debt!AB115,0)</f>
        <v>0.0354215134842076</v>
      </c>
      <c r="AC7" s="16" t="n">
        <f aca="false">IF(Debt!AC115&gt;Inputs!$F$253,Debt!AC112/Debt!AC115,0)</f>
        <v>0.0349842867741365</v>
      </c>
      <c r="AD7" s="16" t="n">
        <f aca="false">IF(Debt!AD115&gt;Inputs!$F$253,Debt!AD112/Debt!AD115,0)</f>
        <v>0.0350769572724721</v>
      </c>
      <c r="AE7" s="16" t="n">
        <f aca="false">IF(Debt!AE115&gt;Inputs!$F$253,Debt!AE112/Debt!AE115,0)</f>
        <v>0.0344565871881519</v>
      </c>
      <c r="AF7" s="16" t="n">
        <f aca="false">IF(Debt!AF115&gt;Inputs!$F$253,Debt!AF112/Debt!AF115,0)</f>
        <v>0.0345525999030483</v>
      </c>
      <c r="AG7" s="16" t="n">
        <f aca="false">IF(Debt!AG115&gt;Inputs!$F$253,Debt!AG112/Debt!AG115,0)</f>
        <v>0.0347067717836906</v>
      </c>
      <c r="AH7" s="16" t="n">
        <f aca="false">IF(Debt!AH115&gt;Inputs!$F$253,Debt!AH112/Debt!AH115,0)</f>
        <v>0.0345862234280303</v>
      </c>
      <c r="AI7" s="16" t="n">
        <f aca="false">IF(Debt!AI115&gt;Inputs!$F$253,Debt!AI112/Debt!AI115,0)</f>
        <v>0.0335411263516607</v>
      </c>
      <c r="AJ7" s="16" t="n">
        <f aca="false">IF(Debt!AJ115&gt;Inputs!$F$253,Debt!AJ112/Debt!AJ115,0)</f>
        <v>0.0329467645664883</v>
      </c>
      <c r="AK7" s="16" t="n">
        <f aca="false">IF(Debt!AK115&gt;Inputs!$F$253,Debt!AK112/Debt!AK115,0)</f>
        <v>0.0312765917846491</v>
      </c>
      <c r="AL7" s="16" t="n">
        <f aca="false">IF(Debt!AL115&gt;Inputs!$F$253,Debt!AL112/Debt!AL115,0)</f>
        <v>0.0289583145803029</v>
      </c>
      <c r="AM7" s="16" t="n">
        <f aca="false">IF(Debt!AM115&gt;Inputs!$F$253,Debt!AM112/Debt!AM115,0)</f>
        <v>0.0271186013166297</v>
      </c>
      <c r="AN7" s="16" t="n">
        <f aca="false">IF(Debt!AN115&gt;Inputs!$F$253,Debt!AN112/Debt!AN115,0)</f>
        <v>0.0272803235903555</v>
      </c>
      <c r="AO7" s="16" t="n">
        <f aca="false">IF(Debt!AO115&gt;Inputs!$F$253,Debt!AO112/Debt!AO115,0)</f>
        <v>0.0271186013166296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0.0271186013166296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0.0271186013166296</v>
      </c>
      <c r="K10" s="16" t="n">
        <f aca="false">IF(K7&gt;0,K7,$F$9)</f>
        <v>0.0271186013166296</v>
      </c>
      <c r="L10" s="16" t="n">
        <f aca="false">IF(L7&gt;0,L7,$F$9)</f>
        <v>0.0271186013166296</v>
      </c>
      <c r="M10" s="16" t="n">
        <f aca="false">IF(M7&gt;0,M7,$F$9)</f>
        <v>0.0271186013166296</v>
      </c>
      <c r="N10" s="16" t="n">
        <f aca="false">IF(N7&gt;0,N7,$F$9)</f>
        <v>0.0271186013166296</v>
      </c>
      <c r="O10" s="16" t="n">
        <f aca="false">IF(O7&gt;0,O7,$F$9)</f>
        <v>0.0271186013166296</v>
      </c>
      <c r="P10" s="16" t="n">
        <f aca="false">IF(P7&gt;0,P7,$F$9)</f>
        <v>0.034429605795626</v>
      </c>
      <c r="Q10" s="16" t="n">
        <f aca="false">IF(Q7&gt;0,Q7,$F$9)</f>
        <v>0.034075098760112</v>
      </c>
      <c r="R10" s="16" t="n">
        <f aca="false">IF(R7&gt;0,R7,$F$9)</f>
        <v>0.034461469872758</v>
      </c>
      <c r="S10" s="16" t="n">
        <f aca="false">IF(S7&gt;0,S7,$F$9)</f>
        <v>0.0340907710371797</v>
      </c>
      <c r="T10" s="16" t="n">
        <f aca="false">IF(T7&gt;0,T7,$F$9)</f>
        <v>0.034477401911324</v>
      </c>
      <c r="U10" s="16" t="n">
        <f aca="false">IF(U7&gt;0,U7,$F$9)</f>
        <v>0.0342196479952277</v>
      </c>
      <c r="V10" s="16" t="n">
        <f aca="false">IF(V7&gt;0,V7,$F$9)</f>
        <v>0.034477401911324</v>
      </c>
      <c r="W10" s="16" t="n">
        <f aca="false">IF(W7&gt;0,W7,$F$9)</f>
        <v>0.0340907710371797</v>
      </c>
      <c r="X10" s="16" t="n">
        <f aca="false">IF(X7&gt;0,X7,$F$9)</f>
        <v>0.034477401911324</v>
      </c>
      <c r="Y10" s="16" t="n">
        <f aca="false">IF(Y7&gt;0,Y7,$F$9)</f>
        <v>0.0351521907902661</v>
      </c>
      <c r="Z10" s="16" t="n">
        <f aca="false">IF(Z7&gt;0,Z7,$F$9)</f>
        <v>0.035556414257003</v>
      </c>
      <c r="AA10" s="16" t="n">
        <f aca="false">IF(AA7&gt;0,AA7,$F$9)</f>
        <v>0.0351521907902661</v>
      </c>
      <c r="AB10" s="16" t="n">
        <f aca="false">IF(AB7&gt;0,AB7,$F$9)</f>
        <v>0.0354215134842076</v>
      </c>
      <c r="AC10" s="16" t="n">
        <f aca="false">IF(AC7&gt;0,AC7,$F$9)</f>
        <v>0.0349842867741365</v>
      </c>
      <c r="AD10" s="16" t="n">
        <f aca="false">IF(AD7&gt;0,AD7,$F$9)</f>
        <v>0.0350769572724721</v>
      </c>
      <c r="AE10" s="16" t="n">
        <f aca="false">IF(AE7&gt;0,AE7,$F$9)</f>
        <v>0.0344565871881519</v>
      </c>
      <c r="AF10" s="16" t="n">
        <f aca="false">IF(AF7&gt;0,AF7,$F$9)</f>
        <v>0.0345525999030483</v>
      </c>
      <c r="AG10" s="16" t="n">
        <f aca="false">IF(AG7&gt;0,AG7,$F$9)</f>
        <v>0.0347067717836906</v>
      </c>
      <c r="AH10" s="16" t="n">
        <f aca="false">IF(AH7&gt;0,AH7,$F$9)</f>
        <v>0.0345862234280303</v>
      </c>
      <c r="AI10" s="16" t="n">
        <f aca="false">IF(AI7&gt;0,AI7,$F$9)</f>
        <v>0.0335411263516607</v>
      </c>
      <c r="AJ10" s="16" t="n">
        <f aca="false">IF(AJ7&gt;0,AJ7,$F$9)</f>
        <v>0.0329467645664883</v>
      </c>
      <c r="AK10" s="16" t="n">
        <f aca="false">IF(AK7&gt;0,AK7,$F$9)</f>
        <v>0.0312765917846491</v>
      </c>
      <c r="AL10" s="16" t="n">
        <f aca="false">IF(AL7&gt;0,AL7,$F$9)</f>
        <v>0.0289583145803029</v>
      </c>
      <c r="AM10" s="16" t="n">
        <f aca="false">IF(AM7&gt;0,AM7,$F$9)</f>
        <v>0.0271186013166297</v>
      </c>
      <c r="AN10" s="16" t="n">
        <f aca="false">IF(AN7&gt;0,AN7,$F$9)</f>
        <v>0.0272803235903555</v>
      </c>
      <c r="AO10" s="16" t="n">
        <f aca="false">IF(AO7&gt;0,AO7,$F$9)</f>
        <v>0.0271186013166296</v>
      </c>
      <c r="AP10" s="16" t="n">
        <f aca="false">IF(AP7&gt;0,AP7,$F$9)</f>
        <v>0.0271186013166296</v>
      </c>
      <c r="AQ10" s="16" t="n">
        <f aca="false">IF(AQ7&gt;0,AQ7,$F$9)</f>
        <v>0.0271186013166296</v>
      </c>
      <c r="AR10" s="16" t="n">
        <f aca="false">IF(AR7&gt;0,AR7,$F$9)</f>
        <v>0.0271186013166296</v>
      </c>
      <c r="AS10" s="16" t="n">
        <f aca="false">IF(AS7&gt;0,AS7,$F$9)</f>
        <v>0.0271186013166296</v>
      </c>
      <c r="AT10" s="16" t="n">
        <f aca="false">IF(AT7&gt;0,AT7,$F$9)</f>
        <v>0.0271186013166296</v>
      </c>
      <c r="AU10" s="16" t="n">
        <f aca="false">IF(AU7&gt;0,AU7,$F$9)</f>
        <v>0.0271186013166296</v>
      </c>
      <c r="AV10" s="16" t="n">
        <f aca="false">IF(AV7&gt;0,AV7,$F$9)</f>
        <v>0.0271186013166296</v>
      </c>
      <c r="AW10" s="16" t="n">
        <f aca="false">IF(AW7&gt;0,AW7,$F$9)</f>
        <v>0.0271186013166296</v>
      </c>
      <c r="AX10" s="16" t="n">
        <f aca="false">IF(AX7&gt;0,AX7,$F$9)</f>
        <v>0.0271186013166296</v>
      </c>
      <c r="AY10" s="16" t="n">
        <f aca="false">IF(AY7&gt;0,AY7,$F$9)</f>
        <v>0.0271186013166296</v>
      </c>
      <c r="AZ10" s="16" t="n">
        <f aca="false">IF(AZ7&gt;0,AZ7,$F$9)</f>
        <v>0.0271186013166296</v>
      </c>
      <c r="BA10" s="16" t="n">
        <f aca="false">IF(BA7&gt;0,BA7,$F$9)</f>
        <v>0.0271186013166296</v>
      </c>
      <c r="BB10" s="16" t="n">
        <f aca="false">IF(BB7&gt;0,BB7,$F$9)</f>
        <v>0.0271186013166296</v>
      </c>
      <c r="BC10" s="16" t="n">
        <f aca="false">IF(BC7&gt;0,BC7,$F$9)</f>
        <v>0.0271186013166296</v>
      </c>
      <c r="BD10" s="16" t="n">
        <f aca="false">IF(BD7&gt;0,BD7,$F$9)</f>
        <v>0.0271186013166296</v>
      </c>
      <c r="BE10" s="16" t="n">
        <f aca="false">IF(BE7&gt;0,BE7,$F$9)</f>
        <v>0.0271186013166296</v>
      </c>
      <c r="BF10" s="16" t="n">
        <f aca="false">IF(BF7&gt;0,BF7,$F$9)</f>
        <v>0.0271186013166296</v>
      </c>
      <c r="BG10" s="16" t="n">
        <f aca="false">IF(BG7&gt;0,BG7,$F$9)</f>
        <v>0.0271186013166296</v>
      </c>
      <c r="BH10" s="16" t="n">
        <f aca="false">IF(BH7&gt;0,BH7,$F$9)</f>
        <v>0.0271186013166296</v>
      </c>
      <c r="BI10" s="16" t="n">
        <f aca="false">IF(BI7&gt;0,BI7,$F$9)</f>
        <v>0.0271186013166296</v>
      </c>
      <c r="BJ10" s="16" t="n">
        <f aca="false">IF(BJ7&gt;0,BJ7,$F$9)</f>
        <v>0.0271186013166296</v>
      </c>
      <c r="BK10" s="16" t="n">
        <f aca="false">IF(BK7&gt;0,BK7,$F$9)</f>
        <v>0.0271186013166296</v>
      </c>
      <c r="BL10" s="16" t="n">
        <f aca="false">IF(BL7&gt;0,BL7,$F$9)</f>
        <v>0.0271186013166296</v>
      </c>
      <c r="BM10" s="16" t="n">
        <f aca="false">IF(BM7&gt;0,BM7,$F$9)</f>
        <v>0.0271186013166296</v>
      </c>
      <c r="BN10" s="16" t="n">
        <f aca="false">IF(BN7&gt;0,BN7,$F$9)</f>
        <v>0.0271186013166296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739.545494757779</v>
      </c>
      <c r="K11" s="13" t="n">
        <f aca="false">IF(Time!K20&lt;=$F$8,(Waterfall!K7+L11)/(1+K10),0)</f>
        <v>759.600934185625</v>
      </c>
      <c r="L11" s="13" t="n">
        <f aca="false">IF(Time!L20&lt;=$F$8,(Waterfall!L7+M11)/(1+L10),0)</f>
        <v>780.200249079544</v>
      </c>
      <c r="M11" s="13" t="n">
        <f aca="false">IF(Time!M20&lt;=$F$8,(Waterfall!M7+N11)/(1+M10),0)</f>
        <v>801.358188581467</v>
      </c>
      <c r="N11" s="13" t="n">
        <f aca="false">IF(Time!N20&lt;=$F$8,(Waterfall!N7+O11)/(1+N10),0)</f>
        <v>823.089901809424</v>
      </c>
      <c r="O11" s="13" t="n">
        <f aca="false">IF(Time!O20&lt;=$F$8,(Waterfall!O7+P11)/(1+O10),0)</f>
        <v>845.410948704338</v>
      </c>
      <c r="P11" s="13" t="n">
        <f aca="false">IF(Time!P20&lt;=$F$8,(Waterfall!P7+Q11)/(1+P10),0)</f>
        <v>866.465063973141</v>
      </c>
      <c r="Q11" s="13" t="n">
        <f aca="false">IF(Time!Q20&lt;=$F$8,(Waterfall!Q7+R11)/(1+Q10),0)</f>
        <v>846.025020290151</v>
      </c>
      <c r="R11" s="13" t="n">
        <f aca="false">IF(Time!R20&lt;=$F$8,(Waterfall!R7+S11)/(1+R10),0)</f>
        <v>824.692709334787</v>
      </c>
      <c r="S11" s="13" t="n">
        <f aca="false">IF(Time!S20&lt;=$F$8,(Waterfall!S7+T11)/(1+S10),0)</f>
        <v>802.319372418751</v>
      </c>
      <c r="T11" s="13" t="n">
        <f aca="false">IF(Time!T20&lt;=$F$8,(Waterfall!T7+U11)/(1+T10),0)</f>
        <v>779.27108657388</v>
      </c>
      <c r="U11" s="13" t="n">
        <f aca="false">IF(Time!U20&lt;=$F$8,(Waterfall!U7+V11)/(1+U10),0)</f>
        <v>755.174185013582</v>
      </c>
      <c r="V11" s="13" t="n">
        <f aca="false">IF(Time!V20&lt;=$F$8,(Waterfall!V7+W11)/(1+V10),0)</f>
        <v>730.295544576947</v>
      </c>
      <c r="W11" s="13" t="n">
        <f aca="false">IF(Time!W20&lt;=$F$8,(Waterfall!W7+X11)/(1+W10),0)</f>
        <v>703.785545259593</v>
      </c>
      <c r="X11" s="13" t="n">
        <f aca="false">IF(Time!X20&lt;=$F$8,(Waterfall!X7+Y11)/(1+X10),0)</f>
        <v>676.446780114127</v>
      </c>
      <c r="Y11" s="13" t="n">
        <f aca="false">IF(Time!Y20&lt;=$F$8,(Waterfall!Y7+Z11)/(1+Y10),0)</f>
        <v>649.91773426906</v>
      </c>
      <c r="Z11" s="13" t="n">
        <f aca="false">IF(Time!Z20&lt;=$F$8,(Waterfall!Z7+AA11)/(1+Z10),0)</f>
        <v>623.393737198925</v>
      </c>
      <c r="AA11" s="13" t="n">
        <f aca="false">IF(Time!AA20&lt;=$F$8,(Waterfall!AA7+AB11)/(1+AA10),0)</f>
        <v>595.783042963838</v>
      </c>
      <c r="AB11" s="13" t="n">
        <f aca="false">IF(Time!AB20&lt;=$F$8,(Waterfall!AB7+AC11)/(1+AB10),0)</f>
        <v>567.350834227915</v>
      </c>
      <c r="AC11" s="13" t="n">
        <f aca="false">IF(Time!AC20&lt;=$F$8,(Waterfall!AC7+AD11)/(1+AC10),0)</f>
        <v>537.490848796314</v>
      </c>
      <c r="AD11" s="13" t="n">
        <f aca="false">IF(Time!AD20&lt;=$F$8,(Waterfall!AD7+AE11)/(1+AD10),0)</f>
        <v>506.543128346389</v>
      </c>
      <c r="AE11" s="13" t="n">
        <f aca="false">IF(Time!AE20&lt;=$F$8,(Waterfall!AE7+AF11)/(1+AE10),0)</f>
        <v>472.64857733332</v>
      </c>
      <c r="AF11" s="13" t="n">
        <f aca="false">IF(Time!AF20&lt;=$F$8,(Waterfall!AF7+AG11)/(1+AF10),0)</f>
        <v>437.188602309895</v>
      </c>
      <c r="AG11" s="13" t="n">
        <f aca="false">IF(Time!AG20&lt;=$F$8,(Waterfall!AG7+AH11)/(1+AG10),0)</f>
        <v>400.387919514889</v>
      </c>
      <c r="AH11" s="13" t="n">
        <f aca="false">IF(Time!AH20&lt;=$F$8,(Waterfall!AH7+AI11)/(1+AH10),0)</f>
        <v>362.744812510532</v>
      </c>
      <c r="AI11" s="13" t="n">
        <f aca="false">IF(Time!AI20&lt;=$F$8,(Waterfall!AI7+AJ11)/(1+AI10),0)</f>
        <v>323.082040965197</v>
      </c>
      <c r="AJ11" s="13" t="n">
        <f aca="false">IF(Time!AJ20&lt;=$F$8,(Waterfall!AJ7+AK11)/(1+AJ10),0)</f>
        <v>282.117335772645</v>
      </c>
      <c r="AK11" s="13" t="n">
        <f aca="false">IF(Time!AK20&lt;=$F$8,(Waterfall!AK7+AL11)/(1+AK10),0)</f>
        <v>239.009590925832</v>
      </c>
      <c r="AL11" s="13" t="n">
        <f aca="false">IF(Time!AL20&lt;=$F$8,(Waterfall!AL7+AM11)/(1+AL10),0)</f>
        <v>194.32046339306</v>
      </c>
      <c r="AM11" s="13" t="n">
        <f aca="false">IF(Time!AM20&lt;=$F$8,(Waterfall!AM7+AN11)/(1+AM10),0)</f>
        <v>146.672080489968</v>
      </c>
      <c r="AN11" s="13" t="n">
        <f aca="false">IF(Time!AN20&lt;=$F$8,(Waterfall!AN7+AO11)/(1+AN10),0)</f>
        <v>97.7499171374463</v>
      </c>
      <c r="AO11" s="13" t="n">
        <f aca="false">IF(Time!AO20&lt;=$F$8,(Waterfall!AO7+AP11)/(1+AO10),0)</f>
        <v>49.3529433555047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1020.86240146651</v>
      </c>
      <c r="K12" s="13" t="n">
        <f aca="false">IF(Time!K20&lt;=Time!$F$15,(Waterfall!K7+L12)/(1+K10),0)</f>
        <v>1048.54676193101</v>
      </c>
      <c r="L12" s="13" t="n">
        <f aca="false">IF(Time!L20&lt;=Time!$F$15,(Waterfall!L7+M12)/(1+L10),0)</f>
        <v>1076.98188352966</v>
      </c>
      <c r="M12" s="13" t="n">
        <f aca="false">IF(Time!M20&lt;=Time!$F$15,(Waterfall!M7+N12)/(1+M10),0)</f>
        <v>1106.18812585434</v>
      </c>
      <c r="N12" s="13" t="n">
        <f aca="false">IF(Time!N20&lt;=Time!$F$15,(Waterfall!N7+O12)/(1+N10),0)</f>
        <v>1136.18640062057</v>
      </c>
      <c r="O12" s="13" t="n">
        <f aca="false">IF(Time!O20&lt;=Time!$F$15,(Waterfall!O7+P12)/(1+O10),0)</f>
        <v>1166.99818664038</v>
      </c>
      <c r="P12" s="13" t="n">
        <f aca="false">IF(Time!P20&lt;=Time!$F$15,(Waterfall!P7+Q12)/(1+P10),0)</f>
        <v>1196.77329800328</v>
      </c>
      <c r="Q12" s="13" t="n">
        <f aca="false">IF(Time!Q20&lt;=Time!$F$15,(Waterfall!Q7+R12)/(1+Q10),0)</f>
        <v>1187.705636609</v>
      </c>
      <c r="R12" s="13" t="n">
        <f aca="false">IF(Time!R20&lt;=Time!$F$15,(Waterfall!R7+S12)/(1+R10),0)</f>
        <v>1178.01612639912</v>
      </c>
      <c r="S12" s="13" t="n">
        <f aca="false">IF(Time!S20&lt;=Time!$F$15,(Waterfall!S7+T12)/(1+S10),0)</f>
        <v>1167.81883377558</v>
      </c>
      <c r="T12" s="13" t="n">
        <f aca="false">IF(Time!T20&lt;=Time!$F$15,(Waterfall!T7+U12)/(1+T10),0)</f>
        <v>1157.23070638204</v>
      </c>
      <c r="U12" s="13" t="n">
        <f aca="false">IF(Time!U20&lt;=Time!$F$15,(Waterfall!U7+V12)/(1+U10),0)</f>
        <v>1146.16487054012</v>
      </c>
      <c r="V12" s="13" t="n">
        <f aca="false">IF(Time!V20&lt;=Time!$F$15,(Waterfall!V7+W12)/(1+V10),0)</f>
        <v>1134.66579373161</v>
      </c>
      <c r="W12" s="13" t="n">
        <f aca="false">IF(Time!W20&lt;=Time!$F$15,(Waterfall!W7+X12)/(1+W10),0)</f>
        <v>1122.09743001535</v>
      </c>
      <c r="X12" s="13" t="n">
        <f aca="false">IF(Time!X20&lt;=Time!$F$15,(Waterfall!X7+Y12)/(1+X10),0)</f>
        <v>1109.01923955522</v>
      </c>
      <c r="Y12" s="13" t="n">
        <f aca="false">IF(Time!Y20&lt;=Time!$F$15,(Waterfall!Y7+Z12)/(1+Y10),0)</f>
        <v>1097.40416825008</v>
      </c>
      <c r="Z12" s="13" t="n">
        <f aca="false">IF(Time!Z20&lt;=Time!$F$15,(Waterfall!Z7+AA12)/(1+Z10),0)</f>
        <v>1086.6102996833</v>
      </c>
      <c r="AA12" s="13" t="n">
        <f aca="false">IF(Time!AA20&lt;=Time!$F$15,(Waterfall!AA7+AB12)/(1+AA10),0)</f>
        <v>1075.46992543461</v>
      </c>
      <c r="AB12" s="13" t="n">
        <f aca="false">IF(Time!AB20&lt;=Time!$F$15,(Waterfall!AB7+AC12)/(1+AB10),0)</f>
        <v>1063.89976151089</v>
      </c>
      <c r="AC12" s="13" t="n">
        <f aca="false">IF(Time!AC20&lt;=Time!$F$15,(Waterfall!AC7+AD12)/(1+AC10),0)</f>
        <v>1051.62829060261</v>
      </c>
      <c r="AD12" s="13" t="n">
        <f aca="false">IF(Time!AD20&lt;=Time!$F$15,(Waterfall!AD7+AE12)/(1+AD10),0)</f>
        <v>1038.66730185816</v>
      </c>
      <c r="AE12" s="13" t="n">
        <f aca="false">IF(Time!AE20&lt;=Time!$F$15,(Waterfall!AE7+AF12)/(1+AE10),0)</f>
        <v>1023.43804774301</v>
      </c>
      <c r="AF12" s="13" t="n">
        <f aca="false">IF(Time!AF20&lt;=Time!$F$15,(Waterfall!AF7+AG12)/(1+AF10),0)</f>
        <v>1006.95639812907</v>
      </c>
      <c r="AG12" s="13" t="n">
        <f aca="false">IF(Time!AG20&lt;=Time!$F$15,(Waterfall!AG7+AH12)/(1+AG10),0)</f>
        <v>989.842674020647</v>
      </c>
      <c r="AH12" s="13" t="n">
        <f aca="false">IF(Time!AH20&lt;=Time!$F$15,(Waterfall!AH7+AI12)/(1+AH10),0)</f>
        <v>972.657638657733</v>
      </c>
      <c r="AI12" s="13" t="n">
        <f aca="false">IF(Time!AI20&lt;=Time!$F$15,(Waterfall!AI7+AJ12)/(1+AI10),0)</f>
        <v>954.089448389146</v>
      </c>
      <c r="AJ12" s="13" t="n">
        <f aca="false">IF(Time!AJ20&lt;=Time!$F$15,(Waterfall!AJ7+AK12)/(1+AJ10),0)</f>
        <v>934.289442377835</v>
      </c>
      <c r="AK12" s="13" t="n">
        <f aca="false">IF(Time!AK20&lt;=Time!$F$15,(Waterfall!AK7+AL12)/(1+AK10),0)</f>
        <v>912.668658384174</v>
      </c>
      <c r="AL12" s="13" t="n">
        <f aca="false">IF(Time!AL20&lt;=Time!$F$15,(Waterfall!AL7+AM12)/(1+AL10),0)</f>
        <v>889.049290506324</v>
      </c>
      <c r="AM12" s="13" t="n">
        <f aca="false">IF(Time!AM20&lt;=Time!$F$15,(Waterfall!AM7+AN12)/(1+AM10),0)</f>
        <v>861.519083526782</v>
      </c>
      <c r="AN12" s="13" t="n">
        <f aca="false">IF(Time!AN20&lt;=Time!$F$15,(Waterfall!AN7+AO12)/(1+AN10),0)</f>
        <v>831.982571052004</v>
      </c>
      <c r="AO12" s="13" t="n">
        <f aca="false">IF(Time!AO20&lt;=Time!$F$15,(Waterfall!AO7+AP12)/(1+AO10),0)</f>
        <v>803.615701659457</v>
      </c>
      <c r="AP12" s="13" t="n">
        <f aca="false">IF(Time!AP20&lt;=Time!$F$15,(Waterfall!AP7+AQ12)/(1+AP10),0)</f>
        <v>774.717309334379</v>
      </c>
      <c r="AQ12" s="13" t="n">
        <f aca="false">IF(Time!AQ20&lt;=Time!$F$15,(Waterfall!AQ7+AR12)/(1+AQ10),0)</f>
        <v>744.336362139135</v>
      </c>
      <c r="AR12" s="13" t="n">
        <f aca="false">IF(Time!AR20&lt;=Time!$F$15,(Waterfall!AR7+AS12)/(1+AR10),0)</f>
        <v>713.546045046503</v>
      </c>
      <c r="AS12" s="13" t="n">
        <f aca="false">IF(Time!AS20&lt;=Time!$F$15,(Waterfall!AS7+AT12)/(1+AS10),0)</f>
        <v>681.297513785438</v>
      </c>
      <c r="AT12" s="13" t="n">
        <f aca="false">IF(Time!AT20&lt;=Time!$F$15,(Waterfall!AT7+AU12)/(1+AT10),0)</f>
        <v>648.363822516668</v>
      </c>
      <c r="AU12" s="13" t="n">
        <f aca="false">IF(Time!AU20&lt;=Time!$F$15,(Waterfall!AU7+AV12)/(1+AU10),0)</f>
        <v>612.629010501992</v>
      </c>
      <c r="AV12" s="13" t="n">
        <f aca="false">IF(Time!AV20&lt;=Time!$F$15,(Waterfall!AV7+AW12)/(1+AV10),0)</f>
        <v>584.869360453351</v>
      </c>
      <c r="AW12" s="13" t="n">
        <f aca="false">IF(Time!AW20&lt;=Time!$F$15,(Waterfall!AW7+AX12)/(1+AW10),0)</f>
        <v>556.233408718846</v>
      </c>
      <c r="AX12" s="13" t="n">
        <f aca="false">IF(Time!AX20&lt;=Time!$F$15,(Waterfall!AX7+AY12)/(1+AX10),0)</f>
        <v>527.245274813868</v>
      </c>
      <c r="AY12" s="13" t="n">
        <f aca="false">IF(Time!AY20&lt;=Time!$F$15,(Waterfall!AY7+AZ12)/(1+AY10),0)</f>
        <v>496.796183232267</v>
      </c>
      <c r="AZ12" s="13" t="n">
        <f aca="false">IF(Time!AZ20&lt;=Time!$F$15,(Waterfall!AZ7+BA12)/(1+AZ10),0)</f>
        <v>465.978277362165</v>
      </c>
      <c r="BA12" s="13" t="n">
        <f aca="false">IF(Time!BA20&lt;=Time!$F$15,(Waterfall!BA7+BB12)/(1+BA10),0)</f>
        <v>433.706742849456</v>
      </c>
      <c r="BB12" s="13" t="n">
        <f aca="false">IF(Time!BB20&lt;=Time!$F$15,(Waterfall!BB7+BC12)/(1+BB10),0)</f>
        <v>400.857693789872</v>
      </c>
      <c r="BC12" s="13" t="n">
        <f aca="false">IF(Time!BC20&lt;=Time!$F$15,(Waterfall!BC7+BD12)/(1+BC10),0)</f>
        <v>364.870662591319</v>
      </c>
      <c r="BD12" s="13" t="n">
        <f aca="false">IF(Time!BD20&lt;=Time!$F$15,(Waterfall!BD7+BE12)/(1+BD10),0)</f>
        <v>331.489442419628</v>
      </c>
      <c r="BE12" s="13" t="n">
        <f aca="false">IF(Time!BE20&lt;=Time!$F$15,(Waterfall!BE7+BF12)/(1+BE10),0)</f>
        <v>303.667419812034</v>
      </c>
      <c r="BF12" s="13" t="n">
        <f aca="false">IF(Time!BF20&lt;=Time!$F$15,(Waterfall!BF7+BG12)/(1+BF10),0)</f>
        <v>275.523880271045</v>
      </c>
      <c r="BG12" s="13" t="n">
        <f aca="false">IF(Time!BG20&lt;=Time!$F$15,(Waterfall!BG7+BH12)/(1+BG10),0)</f>
        <v>245.912825176421</v>
      </c>
      <c r="BH12" s="13" t="n">
        <f aca="false">IF(Time!BH20&lt;=Time!$F$15,(Waterfall!BH7+BI12)/(1+BH10),0)</f>
        <v>215.966391064489</v>
      </c>
      <c r="BI12" s="13" t="n">
        <f aca="false">IF(Time!BI20&lt;=Time!$F$15,(Waterfall!BI7+BJ12)/(1+BI10),0)</f>
        <v>184.566687424347</v>
      </c>
      <c r="BJ12" s="13" t="n">
        <f aca="false">IF(Time!BJ20&lt;=Time!$F$15,(Waterfall!BJ7+BK12)/(1+BJ10),0)</f>
        <v>152.576568300091</v>
      </c>
      <c r="BK12" s="13" t="n">
        <f aca="false">IF(Time!BK20&lt;=Time!$F$15,(Waterfall!BK7+BL12)/(1+BK10),0)</f>
        <v>111.695110596085</v>
      </c>
      <c r="BL12" s="13" t="n">
        <f aca="false">IF(Time!BL20&lt;=Time!$F$15,(Waterfall!BL7+BM12)/(1+BL10),0)</f>
        <v>74.954647447202</v>
      </c>
      <c r="BM12" s="13" t="n">
        <f aca="false">IF(Time!BM20&lt;=Time!$F$15,(Waterfall!BM7+BN12)/(1+BM10),0)</f>
        <v>36.4696832028551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1.30830586147878</v>
      </c>
      <c r="Q13" s="6" t="n">
        <f aca="false">IF(Debt!Q115&gt;Inputs!$F$253,(Q11+Reserves!Q9)/Debt!Q115,0)</f>
        <v>1.31074043728878</v>
      </c>
      <c r="R13" s="6" t="n">
        <f aca="false">IF(Debt!R115&gt;Inputs!$F$253,(R11+Reserves!R9)/Debt!R115,0)</f>
        <v>1.31433165970834</v>
      </c>
      <c r="S13" s="6" t="n">
        <f aca="false">IF(Debt!S115&gt;Inputs!$F$253,(S11+Reserves!S9)/Debt!S115,0)</f>
        <v>1.31695583024022</v>
      </c>
      <c r="T13" s="6" t="n">
        <f aca="false">IF(Debt!T115&gt;Inputs!$F$253,(T11+Reserves!T9)/Debt!T115,0)</f>
        <v>1.32109552254378</v>
      </c>
      <c r="U13" s="6" t="n">
        <f aca="false">IF(Debt!U115&gt;Inputs!$F$253,(U11+Reserves!U9)/Debt!U115,0)</f>
        <v>1.32456913360721</v>
      </c>
      <c r="V13" s="6" t="n">
        <f aca="false">IF(Debt!V115&gt;Inputs!$F$253,(V11+Reserves!V9)/Debt!V115,0)</f>
        <v>1.3301108194583</v>
      </c>
      <c r="W13" s="6" t="n">
        <f aca="false">IF(Debt!W115&gt;Inputs!$F$253,(W11+Reserves!W9)/Debt!W115,0)</f>
        <v>1.33440502828076</v>
      </c>
      <c r="X13" s="6" t="n">
        <f aca="false">IF(Debt!X115&gt;Inputs!$F$253,(X11+Reserves!X9)/Debt!X115,0)</f>
        <v>1.33751986129907</v>
      </c>
      <c r="Y13" s="6" t="n">
        <f aca="false">IF(Debt!Y115&gt;Inputs!$F$253,(Y11+Reserves!Y9)/Debt!Y115,0)</f>
        <v>1.34238482822112</v>
      </c>
      <c r="Z13" s="6" t="n">
        <f aca="false">IF(Debt!Z115&gt;Inputs!$F$253,(Z11+Reserves!Z9)/Debt!Z115,0)</f>
        <v>1.34922456490449</v>
      </c>
      <c r="AA13" s="6" t="n">
        <f aca="false">IF(Debt!AA115&gt;Inputs!$F$253,(AA11+Reserves!AA9)/Debt!AA115,0)</f>
        <v>1.35559194841635</v>
      </c>
      <c r="AB13" s="6" t="n">
        <f aca="false">IF(Debt!AB115&gt;Inputs!$F$253,(AB11+Reserves!AB9)/Debt!AB115,0)</f>
        <v>1.37827585100059</v>
      </c>
      <c r="AC13" s="6" t="n">
        <f aca="false">IF(Debt!AC115&gt;Inputs!$F$253,(AC11+Reserves!AC9)/Debt!AC115,0)</f>
        <v>1.40373857415455</v>
      </c>
      <c r="AD13" s="6" t="n">
        <f aca="false">IF(Debt!AD115&gt;Inputs!$F$253,(AD11+Reserves!AD9)/Debt!AD115,0)</f>
        <v>1.4343444403298</v>
      </c>
      <c r="AE13" s="6" t="n">
        <f aca="false">IF(Debt!AE115&gt;Inputs!$F$253,(AE11+Reserves!AE9)/Debt!AE115,0)</f>
        <v>1.47084810678015</v>
      </c>
      <c r="AF13" s="6" t="n">
        <f aca="false">IF(Debt!AF115&gt;Inputs!$F$253,(AF11+Reserves!AF9)/Debt!AF115,0)</f>
        <v>1.51502608262554</v>
      </c>
      <c r="AG13" s="6" t="n">
        <f aca="false">IF(Debt!AG115&gt;Inputs!$F$253,(AG11+Reserves!AG9)/Debt!AG115,0)</f>
        <v>1.56946246613173</v>
      </c>
      <c r="AH13" s="6" t="n">
        <f aca="false">IF(Debt!AH115&gt;Inputs!$F$253,(AH11+Reserves!AH9)/Debt!AH115,0)</f>
        <v>1.63862057068076</v>
      </c>
      <c r="AI13" s="6" t="n">
        <f aca="false">IF(Debt!AI115&gt;Inputs!$F$253,(AI11+Reserves!AI9)/Debt!AI115,0)</f>
        <v>1.73094567091623</v>
      </c>
      <c r="AJ13" s="6" t="n">
        <f aca="false">IF(Debt!AJ115&gt;Inputs!$F$253,(AJ11+Reserves!AJ9)/Debt!AJ115,0)</f>
        <v>1.8597807641634</v>
      </c>
      <c r="AK13" s="6" t="n">
        <f aca="false">IF(Debt!AK115&gt;Inputs!$F$253,(AK11+Reserves!AK9)/Debt!AK115,0)</f>
        <v>2.05821489142359</v>
      </c>
      <c r="AL13" s="6" t="n">
        <f aca="false">IF(Debt!AL115&gt;Inputs!$F$253,(AL11+Reserves!AL9)/Debt!AL115,0)</f>
        <v>2.40210882473274</v>
      </c>
      <c r="AM13" s="6" t="n">
        <f aca="false">IF(Debt!AM115&gt;Inputs!$F$253,(AM11+Reserves!AM9)/Debt!AM115,0)</f>
        <v>2.72195015123483</v>
      </c>
      <c r="AN13" s="6" t="n">
        <f aca="false">IF(Debt!AN115&gt;Inputs!$F$253,(AN11+Reserves!AN9)/Debt!AN115,0)</f>
        <v>2.96580356324684</v>
      </c>
      <c r="AO13" s="6" t="n">
        <f aca="false">IF(Debt!AO115&gt;Inputs!$F$253,(AO11+Reserves!AO9)/Debt!AO115,0)</f>
        <v>3.47520227126931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1.24941582356885</v>
      </c>
      <c r="Q14" s="6" t="n">
        <f aca="false">IF(Debt!Q115&gt;Inputs!$F$253,Q11/Debt!Q115,0)</f>
        <v>1.25053042738898</v>
      </c>
      <c r="R14" s="6" t="n">
        <f aca="false">IF(Debt!R115&gt;Inputs!$F$253,R11/Debt!R115,0)</f>
        <v>1.25171199472144</v>
      </c>
      <c r="S14" s="6" t="n">
        <f aca="false">IF(Debt!S115&gt;Inputs!$F$253,S11/Debt!S115,0)</f>
        <v>1.2530371886331</v>
      </c>
      <c r="T14" s="6" t="n">
        <f aca="false">IF(Debt!T115&gt;Inputs!$F$253,T11/Debt!T115,0)</f>
        <v>1.2544589387915</v>
      </c>
      <c r="U14" s="6" t="n">
        <f aca="false">IF(Debt!U115&gt;Inputs!$F$253,U11/Debt!U115,0)</f>
        <v>1.25606203447249</v>
      </c>
      <c r="V14" s="6" t="n">
        <f aca="false">IF(Debt!V115&gt;Inputs!$F$253,V11/Debt!V115,0)</f>
        <v>1.25780909172593</v>
      </c>
      <c r="W14" s="6" t="n">
        <f aca="false">IF(Debt!W115&gt;Inputs!$F$253,W11/Debt!W115,0)</f>
        <v>1.25980128929653</v>
      </c>
      <c r="X14" s="6" t="n">
        <f aca="false">IF(Debt!X115&gt;Inputs!$F$253,X11/Debt!X115,0)</f>
        <v>1.26199091989806</v>
      </c>
      <c r="Y14" s="6" t="n">
        <f aca="false">IF(Debt!Y115&gt;Inputs!$F$253,Y11/Debt!Y115,0)</f>
        <v>1.2644035825219</v>
      </c>
      <c r="Z14" s="6" t="n">
        <f aca="false">IF(Debt!Z115&gt;Inputs!$F$253,Z11/Debt!Z115,0)</f>
        <v>1.26706897701619</v>
      </c>
      <c r="AA14" s="6" t="n">
        <f aca="false">IF(Debt!AA115&gt;Inputs!$F$253,AA11/Debt!AA115,0)</f>
        <v>1.27013661856671</v>
      </c>
      <c r="AB14" s="6" t="n">
        <f aca="false">IF(Debt!AB115&gt;Inputs!$F$253,AB11/Debt!AB115,0)</f>
        <v>1.28631170733325</v>
      </c>
      <c r="AC14" s="6" t="n">
        <f aca="false">IF(Debt!AC115&gt;Inputs!$F$253,AC11/Debt!AC115,0)</f>
        <v>1.30665678884032</v>
      </c>
      <c r="AD14" s="6" t="n">
        <f aca="false">IF(Debt!AD115&gt;Inputs!$F$253,AD11/Debt!AD115,0)</f>
        <v>1.3272180886828</v>
      </c>
      <c r="AE14" s="6" t="n">
        <f aca="false">IF(Debt!AE115&gt;Inputs!$F$253,AE11/Debt!AE115,0)</f>
        <v>1.35503803327913</v>
      </c>
      <c r="AF14" s="6" t="n">
        <f aca="false">IF(Debt!AF115&gt;Inputs!$F$253,AF11/Debt!AF115,0)</f>
        <v>1.38866477412712</v>
      </c>
      <c r="AG14" s="6" t="n">
        <f aca="false">IF(Debt!AG115&gt;Inputs!$F$253,AG11/Debt!AG115,0)</f>
        <v>1.43139990265354</v>
      </c>
      <c r="AH14" s="6" t="n">
        <f aca="false">IF(Debt!AH115&gt;Inputs!$F$253,AH11/Debt!AH115,0)</f>
        <v>1.48294974782969</v>
      </c>
      <c r="AI14" s="6" t="n">
        <f aca="false">IF(Debt!AI115&gt;Inputs!$F$253,AI11/Debt!AI115,0)</f>
        <v>1.55467573854345</v>
      </c>
      <c r="AJ14" s="6" t="n">
        <f aca="false">IF(Debt!AJ115&gt;Inputs!$F$253,AJ11/Debt!AJ115,0)</f>
        <v>1.65168999421239</v>
      </c>
      <c r="AK14" s="6" t="n">
        <f aca="false">IF(Debt!AK115&gt;Inputs!$F$253,AK11/Debt!AK115,0)</f>
        <v>1.80470889044958</v>
      </c>
      <c r="AL14" s="6" t="n">
        <f aca="false">IF(Debt!AL115&gt;Inputs!$F$253,AL11/Debt!AL115,0)</f>
        <v>2.06484439229435</v>
      </c>
      <c r="AM14" s="6" t="n">
        <f aca="false">IF(Debt!AM115&gt;Inputs!$F$253,AM11/Debt!AM115,0)</f>
        <v>2.28799251867494</v>
      </c>
      <c r="AN14" s="6" t="n">
        <f aca="false">IF(Debt!AN115&gt;Inputs!$F$253,AN11/Debt!AN115,0)</f>
        <v>2.442199587567</v>
      </c>
      <c r="AO14" s="6" t="n">
        <f aca="false">IF(Debt!AO115&gt;Inputs!$F$253,AO11/Debt!AO115,0)</f>
        <v>2.44808366995268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1.72571008101988</v>
      </c>
      <c r="Q15" s="6" t="n">
        <f aca="false">IF(Debt!Q115&gt;Inputs!$F$253,Q12/Debt!Q115,0)</f>
        <v>1.75557696491243</v>
      </c>
      <c r="R15" s="6" t="n">
        <f aca="false">IF(Debt!R115&gt;Inputs!$F$253,R12/Debt!R115,0)</f>
        <v>1.78798344971239</v>
      </c>
      <c r="S15" s="6" t="n">
        <f aca="false">IF(Debt!S115&gt;Inputs!$F$253,S12/Debt!S115,0)</f>
        <v>1.82386276414525</v>
      </c>
      <c r="T15" s="6" t="n">
        <f aca="false">IF(Debt!T115&gt;Inputs!$F$253,T12/Debt!T115,0)</f>
        <v>1.86289268122014</v>
      </c>
      <c r="U15" s="6" t="n">
        <f aca="false">IF(Debt!U115&gt;Inputs!$F$253,U12/Debt!U115,0)</f>
        <v>1.90638690742008</v>
      </c>
      <c r="V15" s="6" t="n">
        <f aca="false">IF(Debt!V115&gt;Inputs!$F$253,V12/Debt!V115,0)</f>
        <v>1.95426764140099</v>
      </c>
      <c r="W15" s="6" t="n">
        <f aca="false">IF(Debt!W115&gt;Inputs!$F$253,W12/Debt!W115,0)</f>
        <v>2.0085945194118</v>
      </c>
      <c r="X15" s="6" t="n">
        <f aca="false">IF(Debt!X115&gt;Inputs!$F$253,X12/Debt!X115,0)</f>
        <v>2.06900565048858</v>
      </c>
      <c r="Y15" s="6" t="n">
        <f aca="false">IF(Debt!Y115&gt;Inputs!$F$253,Y12/Debt!Y115,0)</f>
        <v>2.13498061161604</v>
      </c>
      <c r="Z15" s="6" t="n">
        <f aca="false">IF(Debt!Z115&gt;Inputs!$F$253,Z12/Debt!Z115,0)</f>
        <v>2.20857239763324</v>
      </c>
      <c r="AA15" s="6" t="n">
        <f aca="false">IF(Debt!AA115&gt;Inputs!$F$253,AA12/Debt!AA115,0)</f>
        <v>2.29277041465684</v>
      </c>
      <c r="AB15" s="6" t="n">
        <f aca="false">IF(Debt!AB115&gt;Inputs!$F$253,AB12/Debt!AB115,0)</f>
        <v>2.41209959710882</v>
      </c>
      <c r="AC15" s="6" t="n">
        <f aca="false">IF(Debt!AC115&gt;Inputs!$F$253,AC12/Debt!AC115,0)</f>
        <v>2.5565407268416</v>
      </c>
      <c r="AD15" s="6" t="n">
        <f aca="false">IF(Debt!AD115&gt;Inputs!$F$253,AD12/Debt!AD115,0)</f>
        <v>2.72146230795736</v>
      </c>
      <c r="AE15" s="6" t="n">
        <f aca="false">IF(Debt!AE115&gt;Inputs!$F$253,AE12/Debt!AE115,0)</f>
        <v>2.93409849495584</v>
      </c>
      <c r="AF15" s="6" t="n">
        <f aca="false">IF(Debt!AF115&gt;Inputs!$F$253,AF12/Debt!AF115,0)</f>
        <v>3.19844769917534</v>
      </c>
      <c r="AG15" s="6" t="n">
        <f aca="false">IF(Debt!AG115&gt;Inputs!$F$253,AG12/Debt!AG115,0)</f>
        <v>3.53871992180021</v>
      </c>
      <c r="AH15" s="6" t="n">
        <f aca="false">IF(Debt!AH115&gt;Inputs!$F$253,AH12/Debt!AH115,0)</f>
        <v>3.97635569200656</v>
      </c>
      <c r="AI15" s="6" t="n">
        <f aca="false">IF(Debt!AI115&gt;Inputs!$F$253,AI12/Debt!AI115,0)</f>
        <v>4.59109306533907</v>
      </c>
      <c r="AJ15" s="6" t="n">
        <f aca="false">IF(Debt!AJ115&gt;Inputs!$F$253,AJ12/Debt!AJ115,0)</f>
        <v>5.46991031035881</v>
      </c>
      <c r="AK15" s="6" t="n">
        <f aca="false">IF(Debt!AK115&gt;Inputs!$F$253,AK12/Debt!AK115,0)</f>
        <v>6.89136044892745</v>
      </c>
      <c r="AL15" s="6" t="n">
        <f aca="false">IF(Debt!AL115&gt;Inputs!$F$253,AL12/Debt!AL115,0)</f>
        <v>9.44701556347163</v>
      </c>
      <c r="AM15" s="6" t="n">
        <f aca="false">IF(Debt!AM115&gt;Inputs!$F$253,AM12/Debt!AM115,0)</f>
        <v>13.4391576857723</v>
      </c>
      <c r="AN15" s="6" t="n">
        <f aca="false">IF(Debt!AN115&gt;Inputs!$F$253,AN12/Debt!AN115,0)</f>
        <v>20.7863858240322</v>
      </c>
      <c r="AO15" s="6" t="n">
        <f aca="false">IF(Debt!AO115&gt;Inputs!$F$253,AO12/Debt!AO115,0)</f>
        <v>39.8622319641378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1.23095191748818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1.38459575973309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1.30830586147878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1.72571008101988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1127.92538111741</v>
      </c>
      <c r="J8" s="13" t="n">
        <f aca="false">-Inputs!$F$68</f>
        <v>-14.2</v>
      </c>
      <c r="K8" s="13" t="n">
        <f aca="false">-Funding!J68</f>
        <v>-19.6165778681963</v>
      </c>
      <c r="L8" s="13" t="n">
        <f aca="false">-Funding!K68</f>
        <v>-0.7076568696703</v>
      </c>
      <c r="M8" s="13" t="n">
        <f aca="false">-Funding!L68</f>
        <v>-0.903526823795411</v>
      </c>
      <c r="N8" s="13" t="n">
        <f aca="false">-Funding!M68</f>
        <v>-1.27955449817959</v>
      </c>
      <c r="O8" s="13" t="n">
        <f aca="false">-Funding!N68</f>
        <v>-1.84486929198659</v>
      </c>
      <c r="P8" s="13" t="n">
        <f aca="false">-Funding!O68</f>
        <v>-2.54465930332829</v>
      </c>
      <c r="Q8" s="13" t="n">
        <f aca="false">-Funding!P68</f>
        <v>-3.32108257481913</v>
      </c>
      <c r="R8" s="13" t="n">
        <f aca="false">-Funding!Q68</f>
        <v>-4.21703660052937</v>
      </c>
      <c r="S8" s="13" t="n">
        <f aca="false">-Funding!R68</f>
        <v>-5.10984048497731</v>
      </c>
      <c r="T8" s="13" t="n">
        <f aca="false">-Funding!S68</f>
        <v>-6.01905912753737</v>
      </c>
      <c r="U8" s="13" t="n">
        <f aca="false">-Funding!T68</f>
        <v>-6.86974924264519</v>
      </c>
      <c r="V8" s="13" t="n">
        <f aca="false">-Funding!U68</f>
        <v>-7.68597366151808</v>
      </c>
      <c r="W8" s="13" t="n">
        <f aca="false">-Funding!V68</f>
        <v>-8.40321160261449</v>
      </c>
      <c r="X8" s="13" t="n">
        <f aca="false">-Funding!W68</f>
        <v>-8.9994620723329</v>
      </c>
      <c r="Y8" s="13" t="n">
        <f aca="false">-Funding!X68</f>
        <v>-9.49344972385449</v>
      </c>
      <c r="Z8" s="13" t="n">
        <f aca="false">-Funding!Y68</f>
        <v>-9.82194216353713</v>
      </c>
      <c r="AA8" s="13" t="n">
        <f aca="false">-Funding!Z68</f>
        <v>-10.0282053364844</v>
      </c>
      <c r="AB8" s="13" t="n">
        <f aca="false">-Funding!AA68</f>
        <v>-10.4030911428101</v>
      </c>
      <c r="AC8" s="13" t="n">
        <f aca="false">-Funding!AB68</f>
        <v>-9.92221196256429</v>
      </c>
      <c r="AD8" s="13" t="n">
        <f aca="false">-Funding!AC68</f>
        <v>-9.68720312605337</v>
      </c>
      <c r="AE8" s="13" t="n">
        <f aca="false">-Funding!AD68</f>
        <v>-9.25964483783241</v>
      </c>
      <c r="AF8" s="13" t="n">
        <f aca="false">-Funding!AE68</f>
        <v>-8.7368360550399</v>
      </c>
      <c r="AG8" s="13" t="n">
        <f aca="false">-Funding!AF68</f>
        <v>-8.06348398530485</v>
      </c>
      <c r="AH8" s="13" t="n">
        <f aca="false">-Funding!AG68</f>
        <v>-7.33612973149143</v>
      </c>
      <c r="AI8" s="13" t="n">
        <f aca="false">-Funding!AH68</f>
        <v>-6.51995442601957</v>
      </c>
      <c r="AJ8" s="13" t="n">
        <f aca="false">-Funding!AI68</f>
        <v>-5.64259808886063</v>
      </c>
      <c r="AK8" s="13" t="n">
        <f aca="false">-Funding!AJ68</f>
        <v>-4.79720028285371</v>
      </c>
      <c r="AL8" s="13" t="n">
        <f aca="false">-Funding!AK68</f>
        <v>-3.93498058818737</v>
      </c>
      <c r="AM8" s="13" t="n">
        <f aca="false">-Funding!AL68</f>
        <v>-3.17661171994708</v>
      </c>
      <c r="AN8" s="13" t="n">
        <f aca="false">-Funding!AM68</f>
        <v>-2.49693581630441</v>
      </c>
      <c r="AO8" s="13" t="n">
        <f aca="false">-Funding!AN68</f>
        <v>-1.88623359280448</v>
      </c>
      <c r="AP8" s="13" t="n">
        <f aca="false">-Funding!AO68</f>
        <v>-1.57591940215725</v>
      </c>
      <c r="AQ8" s="13" t="n">
        <f aca="false">-Funding!AP68</f>
        <v>-15.4782493106398</v>
      </c>
      <c r="AR8" s="13" t="n">
        <f aca="false">-Funding!AQ68</f>
        <v>-11.895573731581</v>
      </c>
      <c r="AS8" s="13" t="n">
        <f aca="false">-Funding!AR68</f>
        <v>-1.05758528689103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11.4102867580018</v>
      </c>
      <c r="BS8" s="18" t="n">
        <f aca="false">Waterfall!Q44</f>
        <v>8.90361765647996</v>
      </c>
      <c r="BT8" s="18" t="n">
        <f aca="false">Waterfall!R44</f>
        <v>9.86637096835842</v>
      </c>
      <c r="BU8" s="18" t="n">
        <f aca="false">Waterfall!S44</f>
        <v>9.00526262756011</v>
      </c>
      <c r="BV8" s="18" t="n">
        <f aca="false">Waterfall!T44</f>
        <v>9.7760566887704</v>
      </c>
      <c r="BW8" s="18" t="n">
        <f aca="false">Waterfall!U44</f>
        <v>8.74138611637996</v>
      </c>
      <c r="BX8" s="18" t="n">
        <f aca="false">Waterfall!V44</f>
        <v>10.0114583282041</v>
      </c>
      <c r="BY8" s="18" t="n">
        <f aca="false">Waterfall!W44</f>
        <v>10.8466685802926</v>
      </c>
      <c r="BZ8" s="18" t="n">
        <f aca="false">Waterfall!X44</f>
        <v>9.767931563143</v>
      </c>
      <c r="CA8" s="18" t="n">
        <f aca="false">Waterfall!Y44</f>
        <v>8.94975231336541</v>
      </c>
      <c r="CB8" s="18" t="n">
        <f aca="false">Waterfall!Z44</f>
        <v>9.69180463834411</v>
      </c>
      <c r="CC8" s="18" t="n">
        <f aca="false">Waterfall!AA44</f>
        <v>4.40642700609312</v>
      </c>
      <c r="CD8" s="18" t="n">
        <f aca="false">Waterfall!AB44</f>
        <v>5.24136173671851</v>
      </c>
      <c r="CE8" s="18" t="n">
        <f aca="false">Waterfall!AC44</f>
        <v>4.71918570470418</v>
      </c>
      <c r="CF8" s="18" t="n">
        <f aca="false">Waterfall!AD44</f>
        <v>5.91578850841811</v>
      </c>
      <c r="CG8" s="18" t="n">
        <f aca="false">Waterfall!AE44</f>
        <v>6.35895389019279</v>
      </c>
      <c r="CH8" s="18" t="n">
        <f aca="false">Waterfall!AF44</f>
        <v>7.08308978639843</v>
      </c>
      <c r="CI8" s="18" t="n">
        <f aca="false">Waterfall!AG44</f>
        <v>7.26363438306493</v>
      </c>
      <c r="CJ8" s="18" t="n">
        <f aca="false">Waterfall!AH44</f>
        <v>8.39889591823189</v>
      </c>
      <c r="CK8" s="18" t="n">
        <f aca="false">Waterfall!AI44</f>
        <v>8.9112858105518</v>
      </c>
      <c r="CL8" s="18" t="n">
        <f aca="false">Waterfall!AJ44</f>
        <v>10.3760180845753</v>
      </c>
      <c r="CM8" s="18" t="n">
        <f aca="false">Waterfall!AK44</f>
        <v>11.5285939389158</v>
      </c>
      <c r="CN8" s="18" t="n">
        <f aca="false">Waterfall!AL44</f>
        <v>24.4671740785395</v>
      </c>
      <c r="CO8" s="18" t="n">
        <f aca="false">Waterfall!AM44</f>
        <v>33.9429604141162</v>
      </c>
      <c r="CP8" s="18" t="n">
        <f aca="false">Waterfall!AN44</f>
        <v>30.3570898045468</v>
      </c>
      <c r="CQ8" s="18" t="n">
        <f aca="false">Waterfall!AO44</f>
        <v>50.6913261501648</v>
      </c>
      <c r="CR8" s="18" t="n">
        <f aca="false">Waterfall!AP44</f>
        <v>51.3901970401744</v>
      </c>
      <c r="CS8" s="18" t="n">
        <f aca="false">Waterfall!AQ44</f>
        <v>50.9756781429533</v>
      </c>
      <c r="CT8" s="18" t="n">
        <f aca="false">Waterfall!AR44</f>
        <v>51.5989019777388</v>
      </c>
      <c r="CU8" s="18" t="n">
        <f aca="false">Waterfall!AS44</f>
        <v>51.4095269231289</v>
      </c>
      <c r="CV8" s="18" t="n">
        <f aca="false">Waterfall!AT44</f>
        <v>53.3175320256317</v>
      </c>
      <c r="CW8" s="18" t="n">
        <f aca="false">Waterfall!AU44</f>
        <v>44.3732919394454</v>
      </c>
      <c r="CX8" s="18" t="n">
        <f aca="false">Waterfall!AV44</f>
        <v>44.4967907429513</v>
      </c>
      <c r="CY8" s="18" t="n">
        <f aca="false">Waterfall!AW44</f>
        <v>44.0724059550148</v>
      </c>
      <c r="CZ8" s="18" t="n">
        <f aca="false">Waterfall!AX44</f>
        <v>44.7472459853546</v>
      </c>
      <c r="DA8" s="18" t="n">
        <f aca="false">Waterfall!AY44</f>
        <v>44.2903234988012</v>
      </c>
      <c r="DB8" s="18" t="n">
        <f aca="false">Waterfall!AZ44</f>
        <v>44.9082136387042</v>
      </c>
      <c r="DC8" s="18" t="n">
        <f aca="false">Waterfall!BA44</f>
        <v>44.115600920643</v>
      </c>
      <c r="DD8" s="18" t="n">
        <f aca="false">Waterfall!BB44</f>
        <v>45.3565809265004</v>
      </c>
      <c r="DE8" s="18" t="n">
        <f aca="false">Waterfall!BC44</f>
        <v>41.7584291292966</v>
      </c>
      <c r="DF8" s="18" t="n">
        <f aca="false">Waterfall!BD44</f>
        <v>35.2773770769969</v>
      </c>
      <c r="DG8" s="18" t="n">
        <f aca="false">Waterfall!BE44</f>
        <v>34.8276155507657</v>
      </c>
      <c r="DH8" s="18" t="n">
        <f aca="false">Waterfall!BF44</f>
        <v>35.5149499343334</v>
      </c>
      <c r="DI8" s="18" t="n">
        <f aca="false">Waterfall!BG44</f>
        <v>35.0301651826009</v>
      </c>
      <c r="DJ8" s="18" t="n">
        <f aca="false">Waterfall!BH44</f>
        <v>35.6539882713425</v>
      </c>
      <c r="DK8" s="18" t="n">
        <f aca="false">Waterfall!BI44</f>
        <v>35.3753569654438</v>
      </c>
      <c r="DL8" s="18" t="n">
        <f aca="false">Waterfall!BJ44</f>
        <v>43.381445723958</v>
      </c>
      <c r="DM8" s="18" t="n">
        <f aca="false">Waterfall!BK44</f>
        <v>38.113886794181</v>
      </c>
      <c r="DN8" s="18" t="n">
        <f aca="false">Waterfall!BL44</f>
        <v>38.8439254869256</v>
      </c>
      <c r="DO8" s="18" t="n">
        <f aca="false">Waterfall!BM44</f>
        <v>55.3998701637381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1595.04878113931</v>
      </c>
      <c r="J9" s="13" t="n">
        <f aca="false">0</f>
        <v>0</v>
      </c>
      <c r="K9" s="13" t="n">
        <f aca="false">-Construction!J32</f>
        <v>-115.65976</v>
      </c>
      <c r="L9" s="13" t="n">
        <f aca="false">-Construction!K32</f>
        <v>-1.562912317</v>
      </c>
      <c r="M9" s="13" t="n">
        <f aca="false">-Construction!L32</f>
        <v>-2.260141917</v>
      </c>
      <c r="N9" s="13" t="n">
        <f aca="false">-Construction!M32</f>
        <v>-3.692693661</v>
      </c>
      <c r="O9" s="13" t="n">
        <f aca="false">-Construction!N32</f>
        <v>-5.770777981</v>
      </c>
      <c r="P9" s="13" t="n">
        <f aca="false">-Construction!O32</f>
        <v>-8.369233661</v>
      </c>
      <c r="Q9" s="13" t="n">
        <f aca="false">-Construction!P32</f>
        <v>-11.349975229</v>
      </c>
      <c r="R9" s="13" t="n">
        <f aca="false">-Construction!Q32</f>
        <v>-14.574236989</v>
      </c>
      <c r="S9" s="13" t="n">
        <f aca="false">-Construction!R32</f>
        <v>-17.905293917</v>
      </c>
      <c r="T9" s="13" t="n">
        <f aca="false">-Construction!S32</f>
        <v>-21.215263901</v>
      </c>
      <c r="U9" s="13" t="n">
        <f aca="false">-Construction!T32</f>
        <v>-24.385107741</v>
      </c>
      <c r="V9" s="13" t="n">
        <f aca="false">-Construction!U32</f>
        <v>-27.308710493</v>
      </c>
      <c r="W9" s="13" t="n">
        <f aca="false">-Construction!V32</f>
        <v>-29.892201245</v>
      </c>
      <c r="X9" s="13" t="n">
        <f aca="false">-Construction!W32</f>
        <v>-32.055313565</v>
      </c>
      <c r="Y9" s="13" t="n">
        <f aca="false">-Construction!X32</f>
        <v>-33.735466845</v>
      </c>
      <c r="Z9" s="13" t="n">
        <f aca="false">-Construction!Y32</f>
        <v>-34.882324509</v>
      </c>
      <c r="AA9" s="13" t="n">
        <f aca="false">-Construction!Z32</f>
        <v>-35.463916029</v>
      </c>
      <c r="AB9" s="13" t="n">
        <f aca="false">-Construction!AA32</f>
        <v>-36.721216029</v>
      </c>
      <c r="AC9" s="13" t="n">
        <f aca="false">-Construction!AB32</f>
        <v>-34.882324509</v>
      </c>
      <c r="AD9" s="13" t="n">
        <f aca="false">-Construction!AC32</f>
        <v>-33.735466845</v>
      </c>
      <c r="AE9" s="13" t="n">
        <f aca="false">-Construction!AD32</f>
        <v>-32.055313565</v>
      </c>
      <c r="AF9" s="13" t="n">
        <f aca="false">-Construction!AE32</f>
        <v>-29.892201245</v>
      </c>
      <c r="AG9" s="13" t="n">
        <f aca="false">-Construction!AF32</f>
        <v>-27.308710493</v>
      </c>
      <c r="AH9" s="13" t="n">
        <f aca="false">-Construction!AG32</f>
        <v>-24.385107741</v>
      </c>
      <c r="AI9" s="13" t="n">
        <f aca="false">-Construction!AH32</f>
        <v>-21.215263901</v>
      </c>
      <c r="AJ9" s="13" t="n">
        <f aca="false">-Construction!AI32</f>
        <v>-17.905293917</v>
      </c>
      <c r="AK9" s="13" t="n">
        <f aca="false">-Construction!AJ32</f>
        <v>-14.574236989</v>
      </c>
      <c r="AL9" s="13" t="n">
        <f aca="false">-Construction!AK32</f>
        <v>-11.349975229</v>
      </c>
      <c r="AM9" s="13" t="n">
        <f aca="false">-Construction!AL32</f>
        <v>-8.369233661</v>
      </c>
      <c r="AN9" s="13" t="n">
        <f aca="false">-Construction!AM32</f>
        <v>-5.770777981</v>
      </c>
      <c r="AO9" s="13" t="n">
        <f aca="false">-Construction!AN32</f>
        <v>-3.692693661</v>
      </c>
      <c r="AP9" s="13" t="n">
        <f aca="false">-Construction!AO32</f>
        <v>-2.260141917</v>
      </c>
      <c r="AQ9" s="13" t="n">
        <f aca="false">-Construction!AP32</f>
        <v>-54.624712317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50.272094271267</v>
      </c>
      <c r="BS9" s="18" t="n">
        <f aca="false">Waterfall!Q7</f>
        <v>50.1606970752772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51.0636231523816</v>
      </c>
      <c r="CQ9" s="18" t="n">
        <f aca="false">Waterfall!AO7</f>
        <v>50.6913261501648</v>
      </c>
      <c r="CR9" s="18" t="n">
        <f aca="false">Waterfall!AP7</f>
        <v>51.3901970401744</v>
      </c>
      <c r="CS9" s="18" t="n">
        <f aca="false">Waterfall!AQ7</f>
        <v>50.9756781429533</v>
      </c>
      <c r="CT9" s="18" t="n">
        <f aca="false">Waterfall!AR7</f>
        <v>51.5989019777388</v>
      </c>
      <c r="CU9" s="18" t="n">
        <f aca="false">Waterfall!AS7</f>
        <v>51.4095269231289</v>
      </c>
      <c r="CV9" s="18" t="n">
        <f aca="false">Waterfall!AT7</f>
        <v>53.3175320256317</v>
      </c>
      <c r="CW9" s="18" t="n">
        <f aca="false">Waterfall!AU7</f>
        <v>44.3732919394454</v>
      </c>
      <c r="CX9" s="18" t="n">
        <f aca="false">Waterfall!AV7</f>
        <v>44.4967907429513</v>
      </c>
      <c r="CY9" s="18" t="n">
        <f aca="false">Waterfall!AW7</f>
        <v>44.0724059550148</v>
      </c>
      <c r="CZ9" s="18" t="n">
        <f aca="false">Waterfall!AX7</f>
        <v>44.7472459853546</v>
      </c>
      <c r="DA9" s="18" t="n">
        <f aca="false">Waterfall!AY7</f>
        <v>44.2903234988012</v>
      </c>
      <c r="DB9" s="18" t="n">
        <f aca="false">Waterfall!AZ7</f>
        <v>44.9082136387042</v>
      </c>
      <c r="DC9" s="18" t="n">
        <f aca="false">Waterfall!BA7</f>
        <v>44.6105693072517</v>
      </c>
      <c r="DD9" s="18" t="n">
        <f aca="false">Waterfall!BB7</f>
        <v>46.8577311811449</v>
      </c>
      <c r="DE9" s="18" t="n">
        <f aca="false">Waterfall!BC7</f>
        <v>43.2760022026388</v>
      </c>
      <c r="DF9" s="18" t="n">
        <f aca="false">Waterfall!BD7</f>
        <v>36.8115526372434</v>
      </c>
      <c r="DG9" s="18" t="n">
        <f aca="false">Waterfall!BE7</f>
        <v>36.3785752317215</v>
      </c>
      <c r="DH9" s="18" t="n">
        <f aca="false">Waterfall!BF7</f>
        <v>37.0828773569055</v>
      </c>
      <c r="DI9" s="18" t="n">
        <f aca="false">Waterfall!BG7</f>
        <v>36.6152459765377</v>
      </c>
      <c r="DJ9" s="18" t="n">
        <f aca="false">Waterfall!BH7</f>
        <v>37.2564100972111</v>
      </c>
      <c r="DK9" s="18" t="n">
        <f aca="false">Waterfall!BI7</f>
        <v>36.9953095368472</v>
      </c>
      <c r="DL9" s="18" t="n">
        <f aca="false">Waterfall!BJ7</f>
        <v>45.0191208299957</v>
      </c>
      <c r="DM9" s="18" t="n">
        <f aca="false">Waterfall!BK7</f>
        <v>39.7694783221553</v>
      </c>
      <c r="DN9" s="18" t="n">
        <f aca="false">Waterfall!BL7</f>
        <v>40.5176294452962</v>
      </c>
      <c r="DO9" s="18" t="n">
        <f aca="false">Waterfall!BM7</f>
        <v>37.4586900017771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1844.90163572868</v>
      </c>
      <c r="J10" s="13" t="n">
        <f aca="false">0</f>
        <v>0</v>
      </c>
      <c r="K10" s="13" t="n">
        <f aca="false">-Construction!J32</f>
        <v>-115.65976</v>
      </c>
      <c r="L10" s="13" t="n">
        <f aca="false">-Construction!K32</f>
        <v>-1.562912317</v>
      </c>
      <c r="M10" s="13" t="n">
        <f aca="false">-Construction!L32</f>
        <v>-2.260141917</v>
      </c>
      <c r="N10" s="13" t="n">
        <f aca="false">-Construction!M32</f>
        <v>-3.692693661</v>
      </c>
      <c r="O10" s="13" t="n">
        <f aca="false">-Construction!N32</f>
        <v>-5.770777981</v>
      </c>
      <c r="P10" s="13" t="n">
        <f aca="false">-Construction!O32</f>
        <v>-8.369233661</v>
      </c>
      <c r="Q10" s="13" t="n">
        <f aca="false">-Construction!P32</f>
        <v>-11.349975229</v>
      </c>
      <c r="R10" s="13" t="n">
        <f aca="false">-Construction!Q32</f>
        <v>-14.574236989</v>
      </c>
      <c r="S10" s="13" t="n">
        <f aca="false">-Construction!R32</f>
        <v>-17.905293917</v>
      </c>
      <c r="T10" s="13" t="n">
        <f aca="false">-Construction!S32</f>
        <v>-21.215263901</v>
      </c>
      <c r="U10" s="13" t="n">
        <f aca="false">-Construction!T32</f>
        <v>-24.385107741</v>
      </c>
      <c r="V10" s="13" t="n">
        <f aca="false">-Construction!U32</f>
        <v>-27.308710493</v>
      </c>
      <c r="W10" s="13" t="n">
        <f aca="false">-Construction!V32</f>
        <v>-29.892201245</v>
      </c>
      <c r="X10" s="13" t="n">
        <f aca="false">-Construction!W32</f>
        <v>-32.055313565</v>
      </c>
      <c r="Y10" s="13" t="n">
        <f aca="false">-Construction!X32</f>
        <v>-33.735466845</v>
      </c>
      <c r="Z10" s="13" t="n">
        <f aca="false">-Construction!Y32</f>
        <v>-34.882324509</v>
      </c>
      <c r="AA10" s="13" t="n">
        <f aca="false">-Construction!Z32</f>
        <v>-35.463916029</v>
      </c>
      <c r="AB10" s="13" t="n">
        <f aca="false">-Construction!AA32</f>
        <v>-36.721216029</v>
      </c>
      <c r="AC10" s="13" t="n">
        <f aca="false">-Construction!AB32</f>
        <v>-34.882324509</v>
      </c>
      <c r="AD10" s="13" t="n">
        <f aca="false">-Construction!AC32</f>
        <v>-33.735466845</v>
      </c>
      <c r="AE10" s="13" t="n">
        <f aca="false">-Construction!AD32</f>
        <v>-32.055313565</v>
      </c>
      <c r="AF10" s="13" t="n">
        <f aca="false">-Construction!AE32</f>
        <v>-29.892201245</v>
      </c>
      <c r="AG10" s="13" t="n">
        <f aca="false">-Construction!AF32</f>
        <v>-27.308710493</v>
      </c>
      <c r="AH10" s="13" t="n">
        <f aca="false">-Construction!AG32</f>
        <v>-24.385107741</v>
      </c>
      <c r="AI10" s="13" t="n">
        <f aca="false">-Construction!AH32</f>
        <v>-21.215263901</v>
      </c>
      <c r="AJ10" s="13" t="n">
        <f aca="false">-Construction!AI32</f>
        <v>-17.905293917</v>
      </c>
      <c r="AK10" s="13" t="n">
        <f aca="false">-Construction!AJ32</f>
        <v>-14.574236989</v>
      </c>
      <c r="AL10" s="13" t="n">
        <f aca="false">-Construction!AK32</f>
        <v>-11.349975229</v>
      </c>
      <c r="AM10" s="13" t="n">
        <f aca="false">-Construction!AL32</f>
        <v>-8.369233661</v>
      </c>
      <c r="AN10" s="13" t="n">
        <f aca="false">-Construction!AM32</f>
        <v>-5.770777981</v>
      </c>
      <c r="AO10" s="13" t="n">
        <f aca="false">-Construction!AN32</f>
        <v>-3.692693661</v>
      </c>
      <c r="AP10" s="13" t="n">
        <f aca="false">-Construction!AO32</f>
        <v>-2.260141917</v>
      </c>
      <c r="AQ10" s="13" t="n">
        <f aca="false">-Construction!AP32</f>
        <v>-54.624712317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50.272094271267</v>
      </c>
      <c r="BS10" s="13" t="n">
        <f aca="false">Waterfall!Q7+Tax!Q27</f>
        <v>50.1606970752772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51.9872249530413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43.0259024475175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-33.8165778681963</v>
      </c>
      <c r="L11" s="13" t="n">
        <f aca="false">K11+L8</f>
        <v>-34.5242347378666</v>
      </c>
      <c r="M11" s="13" t="n">
        <f aca="false">L11+M8</f>
        <v>-35.427761561662</v>
      </c>
      <c r="N11" s="13" t="n">
        <f aca="false">M11+N8</f>
        <v>-36.7073160598416</v>
      </c>
      <c r="O11" s="13" t="n">
        <f aca="false">N11+O8</f>
        <v>-38.5521853518282</v>
      </c>
      <c r="P11" s="13" t="n">
        <f aca="false">O11+P8</f>
        <v>-41.0968446551564</v>
      </c>
      <c r="Q11" s="13" t="n">
        <f aca="false">P11+Q8</f>
        <v>-44.4179272299756</v>
      </c>
      <c r="R11" s="13" t="n">
        <f aca="false">Q11+R8</f>
        <v>-48.6349638305049</v>
      </c>
      <c r="S11" s="13" t="n">
        <f aca="false">R11+S8</f>
        <v>-53.7448043154823</v>
      </c>
      <c r="T11" s="13" t="n">
        <f aca="false">S11+T8</f>
        <v>-59.7638634430196</v>
      </c>
      <c r="U11" s="13" t="n">
        <f aca="false">T11+U8</f>
        <v>-66.6336126856648</v>
      </c>
      <c r="V11" s="13" t="n">
        <f aca="false">U11+V8</f>
        <v>-74.3195863471829</v>
      </c>
      <c r="W11" s="13" t="n">
        <f aca="false">V11+W8</f>
        <v>-82.7227979497974</v>
      </c>
      <c r="X11" s="13" t="n">
        <f aca="false">W11+X8</f>
        <v>-91.7222600221303</v>
      </c>
      <c r="Y11" s="13" t="n">
        <f aca="false">X11+Y8</f>
        <v>-101.215709745985</v>
      </c>
      <c r="Z11" s="13" t="n">
        <f aca="false">Y11+Z8</f>
        <v>-111.037651909522</v>
      </c>
      <c r="AA11" s="13" t="n">
        <f aca="false">Z11+AA8</f>
        <v>-121.065857246006</v>
      </c>
      <c r="AB11" s="13" t="n">
        <f aca="false">AA11+AB8</f>
        <v>-131.468948388816</v>
      </c>
      <c r="AC11" s="13" t="n">
        <f aca="false">AB11+AC8</f>
        <v>-141.391160351381</v>
      </c>
      <c r="AD11" s="13" t="n">
        <f aca="false">AC11+AD8</f>
        <v>-151.078363477434</v>
      </c>
      <c r="AE11" s="13" t="n">
        <f aca="false">AD11+AE8</f>
        <v>-160.338008315266</v>
      </c>
      <c r="AF11" s="13" t="n">
        <f aca="false">AE11+AF8</f>
        <v>-169.074844370306</v>
      </c>
      <c r="AG11" s="13" t="n">
        <f aca="false">AF11+AG8</f>
        <v>-177.138328355611</v>
      </c>
      <c r="AH11" s="13" t="n">
        <f aca="false">AG11+AH8</f>
        <v>-184.474458087103</v>
      </c>
      <c r="AI11" s="13" t="n">
        <f aca="false">AH11+AI8</f>
        <v>-190.994412513122</v>
      </c>
      <c r="AJ11" s="13" t="n">
        <f aca="false">AI11+AJ8</f>
        <v>-196.637010601983</v>
      </c>
      <c r="AK11" s="13" t="n">
        <f aca="false">AJ11+AK8</f>
        <v>-201.434210884837</v>
      </c>
      <c r="AL11" s="13" t="n">
        <f aca="false">AK11+AL8</f>
        <v>-205.369191473024</v>
      </c>
      <c r="AM11" s="13" t="n">
        <f aca="false">AL11+AM8</f>
        <v>-208.545803192971</v>
      </c>
      <c r="AN11" s="13" t="n">
        <f aca="false">AM11+AN8</f>
        <v>-211.042739009275</v>
      </c>
      <c r="AO11" s="13" t="n">
        <f aca="false">AN11+AO8</f>
        <v>-212.92897260208</v>
      </c>
      <c r="AP11" s="13" t="n">
        <f aca="false">AO11+AP8</f>
        <v>-214.504892004237</v>
      </c>
      <c r="AQ11" s="13" t="n">
        <f aca="false">AP11+AQ8</f>
        <v>-229.983141314877</v>
      </c>
      <c r="AR11" s="13" t="n">
        <f aca="false">AQ11+AR8</f>
        <v>-241.878715046458</v>
      </c>
      <c r="AS11" s="13" t="n">
        <f aca="false">AR11+AS8</f>
        <v>-242.936300333349</v>
      </c>
      <c r="AT11" s="13" t="n">
        <f aca="false">AS11+AT8</f>
        <v>-242.936300333349</v>
      </c>
      <c r="AU11" s="13" t="n">
        <f aca="false">AT11+AU8</f>
        <v>-242.936300333349</v>
      </c>
      <c r="AV11" s="13" t="n">
        <f aca="false">AU11+AV8</f>
        <v>-242.936300333349</v>
      </c>
      <c r="AW11" s="13" t="n">
        <f aca="false">AV11+AW8</f>
        <v>-242.936300333349</v>
      </c>
      <c r="AX11" s="13" t="n">
        <f aca="false">AW11+AX8</f>
        <v>-242.936300333349</v>
      </c>
      <c r="AY11" s="13" t="n">
        <f aca="false">AX11+AY8</f>
        <v>-242.936300333349</v>
      </c>
      <c r="AZ11" s="13" t="n">
        <f aca="false">AY11+AZ8</f>
        <v>-242.936300333349</v>
      </c>
      <c r="BA11" s="13" t="n">
        <f aca="false">AZ11+BA8</f>
        <v>-242.936300333349</v>
      </c>
      <c r="BB11" s="13" t="n">
        <f aca="false">BA11+BB8</f>
        <v>-242.936300333349</v>
      </c>
      <c r="BC11" s="13" t="n">
        <f aca="false">BB11+BC8</f>
        <v>-242.936300333349</v>
      </c>
      <c r="BD11" s="13" t="n">
        <f aca="false">BC11+BD8</f>
        <v>-242.936300333349</v>
      </c>
      <c r="BE11" s="13" t="n">
        <f aca="false">BD11+BE8</f>
        <v>-242.936300333349</v>
      </c>
      <c r="BF11" s="13" t="n">
        <f aca="false">BE11+BF8</f>
        <v>-242.936300333349</v>
      </c>
      <c r="BG11" s="13" t="n">
        <f aca="false">BF11+BG8</f>
        <v>-242.936300333349</v>
      </c>
      <c r="BH11" s="13" t="n">
        <f aca="false">BG11+BH8</f>
        <v>-242.936300333349</v>
      </c>
      <c r="BI11" s="13" t="n">
        <f aca="false">BH11+BI8</f>
        <v>-242.936300333349</v>
      </c>
      <c r="BJ11" s="13" t="n">
        <f aca="false">BI11+BJ8</f>
        <v>-242.936300333349</v>
      </c>
      <c r="BK11" s="13" t="n">
        <f aca="false">BJ11+BK8</f>
        <v>-242.936300333349</v>
      </c>
      <c r="BL11" s="13" t="n">
        <f aca="false">BK11+BL8</f>
        <v>-242.936300333349</v>
      </c>
      <c r="BM11" s="13" t="n">
        <f aca="false">BL11+BM8</f>
        <v>-242.936300333349</v>
      </c>
      <c r="BN11" s="13" t="n">
        <f aca="false">BM11+BN8</f>
        <v>-242.936300333349</v>
      </c>
      <c r="BO11" s="13" t="n">
        <f aca="false">BN11+BO8</f>
        <v>-242.936300333349</v>
      </c>
      <c r="BP11" s="13" t="n">
        <f aca="false">BO11+BP8</f>
        <v>-242.936300333349</v>
      </c>
      <c r="BQ11" s="13" t="n">
        <f aca="false">BP11+BQ8</f>
        <v>-242.936300333349</v>
      </c>
      <c r="BR11" s="13" t="n">
        <f aca="false">BQ11+BR8</f>
        <v>-231.526013575347</v>
      </c>
      <c r="BS11" s="13" t="n">
        <f aca="false">BR11+BS8</f>
        <v>-222.622395918867</v>
      </c>
      <c r="BT11" s="13" t="n">
        <f aca="false">BS11+BT8</f>
        <v>-212.756024950509</v>
      </c>
      <c r="BU11" s="13" t="n">
        <f aca="false">BT11+BU8</f>
        <v>-203.750762322949</v>
      </c>
      <c r="BV11" s="13" t="n">
        <f aca="false">BU11+BV8</f>
        <v>-193.974705634178</v>
      </c>
      <c r="BW11" s="13" t="n">
        <f aca="false">BV11+BW8</f>
        <v>-185.233319517798</v>
      </c>
      <c r="BX11" s="13" t="n">
        <f aca="false">BW11+BX8</f>
        <v>-175.221861189594</v>
      </c>
      <c r="BY11" s="13" t="n">
        <f aca="false">BX11+BY8</f>
        <v>-164.375192609302</v>
      </c>
      <c r="BZ11" s="13" t="n">
        <f aca="false">BY11+BZ8</f>
        <v>-154.607261046159</v>
      </c>
      <c r="CA11" s="13" t="n">
        <f aca="false">BZ11+CA8</f>
        <v>-145.657508732793</v>
      </c>
      <c r="CB11" s="13" t="n">
        <f aca="false">CA11+CB8</f>
        <v>-135.965704094449</v>
      </c>
      <c r="CC11" s="13" t="n">
        <f aca="false">CB11+CC8</f>
        <v>-131.559277088356</v>
      </c>
      <c r="CD11" s="13" t="n">
        <f aca="false">CC11+CD8</f>
        <v>-126.317915351638</v>
      </c>
      <c r="CE11" s="13" t="n">
        <f aca="false">CD11+CE8</f>
        <v>-121.598729646933</v>
      </c>
      <c r="CF11" s="13" t="n">
        <f aca="false">CE11+CF8</f>
        <v>-115.682941138515</v>
      </c>
      <c r="CG11" s="13" t="n">
        <f aca="false">CF11+CG8</f>
        <v>-109.323987248323</v>
      </c>
      <c r="CH11" s="13" t="n">
        <f aca="false">CG11+CH8</f>
        <v>-102.240897461924</v>
      </c>
      <c r="CI11" s="13" t="n">
        <f aca="false">CH11+CI8</f>
        <v>-94.9772630788592</v>
      </c>
      <c r="CJ11" s="13" t="n">
        <f aca="false">CI11+CJ8</f>
        <v>-86.5783671606273</v>
      </c>
      <c r="CK11" s="13" t="n">
        <f aca="false">CJ11+CK8</f>
        <v>-77.6670813500755</v>
      </c>
      <c r="CL11" s="13" t="n">
        <f aca="false">CK11+CL8</f>
        <v>-67.2910632655002</v>
      </c>
      <c r="CM11" s="13" t="n">
        <f aca="false">CL11+CM8</f>
        <v>-55.7624693265844</v>
      </c>
      <c r="CN11" s="13" t="n">
        <f aca="false">CM11+CN8</f>
        <v>-31.2952952480449</v>
      </c>
      <c r="CO11" s="13" t="n">
        <f aca="false">CN11+CO8</f>
        <v>2.64766516607124</v>
      </c>
      <c r="CP11" s="13" t="n">
        <f aca="false">CO11+CP8</f>
        <v>33.004754970618</v>
      </c>
      <c r="CQ11" s="13" t="n">
        <f aca="false">CP11+CQ8</f>
        <v>83.6960811207829</v>
      </c>
      <c r="CR11" s="13" t="n">
        <f aca="false">CQ11+CR8</f>
        <v>135.086278160957</v>
      </c>
      <c r="CS11" s="13" t="n">
        <f aca="false">CR11+CS8</f>
        <v>186.061956303911</v>
      </c>
      <c r="CT11" s="13" t="n">
        <f aca="false">CS11+CT8</f>
        <v>237.66085828165</v>
      </c>
      <c r="CU11" s="13" t="n">
        <f aca="false">CT11+CU8</f>
        <v>289.070385204778</v>
      </c>
      <c r="CV11" s="13" t="n">
        <f aca="false">CU11+CV8</f>
        <v>342.38791723041</v>
      </c>
      <c r="CW11" s="13" t="n">
        <f aca="false">CV11+CW8</f>
        <v>386.761209169855</v>
      </c>
      <c r="CX11" s="13" t="n">
        <f aca="false">CW11+CX8</f>
        <v>431.257999912807</v>
      </c>
      <c r="CY11" s="13" t="n">
        <f aca="false">CX11+CY8</f>
        <v>475.330405867822</v>
      </c>
      <c r="CZ11" s="13" t="n">
        <f aca="false">CY11+CZ8</f>
        <v>520.077651853176</v>
      </c>
      <c r="DA11" s="13" t="n">
        <f aca="false">CZ11+DA8</f>
        <v>564.367975351977</v>
      </c>
      <c r="DB11" s="13" t="n">
        <f aca="false">DA11+DB8</f>
        <v>609.276188990682</v>
      </c>
      <c r="DC11" s="13" t="n">
        <f aca="false">DB11+DC8</f>
        <v>653.391789911325</v>
      </c>
      <c r="DD11" s="13" t="n">
        <f aca="false">DC11+DD8</f>
        <v>698.748370837825</v>
      </c>
      <c r="DE11" s="13" t="n">
        <f aca="false">DD11+DE8</f>
        <v>740.506799967122</v>
      </c>
      <c r="DF11" s="13" t="n">
        <f aca="false">DE11+DF8</f>
        <v>775.784177044118</v>
      </c>
      <c r="DG11" s="13" t="n">
        <f aca="false">DF11+DG8</f>
        <v>810.611792594884</v>
      </c>
      <c r="DH11" s="13" t="n">
        <f aca="false">DG11+DH8</f>
        <v>846.126742529218</v>
      </c>
      <c r="DI11" s="13" t="n">
        <f aca="false">DH11+DI8</f>
        <v>881.156907711819</v>
      </c>
      <c r="DJ11" s="13" t="n">
        <f aca="false">DI11+DJ8</f>
        <v>916.810895983161</v>
      </c>
      <c r="DK11" s="13" t="n">
        <f aca="false">DJ11+DK8</f>
        <v>952.186252948605</v>
      </c>
      <c r="DL11" s="13" t="n">
        <f aca="false">DK11+DL8</f>
        <v>995.567698672563</v>
      </c>
      <c r="DM11" s="13" t="n">
        <f aca="false">DL11+DM8</f>
        <v>1033.68158546674</v>
      </c>
      <c r="DN11" s="13" t="n">
        <f aca="false">DM11+DN8</f>
        <v>1072.52551095367</v>
      </c>
      <c r="DO11" s="13" t="n">
        <f aca="false">DN11+DO8</f>
        <v>1127.92538111741</v>
      </c>
      <c r="DP11" s="13" t="n">
        <f aca="false">DO11+DP8</f>
        <v>1127.92538111741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0.114367090881057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0.101137787910327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0.105469912875032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-79.9756064768464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936.432450796817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693.496150463468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242.936300333349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69.8332150563947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22.6841045266021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22.5732996975859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40.840014591187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4.72955008490317E-014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1.57651669496772E-014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1.23095191748818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1.38459575973309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1.30830586147878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1.72571008101988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0.114367090881057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0.101137787910327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-79.9756064768464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2026-10-03T21:27:56Z</dcterms:created>
  <dc:creator>openpyxl</dc:creator>
  <dc:description/>
  <dc:language>en-US</dc:language>
  <cp:lastModifiedBy/>
  <dcterms:modified xsi:type="dcterms:W3CDTF">2026-10-03T21:27:56Z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