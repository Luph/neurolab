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<sst xmlns="http://schemas.openxmlformats.org/spreadsheetml/2006/main" count="3618" uniqueCount="2025">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</sst>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7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1.1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2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629.024</v>
      </c>
      <c r="J22" s="13" t="n">
        <f aca="false">IF(Inputs!$F$34&lt;&gt;1,J20/100*Inputs!$F$58+J20/100*Inputs!$F$59*Inputs!$F$60/J16,Inputs!$F$57*Inputs!$F$36*J20/100)</f>
        <v>62.9024</v>
      </c>
      <c r="K22" s="13" t="n">
        <f aca="false">IF(Inputs!$F$34&lt;&gt;1,K20/100*Inputs!$F$58+K20/100*Inputs!$F$59*Inputs!$F$60/K16,Inputs!$F$57*Inputs!$F$36*K20/100)</f>
        <v>0.067934592</v>
      </c>
      <c r="L22" s="13" t="n">
        <f aca="false">IF(Inputs!$F$34&lt;&gt;1,L20/100*Inputs!$F$58+L20/100*Inputs!$F$59*Inputs!$F$60/L16,Inputs!$F$57*Inputs!$F$36*L20/100)</f>
        <v>0.712684192</v>
      </c>
      <c r="M22" s="13" t="n">
        <f aca="false">IF(Inputs!$F$34&lt;&gt;1,M20/100*Inputs!$F$58+M20/100*Inputs!$F$59*Inputs!$F$60/M16,Inputs!$F$57*Inputs!$F$36*M20/100)</f>
        <v>2.037408736</v>
      </c>
      <c r="N22" s="13" t="n">
        <f aca="false">IF(Inputs!$F$34&lt;&gt;1,N20/100*Inputs!$F$58+N20/100*Inputs!$F$59*Inputs!$F$60/N16,Inputs!$F$57*Inputs!$F$36*N20/100)</f>
        <v>3.959077056</v>
      </c>
      <c r="O22" s="13" t="n">
        <f aca="false">IF(Inputs!$F$34&lt;&gt;1,O20/100*Inputs!$F$58+O20/100*Inputs!$F$59*Inputs!$F$60/O16,Inputs!$F$57*Inputs!$F$36*O20/100)</f>
        <v>6.361948736</v>
      </c>
      <c r="P22" s="13" t="n">
        <f aca="false">IF(Inputs!$F$34&lt;&gt;1,P20/100*Inputs!$F$58+P20/100*Inputs!$F$59*Inputs!$F$60/P16,Inputs!$F$57*Inputs!$F$36*P20/100)</f>
        <v>9.118331904</v>
      </c>
      <c r="Q22" s="13" t="n">
        <f aca="false">IF(Inputs!$F$34&lt;&gt;1,Q20/100*Inputs!$F$58+Q20/100*Inputs!$F$59*Inputs!$F$60/Q16,Inputs!$F$57*Inputs!$F$36*Q20/100)</f>
        <v>12.099905664</v>
      </c>
      <c r="R22" s="13" t="n">
        <f aca="false">IF(Inputs!$F$34&lt;&gt;1,R20/100*Inputs!$F$58+R20/100*Inputs!$F$59*Inputs!$F$60/R16,Inputs!$F$57*Inputs!$F$36*R20/100)</f>
        <v>15.180236192</v>
      </c>
      <c r="S22" s="13" t="n">
        <f aca="false">IF(Inputs!$F$34&lt;&gt;1,S20/100*Inputs!$F$58+S20/100*Inputs!$F$59*Inputs!$F$60/S16,Inputs!$F$57*Inputs!$F$36*S20/100)</f>
        <v>18.241066976</v>
      </c>
      <c r="T22" s="13" t="n">
        <f aca="false">IF(Inputs!$F$34&lt;&gt;1,T20/100*Inputs!$F$58+T20/100*Inputs!$F$59*Inputs!$F$60/T16,Inputs!$F$57*Inputs!$F$36*T20/100)</f>
        <v>21.172318816</v>
      </c>
      <c r="U22" s="13" t="n">
        <f aca="false">IF(Inputs!$F$34&lt;&gt;1,U20/100*Inputs!$F$58+U20/100*Inputs!$F$59*Inputs!$F$60/U16,Inputs!$F$57*Inputs!$F$36*U20/100)</f>
        <v>23.875863968</v>
      </c>
      <c r="V22" s="13" t="n">
        <f aca="false">IF(Inputs!$F$34&lt;&gt;1,V20/100*Inputs!$F$58+V20/100*Inputs!$F$59*Inputs!$F$60/V16,Inputs!$F$57*Inputs!$F$36*V20/100)</f>
        <v>26.26489712</v>
      </c>
      <c r="W22" s="13" t="n">
        <f aca="false">IF(Inputs!$F$34&lt;&gt;1,W20/100*Inputs!$F$58+W20/100*Inputs!$F$59*Inputs!$F$60/W16,Inputs!$F$57*Inputs!$F$36*W20/100)</f>
        <v>28.26519344</v>
      </c>
      <c r="X22" s="13" t="n">
        <f aca="false">IF(Inputs!$F$34&lt;&gt;1,X20/100*Inputs!$F$58+X20/100*Inputs!$F$59*Inputs!$F$60/X16,Inputs!$F$57*Inputs!$F$36*X20/100)</f>
        <v>29.81888272</v>
      </c>
      <c r="Y22" s="13" t="n">
        <f aca="false">IF(Inputs!$F$34&lt;&gt;1,Y20/100*Inputs!$F$58+Y20/100*Inputs!$F$59*Inputs!$F$60/Y16,Inputs!$F$57*Inputs!$F$36*Y20/100)</f>
        <v>30.879417184</v>
      </c>
      <c r="Z22" s="13" t="n">
        <f aca="false">IF(Inputs!$F$34&lt;&gt;1,Z20/100*Inputs!$F$58+Z20/100*Inputs!$F$59*Inputs!$F$60/Z16,Inputs!$F$57*Inputs!$F$36*Z20/100)</f>
        <v>31.417232704</v>
      </c>
      <c r="AA22" s="13" t="n">
        <f aca="false">IF(Inputs!$F$34&lt;&gt;1,AA20/100*Inputs!$F$58+AA20/100*Inputs!$F$59*Inputs!$F$60/AA16,Inputs!$F$57*Inputs!$F$36*AA20/100)</f>
        <v>31.417232704</v>
      </c>
      <c r="AB22" s="13" t="n">
        <f aca="false">IF(Inputs!$F$34&lt;&gt;1,AB20/100*Inputs!$F$58+AB20/100*Inputs!$F$59*Inputs!$F$60/AB16,Inputs!$F$57*Inputs!$F$36*AB20/100)</f>
        <v>30.879417184</v>
      </c>
      <c r="AC22" s="13" t="n">
        <f aca="false">IF(Inputs!$F$34&lt;&gt;1,AC20/100*Inputs!$F$58+AC20/100*Inputs!$F$59*Inputs!$F$60/AC16,Inputs!$F$57*Inputs!$F$36*AC20/100)</f>
        <v>29.81888272</v>
      </c>
      <c r="AD22" s="13" t="n">
        <f aca="false">IF(Inputs!$F$34&lt;&gt;1,AD20/100*Inputs!$F$58+AD20/100*Inputs!$F$59*Inputs!$F$60/AD16,Inputs!$F$57*Inputs!$F$36*AD20/100)</f>
        <v>28.26519344</v>
      </c>
      <c r="AE22" s="13" t="n">
        <f aca="false">IF(Inputs!$F$34&lt;&gt;1,AE20/100*Inputs!$F$58+AE20/100*Inputs!$F$59*Inputs!$F$60/AE16,Inputs!$F$57*Inputs!$F$36*AE20/100)</f>
        <v>26.26489712</v>
      </c>
      <c r="AF22" s="13" t="n">
        <f aca="false">IF(Inputs!$F$34&lt;&gt;1,AF20/100*Inputs!$F$58+AF20/100*Inputs!$F$59*Inputs!$F$60/AF16,Inputs!$F$57*Inputs!$F$36*AF20/100)</f>
        <v>23.875863968</v>
      </c>
      <c r="AG22" s="13" t="n">
        <f aca="false">IF(Inputs!$F$34&lt;&gt;1,AG20/100*Inputs!$F$58+AG20/100*Inputs!$F$59*Inputs!$F$60/AG16,Inputs!$F$57*Inputs!$F$36*AG20/100)</f>
        <v>21.172318816</v>
      </c>
      <c r="AH22" s="13" t="n">
        <f aca="false">IF(Inputs!$F$34&lt;&gt;1,AH20/100*Inputs!$F$58+AH20/100*Inputs!$F$59*Inputs!$F$60/AH16,Inputs!$F$57*Inputs!$F$36*AH20/100)</f>
        <v>18.241066976</v>
      </c>
      <c r="AI22" s="13" t="n">
        <f aca="false">IF(Inputs!$F$34&lt;&gt;1,AI20/100*Inputs!$F$58+AI20/100*Inputs!$F$59*Inputs!$F$60/AI16,Inputs!$F$57*Inputs!$F$36*AI20/100)</f>
        <v>15.180236192</v>
      </c>
      <c r="AJ22" s="13" t="n">
        <f aca="false">IF(Inputs!$F$34&lt;&gt;1,AJ20/100*Inputs!$F$58+AJ20/100*Inputs!$F$59*Inputs!$F$60/AJ16,Inputs!$F$57*Inputs!$F$36*AJ20/100)</f>
        <v>12.099905664</v>
      </c>
      <c r="AK22" s="13" t="n">
        <f aca="false">IF(Inputs!$F$34&lt;&gt;1,AK20/100*Inputs!$F$58+AK20/100*Inputs!$F$59*Inputs!$F$60/AK16,Inputs!$F$57*Inputs!$F$36*AK20/100)</f>
        <v>9.118331904</v>
      </c>
      <c r="AL22" s="13" t="n">
        <f aca="false">IF(Inputs!$F$34&lt;&gt;1,AL20/100*Inputs!$F$58+AL20/100*Inputs!$F$59*Inputs!$F$60/AL16,Inputs!$F$57*Inputs!$F$36*AL20/100)</f>
        <v>6.361948736</v>
      </c>
      <c r="AM22" s="13" t="n">
        <f aca="false">IF(Inputs!$F$34&lt;&gt;1,AM20/100*Inputs!$F$58+AM20/100*Inputs!$F$59*Inputs!$F$60/AM16,Inputs!$F$57*Inputs!$F$36*AM20/100)</f>
        <v>3.959077056</v>
      </c>
      <c r="AN22" s="13" t="n">
        <f aca="false">IF(Inputs!$F$34&lt;&gt;1,AN20/100*Inputs!$F$58+AN20/100*Inputs!$F$59*Inputs!$F$60/AN16,Inputs!$F$57*Inputs!$F$36*AN20/100)</f>
        <v>2.037408736</v>
      </c>
      <c r="AO22" s="13" t="n">
        <f aca="false">IF(Inputs!$F$34&lt;&gt;1,AO20/100*Inputs!$F$58+AO20/100*Inputs!$F$59*Inputs!$F$60/AO16,Inputs!$F$57*Inputs!$F$36*AO20/100)</f>
        <v>0.712684192</v>
      </c>
      <c r="AP22" s="13" t="n">
        <f aca="false">IF(Inputs!$F$34&lt;&gt;1,AP20/100*Inputs!$F$58+AP20/100*Inputs!$F$59*Inputs!$F$60/AP16,Inputs!$F$57*Inputs!$F$36*AP20/100)</f>
        <v>47.244734592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50.798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6.09576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1.396945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1.396945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1.396945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1.396945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1.396945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1.396945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1.396945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1.396945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1.396945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1.396945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1.396945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1.396945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1.396945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1.396945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1.396945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1.396945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1.396945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1.396945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1.396945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1.396945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1.396945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1.396945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1.396945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1.396945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1.396945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1.396945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1.396945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1.396945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1.396945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1.396945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1.396945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1.396945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8.382</v>
      </c>
      <c r="J24" s="13" t="n">
        <f aca="false">Inputs!$F$62*Inputs!$F$36*(Inputs!$F$243*IF(J8=1,1,0)+(1-Inputs!$F$243)*IF(J8=Inputs!$F$242,1,0))</f>
        <v>7.1247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1.2573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9.867</v>
      </c>
      <c r="J26" s="13" t="n">
        <f aca="false">Inputs!$F$65*Inputs!$F$36*(Inputs!$F$244*IF(J8=1,1,0)+(1-Inputs!$F$244)/(Time!$F$11-1)*IF(AND(J8&gt;1,J8&lt;=Time!$F$11),1,0))</f>
        <v>6.9069</v>
      </c>
      <c r="K26" s="13" t="n">
        <f aca="false">Inputs!$F$65*Inputs!$F$36*(Inputs!$F$244*IF(K8=1,1,0)+(1-Inputs!$F$244)/(Time!$F$11-1)*IF(AND(K8&gt;1,K8&lt;=Time!$F$11),1,0))</f>
        <v>0.092503125</v>
      </c>
      <c r="L26" s="13" t="n">
        <f aca="false">Inputs!$F$65*Inputs!$F$36*(Inputs!$F$244*IF(L8=1,1,0)+(1-Inputs!$F$244)/(Time!$F$11-1)*IF(AND(L8&gt;1,L8&lt;=Time!$F$11),1,0))</f>
        <v>0.092503125</v>
      </c>
      <c r="M26" s="13" t="n">
        <f aca="false">Inputs!$F$65*Inputs!$F$36*(Inputs!$F$244*IF(M8=1,1,0)+(1-Inputs!$F$244)/(Time!$F$11-1)*IF(AND(M8&gt;1,M8&lt;=Time!$F$11),1,0))</f>
        <v>0.092503125</v>
      </c>
      <c r="N26" s="13" t="n">
        <f aca="false">Inputs!$F$65*Inputs!$F$36*(Inputs!$F$244*IF(N8=1,1,0)+(1-Inputs!$F$244)/(Time!$F$11-1)*IF(AND(N8&gt;1,N8&lt;=Time!$F$11),1,0))</f>
        <v>0.092503125</v>
      </c>
      <c r="O26" s="13" t="n">
        <f aca="false">Inputs!$F$65*Inputs!$F$36*(Inputs!$F$244*IF(O8=1,1,0)+(1-Inputs!$F$244)/(Time!$F$11-1)*IF(AND(O8&gt;1,O8&lt;=Time!$F$11),1,0))</f>
        <v>0.092503125</v>
      </c>
      <c r="P26" s="13" t="n">
        <f aca="false">Inputs!$F$65*Inputs!$F$36*(Inputs!$F$244*IF(P8=1,1,0)+(1-Inputs!$F$244)/(Time!$F$11-1)*IF(AND(P8&gt;1,P8&lt;=Time!$F$11),1,0))</f>
        <v>0.092503125</v>
      </c>
      <c r="Q26" s="13" t="n">
        <f aca="false">Inputs!$F$65*Inputs!$F$36*(Inputs!$F$244*IF(Q8=1,1,0)+(1-Inputs!$F$244)/(Time!$F$11-1)*IF(AND(Q8&gt;1,Q8&lt;=Time!$F$11),1,0))</f>
        <v>0.092503125</v>
      </c>
      <c r="R26" s="13" t="n">
        <f aca="false">Inputs!$F$65*Inputs!$F$36*(Inputs!$F$244*IF(R8=1,1,0)+(1-Inputs!$F$244)/(Time!$F$11-1)*IF(AND(R8&gt;1,R8&lt;=Time!$F$11),1,0))</f>
        <v>0.092503125</v>
      </c>
      <c r="S26" s="13" t="n">
        <f aca="false">Inputs!$F$65*Inputs!$F$36*(Inputs!$F$244*IF(S8=1,1,0)+(1-Inputs!$F$244)/(Time!$F$11-1)*IF(AND(S8&gt;1,S8&lt;=Time!$F$11),1,0))</f>
        <v>0.092503125</v>
      </c>
      <c r="T26" s="13" t="n">
        <f aca="false">Inputs!$F$65*Inputs!$F$36*(Inputs!$F$244*IF(T8=1,1,0)+(1-Inputs!$F$244)/(Time!$F$11-1)*IF(AND(T8&gt;1,T8&lt;=Time!$F$11),1,0))</f>
        <v>0.092503125</v>
      </c>
      <c r="U26" s="13" t="n">
        <f aca="false">Inputs!$F$65*Inputs!$F$36*(Inputs!$F$244*IF(U8=1,1,0)+(1-Inputs!$F$244)/(Time!$F$11-1)*IF(AND(U8&gt;1,U8&lt;=Time!$F$11),1,0))</f>
        <v>0.092503125</v>
      </c>
      <c r="V26" s="13" t="n">
        <f aca="false">Inputs!$F$65*Inputs!$F$36*(Inputs!$F$244*IF(V8=1,1,0)+(1-Inputs!$F$244)/(Time!$F$11-1)*IF(AND(V8&gt;1,V8&lt;=Time!$F$11),1,0))</f>
        <v>0.092503125</v>
      </c>
      <c r="W26" s="13" t="n">
        <f aca="false">Inputs!$F$65*Inputs!$F$36*(Inputs!$F$244*IF(W8=1,1,0)+(1-Inputs!$F$244)/(Time!$F$11-1)*IF(AND(W8&gt;1,W8&lt;=Time!$F$11),1,0))</f>
        <v>0.092503125</v>
      </c>
      <c r="X26" s="13" t="n">
        <f aca="false">Inputs!$F$65*Inputs!$F$36*(Inputs!$F$244*IF(X8=1,1,0)+(1-Inputs!$F$244)/(Time!$F$11-1)*IF(AND(X8&gt;1,X8&lt;=Time!$F$11),1,0))</f>
        <v>0.092503125</v>
      </c>
      <c r="Y26" s="13" t="n">
        <f aca="false">Inputs!$F$65*Inputs!$F$36*(Inputs!$F$244*IF(Y8=1,1,0)+(1-Inputs!$F$244)/(Time!$F$11-1)*IF(AND(Y8&gt;1,Y8&lt;=Time!$F$11),1,0))</f>
        <v>0.092503125</v>
      </c>
      <c r="Z26" s="13" t="n">
        <f aca="false">Inputs!$F$65*Inputs!$F$36*(Inputs!$F$244*IF(Z8=1,1,0)+(1-Inputs!$F$244)/(Time!$F$11-1)*IF(AND(Z8&gt;1,Z8&lt;=Time!$F$11),1,0))</f>
        <v>0.092503125</v>
      </c>
      <c r="AA26" s="13" t="n">
        <f aca="false">Inputs!$F$65*Inputs!$F$36*(Inputs!$F$244*IF(AA8=1,1,0)+(1-Inputs!$F$244)/(Time!$F$11-1)*IF(AND(AA8&gt;1,AA8&lt;=Time!$F$11),1,0))</f>
        <v>0.092503125</v>
      </c>
      <c r="AB26" s="13" t="n">
        <f aca="false">Inputs!$F$65*Inputs!$F$36*(Inputs!$F$244*IF(AB8=1,1,0)+(1-Inputs!$F$244)/(Time!$F$11-1)*IF(AND(AB8&gt;1,AB8&lt;=Time!$F$11),1,0))</f>
        <v>0.092503125</v>
      </c>
      <c r="AC26" s="13" t="n">
        <f aca="false">Inputs!$F$65*Inputs!$F$36*(Inputs!$F$244*IF(AC8=1,1,0)+(1-Inputs!$F$244)/(Time!$F$11-1)*IF(AND(AC8&gt;1,AC8&lt;=Time!$F$11),1,0))</f>
        <v>0.092503125</v>
      </c>
      <c r="AD26" s="13" t="n">
        <f aca="false">Inputs!$F$65*Inputs!$F$36*(Inputs!$F$244*IF(AD8=1,1,0)+(1-Inputs!$F$244)/(Time!$F$11-1)*IF(AND(AD8&gt;1,AD8&lt;=Time!$F$11),1,0))</f>
        <v>0.092503125</v>
      </c>
      <c r="AE26" s="13" t="n">
        <f aca="false">Inputs!$F$65*Inputs!$F$36*(Inputs!$F$244*IF(AE8=1,1,0)+(1-Inputs!$F$244)/(Time!$F$11-1)*IF(AND(AE8&gt;1,AE8&lt;=Time!$F$11),1,0))</f>
        <v>0.092503125</v>
      </c>
      <c r="AF26" s="13" t="n">
        <f aca="false">Inputs!$F$65*Inputs!$F$36*(Inputs!$F$244*IF(AF8=1,1,0)+(1-Inputs!$F$244)/(Time!$F$11-1)*IF(AND(AF8&gt;1,AF8&lt;=Time!$F$11),1,0))</f>
        <v>0.092503125</v>
      </c>
      <c r="AG26" s="13" t="n">
        <f aca="false">Inputs!$F$65*Inputs!$F$36*(Inputs!$F$244*IF(AG8=1,1,0)+(1-Inputs!$F$244)/(Time!$F$11-1)*IF(AND(AG8&gt;1,AG8&lt;=Time!$F$11),1,0))</f>
        <v>0.092503125</v>
      </c>
      <c r="AH26" s="13" t="n">
        <f aca="false">Inputs!$F$65*Inputs!$F$36*(Inputs!$F$244*IF(AH8=1,1,0)+(1-Inputs!$F$244)/(Time!$F$11-1)*IF(AND(AH8&gt;1,AH8&lt;=Time!$F$11),1,0))</f>
        <v>0.092503125</v>
      </c>
      <c r="AI26" s="13" t="n">
        <f aca="false">Inputs!$F$65*Inputs!$F$36*(Inputs!$F$244*IF(AI8=1,1,0)+(1-Inputs!$F$244)/(Time!$F$11-1)*IF(AND(AI8&gt;1,AI8&lt;=Time!$F$11),1,0))</f>
        <v>0.092503125</v>
      </c>
      <c r="AJ26" s="13" t="n">
        <f aca="false">Inputs!$F$65*Inputs!$F$36*(Inputs!$F$244*IF(AJ8=1,1,0)+(1-Inputs!$F$244)/(Time!$F$11-1)*IF(AND(AJ8&gt;1,AJ8&lt;=Time!$F$11),1,0))</f>
        <v>0.092503125</v>
      </c>
      <c r="AK26" s="13" t="n">
        <f aca="false">Inputs!$F$65*Inputs!$F$36*(Inputs!$F$244*IF(AK8=1,1,0)+(1-Inputs!$F$244)/(Time!$F$11-1)*IF(AND(AK8&gt;1,AK8&lt;=Time!$F$11),1,0))</f>
        <v>0.092503125</v>
      </c>
      <c r="AL26" s="13" t="n">
        <f aca="false">Inputs!$F$65*Inputs!$F$36*(Inputs!$F$244*IF(AL8=1,1,0)+(1-Inputs!$F$244)/(Time!$F$11-1)*IF(AND(AL8&gt;1,AL8&lt;=Time!$F$11),1,0))</f>
        <v>0.092503125</v>
      </c>
      <c r="AM26" s="13" t="n">
        <f aca="false">Inputs!$F$65*Inputs!$F$36*(Inputs!$F$244*IF(AM8=1,1,0)+(1-Inputs!$F$244)/(Time!$F$11-1)*IF(AND(AM8&gt;1,AM8&lt;=Time!$F$11),1,0))</f>
        <v>0.092503125</v>
      </c>
      <c r="AN26" s="13" t="n">
        <f aca="false">Inputs!$F$65*Inputs!$F$36*(Inputs!$F$244*IF(AN8=1,1,0)+(1-Inputs!$F$244)/(Time!$F$11-1)*IF(AND(AN8&gt;1,AN8&lt;=Time!$F$11),1,0))</f>
        <v>0.092503125</v>
      </c>
      <c r="AO26" s="13" t="n">
        <f aca="false">Inputs!$F$65*Inputs!$F$36*(Inputs!$F$244*IF(AO8=1,1,0)+(1-Inputs!$F$244)/(Time!$F$11-1)*IF(AND(AO8&gt;1,AO8&lt;=Time!$F$11),1,0))</f>
        <v>0.092503125</v>
      </c>
      <c r="AP26" s="13" t="n">
        <f aca="false">Inputs!$F$65*Inputs!$F$36*(Inputs!$F$244*IF(AP8=1,1,0)+(1-Inputs!$F$244)/(Time!$F$11-1)*IF(AND(AP8&gt;1,AP8&lt;=Time!$F$11),1,0))</f>
        <v>0.092503125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42.24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0.0055296</v>
      </c>
      <c r="L27" s="13" t="n">
        <f aca="false">IF(Inputs!$F$34=1,Inputs!$F$66*Inputs!$F$36*L21/SUM($J$21:$BJ$21),0)</f>
        <v>0.0580096</v>
      </c>
      <c r="M27" s="13" t="n">
        <f aca="false">IF(Inputs!$F$34=1,Inputs!$F$66*Inputs!$F$36*M21/SUM($J$21:$BJ$21),0)</f>
        <v>0.1658368</v>
      </c>
      <c r="N27" s="13" t="n">
        <f aca="false">IF(Inputs!$F$34=1,Inputs!$F$66*Inputs!$F$36*N21/SUM($J$21:$BJ$21),0)</f>
        <v>0.3222528</v>
      </c>
      <c r="O27" s="13" t="n">
        <f aca="false">IF(Inputs!$F$34=1,Inputs!$F$66*Inputs!$F$36*O21/SUM($J$21:$BJ$21),0)</f>
        <v>0.5178368</v>
      </c>
      <c r="P27" s="13" t="n">
        <f aca="false">IF(Inputs!$F$34=1,Inputs!$F$66*Inputs!$F$36*P21/SUM($J$21:$BJ$21),0)</f>
        <v>0.7421952</v>
      </c>
      <c r="Q27" s="13" t="n">
        <f aca="false">IF(Inputs!$F$34=1,Inputs!$F$66*Inputs!$F$36*Q21/SUM($J$21:$BJ$21),0)</f>
        <v>0.9848832</v>
      </c>
      <c r="R27" s="13" t="n">
        <f aca="false">IF(Inputs!$F$34=1,Inputs!$F$66*Inputs!$F$36*R21/SUM($J$21:$BJ$21),0)</f>
        <v>1.2356096</v>
      </c>
      <c r="S27" s="13" t="n">
        <f aca="false">IF(Inputs!$F$34=1,Inputs!$F$66*Inputs!$F$36*S21/SUM($J$21:$BJ$21),0)</f>
        <v>1.4847488</v>
      </c>
      <c r="T27" s="13" t="n">
        <f aca="false">IF(Inputs!$F$34=1,Inputs!$F$66*Inputs!$F$36*T21/SUM($J$21:$BJ$21),0)</f>
        <v>1.7233408</v>
      </c>
      <c r="U27" s="13" t="n">
        <f aca="false">IF(Inputs!$F$34=1,Inputs!$F$66*Inputs!$F$36*U21/SUM($J$21:$BJ$21),0)</f>
        <v>1.9433984</v>
      </c>
      <c r="V27" s="13" t="n">
        <f aca="false">IF(Inputs!$F$34=1,Inputs!$F$66*Inputs!$F$36*V21/SUM($J$21:$BJ$21),0)</f>
        <v>2.137856</v>
      </c>
      <c r="W27" s="13" t="n">
        <f aca="false">IF(Inputs!$F$34=1,Inputs!$F$66*Inputs!$F$36*W21/SUM($J$21:$BJ$21),0)</f>
        <v>2.300672</v>
      </c>
      <c r="X27" s="13" t="n">
        <f aca="false">IF(Inputs!$F$34=1,Inputs!$F$66*Inputs!$F$36*X21/SUM($J$21:$BJ$21),0)</f>
        <v>2.427136</v>
      </c>
      <c r="Y27" s="13" t="n">
        <f aca="false">IF(Inputs!$F$34=1,Inputs!$F$66*Inputs!$F$36*Y21/SUM($J$21:$BJ$21),0)</f>
        <v>2.5134592</v>
      </c>
      <c r="Z27" s="13" t="n">
        <f aca="false">IF(Inputs!$F$34=1,Inputs!$F$66*Inputs!$F$36*Z21/SUM($J$21:$BJ$21),0)</f>
        <v>2.5572352</v>
      </c>
      <c r="AA27" s="13" t="n">
        <f aca="false">IF(Inputs!$F$34=1,Inputs!$F$66*Inputs!$F$36*AA21/SUM($J$21:$BJ$21),0)</f>
        <v>2.5572352</v>
      </c>
      <c r="AB27" s="13" t="n">
        <f aca="false">IF(Inputs!$F$34=1,Inputs!$F$66*Inputs!$F$36*AB21/SUM($J$21:$BJ$21),0)</f>
        <v>2.5134592</v>
      </c>
      <c r="AC27" s="13" t="n">
        <f aca="false">IF(Inputs!$F$34=1,Inputs!$F$66*Inputs!$F$36*AC21/SUM($J$21:$BJ$21),0)</f>
        <v>2.427136</v>
      </c>
      <c r="AD27" s="13" t="n">
        <f aca="false">IF(Inputs!$F$34=1,Inputs!$F$66*Inputs!$F$36*AD21/SUM($J$21:$BJ$21),0)</f>
        <v>2.300672</v>
      </c>
      <c r="AE27" s="13" t="n">
        <f aca="false">IF(Inputs!$F$34=1,Inputs!$F$66*Inputs!$F$36*AE21/SUM($J$21:$BJ$21),0)</f>
        <v>2.137856</v>
      </c>
      <c r="AF27" s="13" t="n">
        <f aca="false">IF(Inputs!$F$34=1,Inputs!$F$66*Inputs!$F$36*AF21/SUM($J$21:$BJ$21),0)</f>
        <v>1.9433984</v>
      </c>
      <c r="AG27" s="13" t="n">
        <f aca="false">IF(Inputs!$F$34=1,Inputs!$F$66*Inputs!$F$36*AG21/SUM($J$21:$BJ$21),0)</f>
        <v>1.7233408</v>
      </c>
      <c r="AH27" s="13" t="n">
        <f aca="false">IF(Inputs!$F$34=1,Inputs!$F$66*Inputs!$F$36*AH21/SUM($J$21:$BJ$21),0)</f>
        <v>1.4847488</v>
      </c>
      <c r="AI27" s="13" t="n">
        <f aca="false">IF(Inputs!$F$34=1,Inputs!$F$66*Inputs!$F$36*AI21/SUM($J$21:$BJ$21),0)</f>
        <v>1.2356096</v>
      </c>
      <c r="AJ27" s="13" t="n">
        <f aca="false">IF(Inputs!$F$34=1,Inputs!$F$66*Inputs!$F$36*AJ21/SUM($J$21:$BJ$21),0)</f>
        <v>0.9848832</v>
      </c>
      <c r="AK27" s="13" t="n">
        <f aca="false">IF(Inputs!$F$34=1,Inputs!$F$66*Inputs!$F$36*AK21/SUM($J$21:$BJ$21),0)</f>
        <v>0.7421952</v>
      </c>
      <c r="AL27" s="13" t="n">
        <f aca="false">IF(Inputs!$F$34=1,Inputs!$F$66*Inputs!$F$36*AL21/SUM($J$21:$BJ$21),0)</f>
        <v>0.5178368</v>
      </c>
      <c r="AM27" s="13" t="n">
        <f aca="false">IF(Inputs!$F$34=1,Inputs!$F$66*Inputs!$F$36*AM21/SUM($J$21:$BJ$21),0)</f>
        <v>0.3222528</v>
      </c>
      <c r="AN27" s="13" t="n">
        <f aca="false">IF(Inputs!$F$34=1,Inputs!$F$66*Inputs!$F$36*AN21/SUM($J$21:$BJ$21),0)</f>
        <v>0.1658368</v>
      </c>
      <c r="AO27" s="13" t="n">
        <f aca="false">IF(Inputs!$F$34=1,Inputs!$F$66*Inputs!$F$36*AO21/SUM($J$21:$BJ$21),0)</f>
        <v>0.0580096</v>
      </c>
      <c r="AP27" s="13" t="n">
        <f aca="false">IF(Inputs!$F$34=1,Inputs!$F$66*Inputs!$F$36*AP21/SUM($J$21:$BJ$21),0)</f>
        <v>0.00552959999999985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5.885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5.885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778.826</v>
      </c>
      <c r="J32" s="13" t="n">
        <f aca="false">J22+J23+J24+J25+J26+J27+J28+J29-J31</f>
        <v>115.65976</v>
      </c>
      <c r="K32" s="13" t="n">
        <f aca="false">K22+K23+K24+K25+K26+K27+K28+K29-K31</f>
        <v>1.562912317</v>
      </c>
      <c r="L32" s="13" t="n">
        <f aca="false">L22+L23+L24+L25+L26+L27+L28+L29-L31</f>
        <v>2.260141917</v>
      </c>
      <c r="M32" s="13" t="n">
        <f aca="false">M22+M23+M24+M25+M26+M27+M28+M29-M31</f>
        <v>3.692693661</v>
      </c>
      <c r="N32" s="13" t="n">
        <f aca="false">N22+N23+N24+N25+N26+N27+N28+N29-N31</f>
        <v>5.770777981</v>
      </c>
      <c r="O32" s="13" t="n">
        <f aca="false">O22+O23+O24+O25+O26+O27+O28+O29-O31</f>
        <v>8.369233661</v>
      </c>
      <c r="P32" s="13" t="n">
        <f aca="false">P22+P23+P24+P25+P26+P27+P28+P29-P31</f>
        <v>11.349975229</v>
      </c>
      <c r="Q32" s="13" t="n">
        <f aca="false">Q22+Q23+Q24+Q25+Q26+Q27+Q28+Q29-Q31</f>
        <v>14.574236989</v>
      </c>
      <c r="R32" s="13" t="n">
        <f aca="false">R22+R23+R24+R25+R26+R27+R28+R29-R31</f>
        <v>17.905293917</v>
      </c>
      <c r="S32" s="13" t="n">
        <f aca="false">S22+S23+S24+S25+S26+S27+S28+S29-S31</f>
        <v>21.215263901</v>
      </c>
      <c r="T32" s="13" t="n">
        <f aca="false">T22+T23+T24+T25+T26+T27+T28+T29-T31</f>
        <v>24.385107741</v>
      </c>
      <c r="U32" s="13" t="n">
        <f aca="false">U22+U23+U24+U25+U26+U27+U28+U29-U31</f>
        <v>27.308710493</v>
      </c>
      <c r="V32" s="13" t="n">
        <f aca="false">V22+V23+V24+V25+V26+V27+V28+V29-V31</f>
        <v>29.892201245</v>
      </c>
      <c r="W32" s="13" t="n">
        <f aca="false">W22+W23+W24+W25+W26+W27+W28+W29-W31</f>
        <v>32.055313565</v>
      </c>
      <c r="X32" s="13" t="n">
        <f aca="false">X22+X23+X24+X25+X26+X27+X28+X29-X31</f>
        <v>33.735466845</v>
      </c>
      <c r="Y32" s="13" t="n">
        <f aca="false">Y22+Y23+Y24+Y25+Y26+Y27+Y28+Y29-Y31</f>
        <v>34.882324509</v>
      </c>
      <c r="Z32" s="13" t="n">
        <f aca="false">Z22+Z23+Z24+Z25+Z26+Z27+Z28+Z29-Z31</f>
        <v>35.463916029</v>
      </c>
      <c r="AA32" s="13" t="n">
        <f aca="false">AA22+AA23+AA24+AA25+AA26+AA27+AA28+AA29-AA31</f>
        <v>36.721216029</v>
      </c>
      <c r="AB32" s="13" t="n">
        <f aca="false">AB22+AB23+AB24+AB25+AB26+AB27+AB28+AB29-AB31</f>
        <v>34.882324509</v>
      </c>
      <c r="AC32" s="13" t="n">
        <f aca="false">AC22+AC23+AC24+AC25+AC26+AC27+AC28+AC29-AC31</f>
        <v>33.735466845</v>
      </c>
      <c r="AD32" s="13" t="n">
        <f aca="false">AD22+AD23+AD24+AD25+AD26+AD27+AD28+AD29-AD31</f>
        <v>32.055313565</v>
      </c>
      <c r="AE32" s="13" t="n">
        <f aca="false">AE22+AE23+AE24+AE25+AE26+AE27+AE28+AE29-AE31</f>
        <v>29.892201245</v>
      </c>
      <c r="AF32" s="13" t="n">
        <f aca="false">AF22+AF23+AF24+AF25+AF26+AF27+AF28+AF29-AF31</f>
        <v>27.308710493</v>
      </c>
      <c r="AG32" s="13" t="n">
        <f aca="false">AG22+AG23+AG24+AG25+AG26+AG27+AG28+AG29-AG31</f>
        <v>24.385107741</v>
      </c>
      <c r="AH32" s="13" t="n">
        <f aca="false">AH22+AH23+AH24+AH25+AH26+AH27+AH28+AH29-AH31</f>
        <v>21.215263901</v>
      </c>
      <c r="AI32" s="13" t="n">
        <f aca="false">AI22+AI23+AI24+AI25+AI26+AI27+AI28+AI29-AI31</f>
        <v>17.905293917</v>
      </c>
      <c r="AJ32" s="13" t="n">
        <f aca="false">AJ22+AJ23+AJ24+AJ25+AJ26+AJ27+AJ28+AJ29-AJ31</f>
        <v>14.574236989</v>
      </c>
      <c r="AK32" s="13" t="n">
        <f aca="false">AK22+AK23+AK24+AK25+AK26+AK27+AK28+AK29-AK31</f>
        <v>11.349975229</v>
      </c>
      <c r="AL32" s="13" t="n">
        <f aca="false">AL22+AL23+AL24+AL25+AL26+AL27+AL28+AL29-AL31</f>
        <v>8.369233661</v>
      </c>
      <c r="AM32" s="13" t="n">
        <f aca="false">AM22+AM23+AM24+AM25+AM26+AM27+AM28+AM29-AM31</f>
        <v>5.770777981</v>
      </c>
      <c r="AN32" s="13" t="n">
        <f aca="false">AN22+AN23+AN24+AN25+AN26+AN27+AN28+AN29-AN31</f>
        <v>3.692693661</v>
      </c>
      <c r="AO32" s="13" t="n">
        <f aca="false">AO22+AO23+AO24+AO25+AO26+AO27+AO28+AO29-AO31</f>
        <v>2.260141917</v>
      </c>
      <c r="AP32" s="13" t="n">
        <f aca="false">AP22+AP23+AP24+AP25+AP26+AP27+AP28+AP29-AP31</f>
        <v>54.624712317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47232.6778</v>
      </c>
      <c r="J34" s="13" t="n">
        <f aca="false">J20/100*Inputs!$F$59*Inputs!$F$60*Inputs!$F$36</f>
        <v>4723.26778</v>
      </c>
      <c r="K34" s="13" t="n">
        <f aca="false">K20/100*Inputs!$F$59*Inputs!$F$60*Inputs!$F$36</f>
        <v>5.1011292024</v>
      </c>
      <c r="L34" s="13" t="n">
        <f aca="false">L20/100*Inputs!$F$59*Inputs!$F$60*Inputs!$F$36</f>
        <v>53.5146239474</v>
      </c>
      <c r="M34" s="13" t="n">
        <f aca="false">M20/100*Inputs!$F$59*Inputs!$F$60*Inputs!$F$36</f>
        <v>152.9866433942</v>
      </c>
      <c r="N34" s="13" t="n">
        <f aca="false">N20/100*Inputs!$F$59*Inputs!$F$60*Inputs!$F$36</f>
        <v>297.2824740732</v>
      </c>
      <c r="O34" s="13" t="n">
        <f aca="false">O20/100*Inputs!$F$59*Inputs!$F$60*Inputs!$F$36</f>
        <v>477.7113032692</v>
      </c>
      <c r="P34" s="13" t="n">
        <f aca="false">P20/100*Inputs!$F$59*Inputs!$F$60*Inputs!$F$36</f>
        <v>684.6848973888</v>
      </c>
      <c r="Q34" s="13" t="n">
        <f aca="false">Q20/100*Inputs!$F$59*Inputs!$F$60*Inputs!$F$36</f>
        <v>908.5677901608</v>
      </c>
      <c r="R34" s="13" t="n">
        <f aca="false">R20/100*Inputs!$F$59*Inputs!$F$60*Inputs!$F$36</f>
        <v>1139.8662133474</v>
      </c>
      <c r="S34" s="13" t="n">
        <f aca="false">S20/100*Inputs!$F$59*Inputs!$F$60*Inputs!$F$36</f>
        <v>1369.7004235222</v>
      </c>
      <c r="T34" s="13" t="n">
        <f aca="false">T20/100*Inputs!$F$59*Inputs!$F$60*Inputs!$F$36</f>
        <v>1589.8047020702</v>
      </c>
      <c r="U34" s="13" t="n">
        <f aca="false">U20/100*Inputs!$F$59*Inputs!$F$60*Inputs!$F$36</f>
        <v>1792.8107512546</v>
      </c>
      <c r="V34" s="13" t="n">
        <f aca="false">V20/100*Inputs!$F$59*Inputs!$F$60*Inputs!$F$36</f>
        <v>1972.200461539</v>
      </c>
      <c r="W34" s="13" t="n">
        <f aca="false">W20/100*Inputs!$F$59*Inputs!$F$60*Inputs!$F$36</f>
        <v>2122.400376943</v>
      </c>
      <c r="X34" s="13" t="n">
        <f aca="false">X20/100*Inputs!$F$59*Inputs!$F$60*Inputs!$F$36</f>
        <v>2239.065091109</v>
      </c>
      <c r="Y34" s="13" t="n">
        <f aca="false">Y20/100*Inputs!$F$59*Inputs!$F$60*Inputs!$F$36</f>
        <v>2318.6993858798</v>
      </c>
      <c r="Z34" s="13" t="n">
        <f aca="false">Z20/100*Inputs!$F$59*Inputs!$F$60*Inputs!$F$36</f>
        <v>2359.0833253988</v>
      </c>
      <c r="AA34" s="13" t="n">
        <f aca="false">AA20/100*Inputs!$F$59*Inputs!$F$60*Inputs!$F$36</f>
        <v>2359.0833253988</v>
      </c>
      <c r="AB34" s="13" t="n">
        <f aca="false">AB20/100*Inputs!$F$59*Inputs!$F$60*Inputs!$F$36</f>
        <v>2318.6993858798</v>
      </c>
      <c r="AC34" s="13" t="n">
        <f aca="false">AC20/100*Inputs!$F$59*Inputs!$F$60*Inputs!$F$36</f>
        <v>2239.065091109</v>
      </c>
      <c r="AD34" s="13" t="n">
        <f aca="false">AD20/100*Inputs!$F$59*Inputs!$F$60*Inputs!$F$36</f>
        <v>2122.400376943</v>
      </c>
      <c r="AE34" s="13" t="n">
        <f aca="false">AE20/100*Inputs!$F$59*Inputs!$F$60*Inputs!$F$36</f>
        <v>1972.200461539</v>
      </c>
      <c r="AF34" s="13" t="n">
        <f aca="false">AF20/100*Inputs!$F$59*Inputs!$F$60*Inputs!$F$36</f>
        <v>1792.8107512546</v>
      </c>
      <c r="AG34" s="13" t="n">
        <f aca="false">AG20/100*Inputs!$F$59*Inputs!$F$60*Inputs!$F$36</f>
        <v>1589.8047020702</v>
      </c>
      <c r="AH34" s="13" t="n">
        <f aca="false">AH20/100*Inputs!$F$59*Inputs!$F$60*Inputs!$F$36</f>
        <v>1369.7004235222</v>
      </c>
      <c r="AI34" s="13" t="n">
        <f aca="false">AI20/100*Inputs!$F$59*Inputs!$F$60*Inputs!$F$36</f>
        <v>1139.8662133474</v>
      </c>
      <c r="AJ34" s="13" t="n">
        <f aca="false">AJ20/100*Inputs!$F$59*Inputs!$F$60*Inputs!$F$36</f>
        <v>908.5677901608</v>
      </c>
      <c r="AK34" s="13" t="n">
        <f aca="false">AK20/100*Inputs!$F$59*Inputs!$F$60*Inputs!$F$36</f>
        <v>684.6848973888</v>
      </c>
      <c r="AL34" s="13" t="n">
        <f aca="false">AL20/100*Inputs!$F$59*Inputs!$F$60*Inputs!$F$36</f>
        <v>477.7113032692</v>
      </c>
      <c r="AM34" s="13" t="n">
        <f aca="false">AM20/100*Inputs!$F$59*Inputs!$F$60*Inputs!$F$36</f>
        <v>297.2824740732</v>
      </c>
      <c r="AN34" s="13" t="n">
        <f aca="false">AN20/100*Inputs!$F$59*Inputs!$F$60*Inputs!$F$36</f>
        <v>152.9866433942</v>
      </c>
      <c r="AO34" s="13" t="n">
        <f aca="false">AO20/100*Inputs!$F$59*Inputs!$F$60*Inputs!$F$36</f>
        <v>53.5146239474</v>
      </c>
      <c r="AP34" s="13" t="n">
        <f aca="false">AP20/100*Inputs!$F$59*Inputs!$F$60*Inputs!$F$36</f>
        <v>3547.5519642024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8501.882004</v>
      </c>
      <c r="J35" s="13" t="n">
        <f aca="false">Inputs!$F$70/100*J34</f>
        <v>850.1882004</v>
      </c>
      <c r="K35" s="13" t="n">
        <f aca="false">Inputs!$F$70/100*K34</f>
        <v>0.918203256432</v>
      </c>
      <c r="L35" s="13" t="n">
        <f aca="false">Inputs!$F$70/100*L34</f>
        <v>9.632632310532</v>
      </c>
      <c r="M35" s="13" t="n">
        <f aca="false">Inputs!$F$70/100*M34</f>
        <v>27.537595810956</v>
      </c>
      <c r="N35" s="13" t="n">
        <f aca="false">Inputs!$F$70/100*N34</f>
        <v>53.510845333176</v>
      </c>
      <c r="O35" s="13" t="n">
        <f aca="false">Inputs!$F$70/100*O34</f>
        <v>85.988034588456</v>
      </c>
      <c r="P35" s="13" t="n">
        <f aca="false">Inputs!$F$70/100*P34</f>
        <v>123.243281529984</v>
      </c>
      <c r="Q35" s="13" t="n">
        <f aca="false">Inputs!$F$70/100*Q34</f>
        <v>163.542202228944</v>
      </c>
      <c r="R35" s="13" t="n">
        <f aca="false">Inputs!$F$70/100*R34</f>
        <v>205.175918402532</v>
      </c>
      <c r="S35" s="13" t="n">
        <f aca="false">Inputs!$F$70/100*S34</f>
        <v>246.546076233996</v>
      </c>
      <c r="T35" s="13" t="n">
        <f aca="false">Inputs!$F$70/100*T34</f>
        <v>286.164846372636</v>
      </c>
      <c r="U35" s="13" t="n">
        <f aca="false">Inputs!$F$70/100*U34</f>
        <v>322.705935225828</v>
      </c>
      <c r="V35" s="13" t="n">
        <f aca="false">Inputs!$F$70/100*V34</f>
        <v>354.99608307702</v>
      </c>
      <c r="W35" s="13" t="n">
        <f aca="false">Inputs!$F$70/100*W34</f>
        <v>382.03206784974</v>
      </c>
      <c r="X35" s="13" t="n">
        <f aca="false">Inputs!$F$70/100*X34</f>
        <v>403.03171639962</v>
      </c>
      <c r="Y35" s="13" t="n">
        <f aca="false">Inputs!$F$70/100*Y34</f>
        <v>417.365889458364</v>
      </c>
      <c r="Z35" s="13" t="n">
        <f aca="false">Inputs!$F$70/100*Z34</f>
        <v>424.634998571784</v>
      </c>
      <c r="AA35" s="13" t="n">
        <f aca="false">Inputs!$F$70/100*AA34</f>
        <v>424.634998571784</v>
      </c>
      <c r="AB35" s="13" t="n">
        <f aca="false">Inputs!$F$70/100*AB34</f>
        <v>417.365889458364</v>
      </c>
      <c r="AC35" s="13" t="n">
        <f aca="false">Inputs!$F$70/100*AC34</f>
        <v>403.03171639962</v>
      </c>
      <c r="AD35" s="13" t="n">
        <f aca="false">Inputs!$F$70/100*AD34</f>
        <v>382.03206784974</v>
      </c>
      <c r="AE35" s="13" t="n">
        <f aca="false">Inputs!$F$70/100*AE34</f>
        <v>354.99608307702</v>
      </c>
      <c r="AF35" s="13" t="n">
        <f aca="false">Inputs!$F$70/100*AF34</f>
        <v>322.705935225828</v>
      </c>
      <c r="AG35" s="13" t="n">
        <f aca="false">Inputs!$F$70/100*AG34</f>
        <v>286.164846372636</v>
      </c>
      <c r="AH35" s="13" t="n">
        <f aca="false">Inputs!$F$70/100*AH34</f>
        <v>246.546076233996</v>
      </c>
      <c r="AI35" s="13" t="n">
        <f aca="false">Inputs!$F$70/100*AI34</f>
        <v>205.175918402532</v>
      </c>
      <c r="AJ35" s="13" t="n">
        <f aca="false">Inputs!$F$70/100*AJ34</f>
        <v>163.542202228944</v>
      </c>
      <c r="AK35" s="13" t="n">
        <f aca="false">Inputs!$F$70/100*AK34</f>
        <v>123.243281529984</v>
      </c>
      <c r="AL35" s="13" t="n">
        <f aca="false">Inputs!$F$70/100*AL34</f>
        <v>85.988034588456</v>
      </c>
      <c r="AM35" s="13" t="n">
        <f aca="false">Inputs!$F$70/100*AM34</f>
        <v>53.510845333176</v>
      </c>
      <c r="AN35" s="13" t="n">
        <f aca="false">Inputs!$F$70/100*AN34</f>
        <v>27.537595810956</v>
      </c>
      <c r="AO35" s="13" t="n">
        <f aca="false">Inputs!$F$70/100*AO34</f>
        <v>9.632632310532</v>
      </c>
      <c r="AP35" s="13" t="n">
        <f aca="false">Inputs!$F$70/100*AP34</f>
        <v>638.559353556432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8501.882004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850.1882004</v>
      </c>
      <c r="T36" s="13" t="n">
        <f aca="false">SUMIFS($J$35:$BJ$35,$J$8:$BJ$8,T8-Inputs!$F$246)</f>
        <v>0.918203256432</v>
      </c>
      <c r="U36" s="13" t="n">
        <f aca="false">SUMIFS($J$35:$BJ$35,$J$8:$BJ$8,U8-Inputs!$F$246)</f>
        <v>9.632632310532</v>
      </c>
      <c r="V36" s="13" t="n">
        <f aca="false">SUMIFS($J$35:$BJ$35,$J$8:$BJ$8,V8-Inputs!$F$246)</f>
        <v>27.537595810956</v>
      </c>
      <c r="W36" s="13" t="n">
        <f aca="false">SUMIFS($J$35:$BJ$35,$J$8:$BJ$8,W8-Inputs!$F$246)</f>
        <v>53.510845333176</v>
      </c>
      <c r="X36" s="13" t="n">
        <f aca="false">SUMIFS($J$35:$BJ$35,$J$8:$BJ$8,X8-Inputs!$F$246)</f>
        <v>85.988034588456</v>
      </c>
      <c r="Y36" s="13" t="n">
        <f aca="false">SUMIFS($J$35:$BJ$35,$J$8:$BJ$8,Y8-Inputs!$F$246)</f>
        <v>123.243281529984</v>
      </c>
      <c r="Z36" s="13" t="n">
        <f aca="false">SUMIFS($J$35:$BJ$35,$J$8:$BJ$8,Z8-Inputs!$F$246)</f>
        <v>163.542202228944</v>
      </c>
      <c r="AA36" s="13" t="n">
        <f aca="false">SUMIFS($J$35:$BJ$35,$J$8:$BJ$8,AA8-Inputs!$F$246)</f>
        <v>205.175918402532</v>
      </c>
      <c r="AB36" s="13" t="n">
        <f aca="false">SUMIFS($J$35:$BJ$35,$J$8:$BJ$8,AB8-Inputs!$F$246)</f>
        <v>246.546076233996</v>
      </c>
      <c r="AC36" s="13" t="n">
        <f aca="false">SUMIFS($J$35:$BJ$35,$J$8:$BJ$8,AC8-Inputs!$F$246)</f>
        <v>286.164846372636</v>
      </c>
      <c r="AD36" s="13" t="n">
        <f aca="false">SUMIFS($J$35:$BJ$35,$J$8:$BJ$8,AD8-Inputs!$F$246)</f>
        <v>322.705935225828</v>
      </c>
      <c r="AE36" s="13" t="n">
        <f aca="false">SUMIFS($J$35:$BJ$35,$J$8:$BJ$8,AE8-Inputs!$F$246)</f>
        <v>354.99608307702</v>
      </c>
      <c r="AF36" s="13" t="n">
        <f aca="false">SUMIFS($J$35:$BJ$35,$J$8:$BJ$8,AF8-Inputs!$F$246)</f>
        <v>382.03206784974</v>
      </c>
      <c r="AG36" s="13" t="n">
        <f aca="false">SUMIFS($J$35:$BJ$35,$J$8:$BJ$8,AG8-Inputs!$F$246)</f>
        <v>403.03171639962</v>
      </c>
      <c r="AH36" s="13" t="n">
        <f aca="false">SUMIFS($J$35:$BJ$35,$J$8:$BJ$8,AH8-Inputs!$F$246)</f>
        <v>417.365889458364</v>
      </c>
      <c r="AI36" s="13" t="n">
        <f aca="false">SUMIFS($J$35:$BJ$35,$J$8:$BJ$8,AI8-Inputs!$F$246)</f>
        <v>424.634998571784</v>
      </c>
      <c r="AJ36" s="13" t="n">
        <f aca="false">SUMIFS($J$35:$BJ$35,$J$8:$BJ$8,AJ8-Inputs!$F$246)</f>
        <v>424.634998571784</v>
      </c>
      <c r="AK36" s="13" t="n">
        <f aca="false">SUMIFS($J$35:$BJ$35,$J$8:$BJ$8,AK8-Inputs!$F$246)</f>
        <v>417.365889458364</v>
      </c>
      <c r="AL36" s="13" t="n">
        <f aca="false">SUMIFS($J$35:$BJ$35,$J$8:$BJ$8,AL8-Inputs!$F$246)</f>
        <v>403.03171639962</v>
      </c>
      <c r="AM36" s="13" t="n">
        <f aca="false">SUMIFS($J$35:$BJ$35,$J$8:$BJ$8,AM8-Inputs!$F$246)</f>
        <v>382.03206784974</v>
      </c>
      <c r="AN36" s="13" t="n">
        <f aca="false">SUMIFS($J$35:$BJ$35,$J$8:$BJ$8,AN8-Inputs!$F$246)</f>
        <v>354.99608307702</v>
      </c>
      <c r="AO36" s="13" t="n">
        <f aca="false">SUMIFS($J$35:$BJ$35,$J$8:$BJ$8,AO8-Inputs!$F$246)</f>
        <v>322.705935225828</v>
      </c>
      <c r="AP36" s="13" t="n">
        <f aca="false">SUMIFS($J$35:$BJ$35,$J$8:$BJ$8,AP8-Inputs!$F$246)</f>
        <v>286.164846372636</v>
      </c>
      <c r="AQ36" s="13" t="n">
        <f aca="false">SUMIFS($J$35:$BJ$35,$J$8:$BJ$8,AQ8-Inputs!$F$246)</f>
        <v>246.546076233996</v>
      </c>
      <c r="AR36" s="13" t="n">
        <f aca="false">SUMIFS($J$35:$BJ$35,$J$8:$BJ$8,AR8-Inputs!$F$246)</f>
        <v>205.175918402532</v>
      </c>
      <c r="AS36" s="13" t="n">
        <f aca="false">SUMIFS($J$35:$BJ$35,$J$8:$BJ$8,AS8-Inputs!$F$246)</f>
        <v>163.542202228944</v>
      </c>
      <c r="AT36" s="13" t="n">
        <f aca="false">SUMIFS($J$35:$BJ$35,$J$8:$BJ$8,AT8-Inputs!$F$246)</f>
        <v>123.243281529984</v>
      </c>
      <c r="AU36" s="13" t="n">
        <f aca="false">SUMIFS($J$35:$BJ$35,$J$8:$BJ$8,AU8-Inputs!$F$246)</f>
        <v>85.988034588456</v>
      </c>
      <c r="AV36" s="13" t="n">
        <f aca="false">SUMIFS($J$35:$BJ$35,$J$8:$BJ$8,AV8-Inputs!$F$246)</f>
        <v>53.510845333176</v>
      </c>
      <c r="AW36" s="13" t="n">
        <f aca="false">SUMIFS($J$35:$BJ$35,$J$8:$BJ$8,AW8-Inputs!$F$246)</f>
        <v>27.537595810956</v>
      </c>
      <c r="AX36" s="13" t="n">
        <f aca="false">SUMIFS($J$35:$BJ$35,$J$8:$BJ$8,AX8-Inputs!$F$246)</f>
        <v>9.632632310532</v>
      </c>
      <c r="AY36" s="13" t="n">
        <f aca="false">SUMIFS($J$35:$BJ$35,$J$8:$BJ$8,AY8-Inputs!$F$246)</f>
        <v>638.559353556432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850.1882004</v>
      </c>
      <c r="K37" s="13" t="n">
        <f aca="false">J37+K35-K36</f>
        <v>851.106403656432</v>
      </c>
      <c r="L37" s="13" t="n">
        <f aca="false">K37+L35-L36</f>
        <v>860.739035966964</v>
      </c>
      <c r="M37" s="13" t="n">
        <f aca="false">L37+M35-M36</f>
        <v>888.27663177792</v>
      </c>
      <c r="N37" s="13" t="n">
        <f aca="false">M37+N35-N36</f>
        <v>941.787477111096</v>
      </c>
      <c r="O37" s="13" t="n">
        <f aca="false">N37+O35-O36</f>
        <v>1027.77551169955</v>
      </c>
      <c r="P37" s="13" t="n">
        <f aca="false">O37+P35-P36</f>
        <v>1151.01879322954</v>
      </c>
      <c r="Q37" s="13" t="n">
        <f aca="false">P37+Q35-Q36</f>
        <v>1314.56099545848</v>
      </c>
      <c r="R37" s="13" t="n">
        <f aca="false">Q37+R35-R36</f>
        <v>1519.73691386101</v>
      </c>
      <c r="S37" s="13" t="n">
        <f aca="false">R37+S35-S36</f>
        <v>916.094789695008</v>
      </c>
      <c r="T37" s="13" t="n">
        <f aca="false">S37+T35-T36</f>
        <v>1201.34143281121</v>
      </c>
      <c r="U37" s="13" t="n">
        <f aca="false">T37+U35-U36</f>
        <v>1514.41473572651</v>
      </c>
      <c r="V37" s="13" t="n">
        <f aca="false">U37+V35-V36</f>
        <v>1841.87322299257</v>
      </c>
      <c r="W37" s="13" t="n">
        <f aca="false">V37+W35-W36</f>
        <v>2170.39444550914</v>
      </c>
      <c r="X37" s="13" t="n">
        <f aca="false">W37+X35-X36</f>
        <v>2487.4381273203</v>
      </c>
      <c r="Y37" s="13" t="n">
        <f aca="false">X37+Y35-Y36</f>
        <v>2781.56073524868</v>
      </c>
      <c r="Z37" s="13" t="n">
        <f aca="false">Y37+Z35-Z36</f>
        <v>3042.65353159152</v>
      </c>
      <c r="AA37" s="13" t="n">
        <f aca="false">Z37+AA35-AA36</f>
        <v>3262.11261176077</v>
      </c>
      <c r="AB37" s="13" t="n">
        <f aca="false">AA37+AB35-AB36</f>
        <v>3432.93242498514</v>
      </c>
      <c r="AC37" s="13" t="n">
        <f aca="false">AB37+AC35-AC36</f>
        <v>3549.79929501213</v>
      </c>
      <c r="AD37" s="13" t="n">
        <f aca="false">AC37+AD35-AD36</f>
        <v>3609.12542763604</v>
      </c>
      <c r="AE37" s="13" t="n">
        <f aca="false">AD37+AE35-AE36</f>
        <v>3609.12542763604</v>
      </c>
      <c r="AF37" s="13" t="n">
        <f aca="false">AE37+AF35-AF36</f>
        <v>3549.79929501213</v>
      </c>
      <c r="AG37" s="13" t="n">
        <f aca="false">AF37+AG35-AG36</f>
        <v>3432.93242498514</v>
      </c>
      <c r="AH37" s="13" t="n">
        <f aca="false">AG37+AH35-AH36</f>
        <v>3262.11261176077</v>
      </c>
      <c r="AI37" s="13" t="n">
        <f aca="false">AH37+AI35-AI36</f>
        <v>3042.65353159152</v>
      </c>
      <c r="AJ37" s="13" t="n">
        <f aca="false">AI37+AJ35-AJ36</f>
        <v>2781.56073524868</v>
      </c>
      <c r="AK37" s="13" t="n">
        <f aca="false">AJ37+AK35-AK36</f>
        <v>2487.4381273203</v>
      </c>
      <c r="AL37" s="13" t="n">
        <f aca="false">AK37+AL35-AL36</f>
        <v>2170.39444550914</v>
      </c>
      <c r="AM37" s="13" t="n">
        <f aca="false">AL37+AM35-AM36</f>
        <v>1841.87322299257</v>
      </c>
      <c r="AN37" s="13" t="n">
        <f aca="false">AM37+AN35-AN36</f>
        <v>1514.41473572651</v>
      </c>
      <c r="AO37" s="13" t="n">
        <f aca="false">AN37+AO35-AO36</f>
        <v>1201.34143281121</v>
      </c>
      <c r="AP37" s="13" t="n">
        <f aca="false">AO37+AP35-AP36</f>
        <v>1553.73593999501</v>
      </c>
      <c r="AQ37" s="13" t="n">
        <f aca="false">AP37+AQ35-AQ36</f>
        <v>1307.18986376101</v>
      </c>
      <c r="AR37" s="13" t="n">
        <f aca="false">AQ37+AR35-AR36</f>
        <v>1102.01394535848</v>
      </c>
      <c r="AS37" s="13" t="n">
        <f aca="false">AR37+AS35-AS36</f>
        <v>938.471743129537</v>
      </c>
      <c r="AT37" s="13" t="n">
        <f aca="false">AS37+AT35-AT36</f>
        <v>815.228461599553</v>
      </c>
      <c r="AU37" s="13" t="n">
        <f aca="false">AT37+AU35-AU36</f>
        <v>729.240427011097</v>
      </c>
      <c r="AV37" s="13" t="n">
        <f aca="false">AU37+AV35-AV36</f>
        <v>675.729581677921</v>
      </c>
      <c r="AW37" s="13" t="n">
        <f aca="false">AV37+AW35-AW36</f>
        <v>648.191985866965</v>
      </c>
      <c r="AX37" s="13" t="n">
        <f aca="false">AW37+AX35-AX36</f>
        <v>638.559353556433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1.79835380359527</v>
      </c>
      <c r="J38" s="13" t="n">
        <f aca="false">I37*(J18+Inputs!$F$71)/100*J11/Inputs!$F$248/J16</f>
        <v>0</v>
      </c>
      <c r="K38" s="13" t="n">
        <f aca="false">J37*(K18+Inputs!$F$71)/100*K11/Inputs!$F$248/K16</f>
        <v>0.0213902965097506</v>
      </c>
      <c r="L38" s="13" t="n">
        <f aca="false">K37*(L18+Inputs!$F$71)/100*L11/Inputs!$F$248/L16</f>
        <v>0.0220341464394753</v>
      </c>
      <c r="M38" s="13" t="n">
        <f aca="false">L37*(M18+Inputs!$F$71)/100*M11/Inputs!$F$248/M16</f>
        <v>0.0214740339916263</v>
      </c>
      <c r="N38" s="13" t="n">
        <f aca="false">M37*(N18+Inputs!$F$71)/100*N11/Inputs!$F$248/N16</f>
        <v>0.0228034740504093</v>
      </c>
      <c r="O38" s="13" t="n">
        <f aca="false">N37*(O18+Inputs!$F$71)/100*O11/Inputs!$F$248/O16</f>
        <v>0.0240755319998248</v>
      </c>
      <c r="P38" s="13" t="n">
        <f aca="false">O37*(P18+Inputs!$F$71)/100*P11/Inputs!$F$248/P16</f>
        <v>0.0236313094397995</v>
      </c>
      <c r="Q38" s="13" t="n">
        <f aca="false">P37*(Q18+Inputs!$F$71)/100*Q11/Inputs!$F$248/Q16</f>
        <v>0.0291773470463707</v>
      </c>
      <c r="R38" s="13" t="n">
        <f aca="false">Q37*(R18+Inputs!$F$71)/100*R11/Inputs!$F$248/R16</f>
        <v>0.032112483349384</v>
      </c>
      <c r="S38" s="13" t="n">
        <f aca="false">R37*(S18+Inputs!$F$71)/100*S11/Inputs!$F$248/S16</f>
        <v>0.0382007776737884</v>
      </c>
      <c r="T38" s="13" t="n">
        <f aca="false">S37*(T18+Inputs!$F$71)/100*T11/Inputs!$F$248/T16</f>
        <v>0.0221908515595197</v>
      </c>
      <c r="U38" s="13" t="n">
        <f aca="false">T37*(U18+Inputs!$F$71)/100*U11/Inputs!$F$248/U16</f>
        <v>0.0299440578127453</v>
      </c>
      <c r="V38" s="13" t="n">
        <f aca="false">U37*(V18+Inputs!$F$71)/100*V11/Inputs!$F$248/V16</f>
        <v>0.0375888662167028</v>
      </c>
      <c r="W38" s="13" t="n">
        <f aca="false">V37*(W18+Inputs!$F$71)/100*W11/Inputs!$F$248/W16</f>
        <v>0.0440558817014945</v>
      </c>
      <c r="X38" s="13" t="n">
        <f aca="false">W37*(X18+Inputs!$F$71)/100*X11/Inputs!$F$248/X16</f>
        <v>0.0534187196016898</v>
      </c>
      <c r="Y38" s="13" t="n">
        <f aca="false">X37*(Y18+Inputs!$F$71)/100*Y11/Inputs!$F$248/Y16</f>
        <v>0.0589979410032407</v>
      </c>
      <c r="Z38" s="13" t="n">
        <f aca="false">Y37*(Z18+Inputs!$F$71)/100*Z11/Inputs!$F$248/Z16</f>
        <v>0.0678865529611454</v>
      </c>
      <c r="AA38" s="13" t="n">
        <f aca="false">Z37*(AA18+Inputs!$F$71)/100*AA11/Inputs!$F$248/AA16</f>
        <v>0.0739465496497872</v>
      </c>
      <c r="AB38" s="13" t="n">
        <f aca="false">AA37*(AB18+Inputs!$F$71)/100*AB11/Inputs!$F$248/AB16</f>
        <v>0.0738534637607191</v>
      </c>
      <c r="AC38" s="13" t="n">
        <f aca="false">AB37*(AC18+Inputs!$F$71)/100*AC11/Inputs!$F$248/AC16</f>
        <v>0.0827315331743052</v>
      </c>
      <c r="AD38" s="13" t="n">
        <f aca="false">AC37*(AD18+Inputs!$F$71)/100*AD11/Inputs!$F$248/AD16</f>
        <v>0.0824402652301631</v>
      </c>
      <c r="AE38" s="13" t="n">
        <f aca="false">AD37*(AE18+Inputs!$F$71)/100*AE11/Inputs!$F$248/AE16</f>
        <v>0.086247834284371</v>
      </c>
      <c r="AF38" s="13" t="n">
        <f aca="false">AE37*(AF18+Inputs!$F$71)/100*AF11/Inputs!$F$248/AF16</f>
        <v>0.0831147230521001</v>
      </c>
      <c r="AG38" s="13" t="n">
        <f aca="false">AF37*(AG18+Inputs!$F$71)/100*AG11/Inputs!$F$248/AG16</f>
        <v>0.0841182884115323</v>
      </c>
      <c r="AH38" s="13" t="n">
        <f aca="false">AG37*(AH18+Inputs!$F$71)/100*AH11/Inputs!$F$248/AH16</f>
        <v>0.0810069136348272</v>
      </c>
      <c r="AI38" s="13" t="n">
        <f aca="false">AH37*(AI18+Inputs!$F$71)/100*AI11/Inputs!$F$248/AI16</f>
        <v>0.0741797805086076</v>
      </c>
      <c r="AJ38" s="13" t="n">
        <f aca="false">AI37*(AJ18+Inputs!$F$71)/100*AJ11/Inputs!$F$248/AJ16</f>
        <v>0.0711950399836167</v>
      </c>
      <c r="AK38" s="13" t="n">
        <f aca="false">AJ37*(AK18+Inputs!$F$71)/100*AK11/Inputs!$F$248/AK16</f>
        <v>0.0627213716154098</v>
      </c>
      <c r="AL38" s="13" t="n">
        <f aca="false">AK37*(AL18+Inputs!$F$71)/100*AL11/Inputs!$F$248/AL16</f>
        <v>0.0577151632675836</v>
      </c>
      <c r="AM38" s="13" t="n">
        <f aca="false">AL37*(AM18+Inputs!$F$71)/100*AM11/Inputs!$F$248/AM16</f>
        <v>0.0501471797546113</v>
      </c>
      <c r="AN38" s="13" t="n">
        <f aca="false">AM37*(AN18+Inputs!$F$71)/100*AN11/Inputs!$F$248/AN16</f>
        <v>0.0382766674175561</v>
      </c>
      <c r="AO38" s="13" t="n">
        <f aca="false">AN37*(AO18+Inputs!$F$71)/100*AO11/Inputs!$F$248/AO16</f>
        <v>0.0346970918971182</v>
      </c>
      <c r="AP38" s="13" t="n">
        <f aca="false">AO37*(AP18+Inputs!$F$71)/100*AP11/Inputs!$F$248/AP16</f>
        <v>0.0265243328204506</v>
      </c>
      <c r="AQ38" s="13" t="n">
        <f aca="false">AP37*(AQ18+Inputs!$F$71)/100*AQ11/Inputs!$F$248/AQ16</f>
        <v>0.0352992815695252</v>
      </c>
      <c r="AR38" s="13" t="n">
        <f aca="false">AQ37*(AR18+Inputs!$F$71)/100*AR11/Inputs!$F$248/AR16</f>
        <v>0.0286191736581365</v>
      </c>
      <c r="AS38" s="13" t="n">
        <f aca="false">AR37*(AS18+Inputs!$F$71)/100*AS11/Inputs!$F$248/AS16</f>
        <v>0.0248265373079246</v>
      </c>
      <c r="AT38" s="13" t="n">
        <f aca="false">AS37*(AT18+Inputs!$F$71)/100*AT11/Inputs!$F$248/AT16</f>
        <v>0.0210533137905118</v>
      </c>
      <c r="AU38" s="13" t="n">
        <f aca="false">AT37*(AU18+Inputs!$F$71)/100*AU11/Inputs!$F$248/AU16</f>
        <v>0.0176241572756038</v>
      </c>
      <c r="AV38" s="13" t="n">
        <f aca="false">AU37*(AV18+Inputs!$F$71)/100*AV11/Inputs!$F$248/AV16</f>
        <v>0.0162222244001886</v>
      </c>
      <c r="AW38" s="13" t="n">
        <f aca="false">AV37*(AW18+Inputs!$F$71)/100*AW11/Inputs!$F$248/AW16</f>
        <v>0.0144857959415015</v>
      </c>
      <c r="AX38" s="13" t="n">
        <f aca="false">AW37*(AX18+Inputs!$F$71)/100*AX11/Inputs!$F$248/AX16</f>
        <v>0.0142982777907088</v>
      </c>
      <c r="AY38" s="13" t="n">
        <f aca="false">AX37*(AY18+Inputs!$F$71)/100*AY11/Inputs!$F$248/AY16</f>
        <v>0.0140265720414384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0.122536878547878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0.108510306506439</v>
      </c>
      <c r="Q75" s="13" t="n">
        <f aca="false">SUMIFS(Construction!$J$38:$BJ$38,Construction!$J$12:$BJ$12,Time!Q20,Construction!$J$8:$BJ$8,"&gt;"&amp;Time!$F$14)</f>
        <v>0.0140265720414384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6926.37972641901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108.728731720486</v>
      </c>
      <c r="Q83" s="13" t="n">
        <f aca="false">Q72+Q74+Q75+Q76+Q79+Q82</f>
        <v>110.069346097666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2617.84263572868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50.6527714698497</v>
      </c>
      <c r="Q84" s="13" t="n">
        <f aca="false">Q56-Q83+Q58</f>
        <v>50.8680984114992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5.885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5.885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915.842259483288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8.2425803353496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24.7277410060488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24.7277410060488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24.7277410060488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24.7277410060488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24.7277410060488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24.7277410060488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24.7277410060488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24.7277410060488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24.7277410060488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23.8118987465655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21.9802142275989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21.9802142275989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21.9802142275989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21.9802142275989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21.9802142275989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21.9802142275989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21.9802142275989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21.9802142275989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21.9802142275989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21.9802142275989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21.9802142275989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21.9802142275989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21.9802142275989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21.9802142275989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21.9802142275989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21.9802142275989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21.9802142275989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21.9802142275989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21.9802142275989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21.9802142275989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21.9802142275989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21.9802142275989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21.9802142275989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21.9802142275989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21.9802142275989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21.9802142275989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21.9802142275989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21.9802142275989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21.9802142275989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14.9587569048937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0.915842259483289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0.915842259483289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0.915842259483289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0.915842259483289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0.915842259483289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0.915842259483289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0.915842259483289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0.915842259483289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0.915842259483289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0.610561506322192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247.277410060488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8.2425803353496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24.7277410060488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24.7277410060488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24.7277410060488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24.7277410060488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24.7277410060488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24.7277410060488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24.7277410060488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24.7277410060488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24.7277410060488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16.4851606706992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668.564849422801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7.32673807586631</v>
      </c>
      <c r="Z12" s="13" t="n">
        <f aca="false">Z10-Z11</f>
        <v>21.9802142275989</v>
      </c>
      <c r="AA12" s="13" t="n">
        <f aca="false">AA10-AA11</f>
        <v>21.9802142275989</v>
      </c>
      <c r="AB12" s="13" t="n">
        <f aca="false">AB10-AB11</f>
        <v>21.9802142275989</v>
      </c>
      <c r="AC12" s="13" t="n">
        <f aca="false">AC10-AC11</f>
        <v>21.9802142275989</v>
      </c>
      <c r="AD12" s="13" t="n">
        <f aca="false">AD10-AD11</f>
        <v>21.9802142275989</v>
      </c>
      <c r="AE12" s="13" t="n">
        <f aca="false">AE10-AE11</f>
        <v>21.9802142275989</v>
      </c>
      <c r="AF12" s="13" t="n">
        <f aca="false">AF10-AF11</f>
        <v>21.9802142275989</v>
      </c>
      <c r="AG12" s="13" t="n">
        <f aca="false">AG10-AG11</f>
        <v>21.9802142275989</v>
      </c>
      <c r="AH12" s="13" t="n">
        <f aca="false">AH10-AH11</f>
        <v>21.9802142275989</v>
      </c>
      <c r="AI12" s="13" t="n">
        <f aca="false">AI10-AI11</f>
        <v>21.9802142275989</v>
      </c>
      <c r="AJ12" s="13" t="n">
        <f aca="false">AJ10-AJ11</f>
        <v>21.9802142275989</v>
      </c>
      <c r="AK12" s="13" t="n">
        <f aca="false">AK10-AK11</f>
        <v>21.9802142275989</v>
      </c>
      <c r="AL12" s="13" t="n">
        <f aca="false">AL10-AL11</f>
        <v>21.9802142275989</v>
      </c>
      <c r="AM12" s="13" t="n">
        <f aca="false">AM10-AM11</f>
        <v>21.9802142275989</v>
      </c>
      <c r="AN12" s="13" t="n">
        <f aca="false">AN10-AN11</f>
        <v>21.9802142275989</v>
      </c>
      <c r="AO12" s="13" t="n">
        <f aca="false">AO10-AO11</f>
        <v>21.9802142275989</v>
      </c>
      <c r="AP12" s="13" t="n">
        <f aca="false">AP10-AP11</f>
        <v>21.9802142275989</v>
      </c>
      <c r="AQ12" s="13" t="n">
        <f aca="false">AQ10-AQ11</f>
        <v>21.9802142275989</v>
      </c>
      <c r="AR12" s="13" t="n">
        <f aca="false">AR10-AR11</f>
        <v>21.9802142275989</v>
      </c>
      <c r="AS12" s="13" t="n">
        <f aca="false">AS10-AS11</f>
        <v>21.9802142275989</v>
      </c>
      <c r="AT12" s="13" t="n">
        <f aca="false">AT10-AT11</f>
        <v>21.9802142275989</v>
      </c>
      <c r="AU12" s="13" t="n">
        <f aca="false">AU10-AU11</f>
        <v>21.9802142275989</v>
      </c>
      <c r="AV12" s="13" t="n">
        <f aca="false">AV10-AV11</f>
        <v>21.9802142275989</v>
      </c>
      <c r="AW12" s="13" t="n">
        <f aca="false">AW10-AW11</f>
        <v>21.9802142275989</v>
      </c>
      <c r="AX12" s="13" t="n">
        <f aca="false">AX10-AX11</f>
        <v>21.9802142275989</v>
      </c>
      <c r="AY12" s="13" t="n">
        <f aca="false">AY10-AY11</f>
        <v>21.9802142275989</v>
      </c>
      <c r="AZ12" s="13" t="n">
        <f aca="false">AZ10-AZ11</f>
        <v>21.9802142275989</v>
      </c>
      <c r="BA12" s="13" t="n">
        <f aca="false">BA10-BA11</f>
        <v>21.9802142275989</v>
      </c>
      <c r="BB12" s="13" t="n">
        <f aca="false">BB10-BB11</f>
        <v>21.9802142275989</v>
      </c>
      <c r="BC12" s="13" t="n">
        <f aca="false">BC10-BC11</f>
        <v>14.9587569048937</v>
      </c>
      <c r="BD12" s="13" t="n">
        <f aca="false">BD10-BD11</f>
        <v>0.915842259483289</v>
      </c>
      <c r="BE12" s="13" t="n">
        <f aca="false">BE10-BE11</f>
        <v>0.915842259483289</v>
      </c>
      <c r="BF12" s="13" t="n">
        <f aca="false">BF10-BF11</f>
        <v>0.915842259483289</v>
      </c>
      <c r="BG12" s="13" t="n">
        <f aca="false">BG10-BG11</f>
        <v>0.915842259483289</v>
      </c>
      <c r="BH12" s="13" t="n">
        <f aca="false">BH10-BH11</f>
        <v>0.915842259483289</v>
      </c>
      <c r="BI12" s="13" t="n">
        <f aca="false">BI10-BI11</f>
        <v>0.915842259483289</v>
      </c>
      <c r="BJ12" s="13" t="n">
        <f aca="false">BJ10-BJ11</f>
        <v>0.915842259483289</v>
      </c>
      <c r="BK12" s="13" t="n">
        <f aca="false">BK10-BK11</f>
        <v>0.915842259483289</v>
      </c>
      <c r="BL12" s="13" t="n">
        <f aca="false">BL10-BL11</f>
        <v>0.915842259483289</v>
      </c>
      <c r="BM12" s="13" t="n">
        <f aca="false">BM10-BM11</f>
        <v>0.610561506322192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355.317709482594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3.54841043266278</v>
      </c>
      <c r="P13" s="13" t="n">
        <f aca="false">IF(Time!P20&gt;=Time!$F$12,Waterfall!P33*Inputs!$F$104/100*Time!P31/Inputs!$F$248,0)</f>
        <v>10.87333679469</v>
      </c>
      <c r="Q13" s="13" t="n">
        <f aca="false">IF(Time!Q20&gt;=Time!$F$12,Waterfall!Q33*Inputs!$F$104/100*Time!Q31/Inputs!$F$248,0)</f>
        <v>10.6707482730993</v>
      </c>
      <c r="R13" s="13" t="n">
        <f aca="false">IF(Time!R20&gt;=Time!$F$12,Waterfall!R33*Inputs!$F$104/100*Time!R31/Inputs!$F$248,0)</f>
        <v>10.9322260604501</v>
      </c>
      <c r="S13" s="13" t="n">
        <f aca="false">IF(Time!S20&gt;=Time!$F$12,Waterfall!S33*Inputs!$F$104/100*Time!S31/Inputs!$F$248,0)</f>
        <v>10.8041839153956</v>
      </c>
      <c r="T13" s="13" t="n">
        <f aca="false">IF(Time!T20&gt;=Time!$F$12,Waterfall!T33*Inputs!$F$104/100*Time!T31/Inputs!$F$248,0)</f>
        <v>11.0693950552281</v>
      </c>
      <c r="U13" s="13" t="n">
        <f aca="false">IF(Time!U20&gt;=Time!$F$12,Waterfall!U33*Inputs!$F$104/100*Time!U31/Inputs!$F$248,0)</f>
        <v>11.0103285097056</v>
      </c>
      <c r="V13" s="13" t="n">
        <f aca="false">IF(Time!V20&gt;=Time!$F$12,Waterfall!V33*Inputs!$F$104/100*Time!V31/Inputs!$F$248,0)</f>
        <v>11.2399674421948</v>
      </c>
      <c r="W13" s="13" t="n">
        <f aca="false">IF(Time!W20&gt;=Time!$F$12,Waterfall!W33*Inputs!$F$104/100*Time!W31/Inputs!$F$248,0)</f>
        <v>11.1145711551298</v>
      </c>
      <c r="X13" s="13" t="n">
        <f aca="false">IF(Time!X20&gt;=Time!$F$12,Waterfall!X33*Inputs!$F$104/100*Time!X31/Inputs!$F$248,0)</f>
        <v>11.311607306315</v>
      </c>
      <c r="Y13" s="13" t="n">
        <f aca="false">IF(Time!Y20&gt;=Time!$F$12,Waterfall!Y33*Inputs!$F$104/100*Time!Y31/Inputs!$F$248,0)</f>
        <v>11.1998913252646</v>
      </c>
      <c r="Z13" s="13" t="n">
        <f aca="false">IF(Time!Z20&gt;=Time!$F$12,Waterfall!Z33*Inputs!$F$104/100*Time!Z31/Inputs!$F$248,0)</f>
        <v>11.4932733641388</v>
      </c>
      <c r="AA13" s="13" t="n">
        <f aca="false">IF(Time!AA20&gt;=Time!$F$12,Waterfall!AA33*Inputs!$F$104/100*Time!AA31/Inputs!$F$248,0)</f>
        <v>11.3907414969448</v>
      </c>
      <c r="AB13" s="13" t="n">
        <f aca="false">IF(Time!AB20&gt;=Time!$F$12,Waterfall!AB33*Inputs!$F$104/100*Time!AB31/Inputs!$F$248,0)</f>
        <v>11.9140153397772</v>
      </c>
      <c r="AC13" s="13" t="n">
        <f aca="false">IF(Time!AC20&gt;=Time!$F$12,Waterfall!AC33*Inputs!$F$104/100*Time!AC31/Inputs!$F$248,0)</f>
        <v>12.1017419163019</v>
      </c>
      <c r="AD13" s="13" t="n">
        <f aca="false">IF(Time!AD20&gt;=Time!$F$12,Waterfall!AD33*Inputs!$F$104/100*Time!AD31/Inputs!$F$248,0)</f>
        <v>12.5899718425172</v>
      </c>
      <c r="AE13" s="13" t="n">
        <f aca="false">IF(Time!AE20&gt;=Time!$F$12,Waterfall!AE33*Inputs!$F$104/100*Time!AE31/Inputs!$F$248,0)</f>
        <v>12.7008734939233</v>
      </c>
      <c r="AF13" s="13" t="n">
        <f aca="false">IF(Time!AF20&gt;=Time!$F$12,Waterfall!AF33*Inputs!$F$104/100*Time!AF31/Inputs!$F$248,0)</f>
        <v>13.217278064076</v>
      </c>
      <c r="AG13" s="13" t="n">
        <f aca="false">IF(Time!AG20&gt;=Time!$F$12,Waterfall!AG33*Inputs!$F$104/100*Time!AG31/Inputs!$F$248,0)</f>
        <v>13.2934106567911</v>
      </c>
      <c r="AH13" s="13" t="n">
        <f aca="false">IF(Time!AH20&gt;=Time!$F$12,Waterfall!AH33*Inputs!$F$104/100*Time!AH31/Inputs!$F$248,0)</f>
        <v>13.8052102961885</v>
      </c>
      <c r="AI13" s="13" t="n">
        <f aca="false">IF(Time!AI20&gt;=Time!$F$12,Waterfall!AI33*Inputs!$F$104/100*Time!AI31/Inputs!$F$248,0)</f>
        <v>13.8373402577705</v>
      </c>
      <c r="AJ13" s="13" t="n">
        <f aca="false">IF(Time!AJ20&gt;=Time!$F$12,Waterfall!AJ33*Inputs!$F$104/100*Time!AJ31/Inputs!$F$248,0)</f>
        <v>14.3043592015668</v>
      </c>
      <c r="AK13" s="13" t="n">
        <f aca="false">IF(Time!AK20&gt;=Time!$F$12,Waterfall!AK33*Inputs!$F$104/100*Time!AK31/Inputs!$F$248,0)</f>
        <v>14.3355546097699</v>
      </c>
      <c r="AL13" s="13" t="n">
        <f aca="false">IF(Time!AL20&gt;=Time!$F$12,Waterfall!AL33*Inputs!$F$104/100*Time!AL31/Inputs!$F$248,0)</f>
        <v>14.6245028736426</v>
      </c>
      <c r="AM13" s="13" t="n">
        <f aca="false">IF(Time!AM20&gt;=Time!$F$12,Waterfall!AM33*Inputs!$F$104/100*Time!AM31/Inputs!$F$248,0)</f>
        <v>14.1183841619024</v>
      </c>
      <c r="AN13" s="13" t="n">
        <f aca="false">IF(Time!AN20&gt;=Time!$F$12,Waterfall!AN33*Inputs!$F$104/100*Time!AN31/Inputs!$F$248,0)</f>
        <v>13.2967369955729</v>
      </c>
      <c r="AO13" s="13" t="n">
        <f aca="false">IF(Time!AO20&gt;=Time!$F$12,Waterfall!AO33*Inputs!$F$104/100*Time!AO31/Inputs!$F$248,0)</f>
        <v>12.2306967367719</v>
      </c>
      <c r="AP13" s="13" t="n">
        <f aca="false">IF(Time!AP20&gt;=Time!$F$12,Waterfall!AP33*Inputs!$F$104/100*Time!AP31/Inputs!$F$248,0)</f>
        <v>10.5915201188702</v>
      </c>
      <c r="AQ13" s="13" t="n">
        <f aca="false">IF(Time!AQ20&gt;=Time!$F$12,Waterfall!AQ33*Inputs!$F$104/100*Time!AQ31/Inputs!$F$248,0)</f>
        <v>8.49682338766204</v>
      </c>
      <c r="AR13" s="13" t="n">
        <f aca="false">IF(Time!AR20&gt;=Time!$F$12,Waterfall!AR33*Inputs!$F$104/100*Time!AR31/Inputs!$F$248,0)</f>
        <v>6.60332490323487</v>
      </c>
      <c r="AS13" s="13" t="n">
        <f aca="false">IF(Time!AS20&gt;=Time!$F$12,Waterfall!AS33*Inputs!$F$104/100*Time!AS31/Inputs!$F$248,0)</f>
        <v>4.40011531030596</v>
      </c>
      <c r="AT13" s="13" t="n">
        <f aca="false">IF(Time!AT20&gt;=Time!$F$12,Waterfall!AT33*Inputs!$F$104/100*Time!AT31/Inputs!$F$248,0)</f>
        <v>2.19716818472946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0.66032377532613</v>
      </c>
      <c r="P14" s="3" t="n">
        <f aca="false">IF(Waterfall!P33&gt;0,MIN(1,Inputs!$F$183*(Waterfall!$F$32+MAX(0,Waterfall!O43))/Waterfall!P33),1)</f>
        <v>0.769749227727972</v>
      </c>
      <c r="Q14" s="3" t="n">
        <f aca="false">IF(Waterfall!Q33&gt;0,MIN(1,Inputs!$F$183*(Waterfall!$F$32+MAX(0,Waterfall!P43))/Waterfall!Q33),1)</f>
        <v>0.814029942306134</v>
      </c>
      <c r="R14" s="3" t="n">
        <f aca="false">IF(Waterfall!R33&gt;0,MIN(1,Inputs!$F$183*(Waterfall!$F$32+MAX(0,Waterfall!Q43))/Waterfall!R33),1)</f>
        <v>0.865559556814123</v>
      </c>
      <c r="S14" s="3" t="n">
        <f aca="false">IF(Waterfall!S33&gt;0,MIN(1,Inputs!$F$183*(Waterfall!$F$32+MAX(0,Waterfall!R43))/Waterfall!S33),1)</f>
        <v>0.921597838159745</v>
      </c>
      <c r="T14" s="3" t="n">
        <f aca="false">IF(Waterfall!T33&gt;0,MIN(1,Inputs!$F$183*(Waterfall!$F$32+MAX(0,Waterfall!S43))/Waterfall!T33),1)</f>
        <v>0.987753602447191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347.17200005212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2.34309977330251</v>
      </c>
      <c r="P15" s="13" t="n">
        <f aca="false">P13*P14</f>
        <v>8.36974260053873</v>
      </c>
      <c r="Q15" s="13" t="n">
        <f aca="false">Q13*Q14</f>
        <v>8.68630860111428</v>
      </c>
      <c r="R15" s="13" t="n">
        <f aca="false">R13*R14</f>
        <v>9.46249274387498</v>
      </c>
      <c r="S15" s="13" t="n">
        <f aca="false">S13*S14</f>
        <v>9.95711253950889</v>
      </c>
      <c r="T15" s="13" t="n">
        <f aca="false">T13*T14</f>
        <v>10.9338348427127</v>
      </c>
      <c r="U15" s="13" t="n">
        <f aca="false">U13*U14</f>
        <v>11.0103285097056</v>
      </c>
      <c r="V15" s="13" t="n">
        <f aca="false">V13*V14</f>
        <v>11.2399674421948</v>
      </c>
      <c r="W15" s="13" t="n">
        <f aca="false">W13*W14</f>
        <v>11.1145711551298</v>
      </c>
      <c r="X15" s="13" t="n">
        <f aca="false">X13*X14</f>
        <v>11.311607306315</v>
      </c>
      <c r="Y15" s="13" t="n">
        <f aca="false">Y13*Y14</f>
        <v>11.1998913252646</v>
      </c>
      <c r="Z15" s="13" t="n">
        <f aca="false">Z13*Z14</f>
        <v>11.4932733641388</v>
      </c>
      <c r="AA15" s="13" t="n">
        <f aca="false">AA13*AA14</f>
        <v>11.3907414969448</v>
      </c>
      <c r="AB15" s="13" t="n">
        <f aca="false">AB13*AB14</f>
        <v>11.9140153397772</v>
      </c>
      <c r="AC15" s="13" t="n">
        <f aca="false">AC13*AC14</f>
        <v>12.1017419163019</v>
      </c>
      <c r="AD15" s="13" t="n">
        <f aca="false">AD13*AD14</f>
        <v>12.5899718425172</v>
      </c>
      <c r="AE15" s="13" t="n">
        <f aca="false">AE13*AE14</f>
        <v>12.7008734939233</v>
      </c>
      <c r="AF15" s="13" t="n">
        <f aca="false">AF13*AF14</f>
        <v>13.217278064076</v>
      </c>
      <c r="AG15" s="13" t="n">
        <f aca="false">AG13*AG14</f>
        <v>13.2934106567911</v>
      </c>
      <c r="AH15" s="13" t="n">
        <f aca="false">AH13*AH14</f>
        <v>13.8052102961885</v>
      </c>
      <c r="AI15" s="13" t="n">
        <f aca="false">AI13*AI14</f>
        <v>13.8373402577705</v>
      </c>
      <c r="AJ15" s="13" t="n">
        <f aca="false">AJ13*AJ14</f>
        <v>14.3043592015668</v>
      </c>
      <c r="AK15" s="13" t="n">
        <f aca="false">AK13*AK14</f>
        <v>14.3355546097699</v>
      </c>
      <c r="AL15" s="13" t="n">
        <f aca="false">AL13*AL14</f>
        <v>14.6245028736426</v>
      </c>
      <c r="AM15" s="13" t="n">
        <f aca="false">AM13*AM14</f>
        <v>14.1183841619024</v>
      </c>
      <c r="AN15" s="13" t="n">
        <f aca="false">AN13*AN14</f>
        <v>13.2967369955729</v>
      </c>
      <c r="AO15" s="13" t="n">
        <f aca="false">AO13*AO14</f>
        <v>12.2306967367719</v>
      </c>
      <c r="AP15" s="13" t="n">
        <f aca="false">AP13*AP14</f>
        <v>10.5915201188702</v>
      </c>
      <c r="AQ15" s="13" t="n">
        <f aca="false">AQ13*AQ14</f>
        <v>8.49682338766204</v>
      </c>
      <c r="AR15" s="13" t="n">
        <f aca="false">AR13*AR14</f>
        <v>6.60332490323487</v>
      </c>
      <c r="AS15" s="13" t="n">
        <f aca="false">AS13*AS14</f>
        <v>4.40011531030596</v>
      </c>
      <c r="AT15" s="13" t="n">
        <f aca="false">AT13*AT14</f>
        <v>2.19716818472946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355.244707580791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23.7521442301501</v>
      </c>
      <c r="Q16" s="13" t="n">
        <f aca="false">Debt!Q112+Debt!Q110+Debt!Q104-Debt!Q103</f>
        <v>22.975149569637</v>
      </c>
      <c r="R16" s="13" t="n">
        <f aca="false">Debt!R112+Debt!R110+Debt!R104-Debt!R103</f>
        <v>22.670991453548</v>
      </c>
      <c r="S16" s="13" t="n">
        <f aca="false">Debt!S112+Debt!S110+Debt!S104-Debt!S103</f>
        <v>21.8349289807545</v>
      </c>
      <c r="T16" s="13" t="n">
        <f aca="false">Debt!T112+Debt!T110+Debt!T104-Debt!T103</f>
        <v>21.4649637106764</v>
      </c>
      <c r="U16" s="13" t="n">
        <f aca="false">Debt!U112+Debt!U110+Debt!U104-Debt!U103</f>
        <v>20.6569406907631</v>
      </c>
      <c r="V16" s="13" t="n">
        <f aca="false">Debt!V112+Debt!V110+Debt!V104-Debt!V103</f>
        <v>20.1376202566208</v>
      </c>
      <c r="W16" s="13" t="n">
        <f aca="false">Debt!W112+Debt!W110+Debt!W104-Debt!W103</f>
        <v>19.190713419594</v>
      </c>
      <c r="X16" s="13" t="n">
        <f aca="false">Debt!X112+Debt!X110+Debt!X104-Debt!X103</f>
        <v>18.656206134352</v>
      </c>
      <c r="Y16" s="13" t="n">
        <f aca="false">Debt!Y112+Debt!Y110+Debt!Y104-Debt!Y103</f>
        <v>18.2954273582939</v>
      </c>
      <c r="Z16" s="13" t="n">
        <f aca="false">Debt!Z112+Debt!Z110+Debt!Z104-Debt!Z103</f>
        <v>17.7605094093455</v>
      </c>
      <c r="AA16" s="13" t="n">
        <f aca="false">Debt!AA112+Debt!AA110+Debt!AA104-Debt!AA103</f>
        <v>16.78241883417</v>
      </c>
      <c r="AB16" s="13" t="n">
        <f aca="false">Debt!AB112+Debt!AB110+Debt!AB104-Debt!AB103</f>
        <v>15.9515038468432</v>
      </c>
      <c r="AC16" s="13" t="n">
        <f aca="false">Debt!AC112+Debt!AC110+Debt!AC104-Debt!AC103</f>
        <v>14.7388942989516</v>
      </c>
      <c r="AD16" s="13" t="n">
        <f aca="false">Debt!AD112+Debt!AD110+Debt!AD104-Debt!AD103</f>
        <v>13.758806555054</v>
      </c>
      <c r="AE16" s="13" t="n">
        <f aca="false">Debt!AE112+Debt!AE110+Debt!AE104-Debt!AE103</f>
        <v>12.3899044362931</v>
      </c>
      <c r="AF16" s="13" t="n">
        <f aca="false">Debt!AF112+Debt!AF110+Debt!AF104-Debt!AF103</f>
        <v>11.254443431483</v>
      </c>
      <c r="AG16" s="13" t="n">
        <f aca="false">Debt!AG112+Debt!AG110+Debt!AG104-Debt!AG103</f>
        <v>10.1013364174708</v>
      </c>
      <c r="AH16" s="13" t="n">
        <f aca="false">Debt!AH112+Debt!AH110+Debt!AH104-Debt!AH103</f>
        <v>8.84747045407314</v>
      </c>
      <c r="AI16" s="13" t="n">
        <f aca="false">Debt!AI112+Debt!AI110+Debt!AI104-Debt!AI103</f>
        <v>7.32954996008202</v>
      </c>
      <c r="AJ16" s="13" t="n">
        <f aca="false">Debt!AJ112+Debt!AJ110+Debt!AJ104-Debt!AJ103</f>
        <v>5.96241307528269</v>
      </c>
      <c r="AK16" s="13" t="n">
        <f aca="false">Debt!AK112+Debt!AK110+Debt!AK104-Debt!AK103</f>
        <v>4.43370939069273</v>
      </c>
      <c r="AL16" s="13" t="n">
        <f aca="false">Debt!AL112+Debt!AL110+Debt!AL104-Debt!AL103</f>
        <v>2.96916099690193</v>
      </c>
      <c r="AM16" s="13" t="n">
        <f aca="false">Debt!AM112+Debt!AM110+Debt!AM104-Debt!AM103</f>
        <v>1.70873166372147</v>
      </c>
      <c r="AN16" s="13" t="n">
        <f aca="false">Debt!AN112+Debt!AN110+Debt!AN104-Debt!AN103</f>
        <v>1.08616117388877</v>
      </c>
      <c r="AO16" s="13" t="n">
        <f aca="false">Debt!AO112+Debt!AO110+Debt!AO104-Debt!AO103</f>
        <v>0.534607832147012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1042.37403778258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0.095572017761441</v>
      </c>
      <c r="Z18" s="13" t="n">
        <f aca="false">(Operations!Z84-Z16-Z15)*Z17-Z12</f>
        <v>0.675217265078462</v>
      </c>
      <c r="AA18" s="13" t="n">
        <f aca="false">(Operations!AA84-AA16-AA15)*AA17-AA12</f>
        <v>1.85655594049285</v>
      </c>
      <c r="AB18" s="13" t="n">
        <f aca="false">(Operations!AB84-AB16-AB15)*AB17-AB12</f>
        <v>2.24765187032775</v>
      </c>
      <c r="AC18" s="13" t="n">
        <f aca="false">(Operations!AC84-AC16-AC15)*AC17-AC12</f>
        <v>3.48760674557692</v>
      </c>
      <c r="AD18" s="13" t="n">
        <f aca="false">(Operations!AD84-AD16-AD15)*AD17-AD12</f>
        <v>-8.49431219953191</v>
      </c>
      <c r="AE18" s="13" t="n">
        <f aca="false">(Operations!AE84-AE16-AE15)*AE17-AE12</f>
        <v>5.57902219435453</v>
      </c>
      <c r="AF18" s="13" t="n">
        <f aca="false">(Operations!AF84-AF16-AF15)*AF17-AF12</f>
        <v>6.12183543271791</v>
      </c>
      <c r="AG18" s="13" t="n">
        <f aca="false">(Operations!AG84-AG16-AG15)*AG17-AG12</f>
        <v>7.33995024097962</v>
      </c>
      <c r="AH18" s="13" t="n">
        <f aca="false">(Operations!AH84-AH16-AH15)*AH17-AH12</f>
        <v>8.24282110761317</v>
      </c>
      <c r="AI18" s="13" t="n">
        <f aca="false">(Operations!AI84-AI16-AI15)*AI17-AI12</f>
        <v>9.83642296595051</v>
      </c>
      <c r="AJ18" s="13" t="n">
        <f aca="false">(Operations!AJ84-AJ16-AJ15)*AJ17-AJ12</f>
        <v>10.8265947754995</v>
      </c>
      <c r="AK18" s="13" t="n">
        <f aca="false">(Operations!AK84-AK16-AK15)*AK17-AK12</f>
        <v>12.5191785259421</v>
      </c>
      <c r="AL18" s="13" t="n">
        <f aca="false">(Operations!AL84-AL16-AL15)*AL17-AL12</f>
        <v>10.9890197264794</v>
      </c>
      <c r="AM18" s="13" t="n">
        <f aca="false">(Operations!AM84-AM16-AM15)*AM17-AM12</f>
        <v>15.792017832128</v>
      </c>
      <c r="AN18" s="13" t="n">
        <f aca="false">(Operations!AN84-AN16-AN15)*AN17-AN12</f>
        <v>17.2304991814479</v>
      </c>
      <c r="AO18" s="13" t="n">
        <f aca="false">(Operations!AO84-AO16-AO15)*AO17-AO12</f>
        <v>19.0006565565291</v>
      </c>
      <c r="AP18" s="13" t="n">
        <f aca="false">(Operations!AP84-AP16-AP15)*AP17-AP12</f>
        <v>21.3503699851674</v>
      </c>
      <c r="AQ18" s="13" t="n">
        <f aca="false">(Operations!AQ84-AQ16-AQ15)*AQ17-AQ12</f>
        <v>23.5604786358417</v>
      </c>
      <c r="AR18" s="13" t="n">
        <f aca="false">(Operations!AR84-AR16-AR15)*AR17-AR12</f>
        <v>25.5511518655219</v>
      </c>
      <c r="AS18" s="13" t="n">
        <f aca="false">(Operations!AS84-AS16-AS15)*AS17-AS12</f>
        <v>28.0111493174203</v>
      </c>
      <c r="AT18" s="13" t="n">
        <f aca="false">(Operations!AT84-AT16-AT15)*AT17-AT12</f>
        <v>15.4876419556391</v>
      </c>
      <c r="AU18" s="13" t="n">
        <f aca="false">(Operations!AU84-AU16-AU15)*AU17-AU12</f>
        <v>32.8181124069834</v>
      </c>
      <c r="AV18" s="13" t="n">
        <f aca="false">(Operations!AV84-AV16-AV15)*AV17-AV12</f>
        <v>32.7174686593047</v>
      </c>
      <c r="AW18" s="13" t="n">
        <f aca="false">(Operations!AW84-AW16-AW15)*AW17-AW12</f>
        <v>32.8824022068766</v>
      </c>
      <c r="AX18" s="13" t="n">
        <f aca="false">(Operations!AX84-AX16-AX15)*AX17-AX12</f>
        <v>33.0748589031694</v>
      </c>
      <c r="AY18" s="13" t="n">
        <f aca="false">(Operations!AY84-AY16-AY15)*AY17-AY12</f>
        <v>33.1984136492012</v>
      </c>
      <c r="AZ18" s="13" t="n">
        <f aca="false">(Operations!AZ84-AZ16-AZ15)*AZ17-AZ12</f>
        <v>33.3032722288405</v>
      </c>
      <c r="BA18" s="13" t="n">
        <f aca="false">(Operations!BA84-BA16-BA15)*BA17-BA12</f>
        <v>33.5345104916377</v>
      </c>
      <c r="BB18" s="13" t="n">
        <f aca="false">(Operations!BB84-BB16-BB15)*BB17-BB12</f>
        <v>30.3197510080696</v>
      </c>
      <c r="BC18" s="13" t="n">
        <f aca="false">(Operations!BC84-BC16-BC15)*BC17-BC12</f>
        <v>40.9480184253084</v>
      </c>
      <c r="BD18" s="13" t="n">
        <f aca="false">(Operations!BD84-BD16-BD15)*BD17-BD12</f>
        <v>54.977196010097</v>
      </c>
      <c r="BE18" s="13" t="n">
        <f aca="false">(Operations!BE84-BE16-BE15)*BE17-BE12</f>
        <v>55.1555259643202</v>
      </c>
      <c r="BF18" s="13" t="n">
        <f aca="false">(Operations!BF84-BF16-BF15)*BF17-BF12</f>
        <v>55.3660425072236</v>
      </c>
      <c r="BG18" s="13" t="n">
        <f aca="false">(Operations!BG84-BG16-BG15)*BG17-BG12</f>
        <v>55.4983217930559</v>
      </c>
      <c r="BH18" s="13" t="n">
        <f aca="false">(Operations!BH84-BH16-BH15)*BH17-BH12</f>
        <v>55.6114715590604</v>
      </c>
      <c r="BI18" s="13" t="n">
        <f aca="false">(Operations!BI84-BI16-BI15)*BI17-BI12</f>
        <v>55.9180674945363</v>
      </c>
      <c r="BJ18" s="13" t="n">
        <f aca="false">(Operations!BJ84-BJ16-BJ15)*BJ17-BJ12</f>
        <v>38.511794883464</v>
      </c>
      <c r="BK18" s="13" t="n">
        <f aca="false">(Operations!BK84-BK16-BK15)*BK17-BK12</f>
        <v>56.40267462755</v>
      </c>
      <c r="BL18" s="13" t="n">
        <f aca="false">(Operations!BL84-BL16-BL15)*BL17-BL12</f>
        <v>56.2714868994723</v>
      </c>
      <c r="BM18" s="13" t="n">
        <f aca="false">(Operations!BM84-BM16-BM15)*BM17-BM12</f>
        <v>18.5575461254721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8.49431219953191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5.57902219435453</v>
      </c>
      <c r="AF19" s="13" t="n">
        <f aca="false">MIN(AE22,MAX(0,AF18))</f>
        <v>2.91529000517738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247.277410060488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0.095572017761441</v>
      </c>
      <c r="Z20" s="13" t="n">
        <f aca="false">MIN(Y21,MAX(0,Z18-Z19))</f>
        <v>0.675217265078462</v>
      </c>
      <c r="AA20" s="13" t="n">
        <f aca="false">MIN(Z21,MAX(0,AA18-AA19))</f>
        <v>1.85655594049285</v>
      </c>
      <c r="AB20" s="13" t="n">
        <f aca="false">MIN(AA21,MAX(0,AB18-AB19))</f>
        <v>2.24765187032775</v>
      </c>
      <c r="AC20" s="13" t="n">
        <f aca="false">MIN(AB21,MAX(0,AC18-AC19))</f>
        <v>3.48760674557692</v>
      </c>
      <c r="AD20" s="13" t="n">
        <f aca="false">MIN(AC21,MAX(0,AD18-AD19))</f>
        <v>0</v>
      </c>
      <c r="AE20" s="13" t="n">
        <f aca="false">MIN(AD21,MAX(0,AE18-AE19))</f>
        <v>0</v>
      </c>
      <c r="AF20" s="13" t="n">
        <f aca="false">MIN(AE21,MAX(0,AF18-AF19))</f>
        <v>3.20654542754053</v>
      </c>
      <c r="AG20" s="13" t="n">
        <f aca="false">MIN(AF21,MAX(0,AG18-AG19))</f>
        <v>7.33995024097962</v>
      </c>
      <c r="AH20" s="13" t="n">
        <f aca="false">MIN(AG21,MAX(0,AH18-AH19))</f>
        <v>8.24282110761317</v>
      </c>
      <c r="AI20" s="13" t="n">
        <f aca="false">MIN(AH21,MAX(0,AI18-AI19))</f>
        <v>9.83642296595051</v>
      </c>
      <c r="AJ20" s="13" t="n">
        <f aca="false">MIN(AI21,MAX(0,AJ18-AJ19))</f>
        <v>10.8265947754995</v>
      </c>
      <c r="AK20" s="13" t="n">
        <f aca="false">MIN(AJ21,MAX(0,AK18-AK19))</f>
        <v>12.5191785259421</v>
      </c>
      <c r="AL20" s="13" t="n">
        <f aca="false">MIN(AK21,MAX(0,AL18-AL19))</f>
        <v>10.9890197264794</v>
      </c>
      <c r="AM20" s="13" t="n">
        <f aca="false">MIN(AL21,MAX(0,AM18-AM19))</f>
        <v>15.792017832128</v>
      </c>
      <c r="AN20" s="13" t="n">
        <f aca="false">MIN(AM21,MAX(0,AN18-AN19))</f>
        <v>17.2304991814479</v>
      </c>
      <c r="AO20" s="13" t="n">
        <f aca="false">MIN(AN21,MAX(0,AO18-AO19))</f>
        <v>19.0006565565291</v>
      </c>
      <c r="AP20" s="13" t="n">
        <f aca="false">MIN(AO21,MAX(0,AP18-AP19))</f>
        <v>21.3503699851674</v>
      </c>
      <c r="AQ20" s="13" t="n">
        <f aca="false">MIN(AP21,MAX(0,AQ18-AQ19))</f>
        <v>23.5604786358417</v>
      </c>
      <c r="AR20" s="13" t="n">
        <f aca="false">MIN(AQ21,MAX(0,AR18-AR19))</f>
        <v>25.5511518655219</v>
      </c>
      <c r="AS20" s="13" t="n">
        <f aca="false">MIN(AR21,MAX(0,AS18-AS19))</f>
        <v>28.0111493174203</v>
      </c>
      <c r="AT20" s="13" t="n">
        <f aca="false">MIN(AS21,MAX(0,AT18-AT19))</f>
        <v>15.4876419556391</v>
      </c>
      <c r="AU20" s="13" t="n">
        <f aca="false">MIN(AT21,MAX(0,AU18-AU19))</f>
        <v>9.9703081215504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8.2425803353496</v>
      </c>
      <c r="P21" s="13" t="n">
        <f aca="false">O21+P11-P20</f>
        <v>32.9703213413984</v>
      </c>
      <c r="Q21" s="13" t="n">
        <f aca="false">P21+Q11-Q20</f>
        <v>57.6980623474472</v>
      </c>
      <c r="R21" s="13" t="n">
        <f aca="false">Q21+R11-R20</f>
        <v>82.425803353496</v>
      </c>
      <c r="S21" s="13" t="n">
        <f aca="false">R21+S11-S20</f>
        <v>107.153544359545</v>
      </c>
      <c r="T21" s="13" t="n">
        <f aca="false">S21+T11-T20</f>
        <v>131.881285365594</v>
      </c>
      <c r="U21" s="13" t="n">
        <f aca="false">T21+U11-U20</f>
        <v>156.609026371642</v>
      </c>
      <c r="V21" s="13" t="n">
        <f aca="false">U21+V11-V20</f>
        <v>181.336767377691</v>
      </c>
      <c r="W21" s="13" t="n">
        <f aca="false">V21+W11-W20</f>
        <v>206.06450838374</v>
      </c>
      <c r="X21" s="13" t="n">
        <f aca="false">W21+X11-X20</f>
        <v>230.792249389789</v>
      </c>
      <c r="Y21" s="13" t="n">
        <f aca="false">X21+Y11-Y20</f>
        <v>247.181838042727</v>
      </c>
      <c r="Z21" s="13" t="n">
        <f aca="false">Y21+Z11-Z20</f>
        <v>246.506620777648</v>
      </c>
      <c r="AA21" s="13" t="n">
        <f aca="false">Z21+AA11-AA20</f>
        <v>244.650064837155</v>
      </c>
      <c r="AB21" s="13" t="n">
        <f aca="false">AA21+AB11-AB20</f>
        <v>242.402412966827</v>
      </c>
      <c r="AC21" s="13" t="n">
        <f aca="false">AB21+AC11-AC20</f>
        <v>238.914806221251</v>
      </c>
      <c r="AD21" s="13" t="n">
        <f aca="false">AC21+AD11-AD20</f>
        <v>238.914806221251</v>
      </c>
      <c r="AE21" s="13" t="n">
        <f aca="false">AD21+AE11-AE20</f>
        <v>238.914806221251</v>
      </c>
      <c r="AF21" s="13" t="n">
        <f aca="false">AE21+AF11-AF20</f>
        <v>235.70826079371</v>
      </c>
      <c r="AG21" s="13" t="n">
        <f aca="false">AF21+AG11-AG20</f>
        <v>228.36831055273</v>
      </c>
      <c r="AH21" s="13" t="n">
        <f aca="false">AG21+AH11-AH20</f>
        <v>220.125489445117</v>
      </c>
      <c r="AI21" s="13" t="n">
        <f aca="false">AH21+AI11-AI20</f>
        <v>210.289066479167</v>
      </c>
      <c r="AJ21" s="13" t="n">
        <f aca="false">AI21+AJ11-AJ20</f>
        <v>199.462471703667</v>
      </c>
      <c r="AK21" s="13" t="n">
        <f aca="false">AJ21+AK11-AK20</f>
        <v>186.943293177725</v>
      </c>
      <c r="AL21" s="13" t="n">
        <f aca="false">AK21+AL11-AL20</f>
        <v>175.954273451246</v>
      </c>
      <c r="AM21" s="13" t="n">
        <f aca="false">AL21+AM11-AM20</f>
        <v>160.162255619118</v>
      </c>
      <c r="AN21" s="13" t="n">
        <f aca="false">AM21+AN11-AN20</f>
        <v>142.93175643767</v>
      </c>
      <c r="AO21" s="13" t="n">
        <f aca="false">AN21+AO11-AO20</f>
        <v>123.931099881141</v>
      </c>
      <c r="AP21" s="13" t="n">
        <f aca="false">AO21+AP11-AP20</f>
        <v>102.580729895973</v>
      </c>
      <c r="AQ21" s="13" t="n">
        <f aca="false">AP21+AQ11-AQ20</f>
        <v>79.0202512601317</v>
      </c>
      <c r="AR21" s="13" t="n">
        <f aca="false">AQ21+AR11-AR20</f>
        <v>53.4690993946099</v>
      </c>
      <c r="AS21" s="13" t="n">
        <f aca="false">AR21+AS11-AS20</f>
        <v>25.4579500771895</v>
      </c>
      <c r="AT21" s="13" t="n">
        <f aca="false">AS21+AT11-AT20</f>
        <v>9.9703081215504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8.49431219953191</v>
      </c>
      <c r="AE22" s="13" t="n">
        <f aca="false">AD22-AE19+MAX(0,-AE18)</f>
        <v>2.91529000517738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795.096627722093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0</v>
      </c>
      <c r="AS23" s="13" t="n">
        <f aca="false">MAX(0,AS18-AS19-AS20)</f>
        <v>0</v>
      </c>
      <c r="AT23" s="13" t="n">
        <f aca="false">MAX(0,AT18-AT19-AT20)</f>
        <v>0</v>
      </c>
      <c r="AU23" s="13" t="n">
        <f aca="false">MAX(0,AU18-AU19-AU20)</f>
        <v>22.847804285433</v>
      </c>
      <c r="AV23" s="13" t="n">
        <f aca="false">MAX(0,AV18-AV19-AV20)</f>
        <v>32.7174686593047</v>
      </c>
      <c r="AW23" s="13" t="n">
        <f aca="false">MAX(0,AW18-AW19-AW20)</f>
        <v>32.8824022068766</v>
      </c>
      <c r="AX23" s="13" t="n">
        <f aca="false">MAX(0,AX18-AX19-AX20)</f>
        <v>33.0748589031694</v>
      </c>
      <c r="AY23" s="13" t="n">
        <f aca="false">MAX(0,AY18-AY19-AY20)</f>
        <v>33.1984136492012</v>
      </c>
      <c r="AZ23" s="13" t="n">
        <f aca="false">MAX(0,AZ18-AZ19-AZ20)</f>
        <v>33.3032722288405</v>
      </c>
      <c r="BA23" s="13" t="n">
        <f aca="false">MAX(0,BA18-BA19-BA20)</f>
        <v>33.5345104916377</v>
      </c>
      <c r="BB23" s="13" t="n">
        <f aca="false">MAX(0,BB18-BB19-BB20)</f>
        <v>30.3197510080696</v>
      </c>
      <c r="BC23" s="13" t="n">
        <f aca="false">MAX(0,BC18-BC19-BC20)</f>
        <v>40.9480184253084</v>
      </c>
      <c r="BD23" s="13" t="n">
        <f aca="false">MAX(0,BD18-BD19-BD20)</f>
        <v>54.977196010097</v>
      </c>
      <c r="BE23" s="13" t="n">
        <f aca="false">MAX(0,BE18-BE19-BE20)</f>
        <v>55.1555259643202</v>
      </c>
      <c r="BF23" s="13" t="n">
        <f aca="false">MAX(0,BF18-BF19-BF20)</f>
        <v>55.3660425072236</v>
      </c>
      <c r="BG23" s="13" t="n">
        <f aca="false">MAX(0,BG18-BG19-BG20)</f>
        <v>55.4983217930559</v>
      </c>
      <c r="BH23" s="13" t="n">
        <f aca="false">MAX(0,BH18-BH19-BH20)</f>
        <v>55.6114715590604</v>
      </c>
      <c r="BI23" s="13" t="n">
        <f aca="false">MAX(0,BI18-BI19-BI20)</f>
        <v>55.9180674945363</v>
      </c>
      <c r="BJ23" s="13" t="n">
        <f aca="false">MAX(0,BJ18-BJ19-BJ20)</f>
        <v>38.511794883464</v>
      </c>
      <c r="BK23" s="13" t="n">
        <f aca="false">MAX(0,BK18-BK19-BK20)</f>
        <v>56.40267462755</v>
      </c>
      <c r="BL23" s="13" t="n">
        <f aca="false">MAX(0,BL18-BL19-BL20)</f>
        <v>56.2714868994723</v>
      </c>
      <c r="BM23" s="13" t="n">
        <f aca="false">MAX(0,BM18-BM19-BM20)</f>
        <v>18.5575461254721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238.528988316628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0</v>
      </c>
      <c r="AS25" s="13" t="n">
        <f aca="false">AS23*AS24</f>
        <v>0</v>
      </c>
      <c r="AT25" s="13" t="n">
        <f aca="false">AT23*AT24</f>
        <v>0</v>
      </c>
      <c r="AU25" s="13" t="n">
        <f aca="false">AU23*AU24</f>
        <v>6.85434128562991</v>
      </c>
      <c r="AV25" s="13" t="n">
        <f aca="false">AV23*AV24</f>
        <v>9.81524059779141</v>
      </c>
      <c r="AW25" s="13" t="n">
        <f aca="false">AW23*AW24</f>
        <v>9.86472066206297</v>
      </c>
      <c r="AX25" s="13" t="n">
        <f aca="false">AX23*AX24</f>
        <v>9.92245767095081</v>
      </c>
      <c r="AY25" s="13" t="n">
        <f aca="false">AY23*AY24</f>
        <v>9.95952409476036</v>
      </c>
      <c r="AZ25" s="13" t="n">
        <f aca="false">AZ23*AZ24</f>
        <v>9.99098166865214</v>
      </c>
      <c r="BA25" s="13" t="n">
        <f aca="false">BA23*BA24</f>
        <v>10.0603531474913</v>
      </c>
      <c r="BB25" s="13" t="n">
        <f aca="false">BB23*BB24</f>
        <v>9.09592530242087</v>
      </c>
      <c r="BC25" s="13" t="n">
        <f aca="false">BC23*BC24</f>
        <v>12.2844055275925</v>
      </c>
      <c r="BD25" s="13" t="n">
        <f aca="false">BD23*BD24</f>
        <v>16.4931588030291</v>
      </c>
      <c r="BE25" s="13" t="n">
        <f aca="false">BE23*BE24</f>
        <v>16.5466577892961</v>
      </c>
      <c r="BF25" s="13" t="n">
        <f aca="false">BF23*BF24</f>
        <v>16.6098127521671</v>
      </c>
      <c r="BG25" s="13" t="n">
        <f aca="false">BG23*BG24</f>
        <v>16.6494965379168</v>
      </c>
      <c r="BH25" s="13" t="n">
        <f aca="false">BH23*BH24</f>
        <v>16.6834414677181</v>
      </c>
      <c r="BI25" s="13" t="n">
        <f aca="false">BI23*BI24</f>
        <v>16.7754202483609</v>
      </c>
      <c r="BJ25" s="13" t="n">
        <f aca="false">BJ23*BJ24</f>
        <v>11.5535384650392</v>
      </c>
      <c r="BK25" s="13" t="n">
        <f aca="false">BK23*BK24</f>
        <v>16.920802388265</v>
      </c>
      <c r="BL25" s="13" t="n">
        <f aca="false">BL23*BL24</f>
        <v>16.8814460698417</v>
      </c>
      <c r="BM25" s="13" t="n">
        <f aca="false">BM23*BM24</f>
        <v>5.56726383764163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246.466637591578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0.382320018205603</v>
      </c>
      <c r="AP27" s="13" t="n">
        <f aca="false">MAX(AP25,AP26)</f>
        <v>0.383928865419879</v>
      </c>
      <c r="AQ27" s="13" t="n">
        <f aca="false">MAX(AQ25,AQ26)</f>
        <v>0.38603288955021</v>
      </c>
      <c r="AR27" s="13" t="n">
        <f aca="false">MAX(AR25,AR26)</f>
        <v>0.388322975302412</v>
      </c>
      <c r="AS27" s="13" t="n">
        <f aca="false">MAX(AS25,AS26)</f>
        <v>0.389386468394401</v>
      </c>
      <c r="AT27" s="13" t="n">
        <f aca="false">MAX(AT25,AT26)</f>
        <v>0.384595426140167</v>
      </c>
      <c r="AU27" s="13" t="n">
        <f aca="false">MAX(AU25,AU26)</f>
        <v>6.85434128562991</v>
      </c>
      <c r="AV27" s="13" t="n">
        <f aca="false">MAX(AV25,AV26)</f>
        <v>9.81524059779141</v>
      </c>
      <c r="AW27" s="13" t="n">
        <f aca="false">MAX(AW25,AW26)</f>
        <v>9.86472066206297</v>
      </c>
      <c r="AX27" s="13" t="n">
        <f aca="false">MAX(AX25,AX26)</f>
        <v>9.92245767095081</v>
      </c>
      <c r="AY27" s="13" t="n">
        <f aca="false">MAX(AY25,AY26)</f>
        <v>9.95952409476036</v>
      </c>
      <c r="AZ27" s="13" t="n">
        <f aca="false">MAX(AZ25,AZ26)</f>
        <v>9.99098166865214</v>
      </c>
      <c r="BA27" s="13" t="n">
        <f aca="false">MAX(BA25,BA26)</f>
        <v>10.0603531474913</v>
      </c>
      <c r="BB27" s="13" t="n">
        <f aca="false">MAX(BB25,BB26)</f>
        <v>9.09592530242087</v>
      </c>
      <c r="BC27" s="13" t="n">
        <f aca="false">MAX(BC25,BC26)</f>
        <v>12.2844055275925</v>
      </c>
      <c r="BD27" s="13" t="n">
        <f aca="false">MAX(BD25,BD26)</f>
        <v>16.4931588030291</v>
      </c>
      <c r="BE27" s="13" t="n">
        <f aca="false">MAX(BE25,BE26)</f>
        <v>16.5466577892961</v>
      </c>
      <c r="BF27" s="13" t="n">
        <f aca="false">MAX(BF25,BF26)</f>
        <v>16.6098127521671</v>
      </c>
      <c r="BG27" s="13" t="n">
        <f aca="false">MAX(BG25,BG26)</f>
        <v>16.6494965379168</v>
      </c>
      <c r="BH27" s="13" t="n">
        <f aca="false">MAX(BH25,BH26)</f>
        <v>16.6834414677181</v>
      </c>
      <c r="BI27" s="13" t="n">
        <f aca="false">MAX(BI25,BI26)</f>
        <v>16.7754202483609</v>
      </c>
      <c r="BJ27" s="13" t="n">
        <f aca="false">MAX(BJ25,BJ26)</f>
        <v>11.5535384650392</v>
      </c>
      <c r="BK27" s="13" t="n">
        <f aca="false">MAX(BK25,BK26)</f>
        <v>16.920802388265</v>
      </c>
      <c r="BL27" s="13" t="n">
        <f aca="false">MAX(BL25,BL26)</f>
        <v>16.8814460698417</v>
      </c>
      <c r="BM27" s="13" t="n">
        <f aca="false">MAX(BM25,BM26)</f>
        <v>5.56726383764163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8.14570943047373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1.20531065936027</v>
      </c>
      <c r="P28" s="13" t="n">
        <f aca="false">P13-P15</f>
        <v>2.50359419415122</v>
      </c>
      <c r="Q28" s="13" t="n">
        <f aca="false">Q13-Q15</f>
        <v>1.98443967198499</v>
      </c>
      <c r="R28" s="13" t="n">
        <f aca="false">R13-R15</f>
        <v>1.4697333165751</v>
      </c>
      <c r="S28" s="13" t="n">
        <f aca="false">S13-S15</f>
        <v>0.847071375886731</v>
      </c>
      <c r="T28" s="13" t="n">
        <f aca="false">T13-T15</f>
        <v>0.135560212515422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0.737169596054362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0.976005129648431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115.704776666667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1.65405376549079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2.34809761153214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3.78510943451871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5.86079717253404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8.44267171539268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11.4411194099708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14.6534241276658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17.9950462020987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21.3045031438724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24.4679489974876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27.373088214659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29.9630189394729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32.1446275265887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33.81938654549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34.9868035013182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35.5592760998665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36.8036999661664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35.0059684610887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33.820656499074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32.1628967190109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29.9752405759539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27.4147056870543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24.4483194384931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21.2726483544538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17.9863796890881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14.6173068751355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11.4175713372779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8.3955911698298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5.77721022485325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3.79668166355708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2.24926739680251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54.6424399346561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-0.550852916178703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0.0130741056623493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87.3909786802563</v>
      </c>
      <c r="K22" s="13" t="n">
        <f aca="false">J22+Construction!K14*$F$9/$F$10*(K21+(K19-K20)*J22)</f>
        <v>88.9309862063863</v>
      </c>
      <c r="L22" s="13" t="n">
        <f aca="false">K22+Construction!L14*$F$9/$F$10*(L21+(L19-L20)*K22)</f>
        <v>91.0101841565107</v>
      </c>
      <c r="M22" s="13" t="n">
        <f aca="false">L22+Construction!M14*$F$9/$F$10*(M21+(M19-M20)*L22)</f>
        <v>94.1718021354853</v>
      </c>
      <c r="N22" s="13" t="n">
        <f aca="false">M22+Construction!N14*$F$9/$F$10*(N21+(N19-N20)*M22)</f>
        <v>98.9221316922744</v>
      </c>
      <c r="O22" s="13" t="n">
        <f aca="false">N22+Construction!O14*$F$9/$F$10*(O21+(O19-O20)*N22)</f>
        <v>105.656966172757</v>
      </c>
      <c r="P22" s="13" t="n">
        <f aca="false">O22+Construction!P14*$F$9/$F$10*(P21+(P19-P20)*O22)</f>
        <v>114.643870849808</v>
      </c>
      <c r="Q22" s="13" t="n">
        <f aca="false">P22+Construction!Q14*$F$9/$F$10*(Q21+(Q19-Q20)*P22)</f>
        <v>126.126561852742</v>
      </c>
      <c r="R22" s="13" t="n">
        <f aca="false">Q22+Construction!R14*$F$9/$F$10*(R21+(R19-R20)*Q22)</f>
        <v>140.159998358696</v>
      </c>
      <c r="S22" s="13" t="n">
        <f aca="false">R22+Construction!S14*$F$9/$F$10*(S21+(S19-S20)*R22)</f>
        <v>156.758581777993</v>
      </c>
      <c r="T22" s="13" t="n">
        <f aca="false">S22+Construction!T14*$F$9/$F$10*(T21+(T19-T20)*S22)</f>
        <v>175.788279982224</v>
      </c>
      <c r="U22" s="13" t="n">
        <f aca="false">T22+Construction!U14*$F$9/$F$10*(U21+(U19-U20)*T22)</f>
        <v>197.117286997593</v>
      </c>
      <c r="V22" s="13" t="n">
        <f aca="false">U22+Construction!V14*$F$9/$F$10*(V21+(V19-V20)*U22)</f>
        <v>220.481839871201</v>
      </c>
      <c r="W22" s="13" t="n">
        <f aca="false">V22+Construction!W14*$F$9/$F$10*(W21+(W19-W20)*V22)</f>
        <v>245.55463930054</v>
      </c>
      <c r="X22" s="13" t="n">
        <f aca="false">W22+Construction!X14*$F$9/$F$10*(X21+(X19-X20)*W22)</f>
        <v>272.012170207588</v>
      </c>
      <c r="Y22" s="13" t="n">
        <f aca="false">X22+Construction!Y14*$F$9/$F$10*(Y21+(Y19-Y20)*X22)</f>
        <v>299.417261414755</v>
      </c>
      <c r="Z22" s="13" t="n">
        <f aca="false">Y22+Construction!Z14*$F$9/$F$10*(Z21+(Z19-Z20)*Y22)</f>
        <v>327.389403551647</v>
      </c>
      <c r="AA22" s="13" t="n">
        <f aca="false">Z22+Construction!AA14*$F$9/$F$10*(AA21+(AA19-AA20)*Z22)</f>
        <v>356.423320505947</v>
      </c>
      <c r="AB22" s="13" t="n">
        <f aca="false">AA22+Construction!AB14*$F$9/$F$10*(AB21+(AB19-AB20)*AA22)</f>
        <v>384.122228983521</v>
      </c>
      <c r="AC22" s="13" t="n">
        <f aca="false">AB22+Construction!AC14*$F$9/$F$10*(AC21+(AC19-AC20)*AB22)</f>
        <v>411.117319979908</v>
      </c>
      <c r="AD22" s="13" t="n">
        <f aca="false">AC22+Construction!AD14*$F$9/$F$10*(AD21+(AD19-AD20)*AC22)</f>
        <v>436.912179081824</v>
      </c>
      <c r="AE22" s="13" t="n">
        <f aca="false">AD22+Construction!AE14*$F$9/$F$10*(AE21+(AE19-AE20)*AD22)</f>
        <v>461.202210632995</v>
      </c>
      <c r="AF22" s="13" t="n">
        <f aca="false">AE22+Construction!AF14*$F$9/$F$10*(AF21+(AF19-AF20)*AE22)</f>
        <v>483.59383415528</v>
      </c>
      <c r="AG22" s="13" t="n">
        <f aca="false">AF22+Construction!AG14*$F$9/$F$10*(AG21+(AG19-AG20)*AF22)</f>
        <v>503.898822478716</v>
      </c>
      <c r="AH22" s="13" t="n">
        <f aca="false">AG22+Construction!AH14*$F$9/$F$10*(AH21+(AH19-AH20)*AG22)</f>
        <v>521.882479520764</v>
      </c>
      <c r="AI22" s="13" t="n">
        <f aca="false">AH22+Construction!AI14*$F$9/$F$10*(AI21+(AI19-AI20)*AH22)</f>
        <v>537.388410901395</v>
      </c>
      <c r="AJ22" s="13" t="n">
        <f aca="false">AI22+Construction!AJ14*$F$9/$F$10*(AJ21+(AJ19-AJ20)*AI22)</f>
        <v>550.472714497043</v>
      </c>
      <c r="AK22" s="13" t="n">
        <f aca="false">AJ22+Construction!AK14*$F$9/$F$10*(AK21+(AK19-AK20)*AJ22)</f>
        <v>561.122507736922</v>
      </c>
      <c r="AL22" s="13" t="n">
        <f aca="false">AK22+Construction!AL14*$F$9/$F$10*(AL21+(AL19-AL20)*AK22)</f>
        <v>569.597867259825</v>
      </c>
      <c r="AM22" s="13" t="n">
        <f aca="false">AL22+Construction!AM14*$F$9/$F$10*(AM21+(AM19-AM20)*AL22)</f>
        <v>576.139401779083</v>
      </c>
      <c r="AN22" s="13" t="n">
        <f aca="false">AM22+Construction!AN14*$F$9/$F$10*(AN21+(AN19-AN20)*AM22)</f>
        <v>580.996871528813</v>
      </c>
      <c r="AO22" s="13" t="n">
        <f aca="false">AN22+Construction!AO14*$F$9/$F$10*(AO21+(AO19-AO20)*AN22)</f>
        <v>584.917364353048</v>
      </c>
      <c r="AP22" s="13" t="n">
        <f aca="false">AO22+Construction!AP14*$F$9/$F$10*(AP21+(AP19-AP20)*AO22)</f>
        <v>628.352882429814</v>
      </c>
      <c r="AQ22" s="13" t="n">
        <f aca="false">AP22+Construction!AQ14*$F$9/$F$10*(AQ21+(AQ19-AQ20)*AP22)</f>
        <v>630.339546367101</v>
      </c>
      <c r="AR22" s="13" t="n">
        <f aca="false">AQ22+Construction!AR14*$F$9/$F$10*(AR21+(AR19-AR20)*AQ22)</f>
        <v>632.681984850178</v>
      </c>
      <c r="AS22" s="13" t="n">
        <f aca="false">AR22+Construction!AS14*$F$9/$F$10*(AS21+(AS19-AS20)*AR22)</f>
        <v>632.681984850178</v>
      </c>
      <c r="AT22" s="13" t="n">
        <f aca="false">AS22+Construction!AT14*$F$9/$F$10*(AT21+(AT19-AT20)*AS22)</f>
        <v>632.681984850178</v>
      </c>
      <c r="AU22" s="13" t="n">
        <f aca="false">AT22+Construction!AU14*$F$9/$F$10*(AU21+(AU19-AU20)*AT22)</f>
        <v>632.681984850178</v>
      </c>
      <c r="AV22" s="13" t="n">
        <f aca="false">AU22+Construction!AV14*$F$9/$F$10*(AV21+(AV19-AV20)*AU22)</f>
        <v>632.681984850178</v>
      </c>
      <c r="AW22" s="13" t="n">
        <f aca="false">AV22+Construction!AW14*$F$9/$F$10*(AW21+(AW19-AW20)*AV22)</f>
        <v>632.681984850178</v>
      </c>
      <c r="AX22" s="13" t="n">
        <f aca="false">AW22+Construction!AX14*$F$9/$F$10*(AX21+(AX19-AX20)*AW22)</f>
        <v>632.681984850178</v>
      </c>
      <c r="AY22" s="13" t="n">
        <f aca="false">AX22+Construction!AY14*$F$9/$F$10*(AY21+(AY19-AY20)*AX22)</f>
        <v>632.681984850178</v>
      </c>
      <c r="AZ22" s="13" t="n">
        <f aca="false">AY22+Construction!AZ14*$F$9/$F$10*(AZ21+(AZ19-AZ20)*AY22)</f>
        <v>632.681984850178</v>
      </c>
      <c r="BA22" s="13" t="n">
        <f aca="false">AZ22+Construction!BA14*$F$9/$F$10*(BA21+(BA19-BA20)*AZ22)</f>
        <v>632.681984850178</v>
      </c>
      <c r="BB22" s="13" t="n">
        <f aca="false">BA22+Construction!BB14*$F$9/$F$10*(BB21+(BB19-BB20)*BA22)</f>
        <v>632.681984850178</v>
      </c>
      <c r="BC22" s="13" t="n">
        <f aca="false">BB22+Construction!BC14*$F$9/$F$10*(BC21+(BC19-BC20)*BB22)</f>
        <v>632.681984850178</v>
      </c>
      <c r="BD22" s="13" t="n">
        <f aca="false">BC22+Construction!BD14*$F$9/$F$10*(BD21+(BD19-BD20)*BC22)</f>
        <v>632.681984850178</v>
      </c>
      <c r="BE22" s="13" t="n">
        <f aca="false">BD22+Construction!BE14*$F$9/$F$10*(BE21+(BE19-BE20)*BD22)</f>
        <v>632.681984850178</v>
      </c>
      <c r="BF22" s="13" t="n">
        <f aca="false">BE22+Construction!BF14*$F$9/$F$10*(BF21+(BF19-BF20)*BE22)</f>
        <v>632.681984850178</v>
      </c>
      <c r="BG22" s="13" t="n">
        <f aca="false">BF22+Construction!BG14*$F$9/$F$10*(BG21+(BG19-BG20)*BF22)</f>
        <v>632.681984850178</v>
      </c>
      <c r="BH22" s="13" t="n">
        <f aca="false">BG22+Construction!BH14*$F$9/$F$10*(BH21+(BH19-BH20)*BG22)</f>
        <v>632.681984850178</v>
      </c>
      <c r="BI22" s="13" t="n">
        <f aca="false">BH22+Construction!BI14*$F$9/$F$10*(BI21+(BI19-BI20)*BH22)</f>
        <v>632.681984850178</v>
      </c>
      <c r="BJ22" s="13" t="n">
        <f aca="false">BI22+Construction!BJ14*$F$9/$F$10*(BJ21+(BJ19-BJ20)*BI22)</f>
        <v>632.681984850178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0.00923594344783451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0.0097344545437839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0.010251296289033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0.0107531850331501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0.0112735286253752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0.011797724160182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0.012272905273199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0.012800719032829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0.0133133558389572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0.0138449365307768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0.0143612319533229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0.0148980666797131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0.015436899590552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0.0159602917191153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0.0165030784009202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0.0170303110012885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0.0175770804654738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0.0181268382654185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0.018643069976904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0.0191968533664235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0.0197347966150487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0.0202927027875094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0.0208346508930708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0.0213972754539233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0.0219620399582379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0.0225106650424847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0.0230796643259689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0.0236324031710152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0.024205668987355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0.0247816074569726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0.0253037991153067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0.0258839366557988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0.0264475068738847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0.0604230802158674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0.0611144621080979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0.0611144621080979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0.0611144621080979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0.0611144621080979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0.0611144621080979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0.0611144621080979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0.0611144621080979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0.0611144621080979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0.0611144621080979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0.0611144621080979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0.0611144621080979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0.0611144621080979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0.0611144621080979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0.0611144621080979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0.0611144621080979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0.0611144621080979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0.0611144621080979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0.0611144621080979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0.0611144621080979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935.843769364033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689.875573432076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28.8103136430332</v>
      </c>
      <c r="L28" s="13" t="n">
        <f aca="false">K61</f>
        <v>29.4122744518032</v>
      </c>
      <c r="M28" s="13" t="n">
        <f aca="false">L61</f>
        <v>30.1811387749521</v>
      </c>
      <c r="N28" s="13" t="n">
        <f aca="false">M61</f>
        <v>31.2705310048732</v>
      </c>
      <c r="O28" s="13" t="n">
        <f aca="false">N61</f>
        <v>32.8417179645236</v>
      </c>
      <c r="P28" s="13" t="n">
        <f aca="false">O61</f>
        <v>35.0093378462217</v>
      </c>
      <c r="Q28" s="13" t="n">
        <f aca="false">P61</f>
        <v>37.8388178345179</v>
      </c>
      <c r="R28" s="13" t="n">
        <f aca="false">Q61</f>
        <v>41.4318105008985</v>
      </c>
      <c r="S28" s="13" t="n">
        <f aca="false">R61</f>
        <v>45.7857658409731</v>
      </c>
      <c r="T28" s="13" t="n">
        <f aca="false">S61</f>
        <v>50.9145838102683</v>
      </c>
      <c r="U28" s="13" t="n">
        <f aca="false">T61</f>
        <v>56.7684448278398</v>
      </c>
      <c r="V28" s="13" t="n">
        <f aca="false">U61</f>
        <v>63.3178649626118</v>
      </c>
      <c r="W28" s="13" t="n">
        <f aca="false">V61</f>
        <v>70.4785098513952</v>
      </c>
      <c r="X28" s="13" t="n">
        <f aca="false">W61</f>
        <v>78.1472936589319</v>
      </c>
      <c r="Y28" s="13" t="n">
        <f aca="false">X61</f>
        <v>86.2369419913247</v>
      </c>
      <c r="Z28" s="13" t="n">
        <f aca="false">Y61</f>
        <v>94.6064915566928</v>
      </c>
      <c r="AA28" s="13" t="n">
        <f aca="false">Z61</f>
        <v>103.151641436661</v>
      </c>
      <c r="AB28" s="13" t="n">
        <f aca="false">AA61</f>
        <v>112.016162746473</v>
      </c>
      <c r="AC28" s="13" t="n">
        <f aca="false">AB61</f>
        <v>120.470768958967</v>
      </c>
      <c r="AD28" s="13" t="n">
        <f aca="false">AC61</f>
        <v>128.724772678281</v>
      </c>
      <c r="AE28" s="13" t="n">
        <f aca="false">AD61</f>
        <v>136.614259660105</v>
      </c>
      <c r="AF28" s="13" t="n">
        <f aca="false">AE61</f>
        <v>144.057903030073</v>
      </c>
      <c r="AG28" s="13" t="n">
        <f aca="false">AF61</f>
        <v>150.927543714131</v>
      </c>
      <c r="AH28" s="13" t="n">
        <f aca="false">AG61</f>
        <v>157.176998818091</v>
      </c>
      <c r="AI28" s="13" t="n">
        <f aca="false">AH61</f>
        <v>162.730655333461</v>
      </c>
      <c r="AJ28" s="13" t="n">
        <f aca="false">AI61</f>
        <v>167.536462957694</v>
      </c>
      <c r="AK28" s="13" t="n">
        <f aca="false">AJ61</f>
        <v>171.621502366654</v>
      </c>
      <c r="AL28" s="13" t="n">
        <f aca="false">AK61</f>
        <v>174.971623499885</v>
      </c>
      <c r="AM28" s="13" t="n">
        <f aca="false">AL61</f>
        <v>177.675177529479</v>
      </c>
      <c r="AN28" s="13" t="n">
        <f aca="false">AM61</f>
        <v>179.799334413755</v>
      </c>
      <c r="AO28" s="13" t="n">
        <f aca="false">AN61</f>
        <v>181.403182281633</v>
      </c>
      <c r="AP28" s="13" t="n">
        <f aca="false">AO61</f>
        <v>182.742205559697</v>
      </c>
      <c r="AQ28" s="13" t="n">
        <f aca="false">AP61</f>
        <v>195.931085085885</v>
      </c>
      <c r="AR28" s="13" t="n">
        <f aca="false">AQ61</f>
        <v>206.065832853871</v>
      </c>
      <c r="AS28" s="13" t="n">
        <f aca="false">AR61</f>
        <v>206.962672029623</v>
      </c>
      <c r="AT28" s="13" t="n">
        <f aca="false">AS61</f>
        <v>206.962672029623</v>
      </c>
      <c r="AU28" s="13" t="n">
        <f aca="false">AT61</f>
        <v>206.962672029623</v>
      </c>
      <c r="AV28" s="13" t="n">
        <f aca="false">AU61</f>
        <v>206.962672029623</v>
      </c>
      <c r="AW28" s="13" t="n">
        <f aca="false">AV61</f>
        <v>206.962672029623</v>
      </c>
      <c r="AX28" s="13" t="n">
        <f aca="false">AW61</f>
        <v>206.962672029623</v>
      </c>
      <c r="AY28" s="13" t="n">
        <f aca="false">AX61</f>
        <v>206.962672029623</v>
      </c>
      <c r="AZ28" s="13" t="n">
        <f aca="false">AY61</f>
        <v>206.962672029623</v>
      </c>
      <c r="BA28" s="13" t="n">
        <f aca="false">AZ61</f>
        <v>206.962672029623</v>
      </c>
      <c r="BB28" s="13" t="n">
        <f aca="false">BA61</f>
        <v>206.962672029623</v>
      </c>
      <c r="BC28" s="13" t="n">
        <f aca="false">BB61</f>
        <v>206.962672029623</v>
      </c>
      <c r="BD28" s="13" t="n">
        <f aca="false">BC61</f>
        <v>206.962672029623</v>
      </c>
      <c r="BE28" s="13" t="n">
        <f aca="false">BD61</f>
        <v>206.962672029623</v>
      </c>
      <c r="BF28" s="13" t="n">
        <f aca="false">BE61</f>
        <v>206.962672029623</v>
      </c>
      <c r="BG28" s="13" t="n">
        <f aca="false">BF61</f>
        <v>206.962672029623</v>
      </c>
      <c r="BH28" s="13" t="n">
        <f aca="false">BG61</f>
        <v>206.962672029623</v>
      </c>
      <c r="BI28" s="13" t="n">
        <f aca="false">BH61</f>
        <v>206.962672029623</v>
      </c>
      <c r="BJ28" s="13" t="n">
        <f aca="false">BI61</f>
        <v>206.962672029623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21.1275633382244</v>
      </c>
      <c r="L29" s="13" t="n">
        <f aca="false">K62</f>
        <v>21.5690012646557</v>
      </c>
      <c r="M29" s="13" t="n">
        <f aca="false">L62</f>
        <v>22.1328351016315</v>
      </c>
      <c r="N29" s="13" t="n">
        <f aca="false">M62</f>
        <v>22.931722736907</v>
      </c>
      <c r="O29" s="13" t="n">
        <f aca="false">N62</f>
        <v>24.0839265073173</v>
      </c>
      <c r="P29" s="13" t="n">
        <f aca="false">O62</f>
        <v>25.6735144205626</v>
      </c>
      <c r="Q29" s="13" t="n">
        <f aca="false">P62</f>
        <v>27.7484664119798</v>
      </c>
      <c r="R29" s="13" t="n">
        <f aca="false">Q62</f>
        <v>30.3833277006589</v>
      </c>
      <c r="S29" s="13" t="n">
        <f aca="false">R62</f>
        <v>33.5762282833803</v>
      </c>
      <c r="T29" s="13" t="n">
        <f aca="false">S62</f>
        <v>37.3373614608635</v>
      </c>
      <c r="U29" s="13" t="n">
        <f aca="false">T62</f>
        <v>41.6301928737492</v>
      </c>
      <c r="V29" s="13" t="n">
        <f aca="false">U62</f>
        <v>46.433100972582</v>
      </c>
      <c r="W29" s="13" t="n">
        <f aca="false">V62</f>
        <v>51.6842405576898</v>
      </c>
      <c r="X29" s="13" t="n">
        <f aca="false">W62</f>
        <v>57.3080153498834</v>
      </c>
      <c r="Y29" s="13" t="n">
        <f aca="false">X62</f>
        <v>63.2404241269714</v>
      </c>
      <c r="Z29" s="13" t="n">
        <f aca="false">Y62</f>
        <v>69.3780938082414</v>
      </c>
      <c r="AA29" s="13" t="n">
        <f aca="false">Z62</f>
        <v>75.6445370535517</v>
      </c>
      <c r="AB29" s="13" t="n">
        <f aca="false">AA62</f>
        <v>82.1451860140799</v>
      </c>
      <c r="AC29" s="13" t="n">
        <f aca="false">AB62</f>
        <v>88.3452305699093</v>
      </c>
      <c r="AD29" s="13" t="n">
        <f aca="false">AC62</f>
        <v>94.3981666307395</v>
      </c>
      <c r="AE29" s="13" t="n">
        <f aca="false">AD62</f>
        <v>100.18379041741</v>
      </c>
      <c r="AF29" s="13" t="n">
        <f aca="false">AE62</f>
        <v>105.642462222053</v>
      </c>
      <c r="AG29" s="13" t="n">
        <f aca="false">AF62</f>
        <v>110.680198723696</v>
      </c>
      <c r="AH29" s="13" t="n">
        <f aca="false">AG62</f>
        <v>115.2631324666</v>
      </c>
      <c r="AI29" s="13" t="n">
        <f aca="false">AH62</f>
        <v>119.335813911205</v>
      </c>
      <c r="AJ29" s="13" t="n">
        <f aca="false">AI62</f>
        <v>122.860072835642</v>
      </c>
      <c r="AK29" s="13" t="n">
        <f aca="false">AJ62</f>
        <v>125.855768402213</v>
      </c>
      <c r="AL29" s="13" t="n">
        <f aca="false">AK62</f>
        <v>128.312523899915</v>
      </c>
      <c r="AM29" s="13" t="n">
        <f aca="false">AL62</f>
        <v>130.295130188284</v>
      </c>
      <c r="AN29" s="13" t="n">
        <f aca="false">AM62</f>
        <v>131.852845236754</v>
      </c>
      <c r="AO29" s="13" t="n">
        <f aca="false">AN62</f>
        <v>133.029000339865</v>
      </c>
      <c r="AP29" s="13" t="n">
        <f aca="false">AO62</f>
        <v>134.010950743778</v>
      </c>
      <c r="AQ29" s="13" t="n">
        <f aca="false">AP62</f>
        <v>143.682795729649</v>
      </c>
      <c r="AR29" s="13" t="n">
        <f aca="false">AQ62</f>
        <v>151.114944092839</v>
      </c>
      <c r="AS29" s="13" t="n">
        <f aca="false">AR62</f>
        <v>151.772626155057</v>
      </c>
      <c r="AT29" s="13" t="n">
        <f aca="false">AS62</f>
        <v>151.772626155057</v>
      </c>
      <c r="AU29" s="13" t="n">
        <f aca="false">AT62</f>
        <v>151.772626155057</v>
      </c>
      <c r="AV29" s="13" t="n">
        <f aca="false">AU62</f>
        <v>151.772626155057</v>
      </c>
      <c r="AW29" s="13" t="n">
        <f aca="false">AV62</f>
        <v>151.772626155057</v>
      </c>
      <c r="AX29" s="13" t="n">
        <f aca="false">AW62</f>
        <v>151.772626155057</v>
      </c>
      <c r="AY29" s="13" t="n">
        <f aca="false">AX62</f>
        <v>151.772626155057</v>
      </c>
      <c r="AZ29" s="13" t="n">
        <f aca="false">AY62</f>
        <v>151.772626155057</v>
      </c>
      <c r="BA29" s="13" t="n">
        <f aca="false">AZ62</f>
        <v>151.772626155057</v>
      </c>
      <c r="BB29" s="13" t="n">
        <f aca="false">BA62</f>
        <v>151.772626155057</v>
      </c>
      <c r="BC29" s="13" t="n">
        <f aca="false">BB62</f>
        <v>151.772626155057</v>
      </c>
      <c r="BD29" s="13" t="n">
        <f aca="false">BC62</f>
        <v>151.772626155057</v>
      </c>
      <c r="BE29" s="13" t="n">
        <f aca="false">BD62</f>
        <v>151.772626155057</v>
      </c>
      <c r="BF29" s="13" t="n">
        <f aca="false">BE62</f>
        <v>151.772626155057</v>
      </c>
      <c r="BG29" s="13" t="n">
        <f aca="false">BF62</f>
        <v>151.772626155057</v>
      </c>
      <c r="BH29" s="13" t="n">
        <f aca="false">BG62</f>
        <v>151.772626155057</v>
      </c>
      <c r="BI29" s="13" t="n">
        <f aca="false">BH62</f>
        <v>151.772626155057</v>
      </c>
      <c r="BJ29" s="13" t="n">
        <f aca="false">BI62</f>
        <v>151.772626155057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9.60343788101108</v>
      </c>
      <c r="L30" s="13" t="n">
        <f aca="false">K63</f>
        <v>9.80409148393439</v>
      </c>
      <c r="M30" s="13" t="n">
        <f aca="false">L63</f>
        <v>10.0603795916507</v>
      </c>
      <c r="N30" s="13" t="n">
        <f aca="false">M63</f>
        <v>10.4235103349577</v>
      </c>
      <c r="O30" s="13" t="n">
        <f aca="false">N63</f>
        <v>10.9472393215079</v>
      </c>
      <c r="P30" s="13" t="n">
        <f aca="false">O63</f>
        <v>11.6697792820739</v>
      </c>
      <c r="Q30" s="13" t="n">
        <f aca="false">P63</f>
        <v>12.6129392781726</v>
      </c>
      <c r="R30" s="13" t="n">
        <f aca="false">Q63</f>
        <v>13.8106035002995</v>
      </c>
      <c r="S30" s="13" t="n">
        <f aca="false">R63</f>
        <v>15.261921946991</v>
      </c>
      <c r="T30" s="13" t="n">
        <f aca="false">S63</f>
        <v>16.9715279367561</v>
      </c>
      <c r="U30" s="13" t="n">
        <f aca="false">T63</f>
        <v>18.9228149426133</v>
      </c>
      <c r="V30" s="13" t="n">
        <f aca="false">U63</f>
        <v>21.1059549875373</v>
      </c>
      <c r="W30" s="13" t="n">
        <f aca="false">V63</f>
        <v>23.4928366171317</v>
      </c>
      <c r="X30" s="13" t="n">
        <f aca="false">W63</f>
        <v>26.0490978863106</v>
      </c>
      <c r="Y30" s="13" t="n">
        <f aca="false">X63</f>
        <v>28.7456473304416</v>
      </c>
      <c r="Z30" s="13" t="n">
        <f aca="false">Y63</f>
        <v>31.5354971855643</v>
      </c>
      <c r="AA30" s="13" t="n">
        <f aca="false">Z63</f>
        <v>34.3838804788871</v>
      </c>
      <c r="AB30" s="13" t="n">
        <f aca="false">AA63</f>
        <v>37.3387209154909</v>
      </c>
      <c r="AC30" s="13" t="n">
        <f aca="false">AB63</f>
        <v>40.1569229863224</v>
      </c>
      <c r="AD30" s="13" t="n">
        <f aca="false">AC63</f>
        <v>42.908257559427</v>
      </c>
      <c r="AE30" s="13" t="n">
        <f aca="false">AD63</f>
        <v>45.5380865533684</v>
      </c>
      <c r="AF30" s="13" t="n">
        <f aca="false">AE63</f>
        <v>48.0193010100242</v>
      </c>
      <c r="AG30" s="13" t="n">
        <f aca="false">AF63</f>
        <v>50.3091812380436</v>
      </c>
      <c r="AH30" s="13" t="n">
        <f aca="false">AG63</f>
        <v>52.3923329393636</v>
      </c>
      <c r="AI30" s="13" t="n">
        <f aca="false">AH63</f>
        <v>54.2435517778205</v>
      </c>
      <c r="AJ30" s="13" t="n">
        <f aca="false">AI63</f>
        <v>55.8454876525646</v>
      </c>
      <c r="AK30" s="13" t="n">
        <f aca="false">AJ63</f>
        <v>57.2071674555515</v>
      </c>
      <c r="AL30" s="13" t="n">
        <f aca="false">AK63</f>
        <v>58.3238744999616</v>
      </c>
      <c r="AM30" s="13" t="n">
        <f aca="false">AL63</f>
        <v>59.225059176493</v>
      </c>
      <c r="AN30" s="13" t="n">
        <f aca="false">AM63</f>
        <v>59.9331114712516</v>
      </c>
      <c r="AO30" s="13" t="n">
        <f aca="false">AN63</f>
        <v>60.4677274272112</v>
      </c>
      <c r="AP30" s="13" t="n">
        <f aca="false">AO63</f>
        <v>60.9140685198991</v>
      </c>
      <c r="AQ30" s="13" t="n">
        <f aca="false">AP63</f>
        <v>65.3103616952952</v>
      </c>
      <c r="AR30" s="13" t="n">
        <f aca="false">AQ63</f>
        <v>68.6886109512904</v>
      </c>
      <c r="AS30" s="13" t="n">
        <f aca="false">AR63</f>
        <v>68.9875573432076</v>
      </c>
      <c r="AT30" s="13" t="n">
        <f aca="false">AS63</f>
        <v>68.9875573432076</v>
      </c>
      <c r="AU30" s="13" t="n">
        <f aca="false">AT63</f>
        <v>68.9875573432076</v>
      </c>
      <c r="AV30" s="13" t="n">
        <f aca="false">AU63</f>
        <v>68.9875573432076</v>
      </c>
      <c r="AW30" s="13" t="n">
        <f aca="false">AV63</f>
        <v>68.9875573432076</v>
      </c>
      <c r="AX30" s="13" t="n">
        <f aca="false">AW63</f>
        <v>68.9875573432076</v>
      </c>
      <c r="AY30" s="13" t="n">
        <f aca="false">AX63</f>
        <v>68.9875573432076</v>
      </c>
      <c r="AZ30" s="13" t="n">
        <f aca="false">AY63</f>
        <v>68.9875573432076</v>
      </c>
      <c r="BA30" s="13" t="n">
        <f aca="false">AZ63</f>
        <v>68.9875573432076</v>
      </c>
      <c r="BB30" s="13" t="n">
        <f aca="false">BA63</f>
        <v>68.9875573432076</v>
      </c>
      <c r="BC30" s="13" t="n">
        <f aca="false">BB63</f>
        <v>68.9875573432076</v>
      </c>
      <c r="BD30" s="13" t="n">
        <f aca="false">BC63</f>
        <v>68.9875573432076</v>
      </c>
      <c r="BE30" s="13" t="n">
        <f aca="false">BD63</f>
        <v>68.9875573432076</v>
      </c>
      <c r="BF30" s="13" t="n">
        <f aca="false">BE63</f>
        <v>68.9875573432076</v>
      </c>
      <c r="BG30" s="13" t="n">
        <f aca="false">BF63</f>
        <v>68.9875573432076</v>
      </c>
      <c r="BH30" s="13" t="n">
        <f aca="false">BG63</f>
        <v>68.9875573432076</v>
      </c>
      <c r="BI30" s="13" t="n">
        <f aca="false">BH63</f>
        <v>68.9875573432076</v>
      </c>
      <c r="BJ30" s="13" t="n">
        <f aca="false">BI63</f>
        <v>68.9875573432076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36.4930639478421</v>
      </c>
      <c r="L31" s="13" t="n">
        <f aca="false">K64</f>
        <v>37.2555476389507</v>
      </c>
      <c r="M31" s="13" t="n">
        <f aca="false">L64</f>
        <v>38.2294424482726</v>
      </c>
      <c r="N31" s="13" t="n">
        <f aca="false">M64</f>
        <v>39.6093392728394</v>
      </c>
      <c r="O31" s="13" t="n">
        <f aca="false">N64</f>
        <v>41.59950942173</v>
      </c>
      <c r="P31" s="13" t="n">
        <f aca="false">O64</f>
        <v>44.3451612718808</v>
      </c>
      <c r="Q31" s="13" t="n">
        <f aca="false">P64</f>
        <v>47.929169257056</v>
      </c>
      <c r="R31" s="13" t="n">
        <f aca="false">Q64</f>
        <v>52.4802933011381</v>
      </c>
      <c r="S31" s="13" t="n">
        <f aca="false">R64</f>
        <v>57.9953033985659</v>
      </c>
      <c r="T31" s="13" t="n">
        <f aca="false">S64</f>
        <v>64.4918061596732</v>
      </c>
      <c r="U31" s="13" t="n">
        <f aca="false">T64</f>
        <v>71.9066967819305</v>
      </c>
      <c r="V31" s="13" t="n">
        <f aca="false">U64</f>
        <v>80.2026289526417</v>
      </c>
      <c r="W31" s="13" t="n">
        <f aca="false">V64</f>
        <v>89.2727791451005</v>
      </c>
      <c r="X31" s="13" t="n">
        <f aca="false">W64</f>
        <v>98.9865719679804</v>
      </c>
      <c r="Y31" s="13" t="n">
        <f aca="false">X64</f>
        <v>109.233459855678</v>
      </c>
      <c r="Z31" s="13" t="n">
        <f aca="false">Y64</f>
        <v>119.834889305144</v>
      </c>
      <c r="AA31" s="13" t="n">
        <f aca="false">Z64</f>
        <v>130.658745819771</v>
      </c>
      <c r="AB31" s="13" t="n">
        <f aca="false">AA64</f>
        <v>141.887139478865</v>
      </c>
      <c r="AC31" s="13" t="n">
        <f aca="false">AB64</f>
        <v>152.596307348025</v>
      </c>
      <c r="AD31" s="13" t="n">
        <f aca="false">AC64</f>
        <v>163.051378725823</v>
      </c>
      <c r="AE31" s="13" t="n">
        <f aca="false">AD64</f>
        <v>173.0447289028</v>
      </c>
      <c r="AF31" s="13" t="n">
        <f aca="false">AE64</f>
        <v>182.473343838092</v>
      </c>
      <c r="AG31" s="13" t="n">
        <f aca="false">AF64</f>
        <v>191.174888704566</v>
      </c>
      <c r="AH31" s="13" t="n">
        <f aca="false">AG64</f>
        <v>199.090865169582</v>
      </c>
      <c r="AI31" s="13" t="n">
        <f aca="false">AH64</f>
        <v>206.125496755718</v>
      </c>
      <c r="AJ31" s="13" t="n">
        <f aca="false">AI64</f>
        <v>212.212853079745</v>
      </c>
      <c r="AK31" s="13" t="n">
        <f aca="false">AJ64</f>
        <v>217.387236331096</v>
      </c>
      <c r="AL31" s="13" t="n">
        <f aca="false">AK64</f>
        <v>221.630723099854</v>
      </c>
      <c r="AM31" s="13" t="n">
        <f aca="false">AL64</f>
        <v>225.055224870673</v>
      </c>
      <c r="AN31" s="13" t="n">
        <f aca="false">AM64</f>
        <v>227.745823590756</v>
      </c>
      <c r="AO31" s="13" t="n">
        <f aca="false">AN64</f>
        <v>229.777364223402</v>
      </c>
      <c r="AP31" s="13" t="n">
        <f aca="false">AO64</f>
        <v>231.473460375617</v>
      </c>
      <c r="AQ31" s="13" t="n">
        <f aca="false">AP64</f>
        <v>248.179374442122</v>
      </c>
      <c r="AR31" s="13" t="n">
        <f aca="false">AQ64</f>
        <v>261.016721614904</v>
      </c>
      <c r="AS31" s="13" t="n">
        <f aca="false">AR64</f>
        <v>262.152717904189</v>
      </c>
      <c r="AT31" s="13" t="n">
        <f aca="false">AS64</f>
        <v>262.152717904189</v>
      </c>
      <c r="AU31" s="13" t="n">
        <f aca="false">AT64</f>
        <v>262.152717904189</v>
      </c>
      <c r="AV31" s="13" t="n">
        <f aca="false">AU64</f>
        <v>262.152717904189</v>
      </c>
      <c r="AW31" s="13" t="n">
        <f aca="false">AV64</f>
        <v>262.152717904189</v>
      </c>
      <c r="AX31" s="13" t="n">
        <f aca="false">AW64</f>
        <v>262.152717904189</v>
      </c>
      <c r="AY31" s="13" t="n">
        <f aca="false">AX64</f>
        <v>262.152717904189</v>
      </c>
      <c r="AZ31" s="13" t="n">
        <f aca="false">AY64</f>
        <v>262.152717904189</v>
      </c>
      <c r="BA31" s="13" t="n">
        <f aca="false">AZ64</f>
        <v>262.152717904189</v>
      </c>
      <c r="BB31" s="13" t="n">
        <f aca="false">BA64</f>
        <v>262.152717904189</v>
      </c>
      <c r="BC31" s="13" t="n">
        <f aca="false">BB64</f>
        <v>262.152717904189</v>
      </c>
      <c r="BD31" s="13" t="n">
        <f aca="false">BC64</f>
        <v>262.152717904189</v>
      </c>
      <c r="BE31" s="13" t="n">
        <f aca="false">BD64</f>
        <v>262.152717904189</v>
      </c>
      <c r="BF31" s="13" t="n">
        <f aca="false">BE64</f>
        <v>262.152717904189</v>
      </c>
      <c r="BG31" s="13" t="n">
        <f aca="false">BF64</f>
        <v>262.152717904189</v>
      </c>
      <c r="BH31" s="13" t="n">
        <f aca="false">BG64</f>
        <v>262.152717904189</v>
      </c>
      <c r="BI31" s="13" t="n">
        <f aca="false">BH64</f>
        <v>262.152717904189</v>
      </c>
      <c r="BJ31" s="13" t="n">
        <f aca="false">BI64</f>
        <v>262.152717904189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1.49880108324396E-013</v>
      </c>
      <c r="AT32" s="13" t="n">
        <f aca="false">AS65</f>
        <v>1.49880108324396E-013</v>
      </c>
      <c r="AU32" s="13" t="n">
        <f aca="false">AT65</f>
        <v>1.49880108324396E-013</v>
      </c>
      <c r="AV32" s="13" t="n">
        <f aca="false">AU65</f>
        <v>1.49880108324396E-013</v>
      </c>
      <c r="AW32" s="13" t="n">
        <f aca="false">AV65</f>
        <v>1.49880108324396E-013</v>
      </c>
      <c r="AX32" s="13" t="n">
        <f aca="false">AW65</f>
        <v>1.49880108324396E-013</v>
      </c>
      <c r="AY32" s="13" t="n">
        <f aca="false">AX65</f>
        <v>1.49880108324396E-013</v>
      </c>
      <c r="AZ32" s="13" t="n">
        <f aca="false">AY65</f>
        <v>1.49880108324396E-013</v>
      </c>
      <c r="BA32" s="13" t="n">
        <f aca="false">AZ65</f>
        <v>1.49880108324396E-013</v>
      </c>
      <c r="BB32" s="13" t="n">
        <f aca="false">BA65</f>
        <v>1.49880108324396E-013</v>
      </c>
      <c r="BC32" s="13" t="n">
        <f aca="false">BB65</f>
        <v>1.49880108324396E-013</v>
      </c>
      <c r="BD32" s="13" t="n">
        <f aca="false">BC65</f>
        <v>1.49880108324396E-013</v>
      </c>
      <c r="BE32" s="13" t="n">
        <f aca="false">BD65</f>
        <v>1.49880108324396E-013</v>
      </c>
      <c r="BF32" s="13" t="n">
        <f aca="false">BE65</f>
        <v>1.49880108324396E-013</v>
      </c>
      <c r="BG32" s="13" t="n">
        <f aca="false">BF65</f>
        <v>1.49880108324396E-013</v>
      </c>
      <c r="BH32" s="13" t="n">
        <f aca="false">BG65</f>
        <v>1.49880108324396E-013</v>
      </c>
      <c r="BI32" s="13" t="n">
        <f aca="false">BH65</f>
        <v>1.49880108324396E-013</v>
      </c>
      <c r="BJ32" s="13" t="n">
        <f aca="false">BI65</f>
        <v>1.49880108324396E-013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13.5052889492963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0.0929132614987822</v>
      </c>
      <c r="L33" s="13" t="n">
        <f aca="false">Construction!L14*L28*(Construction!L17+Inputs!$F$79)/100*Construction!L11/Inputs!$F$247*1</f>
        <v>0.098016404610634</v>
      </c>
      <c r="M33" s="13" t="n">
        <f aca="false">Construction!M14*M28*(Construction!M17+Inputs!$F$79)/100*Construction!M11/Inputs!$F$247*1</f>
        <v>0.0973341725492204</v>
      </c>
      <c r="N33" s="13" t="n">
        <f aca="false">Construction!N14*N28*(Construction!N17+Inputs!$F$79)/100*Construction!N11/Inputs!$F$247*1</f>
        <v>0.10420904457374</v>
      </c>
      <c r="O33" s="13" t="n">
        <f aca="false">Construction!O14*O28*(Construction!O17+Inputs!$F$79)/100*Construction!O11/Inputs!$F$247*1</f>
        <v>0.117080724543527</v>
      </c>
      <c r="P33" s="13" t="n">
        <f aca="false">Construction!P14*P28*(Construction!P17+Inputs!$F$79)/100*Construction!P11/Inputs!$F$247*1</f>
        <v>0.112730067864834</v>
      </c>
      <c r="Q33" s="13" t="n">
        <f aca="false">Construction!Q14*Q28*(Construction!Q17+Inputs!$F$79)/100*Construction!Q11/Inputs!$F$247*1</f>
        <v>0.134895385580056</v>
      </c>
      <c r="R33" s="13" t="n">
        <f aca="false">Construction!R14*R28*(Construction!R17+Inputs!$F$79)/100*Construction!R11/Inputs!$F$247*1</f>
        <v>0.1429397462281</v>
      </c>
      <c r="S33" s="13" t="n">
        <f aca="false">Construction!S14*S28*(Construction!S17+Inputs!$F$79)/100*Construction!S11/Inputs!$F$247*1</f>
        <v>0.163226255223069</v>
      </c>
      <c r="T33" s="13" t="n">
        <f aca="false">Construction!T14*T28*(Construction!T17+Inputs!$F$79)/100*Construction!T11/Inputs!$F$247*1</f>
        <v>0.175655314145426</v>
      </c>
      <c r="U33" s="13" t="n">
        <f aca="false">Construction!U14*U28*(Construction!U17+Inputs!$F$79)/100*Construction!U11/Inputs!$F$247*1</f>
        <v>0.209712096601512</v>
      </c>
      <c r="V33" s="13" t="n">
        <f aca="false">Construction!V14*V28*(Construction!V17+Inputs!$F$79)/100*Construction!V11/Inputs!$F$247*1</f>
        <v>0.233906746149382</v>
      </c>
      <c r="W33" s="13" t="n">
        <f aca="false">Construction!W14*W28*(Construction!W17+Inputs!$F$79)/100*Construction!W11/Inputs!$F$247*1</f>
        <v>0.251960672718738</v>
      </c>
      <c r="X33" s="13" t="n">
        <f aca="false">Construction!X14*X28*(Construction!X17+Inputs!$F$79)/100*Construction!X11/Inputs!$F$247*1</f>
        <v>0.288689127325037</v>
      </c>
      <c r="Y33" s="13" t="n">
        <f aca="false">Construction!Y14*Y28*(Construction!Y17+Inputs!$F$79)/100*Construction!Y11/Inputs!$F$247*1</f>
        <v>0.308297067618986</v>
      </c>
      <c r="Z33" s="13" t="n">
        <f aca="false">Construction!Z14*Z28*(Construction!Z17+Inputs!$F$79)/100*Construction!Z11/Inputs!$F$247*1</f>
        <v>0.349492147559016</v>
      </c>
      <c r="AA33" s="13" t="n">
        <f aca="false">Construction!AA14*AA28*(Construction!AA17+Inputs!$F$79)/100*Construction!AA11/Inputs!$F$247*1</f>
        <v>0.388165357372903</v>
      </c>
      <c r="AB33" s="13" t="n">
        <f aca="false">Construction!AB14*AB28*(Construction!AB17+Inputs!$F$79)/100*Construction!AB11/Inputs!$F$247*1</f>
        <v>0.394328008468347</v>
      </c>
      <c r="AC33" s="13" t="n">
        <f aca="false">Construction!AC14*AC28*(Construction!AC17+Inputs!$F$79)/100*Construction!AC11/Inputs!$F$247*1</f>
        <v>0.453338196413091</v>
      </c>
      <c r="AD33" s="13" t="n">
        <f aca="false">Construction!AD14*AD28*(Construction!AD17+Inputs!$F$79)/100*Construction!AD11/Inputs!$F$247*1</f>
        <v>0.46877271383674</v>
      </c>
      <c r="AE33" s="13" t="n">
        <f aca="false">Construction!AE14*AE28*(Construction!AE17+Inputs!$F$79)/100*Construction!AE11/Inputs!$F$247*1</f>
        <v>0.514087048782068</v>
      </c>
      <c r="AF33" s="13" t="n">
        <f aca="false">Construction!AF14*AF28*(Construction!AF17+Inputs!$F$79)/100*Construction!AF11/Inputs!$F$247*1</f>
        <v>0.524610863534515</v>
      </c>
      <c r="AG33" s="13" t="n">
        <f aca="false">Construction!AG14*AG28*(Construction!AG17+Inputs!$F$79)/100*Construction!AG11/Inputs!$F$247*1</f>
        <v>0.573147347254411</v>
      </c>
      <c r="AH33" s="13" t="n">
        <f aca="false">Construction!AH14*AH28*(Construction!AH17+Inputs!$F$79)/100*Construction!AH11/Inputs!$F$247*1</f>
        <v>0.5968796530117</v>
      </c>
      <c r="AI33" s="13" t="n">
        <f aca="false">Construction!AI14*AI28*(Construction!AI17+Inputs!$F$79)/100*Construction!AI11/Inputs!$F$247*1</f>
        <v>0.598035158350471</v>
      </c>
      <c r="AJ33" s="13" t="n">
        <f aca="false">Construction!AJ14*AJ28*(Construction!AJ17+Inputs!$F$79)/100*Construction!AJ11/Inputs!$F$247*1</f>
        <v>0.636219718081841</v>
      </c>
      <c r="AK33" s="13" t="n">
        <f aca="false">Construction!AK14*AK28*(Construction!AK17+Inputs!$F$79)/100*Construction!AK11/Inputs!$F$247*1</f>
        <v>0.630709021197455</v>
      </c>
      <c r="AL33" s="13" t="n">
        <f aca="false">Construction!AL14*AL28*(Construction!AL17+Inputs!$F$79)/100*Construction!AL11/Inputs!$F$247*1</f>
        <v>0.664454740240812</v>
      </c>
      <c r="AM33" s="13" t="n">
        <f aca="false">Construction!AM14*AM28*(Construction!AM17+Inputs!$F$79)/100*Construction!AM11/Inputs!$F$247*1</f>
        <v>0.679311428754374</v>
      </c>
      <c r="AN33" s="13" t="n">
        <f aca="false">Construction!AN14*AN28*(Construction!AN17+Inputs!$F$79)/100*Construction!AN11/Inputs!$F$247*1</f>
        <v>0.620907034842167</v>
      </c>
      <c r="AO33" s="13" t="n">
        <f aca="false">Construction!AO14*AO28*(Construction!AO17+Inputs!$F$79)/100*Construction!AO11/Inputs!$F$247*1</f>
        <v>0.693564833590112</v>
      </c>
      <c r="AP33" s="13" t="n">
        <f aca="false">Construction!AP14*AP28*(Construction!AP17+Inputs!$F$79)/100*Construction!AP11/Inputs!$F$247*1</f>
        <v>0.67614616057088</v>
      </c>
      <c r="AQ33" s="13" t="n">
        <f aca="false">Construction!AQ14*AQ28*(Construction!AQ17+Inputs!$F$79)/100*Construction!AQ11/Inputs!$F$247*1</f>
        <v>0.749109848645035</v>
      </c>
      <c r="AR33" s="13" t="n">
        <f aca="false">Construction!AR14*AR28*(Construction!AR17+Inputs!$F$79)/100*Construction!AR11/Inputs!$F$247*1</f>
        <v>0.762443581559323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15.1275921914254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0.108630888164037</v>
      </c>
      <c r="L34" s="13" t="n">
        <f aca="false">Construction!L14*L29*(Construction!L17+Inputs!$F$80)/100*Construction!L11/Inputs!$F$247*1</f>
        <v>0.114597301996964</v>
      </c>
      <c r="M34" s="13" t="n">
        <f aca="false">Construction!M14*M29*(Construction!M17+Inputs!$F$80)/100*Construction!M11/Inputs!$F$247*1</f>
        <v>0.113799660480889</v>
      </c>
      <c r="N34" s="13" t="n">
        <f aca="false">Construction!N14*N29*(Construction!N17+Inputs!$F$80)/100*Construction!N11/Inputs!$F$247*1</f>
        <v>0.121837516885784</v>
      </c>
      <c r="O34" s="13" t="n">
        <f aca="false">Construction!O14*O29*(Construction!O17+Inputs!$F$80)/100*Construction!O11/Inputs!$F$247*1</f>
        <v>0.133558752442245</v>
      </c>
      <c r="P34" s="13" t="n">
        <f aca="false">Construction!P14*P29*(Construction!P17+Inputs!$F$80)/100*Construction!P11/Inputs!$F$247*1</f>
        <v>0.128595781119884</v>
      </c>
      <c r="Q34" s="13" t="n">
        <f aca="false">Construction!Q14*Q29*(Construction!Q17+Inputs!$F$80)/100*Construction!Q11/Inputs!$F$247*1</f>
        <v>0.153880662069101</v>
      </c>
      <c r="R34" s="13" t="n">
        <f aca="false">Construction!R14*R29*(Construction!R17+Inputs!$F$80)/100*Construction!R11/Inputs!$F$247*1</f>
        <v>0.163057191993536</v>
      </c>
      <c r="S34" s="13" t="n">
        <f aca="false">Construction!S14*S29*(Construction!S17+Inputs!$F$80)/100*Construction!S11/Inputs!$F$247*1</f>
        <v>0.186198839291501</v>
      </c>
      <c r="T34" s="13" t="n">
        <f aca="false">Construction!T14*T29*(Construction!T17+Inputs!$F$80)/100*Construction!T11/Inputs!$F$247*1</f>
        <v>0.200377173173301</v>
      </c>
      <c r="U34" s="13" t="n">
        <f aca="false">Construction!U14*U29*(Construction!U17+Inputs!$F$80)/100*Construction!U11/Inputs!$F$247*1</f>
        <v>0.236239780616062</v>
      </c>
      <c r="V34" s="13" t="n">
        <f aca="false">Construction!V14*V29*(Construction!V17+Inputs!$F$80)/100*Construction!V11/Inputs!$F$247*1</f>
        <v>0.263494949935799</v>
      </c>
      <c r="W34" s="13" t="n">
        <f aca="false">Construction!W14*W29*(Construction!W17+Inputs!$F$80)/100*Construction!W11/Inputs!$F$247*1</f>
        <v>0.283832621062646</v>
      </c>
      <c r="X34" s="13" t="n">
        <f aca="false">Construction!X14*X29*(Construction!X17+Inputs!$F$80)/100*Construction!X11/Inputs!$F$247*1</f>
        <v>0.325207068217435</v>
      </c>
      <c r="Y34" s="13" t="n">
        <f aca="false">Construction!Y14*Y29*(Construction!Y17+Inputs!$F$80)/100*Construction!Y11/Inputs!$F$247*1</f>
        <v>0.347295329163952</v>
      </c>
      <c r="Z34" s="13" t="n">
        <f aca="false">Construction!Z14*Z29*(Construction!Z17+Inputs!$F$80)/100*Construction!Z11/Inputs!$F$247*1</f>
        <v>0.393701410669046</v>
      </c>
      <c r="AA34" s="13" t="n">
        <f aca="false">Construction!AA14*AA29*(Construction!AA17+Inputs!$F$80)/100*Construction!AA11/Inputs!$F$247*1</f>
        <v>0.434472803515636</v>
      </c>
      <c r="AB34" s="13" t="n">
        <f aca="false">Construction!AB14*AB29*(Construction!AB17+Inputs!$F$80)/100*Construction!AB11/Inputs!$F$247*1</f>
        <v>0.441370648075097</v>
      </c>
      <c r="AC34" s="13" t="n">
        <f aca="false">Construction!AC14*AC29*(Construction!AC17+Inputs!$F$80)/100*Construction!AC11/Inputs!$F$247*1</f>
        <v>0.507420647915004</v>
      </c>
      <c r="AD34" s="13" t="n">
        <f aca="false">Construction!AD14*AD29*(Construction!AD17+Inputs!$F$80)/100*Construction!AD11/Inputs!$F$247*1</f>
        <v>0.524696476189194</v>
      </c>
      <c r="AE34" s="13" t="n">
        <f aca="false">Construction!AE14*AE29*(Construction!AE17+Inputs!$F$80)/100*Construction!AE11/Inputs!$F$247*1</f>
        <v>0.575416731794666</v>
      </c>
      <c r="AF34" s="13" t="n">
        <f aca="false">Construction!AF14*AF29*(Construction!AF17+Inputs!$F$80)/100*Construction!AF11/Inputs!$F$247*1</f>
        <v>0.587196019184246</v>
      </c>
      <c r="AG34" s="13" t="n">
        <f aca="false">Construction!AG14*AG29*(Construction!AG17+Inputs!$F$80)/100*Construction!AG11/Inputs!$F$247*1</f>
        <v>0.639516337125444</v>
      </c>
      <c r="AH34" s="13" t="n">
        <f aca="false">Construction!AH14*AH29*(Construction!AH17+Inputs!$F$80)/100*Construction!AH11/Inputs!$F$247*1</f>
        <v>0.665996782899374</v>
      </c>
      <c r="AI34" s="13" t="n">
        <f aca="false">Construction!AI14*AI29*(Construction!AI17+Inputs!$F$80)/100*Construction!AI11/Inputs!$F$247*1</f>
        <v>0.667286092786821</v>
      </c>
      <c r="AJ34" s="13" t="n">
        <f aca="false">Construction!AJ14*AJ29*(Construction!AJ17+Inputs!$F$80)/100*Construction!AJ11/Inputs!$F$247*1</f>
        <v>0.709892326403941</v>
      </c>
      <c r="AK34" s="13" t="n">
        <f aca="false">Construction!AK14*AK29*(Construction!AK17+Inputs!$F$80)/100*Construction!AK11/Inputs!$F$247*1</f>
        <v>0.703743504982375</v>
      </c>
      <c r="AL34" s="13" t="n">
        <f aca="false">Construction!AL14*AL29*(Construction!AL17+Inputs!$F$80)/100*Construction!AL11/Inputs!$F$247*1</f>
        <v>0.741396891567261</v>
      </c>
      <c r="AM34" s="13" t="n">
        <f aca="false">Construction!AM14*AM29*(Construction!AM17+Inputs!$F$80)/100*Construction!AM11/Inputs!$F$247*1</f>
        <v>0.756218458376115</v>
      </c>
      <c r="AN34" s="13" t="n">
        <f aca="false">Construction!AN14*AN29*(Construction!AN17+Inputs!$F$80)/100*Construction!AN11/Inputs!$F$247*1</f>
        <v>0.691201915363337</v>
      </c>
      <c r="AO34" s="13" t="n">
        <f aca="false">Construction!AO14*AO29*(Construction!AO17+Inputs!$F$80)/100*Construction!AO11/Inputs!$F$247*1</f>
        <v>0.772085536972536</v>
      </c>
      <c r="AP34" s="13" t="n">
        <f aca="false">Construction!AP14*AP29*(Construction!AP17+Inputs!$F$80)/100*Construction!AP11/Inputs!$F$247*1</f>
        <v>0.752694840010886</v>
      </c>
      <c r="AQ34" s="13" t="n">
        <f aca="false">Construction!AQ14*AQ29*(Construction!AQ17+Inputs!$F$80)/100*Construction!AQ11/Inputs!$F$247*1</f>
        <v>0.833918981659804</v>
      </c>
      <c r="AR34" s="13" t="n">
        <f aca="false">Construction!AR14*AR29*(Construction!AR17+Inputs!$F$80)/100*Construction!AR11/Inputs!$F$247*1</f>
        <v>0.848762269321445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6.61808965081548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0.047376960212988</v>
      </c>
      <c r="L35" s="13" t="n">
        <f aca="false">Construction!L14*L30*(Construction!L17+Inputs!$F$81)/100*Construction!L11/Inputs!$F$247*1</f>
        <v>0.0499790796981011</v>
      </c>
      <c r="M35" s="13" t="n">
        <f aca="false">Construction!M14*M30*(Construction!M17+Inputs!$F$81)/100*Construction!M11/Inputs!$F$247*1</f>
        <v>0.0496312059854767</v>
      </c>
      <c r="N35" s="13" t="n">
        <f aca="false">Construction!N14*N30*(Construction!N17+Inputs!$F$81)/100*Construction!N11/Inputs!$F$247*1</f>
        <v>0.0531367393519846</v>
      </c>
      <c r="O35" s="13" t="n">
        <f aca="false">Construction!O14*O30*(Construction!O17+Inputs!$F$81)/100*Construction!O11/Inputs!$F$247*1</f>
        <v>0.0583518264834485</v>
      </c>
      <c r="P35" s="13" t="n">
        <f aca="false">Construction!P14*P30*(Construction!P17+Inputs!$F$81)/100*Construction!P11/Inputs!$F$247*1</f>
        <v>0.0561835040324735</v>
      </c>
      <c r="Q35" s="13" t="n">
        <f aca="false">Construction!Q14*Q30*(Construction!Q17+Inputs!$F$81)/100*Construction!Q11/Inputs!$F$247*1</f>
        <v>0.0672304699469041</v>
      </c>
      <c r="R35" s="13" t="n">
        <f aca="false">Construction!R14*R30*(Construction!R17+Inputs!$F$81)/100*Construction!R11/Inputs!$F$247*1</f>
        <v>0.0712396963890449</v>
      </c>
      <c r="S35" s="13" t="n">
        <f aca="false">Construction!S14*S30*(Construction!S17+Inputs!$F$81)/100*Construction!S11/Inputs!$F$247*1</f>
        <v>0.0813502834002253</v>
      </c>
      <c r="T35" s="13" t="n">
        <f aca="false">Construction!T14*T30*(Construction!T17+Inputs!$F$81)/100*Construction!T11/Inputs!$F$247*1</f>
        <v>0.087544798273767</v>
      </c>
      <c r="U35" s="13" t="n">
        <f aca="false">Construction!U14*U30*(Construction!U17+Inputs!$F$81)/100*Construction!U11/Inputs!$F$247*1</f>
        <v>0.1033080569117</v>
      </c>
      <c r="V35" s="13" t="n">
        <f aca="false">Construction!V14*V30*(Construction!V17+Inputs!$F$81)/100*Construction!V11/Inputs!$F$247*1</f>
        <v>0.115226788701405</v>
      </c>
      <c r="W35" s="13" t="n">
        <f aca="false">Construction!W14*W30*(Construction!W17+Inputs!$F$81)/100*Construction!W11/Inputs!$F$247*1</f>
        <v>0.124120486793846</v>
      </c>
      <c r="X35" s="13" t="n">
        <f aca="false">Construction!X14*X30*(Construction!X17+Inputs!$F$81)/100*Construction!X11/Inputs!$F$247*1</f>
        <v>0.142213602738208</v>
      </c>
      <c r="Y35" s="13" t="n">
        <f aca="false">Construction!Y14*Y30*(Construction!Y17+Inputs!$F$81)/100*Construction!Y11/Inputs!$F$247*1</f>
        <v>0.151872836729166</v>
      </c>
      <c r="Z35" s="13" t="n">
        <f aca="false">Construction!Z14*Z30*(Construction!Z17+Inputs!$F$81)/100*Construction!Z11/Inputs!$F$247*1</f>
        <v>0.172166294912522</v>
      </c>
      <c r="AA35" s="13" t="n">
        <f aca="false">Construction!AA14*AA30*(Construction!AA17+Inputs!$F$81)/100*Construction!AA11/Inputs!$F$247*1</f>
        <v>0.190085552580781</v>
      </c>
      <c r="AB35" s="13" t="n">
        <f aca="false">Construction!AB14*AB30*(Construction!AB17+Inputs!$F$81)/100*Construction!AB11/Inputs!$F$247*1</f>
        <v>0.193103418334614</v>
      </c>
      <c r="AC35" s="13" t="n">
        <f aca="false">Construction!AC14*AC30*(Construction!AC17+Inputs!$F$81)/100*Construction!AC11/Inputs!$F$247*1</f>
        <v>0.222000855909386</v>
      </c>
      <c r="AD35" s="13" t="n">
        <f aca="false">Construction!AD14*AD30*(Construction!AD17+Inputs!$F$81)/100*Construction!AD11/Inputs!$F$247*1</f>
        <v>0.229559177942935</v>
      </c>
      <c r="AE35" s="13" t="n">
        <f aca="false">Construction!AE14*AE30*(Construction!AE17+Inputs!$F$81)/100*Construction!AE11/Inputs!$F$247*1</f>
        <v>0.251749721829205</v>
      </c>
      <c r="AF35" s="13" t="n">
        <f aca="false">Construction!AF14*AF30*(Construction!AF17+Inputs!$F$81)/100*Construction!AF11/Inputs!$F$247*1</f>
        <v>0.25690326040363</v>
      </c>
      <c r="AG35" s="13" t="n">
        <f aca="false">Construction!AG14*AG30*(Construction!AG17+Inputs!$F$81)/100*Construction!AG11/Inputs!$F$247*1</f>
        <v>0.279858795409184</v>
      </c>
      <c r="AH35" s="13" t="n">
        <f aca="false">Construction!AH14*AH30*(Construction!AH17+Inputs!$F$81)/100*Construction!AH11/Inputs!$F$247*1</f>
        <v>0.291446905401027</v>
      </c>
      <c r="AI35" s="13" t="n">
        <f aca="false">Construction!AI14*AI30*(Construction!AI17+Inputs!$F$81)/100*Construction!AI11/Inputs!$F$247*1</f>
        <v>0.292011120403934</v>
      </c>
      <c r="AJ35" s="13" t="n">
        <f aca="false">Construction!AJ14*AJ30*(Construction!AJ17+Inputs!$F$81)/100*Construction!AJ11/Inputs!$F$247*1</f>
        <v>0.310656037702849</v>
      </c>
      <c r="AK35" s="13" t="n">
        <f aca="false">Construction!AK14*AK30*(Construction!AK17+Inputs!$F$81)/100*Construction!AK11/Inputs!$F$247*1</f>
        <v>0.307965251469052</v>
      </c>
      <c r="AL35" s="13" t="n">
        <f aca="false">Construction!AL14*AL30*(Construction!AL17+Inputs!$F$81)/100*Construction!AL11/Inputs!$F$247*1</f>
        <v>0.324442752982286</v>
      </c>
      <c r="AM35" s="13" t="n">
        <f aca="false">Construction!AM14*AM30*(Construction!AM17+Inputs!$F$81)/100*Construction!AM11/Inputs!$F$247*1</f>
        <v>0.330985823769962</v>
      </c>
      <c r="AN35" s="13" t="n">
        <f aca="false">Construction!AN14*AN30*(Construction!AN17+Inputs!$F$81)/100*Construction!AN11/Inputs!$F$247*1</f>
        <v>0.302529028237662</v>
      </c>
      <c r="AO35" s="13" t="n">
        <f aca="false">Construction!AO14*AO30*(Construction!AO17+Inputs!$F$81)/100*Construction!AO11/Inputs!$F$247*1</f>
        <v>0.33793061336335</v>
      </c>
      <c r="AP35" s="13" t="n">
        <f aca="false">Construction!AP14*AP30*(Construction!AP17+Inputs!$F$81)/100*Construction!AP11/Inputs!$F$247*1</f>
        <v>0.329443587245121</v>
      </c>
      <c r="AQ35" s="13" t="n">
        <f aca="false">Construction!AQ14*AQ30*(Construction!AQ17+Inputs!$F$81)/100*Construction!AQ11/Inputs!$F$247*1</f>
        <v>0.364994213041012</v>
      </c>
      <c r="AR35" s="13" t="n">
        <f aca="false">Construction!AR14*AR30*(Construction!AR17+Inputs!$F$81)/100*Construction!AR11/Inputs!$F$247*1</f>
        <v>0.371490904228229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30.9942261875225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0.223688966050662</v>
      </c>
      <c r="L36" s="13" t="n">
        <f aca="false">Construction!L14*L31*(Construction!L17+Inputs!$F$82)/100*Construction!L11/Inputs!$F$247*(1/(1-Inputs!$F$93/100))</f>
        <v>0.235974798964983</v>
      </c>
      <c r="M36" s="13" t="n">
        <f aca="false">Construction!M14*M31*(Construction!M17+Inputs!$F$82)/100*Construction!M11/Inputs!$F$247*(1/(1-Inputs!$F$93/100))</f>
        <v>0.234332323155152</v>
      </c>
      <c r="N36" s="13" t="n">
        <f aca="false">Construction!N14*N31*(Construction!N17+Inputs!$F$82)/100*Construction!N11/Inputs!$F$247*(1/(1-Inputs!$F$93/100))</f>
        <v>0.250883598937411</v>
      </c>
      <c r="O36" s="13" t="n">
        <f aca="false">Construction!O14*O31*(Construction!O17+Inputs!$F$82)/100*Construction!O11/Inputs!$F$247*(1/(1-Inputs!$F$93/100))</f>
        <v>0.274235778314423</v>
      </c>
      <c r="P36" s="13" t="n">
        <f aca="false">Construction!P14*P31*(Construction!P17+Inputs!$F$82)/100*Construction!P11/Inputs!$F$247*(1/(1-Inputs!$F$93/100))</f>
        <v>0.264045324462075</v>
      </c>
      <c r="Q36" s="13" t="n">
        <f aca="false">Construction!Q14*Q31*(Construction!Q17+Inputs!$F$82)/100*Construction!Q11/Inputs!$F$247*(1/(1-Inputs!$F$93/100))</f>
        <v>0.31596269325971</v>
      </c>
      <c r="R36" s="13" t="n">
        <f aca="false">Construction!R14*R31*(Construction!R17+Inputs!$F$82)/100*Construction!R11/Inputs!$F$247*(1/(1-Inputs!$F$93/100))</f>
        <v>0.334804834115594</v>
      </c>
      <c r="S36" s="13" t="n">
        <f aca="false">Construction!S14*S31*(Construction!S17+Inputs!$F$82)/100*Construction!S11/Inputs!$F$247*(1/(1-Inputs!$F$93/100))</f>
        <v>0.382321507805546</v>
      </c>
      <c r="T36" s="13" t="n">
        <f aca="false">Construction!T14*T31*(Construction!T17+Inputs!$F$82)/100*Construction!T11/Inputs!$F$247*(1/(1-Inputs!$F$93/100))</f>
        <v>0.411433837444582</v>
      </c>
      <c r="U36" s="13" t="n">
        <f aca="false">Construction!U14*U31*(Construction!U17+Inputs!$F$82)/100*Construction!U11/Inputs!$F$247*(1/(1-Inputs!$F$93/100))</f>
        <v>0.484349305731127</v>
      </c>
      <c r="V36" s="13" t="n">
        <f aca="false">Construction!V14*V31*(Construction!V17+Inputs!$F$82)/100*Construction!V11/Inputs!$F$247*(1/(1-Inputs!$F$93/100))</f>
        <v>0.540229066130386</v>
      </c>
      <c r="W36" s="13" t="n">
        <f aca="false">Construction!W14*W31*(Construction!W17+Inputs!$F$82)/100*Construction!W11/Inputs!$F$247*(1/(1-Inputs!$F$93/100))</f>
        <v>0.581926264056952</v>
      </c>
      <c r="X36" s="13" t="n">
        <f aca="false">Construction!X14*X31*(Construction!X17+Inputs!$F$82)/100*Construction!X11/Inputs!$F$247*(1/(1-Inputs!$F$93/100))</f>
        <v>0.666753995873211</v>
      </c>
      <c r="Y36" s="13" t="n">
        <f aca="false">Construction!Y14*Y31*(Construction!Y17+Inputs!$F$82)/100*Construction!Y11/Inputs!$F$247*(1/(1-Inputs!$F$93/100))</f>
        <v>0.712040330911086</v>
      </c>
      <c r="Z36" s="13" t="n">
        <f aca="false">Construction!Z14*Z31*(Construction!Z17+Inputs!$F$82)/100*Construction!Z11/Inputs!$F$247*(1/(1-Inputs!$F$93/100))</f>
        <v>0.807184143270206</v>
      </c>
      <c r="AA36" s="13" t="n">
        <f aca="false">Construction!AA14*AA31*(Construction!AA17+Inputs!$F$82)/100*Construction!AA11/Inputs!$F$247*(1/(1-Inputs!$F$93/100))</f>
        <v>0.89009254251049</v>
      </c>
      <c r="AB36" s="13" t="n">
        <f aca="false">Construction!AB14*AB31*(Construction!AB17+Inputs!$F$82)/100*Construction!AB11/Inputs!$F$247*(1/(1-Inputs!$F$93/100))</f>
        <v>0.904223967888769</v>
      </c>
      <c r="AC36" s="13" t="n">
        <f aca="false">Construction!AC14*AC31*(Construction!AC17+Inputs!$F$82)/100*Construction!AC11/Inputs!$F$247*(1/(1-Inputs!$F$93/100))</f>
        <v>1.03953879499556</v>
      </c>
      <c r="AD36" s="13" t="n">
        <f aca="false">Construction!AD14*AD31*(Construction!AD17+Inputs!$F$82)/100*Construction!AD11/Inputs!$F$247*(1/(1-Inputs!$F$93/100))</f>
        <v>1.07493131159987</v>
      </c>
      <c r="AE36" s="13" t="n">
        <f aca="false">Construction!AE14*AE31*(Construction!AE17+Inputs!$F$82)/100*Construction!AE11/Inputs!$F$247*(1/(1-Inputs!$F$93/100))</f>
        <v>1.17884051121685</v>
      </c>
      <c r="AF36" s="13" t="n">
        <f aca="false">Construction!AF14*AF31*(Construction!AF17+Inputs!$F$82)/100*Construction!AF11/Inputs!$F$247*(1/(1-Inputs!$F$93/100))</f>
        <v>1.20297241493261</v>
      </c>
      <c r="AG36" s="13" t="n">
        <f aca="false">Construction!AG14*AG31*(Construction!AG17+Inputs!$F$82)/100*Construction!AG11/Inputs!$F$247*(1/(1-Inputs!$F$93/100))</f>
        <v>1.30966599681683</v>
      </c>
      <c r="AH36" s="13" t="n">
        <f aca="false">Construction!AH14*AH31*(Construction!AH17+Inputs!$F$82)/100*Construction!AH11/Inputs!$F$247*(1/(1-Inputs!$F$93/100))</f>
        <v>1.36389532200742</v>
      </c>
      <c r="AI36" s="13" t="n">
        <f aca="false">Construction!AI14*AI31*(Construction!AI17+Inputs!$F$82)/100*Construction!AI11/Inputs!$F$247*(1/(1-Inputs!$F$93/100))</f>
        <v>1.36653570071383</v>
      </c>
      <c r="AJ36" s="13" t="n">
        <f aca="false">Construction!AJ14*AJ31*(Construction!AJ17+Inputs!$F$82)/100*Construction!AJ11/Inputs!$F$247*(1/(1-Inputs!$F$93/100))</f>
        <v>1.45378903918458</v>
      </c>
      <c r="AK36" s="13" t="n">
        <f aca="false">Construction!AK14*AK31*(Construction!AK17+Inputs!$F$82)/100*Construction!AK11/Inputs!$F$247*(1/(1-Inputs!$F$93/100))</f>
        <v>1.44119686308393</v>
      </c>
      <c r="AL36" s="13" t="n">
        <f aca="false">Construction!AL14*AL31*(Construction!AL17+Inputs!$F$82)/100*Construction!AL11/Inputs!$F$247*(1/(1-Inputs!$F$93/100))</f>
        <v>1.51830726232233</v>
      </c>
      <c r="AM36" s="13" t="n">
        <f aca="false">Construction!AM14*AM31*(Construction!AM17+Inputs!$F$82)/100*Construction!AM11/Inputs!$F$247*(1/(1-Inputs!$F$93/100))</f>
        <v>1.54822713183408</v>
      </c>
      <c r="AN36" s="13" t="n">
        <f aca="false">Construction!AN14*AN31*(Construction!AN17+Inputs!$F$82)/100*Construction!AN11/Inputs!$F$247*(1/(1-Inputs!$F$93/100))</f>
        <v>1.41511695078059</v>
      </c>
      <c r="AO36" s="13" t="n">
        <f aca="false">Construction!AO14*AO31*(Construction!AO17+Inputs!$F$82)/100*Construction!AO11/Inputs!$F$247*(1/(1-Inputs!$F$93/100))</f>
        <v>1.58071224418994</v>
      </c>
      <c r="AP36" s="13" t="n">
        <f aca="false">Construction!AP14*AP31*(Construction!AP17+Inputs!$F$82)/100*Construction!AP11/Inputs!$F$247*(1/(1-Inputs!$F$93/100))</f>
        <v>1.54101312972285</v>
      </c>
      <c r="AQ36" s="13" t="n">
        <f aca="false">Construction!AQ14*AQ31*(Construction!AQ17+Inputs!$F$82)/100*Construction!AQ11/Inputs!$F$247*(1/(1-Inputs!$F$93/100))</f>
        <v>1.70730557930261</v>
      </c>
      <c r="AR36" s="13" t="n">
        <f aca="false">Construction!AR14*AR31*(Construction!AR17+Inputs!$F$82)/100*Construction!AR11/Inputs!$F$247*(1/(1-Inputs!$F$93/100))</f>
        <v>1.73769465593626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4.00463027368758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0.0310440996049451</v>
      </c>
      <c r="L38" s="13" t="n">
        <f aca="false">Construction!L14*(Inputs!$F$95/100*Inputs!$F$96/100)*L31*Construction!L11/Inputs!$F$248</f>
        <v>0.0327491574245406</v>
      </c>
      <c r="M38" s="13" t="n">
        <f aca="false">Construction!M14*(Inputs!$F$95/100*Inputs!$F$96/100)*M31*Construction!M11/Inputs!$F$248</f>
        <v>0.0325212106306538</v>
      </c>
      <c r="N38" s="13" t="n">
        <f aca="false">Construction!N14*(Inputs!$F$95/100*Inputs!$F$96/100)*N31*Construction!N11/Inputs!$F$248</f>
        <v>0.0348182370018919</v>
      </c>
      <c r="O38" s="13" t="n">
        <f aca="false">Construction!O14*(Inputs!$F$95/100*Inputs!$F$96/100)*O31*Construction!O11/Inputs!$F$248</f>
        <v>0.036567678350581</v>
      </c>
      <c r="P38" s="13" t="n">
        <f aca="false">Construction!P14*(Inputs!$F$95/100*Inputs!$F$96/100)*P31*Construction!P11/Inputs!$F$248</f>
        <v>0.0352088431139481</v>
      </c>
      <c r="Q38" s="13" t="n">
        <f aca="false">Construction!Q14*(Inputs!$F$95/100*Inputs!$F$96/100)*Q31*Construction!Q11/Inputs!$F$248</f>
        <v>0.0421317094688395</v>
      </c>
      <c r="R38" s="13" t="n">
        <f aca="false">Construction!R14*(Inputs!$F$95/100*Inputs!$F$96/100)*R31*Construction!R11/Inputs!$F$248</f>
        <v>0.044644194712338</v>
      </c>
      <c r="S38" s="13" t="n">
        <f aca="false">Construction!S14*(Inputs!$F$95/100*Inputs!$F$96/100)*S31*Construction!S11/Inputs!$F$248</f>
        <v>0.0509802550559723</v>
      </c>
      <c r="T38" s="13" t="n">
        <f aca="false">Construction!T14*(Inputs!$F$95/100*Inputs!$F$96/100)*T31*Construction!T11/Inputs!$F$248</f>
        <v>0.0548622077056946</v>
      </c>
      <c r="U38" s="13" t="n">
        <f aca="false">Construction!U14*(Inputs!$F$95/100*Inputs!$F$96/100)*U31*Construction!U11/Inputs!$F$248</f>
        <v>0.0632089415410477</v>
      </c>
      <c r="V38" s="13" t="n">
        <f aca="false">Construction!V14*(Inputs!$F$95/100*Inputs!$F$96/100)*V31*Construction!V11/Inputs!$F$248</f>
        <v>0.0705014068478221</v>
      </c>
      <c r="W38" s="13" t="n">
        <f aca="false">Construction!W14*(Inputs!$F$95/100*Inputs!$F$96/100)*W31*Construction!W11/Inputs!$F$248</f>
        <v>0.0759430080124759</v>
      </c>
      <c r="X38" s="13" t="n">
        <f aca="false">Construction!X14*(Inputs!$F$95/100*Inputs!$F$96/100)*X31*Construction!X11/Inputs!$F$248</f>
        <v>0.0870132647011685</v>
      </c>
      <c r="Y38" s="13" t="n">
        <f aca="false">Construction!Y14*(Inputs!$F$95/100*Inputs!$F$96/100)*Y31*Construction!Y11/Inputs!$F$248</f>
        <v>0.0929232583155836</v>
      </c>
      <c r="Z38" s="13" t="n">
        <f aca="false">Construction!Z14*(Inputs!$F$95/100*Inputs!$F$96/100)*Z31*Construction!Z11/Inputs!$F$248</f>
        <v>0.1053397924207</v>
      </c>
      <c r="AA38" s="13" t="n">
        <f aca="false">Construction!AA14*(Inputs!$F$95/100*Inputs!$F$96/100)*AA31*Construction!AA11/Inputs!$F$248</f>
        <v>0.114854407113078</v>
      </c>
      <c r="AB38" s="13" t="n">
        <f aca="false">Construction!AB14*(Inputs!$F$95/100*Inputs!$F$96/100)*AB31*Construction!AB11/Inputs!$F$248</f>
        <v>0.116677876478305</v>
      </c>
      <c r="AC38" s="13" t="n">
        <f aca="false">Construction!AC14*(Inputs!$F$95/100*Inputs!$F$96/100)*AC31*Construction!AC11/Inputs!$F$248</f>
        <v>0.134138425240038</v>
      </c>
      <c r="AD38" s="13" t="n">
        <f aca="false">Construction!AD14*(Inputs!$F$95/100*Inputs!$F$96/100)*AD31*Construction!AD11/Inputs!$F$248</f>
        <v>0.138705350943474</v>
      </c>
      <c r="AE38" s="13" t="n">
        <f aca="false">Construction!AE14*(Inputs!$F$95/100*Inputs!$F$96/100)*AE31*Construction!AE11/Inputs!$F$248</f>
        <v>0.152113428132776</v>
      </c>
      <c r="AF38" s="13" t="n">
        <f aca="false">Construction!AF14*(Inputs!$F$95/100*Inputs!$F$96/100)*AF31*Construction!AF11/Inputs!$F$248</f>
        <v>0.155227324004733</v>
      </c>
      <c r="AG38" s="13" t="n">
        <f aca="false">Construction!AG14*(Inputs!$F$95/100*Inputs!$F$96/100)*AG31*Construction!AG11/Inputs!$F$248</f>
        <v>0.168050583673589</v>
      </c>
      <c r="AH38" s="13" t="n">
        <f aca="false">Construction!AH14*(Inputs!$F$95/100*Inputs!$F$96/100)*AH31*Construction!AH11/Inputs!$F$248</f>
        <v>0.175009052300439</v>
      </c>
      <c r="AI38" s="13" t="n">
        <f aca="false">Construction!AI14*(Inputs!$F$95/100*Inputs!$F$96/100)*AI31*Construction!AI11/Inputs!$F$248</f>
        <v>0.175347854089453</v>
      </c>
      <c r="AJ38" s="13" t="n">
        <f aca="false">Construction!AJ14*(Inputs!$F$95/100*Inputs!$F$96/100)*AJ31*Construction!AJ11/Inputs!$F$248</f>
        <v>0.18654381893325</v>
      </c>
      <c r="AK38" s="13" t="n">
        <f aca="false">Construction!AK14*(Inputs!$F$95/100*Inputs!$F$96/100)*AK31*Construction!AK11/Inputs!$F$248</f>
        <v>0.184928046248781</v>
      </c>
      <c r="AL38" s="13" t="n">
        <f aca="false">Construction!AL14*(Inputs!$F$95/100*Inputs!$F$96/100)*AL31*Construction!AL11/Inputs!$F$248</f>
        <v>0.19482251371668</v>
      </c>
      <c r="AM38" s="13" t="n">
        <f aca="false">Construction!AM14*(Inputs!$F$95/100*Inputs!$F$96/100)*AM31*Construction!AM11/Inputs!$F$248</f>
        <v>0.197832791506179</v>
      </c>
      <c r="AN38" s="13" t="n">
        <f aca="false">Construction!AN14*(Inputs!$F$95/100*Inputs!$F$96/100)*AN31*Construction!AN11/Inputs!$F$248</f>
        <v>0.180823944319455</v>
      </c>
      <c r="AO38" s="13" t="n">
        <f aca="false">Construction!AO14*(Inputs!$F$95/100*Inputs!$F$96/100)*AO31*Construction!AO11/Inputs!$F$248</f>
        <v>0.20198374605775</v>
      </c>
      <c r="AP38" s="13" t="n">
        <f aca="false">Construction!AP14*(Inputs!$F$95/100*Inputs!$F$96/100)*AP31*Construction!AP11/Inputs!$F$248</f>
        <v>0.196910984785285</v>
      </c>
      <c r="AQ38" s="13" t="n">
        <f aca="false">Construction!AQ14*(Inputs!$F$95/100*Inputs!$F$96/100)*AQ31*Construction!AQ11/Inputs!$F$248</f>
        <v>0.218159869286999</v>
      </c>
      <c r="AR38" s="13" t="n">
        <f aca="false">Construction!AR14*(Inputs!$F$95/100*Inputs!$F$96/100)*AR31*Construction!AR11/Inputs!$F$248</f>
        <v>0.222042991949117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10.167973576276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0.598930809643355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0.498925577014887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0.513814410738582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0.495086505075997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0.508436788334789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0.503889918753835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0.449460540987383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0.489428774424504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0.463578373870166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0.466431042722342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0.437021340396536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0.43464818664907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0.415694771206831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0.382231478633581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0.37277977765493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0.338099113957256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0.325148382938615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0.300419510403568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0.257039541585082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0.250299558976933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0.219109583683396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0.203581791655498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0.176168300292629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0.162160472907227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0.144075128489617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0.123874220091861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0.114095798479249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0.0989749090394573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0.0925791323109388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0.0847552972783699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0.0710009403297132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0.0739667967112595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0.0678307619304967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0.0319243911719399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0.00251164793609064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10.8448440143522</v>
      </c>
      <c r="J42" s="13" t="n">
        <f aca="false">IF(Construction!J8=1,Inputs!$F$75*$F$25*Inputs!$F$89/100+Inputs!$F$76*$F$25*Inputs!$F$90/100+Inputs!$F$77*$F$25*Inputs!$F$91/100+Inputs!$F$78*$F$25*Inputs!$F$92/100,0)</f>
        <v>10.8448440143522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40.8397629577698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40.8397629577698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127.148551490662</v>
      </c>
      <c r="K45" s="13" t="n">
        <f aca="false">Construction!K14*(Construction!K32+Construction!K38)+K33+K34+K35+K36+K37+K38+K39+K40+K41+K42+K43+K44</f>
        <v>2.65663351803709</v>
      </c>
      <c r="L45" s="13" t="n">
        <f aca="false">Construction!L14*(Construction!L32+Construction!L38)+L33+L34+L35+L36+L37+L38+L39+L40+L41+L42+L43+L44</f>
        <v>3.39322876496595</v>
      </c>
      <c r="M45" s="13" t="n">
        <f aca="false">Construction!M14*(Construction!M32+Construction!M38)+M33+M34+M35+M36+M37+M38+M39+M40+M41+M42+M43+M44</f>
        <v>4.8078145123961</v>
      </c>
      <c r="N45" s="13" t="n">
        <f aca="false">Construction!N14*(Construction!N32+Construction!N38)+N33+N34+N35+N36+N37+N38+N39+N40+N41+N42+N43+N44</f>
        <v>6.93411909761964</v>
      </c>
      <c r="O45" s="13" t="n">
        <f aca="false">Construction!O14*(Construction!O32+Construction!O38)+O33+O34+O35+O36+O37+O38+O39+O40+O41+O42+O43+O44</f>
        <v>9.56635639428074</v>
      </c>
      <c r="P45" s="13" t="n">
        <f aca="false">Construction!P14*(Construction!P32+Construction!P38)+P33+P34+P35+P36+P37+P38+P39+P40+P41+P42+P43+P44</f>
        <v>12.4873434715514</v>
      </c>
      <c r="Q45" s="13" t="n">
        <f aca="false">Construction!Q14*(Construction!Q32+Construction!Q38)+Q33+Q34+Q35+Q36+Q37+Q38+Q39+Q40+Q41+Q42+Q43+Q44</f>
        <v>15.8569538224149</v>
      </c>
      <c r="R45" s="13" t="n">
        <f aca="false">Construction!R14*(Construction!R32+Construction!R38)+R33+R34+R35+R36+R37+R38+R39+R40+R41+R42+R43+R44</f>
        <v>19.2153102394075</v>
      </c>
      <c r="S45" s="13" t="n">
        <f aca="false">Construction!S14*(Construction!S32+Construction!S38)+S33+S34+S35+S36+S37+S38+S39+S40+S41+S42+S43+S44</f>
        <v>22.635011327371</v>
      </c>
      <c r="T45" s="13" t="n">
        <f aca="false">Construction!T14*(Construction!T32+Construction!T38)+T33+T34+T35+T36+T37+T38+T39+T40+T41+T42+T43+T44</f>
        <v>25.8348436686269</v>
      </c>
      <c r="U45" s="13" t="n">
        <f aca="false">Construction!U14*(Construction!U32+Construction!U38)+U33+U34+U35+U36+U37+U38+U39+U40+U41+U42+U43+U44</f>
        <v>28.9045545827095</v>
      </c>
      <c r="V45" s="13" t="n">
        <f aca="false">Construction!V14*(Construction!V32+Construction!V38)+V33+V34+V35+V36+V37+V38+V39+V40+V41+V42+V43+V44</f>
        <v>31.6020726684445</v>
      </c>
      <c r="W45" s="13" t="n">
        <f aca="false">Construction!W14*(Construction!W32+Construction!W38)+W33+W34+W35+W36+W37+W38+W39+W40+W41+W42+W43+W44</f>
        <v>33.8446420578669</v>
      </c>
      <c r="X45" s="13" t="n">
        <f aca="false">Construction!X14*(Construction!X32+Construction!X38)+X33+X34+X35+X36+X37+X38+X39+X40+X41+X42+X43+X44</f>
        <v>35.702043382</v>
      </c>
      <c r="Y45" s="13" t="n">
        <f aca="false">Construction!Y14*(Construction!Y32+Construction!Y38)+Y33+Y34+Y35+Y36+Y37+Y38+Y39+Y40+Y41+Y42+Y43+Y44</f>
        <v>36.9373314380142</v>
      </c>
      <c r="Z45" s="13" t="n">
        <f aca="false">Construction!Z14*(Construction!Z32+Construction!Z38)+Z33+Z34+Z35+Z36+Z37+Z38+Z39+Z40+Z41+Z42+Z43+Z44</f>
        <v>37.7123082716366</v>
      </c>
      <c r="AA45" s="13" t="n">
        <f aca="false">Construction!AA14*(Construction!AA32+Construction!AA38)+AA33+AA34+AA35+AA36+AA37+AA38+AA39+AA40+AA41+AA42+AA43+AA44</f>
        <v>39.1217901396628</v>
      </c>
      <c r="AB45" s="13" t="n">
        <f aca="false">Construction!AB14*(Construction!AB32+Construction!AB38)+AB33+AB34+AB35+AB36+AB37+AB38+AB39+AB40+AB41+AB42+AB43+AB44</f>
        <v>37.312711921919</v>
      </c>
      <c r="AC45" s="13" t="n">
        <f aca="false">Construction!AC14*(Construction!AC32+Construction!AC38)+AC33+AC34+AC35+AC36+AC37+AC38+AC39+AC40+AC41+AC42+AC43+AC44</f>
        <v>36.427392978524</v>
      </c>
      <c r="AD45" s="13" t="n">
        <f aca="false">Construction!AD14*(Construction!AD32+Construction!AD38)+AD33+AD34+AD35+AD36+AD37+AD38+AD39+AD40+AD41+AD42+AD43+AD44</f>
        <v>34.8186713332065</v>
      </c>
      <c r="AE45" s="13" t="n">
        <f aca="false">Construction!AE14*(Construction!AE32+Construction!AE38)+AE33+AE34+AE35+AE36+AE37+AE38+AE39+AE40+AE41+AE42+AE43+AE44</f>
        <v>32.851029809365</v>
      </c>
      <c r="AF45" s="13" t="n">
        <f aca="false">Construction!AF14*(Construction!AF32+Construction!AF38)+AF33+AF34+AF35+AF36+AF37+AF38+AF39+AF40+AF41+AF42+AF43+AF44</f>
        <v>30.3177838694067</v>
      </c>
      <c r="AG45" s="13" t="n">
        <f aca="false">Construction!AG14*(Construction!AG32+Construction!AG38)+AG33+AG34+AG35+AG36+AG37+AG38+AG39+AG40+AG41+AG42+AG43+AG44</f>
        <v>27.5807189716798</v>
      </c>
      <c r="AH45" s="13" t="n">
        <f aca="false">Construction!AH14*(Construction!AH32+Construction!AH38)+AH33+AH34+AH35+AH36+AH37+AH38+AH39+AH40+AH41+AH42+AH43+AH44</f>
        <v>24.5099511985633</v>
      </c>
      <c r="AI45" s="13" t="n">
        <f aca="false">Construction!AI14*(Construction!AI32+Construction!AI38)+AI33+AI34+AI35+AI36+AI37+AI38+AI39+AI40+AI41+AI42+AI43+AI44</f>
        <v>21.2094698355244</v>
      </c>
      <c r="AJ45" s="13" t="n">
        <f aca="false">Construction!AJ14*(Construction!AJ32+Construction!AJ38)+AJ33+AJ34+AJ35+AJ36+AJ37+AJ38+AJ39+AJ40+AJ41+AJ42+AJ43+AJ44</f>
        <v>18.0285036139212</v>
      </c>
      <c r="AK45" s="13" t="n">
        <f aca="false">Construction!AK14*(Construction!AK32+Construction!AK38)+AK33+AK34+AK35+AK36+AK37+AK38+AK39+AK40+AK41+AK42+AK43+AK44</f>
        <v>14.7850889332989</v>
      </c>
      <c r="AL45" s="13" t="n">
        <f aca="false">Construction!AL14*(Construction!AL32+Construction!AL38)+AL33+AL34+AL35+AL36+AL37+AL38+AL39+AL40+AL41+AL42+AL43+AL44</f>
        <v>11.9315944629701</v>
      </c>
      <c r="AM45" s="13" t="n">
        <f aca="false">Construction!AM14*(Construction!AM32+Construction!AM38)+AM33+AM34+AM35+AM36+AM37+AM38+AM39+AM40+AM41+AM42+AM43+AM44</f>
        <v>9.37454115637233</v>
      </c>
      <c r="AN45" s="13" t="n">
        <f aca="false">Construction!AN14*(Construction!AN32+Construction!AN38)+AN33+AN34+AN35+AN36+AN37+AN38+AN39+AN40+AN41+AN42+AN43+AN44</f>
        <v>7.07826147743</v>
      </c>
      <c r="AO45" s="13" t="n">
        <f aca="false">Construction!AO14*(Construction!AO32+Construction!AO38)+AO33+AO34+AO35+AO36+AO37+AO38+AO39+AO40+AO41+AO42+AO43+AO44</f>
        <v>5.90951116768746</v>
      </c>
      <c r="AP45" s="13" t="n">
        <f aca="false">Construction!AP14*(Construction!AP32+Construction!AP38)+AP33+AP34+AP35+AP36+AP37+AP38+AP39+AP40+AP41+AP42+AP43+AP44</f>
        <v>58.2064793989217</v>
      </c>
      <c r="AQ45" s="13" t="n">
        <f aca="false">Construction!AQ14*(Construction!AQ32+Construction!AQ38)+AQ33+AQ34+AQ35+AQ36+AQ37+AQ38+AQ39+AQ40+AQ41+AQ42+AQ43+AQ44</f>
        <v>44.7276803157683</v>
      </c>
      <c r="AR45" s="13" t="n">
        <f aca="false">Construction!AR14*(Construction!AR32+Construction!AR38)+AR33+AR34+AR35+AR36+AR37+AR38+AR39+AR40+AR41+AR42+AR43+AR44</f>
        <v>3.95802015659281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689.875573432076</v>
      </c>
      <c r="K46" s="13" t="n">
        <f aca="false">$F$25-K28-K29-K30-K31</f>
        <v>593.841194621965</v>
      </c>
      <c r="L46" s="13" t="n">
        <f aca="false">$F$25-L28-L29-L30-L31</f>
        <v>591.834658592732</v>
      </c>
      <c r="M46" s="13" t="n">
        <f aca="false">$F$25-M28-M29-M30-M31</f>
        <v>589.271777515569</v>
      </c>
      <c r="N46" s="13" t="n">
        <f aca="false">$F$25-N28-N29-N30-N31</f>
        <v>585.640470082498</v>
      </c>
      <c r="O46" s="13" t="n">
        <f aca="false">$F$25-O28-O29-O30-O31</f>
        <v>580.403180216997</v>
      </c>
      <c r="P46" s="13" t="n">
        <f aca="false">$F$25-P28-P29-P30-P31</f>
        <v>573.177780611337</v>
      </c>
      <c r="Q46" s="13" t="n">
        <f aca="false">$F$25-Q28-Q29-Q30-Q31</f>
        <v>563.746180650349</v>
      </c>
      <c r="R46" s="13" t="n">
        <f aca="false">$F$25-R28-R29-R30-R31</f>
        <v>551.769538429081</v>
      </c>
      <c r="S46" s="13" t="n">
        <f aca="false">$F$25-S28-S29-S30-S31</f>
        <v>537.256353962165</v>
      </c>
      <c r="T46" s="13" t="n">
        <f aca="false">$F$25-T28-T29-T30-T31</f>
        <v>520.160294064514</v>
      </c>
      <c r="U46" s="13" t="n">
        <f aca="false">$F$25-U28-U29-U30-U31</f>
        <v>500.647424005943</v>
      </c>
      <c r="V46" s="13" t="n">
        <f aca="false">$F$25-V28-V29-V30-V31</f>
        <v>478.816023556703</v>
      </c>
      <c r="W46" s="13" t="n">
        <f aca="false">$F$25-W28-W29-W30-W31</f>
        <v>454.947207260758</v>
      </c>
      <c r="X46" s="13" t="n">
        <f aca="false">$F$25-X28-X29-X30-X31</f>
        <v>429.384594568969</v>
      </c>
      <c r="Y46" s="13" t="n">
        <f aca="false">$F$25-Y28-Y29-Y30-Y31</f>
        <v>402.41910012766</v>
      </c>
      <c r="Z46" s="13" t="n">
        <f aca="false">$F$25-Z28-Z29-Z30-Z31</f>
        <v>374.520601576433</v>
      </c>
      <c r="AA46" s="13" t="n">
        <f aca="false">$F$25-AA28-AA29-AA30-AA31</f>
        <v>346.036768643204</v>
      </c>
      <c r="AB46" s="13" t="n">
        <f aca="false">$F$25-AB28-AB29-AB30-AB31</f>
        <v>316.488364277167</v>
      </c>
      <c r="AC46" s="13" t="n">
        <f aca="false">$F$25-AC28-AC29-AC30-AC31</f>
        <v>288.306343568852</v>
      </c>
      <c r="AD46" s="13" t="n">
        <f aca="false">$F$25-AD28-AD29-AD30-AD31</f>
        <v>260.792997837805</v>
      </c>
      <c r="AE46" s="13" t="n">
        <f aca="false">$F$25-AE28-AE29-AE30-AE31</f>
        <v>234.494707898392</v>
      </c>
      <c r="AF46" s="13" t="n">
        <f aca="false">$F$25-AF28-AF29-AF30-AF31</f>
        <v>209.682563331833</v>
      </c>
      <c r="AG46" s="13" t="n">
        <f aca="false">$F$25-AG28-AG29-AG30-AG31</f>
        <v>186.78376105164</v>
      </c>
      <c r="AH46" s="13" t="n">
        <f aca="false">$F$25-AH28-AH29-AH30-AH31</f>
        <v>165.95224403844</v>
      </c>
      <c r="AI46" s="13" t="n">
        <f aca="false">$F$25-AI28-AI29-AI30-AI31</f>
        <v>147.440055653871</v>
      </c>
      <c r="AJ46" s="13" t="n">
        <f aca="false">$F$25-AJ28-AJ29-AJ30-AJ31</f>
        <v>131.42069690643</v>
      </c>
      <c r="AK46" s="13" t="n">
        <f aca="false">$F$25-AK28-AK29-AK30-AK31</f>
        <v>117.803898876561</v>
      </c>
      <c r="AL46" s="13" t="n">
        <f aca="false">$F$25-AL28-AL29-AL30-AL31</f>
        <v>106.63682843246</v>
      </c>
      <c r="AM46" s="13" t="n">
        <f aca="false">$F$25-AM28-AM29-AM30-AM31</f>
        <v>97.6249816671461</v>
      </c>
      <c r="AN46" s="13" t="n">
        <f aca="false">$F$25-AN28-AN29-AN30-AN31</f>
        <v>90.5444587195595</v>
      </c>
      <c r="AO46" s="13" t="n">
        <f aca="false">$F$25-AO28-AO29-AO30-AO31</f>
        <v>85.1982991599639</v>
      </c>
      <c r="AP46" s="13" t="n">
        <f aca="false">$F$25-AP28-AP29-AP30-AP31</f>
        <v>80.7348882330848</v>
      </c>
      <c r="AQ46" s="13" t="n">
        <f aca="false">$F$25-AQ28-AQ29-AQ30-AQ31</f>
        <v>36.771956479124</v>
      </c>
      <c r="AR46" s="13" t="n">
        <f aca="false">$F$25-AR28-AR29-AR30-AR31</f>
        <v>2.98946391917161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689.875573432076</v>
      </c>
      <c r="J47" s="13" t="n">
        <f aca="false">MIN($F$26*J45/(1-Inputs!$F$94/100*Inputs!$F$75*$F$26),J46)</f>
        <v>96.0343788101108</v>
      </c>
      <c r="K47" s="13" t="n">
        <f aca="false">MIN($F$26*K45/(1-Inputs!$F$94/100*Inputs!$F$75*$F$26),K46)</f>
        <v>2.00653602923308</v>
      </c>
      <c r="L47" s="13" t="n">
        <f aca="false">MIN($F$26*L45/(1-Inputs!$F$94/100*Inputs!$F$75*$F$26),L46)</f>
        <v>2.56288107716301</v>
      </c>
      <c r="M47" s="13" t="n">
        <f aca="false">MIN($F$26*M45/(1-Inputs!$F$94/100*Inputs!$F$75*$F$26),M46)</f>
        <v>3.63130743307055</v>
      </c>
      <c r="N47" s="13" t="n">
        <f aca="false">MIN($F$26*N45/(1-Inputs!$F$94/100*Inputs!$F$75*$F$26),N46)</f>
        <v>5.2372898655014</v>
      </c>
      <c r="O47" s="13" t="n">
        <f aca="false">MIN($F$26*O45/(1-Inputs!$F$94/100*Inputs!$F$75*$F$26),O46)</f>
        <v>7.22539960566009</v>
      </c>
      <c r="P47" s="13" t="n">
        <f aca="false">MIN($F$26*P45/(1-Inputs!$F$94/100*Inputs!$F$75*$F$26),P46)</f>
        <v>9.43159996098741</v>
      </c>
      <c r="Q47" s="13" t="n">
        <f aca="false">MIN($F$26*Q45/(1-Inputs!$F$94/100*Inputs!$F$75*$F$26),Q46)</f>
        <v>11.9766422212687</v>
      </c>
      <c r="R47" s="13" t="n">
        <f aca="false">MIN($F$26*R45/(1-Inputs!$F$94/100*Inputs!$F$75*$F$26),R46)</f>
        <v>14.5131844669153</v>
      </c>
      <c r="S47" s="13" t="n">
        <f aca="false">MIN($F$26*S45/(1-Inputs!$F$94/100*Inputs!$F$75*$F$26),S46)</f>
        <v>17.0960598976508</v>
      </c>
      <c r="T47" s="13" t="n">
        <f aca="false">MIN($F$26*T45/(1-Inputs!$F$94/100*Inputs!$F$75*$F$26),T46)</f>
        <v>19.5128700585717</v>
      </c>
      <c r="U47" s="13" t="n">
        <f aca="false">MIN($F$26*U45/(1-Inputs!$F$94/100*Inputs!$F$75*$F$26),U46)</f>
        <v>21.8314004492399</v>
      </c>
      <c r="V47" s="13" t="n">
        <f aca="false">MIN($F$26*V45/(1-Inputs!$F$94/100*Inputs!$F$75*$F$26),V46)</f>
        <v>23.8688162959445</v>
      </c>
      <c r="W47" s="13" t="n">
        <f aca="false">MIN($F$26*W45/(1-Inputs!$F$94/100*Inputs!$F$75*$F$26),W46)</f>
        <v>25.5626126917891</v>
      </c>
      <c r="X47" s="13" t="n">
        <f aca="false">MIN($F$26*X45/(1-Inputs!$F$94/100*Inputs!$F$75*$F$26),X46)</f>
        <v>26.9654944413094</v>
      </c>
      <c r="Y47" s="13" t="n">
        <f aca="false">MIN($F$26*Y45/(1-Inputs!$F$94/100*Inputs!$F$75*$F$26),Y46)</f>
        <v>27.8984985512271</v>
      </c>
      <c r="Z47" s="13" t="n">
        <f aca="false">MIN($F$26*Z45/(1-Inputs!$F$94/100*Inputs!$F$75*$F$26),Z46)</f>
        <v>28.4838329332285</v>
      </c>
      <c r="AA47" s="13" t="n">
        <f aca="false">MIN($F$26*AA45/(1-Inputs!$F$94/100*Inputs!$F$75*$F$26),AA46)</f>
        <v>29.5484043660376</v>
      </c>
      <c r="AB47" s="13" t="n">
        <f aca="false">MIN($F$26*AB45/(1-Inputs!$F$94/100*Inputs!$F$75*$F$26),AB46)</f>
        <v>28.182020708315</v>
      </c>
      <c r="AC47" s="13" t="n">
        <f aca="false">MIN($F$26*AC45/(1-Inputs!$F$94/100*Inputs!$F$75*$F$26),AC46)</f>
        <v>27.5133457310464</v>
      </c>
      <c r="AD47" s="13" t="n">
        <f aca="false">MIN($F$26*AD45/(1-Inputs!$F$94/100*Inputs!$F$75*$F$26),AD46)</f>
        <v>26.2982899394136</v>
      </c>
      <c r="AE47" s="13" t="n">
        <f aca="false">MIN($F$26*AE45/(1-Inputs!$F$94/100*Inputs!$F$75*$F$26),AE46)</f>
        <v>24.8121445665583</v>
      </c>
      <c r="AF47" s="13" t="n">
        <f aca="false">MIN($F$26*AF45/(1-Inputs!$F$94/100*Inputs!$F$75*$F$26),AF46)</f>
        <v>22.8988022801934</v>
      </c>
      <c r="AG47" s="13" t="n">
        <f aca="false">MIN($F$26*AG45/(1-Inputs!$F$94/100*Inputs!$F$75*$F$26),AG46)</f>
        <v>20.8315170132003</v>
      </c>
      <c r="AH47" s="13" t="n">
        <f aca="false">MIN($F$26*AH45/(1-Inputs!$F$94/100*Inputs!$F$75*$F$26),AH46)</f>
        <v>18.5121883845686</v>
      </c>
      <c r="AI47" s="13" t="n">
        <f aca="false">MIN($F$26*AI45/(1-Inputs!$F$94/100*Inputs!$F$75*$F$26),AI46)</f>
        <v>16.0193587474408</v>
      </c>
      <c r="AJ47" s="13" t="n">
        <f aca="false">MIN($F$26*AJ45/(1-Inputs!$F$94/100*Inputs!$F$75*$F$26),AJ46)</f>
        <v>13.6167980298691</v>
      </c>
      <c r="AK47" s="13" t="n">
        <f aca="false">MIN($F$26*AK45/(1-Inputs!$F$94/100*Inputs!$F$75*$F$26),AK46)</f>
        <v>11.1670704441008</v>
      </c>
      <c r="AL47" s="13" t="n">
        <f aca="false">MIN($F$26*AL45/(1-Inputs!$F$94/100*Inputs!$F$75*$F$26),AL46)</f>
        <v>9.01184676531405</v>
      </c>
      <c r="AM47" s="13" t="n">
        <f aca="false">MIN($F$26*AM45/(1-Inputs!$F$94/100*Inputs!$F$75*$F$26),AM46)</f>
        <v>7.08052294758663</v>
      </c>
      <c r="AN47" s="13" t="n">
        <f aca="false">MIN($F$26*AN45/(1-Inputs!$F$94/100*Inputs!$F$75*$F$26),AN46)</f>
        <v>5.34615955959552</v>
      </c>
      <c r="AO47" s="13" t="n">
        <f aca="false">MIN($F$26*AO45/(1-Inputs!$F$94/100*Inputs!$F$75*$F$26),AO46)</f>
        <v>4.46341092687915</v>
      </c>
      <c r="AP47" s="13" t="n">
        <f aca="false">MIN($F$26*AP45/(1-Inputs!$F$94/100*Inputs!$F$75*$F$26),AP46)</f>
        <v>43.9629317539608</v>
      </c>
      <c r="AQ47" s="13" t="n">
        <f aca="false">MIN($F$26*AQ45/(1-Inputs!$F$94/100*Inputs!$F$75*$F$26),AQ46)</f>
        <v>33.7824925599524</v>
      </c>
      <c r="AR47" s="13" t="n">
        <f aca="false">MIN($F$26*AR45/(1-Inputs!$F$94/100*Inputs!$F$75*$F$26),AR46)</f>
        <v>2.98946391917161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22.4554499152141</v>
      </c>
      <c r="J48" s="13" t="n">
        <f aca="false">Inputs!$F$94/100*Inputs!$F$75*J47</f>
        <v>3.12591903026911</v>
      </c>
      <c r="K48" s="13" t="n">
        <f aca="false">Inputs!$F$94/100*Inputs!$F$75*K47</f>
        <v>0.0653127477515368</v>
      </c>
      <c r="L48" s="13" t="n">
        <f aca="false">Inputs!$F$94/100*Inputs!$F$75*L47</f>
        <v>0.0834217790616558</v>
      </c>
      <c r="M48" s="13" t="n">
        <f aca="false">Inputs!$F$94/100*Inputs!$F$75*M47</f>
        <v>0.118199056946446</v>
      </c>
      <c r="N48" s="13" t="n">
        <f aca="false">Inputs!$F$94/100*Inputs!$F$75*N47</f>
        <v>0.17047378512207</v>
      </c>
      <c r="O48" s="13" t="n">
        <f aca="false">Inputs!$F$94/100*Inputs!$F$75*O47</f>
        <v>0.235186757164236</v>
      </c>
      <c r="P48" s="13" t="n">
        <f aca="false">Inputs!$F$94/100*Inputs!$F$75*P47</f>
        <v>0.30699857873014</v>
      </c>
      <c r="Q48" s="13" t="n">
        <f aca="false">Inputs!$F$94/100*Inputs!$F$75*Q47</f>
        <v>0.389839704302297</v>
      </c>
      <c r="R48" s="13" t="n">
        <f aca="false">Inputs!$F$94/100*Inputs!$F$75*R47</f>
        <v>0.472404154398093</v>
      </c>
      <c r="S48" s="13" t="n">
        <f aca="false">Inputs!$F$94/100*Inputs!$F$75*S47</f>
        <v>0.556476749668534</v>
      </c>
      <c r="T48" s="13" t="n">
        <f aca="false">Inputs!$F$94/100*Inputs!$F$75*T47</f>
        <v>0.635143920406509</v>
      </c>
      <c r="U48" s="13" t="n">
        <f aca="false">Inputs!$F$94/100*Inputs!$F$75*U47</f>
        <v>0.710612084622759</v>
      </c>
      <c r="V48" s="13" t="n">
        <f aca="false">Inputs!$F$94/100*Inputs!$F$75*V47</f>
        <v>0.776929970432992</v>
      </c>
      <c r="W48" s="13" t="n">
        <f aca="false">Inputs!$F$94/100*Inputs!$F$75*W47</f>
        <v>0.832063043117734</v>
      </c>
      <c r="X48" s="13" t="n">
        <f aca="false">Inputs!$F$94/100*Inputs!$F$75*X47</f>
        <v>0.877726844064621</v>
      </c>
      <c r="Y48" s="13" t="n">
        <f aca="false">Inputs!$F$94/100*Inputs!$F$75*Y47</f>
        <v>0.908096127842443</v>
      </c>
      <c r="Z48" s="13" t="n">
        <f aca="false">Inputs!$F$94/100*Inputs!$F$75*Z47</f>
        <v>0.927148761976588</v>
      </c>
      <c r="AA48" s="13" t="n">
        <f aca="false">Inputs!$F$94/100*Inputs!$F$75*AA47</f>
        <v>0.961800562114523</v>
      </c>
      <c r="AB48" s="13" t="n">
        <f aca="false">Inputs!$F$94/100*Inputs!$F$75*AB47</f>
        <v>0.917324774055654</v>
      </c>
      <c r="AC48" s="13" t="n">
        <f aca="false">Inputs!$F$94/100*Inputs!$F$75*AC47</f>
        <v>0.89555940354556</v>
      </c>
      <c r="AD48" s="13" t="n">
        <f aca="false">Inputs!$F$94/100*Inputs!$F$75*AD47</f>
        <v>0.856009337527914</v>
      </c>
      <c r="AE48" s="13" t="n">
        <f aca="false">Inputs!$F$94/100*Inputs!$F$75*AE47</f>
        <v>0.807635305641473</v>
      </c>
      <c r="AF48" s="13" t="n">
        <f aca="false">Inputs!$F$94/100*Inputs!$F$75*AF47</f>
        <v>0.745356014220296</v>
      </c>
      <c r="AG48" s="13" t="n">
        <f aca="false">Inputs!$F$94/100*Inputs!$F$75*AG47</f>
        <v>0.678065878779669</v>
      </c>
      <c r="AH48" s="13" t="n">
        <f aca="false">Inputs!$F$94/100*Inputs!$F$75*AH47</f>
        <v>0.602571731917708</v>
      </c>
      <c r="AI48" s="13" t="n">
        <f aca="false">Inputs!$F$94/100*Inputs!$F$75*AI47</f>
        <v>0.521430127229199</v>
      </c>
      <c r="AJ48" s="13" t="n">
        <f aca="false">Inputs!$F$94/100*Inputs!$F$75*AJ47</f>
        <v>0.44322677587224</v>
      </c>
      <c r="AK48" s="13" t="n">
        <f aca="false">Inputs!$F$94/100*Inputs!$F$75*AK47</f>
        <v>0.363488142955482</v>
      </c>
      <c r="AL48" s="13" t="n">
        <f aca="false">Inputs!$F$94/100*Inputs!$F$75*AL47</f>
        <v>0.293335612210972</v>
      </c>
      <c r="AM48" s="13" t="n">
        <f aca="false">Inputs!$F$94/100*Inputs!$F$75*AM47</f>
        <v>0.230471021943945</v>
      </c>
      <c r="AN48" s="13" t="n">
        <f aca="false">Inputs!$F$94/100*Inputs!$F$75*AN47</f>
        <v>0.174017493664834</v>
      </c>
      <c r="AO48" s="13" t="n">
        <f aca="false">Inputs!$F$94/100*Inputs!$F$75*AO47</f>
        <v>0.145284025669916</v>
      </c>
      <c r="AP48" s="13" t="n">
        <f aca="false">Inputs!$F$94/100*Inputs!$F$75*AP47</f>
        <v>1.43099342859142</v>
      </c>
      <c r="AQ48" s="13" t="n">
        <f aca="false">Inputs!$F$94/100*Inputs!$F$75*AQ47</f>
        <v>1.09962013282645</v>
      </c>
      <c r="AR48" s="13" t="n">
        <f aca="false">Inputs!$F$94/100*Inputs!$F$75*AR47</f>
        <v>0.097307050569036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935.843769364034</v>
      </c>
      <c r="J49" s="13" t="n">
        <f aca="false">J45+J48</f>
        <v>130.274470520931</v>
      </c>
      <c r="K49" s="13" t="n">
        <f aca="false">K45+K48</f>
        <v>2.72194626578863</v>
      </c>
      <c r="L49" s="13" t="n">
        <f aca="false">L45+L48</f>
        <v>3.47665054402761</v>
      </c>
      <c r="M49" s="13" t="n">
        <f aca="false">M45+M48</f>
        <v>4.92601356934254</v>
      </c>
      <c r="N49" s="13" t="n">
        <f aca="false">N45+N48</f>
        <v>7.10459288274171</v>
      </c>
      <c r="O49" s="13" t="n">
        <f aca="false">O45+O48</f>
        <v>9.80154315144498</v>
      </c>
      <c r="P49" s="13" t="n">
        <f aca="false">P45+P48</f>
        <v>12.7943420502816</v>
      </c>
      <c r="Q49" s="13" t="n">
        <f aca="false">Q45+Q48</f>
        <v>16.2467935267172</v>
      </c>
      <c r="R49" s="13" t="n">
        <f aca="false">R45+R48</f>
        <v>19.6877143938056</v>
      </c>
      <c r="S49" s="13" t="n">
        <f aca="false">S45+S48</f>
        <v>23.1914880770396</v>
      </c>
      <c r="T49" s="13" t="n">
        <f aca="false">T45+T48</f>
        <v>26.4699875890334</v>
      </c>
      <c r="U49" s="13" t="n">
        <f aca="false">U45+U48</f>
        <v>29.6151666673323</v>
      </c>
      <c r="V49" s="13" t="n">
        <f aca="false">V45+V48</f>
        <v>32.3790026388775</v>
      </c>
      <c r="W49" s="13" t="n">
        <f aca="false">W45+W48</f>
        <v>34.6767051009847</v>
      </c>
      <c r="X49" s="13" t="n">
        <f aca="false">X45+X48</f>
        <v>36.5797702260646</v>
      </c>
      <c r="Y49" s="13" t="n">
        <f aca="false">Y45+Y48</f>
        <v>37.8454275658566</v>
      </c>
      <c r="Z49" s="13" t="n">
        <f aca="false">Z45+Z48</f>
        <v>38.6394570336132</v>
      </c>
      <c r="AA49" s="13" t="n">
        <f aca="false">AA45+AA48</f>
        <v>40.0835907017774</v>
      </c>
      <c r="AB49" s="13" t="n">
        <f aca="false">AB45+AB48</f>
        <v>38.2300366959746</v>
      </c>
      <c r="AC49" s="13" t="n">
        <f aca="false">AC45+AC48</f>
        <v>37.3229523820696</v>
      </c>
      <c r="AD49" s="13" t="n">
        <f aca="false">AD45+AD48</f>
        <v>35.6746806707344</v>
      </c>
      <c r="AE49" s="13" t="n">
        <f aca="false">AE45+AE48</f>
        <v>33.6586651150064</v>
      </c>
      <c r="AF49" s="13" t="n">
        <f aca="false">AF45+AF48</f>
        <v>31.063139883627</v>
      </c>
      <c r="AG49" s="13" t="n">
        <f aca="false">AG45+AG48</f>
        <v>28.2587848504594</v>
      </c>
      <c r="AH49" s="13" t="n">
        <f aca="false">AH45+AH48</f>
        <v>25.1125229304811</v>
      </c>
      <c r="AI49" s="13" t="n">
        <f aca="false">AI45+AI48</f>
        <v>21.7308999627536</v>
      </c>
      <c r="AJ49" s="13" t="n">
        <f aca="false">AJ45+AJ48</f>
        <v>18.4717303897935</v>
      </c>
      <c r="AK49" s="13" t="n">
        <f aca="false">AK45+AK48</f>
        <v>15.1485770762544</v>
      </c>
      <c r="AL49" s="13" t="n">
        <f aca="false">AL45+AL48</f>
        <v>12.2249300751811</v>
      </c>
      <c r="AM49" s="13" t="n">
        <f aca="false">AM45+AM48</f>
        <v>9.60501217831628</v>
      </c>
      <c r="AN49" s="13" t="n">
        <f aca="false">AN45+AN48</f>
        <v>7.25227897109484</v>
      </c>
      <c r="AO49" s="13" t="n">
        <f aca="false">AO45+AO48</f>
        <v>6.05479519335737</v>
      </c>
      <c r="AP49" s="13" t="n">
        <f aca="false">AP45+AP48</f>
        <v>59.6374728275131</v>
      </c>
      <c r="AQ49" s="13" t="n">
        <f aca="false">AQ45+AQ48</f>
        <v>45.8273004485947</v>
      </c>
      <c r="AR49" s="13" t="n">
        <f aca="false">AR45+AR48</f>
        <v>4.05532720716185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935.843769364033</v>
      </c>
      <c r="J50" s="13" t="n">
        <f aca="false">J47/$F$26</f>
        <v>130.274470520931</v>
      </c>
      <c r="K50" s="13" t="n">
        <f aca="false">K47/$F$26</f>
        <v>2.72194626578863</v>
      </c>
      <c r="L50" s="13" t="n">
        <f aca="false">L47/$F$26</f>
        <v>3.47665054402761</v>
      </c>
      <c r="M50" s="13" t="n">
        <f aca="false">M47/$F$26</f>
        <v>4.92601356934254</v>
      </c>
      <c r="N50" s="13" t="n">
        <f aca="false">N47/$F$26</f>
        <v>7.10459288274171</v>
      </c>
      <c r="O50" s="13" t="n">
        <f aca="false">O47/$F$26</f>
        <v>9.80154315144498</v>
      </c>
      <c r="P50" s="13" t="n">
        <f aca="false">P47/$F$26</f>
        <v>12.7943420502816</v>
      </c>
      <c r="Q50" s="13" t="n">
        <f aca="false">Q47/$F$26</f>
        <v>16.2467935267172</v>
      </c>
      <c r="R50" s="13" t="n">
        <f aca="false">R47/$F$26</f>
        <v>19.6877143938056</v>
      </c>
      <c r="S50" s="13" t="n">
        <f aca="false">S47/$F$26</f>
        <v>23.1914880770396</v>
      </c>
      <c r="T50" s="13" t="n">
        <f aca="false">T47/$F$26</f>
        <v>26.4699875890334</v>
      </c>
      <c r="U50" s="13" t="n">
        <f aca="false">U47/$F$26</f>
        <v>29.6151666673323</v>
      </c>
      <c r="V50" s="13" t="n">
        <f aca="false">V47/$F$26</f>
        <v>32.3790026388775</v>
      </c>
      <c r="W50" s="13" t="n">
        <f aca="false">W47/$F$26</f>
        <v>34.6767051009846</v>
      </c>
      <c r="X50" s="13" t="n">
        <f aca="false">X47/$F$26</f>
        <v>36.5797702260646</v>
      </c>
      <c r="Y50" s="13" t="n">
        <f aca="false">Y47/$F$26</f>
        <v>37.8454275658566</v>
      </c>
      <c r="Z50" s="13" t="n">
        <f aca="false">Z47/$F$26</f>
        <v>38.6394570336132</v>
      </c>
      <c r="AA50" s="13" t="n">
        <f aca="false">AA47/$F$26</f>
        <v>40.0835907017774</v>
      </c>
      <c r="AB50" s="13" t="n">
        <f aca="false">AB47/$F$26</f>
        <v>38.2300366959746</v>
      </c>
      <c r="AC50" s="13" t="n">
        <f aca="false">AC47/$F$26</f>
        <v>37.3229523820696</v>
      </c>
      <c r="AD50" s="13" t="n">
        <f aca="false">AD47/$F$26</f>
        <v>35.6746806707344</v>
      </c>
      <c r="AE50" s="13" t="n">
        <f aca="false">AE47/$F$26</f>
        <v>33.6586651150064</v>
      </c>
      <c r="AF50" s="13" t="n">
        <f aca="false">AF47/$F$26</f>
        <v>31.063139883627</v>
      </c>
      <c r="AG50" s="13" t="n">
        <f aca="false">AG47/$F$26</f>
        <v>28.2587848504594</v>
      </c>
      <c r="AH50" s="13" t="n">
        <f aca="false">AH47/$F$26</f>
        <v>25.1125229304811</v>
      </c>
      <c r="AI50" s="13" t="n">
        <f aca="false">AI47/$F$26</f>
        <v>21.7308999627536</v>
      </c>
      <c r="AJ50" s="13" t="n">
        <f aca="false">AJ47/$F$26</f>
        <v>18.4717303897935</v>
      </c>
      <c r="AK50" s="13" t="n">
        <f aca="false">AK47/$F$26</f>
        <v>15.1485770762544</v>
      </c>
      <c r="AL50" s="13" t="n">
        <f aca="false">AL47/$F$26</f>
        <v>12.2249300751811</v>
      </c>
      <c r="AM50" s="13" t="n">
        <f aca="false">AM47/$F$26</f>
        <v>9.60501217831628</v>
      </c>
      <c r="AN50" s="13" t="n">
        <f aca="false">AN47/$F$26</f>
        <v>7.25227897109484</v>
      </c>
      <c r="AO50" s="13" t="n">
        <f aca="false">AO47/$F$26</f>
        <v>6.05479519335737</v>
      </c>
      <c r="AP50" s="13" t="n">
        <f aca="false">AP47/$F$26</f>
        <v>59.6374728275131</v>
      </c>
      <c r="AQ50" s="13" t="n">
        <f aca="false">AQ47/$F$26</f>
        <v>45.8273004485947</v>
      </c>
      <c r="AR50" s="13" t="n">
        <f aca="false">AR47/$F$26</f>
        <v>4.05532720716165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1.99840144432528E-013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1.49880108324396E-013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1.49880108324396E-013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4.9960036108132E-014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4.9960036108132E-014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206.962672029623</v>
      </c>
      <c r="J57" s="13" t="n">
        <f aca="false">Inputs!$F$75*J47</f>
        <v>28.8103136430332</v>
      </c>
      <c r="K57" s="13" t="n">
        <f aca="false">Inputs!$F$75*K47</f>
        <v>0.601960808769925</v>
      </c>
      <c r="L57" s="13" t="n">
        <f aca="false">Inputs!$F$75*L47</f>
        <v>0.768864323148902</v>
      </c>
      <c r="M57" s="13" t="n">
        <f aca="false">Inputs!$F$75*M47</f>
        <v>1.08939222992116</v>
      </c>
      <c r="N57" s="13" t="n">
        <f aca="false">Inputs!$F$75*N47</f>
        <v>1.57118695965042</v>
      </c>
      <c r="O57" s="13" t="n">
        <f aca="false">Inputs!$F$75*O47</f>
        <v>2.16761988169803</v>
      </c>
      <c r="P57" s="13" t="n">
        <f aca="false">Inputs!$F$75*P47</f>
        <v>2.82947998829622</v>
      </c>
      <c r="Q57" s="13" t="n">
        <f aca="false">Inputs!$F$75*Q47</f>
        <v>3.59299266638062</v>
      </c>
      <c r="R57" s="13" t="n">
        <f aca="false">Inputs!$F$75*R47</f>
        <v>4.35395534007459</v>
      </c>
      <c r="S57" s="13" t="n">
        <f aca="false">Inputs!$F$75*S47</f>
        <v>5.12881796929524</v>
      </c>
      <c r="T57" s="13" t="n">
        <f aca="false">Inputs!$F$75*T47</f>
        <v>5.85386101757151</v>
      </c>
      <c r="U57" s="13" t="n">
        <f aca="false">Inputs!$F$75*U47</f>
        <v>6.54942013477197</v>
      </c>
      <c r="V57" s="13" t="n">
        <f aca="false">Inputs!$F$75*V47</f>
        <v>7.16064488878333</v>
      </c>
      <c r="W57" s="13" t="n">
        <f aca="false">Inputs!$F$75*W47</f>
        <v>7.66878380753672</v>
      </c>
      <c r="X57" s="13" t="n">
        <f aca="false">Inputs!$F$75*X47</f>
        <v>8.08964833239282</v>
      </c>
      <c r="Y57" s="13" t="n">
        <f aca="false">Inputs!$F$75*Y47</f>
        <v>8.36954956536814</v>
      </c>
      <c r="Z57" s="13" t="n">
        <f aca="false">Inputs!$F$75*Z47</f>
        <v>8.54514987996855</v>
      </c>
      <c r="AA57" s="13" t="n">
        <f aca="false">Inputs!$F$75*AA47</f>
        <v>8.86452130981127</v>
      </c>
      <c r="AB57" s="13" t="n">
        <f aca="false">Inputs!$F$75*AB47</f>
        <v>8.4546062124945</v>
      </c>
      <c r="AC57" s="13" t="n">
        <f aca="false">Inputs!$F$75*AC47</f>
        <v>8.25400371931391</v>
      </c>
      <c r="AD57" s="13" t="n">
        <f aca="false">Inputs!$F$75*AD47</f>
        <v>7.88948698182409</v>
      </c>
      <c r="AE57" s="13" t="n">
        <f aca="false">Inputs!$F$75*AE47</f>
        <v>7.4436433699675</v>
      </c>
      <c r="AF57" s="13" t="n">
        <f aca="false">Inputs!$F$75*AF47</f>
        <v>6.86964068405802</v>
      </c>
      <c r="AG57" s="13" t="n">
        <f aca="false">Inputs!$F$75*AG47</f>
        <v>6.24945510396009</v>
      </c>
      <c r="AH57" s="13" t="n">
        <f aca="false">Inputs!$F$75*AH47</f>
        <v>5.55365651537058</v>
      </c>
      <c r="AI57" s="13" t="n">
        <f aca="false">Inputs!$F$75*AI47</f>
        <v>4.80580762423225</v>
      </c>
      <c r="AJ57" s="13" t="n">
        <f aca="false">Inputs!$F$75*AJ47</f>
        <v>4.08503940896074</v>
      </c>
      <c r="AK57" s="13" t="n">
        <f aca="false">Inputs!$F$75*AK47</f>
        <v>3.35012113323025</v>
      </c>
      <c r="AL57" s="13" t="n">
        <f aca="false">Inputs!$F$75*AL47</f>
        <v>2.70355402959422</v>
      </c>
      <c r="AM57" s="13" t="n">
        <f aca="false">Inputs!$F$75*AM47</f>
        <v>2.12415688427599</v>
      </c>
      <c r="AN57" s="13" t="n">
        <f aca="false">Inputs!$F$75*AN47</f>
        <v>1.60384786787866</v>
      </c>
      <c r="AO57" s="13" t="n">
        <f aca="false">Inputs!$F$75*AO47</f>
        <v>1.33902327806374</v>
      </c>
      <c r="AP57" s="13" t="n">
        <f aca="false">Inputs!$F$75*AP47</f>
        <v>13.1888795261882</v>
      </c>
      <c r="AQ57" s="13" t="n">
        <f aca="false">Inputs!$F$75*AQ47</f>
        <v>10.1347477679857</v>
      </c>
      <c r="AR57" s="13" t="n">
        <f aca="false">Inputs!$F$75*AR47</f>
        <v>0.896839175751484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151.772626155057</v>
      </c>
      <c r="J58" s="13" t="n">
        <f aca="false">Inputs!$F$76*J47</f>
        <v>21.1275633382244</v>
      </c>
      <c r="K58" s="13" t="n">
        <f aca="false">Inputs!$F$76*K47</f>
        <v>0.441437926431278</v>
      </c>
      <c r="L58" s="13" t="n">
        <f aca="false">Inputs!$F$76*L47</f>
        <v>0.563833836975861</v>
      </c>
      <c r="M58" s="13" t="n">
        <f aca="false">Inputs!$F$76*M47</f>
        <v>0.79888763527552</v>
      </c>
      <c r="N58" s="13" t="n">
        <f aca="false">Inputs!$F$76*N47</f>
        <v>1.15220377041031</v>
      </c>
      <c r="O58" s="13" t="n">
        <f aca="false">Inputs!$F$76*O47</f>
        <v>1.58958791324522</v>
      </c>
      <c r="P58" s="13" t="n">
        <f aca="false">Inputs!$F$76*P47</f>
        <v>2.07495199141723</v>
      </c>
      <c r="Q58" s="13" t="n">
        <f aca="false">Inputs!$F$76*Q47</f>
        <v>2.63486128867912</v>
      </c>
      <c r="R58" s="13" t="n">
        <f aca="false">Inputs!$F$76*R47</f>
        <v>3.19290058272137</v>
      </c>
      <c r="S58" s="13" t="n">
        <f aca="false">Inputs!$F$76*S47</f>
        <v>3.76113317748318</v>
      </c>
      <c r="T58" s="13" t="n">
        <f aca="false">Inputs!$F$76*T47</f>
        <v>4.29283141288577</v>
      </c>
      <c r="U58" s="13" t="n">
        <f aca="false">Inputs!$F$76*U47</f>
        <v>4.80290809883278</v>
      </c>
      <c r="V58" s="13" t="n">
        <f aca="false">Inputs!$F$76*V47</f>
        <v>5.25113958510778</v>
      </c>
      <c r="W58" s="13" t="n">
        <f aca="false">Inputs!$F$76*W47</f>
        <v>5.62377479219359</v>
      </c>
      <c r="X58" s="13" t="n">
        <f aca="false">Inputs!$F$76*X47</f>
        <v>5.93240877708807</v>
      </c>
      <c r="Y58" s="13" t="n">
        <f aca="false">Inputs!$F$76*Y47</f>
        <v>6.13766968126997</v>
      </c>
      <c r="Z58" s="13" t="n">
        <f aca="false">Inputs!$F$76*Z47</f>
        <v>6.26644324531027</v>
      </c>
      <c r="AA58" s="13" t="n">
        <f aca="false">Inputs!$F$76*AA47</f>
        <v>6.50064896052827</v>
      </c>
      <c r="AB58" s="13" t="n">
        <f aca="false">Inputs!$F$76*AB47</f>
        <v>6.2000445558293</v>
      </c>
      <c r="AC58" s="13" t="n">
        <f aca="false">Inputs!$F$76*AC47</f>
        <v>6.0529360608302</v>
      </c>
      <c r="AD58" s="13" t="n">
        <f aca="false">Inputs!$F$76*AD47</f>
        <v>5.785623786671</v>
      </c>
      <c r="AE58" s="13" t="n">
        <f aca="false">Inputs!$F$76*AE47</f>
        <v>5.45867180464283</v>
      </c>
      <c r="AF58" s="13" t="n">
        <f aca="false">Inputs!$F$76*AF47</f>
        <v>5.03773650164255</v>
      </c>
      <c r="AG58" s="13" t="n">
        <f aca="false">Inputs!$F$76*AG47</f>
        <v>4.58293374290406</v>
      </c>
      <c r="AH58" s="13" t="n">
        <f aca="false">Inputs!$F$76*AH47</f>
        <v>4.07268144460509</v>
      </c>
      <c r="AI58" s="13" t="n">
        <f aca="false">Inputs!$F$76*AI47</f>
        <v>3.52425892443698</v>
      </c>
      <c r="AJ58" s="13" t="n">
        <f aca="false">Inputs!$F$76*AJ47</f>
        <v>2.99569556657121</v>
      </c>
      <c r="AK58" s="13" t="n">
        <f aca="false">Inputs!$F$76*AK47</f>
        <v>2.45675549770218</v>
      </c>
      <c r="AL58" s="13" t="n">
        <f aca="false">Inputs!$F$76*AL47</f>
        <v>1.98260628836909</v>
      </c>
      <c r="AM58" s="13" t="n">
        <f aca="false">Inputs!$F$76*AM47</f>
        <v>1.55771504846906</v>
      </c>
      <c r="AN58" s="13" t="n">
        <f aca="false">Inputs!$F$76*AN47</f>
        <v>1.17615510311101</v>
      </c>
      <c r="AO58" s="13" t="n">
        <f aca="false">Inputs!$F$76*AO47</f>
        <v>0.981950403913412</v>
      </c>
      <c r="AP58" s="13" t="n">
        <f aca="false">Inputs!$F$76*AP47</f>
        <v>9.67184498587137</v>
      </c>
      <c r="AQ58" s="13" t="n">
        <f aca="false">Inputs!$F$76*AQ47</f>
        <v>7.43214836318954</v>
      </c>
      <c r="AR58" s="13" t="n">
        <f aca="false">Inputs!$F$76*AR47</f>
        <v>0.657682062217755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68.9875573432075</v>
      </c>
      <c r="J59" s="13" t="n">
        <f aca="false">Inputs!$F$77*J47</f>
        <v>9.60343788101108</v>
      </c>
      <c r="K59" s="13" t="n">
        <f aca="false">Inputs!$F$77*K47</f>
        <v>0.200653602923308</v>
      </c>
      <c r="L59" s="13" t="n">
        <f aca="false">Inputs!$F$77*L47</f>
        <v>0.256288107716301</v>
      </c>
      <c r="M59" s="13" t="n">
        <f aca="false">Inputs!$F$77*M47</f>
        <v>0.363130743307055</v>
      </c>
      <c r="N59" s="13" t="n">
        <f aca="false">Inputs!$F$77*N47</f>
        <v>0.52372898655014</v>
      </c>
      <c r="O59" s="13" t="n">
        <f aca="false">Inputs!$F$77*O47</f>
        <v>0.722539960566009</v>
      </c>
      <c r="P59" s="13" t="n">
        <f aca="false">Inputs!$F$77*P47</f>
        <v>0.943159996098741</v>
      </c>
      <c r="Q59" s="13" t="n">
        <f aca="false">Inputs!$F$77*Q47</f>
        <v>1.19766422212687</v>
      </c>
      <c r="R59" s="13" t="n">
        <f aca="false">Inputs!$F$77*R47</f>
        <v>1.45131844669153</v>
      </c>
      <c r="S59" s="13" t="n">
        <f aca="false">Inputs!$F$77*S47</f>
        <v>1.70960598976508</v>
      </c>
      <c r="T59" s="13" t="n">
        <f aca="false">Inputs!$F$77*T47</f>
        <v>1.95128700585717</v>
      </c>
      <c r="U59" s="13" t="n">
        <f aca="false">Inputs!$F$77*U47</f>
        <v>2.18314004492399</v>
      </c>
      <c r="V59" s="13" t="n">
        <f aca="false">Inputs!$F$77*V47</f>
        <v>2.38688162959445</v>
      </c>
      <c r="W59" s="13" t="n">
        <f aca="false">Inputs!$F$77*W47</f>
        <v>2.55626126917891</v>
      </c>
      <c r="X59" s="13" t="n">
        <f aca="false">Inputs!$F$77*X47</f>
        <v>2.69654944413094</v>
      </c>
      <c r="Y59" s="13" t="n">
        <f aca="false">Inputs!$F$77*Y47</f>
        <v>2.78984985512271</v>
      </c>
      <c r="Z59" s="13" t="n">
        <f aca="false">Inputs!$F$77*Z47</f>
        <v>2.84838329332285</v>
      </c>
      <c r="AA59" s="13" t="n">
        <f aca="false">Inputs!$F$77*AA47</f>
        <v>2.95484043660376</v>
      </c>
      <c r="AB59" s="13" t="n">
        <f aca="false">Inputs!$F$77*AB47</f>
        <v>2.8182020708315</v>
      </c>
      <c r="AC59" s="13" t="n">
        <f aca="false">Inputs!$F$77*AC47</f>
        <v>2.75133457310464</v>
      </c>
      <c r="AD59" s="13" t="n">
        <f aca="false">Inputs!$F$77*AD47</f>
        <v>2.62982899394136</v>
      </c>
      <c r="AE59" s="13" t="n">
        <f aca="false">Inputs!$F$77*AE47</f>
        <v>2.48121445665583</v>
      </c>
      <c r="AF59" s="13" t="n">
        <f aca="false">Inputs!$F$77*AF47</f>
        <v>2.28988022801934</v>
      </c>
      <c r="AG59" s="13" t="n">
        <f aca="false">Inputs!$F$77*AG47</f>
        <v>2.08315170132003</v>
      </c>
      <c r="AH59" s="13" t="n">
        <f aca="false">Inputs!$F$77*AH47</f>
        <v>1.85121883845686</v>
      </c>
      <c r="AI59" s="13" t="n">
        <f aca="false">Inputs!$F$77*AI47</f>
        <v>1.60193587474408</v>
      </c>
      <c r="AJ59" s="13" t="n">
        <f aca="false">Inputs!$F$77*AJ47</f>
        <v>1.36167980298691</v>
      </c>
      <c r="AK59" s="13" t="n">
        <f aca="false">Inputs!$F$77*AK47</f>
        <v>1.11670704441008</v>
      </c>
      <c r="AL59" s="13" t="n">
        <f aca="false">Inputs!$F$77*AL47</f>
        <v>0.901184676531405</v>
      </c>
      <c r="AM59" s="13" t="n">
        <f aca="false">Inputs!$F$77*AM47</f>
        <v>0.708052294758663</v>
      </c>
      <c r="AN59" s="13" t="n">
        <f aca="false">Inputs!$F$77*AN47</f>
        <v>0.534615955959552</v>
      </c>
      <c r="AO59" s="13" t="n">
        <f aca="false">Inputs!$F$77*AO47</f>
        <v>0.446341092687915</v>
      </c>
      <c r="AP59" s="13" t="n">
        <f aca="false">Inputs!$F$77*AP47</f>
        <v>4.39629317539608</v>
      </c>
      <c r="AQ59" s="13" t="n">
        <f aca="false">Inputs!$F$77*AQ47</f>
        <v>3.37824925599524</v>
      </c>
      <c r="AR59" s="13" t="n">
        <f aca="false">Inputs!$F$77*AR47</f>
        <v>0.298946391917161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262.152717904189</v>
      </c>
      <c r="J60" s="13" t="n">
        <f aca="false">Inputs!$F$78*J47</f>
        <v>36.4930639478421</v>
      </c>
      <c r="K60" s="13" t="n">
        <f aca="false">Inputs!$F$78*K47</f>
        <v>0.762483691108571</v>
      </c>
      <c r="L60" s="13" t="n">
        <f aca="false">Inputs!$F$78*L47</f>
        <v>0.973894809321942</v>
      </c>
      <c r="M60" s="13" t="n">
        <f aca="false">Inputs!$F$78*M47</f>
        <v>1.37989682456681</v>
      </c>
      <c r="N60" s="13" t="n">
        <f aca="false">Inputs!$F$78*N47</f>
        <v>1.99017014889053</v>
      </c>
      <c r="O60" s="13" t="n">
        <f aca="false">Inputs!$F$78*O47</f>
        <v>2.74565185015083</v>
      </c>
      <c r="P60" s="13" t="n">
        <f aca="false">Inputs!$F$78*P47</f>
        <v>3.58400798517522</v>
      </c>
      <c r="Q60" s="13" t="n">
        <f aca="false">Inputs!$F$78*Q47</f>
        <v>4.55112404408212</v>
      </c>
      <c r="R60" s="13" t="n">
        <f aca="false">Inputs!$F$78*R47</f>
        <v>5.51501009742781</v>
      </c>
      <c r="S60" s="13" t="n">
        <f aca="false">Inputs!$F$78*S47</f>
        <v>6.49650276110731</v>
      </c>
      <c r="T60" s="13" t="n">
        <f aca="false">Inputs!$F$78*T47</f>
        <v>7.41489062225725</v>
      </c>
      <c r="U60" s="13" t="n">
        <f aca="false">Inputs!$F$78*U47</f>
        <v>8.29593217071117</v>
      </c>
      <c r="V60" s="13" t="n">
        <f aca="false">Inputs!$F$78*V47</f>
        <v>9.07015019245889</v>
      </c>
      <c r="W60" s="13" t="n">
        <f aca="false">Inputs!$F$78*W47</f>
        <v>9.71379282287985</v>
      </c>
      <c r="X60" s="13" t="n">
        <f aca="false">Inputs!$F$78*X47</f>
        <v>10.2468878876976</v>
      </c>
      <c r="Y60" s="13" t="n">
        <f aca="false">Inputs!$F$78*Y47</f>
        <v>10.6014294494663</v>
      </c>
      <c r="Z60" s="13" t="n">
        <f aca="false">Inputs!$F$78*Z47</f>
        <v>10.8238565146268</v>
      </c>
      <c r="AA60" s="13" t="n">
        <f aca="false">Inputs!$F$78*AA47</f>
        <v>11.2283936590943</v>
      </c>
      <c r="AB60" s="13" t="n">
        <f aca="false">Inputs!$F$78*AB47</f>
        <v>10.7091678691597</v>
      </c>
      <c r="AC60" s="13" t="n">
        <f aca="false">Inputs!$F$78*AC47</f>
        <v>10.4550713777976</v>
      </c>
      <c r="AD60" s="13" t="n">
        <f aca="false">Inputs!$F$78*AD47</f>
        <v>9.99335017697718</v>
      </c>
      <c r="AE60" s="13" t="n">
        <f aca="false">Inputs!$F$78*AE47</f>
        <v>9.42861493529216</v>
      </c>
      <c r="AF60" s="13" t="n">
        <f aca="false">Inputs!$F$78*AF47</f>
        <v>8.7015448664735</v>
      </c>
      <c r="AG60" s="13" t="n">
        <f aca="false">Inputs!$F$78*AG47</f>
        <v>7.91597646501611</v>
      </c>
      <c r="AH60" s="13" t="n">
        <f aca="false">Inputs!$F$78*AH47</f>
        <v>7.03463158613607</v>
      </c>
      <c r="AI60" s="13" t="n">
        <f aca="false">Inputs!$F$78*AI47</f>
        <v>6.08735632402752</v>
      </c>
      <c r="AJ60" s="13" t="n">
        <f aca="false">Inputs!$F$78*AJ47</f>
        <v>5.17438325135027</v>
      </c>
      <c r="AK60" s="13" t="n">
        <f aca="false">Inputs!$F$78*AK47</f>
        <v>4.24348676875832</v>
      </c>
      <c r="AL60" s="13" t="n">
        <f aca="false">Inputs!$F$78*AL47</f>
        <v>3.42450177081934</v>
      </c>
      <c r="AM60" s="13" t="n">
        <f aca="false">Inputs!$F$78*AM47</f>
        <v>2.69059872008292</v>
      </c>
      <c r="AN60" s="13" t="n">
        <f aca="false">Inputs!$F$78*AN47</f>
        <v>2.0315406326463</v>
      </c>
      <c r="AO60" s="13" t="n">
        <f aca="false">Inputs!$F$78*AO47</f>
        <v>1.69609615221408</v>
      </c>
      <c r="AP60" s="13" t="n">
        <f aca="false">Inputs!$F$78*AP47</f>
        <v>16.7059140665051</v>
      </c>
      <c r="AQ60" s="13" t="n">
        <f aca="false">Inputs!$F$78*AQ47</f>
        <v>12.8373471727819</v>
      </c>
      <c r="AR60" s="13" t="n">
        <f aca="false">Inputs!$F$78*AR47</f>
        <v>1.13599628928521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28.8103136430332</v>
      </c>
      <c r="K61" s="13" t="n">
        <f aca="false">K28+K57</f>
        <v>29.4122744518032</v>
      </c>
      <c r="L61" s="13" t="n">
        <f aca="false">L28+L57</f>
        <v>30.1811387749521</v>
      </c>
      <c r="M61" s="13" t="n">
        <f aca="false">M28+M57</f>
        <v>31.2705310048732</v>
      </c>
      <c r="N61" s="13" t="n">
        <f aca="false">N28+N57</f>
        <v>32.8417179645236</v>
      </c>
      <c r="O61" s="13" t="n">
        <f aca="false">O28+O57</f>
        <v>35.0093378462217</v>
      </c>
      <c r="P61" s="13" t="n">
        <f aca="false">P28+P57</f>
        <v>37.8388178345179</v>
      </c>
      <c r="Q61" s="13" t="n">
        <f aca="false">Q28+Q57</f>
        <v>41.4318105008985</v>
      </c>
      <c r="R61" s="13" t="n">
        <f aca="false">R28+R57</f>
        <v>45.7857658409731</v>
      </c>
      <c r="S61" s="13" t="n">
        <f aca="false">S28+S57</f>
        <v>50.9145838102683</v>
      </c>
      <c r="T61" s="13" t="n">
        <f aca="false">T28+T57</f>
        <v>56.7684448278398</v>
      </c>
      <c r="U61" s="13" t="n">
        <f aca="false">U28+U57</f>
        <v>63.3178649626118</v>
      </c>
      <c r="V61" s="13" t="n">
        <f aca="false">V28+V57</f>
        <v>70.4785098513952</v>
      </c>
      <c r="W61" s="13" t="n">
        <f aca="false">W28+W57</f>
        <v>78.1472936589319</v>
      </c>
      <c r="X61" s="13" t="n">
        <f aca="false">X28+X57</f>
        <v>86.2369419913247</v>
      </c>
      <c r="Y61" s="13" t="n">
        <f aca="false">Y28+Y57</f>
        <v>94.6064915566928</v>
      </c>
      <c r="Z61" s="13" t="n">
        <f aca="false">Z28+Z57</f>
        <v>103.151641436661</v>
      </c>
      <c r="AA61" s="13" t="n">
        <f aca="false">AA28+AA57</f>
        <v>112.016162746473</v>
      </c>
      <c r="AB61" s="13" t="n">
        <f aca="false">AB28+AB57</f>
        <v>120.470768958967</v>
      </c>
      <c r="AC61" s="13" t="n">
        <f aca="false">AC28+AC57</f>
        <v>128.724772678281</v>
      </c>
      <c r="AD61" s="13" t="n">
        <f aca="false">AD28+AD57</f>
        <v>136.614259660105</v>
      </c>
      <c r="AE61" s="13" t="n">
        <f aca="false">AE28+AE57</f>
        <v>144.057903030073</v>
      </c>
      <c r="AF61" s="13" t="n">
        <f aca="false">AF28+AF57</f>
        <v>150.927543714131</v>
      </c>
      <c r="AG61" s="13" t="n">
        <f aca="false">AG28+AG57</f>
        <v>157.176998818091</v>
      </c>
      <c r="AH61" s="13" t="n">
        <f aca="false">AH28+AH57</f>
        <v>162.730655333461</v>
      </c>
      <c r="AI61" s="13" t="n">
        <f aca="false">AI28+AI57</f>
        <v>167.536462957694</v>
      </c>
      <c r="AJ61" s="13" t="n">
        <f aca="false">AJ28+AJ57</f>
        <v>171.621502366654</v>
      </c>
      <c r="AK61" s="13" t="n">
        <f aca="false">AK28+AK57</f>
        <v>174.971623499885</v>
      </c>
      <c r="AL61" s="13" t="n">
        <f aca="false">AL28+AL57</f>
        <v>177.675177529479</v>
      </c>
      <c r="AM61" s="13" t="n">
        <f aca="false">AM28+AM57</f>
        <v>179.799334413755</v>
      </c>
      <c r="AN61" s="13" t="n">
        <f aca="false">AN28+AN57</f>
        <v>181.403182281633</v>
      </c>
      <c r="AO61" s="13" t="n">
        <f aca="false">AO28+AO57</f>
        <v>182.742205559697</v>
      </c>
      <c r="AP61" s="13" t="n">
        <f aca="false">AP28+AP57</f>
        <v>195.931085085885</v>
      </c>
      <c r="AQ61" s="13" t="n">
        <f aca="false">AQ28+AQ57</f>
        <v>206.065832853871</v>
      </c>
      <c r="AR61" s="13" t="n">
        <f aca="false">AR28+AR57</f>
        <v>206.962672029623</v>
      </c>
      <c r="AS61" s="13" t="n">
        <f aca="false">AS28+AS57</f>
        <v>206.962672029623</v>
      </c>
      <c r="AT61" s="13" t="n">
        <f aca="false">AT28+AT57</f>
        <v>206.962672029623</v>
      </c>
      <c r="AU61" s="13" t="n">
        <f aca="false">AU28+AU57</f>
        <v>206.962672029623</v>
      </c>
      <c r="AV61" s="13" t="n">
        <f aca="false">AV28+AV57</f>
        <v>206.962672029623</v>
      </c>
      <c r="AW61" s="13" t="n">
        <f aca="false">AW28+AW57</f>
        <v>206.962672029623</v>
      </c>
      <c r="AX61" s="13" t="n">
        <f aca="false">AX28+AX57</f>
        <v>206.962672029623</v>
      </c>
      <c r="AY61" s="13" t="n">
        <f aca="false">AY28+AY57</f>
        <v>206.962672029623</v>
      </c>
      <c r="AZ61" s="13" t="n">
        <f aca="false">AZ28+AZ57</f>
        <v>206.962672029623</v>
      </c>
      <c r="BA61" s="13" t="n">
        <f aca="false">BA28+BA57</f>
        <v>206.962672029623</v>
      </c>
      <c r="BB61" s="13" t="n">
        <f aca="false">BB28+BB57</f>
        <v>206.962672029623</v>
      </c>
      <c r="BC61" s="13" t="n">
        <f aca="false">BC28+BC57</f>
        <v>206.962672029623</v>
      </c>
      <c r="BD61" s="13" t="n">
        <f aca="false">BD28+BD57</f>
        <v>206.962672029623</v>
      </c>
      <c r="BE61" s="13" t="n">
        <f aca="false">BE28+BE57</f>
        <v>206.962672029623</v>
      </c>
      <c r="BF61" s="13" t="n">
        <f aca="false">BF28+BF57</f>
        <v>206.962672029623</v>
      </c>
      <c r="BG61" s="13" t="n">
        <f aca="false">BG28+BG57</f>
        <v>206.962672029623</v>
      </c>
      <c r="BH61" s="13" t="n">
        <f aca="false">BH28+BH57</f>
        <v>206.962672029623</v>
      </c>
      <c r="BI61" s="13" t="n">
        <f aca="false">BI28+BI57</f>
        <v>206.962672029623</v>
      </c>
      <c r="BJ61" s="13" t="n">
        <f aca="false">BJ28+BJ57</f>
        <v>206.962672029623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21.1275633382244</v>
      </c>
      <c r="K62" s="13" t="n">
        <f aca="false">K29+K58</f>
        <v>21.5690012646557</v>
      </c>
      <c r="L62" s="13" t="n">
        <f aca="false">L29+L58</f>
        <v>22.1328351016315</v>
      </c>
      <c r="M62" s="13" t="n">
        <f aca="false">M29+M58</f>
        <v>22.931722736907</v>
      </c>
      <c r="N62" s="13" t="n">
        <f aca="false">N29+N58</f>
        <v>24.0839265073173</v>
      </c>
      <c r="O62" s="13" t="n">
        <f aca="false">O29+O58</f>
        <v>25.6735144205626</v>
      </c>
      <c r="P62" s="13" t="n">
        <f aca="false">P29+P58</f>
        <v>27.7484664119798</v>
      </c>
      <c r="Q62" s="13" t="n">
        <f aca="false">Q29+Q58</f>
        <v>30.3833277006589</v>
      </c>
      <c r="R62" s="13" t="n">
        <f aca="false">R29+R58</f>
        <v>33.5762282833803</v>
      </c>
      <c r="S62" s="13" t="n">
        <f aca="false">S29+S58</f>
        <v>37.3373614608635</v>
      </c>
      <c r="T62" s="13" t="n">
        <f aca="false">T29+T58</f>
        <v>41.6301928737492</v>
      </c>
      <c r="U62" s="13" t="n">
        <f aca="false">U29+U58</f>
        <v>46.433100972582</v>
      </c>
      <c r="V62" s="13" t="n">
        <f aca="false">V29+V58</f>
        <v>51.6842405576898</v>
      </c>
      <c r="W62" s="13" t="n">
        <f aca="false">W29+W58</f>
        <v>57.3080153498834</v>
      </c>
      <c r="X62" s="13" t="n">
        <f aca="false">X29+X58</f>
        <v>63.2404241269714</v>
      </c>
      <c r="Y62" s="13" t="n">
        <f aca="false">Y29+Y58</f>
        <v>69.3780938082414</v>
      </c>
      <c r="Z62" s="13" t="n">
        <f aca="false">Z29+Z58</f>
        <v>75.6445370535517</v>
      </c>
      <c r="AA62" s="13" t="n">
        <f aca="false">AA29+AA58</f>
        <v>82.1451860140799</v>
      </c>
      <c r="AB62" s="13" t="n">
        <f aca="false">AB29+AB58</f>
        <v>88.3452305699093</v>
      </c>
      <c r="AC62" s="13" t="n">
        <f aca="false">AC29+AC58</f>
        <v>94.3981666307395</v>
      </c>
      <c r="AD62" s="13" t="n">
        <f aca="false">AD29+AD58</f>
        <v>100.18379041741</v>
      </c>
      <c r="AE62" s="13" t="n">
        <f aca="false">AE29+AE58</f>
        <v>105.642462222053</v>
      </c>
      <c r="AF62" s="13" t="n">
        <f aca="false">AF29+AF58</f>
        <v>110.680198723696</v>
      </c>
      <c r="AG62" s="13" t="n">
        <f aca="false">AG29+AG58</f>
        <v>115.2631324666</v>
      </c>
      <c r="AH62" s="13" t="n">
        <f aca="false">AH29+AH58</f>
        <v>119.335813911205</v>
      </c>
      <c r="AI62" s="13" t="n">
        <f aca="false">AI29+AI58</f>
        <v>122.860072835642</v>
      </c>
      <c r="AJ62" s="13" t="n">
        <f aca="false">AJ29+AJ58</f>
        <v>125.855768402213</v>
      </c>
      <c r="AK62" s="13" t="n">
        <f aca="false">AK29+AK58</f>
        <v>128.312523899915</v>
      </c>
      <c r="AL62" s="13" t="n">
        <f aca="false">AL29+AL58</f>
        <v>130.295130188284</v>
      </c>
      <c r="AM62" s="13" t="n">
        <f aca="false">AM29+AM58</f>
        <v>131.852845236754</v>
      </c>
      <c r="AN62" s="13" t="n">
        <f aca="false">AN29+AN58</f>
        <v>133.029000339865</v>
      </c>
      <c r="AO62" s="13" t="n">
        <f aca="false">AO29+AO58</f>
        <v>134.010950743778</v>
      </c>
      <c r="AP62" s="13" t="n">
        <f aca="false">AP29+AP58</f>
        <v>143.682795729649</v>
      </c>
      <c r="AQ62" s="13" t="n">
        <f aca="false">AQ29+AQ58</f>
        <v>151.114944092839</v>
      </c>
      <c r="AR62" s="13" t="n">
        <f aca="false">AR29+AR58</f>
        <v>151.772626155057</v>
      </c>
      <c r="AS62" s="13" t="n">
        <f aca="false">AS29+AS58</f>
        <v>151.772626155057</v>
      </c>
      <c r="AT62" s="13" t="n">
        <f aca="false">AT29+AT58</f>
        <v>151.772626155057</v>
      </c>
      <c r="AU62" s="13" t="n">
        <f aca="false">AU29+AU58</f>
        <v>151.772626155057</v>
      </c>
      <c r="AV62" s="13" t="n">
        <f aca="false">AV29+AV58</f>
        <v>151.772626155057</v>
      </c>
      <c r="AW62" s="13" t="n">
        <f aca="false">AW29+AW58</f>
        <v>151.772626155057</v>
      </c>
      <c r="AX62" s="13" t="n">
        <f aca="false">AX29+AX58</f>
        <v>151.772626155057</v>
      </c>
      <c r="AY62" s="13" t="n">
        <f aca="false">AY29+AY58</f>
        <v>151.772626155057</v>
      </c>
      <c r="AZ62" s="13" t="n">
        <f aca="false">AZ29+AZ58</f>
        <v>151.772626155057</v>
      </c>
      <c r="BA62" s="13" t="n">
        <f aca="false">BA29+BA58</f>
        <v>151.772626155057</v>
      </c>
      <c r="BB62" s="13" t="n">
        <f aca="false">BB29+BB58</f>
        <v>151.772626155057</v>
      </c>
      <c r="BC62" s="13" t="n">
        <f aca="false">BC29+BC58</f>
        <v>151.772626155057</v>
      </c>
      <c r="BD62" s="13" t="n">
        <f aca="false">BD29+BD58</f>
        <v>151.772626155057</v>
      </c>
      <c r="BE62" s="13" t="n">
        <f aca="false">BE29+BE58</f>
        <v>151.772626155057</v>
      </c>
      <c r="BF62" s="13" t="n">
        <f aca="false">BF29+BF58</f>
        <v>151.772626155057</v>
      </c>
      <c r="BG62" s="13" t="n">
        <f aca="false">BG29+BG58</f>
        <v>151.772626155057</v>
      </c>
      <c r="BH62" s="13" t="n">
        <f aca="false">BH29+BH58</f>
        <v>151.772626155057</v>
      </c>
      <c r="BI62" s="13" t="n">
        <f aca="false">BI29+BI58</f>
        <v>151.772626155057</v>
      </c>
      <c r="BJ62" s="13" t="n">
        <f aca="false">BJ29+BJ58</f>
        <v>151.772626155057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9.60343788101108</v>
      </c>
      <c r="K63" s="13" t="n">
        <f aca="false">K30+K59</f>
        <v>9.80409148393439</v>
      </c>
      <c r="L63" s="13" t="n">
        <f aca="false">L30+L59</f>
        <v>10.0603795916507</v>
      </c>
      <c r="M63" s="13" t="n">
        <f aca="false">M30+M59</f>
        <v>10.4235103349577</v>
      </c>
      <c r="N63" s="13" t="n">
        <f aca="false">N30+N59</f>
        <v>10.9472393215079</v>
      </c>
      <c r="O63" s="13" t="n">
        <f aca="false">O30+O59</f>
        <v>11.6697792820739</v>
      </c>
      <c r="P63" s="13" t="n">
        <f aca="false">P30+P59</f>
        <v>12.6129392781726</v>
      </c>
      <c r="Q63" s="13" t="n">
        <f aca="false">Q30+Q59</f>
        <v>13.8106035002995</v>
      </c>
      <c r="R63" s="13" t="n">
        <f aca="false">R30+R59</f>
        <v>15.261921946991</v>
      </c>
      <c r="S63" s="13" t="n">
        <f aca="false">S30+S59</f>
        <v>16.9715279367561</v>
      </c>
      <c r="T63" s="13" t="n">
        <f aca="false">T30+T59</f>
        <v>18.9228149426133</v>
      </c>
      <c r="U63" s="13" t="n">
        <f aca="false">U30+U59</f>
        <v>21.1059549875373</v>
      </c>
      <c r="V63" s="13" t="n">
        <f aca="false">V30+V59</f>
        <v>23.4928366171317</v>
      </c>
      <c r="W63" s="13" t="n">
        <f aca="false">W30+W59</f>
        <v>26.0490978863106</v>
      </c>
      <c r="X63" s="13" t="n">
        <f aca="false">X30+X59</f>
        <v>28.7456473304416</v>
      </c>
      <c r="Y63" s="13" t="n">
        <f aca="false">Y30+Y59</f>
        <v>31.5354971855643</v>
      </c>
      <c r="Z63" s="13" t="n">
        <f aca="false">Z30+Z59</f>
        <v>34.3838804788871</v>
      </c>
      <c r="AA63" s="13" t="n">
        <f aca="false">AA30+AA59</f>
        <v>37.3387209154909</v>
      </c>
      <c r="AB63" s="13" t="n">
        <f aca="false">AB30+AB59</f>
        <v>40.1569229863224</v>
      </c>
      <c r="AC63" s="13" t="n">
        <f aca="false">AC30+AC59</f>
        <v>42.908257559427</v>
      </c>
      <c r="AD63" s="13" t="n">
        <f aca="false">AD30+AD59</f>
        <v>45.5380865533684</v>
      </c>
      <c r="AE63" s="13" t="n">
        <f aca="false">AE30+AE59</f>
        <v>48.0193010100242</v>
      </c>
      <c r="AF63" s="13" t="n">
        <f aca="false">AF30+AF59</f>
        <v>50.3091812380436</v>
      </c>
      <c r="AG63" s="13" t="n">
        <f aca="false">AG30+AG59</f>
        <v>52.3923329393636</v>
      </c>
      <c r="AH63" s="13" t="n">
        <f aca="false">AH30+AH59</f>
        <v>54.2435517778205</v>
      </c>
      <c r="AI63" s="13" t="n">
        <f aca="false">AI30+AI59</f>
        <v>55.8454876525646</v>
      </c>
      <c r="AJ63" s="13" t="n">
        <f aca="false">AJ30+AJ59</f>
        <v>57.2071674555515</v>
      </c>
      <c r="AK63" s="13" t="n">
        <f aca="false">AK30+AK59</f>
        <v>58.3238744999616</v>
      </c>
      <c r="AL63" s="13" t="n">
        <f aca="false">AL30+AL59</f>
        <v>59.225059176493</v>
      </c>
      <c r="AM63" s="13" t="n">
        <f aca="false">AM30+AM59</f>
        <v>59.9331114712516</v>
      </c>
      <c r="AN63" s="13" t="n">
        <f aca="false">AN30+AN59</f>
        <v>60.4677274272112</v>
      </c>
      <c r="AO63" s="13" t="n">
        <f aca="false">AO30+AO59</f>
        <v>60.9140685198991</v>
      </c>
      <c r="AP63" s="13" t="n">
        <f aca="false">AP30+AP59</f>
        <v>65.3103616952952</v>
      </c>
      <c r="AQ63" s="13" t="n">
        <f aca="false">AQ30+AQ59</f>
        <v>68.6886109512904</v>
      </c>
      <c r="AR63" s="13" t="n">
        <f aca="false">AR30+AR59</f>
        <v>68.9875573432076</v>
      </c>
      <c r="AS63" s="13" t="n">
        <f aca="false">AS30+AS59</f>
        <v>68.9875573432076</v>
      </c>
      <c r="AT63" s="13" t="n">
        <f aca="false">AT30+AT59</f>
        <v>68.9875573432076</v>
      </c>
      <c r="AU63" s="13" t="n">
        <f aca="false">AU30+AU59</f>
        <v>68.9875573432076</v>
      </c>
      <c r="AV63" s="13" t="n">
        <f aca="false">AV30+AV59</f>
        <v>68.9875573432076</v>
      </c>
      <c r="AW63" s="13" t="n">
        <f aca="false">AW30+AW59</f>
        <v>68.9875573432076</v>
      </c>
      <c r="AX63" s="13" t="n">
        <f aca="false">AX30+AX59</f>
        <v>68.9875573432076</v>
      </c>
      <c r="AY63" s="13" t="n">
        <f aca="false">AY30+AY59</f>
        <v>68.9875573432076</v>
      </c>
      <c r="AZ63" s="13" t="n">
        <f aca="false">AZ30+AZ59</f>
        <v>68.9875573432076</v>
      </c>
      <c r="BA63" s="13" t="n">
        <f aca="false">BA30+BA59</f>
        <v>68.9875573432076</v>
      </c>
      <c r="BB63" s="13" t="n">
        <f aca="false">BB30+BB59</f>
        <v>68.9875573432076</v>
      </c>
      <c r="BC63" s="13" t="n">
        <f aca="false">BC30+BC59</f>
        <v>68.9875573432076</v>
      </c>
      <c r="BD63" s="13" t="n">
        <f aca="false">BD30+BD59</f>
        <v>68.9875573432076</v>
      </c>
      <c r="BE63" s="13" t="n">
        <f aca="false">BE30+BE59</f>
        <v>68.9875573432076</v>
      </c>
      <c r="BF63" s="13" t="n">
        <f aca="false">BF30+BF59</f>
        <v>68.9875573432076</v>
      </c>
      <c r="BG63" s="13" t="n">
        <f aca="false">BG30+BG59</f>
        <v>68.9875573432076</v>
      </c>
      <c r="BH63" s="13" t="n">
        <f aca="false">BH30+BH59</f>
        <v>68.9875573432076</v>
      </c>
      <c r="BI63" s="13" t="n">
        <f aca="false">BI30+BI59</f>
        <v>68.9875573432076</v>
      </c>
      <c r="BJ63" s="13" t="n">
        <f aca="false">BJ30+BJ59</f>
        <v>68.9875573432076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36.4930639478421</v>
      </c>
      <c r="K64" s="13" t="n">
        <f aca="false">K31+K60</f>
        <v>37.2555476389507</v>
      </c>
      <c r="L64" s="13" t="n">
        <f aca="false">L31+L60</f>
        <v>38.2294424482726</v>
      </c>
      <c r="M64" s="13" t="n">
        <f aca="false">M31+M60</f>
        <v>39.6093392728394</v>
      </c>
      <c r="N64" s="13" t="n">
        <f aca="false">N31+N60</f>
        <v>41.59950942173</v>
      </c>
      <c r="O64" s="13" t="n">
        <f aca="false">O31+O60</f>
        <v>44.3451612718808</v>
      </c>
      <c r="P64" s="13" t="n">
        <f aca="false">P31+P60</f>
        <v>47.929169257056</v>
      </c>
      <c r="Q64" s="13" t="n">
        <f aca="false">Q31+Q60</f>
        <v>52.4802933011381</v>
      </c>
      <c r="R64" s="13" t="n">
        <f aca="false">R31+R60</f>
        <v>57.9953033985659</v>
      </c>
      <c r="S64" s="13" t="n">
        <f aca="false">S31+S60</f>
        <v>64.4918061596732</v>
      </c>
      <c r="T64" s="13" t="n">
        <f aca="false">T31+T60</f>
        <v>71.9066967819305</v>
      </c>
      <c r="U64" s="13" t="n">
        <f aca="false">U31+U60</f>
        <v>80.2026289526417</v>
      </c>
      <c r="V64" s="13" t="n">
        <f aca="false">V31+V60</f>
        <v>89.2727791451005</v>
      </c>
      <c r="W64" s="13" t="n">
        <f aca="false">W31+W60</f>
        <v>98.9865719679804</v>
      </c>
      <c r="X64" s="13" t="n">
        <f aca="false">X31+X60</f>
        <v>109.233459855678</v>
      </c>
      <c r="Y64" s="13" t="n">
        <f aca="false">Y31+Y60</f>
        <v>119.834889305144</v>
      </c>
      <c r="Z64" s="13" t="n">
        <f aca="false">Z31+Z60</f>
        <v>130.658745819771</v>
      </c>
      <c r="AA64" s="13" t="n">
        <f aca="false">AA31+AA60</f>
        <v>141.887139478865</v>
      </c>
      <c r="AB64" s="13" t="n">
        <f aca="false">AB31+AB60</f>
        <v>152.596307348025</v>
      </c>
      <c r="AC64" s="13" t="n">
        <f aca="false">AC31+AC60</f>
        <v>163.051378725823</v>
      </c>
      <c r="AD64" s="13" t="n">
        <f aca="false">AD31+AD60</f>
        <v>173.0447289028</v>
      </c>
      <c r="AE64" s="13" t="n">
        <f aca="false">AE31+AE60</f>
        <v>182.473343838092</v>
      </c>
      <c r="AF64" s="13" t="n">
        <f aca="false">AF31+AF60</f>
        <v>191.174888704566</v>
      </c>
      <c r="AG64" s="13" t="n">
        <f aca="false">AG31+AG60</f>
        <v>199.090865169582</v>
      </c>
      <c r="AH64" s="13" t="n">
        <f aca="false">AH31+AH60</f>
        <v>206.125496755718</v>
      </c>
      <c r="AI64" s="13" t="n">
        <f aca="false">AI31+AI60</f>
        <v>212.212853079745</v>
      </c>
      <c r="AJ64" s="13" t="n">
        <f aca="false">AJ31+AJ60</f>
        <v>217.387236331096</v>
      </c>
      <c r="AK64" s="13" t="n">
        <f aca="false">AK31+AK60</f>
        <v>221.630723099854</v>
      </c>
      <c r="AL64" s="13" t="n">
        <f aca="false">AL31+AL60</f>
        <v>225.055224870673</v>
      </c>
      <c r="AM64" s="13" t="n">
        <f aca="false">AM31+AM60</f>
        <v>227.745823590756</v>
      </c>
      <c r="AN64" s="13" t="n">
        <f aca="false">AN31+AN60</f>
        <v>229.777364223402</v>
      </c>
      <c r="AO64" s="13" t="n">
        <f aca="false">AO31+AO60</f>
        <v>231.473460375617</v>
      </c>
      <c r="AP64" s="13" t="n">
        <f aca="false">AP31+AP60</f>
        <v>248.179374442122</v>
      </c>
      <c r="AQ64" s="13" t="n">
        <f aca="false">AQ31+AQ60</f>
        <v>261.016721614904</v>
      </c>
      <c r="AR64" s="13" t="n">
        <f aca="false">AR31+AR60</f>
        <v>262.152717904189</v>
      </c>
      <c r="AS64" s="13" t="n">
        <f aca="false">AS31+AS60</f>
        <v>262.152717904189</v>
      </c>
      <c r="AT64" s="13" t="n">
        <f aca="false">AT31+AT60</f>
        <v>262.152717904189</v>
      </c>
      <c r="AU64" s="13" t="n">
        <f aca="false">AU31+AU60</f>
        <v>262.152717904189</v>
      </c>
      <c r="AV64" s="13" t="n">
        <f aca="false">AV31+AV60</f>
        <v>262.152717904189</v>
      </c>
      <c r="AW64" s="13" t="n">
        <f aca="false">AW31+AW60</f>
        <v>262.152717904189</v>
      </c>
      <c r="AX64" s="13" t="n">
        <f aca="false">AX31+AX60</f>
        <v>262.152717904189</v>
      </c>
      <c r="AY64" s="13" t="n">
        <f aca="false">AY31+AY60</f>
        <v>262.152717904189</v>
      </c>
      <c r="AZ64" s="13" t="n">
        <f aca="false">AZ31+AZ60</f>
        <v>262.152717904189</v>
      </c>
      <c r="BA64" s="13" t="n">
        <f aca="false">BA31+BA60</f>
        <v>262.152717904189</v>
      </c>
      <c r="BB64" s="13" t="n">
        <f aca="false">BB31+BB60</f>
        <v>262.152717904189</v>
      </c>
      <c r="BC64" s="13" t="n">
        <f aca="false">BC31+BC60</f>
        <v>262.152717904189</v>
      </c>
      <c r="BD64" s="13" t="n">
        <f aca="false">BD31+BD60</f>
        <v>262.152717904189</v>
      </c>
      <c r="BE64" s="13" t="n">
        <f aca="false">BE31+BE60</f>
        <v>262.152717904189</v>
      </c>
      <c r="BF64" s="13" t="n">
        <f aca="false">BF31+BF60</f>
        <v>262.152717904189</v>
      </c>
      <c r="BG64" s="13" t="n">
        <f aca="false">BG31+BG60</f>
        <v>262.152717904189</v>
      </c>
      <c r="BH64" s="13" t="n">
        <f aca="false">BH31+BH60</f>
        <v>262.152717904189</v>
      </c>
      <c r="BI64" s="13" t="n">
        <f aca="false">BI31+BI60</f>
        <v>262.152717904189</v>
      </c>
      <c r="BJ64" s="13" t="n">
        <f aca="false">BJ31+BJ60</f>
        <v>262.152717904189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1.49880108324396E-013</v>
      </c>
      <c r="AS65" s="13" t="n">
        <f aca="false">AS32+AS55</f>
        <v>1.49880108324396E-013</v>
      </c>
      <c r="AT65" s="13" t="n">
        <f aca="false">AT32+AT55</f>
        <v>1.49880108324396E-013</v>
      </c>
      <c r="AU65" s="13" t="n">
        <f aca="false">AU32+AU55</f>
        <v>1.49880108324396E-013</v>
      </c>
      <c r="AV65" s="13" t="n">
        <f aca="false">AV32+AV55</f>
        <v>1.49880108324396E-013</v>
      </c>
      <c r="AW65" s="13" t="n">
        <f aca="false">AW32+AW55</f>
        <v>1.49880108324396E-013</v>
      </c>
      <c r="AX65" s="13" t="n">
        <f aca="false">AX32+AX55</f>
        <v>1.49880108324396E-013</v>
      </c>
      <c r="AY65" s="13" t="n">
        <f aca="false">AY32+AY55</f>
        <v>1.49880108324396E-013</v>
      </c>
      <c r="AZ65" s="13" t="n">
        <f aca="false">AZ32+AZ55</f>
        <v>1.49880108324396E-013</v>
      </c>
      <c r="BA65" s="13" t="n">
        <f aca="false">BA32+BA55</f>
        <v>1.49880108324396E-013</v>
      </c>
      <c r="BB65" s="13" t="n">
        <f aca="false">BB32+BB55</f>
        <v>1.49880108324396E-013</v>
      </c>
      <c r="BC65" s="13" t="n">
        <f aca="false">BC32+BC55</f>
        <v>1.49880108324396E-013</v>
      </c>
      <c r="BD65" s="13" t="n">
        <f aca="false">BD32+BD55</f>
        <v>1.49880108324396E-013</v>
      </c>
      <c r="BE65" s="13" t="n">
        <f aca="false">BE32+BE55</f>
        <v>1.49880108324396E-013</v>
      </c>
      <c r="BF65" s="13" t="n">
        <f aca="false">BF32+BF55</f>
        <v>1.49880108324396E-013</v>
      </c>
      <c r="BG65" s="13" t="n">
        <f aca="false">BG32+BG55</f>
        <v>1.49880108324396E-013</v>
      </c>
      <c r="BH65" s="13" t="n">
        <f aca="false">BH32+BH55</f>
        <v>1.49880108324396E-013</v>
      </c>
      <c r="BI65" s="13" t="n">
        <f aca="false">BI32+BI55</f>
        <v>1.49880108324396E-013</v>
      </c>
      <c r="BJ65" s="13" t="n">
        <f aca="false">BJ32+BJ55</f>
        <v>1.49880108324396E-013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245.968195931958</v>
      </c>
      <c r="J67" s="13" t="n">
        <f aca="false">J50-J47+J56</f>
        <v>34.2400917108206</v>
      </c>
      <c r="K67" s="13" t="n">
        <f aca="false">K50-K47+K56</f>
        <v>0.715410236555548</v>
      </c>
      <c r="L67" s="13" t="n">
        <f aca="false">L50-L47+L56</f>
        <v>0.913769466864599</v>
      </c>
      <c r="M67" s="13" t="n">
        <f aca="false">M50-M47+M56</f>
        <v>1.294706136272</v>
      </c>
      <c r="N67" s="13" t="n">
        <f aca="false">N50-N47+N56</f>
        <v>1.86730301724031</v>
      </c>
      <c r="O67" s="13" t="n">
        <f aca="false">O50-O47+O56</f>
        <v>2.57614354578489</v>
      </c>
      <c r="P67" s="13" t="n">
        <f aca="false">P50-P47+P56</f>
        <v>3.36274208929418</v>
      </c>
      <c r="Q67" s="13" t="n">
        <f aca="false">Q50-Q47+Q56</f>
        <v>4.27015130544847</v>
      </c>
      <c r="R67" s="13" t="n">
        <f aca="false">R50-R47+R56</f>
        <v>5.17452992689028</v>
      </c>
      <c r="S67" s="13" t="n">
        <f aca="false">S50-S47+S56</f>
        <v>6.09542817938877</v>
      </c>
      <c r="T67" s="13" t="n">
        <f aca="false">T50-T47+T56</f>
        <v>6.95711753046168</v>
      </c>
      <c r="U67" s="13" t="n">
        <f aca="false">U50-U47+U56</f>
        <v>7.78376621809235</v>
      </c>
      <c r="V67" s="13" t="n">
        <f aca="false">V50-V47+V56</f>
        <v>8.51018634293308</v>
      </c>
      <c r="W67" s="13" t="n">
        <f aca="false">W50-W47+W56</f>
        <v>9.11409240919558</v>
      </c>
      <c r="X67" s="13" t="n">
        <f aca="false">X50-X47+X56</f>
        <v>9.61427578475519</v>
      </c>
      <c r="Y67" s="13" t="n">
        <f aca="false">Y50-Y47+Y56</f>
        <v>9.9469290146295</v>
      </c>
      <c r="Z67" s="13" t="n">
        <f aca="false">Z50-Z47+Z56</f>
        <v>10.1556241003847</v>
      </c>
      <c r="AA67" s="13" t="n">
        <f aca="false">AA50-AA47+AA56</f>
        <v>10.5351863357398</v>
      </c>
      <c r="AB67" s="13" t="n">
        <f aca="false">AB50-AB47+AB56</f>
        <v>10.0480159876596</v>
      </c>
      <c r="AC67" s="13" t="n">
        <f aca="false">AC50-AC47+AC56</f>
        <v>9.80960665102317</v>
      </c>
      <c r="AD67" s="13" t="n">
        <f aca="false">AD50-AD47+AD56</f>
        <v>9.37639073132079</v>
      </c>
      <c r="AE67" s="13" t="n">
        <f aca="false">AE50-AE47+AE56</f>
        <v>8.84652054844811</v>
      </c>
      <c r="AF67" s="13" t="n">
        <f aca="false">AF50-AF47+AF56</f>
        <v>8.16433760343355</v>
      </c>
      <c r="AG67" s="13" t="n">
        <f aca="false">AG50-AG47+AG56</f>
        <v>7.42726783725914</v>
      </c>
      <c r="AH67" s="13" t="n">
        <f aca="false">AH50-AH47+AH56</f>
        <v>6.60033454591244</v>
      </c>
      <c r="AI67" s="13" t="n">
        <f aca="false">AI50-AI47+AI56</f>
        <v>5.7115412153128</v>
      </c>
      <c r="AJ67" s="13" t="n">
        <f aca="false">AJ50-AJ47+AJ56</f>
        <v>4.85493235992435</v>
      </c>
      <c r="AK67" s="13" t="n">
        <f aca="false">AK50-AK47+AK56</f>
        <v>3.98150663215359</v>
      </c>
      <c r="AL67" s="13" t="n">
        <f aca="false">AL50-AL47+AL56</f>
        <v>3.21308330986703</v>
      </c>
      <c r="AM67" s="13" t="n">
        <f aca="false">AM50-AM47+AM56</f>
        <v>2.52448923072964</v>
      </c>
      <c r="AN67" s="13" t="n">
        <f aca="false">AN50-AN47+AN56</f>
        <v>1.90611941149932</v>
      </c>
      <c r="AO67" s="13" t="n">
        <f aca="false">AO50-AO47+AO56</f>
        <v>1.59138426647823</v>
      </c>
      <c r="AP67" s="13" t="n">
        <f aca="false">AP50-AP47+AP56</f>
        <v>15.6745410735523</v>
      </c>
      <c r="AQ67" s="13" t="n">
        <f aca="false">AQ50-AQ47+AQ56</f>
        <v>12.0448078886423</v>
      </c>
      <c r="AR67" s="13" t="n">
        <f aca="false">AR50-AR47+AR56</f>
        <v>1.06586328799008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231.768195931958</v>
      </c>
      <c r="J68" s="13" t="n">
        <f aca="false">J67-IF(Construction!J8=1,Inputs!$F$68,0)</f>
        <v>20.0400917108206</v>
      </c>
      <c r="K68" s="13" t="n">
        <f aca="false">K67-IF(Construction!K8=1,Inputs!$F$68,0)</f>
        <v>0.715410236555548</v>
      </c>
      <c r="L68" s="13" t="n">
        <f aca="false">L67-IF(Construction!L8=1,Inputs!$F$68,0)</f>
        <v>0.913769466864599</v>
      </c>
      <c r="M68" s="13" t="n">
        <f aca="false">M67-IF(Construction!M8=1,Inputs!$F$68,0)</f>
        <v>1.294706136272</v>
      </c>
      <c r="N68" s="13" t="n">
        <f aca="false">N67-IF(Construction!N8=1,Inputs!$F$68,0)</f>
        <v>1.86730301724031</v>
      </c>
      <c r="O68" s="13" t="n">
        <f aca="false">O67-IF(Construction!O8=1,Inputs!$F$68,0)</f>
        <v>2.57614354578489</v>
      </c>
      <c r="P68" s="13" t="n">
        <f aca="false">P67-IF(Construction!P8=1,Inputs!$F$68,0)</f>
        <v>3.36274208929418</v>
      </c>
      <c r="Q68" s="13" t="n">
        <f aca="false">Q67-IF(Construction!Q8=1,Inputs!$F$68,0)</f>
        <v>4.27015130544847</v>
      </c>
      <c r="R68" s="13" t="n">
        <f aca="false">R67-IF(Construction!R8=1,Inputs!$F$68,0)</f>
        <v>5.17452992689028</v>
      </c>
      <c r="S68" s="13" t="n">
        <f aca="false">S67-IF(Construction!S8=1,Inputs!$F$68,0)</f>
        <v>6.09542817938877</v>
      </c>
      <c r="T68" s="13" t="n">
        <f aca="false">T67-IF(Construction!T8=1,Inputs!$F$68,0)</f>
        <v>6.95711753046168</v>
      </c>
      <c r="U68" s="13" t="n">
        <f aca="false">U67-IF(Construction!U8=1,Inputs!$F$68,0)</f>
        <v>7.78376621809235</v>
      </c>
      <c r="V68" s="13" t="n">
        <f aca="false">V67-IF(Construction!V8=1,Inputs!$F$68,0)</f>
        <v>8.51018634293308</v>
      </c>
      <c r="W68" s="13" t="n">
        <f aca="false">W67-IF(Construction!W8=1,Inputs!$F$68,0)</f>
        <v>9.11409240919558</v>
      </c>
      <c r="X68" s="13" t="n">
        <f aca="false">X67-IF(Construction!X8=1,Inputs!$F$68,0)</f>
        <v>9.61427578475519</v>
      </c>
      <c r="Y68" s="13" t="n">
        <f aca="false">Y67-IF(Construction!Y8=1,Inputs!$F$68,0)</f>
        <v>9.9469290146295</v>
      </c>
      <c r="Z68" s="13" t="n">
        <f aca="false">Z67-IF(Construction!Z8=1,Inputs!$F$68,0)</f>
        <v>10.1556241003847</v>
      </c>
      <c r="AA68" s="13" t="n">
        <f aca="false">AA67-IF(Construction!AA8=1,Inputs!$F$68,0)</f>
        <v>10.5351863357398</v>
      </c>
      <c r="AB68" s="13" t="n">
        <f aca="false">AB67-IF(Construction!AB8=1,Inputs!$F$68,0)</f>
        <v>10.0480159876596</v>
      </c>
      <c r="AC68" s="13" t="n">
        <f aca="false">AC67-IF(Construction!AC8=1,Inputs!$F$68,0)</f>
        <v>9.80960665102317</v>
      </c>
      <c r="AD68" s="13" t="n">
        <f aca="false">AD67-IF(Construction!AD8=1,Inputs!$F$68,0)</f>
        <v>9.37639073132079</v>
      </c>
      <c r="AE68" s="13" t="n">
        <f aca="false">AE67-IF(Construction!AE8=1,Inputs!$F$68,0)</f>
        <v>8.84652054844811</v>
      </c>
      <c r="AF68" s="13" t="n">
        <f aca="false">AF67-IF(Construction!AF8=1,Inputs!$F$68,0)</f>
        <v>8.16433760343355</v>
      </c>
      <c r="AG68" s="13" t="n">
        <f aca="false">AG67-IF(Construction!AG8=1,Inputs!$F$68,0)</f>
        <v>7.42726783725914</v>
      </c>
      <c r="AH68" s="13" t="n">
        <f aca="false">AH67-IF(Construction!AH8=1,Inputs!$F$68,0)</f>
        <v>6.60033454591244</v>
      </c>
      <c r="AI68" s="13" t="n">
        <f aca="false">AI67-IF(Construction!AI8=1,Inputs!$F$68,0)</f>
        <v>5.7115412153128</v>
      </c>
      <c r="AJ68" s="13" t="n">
        <f aca="false">AJ67-IF(Construction!AJ8=1,Inputs!$F$68,0)</f>
        <v>4.85493235992435</v>
      </c>
      <c r="AK68" s="13" t="n">
        <f aca="false">AK67-IF(Construction!AK8=1,Inputs!$F$68,0)</f>
        <v>3.98150663215359</v>
      </c>
      <c r="AL68" s="13" t="n">
        <f aca="false">AL67-IF(Construction!AL8=1,Inputs!$F$68,0)</f>
        <v>3.21308330986703</v>
      </c>
      <c r="AM68" s="13" t="n">
        <f aca="false">AM67-IF(Construction!AM8=1,Inputs!$F$68,0)</f>
        <v>2.52448923072964</v>
      </c>
      <c r="AN68" s="13" t="n">
        <f aca="false">AN67-IF(Construction!AN8=1,Inputs!$F$68,0)</f>
        <v>1.90611941149932</v>
      </c>
      <c r="AO68" s="13" t="n">
        <f aca="false">AO67-IF(Construction!AO8=1,Inputs!$F$68,0)</f>
        <v>1.59138426647823</v>
      </c>
      <c r="AP68" s="13" t="n">
        <f aca="false">AP67-IF(Construction!AP8=1,Inputs!$F$68,0)</f>
        <v>15.6745410735523</v>
      </c>
      <c r="AQ68" s="13" t="n">
        <f aca="false">AQ67-IF(Construction!AQ8=1,Inputs!$F$68,0)</f>
        <v>12.0448078886423</v>
      </c>
      <c r="AR68" s="13" t="n">
        <f aca="false">AR67-IF(Construction!AR8=1,Inputs!$F$68,0)</f>
        <v>1.06586328799008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49.1936391863916</v>
      </c>
      <c r="J69" s="13" t="n">
        <f aca="false">(1-Inputs!$F$53)*J67</f>
        <v>6.84801834216411</v>
      </c>
      <c r="K69" s="13" t="n">
        <f aca="false">(1-Inputs!$F$53)*K67</f>
        <v>0.14308204731111</v>
      </c>
      <c r="L69" s="13" t="n">
        <f aca="false">(1-Inputs!$F$53)*L67</f>
        <v>0.18275389337292</v>
      </c>
      <c r="M69" s="13" t="n">
        <f aca="false">(1-Inputs!$F$53)*M67</f>
        <v>0.258941227254399</v>
      </c>
      <c r="N69" s="13" t="n">
        <f aca="false">(1-Inputs!$F$53)*N67</f>
        <v>0.373460603448062</v>
      </c>
      <c r="O69" s="13" t="n">
        <f aca="false">(1-Inputs!$F$53)*O67</f>
        <v>0.515228709156978</v>
      </c>
      <c r="P69" s="13" t="n">
        <f aca="false">(1-Inputs!$F$53)*P67</f>
        <v>0.672548417858836</v>
      </c>
      <c r="Q69" s="13" t="n">
        <f aca="false">(1-Inputs!$F$53)*Q67</f>
        <v>0.854030261089693</v>
      </c>
      <c r="R69" s="13" t="n">
        <f aca="false">(1-Inputs!$F$53)*R67</f>
        <v>1.03490598537806</v>
      </c>
      <c r="S69" s="13" t="n">
        <f aca="false">(1-Inputs!$F$53)*S67</f>
        <v>1.21908563587775</v>
      </c>
      <c r="T69" s="13" t="n">
        <f aca="false">(1-Inputs!$F$53)*T67</f>
        <v>1.39142350609234</v>
      </c>
      <c r="U69" s="13" t="n">
        <f aca="false">(1-Inputs!$F$53)*U67</f>
        <v>1.55675324361847</v>
      </c>
      <c r="V69" s="13" t="n">
        <f aca="false">(1-Inputs!$F$53)*V67</f>
        <v>1.70203726858661</v>
      </c>
      <c r="W69" s="13" t="n">
        <f aca="false">(1-Inputs!$F$53)*W67</f>
        <v>1.82281848183911</v>
      </c>
      <c r="X69" s="13" t="n">
        <f aca="false">(1-Inputs!$F$53)*X67</f>
        <v>1.92285515695104</v>
      </c>
      <c r="Y69" s="13" t="n">
        <f aca="false">(1-Inputs!$F$53)*Y67</f>
        <v>1.9893858029259</v>
      </c>
      <c r="Z69" s="13" t="n">
        <f aca="false">(1-Inputs!$F$53)*Z67</f>
        <v>2.03112482007694</v>
      </c>
      <c r="AA69" s="13" t="n">
        <f aca="false">(1-Inputs!$F$53)*AA67</f>
        <v>2.10703726714796</v>
      </c>
      <c r="AB69" s="13" t="n">
        <f aca="false">(1-Inputs!$F$53)*AB67</f>
        <v>2.00960319753192</v>
      </c>
      <c r="AC69" s="13" t="n">
        <f aca="false">(1-Inputs!$F$53)*AC67</f>
        <v>1.96192133020463</v>
      </c>
      <c r="AD69" s="13" t="n">
        <f aca="false">(1-Inputs!$F$53)*AD67</f>
        <v>1.87527814626416</v>
      </c>
      <c r="AE69" s="13" t="n">
        <f aca="false">(1-Inputs!$F$53)*AE67</f>
        <v>1.76930410968962</v>
      </c>
      <c r="AF69" s="13" t="n">
        <f aca="false">(1-Inputs!$F$53)*AF67</f>
        <v>1.63286752068671</v>
      </c>
      <c r="AG69" s="13" t="n">
        <f aca="false">(1-Inputs!$F$53)*AG67</f>
        <v>1.48545356745183</v>
      </c>
      <c r="AH69" s="13" t="n">
        <f aca="false">(1-Inputs!$F$53)*AH67</f>
        <v>1.32006690918249</v>
      </c>
      <c r="AI69" s="13" t="n">
        <f aca="false">(1-Inputs!$F$53)*AI67</f>
        <v>1.14230824306256</v>
      </c>
      <c r="AJ69" s="13" t="n">
        <f aca="false">(1-Inputs!$F$53)*AJ67</f>
        <v>0.970986471984869</v>
      </c>
      <c r="AK69" s="13" t="n">
        <f aca="false">(1-Inputs!$F$53)*AK67</f>
        <v>0.796301326430718</v>
      </c>
      <c r="AL69" s="13" t="n">
        <f aca="false">(1-Inputs!$F$53)*AL67</f>
        <v>0.642616661973405</v>
      </c>
      <c r="AM69" s="13" t="n">
        <f aca="false">(1-Inputs!$F$53)*AM67</f>
        <v>0.504897846145929</v>
      </c>
      <c r="AN69" s="13" t="n">
        <f aca="false">(1-Inputs!$F$53)*AN67</f>
        <v>0.381223882299863</v>
      </c>
      <c r="AO69" s="13" t="n">
        <f aca="false">(1-Inputs!$F$53)*AO67</f>
        <v>0.318276853295646</v>
      </c>
      <c r="AP69" s="13" t="n">
        <f aca="false">(1-Inputs!$F$53)*AP67</f>
        <v>3.13490821471046</v>
      </c>
      <c r="AQ69" s="13" t="n">
        <f aca="false">(1-Inputs!$F$53)*AQ67</f>
        <v>2.40896157772846</v>
      </c>
      <c r="AR69" s="13" t="n">
        <f aca="false">(1-Inputs!$F$53)*AR67</f>
        <v>0.213172657598017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196.774556745566</v>
      </c>
      <c r="J70" s="13" t="n">
        <f aca="false">Inputs!$F$53*J67</f>
        <v>27.3920733686565</v>
      </c>
      <c r="K70" s="13" t="n">
        <f aca="false">Inputs!$F$53*K67</f>
        <v>0.572328189244439</v>
      </c>
      <c r="L70" s="13" t="n">
        <f aca="false">Inputs!$F$53*L67</f>
        <v>0.731015573491679</v>
      </c>
      <c r="M70" s="13" t="n">
        <f aca="false">Inputs!$F$53*M67</f>
        <v>1.0357649090176</v>
      </c>
      <c r="N70" s="13" t="n">
        <f aca="false">Inputs!$F$53*N67</f>
        <v>1.49384241379225</v>
      </c>
      <c r="O70" s="13" t="n">
        <f aca="false">Inputs!$F$53*O67</f>
        <v>2.06091483662791</v>
      </c>
      <c r="P70" s="13" t="n">
        <f aca="false">Inputs!$F$53*P67</f>
        <v>2.69019367143534</v>
      </c>
      <c r="Q70" s="13" t="n">
        <f aca="false">Inputs!$F$53*Q67</f>
        <v>3.41612104435877</v>
      </c>
      <c r="R70" s="13" t="n">
        <f aca="false">Inputs!$F$53*R67</f>
        <v>4.13962394151222</v>
      </c>
      <c r="S70" s="13" t="n">
        <f aca="false">Inputs!$F$53*S67</f>
        <v>4.87634254351102</v>
      </c>
      <c r="T70" s="13" t="n">
        <f aca="false">Inputs!$F$53*T67</f>
        <v>5.56569402436934</v>
      </c>
      <c r="U70" s="13" t="n">
        <f aca="false">Inputs!$F$53*U67</f>
        <v>6.22701297447388</v>
      </c>
      <c r="V70" s="13" t="n">
        <f aca="false">Inputs!$F$53*V67</f>
        <v>6.80814907434646</v>
      </c>
      <c r="W70" s="13" t="n">
        <f aca="false">Inputs!$F$53*W67</f>
        <v>7.29127392735646</v>
      </c>
      <c r="X70" s="13" t="n">
        <f aca="false">Inputs!$F$53*X67</f>
        <v>7.69142062780416</v>
      </c>
      <c r="Y70" s="13" t="n">
        <f aca="false">Inputs!$F$53*Y67</f>
        <v>7.9575432117036</v>
      </c>
      <c r="Z70" s="13" t="n">
        <f aca="false">Inputs!$F$53*Z67</f>
        <v>8.12449928030776</v>
      </c>
      <c r="AA70" s="13" t="n">
        <f aca="false">Inputs!$F$53*AA67</f>
        <v>8.42814906859183</v>
      </c>
      <c r="AB70" s="13" t="n">
        <f aca="false">Inputs!$F$53*AB67</f>
        <v>8.03841279012767</v>
      </c>
      <c r="AC70" s="13" t="n">
        <f aca="false">Inputs!$F$53*AC67</f>
        <v>7.84768532081854</v>
      </c>
      <c r="AD70" s="13" t="n">
        <f aca="false">Inputs!$F$53*AD67</f>
        <v>7.50111258505663</v>
      </c>
      <c r="AE70" s="13" t="n">
        <f aca="false">Inputs!$F$53*AE67</f>
        <v>7.07721643875849</v>
      </c>
      <c r="AF70" s="13" t="n">
        <f aca="false">Inputs!$F$53*AF67</f>
        <v>6.53147008274684</v>
      </c>
      <c r="AG70" s="13" t="n">
        <f aca="false">Inputs!$F$53*AG67</f>
        <v>5.94181426980731</v>
      </c>
      <c r="AH70" s="13" t="n">
        <f aca="false">Inputs!$F$53*AH67</f>
        <v>5.28026763672995</v>
      </c>
      <c r="AI70" s="13" t="n">
        <f aca="false">Inputs!$F$53*AI67</f>
        <v>4.56923297225024</v>
      </c>
      <c r="AJ70" s="13" t="n">
        <f aca="false">Inputs!$F$53*AJ67</f>
        <v>3.88394588793948</v>
      </c>
      <c r="AK70" s="13" t="n">
        <f aca="false">Inputs!$F$53*AK67</f>
        <v>3.18520530572287</v>
      </c>
      <c r="AL70" s="13" t="n">
        <f aca="false">Inputs!$F$53*AL67</f>
        <v>2.57046664789362</v>
      </c>
      <c r="AM70" s="13" t="n">
        <f aca="false">Inputs!$F$53*AM67</f>
        <v>2.01959138458372</v>
      </c>
      <c r="AN70" s="13" t="n">
        <f aca="false">Inputs!$F$53*AN67</f>
        <v>1.52489552919945</v>
      </c>
      <c r="AO70" s="13" t="n">
        <f aca="false">Inputs!$F$53*AO67</f>
        <v>1.27310741318258</v>
      </c>
      <c r="AP70" s="13" t="n">
        <f aca="false">Inputs!$F$53*AP67</f>
        <v>12.5396328588418</v>
      </c>
      <c r="AQ70" s="13" t="n">
        <f aca="false">Inputs!$F$53*AQ67</f>
        <v>9.63584631091383</v>
      </c>
      <c r="AR70" s="13" t="n">
        <f aca="false">Inputs!$F$53*AR67</f>
        <v>0.852690630392067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26.7232530770246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0.213883312604578</v>
      </c>
      <c r="L71" s="13" t="n">
        <f aca="false">IF(Construction!L8&lt;=Time!$F$11,K72*Inputs!$F$104/100*Construction!L11/Inputs!$F$248,0)</f>
        <v>0.227356298475722</v>
      </c>
      <c r="M71" s="13" t="n">
        <f aca="false">IF(Construction!M8&lt;=Time!$F$11,L72*Inputs!$F$104/100*Construction!M11/Inputs!$F$248,0)</f>
        <v>0.227505401961774</v>
      </c>
      <c r="N71" s="13" t="n">
        <f aca="false">IF(Construction!N8&lt;=Time!$F$11,M72*Inputs!$F$104/100*Construction!N11/Inputs!$F$248,0)</f>
        <v>0.245281603212101</v>
      </c>
      <c r="O71" s="13" t="n">
        <f aca="false">IF(Construction!O8&lt;=Time!$F$11,N72*Inputs!$F$104/100*Construction!O11/Inputs!$F$248,0)</f>
        <v>0.259313713431492</v>
      </c>
      <c r="P71" s="13" t="n">
        <f aca="false">IF(Construction!P8&lt;=Time!$F$11,O72*Inputs!$F$104/100*Construction!P11/Inputs!$F$248,0)</f>
        <v>0.251127900796089</v>
      </c>
      <c r="Q71" s="13" t="n">
        <f aca="false">IF(Construction!Q8&lt;=Time!$F$11,P72*Inputs!$F$104/100*Construction!Q11/Inputs!$F$248,0)</f>
        <v>0.301766494555181</v>
      </c>
      <c r="R71" s="13" t="n">
        <f aca="false">IF(Construction!R8&lt;=Time!$F$11,Q72*Inputs!$F$104/100*Construction!R11/Inputs!$F$248,0)</f>
        <v>0.321062172288315</v>
      </c>
      <c r="S71" s="13" t="n">
        <f aca="false">IF(Construction!S8&lt;=Time!$F$11,R72*Inputs!$F$104/100*Construction!S11/Inputs!$F$248,0)</f>
        <v>0.36775526005448</v>
      </c>
      <c r="T71" s="13" t="n">
        <f aca="false">IF(Construction!T8&lt;=Time!$F$11,S72*Inputs!$F$104/100*Construction!T11/Inputs!$F$248,0)</f>
        <v>0.396839252191036</v>
      </c>
      <c r="U71" s="13" t="n">
        <f aca="false">IF(Construction!U8&lt;=Time!$F$11,T72*Inputs!$F$104/100*Construction!U11/Inputs!$F$248,0)</f>
        <v>0.458175886166729</v>
      </c>
      <c r="V71" s="13" t="n">
        <f aca="false">IF(Construction!V8&lt;=Time!$F$11,U72*Inputs!$F$104/100*Construction!V11/Inputs!$F$248,0)</f>
        <v>0.512115286699843</v>
      </c>
      <c r="W71" s="13" t="n">
        <f aca="false">IF(Construction!W8&lt;=Time!$F$11,V72*Inputs!$F$104/100*Construction!W11/Inputs!$F$248,0)</f>
        <v>0.552753667314337</v>
      </c>
      <c r="X71" s="13" t="n">
        <f aca="false">IF(Construction!X8&lt;=Time!$F$11,W72*Inputs!$F$104/100*Construction!X11/Inputs!$F$248,0)</f>
        <v>0.634468272479533</v>
      </c>
      <c r="Y71" s="13" t="n">
        <f aca="false">IF(Construction!Y8&lt;=Time!$F$11,X72*Inputs!$F$104/100*Construction!Y11/Inputs!$F$248,0)</f>
        <v>0.679011919398228</v>
      </c>
      <c r="Z71" s="13" t="n">
        <f aca="false">IF(Construction!Z8&lt;=Time!$F$11,Y72*Inputs!$F$104/100*Construction!Z11/Inputs!$F$248,0)</f>
        <v>0.771329635965643</v>
      </c>
      <c r="AA71" s="13" t="n">
        <f aca="false">IF(Construction!AA8&lt;=Time!$F$11,Z72*Inputs!$F$104/100*Construction!AA11/Inputs!$F$248,0)</f>
        <v>0.84310557064626</v>
      </c>
      <c r="AB71" s="13" t="n">
        <f aca="false">IF(Construction!AB8&lt;=Time!$F$11,AA72*Inputs!$F$104/100*Construction!AB11/Inputs!$F$248,0)</f>
        <v>0.858690584865647</v>
      </c>
      <c r="AC71" s="13" t="n">
        <f aca="false">IF(Construction!AC8&lt;=Time!$F$11,AB72*Inputs!$F$104/100*Construction!AC11/Inputs!$F$248,0)</f>
        <v>0.989696842843278</v>
      </c>
      <c r="AD71" s="13" t="n">
        <f aca="false">IF(Construction!AD8&lt;=Time!$F$11,AC72*Inputs!$F$104/100*Construction!AD11/Inputs!$F$248,0)</f>
        <v>1.02677535512978</v>
      </c>
      <c r="AE71" s="13" t="n">
        <f aca="false">IF(Construction!AE8&lt;=Time!$F$11,AD72*Inputs!$F$104/100*Construction!AE11/Inputs!$F$248,0)</f>
        <v>1.12980840573597</v>
      </c>
      <c r="AF71" s="13" t="n">
        <f aca="false">IF(Construction!AF8&lt;=Time!$F$11,AE72*Inputs!$F$104/100*Construction!AF11/Inputs!$F$248,0)</f>
        <v>1.15744522207865</v>
      </c>
      <c r="AG71" s="13" t="n">
        <f aca="false">IF(Construction!AG8&lt;=Time!$F$11,AF72*Inputs!$F$104/100*Construction!AG11/Inputs!$F$248,0)</f>
        <v>1.25806468995446</v>
      </c>
      <c r="AH71" s="13" t="n">
        <f aca="false">IF(Construction!AH8&lt;=Time!$F$11,AG72*Inputs!$F$104/100*Construction!AH11/Inputs!$F$248,0)</f>
        <v>1.31615686402706</v>
      </c>
      <c r="AI71" s="13" t="n">
        <f aca="false">IF(Construction!AI8&lt;=Time!$F$11,AH72*Inputs!$F$104/100*Construction!AI11/Inputs!$F$248,0)</f>
        <v>1.32520651928751</v>
      </c>
      <c r="AJ71" s="13" t="n">
        <f aca="false">IF(Construction!AJ8&lt;=Time!$F$11,AI72*Inputs!$F$104/100*Construction!AJ11/Inputs!$F$248,0)</f>
        <v>1.41693931459502</v>
      </c>
      <c r="AK71" s="13" t="n">
        <f aca="false">IF(Construction!AK8&lt;=Time!$F$11,AJ72*Inputs!$F$104/100*Construction!AK11/Inputs!$F$248,0)</f>
        <v>1.41262206826862</v>
      </c>
      <c r="AL71" s="13" t="n">
        <f aca="false">IF(Construction!AL8&lt;=Time!$F$11,AK72*Inputs!$F$104/100*Construction!AL11/Inputs!$F$248,0)</f>
        <v>1.49680700921932</v>
      </c>
      <c r="AM71" s="13" t="n">
        <f aca="false">IF(Construction!AM8&lt;=Time!$F$11,AL72*Inputs!$F$104/100*Construction!AM11/Inputs!$F$248,0)</f>
        <v>1.5296237788637</v>
      </c>
      <c r="AN71" s="13" t="n">
        <f aca="false">IF(Construction!AN8&lt;=Time!$F$11,AM72*Inputs!$F$104/100*Construction!AN11/Inputs!$F$248,0)</f>
        <v>1.40746118447767</v>
      </c>
      <c r="AO71" s="13" t="n">
        <f aca="false">IF(Construction!AO8&lt;=Time!$F$11,AN72*Inputs!$F$104/100*Construction!AO11/Inputs!$F$248,0)</f>
        <v>1.58192029715995</v>
      </c>
      <c r="AP71" s="13" t="n">
        <f aca="false">IF(Construction!AP8&lt;=Time!$F$11,AO72*Inputs!$F$104/100*Construction!AP11/Inputs!$F$248,0)</f>
        <v>1.55318329227664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27.3920733686565</v>
      </c>
      <c r="K72" s="13" t="n">
        <f aca="false">J72+K71+K70</f>
        <v>28.1782848705055</v>
      </c>
      <c r="L72" s="13" t="n">
        <f aca="false">K72+L71+L70</f>
        <v>29.1366567424729</v>
      </c>
      <c r="M72" s="13" t="n">
        <f aca="false">L72+M71+M70</f>
        <v>30.3999270534522</v>
      </c>
      <c r="N72" s="13" t="n">
        <f aca="false">M72+N71+N70</f>
        <v>32.1390510704566</v>
      </c>
      <c r="O72" s="13" t="n">
        <f aca="false">N72+O71+O70</f>
        <v>34.459279620516</v>
      </c>
      <c r="P72" s="13" t="n">
        <f aca="false">O72+P71+P70</f>
        <v>37.4006011927474</v>
      </c>
      <c r="Q72" s="13" t="n">
        <f aca="false">P72+Q71+Q70</f>
        <v>41.1184887316614</v>
      </c>
      <c r="R72" s="13" t="n">
        <f aca="false">Q72+R71+R70</f>
        <v>45.5791748454619</v>
      </c>
      <c r="S72" s="13" t="n">
        <f aca="false">R72+S71+S70</f>
        <v>50.8232726490274</v>
      </c>
      <c r="T72" s="13" t="n">
        <f aca="false">S72+T71+T70</f>
        <v>56.7858059255878</v>
      </c>
      <c r="U72" s="13" t="n">
        <f aca="false">T72+U71+U70</f>
        <v>63.4709947862284</v>
      </c>
      <c r="V72" s="13" t="n">
        <f aca="false">U72+V71+V70</f>
        <v>70.7912591472747</v>
      </c>
      <c r="W72" s="13" t="n">
        <f aca="false">V72+W71+W70</f>
        <v>78.6352867419455</v>
      </c>
      <c r="X72" s="13" t="n">
        <f aca="false">W72+X71+X70</f>
        <v>86.9611756422292</v>
      </c>
      <c r="Y72" s="13" t="n">
        <f aca="false">X72+Y71+Y70</f>
        <v>95.597730773331</v>
      </c>
      <c r="Z72" s="13" t="n">
        <f aca="false">Y72+Z71+Z70</f>
        <v>104.493559689604</v>
      </c>
      <c r="AA72" s="13" t="n">
        <f aca="false">Z72+AA71+AA70</f>
        <v>113.764814328842</v>
      </c>
      <c r="AB72" s="13" t="n">
        <f aca="false">AA72+AB71+AB70</f>
        <v>122.661917703836</v>
      </c>
      <c r="AC72" s="13" t="n">
        <f aca="false">AB72+AC71+AC70</f>
        <v>131.499299867498</v>
      </c>
      <c r="AD72" s="13" t="n">
        <f aca="false">AC72+AD71+AD70</f>
        <v>140.027187807684</v>
      </c>
      <c r="AE72" s="13" t="n">
        <f aca="false">AD72+AE71+AE70</f>
        <v>148.234212652178</v>
      </c>
      <c r="AF72" s="13" t="n">
        <f aca="false">AE72+AF71+AF70</f>
        <v>155.923127957004</v>
      </c>
      <c r="AG72" s="13" t="n">
        <f aca="false">AF72+AG71+AG70</f>
        <v>163.123006916766</v>
      </c>
      <c r="AH72" s="13" t="n">
        <f aca="false">AG72+AH71+AH70</f>
        <v>169.719431417523</v>
      </c>
      <c r="AI72" s="13" t="n">
        <f aca="false">AH72+AI71+AI70</f>
        <v>175.61387090906</v>
      </c>
      <c r="AJ72" s="13" t="n">
        <f aca="false">AI72+AJ71+AJ70</f>
        <v>180.914756111595</v>
      </c>
      <c r="AK72" s="13" t="n">
        <f aca="false">AJ72+AK71+AK70</f>
        <v>185.512583485586</v>
      </c>
      <c r="AL72" s="13" t="n">
        <f aca="false">AK72+AL71+AL70</f>
        <v>189.579857142699</v>
      </c>
      <c r="AM72" s="13" t="n">
        <f aca="false">AL72+AM71+AM70</f>
        <v>193.129072306147</v>
      </c>
      <c r="AN72" s="13" t="n">
        <f aca="false">AM72+AN71+AN70</f>
        <v>196.061429019824</v>
      </c>
      <c r="AO72" s="13" t="n">
        <f aca="false">AN72+AO71+AO70</f>
        <v>198.916456730167</v>
      </c>
      <c r="AP72" s="13" t="n">
        <f aca="false">AO72+AP71+AP70</f>
        <v>213.009272881285</v>
      </c>
      <c r="AQ72" s="13" t="n">
        <f aca="false">AP72+AQ71+AQ70</f>
        <v>222.645119192199</v>
      </c>
      <c r="AR72" s="13" t="n">
        <f aca="false">AQ72+AR71+AR70</f>
        <v>223.497809822591</v>
      </c>
      <c r="AS72" s="13" t="n">
        <f aca="false">AR72+AS71+AS70</f>
        <v>223.497809822591</v>
      </c>
      <c r="AT72" s="13" t="n">
        <f aca="false">AS72+AT71+AT70</f>
        <v>223.497809822591</v>
      </c>
      <c r="AU72" s="13" t="n">
        <f aca="false">AT72+AU71+AU70</f>
        <v>223.497809822591</v>
      </c>
      <c r="AV72" s="13" t="n">
        <f aca="false">AU72+AV71+AV70</f>
        <v>223.497809822591</v>
      </c>
      <c r="AW72" s="13" t="n">
        <f aca="false">AV72+AW71+AW70</f>
        <v>223.497809822591</v>
      </c>
      <c r="AX72" s="13" t="n">
        <f aca="false">AW72+AX71+AX70</f>
        <v>223.497809822591</v>
      </c>
      <c r="AY72" s="13" t="n">
        <f aca="false">AX72+AY71+AY70</f>
        <v>223.497809822591</v>
      </c>
      <c r="AZ72" s="13" t="n">
        <f aca="false">AY72+AZ71+AZ70</f>
        <v>223.497809822591</v>
      </c>
      <c r="BA72" s="13" t="n">
        <f aca="false">AZ72+BA71+BA70</f>
        <v>223.497809822591</v>
      </c>
      <c r="BB72" s="13" t="n">
        <f aca="false">BA72+BB71+BB70</f>
        <v>223.497809822591</v>
      </c>
      <c r="BC72" s="13" t="n">
        <f aca="false">BB72+BC71+BC70</f>
        <v>223.497809822591</v>
      </c>
      <c r="BD72" s="13" t="n">
        <f aca="false">BC72+BD71+BD70</f>
        <v>223.497809822591</v>
      </c>
      <c r="BE72" s="13" t="n">
        <f aca="false">BD72+BE71+BE70</f>
        <v>223.497809822591</v>
      </c>
      <c r="BF72" s="13" t="n">
        <f aca="false">BE72+BF71+BF70</f>
        <v>223.497809822591</v>
      </c>
      <c r="BG72" s="13" t="n">
        <f aca="false">BF72+BG71+BG70</f>
        <v>223.497809822591</v>
      </c>
      <c r="BH72" s="13" t="n">
        <f aca="false">BG72+BH71+BH70</f>
        <v>223.497809822591</v>
      </c>
      <c r="BI72" s="13" t="n">
        <f aca="false">BH72+BI71+BI70</f>
        <v>223.497809822591</v>
      </c>
      <c r="BJ72" s="13" t="n">
        <f aca="false">BI72+BJ71+BJ70</f>
        <v>223.497809822591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689.875573432076</v>
      </c>
      <c r="J73" s="13" t="n">
        <f aca="false">J47+J55</f>
        <v>96.0343788101108</v>
      </c>
      <c r="K73" s="13" t="n">
        <f aca="false">K47+K55</f>
        <v>2.00653602923308</v>
      </c>
      <c r="L73" s="13" t="n">
        <f aca="false">L47+L55</f>
        <v>2.56288107716301</v>
      </c>
      <c r="M73" s="13" t="n">
        <f aca="false">M47+M55</f>
        <v>3.63130743307055</v>
      </c>
      <c r="N73" s="13" t="n">
        <f aca="false">N47+N55</f>
        <v>5.2372898655014</v>
      </c>
      <c r="O73" s="13" t="n">
        <f aca="false">O47+O55</f>
        <v>7.22539960566009</v>
      </c>
      <c r="P73" s="13" t="n">
        <f aca="false">P47+P55</f>
        <v>9.43159996098741</v>
      </c>
      <c r="Q73" s="13" t="n">
        <f aca="false">Q47+Q55</f>
        <v>11.9766422212687</v>
      </c>
      <c r="R73" s="13" t="n">
        <f aca="false">R47+R55</f>
        <v>14.5131844669153</v>
      </c>
      <c r="S73" s="13" t="n">
        <f aca="false">S47+S55</f>
        <v>17.0960598976508</v>
      </c>
      <c r="T73" s="13" t="n">
        <f aca="false">T47+T55</f>
        <v>19.5128700585717</v>
      </c>
      <c r="U73" s="13" t="n">
        <f aca="false">U47+U55</f>
        <v>21.8314004492399</v>
      </c>
      <c r="V73" s="13" t="n">
        <f aca="false">V47+V55</f>
        <v>23.8688162959445</v>
      </c>
      <c r="W73" s="13" t="n">
        <f aca="false">W47+W55</f>
        <v>25.5626126917891</v>
      </c>
      <c r="X73" s="13" t="n">
        <f aca="false">X47+X55</f>
        <v>26.9654944413094</v>
      </c>
      <c r="Y73" s="13" t="n">
        <f aca="false">Y47+Y55</f>
        <v>27.8984985512271</v>
      </c>
      <c r="Z73" s="13" t="n">
        <f aca="false">Z47+Z55</f>
        <v>28.4838329332285</v>
      </c>
      <c r="AA73" s="13" t="n">
        <f aca="false">AA47+AA55</f>
        <v>29.5484043660376</v>
      </c>
      <c r="AB73" s="13" t="n">
        <f aca="false">AB47+AB55</f>
        <v>28.182020708315</v>
      </c>
      <c r="AC73" s="13" t="n">
        <f aca="false">AC47+AC55</f>
        <v>27.5133457310464</v>
      </c>
      <c r="AD73" s="13" t="n">
        <f aca="false">AD47+AD55</f>
        <v>26.2982899394136</v>
      </c>
      <c r="AE73" s="13" t="n">
        <f aca="false">AE47+AE55</f>
        <v>24.8121445665583</v>
      </c>
      <c r="AF73" s="13" t="n">
        <f aca="false">AF47+AF55</f>
        <v>22.8988022801934</v>
      </c>
      <c r="AG73" s="13" t="n">
        <f aca="false">AG47+AG55</f>
        <v>20.8315170132003</v>
      </c>
      <c r="AH73" s="13" t="n">
        <f aca="false">AH47+AH55</f>
        <v>18.5121883845686</v>
      </c>
      <c r="AI73" s="13" t="n">
        <f aca="false">AI47+AI55</f>
        <v>16.0193587474408</v>
      </c>
      <c r="AJ73" s="13" t="n">
        <f aca="false">AJ47+AJ55</f>
        <v>13.6167980298691</v>
      </c>
      <c r="AK73" s="13" t="n">
        <f aca="false">AK47+AK55</f>
        <v>11.1670704441008</v>
      </c>
      <c r="AL73" s="13" t="n">
        <f aca="false">AL47+AL55</f>
        <v>9.01184676531405</v>
      </c>
      <c r="AM73" s="13" t="n">
        <f aca="false">AM47+AM55</f>
        <v>7.08052294758663</v>
      </c>
      <c r="AN73" s="13" t="n">
        <f aca="false">AN47+AN55</f>
        <v>5.34615955959552</v>
      </c>
      <c r="AO73" s="13" t="n">
        <f aca="false">AO47+AO55</f>
        <v>4.46341092687915</v>
      </c>
      <c r="AP73" s="13" t="n">
        <f aca="false">AP47+AP55</f>
        <v>43.9629317539608</v>
      </c>
      <c r="AQ73" s="13" t="n">
        <f aca="false">AQ47+AQ55</f>
        <v>33.7824925599524</v>
      </c>
      <c r="AR73" s="13" t="n">
        <f aca="false">AR47+AR55</f>
        <v>2.98946391917176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116.178006406264</v>
      </c>
      <c r="J74" s="13" t="n">
        <f aca="false">J33+J34+J35+J36+J37+J38+J39+J40+J41+J42+J43+J48+Construction!J14*Construction!J38</f>
        <v>14.6147105209314</v>
      </c>
      <c r="K74" s="13" t="n">
        <f aca="false">K33+K34+K35+K36+K37+K38+K39+K40+K41+K42+K43+K48+Construction!K14*Construction!K38</f>
        <v>1.15903394878863</v>
      </c>
      <c r="L74" s="13" t="n">
        <f aca="false">L33+L34+L35+L36+L37+L38+L39+L40+L41+L42+L43+L48+Construction!L14*Construction!L38</f>
        <v>1.2165086270276</v>
      </c>
      <c r="M74" s="13" t="n">
        <f aca="false">M33+M34+M35+M36+M37+M38+M39+M40+M41+M42+M43+M48+Construction!M14*Construction!M38</f>
        <v>1.23331990834254</v>
      </c>
      <c r="N74" s="13" t="n">
        <f aca="false">N33+N34+N35+N36+N37+N38+N39+N40+N41+N42+N43+N48+Construction!N14*Construction!N38</f>
        <v>1.33381490174171</v>
      </c>
      <c r="O74" s="13" t="n">
        <f aca="false">O33+O34+O35+O36+O37+O38+O39+O40+O41+O42+O43+O48+Construction!O14*Construction!O38</f>
        <v>1.43230949044497</v>
      </c>
      <c r="P74" s="13" t="n">
        <f aca="false">P33+P34+P35+P36+P37+P38+P39+P40+P41+P42+P43+P48+Construction!P14*Construction!P38</f>
        <v>1.44436682128158</v>
      </c>
      <c r="Q74" s="13" t="n">
        <f aca="false">Q33+Q34+Q35+Q36+Q37+Q38+Q39+Q40+Q41+Q42+Q43+Q48+Construction!Q14*Construction!Q38</f>
        <v>1.67255653771719</v>
      </c>
      <c r="R74" s="13" t="n">
        <f aca="false">R33+R34+R35+R36+R37+R38+R39+R40+R41+R42+R43+R48+Construction!R14*Construction!R38</f>
        <v>1.78242047680557</v>
      </c>
      <c r="S74" s="13" t="n">
        <f aca="false">S33+S34+S35+S36+S37+S38+S39+S40+S41+S42+S43+S48+Construction!S14*Construction!S38</f>
        <v>1.97622417603958</v>
      </c>
      <c r="T74" s="13" t="n">
        <f aca="false">T33+T34+T35+T36+T37+T38+T39+T40+T41+T42+T43+T48+Construction!T14*Construction!T38</f>
        <v>2.08487984803338</v>
      </c>
      <c r="U74" s="13" t="n">
        <f aca="false">U33+U34+U35+U36+U37+U38+U39+U40+U41+U42+U43+U48+Construction!U14*Construction!U38</f>
        <v>2.30645617433225</v>
      </c>
      <c r="V74" s="13" t="n">
        <f aca="false">V33+V34+V35+V36+V37+V38+V39+V40+V41+V42+V43+V48+Construction!V14*Construction!V38</f>
        <v>2.48680139387751</v>
      </c>
      <c r="W74" s="13" t="n">
        <f aca="false">W33+W34+W35+W36+W37+W38+W39+W40+W41+W42+W43+W48+Construction!W14*Construction!W38</f>
        <v>2.62139153598464</v>
      </c>
      <c r="X74" s="13" t="n">
        <f aca="false">X33+X34+X35+X36+X37+X38+X39+X40+X41+X42+X43+X48+Construction!X14*Construction!X38</f>
        <v>2.84430338106458</v>
      </c>
      <c r="Y74" s="13" t="n">
        <f aca="false">Y33+Y34+Y35+Y36+Y37+Y38+Y39+Y40+Y41+Y42+Y43+Y48+Construction!Y14*Construction!Y38</f>
        <v>2.96310305685661</v>
      </c>
      <c r="Z74" s="13" t="n">
        <f aca="false">Z33+Z34+Z35+Z36+Z37+Z38+Z39+Z40+Z41+Z42+Z43+Z48+Construction!Z14*Construction!Z38</f>
        <v>3.17554100461319</v>
      </c>
      <c r="AA74" s="13" t="n">
        <f aca="false">AA33+AA34+AA35+AA36+AA37+AA38+AA39+AA40+AA41+AA42+AA43+AA48+Construction!AA14*Construction!AA38</f>
        <v>3.36237467277734</v>
      </c>
      <c r="AB74" s="13" t="n">
        <f aca="false">AB33+AB34+AB35+AB36+AB37+AB38+AB39+AB40+AB41+AB42+AB43+AB48+Construction!AB14*Construction!AB38</f>
        <v>3.3477121869746</v>
      </c>
      <c r="AC74" s="13" t="n">
        <f aca="false">AC33+AC34+AC35+AC36+AC37+AC38+AC39+AC40+AC41+AC42+AC43+AC48+Construction!AC14*Construction!AC38</f>
        <v>3.58748553706955</v>
      </c>
      <c r="AD74" s="13" t="n">
        <f aca="false">AD33+AD34+AD35+AD36+AD37+AD38+AD39+AD40+AD41+AD42+AD43+AD48+Construction!AD14*Construction!AD38</f>
        <v>3.61936710573441</v>
      </c>
      <c r="AE74" s="13" t="n">
        <f aca="false">AE33+AE34+AE35+AE36+AE37+AE38+AE39+AE40+AE41+AE42+AE43+AE48+Construction!AE14*Construction!AE38</f>
        <v>3.76646387000641</v>
      </c>
      <c r="AF74" s="13" t="n">
        <f aca="false">AF33+AF34+AF35+AF36+AF37+AF38+AF39+AF40+AF41+AF42+AF43+AF48+Construction!AF14*Construction!AF38</f>
        <v>3.75442939062696</v>
      </c>
      <c r="AG74" s="13" t="n">
        <f aca="false">AG33+AG34+AG35+AG36+AG37+AG38+AG39+AG40+AG41+AG42+AG43+AG48+Construction!AG14*Construction!AG38</f>
        <v>3.87367710945944</v>
      </c>
      <c r="AH74" s="13" t="n">
        <f aca="false">AH33+AH34+AH35+AH36+AH37+AH38+AH39+AH40+AH41+AH42+AH43+AH48+Construction!AH14*Construction!AH38</f>
        <v>3.89725902948105</v>
      </c>
      <c r="AI74" s="13" t="n">
        <f aca="false">AI33+AI34+AI35+AI36+AI37+AI38+AI39+AI40+AI41+AI42+AI43+AI48+Construction!AI14*Construction!AI38</f>
        <v>3.82560604575363</v>
      </c>
      <c r="AJ74" s="13" t="n">
        <f aca="false">AJ33+AJ34+AJ35+AJ36+AJ37+AJ38+AJ39+AJ40+AJ41+AJ42+AJ43+AJ48+Construction!AJ14*Construction!AJ38</f>
        <v>3.89749340079349</v>
      </c>
      <c r="AK74" s="13" t="n">
        <f aca="false">AK33+AK34+AK35+AK36+AK37+AK38+AK39+AK40+AK41+AK42+AK43+AK48+Construction!AK14*Construction!AK38</f>
        <v>3.79860184725442</v>
      </c>
      <c r="AL74" s="13" t="n">
        <f aca="false">AL33+AL34+AL35+AL36+AL37+AL38+AL39+AL40+AL41+AL42+AL43+AL48+Construction!AL14*Construction!AL38</f>
        <v>3.85569641418108</v>
      </c>
      <c r="AM74" s="13" t="n">
        <f aca="false">AM33+AM34+AM35+AM36+AM37+AM38+AM39+AM40+AM41+AM42+AM43+AM48+Construction!AM14*Construction!AM38</f>
        <v>3.83423419731627</v>
      </c>
      <c r="AN74" s="13" t="n">
        <f aca="false">AN33+AN34+AN35+AN36+AN37+AN38+AN39+AN40+AN41+AN42+AN43+AN48+Construction!AN14*Construction!AN38</f>
        <v>3.55958531009484</v>
      </c>
      <c r="AO74" s="13" t="n">
        <f aca="false">AO33+AO34+AO35+AO36+AO37+AO38+AO39+AO40+AO41+AO42+AO43+AO48+Construction!AO14*Construction!AO38</f>
        <v>3.79465327635737</v>
      </c>
      <c r="AP74" s="13" t="n">
        <f aca="false">AP33+AP34+AP35+AP36+AP37+AP38+AP39+AP40+AP41+AP42+AP43+AP48+Construction!AP14*Construction!AP38</f>
        <v>5.01276051051306</v>
      </c>
      <c r="AQ74" s="13" t="n">
        <f aca="false">AQ33+AQ34+AQ35+AQ36+AQ37+AQ38+AQ39+AQ40+AQ41+AQ42+AQ43+AQ48+Construction!AQ14*Construction!AQ38</f>
        <v>4.98753749082496</v>
      </c>
      <c r="AR74" s="13" t="n">
        <f aca="false">AR33+AR34+AR35+AR36+AR37+AR38+AR39+AR40+AR41+AR42+AR43+AR48+Construction!AR14*Construction!AR38</f>
        <v>4.05532720716185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935.843769364034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915.842259483289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206.962672029623</v>
      </c>
      <c r="Q21" s="13" t="n">
        <f aca="false">Time!Q35*P33</f>
        <v>199.002569259253</v>
      </c>
      <c r="R21" s="13" t="n">
        <f aca="false">Time!R35*Q33</f>
        <v>191.042466488882</v>
      </c>
      <c r="S21" s="13" t="n">
        <f aca="false">Time!S35*R33</f>
        <v>183.082363718512</v>
      </c>
      <c r="T21" s="13" t="n">
        <f aca="false">Time!T35*S33</f>
        <v>175.122260948142</v>
      </c>
      <c r="U21" s="13" t="n">
        <f aca="false">Time!U35*T33</f>
        <v>167.162158177772</v>
      </c>
      <c r="V21" s="13" t="n">
        <f aca="false">Time!V35*U33</f>
        <v>159.202055407402</v>
      </c>
      <c r="W21" s="13" t="n">
        <f aca="false">Time!W35*V33</f>
        <v>151.241952637032</v>
      </c>
      <c r="X21" s="13" t="n">
        <f aca="false">Time!X35*W33</f>
        <v>143.281849866662</v>
      </c>
      <c r="Y21" s="13" t="n">
        <f aca="false">Time!Y35*X33</f>
        <v>135.321747096292</v>
      </c>
      <c r="Z21" s="13" t="n">
        <f aca="false">Time!Z35*Y33</f>
        <v>127.361644325922</v>
      </c>
      <c r="AA21" s="13" t="n">
        <f aca="false">Time!AA35*Z33</f>
        <v>119.401541555552</v>
      </c>
      <c r="AB21" s="13" t="n">
        <f aca="false">Time!AB35*AA33</f>
        <v>111.441438785181</v>
      </c>
      <c r="AC21" s="13" t="n">
        <f aca="false">Time!AC35*AB33</f>
        <v>103.481336014811</v>
      </c>
      <c r="AD21" s="13" t="n">
        <f aca="false">Time!AD35*AC33</f>
        <v>95.5212332444413</v>
      </c>
      <c r="AE21" s="13" t="n">
        <f aca="false">Time!AE35*AD33</f>
        <v>87.5611304740712</v>
      </c>
      <c r="AF21" s="13" t="n">
        <f aca="false">Time!AF35*AE33</f>
        <v>79.6010277037011</v>
      </c>
      <c r="AG21" s="13" t="n">
        <f aca="false">Time!AG35*AF33</f>
        <v>71.640924933331</v>
      </c>
      <c r="AH21" s="13" t="n">
        <f aca="false">Time!AH35*AG33</f>
        <v>63.6808221629608</v>
      </c>
      <c r="AI21" s="13" t="n">
        <f aca="false">Time!AI35*AH33</f>
        <v>55.7207193925907</v>
      </c>
      <c r="AJ21" s="13" t="n">
        <f aca="false">Time!AJ35*AI33</f>
        <v>47.7606166222206</v>
      </c>
      <c r="AK21" s="13" t="n">
        <f aca="false">Time!AK35*AJ33</f>
        <v>39.8005138518505</v>
      </c>
      <c r="AL21" s="13" t="n">
        <f aca="false">Time!AL35*AK33</f>
        <v>31.8404110814804</v>
      </c>
      <c r="AM21" s="13" t="n">
        <f aca="false">Time!AM35*AL33</f>
        <v>23.8803083111103</v>
      </c>
      <c r="AN21" s="13" t="n">
        <f aca="false">Time!AN35*AM33</f>
        <v>15.9202055407402</v>
      </c>
      <c r="AO21" s="13" t="n">
        <f aca="false">Time!AO35*AN33</f>
        <v>7.96010277037011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63.3194312860464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4.69667290392557</v>
      </c>
      <c r="Q23" s="13" t="n">
        <f aca="false">Q21*Q10</f>
        <v>4.4624115016729</v>
      </c>
      <c r="R23" s="13" t="n">
        <f aca="false">R21*R10</f>
        <v>4.35491915831768</v>
      </c>
      <c r="S23" s="13" t="n">
        <f aca="false">S21*S10</f>
        <v>4.11462355593713</v>
      </c>
      <c r="T23" s="13" t="n">
        <f aca="false">T21*T10</f>
        <v>4.00095992179522</v>
      </c>
      <c r="U23" s="13" t="n">
        <f aca="false">U21*U10</f>
        <v>3.77758617122069</v>
      </c>
      <c r="V23" s="13" t="n">
        <f aca="false">V21*V10</f>
        <v>3.63723629254111</v>
      </c>
      <c r="W23" s="13" t="n">
        <f aca="false">W21*W10</f>
        <v>3.39903685055676</v>
      </c>
      <c r="X23" s="13" t="n">
        <f aca="false">X21*X10</f>
        <v>3.273512663287</v>
      </c>
      <c r="Y23" s="13" t="n">
        <f aca="false">Y21*Y10</f>
        <v>3.04124349786658</v>
      </c>
      <c r="Z23" s="13" t="n">
        <f aca="false">Z21*Z10</f>
        <v>2.90978903403289</v>
      </c>
      <c r="AA23" s="13" t="n">
        <f aca="false">AA21*AA10</f>
        <v>2.68345014517639</v>
      </c>
      <c r="AB23" s="13" t="n">
        <f aca="false">AB21*AB10</f>
        <v>2.54606540477878</v>
      </c>
      <c r="AC23" s="13" t="n">
        <f aca="false">AC21*AC10</f>
        <v>2.33850572504138</v>
      </c>
      <c r="AD23" s="13" t="n">
        <f aca="false">AD21*AD10</f>
        <v>2.18234177552467</v>
      </c>
      <c r="AE23" s="13" t="n">
        <f aca="false">AE21*AE10</f>
        <v>1.96786343979602</v>
      </c>
      <c r="AF23" s="13" t="n">
        <f aca="false">AF21*AF10</f>
        <v>1.81861814627056</v>
      </c>
      <c r="AG23" s="13" t="n">
        <f aca="false">AG21*AG10</f>
        <v>1.61007008710584</v>
      </c>
      <c r="AH23" s="13" t="n">
        <f aca="false">AH21*AH10</f>
        <v>1.45489451701645</v>
      </c>
      <c r="AI23" s="13" t="n">
        <f aca="false">AI21*AI10</f>
        <v>1.25227673441565</v>
      </c>
      <c r="AJ23" s="13" t="n">
        <f aca="false">AJ21*AJ10</f>
        <v>1.09117088776233</v>
      </c>
      <c r="AK23" s="13" t="n">
        <f aca="false">AK21*AK10</f>
        <v>0.899425278862069</v>
      </c>
      <c r="AL23" s="13" t="n">
        <f aca="false">AL21*AL10</f>
        <v>0.727447258508223</v>
      </c>
      <c r="AM23" s="13" t="n">
        <f aca="false">AM21*AM10</f>
        <v>0.536690029035278</v>
      </c>
      <c r="AN23" s="13" t="n">
        <f aca="false">AN21*AN10</f>
        <v>0.363723629254111</v>
      </c>
      <c r="AO23" s="13" t="n">
        <f aca="false">AO21*AO10</f>
        <v>0.178896676345093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206.962672029623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7.9601027703701</v>
      </c>
      <c r="Q24" s="13" t="n">
        <f aca="false">Time!Q35*(Q21-Q22)*Q147</f>
        <v>7.9601027703701</v>
      </c>
      <c r="R24" s="13" t="n">
        <f aca="false">Time!R35*(R21-R22)*R147</f>
        <v>7.9601027703701</v>
      </c>
      <c r="S24" s="13" t="n">
        <f aca="false">Time!S35*(S21-S22)*S147</f>
        <v>7.9601027703701</v>
      </c>
      <c r="T24" s="13" t="n">
        <f aca="false">Time!T35*(T21-T22)*T147</f>
        <v>7.9601027703701</v>
      </c>
      <c r="U24" s="13" t="n">
        <f aca="false">Time!U35*(U21-U22)*U147</f>
        <v>7.9601027703701</v>
      </c>
      <c r="V24" s="13" t="n">
        <f aca="false">Time!V35*(V21-V22)*V147</f>
        <v>7.9601027703701</v>
      </c>
      <c r="W24" s="13" t="n">
        <f aca="false">Time!W35*(W21-W22)*W147</f>
        <v>7.9601027703701</v>
      </c>
      <c r="X24" s="13" t="n">
        <f aca="false">Time!X35*(X21-X22)*X147</f>
        <v>7.9601027703701</v>
      </c>
      <c r="Y24" s="13" t="n">
        <f aca="false">Time!Y35*(Y21-Y22)*Y147</f>
        <v>7.9601027703701</v>
      </c>
      <c r="Z24" s="13" t="n">
        <f aca="false">Time!Z35*(Z21-Z22)*Z147</f>
        <v>7.9601027703701</v>
      </c>
      <c r="AA24" s="13" t="n">
        <f aca="false">Time!AA35*(AA21-AA22)*AA147</f>
        <v>7.9601027703701</v>
      </c>
      <c r="AB24" s="13" t="n">
        <f aca="false">Time!AB35*(AB21-AB22)*AB147</f>
        <v>7.96010277037011</v>
      </c>
      <c r="AC24" s="13" t="n">
        <f aca="false">Time!AC35*(AC21-AC22)*AC147</f>
        <v>7.9601027703701</v>
      </c>
      <c r="AD24" s="13" t="n">
        <f aca="false">Time!AD35*(AD21-AD22)*AD147</f>
        <v>7.9601027703701</v>
      </c>
      <c r="AE24" s="13" t="n">
        <f aca="false">Time!AE35*(AE21-AE22)*AE147</f>
        <v>7.9601027703701</v>
      </c>
      <c r="AF24" s="13" t="n">
        <f aca="false">Time!AF35*(AF21-AF22)*AF147</f>
        <v>7.96010277037011</v>
      </c>
      <c r="AG24" s="13" t="n">
        <f aca="false">Time!AG35*(AG21-AG22)*AG147</f>
        <v>7.96010277037011</v>
      </c>
      <c r="AH24" s="13" t="n">
        <f aca="false">Time!AH35*(AH21-AH22)*AH147</f>
        <v>7.96010277037011</v>
      </c>
      <c r="AI24" s="13" t="n">
        <f aca="false">Time!AI35*(AI21-AI22)*AI147</f>
        <v>7.96010277037011</v>
      </c>
      <c r="AJ24" s="13" t="n">
        <f aca="false">Time!AJ35*(AJ21-AJ22)*AJ147</f>
        <v>7.96010277037011</v>
      </c>
      <c r="AK24" s="13" t="n">
        <f aca="false">Time!AK35*(AK21-AK22)*AK147</f>
        <v>7.96010277037011</v>
      </c>
      <c r="AL24" s="13" t="n">
        <f aca="false">Time!AL35*(AL21-AL22)*AL147</f>
        <v>7.96010277037011</v>
      </c>
      <c r="AM24" s="13" t="n">
        <f aca="false">Time!AM35*(AM21-AM22)*AM147</f>
        <v>7.9601027703701</v>
      </c>
      <c r="AN24" s="13" t="n">
        <f aca="false">Time!AN35*(AN21-AN22)*AN147</f>
        <v>7.96010277037011</v>
      </c>
      <c r="AO24" s="13" t="n">
        <f aca="false">Time!AO35*(AO21-AO22)*AO147</f>
        <v>7.96010277037011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206.962672029623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7.9601027703701</v>
      </c>
      <c r="Q27" s="13" t="n">
        <f aca="false">Q24-Q25+Q26</f>
        <v>7.9601027703701</v>
      </c>
      <c r="R27" s="13" t="n">
        <f aca="false">R24-R25+R26</f>
        <v>7.9601027703701</v>
      </c>
      <c r="S27" s="13" t="n">
        <f aca="false">S24-S25+S26</f>
        <v>7.9601027703701</v>
      </c>
      <c r="T27" s="13" t="n">
        <f aca="false">T24-T25+T26</f>
        <v>7.9601027703701</v>
      </c>
      <c r="U27" s="13" t="n">
        <f aca="false">U24-U25+U26</f>
        <v>7.9601027703701</v>
      </c>
      <c r="V27" s="13" t="n">
        <f aca="false">V24-V25+V26</f>
        <v>7.9601027703701</v>
      </c>
      <c r="W27" s="13" t="n">
        <f aca="false">W24-W25+W26</f>
        <v>7.9601027703701</v>
      </c>
      <c r="X27" s="13" t="n">
        <f aca="false">X24-X25+X26</f>
        <v>7.9601027703701</v>
      </c>
      <c r="Y27" s="13" t="n">
        <f aca="false">Y24-Y25+Y26</f>
        <v>7.9601027703701</v>
      </c>
      <c r="Z27" s="13" t="n">
        <f aca="false">Z24-Z25+Z26</f>
        <v>7.9601027703701</v>
      </c>
      <c r="AA27" s="13" t="n">
        <f aca="false">AA24-AA25+AA26</f>
        <v>7.9601027703701</v>
      </c>
      <c r="AB27" s="13" t="n">
        <f aca="false">AB24-AB25+AB26</f>
        <v>7.96010277037011</v>
      </c>
      <c r="AC27" s="13" t="n">
        <f aca="false">AC24-AC25+AC26</f>
        <v>7.9601027703701</v>
      </c>
      <c r="AD27" s="13" t="n">
        <f aca="false">AD24-AD25+AD26</f>
        <v>7.9601027703701</v>
      </c>
      <c r="AE27" s="13" t="n">
        <f aca="false">AE24-AE25+AE26</f>
        <v>7.9601027703701</v>
      </c>
      <c r="AF27" s="13" t="n">
        <f aca="false">AF24-AF25+AF26</f>
        <v>7.96010277037011</v>
      </c>
      <c r="AG27" s="13" t="n">
        <f aca="false">AG24-AG25+AG26</f>
        <v>7.96010277037011</v>
      </c>
      <c r="AH27" s="13" t="n">
        <f aca="false">AH24-AH25+AH26</f>
        <v>7.96010277037011</v>
      </c>
      <c r="AI27" s="13" t="n">
        <f aca="false">AI24-AI25+AI26</f>
        <v>7.96010277037011</v>
      </c>
      <c r="AJ27" s="13" t="n">
        <f aca="false">AJ24-AJ25+AJ26</f>
        <v>7.96010277037011</v>
      </c>
      <c r="AK27" s="13" t="n">
        <f aca="false">AK24-AK25+AK26</f>
        <v>7.96010277037011</v>
      </c>
      <c r="AL27" s="13" t="n">
        <f aca="false">AL24-AL25+AL26</f>
        <v>7.96010277037011</v>
      </c>
      <c r="AM27" s="13" t="n">
        <f aca="false">AM24-AM25+AM26</f>
        <v>7.9601027703701</v>
      </c>
      <c r="AN27" s="13" t="n">
        <f aca="false">AN24-AN25+AN26</f>
        <v>7.96010277037011</v>
      </c>
      <c r="AO27" s="13" t="n">
        <f aca="false">AO24-AO25+AO26</f>
        <v>7.96010277037011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199.002569259253</v>
      </c>
      <c r="Q31" s="13" t="n">
        <f aca="false">Q21-Q27-Q28-Q29</f>
        <v>191.042466488882</v>
      </c>
      <c r="R31" s="13" t="n">
        <f aca="false">R21-R27-R28-R29</f>
        <v>183.082363718512</v>
      </c>
      <c r="S31" s="13" t="n">
        <f aca="false">S21-S27-S28-S29</f>
        <v>175.122260948142</v>
      </c>
      <c r="T31" s="13" t="n">
        <f aca="false">T21-T27-T28-T29</f>
        <v>167.162158177772</v>
      </c>
      <c r="U31" s="13" t="n">
        <f aca="false">U21-U27-U28-U29</f>
        <v>159.202055407402</v>
      </c>
      <c r="V31" s="13" t="n">
        <f aca="false">V21-V27-V28-V29</f>
        <v>151.241952637032</v>
      </c>
      <c r="W31" s="13" t="n">
        <f aca="false">W21-W27-W28-W29</f>
        <v>143.281849866662</v>
      </c>
      <c r="X31" s="13" t="n">
        <f aca="false">X21-X27-X28-X29</f>
        <v>135.321747096292</v>
      </c>
      <c r="Y31" s="13" t="n">
        <f aca="false">Y21-Y27-Y28-Y29</f>
        <v>127.361644325922</v>
      </c>
      <c r="Z31" s="13" t="n">
        <f aca="false">Z21-Z27-Z28-Z29</f>
        <v>119.401541555552</v>
      </c>
      <c r="AA31" s="13" t="n">
        <f aca="false">AA21-AA27-AA28-AA29</f>
        <v>111.441438785181</v>
      </c>
      <c r="AB31" s="13" t="n">
        <f aca="false">AB21-AB27-AB28-AB29</f>
        <v>103.481336014811</v>
      </c>
      <c r="AC31" s="13" t="n">
        <f aca="false">AC21-AC27-AC28-AC29</f>
        <v>95.5212332444413</v>
      </c>
      <c r="AD31" s="13" t="n">
        <f aca="false">AD21-AD27-AD28-AD29</f>
        <v>87.5611304740712</v>
      </c>
      <c r="AE31" s="13" t="n">
        <f aca="false">AE21-AE27-AE28-AE29</f>
        <v>79.6010277037011</v>
      </c>
      <c r="AF31" s="13" t="n">
        <f aca="false">AF21-AF27-AF28-AF29</f>
        <v>71.640924933331</v>
      </c>
      <c r="AG31" s="13" t="n">
        <f aca="false">AG21-AG27-AG28-AG29</f>
        <v>63.6808221629608</v>
      </c>
      <c r="AH31" s="13" t="n">
        <f aca="false">AH21-AH27-AH28-AH29</f>
        <v>55.7207193925907</v>
      </c>
      <c r="AI31" s="13" t="n">
        <f aca="false">AI21-AI27-AI28-AI29</f>
        <v>47.7606166222206</v>
      </c>
      <c r="AJ31" s="13" t="n">
        <f aca="false">AJ21-AJ27-AJ28-AJ29</f>
        <v>39.8005138518505</v>
      </c>
      <c r="AK31" s="13" t="n">
        <f aca="false">AK21-AK27-AK28-AK29</f>
        <v>31.8404110814804</v>
      </c>
      <c r="AL31" s="13" t="n">
        <f aca="false">AL21-AL27-AL28-AL29</f>
        <v>23.8803083111103</v>
      </c>
      <c r="AM31" s="13" t="n">
        <f aca="false">AM21-AM27-AM28-AM29</f>
        <v>15.9202055407402</v>
      </c>
      <c r="AN31" s="13" t="n">
        <f aca="false">AN21-AN27-AN28-AN29</f>
        <v>7.96010277037011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206.962672029623</v>
      </c>
      <c r="P33" s="13" t="n">
        <f aca="false">IF(Time!P34=1,INDEX(Funding!$J$61:$BJ$61,1,Time!$F$14),Time!P35*(P31-P32))</f>
        <v>199.002569259253</v>
      </c>
      <c r="Q33" s="13" t="n">
        <f aca="false">IF(Time!Q34=1,INDEX(Funding!$J$61:$BJ$61,1,Time!$F$14),Time!Q35*(Q31-Q32))</f>
        <v>191.042466488882</v>
      </c>
      <c r="R33" s="13" t="n">
        <f aca="false">IF(Time!R34=1,INDEX(Funding!$J$61:$BJ$61,1,Time!$F$14),Time!R35*(R31-R32))</f>
        <v>183.082363718512</v>
      </c>
      <c r="S33" s="13" t="n">
        <f aca="false">IF(Time!S34=1,INDEX(Funding!$J$61:$BJ$61,1,Time!$F$14),Time!S35*(S31-S32))</f>
        <v>175.122260948142</v>
      </c>
      <c r="T33" s="13" t="n">
        <f aca="false">IF(Time!T34=1,INDEX(Funding!$J$61:$BJ$61,1,Time!$F$14),Time!T35*(T31-T32))</f>
        <v>167.162158177772</v>
      </c>
      <c r="U33" s="13" t="n">
        <f aca="false">IF(Time!U34=1,INDEX(Funding!$J$61:$BJ$61,1,Time!$F$14),Time!U35*(U31-U32))</f>
        <v>159.202055407402</v>
      </c>
      <c r="V33" s="13" t="n">
        <f aca="false">IF(Time!V34=1,INDEX(Funding!$J$61:$BJ$61,1,Time!$F$14),Time!V35*(V31-V32))</f>
        <v>151.241952637032</v>
      </c>
      <c r="W33" s="13" t="n">
        <f aca="false">IF(Time!W34=1,INDEX(Funding!$J$61:$BJ$61,1,Time!$F$14),Time!W35*(W31-W32))</f>
        <v>143.281849866662</v>
      </c>
      <c r="X33" s="13" t="n">
        <f aca="false">IF(Time!X34=1,INDEX(Funding!$J$61:$BJ$61,1,Time!$F$14),Time!X35*(X31-X32))</f>
        <v>135.321747096292</v>
      </c>
      <c r="Y33" s="13" t="n">
        <f aca="false">IF(Time!Y34=1,INDEX(Funding!$J$61:$BJ$61,1,Time!$F$14),Time!Y35*(Y31-Y32))</f>
        <v>127.361644325922</v>
      </c>
      <c r="Z33" s="13" t="n">
        <f aca="false">IF(Time!Z34=1,INDEX(Funding!$J$61:$BJ$61,1,Time!$F$14),Time!Z35*(Z31-Z32))</f>
        <v>119.401541555552</v>
      </c>
      <c r="AA33" s="13" t="n">
        <f aca="false">IF(Time!AA34=1,INDEX(Funding!$J$61:$BJ$61,1,Time!$F$14),Time!AA35*(AA31-AA32))</f>
        <v>111.441438785181</v>
      </c>
      <c r="AB33" s="13" t="n">
        <f aca="false">IF(Time!AB34=1,INDEX(Funding!$J$61:$BJ$61,1,Time!$F$14),Time!AB35*(AB31-AB32))</f>
        <v>103.481336014811</v>
      </c>
      <c r="AC33" s="13" t="n">
        <f aca="false">IF(Time!AC34=1,INDEX(Funding!$J$61:$BJ$61,1,Time!$F$14),Time!AC35*(AC31-AC32))</f>
        <v>95.5212332444413</v>
      </c>
      <c r="AD33" s="13" t="n">
        <f aca="false">IF(Time!AD34=1,INDEX(Funding!$J$61:$BJ$61,1,Time!$F$14),Time!AD35*(AD31-AD32))</f>
        <v>87.5611304740712</v>
      </c>
      <c r="AE33" s="13" t="n">
        <f aca="false">IF(Time!AE34=1,INDEX(Funding!$J$61:$BJ$61,1,Time!$F$14),Time!AE35*(AE31-AE32))</f>
        <v>79.6010277037011</v>
      </c>
      <c r="AF33" s="13" t="n">
        <f aca="false">IF(Time!AF34=1,INDEX(Funding!$J$61:$BJ$61,1,Time!$F$14),Time!AF35*(AF31-AF32))</f>
        <v>71.640924933331</v>
      </c>
      <c r="AG33" s="13" t="n">
        <f aca="false">IF(Time!AG34=1,INDEX(Funding!$J$61:$BJ$61,1,Time!$F$14),Time!AG35*(AG31-AG32))</f>
        <v>63.6808221629608</v>
      </c>
      <c r="AH33" s="13" t="n">
        <f aca="false">IF(Time!AH34=1,INDEX(Funding!$J$61:$BJ$61,1,Time!$F$14),Time!AH35*(AH31-AH32))</f>
        <v>55.7207193925907</v>
      </c>
      <c r="AI33" s="13" t="n">
        <f aca="false">IF(Time!AI34=1,INDEX(Funding!$J$61:$BJ$61,1,Time!$F$14),Time!AI35*(AI31-AI32))</f>
        <v>47.7606166222206</v>
      </c>
      <c r="AJ33" s="13" t="n">
        <f aca="false">IF(Time!AJ34=1,INDEX(Funding!$J$61:$BJ$61,1,Time!$F$14),Time!AJ35*(AJ31-AJ32))</f>
        <v>39.8005138518505</v>
      </c>
      <c r="AK33" s="13" t="n">
        <f aca="false">IF(Time!AK34=1,INDEX(Funding!$J$61:$BJ$61,1,Time!$F$14),Time!AK35*(AK31-AK32))</f>
        <v>31.8404110814804</v>
      </c>
      <c r="AL33" s="13" t="n">
        <f aca="false">IF(Time!AL34=1,INDEX(Funding!$J$61:$BJ$61,1,Time!$F$14),Time!AL35*(AL31-AL32))</f>
        <v>23.8803083111103</v>
      </c>
      <c r="AM33" s="13" t="n">
        <f aca="false">IF(Time!AM34=1,INDEX(Funding!$J$61:$BJ$61,1,Time!$F$14),Time!AM35*(AM31-AM32))</f>
        <v>15.9202055407402</v>
      </c>
      <c r="AN33" s="13" t="n">
        <f aca="false">IF(Time!AN34=1,INDEX(Funding!$J$61:$BJ$61,1,Time!$F$14),Time!AN35*(AN31-AN32))</f>
        <v>7.96010277037011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151.772626155057</v>
      </c>
      <c r="Q35" s="13" t="n">
        <f aca="false">Time!Q35*P47</f>
        <v>148.903978282778</v>
      </c>
      <c r="R35" s="13" t="n">
        <f aca="false">Time!R35*Q47</f>
        <v>145.824423824917</v>
      </c>
      <c r="S35" s="13" t="n">
        <f aca="false">Time!S35*R47</f>
        <v>142.484920716267</v>
      </c>
      <c r="T35" s="13" t="n">
        <f aca="false">Time!T35*S47</f>
        <v>138.986349730381</v>
      </c>
      <c r="U35" s="13" t="n">
        <f aca="false">Time!U35*T47</f>
        <v>135.224559207439</v>
      </c>
      <c r="V35" s="13" t="n">
        <f aca="false">Time!V35*U47</f>
        <v>131.273741284428</v>
      </c>
      <c r="W35" s="13" t="n">
        <f aca="false">Time!W35*V47</f>
        <v>126.911132464772</v>
      </c>
      <c r="X35" s="13" t="n">
        <f aca="false">Time!X35*W47</f>
        <v>122.345756970999</v>
      </c>
      <c r="Y35" s="13" t="n">
        <f aca="false">Time!Y35*X47</f>
        <v>117.987210188284</v>
      </c>
      <c r="Z35" s="13" t="n">
        <f aca="false">Time!Z35*Y47</f>
        <v>113.641421535782</v>
      </c>
      <c r="AA35" s="13" t="n">
        <f aca="false">Time!AA35*Z47</f>
        <v>109.021603026496</v>
      </c>
      <c r="AB35" s="13" t="n">
        <f aca="false">Time!AB35*AA47</f>
        <v>104.199880528629</v>
      </c>
      <c r="AC35" s="13" t="n">
        <f aca="false">Time!AC35*AB47</f>
        <v>99.0347675477653</v>
      </c>
      <c r="AD35" s="13" t="n">
        <f aca="false">Time!AD35*AC47</f>
        <v>93.6185310429516</v>
      </c>
      <c r="AE35" s="13" t="n">
        <f aca="false">Time!AE35*AD47</f>
        <v>87.4719810211493</v>
      </c>
      <c r="AF35" s="13" t="n">
        <f aca="false">Time!AF35*AE47</f>
        <v>80.949006831028</v>
      </c>
      <c r="AG35" s="13" t="n">
        <f aca="false">Time!AG35*AF47</f>
        <v>74.1075158635517</v>
      </c>
      <c r="AH35" s="13" t="n">
        <f aca="false">Time!AH35*AG47</f>
        <v>67.0954293905329</v>
      </c>
      <c r="AI35" s="13" t="n">
        <f aca="false">Time!AI35*AH47</f>
        <v>59.5987560182773</v>
      </c>
      <c r="AJ35" s="13" t="n">
        <f aca="false">Time!AJ35*AI47</f>
        <v>51.7970320355649</v>
      </c>
      <c r="AK35" s="13" t="n">
        <f aca="false">Time!AK35*AJ47</f>
        <v>43.4860885994595</v>
      </c>
      <c r="AL35" s="13" t="n">
        <f aca="false">Time!AL35*AK47</f>
        <v>34.8090180529763</v>
      </c>
      <c r="AM35" s="13" t="n">
        <f aca="false">Time!AM35*AL47</f>
        <v>25.438278315354</v>
      </c>
      <c r="AN35" s="13" t="n">
        <f aca="false">Time!AN35*AM47</f>
        <v>15.6930790870826</v>
      </c>
      <c r="AO35" s="13" t="n">
        <f aca="false">Time!AO35*AN47</f>
        <v>7.73104254585531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83.4126890803496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5.22839833479042</v>
      </c>
      <c r="Q37" s="13" t="n">
        <f aca="false">Q35*Q11</f>
        <v>5.06091532410211</v>
      </c>
      <c r="R37" s="13" t="n">
        <f aca="false">R35*R11</f>
        <v>5.03839587028846</v>
      </c>
      <c r="S37" s="13" t="n">
        <f aca="false">S35*S11</f>
        <v>4.84990964716921</v>
      </c>
      <c r="T37" s="13" t="n">
        <f aca="false">T35*T11</f>
        <v>4.80923655922612</v>
      </c>
      <c r="U37" s="13" t="n">
        <f aca="false">U35*U11</f>
        <v>4.62821078838484</v>
      </c>
      <c r="V37" s="13" t="n">
        <f aca="false">V35*V11</f>
        <v>4.5423631678663</v>
      </c>
      <c r="W37" s="13" t="n">
        <f aca="false">W35*W11</f>
        <v>4.31980817745436</v>
      </c>
      <c r="X37" s="13" t="n">
        <f aca="false">X35*X11</f>
        <v>4.23343507065651</v>
      </c>
      <c r="Y37" s="13" t="n">
        <f aca="false">Y35*Y11</f>
        <v>4.01605521523384</v>
      </c>
      <c r="Z37" s="13" t="n">
        <f aca="false">Z35*Z11</f>
        <v>3.93224572163037</v>
      </c>
      <c r="AA37" s="13" t="n">
        <f aca="false">AA35*AA11</f>
        <v>3.71088338057161</v>
      </c>
      <c r="AB37" s="13" t="n">
        <f aca="false">AB35*AB11</f>
        <v>3.60554742158062</v>
      </c>
      <c r="AC37" s="13" t="n">
        <f aca="false">AC35*AC11</f>
        <v>3.38957495795288</v>
      </c>
      <c r="AD37" s="13" t="n">
        <f aca="false">AD35*AD11</f>
        <v>3.23940921526622</v>
      </c>
      <c r="AE37" s="13" t="n">
        <f aca="false">AE35*AE11</f>
        <v>2.97737614955238</v>
      </c>
      <c r="AF37" s="13" t="n">
        <f aca="false">AF35*AF11</f>
        <v>2.80101552303542</v>
      </c>
      <c r="AG37" s="13" t="n">
        <f aca="false">AG35*AG11</f>
        <v>2.52247574204779</v>
      </c>
      <c r="AH37" s="13" t="n">
        <f aca="false">AH35*AH11</f>
        <v>2.32165095786664</v>
      </c>
      <c r="AI37" s="13" t="n">
        <f aca="false">AI35*AI11</f>
        <v>2.02862576839212</v>
      </c>
      <c r="AJ37" s="13" t="n">
        <f aca="false">AJ35*AJ11</f>
        <v>1.79229241294618</v>
      </c>
      <c r="AK37" s="13" t="n">
        <f aca="false">AK35*AK11</f>
        <v>1.48835970019272</v>
      </c>
      <c r="AL37" s="13" t="n">
        <f aca="false">AL35*AL11</f>
        <v>1.20446937800643</v>
      </c>
      <c r="AM37" s="13" t="n">
        <f aca="false">AM35*AM11</f>
        <v>0.865869530535703</v>
      </c>
      <c r="AN37" s="13" t="n">
        <f aca="false">AN35*AN11</f>
        <v>0.543015409922141</v>
      </c>
      <c r="AO37" s="13" t="n">
        <f aca="false">AO35*AO11</f>
        <v>0.263149655678187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151.772626155057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2.86864787227844</v>
      </c>
      <c r="Q38" s="13" t="n">
        <f aca="false">Time!Q35*(Q35-Q36)*Q19</f>
        <v>3.07955445786131</v>
      </c>
      <c r="R38" s="13" t="n">
        <f aca="false">Time!R35*(R35-R36)*R19</f>
        <v>3.33950310865028</v>
      </c>
      <c r="S38" s="13" t="n">
        <f aca="false">Time!S35*(S35-S36)*S19</f>
        <v>3.498570985886</v>
      </c>
      <c r="T38" s="13" t="n">
        <f aca="false">Time!T35*(T35-T36)*T19</f>
        <v>3.76179052294115</v>
      </c>
      <c r="U38" s="13" t="n">
        <f aca="false">Time!U35*(U35-U36)*U19</f>
        <v>3.95081792301089</v>
      </c>
      <c r="V38" s="13" t="n">
        <f aca="false">Time!V35*(V35-V36)*V19</f>
        <v>4.36260881965696</v>
      </c>
      <c r="W38" s="13" t="n">
        <f aca="false">Time!W35*(W35-W36)*W19</f>
        <v>4.56537549377239</v>
      </c>
      <c r="X38" s="13" t="n">
        <f aca="false">Time!X35*(X35-X36)*X19</f>
        <v>4.35854678271469</v>
      </c>
      <c r="Y38" s="13" t="n">
        <f aca="false">Time!Y35*(Y35-Y36)*Y19</f>
        <v>4.34578865250203</v>
      </c>
      <c r="Z38" s="13" t="n">
        <f aca="false">Time!Z35*(Z35-Z36)*Z19</f>
        <v>4.61981850928591</v>
      </c>
      <c r="AA38" s="13" t="n">
        <f aca="false">Time!AA35*(AA35-AA36)*AA19</f>
        <v>4.82172249786771</v>
      </c>
      <c r="AB38" s="13" t="n">
        <f aca="false">Time!AB35*(AB35-AB36)*AB19</f>
        <v>5.16511298086344</v>
      </c>
      <c r="AC38" s="13" t="n">
        <f aca="false">Time!AC35*(AC35-AC36)*AC19</f>
        <v>5.41623650481375</v>
      </c>
      <c r="AD38" s="13" t="n">
        <f aca="false">Time!AD35*(AD35-AD36)*AD19</f>
        <v>6.14655002180227</v>
      </c>
      <c r="AE38" s="13" t="n">
        <f aca="false">Time!AE35*(AE35-AE36)*AE19</f>
        <v>6.5229741901213</v>
      </c>
      <c r="AF38" s="13" t="n">
        <f aca="false">Time!AF35*(AF35-AF36)*AF19</f>
        <v>6.84149096747626</v>
      </c>
      <c r="AG38" s="13" t="n">
        <f aca="false">Time!AG35*(AG35-AG36)*AG19</f>
        <v>7.01208647301882</v>
      </c>
      <c r="AH38" s="13" t="n">
        <f aca="false">Time!AH35*(AH35-AH36)*AH19</f>
        <v>7.49667337225564</v>
      </c>
      <c r="AI38" s="13" t="n">
        <f aca="false">Time!AI35*(AI35-AI36)*AI19</f>
        <v>7.80172398271238</v>
      </c>
      <c r="AJ38" s="13" t="n">
        <f aca="false">Time!AJ35*(AJ35-AJ36)*AJ19</f>
        <v>8.31094343610542</v>
      </c>
      <c r="AK38" s="13" t="n">
        <f aca="false">Time!AK35*(AK35-AK36)*AK19</f>
        <v>8.67707054648321</v>
      </c>
      <c r="AL38" s="13" t="n">
        <f aca="false">Time!AL35*(AL35-AL36)*AL19</f>
        <v>9.3707397376223</v>
      </c>
      <c r="AM38" s="13" t="n">
        <f aca="false">Time!AM35*(AM35-AM36)*AM19</f>
        <v>9.74519922827137</v>
      </c>
      <c r="AN38" s="13" t="n">
        <f aca="false">Time!AN35*(AN35-AN36)*AN19</f>
        <v>7.96203654122731</v>
      </c>
      <c r="AO38" s="13" t="n">
        <f aca="false">Time!AO35*(AO35-AO36)*AO19</f>
        <v>7.73104254585531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151.772626155057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2.86864787227844</v>
      </c>
      <c r="Q41" s="13" t="n">
        <f aca="false">Q38-Q39+Q40</f>
        <v>3.07955445786131</v>
      </c>
      <c r="R41" s="13" t="n">
        <f aca="false">R38-R39+R40</f>
        <v>3.33950310865028</v>
      </c>
      <c r="S41" s="13" t="n">
        <f aca="false">S38-S39+S40</f>
        <v>3.498570985886</v>
      </c>
      <c r="T41" s="13" t="n">
        <f aca="false">T38-T39+T40</f>
        <v>3.76179052294115</v>
      </c>
      <c r="U41" s="13" t="n">
        <f aca="false">U38-U39+U40</f>
        <v>3.95081792301089</v>
      </c>
      <c r="V41" s="13" t="n">
        <f aca="false">V38-V39+V40</f>
        <v>4.36260881965696</v>
      </c>
      <c r="W41" s="13" t="n">
        <f aca="false">W38-W39+W40</f>
        <v>4.56537549377239</v>
      </c>
      <c r="X41" s="13" t="n">
        <f aca="false">X38-X39+X40</f>
        <v>4.35854678271469</v>
      </c>
      <c r="Y41" s="13" t="n">
        <f aca="false">Y38-Y39+Y40</f>
        <v>4.34578865250203</v>
      </c>
      <c r="Z41" s="13" t="n">
        <f aca="false">Z38-Z39+Z40</f>
        <v>4.61981850928591</v>
      </c>
      <c r="AA41" s="13" t="n">
        <f aca="false">AA38-AA39+AA40</f>
        <v>4.82172249786771</v>
      </c>
      <c r="AB41" s="13" t="n">
        <f aca="false">AB38-AB39+AB40</f>
        <v>5.16511298086344</v>
      </c>
      <c r="AC41" s="13" t="n">
        <f aca="false">AC38-AC39+AC40</f>
        <v>5.41623650481375</v>
      </c>
      <c r="AD41" s="13" t="n">
        <f aca="false">AD38-AD39+AD40</f>
        <v>6.14655002180227</v>
      </c>
      <c r="AE41" s="13" t="n">
        <f aca="false">AE38-AE39+AE40</f>
        <v>6.5229741901213</v>
      </c>
      <c r="AF41" s="13" t="n">
        <f aca="false">AF38-AF39+AF40</f>
        <v>6.84149096747626</v>
      </c>
      <c r="AG41" s="13" t="n">
        <f aca="false">AG38-AG39+AG40</f>
        <v>7.01208647301882</v>
      </c>
      <c r="AH41" s="13" t="n">
        <f aca="false">AH38-AH39+AH40</f>
        <v>7.49667337225564</v>
      </c>
      <c r="AI41" s="13" t="n">
        <f aca="false">AI38-AI39+AI40</f>
        <v>7.80172398271238</v>
      </c>
      <c r="AJ41" s="13" t="n">
        <f aca="false">AJ38-AJ39+AJ40</f>
        <v>8.31094343610542</v>
      </c>
      <c r="AK41" s="13" t="n">
        <f aca="false">AK38-AK39+AK40</f>
        <v>8.67707054648321</v>
      </c>
      <c r="AL41" s="13" t="n">
        <f aca="false">AL38-AL39+AL40</f>
        <v>9.3707397376223</v>
      </c>
      <c r="AM41" s="13" t="n">
        <f aca="false">AM38-AM39+AM40</f>
        <v>9.74519922827137</v>
      </c>
      <c r="AN41" s="13" t="n">
        <f aca="false">AN38-AN39+AN40</f>
        <v>7.96203654122731</v>
      </c>
      <c r="AO41" s="13" t="n">
        <f aca="false">AO38-AO39+AO40</f>
        <v>7.73104254585531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148.903978282778</v>
      </c>
      <c r="Q45" s="13" t="n">
        <f aca="false">Q35-Q41-Q42-Q43</f>
        <v>145.824423824917</v>
      </c>
      <c r="R45" s="13" t="n">
        <f aca="false">R35-R41-R42-R43</f>
        <v>142.484920716267</v>
      </c>
      <c r="S45" s="13" t="n">
        <f aca="false">S35-S41-S42-S43</f>
        <v>138.986349730381</v>
      </c>
      <c r="T45" s="13" t="n">
        <f aca="false">T35-T41-T42-T43</f>
        <v>135.224559207439</v>
      </c>
      <c r="U45" s="13" t="n">
        <f aca="false">U35-U41-U42-U43</f>
        <v>131.273741284428</v>
      </c>
      <c r="V45" s="13" t="n">
        <f aca="false">V35-V41-V42-V43</f>
        <v>126.911132464772</v>
      </c>
      <c r="W45" s="13" t="n">
        <f aca="false">W35-W41-W42-W43</f>
        <v>122.345756970999</v>
      </c>
      <c r="X45" s="13" t="n">
        <f aca="false">X35-X41-X42-X43</f>
        <v>117.987210188284</v>
      </c>
      <c r="Y45" s="13" t="n">
        <f aca="false">Y35-Y41-Y42-Y43</f>
        <v>113.641421535782</v>
      </c>
      <c r="Z45" s="13" t="n">
        <f aca="false">Z35-Z41-Z42-Z43</f>
        <v>109.021603026496</v>
      </c>
      <c r="AA45" s="13" t="n">
        <f aca="false">AA35-AA41-AA42-AA43</f>
        <v>104.199880528629</v>
      </c>
      <c r="AB45" s="13" t="n">
        <f aca="false">AB35-AB41-AB42-AB43</f>
        <v>99.0347675477653</v>
      </c>
      <c r="AC45" s="13" t="n">
        <f aca="false">AC35-AC41-AC42-AC43</f>
        <v>93.6185310429516</v>
      </c>
      <c r="AD45" s="13" t="n">
        <f aca="false">AD35-AD41-AD42-AD43</f>
        <v>87.4719810211493</v>
      </c>
      <c r="AE45" s="13" t="n">
        <f aca="false">AE35-AE41-AE42-AE43</f>
        <v>80.949006831028</v>
      </c>
      <c r="AF45" s="13" t="n">
        <f aca="false">AF35-AF41-AF42-AF43</f>
        <v>74.1075158635517</v>
      </c>
      <c r="AG45" s="13" t="n">
        <f aca="false">AG35-AG41-AG42-AG43</f>
        <v>67.0954293905329</v>
      </c>
      <c r="AH45" s="13" t="n">
        <f aca="false">AH35-AH41-AH42-AH43</f>
        <v>59.5987560182773</v>
      </c>
      <c r="AI45" s="13" t="n">
        <f aca="false">AI35-AI41-AI42-AI43</f>
        <v>51.7970320355649</v>
      </c>
      <c r="AJ45" s="13" t="n">
        <f aca="false">AJ35-AJ41-AJ42-AJ43</f>
        <v>43.4860885994595</v>
      </c>
      <c r="AK45" s="13" t="n">
        <f aca="false">AK35-AK41-AK42-AK43</f>
        <v>34.8090180529763</v>
      </c>
      <c r="AL45" s="13" t="n">
        <f aca="false">AL35-AL41-AL42-AL43</f>
        <v>25.438278315354</v>
      </c>
      <c r="AM45" s="13" t="n">
        <f aca="false">AM35-AM41-AM42-AM43</f>
        <v>15.6930790870826</v>
      </c>
      <c r="AN45" s="13" t="n">
        <f aca="false">AN35-AN41-AN42-AN43</f>
        <v>7.73104254585531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151.772626155057</v>
      </c>
      <c r="P47" s="13" t="n">
        <f aca="false">IF(Time!P34=1,INDEX(Funding!$J$62:$BJ$62,1,Time!$F$14),Time!P35*(P45-P46))</f>
        <v>148.903978282778</v>
      </c>
      <c r="Q47" s="13" t="n">
        <f aca="false">IF(Time!Q34=1,INDEX(Funding!$J$62:$BJ$62,1,Time!$F$14),Time!Q35*(Q45-Q46))</f>
        <v>145.824423824917</v>
      </c>
      <c r="R47" s="13" t="n">
        <f aca="false">IF(Time!R34=1,INDEX(Funding!$J$62:$BJ$62,1,Time!$F$14),Time!R35*(R45-R46))</f>
        <v>142.484920716267</v>
      </c>
      <c r="S47" s="13" t="n">
        <f aca="false">IF(Time!S34=1,INDEX(Funding!$J$62:$BJ$62,1,Time!$F$14),Time!S35*(S45-S46))</f>
        <v>138.986349730381</v>
      </c>
      <c r="T47" s="13" t="n">
        <f aca="false">IF(Time!T34=1,INDEX(Funding!$J$62:$BJ$62,1,Time!$F$14),Time!T35*(T45-T46))</f>
        <v>135.224559207439</v>
      </c>
      <c r="U47" s="13" t="n">
        <f aca="false">IF(Time!U34=1,INDEX(Funding!$J$62:$BJ$62,1,Time!$F$14),Time!U35*(U45-U46))</f>
        <v>131.273741284428</v>
      </c>
      <c r="V47" s="13" t="n">
        <f aca="false">IF(Time!V34=1,INDEX(Funding!$J$62:$BJ$62,1,Time!$F$14),Time!V35*(V45-V46))</f>
        <v>126.911132464772</v>
      </c>
      <c r="W47" s="13" t="n">
        <f aca="false">IF(Time!W34=1,INDEX(Funding!$J$62:$BJ$62,1,Time!$F$14),Time!W35*(W45-W46))</f>
        <v>122.345756970999</v>
      </c>
      <c r="X47" s="13" t="n">
        <f aca="false">IF(Time!X34=1,INDEX(Funding!$J$62:$BJ$62,1,Time!$F$14),Time!X35*(X45-X46))</f>
        <v>117.987210188284</v>
      </c>
      <c r="Y47" s="13" t="n">
        <f aca="false">IF(Time!Y34=1,INDEX(Funding!$J$62:$BJ$62,1,Time!$F$14),Time!Y35*(Y45-Y46))</f>
        <v>113.641421535782</v>
      </c>
      <c r="Z47" s="13" t="n">
        <f aca="false">IF(Time!Z34=1,INDEX(Funding!$J$62:$BJ$62,1,Time!$F$14),Time!Z35*(Z45-Z46))</f>
        <v>109.021603026496</v>
      </c>
      <c r="AA47" s="13" t="n">
        <f aca="false">IF(Time!AA34=1,INDEX(Funding!$J$62:$BJ$62,1,Time!$F$14),Time!AA35*(AA45-AA46))</f>
        <v>104.199880528629</v>
      </c>
      <c r="AB47" s="13" t="n">
        <f aca="false">IF(Time!AB34=1,INDEX(Funding!$J$62:$BJ$62,1,Time!$F$14),Time!AB35*(AB45-AB46))</f>
        <v>99.0347675477653</v>
      </c>
      <c r="AC47" s="13" t="n">
        <f aca="false">IF(Time!AC34=1,INDEX(Funding!$J$62:$BJ$62,1,Time!$F$14),Time!AC35*(AC45-AC46))</f>
        <v>93.6185310429516</v>
      </c>
      <c r="AD47" s="13" t="n">
        <f aca="false">IF(Time!AD34=1,INDEX(Funding!$J$62:$BJ$62,1,Time!$F$14),Time!AD35*(AD45-AD46))</f>
        <v>87.4719810211493</v>
      </c>
      <c r="AE47" s="13" t="n">
        <f aca="false">IF(Time!AE34=1,INDEX(Funding!$J$62:$BJ$62,1,Time!$F$14),Time!AE35*(AE45-AE46))</f>
        <v>80.949006831028</v>
      </c>
      <c r="AF47" s="13" t="n">
        <f aca="false">IF(Time!AF34=1,INDEX(Funding!$J$62:$BJ$62,1,Time!$F$14),Time!AF35*(AF45-AF46))</f>
        <v>74.1075158635517</v>
      </c>
      <c r="AG47" s="13" t="n">
        <f aca="false">IF(Time!AG34=1,INDEX(Funding!$J$62:$BJ$62,1,Time!$F$14),Time!AG35*(AG45-AG46))</f>
        <v>67.0954293905329</v>
      </c>
      <c r="AH47" s="13" t="n">
        <f aca="false">IF(Time!AH34=1,INDEX(Funding!$J$62:$BJ$62,1,Time!$F$14),Time!AH35*(AH45-AH46))</f>
        <v>59.5987560182773</v>
      </c>
      <c r="AI47" s="13" t="n">
        <f aca="false">IF(Time!AI34=1,INDEX(Funding!$J$62:$BJ$62,1,Time!$F$14),Time!AI35*(AI45-AI46))</f>
        <v>51.7970320355649</v>
      </c>
      <c r="AJ47" s="13" t="n">
        <f aca="false">IF(Time!AJ34=1,INDEX(Funding!$J$62:$BJ$62,1,Time!$F$14),Time!AJ35*(AJ45-AJ46))</f>
        <v>43.4860885994595</v>
      </c>
      <c r="AK47" s="13" t="n">
        <f aca="false">IF(Time!AK34=1,INDEX(Funding!$J$62:$BJ$62,1,Time!$F$14),Time!AK35*(AK45-AK46))</f>
        <v>34.8090180529763</v>
      </c>
      <c r="AL47" s="13" t="n">
        <f aca="false">IF(Time!AL34=1,INDEX(Funding!$J$62:$BJ$62,1,Time!$F$14),Time!AL35*(AL45-AL46))</f>
        <v>25.438278315354</v>
      </c>
      <c r="AM47" s="13" t="n">
        <f aca="false">IF(Time!AM34=1,INDEX(Funding!$J$62:$BJ$62,1,Time!$F$14),Time!AM35*(AM45-AM46))</f>
        <v>15.6930790870826</v>
      </c>
      <c r="AN47" s="13" t="n">
        <f aca="false">IF(Time!AN34=1,INDEX(Funding!$J$62:$BJ$62,1,Time!$F$14),Time!AN35*(AN45-AN46))</f>
        <v>7.73104254585531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68.9875573432076</v>
      </c>
      <c r="Q49" s="13" t="n">
        <f aca="false">Time!Q35*P61</f>
        <v>67.6836264921719</v>
      </c>
      <c r="R49" s="13" t="n">
        <f aca="false">Time!R35*Q61</f>
        <v>66.2838290113259</v>
      </c>
      <c r="S49" s="13" t="n">
        <f aca="false">Time!S35*R61</f>
        <v>64.7658730528485</v>
      </c>
      <c r="T49" s="13" t="n">
        <f aca="false">Time!T35*S61</f>
        <v>63.1756135138094</v>
      </c>
      <c r="U49" s="13" t="n">
        <f aca="false">Time!U35*T61</f>
        <v>61.4657087306543</v>
      </c>
      <c r="V49" s="13" t="n">
        <f aca="false">Time!V35*U61</f>
        <v>59.669882402013</v>
      </c>
      <c r="W49" s="13" t="n">
        <f aca="false">Time!W35*V61</f>
        <v>57.686878393078</v>
      </c>
      <c r="X49" s="13" t="n">
        <f aca="false">Time!X35*W61</f>
        <v>55.6117077140906</v>
      </c>
      <c r="Y49" s="13" t="n">
        <f aca="false">Time!Y35*X61</f>
        <v>53.6305500855839</v>
      </c>
      <c r="Z49" s="13" t="n">
        <f aca="false">Time!Z35*Y61</f>
        <v>51.6551916071739</v>
      </c>
      <c r="AA49" s="13" t="n">
        <f aca="false">Time!AA35*Z61</f>
        <v>49.555274102953</v>
      </c>
      <c r="AB49" s="13" t="n">
        <f aca="false">Time!AB35*AA61</f>
        <v>47.3635820584677</v>
      </c>
      <c r="AC49" s="13" t="n">
        <f aca="false">Time!AC35*AB61</f>
        <v>45.0158034308025</v>
      </c>
      <c r="AD49" s="13" t="n">
        <f aca="false">Time!AD35*AC61</f>
        <v>42.5538777467962</v>
      </c>
      <c r="AE49" s="13" t="n">
        <f aca="false">Time!AE35*AD61</f>
        <v>39.7599913732497</v>
      </c>
      <c r="AF49" s="13" t="n">
        <f aca="false">Time!AF35*AE61</f>
        <v>36.7950031050128</v>
      </c>
      <c r="AG49" s="13" t="n">
        <f aca="false">Time!AG35*AF61</f>
        <v>33.6852344834327</v>
      </c>
      <c r="AH49" s="13" t="n">
        <f aca="false">Time!AH35*AG61</f>
        <v>30.4979224502423</v>
      </c>
      <c r="AI49" s="13" t="n">
        <f aca="false">Time!AI35*AH61</f>
        <v>27.0903436446715</v>
      </c>
      <c r="AJ49" s="13" t="n">
        <f aca="false">Time!AJ35*AI61</f>
        <v>23.5441054707113</v>
      </c>
      <c r="AK49" s="13" t="n">
        <f aca="false">Time!AK35*AJ61</f>
        <v>19.7664039088452</v>
      </c>
      <c r="AL49" s="13" t="n">
        <f aca="false">Time!AL35*AK61</f>
        <v>15.8222809331711</v>
      </c>
      <c r="AM49" s="13" t="n">
        <f aca="false">Time!AM35*AL61</f>
        <v>11.5628537797064</v>
      </c>
      <c r="AN49" s="13" t="n">
        <f aca="false">Time!AN35*AM61</f>
        <v>7.13321776685574</v>
      </c>
      <c r="AO49" s="13" t="n">
        <f aca="false">Time!AO35*AN61</f>
        <v>3.51411024811605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36.5141117161841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2.28839392991569</v>
      </c>
      <c r="Q51" s="13" t="n">
        <f aca="false">Q49*Q12</f>
        <v>2.21534149811086</v>
      </c>
      <c r="R51" s="13" t="n">
        <f aca="false">R49*R12</f>
        <v>2.20548393730352</v>
      </c>
      <c r="S51" s="13" t="n">
        <f aca="false">S49*S12</f>
        <v>2.12309728075354</v>
      </c>
      <c r="T51" s="13" t="n">
        <f aca="false">T49*T12</f>
        <v>2.10529222278463</v>
      </c>
      <c r="U51" s="13" t="n">
        <f aca="false">U49*U12</f>
        <v>2.02604635022621</v>
      </c>
      <c r="V51" s="13" t="n">
        <f aca="false">V49*V12</f>
        <v>1.98846568111242</v>
      </c>
      <c r="W51" s="13" t="n">
        <f aca="false">W49*W12</f>
        <v>1.89103997025665</v>
      </c>
      <c r="X51" s="13" t="n">
        <f aca="false">X49*X12</f>
        <v>1.85322926417889</v>
      </c>
      <c r="Y51" s="13" t="n">
        <f aca="false">Y49*Y12</f>
        <v>1.75806902130553</v>
      </c>
      <c r="Z51" s="13" t="n">
        <f aca="false">Z49*Z12</f>
        <v>1.7213805629804</v>
      </c>
      <c r="AA51" s="13" t="n">
        <f aca="false">AA49*AA12</f>
        <v>1.62447694651047</v>
      </c>
      <c r="AB51" s="13" t="n">
        <f aca="false">AB49*AB12</f>
        <v>1.57836505899729</v>
      </c>
      <c r="AC51" s="13" t="n">
        <f aca="false">AC49*AC12</f>
        <v>1.48382091619798</v>
      </c>
      <c r="AD51" s="13" t="n">
        <f aca="false">AD49*AD12</f>
        <v>1.41808433486879</v>
      </c>
      <c r="AE51" s="13" t="n">
        <f aca="false">AE49*AE12</f>
        <v>1.30337669498332</v>
      </c>
      <c r="AF51" s="13" t="n">
        <f aca="false">AF49*AF12</f>
        <v>1.22617303680616</v>
      </c>
      <c r="AG51" s="13" t="n">
        <f aca="false">AG49*AG12</f>
        <v>1.10423941440524</v>
      </c>
      <c r="AH51" s="13" t="n">
        <f aca="false">AH49*AH12</f>
        <v>1.01632632236407</v>
      </c>
      <c r="AI51" s="13" t="n">
        <f aca="false">AI49*AI12</f>
        <v>0.88805156505416</v>
      </c>
      <c r="AJ51" s="13" t="n">
        <f aca="false">AJ49*AJ12</f>
        <v>0.784594234752861</v>
      </c>
      <c r="AK51" s="13" t="n">
        <f aca="false">AK49*AK12</f>
        <v>0.651544598177559</v>
      </c>
      <c r="AL51" s="13" t="n">
        <f aca="false">AL49*AL12</f>
        <v>0.527268721941851</v>
      </c>
      <c r="AM51" s="13" t="n">
        <f aca="false">AM49*AM12</f>
        <v>0.379043194514086</v>
      </c>
      <c r="AN51" s="13" t="n">
        <f aca="false">AN49*AN12</f>
        <v>0.237710519181708</v>
      </c>
      <c r="AO51" s="13" t="n">
        <f aca="false">AO49*AO12</f>
        <v>0.115196438500187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68.9875573432076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1.30393085103566</v>
      </c>
      <c r="Q52" s="13" t="n">
        <f aca="false">Time!Q35*(Q49-Q50)*Q19</f>
        <v>1.39979748084605</v>
      </c>
      <c r="R52" s="13" t="n">
        <f aca="false">Time!R35*(R49-R50)*R19</f>
        <v>1.5179559584774</v>
      </c>
      <c r="S52" s="13" t="n">
        <f aca="false">Time!S35*(S49-S50)*S19</f>
        <v>1.59025953903909</v>
      </c>
      <c r="T52" s="13" t="n">
        <f aca="false">Time!T35*(T49-T50)*T19</f>
        <v>1.70990478315507</v>
      </c>
      <c r="U52" s="13" t="n">
        <f aca="false">Time!U35*(U49-U50)*U19</f>
        <v>1.79582632864131</v>
      </c>
      <c r="V52" s="13" t="n">
        <f aca="false">Time!V35*(V49-V50)*V19</f>
        <v>1.98300400893498</v>
      </c>
      <c r="W52" s="13" t="n">
        <f aca="false">Time!W35*(W49-W50)*W19</f>
        <v>2.07517067898745</v>
      </c>
      <c r="X52" s="13" t="n">
        <f aca="false">Time!X35*(X49-X50)*X19</f>
        <v>1.98115762850668</v>
      </c>
      <c r="Y52" s="13" t="n">
        <f aca="false">Time!Y35*(Y49-Y50)*Y19</f>
        <v>1.97535847841001</v>
      </c>
      <c r="Z52" s="13" t="n">
        <f aca="false">Time!Z35*(Z49-Z50)*Z19</f>
        <v>2.09991750422087</v>
      </c>
      <c r="AA52" s="13" t="n">
        <f aca="false">Time!AA35*(AA49-AA50)*AA19</f>
        <v>2.19169204448532</v>
      </c>
      <c r="AB52" s="13" t="n">
        <f aca="false">Time!AB35*(AB49-AB50)*AB19</f>
        <v>2.3477786276652</v>
      </c>
      <c r="AC52" s="13" t="n">
        <f aca="false">Time!AC35*(AC49-AC50)*AC19</f>
        <v>2.46192568400625</v>
      </c>
      <c r="AD52" s="13" t="n">
        <f aca="false">Time!AD35*(AD49-AD50)*AD19</f>
        <v>2.79388637354649</v>
      </c>
      <c r="AE52" s="13" t="n">
        <f aca="false">Time!AE35*(AE49-AE50)*AE19</f>
        <v>2.96498826823696</v>
      </c>
      <c r="AF52" s="13" t="n">
        <f aca="false">Time!AF35*(AF49-AF50)*AF19</f>
        <v>3.10976862158012</v>
      </c>
      <c r="AG52" s="13" t="n">
        <f aca="false">Time!AG35*(AG49-AG50)*AG19</f>
        <v>3.18731203319038</v>
      </c>
      <c r="AH52" s="13" t="n">
        <f aca="false">Time!AH35*(AH49-AH50)*AH19</f>
        <v>3.40757880557075</v>
      </c>
      <c r="AI52" s="13" t="n">
        <f aca="false">Time!AI35*(AI49-AI50)*AI19</f>
        <v>3.54623817396018</v>
      </c>
      <c r="AJ52" s="13" t="n">
        <f aca="false">Time!AJ35*(AJ49-AJ50)*AJ19</f>
        <v>3.7777015618661</v>
      </c>
      <c r="AK52" s="13" t="n">
        <f aca="false">Time!AK35*(AK49-AK50)*AK19</f>
        <v>3.94412297567419</v>
      </c>
      <c r="AL52" s="13" t="n">
        <f aca="false">Time!AL35*(AL49-AL50)*AL19</f>
        <v>4.25942715346469</v>
      </c>
      <c r="AM52" s="13" t="n">
        <f aca="false">Time!AM35*(AM49-AM50)*AM19</f>
        <v>4.42963601285063</v>
      </c>
      <c r="AN52" s="13" t="n">
        <f aca="false">Time!AN35*(AN49-AN50)*AN19</f>
        <v>3.61910751873969</v>
      </c>
      <c r="AO52" s="13" t="n">
        <f aca="false">Time!AO35*(AO49-AO50)*AO19</f>
        <v>3.51411024811605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68.9875573432076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1.30393085103566</v>
      </c>
      <c r="Q55" s="13" t="n">
        <f aca="false">Q52-Q53+Q54</f>
        <v>1.39979748084605</v>
      </c>
      <c r="R55" s="13" t="n">
        <f aca="false">R52-R53+R54</f>
        <v>1.5179559584774</v>
      </c>
      <c r="S55" s="13" t="n">
        <f aca="false">S52-S53+S54</f>
        <v>1.59025953903909</v>
      </c>
      <c r="T55" s="13" t="n">
        <f aca="false">T52-T53+T54</f>
        <v>1.70990478315507</v>
      </c>
      <c r="U55" s="13" t="n">
        <f aca="false">U52-U53+U54</f>
        <v>1.79582632864131</v>
      </c>
      <c r="V55" s="13" t="n">
        <f aca="false">V52-V53+V54</f>
        <v>1.98300400893498</v>
      </c>
      <c r="W55" s="13" t="n">
        <f aca="false">W52-W53+W54</f>
        <v>2.07517067898745</v>
      </c>
      <c r="X55" s="13" t="n">
        <f aca="false">X52-X53+X54</f>
        <v>1.98115762850668</v>
      </c>
      <c r="Y55" s="13" t="n">
        <f aca="false">Y52-Y53+Y54</f>
        <v>1.97535847841001</v>
      </c>
      <c r="Z55" s="13" t="n">
        <f aca="false">Z52-Z53+Z54</f>
        <v>2.09991750422087</v>
      </c>
      <c r="AA55" s="13" t="n">
        <f aca="false">AA52-AA53+AA54</f>
        <v>2.19169204448532</v>
      </c>
      <c r="AB55" s="13" t="n">
        <f aca="false">AB52-AB53+AB54</f>
        <v>2.3477786276652</v>
      </c>
      <c r="AC55" s="13" t="n">
        <f aca="false">AC52-AC53+AC54</f>
        <v>2.46192568400625</v>
      </c>
      <c r="AD55" s="13" t="n">
        <f aca="false">AD52-AD53+AD54</f>
        <v>2.79388637354649</v>
      </c>
      <c r="AE55" s="13" t="n">
        <f aca="false">AE52-AE53+AE54</f>
        <v>2.96498826823696</v>
      </c>
      <c r="AF55" s="13" t="n">
        <f aca="false">AF52-AF53+AF54</f>
        <v>3.10976862158012</v>
      </c>
      <c r="AG55" s="13" t="n">
        <f aca="false">AG52-AG53+AG54</f>
        <v>3.18731203319038</v>
      </c>
      <c r="AH55" s="13" t="n">
        <f aca="false">AH52-AH53+AH54</f>
        <v>3.40757880557075</v>
      </c>
      <c r="AI55" s="13" t="n">
        <f aca="false">AI52-AI53+AI54</f>
        <v>3.54623817396018</v>
      </c>
      <c r="AJ55" s="13" t="n">
        <f aca="false">AJ52-AJ53+AJ54</f>
        <v>3.7777015618661</v>
      </c>
      <c r="AK55" s="13" t="n">
        <f aca="false">AK52-AK53+AK54</f>
        <v>3.94412297567419</v>
      </c>
      <c r="AL55" s="13" t="n">
        <f aca="false">AL52-AL53+AL54</f>
        <v>4.25942715346469</v>
      </c>
      <c r="AM55" s="13" t="n">
        <f aca="false">AM52-AM53+AM54</f>
        <v>4.42963601285063</v>
      </c>
      <c r="AN55" s="13" t="n">
        <f aca="false">AN52-AN53+AN54</f>
        <v>3.61910751873969</v>
      </c>
      <c r="AO55" s="13" t="n">
        <f aca="false">AO52-AO53+AO54</f>
        <v>3.51411024811605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67.6836264921719</v>
      </c>
      <c r="Q59" s="13" t="n">
        <f aca="false">Q49-Q55-Q56-Q57</f>
        <v>66.2838290113259</v>
      </c>
      <c r="R59" s="13" t="n">
        <f aca="false">R49-R55-R56-R57</f>
        <v>64.7658730528485</v>
      </c>
      <c r="S59" s="13" t="n">
        <f aca="false">S49-S55-S56-S57</f>
        <v>63.1756135138094</v>
      </c>
      <c r="T59" s="13" t="n">
        <f aca="false">T49-T55-T56-T57</f>
        <v>61.4657087306543</v>
      </c>
      <c r="U59" s="13" t="n">
        <f aca="false">U49-U55-U56-U57</f>
        <v>59.669882402013</v>
      </c>
      <c r="V59" s="13" t="n">
        <f aca="false">V49-V55-V56-V57</f>
        <v>57.686878393078</v>
      </c>
      <c r="W59" s="13" t="n">
        <f aca="false">W49-W55-W56-W57</f>
        <v>55.6117077140906</v>
      </c>
      <c r="X59" s="13" t="n">
        <f aca="false">X49-X55-X56-X57</f>
        <v>53.6305500855839</v>
      </c>
      <c r="Y59" s="13" t="n">
        <f aca="false">Y49-Y55-Y56-Y57</f>
        <v>51.6551916071739</v>
      </c>
      <c r="Z59" s="13" t="n">
        <f aca="false">Z49-Z55-Z56-Z57</f>
        <v>49.555274102953</v>
      </c>
      <c r="AA59" s="13" t="n">
        <f aca="false">AA49-AA55-AA56-AA57</f>
        <v>47.3635820584677</v>
      </c>
      <c r="AB59" s="13" t="n">
        <f aca="false">AB49-AB55-AB56-AB57</f>
        <v>45.0158034308025</v>
      </c>
      <c r="AC59" s="13" t="n">
        <f aca="false">AC49-AC55-AC56-AC57</f>
        <v>42.5538777467962</v>
      </c>
      <c r="AD59" s="13" t="n">
        <f aca="false">AD49-AD55-AD56-AD57</f>
        <v>39.7599913732497</v>
      </c>
      <c r="AE59" s="13" t="n">
        <f aca="false">AE49-AE55-AE56-AE57</f>
        <v>36.7950031050128</v>
      </c>
      <c r="AF59" s="13" t="n">
        <f aca="false">AF49-AF55-AF56-AF57</f>
        <v>33.6852344834327</v>
      </c>
      <c r="AG59" s="13" t="n">
        <f aca="false">AG49-AG55-AG56-AG57</f>
        <v>30.4979224502423</v>
      </c>
      <c r="AH59" s="13" t="n">
        <f aca="false">AH49-AH55-AH56-AH57</f>
        <v>27.0903436446715</v>
      </c>
      <c r="AI59" s="13" t="n">
        <f aca="false">AI49-AI55-AI56-AI57</f>
        <v>23.5441054707113</v>
      </c>
      <c r="AJ59" s="13" t="n">
        <f aca="false">AJ49-AJ55-AJ56-AJ57</f>
        <v>19.7664039088452</v>
      </c>
      <c r="AK59" s="13" t="n">
        <f aca="false">AK49-AK55-AK56-AK57</f>
        <v>15.8222809331711</v>
      </c>
      <c r="AL59" s="13" t="n">
        <f aca="false">AL49-AL55-AL56-AL57</f>
        <v>11.5628537797064</v>
      </c>
      <c r="AM59" s="13" t="n">
        <f aca="false">AM49-AM55-AM56-AM57</f>
        <v>7.13321776685574</v>
      </c>
      <c r="AN59" s="13" t="n">
        <f aca="false">AN49-AN55-AN56-AN57</f>
        <v>3.51411024811605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68.9875573432076</v>
      </c>
      <c r="P61" s="13" t="n">
        <f aca="false">IF(Time!P34=1,INDEX(Funding!$J$63:$BJ$63,1,Time!$F$14),Time!P35*(P59-P60))</f>
        <v>67.6836264921719</v>
      </c>
      <c r="Q61" s="13" t="n">
        <f aca="false">IF(Time!Q34=1,INDEX(Funding!$J$63:$BJ$63,1,Time!$F$14),Time!Q35*(Q59-Q60))</f>
        <v>66.2838290113259</v>
      </c>
      <c r="R61" s="13" t="n">
        <f aca="false">IF(Time!R34=1,INDEX(Funding!$J$63:$BJ$63,1,Time!$F$14),Time!R35*(R59-R60))</f>
        <v>64.7658730528485</v>
      </c>
      <c r="S61" s="13" t="n">
        <f aca="false">IF(Time!S34=1,INDEX(Funding!$J$63:$BJ$63,1,Time!$F$14),Time!S35*(S59-S60))</f>
        <v>63.1756135138094</v>
      </c>
      <c r="T61" s="13" t="n">
        <f aca="false">IF(Time!T34=1,INDEX(Funding!$J$63:$BJ$63,1,Time!$F$14),Time!T35*(T59-T60))</f>
        <v>61.4657087306543</v>
      </c>
      <c r="U61" s="13" t="n">
        <f aca="false">IF(Time!U34=1,INDEX(Funding!$J$63:$BJ$63,1,Time!$F$14),Time!U35*(U59-U60))</f>
        <v>59.669882402013</v>
      </c>
      <c r="V61" s="13" t="n">
        <f aca="false">IF(Time!V34=1,INDEX(Funding!$J$63:$BJ$63,1,Time!$F$14),Time!V35*(V59-V60))</f>
        <v>57.686878393078</v>
      </c>
      <c r="W61" s="13" t="n">
        <f aca="false">IF(Time!W34=1,INDEX(Funding!$J$63:$BJ$63,1,Time!$F$14),Time!W35*(W59-W60))</f>
        <v>55.6117077140906</v>
      </c>
      <c r="X61" s="13" t="n">
        <f aca="false">IF(Time!X34=1,INDEX(Funding!$J$63:$BJ$63,1,Time!$F$14),Time!X35*(X59-X60))</f>
        <v>53.6305500855839</v>
      </c>
      <c r="Y61" s="13" t="n">
        <f aca="false">IF(Time!Y34=1,INDEX(Funding!$J$63:$BJ$63,1,Time!$F$14),Time!Y35*(Y59-Y60))</f>
        <v>51.6551916071739</v>
      </c>
      <c r="Z61" s="13" t="n">
        <f aca="false">IF(Time!Z34=1,INDEX(Funding!$J$63:$BJ$63,1,Time!$F$14),Time!Z35*(Z59-Z60))</f>
        <v>49.555274102953</v>
      </c>
      <c r="AA61" s="13" t="n">
        <f aca="false">IF(Time!AA34=1,INDEX(Funding!$J$63:$BJ$63,1,Time!$F$14),Time!AA35*(AA59-AA60))</f>
        <v>47.3635820584677</v>
      </c>
      <c r="AB61" s="13" t="n">
        <f aca="false">IF(Time!AB34=1,INDEX(Funding!$J$63:$BJ$63,1,Time!$F$14),Time!AB35*(AB59-AB60))</f>
        <v>45.0158034308025</v>
      </c>
      <c r="AC61" s="13" t="n">
        <f aca="false">IF(Time!AC34=1,INDEX(Funding!$J$63:$BJ$63,1,Time!$F$14),Time!AC35*(AC59-AC60))</f>
        <v>42.5538777467962</v>
      </c>
      <c r="AD61" s="13" t="n">
        <f aca="false">IF(Time!AD34=1,INDEX(Funding!$J$63:$BJ$63,1,Time!$F$14),Time!AD35*(AD59-AD60))</f>
        <v>39.7599913732497</v>
      </c>
      <c r="AE61" s="13" t="n">
        <f aca="false">IF(Time!AE34=1,INDEX(Funding!$J$63:$BJ$63,1,Time!$F$14),Time!AE35*(AE59-AE60))</f>
        <v>36.7950031050128</v>
      </c>
      <c r="AF61" s="13" t="n">
        <f aca="false">IF(Time!AF34=1,INDEX(Funding!$J$63:$BJ$63,1,Time!$F$14),Time!AF35*(AF59-AF60))</f>
        <v>33.6852344834327</v>
      </c>
      <c r="AG61" s="13" t="n">
        <f aca="false">IF(Time!AG34=1,INDEX(Funding!$J$63:$BJ$63,1,Time!$F$14),Time!AG35*(AG59-AG60))</f>
        <v>30.4979224502423</v>
      </c>
      <c r="AH61" s="13" t="n">
        <f aca="false">IF(Time!AH34=1,INDEX(Funding!$J$63:$BJ$63,1,Time!$F$14),Time!AH35*(AH59-AH60))</f>
        <v>27.0903436446715</v>
      </c>
      <c r="AI61" s="13" t="n">
        <f aca="false">IF(Time!AI34=1,INDEX(Funding!$J$63:$BJ$63,1,Time!$F$14),Time!AI35*(AI59-AI60))</f>
        <v>23.5441054707113</v>
      </c>
      <c r="AJ61" s="13" t="n">
        <f aca="false">IF(Time!AJ34=1,INDEX(Funding!$J$63:$BJ$63,1,Time!$F$14),Time!AJ35*(AJ59-AJ60))</f>
        <v>19.7664039088452</v>
      </c>
      <c r="AK61" s="13" t="n">
        <f aca="false">IF(Time!AK34=1,INDEX(Funding!$J$63:$BJ$63,1,Time!$F$14),Time!AK35*(AK59-AK60))</f>
        <v>15.8222809331711</v>
      </c>
      <c r="AL61" s="13" t="n">
        <f aca="false">IF(Time!AL34=1,INDEX(Funding!$J$63:$BJ$63,1,Time!$F$14),Time!AL35*(AL59-AL60))</f>
        <v>11.5628537797064</v>
      </c>
      <c r="AM61" s="13" t="n">
        <f aca="false">IF(Time!AM34=1,INDEX(Funding!$J$63:$BJ$63,1,Time!$F$14),Time!AM35*(AM59-AM60))</f>
        <v>7.13321776685574</v>
      </c>
      <c r="AN61" s="13" t="n">
        <f aca="false">IF(Time!AN34=1,INDEX(Funding!$J$63:$BJ$63,1,Time!$F$14),Time!AN35*(AN59-AN60))</f>
        <v>3.51411024811605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262.152717904189</v>
      </c>
      <c r="Q63" s="13" t="n">
        <f aca="false">Time!Q35*P75</f>
        <v>257.197780670253</v>
      </c>
      <c r="R63" s="13" t="n">
        <f aca="false">Time!R35*Q75</f>
        <v>251.878550243038</v>
      </c>
      <c r="S63" s="13" t="n">
        <f aca="false">Time!S35*R75</f>
        <v>246.110317600824</v>
      </c>
      <c r="T63" s="13" t="n">
        <f aca="false">Time!T35*S75</f>
        <v>240.067331352476</v>
      </c>
      <c r="U63" s="13" t="n">
        <f aca="false">Time!U35*T75</f>
        <v>233.569693176486</v>
      </c>
      <c r="V63" s="13" t="n">
        <f aca="false">Time!V35*U75</f>
        <v>226.745553127649</v>
      </c>
      <c r="W63" s="13" t="n">
        <f aca="false">Time!W35*V75</f>
        <v>219.210137893696</v>
      </c>
      <c r="X63" s="13" t="n">
        <f aca="false">Time!X35*W75</f>
        <v>211.324489313544</v>
      </c>
      <c r="Y63" s="13" t="n">
        <f aca="false">Time!Y35*X75</f>
        <v>203.796090325219</v>
      </c>
      <c r="Z63" s="13" t="n">
        <f aca="false">Time!Z35*Y75</f>
        <v>196.289728107261</v>
      </c>
      <c r="AA63" s="13" t="n">
        <f aca="false">Time!AA35*Z75</f>
        <v>188.310041591221</v>
      </c>
      <c r="AB63" s="13" t="n">
        <f aca="false">Time!AB35*AA75</f>
        <v>175.575087327003</v>
      </c>
      <c r="AC63" s="13" t="n">
        <f aca="false">Time!AC35*AB75</f>
        <v>161.654746609819</v>
      </c>
      <c r="AD63" s="13" t="n">
        <f aca="false">Time!AD35*AC75</f>
        <v>148.129912893331</v>
      </c>
      <c r="AE63" s="13" t="n">
        <f aca="false">Time!AE35*AD75</f>
        <v>132.525866201757</v>
      </c>
      <c r="AF63" s="13" t="n">
        <f aca="false">Time!AF35*AE75</f>
        <v>116.329603976782</v>
      </c>
      <c r="AG63" s="13" t="n">
        <f aca="false">Time!AG35*AF75</f>
        <v>99.4711016832808</v>
      </c>
      <c r="AH63" s="13" t="n">
        <f aca="false">Time!AH35*AG75</f>
        <v>82.8518122901611</v>
      </c>
      <c r="AI63" s="13" t="n">
        <f aca="false">Time!AI35*AH75</f>
        <v>65.2493711227773</v>
      </c>
      <c r="AJ63" s="13" t="n">
        <f aca="false">Time!AJ35*AI75</f>
        <v>47.8334227920174</v>
      </c>
      <c r="AK63" s="13" t="n">
        <f aca="false">Time!AK35*AJ75</f>
        <v>29.794940677566</v>
      </c>
      <c r="AL63" s="13" t="n">
        <f aca="false">Time!AL35*AK75</f>
        <v>12.2582731599023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160.569800046922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10.7042456690903</v>
      </c>
      <c r="Q65" s="13" t="n">
        <f aca="false">Q63*Q13</f>
        <v>10.3594344368052</v>
      </c>
      <c r="R65" s="13" t="n">
        <f aca="false">R63*R13</f>
        <v>10.3133382683464</v>
      </c>
      <c r="S65" s="13" t="n">
        <f aca="false">S63*S13</f>
        <v>9.92660139651571</v>
      </c>
      <c r="T65" s="13" t="n">
        <f aca="false">T63*T13</f>
        <v>9.84335334429435</v>
      </c>
      <c r="U65" s="13" t="n">
        <f aca="false">U63*U13</f>
        <v>9.47283702535895</v>
      </c>
      <c r="V65" s="13" t="n">
        <f aca="false">V63*V13</f>
        <v>9.2971275437969</v>
      </c>
      <c r="W65" s="13" t="n">
        <f aca="false">W63*W13</f>
        <v>8.84161087661236</v>
      </c>
      <c r="X65" s="13" t="n">
        <f aca="false">X63*X13</f>
        <v>8.66482585071781</v>
      </c>
      <c r="Y65" s="13" t="n">
        <f aca="false">Y63*Y13</f>
        <v>8.78914669547021</v>
      </c>
      <c r="Z65" s="13" t="n">
        <f aca="false">Z63*Z13</f>
        <v>8.60572941301857</v>
      </c>
      <c r="AA65" s="13" t="n">
        <f aca="false">AA63*AA13</f>
        <v>8.12127738630387</v>
      </c>
      <c r="AB65" s="13" t="n">
        <f aca="false">AB63*AB13</f>
        <v>7.69755864340314</v>
      </c>
      <c r="AC65" s="13" t="n">
        <f aca="false">AC63*AC13</f>
        <v>7.01022793755123</v>
      </c>
      <c r="AD65" s="13" t="n">
        <f aca="false">AD63*AD13</f>
        <v>6.4943079835407</v>
      </c>
      <c r="AE65" s="13" t="n">
        <f aca="false">AE63*AE13</f>
        <v>5.71546430126663</v>
      </c>
      <c r="AF65" s="13" t="n">
        <f aca="false">AF63*AF13</f>
        <v>5.1001196252142</v>
      </c>
      <c r="AG65" s="13" t="n">
        <f aca="false">AG63*AG13</f>
        <v>4.56774983044502</v>
      </c>
      <c r="AH65" s="13" t="n">
        <f aca="false">AH63*AH13</f>
        <v>3.86764534113034</v>
      </c>
      <c r="AI65" s="13" t="n">
        <f aca="false">AI63*AI13</f>
        <v>2.99627528839168</v>
      </c>
      <c r="AJ65" s="13" t="n">
        <f aca="false">AJ63*AJ13</f>
        <v>2.23293504026143</v>
      </c>
      <c r="AK65" s="13" t="n">
        <f aca="false">AK63*AK13</f>
        <v>1.37575379787858</v>
      </c>
      <c r="AL65" s="13" t="n">
        <f aca="false">AL63*AL13</f>
        <v>0.572234351508919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173.285854062581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4.9549372339355</v>
      </c>
      <c r="Q66" s="13" t="n">
        <f aca="false">Time!Q35*(Q63-Q64)*Q19</f>
        <v>5.319230427215</v>
      </c>
      <c r="R66" s="13" t="n">
        <f aca="false">Time!R35*(R63-R64)*R19</f>
        <v>5.76823264221412</v>
      </c>
      <c r="S66" s="13" t="n">
        <f aca="false">Time!S35*(S63-S64)*S19</f>
        <v>6.04298624834855</v>
      </c>
      <c r="T66" s="13" t="n">
        <f aca="false">Time!T35*(T63-T64)*T19</f>
        <v>6.49763817598926</v>
      </c>
      <c r="U66" s="13" t="n">
        <f aca="false">Time!U35*(U63-U64)*U19</f>
        <v>6.82414004883699</v>
      </c>
      <c r="V66" s="13" t="n">
        <f aca="false">Time!V35*(V63-V64)*V19</f>
        <v>7.53541523395294</v>
      </c>
      <c r="W66" s="13" t="n">
        <f aca="false">Time!W35*(W63-W64)*W19</f>
        <v>7.88564858015231</v>
      </c>
      <c r="X66" s="13" t="n">
        <f aca="false">Time!X35*(X63-X64)*X19</f>
        <v>7.52839898832538</v>
      </c>
      <c r="Y66" s="13" t="n">
        <f aca="false">Time!Y35*(Y63-Y64)*Y19</f>
        <v>7.50636221795805</v>
      </c>
      <c r="Z66" s="13" t="n">
        <f aca="false">Time!Z35*(Z63-Z64)*Z19</f>
        <v>7.97968651603931</v>
      </c>
      <c r="AA66" s="13" t="n">
        <f aca="false">Time!AA35*(AA63-AA64)*AA19</f>
        <v>8.32842976904423</v>
      </c>
      <c r="AB66" s="13" t="n">
        <f aca="false">Time!AB35*(AB63-AB64)*AB19</f>
        <v>8.70313054168788</v>
      </c>
      <c r="AC66" s="13" t="n">
        <f aca="false">Time!AC35*(AC63-AC64)*AC19</f>
        <v>8.84093901005248</v>
      </c>
      <c r="AD66" s="13" t="n">
        <f aca="false">Time!AD35*(AD63-AD64)*AD19</f>
        <v>9.72550956718543</v>
      </c>
      <c r="AE66" s="13" t="n">
        <f aca="false">Time!AE35*(AE63-AE64)*AE19</f>
        <v>9.88273953174234</v>
      </c>
      <c r="AF66" s="13" t="n">
        <f aca="false">Time!AF35*(AF63-AF64)*AF19</f>
        <v>9.83171957277416</v>
      </c>
      <c r="AG66" s="13" t="n">
        <f aca="false">Time!AG35*(AG63-AG64)*AG19</f>
        <v>9.41200036786908</v>
      </c>
      <c r="AH66" s="13" t="n">
        <f aca="false">Time!AH35*(AH63-AH64)*AH19</f>
        <v>9.25715776291629</v>
      </c>
      <c r="AI66" s="13" t="n">
        <f aca="false">Time!AI35*(AI63-AI64)*AI19</f>
        <v>8.54141290112428</v>
      </c>
      <c r="AJ66" s="13" t="n">
        <f aca="false">Time!AJ35*(AJ63-AJ64)*AJ19</f>
        <v>7.67497394265394</v>
      </c>
      <c r="AK66" s="13" t="n">
        <f aca="false">Time!AK35*(AK63-AK64)*AK19</f>
        <v>5.94518409252231</v>
      </c>
      <c r="AL66" s="13" t="n">
        <f aca="false">Time!AL35*(AL63-AL64)*AL19</f>
        <v>3.29998069004142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173.285854062581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4.9549372339355</v>
      </c>
      <c r="Q69" s="13" t="n">
        <f aca="false">Q66-Q67+Q68</f>
        <v>5.319230427215</v>
      </c>
      <c r="R69" s="13" t="n">
        <f aca="false">R66-R67+R68</f>
        <v>5.76823264221412</v>
      </c>
      <c r="S69" s="13" t="n">
        <f aca="false">S66-S67+S68</f>
        <v>6.04298624834855</v>
      </c>
      <c r="T69" s="13" t="n">
        <f aca="false">T66-T67+T68</f>
        <v>6.49763817598926</v>
      </c>
      <c r="U69" s="13" t="n">
        <f aca="false">U66-U67+U68</f>
        <v>6.82414004883699</v>
      </c>
      <c r="V69" s="13" t="n">
        <f aca="false">V66-V67+V68</f>
        <v>7.53541523395294</v>
      </c>
      <c r="W69" s="13" t="n">
        <f aca="false">W66-W67+W68</f>
        <v>7.88564858015231</v>
      </c>
      <c r="X69" s="13" t="n">
        <f aca="false">X66-X67+X68</f>
        <v>7.52839898832538</v>
      </c>
      <c r="Y69" s="13" t="n">
        <f aca="false">Y66-Y67+Y68</f>
        <v>7.50636221795805</v>
      </c>
      <c r="Z69" s="13" t="n">
        <f aca="false">Z66-Z67+Z68</f>
        <v>7.97968651603931</v>
      </c>
      <c r="AA69" s="13" t="n">
        <f aca="false">AA66-AA67+AA68</f>
        <v>8.32842976904423</v>
      </c>
      <c r="AB69" s="13" t="n">
        <f aca="false">AB66-AB67+AB68</f>
        <v>8.70313054168788</v>
      </c>
      <c r="AC69" s="13" t="n">
        <f aca="false">AC66-AC67+AC68</f>
        <v>8.84093901005248</v>
      </c>
      <c r="AD69" s="13" t="n">
        <f aca="false">AD66-AD67+AD68</f>
        <v>9.72550956718543</v>
      </c>
      <c r="AE69" s="13" t="n">
        <f aca="false">AE66-AE67+AE68</f>
        <v>9.88273953174234</v>
      </c>
      <c r="AF69" s="13" t="n">
        <f aca="false">AF66-AF67+AF68</f>
        <v>9.83171957277416</v>
      </c>
      <c r="AG69" s="13" t="n">
        <f aca="false">AG66-AG67+AG68</f>
        <v>9.41200036786908</v>
      </c>
      <c r="AH69" s="13" t="n">
        <f aca="false">AH66-AH67+AH68</f>
        <v>9.25715776291629</v>
      </c>
      <c r="AI69" s="13" t="n">
        <f aca="false">AI66-AI67+AI68</f>
        <v>8.54141290112428</v>
      </c>
      <c r="AJ69" s="13" t="n">
        <f aca="false">AJ66-AJ67+AJ68</f>
        <v>7.67497394265394</v>
      </c>
      <c r="AK69" s="13" t="n">
        <f aca="false">AK66-AK67+AK68</f>
        <v>5.94518409252231</v>
      </c>
      <c r="AL69" s="13" t="n">
        <f aca="false">AL66-AL67+AL68</f>
        <v>3.29998069004142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257.197780670253</v>
      </c>
      <c r="Q73" s="13" t="n">
        <f aca="false">Q63-Q69-Q70-Q71</f>
        <v>251.878550243038</v>
      </c>
      <c r="R73" s="13" t="n">
        <f aca="false">R63-R69-R70-R71</f>
        <v>246.110317600824</v>
      </c>
      <c r="S73" s="13" t="n">
        <f aca="false">S63-S69-S70-S71</f>
        <v>240.067331352476</v>
      </c>
      <c r="T73" s="13" t="n">
        <f aca="false">T63-T69-T70-T71</f>
        <v>233.569693176486</v>
      </c>
      <c r="U73" s="13" t="n">
        <f aca="false">U63-U69-U70-U71</f>
        <v>226.745553127649</v>
      </c>
      <c r="V73" s="13" t="n">
        <f aca="false">V63-V69-V70-V71</f>
        <v>219.210137893696</v>
      </c>
      <c r="W73" s="13" t="n">
        <f aca="false">W63-W69-W70-W71</f>
        <v>211.324489313544</v>
      </c>
      <c r="X73" s="13" t="n">
        <f aca="false">X63-X69-X70-X71</f>
        <v>203.796090325219</v>
      </c>
      <c r="Y73" s="13" t="n">
        <f aca="false">Y63-Y69-Y70-Y71</f>
        <v>196.289728107261</v>
      </c>
      <c r="Z73" s="13" t="n">
        <f aca="false">Z63-Z69-Z70-Z71</f>
        <v>188.310041591221</v>
      </c>
      <c r="AA73" s="13" t="n">
        <f aca="false">AA63-AA69-AA70-AA71</f>
        <v>179.981611822177</v>
      </c>
      <c r="AB73" s="13" t="n">
        <f aca="false">AB63-AB69-AB70-AB71</f>
        <v>166.871956785316</v>
      </c>
      <c r="AC73" s="13" t="n">
        <f aca="false">AC63-AC69-AC70-AC71</f>
        <v>152.813807599766</v>
      </c>
      <c r="AD73" s="13" t="n">
        <f aca="false">AD63-AD69-AD70-AD71</f>
        <v>138.404403326146</v>
      </c>
      <c r="AE73" s="13" t="n">
        <f aca="false">AE63-AE69-AE70-AE71</f>
        <v>122.643126670014</v>
      </c>
      <c r="AF73" s="13" t="n">
        <f aca="false">AF63-AF69-AF70-AF71</f>
        <v>106.497884404008</v>
      </c>
      <c r="AG73" s="13" t="n">
        <f aca="false">AG63-AG69-AG70-AG71</f>
        <v>90.0591013154117</v>
      </c>
      <c r="AH73" s="13" t="n">
        <f aca="false">AH63-AH69-AH70-AH71</f>
        <v>73.5946545272448</v>
      </c>
      <c r="AI73" s="13" t="n">
        <f aca="false">AI63-AI69-AI70-AI71</f>
        <v>56.707958221653</v>
      </c>
      <c r="AJ73" s="13" t="n">
        <f aca="false">AJ63-AJ69-AJ70-AJ71</f>
        <v>40.1584488493634</v>
      </c>
      <c r="AK73" s="13" t="n">
        <f aca="false">AK63-AK69-AK70-AK71</f>
        <v>23.8497565850437</v>
      </c>
      <c r="AL73" s="13" t="n">
        <f aca="false">AL63-AL69-AL70-AL71</f>
        <v>8.95829246986084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88.8668638416076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4.40652449517368</v>
      </c>
      <c r="AB74" s="13" t="n">
        <f aca="false">Waterfall!AB28*AB73/(AB31+AB45+AB59+AB73+AB87+Inputs!$F$253)+Waterfall!AB29</f>
        <v>5.21721017549682</v>
      </c>
      <c r="AC74" s="13" t="n">
        <f aca="false">Waterfall!AC28*AC73/(AC31+AC45+AC59+AC73+AC87+Inputs!$F$253)+Waterfall!AC29</f>
        <v>4.68389470643536</v>
      </c>
      <c r="AD74" s="13" t="n">
        <f aca="false">Waterfall!AD28*AD73/(AD31+AD45+AD59+AD73+AD87+Inputs!$F$253)+Waterfall!AD29</f>
        <v>5.87853712438882</v>
      </c>
      <c r="AE74" s="13" t="n">
        <f aca="false">Waterfall!AE28*AE73/(AE31+AE45+AE59+AE73+AE87+Inputs!$F$253)+Waterfall!AE29</f>
        <v>6.31352269323191</v>
      </c>
      <c r="AF74" s="13" t="n">
        <f aca="false">Waterfall!AF28*AF73/(AF31+AF45+AF59+AF73+AF87+Inputs!$F$253)+Waterfall!AF29</f>
        <v>7.02678272072754</v>
      </c>
      <c r="AG74" s="13" t="n">
        <f aca="false">Waterfall!AG28*AG73/(AG31+AG45+AG59+AG73+AG87+Inputs!$F$253)+Waterfall!AG29</f>
        <v>7.20728902525059</v>
      </c>
      <c r="AH74" s="13" t="n">
        <f aca="false">Waterfall!AH28*AH73/(AH31+AH45+AH59+AH73+AH87+Inputs!$F$253)+Waterfall!AH29</f>
        <v>8.34528340446757</v>
      </c>
      <c r="AI74" s="13" t="n">
        <f aca="false">Waterfall!AI28*AI73/(AI31+AI45+AI59+AI73+AI87+Inputs!$F$253)+Waterfall!AI29</f>
        <v>8.8745354296356</v>
      </c>
      <c r="AJ74" s="13" t="n">
        <f aca="false">Waterfall!AJ28*AJ73/(AJ31+AJ45+AJ59+AJ73+AJ87+Inputs!$F$253)+Waterfall!AJ29</f>
        <v>10.3635081717974</v>
      </c>
      <c r="AK74" s="13" t="n">
        <f aca="false">Waterfall!AK28*AK73/(AK31+AK45+AK59+AK73+AK87+Inputs!$F$253)+Waterfall!AK29</f>
        <v>11.5914834251414</v>
      </c>
      <c r="AL74" s="13" t="n">
        <f aca="false">Waterfall!AL28*AL73/(AL31+AL45+AL59+AL73+AL87+Inputs!$F$253)+Waterfall!AL29</f>
        <v>8.95829246986084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262.152717904189</v>
      </c>
      <c r="P75" s="13" t="n">
        <f aca="false">IF(Time!P34=1,INDEX(Funding!$J$64:$BJ$64,1,Time!$F$14),Time!P35*(P73-P74))</f>
        <v>257.197780670253</v>
      </c>
      <c r="Q75" s="13" t="n">
        <f aca="false">IF(Time!Q34=1,INDEX(Funding!$J$64:$BJ$64,1,Time!$F$14),Time!Q35*(Q73-Q74))</f>
        <v>251.878550243038</v>
      </c>
      <c r="R75" s="13" t="n">
        <f aca="false">IF(Time!R34=1,INDEX(Funding!$J$64:$BJ$64,1,Time!$F$14),Time!R35*(R73-R74))</f>
        <v>246.110317600824</v>
      </c>
      <c r="S75" s="13" t="n">
        <f aca="false">IF(Time!S34=1,INDEX(Funding!$J$64:$BJ$64,1,Time!$F$14),Time!S35*(S73-S74))</f>
        <v>240.067331352476</v>
      </c>
      <c r="T75" s="13" t="n">
        <f aca="false">IF(Time!T34=1,INDEX(Funding!$J$64:$BJ$64,1,Time!$F$14),Time!T35*(T73-T74))</f>
        <v>233.569693176486</v>
      </c>
      <c r="U75" s="13" t="n">
        <f aca="false">IF(Time!U34=1,INDEX(Funding!$J$64:$BJ$64,1,Time!$F$14),Time!U35*(U73-U74))</f>
        <v>226.745553127649</v>
      </c>
      <c r="V75" s="13" t="n">
        <f aca="false">IF(Time!V34=1,INDEX(Funding!$J$64:$BJ$64,1,Time!$F$14),Time!V35*(V73-V74))</f>
        <v>219.210137893696</v>
      </c>
      <c r="W75" s="13" t="n">
        <f aca="false">IF(Time!W34=1,INDEX(Funding!$J$64:$BJ$64,1,Time!$F$14),Time!W35*(W73-W74))</f>
        <v>211.324489313544</v>
      </c>
      <c r="X75" s="13" t="n">
        <f aca="false">IF(Time!X34=1,INDEX(Funding!$J$64:$BJ$64,1,Time!$F$14),Time!X35*(X73-X74))</f>
        <v>203.796090325219</v>
      </c>
      <c r="Y75" s="13" t="n">
        <f aca="false">IF(Time!Y34=1,INDEX(Funding!$J$64:$BJ$64,1,Time!$F$14),Time!Y35*(Y73-Y74))</f>
        <v>196.289728107261</v>
      </c>
      <c r="Z75" s="13" t="n">
        <f aca="false">IF(Time!Z34=1,INDEX(Funding!$J$64:$BJ$64,1,Time!$F$14),Time!Z35*(Z73-Z74))</f>
        <v>188.310041591221</v>
      </c>
      <c r="AA75" s="13" t="n">
        <f aca="false">IF(Time!AA34=1,INDEX(Funding!$J$64:$BJ$64,1,Time!$F$14),Time!AA35*(AA73-AA74))</f>
        <v>175.575087327003</v>
      </c>
      <c r="AB75" s="13" t="n">
        <f aca="false">IF(Time!AB34=1,INDEX(Funding!$J$64:$BJ$64,1,Time!$F$14),Time!AB35*(AB73-AB74))</f>
        <v>161.654746609819</v>
      </c>
      <c r="AC75" s="13" t="n">
        <f aca="false">IF(Time!AC34=1,INDEX(Funding!$J$64:$BJ$64,1,Time!$F$14),Time!AC35*(AC73-AC74))</f>
        <v>148.129912893331</v>
      </c>
      <c r="AD75" s="13" t="n">
        <f aca="false">IF(Time!AD34=1,INDEX(Funding!$J$64:$BJ$64,1,Time!$F$14),Time!AD35*(AD73-AD74))</f>
        <v>132.525866201757</v>
      </c>
      <c r="AE75" s="13" t="n">
        <f aca="false">IF(Time!AE34=1,INDEX(Funding!$J$64:$BJ$64,1,Time!$F$14),Time!AE35*(AE73-AE74))</f>
        <v>116.329603976782</v>
      </c>
      <c r="AF75" s="13" t="n">
        <f aca="false">IF(Time!AF34=1,INDEX(Funding!$J$64:$BJ$64,1,Time!$F$14),Time!AF35*(AF73-AF74))</f>
        <v>99.4711016832808</v>
      </c>
      <c r="AG75" s="13" t="n">
        <f aca="false">IF(Time!AG34=1,INDEX(Funding!$J$64:$BJ$64,1,Time!$F$14),Time!AG35*(AG73-AG74))</f>
        <v>82.8518122901611</v>
      </c>
      <c r="AH75" s="13" t="n">
        <f aca="false">IF(Time!AH34=1,INDEX(Funding!$J$64:$BJ$64,1,Time!$F$14),Time!AH35*(AH73-AH74))</f>
        <v>65.2493711227773</v>
      </c>
      <c r="AI75" s="13" t="n">
        <f aca="false">IF(Time!AI34=1,INDEX(Funding!$J$64:$BJ$64,1,Time!$F$14),Time!AI35*(AI73-AI74))</f>
        <v>47.8334227920174</v>
      </c>
      <c r="AJ75" s="13" t="n">
        <f aca="false">IF(Time!AJ34=1,INDEX(Funding!$J$64:$BJ$64,1,Time!$F$14),Time!AJ35*(AJ73-AJ74))</f>
        <v>29.794940677566</v>
      </c>
      <c r="AK75" s="13" t="n">
        <f aca="false">IF(Time!AK34=1,INDEX(Funding!$J$64:$BJ$64,1,Time!$F$14),Time!AK35*(AK73-AK74))</f>
        <v>12.2582731599023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1.49880108324396E-013</v>
      </c>
      <c r="Q77" s="13" t="n">
        <f aca="false">Time!Q35*P89</f>
        <v>1.47047230850151E-013</v>
      </c>
      <c r="R77" s="13" t="n">
        <f aca="false">Time!R35*Q89</f>
        <v>1.44006076674802E-013</v>
      </c>
      <c r="S77" s="13" t="n">
        <f aca="false">Time!S35*R89</f>
        <v>1.40708215259643E-013</v>
      </c>
      <c r="T77" s="13" t="n">
        <f aca="false">Time!T35*S89</f>
        <v>1.37253269452687E-013</v>
      </c>
      <c r="U77" s="13" t="n">
        <f aca="false">Time!U35*T89</f>
        <v>1.33538386305734E-013</v>
      </c>
      <c r="V77" s="13" t="n">
        <f aca="false">Time!V35*U89</f>
        <v>1.29636832822263E-013</v>
      </c>
      <c r="W77" s="13" t="n">
        <f aca="false">Time!W35*V89</f>
        <v>1.25328623239073E-013</v>
      </c>
      <c r="X77" s="13" t="n">
        <f aca="false">Time!X35*W89</f>
        <v>1.20820175366206E-013</v>
      </c>
      <c r="Y77" s="13" t="n">
        <f aca="false">Time!Y35*X89</f>
        <v>1.16515977168681E-013</v>
      </c>
      <c r="Z77" s="13" t="n">
        <f aca="false">Time!Z35*Y89</f>
        <v>1.12224378014783E-013</v>
      </c>
      <c r="AA77" s="13" t="n">
        <f aca="false">Time!AA35*Z89</f>
        <v>1.07662165999664E-013</v>
      </c>
      <c r="AB77" s="13" t="n">
        <f aca="false">Time!AB35*AA89</f>
        <v>1.02900567623206E-013</v>
      </c>
      <c r="AC77" s="13" t="n">
        <f aca="false">Time!AC35*AB89</f>
        <v>9.77998606466489E-014</v>
      </c>
      <c r="AD77" s="13" t="n">
        <f aca="false">Time!AD35*AC89</f>
        <v>9.24511615128361E-014</v>
      </c>
      <c r="AE77" s="13" t="n">
        <f aca="false">Time!AE35*AD89</f>
        <v>8.63812554538353E-014</v>
      </c>
      <c r="AF77" s="13" t="n">
        <f aca="false">Time!AF35*AE89</f>
        <v>7.9939619020571E-014</v>
      </c>
      <c r="AG77" s="13" t="n">
        <f aca="false">Time!AG35*AF89</f>
        <v>7.31834375319663E-014</v>
      </c>
      <c r="AH77" s="13" t="n">
        <f aca="false">Time!AH35*AG89</f>
        <v>6.62587877661885E-014</v>
      </c>
      <c r="AI77" s="13" t="n">
        <f aca="false">Time!AI35*AH89</f>
        <v>5.88555936226123E-014</v>
      </c>
      <c r="AJ77" s="13" t="n">
        <f aca="false">Time!AJ35*AI89</f>
        <v>5.11511526751956E-014</v>
      </c>
      <c r="AK77" s="13" t="n">
        <f aca="false">Time!AK35*AJ89</f>
        <v>4.29438419496844E-014</v>
      </c>
      <c r="AL77" s="13" t="n">
        <f aca="false">Time!AL35*AK89</f>
        <v>3.43749695094284E-014</v>
      </c>
      <c r="AM77" s="13" t="n">
        <f aca="false">Time!AM35*AL89</f>
        <v>2.51210775360519E-014</v>
      </c>
      <c r="AN77" s="13" t="n">
        <f aca="false">Time!AN35*AM89</f>
        <v>1.54973953676751E-014</v>
      </c>
      <c r="AO77" s="13" t="n">
        <f aca="false">Time!AO35*AN89</f>
        <v>7.63464086764571E-015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9.73746450172481E-014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5.94151394750497E-015</v>
      </c>
      <c r="Q79" s="13" t="n">
        <f aca="false">Q77*Q14</f>
        <v>5.74994429838358E-015</v>
      </c>
      <c r="R79" s="13" t="n">
        <f aca="false">R77*R14</f>
        <v>5.72435888610809E-015</v>
      </c>
      <c r="S79" s="13" t="n">
        <f aca="false">S77*S14</f>
        <v>5.509617779445E-015</v>
      </c>
      <c r="T79" s="13" t="n">
        <f aca="false">T77*T14</f>
        <v>5.46341214165401E-015</v>
      </c>
      <c r="U79" s="13" t="n">
        <f aca="false">U77*U14</f>
        <v>5.25776237122024E-015</v>
      </c>
      <c r="V79" s="13" t="n">
        <f aca="false">V77*V14</f>
        <v>5.16023734276779E-015</v>
      </c>
      <c r="W79" s="13" t="n">
        <f aca="false">W77*W14</f>
        <v>4.90740934775689E-015</v>
      </c>
      <c r="X79" s="13" t="n">
        <f aca="false">X77*X14</f>
        <v>4.80928735384363E-015</v>
      </c>
      <c r="Y79" s="13" t="n">
        <f aca="false">Y77*Y14</f>
        <v>4.75761058759753E-015</v>
      </c>
      <c r="Z79" s="13" t="n">
        <f aca="false">Z77*Z14</f>
        <v>4.65832586347408E-015</v>
      </c>
      <c r="AA79" s="13" t="n">
        <f aca="false">AA77*AA14</f>
        <v>4.39608947451168E-015</v>
      </c>
      <c r="AB79" s="13" t="n">
        <f aca="false">AB77*AB14</f>
        <v>4.27130347260381E-015</v>
      </c>
      <c r="AC79" s="13" t="n">
        <f aca="false">AC77*AC14</f>
        <v>4.01545218956187E-015</v>
      </c>
      <c r="AD79" s="13" t="n">
        <f aca="false">AD77*AD14</f>
        <v>3.83755868735341E-015</v>
      </c>
      <c r="AE79" s="13" t="n">
        <f aca="false">AE77*AE14</f>
        <v>3.52714181783131E-015</v>
      </c>
      <c r="AF79" s="13" t="n">
        <f aca="false">AF77*AF14</f>
        <v>3.31821660665151E-015</v>
      </c>
      <c r="AG79" s="13" t="n">
        <f aca="false">AG77*AG14</f>
        <v>3.11089511509725E-015</v>
      </c>
      <c r="AH79" s="13" t="n">
        <f aca="false">AH77*AH14</f>
        <v>2.86322381753607E-015</v>
      </c>
      <c r="AI79" s="13" t="n">
        <f aca="false">AI77*AI14</f>
        <v>2.50184447289401E-015</v>
      </c>
      <c r="AJ79" s="13" t="n">
        <f aca="false">AJ77*AJ14</f>
        <v>2.21038149914328E-015</v>
      </c>
      <c r="AK79" s="13" t="n">
        <f aca="false">AK77*AK14</f>
        <v>1.83555022696802E-015</v>
      </c>
      <c r="AL79" s="13" t="n">
        <f aca="false">AL77*AL14</f>
        <v>1.4854366453818E-015</v>
      </c>
      <c r="AM79" s="13" t="n">
        <f aca="false">AM77*AM14</f>
        <v>1.06785141595389E-015</v>
      </c>
      <c r="AN79" s="13" t="n">
        <f aca="false">AN77*AN14</f>
        <v>6.69684928180101E-016</v>
      </c>
      <c r="AO79" s="13" t="n">
        <f aca="false">AO77*AO14</f>
        <v>3.24534727824267E-016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1.49880108324396E-013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2.83287747424483E-015</v>
      </c>
      <c r="Q80" s="13" t="n">
        <f aca="false">Time!Q35*(Q77-Q78)*Q19</f>
        <v>3.04115417534898E-015</v>
      </c>
      <c r="R80" s="13" t="n">
        <f aca="false">Time!R35*(R77-R78)*R19</f>
        <v>3.29786141515932E-015</v>
      </c>
      <c r="S80" s="13" t="n">
        <f aca="false">Time!S35*(S77-S78)*S19</f>
        <v>3.45494580695646E-015</v>
      </c>
      <c r="T80" s="13" t="n">
        <f aca="false">Time!T35*(T77-T78)*T19</f>
        <v>3.71488314695226E-015</v>
      </c>
      <c r="U80" s="13" t="n">
        <f aca="false">Time!U35*(U77-U78)*U19</f>
        <v>3.90155348347123E-015</v>
      </c>
      <c r="V80" s="13" t="n">
        <f aca="false">Time!V35*(V77-V78)*V19</f>
        <v>4.30820958319016E-015</v>
      </c>
      <c r="W80" s="13" t="n">
        <f aca="false">Time!W35*(W77-W78)*W19</f>
        <v>4.50844787286664E-015</v>
      </c>
      <c r="X80" s="13" t="n">
        <f aca="false">Time!X35*(X77-X78)*X19</f>
        <v>4.30419819752498E-015</v>
      </c>
      <c r="Y80" s="13" t="n">
        <f aca="false">Time!Y35*(Y77-Y78)*Y19</f>
        <v>4.29159915389812E-015</v>
      </c>
      <c r="Z80" s="13" t="n">
        <f aca="false">Time!Z35*(Z77-Z78)*Z19</f>
        <v>4.5622120151194E-015</v>
      </c>
      <c r="AA80" s="13" t="n">
        <f aca="false">Time!AA35*(AA77-AA78)*AA19</f>
        <v>4.76159837645738E-015</v>
      </c>
      <c r="AB80" s="13" t="n">
        <f aca="false">Time!AB35*(AB77-AB78)*AB19</f>
        <v>5.10070697655755E-015</v>
      </c>
      <c r="AC80" s="13" t="n">
        <f aca="false">Time!AC35*(AC77-AC78)*AC19</f>
        <v>5.34869913381273E-015</v>
      </c>
      <c r="AD80" s="13" t="n">
        <f aca="false">Time!AD35*(AD77-AD78)*AD19</f>
        <v>6.06990605900082E-015</v>
      </c>
      <c r="AE80" s="13" t="n">
        <f aca="false">Time!AE35*(AE77-AE78)*AE19</f>
        <v>6.44163643326434E-015</v>
      </c>
      <c r="AF80" s="13" t="n">
        <f aca="false">Time!AF35*(AF77-AF78)*AF19</f>
        <v>6.75618148860474E-015</v>
      </c>
      <c r="AG80" s="13" t="n">
        <f aca="false">Time!AG35*(AG77-AG78)*AG19</f>
        <v>6.9246497657778E-015</v>
      </c>
      <c r="AH80" s="13" t="n">
        <f aca="false">Time!AH35*(AH77-AH78)*AH19</f>
        <v>7.40319414357619E-015</v>
      </c>
      <c r="AI80" s="13" t="n">
        <f aca="false">Time!AI35*(AI77-AI78)*AI19</f>
        <v>7.70444094741662E-015</v>
      </c>
      <c r="AJ80" s="13" t="n">
        <f aca="false">Time!AJ35*(AJ77-AJ78)*AJ19</f>
        <v>8.20731072551128E-015</v>
      </c>
      <c r="AK80" s="13" t="n">
        <f aca="false">Time!AK35*(AK77-AK78)*AK19</f>
        <v>8.56887244025593E-015</v>
      </c>
      <c r="AL80" s="13" t="n">
        <f aca="false">Time!AL35*(AL77-AL78)*AL19</f>
        <v>9.25389197337653E-015</v>
      </c>
      <c r="AM80" s="13" t="n">
        <f aca="false">Time!AM35*(AM77-AM78)*AM19</f>
        <v>9.6236821683768E-015</v>
      </c>
      <c r="AN80" s="13" t="n">
        <f aca="false">Time!AN35*(AN77-AN78)*AN19</f>
        <v>7.8627545000294E-015</v>
      </c>
      <c r="AO80" s="13" t="n">
        <f aca="false">Time!AO35*(AO77-AO78)*AO19</f>
        <v>7.63464086764571E-015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1.49880108324396E-013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2.83287747424483E-015</v>
      </c>
      <c r="Q83" s="13" t="n">
        <f aca="false">Q80-Q81+Q82</f>
        <v>3.04115417534898E-015</v>
      </c>
      <c r="R83" s="13" t="n">
        <f aca="false">R80-R81+R82</f>
        <v>3.29786141515932E-015</v>
      </c>
      <c r="S83" s="13" t="n">
        <f aca="false">S80-S81+S82</f>
        <v>3.45494580695646E-015</v>
      </c>
      <c r="T83" s="13" t="n">
        <f aca="false">T80-T81+T82</f>
        <v>3.71488314695226E-015</v>
      </c>
      <c r="U83" s="13" t="n">
        <f aca="false">U80-U81+U82</f>
        <v>3.90155348347123E-015</v>
      </c>
      <c r="V83" s="13" t="n">
        <f aca="false">V80-V81+V82</f>
        <v>4.30820958319016E-015</v>
      </c>
      <c r="W83" s="13" t="n">
        <f aca="false">W80-W81+W82</f>
        <v>4.50844787286664E-015</v>
      </c>
      <c r="X83" s="13" t="n">
        <f aca="false">X80-X81+X82</f>
        <v>4.30419819752498E-015</v>
      </c>
      <c r="Y83" s="13" t="n">
        <f aca="false">Y80-Y81+Y82</f>
        <v>4.29159915389812E-015</v>
      </c>
      <c r="Z83" s="13" t="n">
        <f aca="false">Z80-Z81+Z82</f>
        <v>4.5622120151194E-015</v>
      </c>
      <c r="AA83" s="13" t="n">
        <f aca="false">AA80-AA81+AA82</f>
        <v>4.76159837645738E-015</v>
      </c>
      <c r="AB83" s="13" t="n">
        <f aca="false">AB80-AB81+AB82</f>
        <v>5.10070697655755E-015</v>
      </c>
      <c r="AC83" s="13" t="n">
        <f aca="false">AC80-AC81+AC82</f>
        <v>5.34869913381273E-015</v>
      </c>
      <c r="AD83" s="13" t="n">
        <f aca="false">AD80-AD81+AD82</f>
        <v>6.06990605900082E-015</v>
      </c>
      <c r="AE83" s="13" t="n">
        <f aca="false">AE80-AE81+AE82</f>
        <v>6.44163643326434E-015</v>
      </c>
      <c r="AF83" s="13" t="n">
        <f aca="false">AF80-AF81+AF82</f>
        <v>6.75618148860474E-015</v>
      </c>
      <c r="AG83" s="13" t="n">
        <f aca="false">AG80-AG81+AG82</f>
        <v>6.9246497657778E-015</v>
      </c>
      <c r="AH83" s="13" t="n">
        <f aca="false">AH80-AH81+AH82</f>
        <v>7.40319414357619E-015</v>
      </c>
      <c r="AI83" s="13" t="n">
        <f aca="false">AI80-AI81+AI82</f>
        <v>7.70444094741662E-015</v>
      </c>
      <c r="AJ83" s="13" t="n">
        <f aca="false">AJ80-AJ81+AJ82</f>
        <v>8.20731072551128E-015</v>
      </c>
      <c r="AK83" s="13" t="n">
        <f aca="false">AK80-AK81+AK82</f>
        <v>8.56887244025593E-015</v>
      </c>
      <c r="AL83" s="13" t="n">
        <f aca="false">AL80-AL81+AL82</f>
        <v>9.25389197337653E-015</v>
      </c>
      <c r="AM83" s="13" t="n">
        <f aca="false">AM80-AM81+AM82</f>
        <v>9.6236821683768E-015</v>
      </c>
      <c r="AN83" s="13" t="n">
        <f aca="false">AN80-AN81+AN82</f>
        <v>7.8627545000294E-015</v>
      </c>
      <c r="AO83" s="13" t="n">
        <f aca="false">AO80-AO81+AO82</f>
        <v>7.63464086764571E-015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1.47047230850151E-013</v>
      </c>
      <c r="Q87" s="13" t="n">
        <f aca="false">Q77-Q83-Q84-Q85</f>
        <v>1.44006076674802E-013</v>
      </c>
      <c r="R87" s="13" t="n">
        <f aca="false">R77-R83-R84-R85</f>
        <v>1.40708215259643E-013</v>
      </c>
      <c r="S87" s="13" t="n">
        <f aca="false">S77-S83-S84-S85</f>
        <v>1.37253269452687E-013</v>
      </c>
      <c r="T87" s="13" t="n">
        <f aca="false">T77-T83-T84-T85</f>
        <v>1.33538386305734E-013</v>
      </c>
      <c r="U87" s="13" t="n">
        <f aca="false">U77-U83-U84-U85</f>
        <v>1.29636832822263E-013</v>
      </c>
      <c r="V87" s="13" t="n">
        <f aca="false">V77-V83-V84-V85</f>
        <v>1.25328623239073E-013</v>
      </c>
      <c r="W87" s="13" t="n">
        <f aca="false">W77-W83-W84-W85</f>
        <v>1.20820175366206E-013</v>
      </c>
      <c r="X87" s="13" t="n">
        <f aca="false">X77-X83-X84-X85</f>
        <v>1.16515977168681E-013</v>
      </c>
      <c r="Y87" s="13" t="n">
        <f aca="false">Y77-Y83-Y84-Y85</f>
        <v>1.12224378014783E-013</v>
      </c>
      <c r="Z87" s="13" t="n">
        <f aca="false">Z77-Z83-Z84-Z85</f>
        <v>1.07662165999664E-013</v>
      </c>
      <c r="AA87" s="13" t="n">
        <f aca="false">AA77-AA83-AA84-AA85</f>
        <v>1.02900567623206E-013</v>
      </c>
      <c r="AB87" s="13" t="n">
        <f aca="false">AB77-AB83-AB84-AB85</f>
        <v>9.77998606466489E-014</v>
      </c>
      <c r="AC87" s="13" t="n">
        <f aca="false">AC77-AC83-AC84-AC85</f>
        <v>9.24511615128361E-014</v>
      </c>
      <c r="AD87" s="13" t="n">
        <f aca="false">AD77-AD83-AD84-AD85</f>
        <v>8.63812554538353E-014</v>
      </c>
      <c r="AE87" s="13" t="n">
        <f aca="false">AE77-AE83-AE84-AE85</f>
        <v>7.9939619020571E-014</v>
      </c>
      <c r="AF87" s="13" t="n">
        <f aca="false">AF77-AF83-AF84-AF85</f>
        <v>7.31834375319663E-014</v>
      </c>
      <c r="AG87" s="13" t="n">
        <f aca="false">AG77-AG83-AG84-AG85</f>
        <v>6.62587877661885E-014</v>
      </c>
      <c r="AH87" s="13" t="n">
        <f aca="false">AH77-AH83-AH84-AH85</f>
        <v>5.88555936226123E-014</v>
      </c>
      <c r="AI87" s="13" t="n">
        <f aca="false">AI77-AI83-AI84-AI85</f>
        <v>5.11511526751956E-014</v>
      </c>
      <c r="AJ87" s="13" t="n">
        <f aca="false">AJ77-AJ83-AJ84-AJ85</f>
        <v>4.29438419496844E-014</v>
      </c>
      <c r="AK87" s="13" t="n">
        <f aca="false">AK77-AK83-AK84-AK85</f>
        <v>3.43749695094284E-014</v>
      </c>
      <c r="AL87" s="13" t="n">
        <f aca="false">AL77-AL83-AL84-AL85</f>
        <v>2.51210775360519E-014</v>
      </c>
      <c r="AM87" s="13" t="n">
        <f aca="false">AM77-AM83-AM84-AM85</f>
        <v>1.54973953676751E-014</v>
      </c>
      <c r="AN87" s="13" t="n">
        <f aca="false">AN77-AN83-AN84-AN85</f>
        <v>7.63464086764571E-015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1.49880108324396E-013</v>
      </c>
      <c r="P89" s="13" t="n">
        <f aca="false">IF(Time!P34=1,INDEX(Funding!$J$65:$BJ$65,1,Time!$F$14),Time!P35*(P87-P88))</f>
        <v>1.47047230850151E-013</v>
      </c>
      <c r="Q89" s="13" t="n">
        <f aca="false">IF(Time!Q34=1,INDEX(Funding!$J$65:$BJ$65,1,Time!$F$14),Time!Q35*(Q87-Q88))</f>
        <v>1.44006076674802E-013</v>
      </c>
      <c r="R89" s="13" t="n">
        <f aca="false">IF(Time!R34=1,INDEX(Funding!$J$65:$BJ$65,1,Time!$F$14),Time!R35*(R87-R88))</f>
        <v>1.40708215259643E-013</v>
      </c>
      <c r="S89" s="13" t="n">
        <f aca="false">IF(Time!S34=1,INDEX(Funding!$J$65:$BJ$65,1,Time!$F$14),Time!S35*(S87-S88))</f>
        <v>1.37253269452687E-013</v>
      </c>
      <c r="T89" s="13" t="n">
        <f aca="false">IF(Time!T34=1,INDEX(Funding!$J$65:$BJ$65,1,Time!$F$14),Time!T35*(T87-T88))</f>
        <v>1.33538386305734E-013</v>
      </c>
      <c r="U89" s="13" t="n">
        <f aca="false">IF(Time!U34=1,INDEX(Funding!$J$65:$BJ$65,1,Time!$F$14),Time!U35*(U87-U88))</f>
        <v>1.29636832822263E-013</v>
      </c>
      <c r="V89" s="13" t="n">
        <f aca="false">IF(Time!V34=1,INDEX(Funding!$J$65:$BJ$65,1,Time!$F$14),Time!V35*(V87-V88))</f>
        <v>1.25328623239073E-013</v>
      </c>
      <c r="W89" s="13" t="n">
        <f aca="false">IF(Time!W34=1,INDEX(Funding!$J$65:$BJ$65,1,Time!$F$14),Time!W35*(W87-W88))</f>
        <v>1.20820175366206E-013</v>
      </c>
      <c r="X89" s="13" t="n">
        <f aca="false">IF(Time!X34=1,INDEX(Funding!$J$65:$BJ$65,1,Time!$F$14),Time!X35*(X87-X88))</f>
        <v>1.16515977168681E-013</v>
      </c>
      <c r="Y89" s="13" t="n">
        <f aca="false">IF(Time!Y34=1,INDEX(Funding!$J$65:$BJ$65,1,Time!$F$14),Time!Y35*(Y87-Y88))</f>
        <v>1.12224378014783E-013</v>
      </c>
      <c r="Z89" s="13" t="n">
        <f aca="false">IF(Time!Z34=1,INDEX(Funding!$J$65:$BJ$65,1,Time!$F$14),Time!Z35*(Z87-Z88))</f>
        <v>1.07662165999664E-013</v>
      </c>
      <c r="AA89" s="13" t="n">
        <f aca="false">IF(Time!AA34=1,INDEX(Funding!$J$65:$BJ$65,1,Time!$F$14),Time!AA35*(AA87-AA88))</f>
        <v>1.02900567623206E-013</v>
      </c>
      <c r="AB89" s="13" t="n">
        <f aca="false">IF(Time!AB34=1,INDEX(Funding!$J$65:$BJ$65,1,Time!$F$14),Time!AB35*(AB87-AB88))</f>
        <v>9.77998606466489E-014</v>
      </c>
      <c r="AC89" s="13" t="n">
        <f aca="false">IF(Time!AC34=1,INDEX(Funding!$J$65:$BJ$65,1,Time!$F$14),Time!AC35*(AC87-AC88))</f>
        <v>9.24511615128361E-014</v>
      </c>
      <c r="AD89" s="13" t="n">
        <f aca="false">IF(Time!AD34=1,INDEX(Funding!$J$65:$BJ$65,1,Time!$F$14),Time!AD35*(AD87-AD88))</f>
        <v>8.63812554538353E-014</v>
      </c>
      <c r="AE89" s="13" t="n">
        <f aca="false">IF(Time!AE34=1,INDEX(Funding!$J$65:$BJ$65,1,Time!$F$14),Time!AE35*(AE87-AE88))</f>
        <v>7.9939619020571E-014</v>
      </c>
      <c r="AF89" s="13" t="n">
        <f aca="false">IF(Time!AF34=1,INDEX(Funding!$J$65:$BJ$65,1,Time!$F$14),Time!AF35*(AF87-AF88))</f>
        <v>7.31834375319663E-014</v>
      </c>
      <c r="AG89" s="13" t="n">
        <f aca="false">IF(Time!AG34=1,INDEX(Funding!$J$65:$BJ$65,1,Time!$F$14),Time!AG35*(AG87-AG88))</f>
        <v>6.62587877661885E-014</v>
      </c>
      <c r="AH89" s="13" t="n">
        <f aca="false">IF(Time!AH34=1,INDEX(Funding!$J$65:$BJ$65,1,Time!$F$14),Time!AH35*(AH87-AH88))</f>
        <v>5.88555936226123E-014</v>
      </c>
      <c r="AI89" s="13" t="n">
        <f aca="false">IF(Time!AI34=1,INDEX(Funding!$J$65:$BJ$65,1,Time!$F$14),Time!AI35*(AI87-AI88))</f>
        <v>5.11511526751956E-014</v>
      </c>
      <c r="AJ89" s="13" t="n">
        <f aca="false">IF(Time!AJ34=1,INDEX(Funding!$J$65:$BJ$65,1,Time!$F$14),Time!AJ35*(AJ87-AJ88))</f>
        <v>4.29438419496844E-014</v>
      </c>
      <c r="AK89" s="13" t="n">
        <f aca="false">IF(Time!AK34=1,INDEX(Funding!$J$65:$BJ$65,1,Time!$F$14),Time!AK35*(AK87-AK88))</f>
        <v>3.43749695094284E-014</v>
      </c>
      <c r="AL89" s="13" t="n">
        <f aca="false">IF(Time!AL34=1,INDEX(Funding!$J$65:$BJ$65,1,Time!$F$14),Time!AL35*(AL87-AL88))</f>
        <v>2.51210775360519E-014</v>
      </c>
      <c r="AM89" s="13" t="n">
        <f aca="false">IF(Time!AM34=1,INDEX(Funding!$J$65:$BJ$65,1,Time!$F$14),Time!AM35*(AM87-AM88))</f>
        <v>1.54973953676751E-014</v>
      </c>
      <c r="AN89" s="13" t="n">
        <f aca="false">IF(Time!AN34=1,INDEX(Funding!$J$65:$BJ$65,1,Time!$F$14),Time!AN35*(AN87-AN88))</f>
        <v>7.63464086764571E-015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19.7258647489149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1.36779078349791</v>
      </c>
      <c r="Q108" s="13" t="n">
        <f aca="false">(Inputs!$F$95/100*Inputs!$F$96/100)*Q63*Time!Q25/Inputs!$F$248</f>
        <v>1.3200588011469</v>
      </c>
      <c r="R108" s="13" t="n">
        <f aca="false">(Inputs!$F$95/100*Inputs!$F$96/100)*R63*Time!R25/Inputs!$F$248</f>
        <v>1.3141849618708</v>
      </c>
      <c r="S108" s="13" t="n">
        <f aca="false">(Inputs!$F$95/100*Inputs!$F$96/100)*S63*Time!S25/Inputs!$F$248</f>
        <v>1.2631527766507</v>
      </c>
      <c r="T108" s="13" t="n">
        <f aca="false">(Inputs!$F$95/100*Inputs!$F$96/100)*T63*Time!T25/Inputs!$F$248</f>
        <v>1.25255952281549</v>
      </c>
      <c r="U108" s="13" t="n">
        <f aca="false">(Inputs!$F$95/100*Inputs!$F$96/100)*U63*Time!U25/Inputs!$F$248</f>
        <v>1.20541159188095</v>
      </c>
      <c r="V108" s="13" t="n">
        <f aca="false">(Inputs!$F$95/100*Inputs!$F$96/100)*V63*Time!V25/Inputs!$F$248</f>
        <v>1.18305268870218</v>
      </c>
      <c r="W108" s="13" t="n">
        <f aca="false">(Inputs!$F$95/100*Inputs!$F$96/100)*W63*Time!W25/Inputs!$F$248</f>
        <v>1.12508852554289</v>
      </c>
      <c r="X108" s="13" t="n">
        <f aca="false">(Inputs!$F$95/100*Inputs!$F$96/100)*X63*Time!X25/Inputs!$F$248</f>
        <v>1.10259276013346</v>
      </c>
      <c r="Y108" s="13" t="n">
        <f aca="false">(Inputs!$F$95/100*Inputs!$F$96/100)*Y63*Time!Y25/Inputs!$F$248</f>
        <v>1.04597645427602</v>
      </c>
      <c r="Z108" s="13" t="n">
        <f aca="false">(Inputs!$F$95/100*Inputs!$F$96/100)*Z63*Time!Z25/Inputs!$F$248</f>
        <v>1.0241483786506</v>
      </c>
      <c r="AA108" s="13" t="n">
        <f aca="false">(Inputs!$F$95/100*Inputs!$F$96/100)*AA63*Time!AA25/Inputs!$F$248</f>
        <v>0.966494839492917</v>
      </c>
      <c r="AB108" s="13" t="n">
        <f aca="false">(Inputs!$F$95/100*Inputs!$F$96/100)*AB63*Time!AB25/Inputs!$F$248</f>
        <v>0.916069030974097</v>
      </c>
      <c r="AC108" s="13" t="n">
        <f aca="false">(Inputs!$F$95/100*Inputs!$F$96/100)*AC63*Time!AC25/Inputs!$F$248</f>
        <v>0.834271359421687</v>
      </c>
      <c r="AD108" s="13" t="n">
        <f aca="false">(Inputs!$F$95/100*Inputs!$F$96/100)*AD63*Time!AD25/Inputs!$F$248</f>
        <v>0.772872893463177</v>
      </c>
      <c r="AE108" s="13" t="n">
        <f aca="false">(Inputs!$F$95/100*Inputs!$F$96/100)*AE63*Time!AE25/Inputs!$F$248</f>
        <v>0.680184469723455</v>
      </c>
      <c r="AF108" s="13" t="n">
        <f aca="false">(Inputs!$F$95/100*Inputs!$F$96/100)*AF63*Time!AF25/Inputs!$F$248</f>
        <v>0.60695369263941</v>
      </c>
      <c r="AG108" s="13" t="n">
        <f aca="false">(Inputs!$F$95/100*Inputs!$F$96/100)*AG63*Time!AG25/Inputs!$F$248</f>
        <v>0.51053202284486</v>
      </c>
      <c r="AH108" s="13" t="n">
        <f aca="false">(Inputs!$F$95/100*Inputs!$F$96/100)*AH63*Time!AH25/Inputs!$F$248</f>
        <v>0.432282168014747</v>
      </c>
      <c r="AI108" s="13" t="n">
        <f aca="false">(Inputs!$F$95/100*Inputs!$F$96/100)*AI63*Time!AI25/Inputs!$F$248</f>
        <v>0.33489016272015</v>
      </c>
      <c r="AJ108" s="13" t="n">
        <f aca="false">(Inputs!$F$95/100*Inputs!$F$96/100)*AJ63*Time!AJ25/Inputs!$F$248</f>
        <v>0.249572521548268</v>
      </c>
      <c r="AK108" s="13" t="n">
        <f aca="false">(Inputs!$F$95/100*Inputs!$F$96/100)*AK63*Time!AK25/Inputs!$F$248</f>
        <v>0.153766382888578</v>
      </c>
      <c r="AL108" s="13" t="n">
        <f aca="false">(Inputs!$F$95/100*Inputs!$F$96/100)*AL63*Time!AL25/Inputs!$F$248</f>
        <v>0.0639579600156654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343.816032129503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22.917710837722</v>
      </c>
      <c r="Q111" s="13" t="n">
        <f aca="false">Q23+Q37+Q51+Q65+Q79+Q92</f>
        <v>22.098102760691</v>
      </c>
      <c r="R111" s="13" t="n">
        <f aca="false">R23+R37+R51+R65+R79+R92</f>
        <v>21.9121372342561</v>
      </c>
      <c r="S111" s="13" t="n">
        <f aca="false">S23+S37+S51+S65+S79+S92</f>
        <v>21.0142318803756</v>
      </c>
      <c r="T111" s="13" t="n">
        <f aca="false">T23+T37+T51+T65+T79+T92</f>
        <v>20.7588420481003</v>
      </c>
      <c r="U111" s="13" t="n">
        <f aca="false">U23+U37+U51+U65+U79+U92</f>
        <v>19.9046803351907</v>
      </c>
      <c r="V111" s="13" t="n">
        <f aca="false">V23+V37+V51+V65+V79+V92</f>
        <v>19.4651926853167</v>
      </c>
      <c r="W111" s="13" t="n">
        <f aca="false">W23+W37+W51+W65+W79+W92</f>
        <v>18.4514958748801</v>
      </c>
      <c r="X111" s="13" t="n">
        <f aca="false">X23+X37+X51+X65+X79+X92</f>
        <v>18.0250028488402</v>
      </c>
      <c r="Y111" s="13" t="n">
        <f aca="false">Y23+Y37+Y51+Y65+Y79+Y92</f>
        <v>17.6045144298762</v>
      </c>
      <c r="Z111" s="13" t="n">
        <f aca="false">Z23+Z37+Z51+Z65+Z79+Z92</f>
        <v>17.1691447316622</v>
      </c>
      <c r="AA111" s="13" t="n">
        <f aca="false">AA23+AA37+AA51+AA65+AA79+AA92</f>
        <v>16.1400878585623</v>
      </c>
      <c r="AB111" s="13" t="n">
        <f aca="false">AB23+AB37+AB51+AB65+AB79+AB92</f>
        <v>15.4275365287598</v>
      </c>
      <c r="AC111" s="13" t="n">
        <f aca="false">AC23+AC37+AC51+AC65+AC79+AC92</f>
        <v>14.2221295367435</v>
      </c>
      <c r="AD111" s="13" t="n">
        <f aca="false">AD23+AD37+AD51+AD65+AD79+AD92</f>
        <v>13.3341433092004</v>
      </c>
      <c r="AE111" s="13" t="n">
        <f aca="false">AE23+AE37+AE51+AE65+AE79+AE92</f>
        <v>11.9640805855984</v>
      </c>
      <c r="AF111" s="13" t="n">
        <f aca="false">AF23+AF37+AF51+AF65+AF79+AF92</f>
        <v>10.9459263313263</v>
      </c>
      <c r="AG111" s="13" t="n">
        <f aca="false">AG23+AG37+AG51+AG65+AG79+AG92</f>
        <v>9.80453507400389</v>
      </c>
      <c r="AH111" s="13" t="n">
        <f aca="false">AH23+AH37+AH51+AH65+AH79+AH92</f>
        <v>8.6605171383775</v>
      </c>
      <c r="AI111" s="13" t="n">
        <f aca="false">AI23+AI37+AI51+AI65+AI79+AI92</f>
        <v>7.16522935625362</v>
      </c>
      <c r="AJ111" s="13" t="n">
        <f aca="false">AJ23+AJ37+AJ51+AJ65+AJ79+AJ92</f>
        <v>5.90099257572281</v>
      </c>
      <c r="AK111" s="13" t="n">
        <f aca="false">AK23+AK37+AK51+AK65+AK79+AK92</f>
        <v>4.41508337511093</v>
      </c>
      <c r="AL111" s="13" t="n">
        <f aca="false">AL23+AL37+AL51+AL65+AL79+AL92</f>
        <v>3.03141970996542</v>
      </c>
      <c r="AM111" s="13" t="n">
        <f aca="false">AM23+AM37+AM51+AM65+AM79+AM92</f>
        <v>1.78160275408507</v>
      </c>
      <c r="AN111" s="13" t="n">
        <f aca="false">AN23+AN37+AN51+AN65+AN79+AN92</f>
        <v>1.14444955835796</v>
      </c>
      <c r="AO111" s="13" t="n">
        <f aca="false">AO23+AO37+AO51+AO65+AO79+AO92</f>
        <v>0.557242770523466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355.244707580791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23.7521442301501</v>
      </c>
      <c r="Q112" s="13" t="n">
        <f aca="false">Q111+Q107+Q108+Q109</f>
        <v>22.975149569637</v>
      </c>
      <c r="R112" s="13" t="n">
        <f aca="false">R111+R107+R108+R109</f>
        <v>22.670991453548</v>
      </c>
      <c r="S112" s="13" t="n">
        <f aca="false">S111+S107+S108+S109</f>
        <v>21.8349289807545</v>
      </c>
      <c r="T112" s="13" t="n">
        <f aca="false">T111+T107+T108+T109</f>
        <v>21.4649637106764</v>
      </c>
      <c r="U112" s="13" t="n">
        <f aca="false">U111+U107+U108+U109</f>
        <v>20.6569406907631</v>
      </c>
      <c r="V112" s="13" t="n">
        <f aca="false">V111+V107+V108+V109</f>
        <v>20.1376202566208</v>
      </c>
      <c r="W112" s="13" t="n">
        <f aca="false">W111+W107+W108+W109</f>
        <v>19.190713419594</v>
      </c>
      <c r="X112" s="13" t="n">
        <f aca="false">X111+X107+X108+X109</f>
        <v>18.656206134352</v>
      </c>
      <c r="Y112" s="13" t="n">
        <f aca="false">Y111+Y107+Y108+Y109</f>
        <v>18.2954273582939</v>
      </c>
      <c r="Z112" s="13" t="n">
        <f aca="false">Z111+Z107+Z108+Z109</f>
        <v>17.7605094093455</v>
      </c>
      <c r="AA112" s="13" t="n">
        <f aca="false">AA111+AA107+AA108+AA109</f>
        <v>16.78241883417</v>
      </c>
      <c r="AB112" s="13" t="n">
        <f aca="false">AB111+AB107+AB108+AB109</f>
        <v>15.9515038468432</v>
      </c>
      <c r="AC112" s="13" t="n">
        <f aca="false">AC111+AC107+AC108+AC109</f>
        <v>14.7388942989516</v>
      </c>
      <c r="AD112" s="13" t="n">
        <f aca="false">AD111+AD107+AD108+AD109</f>
        <v>13.758806555054</v>
      </c>
      <c r="AE112" s="13" t="n">
        <f aca="false">AE111+AE107+AE108+AE109</f>
        <v>12.3899044362931</v>
      </c>
      <c r="AF112" s="13" t="n">
        <f aca="false">AF111+AF107+AF108+AF109</f>
        <v>11.254443431483</v>
      </c>
      <c r="AG112" s="13" t="n">
        <f aca="false">AG111+AG107+AG108+AG109</f>
        <v>10.1013364174708</v>
      </c>
      <c r="AH112" s="13" t="n">
        <f aca="false">AH111+AH107+AH108+AH109</f>
        <v>8.84747045407314</v>
      </c>
      <c r="AI112" s="13" t="n">
        <f aca="false">AI111+AI107+AI108+AI109</f>
        <v>7.32954996008202</v>
      </c>
      <c r="AJ112" s="13" t="n">
        <f aca="false">AJ111+AJ107+AJ108+AJ109</f>
        <v>5.96241307528269</v>
      </c>
      <c r="AK112" s="13" t="n">
        <f aca="false">AK111+AK107+AK108+AK109</f>
        <v>4.43370939069273</v>
      </c>
      <c r="AL112" s="13" t="n">
        <f aca="false">AL111+AL107+AL108+AL109</f>
        <v>2.96916099690193</v>
      </c>
      <c r="AM112" s="13" t="n">
        <f aca="false">AM111+AM107+AM108+AM109</f>
        <v>1.70873166372147</v>
      </c>
      <c r="AN112" s="13" t="n">
        <f aca="false">AN111+AN107+AN108+AN109</f>
        <v>1.08616117388877</v>
      </c>
      <c r="AO112" s="13" t="n">
        <f aca="false">AO111+AO107+AO108+AO109</f>
        <v>0.534607832147012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601.008709590468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17.0876187276197</v>
      </c>
      <c r="Q113" s="13" t="n">
        <f aca="false">Q27+Q41+Q55+Q69+Q83+Q93</f>
        <v>17.7586851362925</v>
      </c>
      <c r="R113" s="13" t="n">
        <f aca="false">R27+R41+R55+R69+R83+R93</f>
        <v>18.5857944797119</v>
      </c>
      <c r="S113" s="13" t="n">
        <f aca="false">S27+S41+S55+S69+S83+S93</f>
        <v>19.0919195436437</v>
      </c>
      <c r="T113" s="13" t="n">
        <f aca="false">T27+T41+T55+T69+T83+T93</f>
        <v>19.9294362524556</v>
      </c>
      <c r="U113" s="13" t="n">
        <f aca="false">U27+U41+U55+U69+U83+U93</f>
        <v>20.5308870708593</v>
      </c>
      <c r="V113" s="13" t="n">
        <f aca="false">V27+V41+V55+V69+V83+V93</f>
        <v>21.841130832915</v>
      </c>
      <c r="W113" s="13" t="n">
        <f aca="false">W27+W41+W55+W69+W83+W93</f>
        <v>22.4862975232823</v>
      </c>
      <c r="X113" s="13" t="n">
        <f aca="false">X27+X41+X55+X69+X83+X93</f>
        <v>21.8282061699169</v>
      </c>
      <c r="Y113" s="13" t="n">
        <f aca="false">Y27+Y41+Y55+Y69+Y83+Y93</f>
        <v>21.7876121192402</v>
      </c>
      <c r="Z113" s="13" t="n">
        <f aca="false">Z27+Z41+Z55+Z69+Z83+Z93</f>
        <v>22.6595252999162</v>
      </c>
      <c r="AA113" s="13" t="n">
        <f aca="false">AA27+AA41+AA55+AA69+AA83+AA93</f>
        <v>23.3019470817674</v>
      </c>
      <c r="AB113" s="13" t="n">
        <f aca="false">AB27+AB41+AB55+AB69+AB83+AB93</f>
        <v>24.1761249205866</v>
      </c>
      <c r="AC113" s="13" t="n">
        <f aca="false">AC27+AC41+AC55+AC69+AC83+AC93</f>
        <v>24.6792039692426</v>
      </c>
      <c r="AD113" s="13" t="n">
        <f aca="false">AD27+AD41+AD55+AD69+AD83+AD93</f>
        <v>26.6260487329043</v>
      </c>
      <c r="AE113" s="13" t="n">
        <f aca="false">AE27+AE41+AE55+AE69+AE83+AE93</f>
        <v>27.3308047604707</v>
      </c>
      <c r="AF113" s="13" t="n">
        <f aca="false">AF27+AF41+AF55+AF69+AF83+AF93</f>
        <v>27.7430819322007</v>
      </c>
      <c r="AG113" s="13" t="n">
        <f aca="false">AG27+AG41+AG55+AG69+AG83+AG93</f>
        <v>27.5715016444484</v>
      </c>
      <c r="AH113" s="13" t="n">
        <f aca="false">AH27+AH41+AH55+AH69+AH83+AH93</f>
        <v>28.1215127111128</v>
      </c>
      <c r="AI113" s="13" t="n">
        <f aca="false">AI27+AI41+AI55+AI69+AI83+AI93</f>
        <v>27.849477828167</v>
      </c>
      <c r="AJ113" s="13" t="n">
        <f aca="false">AJ27+AJ41+AJ55+AJ69+AJ83+AJ93</f>
        <v>27.7237217109956</v>
      </c>
      <c r="AK113" s="13" t="n">
        <f aca="false">AK27+AK41+AK55+AK69+AK83+AK93</f>
        <v>26.5264803850498</v>
      </c>
      <c r="AL113" s="13" t="n">
        <f aca="false">AL27+AL41+AL55+AL69+AL83+AL93</f>
        <v>24.8902503514985</v>
      </c>
      <c r="AM113" s="13" t="n">
        <f aca="false">AM27+AM41+AM55+AM69+AM83+AM93</f>
        <v>22.1349380114921</v>
      </c>
      <c r="AN113" s="13" t="n">
        <f aca="false">AN27+AN41+AN55+AN69+AN83+AN93</f>
        <v>19.5412468303371</v>
      </c>
      <c r="AO113" s="13" t="n">
        <f aca="false">AO27+AO41+AO55+AO69+AO83+AO93</f>
        <v>19.2052555643415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956.253417171259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40.8397629577698</v>
      </c>
      <c r="Q114" s="13" t="n">
        <f aca="false">Q112+Q113</f>
        <v>40.7338347059295</v>
      </c>
      <c r="R114" s="13" t="n">
        <f aca="false">R112+R113</f>
        <v>41.2567859332599</v>
      </c>
      <c r="S114" s="13" t="n">
        <f aca="false">S112+S113</f>
        <v>40.9268485243983</v>
      </c>
      <c r="T114" s="13" t="n">
        <f aca="false">T112+T113</f>
        <v>41.394399963132</v>
      </c>
      <c r="U114" s="13" t="n">
        <f aca="false">U112+U113</f>
        <v>41.1878277616224</v>
      </c>
      <c r="V114" s="13" t="n">
        <f aca="false">V112+V113</f>
        <v>41.9787510895358</v>
      </c>
      <c r="W114" s="13" t="n">
        <f aca="false">W112+W113</f>
        <v>41.6770109428763</v>
      </c>
      <c r="X114" s="13" t="n">
        <f aca="false">X112+X113</f>
        <v>40.4844123042689</v>
      </c>
      <c r="Y114" s="13" t="n">
        <f aca="false">Y112+Y113</f>
        <v>40.0830394775341</v>
      </c>
      <c r="Z114" s="13" t="n">
        <f aca="false">Z112+Z113</f>
        <v>40.4200347092617</v>
      </c>
      <c r="AA114" s="13" t="n">
        <f aca="false">AA112+AA113</f>
        <v>40.0843659159373</v>
      </c>
      <c r="AB114" s="13" t="n">
        <f aca="false">AB112+AB113</f>
        <v>40.1276287674298</v>
      </c>
      <c r="AC114" s="13" t="n">
        <f aca="false">AC112+AC113</f>
        <v>39.4180982681942</v>
      </c>
      <c r="AD114" s="13" t="n">
        <f aca="false">AD112+AD113</f>
        <v>40.3848552879583</v>
      </c>
      <c r="AE114" s="13" t="n">
        <f aca="false">AE112+AE113</f>
        <v>39.7207091967638</v>
      </c>
      <c r="AF114" s="13" t="n">
        <f aca="false">AF112+AF113</f>
        <v>38.9975253636837</v>
      </c>
      <c r="AG114" s="13" t="n">
        <f aca="false">AG112+AG113</f>
        <v>37.6728380619192</v>
      </c>
      <c r="AH114" s="13" t="n">
        <f aca="false">AH112+AH113</f>
        <v>36.9689831651859</v>
      </c>
      <c r="AI114" s="13" t="n">
        <f aca="false">AI112+AI113</f>
        <v>35.179027788249</v>
      </c>
      <c r="AJ114" s="13" t="n">
        <f aca="false">AJ112+AJ113</f>
        <v>33.6861347862783</v>
      </c>
      <c r="AK114" s="13" t="n">
        <f aca="false">AK112+AK113</f>
        <v>30.9601897757425</v>
      </c>
      <c r="AL114" s="13" t="n">
        <f aca="false">AL112+AL113</f>
        <v>27.8594113484004</v>
      </c>
      <c r="AM114" s="13" t="n">
        <f aca="false">AM112+AM113</f>
        <v>23.8436696752136</v>
      </c>
      <c r="AN114" s="13" t="n">
        <f aca="false">AN112+AN113</f>
        <v>20.6274080042259</v>
      </c>
      <c r="AO114" s="13" t="n">
        <f aca="false">AO112+AO113</f>
        <v>19.7398633964885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689.875573432076</v>
      </c>
      <c r="Q115" s="13" t="n">
        <f aca="false">Q21+Q35+Q49+Q63+Q77+Q91</f>
        <v>672.787954704456</v>
      </c>
      <c r="R115" s="13" t="n">
        <f aca="false">R21+R35+R49+R63+R77+R91</f>
        <v>655.029269568164</v>
      </c>
      <c r="S115" s="13" t="n">
        <f aca="false">S21+S35+S49+S63+S77+S91</f>
        <v>636.443475088452</v>
      </c>
      <c r="T115" s="13" t="n">
        <f aca="false">T21+T35+T49+T63+T77+T91</f>
        <v>617.351555544808</v>
      </c>
      <c r="U115" s="13" t="n">
        <f aca="false">U21+U35+U49+U63+U77+U91</f>
        <v>597.422119292352</v>
      </c>
      <c r="V115" s="13" t="n">
        <f aca="false">V21+V35+V49+V63+V77+V91</f>
        <v>576.891232221493</v>
      </c>
      <c r="W115" s="13" t="n">
        <f aca="false">W21+W35+W49+W63+W77+W91</f>
        <v>555.050101388578</v>
      </c>
      <c r="X115" s="13" t="n">
        <f aca="false">X21+X35+X49+X63+X77+X91</f>
        <v>532.563803865296</v>
      </c>
      <c r="Y115" s="13" t="n">
        <f aca="false">Y21+Y35+Y49+Y63+Y77+Y91</f>
        <v>510.735597695379</v>
      </c>
      <c r="Z115" s="13" t="n">
        <f aca="false">Z21+Z35+Z49+Z63+Z77+Z91</f>
        <v>488.947985576139</v>
      </c>
      <c r="AA115" s="13" t="n">
        <f aca="false">AA21+AA35+AA49+AA63+AA77+AA91</f>
        <v>466.288460276223</v>
      </c>
      <c r="AB115" s="13" t="n">
        <f aca="false">AB21+AB35+AB49+AB63+AB77+AB91</f>
        <v>438.579988699282</v>
      </c>
      <c r="AC115" s="13" t="n">
        <f aca="false">AC21+AC35+AC49+AC63+AC77+AC91</f>
        <v>409.186653603198</v>
      </c>
      <c r="AD115" s="13" t="n">
        <f aca="false">AD21+AD35+AD49+AD63+AD77+AD91</f>
        <v>379.82355492752</v>
      </c>
      <c r="AE115" s="13" t="n">
        <f aca="false">AE21+AE35+AE49+AE63+AE77+AE91</f>
        <v>347.318969070227</v>
      </c>
      <c r="AF115" s="13" t="n">
        <f aca="false">AF21+AF35+AF49+AF63+AF77+AF91</f>
        <v>313.674641616524</v>
      </c>
      <c r="AG115" s="13" t="n">
        <f aca="false">AG21+AG35+AG49+AG63+AG77+AG91</f>
        <v>278.904776963596</v>
      </c>
      <c r="AH115" s="13" t="n">
        <f aca="false">AH21+AH35+AH49+AH63+AH77+AH91</f>
        <v>244.125986293897</v>
      </c>
      <c r="AI115" s="13" t="n">
        <f aca="false">AI21+AI35+AI49+AI63+AI77+AI91</f>
        <v>207.659190178317</v>
      </c>
      <c r="AJ115" s="13" t="n">
        <f aca="false">AJ21+AJ35+AJ49+AJ63+AJ77+AJ91</f>
        <v>170.935176920514</v>
      </c>
      <c r="AK115" s="13" t="n">
        <f aca="false">AK21+AK35+AK49+AK63+AK77+AK91</f>
        <v>132.847947037721</v>
      </c>
      <c r="AL115" s="13" t="n">
        <f aca="false">AL21+AL35+AL49+AL63+AL77+AL91</f>
        <v>94.7299832275301</v>
      </c>
      <c r="AM115" s="13" t="n">
        <f aca="false">AM21+AM35+AM49+AM63+AM77+AM91</f>
        <v>60.8814404061707</v>
      </c>
      <c r="AN115" s="13" t="n">
        <f aca="false">AN21+AN35+AN49+AN63+AN77+AN91</f>
        <v>38.7465023946786</v>
      </c>
      <c r="AO115" s="13" t="n">
        <f aca="false">AO21+AO35+AO49+AO63+AO77+AO91</f>
        <v>19.2052555643415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689.875573432076</v>
      </c>
      <c r="P116" s="13" t="n">
        <f aca="false">P33+P47+P61+P75+P89+P95</f>
        <v>672.787954704456</v>
      </c>
      <c r="Q116" s="13" t="n">
        <f aca="false">Q33+Q47+Q61+Q75+Q89+Q95</f>
        <v>655.029269568164</v>
      </c>
      <c r="R116" s="13" t="n">
        <f aca="false">R33+R47+R61+R75+R89+R95</f>
        <v>636.443475088452</v>
      </c>
      <c r="S116" s="13" t="n">
        <f aca="false">S33+S47+S61+S75+S89+S95</f>
        <v>617.351555544808</v>
      </c>
      <c r="T116" s="13" t="n">
        <f aca="false">T33+T47+T61+T75+T89+T95</f>
        <v>597.422119292352</v>
      </c>
      <c r="U116" s="13" t="n">
        <f aca="false">U33+U47+U61+U75+U89+U95</f>
        <v>576.891232221493</v>
      </c>
      <c r="V116" s="13" t="n">
        <f aca="false">V33+V47+V61+V75+V89+V95</f>
        <v>555.050101388578</v>
      </c>
      <c r="W116" s="13" t="n">
        <f aca="false">W33+W47+W61+W75+W89+W95</f>
        <v>532.563803865296</v>
      </c>
      <c r="X116" s="13" t="n">
        <f aca="false">X33+X47+X61+X75+X89+X95</f>
        <v>510.735597695379</v>
      </c>
      <c r="Y116" s="13" t="n">
        <f aca="false">Y33+Y47+Y61+Y75+Y89+Y95</f>
        <v>488.947985576139</v>
      </c>
      <c r="Z116" s="13" t="n">
        <f aca="false">Z33+Z47+Z61+Z75+Z89+Z95</f>
        <v>466.288460276223</v>
      </c>
      <c r="AA116" s="13" t="n">
        <f aca="false">AA33+AA47+AA61+AA75+AA89+AA95</f>
        <v>438.579988699282</v>
      </c>
      <c r="AB116" s="13" t="n">
        <f aca="false">AB33+AB47+AB61+AB75+AB89+AB95</f>
        <v>409.186653603198</v>
      </c>
      <c r="AC116" s="13" t="n">
        <f aca="false">AC33+AC47+AC61+AC75+AC89+AC95</f>
        <v>379.82355492752</v>
      </c>
      <c r="AD116" s="13" t="n">
        <f aca="false">AD33+AD47+AD61+AD75+AD89+AD95</f>
        <v>347.318969070227</v>
      </c>
      <c r="AE116" s="13" t="n">
        <f aca="false">AE33+AE47+AE61+AE75+AE89+AE95</f>
        <v>313.674641616524</v>
      </c>
      <c r="AF116" s="13" t="n">
        <f aca="false">AF33+AF47+AF61+AF75+AF89+AF95</f>
        <v>278.904776963596</v>
      </c>
      <c r="AG116" s="13" t="n">
        <f aca="false">AG33+AG47+AG61+AG75+AG89+AG95</f>
        <v>244.125986293897</v>
      </c>
      <c r="AH116" s="13" t="n">
        <f aca="false">AH33+AH47+AH61+AH75+AH89+AH95</f>
        <v>207.659190178317</v>
      </c>
      <c r="AI116" s="13" t="n">
        <f aca="false">AI33+AI47+AI61+AI75+AI89+AI95</f>
        <v>170.935176920514</v>
      </c>
      <c r="AJ116" s="13" t="n">
        <f aca="false">AJ33+AJ47+AJ61+AJ75+AJ89+AJ95</f>
        <v>132.847947037721</v>
      </c>
      <c r="AK116" s="13" t="n">
        <f aca="false">AK33+AK47+AK61+AK75+AK89+AK95</f>
        <v>94.7299832275301</v>
      </c>
      <c r="AL116" s="13" t="n">
        <f aca="false">AL33+AL47+AL61+AL75+AL89+AL95</f>
        <v>60.8814404061707</v>
      </c>
      <c r="AM116" s="13" t="n">
        <f aca="false">AM33+AM47+AM61+AM75+AM89+AM95</f>
        <v>38.7465023946786</v>
      </c>
      <c r="AN116" s="13" t="n">
        <f aca="false">AN33+AN47+AN61+AN75+AN89+AN95</f>
        <v>19.2052555643415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262.152717904189</v>
      </c>
      <c r="P118" s="13" t="n">
        <f aca="false">IF(Time!P34=1,P75,P73)</f>
        <v>257.197780670253</v>
      </c>
      <c r="Q118" s="13" t="n">
        <f aca="false">IF(Time!Q34=1,Q75,Q73)</f>
        <v>251.878550243038</v>
      </c>
      <c r="R118" s="13" t="n">
        <f aca="false">IF(Time!R34=1,R75,R73)</f>
        <v>246.110317600824</v>
      </c>
      <c r="S118" s="13" t="n">
        <f aca="false">IF(Time!S34=1,S75,S73)</f>
        <v>240.067331352476</v>
      </c>
      <c r="T118" s="13" t="n">
        <f aca="false">IF(Time!T34=1,T75,T73)</f>
        <v>233.569693176486</v>
      </c>
      <c r="U118" s="13" t="n">
        <f aca="false">IF(Time!U34=1,U75,U73)</f>
        <v>226.745553127649</v>
      </c>
      <c r="V118" s="13" t="n">
        <f aca="false">IF(Time!V34=1,V75,V73)</f>
        <v>219.210137893696</v>
      </c>
      <c r="W118" s="13" t="n">
        <f aca="false">IF(Time!W34=1,W75,W73)</f>
        <v>211.324489313544</v>
      </c>
      <c r="X118" s="13" t="n">
        <f aca="false">IF(Time!X34=1,X75,X73)</f>
        <v>203.796090325219</v>
      </c>
      <c r="Y118" s="13" t="n">
        <f aca="false">IF(Time!Y34=1,Y75,Y73)</f>
        <v>196.289728107261</v>
      </c>
      <c r="Z118" s="13" t="n">
        <f aca="false">IF(Time!Z34=1,Z75,Z73)</f>
        <v>188.310041591221</v>
      </c>
      <c r="AA118" s="13" t="n">
        <f aca="false">IF(Time!AA34=1,AA75,AA73)</f>
        <v>179.981611822177</v>
      </c>
      <c r="AB118" s="13" t="n">
        <f aca="false">IF(Time!AB34=1,AB75,AB73)</f>
        <v>166.871956785316</v>
      </c>
      <c r="AC118" s="13" t="n">
        <f aca="false">IF(Time!AC34=1,AC75,AC73)</f>
        <v>152.813807599766</v>
      </c>
      <c r="AD118" s="13" t="n">
        <f aca="false">IF(Time!AD34=1,AD75,AD73)</f>
        <v>138.404403326146</v>
      </c>
      <c r="AE118" s="13" t="n">
        <f aca="false">IF(Time!AE34=1,AE75,AE73)</f>
        <v>122.643126670014</v>
      </c>
      <c r="AF118" s="13" t="n">
        <f aca="false">IF(Time!AF34=1,AF75,AF73)</f>
        <v>106.497884404008</v>
      </c>
      <c r="AG118" s="13" t="n">
        <f aca="false">IF(Time!AG34=1,AG75,AG73)</f>
        <v>90.0591013154117</v>
      </c>
      <c r="AH118" s="13" t="n">
        <f aca="false">IF(Time!AH34=1,AH75,AH73)</f>
        <v>73.5946545272448</v>
      </c>
      <c r="AI118" s="13" t="n">
        <f aca="false">IF(Time!AI34=1,AI75,AI73)</f>
        <v>56.707958221653</v>
      </c>
      <c r="AJ118" s="13" t="n">
        <f aca="false">IF(Time!AJ34=1,AJ75,AJ73)</f>
        <v>40.1584488493634</v>
      </c>
      <c r="AK118" s="13" t="n">
        <f aca="false">IF(Time!AK34=1,AK75,AK73)</f>
        <v>23.8497565850437</v>
      </c>
      <c r="AL118" s="13" t="n">
        <f aca="false">IF(Time!AL34=1,AL75,AL73)</f>
        <v>8.95829246986084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12.6567756742957</v>
      </c>
      <c r="P119" s="13" t="n">
        <f aca="false">IF(AND(Time!P20&gt;=Time!$F$12,Time!Q20&gt;0),(IF(Time!P34=1,P33,P31)-P30)*Q147+IF(Time!Q46&gt;0,Time!Q45*P30/Time!Q46,0)+IF(Time!P34=1,P33,P31)*Q10,0)</f>
        <v>12.422514272043</v>
      </c>
      <c r="Q119" s="13" t="n">
        <f aca="false">IF(AND(Time!Q20&gt;=Time!$F$12,Time!R20&gt;0),(IF(Time!Q34=1,Q33,Q31)-Q30)*R147+IF(Time!R46&gt;0,Time!R45*Q30/Time!R46,0)+IF(Time!Q34=1,Q33,Q31)*R10,0)</f>
        <v>12.3150219286878</v>
      </c>
      <c r="R119" s="13" t="n">
        <f aca="false">IF(AND(Time!R20&gt;=Time!$F$12,Time!S20&gt;0),(IF(Time!R34=1,R33,R31)-R30)*S147+IF(Time!S46&gt;0,Time!S45*R30/Time!S46,0)+IF(Time!R34=1,R33,R31)*S10,0)</f>
        <v>12.0747263263072</v>
      </c>
      <c r="S119" s="13" t="n">
        <f aca="false">IF(AND(Time!S20&gt;=Time!$F$12,Time!T20&gt;0),(IF(Time!S34=1,S33,S31)-S30)*T147+IF(Time!T46&gt;0,Time!T45*S30/Time!T46,0)+IF(Time!S34=1,S33,S31)*T10,0)</f>
        <v>11.9610626921653</v>
      </c>
      <c r="T119" s="13" t="n">
        <f aca="false">IF(AND(Time!T20&gt;=Time!$F$12,Time!U20&gt;0),(IF(Time!T34=1,T33,T31)-T30)*U147+IF(Time!U46&gt;0,Time!U45*T30/Time!U46,0)+IF(Time!T34=1,T33,T31)*U10,0)</f>
        <v>11.7376889415908</v>
      </c>
      <c r="U119" s="13" t="n">
        <f aca="false">IF(AND(Time!U20&gt;=Time!$F$12,Time!V20&gt;0),(IF(Time!U34=1,U33,U31)-U30)*V147+IF(Time!V46&gt;0,Time!V45*U30/Time!V46,0)+IF(Time!U34=1,U33,U31)*V10,0)</f>
        <v>11.5973390629112</v>
      </c>
      <c r="V119" s="13" t="n">
        <f aca="false">IF(AND(Time!V20&gt;=Time!$F$12,Time!W20&gt;0),(IF(Time!V34=1,V33,V31)-V30)*W147+IF(Time!W46&gt;0,Time!W45*V30/Time!W46,0)+IF(Time!V34=1,V33,V31)*W10,0)</f>
        <v>11.3591396209269</v>
      </c>
      <c r="W119" s="13" t="n">
        <f aca="false">IF(AND(Time!W20&gt;=Time!$F$12,Time!X20&gt;0),(IF(Time!W34=1,W33,W31)-W30)*X147+IF(Time!X46&gt;0,Time!X45*W30/Time!X46,0)+IF(Time!W34=1,W33,W31)*X10,0)</f>
        <v>11.2336154336571</v>
      </c>
      <c r="X119" s="13" t="n">
        <f aca="false">IF(AND(Time!X20&gt;=Time!$F$12,Time!Y20&gt;0),(IF(Time!X34=1,X33,X31)-X30)*Y147+IF(Time!Y46&gt;0,Time!Y45*X30/Time!Y46,0)+IF(Time!X34=1,X33,X31)*Y10,0)</f>
        <v>11.0013462682367</v>
      </c>
      <c r="Y119" s="13" t="n">
        <f aca="false">IF(AND(Time!Y20&gt;=Time!$F$12,Time!Z20&gt;0),(IF(Time!Y34=1,Y33,Y31)-Y30)*Z147+IF(Time!Z46&gt;0,Time!Z45*Y30/Time!Z46,0)+IF(Time!Y34=1,Y33,Y31)*Z10,0)</f>
        <v>10.869891804403</v>
      </c>
      <c r="Z119" s="13" t="n">
        <f aca="false">IF(AND(Time!Z20&gt;=Time!$F$12,Time!AA20&gt;0),(IF(Time!Z34=1,Z33,Z31)-Z30)*AA147+IF(Time!AA46&gt;0,Time!AA45*Z30/Time!AA46,0)+IF(Time!Z34=1,Z33,Z31)*AA10,0)</f>
        <v>10.6435529155465</v>
      </c>
      <c r="AA119" s="13" t="n">
        <f aca="false">IF(AND(Time!AA20&gt;=Time!$F$12,Time!AB20&gt;0),(IF(Time!AA34=1,AA33,AA31)-AA30)*AB147+IF(Time!AB46&gt;0,Time!AB45*AA30/Time!AB46,0)+IF(Time!AA34=1,AA33,AA31)*AB10,0)</f>
        <v>10.5061681751489</v>
      </c>
      <c r="AB119" s="13" t="n">
        <f aca="false">IF(AND(Time!AB20&gt;=Time!$F$12,Time!AC20&gt;0),(IF(Time!AB34=1,AB33,AB31)-AB30)*AC147+IF(Time!AC46&gt;0,Time!AC45*AB30/Time!AC46,0)+IF(Time!AB34=1,AB33,AB31)*AC10,0)</f>
        <v>10.2986084954115</v>
      </c>
      <c r="AC119" s="13" t="n">
        <f aca="false">IF(AND(Time!AC20&gt;=Time!$F$12,Time!AD20&gt;0),(IF(Time!AC34=1,AC33,AC31)-AC30)*AD147+IF(Time!AD46&gt;0,Time!AD45*AC30/Time!AD46,0)+IF(Time!AC34=1,AC33,AC31)*AD10,0)</f>
        <v>10.1424445458948</v>
      </c>
      <c r="AD119" s="13" t="n">
        <f aca="false">IF(AND(Time!AD20&gt;=Time!$F$12,Time!AE20&gt;0),(IF(Time!AD34=1,AD33,AD31)-AD30)*AE147+IF(Time!AE46&gt;0,Time!AE45*AD30/Time!AE46,0)+IF(Time!AD34=1,AD33,AD31)*AE10,0)</f>
        <v>9.92796621016612</v>
      </c>
      <c r="AE119" s="13" t="n">
        <f aca="false">IF(AND(Time!AE20&gt;=Time!$F$12,Time!AF20&gt;0),(IF(Time!AE34=1,AE33,AE31)-AE30)*AF147+IF(Time!AF46&gt;0,Time!AF45*AE30/Time!AF46,0)+IF(Time!AE34=1,AE33,AE31)*AF10,0)</f>
        <v>9.77872091664066</v>
      </c>
      <c r="AF119" s="13" t="n">
        <f aca="false">IF(AND(Time!AF20&gt;=Time!$F$12,Time!AG20&gt;0),(IF(Time!AF34=1,AF33,AF31)-AF30)*AG147+IF(Time!AG46&gt;0,Time!AG45*AF30/Time!AG46,0)+IF(Time!AF34=1,AF33,AF31)*AG10,0)</f>
        <v>9.57017285747594</v>
      </c>
      <c r="AG119" s="13" t="n">
        <f aca="false">IF(AND(Time!AG20&gt;=Time!$F$12,Time!AH20&gt;0),(IF(Time!AG34=1,AG33,AG31)-AG30)*AH147+IF(Time!AH46&gt;0,Time!AH45*AG30/Time!AH46,0)+IF(Time!AG34=1,AG33,AG31)*AH10,0)</f>
        <v>9.41499728738655</v>
      </c>
      <c r="AH119" s="13" t="n">
        <f aca="false">IF(AND(Time!AH20&gt;=Time!$F$12,Time!AI20&gt;0),(IF(Time!AH34=1,AH33,AH31)-AH30)*AI147+IF(Time!AI46&gt;0,Time!AI45*AH30/Time!AI46,0)+IF(Time!AH34=1,AH33,AH31)*AI10,0)</f>
        <v>9.21237950478576</v>
      </c>
      <c r="AI119" s="13" t="n">
        <f aca="false">IF(AND(Time!AI20&gt;=Time!$F$12,Time!AJ20&gt;0),(IF(Time!AI34=1,AI33,AI31)-AI30)*AJ147+IF(Time!AJ46&gt;0,Time!AJ45*AI30/Time!AJ46,0)+IF(Time!AI34=1,AI33,AI31)*AJ10,0)</f>
        <v>9.05127365813244</v>
      </c>
      <c r="AJ119" s="13" t="n">
        <f aca="false">IF(AND(Time!AJ20&gt;=Time!$F$12,Time!AK20&gt;0),(IF(Time!AJ34=1,AJ33,AJ31)-AJ30)*AK147+IF(Time!AK46&gt;0,Time!AK45*AJ30/Time!AK46,0)+IF(Time!AJ34=1,AJ33,AJ31)*AK10,0)</f>
        <v>8.85952804923218</v>
      </c>
      <c r="AK119" s="13" t="n">
        <f aca="false">IF(AND(Time!AK20&gt;=Time!$F$12,Time!AL20&gt;0),(IF(Time!AK34=1,AK33,AK31)-AK30)*AL147+IF(Time!AL46&gt;0,Time!AL45*AK30/Time!AL46,0)+IF(Time!AK34=1,AK33,AK31)*AL10,0)</f>
        <v>8.68755002887833</v>
      </c>
      <c r="AL119" s="13" t="n">
        <f aca="false">IF(AND(Time!AL20&gt;=Time!$F$12,Time!AM20&gt;0),(IF(Time!AL34=1,AL33,AL31)-AL30)*AM147+IF(Time!AM46&gt;0,Time!AM45*AL30/Time!AM46,0)+IF(Time!AL34=1,AL33,AL31)*AM10,0)</f>
        <v>8.49679279940538</v>
      </c>
      <c r="AM119" s="13" t="n">
        <f aca="false">IF(AND(Time!AM20&gt;=Time!$F$12,Time!AN20&gt;0),(IF(Time!AM34=1,AM33,AM31)-AM30)*AN147+IF(Time!AN46&gt;0,Time!AN45*AM30/Time!AN46,0)+IF(Time!AM34=1,AM33,AM31)*AN10,0)</f>
        <v>8.32382639962422</v>
      </c>
      <c r="AN119" s="13" t="n">
        <f aca="false">IF(AND(Time!AN20&gt;=Time!$F$12,Time!AO20&gt;0),(IF(Time!AN34=1,AN33,AN31)-AN30)*AO147+IF(Time!AO46&gt;0,Time!AO45*AN30/Time!AO46,0)+IF(Time!AN34=1,AN33,AN31)*AO10,0)</f>
        <v>8.1389994467152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8.09704620706886</v>
      </c>
      <c r="P120" s="13" t="n">
        <f aca="false">IF(AND(Time!P20&gt;=Time!$F$12,Time!Q20&gt;0),(IF(Time!P34=1,P47,P45)-P44)*Q19+IF(Time!Q46&gt;0,Time!Q45*P44/Time!Q46,0)+IF(Time!P34=1,P47,P45)*Q11,0)</f>
        <v>8.14046978196343</v>
      </c>
      <c r="Q120" s="13" t="n">
        <f aca="false">IF(AND(Time!Q20&gt;=Time!$F$12,Time!R20&gt;0),(IF(Time!Q34=1,Q47,Q45)-Q44)*R19+IF(Time!R46&gt;0,Time!R45*Q44/Time!R46,0)+IF(Time!Q34=1,Q47,Q45)*R11,0)</f>
        <v>8.37789897893874</v>
      </c>
      <c r="R120" s="13" t="n">
        <f aca="false">IF(AND(Time!R20&gt;=Time!$F$12,Time!S20&gt;0),(IF(Time!R34=1,R47,R45)-R44)*S19+IF(Time!S46&gt;0,Time!S45*R44/Time!S46,0)+IF(Time!R34=1,R47,R45)*S11,0)</f>
        <v>8.34848063305521</v>
      </c>
      <c r="S120" s="13" t="n">
        <f aca="false">IF(AND(Time!S20&gt;=Time!$F$12,Time!T20&gt;0),(IF(Time!S34=1,S47,S45)-S44)*T19+IF(Time!T46&gt;0,Time!T45*S44/Time!T46,0)+IF(Time!S34=1,S47,S45)*T11,0)</f>
        <v>8.57102708216727</v>
      </c>
      <c r="T120" s="13" t="n">
        <f aca="false">IF(AND(Time!T20&gt;=Time!$F$12,Time!U20&gt;0),(IF(Time!T34=1,T47,T45)-T44)*U19+IF(Time!U46&gt;0,Time!U45*T44/Time!U46,0)+IF(Time!T34=1,T47,T45)*U11,0)</f>
        <v>8.57902871139573</v>
      </c>
      <c r="U120" s="13" t="n">
        <f aca="false">IF(AND(Time!U20&gt;=Time!$F$12,Time!V20&gt;0),(IF(Time!U34=1,U47,U45)-U44)*V19+IF(Time!V46&gt;0,Time!V45*U44/Time!V46,0)+IF(Time!U34=1,U47,U45)*V11,0)</f>
        <v>8.90497198752326</v>
      </c>
      <c r="V120" s="13" t="n">
        <f aca="false">IF(AND(Time!V20&gt;=Time!$F$12,Time!W20&gt;0),(IF(Time!V34=1,V47,V45)-V44)*W19+IF(Time!W46&gt;0,Time!W45*V44/Time!W46,0)+IF(Time!V34=1,V47,V45)*W11,0)</f>
        <v>8.88518367122675</v>
      </c>
      <c r="W120" s="13" t="n">
        <f aca="false">IF(AND(Time!W20&gt;=Time!$F$12,Time!X20&gt;0),(IF(Time!W34=1,W47,W45)-W44)*X19+IF(Time!X46&gt;0,Time!X45*W44/Time!X46,0)+IF(Time!W34=1,W47,W45)*X11,0)</f>
        <v>8.5919818533712</v>
      </c>
      <c r="X120" s="13" t="n">
        <f aca="false">IF(AND(Time!X20&gt;=Time!$F$12,Time!Y20&gt;0),(IF(Time!X34=1,X47,X45)-X44)*Y19+IF(Time!Y46&gt;0,Time!Y45*X44/Time!Y46,0)+IF(Time!X34=1,X47,X45)*Y11,0)</f>
        <v>8.36184386773586</v>
      </c>
      <c r="Y120" s="13" t="n">
        <f aca="false">IF(AND(Time!Y20&gt;=Time!$F$12,Time!Z20&gt;0),(IF(Time!Y34=1,Y47,Y45)-Y44)*Z19+IF(Time!Z46&gt;0,Time!Z45*Y44/Time!Z46,0)+IF(Time!Y34=1,Y47,Y45)*Z11,0)</f>
        <v>8.55206423091629</v>
      </c>
      <c r="Z120" s="13" t="n">
        <f aca="false">IF(AND(Time!Z20&gt;=Time!$F$12,Time!AA20&gt;0),(IF(Time!Z34=1,Z47,Z45)-Z44)*AA19+IF(Time!AA46&gt;0,Time!AA45*Z44/Time!AA46,0)+IF(Time!Z34=1,Z47,Z45)*AA11,0)</f>
        <v>8.53260587843932</v>
      </c>
      <c r="AA120" s="13" t="n">
        <f aca="false">IF(AND(Time!AA20&gt;=Time!$F$12,Time!AB20&gt;0),(IF(Time!AA34=1,AA47,AA45)-AA44)*AB19+IF(Time!AB46&gt;0,Time!AB45*AA44/Time!AB46,0)+IF(Time!AA34=1,AA47,AA45)*AB11,0)</f>
        <v>8.77066040244406</v>
      </c>
      <c r="AB120" s="13" t="n">
        <f aca="false">IF(AND(Time!AB20&gt;=Time!$F$12,Time!AC20&gt;0),(IF(Time!AB34=1,AB47,AB45)-AB44)*AC19+IF(Time!AC46&gt;0,Time!AC45*AB44/Time!AC46,0)+IF(Time!AB34=1,AB47,AB45)*AC11,0)</f>
        <v>8.80581146276663</v>
      </c>
      <c r="AC120" s="13" t="n">
        <f aca="false">IF(AND(Time!AC20&gt;=Time!$F$12,Time!AD20&gt;0),(IF(Time!AC34=1,AC47,AC45)-AC44)*AD19+IF(Time!AD46&gt;0,Time!AD45*AC44/Time!AD46,0)+IF(Time!AC34=1,AC47,AC45)*AD11,0)</f>
        <v>9.38595923706849</v>
      </c>
      <c r="AD120" s="13" t="n">
        <f aca="false">IF(AND(Time!AD20&gt;=Time!$F$12,Time!AE20&gt;0),(IF(Time!AD34=1,AD47,AD45)-AD44)*AE19+IF(Time!AE46&gt;0,Time!AE45*AD44/Time!AE46,0)+IF(Time!AD34=1,AD47,AD45)*AE11,0)</f>
        <v>9.50035033967368</v>
      </c>
      <c r="AE120" s="13" t="n">
        <f aca="false">IF(AND(Time!AE20&gt;=Time!$F$12,Time!AF20&gt;0),(IF(Time!AE34=1,AE47,AE45)-AE44)*AF19+IF(Time!AF46&gt;0,Time!AF45*AE44/Time!AF46,0)+IF(Time!AE34=1,AE47,AE45)*AF11,0)</f>
        <v>9.64250649051167</v>
      </c>
      <c r="AF120" s="13" t="n">
        <f aca="false">IF(AND(Time!AF20&gt;=Time!$F$12,Time!AG20&gt;0),(IF(Time!AF34=1,AF47,AF45)-AF44)*AG19+IF(Time!AG46&gt;0,Time!AG45*AF44/Time!AG46,0)+IF(Time!AF34=1,AF47,AF45)*AG11,0)</f>
        <v>9.53456221506661</v>
      </c>
      <c r="AG120" s="13" t="n">
        <f aca="false">IF(AND(Time!AG20&gt;=Time!$F$12,Time!AH20&gt;0),(IF(Time!AG34=1,AG47,AG45)-AG44)*AH19+IF(Time!AH46&gt;0,Time!AH45*AG44/Time!AH46,0)+IF(Time!AG34=1,AG47,AG45)*AH11,0)</f>
        <v>9.81832433012228</v>
      </c>
      <c r="AH120" s="13" t="n">
        <f aca="false">IF(AND(Time!AH20&gt;=Time!$F$12,Time!AI20&gt;0),(IF(Time!AH34=1,AH47,AH45)-AH44)*AI19+IF(Time!AI46&gt;0,Time!AI45*AH44/Time!AI46,0)+IF(Time!AH34=1,AH47,AH45)*AI11,0)</f>
        <v>9.83034975110451</v>
      </c>
      <c r="AI120" s="13" t="n">
        <f aca="false">IF(AND(Time!AI20&gt;=Time!$F$12,Time!AJ20&gt;0),(IF(Time!AI34=1,AI47,AI45)-AI44)*AJ19+IF(Time!AJ46&gt;0,Time!AJ45*AI44/Time!AJ46,0)+IF(Time!AI34=1,AI47,AI45)*AJ11,0)</f>
        <v>10.1032358490516</v>
      </c>
      <c r="AJ120" s="13" t="n">
        <f aca="false">IF(AND(Time!AJ20&gt;=Time!$F$12,Time!AK20&gt;0),(IF(Time!AJ34=1,AJ47,AJ45)-AJ44)*AK19+IF(Time!AK46&gt;0,Time!AK45*AJ44/Time!AK46,0)+IF(Time!AJ34=1,AJ47,AJ45)*AK11,0)</f>
        <v>10.1654302466759</v>
      </c>
      <c r="AK120" s="13" t="n">
        <f aca="false">IF(AND(Time!AK20&gt;=Time!$F$12,Time!AL20&gt;0),(IF(Time!AK34=1,AK47,AK45)-AK44)*AL19+IF(Time!AL46&gt;0,Time!AL45*AK44/Time!AL46,0)+IF(Time!AK34=1,AK47,AK45)*AL11,0)</f>
        <v>10.5752091156287</v>
      </c>
      <c r="AL120" s="13" t="n">
        <f aca="false">IF(AND(Time!AL20&gt;=Time!$F$12,Time!AM20&gt;0),(IF(Time!AL34=1,AL47,AL45)-AL44)*AM19+IF(Time!AM46&gt;0,Time!AM45*AL44/Time!AM46,0)+IF(Time!AL34=1,AL47,AL45)*AM11,0)</f>
        <v>10.6110687588071</v>
      </c>
      <c r="AM120" s="13" t="n">
        <f aca="false">IF(AND(Time!AM20&gt;=Time!$F$12,Time!AN20&gt;0),(IF(Time!AM34=1,AM47,AM45)-AM44)*AN19+IF(Time!AN46&gt;0,Time!AN45*AM44/Time!AN46,0)+IF(Time!AM34=1,AM47,AM45)*AN11,0)</f>
        <v>8.50505195114945</v>
      </c>
      <c r="AN120" s="13" t="n">
        <f aca="false">IF(AND(Time!AN20&gt;=Time!$F$12,Time!AO20&gt;0),(IF(Time!AN34=1,AN47,AN45)-AN44)*AO19+IF(Time!AO46&gt;0,Time!AO45*AN44/Time!AO46,0)+IF(Time!AN34=1,AN47,AN45)*AO11,0)</f>
        <v>7.99419220153349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3.59232478095134</v>
      </c>
      <c r="P121" s="13" t="n">
        <f aca="false">IF(AND(Time!P20&gt;=Time!$F$12,Time!Q20&gt;0),(IF(Time!P34=1,P61,P59)-P58)*Q19+IF(Time!Q46&gt;0,Time!Q45*P58/Time!Q46,0)+IF(Time!P34=1,P61,P59)*Q12,0)</f>
        <v>3.61513897895692</v>
      </c>
      <c r="Q121" s="13" t="n">
        <f aca="false">IF(AND(Time!Q20&gt;=Time!$F$12,Time!R20&gt;0),(IF(Time!Q34=1,Q61,Q59)-Q58)*R19+IF(Time!R46&gt;0,Time!R45*Q58/Time!R46,0)+IF(Time!Q34=1,Q61,Q59)*R12,0)</f>
        <v>3.72343989578092</v>
      </c>
      <c r="R121" s="13" t="n">
        <f aca="false">IF(AND(Time!R20&gt;=Time!$F$12,Time!S20&gt;0),(IF(Time!R34=1,R61,R59)-R58)*S19+IF(Time!S46&gt;0,Time!S45*R58/Time!S46,0)+IF(Time!R34=1,R61,R59)*S12,0)</f>
        <v>3.71335681979263</v>
      </c>
      <c r="S121" s="13" t="n">
        <f aca="false">IF(AND(Time!S20&gt;=Time!$F$12,Time!T20&gt;0),(IF(Time!S34=1,S61,S59)-S58)*T19+IF(Time!T46&gt;0,Time!T45*S58/Time!T46,0)+IF(Time!S34=1,S61,S59)*T12,0)</f>
        <v>3.8151970059397</v>
      </c>
      <c r="T121" s="13" t="n">
        <f aca="false">IF(AND(Time!T20&gt;=Time!$F$12,Time!U20&gt;0),(IF(Time!T34=1,T61,T59)-T58)*U19+IF(Time!U46&gt;0,Time!U45*T58/Time!U46,0)+IF(Time!T34=1,T61,T59)*U12,0)</f>
        <v>3.82187267886753</v>
      </c>
      <c r="U121" s="13" t="n">
        <f aca="false">IF(AND(Time!U20&gt;=Time!$F$12,Time!V20&gt;0),(IF(Time!U34=1,U61,U59)-U58)*V19+IF(Time!V46&gt;0,Time!V45*U58/Time!V46,0)+IF(Time!U34=1,U61,U59)*V12,0)</f>
        <v>3.9714696900474</v>
      </c>
      <c r="V121" s="13" t="n">
        <f aca="false">IF(AND(Time!V20&gt;=Time!$F$12,Time!W20&gt;0),(IF(Time!V34=1,V61,V59)-V58)*W19+IF(Time!W46&gt;0,Time!W45*V58/Time!W46,0)+IF(Time!V34=1,V61,V59)*W12,0)</f>
        <v>3.9662106492441</v>
      </c>
      <c r="W121" s="13" t="n">
        <f aca="false">IF(AND(Time!W20&gt;=Time!$F$12,Time!X20&gt;0),(IF(Time!W34=1,W61,W59)-W58)*X19+IF(Time!X46&gt;0,Time!X45*W58/Time!X46,0)+IF(Time!W34=1,W61,W59)*X12,0)</f>
        <v>3.83438689268557</v>
      </c>
      <c r="X121" s="13" t="n">
        <f aca="false">IF(AND(Time!X20&gt;=Time!$F$12,Time!Y20&gt;0),(IF(Time!X34=1,X61,X59)-X58)*Y19+IF(Time!Y46&gt;0,Time!Y45*X58/Time!Y46,0)+IF(Time!X34=1,X61,X59)*Y12,0)</f>
        <v>3.73342749971555</v>
      </c>
      <c r="Y121" s="13" t="n">
        <f aca="false">IF(AND(Time!Y20&gt;=Time!$F$12,Time!Z20&gt;0),(IF(Time!Y34=1,Y61,Y59)-Y58)*Z19+IF(Time!Z46&gt;0,Time!Z45*Y58/Time!Z46,0)+IF(Time!Y34=1,Y61,Y59)*Z12,0)</f>
        <v>3.82129806720127</v>
      </c>
      <c r="Z121" s="13" t="n">
        <f aca="false">IF(AND(Time!Z20&gt;=Time!$F$12,Time!AA20&gt;0),(IF(Time!Z34=1,Z61,Z59)-Z58)*AA19+IF(Time!AA46&gt;0,Time!AA45*Z58/Time!AA46,0)+IF(Time!Z34=1,Z61,Z59)*AA12,0)</f>
        <v>3.81616899099579</v>
      </c>
      <c r="AA121" s="13" t="n">
        <f aca="false">IF(AND(Time!AA20&gt;=Time!$F$12,Time!AB20&gt;0),(IF(Time!AA34=1,AA61,AA59)-AA58)*AB19+IF(Time!AB46&gt;0,Time!AB45*AA58/Time!AB46,0)+IF(Time!AA34=1,AA61,AA59)*AB12,0)</f>
        <v>3.92614368666249</v>
      </c>
      <c r="AB121" s="13" t="n">
        <f aca="false">IF(AND(Time!AB20&gt;=Time!$F$12,Time!AC20&gt;0),(IF(Time!AB34=1,AB61,AB59)-AB58)*AC19+IF(Time!AC46&gt;0,Time!AC45*AB58/Time!AC46,0)+IF(Time!AB34=1,AB61,AB59)*AC12,0)</f>
        <v>3.94574660020424</v>
      </c>
      <c r="AC121" s="13" t="n">
        <f aca="false">IF(AND(Time!AC20&gt;=Time!$F$12,Time!AD20&gt;0),(IF(Time!AC34=1,AC61,AC59)-AC58)*AD19+IF(Time!AD46&gt;0,Time!AD45*AC58/Time!AD46,0)+IF(Time!AC34=1,AC61,AC59)*AD12,0)</f>
        <v>4.21197070841528</v>
      </c>
      <c r="AD121" s="13" t="n">
        <f aca="false">IF(AND(Time!AD20&gt;=Time!$F$12,Time!AE20&gt;0),(IF(Time!AD34=1,AD61,AD59)-AD58)*AE19+IF(Time!AE46&gt;0,Time!AE45*AD58/Time!AE46,0)+IF(Time!AD34=1,AD61,AD59)*AE12,0)</f>
        <v>4.26836496322028</v>
      </c>
      <c r="AE121" s="13" t="n">
        <f aca="false">IF(AND(Time!AE20&gt;=Time!$F$12,Time!AF20&gt;0),(IF(Time!AE34=1,AE61,AE59)-AE58)*AF19+IF(Time!AF46&gt;0,Time!AF45*AE58/Time!AF46,0)+IF(Time!AE34=1,AE61,AE59)*AF12,0)</f>
        <v>4.33594165838628</v>
      </c>
      <c r="AF121" s="13" t="n">
        <f aca="false">IF(AND(Time!AF20&gt;=Time!$F$12,Time!AG20&gt;0),(IF(Time!AF34=1,AF61,AF59)-AF58)*AG19+IF(Time!AG46&gt;0,Time!AG45*AF58/Time!AG46,0)+IF(Time!AF34=1,AF61,AF59)*AG12,0)</f>
        <v>4.29155144759561</v>
      </c>
      <c r="AG121" s="13" t="n">
        <f aca="false">IF(AND(Time!AG20&gt;=Time!$F$12,Time!AH20&gt;0),(IF(Time!AG34=1,AG61,AG59)-AG58)*AH19+IF(Time!AH46&gt;0,Time!AH45*AG58/Time!AH46,0)+IF(Time!AG34=1,AG61,AG59)*AH12,0)</f>
        <v>4.42390512793482</v>
      </c>
      <c r="AH121" s="13" t="n">
        <f aca="false">IF(AND(Time!AH20&gt;=Time!$F$12,Time!AI20&gt;0),(IF(Time!AH34=1,AH61,AH59)-AH58)*AI19+IF(Time!AI46&gt;0,Time!AI45*AH58/Time!AI46,0)+IF(Time!AH34=1,AH61,AH59)*AI12,0)</f>
        <v>4.43428973901434</v>
      </c>
      <c r="AI121" s="13" t="n">
        <f aca="false">IF(AND(Time!AI20&gt;=Time!$F$12,Time!AJ20&gt;0),(IF(Time!AI34=1,AI61,AI59)-AI58)*AJ19+IF(Time!AJ46&gt;0,Time!AJ45*AI58/Time!AJ46,0)+IF(Time!AI34=1,AI61,AI59)*AJ12,0)</f>
        <v>4.56229579661896</v>
      </c>
      <c r="AJ121" s="13" t="n">
        <f aca="false">IF(AND(Time!AJ20&gt;=Time!$F$12,Time!AK20&gt;0),(IF(Time!AJ34=1,AJ61,AJ59)-AJ58)*AK19+IF(Time!AK46&gt;0,Time!AK45*AJ58/Time!AK46,0)+IF(Time!AJ34=1,AJ61,AJ59)*AK12,0)</f>
        <v>4.59566757385175</v>
      </c>
      <c r="AK121" s="13" t="n">
        <f aca="false">IF(AND(Time!AK20&gt;=Time!$F$12,Time!AL20&gt;0),(IF(Time!AK34=1,AK61,AK59)-AK58)*AL19+IF(Time!AL46&gt;0,Time!AL45*AK58/Time!AL46,0)+IF(Time!AK34=1,AK61,AK59)*AL12,0)</f>
        <v>4.78669587540654</v>
      </c>
      <c r="AL121" s="13" t="n">
        <f aca="false">IF(AND(Time!AL20&gt;=Time!$F$12,Time!AM20&gt;0),(IF(Time!AL34=1,AL61,AL59)-AL58)*AM19+IF(Time!AM46&gt;0,Time!AM45*AL58/Time!AM46,0)+IF(Time!AL34=1,AL61,AL59)*AM12,0)</f>
        <v>4.80867920736471</v>
      </c>
      <c r="AM121" s="13" t="n">
        <f aca="false">IF(AND(Time!AM20&gt;=Time!$F$12,Time!AN20&gt;0),(IF(Time!AM34=1,AM61,AM59)-AM58)*AN19+IF(Time!AN46&gt;0,Time!AN45*AM58/Time!AN46,0)+IF(Time!AM34=1,AM61,AM59)*AN12,0)</f>
        <v>3.8568180379214</v>
      </c>
      <c r="AN121" s="13" t="n">
        <f aca="false">IF(AND(Time!AN20&gt;=Time!$F$12,Time!AO20&gt;0),(IF(Time!AN34=1,AN61,AN59)-AN58)*AO19+IF(Time!AO46&gt;0,Time!AO45*AN58/Time!AO46,0)+IF(Time!AN34=1,AN61,AN59)*AO12,0)</f>
        <v>3.62930668661624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15.6591829030258</v>
      </c>
      <c r="P122" s="13" t="n">
        <f aca="false">IF(AND(Time!P20&gt;=Time!$F$12,Time!Q20&gt;0),(IF(Time!P34=1,P75,P73)-P72)*Q19+IF(Time!Q46&gt;0,Time!Q45*P72/Time!Q46,0)+IF(Time!P34=1,P75,P73)*Q13,0)</f>
        <v>15.6786648640202</v>
      </c>
      <c r="Q122" s="13" t="n">
        <f aca="false">IF(AND(Time!Q20&gt;=Time!$F$12,Time!R20&gt;0),(IF(Time!Q34=1,Q75,Q73)-Q72)*R19+IF(Time!R46&gt;0,Time!R45*Q72/Time!R46,0)+IF(Time!Q34=1,Q75,Q73)*R13,0)</f>
        <v>16.0815709105605</v>
      </c>
      <c r="R122" s="13" t="n">
        <f aca="false">IF(AND(Time!R20&gt;=Time!$F$12,Time!S20&gt;0),(IF(Time!R34=1,R75,R73)-R72)*S19+IF(Time!S46&gt;0,Time!S45*R72/Time!S46,0)+IF(Time!R34=1,R75,R73)*S13,0)</f>
        <v>15.9695876448643</v>
      </c>
      <c r="S122" s="13" t="n">
        <f aca="false">IF(AND(Time!S20&gt;=Time!$F$12,Time!T20&gt;0),(IF(Time!S34=1,S75,S73)-S72)*T19+IF(Time!T46&gt;0,Time!T45*S72/Time!T46,0)+IF(Time!S34=1,S75,S73)*T13,0)</f>
        <v>16.3409915202836</v>
      </c>
      <c r="T122" s="13" t="n">
        <f aca="false">IF(AND(Time!T20&gt;=Time!$F$12,Time!U20&gt;0),(IF(Time!T34=1,T75,T73)-T72)*U19+IF(Time!U46&gt;0,Time!U45*T72/Time!U46,0)+IF(Time!T34=1,T75,T73)*U13,0)</f>
        <v>16.2969770741959</v>
      </c>
      <c r="U122" s="13" t="n">
        <f aca="false">IF(AND(Time!U20&gt;=Time!$F$12,Time!V20&gt;0),(IF(Time!U34=1,U75,U73)-U72)*V19+IF(Time!V46&gt;0,Time!V45*U72/Time!V46,0)+IF(Time!U34=1,U75,U73)*V13,0)</f>
        <v>16.8325427777498</v>
      </c>
      <c r="V122" s="13" t="n">
        <f aca="false">IF(AND(Time!V20&gt;=Time!$F$12,Time!W20&gt;0),(IF(Time!V34=1,V75,V73)-V72)*W19+IF(Time!W46&gt;0,Time!W45*V72/Time!W46,0)+IF(Time!V34=1,V75,V73)*W13,0)</f>
        <v>16.7272594567647</v>
      </c>
      <c r="W122" s="13" t="n">
        <f aca="false">IF(AND(Time!W20&gt;=Time!$F$12,Time!X20&gt;0),(IF(Time!W34=1,W75,W73)-W72)*X19+IF(Time!X46&gt;0,Time!X45*W72/Time!X46,0)+IF(Time!W34=1,W75,W73)*X13,0)</f>
        <v>16.1932248390432</v>
      </c>
      <c r="X122" s="13" t="n">
        <f aca="false">IF(AND(Time!X20&gt;=Time!$F$12,Time!Y20&gt;0),(IF(Time!X34=1,X75,X73)-X72)*Y19+IF(Time!Y46&gt;0,Time!Y45*X72/Time!Y46,0)+IF(Time!X34=1,X75,X73)*Y13,0)</f>
        <v>16.2955089134283</v>
      </c>
      <c r="Y122" s="13" t="n">
        <f aca="false">IF(AND(Time!Y20&gt;=Time!$F$12,Time!Z20&gt;0),(IF(Time!Y34=1,Y75,Y73)-Y72)*Z19+IF(Time!Z46&gt;0,Time!Z45*Y72/Time!Z46,0)+IF(Time!Y34=1,Y75,Y73)*Z13,0)</f>
        <v>16.5854159290579</v>
      </c>
      <c r="Z122" s="13" t="n">
        <f aca="false">IF(AND(Time!Z20&gt;=Time!$F$12,Time!AA20&gt;0),(IF(Time!Z34=1,Z75,Z73)-Z72)*AA19+IF(Time!AA46&gt;0,Time!AA45*Z72/Time!AA46,0)+IF(Time!Z34=1,Z75,Z73)*AA13,0)</f>
        <v>16.4497071553481</v>
      </c>
      <c r="AA122" s="13" t="n">
        <f aca="false">IF(AND(Time!AA20&gt;=Time!$F$12,Time!AB20&gt;0),(IF(Time!AA34=1,AA75,AA73)-AA72)*AB19+IF(Time!AB46&gt;0,Time!AB45*AA72/Time!AB46,0)+IF(Time!AA34=1,AA75,AA73)*AB13,0)</f>
        <v>16.8123081666452</v>
      </c>
      <c r="AB122" s="13" t="n">
        <f aca="false">IF(AND(Time!AB20&gt;=Time!$F$12,Time!AC20&gt;0),(IF(Time!AB34=1,AB75,AB73)-AB72)*AC19+IF(Time!AC46&gt;0,Time!AC45*AB72/Time!AC46,0)+IF(Time!AB34=1,AB75,AB73)*AC13,0)</f>
        <v>16.3627440662895</v>
      </c>
      <c r="AC122" s="13" t="n">
        <f aca="false">IF(AND(Time!AC20&gt;=Time!$F$12,Time!AD20&gt;0),(IF(Time!AC34=1,AC75,AC73)-AC72)*AD19+IF(Time!AD46&gt;0,Time!AD45*AC72/Time!AD46,0)+IF(Time!AC34=1,AC75,AC73)*AD13,0)</f>
        <v>16.7326911228581</v>
      </c>
      <c r="AD122" s="13" t="n">
        <f aca="false">IF(AND(Time!AD20&gt;=Time!$F$12,Time!AE20&gt;0),(IF(Time!AD34=1,AD75,AD73)-AD72)*AE19+IF(Time!AE46&gt;0,Time!AE45*AD72/Time!AE46,0)+IF(Time!AD34=1,AD75,AD73)*AE13,0)</f>
        <v>16.2901036329056</v>
      </c>
      <c r="AE122" s="13" t="n">
        <f aca="false">IF(AND(Time!AE20&gt;=Time!$F$12,Time!AF20&gt;0),(IF(Time!AE34=1,AE75,AE73)-AE72)*AF19+IF(Time!AF46&gt;0,Time!AF45*AE72/Time!AF46,0)+IF(Time!AE34=1,AE75,AE73)*AF13,0)</f>
        <v>15.742230555007</v>
      </c>
      <c r="AF122" s="13" t="n">
        <f aca="false">IF(AND(Time!AF20&gt;=Time!$F$12,Time!AG20&gt;0),(IF(Time!AF34=1,AF75,AF73)-AF72)*AG19+IF(Time!AG46&gt;0,Time!AG45*AF72/Time!AG46,0)+IF(Time!AF34=1,AF75,AF73)*AG13,0)</f>
        <v>14.9673000039489</v>
      </c>
      <c r="AG122" s="13" t="n">
        <f aca="false">IF(AND(Time!AG20&gt;=Time!$F$12,Time!AH20&gt;0),(IF(Time!AG34=1,AG75,AG73)-AG72)*AH19+IF(Time!AH46&gt;0,Time!AH45*AG72/Time!AH46,0)+IF(Time!AG34=1,AG75,AG73)*AH13,0)</f>
        <v>14.266531290258</v>
      </c>
      <c r="AH122" s="13" t="n">
        <f aca="false">IF(AND(Time!AH20&gt;=Time!$F$12,Time!AI20&gt;0),(IF(Time!AH34=1,AH75,AH73)-AH72)*AI19+IF(Time!AI46&gt;0,Time!AI45*AH72/Time!AI46,0)+IF(Time!AH34=1,AH75,AH73)*AI13,0)</f>
        <v>13.0133388527647</v>
      </c>
      <c r="AI122" s="13" t="n">
        <f aca="false">IF(AND(Time!AI20&gt;=Time!$F$12,Time!AJ20&gt;0),(IF(Time!AI34=1,AI75,AI73)-AI72)*AJ19+IF(Time!AJ46&gt;0,Time!AJ45*AI72/Time!AJ46,0)+IF(Time!AI34=1,AI75,AI73)*AJ13,0)</f>
        <v>11.7461234398821</v>
      </c>
      <c r="AJ122" s="13" t="n">
        <f aca="false">IF(AND(Time!AJ20&gt;=Time!$F$12,Time!AK20&gt;0),(IF(Time!AJ34=1,AJ75,AJ73)-AJ72)*AK19+IF(Time!AK46&gt;0,Time!AK45*AJ72/Time!AK46,0)+IF(Time!AJ34=1,AJ75,AJ73)*AK13,0)</f>
        <v>9.86736348907702</v>
      </c>
      <c r="AK122" s="13" t="n">
        <f aca="false">IF(AND(Time!AK20&gt;=Time!$F$12,Time!AL20&gt;0),(IF(Time!AK34=1,AK75,AK73)-AK72)*AL19+IF(Time!AL46&gt;0,Time!AL45*AK72/Time!AL46,0)+IF(Time!AK34=1,AK75,AK73)*AL13,0)</f>
        <v>7.53380064069781</v>
      </c>
      <c r="AL122" s="13" t="n">
        <f aca="false">IF(AND(Time!AL20&gt;=Time!$F$12,Time!AM20&gt;0),(IF(Time!AL34=1,AL75,AL73)-AL72)*AM19+IF(Time!AM46&gt;0,Time!AM45*AL72/Time!AM46,0)+IF(Time!AL34=1,AL75,AL73)*AM13,0)</f>
        <v>3.84321769248316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8.7743914217498E-015</v>
      </c>
      <c r="P123" s="13" t="n">
        <f aca="false">IF(AND(Time!P20&gt;=Time!$F$12,Time!Q20&gt;0),(IF(Time!P34=1,P89,P87)-P86)*Q19+IF(Time!Q46&gt;0,Time!Q45*P86/Time!Q46,0)+IF(Time!P34=1,P89,P87)*Q14,0)</f>
        <v>8.79109847373257E-015</v>
      </c>
      <c r="Q123" s="13" t="n">
        <f aca="false">IF(AND(Time!Q20&gt;=Time!$F$12,Time!R20&gt;0),(IF(Time!Q34=1,Q89,Q87)-Q86)*R19+IF(Time!R46&gt;0,Time!R45*Q86/Time!R46,0)+IF(Time!Q34=1,Q89,Q87)*R14,0)</f>
        <v>9.02222030126741E-015</v>
      </c>
      <c r="R123" s="13" t="n">
        <f aca="false">IF(AND(Time!R20&gt;=Time!$F$12,Time!S20&gt;0),(IF(Time!R34=1,R89,R87)-R86)*S19+IF(Time!S46&gt;0,Time!S45*R86/Time!S46,0)+IF(Time!R34=1,R89,R87)*S14,0)</f>
        <v>8.96456358640146E-015</v>
      </c>
      <c r="S123" s="13" t="n">
        <f aca="false">IF(AND(Time!S20&gt;=Time!$F$12,Time!T20&gt;0),(IF(Time!S34=1,S89,S87)-S86)*T19+IF(Time!T46&gt;0,Time!T45*S86/Time!T46,0)+IF(Time!S34=1,S89,S87)*T14,0)</f>
        <v>9.17829528860627E-015</v>
      </c>
      <c r="T123" s="13" t="n">
        <f aca="false">IF(AND(Time!T20&gt;=Time!$F$12,Time!U20&gt;0),(IF(Time!T34=1,T89,T87)-T86)*U19+IF(Time!U46&gt;0,Time!U45*T86/Time!U46,0)+IF(Time!T34=1,T89,T87)*U14,0)</f>
        <v>9.15931585469147E-015</v>
      </c>
      <c r="U123" s="13" t="n">
        <f aca="false">IF(AND(Time!U20&gt;=Time!$F$12,Time!V20&gt;0),(IF(Time!U34=1,U89,U87)-U86)*V19+IF(Time!V46&gt;0,Time!V45*U86/Time!V46,0)+IF(Time!U34=1,U89,U87)*V14,0)</f>
        <v>9.46844692595795E-015</v>
      </c>
      <c r="V123" s="13" t="n">
        <f aca="false">IF(AND(Time!V20&gt;=Time!$F$12,Time!W20&gt;0),(IF(Time!V34=1,V89,V87)-V86)*W19+IF(Time!W46&gt;0,Time!W45*V86/Time!W46,0)+IF(Time!V34=1,V89,V87)*W14,0)</f>
        <v>9.41585722062353E-015</v>
      </c>
      <c r="W123" s="13" t="n">
        <f aca="false">IF(AND(Time!W20&gt;=Time!$F$12,Time!X20&gt;0),(IF(Time!W34=1,W89,W87)-W86)*X19+IF(Time!X46&gt;0,Time!X45*W86/Time!X46,0)+IF(Time!W34=1,W89,W87)*X14,0)</f>
        <v>9.11348555136861E-015</v>
      </c>
      <c r="X123" s="13" t="n">
        <f aca="false">IF(AND(Time!X20&gt;=Time!$F$12,Time!Y20&gt;0),(IF(Time!X34=1,X89,X87)-X86)*Y19+IF(Time!Y46&gt;0,Time!Y45*X86/Time!Y46,0)+IF(Time!X34=1,X89,X87)*Y14,0)</f>
        <v>9.04920974149564E-015</v>
      </c>
      <c r="Y123" s="13" t="n">
        <f aca="false">IF(AND(Time!Y20&gt;=Time!$F$12,Time!Z20&gt;0),(IF(Time!Y34=1,Y89,Y87)-Y86)*Z19+IF(Time!Z46&gt;0,Time!Z45*Y86/Time!Z46,0)+IF(Time!Y34=1,Y89,Y87)*Z14,0)</f>
        <v>9.22053787859348E-015</v>
      </c>
      <c r="Z123" s="13" t="n">
        <f aca="false">IF(AND(Time!Z20&gt;=Time!$F$12,Time!AA20&gt;0),(IF(Time!Z34=1,Z89,Z87)-Z86)*AA19+IF(Time!AA46&gt;0,Time!AA45*Z86/Time!AA46,0)+IF(Time!Z34=1,Z89,Z87)*AA14,0)</f>
        <v>9.15768785096906E-015</v>
      </c>
      <c r="AA123" s="13" t="n">
        <f aca="false">IF(AND(Time!AA20&gt;=Time!$F$12,Time!AB20&gt;0),(IF(Time!AA34=1,AA89,AA87)-AA86)*AB19+IF(Time!AB46&gt;0,Time!AB45*AA86/Time!AB46,0)+IF(Time!AA34=1,AA89,AA87)*AB14,0)</f>
        <v>9.37201044916136E-015</v>
      </c>
      <c r="AB123" s="13" t="n">
        <f aca="false">IF(AND(Time!AB20&gt;=Time!$F$12,Time!AC20&gt;0),(IF(Time!AB34=1,AB89,AB87)-AB86)*AC19+IF(Time!AC46&gt;0,Time!AC45*AB86/Time!AC46,0)+IF(Time!AB34=1,AB89,AB87)*AC14,0)</f>
        <v>9.36415132337459E-015</v>
      </c>
      <c r="AC123" s="13" t="n">
        <f aca="false">IF(AND(Time!AC20&gt;=Time!$F$12,Time!AD20&gt;0),(IF(Time!AC34=1,AC89,AC87)-AC86)*AD19+IF(Time!AD46&gt;0,Time!AD45*AC86/Time!AD46,0)+IF(Time!AC34=1,AC89,AC87)*AD14,0)</f>
        <v>9.90746474635423E-015</v>
      </c>
      <c r="AD123" s="13" t="n">
        <f aca="false">IF(AND(Time!AD20&gt;=Time!$F$12,Time!AE20&gt;0),(IF(Time!AD34=1,AD89,AD87)-AD86)*AE19+IF(Time!AE46&gt;0,Time!AE45*AD86/Time!AE46,0)+IF(Time!AD34=1,AD89,AD87)*AE14,0)</f>
        <v>9.96877825109565E-015</v>
      </c>
      <c r="AE123" s="13" t="n">
        <f aca="false">IF(AND(Time!AE20&gt;=Time!$F$12,Time!AF20&gt;0),(IF(Time!AE34=1,AE89,AE87)-AE86)*AF19+IF(Time!AF46&gt;0,Time!AF45*AE86/Time!AF46,0)+IF(Time!AE34=1,AE89,AE87)*AF14,0)</f>
        <v>1.00743980952562E-014</v>
      </c>
      <c r="AF123" s="13" t="n">
        <f aca="false">IF(AND(Time!AF20&gt;=Time!$F$12,Time!AG20&gt;0),(IF(Time!AF34=1,AF89,AF87)-AF86)*AG19+IF(Time!AG46&gt;0,Time!AG45*AF86/Time!AG46,0)+IF(Time!AF34=1,AF89,AF87)*AG14,0)</f>
        <v>1.00355448808751E-014</v>
      </c>
      <c r="AG123" s="13" t="n">
        <f aca="false">IF(AND(Time!AG20&gt;=Time!$F$12,Time!AH20&gt;0),(IF(Time!AG34=1,AG89,AG87)-AG86)*AH19+IF(Time!AH46&gt;0,Time!AH45*AG86/Time!AH46,0)+IF(Time!AG34=1,AG89,AG87)*AH14,0)</f>
        <v>1.02664179611123E-014</v>
      </c>
      <c r="AH123" s="13" t="n">
        <f aca="false">IF(AND(Time!AH20&gt;=Time!$F$12,Time!AI20&gt;0),(IF(Time!AH34=1,AH89,AH87)-AH86)*AI19+IF(Time!AI46&gt;0,Time!AI45*AH86/Time!AI46,0)+IF(Time!AH34=1,AH89,AH87)*AI14,0)</f>
        <v>1.02062854203106E-014</v>
      </c>
      <c r="AI123" s="13" t="n">
        <f aca="false">IF(AND(Time!AI20&gt;=Time!$F$12,Time!AJ20&gt;0),(IF(Time!AI34=1,AI89,AI87)-AI86)*AJ19+IF(Time!AJ46&gt;0,Time!AJ45*AI86/Time!AJ46,0)+IF(Time!AI34=1,AI89,AI87)*AJ14,0)</f>
        <v>1.04176922246546E-014</v>
      </c>
      <c r="AJ123" s="13" t="n">
        <f aca="false">IF(AND(Time!AJ20&gt;=Time!$F$12,Time!AK20&gt;0),(IF(Time!AJ34=1,AJ89,AJ87)-AJ86)*AK19+IF(Time!AK46&gt;0,Time!AK45*AJ86/Time!AK46,0)+IF(Time!AJ34=1,AJ89,AJ87)*AK14,0)</f>
        <v>1.0404422667224E-014</v>
      </c>
      <c r="AK123" s="13" t="n">
        <f aca="false">IF(AND(Time!AK20&gt;=Time!$F$12,Time!AL20&gt;0),(IF(Time!AK34=1,AK89,AK87)-AK86)*AL19+IF(Time!AL46&gt;0,Time!AL45*AK86/Time!AL46,0)+IF(Time!AK34=1,AK89,AK87)*AL14,0)</f>
        <v>1.07393286187583E-014</v>
      </c>
      <c r="AL123" s="13" t="n">
        <f aca="false">IF(AND(Time!AL20&gt;=Time!$F$12,Time!AM20&gt;0),(IF(Time!AL34=1,AL89,AL87)-AL86)*AM19+IF(Time!AM46&gt;0,Time!AM45*AL86/Time!AM46,0)+IF(Time!AL34=1,AL89,AL87)*AM14,0)</f>
        <v>1.06915335843307E-014</v>
      </c>
      <c r="AM123" s="13" t="n">
        <f aca="false">IF(AND(Time!AM20&gt;=Time!$F$12,Time!AN20&gt;0),(IF(Time!AM34=1,AM89,AM87)-AM86)*AN19+IF(Time!AN46&gt;0,Time!AN45*AM86/Time!AN46,0)+IF(Time!AM34=1,AM89,AM87)*AN14,0)</f>
        <v>8.5324394282095E-015</v>
      </c>
      <c r="AN123" s="13" t="n">
        <f aca="false">IF(AND(Time!AN20&gt;=Time!$F$12,Time!AO20&gt;0),(IF(Time!AN34=1,AN89,AN87)-AN86)*AO19+IF(Time!AO46&gt;0,Time!AO45*AN86/Time!AO46,0)+IF(Time!AN34=1,AN89,AN87)*AO14,0)</f>
        <v>7.95917559546998E-015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40.8397629577698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40.7338347059295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41.2567859332599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40.9268485243982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41.394399963132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41.1878277616224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41.9787510895358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41.6770109428763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40.4844123042689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40.0830394775341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40.4200347092617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40.0843659159374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40.562238941446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39.9566004795035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40.9221672411284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40.4427803871316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39.8408577415708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38.6964525892249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38.1483156287115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36.6975103327738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35.5706524357715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33.5600995945371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31.5814759092872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27.7328654970075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20.6274080042259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19.7398633964885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0.0397907748741869</v>
      </c>
      <c r="Q127" s="16" t="n">
        <f aca="false">IF(Time!Q53=1,(Inputs!$F$76*Q11+Inputs!$F$77*Q12+Inputs!$F$78*(Q13+(Inputs!$F$95/100*Inputs!$F$96/100)*Time!Q25/Inputs!$F$248))/(1-Inputs!$F$75)+Q148,0)</f>
        <v>0.0393506770138493</v>
      </c>
      <c r="R127" s="16" t="n">
        <f aca="false">IF(Time!R53=1,(Inputs!$F$76*R11+Inputs!$F$77*R12+Inputs!$F$78*(R13+(Inputs!$F$95/100*Inputs!$F$96/100)*Time!R25/Inputs!$F$248))/(1-Inputs!$F$75)+R148,0)</f>
        <v>0.0398244887132094</v>
      </c>
      <c r="S127" s="16" t="n">
        <f aca="false">IF(Time!S53=1,(Inputs!$F$76*S11+Inputs!$F$77*S12+Inputs!$F$78*(S13+(Inputs!$F$95/100*Inputs!$F$96/100)*Time!S25/Inputs!$F$248))/(1-Inputs!$F$75)+S148,0)</f>
        <v>0.0393672590922815</v>
      </c>
      <c r="T127" s="16" t="n">
        <f aca="false">IF(Time!T53=1,(Inputs!$F$76*T11+Inputs!$F$77*T12+Inputs!$F$78*(T13+(Inputs!$F$95/100*Inputs!$F$96/100)*Time!T25/Inputs!$F$248))/(1-Inputs!$F$75)+T148,0)</f>
        <v>0.0398413456327207</v>
      </c>
      <c r="U127" s="16" t="n">
        <f aca="false">IF(Time!U53=1,(Inputs!$F$76*U11+Inputs!$F$77*U12+Inputs!$F$78*(U13+(Inputs!$F$95/100*Inputs!$F$96/100)*Time!U25/Inputs!$F$248))/(1-Inputs!$F$75)+U148,0)</f>
        <v>0.0395252879390946</v>
      </c>
      <c r="V127" s="16" t="n">
        <f aca="false">IF(Time!V53=1,(Inputs!$F$76*V11+Inputs!$F$77*V12+Inputs!$F$78*(V13+(Inputs!$F$95/100*Inputs!$F$96/100)*Time!V25/Inputs!$F$248))/(1-Inputs!$F$75)+V148,0)</f>
        <v>0.0398413456327207</v>
      </c>
      <c r="W127" s="16" t="n">
        <f aca="false">IF(Time!W53=1,(Inputs!$F$76*W11+Inputs!$F$77*W12+Inputs!$F$78*(W13+(Inputs!$F$95/100*Inputs!$F$96/100)*Time!W25/Inputs!$F$248))/(1-Inputs!$F$75)+W148,0)</f>
        <v>0.0393672590922815</v>
      </c>
      <c r="X127" s="16" t="n">
        <f aca="false">IF(Time!X53=1,(Inputs!$F$76*X11+Inputs!$F$77*X12+Inputs!$F$78*(X13+(Inputs!$F$95/100*Inputs!$F$96/100)*Time!X25/Inputs!$F$248))/(1-Inputs!$F$75)+X148,0)</f>
        <v>0.0398413456327207</v>
      </c>
      <c r="Y127" s="16" t="n">
        <f aca="false">IF(Time!Y53=1,(Inputs!$F$76*Y11+Inputs!$F$77*Y12+Inputs!$F$78*(Y13+(Inputs!$F$95/100*Inputs!$F$96/100)*Time!Y25/Inputs!$F$248))/(1-Inputs!$F$75)+Y148,0)</f>
        <v>0.0408835730252621</v>
      </c>
      <c r="Z127" s="16" t="n">
        <f aca="false">IF(Time!Z53=1,(Inputs!$F$76*Z11+Inputs!$F$77*Z12+Inputs!$F$78*(Z13+(Inputs!$F$95/100*Inputs!$F$96/100)*Time!Z25/Inputs!$F$248))/(1-Inputs!$F$75)+Z148,0)</f>
        <v>0.0413827918408335</v>
      </c>
      <c r="AA127" s="16" t="n">
        <f aca="false">IF(Time!AA53=1,(Inputs!$F$76*AA11+Inputs!$F$77*AA12+Inputs!$F$78*(AA13+(Inputs!$F$95/100*Inputs!$F$96/100)*Time!AA25/Inputs!$F$248))/(1-Inputs!$F$75)+AA148,0)</f>
        <v>0.0408835730252621</v>
      </c>
      <c r="AB127" s="16" t="n">
        <f aca="false">IF(Time!AB53=1,(Inputs!$F$76*AB11+Inputs!$F$77*AB12+Inputs!$F$78*(AB13+(Inputs!$F$95/100*Inputs!$F$96/100)*Time!AB25/Inputs!$F$248))/(1-Inputs!$F$75)+AB148,0)</f>
        <v>0.0413827918408335</v>
      </c>
      <c r="AC127" s="16" t="n">
        <f aca="false">IF(Time!AC53=1,(Inputs!$F$76*AC11+Inputs!$F$77*AC12+Inputs!$F$78*(AC13+(Inputs!$F$95/100*Inputs!$F$96/100)*Time!AC25/Inputs!$F$248))/(1-Inputs!$F$75)+AC148,0)</f>
        <v>0.0410499792971192</v>
      </c>
      <c r="AD127" s="16" t="n">
        <f aca="false">IF(Time!AD53=1,(Inputs!$F$76*AD11+Inputs!$F$77*AD12+Inputs!$F$78*(AD13+(Inputs!$F$95/100*Inputs!$F$96/100)*Time!AD25/Inputs!$F$248))/(1-Inputs!$F$75)+AD148,0)</f>
        <v>0.0413827918408335</v>
      </c>
      <c r="AE127" s="16" t="n">
        <f aca="false">IF(Time!AE53=1,(Inputs!$F$76*AE11+Inputs!$F$77*AE12+Inputs!$F$78*(AE13+(Inputs!$F$95/100*Inputs!$F$96/100)*Time!AE25/Inputs!$F$248))/(1-Inputs!$F$75)+AE148,0)</f>
        <v>0.0408835730252621</v>
      </c>
      <c r="AF127" s="16" t="n">
        <f aca="false">IF(Time!AF53=1,(Inputs!$F$76*AF11+Inputs!$F$77*AF12+Inputs!$F$78*(AF13+(Inputs!$F$95/100*Inputs!$F$96/100)*Time!AF25/Inputs!$F$248))/(1-Inputs!$F$75)+AF148,0)</f>
        <v>0.0413827918408335</v>
      </c>
      <c r="AG127" s="16" t="n">
        <f aca="false">IF(Time!AG53=1,(Inputs!$F$76*AG11+Inputs!$F$77*AG12+Inputs!$F$78*(AG13+(Inputs!$F$95/100*Inputs!$F$96/100)*Time!AG25/Inputs!$F$248))/(1-Inputs!$F$75)+AG148,0)</f>
        <v>0.0423998869582427</v>
      </c>
      <c r="AH127" s="16" t="n">
        <f aca="false">IF(Time!AH53=1,(Inputs!$F$76*AH11+Inputs!$F$77*AH12+Inputs!$F$78*(AH13+(Inputs!$F$95/100*Inputs!$F$96/100)*Time!AH25/Inputs!$F$248))/(1-Inputs!$F$75)+AH148,0)</f>
        <v>0.0429242380489464</v>
      </c>
      <c r="AI127" s="16" t="n">
        <f aca="false">IF(Time!AI53=1,(Inputs!$F$76*AI11+Inputs!$F$77*AI12+Inputs!$F$78*(AI13+(Inputs!$F$95/100*Inputs!$F$96/100)*Time!AI25/Inputs!$F$248))/(1-Inputs!$F$75)+AI148,0)</f>
        <v>0.0423998869582427</v>
      </c>
      <c r="AJ127" s="16" t="n">
        <f aca="false">IF(Time!AJ53=1,(Inputs!$F$76*AJ11+Inputs!$F$77*AJ12+Inputs!$F$78*(AJ13+(Inputs!$F$95/100*Inputs!$F$96/100)*Time!AJ25/Inputs!$F$248))/(1-Inputs!$F$75)+AJ148,0)</f>
        <v>0.0429242380489464</v>
      </c>
      <c r="AK127" s="16" t="n">
        <f aca="false">IF(Time!AK53=1,(Inputs!$F$76*AK11+Inputs!$F$77*AK12+Inputs!$F$78*(AK13+(Inputs!$F$95/100*Inputs!$F$96/100)*Time!AK25/Inputs!$F$248))/(1-Inputs!$F$75)+AK148,0)</f>
        <v>0.0425746706551439</v>
      </c>
      <c r="AL127" s="16" t="n">
        <f aca="false">IF(Time!AL53=1,(Inputs!$F$76*AL11+Inputs!$F$77*AL12+Inputs!$F$78*(AL13+(Inputs!$F$95/100*Inputs!$F$96/100)*Time!AL25/Inputs!$F$248))/(1-Inputs!$F$75)+AL148,0)</f>
        <v>0.0429242380489464</v>
      </c>
      <c r="AM127" s="16" t="n">
        <f aca="false">IF(Time!AM53=1,(Inputs!$F$76*AM11+Inputs!$F$77*AM12+Inputs!$F$78*(AM13+(Inputs!$F$95/100*Inputs!$F$96/100)*Time!AM25/Inputs!$F$248))/(1-Inputs!$F$75)+AM148,0)</f>
        <v>0.0423998869582427</v>
      </c>
      <c r="AN127" s="16" t="n">
        <f aca="false">IF(Time!AN53=1,(Inputs!$F$76*AN11+Inputs!$F$77*AN12+Inputs!$F$78*(AN13+(Inputs!$F$95/100*Inputs!$F$96/100)*Time!AN25/Inputs!$F$248))/(1-Inputs!$F$75)+AN148,0)</f>
        <v>0.0429242380489464</v>
      </c>
      <c r="AO127" s="16" t="n">
        <f aca="false">IF(Time!AO53=1,(Inputs!$F$76*AO11+Inputs!$F$77*AO12+Inputs!$F$78*(AO13+(Inputs!$F$95/100*Inputs!$F$96/100)*Time!AO25/Inputs!$F$248))/(1-Inputs!$F$75)+AO148,0)</f>
        <v>0.0423998869582427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810.29242140345</v>
      </c>
      <c r="Q128" s="13" t="n">
        <f aca="false">IF(Time!Q53=1,(Waterfall!Q7+R128)/(1+Q127),0)</f>
        <v>792.262490454508</v>
      </c>
      <c r="R128" s="13" t="n">
        <f aca="false">IF(Time!R53=1,(Waterfall!R7+S128)/(1+R127),0)</f>
        <v>773.277858751294</v>
      </c>
      <c r="S128" s="13" t="n">
        <f aca="false">IF(Time!S53=1,(Waterfall!S7+T128)/(1+S127),0)</f>
        <v>753.27979423625</v>
      </c>
      <c r="T128" s="13" t="n">
        <f aca="false">IF(Time!T53=1,(Waterfall!T7+U128)/(1+T127),0)</f>
        <v>732.534383196237</v>
      </c>
      <c r="U128" s="13" t="n">
        <f aca="false">IF(Time!U53=1,(Waterfall!U7+V128)/(1+U127),0)</f>
        <v>710.75539473503</v>
      </c>
      <c r="V128" s="13" t="n">
        <f aca="false">IF(Time!V53=1,(Waterfall!V7+W128)/(1+V127),0)</f>
        <v>688.127771143313</v>
      </c>
      <c r="W128" s="13" t="n">
        <f aca="false">IF(Time!W53=1,(Waterfall!W7+X128)/(1+W127),0)</f>
        <v>663.855015191125</v>
      </c>
      <c r="X128" s="13" t="n">
        <f aca="false">IF(Time!X53=1,(Waterfall!X7+Y128)/(1+X127),0)</f>
        <v>638.657810545677</v>
      </c>
      <c r="Y128" s="13" t="n">
        <f aca="false">IF(Time!Y53=1,(Waterfall!Y7+Z128)/(1+Y127),0)</f>
        <v>614.251623761982</v>
      </c>
      <c r="Z128" s="13" t="n">
        <f aca="false">IF(Time!Z53=1,(Waterfall!Z7+AA128)/(1+Z127),0)</f>
        <v>589.994395614802</v>
      </c>
      <c r="AA128" s="13" t="n">
        <f aca="false">IF(Time!AA53=1,(Waterfall!AA7+AB128)/(1+AA127),0)</f>
        <v>564.633670675635</v>
      </c>
      <c r="AB128" s="13" t="n">
        <f aca="false">IF(Time!AB53=1,(Waterfall!AB7+AC128)/(1+AB127),0)</f>
        <v>538.342624651431</v>
      </c>
      <c r="AC128" s="13" t="n">
        <f aca="false">IF(Time!AC53=1,(Waterfall!AC7+AD128)/(1+AC127),0)</f>
        <v>510.664334769948</v>
      </c>
      <c r="AD128" s="13" t="n">
        <f aca="false">IF(Time!AD53=1,(Waterfall!AD7+AE128)/(1+AD127),0)</f>
        <v>481.875640697342</v>
      </c>
      <c r="AE128" s="13" t="n">
        <f aca="false">IF(Time!AE53=1,(Waterfall!AE7+AF128)/(1+AE127),0)</f>
        <v>450.154457346749</v>
      </c>
      <c r="AF128" s="13" t="n">
        <f aca="false">IF(Time!AF53=1,(Waterfall!AF7+AG128)/(1+AF127),0)</f>
        <v>416.812548038665</v>
      </c>
      <c r="AG128" s="13" t="n">
        <f aca="false">IF(Time!AG53=1,(Waterfall!AG7+AH128)/(1+AG127),0)</f>
        <v>382.154729298004</v>
      </c>
      <c r="AH128" s="13" t="n">
        <f aca="false">IF(Time!AH53=1,(Waterfall!AH7+AI128)/(1+AH127),0)</f>
        <v>346.81876746889</v>
      </c>
      <c r="AI128" s="13" t="n">
        <f aca="false">IF(Time!AI53=1,(Waterfall!AI7+AJ128)/(1+AI127),0)</f>
        <v>309.496954125384</v>
      </c>
      <c r="AJ128" s="13" t="n">
        <f aca="false">IF(Time!AJ53=1,(Waterfall!AJ7+AK128)/(1+AJ127),0)</f>
        <v>270.818349243702</v>
      </c>
      <c r="AK128" s="13" t="n">
        <f aca="false">IF(Time!AK53=1,(Waterfall!AK7+AL128)/(1+AK127),0)</f>
        <v>230.040422246023</v>
      </c>
      <c r="AL128" s="13" t="n">
        <f aca="false">IF(Time!AL53=1,(Waterfall!AL7+AM128)/(1+AL127),0)</f>
        <v>187.669784519742</v>
      </c>
      <c r="AM128" s="13" t="n">
        <f aca="false">IF(Time!AM53=1,(Waterfall!AM7+AN128)/(1+AM127),0)</f>
        <v>142.449791013643</v>
      </c>
      <c r="AN128" s="13" t="n">
        <f aca="false">IF(Time!AN53=1,(Waterfall!AN7+AO128)/(1+AN127),0)</f>
        <v>95.5899410222376</v>
      </c>
      <c r="AO128" s="13" t="n">
        <f aca="false">IF(Time!AO53=1,(Waterfall!AO7+AP128)/(1+AO127),0)</f>
        <v>48.6294432533793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1.24043004047408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633.883248499575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701.882827023025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40.5279561369327</v>
      </c>
      <c r="Q132" s="13" t="n">
        <f aca="false">IF(Time!Q53=1,(Waterfall!Q7)/$F$129,0)</f>
        <v>40.4381508336467</v>
      </c>
      <c r="R132" s="13" t="n">
        <f aca="false">IF(Time!R53=1,(Waterfall!R7)/$F$129,0)</f>
        <v>40.9482665009037</v>
      </c>
      <c r="S132" s="13" t="n">
        <f aca="false">IF(Time!S53=1,(Waterfall!S7)/$F$129,0)</f>
        <v>40.6310474788486</v>
      </c>
      <c r="T132" s="13" t="n">
        <f aca="false">IF(Time!T53=1,(Waterfall!T7)/$F$129,0)</f>
        <v>41.0858672775309</v>
      </c>
      <c r="U132" s="13" t="n">
        <f aca="false">IF(Time!U53=1,(Waterfall!U7)/$F$129,0)</f>
        <v>40.8893960706551</v>
      </c>
      <c r="V132" s="13" t="n">
        <f aca="false">IF(Time!V53=1,(Waterfall!V7)/$F$129,0)</f>
        <v>41.6699778586688</v>
      </c>
      <c r="W132" s="13" t="n">
        <f aca="false">IF(Time!W53=1,(Waterfall!W7)/$F$129,0)</f>
        <v>41.381904140736</v>
      </c>
      <c r="X132" s="13" t="n">
        <f aca="false">IF(Time!X53=1,(Waterfall!X7)/$F$129,0)</f>
        <v>40.1886214684305</v>
      </c>
      <c r="Y132" s="13" t="n">
        <f aca="false">IF(Time!Y53=1,(Waterfall!Y7)/$F$129,0)</f>
        <v>39.8007365609026</v>
      </c>
      <c r="Z132" s="13" t="n">
        <f aca="false">IF(Time!Z53=1,(Waterfall!Z7)/$F$129,0)</f>
        <v>40.1282930725617</v>
      </c>
      <c r="AA132" s="13" t="n">
        <f aca="false">IF(Time!AA53=1,(Waterfall!AA7)/$F$129,0)</f>
        <v>39.8049759524711</v>
      </c>
      <c r="AB132" s="13" t="n">
        <f aca="false">IF(Time!AB53=1,(Waterfall!AB7)/$F$129,0)</f>
        <v>40.2734608373305</v>
      </c>
      <c r="AC132" s="13" t="n">
        <f aca="false">IF(Time!AC53=1,(Waterfall!AC7)/$F$129,0)</f>
        <v>40.1082308710255</v>
      </c>
      <c r="AD132" s="13" t="n">
        <f aca="false">IF(Time!AD53=1,(Waterfall!AD7)/$F$129,0)</f>
        <v>41.6488967511577</v>
      </c>
      <c r="AE132" s="13" t="n">
        <f aca="false">IF(Time!AE53=1,(Waterfall!AE7)/$F$129,0)</f>
        <v>41.7160422186246</v>
      </c>
      <c r="AF132" s="13" t="n">
        <f aca="false">IF(Time!AF53=1,(Waterfall!AF7)/$F$129,0)</f>
        <v>41.8457179841878</v>
      </c>
      <c r="AG132" s="13" t="n">
        <f aca="false">IF(Time!AG53=1,(Waterfall!AG7)/$F$129,0)</f>
        <v>41.5495251406596</v>
      </c>
      <c r="AH132" s="13" t="n">
        <f aca="false">IF(Time!AH53=1,(Waterfall!AH7)/$F$129,0)</f>
        <v>42.0892295209408</v>
      </c>
      <c r="AI132" s="13" t="n">
        <f aca="false">IF(Time!AI53=1,(Waterfall!AI7)/$F$129,0)</f>
        <v>41.7607112535909</v>
      </c>
      <c r="AJ132" s="13" t="n">
        <f aca="false">IF(Time!AJ53=1,(Waterfall!AJ7)/$F$129,0)</f>
        <v>42.2455088790103</v>
      </c>
      <c r="AK132" s="13" t="n">
        <f aca="false">IF(Time!AK53=1,(Waterfall!AK7)/$F$129,0)</f>
        <v>42.0535872549805</v>
      </c>
      <c r="AL132" s="13" t="n">
        <f aca="false">IF(Time!AL53=1,(Waterfall!AL7)/$F$129,0)</f>
        <v>42.9492790992531</v>
      </c>
      <c r="AM132" s="13" t="n">
        <f aca="false">IF(Time!AM53=1,(Waterfall!AM7)/$F$129,0)</f>
        <v>42.6462624263693</v>
      </c>
      <c r="AN132" s="13" t="n">
        <f aca="false">IF(Time!AN53=1,(Waterfall!AN7)/$F$129,0)</f>
        <v>41.1660645793984</v>
      </c>
      <c r="AO132" s="13" t="n">
        <f aca="false">IF(Time!AO53=1,(Waterfall!AO7)/$F$129,0)</f>
        <v>40.8659291504995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482.912901402453</v>
      </c>
      <c r="Q133" s="13" t="n">
        <f aca="false">IF(Time!Q53=1,IF(Time!Q20=Time!$F$13,Funding!$F$25*(1-Inputs!$F$75),P133-P134),0)</f>
        <v>474.09719226604</v>
      </c>
      <c r="R133" s="13" t="n">
        <f aca="false">IF(Time!R53=1,IF(Time!R20=Time!$F$13,Funding!$F$25*(1-Inputs!$F$75),Q133-Q134),0)</f>
        <v>464.606563581898</v>
      </c>
      <c r="S133" s="13" t="n">
        <f aca="false">IF(Time!S53=1,IF(Time!S20=Time!$F$13,Funding!$F$25*(1-Inputs!$F$75),R133-R134),0)</f>
        <v>454.314072950054</v>
      </c>
      <c r="T133" s="13" t="n">
        <f aca="false">IF(Time!T53=1,IF(Time!T20=Time!$F$13,Funding!$F$25*(1-Inputs!$F$75),S133-S134),0)</f>
        <v>443.515572707759</v>
      </c>
      <c r="U133" s="13" t="n">
        <f aca="false">IF(Time!U53=1,IF(Time!U20=Time!$F$13,Funding!$F$25*(1-Inputs!$F$75),T133-T134),0)</f>
        <v>431.906018962079</v>
      </c>
      <c r="V133" s="13" t="n">
        <f aca="false">IF(Time!V53=1,IF(Time!V20=Time!$F$13,Funding!$F$25*(1-Inputs!$F$75),U133-U134),0)</f>
        <v>419.698727262944</v>
      </c>
      <c r="W133" s="13" t="n">
        <f aca="false">IF(Time!W53=1,IF(Time!W20=Time!$F$13,Funding!$F$25*(1-Inputs!$F$75),V133-V134),0)</f>
        <v>406.206535625265</v>
      </c>
      <c r="X133" s="13" t="n">
        <f aca="false">IF(Time!X53=1,IF(Time!X20=Time!$F$13,Funding!$F$25*(1-Inputs!$F$75),W133-W134),0)</f>
        <v>392.069865591954</v>
      </c>
      <c r="Y133" s="13" t="n">
        <f aca="false">IF(Time!Y53=1,IF(Time!Y20=Time!$F$13,Funding!$F$25*(1-Inputs!$F$75),X133-X134),0)</f>
        <v>378.608627177629</v>
      </c>
      <c r="Z133" s="13" t="n">
        <f aca="false">IF(Time!Z53=1,IF(Time!Z20=Time!$F$13,Funding!$F$25*(1-Inputs!$F$75),Y133-Y134),0)</f>
        <v>365.194034626939</v>
      </c>
      <c r="AA133" s="13" t="n">
        <f aca="false">IF(Time!AA53=1,IF(Time!AA20=Time!$F$13,Funding!$F$25*(1-Inputs!$F$75),Z133-Z134),0)</f>
        <v>350.935650158127</v>
      </c>
      <c r="AB133" s="13" t="n">
        <f aca="false">IF(Time!AB53=1,IF(Time!AB20=Time!$F$13,Funding!$F$25*(1-Inputs!$F$75),AA133-AA134),0)</f>
        <v>336.038722417579</v>
      </c>
      <c r="AC133" s="13" t="n">
        <f aca="false">IF(Time!AC53=1,IF(Time!AC20=Time!$F$13,Funding!$F$25*(1-Inputs!$F$75),AB133-AB134),0)</f>
        <v>320.079009828171</v>
      </c>
      <c r="AD133" s="13" t="n">
        <f aca="false">IF(Time!AD53=1,IF(Time!AD20=Time!$F$13,Funding!$F$25*(1-Inputs!$F$75),AC133-AC134),0)</f>
        <v>303.330132450005</v>
      </c>
      <c r="AE133" s="13" t="n">
        <f aca="false">IF(Time!AE53=1,IF(Time!AE20=Time!$F$13,Funding!$F$25*(1-Inputs!$F$75),AD133-AD134),0)</f>
        <v>284.291779037122</v>
      </c>
      <c r="AF133" s="13" t="n">
        <f aca="false">IF(Time!AF53=1,IF(Time!AF20=Time!$F$13,Funding!$F$25*(1-Inputs!$F$75),AE133-AE134),0)</f>
        <v>264.065694215787</v>
      </c>
      <c r="AG133" s="13" t="n">
        <f aca="false">IF(Time!AG53=1,IF(Time!AG20=Time!$F$13,Funding!$F$25*(1-Inputs!$F$75),AF133-AF134),0)</f>
        <v>242.856015356068</v>
      </c>
      <c r="AH133" s="13" t="n">
        <f aca="false">IF(Time!AH53=1,IF(Time!AH20=Time!$F$13,Funding!$F$25*(1-Inputs!$F$75),AG133-AG134),0)</f>
        <v>221.123925880693</v>
      </c>
      <c r="AI133" s="13" t="n">
        <f aca="false">IF(Time!AI53=1,IF(Time!AI20=Time!$F$13,Funding!$F$25*(1-Inputs!$F$75),AH133-AH134),0)</f>
        <v>197.884903721392</v>
      </c>
      <c r="AJ133" s="13" t="n">
        <f aca="false">IF(Time!AJ53=1,IF(Time!AJ20=Time!$F$13,Funding!$F$25*(1-Inputs!$F$75),AI133-AI134),0)</f>
        <v>173.688132461902</v>
      </c>
      <c r="AK133" s="13" t="n">
        <f aca="false">IF(Time!AK53=1,IF(Time!AK20=Time!$F$13,Funding!$F$25*(1-Inputs!$F$75),AJ133-AJ134),0)</f>
        <v>147.907053516171</v>
      </c>
      <c r="AL133" s="13" t="n">
        <f aca="false">IF(Time!AL53=1,IF(Time!AL20=Time!$F$13,Funding!$F$25*(1-Inputs!$F$75),AK133-AK134),0)</f>
        <v>120.979899274738</v>
      </c>
      <c r="AM133" s="13" t="n">
        <f aca="false">IF(Time!AM53=1,IF(Time!AM20=Time!$F$13,Funding!$F$25*(1-Inputs!$F$75),AL133-AL134),0)</f>
        <v>91.8829572206858</v>
      </c>
      <c r="AN133" s="13" t="n">
        <f aca="false">IF(Time!AN53=1,IF(Time!AN20=Time!$F$13,Funding!$F$25*(1-Inputs!$F$75),AM133-AM134),0)</f>
        <v>61.6127129964617</v>
      </c>
      <c r="AO133" s="13" t="n">
        <f aca="false">IF(Time!AO53=1,IF(Time!AO20=Time!$F$13,Funding!$F$25*(1-Inputs!$F$75),AN133-AN134),0)</f>
        <v>31.4010620865474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8.81570913641257</v>
      </c>
      <c r="Q134" s="13" t="n">
        <f aca="false">Q132-Q149-Q133*Q127</f>
        <v>9.4906286841422</v>
      </c>
      <c r="R134" s="13" t="n">
        <f aca="false">R132-R149-R133*R127</f>
        <v>10.2924906318442</v>
      </c>
      <c r="S134" s="13" t="n">
        <f aca="false">S132-S149-S133*S127</f>
        <v>10.7985002422947</v>
      </c>
      <c r="T134" s="13" t="n">
        <f aca="false">T132-T149-T133*T127</f>
        <v>11.6095537456805</v>
      </c>
      <c r="U134" s="13" t="n">
        <f aca="false">U132-U149-U133*U127</f>
        <v>12.2072916991351</v>
      </c>
      <c r="V134" s="13" t="n">
        <f aca="false">V132-V149-V133*V127</f>
        <v>13.4921916376788</v>
      </c>
      <c r="W134" s="13" t="n">
        <f aca="false">W132-W149-W133*W127</f>
        <v>14.1366700333106</v>
      </c>
      <c r="X134" s="13" t="n">
        <f aca="false">X132-X149-X133*X127</f>
        <v>13.4612384143254</v>
      </c>
      <c r="Y134" s="13" t="n">
        <f aca="false">Y132-Y149-Y133*Y127</f>
        <v>13.4145925506903</v>
      </c>
      <c r="Z134" s="13" t="n">
        <f aca="false">Z132-Z149-Z133*Z127</f>
        <v>14.2583844688117</v>
      </c>
      <c r="AA134" s="13" t="n">
        <f aca="false">AA132-AA149-AA133*AA127</f>
        <v>14.8969277405481</v>
      </c>
      <c r="AB134" s="13" t="n">
        <f aca="false">AB132-AB149-AB133*AB127</f>
        <v>15.9597125894073</v>
      </c>
      <c r="AC134" s="13" t="n">
        <f aca="false">AC132-AC149-AC133*AC127</f>
        <v>16.7488773781669</v>
      </c>
      <c r="AD134" s="13" t="n">
        <f aca="false">AD132-AD149-AD133*AD127</f>
        <v>19.0383534128822</v>
      </c>
      <c r="AE134" s="13" t="n">
        <f aca="false">AE132-AE149-AE133*AE127</f>
        <v>20.2260848213354</v>
      </c>
      <c r="AF134" s="13" t="n">
        <f aca="false">AF132-AF149-AF133*AF127</f>
        <v>21.2096788597186</v>
      </c>
      <c r="AG134" s="13" t="n">
        <f aca="false">AG132-AG149-AG133*AG127</f>
        <v>21.7320894753758</v>
      </c>
      <c r="AH134" s="13" t="n">
        <f aca="false">AH132-AH149-AH133*AH127</f>
        <v>23.2390221593007</v>
      </c>
      <c r="AI134" s="13" t="n">
        <f aca="false">AI132-AI149-AI133*AI127</f>
        <v>24.1967712594899</v>
      </c>
      <c r="AJ134" s="13" t="n">
        <f aca="false">AJ132-AJ149-AJ133*AJ127</f>
        <v>25.7810789457314</v>
      </c>
      <c r="AK134" s="13" t="n">
        <f aca="false">AK132-AK149-AK133*AK127</f>
        <v>26.927154241433</v>
      </c>
      <c r="AL134" s="13" t="n">
        <f aca="false">AL132-AL149-AL133*AL127</f>
        <v>29.0969420540518</v>
      </c>
      <c r="AM134" s="13" t="n">
        <f aca="false">AM132-AM149-AM133*AM127</f>
        <v>30.270244224224</v>
      </c>
      <c r="AN134" s="13" t="n">
        <f aca="false">AN132-AN149-AN133*AN127</f>
        <v>30.2116509099143</v>
      </c>
      <c r="AO134" s="13" t="n">
        <f aca="false">AO132-AO149-AO133*AO127</f>
        <v>31.401062086548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-0.000773121141855189</v>
      </c>
      <c r="Q148" s="16" t="n">
        <f aca="false">IF(Time!Q53=1,Inputs!Q301/(Funding!$F$25*(Inputs!$F$75*Q146+(1-Inputs!$F$75)*Q18))*(Inputs!$F$97/100*Time!Q24-Operations!Q9/100*Time!Q25/Inputs!$F$247),0)</f>
        <v>-0.00065847194365357</v>
      </c>
      <c r="R148" s="16" t="n">
        <f aca="false">IF(Time!R53=1,Inputs!R301/(Funding!$F$25*(Inputs!$F$75*R146+(1-Inputs!$F$75)*R18))*(Inputs!$F$97/100*Time!R24-Operations!R9/100*Time!R25/Inputs!$F$247),0)</f>
        <v>-0.000847795309887399</v>
      </c>
      <c r="S148" s="16" t="n">
        <f aca="false">IF(Time!S53=1,Inputs!S301/(Funding!$F$25*(Inputs!$F$75*S146+(1-Inputs!$F$75)*S18))*(Inputs!$F$97/100*Time!S24-Operations!S9/100*Time!S25/Inputs!$F$247),0)</f>
        <v>-0.000695200270865063</v>
      </c>
      <c r="T148" s="16" t="n">
        <f aca="false">IF(Time!T53=1,Inputs!T301/(Funding!$F$25*(Inputs!$F$75*T146+(1-Inputs!$F$75)*T18))*(Inputs!$F$97/100*Time!T24-Operations!T9/100*Time!T25/Inputs!$F$247),0)</f>
        <v>-0.000885132393903503</v>
      </c>
      <c r="U148" s="16" t="n">
        <f aca="false">IF(Time!U53=1,Inputs!U301/(Funding!$F$25*(Inputs!$F$75*U146+(1-Inputs!$F$75)*U18))*(Inputs!$F$97/100*Time!U24-Operations!U9/100*Time!U25/Inputs!$F$247),0)</f>
        <v>-0.000758510978544545</v>
      </c>
      <c r="V148" s="16" t="n">
        <f aca="false">IF(Time!V53=1,Inputs!V301/(Funding!$F$25*(Inputs!$F$75*V146+(1-Inputs!$F$75)*V18))*(Inputs!$F$97/100*Time!V24-Operations!V9/100*Time!V25/Inputs!$F$247),0)</f>
        <v>-0.000885132393903503</v>
      </c>
      <c r="W148" s="16" t="n">
        <f aca="false">IF(Time!W53=1,Inputs!W301/(Funding!$F$25*(Inputs!$F$75*W146+(1-Inputs!$F$75)*W18))*(Inputs!$F$97/100*Time!W24-Operations!W9/100*Time!W25/Inputs!$F$247),0)</f>
        <v>-0.000695200270865063</v>
      </c>
      <c r="X148" s="16" t="n">
        <f aca="false">IF(Time!X53=1,Inputs!X301/(Funding!$F$25*(Inputs!$F$75*X146+(1-Inputs!$F$75)*X18))*(Inputs!$F$97/100*Time!X24-Operations!X9/100*Time!X25/Inputs!$F$247),0)</f>
        <v>-0.000885132393903504</v>
      </c>
      <c r="Y148" s="16" t="n">
        <f aca="false">IF(Time!Y53=1,Inputs!Y301/(Funding!$F$25*(Inputs!$F$75*Y146+(1-Inputs!$F$75)*Y18))*(Inputs!$F$97/100*Time!Y24-Operations!Y9/100*Time!Y25/Inputs!$F$247),0)</f>
        <v>-0.000695200270865063</v>
      </c>
      <c r="Z148" s="16" t="n">
        <f aca="false">IF(Time!Z53=1,Inputs!Z301/(Funding!$F$25*(Inputs!$F$75*Z146+(1-Inputs!$F$75)*Z18))*(Inputs!$F$97/100*Time!Z24-Operations!Z9/100*Time!Z25/Inputs!$F$247),0)</f>
        <v>-0.000885132393903504</v>
      </c>
      <c r="AA148" s="16" t="n">
        <f aca="false">IF(Time!AA53=1,Inputs!AA301/(Funding!$F$25*(Inputs!$F$75*AA146+(1-Inputs!$F$75)*AA18))*(Inputs!$F$97/100*Time!AA24-Operations!AA9/100*Time!AA25/Inputs!$F$247),0)</f>
        <v>-0.000695200270865063</v>
      </c>
      <c r="AB148" s="16" t="n">
        <f aca="false">IF(Time!AB53=1,Inputs!AB301/(Funding!$F$25*(Inputs!$F$75*AB146+(1-Inputs!$F$75)*AB18))*(Inputs!$F$97/100*Time!AB24-Operations!AB9/100*Time!AB25/Inputs!$F$247),0)</f>
        <v>-0.000885132393903504</v>
      </c>
      <c r="AC148" s="16" t="n">
        <f aca="false">IF(Time!AC53=1,Inputs!AC301/(Funding!$F$25*(Inputs!$F$75*AC146+(1-Inputs!$F$75)*AC18))*(Inputs!$F$97/100*Time!AC24-Operations!AC9/100*Time!AC25/Inputs!$F$247),0)</f>
        <v>-0.000758510978544545</v>
      </c>
      <c r="AD148" s="16" t="n">
        <f aca="false">IF(Time!AD53=1,Inputs!AD301/(Funding!$F$25*(Inputs!$F$75*AD146+(1-Inputs!$F$75)*AD18))*(Inputs!$F$97/100*Time!AD24-Operations!AD9/100*Time!AD25/Inputs!$F$247),0)</f>
        <v>-0.000885132393903504</v>
      </c>
      <c r="AE148" s="16" t="n">
        <f aca="false">IF(Time!AE53=1,Inputs!AE301/(Funding!$F$25*(Inputs!$F$75*AE146+(1-Inputs!$F$75)*AE18))*(Inputs!$F$97/100*Time!AE24-Operations!AE9/100*Time!AE25/Inputs!$F$247),0)</f>
        <v>-0.000695200270865063</v>
      </c>
      <c r="AF148" s="16" t="n">
        <f aca="false">IF(Time!AF53=1,Inputs!AF301/(Funding!$F$25*(Inputs!$F$75*AF146+(1-Inputs!$F$75)*AF18))*(Inputs!$F$97/100*Time!AF24-Operations!AF9/100*Time!AF25/Inputs!$F$247),0)</f>
        <v>-0.000885132393903504</v>
      </c>
      <c r="AG148" s="16" t="n">
        <f aca="false">IF(Time!AG53=1,Inputs!AG301/(Funding!$F$25*(Inputs!$F$75*AG146+(1-Inputs!$F$75)*AG18))*(Inputs!$F$97/100*Time!AG24-Operations!AG9/100*Time!AG25/Inputs!$F$247),0)</f>
        <v>-0.000695200270865063</v>
      </c>
      <c r="AH148" s="16" t="n">
        <f aca="false">IF(Time!AH53=1,Inputs!AH301/(Funding!$F$25*(Inputs!$F$75*AH146+(1-Inputs!$F$75)*AH18))*(Inputs!$F$97/100*Time!AH24-Operations!AH9/100*Time!AH25/Inputs!$F$247),0)</f>
        <v>-0.000885132393903504</v>
      </c>
      <c r="AI148" s="16" t="n">
        <f aca="false">IF(Time!AI53=1,Inputs!AI301/(Funding!$F$25*(Inputs!$F$75*AI146+(1-Inputs!$F$75)*AI18))*(Inputs!$F$97/100*Time!AI24-Operations!AI9/100*Time!AI25/Inputs!$F$247),0)</f>
        <v>-0.000695200270865063</v>
      </c>
      <c r="AJ148" s="16" t="n">
        <f aca="false">IF(Time!AJ53=1,Inputs!AJ301/(Funding!$F$25*(Inputs!$F$75*AJ146+(1-Inputs!$F$75)*AJ18))*(Inputs!$F$97/100*Time!AJ24-Operations!AJ9/100*Time!AJ25/Inputs!$F$247),0)</f>
        <v>-0.000885132393903504</v>
      </c>
      <c r="AK148" s="16" t="n">
        <f aca="false">IF(Time!AK53=1,Inputs!AK301/(Funding!$F$25*(Inputs!$F$75*AK146+(1-Inputs!$F$75)*AK18))*(Inputs!$F$97/100*Time!AK24-Operations!AK9/100*Time!AK25/Inputs!$F$247),0)</f>
        <v>-0.000758510978544545</v>
      </c>
      <c r="AL148" s="16" t="n">
        <f aca="false">IF(Time!AL53=1,Inputs!AL301/(Funding!$F$25*(Inputs!$F$75*AL146+(1-Inputs!$F$75)*AL18))*(Inputs!$F$97/100*Time!AL24-Operations!AL9/100*Time!AL25/Inputs!$F$247),0)</f>
        <v>-0.000885132393903503</v>
      </c>
      <c r="AM148" s="16" t="n">
        <f aca="false">IF(Time!AM53=1,Inputs!AM301/(Funding!$F$25*(Inputs!$F$75*AM146+(1-Inputs!$F$75)*AM18))*(Inputs!$F$97/100*Time!AM24-Operations!AM9/100*Time!AM25/Inputs!$F$247),0)</f>
        <v>-0.000695200270865063</v>
      </c>
      <c r="AN148" s="16" t="n">
        <f aca="false">IF(Time!AN53=1,Inputs!AN301/(Funding!$F$25*(Inputs!$F$75*AN146+(1-Inputs!$F$75)*AN18))*(Inputs!$F$97/100*Time!AN24-Operations!AN9/100*Time!AN25/Inputs!$F$247),0)</f>
        <v>-0.000885132393903504</v>
      </c>
      <c r="AO148" s="16" t="n">
        <f aca="false">IF(Time!AO53=1,Inputs!AO301/(Funding!$F$25*(Inputs!$F$75*AO146+(1-Inputs!$F$75)*AO18))*(Inputs!$F$97/100*Time!AO24-Operations!AO9/100*Time!AO25/Inputs!$F$247),0)</f>
        <v>-0.000695200270865063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12.4967684569747</v>
      </c>
      <c r="Q149" s="13" t="n">
        <f aca="false">IF(Time!Q53=1,Funding!$F$25*Inputs!$F$75*(Q145+Q146*(Q10+Q148)),0)</f>
        <v>12.2914766634708</v>
      </c>
      <c r="R149" s="13" t="n">
        <f aca="false">IF(Time!R53=1,Funding!$F$25*Inputs!$F$75*(R145+R146*(R10+R148)),0)</f>
        <v>12.1530570216092</v>
      </c>
      <c r="S149" s="13" t="n">
        <f aca="false">IF(Time!S53=1,Funding!$F$25*Inputs!$F$75*(S145+S146*(S10+S148)),0)</f>
        <v>11.9474474174595</v>
      </c>
      <c r="T149" s="13" t="n">
        <f aca="false">IF(Time!T53=1,Funding!$F$25*Inputs!$F$75*(T145+T146*(T10+T148)),0)</f>
        <v>11.8060563061065</v>
      </c>
      <c r="U149" s="13" t="n">
        <f aca="false">IF(Time!U53=1,Funding!$F$25*Inputs!$F$75*(U145+U146*(U10+U148)),0)</f>
        <v>11.6108946094158</v>
      </c>
      <c r="V149" s="13" t="n">
        <f aca="false">IF(Time!V53=1,Funding!$F$25*Inputs!$F$75*(V145+V146*(V10+V148)),0)</f>
        <v>11.4564241664941</v>
      </c>
      <c r="W149" s="13" t="n">
        <f aca="false">IF(Time!W53=1,Funding!$F$25*Inputs!$F$75*(W145+W146*(W10+W148)),0)</f>
        <v>11.2539961744874</v>
      </c>
      <c r="X149" s="13" t="n">
        <f aca="false">IF(Time!X53=1,Funding!$F$25*Inputs!$F$75*(X145+X146*(X10+X148)),0)</f>
        <v>11.1067920268817</v>
      </c>
      <c r="Y149" s="13" t="n">
        <f aca="false">IF(Time!Y53=1,Funding!$F$25*Inputs!$F$75*(Y145+Y146*(Y10+Y148)),0)</f>
        <v>10.9072705530014</v>
      </c>
      <c r="Z149" s="13" t="n">
        <f aca="false">IF(Time!Z53=1,Funding!$F$25*Inputs!$F$75*(Z145+Z146*(Z10+Z148)),0)</f>
        <v>10.7571598872693</v>
      </c>
      <c r="AA149" s="13" t="n">
        <f aca="false">IF(Time!AA53=1,Funding!$F$25*Inputs!$F$75*(AA145+AA146*(AA10+AA148)),0)</f>
        <v>10.5605449315154</v>
      </c>
      <c r="AB149" s="13" t="n">
        <f aca="false">IF(Time!AB53=1,Funding!$F$25*Inputs!$F$75*(AB145+AB146*(AB10+AB148)),0)</f>
        <v>10.4075277476569</v>
      </c>
      <c r="AC149" s="13" t="n">
        <f aca="false">IF(Time!AC53=1,Funding!$F$25*Inputs!$F$75*(AC145+AC146*(AC10+AC148)),0)</f>
        <v>10.2201167659698</v>
      </c>
      <c r="AD149" s="13" t="n">
        <f aca="false">IF(Time!AD53=1,Funding!$F$25*Inputs!$F$75*(AD145+AD146*(AD10+AD148)),0)</f>
        <v>10.0578956080445</v>
      </c>
      <c r="AE149" s="13" t="n">
        <f aca="false">IF(Time!AE53=1,Funding!$F$25*Inputs!$F$75*(AE145+AE146*(AE10+AE148)),0)</f>
        <v>9.8670936885433</v>
      </c>
      <c r="AF149" s="13" t="n">
        <f aca="false">IF(Time!AF53=1,Funding!$F$25*Inputs!$F$75*(AF145+AF146*(AF10+AF148)),0)</f>
        <v>9.7082634684321</v>
      </c>
      <c r="AG149" s="13" t="n">
        <f aca="false">IF(Time!AG53=1,Funding!$F$25*Inputs!$F$75*(AG145+AG146*(AG10+AG148)),0)</f>
        <v>9.52036806705726</v>
      </c>
      <c r="AH149" s="13" t="n">
        <f aca="false">IF(Time!AH53=1,Funding!$F$25*Inputs!$F$75*(AH145+AH146*(AH10+AH148)),0)</f>
        <v>9.3586313288197</v>
      </c>
      <c r="AI149" s="13" t="n">
        <f aca="false">IF(Time!AI53=1,Funding!$F$25*Inputs!$F$75*(AI145+AI146*(AI10+AI148)),0)</f>
        <v>9.17364244557123</v>
      </c>
      <c r="AJ149" s="13" t="n">
        <f aca="false">IF(Time!AJ53=1,Funding!$F$25*Inputs!$F$75*(AJ145+AJ146*(AJ10+AJ148)),0)</f>
        <v>9.0089991892073</v>
      </c>
      <c r="AK149" s="13" t="n">
        <f aca="false">IF(Time!AK53=1,Funding!$F$25*Inputs!$F$75*(AK145+AK146*(AK10+AK148)),0)</f>
        <v>8.82933892252383</v>
      </c>
      <c r="AL149" s="13" t="n">
        <f aca="false">IF(Time!AL53=1,Funding!$F$25*Inputs!$F$75*(AL145+AL146*(AL10+AL148)),0)</f>
        <v>8.6593670495949</v>
      </c>
      <c r="AM149" s="13" t="n">
        <f aca="false">IF(Time!AM53=1,Funding!$F$25*Inputs!$F$75*(AM145+AM146*(AM10+AM148)),0)</f>
        <v>8.48019120259916</v>
      </c>
      <c r="AN149" s="13" t="n">
        <f aca="false">IF(Time!AN53=1,Funding!$F$25*Inputs!$F$75*(AN145+AN146*(AN10+AN148)),0)</f>
        <v>8.3097349099825</v>
      </c>
      <c r="AO149" s="13" t="n">
        <f aca="false">IF(Time!AO53=1,Funding!$F$25*Inputs!$F$75*(AO145+AO146*(AO10+AO148)),0)</f>
        <v>8.13346558111312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170.322182370403</v>
      </c>
      <c r="Q150" s="13" t="n">
        <f aca="false">IF(Time!Q53=1,(Q149+R150)/(1+Q127),0)</f>
        <v>164.602665528209</v>
      </c>
      <c r="R150" s="13" t="n">
        <f aca="false">IF(Time!R53=1,(R149+S150)/(1+R127),0)</f>
        <v>158.788415191558</v>
      </c>
      <c r="S150" s="13" t="n">
        <f aca="false">IF(Time!S53=1,(S149+T150)/(1+S127),0)</f>
        <v>152.959025618533</v>
      </c>
      <c r="T150" s="13" t="n">
        <f aca="false">IF(Time!T53=1,(T149+U150)/(1+T127),0)</f>
        <v>147.033155793101</v>
      </c>
      <c r="U150" s="13" t="n">
        <f aca="false">IF(Time!U53=1,(U149+V150)/(1+U127),0)</f>
        <v>141.085098266417</v>
      </c>
      <c r="V150" s="13" t="n">
        <f aca="false">IF(Time!V53=1,(V149+W150)/(1+V127),0)</f>
        <v>135.050632789897</v>
      </c>
      <c r="W150" s="13" t="n">
        <f aca="false">IF(Time!W53=1,(W149+X150)/(1+W127),0)</f>
        <v>128.974807562303</v>
      </c>
      <c r="X150" s="13" t="n">
        <f aca="false">IF(Time!X53=1,(X149+Y150)/(1+X127),0)</f>
        <v>122.798196053498</v>
      </c>
      <c r="Y150" s="13" t="n">
        <f aca="false">IF(Time!Y53=1,(Y149+Z150)/(1+Y127),0)</f>
        <v>116.583849398658</v>
      </c>
      <c r="Z150" s="13" t="n">
        <f aca="false">IF(Time!Z53=1,(Z149+AA150)/(1+Z127),0)</f>
        <v>110.442943166113</v>
      </c>
      <c r="AA150" s="13" t="n">
        <f aca="false">IF(Time!AA53=1,(AA149+AB150)/(1+AA127),0)</f>
        <v>104.256220606176</v>
      </c>
      <c r="AB150" s="13" t="n">
        <f aca="false">IF(Time!AB53=1,(AB149+AC150)/(1+AB127),0)</f>
        <v>97.9580424831512</v>
      </c>
      <c r="AC150" s="13" t="n">
        <f aca="false">IF(Time!AC53=1,(AC149+AD150)/(1+AC127),0)</f>
        <v>91.60429201671</v>
      </c>
      <c r="AD150" s="13" t="n">
        <f aca="false">IF(Time!AD53=1,(AD149+AE150)/(1+AD127),0)</f>
        <v>85.1445295415534</v>
      </c>
      <c r="AE150" s="13" t="n">
        <f aca="false">IF(Time!AE53=1,(AE149+AF150)/(1+AE127),0)</f>
        <v>78.6101522759128</v>
      </c>
      <c r="AF150" s="13" t="n">
        <f aca="false">IF(Time!AF53=1,(AF149+AG150)/(1+AF127),0)</f>
        <v>71.9569224884687</v>
      </c>
      <c r="AG150" s="13" t="n">
        <f aca="false">IF(Time!AG53=1,(AG149+AH150)/(1+AG127),0)</f>
        <v>65.2264373648839</v>
      </c>
      <c r="AH150" s="13" t="n">
        <f aca="false">IF(Time!AH53=1,(AH149+AI150)/(1+AH127),0)</f>
        <v>58.4716628687866</v>
      </c>
      <c r="AI150" s="13" t="n">
        <f aca="false">IF(Time!AI53=1,(AI149+AJ150)/(1+AI127),0)</f>
        <v>51.6228831160645</v>
      </c>
      <c r="AJ150" s="13" t="n">
        <f aca="false">IF(Time!AJ53=1,(AJ149+AK150)/(1+AJ127),0)</f>
        <v>44.6380450790729</v>
      </c>
      <c r="AK150" s="13" t="n">
        <f aca="false">IF(Time!AK53=1,(AK149+AL150)/(1+AK127),0)</f>
        <v>37.5450999628794</v>
      </c>
      <c r="AL150" s="13" t="n">
        <f aca="false">IF(Time!AL53=1,(AL149+AM150)/(1+AL127),0)</f>
        <v>30.3142313059896</v>
      </c>
      <c r="AM150" s="13" t="n">
        <f aca="false">IF(Time!AM53=1,(AM149+AN150)/(1+AM127),0)</f>
        <v>22.9560795372438</v>
      </c>
      <c r="AN150" s="13" t="n">
        <f aca="false">IF(Time!AN53=1,(AN149+AO150)/(1+AN127),0)</f>
        <v>15.4492235120282</v>
      </c>
      <c r="AO150" s="13" t="n">
        <f aca="false">IF(Time!AO53=1,(AO149+AP150)/(1+AO127),0)</f>
        <v>7.80263474974738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40.8397629577698</v>
      </c>
      <c r="P9" s="13" t="n">
        <f aca="false">IF(Time!P34=1,SUM(Funding!$J$44:$BJ$44),O13)</f>
        <v>40.8397629577698</v>
      </c>
      <c r="Q9" s="13" t="n">
        <f aca="false">IF(Time!Q34=1,SUM(Funding!$J$44:$BJ$44),P13)</f>
        <v>40.7338347059295</v>
      </c>
      <c r="R9" s="13" t="n">
        <f aca="false">IF(Time!R34=1,SUM(Funding!$J$44:$BJ$44),Q13)</f>
        <v>41.2567859332599</v>
      </c>
      <c r="S9" s="13" t="n">
        <f aca="false">IF(Time!S34=1,SUM(Funding!$J$44:$BJ$44),R13)</f>
        <v>40.9268485243982</v>
      </c>
      <c r="T9" s="13" t="n">
        <f aca="false">IF(Time!T34=1,SUM(Funding!$J$44:$BJ$44),S13)</f>
        <v>41.394399963132</v>
      </c>
      <c r="U9" s="13" t="n">
        <f aca="false">IF(Time!U34=1,SUM(Funding!$J$44:$BJ$44),T13)</f>
        <v>41.1878277616224</v>
      </c>
      <c r="V9" s="13" t="n">
        <f aca="false">IF(Time!V34=1,SUM(Funding!$J$44:$BJ$44),U13)</f>
        <v>41.9787510895358</v>
      </c>
      <c r="W9" s="13" t="n">
        <f aca="false">IF(Time!W34=1,SUM(Funding!$J$44:$BJ$44),V13)</f>
        <v>41.6770109428763</v>
      </c>
      <c r="X9" s="13" t="n">
        <f aca="false">IF(Time!X34=1,SUM(Funding!$J$44:$BJ$44),W13)</f>
        <v>40.4844123042689</v>
      </c>
      <c r="Y9" s="13" t="n">
        <f aca="false">IF(Time!Y34=1,SUM(Funding!$J$44:$BJ$44),X13)</f>
        <v>40.0830394775341</v>
      </c>
      <c r="Z9" s="13" t="n">
        <f aca="false">IF(Time!Z34=1,SUM(Funding!$J$44:$BJ$44),Y13)</f>
        <v>40.4200347092617</v>
      </c>
      <c r="AA9" s="13" t="n">
        <f aca="false">IF(Time!AA34=1,SUM(Funding!$J$44:$BJ$44),Z13)</f>
        <v>40.0843659159374</v>
      </c>
      <c r="AB9" s="13" t="n">
        <f aca="false">IF(Time!AB34=1,SUM(Funding!$J$44:$BJ$44),AA13)</f>
        <v>40.562238941446</v>
      </c>
      <c r="AC9" s="13" t="n">
        <f aca="false">IF(Time!AC34=1,SUM(Funding!$J$44:$BJ$44),AB13)</f>
        <v>39.9566004795035</v>
      </c>
      <c r="AD9" s="13" t="n">
        <f aca="false">IF(Time!AD34=1,SUM(Funding!$J$44:$BJ$44),AC13)</f>
        <v>40.9221672411284</v>
      </c>
      <c r="AE9" s="13" t="n">
        <f aca="false">IF(Time!AE34=1,SUM(Funding!$J$44:$BJ$44),AD13)</f>
        <v>40.4427803871316</v>
      </c>
      <c r="AF9" s="13" t="n">
        <f aca="false">IF(Time!AF34=1,SUM(Funding!$J$44:$BJ$44),AE13)</f>
        <v>39.8408577415708</v>
      </c>
      <c r="AG9" s="13" t="n">
        <f aca="false">IF(Time!AG34=1,SUM(Funding!$J$44:$BJ$44),AF13)</f>
        <v>38.6964525892249</v>
      </c>
      <c r="AH9" s="13" t="n">
        <f aca="false">IF(Time!AH34=1,SUM(Funding!$J$44:$BJ$44),AG13)</f>
        <v>38.1483156287115</v>
      </c>
      <c r="AI9" s="13" t="n">
        <f aca="false">IF(Time!AI34=1,SUM(Funding!$J$44:$BJ$44),AH13)</f>
        <v>36.6975103327738</v>
      </c>
      <c r="AJ9" s="13" t="n">
        <f aca="false">IF(Time!AJ34=1,SUM(Funding!$J$44:$BJ$44),AI13)</f>
        <v>35.5706524357715</v>
      </c>
      <c r="AK9" s="13" t="n">
        <f aca="false">IF(Time!AK34=1,SUM(Funding!$J$44:$BJ$44),AJ13)</f>
        <v>33.5600995945371</v>
      </c>
      <c r="AL9" s="13" t="n">
        <f aca="false">IF(Time!AL34=1,SUM(Funding!$J$44:$BJ$44),AK13)</f>
        <v>31.5814759092872</v>
      </c>
      <c r="AM9" s="13" t="n">
        <f aca="false">IF(Time!AM34=1,SUM(Funding!$J$44:$BJ$44),AL13)</f>
        <v>27.7328654970075</v>
      </c>
      <c r="AN9" s="13" t="n">
        <f aca="false">IF(Time!AN34=1,SUM(Funding!$J$44:$BJ$44),AM13)</f>
        <v>20.6274080042259</v>
      </c>
      <c r="AO9" s="13" t="n">
        <f aca="false">IF(Time!AO34=1,SUM(Funding!$J$44:$BJ$44),AN13)</f>
        <v>19.7398633964885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3.56186101283868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0.522951227330474</v>
      </c>
      <c r="R11" s="13" t="n">
        <f aca="false">MIN(Waterfall!R13,MAX(0,Debt!R125-(R9-R10)))</f>
        <v>0</v>
      </c>
      <c r="S11" s="13" t="n">
        <f aca="false">MIN(Waterfall!S13,MAX(0,Debt!S125-(S9-S10)))</f>
        <v>0.467551438733715</v>
      </c>
      <c r="T11" s="13" t="n">
        <f aca="false">MIN(Waterfall!T13,MAX(0,Debt!T125-(T9-T10)))</f>
        <v>0</v>
      </c>
      <c r="U11" s="13" t="n">
        <f aca="false">MIN(Waterfall!U13,MAX(0,Debt!U125-(U9-U10)))</f>
        <v>0.790923327913404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0.336995231727599</v>
      </c>
      <c r="Z11" s="13" t="n">
        <f aca="false">MIN(Waterfall!Z13,MAX(0,Debt!Z125-(Z9-Z10)))</f>
        <v>0</v>
      </c>
      <c r="AA11" s="13" t="n">
        <f aca="false">MIN(Waterfall!AA13,MAX(0,Debt!AA125-(AA9-AA10)))</f>
        <v>0.477873025508607</v>
      </c>
      <c r="AB11" s="13" t="n">
        <f aca="false">MIN(Waterfall!AB13,MAX(0,Debt!AB125-(AB9-AB10)))</f>
        <v>0</v>
      </c>
      <c r="AC11" s="13" t="n">
        <f aca="false">MIN(Waterfall!AC13,MAX(0,Debt!AC125-(AC9-AC10)))</f>
        <v>0.965566761624878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44.4016239706084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0.105928251840311</v>
      </c>
      <c r="Q12" s="13" t="n">
        <f aca="false">MAX(0,Q9-Q10-Debt!Q125)</f>
        <v>0</v>
      </c>
      <c r="R12" s="13" t="n">
        <f aca="false">MAX(0,R9-R10-Debt!R125)</f>
        <v>0.329937408861682</v>
      </c>
      <c r="S12" s="13" t="n">
        <f aca="false">MAX(0,S9-S10-Debt!S125)</f>
        <v>0</v>
      </c>
      <c r="T12" s="13" t="n">
        <f aca="false">MAX(0,T9-T10-Debt!T125)</f>
        <v>0.206572201509609</v>
      </c>
      <c r="U12" s="13" t="n">
        <f aca="false">MAX(0,U9-U10-Debt!U125)</f>
        <v>0</v>
      </c>
      <c r="V12" s="13" t="n">
        <f aca="false">MAX(0,V9-V10-Debt!V125)</f>
        <v>0.301740146659498</v>
      </c>
      <c r="W12" s="13" t="n">
        <f aca="false">MAX(0,W9-W10-Debt!W125)</f>
        <v>1.19259863860736</v>
      </c>
      <c r="X12" s="13" t="n">
        <f aca="false">MAX(0,X9-X10-Debt!X125)</f>
        <v>0.401372826734765</v>
      </c>
      <c r="Y12" s="13" t="n">
        <f aca="false">MAX(0,Y9-Y10-Debt!Y125)</f>
        <v>0</v>
      </c>
      <c r="Z12" s="13" t="n">
        <f aca="false">MAX(0,Z9-Z10-Debt!Z125)</f>
        <v>0.335668793324381</v>
      </c>
      <c r="AA12" s="13" t="n">
        <f aca="false">MAX(0,AA9-AA10-Debt!AA125)</f>
        <v>0</v>
      </c>
      <c r="AB12" s="13" t="n">
        <f aca="false">MAX(0,AB9-AB10-Debt!AB125)</f>
        <v>0.605638461942434</v>
      </c>
      <c r="AC12" s="13" t="n">
        <f aca="false">MAX(0,AC9-AC10-Debt!AC125)</f>
        <v>0</v>
      </c>
      <c r="AD12" s="13" t="n">
        <f aca="false">MAX(0,AD9-AD10-Debt!AD125)</f>
        <v>0.479386853996822</v>
      </c>
      <c r="AE12" s="13" t="n">
        <f aca="false">MAX(0,AE9-AE10-Debt!AE125)</f>
        <v>0.601922645560791</v>
      </c>
      <c r="AF12" s="13" t="n">
        <f aca="false">MAX(0,AF9-AF10-Debt!AF125)</f>
        <v>1.14440515234591</v>
      </c>
      <c r="AG12" s="13" t="n">
        <f aca="false">MAX(0,AG9-AG10-Debt!AG125)</f>
        <v>0.548136960513375</v>
      </c>
      <c r="AH12" s="13" t="n">
        <f aca="false">MAX(0,AH9-AH10-Debt!AH125)</f>
        <v>1.45080529593775</v>
      </c>
      <c r="AI12" s="13" t="n">
        <f aca="false">MAX(0,AI9-AI10-Debt!AI125)</f>
        <v>1.12685789700221</v>
      </c>
      <c r="AJ12" s="13" t="n">
        <f aca="false">MAX(0,AJ9-AJ10-Debt!AJ125)</f>
        <v>2.01055284123446</v>
      </c>
      <c r="AK12" s="13" t="n">
        <f aca="false">MAX(0,AK9-AK10-Debt!AK125)</f>
        <v>1.97862368524988</v>
      </c>
      <c r="AL12" s="13" t="n">
        <f aca="false">MAX(0,AL9-AL10-Debt!AL125)</f>
        <v>3.84861041227974</v>
      </c>
      <c r="AM12" s="13" t="n">
        <f aca="false">MAX(0,AM9-AM10-Debt!AM125)</f>
        <v>7.10545749278158</v>
      </c>
      <c r="AN12" s="13" t="n">
        <f aca="false">MAX(0,AN9-AN10-Debt!AN125)</f>
        <v>0.8875446077374</v>
      </c>
      <c r="AO12" s="13" t="n">
        <f aca="false">MAX(0,AO9-AO10-Debt!AO125)</f>
        <v>19.7398633964885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40.8397629577698</v>
      </c>
      <c r="P13" s="13" t="n">
        <f aca="false">(1-Time!P37)*(P9-P10+P11-P12)</f>
        <v>40.7338347059295</v>
      </c>
      <c r="Q13" s="13" t="n">
        <f aca="false">(1-Time!Q37)*(Q9-Q10+Q11-Q12)</f>
        <v>41.2567859332599</v>
      </c>
      <c r="R13" s="13" t="n">
        <f aca="false">(1-Time!R37)*(R9-R10+R11-R12)</f>
        <v>40.9268485243982</v>
      </c>
      <c r="S13" s="13" t="n">
        <f aca="false">(1-Time!S37)*(S9-S10+S11-S12)</f>
        <v>41.394399963132</v>
      </c>
      <c r="T13" s="13" t="n">
        <f aca="false">(1-Time!T37)*(T9-T10+T11-T12)</f>
        <v>41.1878277616224</v>
      </c>
      <c r="U13" s="13" t="n">
        <f aca="false">(1-Time!U37)*(U9-U10+U11-U12)</f>
        <v>41.9787510895358</v>
      </c>
      <c r="V13" s="13" t="n">
        <f aca="false">(1-Time!V37)*(V9-V10+V11-V12)</f>
        <v>41.6770109428763</v>
      </c>
      <c r="W13" s="13" t="n">
        <f aca="false">(1-Time!W37)*(W9-W10+W11-W12)</f>
        <v>40.4844123042689</v>
      </c>
      <c r="X13" s="13" t="n">
        <f aca="false">(1-Time!X37)*(X9-X10+X11-X12)</f>
        <v>40.0830394775341</v>
      </c>
      <c r="Y13" s="13" t="n">
        <f aca="false">(1-Time!Y37)*(Y9-Y10+Y11-Y12)</f>
        <v>40.4200347092617</v>
      </c>
      <c r="Z13" s="13" t="n">
        <f aca="false">(1-Time!Z37)*(Z9-Z10+Z11-Z12)</f>
        <v>40.0843659159374</v>
      </c>
      <c r="AA13" s="13" t="n">
        <f aca="false">(1-Time!AA37)*(AA9-AA10+AA11-AA12)</f>
        <v>40.562238941446</v>
      </c>
      <c r="AB13" s="13" t="n">
        <f aca="false">(1-Time!AB37)*(AB9-AB10+AB11-AB12)</f>
        <v>39.9566004795035</v>
      </c>
      <c r="AC13" s="13" t="n">
        <f aca="false">(1-Time!AC37)*(AC9-AC10+AC11-AC12)</f>
        <v>40.9221672411284</v>
      </c>
      <c r="AD13" s="13" t="n">
        <f aca="false">(1-Time!AD37)*(AD9-AD10+AD11-AD12)</f>
        <v>40.4427803871316</v>
      </c>
      <c r="AE13" s="13" t="n">
        <f aca="false">(1-Time!AE37)*(AE9-AE10+AE11-AE12)</f>
        <v>39.8408577415708</v>
      </c>
      <c r="AF13" s="13" t="n">
        <f aca="false">(1-Time!AF37)*(AF9-AF10+AF11-AF12)</f>
        <v>38.6964525892249</v>
      </c>
      <c r="AG13" s="13" t="n">
        <f aca="false">(1-Time!AG37)*(AG9-AG10+AG11-AG12)</f>
        <v>38.1483156287115</v>
      </c>
      <c r="AH13" s="13" t="n">
        <f aca="false">(1-Time!AH37)*(AH9-AH10+AH11-AH12)</f>
        <v>36.6975103327738</v>
      </c>
      <c r="AI13" s="13" t="n">
        <f aca="false">(1-Time!AI37)*(AI9-AI10+AI11-AI12)</f>
        <v>35.5706524357715</v>
      </c>
      <c r="AJ13" s="13" t="n">
        <f aca="false">(1-Time!AJ37)*(AJ9-AJ10+AJ11-AJ12)</f>
        <v>33.5600995945371</v>
      </c>
      <c r="AK13" s="13" t="n">
        <f aca="false">(1-Time!AK37)*(AK9-AK10+AK11-AK12)</f>
        <v>31.5814759092872</v>
      </c>
      <c r="AL13" s="13" t="n">
        <f aca="false">(1-Time!AL37)*(AL9-AL10+AL11-AL12)</f>
        <v>27.7328654970075</v>
      </c>
      <c r="AM13" s="13" t="n">
        <f aca="false">(1-Time!AM37)*(AM9-AM10+AM11-AM12)</f>
        <v>20.6274080042259</v>
      </c>
      <c r="AN13" s="13" t="n">
        <f aca="false">(1-Time!AN37)*(AN9-AN10+AN11-AN12)</f>
        <v>19.7398633964885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2377.2609981371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50.272094271267</v>
      </c>
      <c r="Q7" s="13" t="n">
        <f aca="false">Operations!Q84-Tax!Q27-Operations!Q96-Reserves!Q7+Operations!Q79+Operations!Q97</f>
        <v>50.1606970752772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51.0636231523816</v>
      </c>
      <c r="AO7" s="13" t="n">
        <f aca="false">Operations!AO84-Tax!AO27-Operations!AO96-Reserves!AO7+Operations!AO79+Operations!AO97</f>
        <v>50.6913261501648</v>
      </c>
      <c r="AP7" s="13" t="n">
        <f aca="false">Operations!AP84-Tax!AP27-Operations!AP96-Reserves!AP7+Operations!AP79+Operations!AP97</f>
        <v>51.3901970401744</v>
      </c>
      <c r="AQ7" s="13" t="n">
        <f aca="false">Operations!AQ84-Tax!AQ27-Operations!AQ96-Reserves!AQ7+Operations!AQ79+Operations!AQ97</f>
        <v>50.9756781429533</v>
      </c>
      <c r="AR7" s="13" t="n">
        <f aca="false">Operations!AR84-Tax!AR27-Operations!AR96-Reserves!AR7+Operations!AR79+Operations!AR97</f>
        <v>51.5989019777388</v>
      </c>
      <c r="AS7" s="13" t="n">
        <f aca="false">Operations!AS84-Tax!AS27-Operations!AS96-Reserves!AS7+Operations!AS79+Operations!AS97</f>
        <v>51.4095269231289</v>
      </c>
      <c r="AT7" s="13" t="n">
        <f aca="false">Operations!AT84-Tax!AT27-Operations!AT96-Reserves!AT7+Operations!AT79+Operations!AT97</f>
        <v>53.7294617386417</v>
      </c>
      <c r="AU7" s="13" t="n">
        <f aca="false">Operations!AU84-Tax!AU27-Operations!AU96-Reserves!AU7+Operations!AU79+Operations!AU97</f>
        <v>47.3625342674678</v>
      </c>
      <c r="AV7" s="13" t="n">
        <f aca="false">Operations!AV84-Tax!AV27-Operations!AV96-Reserves!AV7+Operations!AV79+Operations!AV97</f>
        <v>44.4949406345085</v>
      </c>
      <c r="AW7" s="13" t="n">
        <f aca="false">Operations!AW84-Tax!AW27-Operations!AW96-Reserves!AW7+Operations!AW79+Operations!AW97</f>
        <v>44.0705558465721</v>
      </c>
      <c r="AX7" s="13" t="n">
        <f aca="false">Operations!AX84-Tax!AX27-Operations!AX96-Reserves!AX7+Operations!AX79+Operations!AX97</f>
        <v>44.7453958769118</v>
      </c>
      <c r="AY7" s="13" t="n">
        <f aca="false">Operations!AY84-Tax!AY27-Operations!AY96-Reserves!AY7+Operations!AY79+Operations!AY97</f>
        <v>44.2884733903584</v>
      </c>
      <c r="AZ7" s="13" t="n">
        <f aca="false">Operations!AZ84-Tax!AZ27-Operations!AZ96-Reserves!AZ7+Operations!AZ79+Operations!AZ97</f>
        <v>44.9063635302614</v>
      </c>
      <c r="BA7" s="13" t="n">
        <f aca="false">Operations!BA84-Tax!BA27-Operations!BA96-Reserves!BA7+Operations!BA79+Operations!BA97</f>
        <v>44.608719198809</v>
      </c>
      <c r="BB7" s="13" t="n">
        <f aca="false">Operations!BB84-Tax!BB27-Operations!BB96-Reserves!BB7+Operations!BB79+Operations!BB97</f>
        <v>46.8558810727021</v>
      </c>
      <c r="BC7" s="13" t="n">
        <f aca="false">Operations!BC84-Tax!BC27-Operations!BC96-Reserves!BC7+Operations!BC79+Operations!BC97</f>
        <v>43.2747431010597</v>
      </c>
      <c r="BD7" s="13" t="n">
        <f aca="false">Operations!BD84-Tax!BD27-Operations!BD96-Reserves!BD7+Operations!BD79+Operations!BD97</f>
        <v>36.8114755493917</v>
      </c>
      <c r="BE7" s="13" t="n">
        <f aca="false">Operations!BE84-Tax!BE27-Operations!BE96-Reserves!BE7+Operations!BE79+Operations!BE97</f>
        <v>36.3784981438697</v>
      </c>
      <c r="BF7" s="13" t="n">
        <f aca="false">Operations!BF84-Tax!BF27-Operations!BF96-Reserves!BF7+Operations!BF79+Operations!BF97</f>
        <v>37.0828002690537</v>
      </c>
      <c r="BG7" s="13" t="n">
        <f aca="false">Operations!BG84-Tax!BG27-Operations!BG96-Reserves!BG7+Operations!BG79+Operations!BG97</f>
        <v>36.6151688886859</v>
      </c>
      <c r="BH7" s="13" t="n">
        <f aca="false">Operations!BH84-Tax!BH27-Operations!BH96-Reserves!BH7+Operations!BH79+Operations!BH97</f>
        <v>37.2563330093593</v>
      </c>
      <c r="BI7" s="13" t="n">
        <f aca="false">Operations!BI84-Tax!BI27-Operations!BI96-Reserves!BI7+Operations!BI79+Operations!BI97</f>
        <v>36.9952324489954</v>
      </c>
      <c r="BJ7" s="13" t="n">
        <f aca="false">Operations!BJ84-Tax!BJ27-Operations!BJ96-Reserves!BJ7+Operations!BJ79+Operations!BJ97</f>
        <v>45.019043742144</v>
      </c>
      <c r="BK7" s="13" t="n">
        <f aca="false">Operations!BK84-Tax!BK27-Operations!BK96-Reserves!BK7+Operations!BK79+Operations!BK97</f>
        <v>39.7694012343035</v>
      </c>
      <c r="BL7" s="13" t="n">
        <f aca="false">Operations!BL84-Tax!BL27-Operations!BL96-Reserves!BL7+Operations!BL79+Operations!BL97</f>
        <v>40.5175523574444</v>
      </c>
      <c r="BM7" s="13" t="n">
        <f aca="false">Operations!BM84-Tax!BM27-Operations!BM96-Reserves!BM7+Operations!BM79+Operations!BM97</f>
        <v>37.4586386098759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1.87224719782305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52.1443414690901</v>
      </c>
      <c r="Q9" s="13" t="n">
        <f aca="false">Q7+Q8</f>
        <v>50.1606970752772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51.0636231523816</v>
      </c>
      <c r="AO9" s="13" t="n">
        <f aca="false">AO7+AO8</f>
        <v>50.6913261501648</v>
      </c>
      <c r="AP9" s="13" t="n">
        <f aca="false">AP7+AP8</f>
        <v>51.3901970401744</v>
      </c>
      <c r="AQ9" s="13" t="n">
        <f aca="false">AQ7+AQ8</f>
        <v>50.9756781429533</v>
      </c>
      <c r="AR9" s="13" t="n">
        <f aca="false">AR7+AR8</f>
        <v>51.5989019777388</v>
      </c>
      <c r="AS9" s="13" t="n">
        <f aca="false">AS7+AS8</f>
        <v>51.4095269231289</v>
      </c>
      <c r="AT9" s="13" t="n">
        <f aca="false">AT7+AT8</f>
        <v>53.7294617386417</v>
      </c>
      <c r="AU9" s="13" t="n">
        <f aca="false">AU7+AU8</f>
        <v>47.3625342674678</v>
      </c>
      <c r="AV9" s="13" t="n">
        <f aca="false">AV7+AV8</f>
        <v>44.4949406345085</v>
      </c>
      <c r="AW9" s="13" t="n">
        <f aca="false">AW7+AW8</f>
        <v>44.0705558465721</v>
      </c>
      <c r="AX9" s="13" t="n">
        <f aca="false">AX7+AX8</f>
        <v>44.7453958769118</v>
      </c>
      <c r="AY9" s="13" t="n">
        <f aca="false">AY7+AY8</f>
        <v>44.2884733903584</v>
      </c>
      <c r="AZ9" s="13" t="n">
        <f aca="false">AZ7+AZ8</f>
        <v>44.9063635302614</v>
      </c>
      <c r="BA9" s="13" t="n">
        <f aca="false">BA7+BA8</f>
        <v>44.608719198809</v>
      </c>
      <c r="BB9" s="13" t="n">
        <f aca="false">BB7+BB8</f>
        <v>46.8558810727021</v>
      </c>
      <c r="BC9" s="13" t="n">
        <f aca="false">BC7+BC8</f>
        <v>43.2747431010597</v>
      </c>
      <c r="BD9" s="13" t="n">
        <f aca="false">BD7+BD8</f>
        <v>36.8114755493917</v>
      </c>
      <c r="BE9" s="13" t="n">
        <f aca="false">BE7+BE8</f>
        <v>36.3784981438697</v>
      </c>
      <c r="BF9" s="13" t="n">
        <f aca="false">BF7+BF8</f>
        <v>37.0828002690537</v>
      </c>
      <c r="BG9" s="13" t="n">
        <f aca="false">BG7+BG8</f>
        <v>36.6151688886859</v>
      </c>
      <c r="BH9" s="13" t="n">
        <f aca="false">BH7+BH8</f>
        <v>37.2563330093593</v>
      </c>
      <c r="BI9" s="13" t="n">
        <f aca="false">BI7+BI8</f>
        <v>36.9952324489954</v>
      </c>
      <c r="BJ9" s="13" t="n">
        <f aca="false">BJ7+BJ8</f>
        <v>45.019043742144</v>
      </c>
      <c r="BK9" s="13" t="n">
        <f aca="false">BK7+BK8</f>
        <v>39.7694012343035</v>
      </c>
      <c r="BL9" s="13" t="n">
        <f aca="false">BL7+BL8</f>
        <v>40.5175523574444</v>
      </c>
      <c r="BM9" s="13" t="n">
        <f aca="false">BM7+BM8</f>
        <v>37.4586386098759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956.253417171259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40.8397629577698</v>
      </c>
      <c r="Q10" s="13" t="n">
        <f aca="false">Debt!Q114+Debt!Q110</f>
        <v>40.7338347059295</v>
      </c>
      <c r="R10" s="13" t="n">
        <f aca="false">Debt!R114+Debt!R110</f>
        <v>41.2567859332599</v>
      </c>
      <c r="S10" s="13" t="n">
        <f aca="false">Debt!S114+Debt!S110</f>
        <v>40.9268485243983</v>
      </c>
      <c r="T10" s="13" t="n">
        <f aca="false">Debt!T114+Debt!T110</f>
        <v>41.394399963132</v>
      </c>
      <c r="U10" s="13" t="n">
        <f aca="false">Debt!U114+Debt!U110</f>
        <v>41.1878277616224</v>
      </c>
      <c r="V10" s="13" t="n">
        <f aca="false">Debt!V114+Debt!V110</f>
        <v>41.9787510895358</v>
      </c>
      <c r="W10" s="13" t="n">
        <f aca="false">Debt!W114+Debt!W110</f>
        <v>41.6770109428763</v>
      </c>
      <c r="X10" s="13" t="n">
        <f aca="false">Debt!X114+Debt!X110</f>
        <v>40.4844123042689</v>
      </c>
      <c r="Y10" s="13" t="n">
        <f aca="false">Debt!Y114+Debt!Y110</f>
        <v>40.0830394775341</v>
      </c>
      <c r="Z10" s="13" t="n">
        <f aca="false">Debt!Z114+Debt!Z110</f>
        <v>40.4200347092617</v>
      </c>
      <c r="AA10" s="13" t="n">
        <f aca="false">Debt!AA114+Debt!AA110</f>
        <v>40.0843659159373</v>
      </c>
      <c r="AB10" s="13" t="n">
        <f aca="false">Debt!AB114+Debt!AB110</f>
        <v>40.1276287674298</v>
      </c>
      <c r="AC10" s="13" t="n">
        <f aca="false">Debt!AC114+Debt!AC110</f>
        <v>39.4180982681942</v>
      </c>
      <c r="AD10" s="13" t="n">
        <f aca="false">Debt!AD114+Debt!AD110</f>
        <v>40.3848552879583</v>
      </c>
      <c r="AE10" s="13" t="n">
        <f aca="false">Debt!AE114+Debt!AE110</f>
        <v>39.7207091967638</v>
      </c>
      <c r="AF10" s="13" t="n">
        <f aca="false">Debt!AF114+Debt!AF110</f>
        <v>38.9975253636837</v>
      </c>
      <c r="AG10" s="13" t="n">
        <f aca="false">Debt!AG114+Debt!AG110</f>
        <v>37.6728380619192</v>
      </c>
      <c r="AH10" s="13" t="n">
        <f aca="false">Debt!AH114+Debt!AH110</f>
        <v>36.9689831651859</v>
      </c>
      <c r="AI10" s="13" t="n">
        <f aca="false">Debt!AI114+Debt!AI110</f>
        <v>35.179027788249</v>
      </c>
      <c r="AJ10" s="13" t="n">
        <f aca="false">Debt!AJ114+Debt!AJ110</f>
        <v>33.6861347862783</v>
      </c>
      <c r="AK10" s="13" t="n">
        <f aca="false">Debt!AK114+Debt!AK110</f>
        <v>30.9601897757425</v>
      </c>
      <c r="AL10" s="13" t="n">
        <f aca="false">Debt!AL114+Debt!AL110</f>
        <v>27.8594113484004</v>
      </c>
      <c r="AM10" s="13" t="n">
        <f aca="false">Debt!AM114+Debt!AM110</f>
        <v>23.8436696752136</v>
      </c>
      <c r="AN10" s="13" t="n">
        <f aca="false">Debt!AN114+Debt!AN110</f>
        <v>20.6274080042259</v>
      </c>
      <c r="AO10" s="13" t="n">
        <f aca="false">Debt!AO114+Debt!AO110</f>
        <v>19.7398633964885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11.3045785113203</v>
      </c>
      <c r="Q13" s="13" t="n">
        <f aca="false">MAX(0,Q9-Q10)</f>
        <v>9.42686236934777</v>
      </c>
      <c r="R13" s="13" t="n">
        <f aca="false">MAX(0,R9-R10)</f>
        <v>9.53667393979927</v>
      </c>
      <c r="S13" s="13" t="n">
        <f aca="false">MAX(0,S9-S10)</f>
        <v>9.47312334429405</v>
      </c>
      <c r="T13" s="13" t="n">
        <f aca="false">MAX(0,T9-T10)</f>
        <v>9.56974404684819</v>
      </c>
      <c r="U13" s="13" t="n">
        <f aca="false">MAX(0,U9-U10)</f>
        <v>9.53260746126085</v>
      </c>
      <c r="V13" s="13" t="n">
        <f aca="false">MAX(0,V9-V10)</f>
        <v>9.70994123224656</v>
      </c>
      <c r="W13" s="13" t="n">
        <f aca="false">MAX(0,W9-W10)</f>
        <v>9.65434608531117</v>
      </c>
      <c r="X13" s="13" t="n">
        <f aca="false">MAX(0,X9-X10)</f>
        <v>9.36676105041362</v>
      </c>
      <c r="Y13" s="13" t="n">
        <f aca="false">MAX(0,Y9-Y10)</f>
        <v>9.28698978560428</v>
      </c>
      <c r="Z13" s="13" t="n">
        <f aca="false">MAX(0,Z9-Z10)</f>
        <v>9.35630549089159</v>
      </c>
      <c r="AA13" s="13" t="n">
        <f aca="false">MAX(0,AA9-AA10)</f>
        <v>9.29092201585597</v>
      </c>
      <c r="AB13" s="13" t="n">
        <f aca="false">MAX(0,AB9-AB10)</f>
        <v>9.8287818890512</v>
      </c>
      <c r="AC13" s="13" t="n">
        <f aca="false">MAX(0,AC9-AC10)</f>
        <v>10.3333561744956</v>
      </c>
      <c r="AD13" s="13" t="n">
        <f aca="false">MAX(0,AD9-AD10)</f>
        <v>11.2776873947808</v>
      </c>
      <c r="AE13" s="13" t="n">
        <f aca="false">MAX(0,AE9-AE10)</f>
        <v>12.025122740903</v>
      </c>
      <c r="AF13" s="13" t="n">
        <f aca="false">MAX(0,AF9-AF10)</f>
        <v>12.9091602891092</v>
      </c>
      <c r="AG13" s="13" t="n">
        <f aca="false">MAX(0,AG9-AG10)</f>
        <v>13.8664410899878</v>
      </c>
      <c r="AH13" s="13" t="n">
        <f aca="false">MAX(0,AH9-AH10)</f>
        <v>15.2397615129974</v>
      </c>
      <c r="AI13" s="13" t="n">
        <f aca="false">MAX(0,AI9-AI10)</f>
        <v>16.622212962269</v>
      </c>
      <c r="AJ13" s="13" t="n">
        <f aca="false">MAX(0,AJ9-AJ10)</f>
        <v>18.7164635023604</v>
      </c>
      <c r="AK13" s="13" t="n">
        <f aca="false">MAX(0,AK9-AK10)</f>
        <v>21.204343165033</v>
      </c>
      <c r="AL13" s="13" t="n">
        <f aca="false">MAX(0,AL9-AL10)</f>
        <v>25.4161646630185</v>
      </c>
      <c r="AM13" s="13" t="n">
        <f aca="false">MAX(0,AM9-AM10)</f>
        <v>29.0560353523958</v>
      </c>
      <c r="AN13" s="13" t="n">
        <f aca="false">MAX(0,AN9-AN10)</f>
        <v>30.4362151481557</v>
      </c>
      <c r="AO13" s="13" t="n">
        <f aca="false">MAX(0,AO9-AO10)</f>
        <v>30.9514627536763</v>
      </c>
      <c r="AP13" s="13" t="n">
        <f aca="false">MAX(0,AP9-AP10)</f>
        <v>51.3901970401744</v>
      </c>
      <c r="AQ13" s="13" t="n">
        <f aca="false">MAX(0,AQ9-AQ10)</f>
        <v>50.9756781429533</v>
      </c>
      <c r="AR13" s="13" t="n">
        <f aca="false">MAX(0,AR9-AR10)</f>
        <v>51.5989019777388</v>
      </c>
      <c r="AS13" s="13" t="n">
        <f aca="false">MAX(0,AS9-AS10)</f>
        <v>51.4095269231289</v>
      </c>
      <c r="AT13" s="13" t="n">
        <f aca="false">MAX(0,AT9-AT10)</f>
        <v>53.7294617386417</v>
      </c>
      <c r="AU13" s="13" t="n">
        <f aca="false">MAX(0,AU9-AU10)</f>
        <v>47.3625342674678</v>
      </c>
      <c r="AV13" s="13" t="n">
        <f aca="false">MAX(0,AV9-AV10)</f>
        <v>44.4949406345085</v>
      </c>
      <c r="AW13" s="13" t="n">
        <f aca="false">MAX(0,AW9-AW10)</f>
        <v>44.0705558465721</v>
      </c>
      <c r="AX13" s="13" t="n">
        <f aca="false">MAX(0,AX9-AX10)</f>
        <v>44.7453958769118</v>
      </c>
      <c r="AY13" s="13" t="n">
        <f aca="false">MAX(0,AY9-AY10)</f>
        <v>44.2884733903584</v>
      </c>
      <c r="AZ13" s="13" t="n">
        <f aca="false">MAX(0,AZ9-AZ10)</f>
        <v>44.9063635302614</v>
      </c>
      <c r="BA13" s="13" t="n">
        <f aca="false">MAX(0,BA9-BA10)</f>
        <v>44.608719198809</v>
      </c>
      <c r="BB13" s="13" t="n">
        <f aca="false">MAX(0,BB9-BB10)</f>
        <v>46.8558810727021</v>
      </c>
      <c r="BC13" s="13" t="n">
        <f aca="false">MAX(0,BC9-BC10)</f>
        <v>43.2747431010597</v>
      </c>
      <c r="BD13" s="13" t="n">
        <f aca="false">MAX(0,BD9-BD10)</f>
        <v>36.8114755493917</v>
      </c>
      <c r="BE13" s="13" t="n">
        <f aca="false">MAX(0,BE9-BE10)</f>
        <v>36.3784981438697</v>
      </c>
      <c r="BF13" s="13" t="n">
        <f aca="false">MAX(0,BF9-BF10)</f>
        <v>37.0828002690537</v>
      </c>
      <c r="BG13" s="13" t="n">
        <f aca="false">MAX(0,BG9-BG10)</f>
        <v>36.6151688886859</v>
      </c>
      <c r="BH13" s="13" t="n">
        <f aca="false">MAX(0,BH9-BH10)</f>
        <v>37.2563330093593</v>
      </c>
      <c r="BI13" s="13" t="n">
        <f aca="false">MAX(0,BI9-BI10)</f>
        <v>36.9952324489954</v>
      </c>
      <c r="BJ13" s="13" t="n">
        <f aca="false">MAX(0,BJ9-BJ10)</f>
        <v>45.019043742144</v>
      </c>
      <c r="BK13" s="13" t="n">
        <f aca="false">MAX(0,BK9-BK10)</f>
        <v>39.7694012343035</v>
      </c>
      <c r="BL13" s="13" t="n">
        <f aca="false">MAX(0,BL9-BL10)</f>
        <v>40.5175523574444</v>
      </c>
      <c r="BM13" s="13" t="n">
        <f aca="false">MAX(0,BM9-BM10)</f>
        <v>37.4586386098759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1.87224719782305</v>
      </c>
      <c r="P14" s="13" t="n">
        <f aca="false">P13-Reserves!P11+Reserves!P12</f>
        <v>11.4105067631606</v>
      </c>
      <c r="Q14" s="13" t="n">
        <f aca="false">Q13-Reserves!Q11+Reserves!Q12</f>
        <v>8.90391114201729</v>
      </c>
      <c r="R14" s="13" t="n">
        <f aca="false">R13-Reserves!R11+Reserves!R12</f>
        <v>9.86661134866095</v>
      </c>
      <c r="S14" s="13" t="n">
        <f aca="false">S13-Reserves!S11+Reserves!S12</f>
        <v>9.00557190556034</v>
      </c>
      <c r="T14" s="13" t="n">
        <f aca="false">T13-Reserves!T11+Reserves!T12</f>
        <v>9.7763162483578</v>
      </c>
      <c r="U14" s="13" t="n">
        <f aca="false">U13-Reserves!U11+Reserves!U12</f>
        <v>8.74168413334744</v>
      </c>
      <c r="V14" s="13" t="n">
        <f aca="false">V13-Reserves!V11+Reserves!V12</f>
        <v>10.0116813789061</v>
      </c>
      <c r="W14" s="13" t="n">
        <f aca="false">W13-Reserves!W11+Reserves!W12</f>
        <v>10.8469447239185</v>
      </c>
      <c r="X14" s="13" t="n">
        <f aca="false">X13-Reserves!X11+Reserves!X12</f>
        <v>9.76813387714838</v>
      </c>
      <c r="Y14" s="13" t="n">
        <f aca="false">Y13-Reserves!Y11+Reserves!Y12</f>
        <v>8.94999455387668</v>
      </c>
      <c r="Z14" s="13" t="n">
        <f aca="false">Z13-Reserves!Z11+Reserves!Z12</f>
        <v>9.69197428421597</v>
      </c>
      <c r="AA14" s="13" t="n">
        <f aca="false">AA13-Reserves!AA11+Reserves!AA12</f>
        <v>8.81304899034736</v>
      </c>
      <c r="AB14" s="13" t="n">
        <f aca="false">AB13-Reserves!AB11+Reserves!AB12</f>
        <v>10.4344203509936</v>
      </c>
      <c r="AC14" s="13" t="n">
        <f aca="false">AC13-Reserves!AC11+Reserves!AC12</f>
        <v>9.36778941287071</v>
      </c>
      <c r="AD14" s="13" t="n">
        <f aca="false">AD13-Reserves!AD11+Reserves!AD12</f>
        <v>11.7570742487776</v>
      </c>
      <c r="AE14" s="13" t="n">
        <f aca="false">AE13-Reserves!AE11+Reserves!AE12</f>
        <v>12.6270453864638</v>
      </c>
      <c r="AF14" s="13" t="n">
        <f aca="false">AF13-Reserves!AF11+Reserves!AF12</f>
        <v>14.0535654414551</v>
      </c>
      <c r="AG14" s="13" t="n">
        <f aca="false">AG13-Reserves!AG11+Reserves!AG12</f>
        <v>14.4145780505012</v>
      </c>
      <c r="AH14" s="13" t="n">
        <f aca="false">AH13-Reserves!AH11+Reserves!AH12</f>
        <v>16.6905668089351</v>
      </c>
      <c r="AI14" s="13" t="n">
        <f aca="false">AI13-Reserves!AI11+Reserves!AI12</f>
        <v>17.7490708592712</v>
      </c>
      <c r="AJ14" s="13" t="n">
        <f aca="false">AJ13-Reserves!AJ11+Reserves!AJ12</f>
        <v>20.7270163435948</v>
      </c>
      <c r="AK14" s="13" t="n">
        <f aca="false">AK13-Reserves!AK11+Reserves!AK12</f>
        <v>23.1829668502829</v>
      </c>
      <c r="AL14" s="13" t="n">
        <f aca="false">AL13-Reserves!AL11+Reserves!AL12</f>
        <v>29.2647750752982</v>
      </c>
      <c r="AM14" s="13" t="n">
        <f aca="false">AM13-Reserves!AM11+Reserves!AM12</f>
        <v>36.1614928451774</v>
      </c>
      <c r="AN14" s="13" t="n">
        <f aca="false">AN13-Reserves!AN11+Reserves!AN12</f>
        <v>31.3237597558931</v>
      </c>
      <c r="AO14" s="13" t="n">
        <f aca="false">AO13-Reserves!AO11+Reserves!AO12</f>
        <v>50.6913261501648</v>
      </c>
      <c r="AP14" s="13" t="n">
        <f aca="false">AP13-Reserves!AP11+Reserves!AP12</f>
        <v>51.3901970401744</v>
      </c>
      <c r="AQ14" s="13" t="n">
        <f aca="false">AQ13-Reserves!AQ11+Reserves!AQ12</f>
        <v>50.9756781429533</v>
      </c>
      <c r="AR14" s="13" t="n">
        <f aca="false">AR13-Reserves!AR11+Reserves!AR12</f>
        <v>51.5989019777388</v>
      </c>
      <c r="AS14" s="13" t="n">
        <f aca="false">AS13-Reserves!AS11+Reserves!AS12</f>
        <v>51.4095269231289</v>
      </c>
      <c r="AT14" s="13" t="n">
        <f aca="false">AT13-Reserves!AT11+Reserves!AT12</f>
        <v>53.7294617386417</v>
      </c>
      <c r="AU14" s="13" t="n">
        <f aca="false">AU13-Reserves!AU11+Reserves!AU12</f>
        <v>47.3625342674678</v>
      </c>
      <c r="AV14" s="13" t="n">
        <f aca="false">AV13-Reserves!AV11+Reserves!AV12</f>
        <v>44.4949406345085</v>
      </c>
      <c r="AW14" s="13" t="n">
        <f aca="false">AW13-Reserves!AW11+Reserves!AW12</f>
        <v>44.0705558465721</v>
      </c>
      <c r="AX14" s="13" t="n">
        <f aca="false">AX13-Reserves!AX11+Reserves!AX12</f>
        <v>44.7453958769118</v>
      </c>
      <c r="AY14" s="13" t="n">
        <f aca="false">AY13-Reserves!AY11+Reserves!AY12</f>
        <v>44.2884733903584</v>
      </c>
      <c r="AZ14" s="13" t="n">
        <f aca="false">AZ13-Reserves!AZ11+Reserves!AZ12</f>
        <v>44.9063635302614</v>
      </c>
      <c r="BA14" s="13" t="n">
        <f aca="false">BA13-Reserves!BA11+Reserves!BA12</f>
        <v>44.608719198809</v>
      </c>
      <c r="BB14" s="13" t="n">
        <f aca="false">BB13-Reserves!BB11+Reserves!BB12</f>
        <v>46.8558810727021</v>
      </c>
      <c r="BC14" s="13" t="n">
        <f aca="false">BC13-Reserves!BC11+Reserves!BC12</f>
        <v>43.2747431010597</v>
      </c>
      <c r="BD14" s="13" t="n">
        <f aca="false">BD13-Reserves!BD11+Reserves!BD12</f>
        <v>36.8114755493917</v>
      </c>
      <c r="BE14" s="13" t="n">
        <f aca="false">BE13-Reserves!BE11+Reserves!BE12</f>
        <v>36.3784981438697</v>
      </c>
      <c r="BF14" s="13" t="n">
        <f aca="false">BF13-Reserves!BF11+Reserves!BF12</f>
        <v>37.0828002690537</v>
      </c>
      <c r="BG14" s="13" t="n">
        <f aca="false">BG13-Reserves!BG11+Reserves!BG12</f>
        <v>36.6151688886859</v>
      </c>
      <c r="BH14" s="13" t="n">
        <f aca="false">BH13-Reserves!BH11+Reserves!BH12</f>
        <v>37.2563330093593</v>
      </c>
      <c r="BI14" s="13" t="n">
        <f aca="false">BI13-Reserves!BI11+Reserves!BI12</f>
        <v>36.9952324489954</v>
      </c>
      <c r="BJ14" s="13" t="n">
        <f aca="false">BJ13-Reserves!BJ11+Reserves!BJ12</f>
        <v>45.019043742144</v>
      </c>
      <c r="BK14" s="13" t="n">
        <f aca="false">BK13-Reserves!BK11+Reserves!BK12</f>
        <v>39.7694012343035</v>
      </c>
      <c r="BL14" s="13" t="n">
        <f aca="false">BL13-Reserves!BL11+Reserves!BL12</f>
        <v>40.5175523574444</v>
      </c>
      <c r="BM14" s="13" t="n">
        <f aca="false">BM13-Reserves!BM11+Reserves!BM12</f>
        <v>37.4586386098759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1.87224719782305</v>
      </c>
      <c r="P15" s="13" t="n">
        <f aca="false">P14-Reserves!P14+Reserves!P15</f>
        <v>11.4105067631606</v>
      </c>
      <c r="Q15" s="13" t="n">
        <f aca="false">Q14-Reserves!Q14+Reserves!Q15</f>
        <v>8.90391114201729</v>
      </c>
      <c r="R15" s="13" t="n">
        <f aca="false">R14-Reserves!R14+Reserves!R15</f>
        <v>9.86661134866095</v>
      </c>
      <c r="S15" s="13" t="n">
        <f aca="false">S14-Reserves!S14+Reserves!S15</f>
        <v>9.00557190556034</v>
      </c>
      <c r="T15" s="13" t="n">
        <f aca="false">T14-Reserves!T14+Reserves!T15</f>
        <v>9.7763162483578</v>
      </c>
      <c r="U15" s="13" t="n">
        <f aca="false">U14-Reserves!U14+Reserves!U15</f>
        <v>8.74168413334744</v>
      </c>
      <c r="V15" s="13" t="n">
        <f aca="false">V14-Reserves!V14+Reserves!V15</f>
        <v>10.0116813789061</v>
      </c>
      <c r="W15" s="13" t="n">
        <f aca="false">W14-Reserves!W14+Reserves!W15</f>
        <v>10.8469447239185</v>
      </c>
      <c r="X15" s="13" t="n">
        <f aca="false">X14-Reserves!X14+Reserves!X15</f>
        <v>9.76813387714838</v>
      </c>
      <c r="Y15" s="13" t="n">
        <f aca="false">Y14-Reserves!Y14+Reserves!Y15</f>
        <v>8.94999455387668</v>
      </c>
      <c r="Z15" s="13" t="n">
        <f aca="false">Z14-Reserves!Z14+Reserves!Z15</f>
        <v>9.69197428421597</v>
      </c>
      <c r="AA15" s="13" t="n">
        <f aca="false">AA14-Reserves!AA14+Reserves!AA15</f>
        <v>8.81304899034736</v>
      </c>
      <c r="AB15" s="13" t="n">
        <f aca="false">AB14-Reserves!AB14+Reserves!AB15</f>
        <v>10.4344203509936</v>
      </c>
      <c r="AC15" s="13" t="n">
        <f aca="false">AC14-Reserves!AC14+Reserves!AC15</f>
        <v>9.36778941287071</v>
      </c>
      <c r="AD15" s="13" t="n">
        <f aca="false">AD14-Reserves!AD14+Reserves!AD15</f>
        <v>11.7570742487776</v>
      </c>
      <c r="AE15" s="13" t="n">
        <f aca="false">AE14-Reserves!AE14+Reserves!AE15</f>
        <v>12.6270453864638</v>
      </c>
      <c r="AF15" s="13" t="n">
        <f aca="false">AF14-Reserves!AF14+Reserves!AF15</f>
        <v>14.0535654414551</v>
      </c>
      <c r="AG15" s="13" t="n">
        <f aca="false">AG14-Reserves!AG14+Reserves!AG15</f>
        <v>14.4145780505012</v>
      </c>
      <c r="AH15" s="13" t="n">
        <f aca="false">AH14-Reserves!AH14+Reserves!AH15</f>
        <v>16.6905668089351</v>
      </c>
      <c r="AI15" s="13" t="n">
        <f aca="false">AI14-Reserves!AI14+Reserves!AI15</f>
        <v>17.7490708592712</v>
      </c>
      <c r="AJ15" s="13" t="n">
        <f aca="false">AJ14-Reserves!AJ14+Reserves!AJ15</f>
        <v>20.7270163435948</v>
      </c>
      <c r="AK15" s="13" t="n">
        <f aca="false">AK14-Reserves!AK14+Reserves!AK15</f>
        <v>23.1829668502829</v>
      </c>
      <c r="AL15" s="13" t="n">
        <f aca="false">AL14-Reserves!AL14+Reserves!AL15</f>
        <v>29.2647750752982</v>
      </c>
      <c r="AM15" s="13" t="n">
        <f aca="false">AM14-Reserves!AM14+Reserves!AM15</f>
        <v>36.1614928451774</v>
      </c>
      <c r="AN15" s="13" t="n">
        <f aca="false">AN14-Reserves!AN14+Reserves!AN15</f>
        <v>31.3237597558931</v>
      </c>
      <c r="AO15" s="13" t="n">
        <f aca="false">AO14-Reserves!AO14+Reserves!AO15</f>
        <v>50.6913261501648</v>
      </c>
      <c r="AP15" s="13" t="n">
        <f aca="false">AP14-Reserves!AP14+Reserves!AP15</f>
        <v>51.3901970401744</v>
      </c>
      <c r="AQ15" s="13" t="n">
        <f aca="false">AQ14-Reserves!AQ14+Reserves!AQ15</f>
        <v>50.9756781429533</v>
      </c>
      <c r="AR15" s="13" t="n">
        <f aca="false">AR14-Reserves!AR14+Reserves!AR15</f>
        <v>51.5989019777388</v>
      </c>
      <c r="AS15" s="13" t="n">
        <f aca="false">AS14-Reserves!AS14+Reserves!AS15</f>
        <v>51.4095269231289</v>
      </c>
      <c r="AT15" s="13" t="n">
        <f aca="false">AT14-Reserves!AT14+Reserves!AT15</f>
        <v>53.7294617386417</v>
      </c>
      <c r="AU15" s="13" t="n">
        <f aca="false">AU14-Reserves!AU14+Reserves!AU15</f>
        <v>47.3625342674678</v>
      </c>
      <c r="AV15" s="13" t="n">
        <f aca="false">AV14-Reserves!AV14+Reserves!AV15</f>
        <v>44.4949406345085</v>
      </c>
      <c r="AW15" s="13" t="n">
        <f aca="false">AW14-Reserves!AW14+Reserves!AW15</f>
        <v>44.0705558465721</v>
      </c>
      <c r="AX15" s="13" t="n">
        <f aca="false">AX14-Reserves!AX14+Reserves!AX15</f>
        <v>44.7453958769118</v>
      </c>
      <c r="AY15" s="13" t="n">
        <f aca="false">AY14-Reserves!AY14+Reserves!AY15</f>
        <v>44.2884733903584</v>
      </c>
      <c r="AZ15" s="13" t="n">
        <f aca="false">AZ14-Reserves!AZ14+Reserves!AZ15</f>
        <v>44.9063635302614</v>
      </c>
      <c r="BA15" s="13" t="n">
        <f aca="false">BA14-Reserves!BA14+Reserves!BA15</f>
        <v>44.1137508122003</v>
      </c>
      <c r="BB15" s="13" t="n">
        <f aca="false">BB14-Reserves!BB14+Reserves!BB15</f>
        <v>45.3547308180577</v>
      </c>
      <c r="BC15" s="13" t="n">
        <f aca="false">BC14-Reserves!BC14+Reserves!BC15</f>
        <v>41.7571700277175</v>
      </c>
      <c r="BD15" s="13" t="n">
        <f aca="false">BD14-Reserves!BD14+Reserves!BD15</f>
        <v>35.2772999891451</v>
      </c>
      <c r="BE15" s="13" t="n">
        <f aca="false">BE14-Reserves!BE14+Reserves!BE15</f>
        <v>34.8275384629139</v>
      </c>
      <c r="BF15" s="13" t="n">
        <f aca="false">BF14-Reserves!BF14+Reserves!BF15</f>
        <v>35.5148728464817</v>
      </c>
      <c r="BG15" s="13" t="n">
        <f aca="false">BG14-Reserves!BG14+Reserves!BG15</f>
        <v>35.0300880947491</v>
      </c>
      <c r="BH15" s="13" t="n">
        <f aca="false">BH14-Reserves!BH14+Reserves!BH15</f>
        <v>35.6539111834907</v>
      </c>
      <c r="BI15" s="13" t="n">
        <f aca="false">BI14-Reserves!BI14+Reserves!BI15</f>
        <v>35.375279877592</v>
      </c>
      <c r="BJ15" s="13" t="n">
        <f aca="false">BJ14-Reserves!BJ14+Reserves!BJ15</f>
        <v>43.3813686361063</v>
      </c>
      <c r="BK15" s="13" t="n">
        <f aca="false">BK14-Reserves!BK14+Reserves!BK15</f>
        <v>38.1138097063292</v>
      </c>
      <c r="BL15" s="13" t="n">
        <f aca="false">BL14-Reserves!BL14+Reserves!BL15</f>
        <v>38.8438483990739</v>
      </c>
      <c r="BM15" s="13" t="n">
        <f aca="false">BM14-Reserves!BM14+Reserves!BM15</f>
        <v>55.3998187718369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1.23095950197485</v>
      </c>
      <c r="Q17" s="3" t="n">
        <f aca="false">IF(Debt!Q114&gt;Inputs!$F$253,Q7/Debt!Q114,0)</f>
        <v>1.23142585119725</v>
      </c>
      <c r="R17" s="3" t="n">
        <f aca="false">IF(Debt!R114&gt;Inputs!$F$253,R7/Debt!R114,0)</f>
        <v>1.23115406893854</v>
      </c>
      <c r="S17" s="3" t="n">
        <f aca="false">IF(Debt!S114&gt;Inputs!$F$253,S7/Debt!S114,0)</f>
        <v>1.23146476422798</v>
      </c>
      <c r="T17" s="3" t="n">
        <f aca="false">IF(Debt!T114&gt;Inputs!$F$253,T7/Debt!T114,0)</f>
        <v>1.23118450938706</v>
      </c>
      <c r="U17" s="3" t="n">
        <f aca="false">IF(Debt!U114&gt;Inputs!$F$253,U7/Debt!U114,0)</f>
        <v>1.23144234545292</v>
      </c>
      <c r="V17" s="3" t="n">
        <f aca="false">IF(Debt!V114&gt;Inputs!$F$253,V7/Debt!V114,0)</f>
        <v>1.23130610083031</v>
      </c>
      <c r="W17" s="3" t="n">
        <f aca="false">IF(Debt!W114&gt;Inputs!$F$253,W7/Debt!W114,0)</f>
        <v>1.23164679680469</v>
      </c>
      <c r="X17" s="3" t="n">
        <f aca="false">IF(Debt!X114&gt;Inputs!$F$253,X7/Debt!X114,0)</f>
        <v>1.23136709951514</v>
      </c>
      <c r="Y17" s="3" t="n">
        <f aca="false">IF(Debt!Y114&gt;Inputs!$F$253,Y7/Debt!Y114,0)</f>
        <v>1.23169375143842</v>
      </c>
      <c r="Z17" s="3" t="n">
        <f aca="false">IF(Debt!Z114&gt;Inputs!$F$253,Z7/Debt!Z114,0)</f>
        <v>1.23147692866151</v>
      </c>
      <c r="AA17" s="3" t="n">
        <f aca="false">IF(Debt!AA114&gt;Inputs!$F$253,AA7/Debt!AA114,0)</f>
        <v>1.23178418327336</v>
      </c>
      <c r="AB17" s="3" t="n">
        <f aca="false">IF(Debt!AB114&gt;Inputs!$F$253,AB7/Debt!AB114,0)</f>
        <v>1.24493801879041</v>
      </c>
      <c r="AC17" s="3" t="n">
        <f aca="false">IF(Debt!AC114&gt;Inputs!$F$253,AC7/Debt!AC114,0)</f>
        <v>1.26214750656384</v>
      </c>
      <c r="AD17" s="3" t="n">
        <f aca="false">IF(Debt!AD114&gt;Inputs!$F$253,AD7/Debt!AD114,0)</f>
        <v>1.27925536229775</v>
      </c>
      <c r="AE17" s="3" t="n">
        <f aca="false">IF(Debt!AE114&gt;Inputs!$F$253,AE7/Debt!AE114,0)</f>
        <v>1.30274189419263</v>
      </c>
      <c r="AF17" s="3" t="n">
        <f aca="false">IF(Debt!AF114&gt;Inputs!$F$253,AF7/Debt!AF114,0)</f>
        <v>1.3310251142533</v>
      </c>
      <c r="AG17" s="3" t="n">
        <f aca="false">IF(Debt!AG114&gt;Inputs!$F$253,AG7/Debt!AG114,0)</f>
        <v>1.36807529783652</v>
      </c>
      <c r="AH17" s="3" t="n">
        <f aca="false">IF(Debt!AH114&gt;Inputs!$F$253,AH7/Debt!AH114,0)</f>
        <v>1.41223101660391</v>
      </c>
      <c r="AI17" s="3" t="n">
        <f aca="false">IF(Debt!AI114&gt;Inputs!$F$253,AI7/Debt!AI114,0)</f>
        <v>1.47250347742189</v>
      </c>
      <c r="AJ17" s="3" t="n">
        <f aca="false">IF(Debt!AJ114&gt;Inputs!$F$253,AJ7/Debt!AJ114,0)</f>
        <v>1.55561327000284</v>
      </c>
      <c r="AK17" s="3" t="n">
        <f aca="false">IF(Debt!AK114&gt;Inputs!$F$253,AK7/Debt!AK114,0)</f>
        <v>1.68489060689307</v>
      </c>
      <c r="AL17" s="3" t="n">
        <f aca="false">IF(Debt!AL114&gt;Inputs!$F$253,AL7/Debt!AL114,0)</f>
        <v>1.91230085033644</v>
      </c>
      <c r="AM17" s="3" t="n">
        <f aca="false">IF(Debt!AM114&gt;Inputs!$F$253,AM7/Debt!AM114,0)</f>
        <v>2.2186058500299</v>
      </c>
      <c r="AN17" s="3" t="n">
        <f aca="false">IF(Debt!AN114&gt;Inputs!$F$253,AN7/Debt!AN114,0)</f>
        <v>2.47552301006119</v>
      </c>
      <c r="AO17" s="3" t="n">
        <f aca="false">IF(Debt!AO114&gt;Inputs!$F$253,AO7/Debt!AO114,0)</f>
        <v>2.56796742368452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1.23095950197485</v>
      </c>
      <c r="Q18" s="3" t="n">
        <f aca="false">IF(Debt!Q114&gt;Inputs!$F$253,IF(Debt!P114&gt;Inputs!$F$253,(Q7+P7)/(Debt!Q114+Debt!P114),Q17),0)</f>
        <v>1.23119237379471</v>
      </c>
      <c r="R18" s="3" t="n">
        <f aca="false">IF(Debt!R114&gt;Inputs!$F$253,IF(Debt!Q114&gt;Inputs!$F$253,(R7+Q7)/(Debt!R114+Debt!Q114),R17),0)</f>
        <v>1.23128909332933</v>
      </c>
      <c r="S18" s="3" t="n">
        <f aca="false">IF(Debt!S114&gt;Inputs!$F$253,IF(Debt!R114&gt;Inputs!$F$253,(S7+R7)/(Debt!S114+Debt!R114),S17),0)</f>
        <v>1.23130879291895</v>
      </c>
      <c r="T18" s="3" t="n">
        <f aca="false">IF(Debt!T114&gt;Inputs!$F$253,IF(Debt!S114&gt;Inputs!$F$253,(T7+S7)/(Debt!T114+Debt!S114),T17),0)</f>
        <v>1.23132384094037</v>
      </c>
      <c r="U18" s="3" t="n">
        <f aca="false">IF(Debt!U114&gt;Inputs!$F$253,IF(Debt!T114&gt;Inputs!$F$253,(U7+T7)/(Debt!U114+Debt!T114),U17),0)</f>
        <v>1.23131310494283</v>
      </c>
      <c r="V18" s="3" t="n">
        <f aca="false">IF(Debt!V114&gt;Inputs!$F$253,IF(Debt!U114&gt;Inputs!$F$253,(V7+U7)/(Debt!V114+Debt!U114),V17),0)</f>
        <v>1.23137357529093</v>
      </c>
      <c r="W18" s="3" t="n">
        <f aca="false">IF(Debt!W114&gt;Inputs!$F$253,IF(Debt!V114&gt;Inputs!$F$253,(W7+V7)/(Debt!W114+Debt!V114),W17),0)</f>
        <v>1.23147583438491</v>
      </c>
      <c r="X18" s="3" t="n">
        <f aca="false">IF(Debt!X114&gt;Inputs!$F$253,IF(Debt!W114&gt;Inputs!$F$253,(X7+W7)/(Debt!X114+Debt!W114),X17),0)</f>
        <v>1.23150897810653</v>
      </c>
      <c r="Y18" s="3" t="n">
        <f aca="false">IF(Debt!Y114&gt;Inputs!$F$253,IF(Debt!X114&gt;Inputs!$F$253,(Y7+X7)/(Debt!Y114+Debt!X114),Y17),0)</f>
        <v>1.23152961181566</v>
      </c>
      <c r="Z18" s="3" t="n">
        <f aca="false">IF(Debt!Z114&gt;Inputs!$F$253,IF(Debt!Y114&gt;Inputs!$F$253,(Z7+Y7)/(Debt!Z114+Debt!Y114),Z17),0)</f>
        <v>1.23158488622729</v>
      </c>
      <c r="AA18" s="3" t="n">
        <f aca="false">IF(Debt!AA114&gt;Inputs!$F$253,IF(Debt!Z114&gt;Inputs!$F$253,(AA7+Z7)/(Debt!AA114+Debt!Z114),AA17),0)</f>
        <v>1.23162991540752</v>
      </c>
      <c r="AB18" s="3" t="n">
        <f aca="false">IF(Debt!AB114&gt;Inputs!$F$253,IF(Debt!AA114&gt;Inputs!$F$253,(AB7+AA7)/(Debt!AB114+Debt!AA114),AB17),0)</f>
        <v>1.23836464833447</v>
      </c>
      <c r="AC18" s="3" t="n">
        <f aca="false">IF(Debt!AC114&gt;Inputs!$F$253,IF(Debt!AB114&gt;Inputs!$F$253,(AC7+AB7)/(Debt!AC114+Debt!AB114),AC17),0)</f>
        <v>1.25346601024235</v>
      </c>
      <c r="AD18" s="3" t="n">
        <f aca="false">IF(Debt!AD114&gt;Inputs!$F$253,IF(Debt!AC114&gt;Inputs!$F$253,(AD7+AC7)/(Debt!AD114+Debt!AC114),AD17),0)</f>
        <v>1.27080505928982</v>
      </c>
      <c r="AE18" s="3" t="n">
        <f aca="false">IF(Debt!AE114&gt;Inputs!$F$253,IF(Debt!AD114&gt;Inputs!$F$253,(AE7+AD7)/(Debt!AE114+Debt!AD114),AE17),0)</f>
        <v>1.2909012661677</v>
      </c>
      <c r="AF18" s="3" t="n">
        <f aca="false">IF(Debt!AF114&gt;Inputs!$F$253,IF(Debt!AE114&gt;Inputs!$F$253,(AF7+AE7)/(Debt!AF114+Debt!AE114),AF17),0)</f>
        <v>1.31675358535722</v>
      </c>
      <c r="AG18" s="3" t="n">
        <f aca="false">IF(Debt!AG114&gt;Inputs!$F$253,IF(Debt!AF114&gt;Inputs!$F$253,(AG7+AF7)/(Debt!AG114+Debt!AF114),AG17),0)</f>
        <v>1.34923013512358</v>
      </c>
      <c r="AH18" s="3" t="n">
        <f aca="false">IF(Debt!AH114&gt;Inputs!$F$253,IF(Debt!AG114&gt;Inputs!$F$253,(AH7+AG7)/(Debt!AH114+Debt!AG114),AH17),0)</f>
        <v>1.38994496817577</v>
      </c>
      <c r="AI18" s="3" t="n">
        <f aca="false">IF(Debt!AI114&gt;Inputs!$F$253,IF(Debt!AH114&gt;Inputs!$F$253,(AI7+AH7)/(Debt!AI114+Debt!AH114),AI17),0)</f>
        <v>1.4416195824973</v>
      </c>
      <c r="AJ18" s="3" t="n">
        <f aca="false">IF(Debt!AJ114&gt;Inputs!$F$253,IF(Debt!AI114&gt;Inputs!$F$253,(AJ7+AI7)/(Debt!AJ114+Debt!AI114),AJ17),0)</f>
        <v>1.51315752614953</v>
      </c>
      <c r="AK18" s="3" t="n">
        <f aca="false">IF(Debt!AK114&gt;Inputs!$F$253,IF(Debt!AJ114&gt;Inputs!$F$253,(AK7+AJ7)/(Debt!AK114+Debt!AJ114),AK17),0)</f>
        <v>1.61752631627331</v>
      </c>
      <c r="AL18" s="3" t="n">
        <f aca="false">IF(Debt!AL114&gt;Inputs!$F$253,IF(Debt!AK114&gt;Inputs!$F$253,(AL7+AK7)/(Debt!AL114+Debt!AK114),AL17),0)</f>
        <v>1.79260156371437</v>
      </c>
      <c r="AM18" s="3" t="n">
        <f aca="false">IF(Debt!AM114&gt;Inputs!$F$253,IF(Debt!AL114&gt;Inputs!$F$253,(AM7+AL7)/(Debt!AM114+Debt!AL114),AM17),0)</f>
        <v>2.05355810402354</v>
      </c>
      <c r="AN18" s="3" t="n">
        <f aca="false">IF(Debt!AN114&gt;Inputs!$F$253,IF(Debt!AM114&gt;Inputs!$F$253,(AN7+AM7)/(Debt!AN114+Debt!AM114),AN17),0)</f>
        <v>2.33777397816597</v>
      </c>
      <c r="AO18" s="3" t="n">
        <f aca="false">IF(Debt!AO114&gt;Inputs!$F$253,IF(Debt!AN114&gt;Inputs!$F$253,(AO7+AN7)/(Debt!AO114+Debt!AN114),AO17),0)</f>
        <v>2.52072894133602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88.8668638416076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4.40652449517368</v>
      </c>
      <c r="AB29" s="13" t="n">
        <f aca="false">IF(AND(AB24=1,Time!AB52=1,Inputs!$F$52=1),MIN(Inputs!$F$111*AB15,Debt!AB73),0)</f>
        <v>5.21721017549682</v>
      </c>
      <c r="AC29" s="13" t="n">
        <f aca="false">IF(AND(AC24=1,Time!AC52=1,Inputs!$F$52=1),MIN(Inputs!$F$111*AC15,Debt!AC73),0)</f>
        <v>4.68389470643536</v>
      </c>
      <c r="AD29" s="13" t="n">
        <f aca="false">IF(AND(AD24=1,Time!AD52=1,Inputs!$F$52=1),MIN(Inputs!$F$111*AD15,Debt!AD73),0)</f>
        <v>5.87853712438882</v>
      </c>
      <c r="AE29" s="13" t="n">
        <f aca="false">IF(AND(AE24=1,Time!AE52=1,Inputs!$F$52=1),MIN(Inputs!$F$111*AE15,Debt!AE73),0)</f>
        <v>6.31352269323191</v>
      </c>
      <c r="AF29" s="13" t="n">
        <f aca="false">IF(AND(AF24=1,Time!AF52=1,Inputs!$F$52=1),MIN(Inputs!$F$111*AF15,Debt!AF73),0)</f>
        <v>7.02678272072754</v>
      </c>
      <c r="AG29" s="13" t="n">
        <f aca="false">IF(AND(AG24=1,Time!AG52=1,Inputs!$F$52=1),MIN(Inputs!$F$111*AG15,Debt!AG73),0)</f>
        <v>7.20728902525059</v>
      </c>
      <c r="AH29" s="13" t="n">
        <f aca="false">IF(AND(AH24=1,Time!AH52=1,Inputs!$F$52=1),MIN(Inputs!$F$111*AH15,Debt!AH73),0)</f>
        <v>8.34528340446757</v>
      </c>
      <c r="AI29" s="13" t="n">
        <f aca="false">IF(AND(AI24=1,Time!AI52=1,Inputs!$F$52=1),MIN(Inputs!$F$111*AI15,Debt!AI73),0)</f>
        <v>8.8745354296356</v>
      </c>
      <c r="AJ29" s="13" t="n">
        <f aca="false">IF(AND(AJ24=1,Time!AJ52=1,Inputs!$F$52=1),MIN(Inputs!$F$111*AJ15,Debt!AJ73),0)</f>
        <v>10.3635081717974</v>
      </c>
      <c r="AK29" s="13" t="n">
        <f aca="false">IF(AND(AK24=1,Time!AK52=1,Inputs!$F$52=1),MIN(Inputs!$F$111*AK15,Debt!AK73),0)</f>
        <v>11.5914834251414</v>
      </c>
      <c r="AL29" s="13" t="n">
        <f aca="false">IF(AND(AL24=1,Time!AL52=1,Inputs!$F$52=1),MIN(Inputs!$F$111*AL15,Debt!AL73),0)</f>
        <v>8.95829246986084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1.87224719782305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1372.980480082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11.4105067631606</v>
      </c>
      <c r="Q31" s="13" t="n">
        <f aca="false">IF(Q24=1,Q15-Q29,0)</f>
        <v>8.90391114201729</v>
      </c>
      <c r="R31" s="13" t="n">
        <f aca="false">IF(R24=1,R15-R29,0)</f>
        <v>9.86661134866095</v>
      </c>
      <c r="S31" s="13" t="n">
        <f aca="false">IF(S24=1,S15-S29,0)</f>
        <v>9.00557190556034</v>
      </c>
      <c r="T31" s="13" t="n">
        <f aca="false">IF(T24=1,T15-T29,0)</f>
        <v>9.7763162483578</v>
      </c>
      <c r="U31" s="13" t="n">
        <f aca="false">IF(U24=1,U15-U29,0)</f>
        <v>8.74168413334744</v>
      </c>
      <c r="V31" s="13" t="n">
        <f aca="false">IF(V24=1,V15-V29,0)</f>
        <v>10.0116813789061</v>
      </c>
      <c r="W31" s="13" t="n">
        <f aca="false">IF(W24=1,W15-W29,0)</f>
        <v>10.8469447239185</v>
      </c>
      <c r="X31" s="13" t="n">
        <f aca="false">IF(X24=1,X15-X29,0)</f>
        <v>9.76813387714838</v>
      </c>
      <c r="Y31" s="13" t="n">
        <f aca="false">IF(Y24=1,Y15-Y29,0)</f>
        <v>8.94999455387668</v>
      </c>
      <c r="Z31" s="13" t="n">
        <f aca="false">IF(Z24=1,Z15-Z29,0)</f>
        <v>9.69197428421597</v>
      </c>
      <c r="AA31" s="13" t="n">
        <f aca="false">IF(AA24=1,AA15-AA29,0)</f>
        <v>4.40652449517368</v>
      </c>
      <c r="AB31" s="13" t="n">
        <f aca="false">IF(AB24=1,AB15-AB29,0)</f>
        <v>5.21721017549682</v>
      </c>
      <c r="AC31" s="13" t="n">
        <f aca="false">IF(AC24=1,AC15-AC29,0)</f>
        <v>4.68389470643536</v>
      </c>
      <c r="AD31" s="13" t="n">
        <f aca="false">IF(AD24=1,AD15-AD29,0)</f>
        <v>5.87853712438882</v>
      </c>
      <c r="AE31" s="13" t="n">
        <f aca="false">IF(AE24=1,AE15-AE29,0)</f>
        <v>6.31352269323191</v>
      </c>
      <c r="AF31" s="13" t="n">
        <f aca="false">IF(AF24=1,AF15-AF29,0)</f>
        <v>7.02678272072754</v>
      </c>
      <c r="AG31" s="13" t="n">
        <f aca="false">IF(AG24=1,AG15-AG29,0)</f>
        <v>7.20728902525059</v>
      </c>
      <c r="AH31" s="13" t="n">
        <f aca="false">IF(AH24=1,AH15-AH29,0)</f>
        <v>8.34528340446757</v>
      </c>
      <c r="AI31" s="13" t="n">
        <f aca="false">IF(AI24=1,AI15-AI29,0)</f>
        <v>8.8745354296356</v>
      </c>
      <c r="AJ31" s="13" t="n">
        <f aca="false">IF(AJ24=1,AJ15-AJ29,0)</f>
        <v>10.3635081717974</v>
      </c>
      <c r="AK31" s="13" t="n">
        <f aca="false">IF(AK24=1,AK15-AK29,0)</f>
        <v>11.5914834251414</v>
      </c>
      <c r="AL31" s="13" t="n">
        <f aca="false">IF(AL24=1,AL15-AL29,0)</f>
        <v>20.3064826054374</v>
      </c>
      <c r="AM31" s="13" t="n">
        <f aca="false">IF(AM24=1,AM15-AM29,0)</f>
        <v>36.1614928451774</v>
      </c>
      <c r="AN31" s="13" t="n">
        <f aca="false">IF(AN24=1,AN15-AN29,0)</f>
        <v>31.3237597558931</v>
      </c>
      <c r="AO31" s="13" t="n">
        <f aca="false">IF(AO24=1,AO15-AO29,0)</f>
        <v>50.6913261501648</v>
      </c>
      <c r="AP31" s="13" t="n">
        <f aca="false">IF(AP24=1,AP15-AP29,0)</f>
        <v>51.3901970401744</v>
      </c>
      <c r="AQ31" s="13" t="n">
        <f aca="false">IF(AQ24=1,AQ15-AQ29,0)</f>
        <v>50.9756781429533</v>
      </c>
      <c r="AR31" s="13" t="n">
        <f aca="false">IF(AR24=1,AR15-AR29,0)</f>
        <v>51.5989019777388</v>
      </c>
      <c r="AS31" s="13" t="n">
        <f aca="false">IF(AS24=1,AS15-AS29,0)</f>
        <v>51.4095269231289</v>
      </c>
      <c r="AT31" s="13" t="n">
        <f aca="false">IF(AT24=1,AT15-AT29,0)</f>
        <v>53.7294617386417</v>
      </c>
      <c r="AU31" s="13" t="n">
        <f aca="false">IF(AU24=1,AU15-AU29,0)</f>
        <v>47.3625342674678</v>
      </c>
      <c r="AV31" s="13" t="n">
        <f aca="false">IF(AV24=1,AV15-AV29,0)</f>
        <v>44.4949406345085</v>
      </c>
      <c r="AW31" s="13" t="n">
        <f aca="false">IF(AW24=1,AW15-AW29,0)</f>
        <v>44.0705558465721</v>
      </c>
      <c r="AX31" s="13" t="n">
        <f aca="false">IF(AX24=1,AX15-AX29,0)</f>
        <v>44.7453958769118</v>
      </c>
      <c r="AY31" s="13" t="n">
        <f aca="false">IF(AY24=1,AY15-AY29,0)</f>
        <v>44.2884733903584</v>
      </c>
      <c r="AZ31" s="13" t="n">
        <f aca="false">IF(AZ24=1,AZ15-AZ29,0)</f>
        <v>44.9063635302614</v>
      </c>
      <c r="BA31" s="13" t="n">
        <f aca="false">IF(BA24=1,BA15-BA29,0)</f>
        <v>44.1137508122003</v>
      </c>
      <c r="BB31" s="13" t="n">
        <f aca="false">IF(BB24=1,BB15-BB29,0)</f>
        <v>45.3547308180577</v>
      </c>
      <c r="BC31" s="13" t="n">
        <f aca="false">IF(BC24=1,BC15-BC29,0)</f>
        <v>41.7571700277175</v>
      </c>
      <c r="BD31" s="13" t="n">
        <f aca="false">IF(BD24=1,BD15-BD29,0)</f>
        <v>35.2772999891451</v>
      </c>
      <c r="BE31" s="13" t="n">
        <f aca="false">IF(BE24=1,BE15-BE29,0)</f>
        <v>34.8275384629139</v>
      </c>
      <c r="BF31" s="13" t="n">
        <f aca="false">IF(BF24=1,BF15-BF29,0)</f>
        <v>35.5148728464817</v>
      </c>
      <c r="BG31" s="13" t="n">
        <f aca="false">IF(BG24=1,BG15-BG29,0)</f>
        <v>35.0300880947491</v>
      </c>
      <c r="BH31" s="13" t="n">
        <f aca="false">IF(BH24=1,BH15-BH29,0)</f>
        <v>35.6539111834907</v>
      </c>
      <c r="BI31" s="13" t="n">
        <f aca="false">IF(BI24=1,BI15-BI29,0)</f>
        <v>35.375279877592</v>
      </c>
      <c r="BJ31" s="13" t="n">
        <f aca="false">IF(BJ24=1,BJ15-BJ29,0)</f>
        <v>43.3813686361063</v>
      </c>
      <c r="BK31" s="13" t="n">
        <f aca="false">IF(BK24=1,BK15-BK29,0)</f>
        <v>38.1138097063292</v>
      </c>
      <c r="BL31" s="13" t="n">
        <f aca="false">IF(BL24=1,BL15-BL29,0)</f>
        <v>38.8438483990739</v>
      </c>
      <c r="BM31" s="13" t="n">
        <f aca="false">IF(BM24=1,BM15-BM29,0)</f>
        <v>55.3998187718369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49.1936391863916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223.497809822591</v>
      </c>
      <c r="P33" s="13" t="n">
        <f aca="false">IF(Time!P20&lt;Time!$F$12,0,IF(Time!P34=1,INDEX(Funding!$J$72:$BJ$72,1,Time!$F$14),O36))</f>
        <v>227.046220255254</v>
      </c>
      <c r="Q33" s="13" t="n">
        <f aca="false">IF(Time!Q20&lt;Time!$F$12,0,IF(Time!Q34=1,INDEX(Funding!$J$72:$BJ$72,1,Time!$F$14),P36))</f>
        <v>226.509050286783</v>
      </c>
      <c r="R33" s="13" t="n">
        <f aca="false">IF(Time!R20&lt;Time!$F$12,0,IF(Time!R34=1,INDEX(Funding!$J$72:$BJ$72,1,Time!$F$14),Q36))</f>
        <v>228.275887417865</v>
      </c>
      <c r="S33" s="13" t="n">
        <f aca="false">IF(Time!S20&lt;Time!$F$12,0,IF(Time!S34=1,INDEX(Funding!$J$72:$BJ$72,1,Time!$F$14),R36))</f>
        <v>229.341502129654</v>
      </c>
      <c r="T33" s="13" t="n">
        <f aca="false">IF(Time!T20&lt;Time!$F$12,0,IF(Time!T34=1,INDEX(Funding!$J$72:$BJ$72,1,Time!$F$14),S36))</f>
        <v>231.140114139489</v>
      </c>
      <c r="U33" s="13" t="n">
        <f aca="false">IF(Time!U20&lt;Time!$F$12,0,IF(Time!U34=1,INDEX(Funding!$J$72:$BJ$72,1,Time!$F$14),T36))</f>
        <v>232.43319294636</v>
      </c>
      <c r="V33" s="13" t="n">
        <f aca="false">IF(Time!V20&lt;Time!$F$12,0,IF(Time!V34=1,INDEX(Funding!$J$72:$BJ$72,1,Time!$F$14),U36))</f>
        <v>234.701837322718</v>
      </c>
      <c r="W33" s="13" t="n">
        <f aca="false">IF(Time!W20&lt;Time!$F$12,0,IF(Time!W34=1,INDEX(Funding!$J$72:$BJ$72,1,Time!$F$14),V36))</f>
        <v>235.930123386007</v>
      </c>
      <c r="X33" s="13" t="n">
        <f aca="false">IF(Time!X20&lt;Time!$F$12,0,IF(Time!X34=1,INDEX(Funding!$J$72:$BJ$72,1,Time!$F$14),W36))</f>
        <v>236.197749817218</v>
      </c>
      <c r="Y33" s="13" t="n">
        <f aca="false">IF(Time!Y20&lt;Time!$F$12,0,IF(Time!Y34=1,INDEX(Funding!$J$72:$BJ$72,1,Time!$F$14),X36))</f>
        <v>237.741223246384</v>
      </c>
      <c r="Z33" s="13" t="n">
        <f aca="false">IF(Time!Z20&lt;Time!$F$12,0,IF(Time!Z34=1,INDEX(Funding!$J$72:$BJ$72,1,Time!$F$14),Y36))</f>
        <v>239.991120017772</v>
      </c>
      <c r="AA33" s="13" t="n">
        <f aca="false">IF(Time!AA20&lt;Time!$F$12,0,IF(Time!AA34=1,INDEX(Funding!$J$72:$BJ$72,1,Time!$F$14),Z36))</f>
        <v>241.792419097695</v>
      </c>
      <c r="AB33" s="13" t="n">
        <f aca="false">IF(Time!AB20&lt;Time!$F$12,0,IF(Time!AB34=1,INDEX(Funding!$J$72:$BJ$72,1,Time!$F$14),AA36))</f>
        <v>248.776636099466</v>
      </c>
      <c r="AC33" s="13" t="n">
        <f aca="false">IF(Time!AC20&lt;Time!$F$12,0,IF(Time!AC34=1,INDEX(Funding!$J$72:$BJ$72,1,Time!$F$14),AB36))</f>
        <v>255.473441263747</v>
      </c>
      <c r="AD33" s="13" t="n">
        <f aca="false">IF(Time!AD20&lt;Time!$F$12,0,IF(Time!AD34=1,INDEX(Funding!$J$72:$BJ$72,1,Time!$F$14),AC36))</f>
        <v>262.891288473613</v>
      </c>
      <c r="AE33" s="13" t="n">
        <f aca="false">IF(Time!AE20&lt;Time!$F$12,0,IF(Time!AE34=1,INDEX(Funding!$J$72:$BJ$72,1,Time!$F$14),AD36))</f>
        <v>269.602723191742</v>
      </c>
      <c r="AF33" s="13" t="n">
        <f aca="false">IF(Time!AF20&lt;Time!$F$12,0,IF(Time!AF34=1,INDEX(Funding!$J$72:$BJ$72,1,Time!$F$14),AE36))</f>
        <v>275.990073992433</v>
      </c>
      <c r="AG33" s="13" t="n">
        <f aca="false">IF(Time!AG20&lt;Time!$F$12,0,IF(Time!AG34=1,INDEX(Funding!$J$72:$BJ$72,1,Time!$F$14),AF36))</f>
        <v>282.180569335781</v>
      </c>
      <c r="AH33" s="13" t="n">
        <f aca="false">IF(Time!AH20&lt;Time!$F$12,0,IF(Time!AH34=1,INDEX(Funding!$J$72:$BJ$72,1,Time!$F$14),AG36))</f>
        <v>288.266690967322</v>
      </c>
      <c r="AI33" s="13" t="n">
        <f aca="false">IF(Time!AI20&lt;Time!$F$12,0,IF(Time!AI34=1,INDEX(Funding!$J$72:$BJ$72,1,Time!$F$14),AH36))</f>
        <v>293.726617859043</v>
      </c>
      <c r="AJ33" s="13" t="n">
        <f aca="false">IF(Time!AJ20&lt;Time!$F$12,0,IF(Time!AJ34=1,INDEX(Funding!$J$72:$BJ$72,1,Time!$F$14),AI36))</f>
        <v>298.689422687178</v>
      </c>
      <c r="AK33" s="13" t="n">
        <f aca="false">IF(Time!AK20&lt;Time!$F$12,0,IF(Time!AK34=1,INDEX(Funding!$J$72:$BJ$72,1,Time!$F$14),AJ36))</f>
        <v>302.630273716947</v>
      </c>
      <c r="AL33" s="13" t="n">
        <f aca="false">IF(Time!AL20&lt;Time!$F$12,0,IF(Time!AL34=1,INDEX(Funding!$J$72:$BJ$72,1,Time!$F$14),AK36))</f>
        <v>305.374344901576</v>
      </c>
      <c r="AM33" s="13" t="n">
        <f aca="false">IF(Time!AM20&lt;Time!$F$12,0,IF(Time!AM34=1,INDEX(Funding!$J$72:$BJ$72,1,Time!$F$14),AL36))</f>
        <v>299.692365169781</v>
      </c>
      <c r="AN33" s="13" t="n">
        <f aca="false">IF(Time!AN20&lt;Time!$F$12,0,IF(Time!AN34=1,INDEX(Funding!$J$72:$BJ$72,1,Time!$F$14),AM36))</f>
        <v>277.649256486506</v>
      </c>
      <c r="AO33" s="13" t="n">
        <f aca="false">IF(Time!AO20&lt;Time!$F$12,0,IF(Time!AO34=1,INDEX(Funding!$J$72:$BJ$72,1,Time!$F$14),AN36))</f>
        <v>259.622233726186</v>
      </c>
      <c r="AP33" s="13" t="n">
        <f aca="false">IF(Time!AP20&lt;Time!$F$12,0,IF(Time!AP34=1,INDEX(Funding!$J$72:$BJ$72,1,Time!$F$14),AO36))</f>
        <v>221.161604312793</v>
      </c>
      <c r="AQ33" s="13" t="n">
        <f aca="false">IF(Time!AQ20&lt;Time!$F$12,0,IF(Time!AQ34=1,INDEX(Funding!$J$72:$BJ$72,1,Time!$F$14),AP36))</f>
        <v>180.362927391488</v>
      </c>
      <c r="AR33" s="13" t="n">
        <f aca="false">IF(Time!AR20&lt;Time!$F$12,0,IF(Time!AR34=1,INDEX(Funding!$J$72:$BJ$72,1,Time!$F$14),AQ36))</f>
        <v>137.884072636197</v>
      </c>
      <c r="AS33" s="13" t="n">
        <f aca="false">IF(Time!AS20&lt;Time!$F$12,0,IF(Time!AS34=1,INDEX(Funding!$J$72:$BJ$72,1,Time!$F$14),AR36))</f>
        <v>92.8884955616932</v>
      </c>
      <c r="AT33" s="13" t="n">
        <f aca="false">IF(Time!AT20&lt;Time!$F$12,0,IF(Time!AT34=1,INDEX(Funding!$J$72:$BJ$72,1,Time!$F$14),AS36))</f>
        <v>45.8790839488703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272.904004435139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10.87333679469</v>
      </c>
      <c r="Q34" s="13" t="n">
        <f aca="false">Q24*MIN(Q31,Tax!Q13)</f>
        <v>8.90391114201729</v>
      </c>
      <c r="R34" s="13" t="n">
        <f aca="false">R24*MIN(R31,Tax!R13)</f>
        <v>9.86661134866095</v>
      </c>
      <c r="S34" s="13" t="n">
        <f aca="false">S24*MIN(S31,Tax!S13)</f>
        <v>9.00557190556034</v>
      </c>
      <c r="T34" s="13" t="n">
        <f aca="false">T24*MIN(T31,Tax!T13)</f>
        <v>9.7763162483578</v>
      </c>
      <c r="U34" s="13" t="n">
        <f aca="false">U24*MIN(U31,Tax!U13)</f>
        <v>8.74168413334744</v>
      </c>
      <c r="V34" s="13" t="n">
        <f aca="false">V24*MIN(V31,Tax!V13)</f>
        <v>10.0116813789061</v>
      </c>
      <c r="W34" s="13" t="n">
        <f aca="false">W24*MIN(W31,Tax!W13)</f>
        <v>10.8469447239185</v>
      </c>
      <c r="X34" s="13" t="n">
        <f aca="false">X24*MIN(X31,Tax!X13)</f>
        <v>9.76813387714838</v>
      </c>
      <c r="Y34" s="13" t="n">
        <f aca="false">Y24*MIN(Y31,Tax!Y13)</f>
        <v>8.94999455387668</v>
      </c>
      <c r="Z34" s="13" t="n">
        <f aca="false">Z24*MIN(Z31,Tax!Z13)</f>
        <v>9.69197428421597</v>
      </c>
      <c r="AA34" s="13" t="n">
        <f aca="false">AA24*MIN(AA31,Tax!AA13)</f>
        <v>4.40652449517368</v>
      </c>
      <c r="AB34" s="13" t="n">
        <f aca="false">AB24*MIN(AB31,Tax!AB13)</f>
        <v>5.21721017549682</v>
      </c>
      <c r="AC34" s="13" t="n">
        <f aca="false">AC24*MIN(AC31,Tax!AC13)</f>
        <v>4.68389470643536</v>
      </c>
      <c r="AD34" s="13" t="n">
        <f aca="false">AD24*MIN(AD31,Tax!AD13)</f>
        <v>5.87853712438882</v>
      </c>
      <c r="AE34" s="13" t="n">
        <f aca="false">AE24*MIN(AE31,Tax!AE13)</f>
        <v>6.31352269323191</v>
      </c>
      <c r="AF34" s="13" t="n">
        <f aca="false">AF24*MIN(AF31,Tax!AF13)</f>
        <v>7.02678272072754</v>
      </c>
      <c r="AG34" s="13" t="n">
        <f aca="false">AG24*MIN(AG31,Tax!AG13)</f>
        <v>7.20728902525059</v>
      </c>
      <c r="AH34" s="13" t="n">
        <f aca="false">AH24*MIN(AH31,Tax!AH13)</f>
        <v>8.34528340446757</v>
      </c>
      <c r="AI34" s="13" t="n">
        <f aca="false">AI24*MIN(AI31,Tax!AI13)</f>
        <v>8.8745354296356</v>
      </c>
      <c r="AJ34" s="13" t="n">
        <f aca="false">AJ24*MIN(AJ31,Tax!AJ13)</f>
        <v>10.3635081717974</v>
      </c>
      <c r="AK34" s="13" t="n">
        <f aca="false">AK24*MIN(AK31,Tax!AK13)</f>
        <v>11.5914834251414</v>
      </c>
      <c r="AL34" s="13" t="n">
        <f aca="false">AL24*MIN(AL31,Tax!AL13)</f>
        <v>14.6245028736426</v>
      </c>
      <c r="AM34" s="13" t="n">
        <f aca="false">AM24*MIN(AM31,Tax!AM13)</f>
        <v>14.1183841619024</v>
      </c>
      <c r="AN34" s="13" t="n">
        <f aca="false">AN24*MIN(AN31,Tax!AN13)</f>
        <v>13.2967369955729</v>
      </c>
      <c r="AO34" s="13" t="n">
        <f aca="false">AO24*MIN(AO31,Tax!AO13)</f>
        <v>12.2306967367719</v>
      </c>
      <c r="AP34" s="13" t="n">
        <f aca="false">AP24*MIN(AP31,Tax!AP13)</f>
        <v>10.5915201188702</v>
      </c>
      <c r="AQ34" s="13" t="n">
        <f aca="false">AQ24*MIN(AQ31,Tax!AQ13)</f>
        <v>8.49682338766204</v>
      </c>
      <c r="AR34" s="13" t="n">
        <f aca="false">AR24*MIN(AR31,Tax!AR13)</f>
        <v>6.60332490323487</v>
      </c>
      <c r="AS34" s="13" t="n">
        <f aca="false">AS24*MIN(AS31,Tax!AS13)</f>
        <v>4.40011531030596</v>
      </c>
      <c r="AT34" s="13" t="n">
        <f aca="false">AT24*MIN(AT31,Tax!AT13)</f>
        <v>2.19716818472946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305.911514870046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0.537169968470678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0</v>
      </c>
      <c r="W35" s="13" t="n">
        <f aca="false">W24*MIN(W31-W34,W33+Tax!W13-W34)</f>
        <v>0</v>
      </c>
      <c r="X35" s="13" t="n">
        <f aca="false">X24*MIN(X31-X34,X33+Tax!X13-X34)</f>
        <v>0</v>
      </c>
      <c r="Y35" s="13" t="n">
        <f aca="false">Y24*MIN(Y31-Y34,Y33+Tax!Y13-Y34)</f>
        <v>0</v>
      </c>
      <c r="Z35" s="13" t="n">
        <f aca="false">Z24*MIN(Z31-Z34,Z33+Tax!Z13-Z34)</f>
        <v>0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</v>
      </c>
      <c r="AL35" s="13" t="n">
        <f aca="false">AL24*MIN(AL31-AL34,AL33+Tax!AL13-AL34)</f>
        <v>5.68197973179479</v>
      </c>
      <c r="AM35" s="13" t="n">
        <f aca="false">AM24*MIN(AM31-AM34,AM33+Tax!AM13-AM34)</f>
        <v>22.043108683275</v>
      </c>
      <c r="AN35" s="13" t="n">
        <f aca="false">AN24*MIN(AN31-AN34,AN33+Tax!AN13-AN34)</f>
        <v>18.0270227603201</v>
      </c>
      <c r="AO35" s="13" t="n">
        <f aca="false">AO24*MIN(AO31-AO34,AO33+Tax!AO13-AO34)</f>
        <v>38.4606294133929</v>
      </c>
      <c r="AP35" s="13" t="n">
        <f aca="false">AP24*MIN(AP31-AP34,AP33+Tax!AP13-AP34)</f>
        <v>40.7986769213043</v>
      </c>
      <c r="AQ35" s="13" t="n">
        <f aca="false">AQ24*MIN(AQ31-AQ34,AQ33+Tax!AQ13-AQ34)</f>
        <v>42.4788547552913</v>
      </c>
      <c r="AR35" s="13" t="n">
        <f aca="false">AR24*MIN(AR31-AR34,AR33+Tax!AR13-AR34)</f>
        <v>44.995577074504</v>
      </c>
      <c r="AS35" s="13" t="n">
        <f aca="false">AS24*MIN(AS31-AS34,AS33+Tax!AS13-AS34)</f>
        <v>47.0094116128229</v>
      </c>
      <c r="AT35" s="13" t="n">
        <f aca="false">AT24*MIN(AT31-AT34,AT33+Tax!AT13-AT34)</f>
        <v>45.8790839488703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227.046220255254</v>
      </c>
      <c r="P36" s="13" t="n">
        <f aca="false">P33+Tax!P13-P34-P35</f>
        <v>226.509050286783</v>
      </c>
      <c r="Q36" s="13" t="n">
        <f aca="false">Q33+Tax!Q13-Q34-Q35</f>
        <v>228.275887417865</v>
      </c>
      <c r="R36" s="13" t="n">
        <f aca="false">R33+Tax!R13-R34-R35</f>
        <v>229.341502129654</v>
      </c>
      <c r="S36" s="13" t="n">
        <f aca="false">S33+Tax!S13-S34-S35</f>
        <v>231.140114139489</v>
      </c>
      <c r="T36" s="13" t="n">
        <f aca="false">T33+Tax!T13-T34-T35</f>
        <v>232.43319294636</v>
      </c>
      <c r="U36" s="13" t="n">
        <f aca="false">U33+Tax!U13-U34-U35</f>
        <v>234.701837322718</v>
      </c>
      <c r="V36" s="13" t="n">
        <f aca="false">V33+Tax!V13-V34-V35</f>
        <v>235.930123386007</v>
      </c>
      <c r="W36" s="13" t="n">
        <f aca="false">W33+Tax!W13-W34-W35</f>
        <v>236.197749817218</v>
      </c>
      <c r="X36" s="13" t="n">
        <f aca="false">X33+Tax!X13-X34-X35</f>
        <v>237.741223246384</v>
      </c>
      <c r="Y36" s="13" t="n">
        <f aca="false">Y33+Tax!Y13-Y34-Y35</f>
        <v>239.991120017772</v>
      </c>
      <c r="Z36" s="13" t="n">
        <f aca="false">Z33+Tax!Z13-Z34-Z35</f>
        <v>241.792419097695</v>
      </c>
      <c r="AA36" s="13" t="n">
        <f aca="false">AA33+Tax!AA13-AA34-AA35</f>
        <v>248.776636099466</v>
      </c>
      <c r="AB36" s="13" t="n">
        <f aca="false">AB33+Tax!AB13-AB34-AB35</f>
        <v>255.473441263747</v>
      </c>
      <c r="AC36" s="13" t="n">
        <f aca="false">AC33+Tax!AC13-AC34-AC35</f>
        <v>262.891288473613</v>
      </c>
      <c r="AD36" s="13" t="n">
        <f aca="false">AD33+Tax!AD13-AD34-AD35</f>
        <v>269.602723191742</v>
      </c>
      <c r="AE36" s="13" t="n">
        <f aca="false">AE33+Tax!AE13-AE34-AE35</f>
        <v>275.990073992433</v>
      </c>
      <c r="AF36" s="13" t="n">
        <f aca="false">AF33+Tax!AF13-AF34-AF35</f>
        <v>282.180569335781</v>
      </c>
      <c r="AG36" s="13" t="n">
        <f aca="false">AG33+Tax!AG13-AG34-AG35</f>
        <v>288.266690967322</v>
      </c>
      <c r="AH36" s="13" t="n">
        <f aca="false">AH33+Tax!AH13-AH34-AH35</f>
        <v>293.726617859043</v>
      </c>
      <c r="AI36" s="13" t="n">
        <f aca="false">AI33+Tax!AI13-AI34-AI35</f>
        <v>298.689422687178</v>
      </c>
      <c r="AJ36" s="13" t="n">
        <f aca="false">AJ33+Tax!AJ13-AJ34-AJ35</f>
        <v>302.630273716947</v>
      </c>
      <c r="AK36" s="13" t="n">
        <f aca="false">AK33+Tax!AK13-AK34-AK35</f>
        <v>305.374344901576</v>
      </c>
      <c r="AL36" s="13" t="n">
        <f aca="false">AL33+Tax!AL13-AL34-AL35</f>
        <v>299.692365169781</v>
      </c>
      <c r="AM36" s="13" t="n">
        <f aca="false">AM33+Tax!AM13-AM34-AM35</f>
        <v>277.649256486506</v>
      </c>
      <c r="AN36" s="13" t="n">
        <f aca="false">AN33+Tax!AN13-AN34-AN35</f>
        <v>259.622233726186</v>
      </c>
      <c r="AO36" s="13" t="n">
        <f aca="false">AO33+Tax!AO13-AO34-AO35</f>
        <v>221.161604312793</v>
      </c>
      <c r="AP36" s="13" t="n">
        <f aca="false">AP33+Tax!AP13-AP34-AP35</f>
        <v>180.362927391488</v>
      </c>
      <c r="AQ36" s="13" t="n">
        <f aca="false">AQ33+Tax!AQ13-AQ34-AQ35</f>
        <v>137.884072636197</v>
      </c>
      <c r="AR36" s="13" t="n">
        <f aca="false">AR33+Tax!AR13-AR34-AR35</f>
        <v>92.8884955616932</v>
      </c>
      <c r="AS36" s="13" t="n">
        <f aca="false">AS33+Tax!AS13-AS34-AS35</f>
        <v>45.8790839488703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9.06257838028724</v>
      </c>
      <c r="P37" s="13" t="n">
        <f aca="false">MAX(0,O43+Financials!P14)</f>
        <v>12.2680771925308</v>
      </c>
      <c r="Q37" s="13" t="n">
        <f aca="false">MAX(0,P43+Financials!Q14)</f>
        <v>16.6684861285277</v>
      </c>
      <c r="R37" s="13" t="n">
        <f aca="false">MAX(0,Q43+Financials!R14)</f>
        <v>21.2599050012743</v>
      </c>
      <c r="S37" s="13" t="n">
        <f aca="false">MAX(0,R43+Financials!S14)</f>
        <v>26.9095209507203</v>
      </c>
      <c r="T37" s="13" t="n">
        <f aca="false">MAX(0,S43+Financials!T14)</f>
        <v>32.7412303588087</v>
      </c>
      <c r="U37" s="13" t="n">
        <f aca="false">MAX(0,T43+Financials!U14)</f>
        <v>39.6046445956888</v>
      </c>
      <c r="V37" s="13" t="n">
        <f aca="false">MAX(0,U43+Financials!V14)</f>
        <v>44.4802306760893</v>
      </c>
      <c r="W37" s="13" t="n">
        <f aca="false">MAX(0,V43+Financials!W14)</f>
        <v>52.9846016689397</v>
      </c>
      <c r="X37" s="13" t="n">
        <f aca="false">MAX(0,W43+Financials!X14)</f>
        <v>61.826656033504</v>
      </c>
      <c r="Y37" s="13" t="n">
        <f aca="false">MAX(0,X43+Financials!Y14)</f>
        <v>68.9270558176125</v>
      </c>
      <c r="Z37" s="13" t="n">
        <f aca="false">MAX(0,Y43+Financials!Z14)</f>
        <v>71.608574695047</v>
      </c>
      <c r="AA37" s="13" t="n">
        <f aca="false">MAX(0,Z43+Financials!AA14)</f>
        <v>75.1152556193392</v>
      </c>
      <c r="AB37" s="13" t="n">
        <f aca="false">MAX(0,AA43+Financials!AB14)</f>
        <v>78.8937705702905</v>
      </c>
      <c r="AC37" s="13" t="n">
        <f aca="false">MAX(0,AB43+Financials!AC14)</f>
        <v>83.5393642182677</v>
      </c>
      <c r="AD37" s="13" t="n">
        <f aca="false">MAX(0,AC43+Financials!AD14)</f>
        <v>77.2538281553469</v>
      </c>
      <c r="AE37" s="13" t="n">
        <f aca="false">MAX(0,AD43+Financials!AE14)</f>
        <v>85.0345294044397</v>
      </c>
      <c r="AF37" s="13" t="n">
        <f aca="false">MAX(0,AE43+Financials!AF14)</f>
        <v>92.3927382166268</v>
      </c>
      <c r="AG37" s="13" t="n">
        <f aca="false">MAX(0,AF43+Financials!AG14)</f>
        <v>99.727433910251</v>
      </c>
      <c r="AH37" s="13" t="n">
        <f aca="false">MAX(0,AG43+Financials!AH14)</f>
        <v>107.692663262037</v>
      </c>
      <c r="AI37" s="13" t="n">
        <f aca="false">MAX(0,AH43+Financials!AI14)</f>
        <v>116.771481374168</v>
      </c>
      <c r="AJ37" s="13" t="n">
        <f aca="false">MAX(0,AI43+Financials!AJ14)</f>
        <v>126.541315698784</v>
      </c>
      <c r="AK37" s="13" t="n">
        <f aca="false">MAX(0,AJ43+Financials!AK14)</f>
        <v>137.494667386799</v>
      </c>
      <c r="AL37" s="13" t="n">
        <f aca="false">MAX(0,AK43+Financials!AL14)</f>
        <v>147.376149886281</v>
      </c>
      <c r="AM37" s="13" t="n">
        <f aca="false">MAX(0,AL43+Financials!AM14)</f>
        <v>160.617333012135</v>
      </c>
      <c r="AN37" s="13" t="n">
        <f aca="false">MAX(0,AM43+Financials!AN14)</f>
        <v>174.862471043433</v>
      </c>
      <c r="AO37" s="13" t="n">
        <f aca="false">MAX(0,AN43+Financials!AO14)</f>
        <v>190.344968941351</v>
      </c>
      <c r="AP37" s="13" t="n">
        <f aca="false">MAX(0,AO43+Financials!AP14)</f>
        <v>207.470657392102</v>
      </c>
      <c r="AQ37" s="13" t="n">
        <f aca="false">MAX(0,AP43+Financials!AQ14)</f>
        <v>226.141317874194</v>
      </c>
      <c r="AR37" s="13" t="n">
        <f aca="false">MAX(0,AQ43+Financials!AR14)</f>
        <v>246.20315953131</v>
      </c>
      <c r="AS37" s="13" t="n">
        <f aca="false">MAX(0,AR43+Financials!AS14)</f>
        <v>267.985935911663</v>
      </c>
      <c r="AT37" s="13" t="n">
        <f aca="false">MAX(0,AS43+Financials!AT14)</f>
        <v>281.007048181024</v>
      </c>
      <c r="AU37" s="13" t="n">
        <f aca="false">MAX(0,AT43+Financials!AU14)</f>
        <v>300.890875587423</v>
      </c>
      <c r="AV37" s="13" t="n">
        <f aca="false">MAX(0,AU43+Financials!AV14)</f>
        <v>278.994927708022</v>
      </c>
      <c r="AW37" s="13" t="n">
        <f aca="false">MAX(0,AV43+Financials!AW14)</f>
        <v>260.08202694488</v>
      </c>
      <c r="AX37" s="13" t="n">
        <f aca="false">MAX(0,AW43+Financials!AX14)</f>
        <v>241.72823065708</v>
      </c>
      <c r="AY37" s="13" t="n">
        <f aca="false">MAX(0,AX43+Financials!AY14)</f>
        <v>222.786082661162</v>
      </c>
      <c r="AZ37" s="13" t="n">
        <f aca="false">MAX(0,AY43+Financials!AZ14)</f>
        <v>204.374258157545</v>
      </c>
      <c r="BA37" s="13" t="n">
        <f aca="false">MAX(0,AZ43+Financials!BA14)</f>
        <v>185.506410297984</v>
      </c>
      <c r="BB37" s="13" t="n">
        <f aca="false">MAX(0,BA43+Financials!BB14)</f>
        <v>165.180843517985</v>
      </c>
      <c r="BC37" s="13" t="n">
        <f aca="false">MAX(0,BB43+Financials!BC14)</f>
        <v>146.139063798303</v>
      </c>
      <c r="BD37" s="13" t="n">
        <f aca="false">MAX(0,BC43+Financials!BD14)</f>
        <v>130.685228926526</v>
      </c>
      <c r="BE37" s="13" t="n">
        <f aca="false">MAX(0,BD43+Financials!BE14)</f>
        <v>121.836095061277</v>
      </c>
      <c r="BF37" s="13" t="n">
        <f aca="false">MAX(0,BE43+Financials!BF14)</f>
        <v>113.584084302292</v>
      </c>
      <c r="BG37" s="13" t="n">
        <f aca="false">MAX(0,BF43+Financials!BG14)</f>
        <v>104.737334659822</v>
      </c>
      <c r="BH37" s="13" t="n">
        <f aca="false">MAX(0,BG43+Financials!BH14)</f>
        <v>96.454574605287</v>
      </c>
      <c r="BI37" s="13" t="n">
        <f aca="false">MAX(0,BH43+Financials!BI14)</f>
        <v>87.7626086168439</v>
      </c>
      <c r="BJ37" s="13" t="n">
        <f aca="false">MAX(0,BI43+Financials!BJ14)</f>
        <v>67.164883106549</v>
      </c>
      <c r="BK37" s="13" t="n">
        <f aca="false">MAX(0,BJ43+Financials!BK14)</f>
        <v>51.0846846586</v>
      </c>
      <c r="BL37" s="13" t="n">
        <f aca="false">MAX(0,BK43+Financials!BL14)</f>
        <v>40.1802137307737</v>
      </c>
      <c r="BM37" s="13" t="n">
        <f aca="false">MAX(0,BL43+Financials!BM14)</f>
        <v>6.20617958544513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0</v>
      </c>
      <c r="AT38" s="13" t="n">
        <f aca="false">AT24*MIN(AT31-AT34-AT35,AT37)</f>
        <v>5.65320960504187</v>
      </c>
      <c r="AU38" s="13" t="n">
        <f aca="false">AU24*MIN(AU31-AU34-AU35,AU37)</f>
        <v>47.3625342674678</v>
      </c>
      <c r="AV38" s="13" t="n">
        <f aca="false">AV24*MIN(AV31-AV34-AV35,AV37)</f>
        <v>44.4949406345085</v>
      </c>
      <c r="AW38" s="13" t="n">
        <f aca="false">AW24*MIN(AW31-AW34-AW35,AW37)</f>
        <v>44.0705558465721</v>
      </c>
      <c r="AX38" s="13" t="n">
        <f aca="false">AX24*MIN(AX31-AX34-AX35,AX37)</f>
        <v>44.7453958769118</v>
      </c>
      <c r="AY38" s="13" t="n">
        <f aca="false">AY24*MIN(AY31-AY34-AY35,AY37)</f>
        <v>44.2884733903584</v>
      </c>
      <c r="AZ38" s="13" t="n">
        <f aca="false">AZ24*MIN(AZ31-AZ34-AZ35,AZ37)</f>
        <v>44.9063635302614</v>
      </c>
      <c r="BA38" s="13" t="n">
        <f aca="false">BA24*MIN(BA31-BA34-BA35,BA37)</f>
        <v>44.1137508122003</v>
      </c>
      <c r="BB38" s="13" t="n">
        <f aca="false">BB24*MIN(BB31-BB34-BB35,BB37)</f>
        <v>45.3547308180577</v>
      </c>
      <c r="BC38" s="13" t="n">
        <f aca="false">BC24*MIN(BC31-BC34-BC35,BC37)</f>
        <v>41.7571700277175</v>
      </c>
      <c r="BD38" s="13" t="n">
        <f aca="false">BD24*MIN(BD31-BD34-BD35,BD37)</f>
        <v>35.2772999891451</v>
      </c>
      <c r="BE38" s="13" t="n">
        <f aca="false">BE24*MIN(BE31-BE34-BE35,BE37)</f>
        <v>34.8275384629139</v>
      </c>
      <c r="BF38" s="13" t="n">
        <f aca="false">BF24*MIN(BF31-BF34-BF35,BF37)</f>
        <v>35.5148728464817</v>
      </c>
      <c r="BG38" s="13" t="n">
        <f aca="false">BG24*MIN(BG31-BG34-BG35,BG37)</f>
        <v>35.0300880947491</v>
      </c>
      <c r="BH38" s="13" t="n">
        <f aca="false">BH24*MIN(BH31-BH34-BH35,BH37)</f>
        <v>35.6539111834907</v>
      </c>
      <c r="BI38" s="13" t="n">
        <f aca="false">BI24*MIN(BI31-BI34-BI35,BI37)</f>
        <v>35.375279877592</v>
      </c>
      <c r="BJ38" s="13" t="n">
        <f aca="false">BJ24*MIN(BJ31-BJ34-BJ35,BJ37)</f>
        <v>43.3813686361063</v>
      </c>
      <c r="BK38" s="13" t="n">
        <f aca="false">BK24*MIN(BK31-BK34-BK35,BK37)</f>
        <v>38.1138097063292</v>
      </c>
      <c r="BL38" s="13" t="n">
        <f aca="false">BL24*MIN(BL31-BL34-BL35,BL37)</f>
        <v>38.8438483990739</v>
      </c>
      <c r="BM38" s="13" t="n">
        <f aca="false">BM24*MIN(BM31-BM34-BM35,BM37)</f>
        <v>6.20617958544513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49.1936391863918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49.1936391863918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49.1936391863918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794.164960776816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0</v>
      </c>
      <c r="AT41" s="13" t="n">
        <f aca="false">AT38+AT40</f>
        <v>5.65320960504187</v>
      </c>
      <c r="AU41" s="13" t="n">
        <f aca="false">AU38+AU40</f>
        <v>47.3625342674678</v>
      </c>
      <c r="AV41" s="13" t="n">
        <f aca="false">AV38+AV40</f>
        <v>44.4949406345085</v>
      </c>
      <c r="AW41" s="13" t="n">
        <f aca="false">AW38+AW40</f>
        <v>44.0705558465721</v>
      </c>
      <c r="AX41" s="13" t="n">
        <f aca="false">AX38+AX40</f>
        <v>44.7453958769118</v>
      </c>
      <c r="AY41" s="13" t="n">
        <f aca="false">AY38+AY40</f>
        <v>44.2884733903584</v>
      </c>
      <c r="AZ41" s="13" t="n">
        <f aca="false">AZ38+AZ40</f>
        <v>44.9063635302614</v>
      </c>
      <c r="BA41" s="13" t="n">
        <f aca="false">BA38+BA40</f>
        <v>44.1137508122003</v>
      </c>
      <c r="BB41" s="13" t="n">
        <f aca="false">BB38+BB40</f>
        <v>45.3547308180577</v>
      </c>
      <c r="BC41" s="13" t="n">
        <f aca="false">BC38+BC40</f>
        <v>41.7571700277175</v>
      </c>
      <c r="BD41" s="13" t="n">
        <f aca="false">BD38+BD40</f>
        <v>35.2772999891451</v>
      </c>
      <c r="BE41" s="13" t="n">
        <f aca="false">BE38+BE40</f>
        <v>34.8275384629139</v>
      </c>
      <c r="BF41" s="13" t="n">
        <f aca="false">BF38+BF40</f>
        <v>35.5148728464817</v>
      </c>
      <c r="BG41" s="13" t="n">
        <f aca="false">BG38+BG40</f>
        <v>35.0300880947491</v>
      </c>
      <c r="BH41" s="13" t="n">
        <f aca="false">BH38+BH40</f>
        <v>35.6539111834907</v>
      </c>
      <c r="BI41" s="13" t="n">
        <f aca="false">BI38+BI40</f>
        <v>35.375279877592</v>
      </c>
      <c r="BJ41" s="13" t="n">
        <f aca="false">BJ38+BJ40</f>
        <v>43.3813686361063</v>
      </c>
      <c r="BK41" s="13" t="n">
        <f aca="false">BK38+BK40</f>
        <v>38.1138097063292</v>
      </c>
      <c r="BL41" s="13" t="n">
        <f aca="false">BL38+BL40</f>
        <v>38.8438483990739</v>
      </c>
      <c r="BM41" s="13" t="n">
        <f aca="false">BM38+BM40</f>
        <v>55.3998187718369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9.06257838028724</v>
      </c>
      <c r="P43" s="13" t="n">
        <f aca="false">IF(Time!P20&lt;Time!$F$12,0,O43+Financials!P14-P41)</f>
        <v>12.2680771925308</v>
      </c>
      <c r="Q43" s="13" t="n">
        <f aca="false">IF(Time!Q20&lt;Time!$F$12,0,P43+Financials!Q14-Q41)</f>
        <v>16.6684861285277</v>
      </c>
      <c r="R43" s="13" t="n">
        <f aca="false">IF(Time!R20&lt;Time!$F$12,0,Q43+Financials!R14-R41)</f>
        <v>21.2599050012743</v>
      </c>
      <c r="S43" s="13" t="n">
        <f aca="false">IF(Time!S20&lt;Time!$F$12,0,R43+Financials!S14-S41)</f>
        <v>26.9095209507203</v>
      </c>
      <c r="T43" s="13" t="n">
        <f aca="false">IF(Time!T20&lt;Time!$F$12,0,S43+Financials!T14-T41)</f>
        <v>32.7412303588087</v>
      </c>
      <c r="U43" s="13" t="n">
        <f aca="false">IF(Time!U20&lt;Time!$F$12,0,T43+Financials!U14-U41)</f>
        <v>39.6046445956888</v>
      </c>
      <c r="V43" s="13" t="n">
        <f aca="false">IF(Time!V20&lt;Time!$F$12,0,U43+Financials!V14-V41)</f>
        <v>44.4802306760893</v>
      </c>
      <c r="W43" s="13" t="n">
        <f aca="false">IF(Time!W20&lt;Time!$F$12,0,V43+Financials!W14-W41)</f>
        <v>52.9846016689397</v>
      </c>
      <c r="X43" s="13" t="n">
        <f aca="false">IF(Time!X20&lt;Time!$F$12,0,W43+Financials!X14-X41)</f>
        <v>61.826656033504</v>
      </c>
      <c r="Y43" s="13" t="n">
        <f aca="false">IF(Time!Y20&lt;Time!$F$12,0,X43+Financials!Y14-Y41)</f>
        <v>68.9270558176125</v>
      </c>
      <c r="Z43" s="13" t="n">
        <f aca="false">IF(Time!Z20&lt;Time!$F$12,0,Y43+Financials!Z14-Z41)</f>
        <v>71.608574695047</v>
      </c>
      <c r="AA43" s="13" t="n">
        <f aca="false">IF(Time!AA20&lt;Time!$F$12,0,Z43+Financials!AA14-AA41)</f>
        <v>75.1152556193392</v>
      </c>
      <c r="AB43" s="13" t="n">
        <f aca="false">IF(Time!AB20&lt;Time!$F$12,0,AA43+Financials!AB14-AB41)</f>
        <v>78.8937705702905</v>
      </c>
      <c r="AC43" s="13" t="n">
        <f aca="false">IF(Time!AC20&lt;Time!$F$12,0,AB43+Financials!AC14-AC41)</f>
        <v>83.5393642182677</v>
      </c>
      <c r="AD43" s="13" t="n">
        <f aca="false">IF(Time!AD20&lt;Time!$F$12,0,AC43+Financials!AD14-AD41)</f>
        <v>77.2538281553469</v>
      </c>
      <c r="AE43" s="13" t="n">
        <f aca="false">IF(Time!AE20&lt;Time!$F$12,0,AD43+Financials!AE14-AE41)</f>
        <v>85.0345294044397</v>
      </c>
      <c r="AF43" s="13" t="n">
        <f aca="false">IF(Time!AF20&lt;Time!$F$12,0,AE43+Financials!AF14-AF41)</f>
        <v>92.3927382166268</v>
      </c>
      <c r="AG43" s="13" t="n">
        <f aca="false">IF(Time!AG20&lt;Time!$F$12,0,AF43+Financials!AG14-AG41)</f>
        <v>99.727433910251</v>
      </c>
      <c r="AH43" s="13" t="n">
        <f aca="false">IF(Time!AH20&lt;Time!$F$12,0,AG43+Financials!AH14-AH41)</f>
        <v>107.692663262037</v>
      </c>
      <c r="AI43" s="13" t="n">
        <f aca="false">IF(Time!AI20&lt;Time!$F$12,0,AH43+Financials!AI14-AI41)</f>
        <v>116.771481374168</v>
      </c>
      <c r="AJ43" s="13" t="n">
        <f aca="false">IF(Time!AJ20&lt;Time!$F$12,0,AI43+Financials!AJ14-AJ41)</f>
        <v>126.541315698784</v>
      </c>
      <c r="AK43" s="13" t="n">
        <f aca="false">IF(Time!AK20&lt;Time!$F$12,0,AJ43+Financials!AK14-AK41)</f>
        <v>137.494667386799</v>
      </c>
      <c r="AL43" s="13" t="n">
        <f aca="false">IF(Time!AL20&lt;Time!$F$12,0,AK43+Financials!AL14-AL41)</f>
        <v>147.376149886281</v>
      </c>
      <c r="AM43" s="13" t="n">
        <f aca="false">IF(Time!AM20&lt;Time!$F$12,0,AL43+Financials!AM14-AM41)</f>
        <v>160.617333012135</v>
      </c>
      <c r="AN43" s="13" t="n">
        <f aca="false">IF(Time!AN20&lt;Time!$F$12,0,AM43+Financials!AN14-AN41)</f>
        <v>174.862471043433</v>
      </c>
      <c r="AO43" s="13" t="n">
        <f aca="false">IF(Time!AO20&lt;Time!$F$12,0,AN43+Financials!AO14-AO41)</f>
        <v>190.344968941351</v>
      </c>
      <c r="AP43" s="13" t="n">
        <f aca="false">IF(Time!AP20&lt;Time!$F$12,0,AO43+Financials!AP14-AP41)</f>
        <v>207.470657392102</v>
      </c>
      <c r="AQ43" s="13" t="n">
        <f aca="false">IF(Time!AQ20&lt;Time!$F$12,0,AP43+Financials!AQ14-AQ41)</f>
        <v>226.141317874194</v>
      </c>
      <c r="AR43" s="13" t="n">
        <f aca="false">IF(Time!AR20&lt;Time!$F$12,0,AQ43+Financials!AR14-AR41)</f>
        <v>246.20315953131</v>
      </c>
      <c r="AS43" s="13" t="n">
        <f aca="false">IF(Time!AS20&lt;Time!$F$12,0,AR43+Financials!AS14-AS41)</f>
        <v>267.985935911663</v>
      </c>
      <c r="AT43" s="13" t="n">
        <f aca="false">IF(Time!AT20&lt;Time!$F$12,0,AS43+Financials!AT14-AT41)</f>
        <v>275.353838575982</v>
      </c>
      <c r="AU43" s="13" t="n">
        <f aca="false">IF(Time!AU20&lt;Time!$F$12,0,AT43+Financials!AU14-AU41)</f>
        <v>253.528341319956</v>
      </c>
      <c r="AV43" s="13" t="n">
        <f aca="false">IF(Time!AV20&lt;Time!$F$12,0,AU43+Financials!AV14-AV41)</f>
        <v>234.499987073514</v>
      </c>
      <c r="AW43" s="13" t="n">
        <f aca="false">IF(Time!AW20&lt;Time!$F$12,0,AV43+Financials!AW14-AW41)</f>
        <v>216.011471098308</v>
      </c>
      <c r="AX43" s="13" t="n">
        <f aca="false">IF(Time!AX20&lt;Time!$F$12,0,AW43+Financials!AX14-AX41)</f>
        <v>196.982834780168</v>
      </c>
      <c r="AY43" s="13" t="n">
        <f aca="false">IF(Time!AY20&lt;Time!$F$12,0,AX43+Financials!AY14-AY41)</f>
        <v>178.497609270804</v>
      </c>
      <c r="AZ43" s="13" t="n">
        <f aca="false">IF(Time!AZ20&lt;Time!$F$12,0,AY43+Financials!AZ14-AZ41)</f>
        <v>159.467894627284</v>
      </c>
      <c r="BA43" s="13" t="n">
        <f aca="false">IF(Time!BA20&lt;Time!$F$12,0,AZ43+Financials!BA14-BA41)</f>
        <v>141.392659485783</v>
      </c>
      <c r="BB43" s="13" t="n">
        <f aca="false">IF(Time!BB20&lt;Time!$F$12,0,BA43+Financials!BB14-BB41)</f>
        <v>119.826112699927</v>
      </c>
      <c r="BC43" s="13" t="n">
        <f aca="false">IF(Time!BC20&lt;Time!$F$12,0,BB43+Financials!BC14-BC41)</f>
        <v>104.381893770585</v>
      </c>
      <c r="BD43" s="13" t="n">
        <f aca="false">IF(Time!BD20&lt;Time!$F$12,0,BC43+Financials!BD14-BD41)</f>
        <v>95.4079289373806</v>
      </c>
      <c r="BE43" s="13" t="n">
        <f aca="false">IF(Time!BE20&lt;Time!$F$12,0,BD43+Financials!BE14-BE41)</f>
        <v>87.008556598363</v>
      </c>
      <c r="BF43" s="13" t="n">
        <f aca="false">IF(Time!BF20&lt;Time!$F$12,0,BE43+Financials!BF14-BF41)</f>
        <v>78.0692114558102</v>
      </c>
      <c r="BG43" s="13" t="n">
        <f aca="false">IF(Time!BG20&lt;Time!$F$12,0,BF43+Financials!BG14-BG41)</f>
        <v>69.7072465650724</v>
      </c>
      <c r="BH43" s="13" t="n">
        <f aca="false">IF(Time!BH20&lt;Time!$F$12,0,BG43+Financials!BH14-BH41)</f>
        <v>60.8006634217963</v>
      </c>
      <c r="BI43" s="13" t="n">
        <f aca="false">IF(Time!BI20&lt;Time!$F$12,0,BH43+Financials!BI14-BI41)</f>
        <v>52.3873287392519</v>
      </c>
      <c r="BJ43" s="13" t="n">
        <f aca="false">IF(Time!BJ20&lt;Time!$F$12,0,BI43+Financials!BJ14-BJ41)</f>
        <v>23.7835144704427</v>
      </c>
      <c r="BK43" s="13" t="n">
        <f aca="false">IF(Time!BK20&lt;Time!$F$12,0,BJ43+Financials!BK14-BK41)</f>
        <v>12.9708749522708</v>
      </c>
      <c r="BL43" s="13" t="n">
        <f aca="false">IF(Time!BL20&lt;Time!$F$12,0,BK43+Financials!BL14-BL41)</f>
        <v>1.33636533169979</v>
      </c>
      <c r="BM43" s="13" t="n">
        <f aca="false">IF(Time!BM20&lt;Time!$F$12,0,BL43+Financials!BM14-BM41)</f>
        <v>-49.1936391863918</v>
      </c>
      <c r="BN43" s="13" t="n">
        <f aca="false">IF(Time!BN20&lt;Time!$F$12,0,BM43+Financials!BN14-BN41)</f>
        <v>-49.1936391863918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1372.980480082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11.4105067631606</v>
      </c>
      <c r="Q44" s="13" t="n">
        <f aca="false">Q34+Q35+Q41</f>
        <v>8.90391114201729</v>
      </c>
      <c r="R44" s="13" t="n">
        <f aca="false">R34+R35+R41</f>
        <v>9.86661134866095</v>
      </c>
      <c r="S44" s="13" t="n">
        <f aca="false">S34+S35+S41</f>
        <v>9.00557190556034</v>
      </c>
      <c r="T44" s="13" t="n">
        <f aca="false">T34+T35+T41</f>
        <v>9.7763162483578</v>
      </c>
      <c r="U44" s="13" t="n">
        <f aca="false">U34+U35+U41</f>
        <v>8.74168413334744</v>
      </c>
      <c r="V44" s="13" t="n">
        <f aca="false">V34+V35+V41</f>
        <v>10.0116813789061</v>
      </c>
      <c r="W44" s="13" t="n">
        <f aca="false">W34+W35+W41</f>
        <v>10.8469447239185</v>
      </c>
      <c r="X44" s="13" t="n">
        <f aca="false">X34+X35+X41</f>
        <v>9.76813387714838</v>
      </c>
      <c r="Y44" s="13" t="n">
        <f aca="false">Y34+Y35+Y41</f>
        <v>8.94999455387668</v>
      </c>
      <c r="Z44" s="13" t="n">
        <f aca="false">Z34+Z35+Z41</f>
        <v>9.69197428421597</v>
      </c>
      <c r="AA44" s="13" t="n">
        <f aca="false">AA34+AA35+AA41</f>
        <v>4.40652449517368</v>
      </c>
      <c r="AB44" s="13" t="n">
        <f aca="false">AB34+AB35+AB41</f>
        <v>5.21721017549682</v>
      </c>
      <c r="AC44" s="13" t="n">
        <f aca="false">AC34+AC35+AC41</f>
        <v>4.68389470643536</v>
      </c>
      <c r="AD44" s="13" t="n">
        <f aca="false">AD34+AD35+AD41</f>
        <v>5.87853712438882</v>
      </c>
      <c r="AE44" s="13" t="n">
        <f aca="false">AE34+AE35+AE41</f>
        <v>6.31352269323191</v>
      </c>
      <c r="AF44" s="13" t="n">
        <f aca="false">AF34+AF35+AF41</f>
        <v>7.02678272072754</v>
      </c>
      <c r="AG44" s="13" t="n">
        <f aca="false">AG34+AG35+AG41</f>
        <v>7.20728902525059</v>
      </c>
      <c r="AH44" s="13" t="n">
        <f aca="false">AH34+AH35+AH41</f>
        <v>8.34528340446757</v>
      </c>
      <c r="AI44" s="13" t="n">
        <f aca="false">AI34+AI35+AI41</f>
        <v>8.8745354296356</v>
      </c>
      <c r="AJ44" s="13" t="n">
        <f aca="false">AJ34+AJ35+AJ41</f>
        <v>10.3635081717974</v>
      </c>
      <c r="AK44" s="13" t="n">
        <f aca="false">AK34+AK35+AK41</f>
        <v>11.5914834251414</v>
      </c>
      <c r="AL44" s="13" t="n">
        <f aca="false">AL34+AL35+AL41</f>
        <v>20.3064826054374</v>
      </c>
      <c r="AM44" s="13" t="n">
        <f aca="false">AM34+AM35+AM41</f>
        <v>36.1614928451774</v>
      </c>
      <c r="AN44" s="13" t="n">
        <f aca="false">AN34+AN35+AN41</f>
        <v>31.3237597558931</v>
      </c>
      <c r="AO44" s="13" t="n">
        <f aca="false">AO34+AO35+AO41</f>
        <v>50.6913261501648</v>
      </c>
      <c r="AP44" s="13" t="n">
        <f aca="false">AP34+AP35+AP41</f>
        <v>51.3901970401744</v>
      </c>
      <c r="AQ44" s="13" t="n">
        <f aca="false">AQ34+AQ35+AQ41</f>
        <v>50.9756781429533</v>
      </c>
      <c r="AR44" s="13" t="n">
        <f aca="false">AR34+AR35+AR41</f>
        <v>51.5989019777388</v>
      </c>
      <c r="AS44" s="13" t="n">
        <f aca="false">AS34+AS35+AS41</f>
        <v>51.4095269231289</v>
      </c>
      <c r="AT44" s="13" t="n">
        <f aca="false">AT34+AT35+AT41</f>
        <v>53.7294617386417</v>
      </c>
      <c r="AU44" s="13" t="n">
        <f aca="false">AU34+AU35+AU41</f>
        <v>47.3625342674678</v>
      </c>
      <c r="AV44" s="13" t="n">
        <f aca="false">AV34+AV35+AV41</f>
        <v>44.4949406345085</v>
      </c>
      <c r="AW44" s="13" t="n">
        <f aca="false">AW34+AW35+AW41</f>
        <v>44.0705558465721</v>
      </c>
      <c r="AX44" s="13" t="n">
        <f aca="false">AX34+AX35+AX41</f>
        <v>44.7453958769118</v>
      </c>
      <c r="AY44" s="13" t="n">
        <f aca="false">AY34+AY35+AY41</f>
        <v>44.2884733903584</v>
      </c>
      <c r="AZ44" s="13" t="n">
        <f aca="false">AZ34+AZ35+AZ41</f>
        <v>44.9063635302614</v>
      </c>
      <c r="BA44" s="13" t="n">
        <f aca="false">BA34+BA35+BA41</f>
        <v>44.1137508122003</v>
      </c>
      <c r="BB44" s="13" t="n">
        <f aca="false">BB34+BB35+BB41</f>
        <v>45.3547308180577</v>
      </c>
      <c r="BC44" s="13" t="n">
        <f aca="false">BC34+BC35+BC41</f>
        <v>41.7571700277175</v>
      </c>
      <c r="BD44" s="13" t="n">
        <f aca="false">BD34+BD35+BD41</f>
        <v>35.2772999891451</v>
      </c>
      <c r="BE44" s="13" t="n">
        <f aca="false">BE34+BE35+BE41</f>
        <v>34.8275384629139</v>
      </c>
      <c r="BF44" s="13" t="n">
        <f aca="false">BF34+BF35+BF41</f>
        <v>35.5148728464817</v>
      </c>
      <c r="BG44" s="13" t="n">
        <f aca="false">BG34+BG35+BG41</f>
        <v>35.0300880947491</v>
      </c>
      <c r="BH44" s="13" t="n">
        <f aca="false">BH34+BH35+BH41</f>
        <v>35.6539111834907</v>
      </c>
      <c r="BI44" s="13" t="n">
        <f aca="false">BI34+BI35+BI41</f>
        <v>35.375279877592</v>
      </c>
      <c r="BJ44" s="13" t="n">
        <f aca="false">BJ34+BJ35+BJ41</f>
        <v>43.3813686361063</v>
      </c>
      <c r="BK44" s="13" t="n">
        <f aca="false">BK34+BK35+BK41</f>
        <v>38.1138097063292</v>
      </c>
      <c r="BL44" s="13" t="n">
        <f aca="false">BL34+BL35+BL41</f>
        <v>38.8438483990739</v>
      </c>
      <c r="BM44" s="13" t="n">
        <f aca="false">BM34+BM35+BM41</f>
        <v>55.3998187718369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915.842259483289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6.10561506322192</v>
      </c>
      <c r="P8" s="13" t="n">
        <f aca="false">Funding!$F$76/Time!$F$9*Time!P30</f>
        <v>18.3168451896658</v>
      </c>
      <c r="Q8" s="13" t="n">
        <f aca="false">Funding!$F$76/Time!$F$9*Time!Q30</f>
        <v>18.3168451896658</v>
      </c>
      <c r="R8" s="13" t="n">
        <f aca="false">Funding!$F$76/Time!$F$9*Time!R30</f>
        <v>18.3168451896658</v>
      </c>
      <c r="S8" s="13" t="n">
        <f aca="false">Funding!$F$76/Time!$F$9*Time!S30</f>
        <v>18.3168451896658</v>
      </c>
      <c r="T8" s="13" t="n">
        <f aca="false">Funding!$F$76/Time!$F$9*Time!T30</f>
        <v>18.3168451896658</v>
      </c>
      <c r="U8" s="13" t="n">
        <f aca="false">Funding!$F$76/Time!$F$9*Time!U30</f>
        <v>18.3168451896658</v>
      </c>
      <c r="V8" s="13" t="n">
        <f aca="false">Funding!$F$76/Time!$F$9*Time!V30</f>
        <v>18.3168451896658</v>
      </c>
      <c r="W8" s="13" t="n">
        <f aca="false">Funding!$F$76/Time!$F$9*Time!W30</f>
        <v>18.3168451896658</v>
      </c>
      <c r="X8" s="13" t="n">
        <f aca="false">Funding!$F$76/Time!$F$9*Time!X30</f>
        <v>18.3168451896658</v>
      </c>
      <c r="Y8" s="13" t="n">
        <f aca="false">Funding!$F$76/Time!$F$9*Time!Y30</f>
        <v>18.3168451896658</v>
      </c>
      <c r="Z8" s="13" t="n">
        <f aca="false">Funding!$F$76/Time!$F$9*Time!Z30</f>
        <v>18.3168451896658</v>
      </c>
      <c r="AA8" s="13" t="n">
        <f aca="false">Funding!$F$76/Time!$F$9*Time!AA30</f>
        <v>18.3168451896658</v>
      </c>
      <c r="AB8" s="13" t="n">
        <f aca="false">Funding!$F$76/Time!$F$9*Time!AB30</f>
        <v>18.3168451896658</v>
      </c>
      <c r="AC8" s="13" t="n">
        <f aca="false">Funding!$F$76/Time!$F$9*Time!AC30</f>
        <v>18.3168451896658</v>
      </c>
      <c r="AD8" s="13" t="n">
        <f aca="false">Funding!$F$76/Time!$F$9*Time!AD30</f>
        <v>18.3168451896658</v>
      </c>
      <c r="AE8" s="13" t="n">
        <f aca="false">Funding!$F$76/Time!$F$9*Time!AE30</f>
        <v>18.3168451896658</v>
      </c>
      <c r="AF8" s="13" t="n">
        <f aca="false">Funding!$F$76/Time!$F$9*Time!AF30</f>
        <v>18.3168451896658</v>
      </c>
      <c r="AG8" s="13" t="n">
        <f aca="false">Funding!$F$76/Time!$F$9*Time!AG30</f>
        <v>18.3168451896658</v>
      </c>
      <c r="AH8" s="13" t="n">
        <f aca="false">Funding!$F$76/Time!$F$9*Time!AH30</f>
        <v>18.3168451896658</v>
      </c>
      <c r="AI8" s="13" t="n">
        <f aca="false">Funding!$F$76/Time!$F$9*Time!AI30</f>
        <v>18.3168451896658</v>
      </c>
      <c r="AJ8" s="13" t="n">
        <f aca="false">Funding!$F$76/Time!$F$9*Time!AJ30</f>
        <v>18.3168451896658</v>
      </c>
      <c r="AK8" s="13" t="n">
        <f aca="false">Funding!$F$76/Time!$F$9*Time!AK30</f>
        <v>18.3168451896658</v>
      </c>
      <c r="AL8" s="13" t="n">
        <f aca="false">Funding!$F$76/Time!$F$9*Time!AL30</f>
        <v>18.3168451896658</v>
      </c>
      <c r="AM8" s="13" t="n">
        <f aca="false">Funding!$F$76/Time!$F$9*Time!AM30</f>
        <v>18.3168451896658</v>
      </c>
      <c r="AN8" s="13" t="n">
        <f aca="false">Funding!$F$76/Time!$F$9*Time!AN30</f>
        <v>18.3168451896658</v>
      </c>
      <c r="AO8" s="13" t="n">
        <f aca="false">Funding!$F$76/Time!$F$9*Time!AO30</f>
        <v>18.3168451896658</v>
      </c>
      <c r="AP8" s="13" t="n">
        <f aca="false">Funding!$F$76/Time!$F$9*Time!AP30</f>
        <v>18.3168451896658</v>
      </c>
      <c r="AQ8" s="13" t="n">
        <f aca="false">Funding!$F$76/Time!$F$9*Time!AQ30</f>
        <v>18.3168451896658</v>
      </c>
      <c r="AR8" s="13" t="n">
        <f aca="false">Funding!$F$76/Time!$F$9*Time!AR30</f>
        <v>18.3168451896658</v>
      </c>
      <c r="AS8" s="13" t="n">
        <f aca="false">Funding!$F$76/Time!$F$9*Time!AS30</f>
        <v>18.3168451896658</v>
      </c>
      <c r="AT8" s="13" t="n">
        <f aca="false">Funding!$F$76/Time!$F$9*Time!AT30</f>
        <v>18.3168451896658</v>
      </c>
      <c r="AU8" s="13" t="n">
        <f aca="false">Funding!$F$76/Time!$F$9*Time!AU30</f>
        <v>18.3168451896658</v>
      </c>
      <c r="AV8" s="13" t="n">
        <f aca="false">Funding!$F$76/Time!$F$9*Time!AV30</f>
        <v>18.3168451896658</v>
      </c>
      <c r="AW8" s="13" t="n">
        <f aca="false">Funding!$F$76/Time!$F$9*Time!AW30</f>
        <v>18.3168451896658</v>
      </c>
      <c r="AX8" s="13" t="n">
        <f aca="false">Funding!$F$76/Time!$F$9*Time!AX30</f>
        <v>18.3168451896658</v>
      </c>
      <c r="AY8" s="13" t="n">
        <f aca="false">Funding!$F$76/Time!$F$9*Time!AY30</f>
        <v>18.3168451896658</v>
      </c>
      <c r="AZ8" s="13" t="n">
        <f aca="false">Funding!$F$76/Time!$F$9*Time!AZ30</f>
        <v>18.3168451896658</v>
      </c>
      <c r="BA8" s="13" t="n">
        <f aca="false">Funding!$F$76/Time!$F$9*Time!BA30</f>
        <v>18.3168451896658</v>
      </c>
      <c r="BB8" s="13" t="n">
        <f aca="false">Funding!$F$76/Time!$F$9*Time!BB30</f>
        <v>18.3168451896658</v>
      </c>
      <c r="BC8" s="13" t="n">
        <f aca="false">Funding!$F$76/Time!$F$9*Time!BC30</f>
        <v>18.3168451896658</v>
      </c>
      <c r="BD8" s="13" t="n">
        <f aca="false">Funding!$F$76/Time!$F$9*Time!BD30</f>
        <v>18.3168451896658</v>
      </c>
      <c r="BE8" s="13" t="n">
        <f aca="false">Funding!$F$76/Time!$F$9*Time!BE30</f>
        <v>18.3168451896658</v>
      </c>
      <c r="BF8" s="13" t="n">
        <f aca="false">Funding!$F$76/Time!$F$9*Time!BF30</f>
        <v>18.3168451896658</v>
      </c>
      <c r="BG8" s="13" t="n">
        <f aca="false">Funding!$F$76/Time!$F$9*Time!BG30</f>
        <v>18.3168451896658</v>
      </c>
      <c r="BH8" s="13" t="n">
        <f aca="false">Funding!$F$76/Time!$F$9*Time!BH30</f>
        <v>18.3168451896658</v>
      </c>
      <c r="BI8" s="13" t="n">
        <f aca="false">Funding!$F$76/Time!$F$9*Time!BI30</f>
        <v>18.3168451896658</v>
      </c>
      <c r="BJ8" s="13" t="n">
        <f aca="false">Funding!$F$76/Time!$F$9*Time!BJ30</f>
        <v>18.3168451896658</v>
      </c>
      <c r="BK8" s="13" t="n">
        <f aca="false">Funding!$F$76/Time!$F$9*Time!BK30</f>
        <v>18.3168451896658</v>
      </c>
      <c r="BL8" s="13" t="n">
        <f aca="false">Funding!$F$76/Time!$F$9*Time!BL30</f>
        <v>18.3168451896658</v>
      </c>
      <c r="BM8" s="13" t="n">
        <f aca="false">Funding!$F$76/Time!$F$9*Time!BM30</f>
        <v>12.2112301264438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710.562417063385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3.54841043266278</v>
      </c>
      <c r="P9" s="13" t="n">
        <f aca="false">Debt!P112+Debt!P110+Debt!P104-Debt!P103+Tax!P13</f>
        <v>34.62548102484</v>
      </c>
      <c r="Q9" s="13" t="n">
        <f aca="false">Debt!Q112+Debt!Q110+Debt!Q104-Debt!Q103+Tax!Q13</f>
        <v>33.6458978427363</v>
      </c>
      <c r="R9" s="13" t="n">
        <f aca="false">Debt!R112+Debt!R110+Debt!R104-Debt!R103+Tax!R13</f>
        <v>33.6032175139981</v>
      </c>
      <c r="S9" s="13" t="n">
        <f aca="false">Debt!S112+Debt!S110+Debt!S104-Debt!S103+Tax!S13</f>
        <v>32.6391128961501</v>
      </c>
      <c r="T9" s="13" t="n">
        <f aca="false">Debt!T112+Debt!T110+Debt!T104-Debt!T103+Tax!T13</f>
        <v>32.5343587659045</v>
      </c>
      <c r="U9" s="13" t="n">
        <f aca="false">Debt!U112+Debt!U110+Debt!U104-Debt!U103+Tax!U13</f>
        <v>31.6672692004687</v>
      </c>
      <c r="V9" s="13" t="n">
        <f aca="false">Debt!V112+Debt!V110+Debt!V104-Debt!V103+Tax!V13</f>
        <v>31.3775876988156</v>
      </c>
      <c r="W9" s="13" t="n">
        <f aca="false">Debt!W112+Debt!W110+Debt!W104-Debt!W103+Tax!W13</f>
        <v>30.3052845747238</v>
      </c>
      <c r="X9" s="13" t="n">
        <f aca="false">Debt!X112+Debt!X110+Debt!X104-Debt!X103+Tax!X13</f>
        <v>29.967813440667</v>
      </c>
      <c r="Y9" s="13" t="n">
        <f aca="false">Debt!Y112+Debt!Y110+Debt!Y104-Debt!Y103+Tax!Y13</f>
        <v>29.4953186835585</v>
      </c>
      <c r="Z9" s="13" t="n">
        <f aca="false">Debt!Z112+Debt!Z110+Debt!Z104-Debt!Z103+Tax!Z13</f>
        <v>29.2537827734843</v>
      </c>
      <c r="AA9" s="13" t="n">
        <f aca="false">Debt!AA112+Debt!AA110+Debt!AA104-Debt!AA103+Tax!AA13</f>
        <v>28.1731603311148</v>
      </c>
      <c r="AB9" s="13" t="n">
        <f aca="false">Debt!AB112+Debt!AB110+Debt!AB104-Debt!AB103+Tax!AB13</f>
        <v>27.8655191866203</v>
      </c>
      <c r="AC9" s="13" t="n">
        <f aca="false">Debt!AC112+Debt!AC110+Debt!AC104-Debt!AC103+Tax!AC13</f>
        <v>26.8406362152535</v>
      </c>
      <c r="AD9" s="13" t="n">
        <f aca="false">Debt!AD112+Debt!AD110+Debt!AD104-Debt!AD103+Tax!AD13</f>
        <v>26.3487783975712</v>
      </c>
      <c r="AE9" s="13" t="n">
        <f aca="false">Debt!AE112+Debt!AE110+Debt!AE104-Debt!AE103+Tax!AE13</f>
        <v>25.0907779302163</v>
      </c>
      <c r="AF9" s="13" t="n">
        <f aca="false">Debt!AF112+Debt!AF110+Debt!AF104-Debt!AF103+Tax!AF13</f>
        <v>24.471721495559</v>
      </c>
      <c r="AG9" s="13" t="n">
        <f aca="false">Debt!AG112+Debt!AG110+Debt!AG104-Debt!AG103+Tax!AG13</f>
        <v>23.394747074262</v>
      </c>
      <c r="AH9" s="13" t="n">
        <f aca="false">Debt!AH112+Debt!AH110+Debt!AH104-Debt!AH103+Tax!AH13</f>
        <v>22.6526807502616</v>
      </c>
      <c r="AI9" s="13" t="n">
        <f aca="false">Debt!AI112+Debt!AI110+Debt!AI104-Debt!AI103+Tax!AI13</f>
        <v>21.1668902178525</v>
      </c>
      <c r="AJ9" s="13" t="n">
        <f aca="false">Debt!AJ112+Debt!AJ110+Debt!AJ104-Debt!AJ103+Tax!AJ13</f>
        <v>20.2667722768495</v>
      </c>
      <c r="AK9" s="13" t="n">
        <f aca="false">Debt!AK112+Debt!AK110+Debt!AK104-Debt!AK103+Tax!AK13</f>
        <v>18.7692640004626</v>
      </c>
      <c r="AL9" s="13" t="n">
        <f aca="false">Debt!AL112+Debt!AL110+Debt!AL104-Debt!AL103+Tax!AL13</f>
        <v>17.5936638705445</v>
      </c>
      <c r="AM9" s="13" t="n">
        <f aca="false">Debt!AM112+Debt!AM110+Debt!AM104-Debt!AM103+Tax!AM13</f>
        <v>15.8271158256239</v>
      </c>
      <c r="AN9" s="13" t="n">
        <f aca="false">Debt!AN112+Debt!AN110+Debt!AN104-Debt!AN103+Tax!AN13</f>
        <v>14.3828981694617</v>
      </c>
      <c r="AO9" s="13" t="n">
        <f aca="false">Debt!AO112+Debt!AO110+Debt!AO104-Debt!AO103+Tax!AO13</f>
        <v>12.765304568919</v>
      </c>
      <c r="AP9" s="13" t="n">
        <f aca="false">Debt!AP112+Debt!AP110+Debt!AP104-Debt!AP103+Tax!AP13</f>
        <v>10.5915201188702</v>
      </c>
      <c r="AQ9" s="13" t="n">
        <f aca="false">Debt!AQ112+Debt!AQ110+Debt!AQ104-Debt!AQ103+Tax!AQ13</f>
        <v>8.49682338766204</v>
      </c>
      <c r="AR9" s="13" t="n">
        <f aca="false">Debt!AR112+Debt!AR110+Debt!AR104-Debt!AR103+Tax!AR13</f>
        <v>6.60332490323487</v>
      </c>
      <c r="AS9" s="13" t="n">
        <f aca="false">Debt!AS112+Debt!AS110+Debt!AS104-Debt!AS103+Tax!AS13</f>
        <v>4.40011531030596</v>
      </c>
      <c r="AT9" s="13" t="n">
        <f aca="false">Debt!AT112+Debt!AT110+Debt!AT104-Debt!AT103+Tax!AT13</f>
        <v>2.19716818472946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915.842259483289</v>
      </c>
      <c r="K10" s="13" t="n">
        <f aca="false">Funding!$F$76-SUM(Tax!$J$10:K$10)</f>
        <v>915.842259483289</v>
      </c>
      <c r="L10" s="13" t="n">
        <f aca="false">Funding!$F$76-SUM(Tax!$J$10:L$10)</f>
        <v>915.842259483289</v>
      </c>
      <c r="M10" s="13" t="n">
        <f aca="false">Funding!$F$76-SUM(Tax!$J$10:M$10)</f>
        <v>915.842259483289</v>
      </c>
      <c r="N10" s="13" t="n">
        <f aca="false">Funding!$F$76-SUM(Tax!$J$10:N$10)</f>
        <v>915.842259483289</v>
      </c>
      <c r="O10" s="13" t="n">
        <f aca="false">Funding!$F$76-SUM(Tax!$J$10:O$10)</f>
        <v>907.599679147939</v>
      </c>
      <c r="P10" s="13" t="n">
        <f aca="false">Funding!$F$76-SUM(Tax!$J$10:P$10)</f>
        <v>882.87193814189</v>
      </c>
      <c r="Q10" s="13" t="n">
        <f aca="false">Funding!$F$76-SUM(Tax!$J$10:Q$10)</f>
        <v>858.144197135841</v>
      </c>
      <c r="R10" s="13" t="n">
        <f aca="false">Funding!$F$76-SUM(Tax!$J$10:R$10)</f>
        <v>833.416456129793</v>
      </c>
      <c r="S10" s="13" t="n">
        <f aca="false">Funding!$F$76-SUM(Tax!$J$10:S$10)</f>
        <v>808.688715123744</v>
      </c>
      <c r="T10" s="13" t="n">
        <f aca="false">Funding!$F$76-SUM(Tax!$J$10:T$10)</f>
        <v>783.960974117695</v>
      </c>
      <c r="U10" s="13" t="n">
        <f aca="false">Funding!$F$76-SUM(Tax!$J$10:U$10)</f>
        <v>759.233233111646</v>
      </c>
      <c r="V10" s="13" t="n">
        <f aca="false">Funding!$F$76-SUM(Tax!$J$10:V$10)</f>
        <v>734.505492105598</v>
      </c>
      <c r="W10" s="13" t="n">
        <f aca="false">Funding!$F$76-SUM(Tax!$J$10:W$10)</f>
        <v>709.777751099549</v>
      </c>
      <c r="X10" s="13" t="n">
        <f aca="false">Funding!$F$76-SUM(Tax!$J$10:X$10)</f>
        <v>685.0500100935</v>
      </c>
      <c r="Y10" s="13" t="n">
        <f aca="false">Funding!$F$76-SUM(Tax!$J$10:Y$10)</f>
        <v>661.238111346934</v>
      </c>
      <c r="Z10" s="13" t="n">
        <f aca="false">Funding!$F$76-SUM(Tax!$J$10:Z$10)</f>
        <v>639.257897119335</v>
      </c>
      <c r="AA10" s="13" t="n">
        <f aca="false">Funding!$F$76-SUM(Tax!$J$10:AA$10)</f>
        <v>617.277682891737</v>
      </c>
      <c r="AB10" s="13" t="n">
        <f aca="false">Funding!$F$76-SUM(Tax!$J$10:AB$10)</f>
        <v>595.297468664138</v>
      </c>
      <c r="AC10" s="13" t="n">
        <f aca="false">Funding!$F$76-SUM(Tax!$J$10:AC$10)</f>
        <v>573.317254436539</v>
      </c>
      <c r="AD10" s="13" t="n">
        <f aca="false">Funding!$F$76-SUM(Tax!$J$10:AD$10)</f>
        <v>551.33704020894</v>
      </c>
      <c r="AE10" s="13" t="n">
        <f aca="false">Funding!$F$76-SUM(Tax!$J$10:AE$10)</f>
        <v>529.356825981341</v>
      </c>
      <c r="AF10" s="13" t="n">
        <f aca="false">Funding!$F$76-SUM(Tax!$J$10:AF$10)</f>
        <v>507.376611753742</v>
      </c>
      <c r="AG10" s="13" t="n">
        <f aca="false">Funding!$F$76-SUM(Tax!$J$10:AG$10)</f>
        <v>485.396397526143</v>
      </c>
      <c r="AH10" s="13" t="n">
        <f aca="false">Funding!$F$76-SUM(Tax!$J$10:AH$10)</f>
        <v>463.416183298544</v>
      </c>
      <c r="AI10" s="13" t="n">
        <f aca="false">Funding!$F$76-SUM(Tax!$J$10:AI$10)</f>
        <v>441.435969070945</v>
      </c>
      <c r="AJ10" s="13" t="n">
        <f aca="false">Funding!$F$76-SUM(Tax!$J$10:AJ$10)</f>
        <v>419.455754843346</v>
      </c>
      <c r="AK10" s="13" t="n">
        <f aca="false">Funding!$F$76-SUM(Tax!$J$10:AK$10)</f>
        <v>397.475540615747</v>
      </c>
      <c r="AL10" s="13" t="n">
        <f aca="false">Funding!$F$76-SUM(Tax!$J$10:AL$10)</f>
        <v>375.495326388148</v>
      </c>
      <c r="AM10" s="13" t="n">
        <f aca="false">Funding!$F$76-SUM(Tax!$J$10:AM$10)</f>
        <v>353.515112160549</v>
      </c>
      <c r="AN10" s="13" t="n">
        <f aca="false">Funding!$F$76-SUM(Tax!$J$10:AN$10)</f>
        <v>331.53489793295</v>
      </c>
      <c r="AO10" s="13" t="n">
        <f aca="false">Funding!$F$76-SUM(Tax!$J$10:AO$10)</f>
        <v>309.554683705352</v>
      </c>
      <c r="AP10" s="13" t="n">
        <f aca="false">Funding!$F$76-SUM(Tax!$J$10:AP$10)</f>
        <v>287.574469477753</v>
      </c>
      <c r="AQ10" s="13" t="n">
        <f aca="false">Funding!$F$76-SUM(Tax!$J$10:AQ$10)</f>
        <v>265.594255250154</v>
      </c>
      <c r="AR10" s="13" t="n">
        <f aca="false">Funding!$F$76-SUM(Tax!$J$10:AR$10)</f>
        <v>243.614041022555</v>
      </c>
      <c r="AS10" s="13" t="n">
        <f aca="false">Funding!$F$76-SUM(Tax!$J$10:AS$10)</f>
        <v>221.633826794956</v>
      </c>
      <c r="AT10" s="13" t="n">
        <f aca="false">Funding!$F$76-SUM(Tax!$J$10:AT$10)</f>
        <v>199.653612567357</v>
      </c>
      <c r="AU10" s="13" t="n">
        <f aca="false">Funding!$F$76-SUM(Tax!$J$10:AU$10)</f>
        <v>177.673398339758</v>
      </c>
      <c r="AV10" s="13" t="n">
        <f aca="false">Funding!$F$76-SUM(Tax!$J$10:AV$10)</f>
        <v>155.693184112159</v>
      </c>
      <c r="AW10" s="13" t="n">
        <f aca="false">Funding!$F$76-SUM(Tax!$J$10:AW$10)</f>
        <v>133.71296988456</v>
      </c>
      <c r="AX10" s="13" t="n">
        <f aca="false">Funding!$F$76-SUM(Tax!$J$10:AX$10)</f>
        <v>111.732755656961</v>
      </c>
      <c r="AY10" s="13" t="n">
        <f aca="false">Funding!$F$76-SUM(Tax!$J$10:AY$10)</f>
        <v>89.7525414293623</v>
      </c>
      <c r="AZ10" s="13" t="n">
        <f aca="false">Funding!$F$76-SUM(Tax!$J$10:AZ$10)</f>
        <v>67.7723272017634</v>
      </c>
      <c r="BA10" s="13" t="n">
        <f aca="false">Funding!$F$76-SUM(Tax!$J$10:BA$10)</f>
        <v>45.7921129741644</v>
      </c>
      <c r="BB10" s="13" t="n">
        <f aca="false">Funding!$F$76-SUM(Tax!$J$10:BB$10)</f>
        <v>23.8118987465656</v>
      </c>
      <c r="BC10" s="13" t="n">
        <f aca="false">Funding!$F$76-SUM(Tax!$J$10:BC$10)</f>
        <v>8.85314184167191</v>
      </c>
      <c r="BD10" s="13" t="n">
        <f aca="false">Funding!$F$76-SUM(Tax!$J$10:BD$10)</f>
        <v>7.93729958218853</v>
      </c>
      <c r="BE10" s="13" t="n">
        <f aca="false">Funding!$F$76-SUM(Tax!$J$10:BE$10)</f>
        <v>7.02145732270526</v>
      </c>
      <c r="BF10" s="13" t="n">
        <f aca="false">Funding!$F$76-SUM(Tax!$J$10:BF$10)</f>
        <v>6.10561506322199</v>
      </c>
      <c r="BG10" s="13" t="n">
        <f aca="false">Funding!$F$76-SUM(Tax!$J$10:BG$10)</f>
        <v>5.18977280373872</v>
      </c>
      <c r="BH10" s="13" t="n">
        <f aca="false">Funding!$F$76-SUM(Tax!$J$10:BH$10)</f>
        <v>4.27393054425545</v>
      </c>
      <c r="BI10" s="13" t="n">
        <f aca="false">Funding!$F$76-SUM(Tax!$J$10:BI$10)</f>
        <v>3.35808828477207</v>
      </c>
      <c r="BJ10" s="13" t="n">
        <f aca="false">Funding!$F$76-SUM(Tax!$J$10:BJ$10)</f>
        <v>2.4422460252888</v>
      </c>
      <c r="BK10" s="13" t="n">
        <f aca="false">Funding!$F$76-SUM(Tax!$J$10:BK$10)</f>
        <v>1.52640376580553</v>
      </c>
      <c r="BL10" s="13" t="n">
        <f aca="false">Funding!$F$76-SUM(Tax!$J$10:BL$10)</f>
        <v>0.610561506322256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915.842259483289</v>
      </c>
      <c r="K11" s="13" t="n">
        <f aca="false">Funding!$F$76-SUM($J$8:K$8)</f>
        <v>915.842259483289</v>
      </c>
      <c r="L11" s="13" t="n">
        <f aca="false">Funding!$F$76-SUM($J$8:L$8)</f>
        <v>915.842259483289</v>
      </c>
      <c r="M11" s="13" t="n">
        <f aca="false">Funding!$F$76-SUM($J$8:M$8)</f>
        <v>915.842259483289</v>
      </c>
      <c r="N11" s="13" t="n">
        <f aca="false">Funding!$F$76-SUM($J$8:N$8)</f>
        <v>915.842259483289</v>
      </c>
      <c r="O11" s="13" t="n">
        <f aca="false">Funding!$F$76-SUM($J$8:O$8)</f>
        <v>909.736644420067</v>
      </c>
      <c r="P11" s="13" t="n">
        <f aca="false">Funding!$F$76-SUM($J$8:P$8)</f>
        <v>891.419799230401</v>
      </c>
      <c r="Q11" s="13" t="n">
        <f aca="false">Funding!$F$76-SUM($J$8:Q$8)</f>
        <v>873.102954040735</v>
      </c>
      <c r="R11" s="13" t="n">
        <f aca="false">Funding!$F$76-SUM($J$8:R$8)</f>
        <v>854.786108851069</v>
      </c>
      <c r="S11" s="13" t="n">
        <f aca="false">Funding!$F$76-SUM($J$8:S$8)</f>
        <v>836.469263661404</v>
      </c>
      <c r="T11" s="13" t="n">
        <f aca="false">Funding!$F$76-SUM($J$8:T$8)</f>
        <v>818.152418471738</v>
      </c>
      <c r="U11" s="13" t="n">
        <f aca="false">Funding!$F$76-SUM($J$8:U$8)</f>
        <v>799.835573282072</v>
      </c>
      <c r="V11" s="13" t="n">
        <f aca="false">Funding!$F$76-SUM($J$8:V$8)</f>
        <v>781.518728092406</v>
      </c>
      <c r="W11" s="13" t="n">
        <f aca="false">Funding!$F$76-SUM($J$8:W$8)</f>
        <v>763.20188290274</v>
      </c>
      <c r="X11" s="13" t="n">
        <f aca="false">Funding!$F$76-SUM($J$8:X$8)</f>
        <v>744.885037713075</v>
      </c>
      <c r="Y11" s="13" t="n">
        <f aca="false">Funding!$F$76-SUM($J$8:Y$8)</f>
        <v>726.568192523409</v>
      </c>
      <c r="Z11" s="13" t="n">
        <f aca="false">Funding!$F$76-SUM($J$8:Z$8)</f>
        <v>708.251347333743</v>
      </c>
      <c r="AA11" s="13" t="n">
        <f aca="false">Funding!$F$76-SUM($J$8:AA$8)</f>
        <v>689.934502144077</v>
      </c>
      <c r="AB11" s="13" t="n">
        <f aca="false">Funding!$F$76-SUM($J$8:AB$8)</f>
        <v>671.617656954412</v>
      </c>
      <c r="AC11" s="13" t="n">
        <f aca="false">Funding!$F$76-SUM($J$8:AC$8)</f>
        <v>653.300811764746</v>
      </c>
      <c r="AD11" s="13" t="n">
        <f aca="false">Funding!$F$76-SUM($J$8:AD$8)</f>
        <v>634.98396657508</v>
      </c>
      <c r="AE11" s="13" t="n">
        <f aca="false">Funding!$F$76-SUM($J$8:AE$8)</f>
        <v>616.667121385414</v>
      </c>
      <c r="AF11" s="13" t="n">
        <f aca="false">Funding!$F$76-SUM($J$8:AF$8)</f>
        <v>598.350276195749</v>
      </c>
      <c r="AG11" s="13" t="n">
        <f aca="false">Funding!$F$76-SUM($J$8:AG$8)</f>
        <v>580.033431006083</v>
      </c>
      <c r="AH11" s="13" t="n">
        <f aca="false">Funding!$F$76-SUM($J$8:AH$8)</f>
        <v>561.716585816417</v>
      </c>
      <c r="AI11" s="13" t="n">
        <f aca="false">Funding!$F$76-SUM($J$8:AI$8)</f>
        <v>543.399740626751</v>
      </c>
      <c r="AJ11" s="13" t="n">
        <f aca="false">Funding!$F$76-SUM($J$8:AJ$8)</f>
        <v>525.082895437085</v>
      </c>
      <c r="AK11" s="13" t="n">
        <f aca="false">Funding!$F$76-SUM($J$8:AK$8)</f>
        <v>506.76605024742</v>
      </c>
      <c r="AL11" s="13" t="n">
        <f aca="false">Funding!$F$76-SUM($J$8:AL$8)</f>
        <v>488.449205057754</v>
      </c>
      <c r="AM11" s="13" t="n">
        <f aca="false">Funding!$F$76-SUM($J$8:AM$8)</f>
        <v>470.132359868088</v>
      </c>
      <c r="AN11" s="13" t="n">
        <f aca="false">Funding!$F$76-SUM($J$8:AN$8)</f>
        <v>451.815514678422</v>
      </c>
      <c r="AO11" s="13" t="n">
        <f aca="false">Funding!$F$76-SUM($J$8:AO$8)</f>
        <v>433.498669488757</v>
      </c>
      <c r="AP11" s="13" t="n">
        <f aca="false">Funding!$F$76-SUM($J$8:AP$8)</f>
        <v>415.181824299091</v>
      </c>
      <c r="AQ11" s="13" t="n">
        <f aca="false">Funding!$F$76-SUM($J$8:AQ$8)</f>
        <v>396.864979109425</v>
      </c>
      <c r="AR11" s="13" t="n">
        <f aca="false">Funding!$F$76-SUM($J$8:AR$8)</f>
        <v>378.548133919759</v>
      </c>
      <c r="AS11" s="13" t="n">
        <f aca="false">Funding!$F$76-SUM($J$8:AS$8)</f>
        <v>360.231288730094</v>
      </c>
      <c r="AT11" s="13" t="n">
        <f aca="false">Funding!$F$76-SUM($J$8:AT$8)</f>
        <v>341.914443540428</v>
      </c>
      <c r="AU11" s="13" t="n">
        <f aca="false">Funding!$F$76-SUM($J$8:AU$8)</f>
        <v>323.597598350762</v>
      </c>
      <c r="AV11" s="13" t="n">
        <f aca="false">Funding!$F$76-SUM($J$8:AV$8)</f>
        <v>305.280753161096</v>
      </c>
      <c r="AW11" s="13" t="n">
        <f aca="false">Funding!$F$76-SUM($J$8:AW$8)</f>
        <v>286.96390797143</v>
      </c>
      <c r="AX11" s="13" t="n">
        <f aca="false">Funding!$F$76-SUM($J$8:AX$8)</f>
        <v>268.647062781765</v>
      </c>
      <c r="AY11" s="13" t="n">
        <f aca="false">Funding!$F$76-SUM($J$8:AY$8)</f>
        <v>250.330217592099</v>
      </c>
      <c r="AZ11" s="13" t="n">
        <f aca="false">Funding!$F$76-SUM($J$8:AZ$8)</f>
        <v>232.013372402433</v>
      </c>
      <c r="BA11" s="13" t="n">
        <f aca="false">Funding!$F$76-SUM($J$8:BA$8)</f>
        <v>213.696527212767</v>
      </c>
      <c r="BB11" s="13" t="n">
        <f aca="false">Funding!$F$76-SUM($J$8:BB$8)</f>
        <v>195.379682023102</v>
      </c>
      <c r="BC11" s="13" t="n">
        <f aca="false">Funding!$F$76-SUM($J$8:BC$8)</f>
        <v>177.062836833436</v>
      </c>
      <c r="BD11" s="13" t="n">
        <f aca="false">Funding!$F$76-SUM($J$8:BD$8)</f>
        <v>158.74599164377</v>
      </c>
      <c r="BE11" s="13" t="n">
        <f aca="false">Funding!$F$76-SUM($J$8:BE$8)</f>
        <v>140.429146454104</v>
      </c>
      <c r="BF11" s="13" t="n">
        <f aca="false">Funding!$F$76-SUM($J$8:BF$8)</f>
        <v>122.112301264439</v>
      </c>
      <c r="BG11" s="13" t="n">
        <f aca="false">Funding!$F$76-SUM($J$8:BG$8)</f>
        <v>103.795456074773</v>
      </c>
      <c r="BH11" s="13" t="n">
        <f aca="false">Funding!$F$76-SUM($J$8:BH$8)</f>
        <v>85.4786108851071</v>
      </c>
      <c r="BI11" s="13" t="n">
        <f aca="false">Funding!$F$76-SUM($J$8:BI$8)</f>
        <v>67.1617656954412</v>
      </c>
      <c r="BJ11" s="13" t="n">
        <f aca="false">Funding!$F$76-SUM($J$8:BJ$8)</f>
        <v>48.8449205057755</v>
      </c>
      <c r="BK11" s="13" t="n">
        <f aca="false">Funding!$F$76-SUM($J$8:BK$8)</f>
        <v>30.5280753161097</v>
      </c>
      <c r="BL11" s="13" t="n">
        <f aca="false">Funding!$F$76-SUM($J$8:BL$8)</f>
        <v>12.211230126444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-1.83168451896658</v>
      </c>
      <c r="P12" s="13" t="n">
        <f aca="false">IF(Time!P20&gt;=Time!$F$12,Inputs!$F$184/100*(P11-P10-Tax!P21),0)</f>
        <v>-7.32673807586632</v>
      </c>
      <c r="Q12" s="13" t="n">
        <f aca="false">IF(Time!Q20&gt;=Time!$F$12,Inputs!$F$184/100*(Q11-Q10-Tax!Q21),0)</f>
        <v>-12.8217916327661</v>
      </c>
      <c r="R12" s="13" t="n">
        <f aca="false">IF(Time!R20&gt;=Time!$F$12,Inputs!$F$184/100*(R11-R10-Tax!R21),0)</f>
        <v>-18.3168451896658</v>
      </c>
      <c r="S12" s="13" t="n">
        <f aca="false">IF(Time!S20&gt;=Time!$F$12,Inputs!$F$184/100*(S11-S10-Tax!S21),0)</f>
        <v>-23.8118987465655</v>
      </c>
      <c r="T12" s="13" t="n">
        <f aca="false">IF(Time!T20&gt;=Time!$F$12,Inputs!$F$184/100*(T11-T10-Tax!T21),0)</f>
        <v>-29.3069523034653</v>
      </c>
      <c r="U12" s="13" t="n">
        <f aca="false">IF(Time!U20&gt;=Time!$F$12,Inputs!$F$184/100*(U11-U10-Tax!U21),0)</f>
        <v>-34.802005860365</v>
      </c>
      <c r="V12" s="13" t="n">
        <f aca="false">IF(Time!V20&gt;=Time!$F$12,Inputs!$F$184/100*(V11-V10-Tax!V21),0)</f>
        <v>-40.2970594172647</v>
      </c>
      <c r="W12" s="13" t="n">
        <f aca="false">IF(Time!W20&gt;=Time!$F$12,Inputs!$F$184/100*(W11-W10-Tax!W21),0)</f>
        <v>-45.7921129741644</v>
      </c>
      <c r="X12" s="13" t="n">
        <f aca="false">IF(Time!X20&gt;=Time!$F$12,Inputs!$F$184/100*(X11-X10-Tax!X21),0)</f>
        <v>-51.2871665310642</v>
      </c>
      <c r="Y12" s="13" t="n">
        <f aca="false">IF(Time!Y20&gt;=Time!$F$12,Inputs!$F$184/100*(Y11-Y10-Tax!Y21),0)</f>
        <v>-54.5555270598756</v>
      </c>
      <c r="Z12" s="13" t="n">
        <f aca="false">IF(Time!Z20&gt;=Time!$F$12,Inputs!$F$184/100*(Z11-Z10-Tax!Z21),0)</f>
        <v>-53.2539511689721</v>
      </c>
      <c r="AA12" s="13" t="n">
        <f aca="false">IF(Time!AA20&gt;=Time!$F$12,Inputs!$F$184/100*(AA11-AA10-Tax!AA21),0)</f>
        <v>-51.5979736754443</v>
      </c>
      <c r="AB12" s="13" t="n">
        <f aca="false">IF(Time!AB20&gt;=Time!$F$12,Inputs!$F$184/100*(AB11-AB10-Tax!AB21),0)</f>
        <v>-49.824667402966</v>
      </c>
      <c r="AC12" s="13" t="n">
        <f aca="false">IF(Time!AC20&gt;=Time!$F$12,Inputs!$F$184/100*(AC11-AC10-Tax!AC21),0)</f>
        <v>-47.679374667913</v>
      </c>
      <c r="AD12" s="13" t="n">
        <f aca="false">IF(Time!AD20&gt;=Time!$F$12,Inputs!$F$184/100*(AD11-AD10-Tax!AD21),0)</f>
        <v>-46.580363956533</v>
      </c>
      <c r="AE12" s="13" t="n">
        <f aca="false">IF(Time!AE20&gt;=Time!$F$12,Inputs!$F$184/100*(AE11-AE10-Tax!AE21),0)</f>
        <v>-45.4813532451531</v>
      </c>
      <c r="AF12" s="13" t="n">
        <f aca="false">IF(Time!AF20&gt;=Time!$F$12,Inputs!$F$184/100*(AF11-AF10-Tax!AF21),0)</f>
        <v>-43.420378905511</v>
      </c>
      <c r="AG12" s="13" t="n">
        <f aca="false">IF(Time!AG20&gt;=Time!$F$12,Inputs!$F$184/100*(AG11-AG10-Tax!AG21),0)</f>
        <v>-40.1193831218372</v>
      </c>
      <c r="AH12" s="13" t="n">
        <f aca="false">IF(Time!AH20&gt;=Time!$F$12,Inputs!$F$184/100*(AH11-AH10-Tax!AH21),0)</f>
        <v>-36.5475260781733</v>
      </c>
      <c r="AI12" s="13" t="n">
        <f aca="false">IF(Time!AI20&gt;=Time!$F$12,Inputs!$F$184/100*(AI11-AI10-Tax!AI21),0)</f>
        <v>-32.4975884770082</v>
      </c>
      <c r="AJ12" s="13" t="n">
        <f aca="false">IF(Time!AJ20&gt;=Time!$F$12,Inputs!$F$184/100*(AJ11-AJ10-Tax!AJ21),0)</f>
        <v>-28.1505993329784</v>
      </c>
      <c r="AK12" s="13" t="n">
        <f aca="false">IF(Time!AK20&gt;=Time!$F$12,Inputs!$F$184/100*(AK11-AK10-Tax!AK21),0)</f>
        <v>-23.2958350638158</v>
      </c>
      <c r="AL12" s="13" t="n">
        <f aca="false">IF(Time!AL20&gt;=Time!$F$12,Inputs!$F$184/100*(AL11-AL10-Tax!AL21),0)</f>
        <v>-18.900118434492</v>
      </c>
      <c r="AM12" s="13" t="n">
        <f aca="false">IF(Time!AM20&gt;=Time!$F$12,Inputs!$F$184/100*(AM11-AM10-Tax!AM21),0)</f>
        <v>-13.0635023734737</v>
      </c>
      <c r="AN12" s="13" t="n">
        <f aca="false">IF(Time!AN20&gt;=Time!$F$12,Inputs!$F$184/100*(AN11-AN10-Tax!AN21),0)</f>
        <v>-6.79534190765942</v>
      </c>
      <c r="AO12" s="13" t="n">
        <f aca="false">IF(Time!AO20&gt;=Time!$F$12,Inputs!$F$184/100*(AO11-AO10-Tax!AO21),0)</f>
        <v>0.00386577067926481</v>
      </c>
      <c r="AP12" s="13" t="n">
        <f aca="false">IF(Time!AP20&gt;=Time!$F$12,Inputs!$F$184/100*(AP11-AP10-Tax!AP21),0)</f>
        <v>7.50798747760945</v>
      </c>
      <c r="AQ12" s="13" t="n">
        <f aca="false">IF(Time!AQ20&gt;=Time!$F$12,Inputs!$F$184/100*(AQ11-AQ10-Tax!AQ21),0)</f>
        <v>15.6751417797419</v>
      </c>
      <c r="AR12" s="13" t="n">
        <f aca="false">IF(Time!AR20&gt;=Time!$F$12,Inputs!$F$184/100*(AR11-AR10-Tax!AR21),0)</f>
        <v>24.4394980507784</v>
      </c>
      <c r="AS12" s="13" t="n">
        <f aca="false">IF(Time!AS20&gt;=Time!$F$12,Inputs!$F$184/100*(AS11-AS10-Tax!AS21),0)</f>
        <v>33.9418535573844</v>
      </c>
      <c r="AT12" s="13" t="n">
        <f aca="false">IF(Time!AT20&gt;=Time!$F$12,Inputs!$F$184/100*(AT11-AT10-Tax!AT21),0)</f>
        <v>39.6871568554561</v>
      </c>
      <c r="AU12" s="13" t="n">
        <f aca="false">IF(Time!AU20&gt;=Time!$F$12,Inputs!$F$184/100*(AU11-AU10-Tax!AU21),0)</f>
        <v>43.7772600033012</v>
      </c>
      <c r="AV12" s="13" t="n">
        <f aca="false">IF(Time!AV20&gt;=Time!$F$12,Inputs!$F$184/100*(AV11-AV10-Tax!AV21),0)</f>
        <v>44.8762707146812</v>
      </c>
      <c r="AW12" s="13" t="n">
        <f aca="false">IF(Time!AW20&gt;=Time!$F$12,Inputs!$F$184/100*(AW11-AW10-Tax!AW21),0)</f>
        <v>45.9752814260611</v>
      </c>
      <c r="AX12" s="13" t="n">
        <f aca="false">IF(Time!AX20&gt;=Time!$F$12,Inputs!$F$184/100*(AX11-AX10-Tax!AX21),0)</f>
        <v>47.074292137441</v>
      </c>
      <c r="AY12" s="13" t="n">
        <f aca="false">IF(Time!AY20&gt;=Time!$F$12,Inputs!$F$184/100*(AY11-AY10-Tax!AY21),0)</f>
        <v>48.173302848821</v>
      </c>
      <c r="AZ12" s="13" t="n">
        <f aca="false">IF(Time!AZ20&gt;=Time!$F$12,Inputs!$F$184/100*(AZ11-AZ10-Tax!AZ21),0)</f>
        <v>49.272313560201</v>
      </c>
      <c r="BA12" s="13" t="n">
        <f aca="false">IF(Time!BA20&gt;=Time!$F$12,Inputs!$F$184/100*(BA11-BA10-Tax!BA21),0)</f>
        <v>50.3713242715809</v>
      </c>
      <c r="BB12" s="13" t="n">
        <f aca="false">IF(Time!BB20&gt;=Time!$F$12,Inputs!$F$184/100*(BB11-BB10-Tax!BB21),0)</f>
        <v>51.4703349829608</v>
      </c>
      <c r="BC12" s="13" t="n">
        <f aca="false">IF(Time!BC20&gt;=Time!$F$12,Inputs!$F$184/100*(BC11-BC10-Tax!BC21),0)</f>
        <v>50.4629084975292</v>
      </c>
      <c r="BD12" s="13" t="n">
        <f aca="false">IF(Time!BD20&gt;=Time!$F$12,Inputs!$F$184/100*(BD11-BD10-Tax!BD21),0)</f>
        <v>45.2426076184745</v>
      </c>
      <c r="BE12" s="13" t="n">
        <f aca="false">IF(Time!BE20&gt;=Time!$F$12,Inputs!$F$184/100*(BE11-BE10-Tax!BE21),0)</f>
        <v>40.0223067394197</v>
      </c>
      <c r="BF12" s="13" t="n">
        <f aca="false">IF(Time!BF20&gt;=Time!$F$12,Inputs!$F$184/100*(BF11-BF10-Tax!BF21),0)</f>
        <v>34.802005860365</v>
      </c>
      <c r="BG12" s="13" t="n">
        <f aca="false">IF(Time!BG20&gt;=Time!$F$12,Inputs!$F$184/100*(BG11-BG10-Tax!BG21),0)</f>
        <v>29.5817049813102</v>
      </c>
      <c r="BH12" s="13" t="n">
        <f aca="false">IF(Time!BH20&gt;=Time!$F$12,Inputs!$F$184/100*(BH11-BH10-Tax!BH21),0)</f>
        <v>24.3614041022555</v>
      </c>
      <c r="BI12" s="13" t="n">
        <f aca="false">IF(Time!BI20&gt;=Time!$F$12,Inputs!$F$184/100*(BI11-BI10-Tax!BI21),0)</f>
        <v>19.1411032232007</v>
      </c>
      <c r="BJ12" s="13" t="n">
        <f aca="false">IF(Time!BJ20&gt;=Time!$F$12,Inputs!$F$184/100*(BJ11-BJ10-Tax!BJ21),0)</f>
        <v>13.920802344146</v>
      </c>
      <c r="BK12" s="13" t="n">
        <f aca="false">IF(Time!BK20&gt;=Time!$F$12,Inputs!$F$184/100*(BK11-BK10-Tax!BK21),0)</f>
        <v>8.70050146509126</v>
      </c>
      <c r="BL12" s="13" t="n">
        <f aca="false">IF(Time!BL20&gt;=Time!$F$12,Inputs!$F$184/100*(BL11-BL10-Tax!BL21),0)</f>
        <v>3.48020058603652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-1.83168451896658</v>
      </c>
      <c r="P13" s="13" t="n">
        <f aca="false">P12-O12</f>
        <v>-5.49505355689974</v>
      </c>
      <c r="Q13" s="13" t="n">
        <f aca="false">Q12-P12</f>
        <v>-5.49505355689974</v>
      </c>
      <c r="R13" s="13" t="n">
        <f aca="false">R12-Q12</f>
        <v>-5.4950535568997</v>
      </c>
      <c r="S13" s="13" t="n">
        <f aca="false">S12-R12</f>
        <v>-5.49505355689973</v>
      </c>
      <c r="T13" s="13" t="n">
        <f aca="false">T12-S12</f>
        <v>-5.49505355689977</v>
      </c>
      <c r="U13" s="13" t="n">
        <f aca="false">U12-T12</f>
        <v>-5.49505355689974</v>
      </c>
      <c r="V13" s="13" t="n">
        <f aca="false">V12-U12</f>
        <v>-5.49505355689971</v>
      </c>
      <c r="W13" s="13" t="n">
        <f aca="false">W12-V12</f>
        <v>-5.49505355689974</v>
      </c>
      <c r="X13" s="13" t="n">
        <f aca="false">X12-W12</f>
        <v>-5.49505355689973</v>
      </c>
      <c r="Y13" s="13" t="n">
        <f aca="false">Y12-X12</f>
        <v>-3.26836052881141</v>
      </c>
      <c r="Z13" s="13" t="n">
        <f aca="false">Z12-Y12</f>
        <v>1.3015758909035</v>
      </c>
      <c r="AA13" s="13" t="n">
        <f aca="false">AA12-Z12</f>
        <v>1.65597749352781</v>
      </c>
      <c r="AB13" s="13" t="n">
        <f aca="false">AB12-AA12</f>
        <v>1.77330627247825</v>
      </c>
      <c r="AC13" s="13" t="n">
        <f aca="false">AC12-AB12</f>
        <v>2.14529273505303</v>
      </c>
      <c r="AD13" s="13" t="n">
        <f aca="false">AD12-AC12</f>
        <v>1.09901071137996</v>
      </c>
      <c r="AE13" s="13" t="n">
        <f aca="false">AE12-AD12</f>
        <v>1.09901071137995</v>
      </c>
      <c r="AF13" s="13" t="n">
        <f aca="false">AF12-AE12</f>
        <v>2.06097433964207</v>
      </c>
      <c r="AG13" s="13" t="n">
        <f aca="false">AG12-AF12</f>
        <v>3.30099578367384</v>
      </c>
      <c r="AH13" s="13" t="n">
        <f aca="false">AH12-AG12</f>
        <v>3.57185704366391</v>
      </c>
      <c r="AI13" s="13" t="n">
        <f aca="false">AI12-AH12</f>
        <v>4.04993760116509</v>
      </c>
      <c r="AJ13" s="13" t="n">
        <f aca="false">AJ12-AI12</f>
        <v>4.34698914402976</v>
      </c>
      <c r="AK13" s="13" t="n">
        <f aca="false">AK12-AJ12</f>
        <v>4.8547642691626</v>
      </c>
      <c r="AL13" s="13" t="n">
        <f aca="false">AL12-AK12</f>
        <v>4.39571662932377</v>
      </c>
      <c r="AM13" s="13" t="n">
        <f aca="false">AM12-AL12</f>
        <v>5.83661606101834</v>
      </c>
      <c r="AN13" s="13" t="n">
        <f aca="false">AN12-AM12</f>
        <v>6.26816046581428</v>
      </c>
      <c r="AO13" s="13" t="n">
        <f aca="false">AO12-AN12</f>
        <v>6.79920767833868</v>
      </c>
      <c r="AP13" s="13" t="n">
        <f aca="false">AP12-AO12</f>
        <v>7.50412170693019</v>
      </c>
      <c r="AQ13" s="13" t="n">
        <f aca="false">AQ12-AP12</f>
        <v>8.16715430213243</v>
      </c>
      <c r="AR13" s="13" t="n">
        <f aca="false">AR12-AQ12</f>
        <v>8.76435627103652</v>
      </c>
      <c r="AS13" s="13" t="n">
        <f aca="false">AS12-AR12</f>
        <v>9.50235550660602</v>
      </c>
      <c r="AT13" s="13" t="n">
        <f aca="false">AT12-AS12</f>
        <v>5.7453032980717</v>
      </c>
      <c r="AU13" s="13" t="n">
        <f aca="false">AU12-AT12</f>
        <v>4.09010314784508</v>
      </c>
      <c r="AV13" s="13" t="n">
        <f aca="false">AV12-AU12</f>
        <v>1.09901071137996</v>
      </c>
      <c r="AW13" s="13" t="n">
        <f aca="false">AW12-AV12</f>
        <v>1.09901071137993</v>
      </c>
      <c r="AX13" s="13" t="n">
        <f aca="false">AX12-AW12</f>
        <v>1.09901071137995</v>
      </c>
      <c r="AY13" s="13" t="n">
        <f aca="false">AY12-AX12</f>
        <v>1.09901071137996</v>
      </c>
      <c r="AZ13" s="13" t="n">
        <f aca="false">AZ12-AY12</f>
        <v>1.09901071137996</v>
      </c>
      <c r="BA13" s="13" t="n">
        <f aca="false">BA12-AZ12</f>
        <v>1.09901071137992</v>
      </c>
      <c r="BB13" s="13" t="n">
        <f aca="false">BB12-BA12</f>
        <v>1.09901071137993</v>
      </c>
      <c r="BC13" s="13" t="n">
        <f aca="false">BC12-BB12</f>
        <v>-1.00742648543162</v>
      </c>
      <c r="BD13" s="13" t="n">
        <f aca="false">BD12-BC12</f>
        <v>-5.22030087905471</v>
      </c>
      <c r="BE13" s="13" t="n">
        <f aca="false">BE12-BD12</f>
        <v>-5.22030087905478</v>
      </c>
      <c r="BF13" s="13" t="n">
        <f aca="false">BF12-BE12</f>
        <v>-5.22030087905474</v>
      </c>
      <c r="BG13" s="13" t="n">
        <f aca="false">BG12-BF12</f>
        <v>-5.22030087905474</v>
      </c>
      <c r="BH13" s="13" t="n">
        <f aca="false">BH12-BG12</f>
        <v>-5.22030087905474</v>
      </c>
      <c r="BI13" s="13" t="n">
        <f aca="false">BI12-BH12</f>
        <v>-5.22030087905474</v>
      </c>
      <c r="BJ13" s="13" t="n">
        <f aca="false">BJ12-BI12</f>
        <v>-5.22030087905474</v>
      </c>
      <c r="BK13" s="13" t="n">
        <f aca="false">BK12-BJ12</f>
        <v>-5.22030087905474</v>
      </c>
      <c r="BL13" s="13" t="n">
        <f aca="false">BL12-BK12</f>
        <v>-5.22030087905474</v>
      </c>
      <c r="BM13" s="13" t="n">
        <f aca="false">BM12-BL12</f>
        <v>-3.48020058603652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744.971321590424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9.06257838028724</v>
      </c>
      <c r="P14" s="13" t="n">
        <f aca="false">Operations!P84-P8-P9-Tax!P27-P13</f>
        <v>3.20549881224359</v>
      </c>
      <c r="Q14" s="13" t="n">
        <f aca="false">Operations!Q84-Q8-Q9-Tax!Q27-Q13</f>
        <v>4.40040893599689</v>
      </c>
      <c r="R14" s="13" t="n">
        <f aca="false">Operations!R84-R8-R9-Tax!R27-R13</f>
        <v>4.59141887274659</v>
      </c>
      <c r="S14" s="13" t="n">
        <f aca="false">Operations!S84-S8-S9-Tax!S27-S13</f>
        <v>5.64961594944596</v>
      </c>
      <c r="T14" s="13" t="n">
        <f aca="false">Operations!T84-T8-T9-Tax!T27-T13</f>
        <v>5.83170940808847</v>
      </c>
      <c r="U14" s="13" t="n">
        <f aca="false">Operations!U84-U8-U9-Tax!U27-U13</f>
        <v>6.86341423688004</v>
      </c>
      <c r="V14" s="13" t="n">
        <f aca="false">Operations!V84-V8-V9-Tax!V27-V13</f>
        <v>4.87558608040051</v>
      </c>
      <c r="W14" s="13" t="n">
        <f aca="false">Operations!W84-W8-W9-Tax!W27-W13</f>
        <v>8.50437099285044</v>
      </c>
      <c r="X14" s="13" t="n">
        <f aca="false">Operations!X84-X8-X9-Tax!X27-X13</f>
        <v>8.84205436456425</v>
      </c>
      <c r="Y14" s="13" t="n">
        <f aca="false">Operations!Y84-Y8-Y9-Tax!Y27-Y13</f>
        <v>7.10039978410853</v>
      </c>
      <c r="Z14" s="13" t="n">
        <f aca="false">Operations!Z84-Z8-Z9-Tax!Z27-Z13</f>
        <v>2.68151887743447</v>
      </c>
      <c r="AA14" s="13" t="n">
        <f aca="false">Operations!AA84-AA8-AA9-Tax!AA27-AA13</f>
        <v>3.50668092429222</v>
      </c>
      <c r="AB14" s="13" t="n">
        <f aca="false">Operations!AB84-AB8-AB9-Tax!AB27-AB13</f>
        <v>3.77851495095128</v>
      </c>
      <c r="AC14" s="13" t="n">
        <f aca="false">Operations!AC84-AC8-AC9-Tax!AC27-AC13</f>
        <v>4.64559364797721</v>
      </c>
      <c r="AD14" s="13" t="n">
        <f aca="false">Operations!AD84-AD8-AD9-Tax!AD27-AD13</f>
        <v>-6.28553606292073</v>
      </c>
      <c r="AE14" s="13" t="n">
        <f aca="false">Operations!AE84-AE8-AE9-Tax!AE27-AE13</f>
        <v>7.78070124909272</v>
      </c>
      <c r="AF14" s="13" t="n">
        <f aca="false">Operations!AF84-AF8-AF9-Tax!AF27-AF13</f>
        <v>7.35820881218716</v>
      </c>
      <c r="AG14" s="13" t="n">
        <f aca="false">Operations!AG84-AG8-AG9-Tax!AG27-AG13</f>
        <v>7.33469569362418</v>
      </c>
      <c r="AH14" s="13" t="n">
        <f aca="false">Operations!AH84-AH8-AH9-Tax!AH27-AH13</f>
        <v>7.96522935178556</v>
      </c>
      <c r="AI14" s="13" t="n">
        <f aca="false">Operations!AI84-AI8-AI9-Tax!AI27-AI13</f>
        <v>9.07881811213118</v>
      </c>
      <c r="AJ14" s="13" t="n">
        <f aca="false">Operations!AJ84-AJ8-AJ9-Tax!AJ27-AJ13</f>
        <v>9.76983432461578</v>
      </c>
      <c r="AK14" s="13" t="n">
        <f aca="false">Operations!AK84-AK8-AK9-Tax!AK27-AK13</f>
        <v>10.9533516880156</v>
      </c>
      <c r="AL14" s="13" t="n">
        <f aca="false">Operations!AL84-AL8-AL9-Tax!AL27-AL13</f>
        <v>9.88148249948188</v>
      </c>
      <c r="AM14" s="13" t="n">
        <f aca="false">Operations!AM84-AM8-AM9-Tax!AM27-AM13</f>
        <v>13.2411831258535</v>
      </c>
      <c r="AN14" s="13" t="n">
        <f aca="false">Operations!AN84-AN8-AN9-Tax!AN27-AN13</f>
        <v>14.2451380312988</v>
      </c>
      <c r="AO14" s="13" t="n">
        <f aca="false">Operations!AO84-AO8-AO9-Tax!AO27-AO13</f>
        <v>15.482497897918</v>
      </c>
      <c r="AP14" s="13" t="n">
        <f aca="false">Operations!AP84-AP8-AP9-Tax!AP27-AP13</f>
        <v>17.1256884507505</v>
      </c>
      <c r="AQ14" s="13" t="n">
        <f aca="false">Operations!AQ84-AQ8-AQ9-Tax!AQ27-AQ13</f>
        <v>18.6706604820922</v>
      </c>
      <c r="AR14" s="13" t="n">
        <f aca="false">Operations!AR84-AR8-AR9-Tax!AR27-AR13</f>
        <v>20.0618416571161</v>
      </c>
      <c r="AS14" s="13" t="n">
        <f aca="false">Operations!AS84-AS8-AS9-Tax!AS27-AS13</f>
        <v>21.7827763803531</v>
      </c>
      <c r="AT14" s="13" t="n">
        <f aca="false">Operations!AT84-AT8-AT9-Tax!AT27-AT13</f>
        <v>13.0211122693604</v>
      </c>
      <c r="AU14" s="13" t="n">
        <f aca="false">Operations!AU84-AU8-AU9-Tax!AU27-AU13</f>
        <v>25.5370370114416</v>
      </c>
      <c r="AV14" s="13" t="n">
        <f aca="false">Operations!AV84-AV8-AV9-Tax!AV27-AV13</f>
        <v>25.4665863880665</v>
      </c>
      <c r="AW14" s="13" t="n">
        <f aca="false">Operations!AW84-AW8-AW9-Tax!AW27-AW13</f>
        <v>25.5820398713668</v>
      </c>
      <c r="AX14" s="13" t="n">
        <f aca="false">Operations!AX84-AX8-AX9-Tax!AX27-AX13</f>
        <v>25.7167595587718</v>
      </c>
      <c r="AY14" s="13" t="n">
        <f aca="false">Operations!AY84-AY8-AY9-Tax!AY27-AY13</f>
        <v>25.803247880994</v>
      </c>
      <c r="AZ14" s="13" t="n">
        <f aca="false">Operations!AZ84-AZ8-AZ9-Tax!AZ27-AZ13</f>
        <v>25.8766488867415</v>
      </c>
      <c r="BA14" s="13" t="n">
        <f aca="false">Operations!BA84-BA8-BA9-Tax!BA27-BA13</f>
        <v>26.0385156706996</v>
      </c>
      <c r="BB14" s="13" t="n">
        <f aca="false">Operations!BB84-BB8-BB9-Tax!BB27-BB13</f>
        <v>23.7881840322019</v>
      </c>
      <c r="BC14" s="13" t="n">
        <f aca="false">Operations!BC84-BC8-BC9-Tax!BC27-BC13</f>
        <v>26.3129510983755</v>
      </c>
      <c r="BD14" s="13" t="n">
        <f aca="false">Operations!BD84-BD8-BD9-Tax!BD27-BD13</f>
        <v>26.3033351559402</v>
      </c>
      <c r="BE14" s="13" t="n">
        <f aca="false">Operations!BE84-BE8-BE9-Tax!BE27-BE13</f>
        <v>26.4281661238964</v>
      </c>
      <c r="BF14" s="13" t="n">
        <f aca="false">Operations!BF84-BF8-BF9-Tax!BF27-BF13</f>
        <v>26.5755277039288</v>
      </c>
      <c r="BG14" s="13" t="n">
        <f aca="false">Operations!BG84-BG8-BG9-Tax!BG27-BG13</f>
        <v>26.6681232040114</v>
      </c>
      <c r="BH14" s="13" t="n">
        <f aca="false">Operations!BH84-BH8-BH9-Tax!BH27-BH13</f>
        <v>26.7473280402146</v>
      </c>
      <c r="BI14" s="13" t="n">
        <f aca="false">Operations!BI84-BI8-BI9-Tax!BI27-BI13</f>
        <v>26.9619451950476</v>
      </c>
      <c r="BJ14" s="13" t="n">
        <f aca="false">Operations!BJ84-BJ8-BJ9-Tax!BJ27-BJ13</f>
        <v>14.7775543672971</v>
      </c>
      <c r="BK14" s="13" t="n">
        <f aca="false">Operations!BK84-BK8-BK9-Tax!BK27-BK13</f>
        <v>27.3011701881573</v>
      </c>
      <c r="BL14" s="13" t="n">
        <f aca="false">Operations!BL84-BL8-BL9-Tax!BL27-BL13</f>
        <v>27.2093387785029</v>
      </c>
      <c r="BM14" s="13" t="n">
        <f aca="false">Operations!BM84-BM8-BM9-Tax!BM27-BM13</f>
        <v>4.86981425374534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149.417700399086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259.507433980725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472.850817881478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694.889405311967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824.062647062242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909.736644420067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891.419799230401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873.102954040735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854.786108851069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836.469263661404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818.152418471738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799.835573282072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781.518728092406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763.20188290274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744.885037713075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726.568192523409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708.251347333743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689.934502144077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671.617656954412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653.300811764746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634.98396657508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616.667121385414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598.350276195749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580.033431006083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561.716585816417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543.399740626751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525.082895437085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506.76605024742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488.449205057754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470.132359868088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451.815514678422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433.498669488757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415.181824299091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396.864979109425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378.548133919759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360.231288730094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341.914443540428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323.597598350762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305.280753161096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286.96390797143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268.647062781765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250.330217592099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232.013372402433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213.696527212767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195.379682023102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177.062836833436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158.74599164377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140.429146454104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122.112301264439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103.795456074773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85.4786108851071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67.1617656954412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48.8449205057755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30.5280753161097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12.211230126444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42.7120101555928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41.1501030083843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42.0893225381697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42.1756534317628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43.0594731729514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43.2691692738967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44.4763609042649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41.6770109428763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40.4844123042689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42.0557820211676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44.3655197965286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46.0025935468377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48.4532091159798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49.8203131976708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52.7586225029292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40.4427803871316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39.8408577415708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39.1918805441408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39.1391715385433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38.1837941975215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37.5523642554352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36.0372393691167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34.5540436387827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27.7328654970075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20.6274080042259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22.0877524819754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5.885</v>
      </c>
      <c r="P19" s="13" t="n">
        <f aca="false">IF(Time!P20&lt;Time!$F$12,SUMIFS(Construction!$J$28:$BJ$28,Construction!$J$12:$BJ$12,"&lt;="&amp;Time!P20),IF(Time!P20&lt;Time!$F$15,Inputs!$F$67*Inputs!$F$36,0))</f>
        <v>5.885</v>
      </c>
      <c r="Q19" s="13" t="n">
        <f aca="false">IF(Time!Q20&lt;Time!$F$12,SUMIFS(Construction!$J$28:$BJ$28,Construction!$J$12:$BJ$12,"&lt;="&amp;Time!Q20),IF(Time!Q20&lt;Time!$F$15,Inputs!$F$67*Inputs!$F$36,0))</f>
        <v>5.885</v>
      </c>
      <c r="R19" s="13" t="n">
        <f aca="false">IF(Time!R20&lt;Time!$F$12,SUMIFS(Construction!$J$28:$BJ$28,Construction!$J$12:$BJ$12,"&lt;="&amp;Time!R20),IF(Time!R20&lt;Time!$F$15,Inputs!$F$67*Inputs!$F$36,0))</f>
        <v>5.885</v>
      </c>
      <c r="S19" s="13" t="n">
        <f aca="false">IF(Time!S20&lt;Time!$F$12,SUMIFS(Construction!$J$28:$BJ$28,Construction!$J$12:$BJ$12,"&lt;="&amp;Time!S20),IF(Time!S20&lt;Time!$F$15,Inputs!$F$67*Inputs!$F$36,0))</f>
        <v>5.885</v>
      </c>
      <c r="T19" s="13" t="n">
        <f aca="false">IF(Time!T20&lt;Time!$F$12,SUMIFS(Construction!$J$28:$BJ$28,Construction!$J$12:$BJ$12,"&lt;="&amp;Time!T20),IF(Time!T20&lt;Time!$F$15,Inputs!$F$67*Inputs!$F$36,0))</f>
        <v>5.885</v>
      </c>
      <c r="U19" s="13" t="n">
        <f aca="false">IF(Time!U20&lt;Time!$F$12,SUMIFS(Construction!$J$28:$BJ$28,Construction!$J$12:$BJ$12,"&lt;="&amp;Time!U20),IF(Time!U20&lt;Time!$F$15,Inputs!$F$67*Inputs!$F$36,0))</f>
        <v>5.885</v>
      </c>
      <c r="V19" s="13" t="n">
        <f aca="false">IF(Time!V20&lt;Time!$F$12,SUMIFS(Construction!$J$28:$BJ$28,Construction!$J$12:$BJ$12,"&lt;="&amp;Time!V20),IF(Time!V20&lt;Time!$F$15,Inputs!$F$67*Inputs!$F$36,0))</f>
        <v>5.885</v>
      </c>
      <c r="W19" s="13" t="n">
        <f aca="false">IF(Time!W20&lt;Time!$F$12,SUMIFS(Construction!$J$28:$BJ$28,Construction!$J$12:$BJ$12,"&lt;="&amp;Time!W20),IF(Time!W20&lt;Time!$F$15,Inputs!$F$67*Inputs!$F$36,0))</f>
        <v>5.885</v>
      </c>
      <c r="X19" s="13" t="n">
        <f aca="false">IF(Time!X20&lt;Time!$F$12,SUMIFS(Construction!$J$28:$BJ$28,Construction!$J$12:$BJ$12,"&lt;="&amp;Time!X20),IF(Time!X20&lt;Time!$F$15,Inputs!$F$67*Inputs!$F$36,0))</f>
        <v>5.885</v>
      </c>
      <c r="Y19" s="13" t="n">
        <f aca="false">IF(Time!Y20&lt;Time!$F$12,SUMIFS(Construction!$J$28:$BJ$28,Construction!$J$12:$BJ$12,"&lt;="&amp;Time!Y20),IF(Time!Y20&lt;Time!$F$15,Inputs!$F$67*Inputs!$F$36,0))</f>
        <v>5.885</v>
      </c>
      <c r="Z19" s="13" t="n">
        <f aca="false">IF(Time!Z20&lt;Time!$F$12,SUMIFS(Construction!$J$28:$BJ$28,Construction!$J$12:$BJ$12,"&lt;="&amp;Time!Z20),IF(Time!Z20&lt;Time!$F$15,Inputs!$F$67*Inputs!$F$36,0))</f>
        <v>5.885</v>
      </c>
      <c r="AA19" s="13" t="n">
        <f aca="false">IF(Time!AA20&lt;Time!$F$12,SUMIFS(Construction!$J$28:$BJ$28,Construction!$J$12:$BJ$12,"&lt;="&amp;Time!AA20),IF(Time!AA20&lt;Time!$F$15,Inputs!$F$67*Inputs!$F$36,0))</f>
        <v>5.885</v>
      </c>
      <c r="AB19" s="13" t="n">
        <f aca="false">IF(Time!AB20&lt;Time!$F$12,SUMIFS(Construction!$J$28:$BJ$28,Construction!$J$12:$BJ$12,"&lt;="&amp;Time!AB20),IF(Time!AB20&lt;Time!$F$15,Inputs!$F$67*Inputs!$F$36,0))</f>
        <v>5.885</v>
      </c>
      <c r="AC19" s="13" t="n">
        <f aca="false">IF(Time!AC20&lt;Time!$F$12,SUMIFS(Construction!$J$28:$BJ$28,Construction!$J$12:$BJ$12,"&lt;="&amp;Time!AC20),IF(Time!AC20&lt;Time!$F$15,Inputs!$F$67*Inputs!$F$36,0))</f>
        <v>5.885</v>
      </c>
      <c r="AD19" s="13" t="n">
        <f aca="false">IF(Time!AD20&lt;Time!$F$12,SUMIFS(Construction!$J$28:$BJ$28,Construction!$J$12:$BJ$12,"&lt;="&amp;Time!AD20),IF(Time!AD20&lt;Time!$F$15,Inputs!$F$67*Inputs!$F$36,0))</f>
        <v>5.885</v>
      </c>
      <c r="AE19" s="13" t="n">
        <f aca="false">IF(Time!AE20&lt;Time!$F$12,SUMIFS(Construction!$J$28:$BJ$28,Construction!$J$12:$BJ$12,"&lt;="&amp;Time!AE20),IF(Time!AE20&lt;Time!$F$15,Inputs!$F$67*Inputs!$F$36,0))</f>
        <v>5.885</v>
      </c>
      <c r="AF19" s="13" t="n">
        <f aca="false">IF(Time!AF20&lt;Time!$F$12,SUMIFS(Construction!$J$28:$BJ$28,Construction!$J$12:$BJ$12,"&lt;="&amp;Time!AF20),IF(Time!AF20&lt;Time!$F$15,Inputs!$F$67*Inputs!$F$36,0))</f>
        <v>5.885</v>
      </c>
      <c r="AG19" s="13" t="n">
        <f aca="false">IF(Time!AG20&lt;Time!$F$12,SUMIFS(Construction!$J$28:$BJ$28,Construction!$J$12:$BJ$12,"&lt;="&amp;Time!AG20),IF(Time!AG20&lt;Time!$F$15,Inputs!$F$67*Inputs!$F$36,0))</f>
        <v>5.885</v>
      </c>
      <c r="AH19" s="13" t="n">
        <f aca="false">IF(Time!AH20&lt;Time!$F$12,SUMIFS(Construction!$J$28:$BJ$28,Construction!$J$12:$BJ$12,"&lt;="&amp;Time!AH20),IF(Time!AH20&lt;Time!$F$15,Inputs!$F$67*Inputs!$F$36,0))</f>
        <v>5.885</v>
      </c>
      <c r="AI19" s="13" t="n">
        <f aca="false">IF(Time!AI20&lt;Time!$F$12,SUMIFS(Construction!$J$28:$BJ$28,Construction!$J$12:$BJ$12,"&lt;="&amp;Time!AI20),IF(Time!AI20&lt;Time!$F$15,Inputs!$F$67*Inputs!$F$36,0))</f>
        <v>5.885</v>
      </c>
      <c r="AJ19" s="13" t="n">
        <f aca="false">IF(Time!AJ20&lt;Time!$F$12,SUMIFS(Construction!$J$28:$BJ$28,Construction!$J$12:$BJ$12,"&lt;="&amp;Time!AJ20),IF(Time!AJ20&lt;Time!$F$15,Inputs!$F$67*Inputs!$F$36,0))</f>
        <v>5.885</v>
      </c>
      <c r="AK19" s="13" t="n">
        <f aca="false">IF(Time!AK20&lt;Time!$F$12,SUMIFS(Construction!$J$28:$BJ$28,Construction!$J$12:$BJ$12,"&lt;="&amp;Time!AK20),IF(Time!AK20&lt;Time!$F$15,Inputs!$F$67*Inputs!$F$36,0))</f>
        <v>5.885</v>
      </c>
      <c r="AL19" s="13" t="n">
        <f aca="false">IF(Time!AL20&lt;Time!$F$12,SUMIFS(Construction!$J$28:$BJ$28,Construction!$J$12:$BJ$12,"&lt;="&amp;Time!AL20),IF(Time!AL20&lt;Time!$F$15,Inputs!$F$67*Inputs!$F$36,0))</f>
        <v>5.885</v>
      </c>
      <c r="AM19" s="13" t="n">
        <f aca="false">IF(Time!AM20&lt;Time!$F$12,SUMIFS(Construction!$J$28:$BJ$28,Construction!$J$12:$BJ$12,"&lt;="&amp;Time!AM20),IF(Time!AM20&lt;Time!$F$15,Inputs!$F$67*Inputs!$F$36,0))</f>
        <v>5.885</v>
      </c>
      <c r="AN19" s="13" t="n">
        <f aca="false">IF(Time!AN20&lt;Time!$F$12,SUMIFS(Construction!$J$28:$BJ$28,Construction!$J$12:$BJ$12,"&lt;="&amp;Time!AN20),IF(Time!AN20&lt;Time!$F$15,Inputs!$F$67*Inputs!$F$36,0))</f>
        <v>5.885</v>
      </c>
      <c r="AO19" s="13" t="n">
        <f aca="false">IF(Time!AO20&lt;Time!$F$12,SUMIFS(Construction!$J$28:$BJ$28,Construction!$J$12:$BJ$12,"&lt;="&amp;Time!AO20),IF(Time!AO20&lt;Time!$F$15,Inputs!$F$67*Inputs!$F$36,0))</f>
        <v>5.885</v>
      </c>
      <c r="AP19" s="13" t="n">
        <f aca="false">IF(Time!AP20&lt;Time!$F$12,SUMIFS(Construction!$J$28:$BJ$28,Construction!$J$12:$BJ$12,"&lt;="&amp;Time!AP20),IF(Time!AP20&lt;Time!$F$15,Inputs!$F$67*Inputs!$F$36,0))</f>
        <v>5.885</v>
      </c>
      <c r="AQ19" s="13" t="n">
        <f aca="false">IF(Time!AQ20&lt;Time!$F$12,SUMIFS(Construction!$J$28:$BJ$28,Construction!$J$12:$BJ$12,"&lt;="&amp;Time!AQ20),IF(Time!AQ20&lt;Time!$F$15,Inputs!$F$67*Inputs!$F$36,0))</f>
        <v>5.885</v>
      </c>
      <c r="AR19" s="13" t="n">
        <f aca="false">IF(Time!AR20&lt;Time!$F$12,SUMIFS(Construction!$J$28:$BJ$28,Construction!$J$12:$BJ$12,"&lt;="&amp;Time!AR20),IF(Time!AR20&lt;Time!$F$15,Inputs!$F$67*Inputs!$F$36,0))</f>
        <v>5.885</v>
      </c>
      <c r="AS19" s="13" t="n">
        <f aca="false">IF(Time!AS20&lt;Time!$F$12,SUMIFS(Construction!$J$28:$BJ$28,Construction!$J$12:$BJ$12,"&lt;="&amp;Time!AS20),IF(Time!AS20&lt;Time!$F$15,Inputs!$F$67*Inputs!$F$36,0))</f>
        <v>5.885</v>
      </c>
      <c r="AT19" s="13" t="n">
        <f aca="false">IF(Time!AT20&lt;Time!$F$12,SUMIFS(Construction!$J$28:$BJ$28,Construction!$J$12:$BJ$12,"&lt;="&amp;Time!AT20),IF(Time!AT20&lt;Time!$F$15,Inputs!$F$67*Inputs!$F$36,0))</f>
        <v>5.885</v>
      </c>
      <c r="AU19" s="13" t="n">
        <f aca="false">IF(Time!AU20&lt;Time!$F$12,SUMIFS(Construction!$J$28:$BJ$28,Construction!$J$12:$BJ$12,"&lt;="&amp;Time!AU20),IF(Time!AU20&lt;Time!$F$15,Inputs!$F$67*Inputs!$F$36,0))</f>
        <v>5.885</v>
      </c>
      <c r="AV19" s="13" t="n">
        <f aca="false">IF(Time!AV20&lt;Time!$F$12,SUMIFS(Construction!$J$28:$BJ$28,Construction!$J$12:$BJ$12,"&lt;="&amp;Time!AV20),IF(Time!AV20&lt;Time!$F$15,Inputs!$F$67*Inputs!$F$36,0))</f>
        <v>5.885</v>
      </c>
      <c r="AW19" s="13" t="n">
        <f aca="false">IF(Time!AW20&lt;Time!$F$12,SUMIFS(Construction!$J$28:$BJ$28,Construction!$J$12:$BJ$12,"&lt;="&amp;Time!AW20),IF(Time!AW20&lt;Time!$F$15,Inputs!$F$67*Inputs!$F$36,0))</f>
        <v>5.885</v>
      </c>
      <c r="AX19" s="13" t="n">
        <f aca="false">IF(Time!AX20&lt;Time!$F$12,SUMIFS(Construction!$J$28:$BJ$28,Construction!$J$12:$BJ$12,"&lt;="&amp;Time!AX20),IF(Time!AX20&lt;Time!$F$15,Inputs!$F$67*Inputs!$F$36,0))</f>
        <v>5.885</v>
      </c>
      <c r="AY19" s="13" t="n">
        <f aca="false">IF(Time!AY20&lt;Time!$F$12,SUMIFS(Construction!$J$28:$BJ$28,Construction!$J$12:$BJ$12,"&lt;="&amp;Time!AY20),IF(Time!AY20&lt;Time!$F$15,Inputs!$F$67*Inputs!$F$36,0))</f>
        <v>5.885</v>
      </c>
      <c r="AZ19" s="13" t="n">
        <f aca="false">IF(Time!AZ20&lt;Time!$F$12,SUMIFS(Construction!$J$28:$BJ$28,Construction!$J$12:$BJ$12,"&lt;="&amp;Time!AZ20),IF(Time!AZ20&lt;Time!$F$15,Inputs!$F$67*Inputs!$F$36,0))</f>
        <v>5.885</v>
      </c>
      <c r="BA19" s="13" t="n">
        <f aca="false">IF(Time!BA20&lt;Time!$F$12,SUMIFS(Construction!$J$28:$BJ$28,Construction!$J$12:$BJ$12,"&lt;="&amp;Time!BA20),IF(Time!BA20&lt;Time!$F$15,Inputs!$F$67*Inputs!$F$36,0))</f>
        <v>5.885</v>
      </c>
      <c r="BB19" s="13" t="n">
        <f aca="false">IF(Time!BB20&lt;Time!$F$12,SUMIFS(Construction!$J$28:$BJ$28,Construction!$J$12:$BJ$12,"&lt;="&amp;Time!BB20),IF(Time!BB20&lt;Time!$F$15,Inputs!$F$67*Inputs!$F$36,0))</f>
        <v>5.885</v>
      </c>
      <c r="BC19" s="13" t="n">
        <f aca="false">IF(Time!BC20&lt;Time!$F$12,SUMIFS(Construction!$J$28:$BJ$28,Construction!$J$12:$BJ$12,"&lt;="&amp;Time!BC20),IF(Time!BC20&lt;Time!$F$15,Inputs!$F$67*Inputs!$F$36,0))</f>
        <v>5.885</v>
      </c>
      <c r="BD19" s="13" t="n">
        <f aca="false">IF(Time!BD20&lt;Time!$F$12,SUMIFS(Construction!$J$28:$BJ$28,Construction!$J$12:$BJ$12,"&lt;="&amp;Time!BD20),IF(Time!BD20&lt;Time!$F$15,Inputs!$F$67*Inputs!$F$36,0))</f>
        <v>5.885</v>
      </c>
      <c r="BE19" s="13" t="n">
        <f aca="false">IF(Time!BE20&lt;Time!$F$12,SUMIFS(Construction!$J$28:$BJ$28,Construction!$J$12:$BJ$12,"&lt;="&amp;Time!BE20),IF(Time!BE20&lt;Time!$F$15,Inputs!$F$67*Inputs!$F$36,0))</f>
        <v>5.885</v>
      </c>
      <c r="BF19" s="13" t="n">
        <f aca="false">IF(Time!BF20&lt;Time!$F$12,SUMIFS(Construction!$J$28:$BJ$28,Construction!$J$12:$BJ$12,"&lt;="&amp;Time!BF20),IF(Time!BF20&lt;Time!$F$15,Inputs!$F$67*Inputs!$F$36,0))</f>
        <v>5.885</v>
      </c>
      <c r="BG19" s="13" t="n">
        <f aca="false">IF(Time!BG20&lt;Time!$F$12,SUMIFS(Construction!$J$28:$BJ$28,Construction!$J$12:$BJ$12,"&lt;="&amp;Time!BG20),IF(Time!BG20&lt;Time!$F$15,Inputs!$F$67*Inputs!$F$36,0))</f>
        <v>5.885</v>
      </c>
      <c r="BH19" s="13" t="n">
        <f aca="false">IF(Time!BH20&lt;Time!$F$12,SUMIFS(Construction!$J$28:$BJ$28,Construction!$J$12:$BJ$12,"&lt;="&amp;Time!BH20),IF(Time!BH20&lt;Time!$F$15,Inputs!$F$67*Inputs!$F$36,0))</f>
        <v>5.885</v>
      </c>
      <c r="BI19" s="13" t="n">
        <f aca="false">IF(Time!BI20&lt;Time!$F$12,SUMIFS(Construction!$J$28:$BJ$28,Construction!$J$12:$BJ$12,"&lt;="&amp;Time!BI20),IF(Time!BI20&lt;Time!$F$15,Inputs!$F$67*Inputs!$F$36,0))</f>
        <v>5.885</v>
      </c>
      <c r="BJ19" s="13" t="n">
        <f aca="false">IF(Time!BJ20&lt;Time!$F$12,SUMIFS(Construction!$J$28:$BJ$28,Construction!$J$12:$BJ$12,"&lt;="&amp;Time!BJ20),IF(Time!BJ20&lt;Time!$F$15,Inputs!$F$67*Inputs!$F$36,0))</f>
        <v>5.885</v>
      </c>
      <c r="BK19" s="13" t="n">
        <f aca="false">IF(Time!BK20&lt;Time!$F$12,SUMIFS(Construction!$J$28:$BJ$28,Construction!$J$12:$BJ$12,"&lt;="&amp;Time!BK20),IF(Time!BK20&lt;Time!$F$15,Inputs!$F$67*Inputs!$F$36,0))</f>
        <v>5.885</v>
      </c>
      <c r="BL19" s="13" t="n">
        <f aca="false">IF(Time!BL20&lt;Time!$F$12,SUMIFS(Construction!$J$28:$BJ$28,Construction!$J$12:$BJ$12,"&lt;="&amp;Time!BL20),IF(Time!BL20&lt;Time!$F$15,Inputs!$F$67*Inputs!$F$36,0))</f>
        <v>5.885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1.83168451896658</v>
      </c>
      <c r="P20" s="13" t="n">
        <f aca="false">MAX(0,-P12)</f>
        <v>7.32673807586632</v>
      </c>
      <c r="Q20" s="13" t="n">
        <f aca="false">MAX(0,-Q12)</f>
        <v>12.8217916327661</v>
      </c>
      <c r="R20" s="13" t="n">
        <f aca="false">MAX(0,-R12)</f>
        <v>18.3168451896658</v>
      </c>
      <c r="S20" s="13" t="n">
        <f aca="false">MAX(0,-S12)</f>
        <v>23.8118987465655</v>
      </c>
      <c r="T20" s="13" t="n">
        <f aca="false">MAX(0,-T12)</f>
        <v>29.3069523034653</v>
      </c>
      <c r="U20" s="13" t="n">
        <f aca="false">MAX(0,-U12)</f>
        <v>34.802005860365</v>
      </c>
      <c r="V20" s="13" t="n">
        <f aca="false">MAX(0,-V12)</f>
        <v>40.2970594172647</v>
      </c>
      <c r="W20" s="13" t="n">
        <f aca="false">MAX(0,-W12)</f>
        <v>45.7921129741644</v>
      </c>
      <c r="X20" s="13" t="n">
        <f aca="false">MAX(0,-X12)</f>
        <v>51.2871665310642</v>
      </c>
      <c r="Y20" s="13" t="n">
        <f aca="false">MAX(0,-Y12)</f>
        <v>54.5555270598756</v>
      </c>
      <c r="Z20" s="13" t="n">
        <f aca="false">MAX(0,-Z12)</f>
        <v>53.2539511689721</v>
      </c>
      <c r="AA20" s="13" t="n">
        <f aca="false">MAX(0,-AA12)</f>
        <v>51.5979736754443</v>
      </c>
      <c r="AB20" s="13" t="n">
        <f aca="false">MAX(0,-AB12)</f>
        <v>49.824667402966</v>
      </c>
      <c r="AC20" s="13" t="n">
        <f aca="false">MAX(0,-AC12)</f>
        <v>47.679374667913</v>
      </c>
      <c r="AD20" s="13" t="n">
        <f aca="false">MAX(0,-AD12)</f>
        <v>46.580363956533</v>
      </c>
      <c r="AE20" s="13" t="n">
        <f aca="false">MAX(0,-AE12)</f>
        <v>45.4813532451531</v>
      </c>
      <c r="AF20" s="13" t="n">
        <f aca="false">MAX(0,-AF12)</f>
        <v>43.420378905511</v>
      </c>
      <c r="AG20" s="13" t="n">
        <f aca="false">MAX(0,-AG12)</f>
        <v>40.1193831218372</v>
      </c>
      <c r="AH20" s="13" t="n">
        <f aca="false">MAX(0,-AH12)</f>
        <v>36.5475260781733</v>
      </c>
      <c r="AI20" s="13" t="n">
        <f aca="false">MAX(0,-AI12)</f>
        <v>32.4975884770082</v>
      </c>
      <c r="AJ20" s="13" t="n">
        <f aca="false">MAX(0,-AJ12)</f>
        <v>28.1505993329784</v>
      </c>
      <c r="AK20" s="13" t="n">
        <f aca="false">MAX(0,-AK12)</f>
        <v>23.2958350638158</v>
      </c>
      <c r="AL20" s="13" t="n">
        <f aca="false">MAX(0,-AL12)</f>
        <v>18.900118434492</v>
      </c>
      <c r="AM20" s="13" t="n">
        <f aca="false">MAX(0,-AM12)</f>
        <v>13.0635023734737</v>
      </c>
      <c r="AN20" s="13" t="n">
        <f aca="false">MAX(0,-AN12)</f>
        <v>6.79534190765942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149.417700399086</v>
      </c>
      <c r="K21" s="13" t="n">
        <f aca="false">K16+K17+K18+K19+K20</f>
        <v>259.507433980725</v>
      </c>
      <c r="L21" s="13" t="n">
        <f aca="false">L16+L17+L18+L19+L20</f>
        <v>472.850817881478</v>
      </c>
      <c r="M21" s="13" t="n">
        <f aca="false">M16+M17+M18+M19+M20</f>
        <v>694.889405311967</v>
      </c>
      <c r="N21" s="13" t="n">
        <f aca="false">N16+N17+N18+N19+N20</f>
        <v>824.062647062242</v>
      </c>
      <c r="O21" s="13" t="n">
        <f aca="false">O16+O17+O18+O19+O20</f>
        <v>999.273052039646</v>
      </c>
      <c r="P21" s="13" t="n">
        <f aca="false">P16+P17+P18+P19+P20</f>
        <v>984.760812290549</v>
      </c>
      <c r="Q21" s="13" t="n">
        <f aca="false">Q16+Q17+Q18+Q19+Q20</f>
        <v>973.911140050966</v>
      </c>
      <c r="R21" s="13" t="n">
        <f aca="false">R16+R17+R18+R19+R20</f>
        <v>960.498486825286</v>
      </c>
      <c r="S21" s="13" t="n">
        <f aca="false">S16+S17+S18+S19+S20</f>
        <v>949.747342477788</v>
      </c>
      <c r="T21" s="13" t="n">
        <f aca="false">T16+T17+T18+T19+T20</f>
        <v>936.733379669234</v>
      </c>
      <c r="U21" s="13" t="n">
        <f aca="false">U16+U17+U18+U19+U20</f>
        <v>925.788839162765</v>
      </c>
      <c r="V21" s="13" t="n">
        <f aca="false">V16+V17+V18+V19+V20</f>
        <v>909.311980729902</v>
      </c>
      <c r="W21" s="13" t="n">
        <f aca="false">W16+W17+W18+W19+W20</f>
        <v>896.69672481225</v>
      </c>
      <c r="X21" s="13" t="n">
        <f aca="false">X16+X17+X18+X19+X20</f>
        <v>885.418399654621</v>
      </c>
      <c r="Y21" s="13" t="n">
        <f aca="false">Y16+Y17+Y18+Y19+Y20</f>
        <v>873.782569665193</v>
      </c>
      <c r="Z21" s="13" t="n">
        <f aca="false">Z16+Z17+Z18+Z19+Z20</f>
        <v>855.082627914733</v>
      </c>
      <c r="AA21" s="13" t="n">
        <f aca="false">AA16+AA17+AA18+AA19+AA20</f>
        <v>838.829592220119</v>
      </c>
      <c r="AB21" s="13" t="n">
        <f aca="false">AB16+AB17+AB18+AB19+AB20</f>
        <v>819.685301146586</v>
      </c>
      <c r="AC21" s="13" t="n">
        <f aca="false">AC16+AC17+AC18+AC19+AC20</f>
        <v>802.709783652261</v>
      </c>
      <c r="AD21" s="13" t="n">
        <f aca="false">AD16+AD17+AD18+AD19+AD20</f>
        <v>769.508816386041</v>
      </c>
      <c r="AE21" s="13" t="n">
        <f aca="false">AE16+AE17+AE18+AE19+AE20</f>
        <v>751.368029247652</v>
      </c>
      <c r="AF21" s="13" t="n">
        <f aca="false">AF16+AF17+AF18+AF19+AF20</f>
        <v>730.665965975105</v>
      </c>
      <c r="AG21" s="13" t="n">
        <f aca="false">AG16+AG17+AG18+AG19+AG20</f>
        <v>710.17399026518</v>
      </c>
      <c r="AH21" s="13" t="n">
        <f aca="false">AH16+AH17+AH18+AH19+AH20</f>
        <v>686.566590786435</v>
      </c>
      <c r="AI21" s="13" t="n">
        <f aca="false">AI16+AI17+AI18+AI19+AI20</f>
        <v>664.926514246663</v>
      </c>
      <c r="AJ21" s="13" t="n">
        <f aca="false">AJ16+AJ17+AJ18+AJ19+AJ20</f>
        <v>640.305360389639</v>
      </c>
      <c r="AK21" s="13" t="n">
        <f aca="false">AK16+AK17+AK18+AK19+AK20</f>
        <v>616.414505416819</v>
      </c>
      <c r="AL21" s="13" t="n">
        <f aca="false">AL16+AL17+AL18+AL19+AL20</f>
        <v>585.900681130059</v>
      </c>
      <c r="AM21" s="13" t="n">
        <f aca="false">AM16+AM17+AM18+AM19+AM20</f>
        <v>556.247565540237</v>
      </c>
      <c r="AN21" s="13" t="n">
        <f aca="false">AN16+AN17+AN18+AN19+AN20</f>
        <v>533.116848469256</v>
      </c>
      <c r="AO21" s="13" t="n">
        <f aca="false">AO16+AO17+AO18+AO19+AO20</f>
        <v>491.873012567616</v>
      </c>
      <c r="AP21" s="13" t="n">
        <f aca="false">AP16+AP17+AP18+AP19+AP20</f>
        <v>475.092422470962</v>
      </c>
      <c r="AQ21" s="13" t="n">
        <f aca="false">AQ16+AQ17+AQ18+AQ19+AQ20</f>
        <v>460.577719135929</v>
      </c>
      <c r="AR21" s="13" t="n">
        <f aca="false">AR16+AR17+AR18+AR19+AR20</f>
        <v>444.143915546579</v>
      </c>
      <c r="AS21" s="13" t="n">
        <f aca="false">AS16+AS17+AS18+AS19+AS20</f>
        <v>428.796983019025</v>
      </c>
      <c r="AT21" s="13" t="n">
        <f aca="false">AT16+AT17+AT18+AT19+AT20</f>
        <v>394.719083087206</v>
      </c>
      <c r="AU21" s="13" t="n">
        <f aca="false">AU16+AU17+AU18+AU19+AU20</f>
        <v>378.543555250535</v>
      </c>
      <c r="AV21" s="13" t="n">
        <f aca="false">AV16+AV17+AV18+AV19+AV20</f>
        <v>361.221458680588</v>
      </c>
      <c r="AW21" s="13" t="n">
        <f aca="false">AW16+AW17+AW18+AW19+AW20</f>
        <v>344.842914990539</v>
      </c>
      <c r="AX21" s="13" t="n">
        <f aca="false">AX16+AX17+AX18+AX19+AX20</f>
        <v>326.251888084768</v>
      </c>
      <c r="AY21" s="13" t="n">
        <f aca="false">AY16+AY17+AY18+AY19+AY20</f>
        <v>310.082778360732</v>
      </c>
      <c r="AZ21" s="13" t="n">
        <f aca="false">AZ16+AZ17+AZ18+AZ19+AZ20</f>
        <v>291.866234302737</v>
      </c>
      <c r="BA21" s="13" t="n">
        <f aca="false">BA16+BA17+BA18+BA19+BA20</f>
        <v>275.507581708632</v>
      </c>
      <c r="BB21" s="13" t="n">
        <f aca="false">BB16+BB17+BB18+BB19+BB20</f>
        <v>254.029038593325</v>
      </c>
      <c r="BC21" s="13" t="n">
        <f aca="false">BC16+BC17+BC18+BC19+BC20</f>
        <v>239.076735977498</v>
      </c>
      <c r="BD21" s="13" t="n">
        <f aca="false">BD16+BD17+BD18+BD19+BD20</f>
        <v>225.10766814413</v>
      </c>
      <c r="BE21" s="13" t="n">
        <f aca="false">BE16+BE17+BE18+BE19+BE20</f>
        <v>212.580266401688</v>
      </c>
      <c r="BF21" s="13" t="n">
        <f aca="false">BF16+BF17+BF18+BF19+BF20</f>
        <v>197.705529259822</v>
      </c>
      <c r="BG21" s="13" t="n">
        <f aca="false">BG16+BG17+BG18+BG19+BG20</f>
        <v>185.438420608284</v>
      </c>
      <c r="BH21" s="13" t="n">
        <f aca="false">BH16+BH17+BH18+BH19+BH20</f>
        <v>171.002552108276</v>
      </c>
      <c r="BI21" s="13" t="n">
        <f aca="false">BI16+BI17+BI18+BI19+BI20</f>
        <v>157.80820717233</v>
      </c>
      <c r="BJ21" s="13" t="n">
        <f aca="false">BJ16+BJ17+BJ18+BJ19+BJ20</f>
        <v>122.450475871046</v>
      </c>
      <c r="BK21" s="13" t="n">
        <f aca="false">BK16+BK17+BK18+BK19+BK20</f>
        <v>108.239288182401</v>
      </c>
      <c r="BL21" s="13" t="n">
        <f aca="false">BL16+BL17+BL18+BL19+BL20</f>
        <v>92.0946949053321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109.472393215079</v>
      </c>
      <c r="K22" s="13" t="n">
        <f aca="false">IF(Time!K20&lt;Time!$F$12,SUMIFS(Funding!$J$73:$BJ$73,Construction!$J$12:$BJ$12,"&lt;="&amp;Time!K20),Debt!K116)</f>
        <v>189.228149426133</v>
      </c>
      <c r="L22" s="13" t="n">
        <f aca="false">IF(Time!L20&lt;Time!$F$12,SUMIFS(Funding!$J$73:$BJ$73,Construction!$J$12:$BJ$12,"&lt;="&amp;Time!L20),Debt!L116)</f>
        <v>343.838804788871</v>
      </c>
      <c r="M22" s="13" t="n">
        <f aca="false">IF(Time!M20&lt;Time!$F$12,SUMIFS(Funding!$J$73:$BJ$73,Construction!$J$12:$BJ$12,"&lt;="&amp;Time!M20),Debt!M116)</f>
        <v>503.091812380436</v>
      </c>
      <c r="N22" s="13" t="n">
        <f aca="false">IF(Time!N20&lt;Time!$F$12,SUMIFS(Funding!$J$73:$BJ$73,Construction!$J$12:$BJ$12,"&lt;="&amp;Time!N20),Debt!N116)</f>
        <v>592.250591764929</v>
      </c>
      <c r="O22" s="13" t="n">
        <f aca="false">IF(Time!O20&lt;Time!$F$12,SUMIFS(Funding!$J$73:$BJ$73,Construction!$J$12:$BJ$12,"&lt;="&amp;Time!O20),Debt!O116)</f>
        <v>689.875573432076</v>
      </c>
      <c r="P22" s="13" t="n">
        <f aca="false">IF(Time!P20&lt;Time!$F$12,SUMIFS(Funding!$J$73:$BJ$73,Construction!$J$12:$BJ$12,"&lt;="&amp;Time!P20),Debt!P116)</f>
        <v>672.787954704456</v>
      </c>
      <c r="Q22" s="13" t="n">
        <f aca="false">IF(Time!Q20&lt;Time!$F$12,SUMIFS(Funding!$J$73:$BJ$73,Construction!$J$12:$BJ$12,"&lt;="&amp;Time!Q20),Debt!Q116)</f>
        <v>655.029269568164</v>
      </c>
      <c r="R22" s="13" t="n">
        <f aca="false">IF(Time!R20&lt;Time!$F$12,SUMIFS(Funding!$J$73:$BJ$73,Construction!$J$12:$BJ$12,"&lt;="&amp;Time!R20),Debt!R116)</f>
        <v>636.443475088452</v>
      </c>
      <c r="S22" s="13" t="n">
        <f aca="false">IF(Time!S20&lt;Time!$F$12,SUMIFS(Funding!$J$73:$BJ$73,Construction!$J$12:$BJ$12,"&lt;="&amp;Time!S20),Debt!S116)</f>
        <v>617.351555544808</v>
      </c>
      <c r="T22" s="13" t="n">
        <f aca="false">IF(Time!T20&lt;Time!$F$12,SUMIFS(Funding!$J$73:$BJ$73,Construction!$J$12:$BJ$12,"&lt;="&amp;Time!T20),Debt!T116)</f>
        <v>597.422119292352</v>
      </c>
      <c r="U22" s="13" t="n">
        <f aca="false">IF(Time!U20&lt;Time!$F$12,SUMIFS(Funding!$J$73:$BJ$73,Construction!$J$12:$BJ$12,"&lt;="&amp;Time!U20),Debt!U116)</f>
        <v>576.891232221493</v>
      </c>
      <c r="V22" s="13" t="n">
        <f aca="false">IF(Time!V20&lt;Time!$F$12,SUMIFS(Funding!$J$73:$BJ$73,Construction!$J$12:$BJ$12,"&lt;="&amp;Time!V20),Debt!V116)</f>
        <v>555.050101388578</v>
      </c>
      <c r="W22" s="13" t="n">
        <f aca="false">IF(Time!W20&lt;Time!$F$12,SUMIFS(Funding!$J$73:$BJ$73,Construction!$J$12:$BJ$12,"&lt;="&amp;Time!W20),Debt!W116)</f>
        <v>532.563803865296</v>
      </c>
      <c r="X22" s="13" t="n">
        <f aca="false">IF(Time!X20&lt;Time!$F$12,SUMIFS(Funding!$J$73:$BJ$73,Construction!$J$12:$BJ$12,"&lt;="&amp;Time!X20),Debt!X116)</f>
        <v>510.735597695379</v>
      </c>
      <c r="Y22" s="13" t="n">
        <f aca="false">IF(Time!Y20&lt;Time!$F$12,SUMIFS(Funding!$J$73:$BJ$73,Construction!$J$12:$BJ$12,"&lt;="&amp;Time!Y20),Debt!Y116)</f>
        <v>488.947985576139</v>
      </c>
      <c r="Z22" s="13" t="n">
        <f aca="false">IF(Time!Z20&lt;Time!$F$12,SUMIFS(Funding!$J$73:$BJ$73,Construction!$J$12:$BJ$12,"&lt;="&amp;Time!Z20),Debt!Z116)</f>
        <v>466.288460276223</v>
      </c>
      <c r="AA22" s="13" t="n">
        <f aca="false">IF(Time!AA20&lt;Time!$F$12,SUMIFS(Funding!$J$73:$BJ$73,Construction!$J$12:$BJ$12,"&lt;="&amp;Time!AA20),Debt!AA116)</f>
        <v>438.579988699282</v>
      </c>
      <c r="AB22" s="13" t="n">
        <f aca="false">IF(Time!AB20&lt;Time!$F$12,SUMIFS(Funding!$J$73:$BJ$73,Construction!$J$12:$BJ$12,"&lt;="&amp;Time!AB20),Debt!AB116)</f>
        <v>409.186653603198</v>
      </c>
      <c r="AC22" s="13" t="n">
        <f aca="false">IF(Time!AC20&lt;Time!$F$12,SUMIFS(Funding!$J$73:$BJ$73,Construction!$J$12:$BJ$12,"&lt;="&amp;Time!AC20),Debt!AC116)</f>
        <v>379.82355492752</v>
      </c>
      <c r="AD22" s="13" t="n">
        <f aca="false">IF(Time!AD20&lt;Time!$F$12,SUMIFS(Funding!$J$73:$BJ$73,Construction!$J$12:$BJ$12,"&lt;="&amp;Time!AD20),Debt!AD116)</f>
        <v>347.318969070227</v>
      </c>
      <c r="AE22" s="13" t="n">
        <f aca="false">IF(Time!AE20&lt;Time!$F$12,SUMIFS(Funding!$J$73:$BJ$73,Construction!$J$12:$BJ$12,"&lt;="&amp;Time!AE20),Debt!AE116)</f>
        <v>313.674641616524</v>
      </c>
      <c r="AF22" s="13" t="n">
        <f aca="false">IF(Time!AF20&lt;Time!$F$12,SUMIFS(Funding!$J$73:$BJ$73,Construction!$J$12:$BJ$12,"&lt;="&amp;Time!AF20),Debt!AF116)</f>
        <v>278.904776963596</v>
      </c>
      <c r="AG22" s="13" t="n">
        <f aca="false">IF(Time!AG20&lt;Time!$F$12,SUMIFS(Funding!$J$73:$BJ$73,Construction!$J$12:$BJ$12,"&lt;="&amp;Time!AG20),Debt!AG116)</f>
        <v>244.125986293897</v>
      </c>
      <c r="AH22" s="13" t="n">
        <f aca="false">IF(Time!AH20&lt;Time!$F$12,SUMIFS(Funding!$J$73:$BJ$73,Construction!$J$12:$BJ$12,"&lt;="&amp;Time!AH20),Debt!AH116)</f>
        <v>207.659190178317</v>
      </c>
      <c r="AI22" s="13" t="n">
        <f aca="false">IF(Time!AI20&lt;Time!$F$12,SUMIFS(Funding!$J$73:$BJ$73,Construction!$J$12:$BJ$12,"&lt;="&amp;Time!AI20),Debt!AI116)</f>
        <v>170.935176920514</v>
      </c>
      <c r="AJ22" s="13" t="n">
        <f aca="false">IF(Time!AJ20&lt;Time!$F$12,SUMIFS(Funding!$J$73:$BJ$73,Construction!$J$12:$BJ$12,"&lt;="&amp;Time!AJ20),Debt!AJ116)</f>
        <v>132.847947037721</v>
      </c>
      <c r="AK22" s="13" t="n">
        <f aca="false">IF(Time!AK20&lt;Time!$F$12,SUMIFS(Funding!$J$73:$BJ$73,Construction!$J$12:$BJ$12,"&lt;="&amp;Time!AK20),Debt!AK116)</f>
        <v>94.7299832275301</v>
      </c>
      <c r="AL22" s="13" t="n">
        <f aca="false">IF(Time!AL20&lt;Time!$F$12,SUMIFS(Funding!$J$73:$BJ$73,Construction!$J$12:$BJ$12,"&lt;="&amp;Time!AL20),Debt!AL116)</f>
        <v>60.8814404061707</v>
      </c>
      <c r="AM22" s="13" t="n">
        <f aca="false">IF(Time!AM20&lt;Time!$F$12,SUMIFS(Funding!$J$73:$BJ$73,Construction!$J$12:$BJ$12,"&lt;="&amp;Time!AM20),Debt!AM116)</f>
        <v>38.7465023946786</v>
      </c>
      <c r="AN22" s="13" t="n">
        <f aca="false">IF(Time!AN20&lt;Time!$F$12,SUMIFS(Funding!$J$73:$BJ$73,Construction!$J$12:$BJ$12,"&lt;="&amp;Time!AN20),Debt!AN116)</f>
        <v>19.2052555643415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32.1390510704566</v>
      </c>
      <c r="K23" s="13" t="n">
        <f aca="false">IF(Time!K20&lt;Time!$F$12,SUMIFS(Funding!$J$70:$BJ$70,Construction!$J$12:$BJ$12,"&lt;="&amp;Time!K20)+SUMIFS(Funding!$J$71:$BJ$71,Construction!$J$12:$BJ$12,"&lt;="&amp;Time!K20),Waterfall!K36)</f>
        <v>56.7858059255878</v>
      </c>
      <c r="L23" s="13" t="n">
        <f aca="false">IF(Time!L20&lt;Time!$F$12,SUMIFS(Funding!$J$70:$BJ$70,Construction!$J$12:$BJ$12,"&lt;="&amp;Time!L20)+SUMIFS(Funding!$J$71:$BJ$71,Construction!$J$12:$BJ$12,"&lt;="&amp;Time!L20),Waterfall!L36)</f>
        <v>104.493559689604</v>
      </c>
      <c r="M23" s="13" t="n">
        <f aca="false">IF(Time!M20&lt;Time!$F$12,SUMIFS(Funding!$J$70:$BJ$70,Construction!$J$12:$BJ$12,"&lt;="&amp;Time!M20)+SUMIFS(Funding!$J$71:$BJ$71,Construction!$J$12:$BJ$12,"&lt;="&amp;Time!M20),Waterfall!M36)</f>
        <v>155.923127957004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189.579857142699</v>
      </c>
      <c r="O23" s="13" t="n">
        <f aca="false">IF(Time!O20&lt;Time!$F$12,SUMIFS(Funding!$J$70:$BJ$70,Construction!$J$12:$BJ$12,"&lt;="&amp;Time!O20)+SUMIFS(Funding!$J$71:$BJ$71,Construction!$J$12:$BJ$12,"&lt;="&amp;Time!O20),Waterfall!O36)</f>
        <v>227.046220255254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226.509050286783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228.275887417865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229.341502129654</v>
      </c>
      <c r="S23" s="13" t="n">
        <f aca="false">IF(Time!S20&lt;Time!$F$12,SUMIFS(Funding!$J$70:$BJ$70,Construction!$J$12:$BJ$12,"&lt;="&amp;Time!S20)+SUMIFS(Funding!$J$71:$BJ$71,Construction!$J$12:$BJ$12,"&lt;="&amp;Time!S20),Waterfall!S36)</f>
        <v>231.140114139489</v>
      </c>
      <c r="T23" s="13" t="n">
        <f aca="false">IF(Time!T20&lt;Time!$F$12,SUMIFS(Funding!$J$70:$BJ$70,Construction!$J$12:$BJ$12,"&lt;="&amp;Time!T20)+SUMIFS(Funding!$J$71:$BJ$71,Construction!$J$12:$BJ$12,"&lt;="&amp;Time!T20),Waterfall!T36)</f>
        <v>232.43319294636</v>
      </c>
      <c r="U23" s="13" t="n">
        <f aca="false">IF(Time!U20&lt;Time!$F$12,SUMIFS(Funding!$J$70:$BJ$70,Construction!$J$12:$BJ$12,"&lt;="&amp;Time!U20)+SUMIFS(Funding!$J$71:$BJ$71,Construction!$J$12:$BJ$12,"&lt;="&amp;Time!U20),Waterfall!U36)</f>
        <v>234.701837322718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235.930123386007</v>
      </c>
      <c r="W23" s="13" t="n">
        <f aca="false">IF(Time!W20&lt;Time!$F$12,SUMIFS(Funding!$J$70:$BJ$70,Construction!$J$12:$BJ$12,"&lt;="&amp;Time!W20)+SUMIFS(Funding!$J$71:$BJ$71,Construction!$J$12:$BJ$12,"&lt;="&amp;Time!W20),Waterfall!W36)</f>
        <v>236.197749817218</v>
      </c>
      <c r="X23" s="13" t="n">
        <f aca="false">IF(Time!X20&lt;Time!$F$12,SUMIFS(Funding!$J$70:$BJ$70,Construction!$J$12:$BJ$12,"&lt;="&amp;Time!X20)+SUMIFS(Funding!$J$71:$BJ$71,Construction!$J$12:$BJ$12,"&lt;="&amp;Time!X20),Waterfall!X36)</f>
        <v>237.741223246384</v>
      </c>
      <c r="Y23" s="13" t="n">
        <f aca="false">IF(Time!Y20&lt;Time!$F$12,SUMIFS(Funding!$J$70:$BJ$70,Construction!$J$12:$BJ$12,"&lt;="&amp;Time!Y20)+SUMIFS(Funding!$J$71:$BJ$71,Construction!$J$12:$BJ$12,"&lt;="&amp;Time!Y20),Waterfall!Y36)</f>
        <v>239.991120017772</v>
      </c>
      <c r="Z23" s="13" t="n">
        <f aca="false">IF(Time!Z20&lt;Time!$F$12,SUMIFS(Funding!$J$70:$BJ$70,Construction!$J$12:$BJ$12,"&lt;="&amp;Time!Z20)+SUMIFS(Funding!$J$71:$BJ$71,Construction!$J$12:$BJ$12,"&lt;="&amp;Time!Z20),Waterfall!Z36)</f>
        <v>241.792419097695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248.776636099466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255.473441263747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262.891288473613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269.602723191742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275.990073992433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282.180569335781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288.266690967322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293.726617859043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298.689422687178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302.630273716947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305.374344901576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299.692365169781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277.649256486506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259.622233726186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221.161604312793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180.362927391488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137.884072636197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92.8884955616932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45.8790839488703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</v>
      </c>
      <c r="AN25" s="13" t="n">
        <f aca="false">MAX(0,AN12)</f>
        <v>0</v>
      </c>
      <c r="AO25" s="13" t="n">
        <f aca="false">MAX(0,AO12)</f>
        <v>0.00386577067926481</v>
      </c>
      <c r="AP25" s="13" t="n">
        <f aca="false">MAX(0,AP12)</f>
        <v>7.50798747760945</v>
      </c>
      <c r="AQ25" s="13" t="n">
        <f aca="false">MAX(0,AQ12)</f>
        <v>15.6751417797419</v>
      </c>
      <c r="AR25" s="13" t="n">
        <f aca="false">MAX(0,AR12)</f>
        <v>24.4394980507784</v>
      </c>
      <c r="AS25" s="13" t="n">
        <f aca="false">MAX(0,AS12)</f>
        <v>33.9418535573844</v>
      </c>
      <c r="AT25" s="13" t="n">
        <f aca="false">MAX(0,AT12)</f>
        <v>39.6871568554561</v>
      </c>
      <c r="AU25" s="13" t="n">
        <f aca="false">MAX(0,AU12)</f>
        <v>43.7772600033012</v>
      </c>
      <c r="AV25" s="13" t="n">
        <f aca="false">MAX(0,AV12)</f>
        <v>44.8762707146812</v>
      </c>
      <c r="AW25" s="13" t="n">
        <f aca="false">MAX(0,AW12)</f>
        <v>45.9752814260611</v>
      </c>
      <c r="AX25" s="13" t="n">
        <f aca="false">MAX(0,AX12)</f>
        <v>47.074292137441</v>
      </c>
      <c r="AY25" s="13" t="n">
        <f aca="false">MAX(0,AY12)</f>
        <v>48.173302848821</v>
      </c>
      <c r="AZ25" s="13" t="n">
        <f aca="false">MAX(0,AZ12)</f>
        <v>49.272313560201</v>
      </c>
      <c r="BA25" s="13" t="n">
        <f aca="false">MAX(0,BA12)</f>
        <v>50.3713242715809</v>
      </c>
      <c r="BB25" s="13" t="n">
        <f aca="false">MAX(0,BB12)</f>
        <v>51.4703349829608</v>
      </c>
      <c r="BC25" s="13" t="n">
        <f aca="false">MAX(0,BC12)</f>
        <v>50.4629084975292</v>
      </c>
      <c r="BD25" s="13" t="n">
        <f aca="false">MAX(0,BD12)</f>
        <v>45.2426076184745</v>
      </c>
      <c r="BE25" s="13" t="n">
        <f aca="false">MAX(0,BE12)</f>
        <v>40.0223067394197</v>
      </c>
      <c r="BF25" s="13" t="n">
        <f aca="false">MAX(0,BF12)</f>
        <v>34.802005860365</v>
      </c>
      <c r="BG25" s="13" t="n">
        <f aca="false">MAX(0,BG12)</f>
        <v>29.5817049813102</v>
      </c>
      <c r="BH25" s="13" t="n">
        <f aca="false">MAX(0,BH12)</f>
        <v>24.3614041022555</v>
      </c>
      <c r="BI25" s="13" t="n">
        <f aca="false">MAX(0,BI12)</f>
        <v>19.1411032232007</v>
      </c>
      <c r="BJ25" s="13" t="n">
        <f aca="false">MAX(0,BJ12)</f>
        <v>13.920802344146</v>
      </c>
      <c r="BK25" s="13" t="n">
        <f aca="false">MAX(0,BK12)</f>
        <v>8.70050146509126</v>
      </c>
      <c r="BL25" s="13" t="n">
        <f aca="false">MAX(0,BL12)</f>
        <v>3.48020058603652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7.8062561135506</v>
      </c>
      <c r="K26" s="13" t="n">
        <f aca="false">SUMIFS(Funding!$J$69:$BJ$69,Construction!$J$12:$BJ$12,"&lt;="&amp;Time!K20)</f>
        <v>13.4934786290043</v>
      </c>
      <c r="L26" s="13" t="n">
        <f aca="false">SUMIFS(Funding!$J$69:$BJ$69,Construction!$J$12:$BJ$12,"&lt;="&amp;Time!L20)</f>
        <v>24.5184534030023</v>
      </c>
      <c r="M26" s="13" t="n">
        <f aca="false">SUMIFS(Funding!$J$69:$BJ$69,Construction!$J$12:$BJ$12,"&lt;="&amp;Time!M20)</f>
        <v>35.8744649745273</v>
      </c>
      <c r="N26" s="13" t="n">
        <f aca="false">SUMIFS(Funding!$J$69:$BJ$69,Construction!$J$12:$BJ$12,"&lt;="&amp;Time!N20)</f>
        <v>42.2321981546132</v>
      </c>
      <c r="O26" s="13" t="n">
        <f aca="false">SUMIFS(Funding!$J$69:$BJ$69,Construction!$J$12:$BJ$12,"&lt;="&amp;Time!O20)</f>
        <v>49.1936391863916</v>
      </c>
      <c r="P26" s="13" t="n">
        <f aca="false">SUMIFS(Funding!$J$69:$BJ$69,Construction!$J$12:$BJ$12,"&lt;="&amp;Time!P20)</f>
        <v>49.1936391863916</v>
      </c>
      <c r="Q26" s="13" t="n">
        <f aca="false">SUMIFS(Funding!$J$69:$BJ$69,Construction!$J$12:$BJ$12,"&lt;="&amp;Time!Q20)</f>
        <v>49.1936391863916</v>
      </c>
      <c r="R26" s="13" t="n">
        <f aca="false">SUMIFS(Funding!$J$69:$BJ$69,Construction!$J$12:$BJ$12,"&lt;="&amp;Time!R20)</f>
        <v>49.1936391863916</v>
      </c>
      <c r="S26" s="13" t="n">
        <f aca="false">SUMIFS(Funding!$J$69:$BJ$69,Construction!$J$12:$BJ$12,"&lt;="&amp;Time!S20)</f>
        <v>49.1936391863916</v>
      </c>
      <c r="T26" s="13" t="n">
        <f aca="false">SUMIFS(Funding!$J$69:$BJ$69,Construction!$J$12:$BJ$12,"&lt;="&amp;Time!T20)</f>
        <v>49.1936391863916</v>
      </c>
      <c r="U26" s="13" t="n">
        <f aca="false">SUMIFS(Funding!$J$69:$BJ$69,Construction!$J$12:$BJ$12,"&lt;="&amp;Time!U20)</f>
        <v>49.1936391863916</v>
      </c>
      <c r="V26" s="13" t="n">
        <f aca="false">SUMIFS(Funding!$J$69:$BJ$69,Construction!$J$12:$BJ$12,"&lt;="&amp;Time!V20)</f>
        <v>49.1936391863916</v>
      </c>
      <c r="W26" s="13" t="n">
        <f aca="false">SUMIFS(Funding!$J$69:$BJ$69,Construction!$J$12:$BJ$12,"&lt;="&amp;Time!W20)</f>
        <v>49.1936391863916</v>
      </c>
      <c r="X26" s="13" t="n">
        <f aca="false">SUMIFS(Funding!$J$69:$BJ$69,Construction!$J$12:$BJ$12,"&lt;="&amp;Time!X20)</f>
        <v>49.1936391863916</v>
      </c>
      <c r="Y26" s="13" t="n">
        <f aca="false">SUMIFS(Funding!$J$69:$BJ$69,Construction!$J$12:$BJ$12,"&lt;="&amp;Time!Y20)</f>
        <v>49.1936391863916</v>
      </c>
      <c r="Z26" s="13" t="n">
        <f aca="false">SUMIFS(Funding!$J$69:$BJ$69,Construction!$J$12:$BJ$12,"&lt;="&amp;Time!Z20)</f>
        <v>49.1936391863916</v>
      </c>
      <c r="AA26" s="13" t="n">
        <f aca="false">SUMIFS(Funding!$J$69:$BJ$69,Construction!$J$12:$BJ$12,"&lt;="&amp;Time!AA20)</f>
        <v>49.1936391863916</v>
      </c>
      <c r="AB26" s="13" t="n">
        <f aca="false">SUMIFS(Funding!$J$69:$BJ$69,Construction!$J$12:$BJ$12,"&lt;="&amp;Time!AB20)</f>
        <v>49.1936391863916</v>
      </c>
      <c r="AC26" s="13" t="n">
        <f aca="false">SUMIFS(Funding!$J$69:$BJ$69,Construction!$J$12:$BJ$12,"&lt;="&amp;Time!AC20)</f>
        <v>49.1936391863916</v>
      </c>
      <c r="AD26" s="13" t="n">
        <f aca="false">SUMIFS(Funding!$J$69:$BJ$69,Construction!$J$12:$BJ$12,"&lt;="&amp;Time!AD20)</f>
        <v>49.1936391863916</v>
      </c>
      <c r="AE26" s="13" t="n">
        <f aca="false">SUMIFS(Funding!$J$69:$BJ$69,Construction!$J$12:$BJ$12,"&lt;="&amp;Time!AE20)</f>
        <v>49.1936391863916</v>
      </c>
      <c r="AF26" s="13" t="n">
        <f aca="false">SUMIFS(Funding!$J$69:$BJ$69,Construction!$J$12:$BJ$12,"&lt;="&amp;Time!AF20)</f>
        <v>49.1936391863916</v>
      </c>
      <c r="AG26" s="13" t="n">
        <f aca="false">SUMIFS(Funding!$J$69:$BJ$69,Construction!$J$12:$BJ$12,"&lt;="&amp;Time!AG20)</f>
        <v>49.1936391863916</v>
      </c>
      <c r="AH26" s="13" t="n">
        <f aca="false">SUMIFS(Funding!$J$69:$BJ$69,Construction!$J$12:$BJ$12,"&lt;="&amp;Time!AH20)</f>
        <v>49.1936391863916</v>
      </c>
      <c r="AI26" s="13" t="n">
        <f aca="false">SUMIFS(Funding!$J$69:$BJ$69,Construction!$J$12:$BJ$12,"&lt;="&amp;Time!AI20)</f>
        <v>49.1936391863916</v>
      </c>
      <c r="AJ26" s="13" t="n">
        <f aca="false">SUMIFS(Funding!$J$69:$BJ$69,Construction!$J$12:$BJ$12,"&lt;="&amp;Time!AJ20)</f>
        <v>49.1936391863916</v>
      </c>
      <c r="AK26" s="13" t="n">
        <f aca="false">SUMIFS(Funding!$J$69:$BJ$69,Construction!$J$12:$BJ$12,"&lt;="&amp;Time!AK20)</f>
        <v>49.1936391863916</v>
      </c>
      <c r="AL26" s="13" t="n">
        <f aca="false">SUMIFS(Funding!$J$69:$BJ$69,Construction!$J$12:$BJ$12,"&lt;="&amp;Time!AL20)</f>
        <v>49.1936391863916</v>
      </c>
      <c r="AM26" s="13" t="n">
        <f aca="false">SUMIFS(Funding!$J$69:$BJ$69,Construction!$J$12:$BJ$12,"&lt;="&amp;Time!AM20)</f>
        <v>49.1936391863916</v>
      </c>
      <c r="AN26" s="13" t="n">
        <f aca="false">SUMIFS(Funding!$J$69:$BJ$69,Construction!$J$12:$BJ$12,"&lt;="&amp;Time!AN20)</f>
        <v>49.1936391863916</v>
      </c>
      <c r="AO26" s="13" t="n">
        <f aca="false">SUMIFS(Funding!$J$69:$BJ$69,Construction!$J$12:$BJ$12,"&lt;="&amp;Time!AO20)</f>
        <v>49.1936391863916</v>
      </c>
      <c r="AP26" s="13" t="n">
        <f aca="false">SUMIFS(Funding!$J$69:$BJ$69,Construction!$J$12:$BJ$12,"&lt;="&amp;Time!AP20)</f>
        <v>49.1936391863916</v>
      </c>
      <c r="AQ26" s="13" t="n">
        <f aca="false">SUMIFS(Funding!$J$69:$BJ$69,Construction!$J$12:$BJ$12,"&lt;="&amp;Time!AQ20)</f>
        <v>49.1936391863916</v>
      </c>
      <c r="AR26" s="13" t="n">
        <f aca="false">SUMIFS(Funding!$J$69:$BJ$69,Construction!$J$12:$BJ$12,"&lt;="&amp;Time!AR20)</f>
        <v>49.1936391863916</v>
      </c>
      <c r="AS26" s="13" t="n">
        <f aca="false">SUMIFS(Funding!$J$69:$BJ$69,Construction!$J$12:$BJ$12,"&lt;="&amp;Time!AS20)</f>
        <v>49.1936391863916</v>
      </c>
      <c r="AT26" s="13" t="n">
        <f aca="false">SUMIFS(Funding!$J$69:$BJ$69,Construction!$J$12:$BJ$12,"&lt;="&amp;Time!AT20)</f>
        <v>49.1936391863916</v>
      </c>
      <c r="AU26" s="13" t="n">
        <f aca="false">SUMIFS(Funding!$J$69:$BJ$69,Construction!$J$12:$BJ$12,"&lt;="&amp;Time!AU20)</f>
        <v>49.1936391863916</v>
      </c>
      <c r="AV26" s="13" t="n">
        <f aca="false">SUMIFS(Funding!$J$69:$BJ$69,Construction!$J$12:$BJ$12,"&lt;="&amp;Time!AV20)</f>
        <v>49.1936391863916</v>
      </c>
      <c r="AW26" s="13" t="n">
        <f aca="false">SUMIFS(Funding!$J$69:$BJ$69,Construction!$J$12:$BJ$12,"&lt;="&amp;Time!AW20)</f>
        <v>49.1936391863916</v>
      </c>
      <c r="AX26" s="13" t="n">
        <f aca="false">SUMIFS(Funding!$J$69:$BJ$69,Construction!$J$12:$BJ$12,"&lt;="&amp;Time!AX20)</f>
        <v>49.1936391863916</v>
      </c>
      <c r="AY26" s="13" t="n">
        <f aca="false">SUMIFS(Funding!$J$69:$BJ$69,Construction!$J$12:$BJ$12,"&lt;="&amp;Time!AY20)</f>
        <v>49.1936391863916</v>
      </c>
      <c r="AZ26" s="13" t="n">
        <f aca="false">SUMIFS(Funding!$J$69:$BJ$69,Construction!$J$12:$BJ$12,"&lt;="&amp;Time!AZ20)</f>
        <v>49.1936391863916</v>
      </c>
      <c r="BA26" s="13" t="n">
        <f aca="false">SUMIFS(Funding!$J$69:$BJ$69,Construction!$J$12:$BJ$12,"&lt;="&amp;Time!BA20)</f>
        <v>49.1936391863916</v>
      </c>
      <c r="BB26" s="13" t="n">
        <f aca="false">SUMIFS(Funding!$J$69:$BJ$69,Construction!$J$12:$BJ$12,"&lt;="&amp;Time!BB20)</f>
        <v>49.1936391863916</v>
      </c>
      <c r="BC26" s="13" t="n">
        <f aca="false">SUMIFS(Funding!$J$69:$BJ$69,Construction!$J$12:$BJ$12,"&lt;="&amp;Time!BC20)</f>
        <v>49.1936391863916</v>
      </c>
      <c r="BD26" s="13" t="n">
        <f aca="false">SUMIFS(Funding!$J$69:$BJ$69,Construction!$J$12:$BJ$12,"&lt;="&amp;Time!BD20)</f>
        <v>49.1936391863916</v>
      </c>
      <c r="BE26" s="13" t="n">
        <f aca="false">SUMIFS(Funding!$J$69:$BJ$69,Construction!$J$12:$BJ$12,"&lt;="&amp;Time!BE20)</f>
        <v>49.1936391863916</v>
      </c>
      <c r="BF26" s="13" t="n">
        <f aca="false">SUMIFS(Funding!$J$69:$BJ$69,Construction!$J$12:$BJ$12,"&lt;="&amp;Time!BF20)</f>
        <v>49.1936391863916</v>
      </c>
      <c r="BG26" s="13" t="n">
        <f aca="false">SUMIFS(Funding!$J$69:$BJ$69,Construction!$J$12:$BJ$12,"&lt;="&amp;Time!BG20)</f>
        <v>49.1936391863916</v>
      </c>
      <c r="BH26" s="13" t="n">
        <f aca="false">SUMIFS(Funding!$J$69:$BJ$69,Construction!$J$12:$BJ$12,"&lt;="&amp;Time!BH20)</f>
        <v>49.1936391863916</v>
      </c>
      <c r="BI26" s="13" t="n">
        <f aca="false">SUMIFS(Funding!$J$69:$BJ$69,Construction!$J$12:$BJ$12,"&lt;="&amp;Time!BI20)</f>
        <v>49.1936391863916</v>
      </c>
      <c r="BJ26" s="13" t="n">
        <f aca="false">SUMIFS(Funding!$J$69:$BJ$69,Construction!$J$12:$BJ$12,"&lt;="&amp;Time!BJ20)</f>
        <v>49.1936391863916</v>
      </c>
      <c r="BK26" s="13" t="n">
        <f aca="false">SUMIFS(Funding!$J$69:$BJ$69,Construction!$J$12:$BJ$12,"&lt;="&amp;Time!BK20)</f>
        <v>49.1936391863916</v>
      </c>
      <c r="BL26" s="13" t="n">
        <f aca="false">SUMIFS(Funding!$J$69:$BJ$69,Construction!$J$12:$BJ$12,"&lt;="&amp;Time!BL20)</f>
        <v>49.1936391863916</v>
      </c>
      <c r="BM26" s="13" t="n">
        <f aca="false">SUMIFS(Funding!$J$69:$BJ$69,Construction!$J$12:$BJ$12,"&lt;="&amp;Time!BM20)</f>
        <v>49.1936391863916</v>
      </c>
      <c r="BN26" s="13" t="n">
        <f aca="false">SUMIFS(Funding!$J$69:$BJ$69,Construction!$J$12:$BJ$12,"&lt;="&amp;Time!BN20)</f>
        <v>49.1936391863916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9.06257838028724</v>
      </c>
      <c r="P27" s="18" t="n">
        <f aca="false">Waterfall!P43</f>
        <v>12.2680771925308</v>
      </c>
      <c r="Q27" s="18" t="n">
        <f aca="false">Waterfall!Q43</f>
        <v>16.6684861285277</v>
      </c>
      <c r="R27" s="18" t="n">
        <f aca="false">Waterfall!R43</f>
        <v>21.2599050012743</v>
      </c>
      <c r="S27" s="18" t="n">
        <f aca="false">Waterfall!S43</f>
        <v>26.9095209507203</v>
      </c>
      <c r="T27" s="18" t="n">
        <f aca="false">Waterfall!T43</f>
        <v>32.7412303588087</v>
      </c>
      <c r="U27" s="18" t="n">
        <f aca="false">Waterfall!U43</f>
        <v>39.6046445956888</v>
      </c>
      <c r="V27" s="18" t="n">
        <f aca="false">Waterfall!V43</f>
        <v>44.4802306760893</v>
      </c>
      <c r="W27" s="18" t="n">
        <f aca="false">Waterfall!W43</f>
        <v>52.9846016689397</v>
      </c>
      <c r="X27" s="18" t="n">
        <f aca="false">Waterfall!X43</f>
        <v>61.826656033504</v>
      </c>
      <c r="Y27" s="18" t="n">
        <f aca="false">Waterfall!Y43</f>
        <v>68.9270558176125</v>
      </c>
      <c r="Z27" s="18" t="n">
        <f aca="false">Waterfall!Z43</f>
        <v>71.608574695047</v>
      </c>
      <c r="AA27" s="18" t="n">
        <f aca="false">Waterfall!AA43</f>
        <v>75.1152556193392</v>
      </c>
      <c r="AB27" s="18" t="n">
        <f aca="false">Waterfall!AB43</f>
        <v>78.8937705702905</v>
      </c>
      <c r="AC27" s="18" t="n">
        <f aca="false">Waterfall!AC43</f>
        <v>83.5393642182677</v>
      </c>
      <c r="AD27" s="18" t="n">
        <f aca="false">Waterfall!AD43</f>
        <v>77.2538281553469</v>
      </c>
      <c r="AE27" s="18" t="n">
        <f aca="false">Waterfall!AE43</f>
        <v>85.0345294044397</v>
      </c>
      <c r="AF27" s="18" t="n">
        <f aca="false">Waterfall!AF43</f>
        <v>92.3927382166268</v>
      </c>
      <c r="AG27" s="18" t="n">
        <f aca="false">Waterfall!AG43</f>
        <v>99.727433910251</v>
      </c>
      <c r="AH27" s="18" t="n">
        <f aca="false">Waterfall!AH43</f>
        <v>107.692663262037</v>
      </c>
      <c r="AI27" s="18" t="n">
        <f aca="false">Waterfall!AI43</f>
        <v>116.771481374168</v>
      </c>
      <c r="AJ27" s="18" t="n">
        <f aca="false">Waterfall!AJ43</f>
        <v>126.541315698784</v>
      </c>
      <c r="AK27" s="18" t="n">
        <f aca="false">Waterfall!AK43</f>
        <v>137.494667386799</v>
      </c>
      <c r="AL27" s="18" t="n">
        <f aca="false">Waterfall!AL43</f>
        <v>147.376149886281</v>
      </c>
      <c r="AM27" s="18" t="n">
        <f aca="false">Waterfall!AM43</f>
        <v>160.617333012135</v>
      </c>
      <c r="AN27" s="18" t="n">
        <f aca="false">Waterfall!AN43</f>
        <v>174.862471043433</v>
      </c>
      <c r="AO27" s="18" t="n">
        <f aca="false">Waterfall!AO43</f>
        <v>190.344968941351</v>
      </c>
      <c r="AP27" s="18" t="n">
        <f aca="false">Waterfall!AP43</f>
        <v>207.470657392102</v>
      </c>
      <c r="AQ27" s="18" t="n">
        <f aca="false">Waterfall!AQ43</f>
        <v>226.141317874194</v>
      </c>
      <c r="AR27" s="18" t="n">
        <f aca="false">Waterfall!AR43</f>
        <v>246.20315953131</v>
      </c>
      <c r="AS27" s="18" t="n">
        <f aca="false">Waterfall!AS43</f>
        <v>267.985935911663</v>
      </c>
      <c r="AT27" s="18" t="n">
        <f aca="false">Waterfall!AT43</f>
        <v>275.353838575982</v>
      </c>
      <c r="AU27" s="18" t="n">
        <f aca="false">Waterfall!AU43</f>
        <v>253.528341319956</v>
      </c>
      <c r="AV27" s="18" t="n">
        <f aca="false">Waterfall!AV43</f>
        <v>234.499987073514</v>
      </c>
      <c r="AW27" s="18" t="n">
        <f aca="false">Waterfall!AW43</f>
        <v>216.011471098308</v>
      </c>
      <c r="AX27" s="18" t="n">
        <f aca="false">Waterfall!AX43</f>
        <v>196.982834780168</v>
      </c>
      <c r="AY27" s="18" t="n">
        <f aca="false">Waterfall!AY43</f>
        <v>178.497609270804</v>
      </c>
      <c r="AZ27" s="18" t="n">
        <f aca="false">Waterfall!AZ43</f>
        <v>159.467894627284</v>
      </c>
      <c r="BA27" s="18" t="n">
        <f aca="false">Waterfall!BA43</f>
        <v>141.392659485783</v>
      </c>
      <c r="BB27" s="18" t="n">
        <f aca="false">Waterfall!BB43</f>
        <v>119.826112699927</v>
      </c>
      <c r="BC27" s="18" t="n">
        <f aca="false">Waterfall!BC43</f>
        <v>104.381893770585</v>
      </c>
      <c r="BD27" s="18" t="n">
        <f aca="false">Waterfall!BD43</f>
        <v>95.4079289373806</v>
      </c>
      <c r="BE27" s="18" t="n">
        <f aca="false">Waterfall!BE43</f>
        <v>87.008556598363</v>
      </c>
      <c r="BF27" s="18" t="n">
        <f aca="false">Waterfall!BF43</f>
        <v>78.0692114558102</v>
      </c>
      <c r="BG27" s="18" t="n">
        <f aca="false">Waterfall!BG43</f>
        <v>69.7072465650724</v>
      </c>
      <c r="BH27" s="18" t="n">
        <f aca="false">Waterfall!BH43</f>
        <v>60.8006634217963</v>
      </c>
      <c r="BI27" s="18" t="n">
        <f aca="false">Waterfall!BI43</f>
        <v>52.3873287392519</v>
      </c>
      <c r="BJ27" s="18" t="n">
        <f aca="false">Waterfall!BJ43</f>
        <v>23.7835144704427</v>
      </c>
      <c r="BK27" s="18" t="n">
        <f aca="false">Waterfall!BK43</f>
        <v>12.9708749522708</v>
      </c>
      <c r="BL27" s="18" t="n">
        <f aca="false">Waterfall!BL43</f>
        <v>1.33636533169979</v>
      </c>
      <c r="BM27" s="18" t="n">
        <f aca="false">Waterfall!BM43</f>
        <v>-49.1936391863918</v>
      </c>
      <c r="BN27" s="18" t="n">
        <f aca="false">Waterfall!BN43</f>
        <v>-49.1936391863918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149.417700399086</v>
      </c>
      <c r="K28" s="13" t="n">
        <f aca="false">K22+K23+K24+K25+K26+K27</f>
        <v>259.507433980725</v>
      </c>
      <c r="L28" s="13" t="n">
        <f aca="false">L22+L23+L24+L25+L26+L27</f>
        <v>472.850817881478</v>
      </c>
      <c r="M28" s="13" t="n">
        <f aca="false">M22+M23+M24+M25+M26+M27</f>
        <v>694.889405311967</v>
      </c>
      <c r="N28" s="13" t="n">
        <f aca="false">N22+N23+N24+N25+N26+N27</f>
        <v>824.062647062242</v>
      </c>
      <c r="O28" s="13" t="n">
        <f aca="false">O22+O23+O24+O25+O26+O27</f>
        <v>999.273052039646</v>
      </c>
      <c r="P28" s="13" t="n">
        <f aca="false">P22+P23+P24+P25+P26+P27</f>
        <v>984.760812290549</v>
      </c>
      <c r="Q28" s="13" t="n">
        <f aca="false">Q22+Q23+Q24+Q25+Q26+Q27</f>
        <v>973.911140050966</v>
      </c>
      <c r="R28" s="13" t="n">
        <f aca="false">R22+R23+R24+R25+R26+R27</f>
        <v>960.498486825285</v>
      </c>
      <c r="S28" s="13" t="n">
        <f aca="false">S22+S23+S24+S25+S26+S27</f>
        <v>949.747342477787</v>
      </c>
      <c r="T28" s="13" t="n">
        <f aca="false">T22+T23+T24+T25+T26+T27</f>
        <v>936.733379669234</v>
      </c>
      <c r="U28" s="13" t="n">
        <f aca="false">U22+U23+U24+U25+U26+U27</f>
        <v>925.788839162765</v>
      </c>
      <c r="V28" s="13" t="n">
        <f aca="false">V22+V23+V24+V25+V26+V27</f>
        <v>909.311980729902</v>
      </c>
      <c r="W28" s="13" t="n">
        <f aca="false">W22+W23+W24+W25+W26+W27</f>
        <v>896.69672481225</v>
      </c>
      <c r="X28" s="13" t="n">
        <f aca="false">X22+X23+X24+X25+X26+X27</f>
        <v>885.418399654621</v>
      </c>
      <c r="Y28" s="13" t="n">
        <f aca="false">Y22+Y23+Y24+Y25+Y26+Y27</f>
        <v>873.782569665193</v>
      </c>
      <c r="Z28" s="13" t="n">
        <f aca="false">Z22+Z23+Z24+Z25+Z26+Z27</f>
        <v>855.082627914732</v>
      </c>
      <c r="AA28" s="13" t="n">
        <f aca="false">AA22+AA23+AA24+AA25+AA26+AA27</f>
        <v>838.829592220119</v>
      </c>
      <c r="AB28" s="13" t="n">
        <f aca="false">AB22+AB23+AB24+AB25+AB26+AB27</f>
        <v>819.685301146586</v>
      </c>
      <c r="AC28" s="13" t="n">
        <f aca="false">AC22+AC23+AC24+AC25+AC26+AC27</f>
        <v>802.709783652261</v>
      </c>
      <c r="AD28" s="13" t="n">
        <f aca="false">AD22+AD23+AD24+AD25+AD26+AD27</f>
        <v>769.508816386041</v>
      </c>
      <c r="AE28" s="13" t="n">
        <f aca="false">AE22+AE23+AE24+AE25+AE26+AE27</f>
        <v>751.368029247652</v>
      </c>
      <c r="AF28" s="13" t="n">
        <f aca="false">AF22+AF23+AF24+AF25+AF26+AF27</f>
        <v>730.665965975105</v>
      </c>
      <c r="AG28" s="13" t="n">
        <f aca="false">AG22+AG23+AG24+AG25+AG26+AG27</f>
        <v>710.17399026518</v>
      </c>
      <c r="AH28" s="13" t="n">
        <f aca="false">AH22+AH23+AH24+AH25+AH26+AH27</f>
        <v>686.566590786434</v>
      </c>
      <c r="AI28" s="13" t="n">
        <f aca="false">AI22+AI23+AI24+AI25+AI26+AI27</f>
        <v>664.926514246662</v>
      </c>
      <c r="AJ28" s="13" t="n">
        <f aca="false">AJ22+AJ23+AJ24+AJ25+AJ26+AJ27</f>
        <v>640.305360389639</v>
      </c>
      <c r="AK28" s="13" t="n">
        <f aca="false">AK22+AK23+AK24+AK25+AK26+AK27</f>
        <v>616.414505416819</v>
      </c>
      <c r="AL28" s="13" t="n">
        <f aca="false">AL22+AL23+AL24+AL25+AL26+AL27</f>
        <v>585.900681130058</v>
      </c>
      <c r="AM28" s="13" t="n">
        <f aca="false">AM22+AM23+AM24+AM25+AM26+AM27</f>
        <v>556.247565540236</v>
      </c>
      <c r="AN28" s="13" t="n">
        <f aca="false">AN22+AN23+AN24+AN25+AN26+AN27</f>
        <v>533.116848469255</v>
      </c>
      <c r="AO28" s="13" t="n">
        <f aca="false">AO22+AO23+AO24+AO25+AO26+AO27</f>
        <v>491.873012567616</v>
      </c>
      <c r="AP28" s="13" t="n">
        <f aca="false">AP22+AP23+AP24+AP25+AP26+AP27</f>
        <v>475.092422470962</v>
      </c>
      <c r="AQ28" s="13" t="n">
        <f aca="false">AQ22+AQ23+AQ24+AQ25+AQ26+AQ27</f>
        <v>460.577719135929</v>
      </c>
      <c r="AR28" s="13" t="n">
        <f aca="false">AR22+AR23+AR24+AR25+AR26+AR27</f>
        <v>444.143915546579</v>
      </c>
      <c r="AS28" s="13" t="n">
        <f aca="false">AS22+AS23+AS24+AS25+AS26+AS27</f>
        <v>428.796983019024</v>
      </c>
      <c r="AT28" s="13" t="n">
        <f aca="false">AT22+AT23+AT24+AT25+AT26+AT27</f>
        <v>394.719083087206</v>
      </c>
      <c r="AU28" s="13" t="n">
        <f aca="false">AU22+AU23+AU24+AU25+AU26+AU27</f>
        <v>378.543555250535</v>
      </c>
      <c r="AV28" s="13" t="n">
        <f aca="false">AV22+AV23+AV24+AV25+AV26+AV27</f>
        <v>361.221458680588</v>
      </c>
      <c r="AW28" s="13" t="n">
        <f aca="false">AW22+AW23+AW24+AW25+AW26+AW27</f>
        <v>344.842914990539</v>
      </c>
      <c r="AX28" s="13" t="n">
        <f aca="false">AX22+AX23+AX24+AX25+AX26+AX27</f>
        <v>326.251888084767</v>
      </c>
      <c r="AY28" s="13" t="n">
        <f aca="false">AY22+AY23+AY24+AY25+AY26+AY27</f>
        <v>310.082778360732</v>
      </c>
      <c r="AZ28" s="13" t="n">
        <f aca="false">AZ22+AZ23+AZ24+AZ25+AZ26+AZ27</f>
        <v>291.866234302736</v>
      </c>
      <c r="BA28" s="13" t="n">
        <f aca="false">BA22+BA23+BA24+BA25+BA26+BA27</f>
        <v>275.507581708631</v>
      </c>
      <c r="BB28" s="13" t="n">
        <f aca="false">BB22+BB23+BB24+BB25+BB26+BB27</f>
        <v>254.029038593324</v>
      </c>
      <c r="BC28" s="13" t="n">
        <f aca="false">BC22+BC23+BC24+BC25+BC26+BC27</f>
        <v>239.076735977498</v>
      </c>
      <c r="BD28" s="13" t="n">
        <f aca="false">BD22+BD23+BD24+BD25+BD26+BD27</f>
        <v>225.107668144129</v>
      </c>
      <c r="BE28" s="13" t="n">
        <f aca="false">BE22+BE23+BE24+BE25+BE26+BE27</f>
        <v>212.580266401688</v>
      </c>
      <c r="BF28" s="13" t="n">
        <f aca="false">BF22+BF23+BF24+BF25+BF26+BF27</f>
        <v>197.705529259822</v>
      </c>
      <c r="BG28" s="13" t="n">
        <f aca="false">BG22+BG23+BG24+BG25+BG26+BG27</f>
        <v>185.438420608284</v>
      </c>
      <c r="BH28" s="13" t="n">
        <f aca="false">BH22+BH23+BH24+BH25+BH26+BH27</f>
        <v>171.002552108276</v>
      </c>
      <c r="BI28" s="13" t="n">
        <f aca="false">BI22+BI23+BI24+BI25+BI26+BI27</f>
        <v>157.80820717233</v>
      </c>
      <c r="BJ28" s="13" t="n">
        <f aca="false">BJ22+BJ23+BJ24+BJ25+BJ26+BJ27</f>
        <v>122.450475871045</v>
      </c>
      <c r="BK28" s="13" t="n">
        <f aca="false">BK22+BK23+BK24+BK25+BK26+BK27</f>
        <v>108.239288182401</v>
      </c>
      <c r="BL28" s="13" t="n">
        <f aca="false">BL22+BL23+BL24+BL25+BL26+BL27</f>
        <v>92.0946949053318</v>
      </c>
      <c r="BM28" s="13" t="n">
        <f aca="false">BM22+BM23+BM24+BM25+BM26+BM27</f>
        <v>-1.84741111297626E-013</v>
      </c>
      <c r="BN28" s="13" t="n">
        <f aca="false">BN22+BN23+BN24+BN25+BN26+BN27</f>
        <v>-1.84741111297626E-013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1.84741111297626E-013</v>
      </c>
      <c r="BN29" s="13" t="n">
        <f aca="false">BN21-BN28</f>
        <v>1.84741111297626E-013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2617.84263572868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50.6527714698497</v>
      </c>
      <c r="Q32" s="18" t="n">
        <f aca="false">Operations!Q84</f>
        <v>50.8680984114992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-246.466637591578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-0.382320018205603</v>
      </c>
      <c r="AP33" s="13" t="n">
        <f aca="false">-Tax!AP27</f>
        <v>-0.383928865419879</v>
      </c>
      <c r="AQ33" s="13" t="n">
        <f aca="false">-Tax!AQ27</f>
        <v>-0.38603288955021</v>
      </c>
      <c r="AR33" s="13" t="n">
        <f aca="false">-Tax!AR27</f>
        <v>-0.388322975302412</v>
      </c>
      <c r="AS33" s="13" t="n">
        <f aca="false">-Tax!AS27</f>
        <v>-0.389386468394401</v>
      </c>
      <c r="AT33" s="13" t="n">
        <f aca="false">-Tax!AT27</f>
        <v>-0.384595426140167</v>
      </c>
      <c r="AU33" s="13" t="n">
        <f aca="false">-Tax!AU27</f>
        <v>-6.85434128562991</v>
      </c>
      <c r="AV33" s="13" t="n">
        <f aca="false">-Tax!AV27</f>
        <v>-9.81524059779141</v>
      </c>
      <c r="AW33" s="13" t="n">
        <f aca="false">-Tax!AW27</f>
        <v>-9.86472066206297</v>
      </c>
      <c r="AX33" s="13" t="n">
        <f aca="false">-Tax!AX27</f>
        <v>-9.92245767095081</v>
      </c>
      <c r="AY33" s="13" t="n">
        <f aca="false">-Tax!AY27</f>
        <v>-9.95952409476036</v>
      </c>
      <c r="AZ33" s="13" t="n">
        <f aca="false">-Tax!AZ27</f>
        <v>-9.99098166865214</v>
      </c>
      <c r="BA33" s="13" t="n">
        <f aca="false">-Tax!BA27</f>
        <v>-10.0603531474913</v>
      </c>
      <c r="BB33" s="13" t="n">
        <f aca="false">-Tax!BB27</f>
        <v>-9.09592530242087</v>
      </c>
      <c r="BC33" s="13" t="n">
        <f aca="false">-Tax!BC27</f>
        <v>-12.2844055275925</v>
      </c>
      <c r="BD33" s="13" t="n">
        <f aca="false">-Tax!BD27</f>
        <v>-16.4931588030291</v>
      </c>
      <c r="BE33" s="13" t="n">
        <f aca="false">-Tax!BE27</f>
        <v>-16.5466577892961</v>
      </c>
      <c r="BF33" s="13" t="n">
        <f aca="false">-Tax!BF27</f>
        <v>-16.6098127521671</v>
      </c>
      <c r="BG33" s="13" t="n">
        <f aca="false">-Tax!BG27</f>
        <v>-16.6494965379168</v>
      </c>
      <c r="BH33" s="13" t="n">
        <f aca="false">-Tax!BH27</f>
        <v>-16.6834414677181</v>
      </c>
      <c r="BI33" s="13" t="n">
        <f aca="false">-Tax!BI27</f>
        <v>-16.7754202483609</v>
      </c>
      <c r="BJ33" s="13" t="n">
        <f aca="false">-Tax!BJ27</f>
        <v>-11.5535384650392</v>
      </c>
      <c r="BK33" s="13" t="n">
        <f aca="false">-Tax!BK27</f>
        <v>-16.920802388265</v>
      </c>
      <c r="BL33" s="13" t="n">
        <f aca="false">-Tax!BL27</f>
        <v>-16.8814460698417</v>
      </c>
      <c r="BM33" s="13" t="n">
        <f aca="false">-Tax!BM27</f>
        <v>-5.56726383764163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5.885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23.8577948157232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2377.2609981371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50.272094271267</v>
      </c>
      <c r="Q36" s="13" t="n">
        <f aca="false">Q32+Q33+Q34+Q35</f>
        <v>50.1606970752772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51.0636231523816</v>
      </c>
      <c r="AO36" s="13" t="n">
        <f aca="false">AO32+AO33+AO34+AO35</f>
        <v>50.6913261501648</v>
      </c>
      <c r="AP36" s="13" t="n">
        <f aca="false">AP32+AP33+AP34+AP35</f>
        <v>51.3901970401744</v>
      </c>
      <c r="AQ36" s="13" t="n">
        <f aca="false">AQ32+AQ33+AQ34+AQ35</f>
        <v>50.9756781429533</v>
      </c>
      <c r="AR36" s="13" t="n">
        <f aca="false">AR32+AR33+AR34+AR35</f>
        <v>51.5989019777388</v>
      </c>
      <c r="AS36" s="13" t="n">
        <f aca="false">AS32+AS33+AS34+AS35</f>
        <v>51.4095269231289</v>
      </c>
      <c r="AT36" s="13" t="n">
        <f aca="false">AT32+AT33+AT34+AT35</f>
        <v>53.7294617386417</v>
      </c>
      <c r="AU36" s="13" t="n">
        <f aca="false">AU32+AU33+AU34+AU35</f>
        <v>47.3625342674678</v>
      </c>
      <c r="AV36" s="13" t="n">
        <f aca="false">AV32+AV33+AV34+AV35</f>
        <v>44.4949406345085</v>
      </c>
      <c r="AW36" s="13" t="n">
        <f aca="false">AW32+AW33+AW34+AW35</f>
        <v>44.0705558465721</v>
      </c>
      <c r="AX36" s="13" t="n">
        <f aca="false">AX32+AX33+AX34+AX35</f>
        <v>44.7453958769118</v>
      </c>
      <c r="AY36" s="13" t="n">
        <f aca="false">AY32+AY33+AY34+AY35</f>
        <v>44.2884733903584</v>
      </c>
      <c r="AZ36" s="13" t="n">
        <f aca="false">AZ32+AZ33+AZ34+AZ35</f>
        <v>44.9063635302614</v>
      </c>
      <c r="BA36" s="13" t="n">
        <f aca="false">BA32+BA33+BA34+BA35</f>
        <v>44.608719198809</v>
      </c>
      <c r="BB36" s="13" t="n">
        <f aca="false">BB32+BB33+BB34+BB35</f>
        <v>46.8558810727021</v>
      </c>
      <c r="BC36" s="13" t="n">
        <f aca="false">BC32+BC33+BC34+BC35</f>
        <v>43.2747431010597</v>
      </c>
      <c r="BD36" s="13" t="n">
        <f aca="false">BD32+BD33+BD34+BD35</f>
        <v>36.8114755493917</v>
      </c>
      <c r="BE36" s="13" t="n">
        <f aca="false">BE32+BE33+BE34+BE35</f>
        <v>36.3784981438697</v>
      </c>
      <c r="BF36" s="13" t="n">
        <f aca="false">BF32+BF33+BF34+BF35</f>
        <v>37.0828002690537</v>
      </c>
      <c r="BG36" s="13" t="n">
        <f aca="false">BG32+BG33+BG34+BG35</f>
        <v>36.6151688886859</v>
      </c>
      <c r="BH36" s="13" t="n">
        <f aca="false">BH32+BH33+BH34+BH35</f>
        <v>37.2563330093593</v>
      </c>
      <c r="BI36" s="13" t="n">
        <f aca="false">BI32+BI33+BI34+BI35</f>
        <v>36.9952324489954</v>
      </c>
      <c r="BJ36" s="13" t="n">
        <f aca="false">BJ32+BJ33+BJ34+BJ35</f>
        <v>45.019043742144</v>
      </c>
      <c r="BK36" s="13" t="n">
        <f aca="false">BK32+BK33+BK34+BK35</f>
        <v>39.7694012343035</v>
      </c>
      <c r="BL36" s="13" t="n">
        <f aca="false">BL32+BL33+BL34+BL35</f>
        <v>40.5175523574444</v>
      </c>
      <c r="BM36" s="13" t="n">
        <f aca="false">BM32+BM33+BM34+BM35</f>
        <v>37.4586386098759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-956.253417171259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-40.8397629577698</v>
      </c>
      <c r="Q37" s="13" t="n">
        <f aca="false">-(Debt!Q114+Debt!Q110)</f>
        <v>-40.7338347059295</v>
      </c>
      <c r="R37" s="13" t="n">
        <f aca="false">-(Debt!R114+Debt!R110)</f>
        <v>-41.2567859332599</v>
      </c>
      <c r="S37" s="13" t="n">
        <f aca="false">-(Debt!S114+Debt!S110)</f>
        <v>-40.9268485243983</v>
      </c>
      <c r="T37" s="13" t="n">
        <f aca="false">-(Debt!T114+Debt!T110)</f>
        <v>-41.394399963132</v>
      </c>
      <c r="U37" s="13" t="n">
        <f aca="false">-(Debt!U114+Debt!U110)</f>
        <v>-41.1878277616224</v>
      </c>
      <c r="V37" s="13" t="n">
        <f aca="false">-(Debt!V114+Debt!V110)</f>
        <v>-41.9787510895358</v>
      </c>
      <c r="W37" s="13" t="n">
        <f aca="false">-(Debt!W114+Debt!W110)</f>
        <v>-41.6770109428763</v>
      </c>
      <c r="X37" s="13" t="n">
        <f aca="false">-(Debt!X114+Debt!X110)</f>
        <v>-40.4844123042689</v>
      </c>
      <c r="Y37" s="13" t="n">
        <f aca="false">-(Debt!Y114+Debt!Y110)</f>
        <v>-40.0830394775341</v>
      </c>
      <c r="Z37" s="13" t="n">
        <f aca="false">-(Debt!Z114+Debt!Z110)</f>
        <v>-40.4200347092617</v>
      </c>
      <c r="AA37" s="13" t="n">
        <f aca="false">-(Debt!AA114+Debt!AA110)</f>
        <v>-40.0843659159373</v>
      </c>
      <c r="AB37" s="13" t="n">
        <f aca="false">-(Debt!AB114+Debt!AB110)</f>
        <v>-40.1276287674298</v>
      </c>
      <c r="AC37" s="13" t="n">
        <f aca="false">-(Debt!AC114+Debt!AC110)</f>
        <v>-39.4180982681942</v>
      </c>
      <c r="AD37" s="13" t="n">
        <f aca="false">-(Debt!AD114+Debt!AD110)</f>
        <v>-40.3848552879583</v>
      </c>
      <c r="AE37" s="13" t="n">
        <f aca="false">-(Debt!AE114+Debt!AE110)</f>
        <v>-39.7207091967638</v>
      </c>
      <c r="AF37" s="13" t="n">
        <f aca="false">-(Debt!AF114+Debt!AF110)</f>
        <v>-38.9975253636837</v>
      </c>
      <c r="AG37" s="13" t="n">
        <f aca="false">-(Debt!AG114+Debt!AG110)</f>
        <v>-37.6728380619192</v>
      </c>
      <c r="AH37" s="13" t="n">
        <f aca="false">-(Debt!AH114+Debt!AH110)</f>
        <v>-36.9689831651859</v>
      </c>
      <c r="AI37" s="13" t="n">
        <f aca="false">-(Debt!AI114+Debt!AI110)</f>
        <v>-35.179027788249</v>
      </c>
      <c r="AJ37" s="13" t="n">
        <f aca="false">-(Debt!AJ114+Debt!AJ110)</f>
        <v>-33.6861347862783</v>
      </c>
      <c r="AK37" s="13" t="n">
        <f aca="false">-(Debt!AK114+Debt!AK110)</f>
        <v>-30.9601897757425</v>
      </c>
      <c r="AL37" s="13" t="n">
        <f aca="false">-(Debt!AL114+Debt!AL110)</f>
        <v>-27.8594113484004</v>
      </c>
      <c r="AM37" s="13" t="n">
        <f aca="false">-(Debt!AM114+Debt!AM110)</f>
        <v>-23.8436696752136</v>
      </c>
      <c r="AN37" s="13" t="n">
        <f aca="false">-(Debt!AN114+Debt!AN110)</f>
        <v>-20.6274080042259</v>
      </c>
      <c r="AO37" s="13" t="n">
        <f aca="false">-(Debt!AO114+Debt!AO110)</f>
        <v>-19.7398633964885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-88.8668638416076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-4.40652449517368</v>
      </c>
      <c r="AB43" s="13" t="n">
        <f aca="false">-(Waterfall!AB28+Waterfall!AB29)</f>
        <v>-5.21721017549682</v>
      </c>
      <c r="AC43" s="13" t="n">
        <f aca="false">-(Waterfall!AC28+Waterfall!AC29)</f>
        <v>-4.68389470643536</v>
      </c>
      <c r="AD43" s="13" t="n">
        <f aca="false">-(Waterfall!AD28+Waterfall!AD29)</f>
        <v>-5.87853712438882</v>
      </c>
      <c r="AE43" s="13" t="n">
        <f aca="false">-(Waterfall!AE28+Waterfall!AE29)</f>
        <v>-6.31352269323191</v>
      </c>
      <c r="AF43" s="13" t="n">
        <f aca="false">-(Waterfall!AF28+Waterfall!AF29)</f>
        <v>-7.02678272072754</v>
      </c>
      <c r="AG43" s="13" t="n">
        <f aca="false">-(Waterfall!AG28+Waterfall!AG29)</f>
        <v>-7.20728902525059</v>
      </c>
      <c r="AH43" s="13" t="n">
        <f aca="false">-(Waterfall!AH28+Waterfall!AH29)</f>
        <v>-8.34528340446757</v>
      </c>
      <c r="AI43" s="13" t="n">
        <f aca="false">-(Waterfall!AI28+Waterfall!AI29)</f>
        <v>-8.8745354296356</v>
      </c>
      <c r="AJ43" s="13" t="n">
        <f aca="false">-(Waterfall!AJ28+Waterfall!AJ29)</f>
        <v>-10.3635081717974</v>
      </c>
      <c r="AK43" s="13" t="n">
        <f aca="false">-(Waterfall!AK28+Waterfall!AK29)</f>
        <v>-11.5914834251414</v>
      </c>
      <c r="AL43" s="13" t="n">
        <f aca="false">-(Waterfall!AL28+Waterfall!AL29)</f>
        <v>-8.95829246986084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-578.815519305185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-11.4105067631606</v>
      </c>
      <c r="Q44" s="13" t="n">
        <f aca="false">-(Waterfall!Q34+Waterfall!Q35)</f>
        <v>-8.90391114201729</v>
      </c>
      <c r="R44" s="13" t="n">
        <f aca="false">-(Waterfall!R34+Waterfall!R35)</f>
        <v>-9.86661134866095</v>
      </c>
      <c r="S44" s="13" t="n">
        <f aca="false">-(Waterfall!S34+Waterfall!S35)</f>
        <v>-9.00557190556034</v>
      </c>
      <c r="T44" s="13" t="n">
        <f aca="false">-(Waterfall!T34+Waterfall!T35)</f>
        <v>-9.7763162483578</v>
      </c>
      <c r="U44" s="13" t="n">
        <f aca="false">-(Waterfall!U34+Waterfall!U35)</f>
        <v>-8.74168413334744</v>
      </c>
      <c r="V44" s="13" t="n">
        <f aca="false">-(Waterfall!V34+Waterfall!V35)</f>
        <v>-10.0116813789061</v>
      </c>
      <c r="W44" s="13" t="n">
        <f aca="false">-(Waterfall!W34+Waterfall!W35)</f>
        <v>-10.8469447239185</v>
      </c>
      <c r="X44" s="13" t="n">
        <f aca="false">-(Waterfall!X34+Waterfall!X35)</f>
        <v>-9.76813387714838</v>
      </c>
      <c r="Y44" s="13" t="n">
        <f aca="false">-(Waterfall!Y34+Waterfall!Y35)</f>
        <v>-8.94999455387668</v>
      </c>
      <c r="Z44" s="13" t="n">
        <f aca="false">-(Waterfall!Z34+Waterfall!Z35)</f>
        <v>-9.69197428421597</v>
      </c>
      <c r="AA44" s="13" t="n">
        <f aca="false">-(Waterfall!AA34+Waterfall!AA35)</f>
        <v>-4.40652449517368</v>
      </c>
      <c r="AB44" s="13" t="n">
        <f aca="false">-(Waterfall!AB34+Waterfall!AB35)</f>
        <v>-5.21721017549682</v>
      </c>
      <c r="AC44" s="13" t="n">
        <f aca="false">-(Waterfall!AC34+Waterfall!AC35)</f>
        <v>-4.68389470643536</v>
      </c>
      <c r="AD44" s="13" t="n">
        <f aca="false">-(Waterfall!AD34+Waterfall!AD35)</f>
        <v>-5.87853712438882</v>
      </c>
      <c r="AE44" s="13" t="n">
        <f aca="false">-(Waterfall!AE34+Waterfall!AE35)</f>
        <v>-6.31352269323191</v>
      </c>
      <c r="AF44" s="13" t="n">
        <f aca="false">-(Waterfall!AF34+Waterfall!AF35)</f>
        <v>-7.02678272072754</v>
      </c>
      <c r="AG44" s="13" t="n">
        <f aca="false">-(Waterfall!AG34+Waterfall!AG35)</f>
        <v>-7.20728902525059</v>
      </c>
      <c r="AH44" s="13" t="n">
        <f aca="false">-(Waterfall!AH34+Waterfall!AH35)</f>
        <v>-8.34528340446757</v>
      </c>
      <c r="AI44" s="13" t="n">
        <f aca="false">-(Waterfall!AI34+Waterfall!AI35)</f>
        <v>-8.8745354296356</v>
      </c>
      <c r="AJ44" s="13" t="n">
        <f aca="false">-(Waterfall!AJ34+Waterfall!AJ35)</f>
        <v>-10.3635081717974</v>
      </c>
      <c r="AK44" s="13" t="n">
        <f aca="false">-(Waterfall!AK34+Waterfall!AK35)</f>
        <v>-11.5914834251414</v>
      </c>
      <c r="AL44" s="13" t="n">
        <f aca="false">-(Waterfall!AL34+Waterfall!AL35)</f>
        <v>-20.3064826054374</v>
      </c>
      <c r="AM44" s="13" t="n">
        <f aca="false">-(Waterfall!AM34+Waterfall!AM35)</f>
        <v>-36.1614928451774</v>
      </c>
      <c r="AN44" s="13" t="n">
        <f aca="false">-(Waterfall!AN34+Waterfall!AN35)</f>
        <v>-31.3237597558931</v>
      </c>
      <c r="AO44" s="13" t="n">
        <f aca="false">-(Waterfall!AO34+Waterfall!AO35)</f>
        <v>-50.6913261501648</v>
      </c>
      <c r="AP44" s="13" t="n">
        <f aca="false">-(Waterfall!AP34+Waterfall!AP35)</f>
        <v>-51.3901970401744</v>
      </c>
      <c r="AQ44" s="13" t="n">
        <f aca="false">-(Waterfall!AQ34+Waterfall!AQ35)</f>
        <v>-50.9756781429533</v>
      </c>
      <c r="AR44" s="13" t="n">
        <f aca="false">-(Waterfall!AR34+Waterfall!AR35)</f>
        <v>-51.5989019777388</v>
      </c>
      <c r="AS44" s="13" t="n">
        <f aca="false">-(Waterfall!AS34+Waterfall!AS35)</f>
        <v>-51.4095269231289</v>
      </c>
      <c r="AT44" s="13" t="n">
        <f aca="false">-(Waterfall!AT34+Waterfall!AT35)</f>
        <v>-48.0762521335998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-794.164960776816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-0</v>
      </c>
      <c r="AT45" s="13" t="n">
        <f aca="false">-Waterfall!AT41</f>
        <v>-5.65320960504187</v>
      </c>
      <c r="AU45" s="13" t="n">
        <f aca="false">-Waterfall!AU41</f>
        <v>-47.3625342674678</v>
      </c>
      <c r="AV45" s="13" t="n">
        <f aca="false">-Waterfall!AV41</f>
        <v>-44.4949406345085</v>
      </c>
      <c r="AW45" s="13" t="n">
        <f aca="false">-Waterfall!AW41</f>
        <v>-44.0705558465721</v>
      </c>
      <c r="AX45" s="13" t="n">
        <f aca="false">-Waterfall!AX41</f>
        <v>-44.7453958769118</v>
      </c>
      <c r="AY45" s="13" t="n">
        <f aca="false">-Waterfall!AY41</f>
        <v>-44.2884733903584</v>
      </c>
      <c r="AZ45" s="13" t="n">
        <f aca="false">-Waterfall!AZ41</f>
        <v>-44.9063635302614</v>
      </c>
      <c r="BA45" s="13" t="n">
        <f aca="false">-Waterfall!BA41</f>
        <v>-44.1137508122003</v>
      </c>
      <c r="BB45" s="13" t="n">
        <f aca="false">-Waterfall!BB41</f>
        <v>-45.3547308180577</v>
      </c>
      <c r="BC45" s="13" t="n">
        <f aca="false">-Waterfall!BC41</f>
        <v>-41.7571700277175</v>
      </c>
      <c r="BD45" s="13" t="n">
        <f aca="false">-Waterfall!BD41</f>
        <v>-35.2772999891451</v>
      </c>
      <c r="BE45" s="13" t="n">
        <f aca="false">-Waterfall!BE41</f>
        <v>-34.8275384629139</v>
      </c>
      <c r="BF45" s="13" t="n">
        <f aca="false">-Waterfall!BF41</f>
        <v>-35.5148728464817</v>
      </c>
      <c r="BG45" s="13" t="n">
        <f aca="false">-Waterfall!BG41</f>
        <v>-35.0300880947491</v>
      </c>
      <c r="BH45" s="13" t="n">
        <f aca="false">-Waterfall!BH41</f>
        <v>-35.6539111834907</v>
      </c>
      <c r="BI45" s="13" t="n">
        <f aca="false">-Waterfall!BI41</f>
        <v>-35.375279877592</v>
      </c>
      <c r="BJ45" s="13" t="n">
        <f aca="false">-Waterfall!BJ41</f>
        <v>-43.3813686361063</v>
      </c>
      <c r="BK45" s="13" t="n">
        <f aca="false">-Waterfall!BK41</f>
        <v>-38.1138097063292</v>
      </c>
      <c r="BL45" s="13" t="n">
        <f aca="false">-Waterfall!BL41</f>
        <v>-38.8438483990739</v>
      </c>
      <c r="BM45" s="13" t="n">
        <f aca="false">-Waterfall!BM41</f>
        <v>-55.3998187718369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40.8397629577698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40.8397629577698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42.7120101555928</v>
      </c>
      <c r="P49" s="13" t="n">
        <f aca="false">P36+P37+P38+P39+P40+P41+P42+P43+P44+P45+P46+P47+P48</f>
        <v>-1.5619071472085</v>
      </c>
      <c r="Q49" s="13" t="n">
        <f aca="false">Q36+Q37+Q38+Q39+Q40+Q41+Q42+Q43+Q44+Q45+Q46+Q47+Q48</f>
        <v>0.939219529785333</v>
      </c>
      <c r="R49" s="13" t="n">
        <f aca="false">R36+R37+R38+R39+R40+R41+R42+R43+R44+R45+R46+R47+R48</f>
        <v>0.0863308935931784</v>
      </c>
      <c r="S49" s="13" t="n">
        <f aca="false">S36+S37+S38+S39+S40+S41+S42+S43+S44+S45+S46+S47+S48</f>
        <v>0.883819741188574</v>
      </c>
      <c r="T49" s="13" t="n">
        <f aca="false">T36+T37+T38+T39+T40+T41+T42+T43+T44+T45+T46+T47+T48</f>
        <v>0.209696100945251</v>
      </c>
      <c r="U49" s="13" t="n">
        <f aca="false">U36+U37+U38+U39+U40+U41+U42+U43+U44+U45+U46+U47+U48</f>
        <v>1.20719163036826</v>
      </c>
      <c r="V49" s="13" t="n">
        <f aca="false">V36+V37+V38+V39+V40+V41+V42+V43+V44+V45+V46+V47+V48</f>
        <v>-2.79934996138866</v>
      </c>
      <c r="W49" s="13" t="n">
        <f aca="false">W36+W37+W38+W39+W40+W41+W42+W43+W44+W45+W46+W47+W48</f>
        <v>-1.19259863860736</v>
      </c>
      <c r="X49" s="13" t="n">
        <f aca="false">X36+X37+X38+X39+X40+X41+X42+X43+X44+X45+X46+X47+X48</f>
        <v>1.5713697168987</v>
      </c>
      <c r="Y49" s="13" t="n">
        <f aca="false">Y36+Y37+Y38+Y39+Y40+Y41+Y42+Y43+Y44+Y45+Y46+Y47+Y48</f>
        <v>2.30973777536106</v>
      </c>
      <c r="Z49" s="13" t="n">
        <f aca="false">Z36+Z37+Z38+Z39+Z40+Z41+Z42+Z43+Z44+Z45+Z46+Z47+Z48</f>
        <v>1.63707375030908</v>
      </c>
      <c r="AA49" s="13" t="n">
        <f aca="false">AA36+AA37+AA38+AA39+AA40+AA41+AA42+AA43+AA44+AA45+AA46+AA47+AA48</f>
        <v>2.45061556914207</v>
      </c>
      <c r="AB49" s="13" t="n">
        <f aca="false">AB36+AB37+AB38+AB39+AB40+AB41+AB42+AB43+AB44+AB45+AB46+AB47+AB48</f>
        <v>1.36710408169103</v>
      </c>
      <c r="AC49" s="13" t="n">
        <f aca="false">AC36+AC37+AC38+AC39+AC40+AC41+AC42+AC43+AC44+AC45+AC46+AC47+AC48</f>
        <v>2.93830930525834</v>
      </c>
      <c r="AD49" s="13" t="n">
        <f aca="false">AD36+AD37+AD38+AD39+AD40+AD41+AD42+AD43+AD44+AD45+AD46+AD47+AD48</f>
        <v>-12.3158421157976</v>
      </c>
      <c r="AE49" s="13" t="n">
        <f aca="false">AE36+AE37+AE38+AE39+AE40+AE41+AE42+AE43+AE44+AE45+AE46+AE47+AE48</f>
        <v>-0.601922645560791</v>
      </c>
      <c r="AF49" s="13" t="n">
        <f aca="false">AF36+AF37+AF38+AF39+AF40+AF41+AF42+AF43+AF44+AF45+AF46+AF47+AF48</f>
        <v>-0.648977197429997</v>
      </c>
      <c r="AG49" s="13" t="n">
        <f aca="false">AG36+AG37+AG38+AG39+AG40+AG41+AG42+AG43+AG44+AG45+AG46+AG47+AG48</f>
        <v>-0.0527090055974616</v>
      </c>
      <c r="AH49" s="13" t="n">
        <f aca="false">AH36+AH37+AH38+AH39+AH40+AH41+AH42+AH43+AH44+AH45+AH46+AH47+AH48</f>
        <v>-0.955377341021835</v>
      </c>
      <c r="AI49" s="13" t="n">
        <f aca="false">AI36+AI37+AI38+AI39+AI40+AI41+AI42+AI43+AI44+AI45+AI46+AI47+AI48</f>
        <v>-0.631429942086297</v>
      </c>
      <c r="AJ49" s="13" t="n">
        <f aca="false">AJ36+AJ37+AJ38+AJ39+AJ40+AJ41+AJ42+AJ43+AJ44+AJ45+AJ46+AJ47+AJ48</f>
        <v>-1.51512488631855</v>
      </c>
      <c r="AK49" s="13" t="n">
        <f aca="false">AK36+AK37+AK38+AK39+AK40+AK41+AK42+AK43+AK44+AK45+AK46+AK47+AK48</f>
        <v>-1.48319573033396</v>
      </c>
      <c r="AL49" s="13" t="n">
        <f aca="false">AL36+AL37+AL38+AL39+AL40+AL41+AL42+AL43+AL44+AL45+AL46+AL47+AL48</f>
        <v>-6.82117814177523</v>
      </c>
      <c r="AM49" s="13" t="n">
        <f aca="false">AM36+AM37+AM38+AM39+AM40+AM41+AM42+AM43+AM44+AM45+AM46+AM47+AM48</f>
        <v>-7.10545749278158</v>
      </c>
      <c r="AN49" s="13" t="n">
        <f aca="false">AN36+AN37+AN38+AN39+AN40+AN41+AN42+AN43+AN44+AN45+AN46+AN47+AN48</f>
        <v>1.46034447774954</v>
      </c>
      <c r="AO49" s="13" t="n">
        <f aca="false">AO36+AO37+AO38+AO39+AO40+AO41+AO42+AO43+AO44+AO45+AO46+AO47+AO48</f>
        <v>-17.3919743110015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-40.8397629577698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-0.105928251840311</v>
      </c>
      <c r="Q50" s="13" t="n">
        <f aca="false">Reserves!Q11-Reserves!Q10-Reserves!Q12</f>
        <v>0.522951227330474</v>
      </c>
      <c r="R50" s="13" t="n">
        <f aca="false">Reserves!R11-Reserves!R10-Reserves!R12</f>
        <v>-0.329937408861682</v>
      </c>
      <c r="S50" s="13" t="n">
        <f aca="false">Reserves!S11-Reserves!S10-Reserves!S12</f>
        <v>0.467551438733715</v>
      </c>
      <c r="T50" s="13" t="n">
        <f aca="false">Reserves!T11-Reserves!T10-Reserves!T12</f>
        <v>-0.206572201509609</v>
      </c>
      <c r="U50" s="13" t="n">
        <f aca="false">Reserves!U11-Reserves!U10-Reserves!U12</f>
        <v>0.790923327913404</v>
      </c>
      <c r="V50" s="13" t="n">
        <f aca="false">Reserves!V11-Reserves!V10-Reserves!V12</f>
        <v>-0.301740146659498</v>
      </c>
      <c r="W50" s="13" t="n">
        <f aca="false">Reserves!W11-Reserves!W10-Reserves!W12</f>
        <v>-1.19259863860736</v>
      </c>
      <c r="X50" s="13" t="n">
        <f aca="false">Reserves!X11-Reserves!X10-Reserves!X12</f>
        <v>-0.401372826734765</v>
      </c>
      <c r="Y50" s="13" t="n">
        <f aca="false">Reserves!Y11-Reserves!Y10-Reserves!Y12</f>
        <v>0.336995231727599</v>
      </c>
      <c r="Z50" s="13" t="n">
        <f aca="false">Reserves!Z11-Reserves!Z10-Reserves!Z12</f>
        <v>-0.335668793324381</v>
      </c>
      <c r="AA50" s="13" t="n">
        <f aca="false">Reserves!AA11-Reserves!AA10-Reserves!AA12</f>
        <v>0.477873025508607</v>
      </c>
      <c r="AB50" s="13" t="n">
        <f aca="false">Reserves!AB11-Reserves!AB10-Reserves!AB12</f>
        <v>-0.605638461942434</v>
      </c>
      <c r="AC50" s="13" t="n">
        <f aca="false">Reserves!AC11-Reserves!AC10-Reserves!AC12</f>
        <v>0.965566761624878</v>
      </c>
      <c r="AD50" s="13" t="n">
        <f aca="false">Reserves!AD11-Reserves!AD10-Reserves!AD12</f>
        <v>-0.479386853996822</v>
      </c>
      <c r="AE50" s="13" t="n">
        <f aca="false">Reserves!AE11-Reserves!AE10-Reserves!AE12</f>
        <v>-0.601922645560791</v>
      </c>
      <c r="AF50" s="13" t="n">
        <f aca="false">Reserves!AF11-Reserves!AF10-Reserves!AF12</f>
        <v>-1.14440515234591</v>
      </c>
      <c r="AG50" s="13" t="n">
        <f aca="false">Reserves!AG11-Reserves!AG10-Reserves!AG12</f>
        <v>-0.548136960513375</v>
      </c>
      <c r="AH50" s="13" t="n">
        <f aca="false">Reserves!AH11-Reserves!AH10-Reserves!AH12</f>
        <v>-1.45080529593775</v>
      </c>
      <c r="AI50" s="13" t="n">
        <f aca="false">Reserves!AI11-Reserves!AI10-Reserves!AI12</f>
        <v>-1.12685789700221</v>
      </c>
      <c r="AJ50" s="13" t="n">
        <f aca="false">Reserves!AJ11-Reserves!AJ10-Reserves!AJ12</f>
        <v>-2.01055284123446</v>
      </c>
      <c r="AK50" s="13" t="n">
        <f aca="false">Reserves!AK11-Reserves!AK10-Reserves!AK12</f>
        <v>-1.97862368524988</v>
      </c>
      <c r="AL50" s="13" t="n">
        <f aca="false">Reserves!AL11-Reserves!AL10-Reserves!AL12</f>
        <v>-3.84861041227974</v>
      </c>
      <c r="AM50" s="13" t="n">
        <f aca="false">Reserves!AM11-Reserves!AM10-Reserves!AM12</f>
        <v>-7.10545749278158</v>
      </c>
      <c r="AN50" s="13" t="n">
        <f aca="false">Reserves!AN11-Reserves!AN10-Reserves!AN12</f>
        <v>-0.8875446077374</v>
      </c>
      <c r="AO50" s="13" t="n">
        <f aca="false">Reserves!AO11-Reserves!AO10-Reserves!AO12</f>
        <v>-19.7398633964885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42.7120101555928</v>
      </c>
      <c r="P51" s="13" t="n">
        <f aca="false">P17-O17</f>
        <v>-1.5619071472085</v>
      </c>
      <c r="Q51" s="13" t="n">
        <f aca="false">Q17-P17</f>
        <v>0.939219529785333</v>
      </c>
      <c r="R51" s="13" t="n">
        <f aca="false">R17-Q17</f>
        <v>0.0863308935931784</v>
      </c>
      <c r="S51" s="13" t="n">
        <f aca="false">S17-R17</f>
        <v>0.883819741188574</v>
      </c>
      <c r="T51" s="13" t="n">
        <f aca="false">T17-S17</f>
        <v>0.209696100945251</v>
      </c>
      <c r="U51" s="13" t="n">
        <f aca="false">U17-T17</f>
        <v>1.20719163036826</v>
      </c>
      <c r="V51" s="13" t="n">
        <f aca="false">V17-U17</f>
        <v>-2.79934996138866</v>
      </c>
      <c r="W51" s="13" t="n">
        <f aca="false">W17-V17</f>
        <v>-1.19259863860736</v>
      </c>
      <c r="X51" s="13" t="n">
        <f aca="false">X17-W17</f>
        <v>1.57136971689869</v>
      </c>
      <c r="Y51" s="13" t="n">
        <f aca="false">Y17-X17</f>
        <v>2.30973777536106</v>
      </c>
      <c r="Z51" s="13" t="n">
        <f aca="false">Z17-Y17</f>
        <v>1.63707375030909</v>
      </c>
      <c r="AA51" s="13" t="n">
        <f aca="false">AA17-Z17</f>
        <v>2.45061556914207</v>
      </c>
      <c r="AB51" s="13" t="n">
        <f aca="false">AB17-AA17</f>
        <v>1.36710408169103</v>
      </c>
      <c r="AC51" s="13" t="n">
        <f aca="false">AC17-AB17</f>
        <v>2.93830930525834</v>
      </c>
      <c r="AD51" s="13" t="n">
        <f aca="false">AD17-AC17</f>
        <v>-12.3158421157976</v>
      </c>
      <c r="AE51" s="13" t="n">
        <f aca="false">AE17-AD17</f>
        <v>-0.601922645560791</v>
      </c>
      <c r="AF51" s="13" t="n">
        <f aca="false">AF17-AE17</f>
        <v>-0.64897719743</v>
      </c>
      <c r="AG51" s="13" t="n">
        <f aca="false">AG17-AF17</f>
        <v>-0.0527090055974568</v>
      </c>
      <c r="AH51" s="13" t="n">
        <f aca="false">AH17-AG17</f>
        <v>-0.955377341021837</v>
      </c>
      <c r="AI51" s="13" t="n">
        <f aca="false">AI17-AH17</f>
        <v>-0.631429942086299</v>
      </c>
      <c r="AJ51" s="13" t="n">
        <f aca="false">AJ17-AI17</f>
        <v>-1.51512488631855</v>
      </c>
      <c r="AK51" s="13" t="n">
        <f aca="false">AK17-AJ17</f>
        <v>-1.48319573033396</v>
      </c>
      <c r="AL51" s="13" t="n">
        <f aca="false">AL17-AK17</f>
        <v>-6.82117814177523</v>
      </c>
      <c r="AM51" s="13" t="n">
        <f aca="false">AM17-AL17</f>
        <v>-7.10545749278158</v>
      </c>
      <c r="AN51" s="13" t="n">
        <f aca="false">AN17-AM17</f>
        <v>1.46034447774954</v>
      </c>
      <c r="AO51" s="13" t="n">
        <f aca="false">AO17-AN17</f>
        <v>-17.3919743110015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-2.44249065417534E-015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-2.44249065417534E-015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0.0344296060693743</v>
      </c>
      <c r="Q7" s="16" t="n">
        <f aca="false">IF(Debt!Q115&gt;Inputs!$F$253,Debt!Q112/Debt!Q115,0)</f>
        <v>0.0341491690048606</v>
      </c>
      <c r="R7" s="16" t="n">
        <f aca="false">IF(Debt!R115&gt;Inputs!$F$253,Debt!R112/Debt!R115,0)</f>
        <v>0.0346106540681673</v>
      </c>
      <c r="S7" s="16" t="n">
        <f aca="false">IF(Debt!S115&gt;Inputs!$F$253,Debt!S112/Debt!S115,0)</f>
        <v>0.0343077269787705</v>
      </c>
      <c r="T7" s="16" t="n">
        <f aca="false">IF(Debt!T115&gt;Inputs!$F$253,Debt!T112/Debt!T115,0)</f>
        <v>0.0347694332635701</v>
      </c>
      <c r="U7" s="16" t="n">
        <f aca="false">IF(Debt!U115&gt;Inputs!$F$253,Debt!U112/Debt!U115,0)</f>
        <v>0.0345767925620686</v>
      </c>
      <c r="V7" s="16" t="n">
        <f aca="false">IF(Debt!V115&gt;Inputs!$F$253,Debt!V112/Debt!V115,0)</f>
        <v>0.0349071352308039</v>
      </c>
      <c r="W7" s="16" t="n">
        <f aca="false">IF(Debt!W115&gt;Inputs!$F$253,Debt!W112/Debt!W115,0)</f>
        <v>0.0345747408595806</v>
      </c>
      <c r="X7" s="16" t="n">
        <f aca="false">IF(Debt!X115&gt;Inputs!$F$253,Debt!X112/Debt!X115,0)</f>
        <v>0.0350309315033187</v>
      </c>
      <c r="Y7" s="16" t="n">
        <f aca="false">IF(Debt!Y115&gt;Inputs!$F$253,Debt!Y112/Debt!Y115,0)</f>
        <v>0.0358217195763315</v>
      </c>
      <c r="Z7" s="16" t="n">
        <f aca="false">IF(Debt!Z115&gt;Inputs!$F$253,Debt!Z112/Debt!Z115,0)</f>
        <v>0.036323923879997</v>
      </c>
      <c r="AA7" s="16" t="n">
        <f aca="false">IF(Debt!AA115&gt;Inputs!$F$253,Debt!AA112/Debt!AA115,0)</f>
        <v>0.0359914951020412</v>
      </c>
      <c r="AB7" s="16" t="n">
        <f aca="false">IF(Debt!AB115&gt;Inputs!$F$253,Debt!AB112/Debt!AB115,0)</f>
        <v>0.0363707972498958</v>
      </c>
      <c r="AC7" s="16" t="n">
        <f aca="false">IF(Debt!AC115&gt;Inputs!$F$253,Debt!AC112/Debt!AC115,0)</f>
        <v>0.0360199780935289</v>
      </c>
      <c r="AD7" s="16" t="n">
        <f aca="false">IF(Debt!AD115&gt;Inputs!$F$253,Debt!AD112/Debt!AD115,0)</f>
        <v>0.0362242056253713</v>
      </c>
      <c r="AE7" s="16" t="n">
        <f aca="false">IF(Debt!AE115&gt;Inputs!$F$253,Debt!AE112/Debt!AE115,0)</f>
        <v>0.0356729851797638</v>
      </c>
      <c r="AF7" s="16" t="n">
        <f aca="false">IF(Debt!AF115&gt;Inputs!$F$253,Debt!AF112/Debt!AF115,0)</f>
        <v>0.0358793537580314</v>
      </c>
      <c r="AG7" s="16" t="n">
        <f aca="false">IF(Debt!AG115&gt;Inputs!$F$253,Debt!AG112/Debt!AG115,0)</f>
        <v>0.0362178680746988</v>
      </c>
      <c r="AH7" s="16" t="n">
        <f aca="false">IF(Debt!AH115&gt;Inputs!$F$253,Debt!AH112/Debt!AH115,0)</f>
        <v>0.0362414120200292</v>
      </c>
      <c r="AI7" s="16" t="n">
        <f aca="false">IF(Debt!AI115&gt;Inputs!$F$253,Debt!AI112/Debt!AI115,0)</f>
        <v>0.0352960538553008</v>
      </c>
      <c r="AJ7" s="16" t="n">
        <f aca="false">IF(Debt!AJ115&gt;Inputs!$F$253,Debt!AJ112/Debt!AJ115,0)</f>
        <v>0.0348811355433016</v>
      </c>
      <c r="AK7" s="16" t="n">
        <f aca="false">IF(Debt!AK115&gt;Inputs!$F$253,Debt!AK112/Debt!AK115,0)</f>
        <v>0.033374316198005</v>
      </c>
      <c r="AL7" s="16" t="n">
        <f aca="false">IF(Debt!AL115&gt;Inputs!$F$253,Debt!AL112/Debt!AL115,0)</f>
        <v>0.0313434130962565</v>
      </c>
      <c r="AM7" s="16" t="n">
        <f aca="false">IF(Debt!AM115&gt;Inputs!$F$253,Debt!AM112/Debt!AM115,0)</f>
        <v>0.0280665446205224</v>
      </c>
      <c r="AN7" s="16" t="n">
        <f aca="false">IF(Debt!AN115&gt;Inputs!$F$253,Debt!AN112/Debt!AN115,0)</f>
        <v>0.0280324960127998</v>
      </c>
      <c r="AO7" s="16" t="n">
        <f aca="false">IF(Debt!AO115&gt;Inputs!$F$253,Debt!AO112/Debt!AO115,0)</f>
        <v>0.0278365383035892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0.0278365383035892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0.0278365383035892</v>
      </c>
      <c r="K10" s="16" t="n">
        <f aca="false">IF(K7&gt;0,K7,$F$9)</f>
        <v>0.0278365383035892</v>
      </c>
      <c r="L10" s="16" t="n">
        <f aca="false">IF(L7&gt;0,L7,$F$9)</f>
        <v>0.0278365383035892</v>
      </c>
      <c r="M10" s="16" t="n">
        <f aca="false">IF(M7&gt;0,M7,$F$9)</f>
        <v>0.0278365383035892</v>
      </c>
      <c r="N10" s="16" t="n">
        <f aca="false">IF(N7&gt;0,N7,$F$9)</f>
        <v>0.0278365383035892</v>
      </c>
      <c r="O10" s="16" t="n">
        <f aca="false">IF(O7&gt;0,O7,$F$9)</f>
        <v>0.0278365383035892</v>
      </c>
      <c r="P10" s="16" t="n">
        <f aca="false">IF(P7&gt;0,P7,$F$9)</f>
        <v>0.0344296060693743</v>
      </c>
      <c r="Q10" s="16" t="n">
        <f aca="false">IF(Q7&gt;0,Q7,$F$9)</f>
        <v>0.0341491690048606</v>
      </c>
      <c r="R10" s="16" t="n">
        <f aca="false">IF(R7&gt;0,R7,$F$9)</f>
        <v>0.0346106540681673</v>
      </c>
      <c r="S10" s="16" t="n">
        <f aca="false">IF(S7&gt;0,S7,$F$9)</f>
        <v>0.0343077269787705</v>
      </c>
      <c r="T10" s="16" t="n">
        <f aca="false">IF(T7&gt;0,T7,$F$9)</f>
        <v>0.0347694332635701</v>
      </c>
      <c r="U10" s="16" t="n">
        <f aca="false">IF(U7&gt;0,U7,$F$9)</f>
        <v>0.0345767925620686</v>
      </c>
      <c r="V10" s="16" t="n">
        <f aca="false">IF(V7&gt;0,V7,$F$9)</f>
        <v>0.0349071352308039</v>
      </c>
      <c r="W10" s="16" t="n">
        <f aca="false">IF(W7&gt;0,W7,$F$9)</f>
        <v>0.0345747408595806</v>
      </c>
      <c r="X10" s="16" t="n">
        <f aca="false">IF(X7&gt;0,X7,$F$9)</f>
        <v>0.0350309315033187</v>
      </c>
      <c r="Y10" s="16" t="n">
        <f aca="false">IF(Y7&gt;0,Y7,$F$9)</f>
        <v>0.0358217195763315</v>
      </c>
      <c r="Z10" s="16" t="n">
        <f aca="false">IF(Z7&gt;0,Z7,$F$9)</f>
        <v>0.036323923879997</v>
      </c>
      <c r="AA10" s="16" t="n">
        <f aca="false">IF(AA7&gt;0,AA7,$F$9)</f>
        <v>0.0359914951020412</v>
      </c>
      <c r="AB10" s="16" t="n">
        <f aca="false">IF(AB7&gt;0,AB7,$F$9)</f>
        <v>0.0363707972498958</v>
      </c>
      <c r="AC10" s="16" t="n">
        <f aca="false">IF(AC7&gt;0,AC7,$F$9)</f>
        <v>0.0360199780935289</v>
      </c>
      <c r="AD10" s="16" t="n">
        <f aca="false">IF(AD7&gt;0,AD7,$F$9)</f>
        <v>0.0362242056253713</v>
      </c>
      <c r="AE10" s="16" t="n">
        <f aca="false">IF(AE7&gt;0,AE7,$F$9)</f>
        <v>0.0356729851797638</v>
      </c>
      <c r="AF10" s="16" t="n">
        <f aca="false">IF(AF7&gt;0,AF7,$F$9)</f>
        <v>0.0358793537580314</v>
      </c>
      <c r="AG10" s="16" t="n">
        <f aca="false">IF(AG7&gt;0,AG7,$F$9)</f>
        <v>0.0362178680746988</v>
      </c>
      <c r="AH10" s="16" t="n">
        <f aca="false">IF(AH7&gt;0,AH7,$F$9)</f>
        <v>0.0362414120200292</v>
      </c>
      <c r="AI10" s="16" t="n">
        <f aca="false">IF(AI7&gt;0,AI7,$F$9)</f>
        <v>0.0352960538553008</v>
      </c>
      <c r="AJ10" s="16" t="n">
        <f aca="false">IF(AJ7&gt;0,AJ7,$F$9)</f>
        <v>0.0348811355433016</v>
      </c>
      <c r="AK10" s="16" t="n">
        <f aca="false">IF(AK7&gt;0,AK7,$F$9)</f>
        <v>0.033374316198005</v>
      </c>
      <c r="AL10" s="16" t="n">
        <f aca="false">IF(AL7&gt;0,AL7,$F$9)</f>
        <v>0.0313434130962565</v>
      </c>
      <c r="AM10" s="16" t="n">
        <f aca="false">IF(AM7&gt;0,AM7,$F$9)</f>
        <v>0.0280665446205224</v>
      </c>
      <c r="AN10" s="16" t="n">
        <f aca="false">IF(AN7&gt;0,AN7,$F$9)</f>
        <v>0.0280324960127998</v>
      </c>
      <c r="AO10" s="16" t="n">
        <f aca="false">IF(AO7&gt;0,AO7,$F$9)</f>
        <v>0.0278365383035892</v>
      </c>
      <c r="AP10" s="16" t="n">
        <f aca="false">IF(AP7&gt;0,AP7,$F$9)</f>
        <v>0.0278365383035892</v>
      </c>
      <c r="AQ10" s="16" t="n">
        <f aca="false">IF(AQ7&gt;0,AQ7,$F$9)</f>
        <v>0.0278365383035892</v>
      </c>
      <c r="AR10" s="16" t="n">
        <f aca="false">IF(AR7&gt;0,AR7,$F$9)</f>
        <v>0.0278365383035892</v>
      </c>
      <c r="AS10" s="16" t="n">
        <f aca="false">IF(AS7&gt;0,AS7,$F$9)</f>
        <v>0.0278365383035892</v>
      </c>
      <c r="AT10" s="16" t="n">
        <f aca="false">IF(AT7&gt;0,AT7,$F$9)</f>
        <v>0.0278365383035892</v>
      </c>
      <c r="AU10" s="16" t="n">
        <f aca="false">IF(AU7&gt;0,AU7,$F$9)</f>
        <v>0.0278365383035892</v>
      </c>
      <c r="AV10" s="16" t="n">
        <f aca="false">IF(AV7&gt;0,AV7,$F$9)</f>
        <v>0.0278365383035892</v>
      </c>
      <c r="AW10" s="16" t="n">
        <f aca="false">IF(AW7&gt;0,AW7,$F$9)</f>
        <v>0.0278365383035892</v>
      </c>
      <c r="AX10" s="16" t="n">
        <f aca="false">IF(AX7&gt;0,AX7,$F$9)</f>
        <v>0.0278365383035892</v>
      </c>
      <c r="AY10" s="16" t="n">
        <f aca="false">IF(AY7&gt;0,AY7,$F$9)</f>
        <v>0.0278365383035892</v>
      </c>
      <c r="AZ10" s="16" t="n">
        <f aca="false">IF(AZ7&gt;0,AZ7,$F$9)</f>
        <v>0.0278365383035892</v>
      </c>
      <c r="BA10" s="16" t="n">
        <f aca="false">IF(BA7&gt;0,BA7,$F$9)</f>
        <v>0.0278365383035892</v>
      </c>
      <c r="BB10" s="16" t="n">
        <f aca="false">IF(BB7&gt;0,BB7,$F$9)</f>
        <v>0.0278365383035892</v>
      </c>
      <c r="BC10" s="16" t="n">
        <f aca="false">IF(BC7&gt;0,BC7,$F$9)</f>
        <v>0.0278365383035892</v>
      </c>
      <c r="BD10" s="16" t="n">
        <f aca="false">IF(BD7&gt;0,BD7,$F$9)</f>
        <v>0.0278365383035892</v>
      </c>
      <c r="BE10" s="16" t="n">
        <f aca="false">IF(BE7&gt;0,BE7,$F$9)</f>
        <v>0.0278365383035892</v>
      </c>
      <c r="BF10" s="16" t="n">
        <f aca="false">IF(BF7&gt;0,BF7,$F$9)</f>
        <v>0.0278365383035892</v>
      </c>
      <c r="BG10" s="16" t="n">
        <f aca="false">IF(BG7&gt;0,BG7,$F$9)</f>
        <v>0.0278365383035892</v>
      </c>
      <c r="BH10" s="16" t="n">
        <f aca="false">IF(BH7&gt;0,BH7,$F$9)</f>
        <v>0.0278365383035892</v>
      </c>
      <c r="BI10" s="16" t="n">
        <f aca="false">IF(BI7&gt;0,BI7,$F$9)</f>
        <v>0.0278365383035892</v>
      </c>
      <c r="BJ10" s="16" t="n">
        <f aca="false">IF(BJ7&gt;0,BJ7,$F$9)</f>
        <v>0.0278365383035892</v>
      </c>
      <c r="BK10" s="16" t="n">
        <f aca="false">IF(BK7&gt;0,BK7,$F$9)</f>
        <v>0.0278365383035892</v>
      </c>
      <c r="BL10" s="16" t="n">
        <f aca="false">IF(BL7&gt;0,BL7,$F$9)</f>
        <v>0.0278365383035892</v>
      </c>
      <c r="BM10" s="16" t="n">
        <f aca="false">IF(BM7&gt;0,BM7,$F$9)</f>
        <v>0.0278365383035892</v>
      </c>
      <c r="BN10" s="16" t="n">
        <f aca="false">IF(BN7&gt;0,BN7,$F$9)</f>
        <v>0.0278365383035892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731.446128030366</v>
      </c>
      <c r="K11" s="13" t="n">
        <f aca="false">IF(Time!K20&lt;=$F$8,(Waterfall!K7+L11)/(1+K10),0)</f>
        <v>751.807056190295</v>
      </c>
      <c r="L11" s="13" t="n">
        <f aca="false">IF(Time!L20&lt;=$F$8,(Waterfall!L7+M11)/(1+L10),0)</f>
        <v>772.734762106845</v>
      </c>
      <c r="M11" s="13" t="n">
        <f aca="false">IF(Time!M20&lt;=$F$8,(Waterfall!M7+N11)/(1+M10),0)</f>
        <v>794.245022910747</v>
      </c>
      <c r="N11" s="13" t="n">
        <f aca="false">IF(Time!N20&lt;=$F$8,(Waterfall!N7+O11)/(1+N10),0)</f>
        <v>816.354054913437</v>
      </c>
      <c r="O11" s="13" t="n">
        <f aca="false">IF(Time!O20&lt;=$F$8,(Waterfall!O7+P11)/(1+O10),0)</f>
        <v>839.078525832325</v>
      </c>
      <c r="P11" s="13" t="n">
        <f aca="false">IF(Time!P20&lt;=$F$8,(Waterfall!P7+Q11)/(1+P10),0)</f>
        <v>860.563320158553</v>
      </c>
      <c r="Q11" s="13" t="n">
        <f aca="false">IF(Time!Q20&lt;=$F$8,(Waterfall!Q7+R11)/(1+Q10),0)</f>
        <v>839.920081998097</v>
      </c>
      <c r="R11" s="13" t="n">
        <f aca="false">IF(Time!R20&lt;=$F$8,(Waterfall!R7+S11)/(1+R10),0)</f>
        <v>818.441957753549</v>
      </c>
      <c r="S11" s="13" t="n">
        <f aca="false">IF(Time!S20&lt;=$F$8,(Waterfall!S7+T11)/(1+S10),0)</f>
        <v>795.975309355172</v>
      </c>
      <c r="T11" s="13" t="n">
        <f aca="false">IF(Time!T20&lt;=$F$8,(Waterfall!T7+U11)/(1+T10),0)</f>
        <v>772.883441081679</v>
      </c>
      <c r="U11" s="13" t="n">
        <f aca="false">IF(Time!U20&lt;=$F$8,(Waterfall!U7+V11)/(1+U10),0)</f>
        <v>748.792016296907</v>
      </c>
      <c r="V11" s="13" t="n">
        <f aca="false">IF(Time!V20&lt;=$F$8,(Waterfall!V7+W11)/(1+V10),0)</f>
        <v>723.962407293655</v>
      </c>
      <c r="W11" s="13" t="n">
        <f aca="false">IF(Time!W20&lt;=$F$8,(Waterfall!W7+X11)/(1+W10),0)</f>
        <v>697.545168625291</v>
      </c>
      <c r="X11" s="13" t="n">
        <f aca="false">IF(Time!X20&lt;=$F$8,(Waterfall!X7+Y11)/(1+X10),0)</f>
        <v>670.331255040175</v>
      </c>
      <c r="Y11" s="13" t="n">
        <f aca="false">IF(Time!Y20&lt;=$F$8,(Waterfall!Y7+Z11)/(1+Y10),0)</f>
        <v>643.962409965339</v>
      </c>
      <c r="Z11" s="13" t="n">
        <f aca="false">IF(Time!Z20&lt;=$F$8,(Waterfall!Z7+AA11)/(1+Z10),0)</f>
        <v>617.660221569677</v>
      </c>
      <c r="AA11" s="13" t="n">
        <f aca="false">IF(Time!AA20&lt;=$F$8,(Waterfall!AA7+AB11)/(1+AA10),0)</f>
        <v>590.319724241523</v>
      </c>
      <c r="AB11" s="13" t="n">
        <f aca="false">IF(Time!AB20&lt;=$F$8,(Waterfall!AB7+AC11)/(1+AB10),0)</f>
        <v>562.190925773407</v>
      </c>
      <c r="AC11" s="13" t="n">
        <f aca="false">IF(Time!AC20&lt;=$F$8,(Waterfall!AC7+AD11)/(1+AC10),0)</f>
        <v>532.681847293962</v>
      </c>
      <c r="AD11" s="13" t="n">
        <f aca="false">IF(Time!AD20&lt;=$F$8,(Waterfall!AD7+AE11)/(1+AD10),0)</f>
        <v>502.117581321621</v>
      </c>
      <c r="AE11" s="13" t="n">
        <f aca="false">IF(Time!AE20&lt;=$F$8,(Waterfall!AE7+AF11)/(1+AE10),0)</f>
        <v>468.64384915279</v>
      </c>
      <c r="AF11" s="13" t="n">
        <f aca="false">IF(Time!AF20&lt;=$F$8,(Waterfall!AF7+AG11)/(1+AF10),0)</f>
        <v>433.615942300538</v>
      </c>
      <c r="AG11" s="13" t="n">
        <f aca="false">IF(Time!AG20&lt;=$F$8,(Waterfall!AG7+AH11)/(1+AG10),0)</f>
        <v>397.267116436669</v>
      </c>
      <c r="AH11" s="13" t="n">
        <f aca="false">IF(Time!AH20&lt;=$F$8,(Waterfall!AH7+AI11)/(1+AH10),0)</f>
        <v>360.116005298281</v>
      </c>
      <c r="AI11" s="13" t="n">
        <f aca="false">IF(Time!AI20&lt;=$F$8,(Waterfall!AI7+AJ11)/(1+AI10),0)</f>
        <v>320.958373143119</v>
      </c>
      <c r="AJ11" s="13" t="n">
        <f aca="false">IF(Time!AJ20&lt;=$F$8,(Waterfall!AJ7+AK11)/(1+AJ10),0)</f>
        <v>280.485696416371</v>
      </c>
      <c r="AK11" s="13" t="n">
        <f aca="false">IF(Time!AK20&lt;=$F$8,(Waterfall!AK7+AL11)/(1+AK10),0)</f>
        <v>237.866757722389</v>
      </c>
      <c r="AL11" s="13" t="n">
        <f aca="false">IF(Time!AL20&lt;=$F$8,(Waterfall!AL7+AM11)/(1+AL10),0)</f>
        <v>193.640865166835</v>
      </c>
      <c r="AM11" s="13" t="n">
        <f aca="false">IF(Time!AM20&lt;=$F$8,(Waterfall!AM7+AN11)/(1+AM10),0)</f>
        <v>146.434654784656</v>
      </c>
      <c r="AN11" s="13" t="n">
        <f aca="false">IF(Time!AN20&lt;=$F$8,(Waterfall!AN7+AO11)/(1+AN10),0)</f>
        <v>97.6448645295512</v>
      </c>
      <c r="AO11" s="13" t="n">
        <f aca="false">IF(Time!AO20&lt;=$F$8,(Waterfall!AO7+AP11)/(1+AO10),0)</f>
        <v>49.3184706527647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1004.10291812039</v>
      </c>
      <c r="K12" s="13" t="n">
        <f aca="false">IF(Time!K20&lt;=Time!$F$15,(Waterfall!K7+L12)/(1+K10),0)</f>
        <v>1032.0536674614</v>
      </c>
      <c r="L12" s="13" t="n">
        <f aca="false">IF(Time!L20&lt;=Time!$F$15,(Waterfall!L7+M12)/(1+L10),0)</f>
        <v>1060.78246890705</v>
      </c>
      <c r="M12" s="13" t="n">
        <f aca="false">IF(Time!M20&lt;=Time!$F$15,(Waterfall!M7+N12)/(1+M10),0)</f>
        <v>1090.31098073455</v>
      </c>
      <c r="N12" s="13" t="n">
        <f aca="false">IF(Time!N20&lt;=Time!$F$15,(Waterfall!N7+O12)/(1+N10),0)</f>
        <v>1120.66146411259</v>
      </c>
      <c r="O12" s="13" t="n">
        <f aca="false">IF(Time!O20&lt;=Time!$F$15,(Waterfall!O7+P12)/(1+O10),0)</f>
        <v>1151.85679988372</v>
      </c>
      <c r="P12" s="13" t="n">
        <f aca="false">IF(Time!P20&lt;=Time!$F$15,(Waterfall!P7+Q12)/(1+P10),0)</f>
        <v>1182.04825861611</v>
      </c>
      <c r="Q12" s="13" t="n">
        <f aca="false">IF(Time!Q20&lt;=Time!$F$15,(Waterfall!Q7+R12)/(1+Q10),0)</f>
        <v>1172.47362024399</v>
      </c>
      <c r="R12" s="13" t="n">
        <f aca="false">IF(Time!R20&lt;=Time!$F$15,(Waterfall!R7+S12)/(1+R10),0)</f>
        <v>1162.35192298016</v>
      </c>
      <c r="S12" s="13" t="n">
        <f aca="false">IF(Time!S20&lt;=Time!$F$15,(Waterfall!S7+T12)/(1+S10),0)</f>
        <v>1151.78822341884</v>
      </c>
      <c r="T12" s="13" t="n">
        <f aca="false">IF(Time!T20&lt;=Time!$F$15,(Waterfall!T7+U12)/(1+T10),0)</f>
        <v>1140.90348745656</v>
      </c>
      <c r="U12" s="13" t="n">
        <f aca="false">IF(Time!U20&lt;=Time!$F$15,(Waterfall!U7+V12)/(1+U10),0)</f>
        <v>1129.60791111388</v>
      </c>
      <c r="V12" s="13" t="n">
        <f aca="false">IF(Time!V20&lt;=Time!$F$15,(Waterfall!V7+W12)/(1+V10),0)</f>
        <v>1117.94569431005</v>
      </c>
      <c r="W12" s="13" t="n">
        <f aca="false">IF(Time!W20&lt;=Time!$F$15,(Waterfall!W7+X12)/(1+W10),0)</f>
        <v>1105.28128352024</v>
      </c>
      <c r="X12" s="13" t="n">
        <f aca="false">IF(Time!X20&lt;=Time!$F$15,(Waterfall!X7+Y12)/(1+X10),0)</f>
        <v>1092.16474044671</v>
      </c>
      <c r="Y12" s="13" t="n">
        <f aca="false">IF(Time!Y20&lt;=Time!$F$15,(Waterfall!Y7+Z12)/(1+Y10),0)</f>
        <v>1080.57311530496</v>
      </c>
      <c r="Z12" s="13" t="n">
        <f aca="false">IF(Time!Z20&lt;=Time!$F$15,(Waterfall!Z7+AA12)/(1+Z10),0)</f>
        <v>1069.91107316</v>
      </c>
      <c r="AA12" s="13" t="n">
        <f aca="false">IF(Time!AA20&lt;=Time!$F$15,(Waterfall!AA7+AB12)/(1+AA10),0)</f>
        <v>1058.99810133968</v>
      </c>
      <c r="AB12" s="13" t="n">
        <f aca="false">IF(Time!AB20&lt;=Time!$F$15,(Waterfall!AB7+AC12)/(1+AB10),0)</f>
        <v>1047.73773838532</v>
      </c>
      <c r="AC12" s="13" t="n">
        <f aca="false">IF(Time!AC20&lt;=Time!$F$15,(Waterfall!AC7+AD12)/(1+AC10),0)</f>
        <v>1035.88838458272</v>
      </c>
      <c r="AD12" s="13" t="n">
        <f aca="false">IF(Time!AD20&lt;=Time!$F$15,(Waterfall!AD7+AE12)/(1+AD10),0)</f>
        <v>1023.44960706004</v>
      </c>
      <c r="AE12" s="13" t="n">
        <f aca="false">IF(Time!AE20&lt;=Time!$F$15,(Waterfall!AE7+AF12)/(1+AE10),0)</f>
        <v>1008.86071339065</v>
      </c>
      <c r="AF12" s="13" t="n">
        <f aca="false">IF(Time!AF20&lt;=Time!$F$15,(Waterfall!AF7+AG12)/(1+AF10),0)</f>
        <v>993.103954730209</v>
      </c>
      <c r="AG12" s="13" t="n">
        <f aca="false">IF(Time!AG20&lt;=Time!$F$15,(Waterfall!AG7+AH12)/(1+AG10),0)</f>
        <v>976.829197187681</v>
      </c>
      <c r="AH12" s="13" t="n">
        <f aca="false">IF(Time!AH20&lt;=Time!$F$15,(Waterfall!AH7+AI12)/(1+AH10),0)</f>
        <v>960.668589031031</v>
      </c>
      <c r="AI12" s="13" t="n">
        <f aca="false">IF(Time!AI20&lt;=Time!$F$15,(Waterfall!AI7+AJ12)/(1+AI10),0)</f>
        <v>943.275830502622</v>
      </c>
      <c r="AJ12" s="13" t="n">
        <f aca="false">IF(Time!AJ20&lt;=Time!$F$15,(Waterfall!AJ7+AK12)/(1+AJ10),0)</f>
        <v>924.768504265928</v>
      </c>
      <c r="AK12" s="13" t="n">
        <f aca="false">IF(Time!AK20&lt;=Time!$F$15,(Waterfall!AK7+AL12)/(1+AK10),0)</f>
        <v>904.622881520766</v>
      </c>
      <c r="AL12" s="13" t="n">
        <f aca="false">IF(Time!AL20&lt;=Time!$F$15,(Waterfall!AL7+AM12)/(1+AL10),0)</f>
        <v>882.649518667814</v>
      </c>
      <c r="AM12" s="13" t="n">
        <f aca="false">IF(Time!AM20&lt;=Time!$F$15,(Waterfall!AM7+AN12)/(1+AM10),0)</f>
        <v>857.039191139213</v>
      </c>
      <c r="AN12" s="13" t="n">
        <f aca="false">IF(Time!AN20&lt;=Time!$F$15,(Waterfall!AN7+AO12)/(1+AN10),0)</f>
        <v>828.193614811249</v>
      </c>
      <c r="AO12" s="13" t="n">
        <f aca="false">IF(Time!AO20&lt;=Time!$F$15,(Waterfall!AO7+AP12)/(1+AO10),0)</f>
        <v>800.34632586389</v>
      </c>
      <c r="AP12" s="13" t="n">
        <f aca="false">IF(Time!AP20&lt;=Time!$F$15,(Waterfall!AP7+AQ12)/(1+AP10),0)</f>
        <v>771.933870869772</v>
      </c>
      <c r="AQ12" s="13" t="n">
        <f aca="false">IF(Time!AQ20&lt;=Time!$F$15,(Waterfall!AQ7+AR12)/(1+AQ10),0)</f>
        <v>742.031640593902</v>
      </c>
      <c r="AR12" s="13" t="n">
        <f aca="false">IF(Time!AR20&lt;=Time!$F$15,(Waterfall!AR7+AS12)/(1+AR10),0)</f>
        <v>711.711554636816</v>
      </c>
      <c r="AS12" s="13" t="n">
        <f aca="false">IF(Time!AS20&lt;=Time!$F$15,(Waterfall!AS7+AT12)/(1+AS10),0)</f>
        <v>679.924238610832</v>
      </c>
      <c r="AT12" s="13" t="n">
        <f aca="false">IF(Time!AT20&lt;=Time!$F$15,(Waterfall!AT7+AU12)/(1+AT10),0)</f>
        <v>647.441448799332</v>
      </c>
      <c r="AU12" s="13" t="n">
        <f aca="false">IF(Time!AU20&lt;=Time!$F$15,(Waterfall!AU7+AV12)/(1+AU10),0)</f>
        <v>611.734515749524</v>
      </c>
      <c r="AV12" s="13" t="n">
        <f aca="false">IF(Time!AV20&lt;=Time!$F$15,(Waterfall!AV7+AW12)/(1+AV10),0)</f>
        <v>581.400552761346</v>
      </c>
      <c r="AW12" s="13" t="n">
        <f aca="false">IF(Time!AW20&lt;=Time!$F$15,(Waterfall!AW7+AX12)/(1+AW10),0)</f>
        <v>553.089790883506</v>
      </c>
      <c r="AX12" s="13" t="n">
        <f aca="false">IF(Time!AX20&lt;=Time!$F$15,(Waterfall!AX7+AY12)/(1+AX10),0)</f>
        <v>524.415340186187</v>
      </c>
      <c r="AY12" s="13" t="n">
        <f aca="false">IF(Time!AY20&lt;=Time!$F$15,(Waterfall!AY7+AZ12)/(1+AY10),0)</f>
        <v>494.267852013358</v>
      </c>
      <c r="AZ12" s="13" t="n">
        <f aca="false">IF(Time!AZ20&lt;=Time!$F$15,(Waterfall!AZ7+BA12)/(1+AZ10),0)</f>
        <v>463.738084617802</v>
      </c>
      <c r="BA12" s="13" t="n">
        <f aca="false">IF(Time!BA20&lt;=Time!$F$15,(Waterfall!BA7+BB12)/(1+BA10),0)</f>
        <v>431.740584042837</v>
      </c>
      <c r="BB12" s="13" t="n">
        <f aca="false">IF(Time!BB20&lt;=Time!$F$15,(Waterfall!BB7+BC12)/(1+BB10),0)</f>
        <v>399.15002814895</v>
      </c>
      <c r="BC12" s="13" t="n">
        <f aca="false">IF(Time!BC20&lt;=Time!$F$15,(Waterfall!BC7+BD12)/(1+BC10),0)</f>
        <v>363.405102123695</v>
      </c>
      <c r="BD12" s="13" t="n">
        <f aca="false">IF(Time!BD20&lt;=Time!$F$15,(Waterfall!BD7+BE12)/(1+BD10),0)</f>
        <v>330.246299067621</v>
      </c>
      <c r="BE12" s="13" t="n">
        <f aca="false">IF(Time!BE20&lt;=Time!$F$15,(Waterfall!BE7+BF12)/(1+BE10),0)</f>
        <v>302.627737271844</v>
      </c>
      <c r="BF12" s="13" t="n">
        <f aca="false">IF(Time!BF20&lt;=Time!$F$15,(Waterfall!BF7+BG12)/(1+BF10),0)</f>
        <v>274.673347728271</v>
      </c>
      <c r="BG12" s="13" t="n">
        <f aca="false">IF(Time!BG20&lt;=Time!$F$15,(Waterfall!BG7+BH12)/(1+BG10),0)</f>
        <v>245.23650262423</v>
      </c>
      <c r="BH12" s="13" t="n">
        <f aca="false">IF(Time!BH20&lt;=Time!$F$15,(Waterfall!BH7+BI12)/(1+BH10),0)</f>
        <v>215.447869034282</v>
      </c>
      <c r="BI12" s="13" t="n">
        <f aca="false">IF(Time!BI20&lt;=Time!$F$15,(Waterfall!BI7+BJ12)/(1+BI10),0)</f>
        <v>184.188858883722</v>
      </c>
      <c r="BJ12" s="13" t="n">
        <f aca="false">IF(Time!BJ20&lt;=Time!$F$15,(Waterfall!BJ7+BK12)/(1+BJ10),0)</f>
        <v>152.320806660138</v>
      </c>
      <c r="BK12" s="13" t="n">
        <f aca="false">IF(Time!BK20&lt;=Time!$F$15,(Waterfall!BK7+BL12)/(1+BK10),0)</f>
        <v>111.541846887022</v>
      </c>
      <c r="BL12" s="13" t="n">
        <f aca="false">IF(Time!BL20&lt;=Time!$F$15,(Waterfall!BL7+BM12)/(1+BL10),0)</f>
        <v>74.8773845460425</v>
      </c>
      <c r="BM12" s="13" t="n">
        <f aca="false">IF(Time!BM20&lt;=Time!$F$15,(Waterfall!BM7+BN12)/(1+BM10),0)</f>
        <v>36.4441593715866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1.30661689996055</v>
      </c>
      <c r="Q13" s="3" t="n">
        <f aca="false">IF(Debt!Q115&gt;Inputs!$F$253,(Q11+Reserves!Q9)/Debt!Q115,0)</f>
        <v>1.30896207422572</v>
      </c>
      <c r="R13" s="3" t="n">
        <f aca="false">IF(Debt!R115&gt;Inputs!$F$253,(R11+Reserves!R9)/Debt!R115,0)</f>
        <v>1.31245851693555</v>
      </c>
      <c r="S13" s="3" t="n">
        <f aca="false">IF(Debt!S115&gt;Inputs!$F$253,(S11+Reserves!S9)/Debt!S115,0)</f>
        <v>1.31496698550214</v>
      </c>
      <c r="T13" s="3" t="n">
        <f aca="false">IF(Debt!T115&gt;Inputs!$F$253,(T11+Reserves!T9)/Debt!T115,0)</f>
        <v>1.31898564720748</v>
      </c>
      <c r="U13" s="3" t="n">
        <f aca="false">IF(Debt!U115&gt;Inputs!$F$253,(U11+Reserves!U9)/Debt!U115,0)</f>
        <v>1.32231435453756</v>
      </c>
      <c r="V13" s="3" t="n">
        <f aca="false">IF(Debt!V115&gt;Inputs!$F$253,(V11+Reserves!V9)/Debt!V115,0)</f>
        <v>1.32770462715078</v>
      </c>
      <c r="W13" s="3" t="n">
        <f aca="false">IF(Debt!W115&gt;Inputs!$F$253,(W11+Reserves!W9)/Debt!W115,0)</f>
        <v>1.33181162874999</v>
      </c>
      <c r="X13" s="3" t="n">
        <f aca="false">IF(Debt!X115&gt;Inputs!$F$253,(X11+Reserves!X9)/Debt!X115,0)</f>
        <v>1.33470517933328</v>
      </c>
      <c r="Y13" s="3" t="n">
        <f aca="false">IF(Debt!Y115&gt;Inputs!$F$253,(Y11+Reserves!Y9)/Debt!Y115,0)</f>
        <v>1.33933380114785</v>
      </c>
      <c r="Z13" s="3" t="n">
        <f aca="false">IF(Debt!Z115&gt;Inputs!$F$253,(Z11+Reserves!Z9)/Debt!Z115,0)</f>
        <v>1.34591055836646</v>
      </c>
      <c r="AA13" s="3" t="n">
        <f aca="false">IF(Debt!AA115&gt;Inputs!$F$253,(AA11+Reserves!AA9)/Debt!AA115,0)</f>
        <v>1.35196159429727</v>
      </c>
      <c r="AB13" s="3" t="n">
        <f aca="false">IF(Debt!AB115&gt;Inputs!$F$253,(AB11+Reserves!AB9)/Debt!AB115,0)</f>
        <v>1.37432892572793</v>
      </c>
      <c r="AC13" s="3" t="n">
        <f aca="false">IF(Debt!AC115&gt;Inputs!$F$253,(AC11+Reserves!AC9)/Debt!AC115,0)</f>
        <v>1.39945534081073</v>
      </c>
      <c r="AD13" s="3" t="n">
        <f aca="false">IF(Debt!AD115&gt;Inputs!$F$253,(AD11+Reserves!AD9)/Debt!AD115,0)</f>
        <v>1.42971582862041</v>
      </c>
      <c r="AE13" s="3" t="n">
        <f aca="false">IF(Debt!AE115&gt;Inputs!$F$253,(AE11+Reserves!AE9)/Debt!AE115,0)</f>
        <v>1.46576108671158</v>
      </c>
      <c r="AF13" s="3" t="n">
        <f aca="false">IF(Debt!AF115&gt;Inputs!$F$253,(AF11+Reserves!AF9)/Debt!AF115,0)</f>
        <v>1.50938819154187</v>
      </c>
      <c r="AG13" s="3" t="n">
        <f aca="false">IF(Debt!AG115&gt;Inputs!$F$253,(AG11+Reserves!AG9)/Debt!AG115,0)</f>
        <v>1.56312693447627</v>
      </c>
      <c r="AH13" s="3" t="n">
        <f aca="false">IF(Debt!AH115&gt;Inputs!$F$253,(AH11+Reserves!AH9)/Debt!AH115,0)</f>
        <v>1.63138847679875</v>
      </c>
      <c r="AI13" s="3" t="n">
        <f aca="false">IF(Debt!AI115&gt;Inputs!$F$253,(AI11+Reserves!AI9)/Debt!AI115,0)</f>
        <v>1.72232147861491</v>
      </c>
      <c r="AJ13" s="3" t="n">
        <f aca="false">IF(Debt!AJ115&gt;Inputs!$F$253,(AJ11+Reserves!AJ9)/Debt!AJ115,0)</f>
        <v>1.84898365887035</v>
      </c>
      <c r="AK13" s="3" t="n">
        <f aca="false">IF(Debt!AK115&gt;Inputs!$F$253,(AK11+Reserves!AK9)/Debt!AK115,0)</f>
        <v>2.0431392683837</v>
      </c>
      <c r="AL13" s="3" t="n">
        <f aca="false">IF(Debt!AL115&gt;Inputs!$F$253,(AL11+Reserves!AL9)/Debt!AL115,0)</f>
        <v>2.37751906421396</v>
      </c>
      <c r="AM13" s="3" t="n">
        <f aca="false">IF(Debt!AM115&gt;Inputs!$F$253,(AM11+Reserves!AM9)/Debt!AM115,0)</f>
        <v>2.86076543392707</v>
      </c>
      <c r="AN13" s="3" t="n">
        <f aca="false">IF(Debt!AN115&gt;Inputs!$F$253,(AN11+Reserves!AN9)/Debt!AN115,0)</f>
        <v>3.05246319600761</v>
      </c>
      <c r="AO13" s="3" t="n">
        <f aca="false">IF(Debt!AO115&gt;Inputs!$F$253,(AO11+Reserves!AO9)/Debt!AO115,0)</f>
        <v>3.59580396198811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1.24741816249171</v>
      </c>
      <c r="Q14" s="3" t="n">
        <f aca="false">IF(Debt!Q115&gt;Inputs!$F$253,Q11/Debt!Q115,0)</f>
        <v>1.24841724071451</v>
      </c>
      <c r="R14" s="3" t="n">
        <f aca="false">IF(Debt!R115&gt;Inputs!$F$253,R11/Debt!R115,0)</f>
        <v>1.2494738720502</v>
      </c>
      <c r="S14" s="3" t="n">
        <f aca="false">IF(Debt!S115&gt;Inputs!$F$253,S11/Debt!S115,0)</f>
        <v>1.25066143422171</v>
      </c>
      <c r="T14" s="3" t="n">
        <f aca="false">IF(Debt!T115&gt;Inputs!$F$253,T11/Debt!T115,0)</f>
        <v>1.25193406275557</v>
      </c>
      <c r="U14" s="3" t="n">
        <f aca="false">IF(Debt!U115&gt;Inputs!$F$253,U11/Debt!U115,0)</f>
        <v>1.25337176531705</v>
      </c>
      <c r="V14" s="3" t="n">
        <f aca="false">IF(Debt!V115&gt;Inputs!$F$253,V11/Debt!V115,0)</f>
        <v>1.25493744203014</v>
      </c>
      <c r="W14" s="3" t="n">
        <f aca="false">IF(Debt!W115&gt;Inputs!$F$253,W11/Debt!W115,0)</f>
        <v>1.25672469364519</v>
      </c>
      <c r="X14" s="3" t="n">
        <f aca="false">IF(Debt!X115&gt;Inputs!$F$253,X11/Debt!X115,0)</f>
        <v>1.25868722240411</v>
      </c>
      <c r="Y14" s="3" t="n">
        <f aca="false">IF(Debt!Y115&gt;Inputs!$F$253,Y11/Debt!Y115,0)</f>
        <v>1.26085280303767</v>
      </c>
      <c r="Z14" s="3" t="n">
        <f aca="false">IF(Debt!Z115&gt;Inputs!$F$253,Z11/Debt!Z115,0)</f>
        <v>1.26324320743826</v>
      </c>
      <c r="AA14" s="3" t="n">
        <f aca="false">IF(Debt!AA115&gt;Inputs!$F$253,AA11/Debt!AA115,0)</f>
        <v>1.26599685501937</v>
      </c>
      <c r="AB14" s="3" t="n">
        <f aca="false">IF(Debt!AB115&gt;Inputs!$F$253,AB11/Debt!AB115,0)</f>
        <v>1.28184354110803</v>
      </c>
      <c r="AC14" s="3" t="n">
        <f aca="false">IF(Debt!AC115&gt;Inputs!$F$253,AC11/Debt!AC115,0)</f>
        <v>1.30180650469241</v>
      </c>
      <c r="AD14" s="3" t="n">
        <f aca="false">IF(Debt!AD115&gt;Inputs!$F$253,AD11/Debt!AD115,0)</f>
        <v>1.32197588803421</v>
      </c>
      <c r="AE14" s="3" t="n">
        <f aca="false">IF(Debt!AE115&gt;Inputs!$F$253,AE11/Debt!AE115,0)</f>
        <v>1.34931832375107</v>
      </c>
      <c r="AF14" s="3" t="n">
        <f aca="false">IF(Debt!AF115&gt;Inputs!$F$253,AF11/Debt!AF115,0)</f>
        <v>1.38237487119104</v>
      </c>
      <c r="AG14" s="3" t="n">
        <f aca="false">IF(Debt!AG115&gt;Inputs!$F$253,AG11/Debt!AG115,0)</f>
        <v>1.42438261818843</v>
      </c>
      <c r="AH14" s="3" t="n">
        <f aca="false">IF(Debt!AH115&gt;Inputs!$F$253,AH11/Debt!AH115,0)</f>
        <v>1.47512360632</v>
      </c>
      <c r="AI14" s="3" t="n">
        <f aca="false">IF(Debt!AI115&gt;Inputs!$F$253,AI11/Debt!AI115,0)</f>
        <v>1.5456015833805</v>
      </c>
      <c r="AJ14" s="3" t="n">
        <f aca="false">IF(Debt!AJ115&gt;Inputs!$F$253,AJ11/Debt!AJ115,0)</f>
        <v>1.64088926264018</v>
      </c>
      <c r="AK14" s="3" t="n">
        <f aca="false">IF(Debt!AK115&gt;Inputs!$F$253,AK11/Debt!AK115,0)</f>
        <v>1.79051888287629</v>
      </c>
      <c r="AL14" s="3" t="n">
        <f aca="false">IF(Debt!AL115&gt;Inputs!$F$253,AL11/Debt!AL115,0)</f>
        <v>2.04413490395889</v>
      </c>
      <c r="AM14" s="3" t="n">
        <f aca="false">IF(Debt!AM115&gt;Inputs!$F$253,AM11/Debt!AM115,0)</f>
        <v>2.405242941161</v>
      </c>
      <c r="AN14" s="3" t="n">
        <f aca="false">IF(Debt!AN115&gt;Inputs!$F$253,AN11/Debt!AN115,0)</f>
        <v>2.52009493747135</v>
      </c>
      <c r="AO14" s="3" t="n">
        <f aca="false">IF(Debt!AO115&gt;Inputs!$F$253,AO11/Debt!AO115,0)</f>
        <v>2.56796742368452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1.71342239693386</v>
      </c>
      <c r="Q15" s="3" t="n">
        <f aca="false">IF(Debt!Q115&gt;Inputs!$F$253,Q12/Debt!Q115,0)</f>
        <v>1.74270899478133</v>
      </c>
      <c r="R15" s="3" t="n">
        <f aca="false">IF(Debt!R115&gt;Inputs!$F$253,R12/Debt!R115,0)</f>
        <v>1.77450379239764</v>
      </c>
      <c r="S15" s="3" t="n">
        <f aca="false">IF(Debt!S115&gt;Inputs!$F$253,S12/Debt!S115,0)</f>
        <v>1.80972587276312</v>
      </c>
      <c r="T15" s="3" t="n">
        <f aca="false">IF(Debt!T115&gt;Inputs!$F$253,T12/Debt!T115,0)</f>
        <v>1.8480612500437</v>
      </c>
      <c r="U15" s="3" t="n">
        <f aca="false">IF(Debt!U115&gt;Inputs!$F$253,U12/Debt!U115,0)</f>
        <v>1.89080362885107</v>
      </c>
      <c r="V15" s="3" t="n">
        <f aca="false">IF(Debt!V115&gt;Inputs!$F$253,V12/Debt!V115,0)</f>
        <v>1.93787950287451</v>
      </c>
      <c r="W15" s="3" t="n">
        <f aca="false">IF(Debt!W115&gt;Inputs!$F$253,W12/Debt!W115,0)</f>
        <v>1.99131804634418</v>
      </c>
      <c r="X15" s="3" t="n">
        <f aca="false">IF(Debt!X115&gt;Inputs!$F$253,X12/Debt!X115,0)</f>
        <v>2.05076787517268</v>
      </c>
      <c r="Y15" s="3" t="n">
        <f aca="false">IF(Debt!Y115&gt;Inputs!$F$253,Y12/Debt!Y115,0)</f>
        <v>2.11571921005877</v>
      </c>
      <c r="Z15" s="3" t="n">
        <f aca="false">IF(Debt!Z115&gt;Inputs!$F$253,Z12/Debt!Z115,0)</f>
        <v>2.18818996032737</v>
      </c>
      <c r="AA15" s="3" t="n">
        <f aca="false">IF(Debt!AA115&gt;Inputs!$F$253,AA12/Debt!AA115,0)</f>
        <v>2.27112225919625</v>
      </c>
      <c r="AB15" s="3" t="n">
        <f aca="false">IF(Debt!AB115&gt;Inputs!$F$253,AB12/Debt!AB115,0)</f>
        <v>2.38893192891141</v>
      </c>
      <c r="AC15" s="3" t="n">
        <f aca="false">IF(Debt!AC115&gt;Inputs!$F$253,AC12/Debt!AC115,0)</f>
        <v>2.53157911056222</v>
      </c>
      <c r="AD15" s="3" t="n">
        <f aca="false">IF(Debt!AD115&gt;Inputs!$F$253,AD12/Debt!AD115,0)</f>
        <v>2.69453959287842</v>
      </c>
      <c r="AE15" s="3" t="n">
        <f aca="false">IF(Debt!AE115&gt;Inputs!$F$253,AE12/Debt!AE115,0)</f>
        <v>2.90470951267466</v>
      </c>
      <c r="AF15" s="3" t="n">
        <f aca="false">IF(Debt!AF115&gt;Inputs!$F$253,AF12/Debt!AF115,0)</f>
        <v>3.16603200568666</v>
      </c>
      <c r="AG15" s="3" t="n">
        <f aca="false">IF(Debt!AG115&gt;Inputs!$F$253,AG12/Debt!AG115,0)</f>
        <v>3.50237528314254</v>
      </c>
      <c r="AH15" s="3" t="n">
        <f aca="false">IF(Debt!AH115&gt;Inputs!$F$253,AH12/Debt!AH115,0)</f>
        <v>3.93513449188693</v>
      </c>
      <c r="AI15" s="3" t="n">
        <f aca="false">IF(Debt!AI115&gt;Inputs!$F$253,AI12/Debt!AI115,0)</f>
        <v>4.54242275380459</v>
      </c>
      <c r="AJ15" s="3" t="n">
        <f aca="false">IF(Debt!AJ115&gt;Inputs!$F$253,AJ12/Debt!AJ115,0)</f>
        <v>5.41005380475869</v>
      </c>
      <c r="AK15" s="3" t="n">
        <f aca="false">IF(Debt!AK115&gt;Inputs!$F$253,AK12/Debt!AK115,0)</f>
        <v>6.80946075338224</v>
      </c>
      <c r="AL15" s="3" t="n">
        <f aca="false">IF(Debt!AL115&gt;Inputs!$F$253,AL12/Debt!AL115,0)</f>
        <v>9.3175306127501</v>
      </c>
      <c r="AM15" s="3" t="n">
        <f aca="false">IF(Debt!AM115&gt;Inputs!$F$253,AM12/Debt!AM115,0)</f>
        <v>14.0771832174382</v>
      </c>
      <c r="AN15" s="3" t="n">
        <f aca="false">IF(Debt!AN115&gt;Inputs!$F$253,AN12/Debt!AN115,0)</f>
        <v>21.3746677409776</v>
      </c>
      <c r="AO15" s="3" t="n">
        <f aca="false">IF(Debt!AO115&gt;Inputs!$F$253,AO12/Debt!AO115,0)</f>
        <v>41.6732973525173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1.23095950197485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1.38851606708253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1.30661689996055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1.71342239693386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1.23119237379471</v>
      </c>
      <c r="P20" s="3" t="n">
        <f aca="false">IF(Debt!Q114&gt;Inputs!$F$253,(Waterfall!Q7+IF(Debt!R114&gt;Inputs!$F$253,Waterfall!R7,0))/(Debt!Q114+Debt!R114),0)</f>
        <v>1.23128909332933</v>
      </c>
      <c r="Q20" s="3" t="n">
        <f aca="false">IF(Debt!R114&gt;Inputs!$F$253,(Waterfall!R7+IF(Debt!S114&gt;Inputs!$F$253,Waterfall!S7,0))/(Debt!R114+Debt!S114),0)</f>
        <v>1.23130879291895</v>
      </c>
      <c r="R20" s="3" t="n">
        <f aca="false">IF(Debt!S114&gt;Inputs!$F$253,(Waterfall!S7+IF(Debt!T114&gt;Inputs!$F$253,Waterfall!T7,0))/(Debt!S114+Debt!T114),0)</f>
        <v>1.23132384094037</v>
      </c>
      <c r="S20" s="3" t="n">
        <f aca="false">IF(Debt!T114&gt;Inputs!$F$253,(Waterfall!T7+IF(Debt!U114&gt;Inputs!$F$253,Waterfall!U7,0))/(Debt!T114+Debt!U114),0)</f>
        <v>1.23131310494283</v>
      </c>
      <c r="T20" s="3" t="n">
        <f aca="false">IF(Debt!U114&gt;Inputs!$F$253,(Waterfall!U7+IF(Debt!V114&gt;Inputs!$F$253,Waterfall!V7,0))/(Debt!U114+Debt!V114),0)</f>
        <v>1.23137357529093</v>
      </c>
      <c r="U20" s="3" t="n">
        <f aca="false">IF(Debt!V114&gt;Inputs!$F$253,(Waterfall!V7+IF(Debt!W114&gt;Inputs!$F$253,Waterfall!W7,0))/(Debt!V114+Debt!W114),0)</f>
        <v>1.23147583438491</v>
      </c>
      <c r="V20" s="3" t="n">
        <f aca="false">IF(Debt!W114&gt;Inputs!$F$253,(Waterfall!W7+IF(Debt!X114&gt;Inputs!$F$253,Waterfall!X7,0))/(Debt!W114+Debt!X114),0)</f>
        <v>1.23150897810653</v>
      </c>
      <c r="W20" s="3" t="n">
        <f aca="false">IF(Debt!X114&gt;Inputs!$F$253,(Waterfall!X7+IF(Debt!Y114&gt;Inputs!$F$253,Waterfall!Y7,0))/(Debt!X114+Debt!Y114),0)</f>
        <v>1.23152961181566</v>
      </c>
      <c r="X20" s="3" t="n">
        <f aca="false">IF(Debt!Y114&gt;Inputs!$F$253,(Waterfall!Y7+IF(Debt!Z114&gt;Inputs!$F$253,Waterfall!Z7,0))/(Debt!Y114+Debt!Z114),0)</f>
        <v>1.23158488622729</v>
      </c>
      <c r="Y20" s="3" t="n">
        <f aca="false">IF(Debt!Z114&gt;Inputs!$F$253,(Waterfall!Z7+IF(Debt!AA114&gt;Inputs!$F$253,Waterfall!AA7,0))/(Debt!Z114+Debt!AA114),0)</f>
        <v>1.23162991540752</v>
      </c>
      <c r="Z20" s="3" t="n">
        <f aca="false">IF(Debt!AA114&gt;Inputs!$F$253,(Waterfall!AA7+IF(Debt!AB114&gt;Inputs!$F$253,Waterfall!AB7,0))/(Debt!AA114+Debt!AB114),0)</f>
        <v>1.23836464833447</v>
      </c>
      <c r="AA20" s="3" t="n">
        <f aca="false">IF(Debt!AB114&gt;Inputs!$F$253,(Waterfall!AB7+IF(Debt!AC114&gt;Inputs!$F$253,Waterfall!AC7,0))/(Debt!AB114+Debt!AC114),0)</f>
        <v>1.25346601024235</v>
      </c>
      <c r="AB20" s="3" t="n">
        <f aca="false">IF(Debt!AC114&gt;Inputs!$F$253,(Waterfall!AC7+IF(Debt!AD114&gt;Inputs!$F$253,Waterfall!AD7,0))/(Debt!AC114+Debt!AD114),0)</f>
        <v>1.27080505928982</v>
      </c>
      <c r="AC20" s="3" t="n">
        <f aca="false">IF(Debt!AD114&gt;Inputs!$F$253,(Waterfall!AD7+IF(Debt!AE114&gt;Inputs!$F$253,Waterfall!AE7,0))/(Debt!AD114+Debt!AE114),0)</f>
        <v>1.2909012661677</v>
      </c>
      <c r="AD20" s="3" t="n">
        <f aca="false">IF(Debt!AE114&gt;Inputs!$F$253,(Waterfall!AE7+IF(Debt!AF114&gt;Inputs!$F$253,Waterfall!AF7,0))/(Debt!AE114+Debt!AF114),0)</f>
        <v>1.31675358535722</v>
      </c>
      <c r="AE20" s="3" t="n">
        <f aca="false">IF(Debt!AF114&gt;Inputs!$F$253,(Waterfall!AF7+IF(Debt!AG114&gt;Inputs!$F$253,Waterfall!AG7,0))/(Debt!AF114+Debt!AG114),0)</f>
        <v>1.34923013512358</v>
      </c>
      <c r="AF20" s="3" t="n">
        <f aca="false">IF(Debt!AG114&gt;Inputs!$F$253,(Waterfall!AG7+IF(Debt!AH114&gt;Inputs!$F$253,Waterfall!AH7,0))/(Debt!AG114+Debt!AH114),0)</f>
        <v>1.38994496817577</v>
      </c>
      <c r="AG20" s="3" t="n">
        <f aca="false">IF(Debt!AH114&gt;Inputs!$F$253,(Waterfall!AH7+IF(Debt!AI114&gt;Inputs!$F$253,Waterfall!AI7,0))/(Debt!AH114+Debt!AI114),0)</f>
        <v>1.4416195824973</v>
      </c>
      <c r="AH20" s="3" t="n">
        <f aca="false">IF(Debt!AI114&gt;Inputs!$F$253,(Waterfall!AI7+IF(Debt!AJ114&gt;Inputs!$F$253,Waterfall!AJ7,0))/(Debt!AI114+Debt!AJ114),0)</f>
        <v>1.51315752614953</v>
      </c>
      <c r="AI20" s="3" t="n">
        <f aca="false">IF(Debt!AJ114&gt;Inputs!$F$253,(Waterfall!AJ7+IF(Debt!AK114&gt;Inputs!$F$253,Waterfall!AK7,0))/(Debt!AJ114+Debt!AK114),0)</f>
        <v>1.61752631627331</v>
      </c>
      <c r="AJ20" s="3" t="n">
        <f aca="false">IF(Debt!AK114&gt;Inputs!$F$253,(Waterfall!AK7+IF(Debt!AL114&gt;Inputs!$F$253,Waterfall!AL7,0))/(Debt!AK114+Debt!AL114),0)</f>
        <v>1.79260156371437</v>
      </c>
      <c r="AK20" s="3" t="n">
        <f aca="false">IF(Debt!AL114&gt;Inputs!$F$253,(Waterfall!AL7+IF(Debt!AM114&gt;Inputs!$F$253,Waterfall!AM7,0))/(Debt!AL114+Debt!AM114),0)</f>
        <v>2.05355810402354</v>
      </c>
      <c r="AL20" s="3" t="n">
        <f aca="false">IF(Debt!AM114&gt;Inputs!$F$253,(Waterfall!AM7+IF(Debt!AN114&gt;Inputs!$F$253,Waterfall!AN7,0))/(Debt!AM114+Debt!AN114),0)</f>
        <v>2.33777397816597</v>
      </c>
      <c r="AM20" s="3" t="n">
        <f aca="false">IF(Debt!AN114&gt;Inputs!$F$253,(Waterfall!AN7+IF(Debt!AO114&gt;Inputs!$F$253,Waterfall!AO7,0))/(Debt!AN114+Debt!AO114),0)</f>
        <v>2.52072894133602</v>
      </c>
      <c r="AN20" s="3" t="n">
        <f aca="false">IF(Debt!AO114&gt;Inputs!$F$253,(Waterfall!AO7+IF(Debt!AP114&gt;Inputs!$F$253,Waterfall!AP7,0))/(Debt!AO114+Debt!AP114),0)</f>
        <v>2.56796742368452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1127.01228415004</v>
      </c>
      <c r="J8" s="13" t="n">
        <f aca="false">-Inputs!$F$68</f>
        <v>-14.2</v>
      </c>
      <c r="K8" s="13" t="n">
        <f aca="false">-Funding!J68</f>
        <v>-20.0400917108206</v>
      </c>
      <c r="L8" s="13" t="n">
        <f aca="false">-Funding!K68</f>
        <v>-0.715410236555548</v>
      </c>
      <c r="M8" s="13" t="n">
        <f aca="false">-Funding!L68</f>
        <v>-0.913769466864599</v>
      </c>
      <c r="N8" s="13" t="n">
        <f aca="false">-Funding!M68</f>
        <v>-1.294706136272</v>
      </c>
      <c r="O8" s="13" t="n">
        <f aca="false">-Funding!N68</f>
        <v>-1.86730301724031</v>
      </c>
      <c r="P8" s="13" t="n">
        <f aca="false">-Funding!O68</f>
        <v>-2.57614354578489</v>
      </c>
      <c r="Q8" s="13" t="n">
        <f aca="false">-Funding!P68</f>
        <v>-3.36274208929418</v>
      </c>
      <c r="R8" s="13" t="n">
        <f aca="false">-Funding!Q68</f>
        <v>-4.27015130544847</v>
      </c>
      <c r="S8" s="13" t="n">
        <f aca="false">-Funding!R68</f>
        <v>-5.17452992689028</v>
      </c>
      <c r="T8" s="13" t="n">
        <f aca="false">-Funding!S68</f>
        <v>-6.09542817938877</v>
      </c>
      <c r="U8" s="13" t="n">
        <f aca="false">-Funding!T68</f>
        <v>-6.95711753046168</v>
      </c>
      <c r="V8" s="13" t="n">
        <f aca="false">-Funding!U68</f>
        <v>-7.78376621809235</v>
      </c>
      <c r="W8" s="13" t="n">
        <f aca="false">-Funding!V68</f>
        <v>-8.51018634293308</v>
      </c>
      <c r="X8" s="13" t="n">
        <f aca="false">-Funding!W68</f>
        <v>-9.11409240919558</v>
      </c>
      <c r="Y8" s="13" t="n">
        <f aca="false">-Funding!X68</f>
        <v>-9.61427578475519</v>
      </c>
      <c r="Z8" s="13" t="n">
        <f aca="false">-Funding!Y68</f>
        <v>-9.9469290146295</v>
      </c>
      <c r="AA8" s="13" t="n">
        <f aca="false">-Funding!Z68</f>
        <v>-10.1556241003847</v>
      </c>
      <c r="AB8" s="13" t="n">
        <f aca="false">-Funding!AA68</f>
        <v>-10.5351863357398</v>
      </c>
      <c r="AC8" s="13" t="n">
        <f aca="false">-Funding!AB68</f>
        <v>-10.0480159876596</v>
      </c>
      <c r="AD8" s="13" t="n">
        <f aca="false">-Funding!AC68</f>
        <v>-9.80960665102317</v>
      </c>
      <c r="AE8" s="13" t="n">
        <f aca="false">-Funding!AD68</f>
        <v>-9.37639073132079</v>
      </c>
      <c r="AF8" s="13" t="n">
        <f aca="false">-Funding!AE68</f>
        <v>-8.84652054844811</v>
      </c>
      <c r="AG8" s="13" t="n">
        <f aca="false">-Funding!AF68</f>
        <v>-8.16433760343355</v>
      </c>
      <c r="AH8" s="13" t="n">
        <f aca="false">-Funding!AG68</f>
        <v>-7.42726783725914</v>
      </c>
      <c r="AI8" s="13" t="n">
        <f aca="false">-Funding!AH68</f>
        <v>-6.60033454591244</v>
      </c>
      <c r="AJ8" s="13" t="n">
        <f aca="false">-Funding!AI68</f>
        <v>-5.7115412153128</v>
      </c>
      <c r="AK8" s="13" t="n">
        <f aca="false">-Funding!AJ68</f>
        <v>-4.85493235992435</v>
      </c>
      <c r="AL8" s="13" t="n">
        <f aca="false">-Funding!AK68</f>
        <v>-3.98150663215359</v>
      </c>
      <c r="AM8" s="13" t="n">
        <f aca="false">-Funding!AL68</f>
        <v>-3.21308330986703</v>
      </c>
      <c r="AN8" s="13" t="n">
        <f aca="false">-Funding!AM68</f>
        <v>-2.52448923072964</v>
      </c>
      <c r="AO8" s="13" t="n">
        <f aca="false">-Funding!AN68</f>
        <v>-1.90611941149932</v>
      </c>
      <c r="AP8" s="13" t="n">
        <f aca="false">-Funding!AO68</f>
        <v>-1.59138426647823</v>
      </c>
      <c r="AQ8" s="13" t="n">
        <f aca="false">-Funding!AP68</f>
        <v>-15.6745410735523</v>
      </c>
      <c r="AR8" s="13" t="n">
        <f aca="false">-Funding!AQ68</f>
        <v>-12.0448078886423</v>
      </c>
      <c r="AS8" s="13" t="n">
        <f aca="false">-Funding!AR68</f>
        <v>-1.06586328799008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11.4105067631606</v>
      </c>
      <c r="BS8" s="18" t="n">
        <f aca="false">Waterfall!Q44</f>
        <v>8.90391114201729</v>
      </c>
      <c r="BT8" s="18" t="n">
        <f aca="false">Waterfall!R44</f>
        <v>9.86661134866095</v>
      </c>
      <c r="BU8" s="18" t="n">
        <f aca="false">Waterfall!S44</f>
        <v>9.00557190556034</v>
      </c>
      <c r="BV8" s="18" t="n">
        <f aca="false">Waterfall!T44</f>
        <v>9.7763162483578</v>
      </c>
      <c r="BW8" s="18" t="n">
        <f aca="false">Waterfall!U44</f>
        <v>8.74168413334744</v>
      </c>
      <c r="BX8" s="18" t="n">
        <f aca="false">Waterfall!V44</f>
        <v>10.0116813789061</v>
      </c>
      <c r="BY8" s="18" t="n">
        <f aca="false">Waterfall!W44</f>
        <v>10.8469447239185</v>
      </c>
      <c r="BZ8" s="18" t="n">
        <f aca="false">Waterfall!X44</f>
        <v>9.76813387714838</v>
      </c>
      <c r="CA8" s="18" t="n">
        <f aca="false">Waterfall!Y44</f>
        <v>8.94999455387668</v>
      </c>
      <c r="CB8" s="18" t="n">
        <f aca="false">Waterfall!Z44</f>
        <v>9.69197428421597</v>
      </c>
      <c r="CC8" s="18" t="n">
        <f aca="false">Waterfall!AA44</f>
        <v>4.40652449517368</v>
      </c>
      <c r="CD8" s="18" t="n">
        <f aca="false">Waterfall!AB44</f>
        <v>5.21721017549682</v>
      </c>
      <c r="CE8" s="18" t="n">
        <f aca="false">Waterfall!AC44</f>
        <v>4.68389470643536</v>
      </c>
      <c r="CF8" s="18" t="n">
        <f aca="false">Waterfall!AD44</f>
        <v>5.87853712438882</v>
      </c>
      <c r="CG8" s="18" t="n">
        <f aca="false">Waterfall!AE44</f>
        <v>6.31352269323191</v>
      </c>
      <c r="CH8" s="18" t="n">
        <f aca="false">Waterfall!AF44</f>
        <v>7.02678272072754</v>
      </c>
      <c r="CI8" s="18" t="n">
        <f aca="false">Waterfall!AG44</f>
        <v>7.20728902525059</v>
      </c>
      <c r="CJ8" s="18" t="n">
        <f aca="false">Waterfall!AH44</f>
        <v>8.34528340446757</v>
      </c>
      <c r="CK8" s="18" t="n">
        <f aca="false">Waterfall!AI44</f>
        <v>8.8745354296356</v>
      </c>
      <c r="CL8" s="18" t="n">
        <f aca="false">Waterfall!AJ44</f>
        <v>10.3635081717974</v>
      </c>
      <c r="CM8" s="18" t="n">
        <f aca="false">Waterfall!AK44</f>
        <v>11.5914834251414</v>
      </c>
      <c r="CN8" s="18" t="n">
        <f aca="false">Waterfall!AL44</f>
        <v>20.3064826054374</v>
      </c>
      <c r="CO8" s="18" t="n">
        <f aca="false">Waterfall!AM44</f>
        <v>36.1614928451774</v>
      </c>
      <c r="CP8" s="18" t="n">
        <f aca="false">Waterfall!AN44</f>
        <v>31.3237597558931</v>
      </c>
      <c r="CQ8" s="18" t="n">
        <f aca="false">Waterfall!AO44</f>
        <v>50.6913261501648</v>
      </c>
      <c r="CR8" s="18" t="n">
        <f aca="false">Waterfall!AP44</f>
        <v>51.3901970401744</v>
      </c>
      <c r="CS8" s="18" t="n">
        <f aca="false">Waterfall!AQ44</f>
        <v>50.9756781429533</v>
      </c>
      <c r="CT8" s="18" t="n">
        <f aca="false">Waterfall!AR44</f>
        <v>51.5989019777388</v>
      </c>
      <c r="CU8" s="18" t="n">
        <f aca="false">Waterfall!AS44</f>
        <v>51.4095269231289</v>
      </c>
      <c r="CV8" s="18" t="n">
        <f aca="false">Waterfall!AT44</f>
        <v>53.7294617386417</v>
      </c>
      <c r="CW8" s="18" t="n">
        <f aca="false">Waterfall!AU44</f>
        <v>47.3625342674678</v>
      </c>
      <c r="CX8" s="18" t="n">
        <f aca="false">Waterfall!AV44</f>
        <v>44.4949406345085</v>
      </c>
      <c r="CY8" s="18" t="n">
        <f aca="false">Waterfall!AW44</f>
        <v>44.0705558465721</v>
      </c>
      <c r="CZ8" s="18" t="n">
        <f aca="false">Waterfall!AX44</f>
        <v>44.7453958769118</v>
      </c>
      <c r="DA8" s="18" t="n">
        <f aca="false">Waterfall!AY44</f>
        <v>44.2884733903584</v>
      </c>
      <c r="DB8" s="18" t="n">
        <f aca="false">Waterfall!AZ44</f>
        <v>44.9063635302614</v>
      </c>
      <c r="DC8" s="18" t="n">
        <f aca="false">Waterfall!BA44</f>
        <v>44.1137508122003</v>
      </c>
      <c r="DD8" s="18" t="n">
        <f aca="false">Waterfall!BB44</f>
        <v>45.3547308180577</v>
      </c>
      <c r="DE8" s="18" t="n">
        <f aca="false">Waterfall!BC44</f>
        <v>41.7571700277175</v>
      </c>
      <c r="DF8" s="18" t="n">
        <f aca="false">Waterfall!BD44</f>
        <v>35.2772999891451</v>
      </c>
      <c r="DG8" s="18" t="n">
        <f aca="false">Waterfall!BE44</f>
        <v>34.8275384629139</v>
      </c>
      <c r="DH8" s="18" t="n">
        <f aca="false">Waterfall!BF44</f>
        <v>35.5148728464817</v>
      </c>
      <c r="DI8" s="18" t="n">
        <f aca="false">Waterfall!BG44</f>
        <v>35.0300880947491</v>
      </c>
      <c r="DJ8" s="18" t="n">
        <f aca="false">Waterfall!BH44</f>
        <v>35.6539111834907</v>
      </c>
      <c r="DK8" s="18" t="n">
        <f aca="false">Waterfall!BI44</f>
        <v>35.375279877592</v>
      </c>
      <c r="DL8" s="18" t="n">
        <f aca="false">Waterfall!BJ44</f>
        <v>43.3813686361063</v>
      </c>
      <c r="DM8" s="18" t="n">
        <f aca="false">Waterfall!BK44</f>
        <v>38.1138097063292</v>
      </c>
      <c r="DN8" s="18" t="n">
        <f aca="false">Waterfall!BL44</f>
        <v>38.8438483990739</v>
      </c>
      <c r="DO8" s="18" t="n">
        <f aca="false">Waterfall!BM44</f>
        <v>55.3998187718369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1598.4349981371</v>
      </c>
      <c r="J9" s="13" t="n">
        <f aca="false">0</f>
        <v>0</v>
      </c>
      <c r="K9" s="13" t="n">
        <f aca="false">-Construction!J32</f>
        <v>-115.65976</v>
      </c>
      <c r="L9" s="13" t="n">
        <f aca="false">-Construction!K32</f>
        <v>-1.562912317</v>
      </c>
      <c r="M9" s="13" t="n">
        <f aca="false">-Construction!L32</f>
        <v>-2.260141917</v>
      </c>
      <c r="N9" s="13" t="n">
        <f aca="false">-Construction!M32</f>
        <v>-3.692693661</v>
      </c>
      <c r="O9" s="13" t="n">
        <f aca="false">-Construction!N32</f>
        <v>-5.770777981</v>
      </c>
      <c r="P9" s="13" t="n">
        <f aca="false">-Construction!O32</f>
        <v>-8.369233661</v>
      </c>
      <c r="Q9" s="13" t="n">
        <f aca="false">-Construction!P32</f>
        <v>-11.349975229</v>
      </c>
      <c r="R9" s="13" t="n">
        <f aca="false">-Construction!Q32</f>
        <v>-14.574236989</v>
      </c>
      <c r="S9" s="13" t="n">
        <f aca="false">-Construction!R32</f>
        <v>-17.905293917</v>
      </c>
      <c r="T9" s="13" t="n">
        <f aca="false">-Construction!S32</f>
        <v>-21.215263901</v>
      </c>
      <c r="U9" s="13" t="n">
        <f aca="false">-Construction!T32</f>
        <v>-24.385107741</v>
      </c>
      <c r="V9" s="13" t="n">
        <f aca="false">-Construction!U32</f>
        <v>-27.308710493</v>
      </c>
      <c r="W9" s="13" t="n">
        <f aca="false">-Construction!V32</f>
        <v>-29.892201245</v>
      </c>
      <c r="X9" s="13" t="n">
        <f aca="false">-Construction!W32</f>
        <v>-32.055313565</v>
      </c>
      <c r="Y9" s="13" t="n">
        <f aca="false">-Construction!X32</f>
        <v>-33.735466845</v>
      </c>
      <c r="Z9" s="13" t="n">
        <f aca="false">-Construction!Y32</f>
        <v>-34.882324509</v>
      </c>
      <c r="AA9" s="13" t="n">
        <f aca="false">-Construction!Z32</f>
        <v>-35.463916029</v>
      </c>
      <c r="AB9" s="13" t="n">
        <f aca="false">-Construction!AA32</f>
        <v>-36.721216029</v>
      </c>
      <c r="AC9" s="13" t="n">
        <f aca="false">-Construction!AB32</f>
        <v>-34.882324509</v>
      </c>
      <c r="AD9" s="13" t="n">
        <f aca="false">-Construction!AC32</f>
        <v>-33.735466845</v>
      </c>
      <c r="AE9" s="13" t="n">
        <f aca="false">-Construction!AD32</f>
        <v>-32.055313565</v>
      </c>
      <c r="AF9" s="13" t="n">
        <f aca="false">-Construction!AE32</f>
        <v>-29.892201245</v>
      </c>
      <c r="AG9" s="13" t="n">
        <f aca="false">-Construction!AF32</f>
        <v>-27.308710493</v>
      </c>
      <c r="AH9" s="13" t="n">
        <f aca="false">-Construction!AG32</f>
        <v>-24.385107741</v>
      </c>
      <c r="AI9" s="13" t="n">
        <f aca="false">-Construction!AH32</f>
        <v>-21.215263901</v>
      </c>
      <c r="AJ9" s="13" t="n">
        <f aca="false">-Construction!AI32</f>
        <v>-17.905293917</v>
      </c>
      <c r="AK9" s="13" t="n">
        <f aca="false">-Construction!AJ32</f>
        <v>-14.574236989</v>
      </c>
      <c r="AL9" s="13" t="n">
        <f aca="false">-Construction!AK32</f>
        <v>-11.349975229</v>
      </c>
      <c r="AM9" s="13" t="n">
        <f aca="false">-Construction!AL32</f>
        <v>-8.369233661</v>
      </c>
      <c r="AN9" s="13" t="n">
        <f aca="false">-Construction!AM32</f>
        <v>-5.770777981</v>
      </c>
      <c r="AO9" s="13" t="n">
        <f aca="false">-Construction!AN32</f>
        <v>-3.692693661</v>
      </c>
      <c r="AP9" s="13" t="n">
        <f aca="false">-Construction!AO32</f>
        <v>-2.260141917</v>
      </c>
      <c r="AQ9" s="13" t="n">
        <f aca="false">-Construction!AP32</f>
        <v>-54.624712317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50.272094271267</v>
      </c>
      <c r="BS9" s="18" t="n">
        <f aca="false">Waterfall!Q7</f>
        <v>50.1606970752772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51.0636231523816</v>
      </c>
      <c r="CQ9" s="18" t="n">
        <f aca="false">Waterfall!AO7</f>
        <v>50.6913261501648</v>
      </c>
      <c r="CR9" s="18" t="n">
        <f aca="false">Waterfall!AP7</f>
        <v>51.3901970401744</v>
      </c>
      <c r="CS9" s="18" t="n">
        <f aca="false">Waterfall!AQ7</f>
        <v>50.9756781429533</v>
      </c>
      <c r="CT9" s="18" t="n">
        <f aca="false">Waterfall!AR7</f>
        <v>51.5989019777388</v>
      </c>
      <c r="CU9" s="18" t="n">
        <f aca="false">Waterfall!AS7</f>
        <v>51.4095269231289</v>
      </c>
      <c r="CV9" s="18" t="n">
        <f aca="false">Waterfall!AT7</f>
        <v>53.7294617386417</v>
      </c>
      <c r="CW9" s="18" t="n">
        <f aca="false">Waterfall!AU7</f>
        <v>47.3625342674678</v>
      </c>
      <c r="CX9" s="18" t="n">
        <f aca="false">Waterfall!AV7</f>
        <v>44.4949406345085</v>
      </c>
      <c r="CY9" s="18" t="n">
        <f aca="false">Waterfall!AW7</f>
        <v>44.0705558465721</v>
      </c>
      <c r="CZ9" s="18" t="n">
        <f aca="false">Waterfall!AX7</f>
        <v>44.7453958769118</v>
      </c>
      <c r="DA9" s="18" t="n">
        <f aca="false">Waterfall!AY7</f>
        <v>44.2884733903584</v>
      </c>
      <c r="DB9" s="18" t="n">
        <f aca="false">Waterfall!AZ7</f>
        <v>44.9063635302614</v>
      </c>
      <c r="DC9" s="18" t="n">
        <f aca="false">Waterfall!BA7</f>
        <v>44.608719198809</v>
      </c>
      <c r="DD9" s="18" t="n">
        <f aca="false">Waterfall!BB7</f>
        <v>46.8558810727021</v>
      </c>
      <c r="DE9" s="18" t="n">
        <f aca="false">Waterfall!BC7</f>
        <v>43.2747431010597</v>
      </c>
      <c r="DF9" s="18" t="n">
        <f aca="false">Waterfall!BD7</f>
        <v>36.8114755493917</v>
      </c>
      <c r="DG9" s="18" t="n">
        <f aca="false">Waterfall!BE7</f>
        <v>36.3784981438697</v>
      </c>
      <c r="DH9" s="18" t="n">
        <f aca="false">Waterfall!BF7</f>
        <v>37.0828002690537</v>
      </c>
      <c r="DI9" s="18" t="n">
        <f aca="false">Waterfall!BG7</f>
        <v>36.6151688886859</v>
      </c>
      <c r="DJ9" s="18" t="n">
        <f aca="false">Waterfall!BH7</f>
        <v>37.2563330093593</v>
      </c>
      <c r="DK9" s="18" t="n">
        <f aca="false">Waterfall!BI7</f>
        <v>36.9952324489954</v>
      </c>
      <c r="DL9" s="18" t="n">
        <f aca="false">Waterfall!BJ7</f>
        <v>45.019043742144</v>
      </c>
      <c r="DM9" s="18" t="n">
        <f aca="false">Waterfall!BK7</f>
        <v>39.7694012343035</v>
      </c>
      <c r="DN9" s="18" t="n">
        <f aca="false">Waterfall!BL7</f>
        <v>40.5175523574444</v>
      </c>
      <c r="DO9" s="18" t="n">
        <f aca="false">Waterfall!BM7</f>
        <v>37.4586386098759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1844.90163572868</v>
      </c>
      <c r="J10" s="13" t="n">
        <f aca="false">0</f>
        <v>0</v>
      </c>
      <c r="K10" s="13" t="n">
        <f aca="false">-Construction!J32</f>
        <v>-115.65976</v>
      </c>
      <c r="L10" s="13" t="n">
        <f aca="false">-Construction!K32</f>
        <v>-1.562912317</v>
      </c>
      <c r="M10" s="13" t="n">
        <f aca="false">-Construction!L32</f>
        <v>-2.260141917</v>
      </c>
      <c r="N10" s="13" t="n">
        <f aca="false">-Construction!M32</f>
        <v>-3.692693661</v>
      </c>
      <c r="O10" s="13" t="n">
        <f aca="false">-Construction!N32</f>
        <v>-5.770777981</v>
      </c>
      <c r="P10" s="13" t="n">
        <f aca="false">-Construction!O32</f>
        <v>-8.369233661</v>
      </c>
      <c r="Q10" s="13" t="n">
        <f aca="false">-Construction!P32</f>
        <v>-11.349975229</v>
      </c>
      <c r="R10" s="13" t="n">
        <f aca="false">-Construction!Q32</f>
        <v>-14.574236989</v>
      </c>
      <c r="S10" s="13" t="n">
        <f aca="false">-Construction!R32</f>
        <v>-17.905293917</v>
      </c>
      <c r="T10" s="13" t="n">
        <f aca="false">-Construction!S32</f>
        <v>-21.215263901</v>
      </c>
      <c r="U10" s="13" t="n">
        <f aca="false">-Construction!T32</f>
        <v>-24.385107741</v>
      </c>
      <c r="V10" s="13" t="n">
        <f aca="false">-Construction!U32</f>
        <v>-27.308710493</v>
      </c>
      <c r="W10" s="13" t="n">
        <f aca="false">-Construction!V32</f>
        <v>-29.892201245</v>
      </c>
      <c r="X10" s="13" t="n">
        <f aca="false">-Construction!W32</f>
        <v>-32.055313565</v>
      </c>
      <c r="Y10" s="13" t="n">
        <f aca="false">-Construction!X32</f>
        <v>-33.735466845</v>
      </c>
      <c r="Z10" s="13" t="n">
        <f aca="false">-Construction!Y32</f>
        <v>-34.882324509</v>
      </c>
      <c r="AA10" s="13" t="n">
        <f aca="false">-Construction!Z32</f>
        <v>-35.463916029</v>
      </c>
      <c r="AB10" s="13" t="n">
        <f aca="false">-Construction!AA32</f>
        <v>-36.721216029</v>
      </c>
      <c r="AC10" s="13" t="n">
        <f aca="false">-Construction!AB32</f>
        <v>-34.882324509</v>
      </c>
      <c r="AD10" s="13" t="n">
        <f aca="false">-Construction!AC32</f>
        <v>-33.735466845</v>
      </c>
      <c r="AE10" s="13" t="n">
        <f aca="false">-Construction!AD32</f>
        <v>-32.055313565</v>
      </c>
      <c r="AF10" s="13" t="n">
        <f aca="false">-Construction!AE32</f>
        <v>-29.892201245</v>
      </c>
      <c r="AG10" s="13" t="n">
        <f aca="false">-Construction!AF32</f>
        <v>-27.308710493</v>
      </c>
      <c r="AH10" s="13" t="n">
        <f aca="false">-Construction!AG32</f>
        <v>-24.385107741</v>
      </c>
      <c r="AI10" s="13" t="n">
        <f aca="false">-Construction!AH32</f>
        <v>-21.215263901</v>
      </c>
      <c r="AJ10" s="13" t="n">
        <f aca="false">-Construction!AI32</f>
        <v>-17.905293917</v>
      </c>
      <c r="AK10" s="13" t="n">
        <f aca="false">-Construction!AJ32</f>
        <v>-14.574236989</v>
      </c>
      <c r="AL10" s="13" t="n">
        <f aca="false">-Construction!AK32</f>
        <v>-11.349975229</v>
      </c>
      <c r="AM10" s="13" t="n">
        <f aca="false">-Construction!AL32</f>
        <v>-8.369233661</v>
      </c>
      <c r="AN10" s="13" t="n">
        <f aca="false">-Construction!AM32</f>
        <v>-5.770777981</v>
      </c>
      <c r="AO10" s="13" t="n">
        <f aca="false">-Construction!AN32</f>
        <v>-3.692693661</v>
      </c>
      <c r="AP10" s="13" t="n">
        <f aca="false">-Construction!AO32</f>
        <v>-2.260141917</v>
      </c>
      <c r="AQ10" s="13" t="n">
        <f aca="false">-Construction!AP32</f>
        <v>-54.624712317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50.272094271267</v>
      </c>
      <c r="BS10" s="13" t="n">
        <f aca="false">Waterfall!Q7+Tax!Q27</f>
        <v>50.1606970752772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51.9872249530413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43.0259024475175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-34.2400917108206</v>
      </c>
      <c r="L11" s="13" t="n">
        <f aca="false">K11+L8</f>
        <v>-34.9555019473761</v>
      </c>
      <c r="M11" s="13" t="n">
        <f aca="false">L11+M8</f>
        <v>-35.8692714142407</v>
      </c>
      <c r="N11" s="13" t="n">
        <f aca="false">M11+N8</f>
        <v>-37.1639775505127</v>
      </c>
      <c r="O11" s="13" t="n">
        <f aca="false">N11+O8</f>
        <v>-39.031280567753</v>
      </c>
      <c r="P11" s="13" t="n">
        <f aca="false">O11+P8</f>
        <v>-41.6074241135379</v>
      </c>
      <c r="Q11" s="13" t="n">
        <f aca="false">P11+Q8</f>
        <v>-44.9701662028321</v>
      </c>
      <c r="R11" s="13" t="n">
        <f aca="false">Q11+R8</f>
        <v>-49.2403175082806</v>
      </c>
      <c r="S11" s="13" t="n">
        <f aca="false">R11+S8</f>
        <v>-54.4148474351708</v>
      </c>
      <c r="T11" s="13" t="n">
        <f aca="false">S11+T8</f>
        <v>-60.5102756145596</v>
      </c>
      <c r="U11" s="13" t="n">
        <f aca="false">T11+U8</f>
        <v>-67.4673931450213</v>
      </c>
      <c r="V11" s="13" t="n">
        <f aca="false">U11+V8</f>
        <v>-75.2511593631136</v>
      </c>
      <c r="W11" s="13" t="n">
        <f aca="false">V11+W8</f>
        <v>-83.7613457060467</v>
      </c>
      <c r="X11" s="13" t="n">
        <f aca="false">W11+X8</f>
        <v>-92.8754381152423</v>
      </c>
      <c r="Y11" s="13" t="n">
        <f aca="false">X11+Y8</f>
        <v>-102.489713899997</v>
      </c>
      <c r="Z11" s="13" t="n">
        <f aca="false">Y11+Z8</f>
        <v>-112.436642914627</v>
      </c>
      <c r="AA11" s="13" t="n">
        <f aca="false">Z11+AA8</f>
        <v>-122.592267015012</v>
      </c>
      <c r="AB11" s="13" t="n">
        <f aca="false">AA11+AB8</f>
        <v>-133.127453350751</v>
      </c>
      <c r="AC11" s="13" t="n">
        <f aca="false">AB11+AC8</f>
        <v>-143.175469338411</v>
      </c>
      <c r="AD11" s="13" t="n">
        <f aca="false">AC11+AD8</f>
        <v>-152.985075989434</v>
      </c>
      <c r="AE11" s="13" t="n">
        <f aca="false">AD11+AE8</f>
        <v>-162.361466720755</v>
      </c>
      <c r="AF11" s="13" t="n">
        <f aca="false">AE11+AF8</f>
        <v>-171.207987269203</v>
      </c>
      <c r="AG11" s="13" t="n">
        <f aca="false">AF11+AG8</f>
        <v>-179.372324872637</v>
      </c>
      <c r="AH11" s="13" t="n">
        <f aca="false">AG11+AH8</f>
        <v>-186.799592709896</v>
      </c>
      <c r="AI11" s="13" t="n">
        <f aca="false">AH11+AI8</f>
        <v>-193.399927255808</v>
      </c>
      <c r="AJ11" s="13" t="n">
        <f aca="false">AI11+AJ8</f>
        <v>-199.111468471121</v>
      </c>
      <c r="AK11" s="13" t="n">
        <f aca="false">AJ11+AK8</f>
        <v>-203.966400831045</v>
      </c>
      <c r="AL11" s="13" t="n">
        <f aca="false">AK11+AL8</f>
        <v>-207.947907463199</v>
      </c>
      <c r="AM11" s="13" t="n">
        <f aca="false">AL11+AM8</f>
        <v>-211.160990773066</v>
      </c>
      <c r="AN11" s="13" t="n">
        <f aca="false">AM11+AN8</f>
        <v>-213.685480003796</v>
      </c>
      <c r="AO11" s="13" t="n">
        <f aca="false">AN11+AO8</f>
        <v>-215.591599415295</v>
      </c>
      <c r="AP11" s="13" t="n">
        <f aca="false">AO11+AP8</f>
        <v>-217.182983681773</v>
      </c>
      <c r="AQ11" s="13" t="n">
        <f aca="false">AP11+AQ8</f>
        <v>-232.857524755325</v>
      </c>
      <c r="AR11" s="13" t="n">
        <f aca="false">AQ11+AR8</f>
        <v>-244.902332643968</v>
      </c>
      <c r="AS11" s="13" t="n">
        <f aca="false">AR11+AS8</f>
        <v>-245.968195931958</v>
      </c>
      <c r="AT11" s="13" t="n">
        <f aca="false">AS11+AT8</f>
        <v>-245.968195931958</v>
      </c>
      <c r="AU11" s="13" t="n">
        <f aca="false">AT11+AU8</f>
        <v>-245.968195931958</v>
      </c>
      <c r="AV11" s="13" t="n">
        <f aca="false">AU11+AV8</f>
        <v>-245.968195931958</v>
      </c>
      <c r="AW11" s="13" t="n">
        <f aca="false">AV11+AW8</f>
        <v>-245.968195931958</v>
      </c>
      <c r="AX11" s="13" t="n">
        <f aca="false">AW11+AX8</f>
        <v>-245.968195931958</v>
      </c>
      <c r="AY11" s="13" t="n">
        <f aca="false">AX11+AY8</f>
        <v>-245.968195931958</v>
      </c>
      <c r="AZ11" s="13" t="n">
        <f aca="false">AY11+AZ8</f>
        <v>-245.968195931958</v>
      </c>
      <c r="BA11" s="13" t="n">
        <f aca="false">AZ11+BA8</f>
        <v>-245.968195931958</v>
      </c>
      <c r="BB11" s="13" t="n">
        <f aca="false">BA11+BB8</f>
        <v>-245.968195931958</v>
      </c>
      <c r="BC11" s="13" t="n">
        <f aca="false">BB11+BC8</f>
        <v>-245.968195931958</v>
      </c>
      <c r="BD11" s="13" t="n">
        <f aca="false">BC11+BD8</f>
        <v>-245.968195931958</v>
      </c>
      <c r="BE11" s="13" t="n">
        <f aca="false">BD11+BE8</f>
        <v>-245.968195931958</v>
      </c>
      <c r="BF11" s="13" t="n">
        <f aca="false">BE11+BF8</f>
        <v>-245.968195931958</v>
      </c>
      <c r="BG11" s="13" t="n">
        <f aca="false">BF11+BG8</f>
        <v>-245.968195931958</v>
      </c>
      <c r="BH11" s="13" t="n">
        <f aca="false">BG11+BH8</f>
        <v>-245.968195931958</v>
      </c>
      <c r="BI11" s="13" t="n">
        <f aca="false">BH11+BI8</f>
        <v>-245.968195931958</v>
      </c>
      <c r="BJ11" s="13" t="n">
        <f aca="false">BI11+BJ8</f>
        <v>-245.968195931958</v>
      </c>
      <c r="BK11" s="13" t="n">
        <f aca="false">BJ11+BK8</f>
        <v>-245.968195931958</v>
      </c>
      <c r="BL11" s="13" t="n">
        <f aca="false">BK11+BL8</f>
        <v>-245.968195931958</v>
      </c>
      <c r="BM11" s="13" t="n">
        <f aca="false">BL11+BM8</f>
        <v>-245.968195931958</v>
      </c>
      <c r="BN11" s="13" t="n">
        <f aca="false">BM11+BN8</f>
        <v>-245.968195931958</v>
      </c>
      <c r="BO11" s="13" t="n">
        <f aca="false">BN11+BO8</f>
        <v>-245.968195931958</v>
      </c>
      <c r="BP11" s="13" t="n">
        <f aca="false">BO11+BP8</f>
        <v>-245.968195931958</v>
      </c>
      <c r="BQ11" s="13" t="n">
        <f aca="false">BP11+BQ8</f>
        <v>-245.968195931958</v>
      </c>
      <c r="BR11" s="13" t="n">
        <f aca="false">BQ11+BR8</f>
        <v>-234.557689168797</v>
      </c>
      <c r="BS11" s="13" t="n">
        <f aca="false">BR11+BS8</f>
        <v>-225.65377802678</v>
      </c>
      <c r="BT11" s="13" t="n">
        <f aca="false">BS11+BT8</f>
        <v>-215.787166678119</v>
      </c>
      <c r="BU11" s="13" t="n">
        <f aca="false">BT11+BU8</f>
        <v>-206.781594772559</v>
      </c>
      <c r="BV11" s="13" t="n">
        <f aca="false">BU11+BV8</f>
        <v>-197.005278524201</v>
      </c>
      <c r="BW11" s="13" t="n">
        <f aca="false">BV11+BW8</f>
        <v>-188.263594390853</v>
      </c>
      <c r="BX11" s="13" t="n">
        <f aca="false">BW11+BX8</f>
        <v>-178.251913011947</v>
      </c>
      <c r="BY11" s="13" t="n">
        <f aca="false">BX11+BY8</f>
        <v>-167.404968288029</v>
      </c>
      <c r="BZ11" s="13" t="n">
        <f aca="false">BY11+BZ8</f>
        <v>-157.63683441088</v>
      </c>
      <c r="CA11" s="13" t="n">
        <f aca="false">BZ11+CA8</f>
        <v>-148.686839857004</v>
      </c>
      <c r="CB11" s="13" t="n">
        <f aca="false">CA11+CB8</f>
        <v>-138.994865572788</v>
      </c>
      <c r="CC11" s="13" t="n">
        <f aca="false">CB11+CC8</f>
        <v>-134.588341077614</v>
      </c>
      <c r="CD11" s="13" t="n">
        <f aca="false">CC11+CD8</f>
        <v>-129.371130902117</v>
      </c>
      <c r="CE11" s="13" t="n">
        <f aca="false">CD11+CE8</f>
        <v>-124.687236195682</v>
      </c>
      <c r="CF11" s="13" t="n">
        <f aca="false">CE11+CF8</f>
        <v>-118.808699071293</v>
      </c>
      <c r="CG11" s="13" t="n">
        <f aca="false">CF11+CG8</f>
        <v>-112.495176378061</v>
      </c>
      <c r="CH11" s="13" t="n">
        <f aca="false">CG11+CH8</f>
        <v>-105.468393657334</v>
      </c>
      <c r="CI11" s="13" t="n">
        <f aca="false">CH11+CI8</f>
        <v>-98.261104632083</v>
      </c>
      <c r="CJ11" s="13" t="n">
        <f aca="false">CI11+CJ8</f>
        <v>-89.9158212276154</v>
      </c>
      <c r="CK11" s="13" t="n">
        <f aca="false">CJ11+CK8</f>
        <v>-81.0412857979798</v>
      </c>
      <c r="CL11" s="13" t="n">
        <f aca="false">CK11+CL8</f>
        <v>-70.6777776261824</v>
      </c>
      <c r="CM11" s="13" t="n">
        <f aca="false">CL11+CM8</f>
        <v>-59.0862942010409</v>
      </c>
      <c r="CN11" s="13" t="n">
        <f aca="false">CM11+CN8</f>
        <v>-38.7798115956036</v>
      </c>
      <c r="CO11" s="13" t="n">
        <f aca="false">CN11+CO8</f>
        <v>-2.61831875042618</v>
      </c>
      <c r="CP11" s="13" t="n">
        <f aca="false">CO11+CP8</f>
        <v>28.7054410054669</v>
      </c>
      <c r="CQ11" s="13" t="n">
        <f aca="false">CP11+CQ8</f>
        <v>79.3967671556317</v>
      </c>
      <c r="CR11" s="13" t="n">
        <f aca="false">CQ11+CR8</f>
        <v>130.786964195806</v>
      </c>
      <c r="CS11" s="13" t="n">
        <f aca="false">CR11+CS8</f>
        <v>181.76264233876</v>
      </c>
      <c r="CT11" s="13" t="n">
        <f aca="false">CS11+CT8</f>
        <v>233.361544316498</v>
      </c>
      <c r="CU11" s="13" t="n">
        <f aca="false">CT11+CU8</f>
        <v>284.771071239627</v>
      </c>
      <c r="CV11" s="13" t="n">
        <f aca="false">CU11+CV8</f>
        <v>338.500532978269</v>
      </c>
      <c r="CW11" s="13" t="n">
        <f aca="false">CV11+CW8</f>
        <v>385.863067245737</v>
      </c>
      <c r="CX11" s="13" t="n">
        <f aca="false">CW11+CX8</f>
        <v>430.358007880245</v>
      </c>
      <c r="CY11" s="13" t="n">
        <f aca="false">CX11+CY8</f>
        <v>474.428563726817</v>
      </c>
      <c r="CZ11" s="13" t="n">
        <f aca="false">CY11+CZ8</f>
        <v>519.173959603729</v>
      </c>
      <c r="DA11" s="13" t="n">
        <f aca="false">CZ11+DA8</f>
        <v>563.462432994088</v>
      </c>
      <c r="DB11" s="13" t="n">
        <f aca="false">DA11+DB8</f>
        <v>608.368796524349</v>
      </c>
      <c r="DC11" s="13" t="n">
        <f aca="false">DB11+DC8</f>
        <v>652.482547336549</v>
      </c>
      <c r="DD11" s="13" t="n">
        <f aca="false">DC11+DD8</f>
        <v>697.837278154607</v>
      </c>
      <c r="DE11" s="13" t="n">
        <f aca="false">DD11+DE8</f>
        <v>739.594448182324</v>
      </c>
      <c r="DF11" s="13" t="n">
        <f aca="false">DE11+DF8</f>
        <v>774.871748171469</v>
      </c>
      <c r="DG11" s="13" t="n">
        <f aca="false">DF11+DG8</f>
        <v>809.699286634383</v>
      </c>
      <c r="DH11" s="13" t="n">
        <f aca="false">DG11+DH8</f>
        <v>845.214159480865</v>
      </c>
      <c r="DI11" s="13" t="n">
        <f aca="false">DH11+DI8</f>
        <v>880.244247575614</v>
      </c>
      <c r="DJ11" s="13" t="n">
        <f aca="false">DI11+DJ8</f>
        <v>915.898158759105</v>
      </c>
      <c r="DK11" s="13" t="n">
        <f aca="false">DJ11+DK8</f>
        <v>951.273438636697</v>
      </c>
      <c r="DL11" s="13" t="n">
        <f aca="false">DK11+DL8</f>
        <v>994.654807272803</v>
      </c>
      <c r="DM11" s="13" t="n">
        <f aca="false">DL11+DM8</f>
        <v>1032.76861697913</v>
      </c>
      <c r="DN11" s="13" t="n">
        <f aca="false">DM11+DN8</f>
        <v>1071.61246537821</v>
      </c>
      <c r="DO11" s="13" t="n">
        <f aca="false">DN11+DO8</f>
        <v>1127.01228415004</v>
      </c>
      <c r="DP11" s="13" t="n">
        <f aca="false">DO11+DP8</f>
        <v>1127.01228415004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0.113399763895751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0.101229278825842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0.105469912875032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-82.4605288281002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935.843769364034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689.875573432076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245.968195931958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0.737169596054361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69.473671975374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22.5730675906282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22.4554499152141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40.8397629577698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1.49880108324396E-013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4.9960036108132E-014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1.23095950197485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1.38851606708253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1.30661689996055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1.71342239693386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0.113399763895751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0.101229278825842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-82.4605288281002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2026-10-03T23:21:22Z</dcterms:created>
  <dc:creator>openpyxl</dc:creator>
  <dc:description/>
  <dc:language>en-US</dc:language>
  <cp:lastModifiedBy/>
  <dcterms:modified xsi:type="dcterms:W3CDTF">2026-10-03T23:21:23Z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