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<sst xmlns="http://schemas.openxmlformats.org/spreadsheetml/2006/main" count="3624" uniqueCount="2028">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</sst>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8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6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2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44501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53631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39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44501</v>
      </c>
      <c r="K28" s="10" t="n">
        <f aca="false">MAX(K22,$F$8)</f>
        <v>44501</v>
      </c>
      <c r="L28" s="10" t="n">
        <f aca="false">MAX(L22,$F$8)</f>
        <v>44501</v>
      </c>
      <c r="M28" s="10" t="n">
        <f aca="false">MAX(M22,$F$8)</f>
        <v>44501</v>
      </c>
      <c r="N28" s="10" t="n">
        <f aca="false">MAX(N22,$F$8)</f>
        <v>44501</v>
      </c>
      <c r="O28" s="10" t="n">
        <f aca="false">MAX(O22,$F$8)</f>
        <v>44501</v>
      </c>
      <c r="P28" s="10" t="n">
        <f aca="false">MAX(P22,$F$8)</f>
        <v>44501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53631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2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4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61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123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2</v>
      </c>
      <c r="R32" s="9" t="n">
        <f aca="false">MIN(MAX((YEAR(R22)-YEAR($F$8))*12+MONTH(R22)-MONTH($F$8),0),$F$9)</f>
        <v>8</v>
      </c>
      <c r="S32" s="9" t="n">
        <f aca="false">MIN(MAX((YEAR(S22)-YEAR($F$8))*12+MONTH(S22)-MONTH($F$8),0),$F$9)</f>
        <v>14</v>
      </c>
      <c r="T32" s="9" t="n">
        <f aca="false">MIN(MAX((YEAR(T22)-YEAR($F$8))*12+MONTH(T22)-MONTH($F$8),0),$F$9)</f>
        <v>20</v>
      </c>
      <c r="U32" s="9" t="n">
        <f aca="false">MIN(MAX((YEAR(U22)-YEAR($F$8))*12+MONTH(U22)-MONTH($F$8),0),$F$9)</f>
        <v>26</v>
      </c>
      <c r="V32" s="9" t="n">
        <f aca="false">MIN(MAX((YEAR(V22)-YEAR($F$8))*12+MONTH(V22)-MONTH($F$8),0),$F$9)</f>
        <v>32</v>
      </c>
      <c r="W32" s="9" t="n">
        <f aca="false">MIN(MAX((YEAR(W22)-YEAR($F$8))*12+MONTH(W22)-MONTH($F$8),0),$F$9)</f>
        <v>38</v>
      </c>
      <c r="X32" s="9" t="n">
        <f aca="false">MIN(MAX((YEAR(X22)-YEAR($F$8))*12+MONTH(X22)-MONTH($F$8),0),$F$9)</f>
        <v>44</v>
      </c>
      <c r="Y32" s="9" t="n">
        <f aca="false">MIN(MAX((YEAR(Y22)-YEAR($F$8))*12+MONTH(Y22)-MONTH($F$8),0),$F$9)</f>
        <v>50</v>
      </c>
      <c r="Z32" s="9" t="n">
        <f aca="false">MIN(MAX((YEAR(Z22)-YEAR($F$8))*12+MONTH(Z22)-MONTH($F$8),0),$F$9)</f>
        <v>56</v>
      </c>
      <c r="AA32" s="9" t="n">
        <f aca="false">MIN(MAX((YEAR(AA22)-YEAR($F$8))*12+MONTH(AA22)-MONTH($F$8),0),$F$9)</f>
        <v>62</v>
      </c>
      <c r="AB32" s="9" t="n">
        <f aca="false">MIN(MAX((YEAR(AB22)-YEAR($F$8))*12+MONTH(AB22)-MONTH($F$8),0),$F$9)</f>
        <v>68</v>
      </c>
      <c r="AC32" s="9" t="n">
        <f aca="false">MIN(MAX((YEAR(AC22)-YEAR($F$8))*12+MONTH(AC22)-MONTH($F$8),0),$F$9)</f>
        <v>74</v>
      </c>
      <c r="AD32" s="9" t="n">
        <f aca="false">MIN(MAX((YEAR(AD22)-YEAR($F$8))*12+MONTH(AD22)-MONTH($F$8),0),$F$9)</f>
        <v>80</v>
      </c>
      <c r="AE32" s="9" t="n">
        <f aca="false">MIN(MAX((YEAR(AE22)-YEAR($F$8))*12+MONTH(AE22)-MONTH($F$8),0),$F$9)</f>
        <v>86</v>
      </c>
      <c r="AF32" s="9" t="n">
        <f aca="false">MIN(MAX((YEAR(AF22)-YEAR($F$8))*12+MONTH(AF22)-MONTH($F$8),0),$F$9)</f>
        <v>92</v>
      </c>
      <c r="AG32" s="9" t="n">
        <f aca="false">MIN(MAX((YEAR(AG22)-YEAR($F$8))*12+MONTH(AG22)-MONTH($F$8),0),$F$9)</f>
        <v>98</v>
      </c>
      <c r="AH32" s="9" t="n">
        <f aca="false">MIN(MAX((YEAR(AH22)-YEAR($F$8))*12+MONTH(AH22)-MONTH($F$8),0),$F$9)</f>
        <v>104</v>
      </c>
      <c r="AI32" s="9" t="n">
        <f aca="false">MIN(MAX((YEAR(AI22)-YEAR($F$8))*12+MONTH(AI22)-MONTH($F$8),0),$F$9)</f>
        <v>110</v>
      </c>
      <c r="AJ32" s="9" t="n">
        <f aca="false">MIN(MAX((YEAR(AJ22)-YEAR($F$8))*12+MONTH(AJ22)-MONTH($F$8),0),$F$9)</f>
        <v>116</v>
      </c>
      <c r="AK32" s="9" t="n">
        <f aca="false">MIN(MAX((YEAR(AK22)-YEAR($F$8))*12+MONTH(AK22)-MONTH($F$8),0),$F$9)</f>
        <v>122</v>
      </c>
      <c r="AL32" s="9" t="n">
        <f aca="false">MIN(MAX((YEAR(AL22)-YEAR($F$8))*12+MONTH(AL22)-MONTH($F$8),0),$F$9)</f>
        <v>128</v>
      </c>
      <c r="AM32" s="9" t="n">
        <f aca="false">MIN(MAX((YEAR(AM22)-YEAR($F$8))*12+MONTH(AM22)-MONTH($F$8),0),$F$9)</f>
        <v>134</v>
      </c>
      <c r="AN32" s="9" t="n">
        <f aca="false">MIN(MAX((YEAR(AN22)-YEAR($F$8))*12+MONTH(AN22)-MONTH($F$8),0),$F$9)</f>
        <v>140</v>
      </c>
      <c r="AO32" s="9" t="n">
        <f aca="false">MIN(MAX((YEAR(AO22)-YEAR($F$8))*12+MONTH(AO22)-MONTH($F$8),0),$F$9)</f>
        <v>146</v>
      </c>
      <c r="AP32" s="9" t="n">
        <f aca="false">MIN(MAX((YEAR(AP22)-YEAR($F$8))*12+MONTH(AP22)-MONTH($F$8),0),$F$9)</f>
        <v>152</v>
      </c>
      <c r="AQ32" s="9" t="n">
        <f aca="false">MIN(MAX((YEAR(AQ22)-YEAR($F$8))*12+MONTH(AQ22)-MONTH($F$8),0),$F$9)</f>
        <v>158</v>
      </c>
      <c r="AR32" s="9" t="n">
        <f aca="false">MIN(MAX((YEAR(AR22)-YEAR($F$8))*12+MONTH(AR22)-MONTH($F$8),0),$F$9)</f>
        <v>164</v>
      </c>
      <c r="AS32" s="9" t="n">
        <f aca="false">MIN(MAX((YEAR(AS22)-YEAR($F$8))*12+MONTH(AS22)-MONTH($F$8),0),$F$9)</f>
        <v>170</v>
      </c>
      <c r="AT32" s="9" t="n">
        <f aca="false">MIN(MAX((YEAR(AT22)-YEAR($F$8))*12+MONTH(AT22)-MONTH($F$8),0),$F$9)</f>
        <v>176</v>
      </c>
      <c r="AU32" s="9" t="n">
        <f aca="false">MIN(MAX((YEAR(AU22)-YEAR($F$8))*12+MONTH(AU22)-MONTH($F$8),0),$F$9)</f>
        <v>182</v>
      </c>
      <c r="AV32" s="9" t="n">
        <f aca="false">MIN(MAX((YEAR(AV22)-YEAR($F$8))*12+MONTH(AV22)-MONTH($F$8),0),$F$9)</f>
        <v>188</v>
      </c>
      <c r="AW32" s="9" t="n">
        <f aca="false">MIN(MAX((YEAR(AW22)-YEAR($F$8))*12+MONTH(AW22)-MONTH($F$8),0),$F$9)</f>
        <v>194</v>
      </c>
      <c r="AX32" s="9" t="n">
        <f aca="false">MIN(MAX((YEAR(AX22)-YEAR($F$8))*12+MONTH(AX22)-MONTH($F$8),0),$F$9)</f>
        <v>200</v>
      </c>
      <c r="AY32" s="9" t="n">
        <f aca="false">MIN(MAX((YEAR(AY22)-YEAR($F$8))*12+MONTH(AY22)-MONTH($F$8),0),$F$9)</f>
        <v>206</v>
      </c>
      <c r="AZ32" s="9" t="n">
        <f aca="false">MIN(MAX((YEAR(AZ22)-YEAR($F$8))*12+MONTH(AZ22)-MONTH($F$8),0),$F$9)</f>
        <v>212</v>
      </c>
      <c r="BA32" s="9" t="n">
        <f aca="false">MIN(MAX((YEAR(BA22)-YEAR($F$8))*12+MONTH(BA22)-MONTH($F$8),0),$F$9)</f>
        <v>218</v>
      </c>
      <c r="BB32" s="9" t="n">
        <f aca="false">MIN(MAX((YEAR(BB22)-YEAR($F$8))*12+MONTH(BB22)-MONTH($F$8),0),$F$9)</f>
        <v>224</v>
      </c>
      <c r="BC32" s="9" t="n">
        <f aca="false">MIN(MAX((YEAR(BC22)-YEAR($F$8))*12+MONTH(BC22)-MONTH($F$8),0),$F$9)</f>
        <v>230</v>
      </c>
      <c r="BD32" s="9" t="n">
        <f aca="false">MIN(MAX((YEAR(BD22)-YEAR($F$8))*12+MONTH(BD22)-MONTH($F$8),0),$F$9)</f>
        <v>236</v>
      </c>
      <c r="BE32" s="9" t="n">
        <f aca="false">MIN(MAX((YEAR(BE22)-YEAR($F$8))*12+MONTH(BE22)-MONTH($F$8),0),$F$9)</f>
        <v>242</v>
      </c>
      <c r="BF32" s="9" t="n">
        <f aca="false">MIN(MAX((YEAR(BF22)-YEAR($F$8))*12+MONTH(BF22)-MONTH($F$8),0),$F$9)</f>
        <v>248</v>
      </c>
      <c r="BG32" s="9" t="n">
        <f aca="false">MIN(MAX((YEAR(BG22)-YEAR($F$8))*12+MONTH(BG22)-MONTH($F$8),0),$F$9)</f>
        <v>254</v>
      </c>
      <c r="BH32" s="9" t="n">
        <f aca="false">MIN(MAX((YEAR(BH22)-YEAR($F$8))*12+MONTH(BH22)-MONTH($F$8),0),$F$9)</f>
        <v>260</v>
      </c>
      <c r="BI32" s="9" t="n">
        <f aca="false">MIN(MAX((YEAR(BI22)-YEAR($F$8))*12+MONTH(BI22)-MONTH($F$8),0),$F$9)</f>
        <v>266</v>
      </c>
      <c r="BJ32" s="9" t="n">
        <f aca="false">MIN(MAX((YEAR(BJ22)-YEAR($F$8))*12+MONTH(BJ22)-MONTH($F$8),0),$F$9)</f>
        <v>272</v>
      </c>
      <c r="BK32" s="9" t="n">
        <f aca="false">MIN(MAX((YEAR(BK22)-YEAR($F$8))*12+MONTH(BK22)-MONTH($F$8),0),$F$9)</f>
        <v>278</v>
      </c>
      <c r="BL32" s="9" t="n">
        <f aca="false">MIN(MAX((YEAR(BL22)-YEAR($F$8))*12+MONTH(BL22)-MONTH($F$8),0),$F$9)</f>
        <v>284</v>
      </c>
      <c r="BM32" s="9" t="n">
        <f aca="false">MIN(MAX((YEAR(BM22)-YEAR($F$8))*12+MONTH(BM22)-MONTH($F$8),0),$F$9)</f>
        <v>290</v>
      </c>
      <c r="BN32" s="9" t="n">
        <f aca="false">MIN(MAX((YEAR(BN22)-YEAR($F$8))*12+MONTH(BN22)-MONTH($F$8),0),$F$9)</f>
        <v>296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2</v>
      </c>
      <c r="Q33" s="9" t="n">
        <f aca="false">Q32+Q30</f>
        <v>8</v>
      </c>
      <c r="R33" s="9" t="n">
        <f aca="false">R32+R30</f>
        <v>14</v>
      </c>
      <c r="S33" s="9" t="n">
        <f aca="false">S32+S30</f>
        <v>20</v>
      </c>
      <c r="T33" s="9" t="n">
        <f aca="false">T32+T30</f>
        <v>26</v>
      </c>
      <c r="U33" s="9" t="n">
        <f aca="false">U32+U30</f>
        <v>32</v>
      </c>
      <c r="V33" s="9" t="n">
        <f aca="false">V32+V30</f>
        <v>38</v>
      </c>
      <c r="W33" s="9" t="n">
        <f aca="false">W32+W30</f>
        <v>44</v>
      </c>
      <c r="X33" s="9" t="n">
        <f aca="false">X32+X30</f>
        <v>50</v>
      </c>
      <c r="Y33" s="9" t="n">
        <f aca="false">Y32+Y30</f>
        <v>56</v>
      </c>
      <c r="Z33" s="9" t="n">
        <f aca="false">Z32+Z30</f>
        <v>62</v>
      </c>
      <c r="AA33" s="9" t="n">
        <f aca="false">AA32+AA30</f>
        <v>68</v>
      </c>
      <c r="AB33" s="9" t="n">
        <f aca="false">AB32+AB30</f>
        <v>74</v>
      </c>
      <c r="AC33" s="9" t="n">
        <f aca="false">AC32+AC30</f>
        <v>80</v>
      </c>
      <c r="AD33" s="9" t="n">
        <f aca="false">AD32+AD30</f>
        <v>86</v>
      </c>
      <c r="AE33" s="9" t="n">
        <f aca="false">AE32+AE30</f>
        <v>92</v>
      </c>
      <c r="AF33" s="9" t="n">
        <f aca="false">AF32+AF30</f>
        <v>98</v>
      </c>
      <c r="AG33" s="9" t="n">
        <f aca="false">AG32+AG30</f>
        <v>104</v>
      </c>
      <c r="AH33" s="9" t="n">
        <f aca="false">AH32+AH30</f>
        <v>110</v>
      </c>
      <c r="AI33" s="9" t="n">
        <f aca="false">AI32+AI30</f>
        <v>116</v>
      </c>
      <c r="AJ33" s="9" t="n">
        <f aca="false">AJ32+AJ30</f>
        <v>122</v>
      </c>
      <c r="AK33" s="9" t="n">
        <f aca="false">AK32+AK30</f>
        <v>128</v>
      </c>
      <c r="AL33" s="9" t="n">
        <f aca="false">AL32+AL30</f>
        <v>134</v>
      </c>
      <c r="AM33" s="9" t="n">
        <f aca="false">AM32+AM30</f>
        <v>140</v>
      </c>
      <c r="AN33" s="9" t="n">
        <f aca="false">AN32+AN30</f>
        <v>146</v>
      </c>
      <c r="AO33" s="9" t="n">
        <f aca="false">AO32+AO30</f>
        <v>152</v>
      </c>
      <c r="AP33" s="9" t="n">
        <f aca="false">AP32+AP30</f>
        <v>158</v>
      </c>
      <c r="AQ33" s="9" t="n">
        <f aca="false">AQ32+AQ30</f>
        <v>164</v>
      </c>
      <c r="AR33" s="9" t="n">
        <f aca="false">AR32+AR30</f>
        <v>170</v>
      </c>
      <c r="AS33" s="9" t="n">
        <f aca="false">AS32+AS30</f>
        <v>176</v>
      </c>
      <c r="AT33" s="9" t="n">
        <f aca="false">AT32+AT30</f>
        <v>182</v>
      </c>
      <c r="AU33" s="9" t="n">
        <f aca="false">AU32+AU30</f>
        <v>188</v>
      </c>
      <c r="AV33" s="9" t="n">
        <f aca="false">AV32+AV30</f>
        <v>194</v>
      </c>
      <c r="AW33" s="9" t="n">
        <f aca="false">AW32+AW30</f>
        <v>200</v>
      </c>
      <c r="AX33" s="9" t="n">
        <f aca="false">AX32+AX30</f>
        <v>206</v>
      </c>
      <c r="AY33" s="9" t="n">
        <f aca="false">AY32+AY30</f>
        <v>212</v>
      </c>
      <c r="AZ33" s="9" t="n">
        <f aca="false">AZ32+AZ30</f>
        <v>218</v>
      </c>
      <c r="BA33" s="9" t="n">
        <f aca="false">BA32+BA30</f>
        <v>224</v>
      </c>
      <c r="BB33" s="9" t="n">
        <f aca="false">BB32+BB30</f>
        <v>230</v>
      </c>
      <c r="BC33" s="9" t="n">
        <f aca="false">BC32+BC30</f>
        <v>236</v>
      </c>
      <c r="BD33" s="9" t="n">
        <f aca="false">BD32+BD30</f>
        <v>242</v>
      </c>
      <c r="BE33" s="9" t="n">
        <f aca="false">BE32+BE30</f>
        <v>248</v>
      </c>
      <c r="BF33" s="9" t="n">
        <f aca="false">BF32+BF30</f>
        <v>254</v>
      </c>
      <c r="BG33" s="9" t="n">
        <f aca="false">BG32+BG30</f>
        <v>260</v>
      </c>
      <c r="BH33" s="9" t="n">
        <f aca="false">BH32+BH30</f>
        <v>266</v>
      </c>
      <c r="BI33" s="9" t="n">
        <f aca="false">BI32+BI30</f>
        <v>272</v>
      </c>
      <c r="BJ33" s="9" t="n">
        <f aca="false">BJ32+BJ30</f>
        <v>278</v>
      </c>
      <c r="BK33" s="9" t="n">
        <f aca="false">BK32+BK30</f>
        <v>284</v>
      </c>
      <c r="BL33" s="9" t="n">
        <f aca="false">BL32+BL30</f>
        <v>290</v>
      </c>
      <c r="BM33" s="9" t="n">
        <f aca="false">BM32+BM30</f>
        <v>296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1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0.0107999999999997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7.5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0.0617587199999983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42.888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53.7997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1.26995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1.26995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1.26995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1.26995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1.26995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1.26995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0.0708157894736842</v>
      </c>
      <c r="L26" s="13" t="n">
        <f aca="false">Inputs!$F$65*Inputs!$F$36*(Inputs!$F$244*IF(L8=1,1,0)+(1-Inputs!$F$244)/(Time!$F$11-1)*IF(AND(L8&gt;1,L8&lt;=Time!$F$11),1,0))</f>
        <v>0.0708157894736842</v>
      </c>
      <c r="M26" s="13" t="n">
        <f aca="false">Inputs!$F$65*Inputs!$F$36*(Inputs!$F$244*IF(M8=1,1,0)+(1-Inputs!$F$244)/(Time!$F$11-1)*IF(AND(M8&gt;1,M8&lt;=Time!$F$11),1,0))</f>
        <v>0.0708157894736842</v>
      </c>
      <c r="N26" s="13" t="n">
        <f aca="false">Inputs!$F$65*Inputs!$F$36*(Inputs!$F$244*IF(N8=1,1,0)+(1-Inputs!$F$244)/(Time!$F$11-1)*IF(AND(N8&gt;1,N8&lt;=Time!$F$11),1,0))</f>
        <v>0.0708157894736842</v>
      </c>
      <c r="O26" s="13" t="n">
        <f aca="false">Inputs!$F$65*Inputs!$F$36*(Inputs!$F$244*IF(O8=1,1,0)+(1-Inputs!$F$244)/(Time!$F$11-1)*IF(AND(O8&gt;1,O8&lt;=Time!$F$11),1,0))</f>
        <v>0.0708157894736842</v>
      </c>
      <c r="P26" s="13" t="n">
        <f aca="false">Inputs!$F$65*Inputs!$F$36*(Inputs!$F$244*IF(P8=1,1,0)+(1-Inputs!$F$244)/(Time!$F$11-1)*IF(AND(P8&gt;1,P8&lt;=Time!$F$11),1,0))</f>
        <v>0.0708157894736842</v>
      </c>
      <c r="Q26" s="13" t="n">
        <f aca="false">Inputs!$F$65*Inputs!$F$36*(Inputs!$F$244*IF(Q8=1,1,0)+(1-Inputs!$F$244)/(Time!$F$11-1)*IF(AND(Q8&gt;1,Q8&lt;=Time!$F$11),1,0))</f>
        <v>0.0708157894736842</v>
      </c>
      <c r="R26" s="13" t="n">
        <f aca="false">Inputs!$F$65*Inputs!$F$36*(Inputs!$F$244*IF(R8=1,1,0)+(1-Inputs!$F$244)/(Time!$F$11-1)*IF(AND(R8&gt;1,R8&lt;=Time!$F$11),1,0))</f>
        <v>0.0708157894736842</v>
      </c>
      <c r="S26" s="13" t="n">
        <f aca="false">Inputs!$F$65*Inputs!$F$36*(Inputs!$F$244*IF(S8=1,1,0)+(1-Inputs!$F$244)/(Time!$F$11-1)*IF(AND(S8&gt;1,S8&lt;=Time!$F$11),1,0))</f>
        <v>0.0708157894736842</v>
      </c>
      <c r="T26" s="13" t="n">
        <f aca="false">Inputs!$F$65*Inputs!$F$36*(Inputs!$F$244*IF(T8=1,1,0)+(1-Inputs!$F$244)/(Time!$F$11-1)*IF(AND(T8&gt;1,T8&lt;=Time!$F$11),1,0))</f>
        <v>0.0708157894736842</v>
      </c>
      <c r="U26" s="13" t="n">
        <f aca="false">Inputs!$F$65*Inputs!$F$36*(Inputs!$F$244*IF(U8=1,1,0)+(1-Inputs!$F$244)/(Time!$F$11-1)*IF(AND(U8&gt;1,U8&lt;=Time!$F$11),1,0))</f>
        <v>0.0708157894736842</v>
      </c>
      <c r="V26" s="13" t="n">
        <f aca="false">Inputs!$F$65*Inputs!$F$36*(Inputs!$F$244*IF(V8=1,1,0)+(1-Inputs!$F$244)/(Time!$F$11-1)*IF(AND(V8&gt;1,V8&lt;=Time!$F$11),1,0))</f>
        <v>0.0708157894736842</v>
      </c>
      <c r="W26" s="13" t="n">
        <f aca="false">Inputs!$F$65*Inputs!$F$36*(Inputs!$F$244*IF(W8=1,1,0)+(1-Inputs!$F$244)/(Time!$F$11-1)*IF(AND(W8&gt;1,W8&lt;=Time!$F$11),1,0))</f>
        <v>0.0708157894736842</v>
      </c>
      <c r="X26" s="13" t="n">
        <f aca="false">Inputs!$F$65*Inputs!$F$36*(Inputs!$F$244*IF(X8=1,1,0)+(1-Inputs!$F$244)/(Time!$F$11-1)*IF(AND(X8&gt;1,X8&lt;=Time!$F$11),1,0))</f>
        <v>0.0708157894736842</v>
      </c>
      <c r="Y26" s="13" t="n">
        <f aca="false">Inputs!$F$65*Inputs!$F$36*(Inputs!$F$244*IF(Y8=1,1,0)+(1-Inputs!$F$244)/(Time!$F$11-1)*IF(AND(Y8&gt;1,Y8&lt;=Time!$F$11),1,0))</f>
        <v>0.0708157894736842</v>
      </c>
      <c r="Z26" s="13" t="n">
        <f aca="false">Inputs!$F$65*Inputs!$F$36*(Inputs!$F$244*IF(Z8=1,1,0)+(1-Inputs!$F$244)/(Time!$F$11-1)*IF(AND(Z8&gt;1,Z8&lt;=Time!$F$11),1,0))</f>
        <v>0.0708157894736842</v>
      </c>
      <c r="AA26" s="13" t="n">
        <f aca="false">Inputs!$F$65*Inputs!$F$36*(Inputs!$F$244*IF(AA8=1,1,0)+(1-Inputs!$F$244)/(Time!$F$11-1)*IF(AND(AA8&gt;1,AA8&lt;=Time!$F$11),1,0))</f>
        <v>0.0708157894736842</v>
      </c>
      <c r="AB26" s="13" t="n">
        <f aca="false">Inputs!$F$65*Inputs!$F$36*(Inputs!$F$244*IF(AB8=1,1,0)+(1-Inputs!$F$244)/(Time!$F$11-1)*IF(AND(AB8&gt;1,AB8&lt;=Time!$F$11),1,0))</f>
        <v>0.0708157894736842</v>
      </c>
      <c r="AC26" s="13" t="n">
        <f aca="false">Inputs!$F$65*Inputs!$F$36*(Inputs!$F$244*IF(AC8=1,1,0)+(1-Inputs!$F$244)/(Time!$F$11-1)*IF(AND(AC8&gt;1,AC8&lt;=Time!$F$11),1,0))</f>
        <v>0.0708157894736842</v>
      </c>
      <c r="AD26" s="13" t="n">
        <f aca="false">Inputs!$F$65*Inputs!$F$36*(Inputs!$F$244*IF(AD8=1,1,0)+(1-Inputs!$F$244)/(Time!$F$11-1)*IF(AND(AD8&gt;1,AD8&lt;=Time!$F$11),1,0))</f>
        <v>0.0708157894736842</v>
      </c>
      <c r="AE26" s="13" t="n">
        <f aca="false">Inputs!$F$65*Inputs!$F$36*(Inputs!$F$244*IF(AE8=1,1,0)+(1-Inputs!$F$244)/(Time!$F$11-1)*IF(AND(AE8&gt;1,AE8&lt;=Time!$F$11),1,0))</f>
        <v>0.0708157894736842</v>
      </c>
      <c r="AF26" s="13" t="n">
        <f aca="false">Inputs!$F$65*Inputs!$F$36*(Inputs!$F$244*IF(AF8=1,1,0)+(1-Inputs!$F$244)/(Time!$F$11-1)*IF(AND(AF8&gt;1,AF8&lt;=Time!$F$11),1,0))</f>
        <v>0.0708157894736842</v>
      </c>
      <c r="AG26" s="13" t="n">
        <f aca="false">Inputs!$F$65*Inputs!$F$36*(Inputs!$F$244*IF(AG8=1,1,0)+(1-Inputs!$F$244)/(Time!$F$11-1)*IF(AND(AG8&gt;1,AG8&lt;=Time!$F$11),1,0))</f>
        <v>0.0708157894736842</v>
      </c>
      <c r="AH26" s="13" t="n">
        <f aca="false">Inputs!$F$65*Inputs!$F$36*(Inputs!$F$244*IF(AH8=1,1,0)+(1-Inputs!$F$244)/(Time!$F$11-1)*IF(AND(AH8&gt;1,AH8&lt;=Time!$F$11),1,0))</f>
        <v>0.0708157894736842</v>
      </c>
      <c r="AI26" s="13" t="n">
        <f aca="false">Inputs!$F$65*Inputs!$F$36*(Inputs!$F$244*IF(AI8=1,1,0)+(1-Inputs!$F$244)/(Time!$F$11-1)*IF(AND(AI8&gt;1,AI8&lt;=Time!$F$11),1,0))</f>
        <v>0.0708157894736842</v>
      </c>
      <c r="AJ26" s="13" t="n">
        <f aca="false">Inputs!$F$65*Inputs!$F$36*(Inputs!$F$244*IF(AJ8=1,1,0)+(1-Inputs!$F$244)/(Time!$F$11-1)*IF(AND(AJ8&gt;1,AJ8&lt;=Time!$F$11),1,0))</f>
        <v>0.0708157894736842</v>
      </c>
      <c r="AK26" s="13" t="n">
        <f aca="false">Inputs!$F$65*Inputs!$F$36*(Inputs!$F$244*IF(AK8=1,1,0)+(1-Inputs!$F$244)/(Time!$F$11-1)*IF(AND(AK8&gt;1,AK8&lt;=Time!$F$11),1,0))</f>
        <v>0.0708157894736842</v>
      </c>
      <c r="AL26" s="13" t="n">
        <f aca="false">Inputs!$F$65*Inputs!$F$36*(Inputs!$F$244*IF(AL8=1,1,0)+(1-Inputs!$F$244)/(Time!$F$11-1)*IF(AND(AL8&gt;1,AL8&lt;=Time!$F$11),1,0))</f>
        <v>0.0708157894736842</v>
      </c>
      <c r="AM26" s="13" t="n">
        <f aca="false">Inputs!$F$65*Inputs!$F$36*(Inputs!$F$244*IF(AM8=1,1,0)+(1-Inputs!$F$244)/(Time!$F$11-1)*IF(AND(AM8&gt;1,AM8&lt;=Time!$F$11),1,0))</f>
        <v>0.0708157894736842</v>
      </c>
      <c r="AN26" s="13" t="n">
        <f aca="false">Inputs!$F$65*Inputs!$F$36*(Inputs!$F$244*IF(AN8=1,1,0)+(1-Inputs!$F$244)/(Time!$F$11-1)*IF(AND(AN8&gt;1,AN8&lt;=Time!$F$11),1,0))</f>
        <v>0.0708157894736842</v>
      </c>
      <c r="AO26" s="13" t="n">
        <f aca="false">Inputs!$F$65*Inputs!$F$36*(Inputs!$F$244*IF(AO8=1,1,0)+(1-Inputs!$F$244)/(Time!$F$11-1)*IF(AND(AO8&gt;1,AO8&lt;=Time!$F$11),1,0))</f>
        <v>0.0708157894736842</v>
      </c>
      <c r="AP26" s="13" t="n">
        <f aca="false">Inputs!$F$65*Inputs!$F$36*(Inputs!$F$244*IF(AP8=1,1,0)+(1-Inputs!$F$244)/(Time!$F$11-1)*IF(AND(AP8&gt;1,AP8&lt;=Time!$F$11),1,0))</f>
        <v>0.0708157894736842</v>
      </c>
      <c r="AQ26" s="13" t="n">
        <f aca="false">Inputs!$F$65*Inputs!$F$36*(Inputs!$F$244*IF(AQ8=1,1,0)+(1-Inputs!$F$244)/(Time!$F$11-1)*IF(AND(AQ8&gt;1,AQ8&lt;=Time!$F$11),1,0))</f>
        <v>0.0708157894736842</v>
      </c>
      <c r="AR26" s="13" t="n">
        <f aca="false">Inputs!$F$65*Inputs!$F$36*(Inputs!$F$244*IF(AR8=1,1,0)+(1-Inputs!$F$244)/(Time!$F$11-1)*IF(AND(AR8&gt;1,AR8&lt;=Time!$F$11),1,0))</f>
        <v>0.0708157894736842</v>
      </c>
      <c r="AS26" s="13" t="n">
        <f aca="false">Inputs!$F$65*Inputs!$F$36*(Inputs!$F$244*IF(AS8=1,1,0)+(1-Inputs!$F$244)/(Time!$F$11-1)*IF(AND(AS8&gt;1,AS8&lt;=Time!$F$11),1,0))</f>
        <v>0.0708157894736842</v>
      </c>
      <c r="AT26" s="13" t="n">
        <f aca="false">Inputs!$F$65*Inputs!$F$36*(Inputs!$F$244*IF(AT8=1,1,0)+(1-Inputs!$F$244)/(Time!$F$11-1)*IF(AND(AT8&gt;1,AT8&lt;=Time!$F$11),1,0))</f>
        <v>0.0708157894736842</v>
      </c>
      <c r="AU26" s="13" t="n">
        <f aca="false">Inputs!$F$65*Inputs!$F$36*(Inputs!$F$244*IF(AU8=1,1,0)+(1-Inputs!$F$244)/(Time!$F$11-1)*IF(AND(AU8&gt;1,AU8&lt;=Time!$F$11),1,0))</f>
        <v>0.0708157894736842</v>
      </c>
      <c r="AV26" s="13" t="n">
        <f aca="false">Inputs!$F$65*Inputs!$F$36*(Inputs!$F$244*IF(AV8=1,1,0)+(1-Inputs!$F$244)/(Time!$F$11-1)*IF(AND(AV8&gt;1,AV8&lt;=Time!$F$11),1,0))</f>
        <v>0.0708157894736842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5.35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718.6097</v>
      </c>
      <c r="J32" s="13" t="n">
        <f aca="false">J22+J23+J24+J25+J26+J27+J28+J29-J31</f>
        <v>108.1116</v>
      </c>
      <c r="K32" s="13" t="n">
        <f aca="false">K22+K23+K24+K25+K26+K27+K28+K29-K31</f>
        <v>1.40755141856459</v>
      </c>
      <c r="L32" s="13" t="n">
        <f aca="false">L22+L23+L24+L25+L26+L27+L28+L29-L31</f>
        <v>2.04139650947368</v>
      </c>
      <c r="M32" s="13" t="n">
        <f aca="false">M22+M23+M24+M25+M26+M27+M28+M29-M31</f>
        <v>3.34371627674641</v>
      </c>
      <c r="N32" s="13" t="n">
        <f aca="false">N22+N23+N24+N25+N26+N27+N28+N29-N31</f>
        <v>5.23288384038278</v>
      </c>
      <c r="O32" s="13" t="n">
        <f aca="false">O22+O23+O24+O25+O26+O27+O28+O29-O31</f>
        <v>7.59511627674641</v>
      </c>
      <c r="P32" s="13" t="n">
        <f aca="false">P22+P23+P24+P25+P26+P27+P28+P29-P31</f>
        <v>10.3048813385646</v>
      </c>
      <c r="Q32" s="13" t="n">
        <f aca="false">Q22+Q23+Q24+Q25+Q26+Q27+Q28+Q29-Q31</f>
        <v>13.23602839311</v>
      </c>
      <c r="R32" s="13" t="n">
        <f aca="false">R22+R23+R24+R25+R26+R27+R28+R29-R31</f>
        <v>16.2642619640191</v>
      </c>
      <c r="S32" s="13" t="n">
        <f aca="false">S22+S23+S24+S25+S26+S27+S28+S29-S31</f>
        <v>19.2733255858373</v>
      </c>
      <c r="T32" s="13" t="n">
        <f aca="false">T22+T23+T24+T25+T26+T27+T28+T29-T31</f>
        <v>22.1550018040191</v>
      </c>
      <c r="U32" s="13" t="n">
        <f aca="false">U22+U23+U24+U25+U26+U27+U28+U29-U31</f>
        <v>24.8128224876555</v>
      </c>
      <c r="V32" s="13" t="n">
        <f aca="false">V22+V23+V24+V25+V26+V27+V28+V29-V31</f>
        <v>27.1614504440191</v>
      </c>
      <c r="W32" s="13" t="n">
        <f aca="false">W22+W23+W24+W25+W26+W27+W28+W29-W31</f>
        <v>29.1279161894737</v>
      </c>
      <c r="X32" s="13" t="n">
        <f aca="false">X22+X23+X24+X25+X26+X27+X28+X29-X31</f>
        <v>30.655328262201</v>
      </c>
      <c r="Y32" s="13" t="n">
        <f aca="false">Y22+Y23+Y24+Y25+Y26+Y27+Y28+Y29-Y31</f>
        <v>31.6979261385646</v>
      </c>
      <c r="Z32" s="13" t="n">
        <f aca="false">Z22+Z23+Z24+Z25+Z26+Z27+Z28+Z29-Z31</f>
        <v>32.226645702201</v>
      </c>
      <c r="AA32" s="13" t="n">
        <f aca="false">AA22+AA23+AA24+AA25+AA26+AA27+AA28+AA29-AA31</f>
        <v>33.369645702201</v>
      </c>
      <c r="AB32" s="13" t="n">
        <f aca="false">AB22+AB23+AB24+AB25+AB26+AB27+AB28+AB29-AB31</f>
        <v>31.6979261385646</v>
      </c>
      <c r="AC32" s="13" t="n">
        <f aca="false">AC22+AC23+AC24+AC25+AC26+AC27+AC28+AC29-AC31</f>
        <v>30.655328262201</v>
      </c>
      <c r="AD32" s="13" t="n">
        <f aca="false">AD22+AD23+AD24+AD25+AD26+AD27+AD28+AD29-AD31</f>
        <v>29.1279161894737</v>
      </c>
      <c r="AE32" s="13" t="n">
        <f aca="false">AE22+AE23+AE24+AE25+AE26+AE27+AE28+AE29-AE31</f>
        <v>27.1614504440191</v>
      </c>
      <c r="AF32" s="13" t="n">
        <f aca="false">AF22+AF23+AF24+AF25+AF26+AF27+AF28+AF29-AF31</f>
        <v>24.8128224876555</v>
      </c>
      <c r="AG32" s="13" t="n">
        <f aca="false">AG22+AG23+AG24+AG25+AG26+AG27+AG28+AG29-AG31</f>
        <v>22.1550018040191</v>
      </c>
      <c r="AH32" s="13" t="n">
        <f aca="false">AH22+AH23+AH24+AH25+AH26+AH27+AH28+AH29-AH31</f>
        <v>19.2733255858373</v>
      </c>
      <c r="AI32" s="13" t="n">
        <f aca="false">AI22+AI23+AI24+AI25+AI26+AI27+AI28+AI29-AI31</f>
        <v>16.2642619640191</v>
      </c>
      <c r="AJ32" s="13" t="n">
        <f aca="false">AJ22+AJ23+AJ24+AJ25+AJ26+AJ27+AJ28+AJ29-AJ31</f>
        <v>13.23602839311</v>
      </c>
      <c r="AK32" s="13" t="n">
        <f aca="false">AK22+AK23+AK24+AK25+AK26+AK27+AK28+AK29-AK31</f>
        <v>10.3048813385646</v>
      </c>
      <c r="AL32" s="13" t="n">
        <f aca="false">AL22+AL23+AL24+AL25+AL26+AL27+AL28+AL29-AL31</f>
        <v>7.59511627674641</v>
      </c>
      <c r="AM32" s="13" t="n">
        <f aca="false">AM22+AM23+AM24+AM25+AM26+AM27+AM28+AM29-AM31</f>
        <v>5.23288384038278</v>
      </c>
      <c r="AN32" s="13" t="n">
        <f aca="false">AN22+AN23+AN24+AN25+AN26+AN27+AN28+AN29-AN31</f>
        <v>3.34371627674641</v>
      </c>
      <c r="AO32" s="13" t="n">
        <f aca="false">AO22+AO23+AO24+AO25+AO26+AO27+AO28+AO29-AO31</f>
        <v>2.04139650947368</v>
      </c>
      <c r="AP32" s="13" t="n">
        <f aca="false">AP22+AP23+AP24+AP25+AP26+AP27+AP28+AP29-AP31</f>
        <v>1.40755141856459</v>
      </c>
      <c r="AQ32" s="13" t="n">
        <f aca="false">AQ22+AQ23+AQ24+AQ25+AQ26+AQ27+AQ28+AQ29-AQ31</f>
        <v>1.34076578947368</v>
      </c>
      <c r="AR32" s="13" t="n">
        <f aca="false">AR22+AR23+AR24+AR25+AR26+AR27+AR28+AR29-AR31</f>
        <v>1.34076578947368</v>
      </c>
      <c r="AS32" s="13" t="n">
        <f aca="false">AS22+AS23+AS24+AS25+AS26+AS27+AS28+AS29-AS31</f>
        <v>1.34076578947368</v>
      </c>
      <c r="AT32" s="13" t="n">
        <f aca="false">AT22+AT23+AT24+AT25+AT26+AT27+AT28+AT29-AT31</f>
        <v>1.34076578947368</v>
      </c>
      <c r="AU32" s="13" t="n">
        <f aca="false">AU22+AU23+AU24+AU25+AU26+AU27+AU28+AU29-AU31</f>
        <v>1.34076578947368</v>
      </c>
      <c r="AV32" s="13" t="n">
        <f aca="false">AV22+AV23+AV24+AV25+AV26+AV27+AV28+AV29-AV31</f>
        <v>49.5787657894737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4.63739018399987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3220.40985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0.834730233119977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579.673773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0.834730233119977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579.673773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832.813445177281</v>
      </c>
      <c r="AQ37" s="13" t="n">
        <f aca="false">AP37+AQ35-AQ36</f>
        <v>608.680648600921</v>
      </c>
      <c r="AR37" s="13" t="n">
        <f aca="false">AQ37+AR35-AR36</f>
        <v>422.157086416801</v>
      </c>
      <c r="AS37" s="13" t="n">
        <f aca="false">AR37+AS35-AS36</f>
        <v>273.482357117761</v>
      </c>
      <c r="AT37" s="13" t="n">
        <f aca="false">AS37+AT35-AT36</f>
        <v>161.443010272321</v>
      </c>
      <c r="AU37" s="13" t="n">
        <f aca="false">AT37+AU35-AU36</f>
        <v>83.2720697373606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579.673773</v>
      </c>
      <c r="AZ37" s="13" t="n">
        <f aca="false">AY37+AZ35-AZ36</f>
        <v>579.673773</v>
      </c>
      <c r="BA37" s="13" t="n">
        <f aca="false">AZ37+BA35-BA36</f>
        <v>579.673773</v>
      </c>
      <c r="BB37" s="13" t="n">
        <f aca="false">BA37+BB35-BB36</f>
        <v>579.673773</v>
      </c>
      <c r="BC37" s="13" t="n">
        <f aca="false">BB37+BC35-BC36</f>
        <v>579.673773</v>
      </c>
      <c r="BD37" s="13" t="n">
        <f aca="false">BC37+BD35-BD36</f>
        <v>579.673773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1.63076356999541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0.0189206644060081</v>
      </c>
      <c r="AR38" s="13" t="n">
        <f aca="false">AQ37*(AR18+Inputs!$F$71)/100*AR11/Inputs!$F$248/AR16</f>
        <v>0.0133262486709748</v>
      </c>
      <c r="AS38" s="13" t="n">
        <f aca="false">AR37*(AS18+Inputs!$F$71)/100*AS11/Inputs!$F$248/AS16</f>
        <v>0.00951049548862297</v>
      </c>
      <c r="AT38" s="13" t="n">
        <f aca="false">AS37*(AT18+Inputs!$F$71)/100*AT11/Inputs!$F$248/AT16</f>
        <v>0.00613519791375784</v>
      </c>
      <c r="AU38" s="13" t="n">
        <f aca="false">AT37*(AU18+Inputs!$F$71)/100*AU11/Inputs!$F$248/AU16</f>
        <v>0.00349018359651425</v>
      </c>
      <c r="AV38" s="13" t="n">
        <f aca="false">AU37*(AV18+Inputs!$F$71)/100*AV11/Inputs!$F$248/AV16</f>
        <v>0.00185241814840726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0.0114525044024139</v>
      </c>
      <c r="BA38" s="13" t="n">
        <f aca="false">AZ37*(BA18+Inputs!$F$71)/100*BA11/Inputs!$F$248/BA16</f>
        <v>0.0126262484997983</v>
      </c>
      <c r="BB38" s="13" t="n">
        <f aca="false">BA37*(BB18+Inputs!$F$71)/100*BB11/Inputs!$F$248/BB16</f>
        <v>0.0121675767972054</v>
      </c>
      <c r="BC38" s="13" t="n">
        <f aca="false">BB37*(BC18+Inputs!$F$71)/100*BC11/Inputs!$F$248/BC16</f>
        <v>0.0125203000751124</v>
      </c>
      <c r="BD38" s="13" t="n">
        <f aca="false">BC37*(BD18+Inputs!$F$71)/100*BD11/Inputs!$F$248/BD16</f>
        <v>0.0120654771439371</v>
      </c>
      <c r="BE38" s="13" t="n">
        <f aca="false">BD37*(BE18+Inputs!$F$71)/100*BE11/Inputs!$F$248/BE16</f>
        <v>0.0124152406768617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2</v>
      </c>
      <c r="Q30" s="9" t="n">
        <f aca="false">MIN(Time!Q33,Q29*12)-Time!Q32</f>
        <v>6</v>
      </c>
      <c r="R30" s="9" t="n">
        <f aca="false">MIN(Time!R33,R29*12)-Time!R32</f>
        <v>4</v>
      </c>
      <c r="S30" s="9" t="n">
        <f aca="false">MIN(Time!S33,S29*12)-Time!S32</f>
        <v>6</v>
      </c>
      <c r="T30" s="9" t="n">
        <f aca="false">MIN(Time!T33,T29*12)-Time!T32</f>
        <v>4</v>
      </c>
      <c r="U30" s="9" t="n">
        <f aca="false">MIN(Time!U33,U29*12)-Time!U32</f>
        <v>6</v>
      </c>
      <c r="V30" s="9" t="n">
        <f aca="false">MIN(Time!V33,V29*12)-Time!V32</f>
        <v>4</v>
      </c>
      <c r="W30" s="9" t="n">
        <f aca="false">MIN(Time!W33,W29*12)-Time!W32</f>
        <v>6</v>
      </c>
      <c r="X30" s="9" t="n">
        <f aca="false">MIN(Time!X33,X29*12)-Time!X32</f>
        <v>4</v>
      </c>
      <c r="Y30" s="9" t="n">
        <f aca="false">MIN(Time!Y33,Y29*12)-Time!Y32</f>
        <v>6</v>
      </c>
      <c r="Z30" s="9" t="n">
        <f aca="false">MIN(Time!Z33,Z29*12)-Time!Z32</f>
        <v>4</v>
      </c>
      <c r="AA30" s="9" t="n">
        <f aca="false">MIN(Time!AA33,AA29*12)-Time!AA32</f>
        <v>6</v>
      </c>
      <c r="AB30" s="9" t="n">
        <f aca="false">MIN(Time!AB33,AB29*12)-Time!AB32</f>
        <v>4</v>
      </c>
      <c r="AC30" s="9" t="n">
        <f aca="false">MIN(Time!AC33,AC29*12)-Time!AC32</f>
        <v>6</v>
      </c>
      <c r="AD30" s="9" t="n">
        <f aca="false">MIN(Time!AD33,AD29*12)-Time!AD32</f>
        <v>4</v>
      </c>
      <c r="AE30" s="9" t="n">
        <f aca="false">MIN(Time!AE33,AE29*12)-Time!AE32</f>
        <v>6</v>
      </c>
      <c r="AF30" s="9" t="n">
        <f aca="false">MIN(Time!AF33,AF29*12)-Time!AF32</f>
        <v>4</v>
      </c>
      <c r="AG30" s="9" t="n">
        <f aca="false">MIN(Time!AG33,AG29*12)-Time!AG32</f>
        <v>6</v>
      </c>
      <c r="AH30" s="9" t="n">
        <f aca="false">MIN(Time!AH33,AH29*12)-Time!AH32</f>
        <v>4</v>
      </c>
      <c r="AI30" s="9" t="n">
        <f aca="false">MIN(Time!AI33,AI29*12)-Time!AI32</f>
        <v>6</v>
      </c>
      <c r="AJ30" s="9" t="n">
        <f aca="false">MIN(Time!AJ33,AJ29*12)-Time!AJ32</f>
        <v>4</v>
      </c>
      <c r="AK30" s="9" t="n">
        <f aca="false">MIN(Time!AK33,AK29*12)-Time!AK32</f>
        <v>6</v>
      </c>
      <c r="AL30" s="9" t="n">
        <f aca="false">MIN(Time!AL33,AL29*12)-Time!AL32</f>
        <v>4</v>
      </c>
      <c r="AM30" s="9" t="n">
        <f aca="false">MIN(Time!AM33,AM29*12)-Time!AM32</f>
        <v>6</v>
      </c>
      <c r="AN30" s="9" t="n">
        <f aca="false">MIN(Time!AN33,AN29*12)-Time!AN32</f>
        <v>4</v>
      </c>
      <c r="AO30" s="9" t="n">
        <f aca="false">MIN(Time!AO33,AO29*12)-Time!AO32</f>
        <v>6</v>
      </c>
      <c r="AP30" s="9" t="n">
        <f aca="false">MIN(Time!AP33,AP29*12)-Time!AP32</f>
        <v>4</v>
      </c>
      <c r="AQ30" s="9" t="n">
        <f aca="false">MIN(Time!AQ33,AQ29*12)-Time!AQ32</f>
        <v>6</v>
      </c>
      <c r="AR30" s="9" t="n">
        <f aca="false">MIN(Time!AR33,AR29*12)-Time!AR32</f>
        <v>4</v>
      </c>
      <c r="AS30" s="9" t="n">
        <f aca="false">MIN(Time!AS33,AS29*12)-Time!AS32</f>
        <v>6</v>
      </c>
      <c r="AT30" s="9" t="n">
        <f aca="false">MIN(Time!AT33,AT29*12)-Time!AT32</f>
        <v>4</v>
      </c>
      <c r="AU30" s="9" t="n">
        <f aca="false">MIN(Time!AU33,AU29*12)-Time!AU32</f>
        <v>6</v>
      </c>
      <c r="AV30" s="9" t="n">
        <f aca="false">MIN(Time!AV33,AV29*12)-Time!AV32</f>
        <v>4</v>
      </c>
      <c r="AW30" s="9" t="n">
        <f aca="false">MIN(Time!AW33,AW29*12)-Time!AW32</f>
        <v>6</v>
      </c>
      <c r="AX30" s="9" t="n">
        <f aca="false">MIN(Time!AX33,AX29*12)-Time!AX32</f>
        <v>4</v>
      </c>
      <c r="AY30" s="9" t="n">
        <f aca="false">MIN(Time!AY33,AY29*12)-Time!AY32</f>
        <v>6</v>
      </c>
      <c r="AZ30" s="9" t="n">
        <f aca="false">MIN(Time!AZ33,AZ29*12)-Time!AZ32</f>
        <v>4</v>
      </c>
      <c r="BA30" s="9" t="n">
        <f aca="false">MIN(Time!BA33,BA29*12)-Time!BA32</f>
        <v>6</v>
      </c>
      <c r="BB30" s="9" t="n">
        <f aca="false">MIN(Time!BB33,BB29*12)-Time!BB32</f>
        <v>4</v>
      </c>
      <c r="BC30" s="9" t="n">
        <f aca="false">MIN(Time!BC33,BC29*12)-Time!BC32</f>
        <v>6</v>
      </c>
      <c r="BD30" s="9" t="n">
        <f aca="false">MIN(Time!BD33,BD29*12)-Time!BD32</f>
        <v>4</v>
      </c>
      <c r="BE30" s="9" t="n">
        <f aca="false">MIN(Time!BE33,BE29*12)-Time!BE32</f>
        <v>6</v>
      </c>
      <c r="BF30" s="9" t="n">
        <f aca="false">MIN(Time!BF33,BF29*12)-Time!BF32</f>
        <v>4</v>
      </c>
      <c r="BG30" s="9" t="n">
        <f aca="false">MIN(Time!BG33,BG29*12)-Time!BG32</f>
        <v>6</v>
      </c>
      <c r="BH30" s="9" t="n">
        <f aca="false">MIN(Time!BH33,BH29*12)-Time!BH32</f>
        <v>4</v>
      </c>
      <c r="BI30" s="9" t="n">
        <f aca="false">MIN(Time!BI33,BI29*12)-Time!BI32</f>
        <v>6</v>
      </c>
      <c r="BJ30" s="9" t="n">
        <f aca="false">MIN(Time!BJ33,BJ29*12)-Time!BJ32</f>
        <v>4</v>
      </c>
      <c r="BK30" s="9" t="n">
        <f aca="false">MIN(Time!BK33,BK29*12)-Time!BK32</f>
        <v>6</v>
      </c>
      <c r="BL30" s="9" t="n">
        <f aca="false">MIN(Time!BL33,BL29*12)-Time!BL32</f>
        <v>4</v>
      </c>
      <c r="BM30" s="9" t="n">
        <f aca="false">MIN(Time!BM33,BM29*12)-Time!BM32</f>
        <v>6</v>
      </c>
      <c r="BN30" s="9" t="n">
        <f aca="false">MIN(Time!BN33,BN29*12)-Time!BN32</f>
        <v>4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93.2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92.7333333333333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91.6666666666667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93.2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92.1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90.4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93.2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92.7333333333333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91.6666666666667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93.2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92.1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90.4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93.2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92.7333333333333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91.6666666666667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93.2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92.1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90.4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93.5</v>
      </c>
      <c r="S32" s="13" t="n">
        <f aca="false">IF(Time!S30&gt;0,S31+Inputs!$F$37,0)</f>
        <v>92.9</v>
      </c>
      <c r="T32" s="13" t="n">
        <f aca="false">IF(Time!T30&gt;0,T31+Inputs!$F$37,0)</f>
        <v>93.2</v>
      </c>
      <c r="U32" s="13" t="n">
        <f aca="false">IF(Time!U30&gt;0,U31+Inputs!$F$37,0)</f>
        <v>93.8</v>
      </c>
      <c r="V32" s="13" t="n">
        <f aca="false">IF(Time!V30&gt;0,V31+Inputs!$F$37,0)</f>
        <v>92.7333333333333</v>
      </c>
      <c r="W32" s="13" t="n">
        <f aca="false">IF(Time!W30&gt;0,W31+Inputs!$F$37,0)</f>
        <v>90.6</v>
      </c>
      <c r="X32" s="13" t="n">
        <f aca="false">IF(Time!X30&gt;0,X31+Inputs!$F$37,0)</f>
        <v>91.6666666666667</v>
      </c>
      <c r="Y32" s="13" t="n">
        <f aca="false">IF(Time!Y30&gt;0,Y31+Inputs!$F$37,0)</f>
        <v>93.8</v>
      </c>
      <c r="Z32" s="13" t="n">
        <f aca="false">IF(Time!Z30&gt;0,Z31+Inputs!$F$37,0)</f>
        <v>93.5</v>
      </c>
      <c r="AA32" s="13" t="n">
        <f aca="false">IF(Time!AA30&gt;0,AA31+Inputs!$F$37,0)</f>
        <v>92.9</v>
      </c>
      <c r="AB32" s="13" t="n">
        <f aca="false">IF(Time!AB30&gt;0,AB31+Inputs!$F$37,0)</f>
        <v>93.2</v>
      </c>
      <c r="AC32" s="13" t="n">
        <f aca="false">IF(Time!AC30&gt;0,AC31+Inputs!$F$37,0)</f>
        <v>93.8</v>
      </c>
      <c r="AD32" s="13" t="n">
        <f aca="false">IF(Time!AD30&gt;0,AD31+Inputs!$F$37,0)</f>
        <v>92.1</v>
      </c>
      <c r="AE32" s="13" t="n">
        <f aca="false">IF(Time!AE30&gt;0,AE31+Inputs!$F$37,0)</f>
        <v>88.7</v>
      </c>
      <c r="AF32" s="13" t="n">
        <f aca="false">IF(Time!AF30&gt;0,AF31+Inputs!$F$37,0)</f>
        <v>90.4</v>
      </c>
      <c r="AG32" s="13" t="n">
        <f aca="false">IF(Time!AG30&gt;0,AG31+Inputs!$F$37,0)</f>
        <v>93.8</v>
      </c>
      <c r="AH32" s="13" t="n">
        <f aca="false">IF(Time!AH30&gt;0,AH31+Inputs!$F$37,0)</f>
        <v>93.5</v>
      </c>
      <c r="AI32" s="13" t="n">
        <f aca="false">IF(Time!AI30&gt;0,AI31+Inputs!$F$37,0)</f>
        <v>92.9</v>
      </c>
      <c r="AJ32" s="13" t="n">
        <f aca="false">IF(Time!AJ30&gt;0,AJ31+Inputs!$F$37,0)</f>
        <v>93.2</v>
      </c>
      <c r="AK32" s="13" t="n">
        <f aca="false">IF(Time!AK30&gt;0,AK31+Inputs!$F$37,0)</f>
        <v>93.8</v>
      </c>
      <c r="AL32" s="13" t="n">
        <f aca="false">IF(Time!AL30&gt;0,AL31+Inputs!$F$37,0)</f>
        <v>92.7333333333333</v>
      </c>
      <c r="AM32" s="13" t="n">
        <f aca="false">IF(Time!AM30&gt;0,AM31+Inputs!$F$37,0)</f>
        <v>90.6</v>
      </c>
      <c r="AN32" s="13" t="n">
        <f aca="false">IF(Time!AN30&gt;0,AN31+Inputs!$F$37,0)</f>
        <v>91.6666666666667</v>
      </c>
      <c r="AO32" s="13" t="n">
        <f aca="false">IF(Time!AO30&gt;0,AO31+Inputs!$F$37,0)</f>
        <v>93.8</v>
      </c>
      <c r="AP32" s="13" t="n">
        <f aca="false">IF(Time!AP30&gt;0,AP31+Inputs!$F$37,0)</f>
        <v>93.5</v>
      </c>
      <c r="AQ32" s="13" t="n">
        <f aca="false">IF(Time!AQ30&gt;0,AQ31+Inputs!$F$37,0)</f>
        <v>92.9</v>
      </c>
      <c r="AR32" s="13" t="n">
        <f aca="false">IF(Time!AR30&gt;0,AR31+Inputs!$F$37,0)</f>
        <v>93.2</v>
      </c>
      <c r="AS32" s="13" t="n">
        <f aca="false">IF(Time!AS30&gt;0,AS31+Inputs!$F$37,0)</f>
        <v>93.8</v>
      </c>
      <c r="AT32" s="13" t="n">
        <f aca="false">IF(Time!AT30&gt;0,AT31+Inputs!$F$37,0)</f>
        <v>92.1</v>
      </c>
      <c r="AU32" s="13" t="n">
        <f aca="false">IF(Time!AU30&gt;0,AU31+Inputs!$F$37,0)</f>
        <v>88.7</v>
      </c>
      <c r="AV32" s="13" t="n">
        <f aca="false">IF(Time!AV30&gt;0,AV31+Inputs!$F$37,0)</f>
        <v>90.4</v>
      </c>
      <c r="AW32" s="13" t="n">
        <f aca="false">IF(Time!AW30&gt;0,AW31+Inputs!$F$37,0)</f>
        <v>93.8</v>
      </c>
      <c r="AX32" s="13" t="n">
        <f aca="false">IF(Time!AX30&gt;0,AX31+Inputs!$F$37,0)</f>
        <v>93.5</v>
      </c>
      <c r="AY32" s="13" t="n">
        <f aca="false">IF(Time!AY30&gt;0,AY31+Inputs!$F$37,0)</f>
        <v>92.9</v>
      </c>
      <c r="AZ32" s="13" t="n">
        <f aca="false">IF(Time!AZ30&gt;0,AZ31+Inputs!$F$37,0)</f>
        <v>93.2</v>
      </c>
      <c r="BA32" s="13" t="n">
        <f aca="false">IF(Time!BA30&gt;0,BA31+Inputs!$F$37,0)</f>
        <v>93.8</v>
      </c>
      <c r="BB32" s="13" t="n">
        <f aca="false">IF(Time!BB30&gt;0,BB31+Inputs!$F$37,0)</f>
        <v>92.7333333333333</v>
      </c>
      <c r="BC32" s="13" t="n">
        <f aca="false">IF(Time!BC30&gt;0,BC31+Inputs!$F$37,0)</f>
        <v>90.6</v>
      </c>
      <c r="BD32" s="13" t="n">
        <f aca="false">IF(Time!BD30&gt;0,BD31+Inputs!$F$37,0)</f>
        <v>91.6666666666667</v>
      </c>
      <c r="BE32" s="13" t="n">
        <f aca="false">IF(Time!BE30&gt;0,BE31+Inputs!$F$37,0)</f>
        <v>93.8</v>
      </c>
      <c r="BF32" s="13" t="n">
        <f aca="false">IF(Time!BF30&gt;0,BF31+Inputs!$F$37,0)</f>
        <v>93.5</v>
      </c>
      <c r="BG32" s="13" t="n">
        <f aca="false">IF(Time!BG30&gt;0,BG31+Inputs!$F$37,0)</f>
        <v>92.9</v>
      </c>
      <c r="BH32" s="13" t="n">
        <f aca="false">IF(Time!BH30&gt;0,BH31+Inputs!$F$37,0)</f>
        <v>93.2</v>
      </c>
      <c r="BI32" s="13" t="n">
        <f aca="false">IF(Time!BI30&gt;0,BI31+Inputs!$F$37,0)</f>
        <v>93.8</v>
      </c>
      <c r="BJ32" s="13" t="n">
        <f aca="false">IF(Time!BJ30&gt;0,BJ31+Inputs!$F$37,0)</f>
        <v>92.1</v>
      </c>
      <c r="BK32" s="13" t="n">
        <f aca="false">IF(Time!BK30&gt;0,BK31+Inputs!$F$37,0)</f>
        <v>88.7</v>
      </c>
      <c r="BL32" s="13" t="n">
        <f aca="false">IF(Time!BL30&gt;0,BL31+Inputs!$F$37,0)</f>
        <v>90.4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0.0833333333333333</v>
      </c>
      <c r="Q33" s="13" t="n">
        <f aca="false">IF(Time!Q30&gt;0,AVERAGE(Time!Q32,Time!Q33)/12,0)</f>
        <v>0.416666666666667</v>
      </c>
      <c r="R33" s="13" t="n">
        <f aca="false">IF(Time!R30&gt;0,AVERAGE(Time!R32,Time!R33)/12,0)</f>
        <v>0.916666666666667</v>
      </c>
      <c r="S33" s="13" t="n">
        <f aca="false">IF(Time!S30&gt;0,AVERAGE(Time!S32,Time!S33)/12,0)</f>
        <v>1.41666666666667</v>
      </c>
      <c r="T33" s="13" t="n">
        <f aca="false">IF(Time!T30&gt;0,AVERAGE(Time!T32,Time!T33)/12,0)</f>
        <v>1.91666666666667</v>
      </c>
      <c r="U33" s="13" t="n">
        <f aca="false">IF(Time!U30&gt;0,AVERAGE(Time!U32,Time!U33)/12,0)</f>
        <v>2.41666666666667</v>
      </c>
      <c r="V33" s="13" t="n">
        <f aca="false">IF(Time!V30&gt;0,AVERAGE(Time!V32,Time!V33)/12,0)</f>
        <v>2.91666666666667</v>
      </c>
      <c r="W33" s="13" t="n">
        <f aca="false">IF(Time!W30&gt;0,AVERAGE(Time!W32,Time!W33)/12,0)</f>
        <v>3.41666666666667</v>
      </c>
      <c r="X33" s="13" t="n">
        <f aca="false">IF(Time!X30&gt;0,AVERAGE(Time!X32,Time!X33)/12,0)</f>
        <v>3.91666666666667</v>
      </c>
      <c r="Y33" s="13" t="n">
        <f aca="false">IF(Time!Y30&gt;0,AVERAGE(Time!Y32,Time!Y33)/12,0)</f>
        <v>4.41666666666667</v>
      </c>
      <c r="Z33" s="13" t="n">
        <f aca="false">IF(Time!Z30&gt;0,AVERAGE(Time!Z32,Time!Z33)/12,0)</f>
        <v>4.91666666666667</v>
      </c>
      <c r="AA33" s="13" t="n">
        <f aca="false">IF(Time!AA30&gt;0,AVERAGE(Time!AA32,Time!AA33)/12,0)</f>
        <v>5.41666666666667</v>
      </c>
      <c r="AB33" s="13" t="n">
        <f aca="false">IF(Time!AB30&gt;0,AVERAGE(Time!AB32,Time!AB33)/12,0)</f>
        <v>5.91666666666667</v>
      </c>
      <c r="AC33" s="13" t="n">
        <f aca="false">IF(Time!AC30&gt;0,AVERAGE(Time!AC32,Time!AC33)/12,0)</f>
        <v>6.41666666666667</v>
      </c>
      <c r="AD33" s="13" t="n">
        <f aca="false">IF(Time!AD30&gt;0,AVERAGE(Time!AD32,Time!AD33)/12,0)</f>
        <v>6.91666666666667</v>
      </c>
      <c r="AE33" s="13" t="n">
        <f aca="false">IF(Time!AE30&gt;0,AVERAGE(Time!AE32,Time!AE33)/12,0)</f>
        <v>7.41666666666667</v>
      </c>
      <c r="AF33" s="13" t="n">
        <f aca="false">IF(Time!AF30&gt;0,AVERAGE(Time!AF32,Time!AF33)/12,0)</f>
        <v>7.91666666666667</v>
      </c>
      <c r="AG33" s="13" t="n">
        <f aca="false">IF(Time!AG30&gt;0,AVERAGE(Time!AG32,Time!AG33)/12,0)</f>
        <v>8.41666666666667</v>
      </c>
      <c r="AH33" s="13" t="n">
        <f aca="false">IF(Time!AH30&gt;0,AVERAGE(Time!AH32,Time!AH33)/12,0)</f>
        <v>8.91666666666667</v>
      </c>
      <c r="AI33" s="13" t="n">
        <f aca="false">IF(Time!AI30&gt;0,AVERAGE(Time!AI32,Time!AI33)/12,0)</f>
        <v>9.41666666666667</v>
      </c>
      <c r="AJ33" s="13" t="n">
        <f aca="false">IF(Time!AJ30&gt;0,AVERAGE(Time!AJ32,Time!AJ33)/12,0)</f>
        <v>9.91666666666667</v>
      </c>
      <c r="AK33" s="13" t="n">
        <f aca="false">IF(Time!AK30&gt;0,AVERAGE(Time!AK32,Time!AK33)/12,0)</f>
        <v>10.4166666666667</v>
      </c>
      <c r="AL33" s="13" t="n">
        <f aca="false">IF(Time!AL30&gt;0,AVERAGE(Time!AL32,Time!AL33)/12,0)</f>
        <v>10.9166666666667</v>
      </c>
      <c r="AM33" s="13" t="n">
        <f aca="false">IF(Time!AM30&gt;0,AVERAGE(Time!AM32,Time!AM33)/12,0)</f>
        <v>11.4166666666667</v>
      </c>
      <c r="AN33" s="13" t="n">
        <f aca="false">IF(Time!AN30&gt;0,AVERAGE(Time!AN32,Time!AN33)/12,0)</f>
        <v>11.9166666666667</v>
      </c>
      <c r="AO33" s="13" t="n">
        <f aca="false">IF(Time!AO30&gt;0,AVERAGE(Time!AO32,Time!AO33)/12,0)</f>
        <v>12.4166666666667</v>
      </c>
      <c r="AP33" s="13" t="n">
        <f aca="false">IF(Time!AP30&gt;0,AVERAGE(Time!AP32,Time!AP33)/12,0)</f>
        <v>12.9166666666667</v>
      </c>
      <c r="AQ33" s="13" t="n">
        <f aca="false">IF(Time!AQ30&gt;0,AVERAGE(Time!AQ32,Time!AQ33)/12,0)</f>
        <v>13.4166666666667</v>
      </c>
      <c r="AR33" s="13" t="n">
        <f aca="false">IF(Time!AR30&gt;0,AVERAGE(Time!AR32,Time!AR33)/12,0)</f>
        <v>13.9166666666667</v>
      </c>
      <c r="AS33" s="13" t="n">
        <f aca="false">IF(Time!AS30&gt;0,AVERAGE(Time!AS32,Time!AS33)/12,0)</f>
        <v>14.4166666666667</v>
      </c>
      <c r="AT33" s="13" t="n">
        <f aca="false">IF(Time!AT30&gt;0,AVERAGE(Time!AT32,Time!AT33)/12,0)</f>
        <v>14.9166666666667</v>
      </c>
      <c r="AU33" s="13" t="n">
        <f aca="false">IF(Time!AU30&gt;0,AVERAGE(Time!AU32,Time!AU33)/12,0)</f>
        <v>15.4166666666667</v>
      </c>
      <c r="AV33" s="13" t="n">
        <f aca="false">IF(Time!AV30&gt;0,AVERAGE(Time!AV32,Time!AV33)/12,0)</f>
        <v>15.9166666666667</v>
      </c>
      <c r="AW33" s="13" t="n">
        <f aca="false">IF(Time!AW30&gt;0,AVERAGE(Time!AW32,Time!AW33)/12,0)</f>
        <v>16.4166666666667</v>
      </c>
      <c r="AX33" s="13" t="n">
        <f aca="false">IF(Time!AX30&gt;0,AVERAGE(Time!AX32,Time!AX33)/12,0)</f>
        <v>16.9166666666667</v>
      </c>
      <c r="AY33" s="13" t="n">
        <f aca="false">IF(Time!AY30&gt;0,AVERAGE(Time!AY32,Time!AY33)/12,0)</f>
        <v>17.4166666666667</v>
      </c>
      <c r="AZ33" s="13" t="n">
        <f aca="false">IF(Time!AZ30&gt;0,AVERAGE(Time!AZ32,Time!AZ33)/12,0)</f>
        <v>17.9166666666667</v>
      </c>
      <c r="BA33" s="13" t="n">
        <f aca="false">IF(Time!BA30&gt;0,AVERAGE(Time!BA32,Time!BA33)/12,0)</f>
        <v>18.4166666666667</v>
      </c>
      <c r="BB33" s="13" t="n">
        <f aca="false">IF(Time!BB30&gt;0,AVERAGE(Time!BB32,Time!BB33)/12,0)</f>
        <v>18.9166666666667</v>
      </c>
      <c r="BC33" s="13" t="n">
        <f aca="false">IF(Time!BC30&gt;0,AVERAGE(Time!BC32,Time!BC33)/12,0)</f>
        <v>19.4166666666667</v>
      </c>
      <c r="BD33" s="13" t="n">
        <f aca="false">IF(Time!BD30&gt;0,AVERAGE(Time!BD32,Time!BD33)/12,0)</f>
        <v>19.9166666666667</v>
      </c>
      <c r="BE33" s="13" t="n">
        <f aca="false">IF(Time!BE30&gt;0,AVERAGE(Time!BE32,Time!BE33)/12,0)</f>
        <v>20.4166666666667</v>
      </c>
      <c r="BF33" s="13" t="n">
        <f aca="false">IF(Time!BF30&gt;0,AVERAGE(Time!BF32,Time!BF33)/12,0)</f>
        <v>20.9166666666667</v>
      </c>
      <c r="BG33" s="13" t="n">
        <f aca="false">IF(Time!BG30&gt;0,AVERAGE(Time!BG32,Time!BG33)/12,0)</f>
        <v>21.4166666666667</v>
      </c>
      <c r="BH33" s="13" t="n">
        <f aca="false">IF(Time!BH30&gt;0,AVERAGE(Time!BH32,Time!BH33)/12,0)</f>
        <v>21.9166666666667</v>
      </c>
      <c r="BI33" s="13" t="n">
        <f aca="false">IF(Time!BI30&gt;0,AVERAGE(Time!BI32,Time!BI33)/12,0)</f>
        <v>22.4166666666667</v>
      </c>
      <c r="BJ33" s="13" t="n">
        <f aca="false">IF(Time!BJ30&gt;0,AVERAGE(Time!BJ32,Time!BJ33)/12,0)</f>
        <v>22.9166666666667</v>
      </c>
      <c r="BK33" s="13" t="n">
        <f aca="false">IF(Time!BK30&gt;0,AVERAGE(Time!BK32,Time!BK33)/12,0)</f>
        <v>23.4166666666667</v>
      </c>
      <c r="BL33" s="13" t="n">
        <f aca="false">IF(Time!BL30&gt;0,AVERAGE(Time!BL32,Time!BL33)/12,0)</f>
        <v>23.9166666666667</v>
      </c>
      <c r="BM33" s="13" t="n">
        <f aca="false">IF(Time!BM30&gt;0,AVERAGE(Time!BM32,Time!BM33)/12,0)</f>
        <v>24.4166666666667</v>
      </c>
      <c r="BN33" s="13" t="n">
        <f aca="false">IF(Time!BN30&gt;0,AVERAGE(Time!BN32,Time!BN33)/12,0)</f>
        <v>24.8333333333333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0.98987625</v>
      </c>
      <c r="Q36" s="13" t="n">
        <f aca="false">(1-Inputs!$F$125/100*Q33)*(1-Inputs!$F$126/100)</f>
        <v>0.98938125</v>
      </c>
      <c r="R36" s="13" t="n">
        <f aca="false">(1-Inputs!$F$125/100*R33)*(1-Inputs!$F$126/100)</f>
        <v>0.98863875</v>
      </c>
      <c r="S36" s="13" t="n">
        <f aca="false">(1-Inputs!$F$125/100*S33)*(1-Inputs!$F$126/100)</f>
        <v>0.98789625</v>
      </c>
      <c r="T36" s="13" t="n">
        <f aca="false">(1-Inputs!$F$125/100*T33)*(1-Inputs!$F$126/100)</f>
        <v>0.98715375</v>
      </c>
      <c r="U36" s="13" t="n">
        <f aca="false">(1-Inputs!$F$125/100*U33)*(1-Inputs!$F$126/100)</f>
        <v>0.98641125</v>
      </c>
      <c r="V36" s="13" t="n">
        <f aca="false">(1-Inputs!$F$125/100*V33)*(1-Inputs!$F$126/100)</f>
        <v>0.98566875</v>
      </c>
      <c r="W36" s="13" t="n">
        <f aca="false">(1-Inputs!$F$125/100*W33)*(1-Inputs!$F$126/100)</f>
        <v>0.98492625</v>
      </c>
      <c r="X36" s="13" t="n">
        <f aca="false">(1-Inputs!$F$125/100*X33)*(1-Inputs!$F$126/100)</f>
        <v>0.98418375</v>
      </c>
      <c r="Y36" s="13" t="n">
        <f aca="false">(1-Inputs!$F$125/100*Y33)*(1-Inputs!$F$126/100)</f>
        <v>0.98344125</v>
      </c>
      <c r="Z36" s="13" t="n">
        <f aca="false">(1-Inputs!$F$125/100*Z33)*(1-Inputs!$F$126/100)</f>
        <v>0.98269875</v>
      </c>
      <c r="AA36" s="13" t="n">
        <f aca="false">(1-Inputs!$F$125/100*AA33)*(1-Inputs!$F$126/100)</f>
        <v>0.98195625</v>
      </c>
      <c r="AB36" s="13" t="n">
        <f aca="false">(1-Inputs!$F$125/100*AB33)*(1-Inputs!$F$126/100)</f>
        <v>0.98121375</v>
      </c>
      <c r="AC36" s="13" t="n">
        <f aca="false">(1-Inputs!$F$125/100*AC33)*(1-Inputs!$F$126/100)</f>
        <v>0.98047125</v>
      </c>
      <c r="AD36" s="13" t="n">
        <f aca="false">(1-Inputs!$F$125/100*AD33)*(1-Inputs!$F$126/100)</f>
        <v>0.97972875</v>
      </c>
      <c r="AE36" s="13" t="n">
        <f aca="false">(1-Inputs!$F$125/100*AE33)*(1-Inputs!$F$126/100)</f>
        <v>0.97898625</v>
      </c>
      <c r="AF36" s="13" t="n">
        <f aca="false">(1-Inputs!$F$125/100*AF33)*(1-Inputs!$F$126/100)</f>
        <v>0.97824375</v>
      </c>
      <c r="AG36" s="13" t="n">
        <f aca="false">(1-Inputs!$F$125/100*AG33)*(1-Inputs!$F$126/100)</f>
        <v>0.97750125</v>
      </c>
      <c r="AH36" s="13" t="n">
        <f aca="false">(1-Inputs!$F$125/100*AH33)*(1-Inputs!$F$126/100)</f>
        <v>0.97675875</v>
      </c>
      <c r="AI36" s="13" t="n">
        <f aca="false">(1-Inputs!$F$125/100*AI33)*(1-Inputs!$F$126/100)</f>
        <v>0.97601625</v>
      </c>
      <c r="AJ36" s="13" t="n">
        <f aca="false">(1-Inputs!$F$125/100*AJ33)*(1-Inputs!$F$126/100)</f>
        <v>0.97527375</v>
      </c>
      <c r="AK36" s="13" t="n">
        <f aca="false">(1-Inputs!$F$125/100*AK33)*(1-Inputs!$F$126/100)</f>
        <v>0.97453125</v>
      </c>
      <c r="AL36" s="13" t="n">
        <f aca="false">(1-Inputs!$F$125/100*AL33)*(1-Inputs!$F$126/100)</f>
        <v>0.97378875</v>
      </c>
      <c r="AM36" s="13" t="n">
        <f aca="false">(1-Inputs!$F$125/100*AM33)*(1-Inputs!$F$126/100)</f>
        <v>0.97304625</v>
      </c>
      <c r="AN36" s="13" t="n">
        <f aca="false">(1-Inputs!$F$125/100*AN33)*(1-Inputs!$F$126/100)</f>
        <v>0.97230375</v>
      </c>
      <c r="AO36" s="13" t="n">
        <f aca="false">(1-Inputs!$F$125/100*AO33)*(1-Inputs!$F$126/100)</f>
        <v>0.97156125</v>
      </c>
      <c r="AP36" s="13" t="n">
        <f aca="false">(1-Inputs!$F$125/100*AP33)*(1-Inputs!$F$126/100)</f>
        <v>0.97081875</v>
      </c>
      <c r="AQ36" s="13" t="n">
        <f aca="false">(1-Inputs!$F$125/100*AQ33)*(1-Inputs!$F$126/100)</f>
        <v>0.97007625</v>
      </c>
      <c r="AR36" s="13" t="n">
        <f aca="false">(1-Inputs!$F$125/100*AR33)*(1-Inputs!$F$126/100)</f>
        <v>0.96933375</v>
      </c>
      <c r="AS36" s="13" t="n">
        <f aca="false">(1-Inputs!$F$125/100*AS33)*(1-Inputs!$F$126/100)</f>
        <v>0.96859125</v>
      </c>
      <c r="AT36" s="13" t="n">
        <f aca="false">(1-Inputs!$F$125/100*AT33)*(1-Inputs!$F$126/100)</f>
        <v>0.96784875</v>
      </c>
      <c r="AU36" s="13" t="n">
        <f aca="false">(1-Inputs!$F$125/100*AU33)*(1-Inputs!$F$126/100)</f>
        <v>0.96710625</v>
      </c>
      <c r="AV36" s="13" t="n">
        <f aca="false">(1-Inputs!$F$125/100*AV33)*(1-Inputs!$F$126/100)</f>
        <v>0.96636375</v>
      </c>
      <c r="AW36" s="13" t="n">
        <f aca="false">(1-Inputs!$F$125/100*AW33)*(1-Inputs!$F$126/100)</f>
        <v>0.96562125</v>
      </c>
      <c r="AX36" s="13" t="n">
        <f aca="false">(1-Inputs!$F$125/100*AX33)*(1-Inputs!$F$126/100)</f>
        <v>0.96487875</v>
      </c>
      <c r="AY36" s="13" t="n">
        <f aca="false">(1-Inputs!$F$125/100*AY33)*(1-Inputs!$F$126/100)</f>
        <v>0.96413625</v>
      </c>
      <c r="AZ36" s="13" t="n">
        <f aca="false">(1-Inputs!$F$125/100*AZ33)*(1-Inputs!$F$126/100)</f>
        <v>0.96339375</v>
      </c>
      <c r="BA36" s="13" t="n">
        <f aca="false">(1-Inputs!$F$125/100*BA33)*(1-Inputs!$F$126/100)</f>
        <v>0.96265125</v>
      </c>
      <c r="BB36" s="13" t="n">
        <f aca="false">(1-Inputs!$F$125/100*BB33)*(1-Inputs!$F$126/100)</f>
        <v>0.96190875</v>
      </c>
      <c r="BC36" s="13" t="n">
        <f aca="false">(1-Inputs!$F$125/100*BC33)*(1-Inputs!$F$126/100)</f>
        <v>0.96116625</v>
      </c>
      <c r="BD36" s="13" t="n">
        <f aca="false">(1-Inputs!$F$125/100*BD33)*(1-Inputs!$F$126/100)</f>
        <v>0.96042375</v>
      </c>
      <c r="BE36" s="13" t="n">
        <f aca="false">(1-Inputs!$F$125/100*BE33)*(1-Inputs!$F$126/100)</f>
        <v>0.95968125</v>
      </c>
      <c r="BF36" s="13" t="n">
        <f aca="false">(1-Inputs!$F$125/100*BF33)*(1-Inputs!$F$126/100)</f>
        <v>0.95893875</v>
      </c>
      <c r="BG36" s="13" t="n">
        <f aca="false">(1-Inputs!$F$125/100*BG33)*(1-Inputs!$F$126/100)</f>
        <v>0.95819625</v>
      </c>
      <c r="BH36" s="13" t="n">
        <f aca="false">(1-Inputs!$F$125/100*BH33)*(1-Inputs!$F$126/100)</f>
        <v>0.95745375</v>
      </c>
      <c r="BI36" s="13" t="n">
        <f aca="false">(1-Inputs!$F$125/100*BI33)*(1-Inputs!$F$126/100)</f>
        <v>0.95671125</v>
      </c>
      <c r="BJ36" s="13" t="n">
        <f aca="false">(1-Inputs!$F$125/100*BJ33)*(1-Inputs!$F$126/100)</f>
        <v>0.95596875</v>
      </c>
      <c r="BK36" s="13" t="n">
        <f aca="false">(1-Inputs!$F$125/100*BK33)*(1-Inputs!$F$126/100)</f>
        <v>0.95522625</v>
      </c>
      <c r="BL36" s="13" t="n">
        <f aca="false">(1-Inputs!$F$125/100*BL33)*(1-Inputs!$F$126/100)</f>
        <v>0.95448375</v>
      </c>
      <c r="BM36" s="13" t="n">
        <f aca="false">(1-Inputs!$F$125/100*BM33)*(1-Inputs!$F$126/100)</f>
        <v>0.95374125</v>
      </c>
      <c r="BN36" s="13" t="n">
        <f aca="false">(1-Inputs!$F$125/100*BN33)*(1-Inputs!$F$126/100)</f>
        <v>0.9531225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610197.884664083</v>
      </c>
      <c r="Q38" s="15" t="n">
        <f aca="false">$F$34*Inputs!$F$215*Time!Q30*Q32/100*Q37/100*Q36</f>
        <v>1829678.24273885</v>
      </c>
      <c r="R38" s="15" t="n">
        <f aca="false">$F$34*Inputs!$F$215*Time!R30*R32/100*R37/100*R36</f>
        <v>1822457.66810013</v>
      </c>
      <c r="S38" s="15" t="n">
        <f aca="false">$F$34*Inputs!$F$215*Time!S30*S32/100*S37/100*S36</f>
        <v>1809402.81059825</v>
      </c>
      <c r="T38" s="15" t="n">
        <f aca="false">$F$34*Inputs!$F$215*Time!T30*T32/100*T37/100*T36</f>
        <v>1813881.54310857</v>
      </c>
      <c r="U38" s="15" t="n">
        <f aca="false">$F$34*Inputs!$F$215*Time!U30*U32/100*U37/100*U36</f>
        <v>1824185.77521843</v>
      </c>
      <c r="V38" s="15" t="n">
        <f aca="false">$F$34*Inputs!$F$215*Time!V30*V32/100*V37/100*V36</f>
        <v>1802084.15618238</v>
      </c>
      <c r="W38" s="15" t="n">
        <f aca="false">$F$34*Inputs!$F$215*Time!W30*W32/100*W37/100*W36</f>
        <v>1759300.87906306</v>
      </c>
      <c r="X38" s="15" t="n">
        <f aca="false">$F$34*Inputs!$F$215*Time!X30*X32/100*X37/100*X36</f>
        <v>1778671.87902979</v>
      </c>
      <c r="Y38" s="15" t="n">
        <f aca="false">$F$34*Inputs!$F$215*Time!Y30*Y32/100*Y37/100*Y36</f>
        <v>1818693.30769801</v>
      </c>
      <c r="Z38" s="15" t="n">
        <f aca="false">$F$34*Inputs!$F$215*Time!Z30*Z32/100*Z37/100*Z36</f>
        <v>1811507.8661138</v>
      </c>
      <c r="AA38" s="15" t="n">
        <f aca="false">$F$34*Inputs!$F$215*Time!AA30*AA32/100*AA37/100*AA36</f>
        <v>1798523.27472092</v>
      </c>
      <c r="AB38" s="15" t="n">
        <f aca="false">$F$34*Inputs!$F$215*Time!AB30*AB32/100*AB37/100*AB36</f>
        <v>1802966.87417673</v>
      </c>
      <c r="AC38" s="15" t="n">
        <f aca="false">$F$34*Inputs!$F$215*Time!AC30*AC32/100*AC37/100*AC36</f>
        <v>1813200.8401776</v>
      </c>
      <c r="AD38" s="15" t="n">
        <f aca="false">$F$34*Inputs!$F$215*Time!AD30*AD32/100*AD37/100*AD36</f>
        <v>1778990.7602953</v>
      </c>
      <c r="AE38" s="15" t="n">
        <f aca="false">$F$34*Inputs!$F$215*Time!AE30*AE32/100*AE37/100*AE36</f>
        <v>1712018.37515162</v>
      </c>
      <c r="AF38" s="15" t="n">
        <f aca="false">$F$34*Inputs!$F$215*Time!AF30*AF32/100*AF37/100*AF36</f>
        <v>1743507.10718732</v>
      </c>
      <c r="AG38" s="15" t="n">
        <f aca="false">$F$34*Inputs!$F$215*Time!AG30*AG32/100*AG37/100*AG36</f>
        <v>1807708.37265718</v>
      </c>
      <c r="AH38" s="15" t="n">
        <f aca="false">$F$34*Inputs!$F$215*Time!AH30*AH32/100*AH37/100*AH36</f>
        <v>1800558.06412747</v>
      </c>
      <c r="AI38" s="15" t="n">
        <f aca="false">$F$34*Inputs!$F$215*Time!AI30*AI32/100*AI37/100*AI36</f>
        <v>1787643.73884359</v>
      </c>
      <c r="AJ38" s="15" t="n">
        <f aca="false">$F$34*Inputs!$F$215*Time!AJ30*AJ32/100*AJ37/100*AJ36</f>
        <v>1792052.2052449</v>
      </c>
      <c r="AK38" s="15" t="n">
        <f aca="false">$F$34*Inputs!$F$215*Time!AK30*AK32/100*AK37/100*AK36</f>
        <v>1802215.90513676</v>
      </c>
      <c r="AL38" s="15" t="n">
        <f aca="false">$F$34*Inputs!$F$215*Time!AL30*AL32/100*AL37/100*AL36</f>
        <v>1780364.12115495</v>
      </c>
      <c r="AM38" s="15" t="n">
        <f aca="false">$F$34*Inputs!$F$215*Time!AM30*AM32/100*AM37/100*AM36</f>
        <v>1738080.51414409</v>
      </c>
      <c r="AN38" s="15" t="n">
        <f aca="false">$F$34*Inputs!$F$215*Time!AN30*AN32/100*AN37/100*AN36</f>
        <v>1757201.67905659</v>
      </c>
      <c r="AO38" s="15" t="n">
        <f aca="false">$F$34*Inputs!$F$215*Time!AO30*AO32/100*AO37/100*AO36</f>
        <v>1796723.43761635</v>
      </c>
      <c r="AP38" s="15" t="n">
        <f aca="false">$F$34*Inputs!$F$215*Time!AP30*AP32/100*AP37/100*AP36</f>
        <v>1789608.26214114</v>
      </c>
      <c r="AQ38" s="15" t="n">
        <f aca="false">$F$34*Inputs!$F$215*Time!AQ30*AQ32/100*AQ37/100*AQ36</f>
        <v>1776764.20296626</v>
      </c>
      <c r="AR38" s="15" t="n">
        <f aca="false">$F$34*Inputs!$F$215*Time!AR30*AR32/100*AR37/100*AR36</f>
        <v>1781137.53631307</v>
      </c>
      <c r="AS38" s="15" t="n">
        <f aca="false">$F$34*Inputs!$F$215*Time!AS30*AS32/100*AS37/100*AS36</f>
        <v>1791230.97009593</v>
      </c>
      <c r="AT38" s="15" t="n">
        <f aca="false">$F$34*Inputs!$F$215*Time!AT30*AT32/100*AT37/100*AT36</f>
        <v>1757419.06483132</v>
      </c>
      <c r="AU38" s="15" t="n">
        <f aca="false">$F$34*Inputs!$F$215*Time!AU30*AU32/100*AU37/100*AU36</f>
        <v>1691243.02892301</v>
      </c>
      <c r="AV38" s="15" t="n">
        <f aca="false">$F$34*Inputs!$F$215*Time!AV30*AV32/100*AV37/100*AV36</f>
        <v>1722333.58634102</v>
      </c>
      <c r="AW38" s="15" t="n">
        <f aca="false">$F$34*Inputs!$F$215*Time!AW30*AW32/100*AW37/100*AW36</f>
        <v>1785738.50257551</v>
      </c>
      <c r="AX38" s="15" t="n">
        <f aca="false">$F$34*Inputs!$F$215*Time!AX30*AX32/100*AX37/100*AX36</f>
        <v>1778658.4601548</v>
      </c>
      <c r="AY38" s="15" t="n">
        <f aca="false">$F$34*Inputs!$F$215*Time!AY30*AY32/100*AY37/100*AY36</f>
        <v>1765884.66708893</v>
      </c>
      <c r="AZ38" s="15" t="n">
        <f aca="false">$F$34*Inputs!$F$215*Time!AZ30*AZ32/100*AZ37/100*AZ36</f>
        <v>1770222.86738124</v>
      </c>
      <c r="BA38" s="15" t="n">
        <f aca="false">$F$34*Inputs!$F$215*Time!BA30*BA32/100*BA37/100*BA36</f>
        <v>1780246.0350551</v>
      </c>
      <c r="BB38" s="15" t="n">
        <f aca="false">$F$34*Inputs!$F$215*Time!BB30*BB32/100*BB37/100*BB36</f>
        <v>1758644.08612751</v>
      </c>
      <c r="BC38" s="15" t="n">
        <f aca="false">$F$34*Inputs!$F$215*Time!BC30*BC32/100*BC37/100*BC36</f>
        <v>1716860.14922513</v>
      </c>
      <c r="BD38" s="15" t="n">
        <f aca="false">$F$34*Inputs!$F$215*Time!BD30*BD32/100*BD37/100*BD36</f>
        <v>1735731.47908339</v>
      </c>
      <c r="BE38" s="15" t="n">
        <f aca="false">$F$34*Inputs!$F$215*Time!BE30*BE32/100*BE37/100*BE36</f>
        <v>1774753.56753468</v>
      </c>
      <c r="BF38" s="15" t="n">
        <f aca="false">$F$34*Inputs!$F$215*Time!BF30*BF32/100*BF37/100*BF36</f>
        <v>1767708.65816847</v>
      </c>
      <c r="BG38" s="15" t="n">
        <f aca="false">$F$34*Inputs!$F$215*Time!BG30*BG32/100*BG37/100*BG36</f>
        <v>1755005.1312116</v>
      </c>
      <c r="BH38" s="15" t="n">
        <f aca="false">$F$34*Inputs!$F$215*Time!BH30*BH32/100*BH37/100*BH36</f>
        <v>1759308.19844941</v>
      </c>
      <c r="BI38" s="15" t="n">
        <f aca="false">$F$34*Inputs!$F$215*Time!BI30*BI32/100*BI37/100*BI36</f>
        <v>1769261.10001426</v>
      </c>
      <c r="BJ38" s="15" t="n">
        <f aca="false">$F$34*Inputs!$F$215*Time!BJ30*BJ32/100*BJ37/100*BJ36</f>
        <v>1735847.36936733</v>
      </c>
      <c r="BK38" s="15" t="n">
        <f aca="false">$F$34*Inputs!$F$215*Time!BK30*BK32/100*BK37/100*BK36</f>
        <v>1670467.6826944</v>
      </c>
      <c r="BL38" s="15" t="n">
        <f aca="false">$F$34*Inputs!$F$215*Time!BL30*BL32/100*BL37/100*BL36</f>
        <v>1701160.06549472</v>
      </c>
      <c r="BM38" s="15" t="n">
        <f aca="false">$F$34*Inputs!$F$215*Time!BM30*BM32/100*BM37/100*BM36</f>
        <v>1763768.63249384</v>
      </c>
      <c r="BN38" s="15" t="n">
        <f aca="false">$F$34*Inputs!$F$215*Time!BN30*BN32/100*BN37/100*BN36</f>
        <v>1175082.91228473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6456.243024</v>
      </c>
      <c r="P39" s="13" t="n">
        <f aca="false">$F$35*(1+IF(Inputs!$F$312=1,INDEX(Inputs!$AK$313:$AK$1312,Inputs!$F$311),Inputs!$F$127)/100*P33)*(1+Inputs!$F$128/100)*(1+Inputs!$F$122/100)*Inputs!$F$39</f>
        <v>6456.8886483024</v>
      </c>
      <c r="Q39" s="13" t="n">
        <f aca="false">$F$35*(1+IF(Inputs!$F$312=1,INDEX(Inputs!$AK$313:$AK$1312,Inputs!$F$311),Inputs!$F$127)/100*Q33)*(1+Inputs!$F$128/100)*(1+Inputs!$F$122/100)*Inputs!$F$39</f>
        <v>6459.471145512</v>
      </c>
      <c r="R39" s="13" t="n">
        <f aca="false">$F$35*(1+IF(Inputs!$F$312=1,INDEX(Inputs!$AK$313:$AK$1312,Inputs!$F$311),Inputs!$F$127)/100*R33)*(1+Inputs!$F$128/100)*(1+Inputs!$F$122/100)*Inputs!$F$39</f>
        <v>6463.3448913264</v>
      </c>
      <c r="S39" s="13" t="n">
        <f aca="false">$F$35*(1+IF(Inputs!$F$312=1,INDEX(Inputs!$AK$313:$AK$1312,Inputs!$F$311),Inputs!$F$127)/100*S33)*(1+Inputs!$F$128/100)*(1+Inputs!$F$122/100)*Inputs!$F$39</f>
        <v>6467.2186371408</v>
      </c>
      <c r="T39" s="13" t="n">
        <f aca="false">$F$35*(1+IF(Inputs!$F$312=1,INDEX(Inputs!$AK$313:$AK$1312,Inputs!$F$311),Inputs!$F$127)/100*T33)*(1+Inputs!$F$128/100)*(1+Inputs!$F$122/100)*Inputs!$F$39</f>
        <v>6471.0923829552</v>
      </c>
      <c r="U39" s="13" t="n">
        <f aca="false">$F$35*(1+IF(Inputs!$F$312=1,INDEX(Inputs!$AK$313:$AK$1312,Inputs!$F$311),Inputs!$F$127)/100*U33)*(1+Inputs!$F$128/100)*(1+Inputs!$F$122/100)*Inputs!$F$39</f>
        <v>6474.9661287696</v>
      </c>
      <c r="V39" s="13" t="n">
        <f aca="false">$F$35*(1+IF(Inputs!$F$312=1,INDEX(Inputs!$AK$313:$AK$1312,Inputs!$F$311),Inputs!$F$127)/100*V33)*(1+Inputs!$F$128/100)*(1+Inputs!$F$122/100)*Inputs!$F$39</f>
        <v>6478.839874584</v>
      </c>
      <c r="W39" s="13" t="n">
        <f aca="false">$F$35*(1+IF(Inputs!$F$312=1,INDEX(Inputs!$AK$313:$AK$1312,Inputs!$F$311),Inputs!$F$127)/100*W33)*(1+Inputs!$F$128/100)*(1+Inputs!$F$122/100)*Inputs!$F$39</f>
        <v>6482.7136203984</v>
      </c>
      <c r="X39" s="13" t="n">
        <f aca="false">$F$35*(1+IF(Inputs!$F$312=1,INDEX(Inputs!$AK$313:$AK$1312,Inputs!$F$311),Inputs!$F$127)/100*X33)*(1+Inputs!$F$128/100)*(1+Inputs!$F$122/100)*Inputs!$F$39</f>
        <v>6486.5873662128</v>
      </c>
      <c r="Y39" s="13" t="n">
        <f aca="false">$F$35*(1+IF(Inputs!$F$312=1,INDEX(Inputs!$AK$313:$AK$1312,Inputs!$F$311),Inputs!$F$127)/100*Y33)*(1+Inputs!$F$128/100)*(1+Inputs!$F$122/100)*Inputs!$F$39</f>
        <v>6490.4611120272</v>
      </c>
      <c r="Z39" s="13" t="n">
        <f aca="false">$F$35*(1+IF(Inputs!$F$312=1,INDEX(Inputs!$AK$313:$AK$1312,Inputs!$F$311),Inputs!$F$127)/100*Z33)*(1+Inputs!$F$128/100)*(1+Inputs!$F$122/100)*Inputs!$F$39</f>
        <v>6494.3348578416</v>
      </c>
      <c r="AA39" s="13" t="n">
        <f aca="false">$F$35*(1+IF(Inputs!$F$312=1,INDEX(Inputs!$AK$313:$AK$1312,Inputs!$F$311),Inputs!$F$127)/100*AA33)*(1+Inputs!$F$128/100)*(1+Inputs!$F$122/100)*Inputs!$F$39</f>
        <v>6498.208603656</v>
      </c>
      <c r="AB39" s="13" t="n">
        <f aca="false">$F$35*(1+IF(Inputs!$F$312=1,INDEX(Inputs!$AK$313:$AK$1312,Inputs!$F$311),Inputs!$F$127)/100*AB33)*(1+Inputs!$F$128/100)*(1+Inputs!$F$122/100)*Inputs!$F$39</f>
        <v>6502.0823494704</v>
      </c>
      <c r="AC39" s="13" t="n">
        <f aca="false">$F$35*(1+IF(Inputs!$F$312=1,INDEX(Inputs!$AK$313:$AK$1312,Inputs!$F$311),Inputs!$F$127)/100*AC33)*(1+Inputs!$F$128/100)*(1+Inputs!$F$122/100)*Inputs!$F$39</f>
        <v>6505.9560952848</v>
      </c>
      <c r="AD39" s="13" t="n">
        <f aca="false">$F$35*(1+IF(Inputs!$F$312=1,INDEX(Inputs!$AK$313:$AK$1312,Inputs!$F$311),Inputs!$F$127)/100*AD33)*(1+Inputs!$F$128/100)*(1+Inputs!$F$122/100)*Inputs!$F$39</f>
        <v>6509.8298410992</v>
      </c>
      <c r="AE39" s="13" t="n">
        <f aca="false">$F$35*(1+IF(Inputs!$F$312=1,INDEX(Inputs!$AK$313:$AK$1312,Inputs!$F$311),Inputs!$F$127)/100*AE33)*(1+Inputs!$F$128/100)*(1+Inputs!$F$122/100)*Inputs!$F$39</f>
        <v>6513.7035869136</v>
      </c>
      <c r="AF39" s="13" t="n">
        <f aca="false">$F$35*(1+IF(Inputs!$F$312=1,INDEX(Inputs!$AK$313:$AK$1312,Inputs!$F$311),Inputs!$F$127)/100*AF33)*(1+Inputs!$F$128/100)*(1+Inputs!$F$122/100)*Inputs!$F$39</f>
        <v>6517.577332728</v>
      </c>
      <c r="AG39" s="13" t="n">
        <f aca="false">$F$35*(1+IF(Inputs!$F$312=1,INDEX(Inputs!$AK$313:$AK$1312,Inputs!$F$311),Inputs!$F$127)/100*AG33)*(1+Inputs!$F$128/100)*(1+Inputs!$F$122/100)*Inputs!$F$39</f>
        <v>6521.4510785424</v>
      </c>
      <c r="AH39" s="13" t="n">
        <f aca="false">$F$35*(1+IF(Inputs!$F$312=1,INDEX(Inputs!$AK$313:$AK$1312,Inputs!$F$311),Inputs!$F$127)/100*AH33)*(1+Inputs!$F$128/100)*(1+Inputs!$F$122/100)*Inputs!$F$39</f>
        <v>6525.3248243568</v>
      </c>
      <c r="AI39" s="13" t="n">
        <f aca="false">$F$35*(1+IF(Inputs!$F$312=1,INDEX(Inputs!$AK$313:$AK$1312,Inputs!$F$311),Inputs!$F$127)/100*AI33)*(1+Inputs!$F$128/100)*(1+Inputs!$F$122/100)*Inputs!$F$39</f>
        <v>6529.1985701712</v>
      </c>
      <c r="AJ39" s="13" t="n">
        <f aca="false">$F$35*(1+IF(Inputs!$F$312=1,INDEX(Inputs!$AK$313:$AK$1312,Inputs!$F$311),Inputs!$F$127)/100*AJ33)*(1+Inputs!$F$128/100)*(1+Inputs!$F$122/100)*Inputs!$F$39</f>
        <v>6533.0723159856</v>
      </c>
      <c r="AK39" s="13" t="n">
        <f aca="false">$F$35*(1+IF(Inputs!$F$312=1,INDEX(Inputs!$AK$313:$AK$1312,Inputs!$F$311),Inputs!$F$127)/100*AK33)*(1+Inputs!$F$128/100)*(1+Inputs!$F$122/100)*Inputs!$F$39</f>
        <v>6536.9460618</v>
      </c>
      <c r="AL39" s="13" t="n">
        <f aca="false">$F$35*(1+IF(Inputs!$F$312=1,INDEX(Inputs!$AK$313:$AK$1312,Inputs!$F$311),Inputs!$F$127)/100*AL33)*(1+Inputs!$F$128/100)*(1+Inputs!$F$122/100)*Inputs!$F$39</f>
        <v>6540.8198076144</v>
      </c>
      <c r="AM39" s="13" t="n">
        <f aca="false">$F$35*(1+IF(Inputs!$F$312=1,INDEX(Inputs!$AK$313:$AK$1312,Inputs!$F$311),Inputs!$F$127)/100*AM33)*(1+Inputs!$F$128/100)*(1+Inputs!$F$122/100)*Inputs!$F$39</f>
        <v>6544.6935534288</v>
      </c>
      <c r="AN39" s="13" t="n">
        <f aca="false">$F$35*(1+IF(Inputs!$F$312=1,INDEX(Inputs!$AK$313:$AK$1312,Inputs!$F$311),Inputs!$F$127)/100*AN33)*(1+Inputs!$F$128/100)*(1+Inputs!$F$122/100)*Inputs!$F$39</f>
        <v>6548.5672992432</v>
      </c>
      <c r="AO39" s="13" t="n">
        <f aca="false">$F$35*(1+IF(Inputs!$F$312=1,INDEX(Inputs!$AK$313:$AK$1312,Inputs!$F$311),Inputs!$F$127)/100*AO33)*(1+Inputs!$F$128/100)*(1+Inputs!$F$122/100)*Inputs!$F$39</f>
        <v>6552.4410450576</v>
      </c>
      <c r="AP39" s="13" t="n">
        <f aca="false">$F$35*(1+IF(Inputs!$F$312=1,INDEX(Inputs!$AK$313:$AK$1312,Inputs!$F$311),Inputs!$F$127)/100*AP33)*(1+Inputs!$F$128/100)*(1+Inputs!$F$122/100)*Inputs!$F$39</f>
        <v>6556.314790872</v>
      </c>
      <c r="AQ39" s="13" t="n">
        <f aca="false">$F$35*(1+IF(Inputs!$F$312=1,INDEX(Inputs!$AK$313:$AK$1312,Inputs!$F$311),Inputs!$F$127)/100*AQ33)*(1+Inputs!$F$128/100)*(1+Inputs!$F$122/100)*Inputs!$F$39</f>
        <v>6560.1885366864</v>
      </c>
      <c r="AR39" s="13" t="n">
        <f aca="false">$F$35*(1+IF(Inputs!$F$312=1,INDEX(Inputs!$AK$313:$AK$1312,Inputs!$F$311),Inputs!$F$127)/100*AR33)*(1+Inputs!$F$128/100)*(1+Inputs!$F$122/100)*Inputs!$F$39</f>
        <v>6564.0622825008</v>
      </c>
      <c r="AS39" s="13" t="n">
        <f aca="false">$F$35*(1+IF(Inputs!$F$312=1,INDEX(Inputs!$AK$313:$AK$1312,Inputs!$F$311),Inputs!$F$127)/100*AS33)*(1+Inputs!$F$128/100)*(1+Inputs!$F$122/100)*Inputs!$F$39</f>
        <v>6567.9360283152</v>
      </c>
      <c r="AT39" s="13" t="n">
        <f aca="false">$F$35*(1+IF(Inputs!$F$312=1,INDEX(Inputs!$AK$313:$AK$1312,Inputs!$F$311),Inputs!$F$127)/100*AT33)*(1+Inputs!$F$128/100)*(1+Inputs!$F$122/100)*Inputs!$F$39</f>
        <v>6571.8097741296</v>
      </c>
      <c r="AU39" s="13" t="n">
        <f aca="false">$F$35*(1+IF(Inputs!$F$312=1,INDEX(Inputs!$AK$313:$AK$1312,Inputs!$F$311),Inputs!$F$127)/100*AU33)*(1+Inputs!$F$128/100)*(1+Inputs!$F$122/100)*Inputs!$F$39</f>
        <v>6575.683519944</v>
      </c>
      <c r="AV39" s="13" t="n">
        <f aca="false">$F$35*(1+IF(Inputs!$F$312=1,INDEX(Inputs!$AK$313:$AK$1312,Inputs!$F$311),Inputs!$F$127)/100*AV33)*(1+Inputs!$F$128/100)*(1+Inputs!$F$122/100)*Inputs!$F$39</f>
        <v>6579.5572657584</v>
      </c>
      <c r="AW39" s="13" t="n">
        <f aca="false">$F$35*(1+IF(Inputs!$F$312=1,INDEX(Inputs!$AK$313:$AK$1312,Inputs!$F$311),Inputs!$F$127)/100*AW33)*(1+Inputs!$F$128/100)*(1+Inputs!$F$122/100)*Inputs!$F$39</f>
        <v>6583.4310115728</v>
      </c>
      <c r="AX39" s="13" t="n">
        <f aca="false">$F$35*(1+IF(Inputs!$F$312=1,INDEX(Inputs!$AK$313:$AK$1312,Inputs!$F$311),Inputs!$F$127)/100*AX33)*(1+Inputs!$F$128/100)*(1+Inputs!$F$122/100)*Inputs!$F$39</f>
        <v>6587.3047573872</v>
      </c>
      <c r="AY39" s="13" t="n">
        <f aca="false">$F$35*(1+IF(Inputs!$F$312=1,INDEX(Inputs!$AK$313:$AK$1312,Inputs!$F$311),Inputs!$F$127)/100*AY33)*(1+Inputs!$F$128/100)*(1+Inputs!$F$122/100)*Inputs!$F$39</f>
        <v>6591.1785032016</v>
      </c>
      <c r="AZ39" s="13" t="n">
        <f aca="false">$F$35*(1+IF(Inputs!$F$312=1,INDEX(Inputs!$AK$313:$AK$1312,Inputs!$F$311),Inputs!$F$127)/100*AZ33)*(1+Inputs!$F$128/100)*(1+Inputs!$F$122/100)*Inputs!$F$39</f>
        <v>6595.052249016</v>
      </c>
      <c r="BA39" s="13" t="n">
        <f aca="false">$F$35*(1+IF(Inputs!$F$312=1,INDEX(Inputs!$AK$313:$AK$1312,Inputs!$F$311),Inputs!$F$127)/100*BA33)*(1+Inputs!$F$128/100)*(1+Inputs!$F$122/100)*Inputs!$F$39</f>
        <v>6598.9259948304</v>
      </c>
      <c r="BB39" s="13" t="n">
        <f aca="false">$F$35*(1+IF(Inputs!$F$312=1,INDEX(Inputs!$AK$313:$AK$1312,Inputs!$F$311),Inputs!$F$127)/100*BB33)*(1+Inputs!$F$128/100)*(1+Inputs!$F$122/100)*Inputs!$F$39</f>
        <v>6602.7997406448</v>
      </c>
      <c r="BC39" s="13" t="n">
        <f aca="false">$F$35*(1+IF(Inputs!$F$312=1,INDEX(Inputs!$AK$313:$AK$1312,Inputs!$F$311),Inputs!$F$127)/100*BC33)*(1+Inputs!$F$128/100)*(1+Inputs!$F$122/100)*Inputs!$F$39</f>
        <v>6606.6734864592</v>
      </c>
      <c r="BD39" s="13" t="n">
        <f aca="false">$F$35*(1+IF(Inputs!$F$312=1,INDEX(Inputs!$AK$313:$AK$1312,Inputs!$F$311),Inputs!$F$127)/100*BD33)*(1+Inputs!$F$128/100)*(1+Inputs!$F$122/100)*Inputs!$F$39</f>
        <v>6610.5472322736</v>
      </c>
      <c r="BE39" s="13" t="n">
        <f aca="false">$F$35*(1+IF(Inputs!$F$312=1,INDEX(Inputs!$AK$313:$AK$1312,Inputs!$F$311),Inputs!$F$127)/100*BE33)*(1+Inputs!$F$128/100)*(1+Inputs!$F$122/100)*Inputs!$F$39</f>
        <v>6614.420978088</v>
      </c>
      <c r="BF39" s="13" t="n">
        <f aca="false">$F$35*(1+IF(Inputs!$F$312=1,INDEX(Inputs!$AK$313:$AK$1312,Inputs!$F$311),Inputs!$F$127)/100*BF33)*(1+Inputs!$F$128/100)*(1+Inputs!$F$122/100)*Inputs!$F$39</f>
        <v>6618.2947239024</v>
      </c>
      <c r="BG39" s="13" t="n">
        <f aca="false">$F$35*(1+IF(Inputs!$F$312=1,INDEX(Inputs!$AK$313:$AK$1312,Inputs!$F$311),Inputs!$F$127)/100*BG33)*(1+Inputs!$F$128/100)*(1+Inputs!$F$122/100)*Inputs!$F$39</f>
        <v>6622.1684697168</v>
      </c>
      <c r="BH39" s="13" t="n">
        <f aca="false">$F$35*(1+IF(Inputs!$F$312=1,INDEX(Inputs!$AK$313:$AK$1312,Inputs!$F$311),Inputs!$F$127)/100*BH33)*(1+Inputs!$F$128/100)*(1+Inputs!$F$122/100)*Inputs!$F$39</f>
        <v>6626.0422155312</v>
      </c>
      <c r="BI39" s="13" t="n">
        <f aca="false">$F$35*(1+IF(Inputs!$F$312=1,INDEX(Inputs!$AK$313:$AK$1312,Inputs!$F$311),Inputs!$F$127)/100*BI33)*(1+Inputs!$F$128/100)*(1+Inputs!$F$122/100)*Inputs!$F$39</f>
        <v>6629.9159613456</v>
      </c>
      <c r="BJ39" s="13" t="n">
        <f aca="false">$F$35*(1+IF(Inputs!$F$312=1,INDEX(Inputs!$AK$313:$AK$1312,Inputs!$F$311),Inputs!$F$127)/100*BJ33)*(1+Inputs!$F$128/100)*(1+Inputs!$F$122/100)*Inputs!$F$39</f>
        <v>6633.78970716</v>
      </c>
      <c r="BK39" s="13" t="n">
        <f aca="false">$F$35*(1+IF(Inputs!$F$312=1,INDEX(Inputs!$AK$313:$AK$1312,Inputs!$F$311),Inputs!$F$127)/100*BK33)*(1+Inputs!$F$128/100)*(1+Inputs!$F$122/100)*Inputs!$F$39</f>
        <v>6637.6634529744</v>
      </c>
      <c r="BL39" s="13" t="n">
        <f aca="false">$F$35*(1+IF(Inputs!$F$312=1,INDEX(Inputs!$AK$313:$AK$1312,Inputs!$F$311),Inputs!$F$127)/100*BL33)*(1+Inputs!$F$128/100)*(1+Inputs!$F$122/100)*Inputs!$F$39</f>
        <v>6641.5371987888</v>
      </c>
      <c r="BM39" s="13" t="n">
        <f aca="false">$F$35*(1+IF(Inputs!$F$312=1,INDEX(Inputs!$AK$313:$AK$1312,Inputs!$F$311),Inputs!$F$127)/100*BM33)*(1+Inputs!$F$128/100)*(1+Inputs!$F$122/100)*Inputs!$F$39</f>
        <v>6645.4109446032</v>
      </c>
      <c r="BN39" s="13" t="n">
        <f aca="false">$F$35*(1+IF(Inputs!$F$312=1,INDEX(Inputs!$AK$313:$AK$1312,Inputs!$F$311),Inputs!$F$127)/100*BN33)*(1+Inputs!$F$128/100)*(1+Inputs!$F$122/100)*Inputs!$F$39</f>
        <v>6648.6390661152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6468.96803575</v>
      </c>
      <c r="Q40" s="13" t="n">
        <f aca="false">Inputs!$F$120*(1+Inputs!$F$121/100*Q33)*(1+Inputs!$F$122/100)</f>
        <v>6471.12417875</v>
      </c>
      <c r="R40" s="13" t="n">
        <f aca="false">Inputs!$F$120*(1+Inputs!$F$121/100*R33)*(1+Inputs!$F$122/100)</f>
        <v>6474.35839325</v>
      </c>
      <c r="S40" s="13" t="n">
        <f aca="false">Inputs!$F$120*(1+Inputs!$F$121/100*S33)*(1+Inputs!$F$122/100)</f>
        <v>6477.59260775</v>
      </c>
      <c r="T40" s="13" t="n">
        <f aca="false">Inputs!$F$120*(1+Inputs!$F$121/100*T33)*(1+Inputs!$F$122/100)</f>
        <v>6480.82682225</v>
      </c>
      <c r="U40" s="13" t="n">
        <f aca="false">Inputs!$F$120*(1+Inputs!$F$121/100*U33)*(1+Inputs!$F$122/100)</f>
        <v>6484.06103675</v>
      </c>
      <c r="V40" s="13" t="n">
        <f aca="false">Inputs!$F$120*(1+Inputs!$F$121/100*V33)*(1+Inputs!$F$122/100)</f>
        <v>6487.29525125</v>
      </c>
      <c r="W40" s="13" t="n">
        <f aca="false">Inputs!$F$120*(1+Inputs!$F$121/100*W33)*(1+Inputs!$F$122/100)</f>
        <v>6490.52946575</v>
      </c>
      <c r="X40" s="13" t="n">
        <f aca="false">Inputs!$F$120*(1+Inputs!$F$121/100*X33)*(1+Inputs!$F$122/100)</f>
        <v>6493.76368025</v>
      </c>
      <c r="Y40" s="13" t="n">
        <f aca="false">Inputs!$F$120*(1+Inputs!$F$121/100*Y33)*(1+Inputs!$F$122/100)</f>
        <v>6496.99789475</v>
      </c>
      <c r="Z40" s="13" t="n">
        <f aca="false">Inputs!$F$120*(1+Inputs!$F$121/100*Z33)*(1+Inputs!$F$122/100)</f>
        <v>6500.23210925</v>
      </c>
      <c r="AA40" s="13" t="n">
        <f aca="false">Inputs!$F$120*(1+Inputs!$F$121/100*AA33)*(1+Inputs!$F$122/100)</f>
        <v>6503.46632375</v>
      </c>
      <c r="AB40" s="13" t="n">
        <f aca="false">Inputs!$F$120*(1+Inputs!$F$121/100*AB33)*(1+Inputs!$F$122/100)</f>
        <v>6506.70053825</v>
      </c>
      <c r="AC40" s="13" t="n">
        <f aca="false">Inputs!$F$120*(1+Inputs!$F$121/100*AC33)*(1+Inputs!$F$122/100)</f>
        <v>6509.93475275</v>
      </c>
      <c r="AD40" s="13" t="n">
        <f aca="false">Inputs!$F$120*(1+Inputs!$F$121/100*AD33)*(1+Inputs!$F$122/100)</f>
        <v>6513.16896725</v>
      </c>
      <c r="AE40" s="13" t="n">
        <f aca="false">Inputs!$F$120*(1+Inputs!$F$121/100*AE33)*(1+Inputs!$F$122/100)</f>
        <v>6516.40318175</v>
      </c>
      <c r="AF40" s="13" t="n">
        <f aca="false">Inputs!$F$120*(1+Inputs!$F$121/100*AF33)*(1+Inputs!$F$122/100)</f>
        <v>6519.63739625</v>
      </c>
      <c r="AG40" s="13" t="n">
        <f aca="false">Inputs!$F$120*(1+Inputs!$F$121/100*AG33)*(1+Inputs!$F$122/100)</f>
        <v>6522.87161075</v>
      </c>
      <c r="AH40" s="13" t="n">
        <f aca="false">Inputs!$F$120*(1+Inputs!$F$121/100*AH33)*(1+Inputs!$F$122/100)</f>
        <v>6526.10582525</v>
      </c>
      <c r="AI40" s="13" t="n">
        <f aca="false">Inputs!$F$120*(1+Inputs!$F$121/100*AI33)*(1+Inputs!$F$122/100)</f>
        <v>6529.34003975</v>
      </c>
      <c r="AJ40" s="13" t="n">
        <f aca="false">Inputs!$F$120*(1+Inputs!$F$121/100*AJ33)*(1+Inputs!$F$122/100)</f>
        <v>6532.57425425</v>
      </c>
      <c r="AK40" s="13" t="n">
        <f aca="false">Inputs!$F$120*(1+Inputs!$F$121/100*AK33)*(1+Inputs!$F$122/100)</f>
        <v>6535.80846875</v>
      </c>
      <c r="AL40" s="13" t="n">
        <f aca="false">Inputs!$F$120*(1+Inputs!$F$121/100*AL33)*(1+Inputs!$F$122/100)</f>
        <v>6539.04268325</v>
      </c>
      <c r="AM40" s="13" t="n">
        <f aca="false">Inputs!$F$120*(1+Inputs!$F$121/100*AM33)*(1+Inputs!$F$122/100)</f>
        <v>6542.27689775</v>
      </c>
      <c r="AN40" s="13" t="n">
        <f aca="false">Inputs!$F$120*(1+Inputs!$F$121/100*AN33)*(1+Inputs!$F$122/100)</f>
        <v>6545.51111225</v>
      </c>
      <c r="AO40" s="13" t="n">
        <f aca="false">Inputs!$F$120*(1+Inputs!$F$121/100*AO33)*(1+Inputs!$F$122/100)</f>
        <v>6548.74532675</v>
      </c>
      <c r="AP40" s="13" t="n">
        <f aca="false">Inputs!$F$120*(1+Inputs!$F$121/100*AP33)*(1+Inputs!$F$122/100)</f>
        <v>6551.97954125</v>
      </c>
      <c r="AQ40" s="13" t="n">
        <f aca="false">Inputs!$F$120*(1+Inputs!$F$121/100*AQ33)*(1+Inputs!$F$122/100)</f>
        <v>6555.21375575</v>
      </c>
      <c r="AR40" s="13" t="n">
        <f aca="false">Inputs!$F$120*(1+Inputs!$F$121/100*AR33)*(1+Inputs!$F$122/100)</f>
        <v>6558.44797025</v>
      </c>
      <c r="AS40" s="13" t="n">
        <f aca="false">Inputs!$F$120*(1+Inputs!$F$121/100*AS33)*(1+Inputs!$F$122/100)</f>
        <v>6561.68218475</v>
      </c>
      <c r="AT40" s="13" t="n">
        <f aca="false">Inputs!$F$120*(1+Inputs!$F$121/100*AT33)*(1+Inputs!$F$122/100)</f>
        <v>6564.91639925</v>
      </c>
      <c r="AU40" s="13" t="n">
        <f aca="false">Inputs!$F$120*(1+Inputs!$F$121/100*AU33)*(1+Inputs!$F$122/100)</f>
        <v>6568.15061375</v>
      </c>
      <c r="AV40" s="13" t="n">
        <f aca="false">Inputs!$F$120*(1+Inputs!$F$121/100*AV33)*(1+Inputs!$F$122/100)</f>
        <v>6571.38482825</v>
      </c>
      <c r="AW40" s="13" t="n">
        <f aca="false">Inputs!$F$120*(1+Inputs!$F$121/100*AW33)*(1+Inputs!$F$122/100)</f>
        <v>6574.61904275</v>
      </c>
      <c r="AX40" s="13" t="n">
        <f aca="false">Inputs!$F$120*(1+Inputs!$F$121/100*AX33)*(1+Inputs!$F$122/100)</f>
        <v>6577.85325725</v>
      </c>
      <c r="AY40" s="13" t="n">
        <f aca="false">Inputs!$F$120*(1+Inputs!$F$121/100*AY33)*(1+Inputs!$F$122/100)</f>
        <v>6581.08747175</v>
      </c>
      <c r="AZ40" s="13" t="n">
        <f aca="false">Inputs!$F$120*(1+Inputs!$F$121/100*AZ33)*(1+Inputs!$F$122/100)</f>
        <v>6584.32168625</v>
      </c>
      <c r="BA40" s="13" t="n">
        <f aca="false">Inputs!$F$120*(1+Inputs!$F$121/100*BA33)*(1+Inputs!$F$122/100)</f>
        <v>6587.55590075</v>
      </c>
      <c r="BB40" s="13" t="n">
        <f aca="false">Inputs!$F$120*(1+Inputs!$F$121/100*BB33)*(1+Inputs!$F$122/100)</f>
        <v>6590.79011525</v>
      </c>
      <c r="BC40" s="13" t="n">
        <f aca="false">Inputs!$F$120*(1+Inputs!$F$121/100*BC33)*(1+Inputs!$F$122/100)</f>
        <v>6594.02432975</v>
      </c>
      <c r="BD40" s="13" t="n">
        <f aca="false">Inputs!$F$120*(1+Inputs!$F$121/100*BD33)*(1+Inputs!$F$122/100)</f>
        <v>6597.25854425</v>
      </c>
      <c r="BE40" s="13" t="n">
        <f aca="false">Inputs!$F$120*(1+Inputs!$F$121/100*BE33)*(1+Inputs!$F$122/100)</f>
        <v>6600.49275875</v>
      </c>
      <c r="BF40" s="13" t="n">
        <f aca="false">Inputs!$F$120*(1+Inputs!$F$121/100*BF33)*(1+Inputs!$F$122/100)</f>
        <v>6603.72697325</v>
      </c>
      <c r="BG40" s="13" t="n">
        <f aca="false">Inputs!$F$120*(1+Inputs!$F$121/100*BG33)*(1+Inputs!$F$122/100)</f>
        <v>6606.96118775</v>
      </c>
      <c r="BH40" s="13" t="n">
        <f aca="false">Inputs!$F$120*(1+Inputs!$F$121/100*BH33)*(1+Inputs!$F$122/100)</f>
        <v>6610.19540225</v>
      </c>
      <c r="BI40" s="13" t="n">
        <f aca="false">Inputs!$F$120*(1+Inputs!$F$121/100*BI33)*(1+Inputs!$F$122/100)</f>
        <v>6613.42961675</v>
      </c>
      <c r="BJ40" s="13" t="n">
        <f aca="false">Inputs!$F$120*(1+Inputs!$F$121/100*BJ33)*(1+Inputs!$F$122/100)</f>
        <v>6616.66383125</v>
      </c>
      <c r="BK40" s="13" t="n">
        <f aca="false">Inputs!$F$120*(1+Inputs!$F$121/100*BK33)*(1+Inputs!$F$122/100)</f>
        <v>6619.89804575</v>
      </c>
      <c r="BL40" s="13" t="n">
        <f aca="false">Inputs!$F$120*(1+Inputs!$F$121/100*BL33)*(1+Inputs!$F$122/100)</f>
        <v>6623.13226025</v>
      </c>
      <c r="BM40" s="13" t="n">
        <f aca="false">Inputs!$F$120*(1+Inputs!$F$121/100*BM33)*(1+Inputs!$F$122/100)</f>
        <v>6626.36647475</v>
      </c>
      <c r="BN40" s="13" t="n">
        <f aca="false">Inputs!$F$120*(1+Inputs!$F$121/100*BN33)*(1+Inputs!$F$122/100)</f>
        <v>6629.0616535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4137692.79785515</v>
      </c>
      <c r="Q42" s="15" t="n">
        <f aca="false">Q38*Q39*(1000*Inputs!$F$123/Inputs!$F$124)</f>
        <v>12411833.3306604</v>
      </c>
      <c r="R42" s="15" t="n">
        <f aca="false">R38*R39*(1000*Inputs!$F$123/Inputs!$F$124)</f>
        <v>12370265.7340664</v>
      </c>
      <c r="S42" s="15" t="n">
        <f aca="false">S38*S39*(1000*Inputs!$F$123/Inputs!$F$124)</f>
        <v>12289014.3890996</v>
      </c>
      <c r="T42" s="15" t="n">
        <f aca="false">T38*T39*(1000*Inputs!$F$123/Inputs!$F$124)</f>
        <v>12326811.9428824</v>
      </c>
      <c r="U42" s="15" t="n">
        <f aca="false">U38*U39*(1000*Inputs!$F$123/Inputs!$F$124)</f>
        <v>12404258.6807638</v>
      </c>
      <c r="V42" s="15" t="n">
        <f aca="false">V38*V39*(1000*Inputs!$F$123/Inputs!$F$124)</f>
        <v>12261301.2719524</v>
      </c>
      <c r="W42" s="15" t="n">
        <f aca="false">W38*W39*(1000*Inputs!$F$123/Inputs!$F$124)</f>
        <v>11977362.8114126</v>
      </c>
      <c r="X42" s="15" t="n">
        <f aca="false">X38*X39*(1000*Inputs!$F$123/Inputs!$F$124)</f>
        <v>12116476.923861</v>
      </c>
      <c r="Y42" s="15" t="n">
        <f aca="false">Y38*Y39*(1000*Inputs!$F$123/Inputs!$F$124)</f>
        <v>12396505.2780672</v>
      </c>
      <c r="Z42" s="15" t="n">
        <f aca="false">Z38*Z39*(1000*Inputs!$F$123/Inputs!$F$124)</f>
        <v>12354897.6145475</v>
      </c>
      <c r="AA42" s="15" t="n">
        <f aca="false">AA38*AA39*(1000*Inputs!$F$123/Inputs!$F$124)</f>
        <v>12273656.3696857</v>
      </c>
      <c r="AB42" s="15" t="n">
        <f aca="false">AB38*AB39*(1000*Inputs!$F$123/Inputs!$F$124)</f>
        <v>12311315.5234461</v>
      </c>
      <c r="AC42" s="15" t="n">
        <f aca="false">AC38*AC39*(1000*Inputs!$F$123/Inputs!$F$124)</f>
        <v>12388573.1225706</v>
      </c>
      <c r="AD42" s="15" t="n">
        <f aca="false">AD38*AD39*(1000*Inputs!$F$123/Inputs!$F$124)</f>
        <v>12162072.2211507</v>
      </c>
      <c r="AE42" s="15" t="n">
        <f aca="false">AE38*AE39*(1000*Inputs!$F$123/Inputs!$F$124)</f>
        <v>11711180.1610953</v>
      </c>
      <c r="AF42" s="15" t="n">
        <f aca="false">AF38*AF39*(1000*Inputs!$F$123/Inputs!$F$124)</f>
        <v>11933673.8339858</v>
      </c>
      <c r="AG42" s="15" t="n">
        <f aca="false">AG38*AG39*(1000*Inputs!$F$123/Inputs!$F$124)</f>
        <v>12380462.2142742</v>
      </c>
      <c r="AH42" s="15" t="n">
        <f aca="false">AH38*AH39*(1000*Inputs!$F$123/Inputs!$F$124)</f>
        <v>12338816.7706452</v>
      </c>
      <c r="AI42" s="15" t="n">
        <f aca="false">AI38*AI39*(1000*Inputs!$F$123/Inputs!$F$124)</f>
        <v>12257590.1995206</v>
      </c>
      <c r="AJ42" s="15" t="n">
        <f aca="false">AJ38*AJ39*(1000*Inputs!$F$123/Inputs!$F$124)</f>
        <v>12295108.6664425</v>
      </c>
      <c r="AK42" s="15" t="n">
        <f aca="false">AK38*AK39*(1000*Inputs!$F$123/Inputs!$F$124)</f>
        <v>12372172.5531778</v>
      </c>
      <c r="AL42" s="15" t="n">
        <f aca="false">AL38*AL39*(1000*Inputs!$F$123/Inputs!$F$124)</f>
        <v>12229403.2985218</v>
      </c>
      <c r="AM42" s="15" t="n">
        <f aca="false">AM38*AM39*(1000*Inputs!$F$123/Inputs!$F$124)</f>
        <v>11946025.9972694</v>
      </c>
      <c r="AN42" s="15" t="n">
        <f aca="false">AN38*AN39*(1000*Inputs!$F$123/Inputs!$F$124)</f>
        <v>12084596.482688</v>
      </c>
      <c r="AO42" s="15" t="n">
        <f aca="false">AO38*AO39*(1000*Inputs!$F$123/Inputs!$F$124)</f>
        <v>12363704.1392815</v>
      </c>
      <c r="AP42" s="15" t="n">
        <f aca="false">AP38*AP39*(1000*Inputs!$F$123/Inputs!$F$124)</f>
        <v>12322023.2023594</v>
      </c>
      <c r="AQ42" s="15" t="n">
        <f aca="false">AQ38*AQ39*(1000*Inputs!$F$123/Inputs!$F$124)</f>
        <v>12240815.8786045</v>
      </c>
      <c r="AR42" s="15" t="n">
        <f aca="false">AR38*AR39*(1000*Inputs!$F$123/Inputs!$F$124)</f>
        <v>12278191.3718717</v>
      </c>
      <c r="AS42" s="15" t="n">
        <f aca="false">AS38*AS39*(1000*Inputs!$F$123/Inputs!$F$124)</f>
        <v>12355056.9725853</v>
      </c>
      <c r="AT42" s="15" t="n">
        <f aca="false">AT38*AT39*(1000*Inputs!$F$123/Inputs!$F$124)</f>
        <v>12128987.9935759</v>
      </c>
      <c r="AU42" s="15" t="n">
        <f aca="false">AU38*AU39*(1000*Inputs!$F$123/Inputs!$F$124)</f>
        <v>11679148.2501102</v>
      </c>
      <c r="AV42" s="15" t="n">
        <f aca="false">AV38*AV39*(1000*Inputs!$F$123/Inputs!$F$124)</f>
        <v>11900855.7346466</v>
      </c>
      <c r="AW42" s="15" t="n">
        <f aca="false">AW38*AW39*(1000*Inputs!$F$123/Inputs!$F$124)</f>
        <v>12346231.0530892</v>
      </c>
      <c r="AX42" s="15" t="n">
        <f aca="false">AX38*AX39*(1000*Inputs!$F$123/Inputs!$F$124)</f>
        <v>12304516.9096901</v>
      </c>
      <c r="AY42" s="15" t="n">
        <f aca="false">AY38*AY39*(1000*Inputs!$F$123/Inputs!$F$124)</f>
        <v>12223333.4069373</v>
      </c>
      <c r="AZ42" s="15" t="n">
        <f aca="false">AZ38*AZ39*(1000*Inputs!$F$123/Inputs!$F$124)</f>
        <v>12260563.6397335</v>
      </c>
      <c r="BA42" s="15" t="n">
        <f aca="false">BA38*BA39*(1000*Inputs!$F$123/Inputs!$F$124)</f>
        <v>12337226.3807931</v>
      </c>
      <c r="BB42" s="15" t="n">
        <f aca="false">BB38*BB39*(1000*Inputs!$F$123/Inputs!$F$124)</f>
        <v>12194677.8039008</v>
      </c>
      <c r="BC42" s="15" t="n">
        <f aca="false">BC38*BC39*(1000*Inputs!$F$123/Inputs!$F$124)</f>
        <v>11911926.7091521</v>
      </c>
      <c r="BD42" s="15" t="n">
        <f aca="false">BD38*BD39*(1000*Inputs!$F$123/Inputs!$F$124)</f>
        <v>12049921.0439328</v>
      </c>
      <c r="BE42" s="15" t="n">
        <f aca="false">BE38*BE39*(1000*Inputs!$F$123/Inputs!$F$124)</f>
        <v>12328042.9556971</v>
      </c>
      <c r="BF42" s="15" t="n">
        <f aca="false">BF38*BF39*(1000*Inputs!$F$123/Inputs!$F$124)</f>
        <v>12286297.8926373</v>
      </c>
      <c r="BG42" s="15" t="n">
        <f aca="false">BG38*BG39*(1000*Inputs!$F$123/Inputs!$F$124)</f>
        <v>12205142.7845191</v>
      </c>
      <c r="BH42" s="15" t="n">
        <f aca="false">BH38*BH39*(1000*Inputs!$F$123/Inputs!$F$124)</f>
        <v>12242225.4700281</v>
      </c>
      <c r="BI42" s="15" t="n">
        <f aca="false">BI38*BI39*(1000*Inputs!$F$123/Inputs!$F$124)</f>
        <v>12318680.7778012</v>
      </c>
      <c r="BJ42" s="15" t="n">
        <f aca="false">BJ38*BJ39*(1000*Inputs!$F$123/Inputs!$F$124)</f>
        <v>12093095.5557029</v>
      </c>
      <c r="BK42" s="15" t="n">
        <f aca="false">BK38*BK39*(1000*Inputs!$F$123/Inputs!$F$124)</f>
        <v>11644411.7978281</v>
      </c>
      <c r="BL42" s="15" t="n">
        <f aca="false">BL38*BL39*(1000*Inputs!$F$123/Inputs!$F$124)</f>
        <v>11865281.2595099</v>
      </c>
      <c r="BM42" s="15" t="n">
        <f aca="false">BM38*BM39*(1000*Inputs!$F$123/Inputs!$F$124)</f>
        <v>12309139.8471054</v>
      </c>
      <c r="BN42" s="15" t="n">
        <f aca="false">BN38*BN39*(1000*Inputs!$F$123/Inputs!$F$124)</f>
        <v>8204753.10262872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3533120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7124160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3349.12562807373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20.1504883023659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63.7249606951716</v>
      </c>
      <c r="AE48" s="13" t="n">
        <f aca="false">$F$34*1000*Time!AE30*(AE45+AE46)*AE47/1000000</f>
        <v>63.0542865152397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68.1306506977385</v>
      </c>
      <c r="AU48" s="13" t="n">
        <f aca="false">$F$34*1000*Time!AU30*(AU45+AU46)*AU47/1000000</f>
        <v>67.4438415045077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73.3741486414762</v>
      </c>
      <c r="BK48" s="13" t="n">
        <f aca="false">$F$34*1000*Time!BK30*(BK45+BK46)*BK47/1000000</f>
        <v>72.6681361205019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74.4630413933989</v>
      </c>
      <c r="BN48" s="13" t="n">
        <f aca="false">$F$34*1000*Time!BN30*(BN45+BN46)*BN47/1000000</f>
        <v>49.8893174793379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491.126603471572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2.54395176542335</v>
      </c>
      <c r="Q50" s="13" t="n">
        <f aca="false">Q38*Q49/1000000</f>
        <v>7.71149083074173</v>
      </c>
      <c r="R50" s="13" t="n">
        <f aca="false">R38*R49/1000000</f>
        <v>7.76509047000199</v>
      </c>
      <c r="S50" s="13" t="n">
        <f aca="false">S38*S49/1000000</f>
        <v>7.79380937039928</v>
      </c>
      <c r="T50" s="13" t="n">
        <f aca="false">T38*T49/1000000</f>
        <v>7.89857758032942</v>
      </c>
      <c r="U50" s="13" t="n">
        <f aca="false">U38*U49/1000000</f>
        <v>8.03035009080359</v>
      </c>
      <c r="V50" s="13" t="n">
        <f aca="false">V38*V49/1000000</f>
        <v>8.01984418578093</v>
      </c>
      <c r="W50" s="13" t="n">
        <f aca="false">W38*W49/1000000</f>
        <v>7.91510043193519</v>
      </c>
      <c r="X50" s="13" t="n">
        <f aca="false">X38*X49/1000000</f>
        <v>8.08979649848136</v>
      </c>
      <c r="Y50" s="13" t="n">
        <f aca="false">Y38*Y49/1000000</f>
        <v>8.36231792098586</v>
      </c>
      <c r="Z50" s="13" t="n">
        <f aca="false">Z38*Z49/1000000</f>
        <v>8.42040301455608</v>
      </c>
      <c r="AA50" s="13" t="n">
        <f aca="false">AA38*AA49/1000000</f>
        <v>8.45150716808727</v>
      </c>
      <c r="AB50" s="13" t="n">
        <f aca="false">AB38*AB49/1000000</f>
        <v>8.56507750374957</v>
      </c>
      <c r="AC50" s="13" t="n">
        <f aca="false">AC38*AC49/1000000</f>
        <v>8.70792959747923</v>
      </c>
      <c r="AD50" s="13" t="n">
        <f aca="false">AD38*AD49/1000000</f>
        <v>8.63710377917103</v>
      </c>
      <c r="AE50" s="13" t="n">
        <f aca="false">AE38*AE49/1000000</f>
        <v>8.40288296992398</v>
      </c>
      <c r="AF50" s="13" t="n">
        <f aca="false">AF38*AF49/1000000</f>
        <v>8.65105480485096</v>
      </c>
      <c r="AG50" s="13" t="n">
        <f aca="false">AG38*AG49/1000000</f>
        <v>9.0677420793438</v>
      </c>
      <c r="AH50" s="13" t="n">
        <f aca="false">AH38*AH49/1000000</f>
        <v>9.13068516284434</v>
      </c>
      <c r="AI50" s="13" t="n">
        <f aca="false">AI38*AI49/1000000</f>
        <v>9.16437088854937</v>
      </c>
      <c r="AJ50" s="13" t="n">
        <f aca="false">AJ38*AJ49/1000000</f>
        <v>9.28747782880755</v>
      </c>
      <c r="AK50" s="13" t="n">
        <f aca="false">AK38*AK49/1000000</f>
        <v>9.442334878372</v>
      </c>
      <c r="AL50" s="13" t="n">
        <f aca="false">AL38*AL49/1000000</f>
        <v>9.42989511333744</v>
      </c>
      <c r="AM50" s="13" t="n">
        <f aca="false">AM38*AM49/1000000</f>
        <v>9.30664969387859</v>
      </c>
      <c r="AN50" s="13" t="n">
        <f aca="false">AN38*AN49/1000000</f>
        <v>9.51197136071293</v>
      </c>
      <c r="AO50" s="13" t="n">
        <f aca="false">AO38*AO49/1000000</f>
        <v>9.83231096343491</v>
      </c>
      <c r="AP50" s="13" t="n">
        <f aca="false">AP38*AP49/1000000</f>
        <v>9.90051523369952</v>
      </c>
      <c r="AQ50" s="13" t="n">
        <f aca="false">AQ38*AQ49/1000000</f>
        <v>9.9369948306012</v>
      </c>
      <c r="AR50" s="13" t="n">
        <f aca="false">AR38*AR49/1000000</f>
        <v>10.0704336461178</v>
      </c>
      <c r="AS50" s="13" t="n">
        <f aca="false">AS38*AS49/1000000</f>
        <v>10.2382977006584</v>
      </c>
      <c r="AT50" s="13" t="n">
        <f aca="false">AT38*AT49/1000000</f>
        <v>10.1549302610422</v>
      </c>
      <c r="AU50" s="13" t="n">
        <f aca="false">AU38*AU49/1000000</f>
        <v>9.8794570891343</v>
      </c>
      <c r="AV50" s="13" t="n">
        <f aca="false">AV38*AV49/1000000</f>
        <v>10.1711434212087</v>
      </c>
      <c r="AW50" s="13" t="n">
        <f aca="false">AW38*AW49/1000000</f>
        <v>10.6609478308276</v>
      </c>
      <c r="AX50" s="13" t="n">
        <f aca="false">AX38*AX49/1000000</f>
        <v>10.7348496416203</v>
      </c>
      <c r="AY50" s="13" t="n">
        <f aca="false">AY38*AY49/1000000</f>
        <v>10.7743526715631</v>
      </c>
      <c r="AZ50" s="13" t="n">
        <f aca="false">AZ38*AZ49/1000000</f>
        <v>10.9189844073281</v>
      </c>
      <c r="BA50" s="13" t="n">
        <f aca="false">BA38*BA49/1000000</f>
        <v>11.1009404854709</v>
      </c>
      <c r="BB50" s="13" t="n">
        <f aca="false">BB38*BB49/1000000</f>
        <v>11.0862112776209</v>
      </c>
      <c r="BC50" s="13" t="n">
        <f aca="false">BC38*BC49/1000000</f>
        <v>10.941215273802</v>
      </c>
      <c r="BD50" s="13" t="n">
        <f aca="false">BD38*BD49/1000000</f>
        <v>11.182492889396</v>
      </c>
      <c r="BE50" s="13" t="n">
        <f aca="false">BE38*BE49/1000000</f>
        <v>11.558982243131</v>
      </c>
      <c r="BF50" s="13" t="n">
        <f aca="false">BF38*BF49/1000000</f>
        <v>11.6390538012089</v>
      </c>
      <c r="BG50" s="13" t="n">
        <f aca="false">BG38*BG49/1000000</f>
        <v>11.6818284728625</v>
      </c>
      <c r="BH50" s="13" t="n">
        <f aca="false">BH38*BH49/1000000</f>
        <v>11.8385853341839</v>
      </c>
      <c r="BI50" s="13" t="n">
        <f aca="false">BI38*BI49/1000000</f>
        <v>12.0358082273877</v>
      </c>
      <c r="BJ50" s="13" t="n">
        <f aca="false">BJ38*BJ49/1000000</f>
        <v>11.9376904663381</v>
      </c>
      <c r="BK50" s="13" t="n">
        <f aca="false">BK38*BK49/1000000</f>
        <v>11.6137454837672</v>
      </c>
      <c r="BL50" s="13" t="n">
        <f aca="false">BL38*BL49/1000000</f>
        <v>11.9565216114816</v>
      </c>
      <c r="BM50" s="13" t="n">
        <f aca="false">BM38*BM49/1000000</f>
        <v>12.5321832482564</v>
      </c>
      <c r="BN50" s="13" t="n">
        <f aca="false">BN38*BN49/1000000</f>
        <v>8.44071197088183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4935.37303329242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25.7791196996463</v>
      </c>
      <c r="Q51" s="13" t="n">
        <f aca="false">Q38*Q40*(1000*Inputs!$F$123/Inputs!$F$124)*Q41/1000000</f>
        <v>78.8709386600562</v>
      </c>
      <c r="R51" s="13" t="n">
        <f aca="false">R38*R40*(1000*Inputs!$F$123/Inputs!$F$124)*R41/1000000</f>
        <v>78.5989487836604</v>
      </c>
      <c r="S51" s="13" t="n">
        <f aca="false">S38*S40*(1000*Inputs!$F$123/Inputs!$F$124)*S41/1000000</f>
        <v>79.6363991777555</v>
      </c>
      <c r="T51" s="13" t="n">
        <f aca="false">T38*T40*(1000*Inputs!$F$123/Inputs!$F$124)*T41/1000000</f>
        <v>79.8733798268943</v>
      </c>
      <c r="U51" s="13" t="n">
        <f aca="false">U38*U40*(1000*Inputs!$F$123/Inputs!$F$124)*U41/1000000</f>
        <v>81.9745525043435</v>
      </c>
      <c r="V51" s="13" t="n">
        <f aca="false">V38*V40*(1000*Inputs!$F$123/Inputs!$F$124)*V41/1000000</f>
        <v>81.021751587173</v>
      </c>
      <c r="W51" s="13" t="n">
        <f aca="false">W38*W40*(1000*Inputs!$F$123/Inputs!$F$124)*W41/1000000</f>
        <v>80.720401369175</v>
      </c>
      <c r="X51" s="13" t="n">
        <f aca="false">X38*X40*(1000*Inputs!$F$123/Inputs!$F$124)*X41/1000000</f>
        <v>81.6498489848216</v>
      </c>
      <c r="Y51" s="13" t="n">
        <f aca="false">Y38*Y40*(1000*Inputs!$F$123/Inputs!$F$124)*Y41/1000000</f>
        <v>85.1991836729775</v>
      </c>
      <c r="Z51" s="13" t="n">
        <f aca="false">Z38*Z40*(1000*Inputs!$F$123/Inputs!$F$124)*Z41/1000000</f>
        <v>84.9048165069735</v>
      </c>
      <c r="AA51" s="13" t="n">
        <f aca="false">AA38*AA40*(1000*Inputs!$F$123/Inputs!$F$124)*AA41/1000000</f>
        <v>86.0249380962306</v>
      </c>
      <c r="AB51" s="13" t="n">
        <f aca="false">AB38*AB40*(1000*Inputs!$F$123/Inputs!$F$124)*AB41/1000000</f>
        <v>86.2803657749892</v>
      </c>
      <c r="AC51" s="13" t="n">
        <f aca="false">AC38*AC40*(1000*Inputs!$F$123/Inputs!$F$124)*AC41/1000000</f>
        <v>88.5495033741988</v>
      </c>
      <c r="AD51" s="13" t="n">
        <f aca="false">AD38*AD40*(1000*Inputs!$F$123/Inputs!$F$124)*AD41/1000000</f>
        <v>86.9219818515905</v>
      </c>
      <c r="AE51" s="13" t="n">
        <f aca="false">AE38*AE40*(1000*Inputs!$F$123/Inputs!$F$124)*AE41/1000000</f>
        <v>85.365054689092</v>
      </c>
      <c r="AF51" s="13" t="n">
        <f aca="false">AF38*AF40*(1000*Inputs!$F$123/Inputs!$F$124)*AF41/1000000</f>
        <v>86.9783006666355</v>
      </c>
      <c r="AG51" s="13" t="n">
        <f aca="false">AG38*AG40*(1000*Inputs!$F$123/Inputs!$F$124)*AG41/1000000</f>
        <v>92.0303610577914</v>
      </c>
      <c r="AH51" s="13" t="n">
        <f aca="false">AH38*AH40*(1000*Inputs!$F$123/Inputs!$F$124)*AH41/1000000</f>
        <v>91.7117897628972</v>
      </c>
      <c r="AI51" s="13" t="n">
        <f aca="false">AI38*AI40*(1000*Inputs!$F$123/Inputs!$F$124)*AI41/1000000</f>
        <v>92.9211030374604</v>
      </c>
      <c r="AJ51" s="13" t="n">
        <f aca="false">AJ38*AJ40*(1000*Inputs!$F$123/Inputs!$F$124)*AJ41/1000000</f>
        <v>93.1963942315242</v>
      </c>
      <c r="AK51" s="13" t="n">
        <f aca="false">AK38*AK40*(1000*Inputs!$F$123/Inputs!$F$124)*AK41/1000000</f>
        <v>95.6467911252727</v>
      </c>
      <c r="AL51" s="13" t="n">
        <f aca="false">AL38*AL40*(1000*Inputs!$F$123/Inputs!$F$124)*AL41/1000000</f>
        <v>94.5338347262224</v>
      </c>
      <c r="AM51" s="13" t="n">
        <f aca="false">AM38*AM40*(1000*Inputs!$F$123/Inputs!$F$124)*AM41/1000000</f>
        <v>94.1809904350741</v>
      </c>
      <c r="AN51" s="13" t="n">
        <f aca="false">AN38*AN40*(1000*Inputs!$F$123/Inputs!$F$124)*AN41/1000000</f>
        <v>95.2641759921699</v>
      </c>
      <c r="AO51" s="13" t="n">
        <f aca="false">AO38*AO40*(1000*Inputs!$F$123/Inputs!$F$124)*AO41/1000000</f>
        <v>99.4040198886196</v>
      </c>
      <c r="AP51" s="13" t="n">
        <f aca="false">AP38*AP40*(1000*Inputs!$F$123/Inputs!$F$124)*AP41/1000000</f>
        <v>99.0592696696603</v>
      </c>
      <c r="AQ51" s="13" t="n">
        <f aca="false">AQ38*AQ40*(1000*Inputs!$F$123/Inputs!$F$124)*AQ41/1000000</f>
        <v>100.364803455195</v>
      </c>
      <c r="AR51" s="13" t="n">
        <f aca="false">AR38*AR40*(1000*Inputs!$F$123/Inputs!$F$124)*AR41/1000000</f>
        <v>100.661481636439</v>
      </c>
      <c r="AS51" s="13" t="n">
        <f aca="false">AS38*AS40*(1000*Inputs!$F$123/Inputs!$F$124)*AS41/1000000</f>
        <v>103.307472786548</v>
      </c>
      <c r="AT51" s="13" t="n">
        <f aca="false">AT38*AT40*(1000*Inputs!$F$123/Inputs!$F$124)*AT41/1000000</f>
        <v>101.407363093729</v>
      </c>
      <c r="AU51" s="13" t="n">
        <f aca="false">AU38*AU40*(1000*Inputs!$F$123/Inputs!$F$124)*AU41/1000000</f>
        <v>99.5896602483417</v>
      </c>
      <c r="AV51" s="13" t="n">
        <f aca="false">AV38*AV40*(1000*Inputs!$F$123/Inputs!$F$124)*AV41/1000000</f>
        <v>101.470383003147</v>
      </c>
      <c r="AW51" s="13" t="n">
        <f aca="false">AW38*AW40*(1000*Inputs!$F$123/Inputs!$F$124)*AW41/1000000</f>
        <v>107.362781867685</v>
      </c>
      <c r="AX51" s="13" t="n">
        <f aca="false">AX38*AX40*(1000*Inputs!$F$123/Inputs!$F$124)*AX41/1000000</f>
        <v>106.989718090849</v>
      </c>
      <c r="AY51" s="13" t="n">
        <f aca="false">AY38*AY40*(1000*Inputs!$F$123/Inputs!$F$124)*AY41/1000000</f>
        <v>108.399048643486</v>
      </c>
      <c r="AZ51" s="13" t="n">
        <f aca="false">AZ38*AZ40*(1000*Inputs!$F$123/Inputs!$F$124)*AZ41/1000000</f>
        <v>108.718752184724</v>
      </c>
      <c r="BA51" s="13" t="n">
        <f aca="false">BA38*BA40*(1000*Inputs!$F$123/Inputs!$F$124)*BA41/1000000</f>
        <v>111.5757935503</v>
      </c>
      <c r="BB51" s="13" t="n">
        <f aca="false">BB38*BB40*(1000*Inputs!$F$123/Inputs!$F$124)*BB41/1000000</f>
        <v>110.276019419535</v>
      </c>
      <c r="BC51" s="13" t="n">
        <f aca="false">BC38*BC40*(1000*Inputs!$F$123/Inputs!$F$124)*BC41/1000000</f>
        <v>109.862956151477</v>
      </c>
      <c r="BD51" s="13" t="n">
        <f aca="false">BD38*BD40*(1000*Inputs!$F$123/Inputs!$F$124)*BD41/1000000</f>
        <v>111.125021868197</v>
      </c>
      <c r="BE51" s="13" t="n">
        <f aca="false">BE38*BE40*(1000*Inputs!$F$123/Inputs!$F$124)*BE41/1000000</f>
        <v>115.952576668602</v>
      </c>
      <c r="BF51" s="13" t="n">
        <f aca="false">BF38*BF40*(1000*Inputs!$F$123/Inputs!$F$124)*BF41/1000000</f>
        <v>115.548892032972</v>
      </c>
      <c r="BG51" s="13" t="n">
        <f aca="false">BG38*BG40*(1000*Inputs!$F$123/Inputs!$F$124)*BG41/1000000</f>
        <v>117.070185092118</v>
      </c>
      <c r="BH51" s="13" t="n">
        <f aca="false">BH38*BH40*(1000*Inputs!$F$123/Inputs!$F$124)*BH41/1000000</f>
        <v>117.414675751632</v>
      </c>
      <c r="BI51" s="13" t="n">
        <f aca="false">BI38*BI40*(1000*Inputs!$F$123/Inputs!$F$124)*BI41/1000000</f>
        <v>120.499430815973</v>
      </c>
      <c r="BJ51" s="13" t="n">
        <f aca="false">BJ38*BJ40*(1000*Inputs!$F$123/Inputs!$F$124)*BJ41/1000000</f>
        <v>118.281530787593</v>
      </c>
      <c r="BK51" s="13" t="n">
        <f aca="false">BK38*BK40*(1000*Inputs!$F$123/Inputs!$F$124)*BK41/1000000</f>
        <v>116.159806869325</v>
      </c>
      <c r="BL51" s="13" t="n">
        <f aca="false">BL38*BL40*(1000*Inputs!$F$123/Inputs!$F$124)*BL41/1000000</f>
        <v>118.351865898643</v>
      </c>
      <c r="BM51" s="13" t="n">
        <f aca="false">BM38*BM40*(1000*Inputs!$F$123/Inputs!$F$124)*BM41/1000000</f>
        <v>125.222894995838</v>
      </c>
      <c r="BN51" s="13" t="n">
        <f aca="false">BN38*BN40*(1000*Inputs!$F$123/Inputs!$F$124)*BN41/1000000</f>
        <v>83.4617032271672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695.537825674145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3.81633916775125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11.165374573333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147.52233298824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0.822072217410972</v>
      </c>
      <c r="Q53" s="13" t="n">
        <f aca="false">Q42*Inputs!$F$148*(1+Inputs!$F$149/100)^(Time!Q26-Inputs!$F$256)/1000000</f>
        <v>2.50295882378314</v>
      </c>
      <c r="R53" s="13" t="n">
        <f aca="false">R42*Inputs!$F$148*(1+Inputs!$F$149/100)^(Time!R26-Inputs!$F$256)/1000000</f>
        <v>2.49457634071986</v>
      </c>
      <c r="S53" s="13" t="n">
        <f aca="false">S42*Inputs!$F$148*(1+Inputs!$F$149/100)^(Time!S26-Inputs!$F$256)/1000000</f>
        <v>2.51536413872757</v>
      </c>
      <c r="T53" s="13" t="n">
        <f aca="false">T42*Inputs!$F$148*(1+Inputs!$F$149/100)^(Time!T26-Inputs!$F$256)/1000000</f>
        <v>2.52310069174203</v>
      </c>
      <c r="U53" s="13" t="n">
        <f aca="false">U42*Inputs!$F$148*(1+Inputs!$F$149/100)^(Time!U26-Inputs!$F$256)/1000000</f>
        <v>2.5770370887498</v>
      </c>
      <c r="V53" s="13" t="n">
        <f aca="false">V42*Inputs!$F$148*(1+Inputs!$F$149/100)^(Time!V26-Inputs!$F$256)/1000000</f>
        <v>2.54733708376765</v>
      </c>
      <c r="W53" s="13" t="n">
        <f aca="false">W42*Inputs!$F$148*(1+Inputs!$F$149/100)^(Time!W26-Inputs!$F$256)/1000000</f>
        <v>2.52567288538279</v>
      </c>
      <c r="X53" s="13" t="n">
        <f aca="false">X42*Inputs!$F$148*(1+Inputs!$F$149/100)^(Time!X26-Inputs!$F$256)/1000000</f>
        <v>2.5550079524854</v>
      </c>
      <c r="Y53" s="13" t="n">
        <f aca="false">Y42*Inputs!$F$148*(1+Inputs!$F$149/100)^(Time!Y26-Inputs!$F$256)/1000000</f>
        <v>2.65326854613213</v>
      </c>
      <c r="Z53" s="13" t="n">
        <f aca="false">Z42*Inputs!$F$148*(1+Inputs!$F$149/100)^(Time!Z26-Inputs!$F$256)/1000000</f>
        <v>2.64436310847705</v>
      </c>
      <c r="AA53" s="13" t="n">
        <f aca="false">AA42*Inputs!$F$148*(1+Inputs!$F$149/100)^(Time!AA26-Inputs!$F$256)/1000000</f>
        <v>2.66637937436111</v>
      </c>
      <c r="AB53" s="13" t="n">
        <f aca="false">AB42*Inputs!$F$148*(1+Inputs!$F$149/100)^(Time!AB26-Inputs!$F$256)/1000000</f>
        <v>2.6745606031505</v>
      </c>
      <c r="AC53" s="13" t="n">
        <f aca="false">AC42*Inputs!$F$148*(1+Inputs!$F$149/100)^(Time!AC26-Inputs!$F$256)/1000000</f>
        <v>2.73171452578498</v>
      </c>
      <c r="AD53" s="13" t="n">
        <f aca="false">AD42*Inputs!$F$148*(1+Inputs!$F$149/100)^(Time!AD26-Inputs!$F$256)/1000000</f>
        <v>2.68177045261444</v>
      </c>
      <c r="AE53" s="13" t="n">
        <f aca="false">AE42*Inputs!$F$148*(1+Inputs!$F$149/100)^(Time!AE26-Inputs!$F$256)/1000000</f>
        <v>2.62108272302898</v>
      </c>
      <c r="AF53" s="13" t="n">
        <f aca="false">AF42*Inputs!$F$148*(1+Inputs!$F$149/100)^(Time!AF26-Inputs!$F$256)/1000000</f>
        <v>2.67087909828532</v>
      </c>
      <c r="AG53" s="13" t="n">
        <f aca="false">AG42*Inputs!$F$148*(1+Inputs!$F$149/100)^(Time!AG26-Inputs!$F$256)/1000000</f>
        <v>2.81243806295103</v>
      </c>
      <c r="AH53" s="13" t="n">
        <f aca="false">AH42*Inputs!$F$148*(1+Inputs!$F$149/100)^(Time!AH26-Inputs!$F$256)/1000000</f>
        <v>2.80297757361037</v>
      </c>
      <c r="AI53" s="13" t="n">
        <f aca="false">AI42*Inputs!$F$148*(1+Inputs!$F$149/100)^(Time!AI26-Inputs!$F$256)/1000000</f>
        <v>2.82629342347187</v>
      </c>
      <c r="AJ53" s="13" t="n">
        <f aca="false">AJ42*Inputs!$F$148*(1+Inputs!$F$149/100)^(Time!AJ26-Inputs!$F$256)/1000000</f>
        <v>2.83494424264546</v>
      </c>
      <c r="AK53" s="13" t="n">
        <f aca="false">AK42*Inputs!$F$148*(1+Inputs!$F$149/100)^(Time!AK26-Inputs!$F$256)/1000000</f>
        <v>2.89550394426714</v>
      </c>
      <c r="AL53" s="13" t="n">
        <f aca="false">AL42*Inputs!$F$148*(1+Inputs!$F$149/100)^(Time!AL26-Inputs!$F$256)/1000000</f>
        <v>2.86209114322515</v>
      </c>
      <c r="AM53" s="13" t="n">
        <f aca="false">AM42*Inputs!$F$148*(1+Inputs!$F$149/100)^(Time!AM26-Inputs!$F$256)/1000000</f>
        <v>2.83770790646585</v>
      </c>
      <c r="AN53" s="13" t="n">
        <f aca="false">AN42*Inputs!$F$148*(1+Inputs!$F$149/100)^(Time!AN26-Inputs!$F$256)/1000000</f>
        <v>2.87062450669468</v>
      </c>
      <c r="AO53" s="13" t="n">
        <f aca="false">AO42*Inputs!$F$148*(1+Inputs!$F$149/100)^(Time!AO26-Inputs!$F$256)/1000000</f>
        <v>2.98097875496188</v>
      </c>
      <c r="AP53" s="13" t="n">
        <f aca="false">AP42*Inputs!$F$148*(1+Inputs!$F$149/100)^(Time!AP26-Inputs!$F$256)/1000000</f>
        <v>2.97092917871418</v>
      </c>
      <c r="AQ53" s="13" t="n">
        <f aca="false">AQ42*Inputs!$F$148*(1+Inputs!$F$149/100)^(Time!AQ26-Inputs!$F$256)/1000000</f>
        <v>2.99561974643266</v>
      </c>
      <c r="AR53" s="13" t="n">
        <f aca="false">AR42*Inputs!$F$148*(1+Inputs!$F$149/100)^(Time!AR26-Inputs!$F$256)/1000000</f>
        <v>3.00476642152149</v>
      </c>
      <c r="AS53" s="13" t="n">
        <f aca="false">AS42*Inputs!$F$148*(1+Inputs!$F$149/100)^(Time!AS26-Inputs!$F$256)/1000000</f>
        <v>3.06893092727332</v>
      </c>
      <c r="AT53" s="13" t="n">
        <f aca="false">AT42*Inputs!$F$148*(1+Inputs!$F$149/100)^(Time!AT26-Inputs!$F$256)/1000000</f>
        <v>3.0127765863489</v>
      </c>
      <c r="AU53" s="13" t="n">
        <f aca="false">AU42*Inputs!$F$148*(1+Inputs!$F$149/100)^(Time!AU26-Inputs!$F$256)/1000000</f>
        <v>2.94455435039529</v>
      </c>
      <c r="AV53" s="13" t="n">
        <f aca="false">AV42*Inputs!$F$148*(1+Inputs!$F$149/100)^(Time!AV26-Inputs!$F$256)/1000000</f>
        <v>3.00045138364863</v>
      </c>
      <c r="AW53" s="13" t="n">
        <f aca="false">AW42*Inputs!$F$148*(1+Inputs!$F$149/100)^(Time!AW26-Inputs!$F$256)/1000000</f>
        <v>3.15943079011661</v>
      </c>
      <c r="AX53" s="13" t="n">
        <f aca="false">AX42*Inputs!$F$148*(1+Inputs!$F$149/100)^(Time!AX26-Inputs!$F$256)/1000000</f>
        <v>3.14875603856921</v>
      </c>
      <c r="AY53" s="13" t="n">
        <f aca="false">AY42*Inputs!$F$148*(1+Inputs!$F$149/100)^(Time!AY26-Inputs!$F$256)/1000000</f>
        <v>3.17490069593238</v>
      </c>
      <c r="AZ53" s="13" t="n">
        <f aca="false">AZ42*Inputs!$F$148*(1+Inputs!$F$149/100)^(Time!AZ26-Inputs!$F$256)/1000000</f>
        <v>3.18457091338283</v>
      </c>
      <c r="BA53" s="13" t="n">
        <f aca="false">BA42*Inputs!$F$148*(1+Inputs!$F$149/100)^(Time!BA26-Inputs!$F$256)/1000000</f>
        <v>3.25255062003178</v>
      </c>
      <c r="BB53" s="13" t="n">
        <f aca="false">BB42*Inputs!$F$148*(1+Inputs!$F$149/100)^(Time!BB26-Inputs!$F$256)/1000000</f>
        <v>3.21496952620687</v>
      </c>
      <c r="BC53" s="13" t="n">
        <f aca="false">BC42*Inputs!$F$148*(1+Inputs!$F$149/100)^(Time!BC26-Inputs!$F$256)/1000000</f>
        <v>3.18753223446583</v>
      </c>
      <c r="BD53" s="13" t="n">
        <f aca="false">BD42*Inputs!$F$148*(1+Inputs!$F$149/100)^(Time!BD26-Inputs!$F$256)/1000000</f>
        <v>3.22445836749426</v>
      </c>
      <c r="BE53" s="13" t="n">
        <f aca="false">BE42*Inputs!$F$148*(1+Inputs!$F$149/100)^(Time!BE26-Inputs!$F$256)/1000000</f>
        <v>3.34836469344265</v>
      </c>
      <c r="BF53" s="13" t="n">
        <f aca="false">BF42*Inputs!$F$148*(1+Inputs!$F$149/100)^(Time!BF26-Inputs!$F$256)/1000000</f>
        <v>3.33702650328729</v>
      </c>
      <c r="BG53" s="13" t="n">
        <f aca="false">BG42*Inputs!$F$148*(1+Inputs!$F$149/100)^(Time!BG26-Inputs!$F$256)/1000000</f>
        <v>3.36470909169022</v>
      </c>
      <c r="BH53" s="13" t="n">
        <f aca="false">BH42*Inputs!$F$148*(1+Inputs!$F$149/100)^(Time!BH26-Inputs!$F$256)/1000000</f>
        <v>3.37493203223909</v>
      </c>
      <c r="BI53" s="13" t="n">
        <f aca="false">BI42*Inputs!$F$148*(1+Inputs!$F$149/100)^(Time!BI26-Inputs!$F$256)/1000000</f>
        <v>3.44694934025841</v>
      </c>
      <c r="BJ53" s="13" t="n">
        <f aca="false">BJ42*Inputs!$F$148*(1+Inputs!$F$149/100)^(Time!BJ26-Inputs!$F$256)/1000000</f>
        <v>3.38382725385082</v>
      </c>
      <c r="BK53" s="13" t="n">
        <f aca="false">BK42*Inputs!$F$148*(1+Inputs!$F$149/100)^(Time!BK26-Inputs!$F$256)/1000000</f>
        <v>3.30715307609067</v>
      </c>
      <c r="BL53" s="13" t="n">
        <f aca="false">BL42*Inputs!$F$148*(1+Inputs!$F$149/100)^(Time!BL26-Inputs!$F$256)/1000000</f>
        <v>3.36988266108797</v>
      </c>
      <c r="BM53" s="13" t="n">
        <f aca="false">BM42*Inputs!$F$148*(1+Inputs!$F$149/100)^(Time!BM26-Inputs!$F$256)/1000000</f>
        <v>3.54838299885033</v>
      </c>
      <c r="BN53" s="13" t="n">
        <f aca="false">BN42*Inputs!$F$148*(1+Inputs!$F$149/100)^(Time!BN26-Inputs!$F$256)/1000000</f>
        <v>2.36520234401095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3840.2522315453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22.6944400677892</v>
      </c>
      <c r="Q55" s="13" t="n">
        <f aca="false">Q48+Q50</f>
        <v>68.3806017240434</v>
      </c>
      <c r="R55" s="13" t="n">
        <f aca="false">R48+R50</f>
        <v>68.6542284306558</v>
      </c>
      <c r="S55" s="13" t="n">
        <f aca="false">S48+S50</f>
        <v>68.9053815289536</v>
      </c>
      <c r="T55" s="13" t="n">
        <f aca="false">T48+T50</f>
        <v>69.2350174017176</v>
      </c>
      <c r="U55" s="13" t="n">
        <f aca="false">U48+U50</f>
        <v>69.5941176624461</v>
      </c>
      <c r="V55" s="13" t="n">
        <f aca="false">V48+V50</f>
        <v>69.8134265088396</v>
      </c>
      <c r="W55" s="13" t="n">
        <f aca="false">W48+W50</f>
        <v>69.9410117157538</v>
      </c>
      <c r="X55" s="13" t="n">
        <f aca="false">X48+X50</f>
        <v>70.3505784582473</v>
      </c>
      <c r="Y55" s="13" t="n">
        <f aca="false">Y48+Y50</f>
        <v>70.8605400786485</v>
      </c>
      <c r="Z55" s="13" t="n">
        <f aca="false">Z48+Z50</f>
        <v>71.1586630030369</v>
      </c>
      <c r="AA55" s="13" t="n">
        <f aca="false">AA48+AA50</f>
        <v>71.4324310388185</v>
      </c>
      <c r="AB55" s="13" t="n">
        <f aca="false">AB48+AB50</f>
        <v>71.791320037577</v>
      </c>
      <c r="AC55" s="13" t="n">
        <f aca="false">AC48+AC50</f>
        <v>72.1821746189666</v>
      </c>
      <c r="AD55" s="13" t="n">
        <f aca="false">AD48+AD50</f>
        <v>72.3620644743427</v>
      </c>
      <c r="AE55" s="13" t="n">
        <f aca="false">AE48+AE50</f>
        <v>71.4571694851637</v>
      </c>
      <c r="AF55" s="13" t="n">
        <f aca="false">AF48+AF50</f>
        <v>72.8857054609163</v>
      </c>
      <c r="AG55" s="13" t="n">
        <f aca="false">AG48+AG50</f>
        <v>73.5614273657301</v>
      </c>
      <c r="AH55" s="13" t="n">
        <f aca="false">AH48+AH50</f>
        <v>73.8862389589432</v>
      </c>
      <c r="AI55" s="13" t="n">
        <f aca="false">AI48+AI50</f>
        <v>74.1846580768362</v>
      </c>
      <c r="AJ55" s="13" t="n">
        <f aca="false">AJ48+AJ50</f>
        <v>74.5753946340206</v>
      </c>
      <c r="AK55" s="13" t="n">
        <f aca="false">AK48+AK50</f>
        <v>75.0008092104011</v>
      </c>
      <c r="AL55" s="13" t="n">
        <f aca="false">AL48+AL50</f>
        <v>75.2618869138651</v>
      </c>
      <c r="AM55" s="13" t="n">
        <f aca="false">AM48+AM50</f>
        <v>75.4151512868124</v>
      </c>
      <c r="AN55" s="13" t="n">
        <f aca="false">AN48+AN50</f>
        <v>75.9000078064522</v>
      </c>
      <c r="AO55" s="13" t="n">
        <f aca="false">AO48+AO50</f>
        <v>76.5029404170132</v>
      </c>
      <c r="AP55" s="13" t="n">
        <f aca="false">AP48+AP50</f>
        <v>76.8568293068451</v>
      </c>
      <c r="AQ55" s="13" t="n">
        <f aca="false">AQ48+AQ50</f>
        <v>77.1821189577582</v>
      </c>
      <c r="AR55" s="13" t="n">
        <f aca="false">AR48+AR50</f>
        <v>77.6075274544725</v>
      </c>
      <c r="AS55" s="13" t="n">
        <f aca="false">AS48+AS50</f>
        <v>78.0705553842129</v>
      </c>
      <c r="AT55" s="13" t="n">
        <f aca="false">AT48+AT50</f>
        <v>78.2855809587808</v>
      </c>
      <c r="AU55" s="13" t="n">
        <f aca="false">AU48+AU50</f>
        <v>77.323298593642</v>
      </c>
      <c r="AV55" s="13" t="n">
        <f aca="false">AV48+AV50</f>
        <v>78.9084092598975</v>
      </c>
      <c r="AW55" s="13" t="n">
        <f aca="false">AW48+AW50</f>
        <v>79.7065076145405</v>
      </c>
      <c r="AX55" s="13" t="n">
        <f aca="false">AX48+AX50</f>
        <v>80.0920761543602</v>
      </c>
      <c r="AY55" s="13" t="n">
        <f aca="false">AY48+AY50</f>
        <v>80.4466555961177</v>
      </c>
      <c r="AZ55" s="13" t="n">
        <f aca="false">AZ48+AZ50</f>
        <v>80.9098107289483</v>
      </c>
      <c r="BA55" s="13" t="n">
        <f aca="false">BA48+BA50</f>
        <v>81.4137748999657</v>
      </c>
      <c r="BB55" s="13" t="n">
        <f aca="false">BB48+BB50</f>
        <v>81.7245766039167</v>
      </c>
      <c r="BC55" s="13" t="n">
        <f aca="false">BC48+BC50</f>
        <v>81.9086728710156</v>
      </c>
      <c r="BD55" s="13" t="n">
        <f aca="false">BD48+BD50</f>
        <v>82.4826430784703</v>
      </c>
      <c r="BE55" s="13" t="n">
        <f aca="false">BE48+BE50</f>
        <v>83.1954647330834</v>
      </c>
      <c r="BF55" s="13" t="n">
        <f aca="false">BF48+BF50</f>
        <v>83.6155481200429</v>
      </c>
      <c r="BG55" s="13" t="n">
        <f aca="false">BG48+BG50</f>
        <v>84.0020544031938</v>
      </c>
      <c r="BH55" s="13" t="n">
        <f aca="false">BH48+BH50</f>
        <v>84.5063033536322</v>
      </c>
      <c r="BI55" s="13" t="n">
        <f aca="false">BI48+BI50</f>
        <v>85.0548199537863</v>
      </c>
      <c r="BJ55" s="13" t="n">
        <f aca="false">BJ48+BJ50</f>
        <v>85.3118391078143</v>
      </c>
      <c r="BK55" s="13" t="n">
        <f aca="false">BK48+BK50</f>
        <v>84.2818816042691</v>
      </c>
      <c r="BL55" s="13" t="n">
        <f aca="false">BL48+BL50</f>
        <v>86.0526423486703</v>
      </c>
      <c r="BM55" s="13" t="n">
        <f aca="false">BM48+BM50</f>
        <v>86.9952246416553</v>
      </c>
      <c r="BN55" s="13" t="n">
        <f aca="false">BN48+BN50</f>
        <v>58.3300294502197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9618.68542350011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53.1119711525977</v>
      </c>
      <c r="Q56" s="13" t="n">
        <f aca="false">Q55+Q51+Q52+Q53+Q54</f>
        <v>161.248249211217</v>
      </c>
      <c r="R56" s="13" t="n">
        <f aca="false">R55+R51+R52+R53+R54</f>
        <v>161.432007702073</v>
      </c>
      <c r="S56" s="13" t="n">
        <f aca="false">S55+S51+S52+S53+S54</f>
        <v>162.723301098821</v>
      </c>
      <c r="T56" s="13" t="n">
        <f aca="false">T55+T51+T52+T53+T54</f>
        <v>163.491015879596</v>
      </c>
      <c r="U56" s="13" t="n">
        <f aca="false">U55+U51+U52+U53+U54</f>
        <v>166.052276563207</v>
      </c>
      <c r="V56" s="13" t="n">
        <f aca="false">V55+V51+V52+V53+V54</f>
        <v>165.419925908411</v>
      </c>
      <c r="W56" s="13" t="n">
        <f aca="false">W55+W51+W52+W53+W54</f>
        <v>165.205851796455</v>
      </c>
      <c r="X56" s="13" t="n">
        <f aca="false">X55+X51+X52+X53+X54</f>
        <v>166.773407285114</v>
      </c>
      <c r="Y56" s="13" t="n">
        <f aca="false">Y55+Y51+Y52+Y53+Y54</f>
        <v>170.912039611294</v>
      </c>
      <c r="Z56" s="13" t="n">
        <f aca="false">Z55+Z51+Z52+Z53+Z54</f>
        <v>171.109084086391</v>
      </c>
      <c r="AA56" s="13" t="n">
        <f aca="false">AA55+AA51+AA52+AA53+AA54</f>
        <v>172.505781532649</v>
      </c>
      <c r="AB56" s="13" t="n">
        <f aca="false">AB55+AB51+AB52+AB53+AB54</f>
        <v>173.333506505639</v>
      </c>
      <c r="AC56" s="13" t="n">
        <f aca="false">AC55+AC51+AC52+AC53+AC54</f>
        <v>176.100591195099</v>
      </c>
      <c r="AD56" s="13" t="n">
        <f aca="false">AD55+AD51+AD52+AD53+AD54</f>
        <v>174.741885769818</v>
      </c>
      <c r="AE56" s="13" t="n">
        <f aca="false">AE55+AE51+AE52+AE53+AE54</f>
        <v>172.199586868651</v>
      </c>
      <c r="AF56" s="13" t="n">
        <f aca="false">AF55+AF51+AF52+AF53+AF54</f>
        <v>175.502595251977</v>
      </c>
      <c r="AG56" s="13" t="n">
        <f aca="false">AG55+AG51+AG52+AG53+AG54</f>
        <v>181.351850657409</v>
      </c>
      <c r="AH56" s="13" t="n">
        <f aca="false">AH55+AH51+AH52+AH53+AH54</f>
        <v>181.563231971983</v>
      </c>
      <c r="AI56" s="13" t="n">
        <f aca="false">AI55+AI51+AI52+AI53+AI54</f>
        <v>183.073893071269</v>
      </c>
      <c r="AJ56" s="13" t="n">
        <f aca="false">AJ55+AJ51+AJ52+AJ53+AJ54</f>
        <v>183.96639216987</v>
      </c>
      <c r="AK56" s="13" t="n">
        <f aca="false">AK55+AK51+AK52+AK53+AK54</f>
        <v>186.955766336811</v>
      </c>
      <c r="AL56" s="13" t="n">
        <f aca="false">AL55+AL51+AL52+AL53+AL54</f>
        <v>186.217866730918</v>
      </c>
      <c r="AM56" s="13" t="n">
        <f aca="false">AM55+AM51+AM52+AM53+AM54</f>
        <v>185.972900231528</v>
      </c>
      <c r="AN56" s="13" t="n">
        <f aca="false">AN55+AN51+AN52+AN53+AN54</f>
        <v>187.798263062136</v>
      </c>
      <c r="AO56" s="13" t="n">
        <f aca="false">AO55+AO51+AO52+AO53+AO54</f>
        <v>192.630075422818</v>
      </c>
      <c r="AP56" s="13" t="n">
        <f aca="false">AP55+AP51+AP52+AP53+AP54</f>
        <v>192.856934733391</v>
      </c>
      <c r="AQ56" s="13" t="n">
        <f aca="false">AQ55+AQ51+AQ52+AQ53+AQ54</f>
        <v>194.490810567042</v>
      </c>
      <c r="AR56" s="13" t="n">
        <f aca="false">AR55+AR51+AR52+AR53+AR54</f>
        <v>195.453230689277</v>
      </c>
      <c r="AS56" s="13" t="n">
        <f aca="false">AS55+AS51+AS52+AS53+AS54</f>
        <v>198.682669722047</v>
      </c>
      <c r="AT56" s="13" t="n">
        <f aca="false">AT55+AT51+AT52+AT53+AT54</f>
        <v>197.097867643355</v>
      </c>
      <c r="AU56" s="13" t="n">
        <f aca="false">AU55+AU51+AU52+AU53+AU54</f>
        <v>194.227368012657</v>
      </c>
      <c r="AV56" s="13" t="n">
        <f aca="false">AV55+AV51+AV52+AV53+AV54</f>
        <v>197.987272856257</v>
      </c>
      <c r="AW56" s="13" t="n">
        <f aca="false">AW55+AW51+AW52+AW53+AW54</f>
        <v>204.814122914924</v>
      </c>
      <c r="AX56" s="13" t="n">
        <f aca="false">AX55+AX51+AX52+AX53+AX54</f>
        <v>205.057699931486</v>
      </c>
      <c r="AY56" s="13" t="n">
        <f aca="false">AY55+AY51+AY52+AY53+AY54</f>
        <v>206.824788617757</v>
      </c>
      <c r="AZ56" s="13" t="n">
        <f aca="false">AZ55+AZ51+AZ52+AZ53+AZ54</f>
        <v>207.862690719479</v>
      </c>
      <c r="BA56" s="13" t="n">
        <f aca="false">BA55+BA51+BA52+BA53+BA54</f>
        <v>211.35138344387</v>
      </c>
      <c r="BB56" s="13" t="n">
        <f aca="false">BB55+BB51+BB52+BB53+BB54</f>
        <v>210.490865795468</v>
      </c>
      <c r="BC56" s="13" t="n">
        <f aca="false">BC55+BC51+BC52+BC53+BC54</f>
        <v>210.210801390974</v>
      </c>
      <c r="BD56" s="13" t="n">
        <f aca="false">BD55+BD51+BD52+BD53+BD54</f>
        <v>212.336553063658</v>
      </c>
      <c r="BE56" s="13" t="n">
        <f aca="false">BE55+BE51+BE52+BE53+BE54</f>
        <v>217.976820831155</v>
      </c>
      <c r="BF56" s="13" t="n">
        <f aca="false">BF55+BF51+BF52+BF53+BF54</f>
        <v>218.238462852042</v>
      </c>
      <c r="BG56" s="13" t="n">
        <f aca="false">BG55+BG51+BG52+BG53+BG54</f>
        <v>220.149569544068</v>
      </c>
      <c r="BH56" s="13" t="n">
        <f aca="false">BH55+BH51+BH52+BH53+BH54</f>
        <v>221.268962276179</v>
      </c>
      <c r="BI56" s="13" t="n">
        <f aca="false">BI55+BI51+BI52+BI53+BI54</f>
        <v>225.037622592885</v>
      </c>
      <c r="BJ56" s="13" t="n">
        <f aca="false">BJ55+BJ51+BJ52+BJ53+BJ54</f>
        <v>223.189844055013</v>
      </c>
      <c r="BK56" s="13" t="n">
        <f aca="false">BK55+BK51+BK52+BK53+BK54</f>
        <v>219.936376475179</v>
      </c>
      <c r="BL56" s="13" t="n">
        <f aca="false">BL55+BL51+BL52+BL53+BL54</f>
        <v>224.230227517743</v>
      </c>
      <c r="BM56" s="13" t="n">
        <f aca="false">BM55+BM51+BM52+BM53+BM54</f>
        <v>232.19685058572</v>
      </c>
      <c r="BN56" s="13" t="n">
        <f aca="false">BN55+BN51+BN52+BN53+BN54</f>
        <v>155.322309594731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282.415873551671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1.41425519242689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7.23096040938848</v>
      </c>
      <c r="BN60" s="13" t="n">
        <f aca="false">Inputs!$F$151*(Inputs!$F$152*BN21+(1-Inputs!$F$152)*BN27*Inputs!$F$153/BN11)*Time!BN30/12*Inputs!$F$40</f>
        <v>4.87337883188386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4.15292561684909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0.0643971521276405</v>
      </c>
      <c r="Q61" s="13" t="n">
        <f aca="false">IF(Time!Q30&gt;0,Inputs!$F$154*MAX(-1,MIN(1,(Q32-Inputs!$F$216)/Inputs!$F$217))*Q21*Time!Q30/12,0)</f>
        <v>0.195305001147897</v>
      </c>
      <c r="R61" s="13" t="n">
        <f aca="false">IF(Time!R30&gt;0,Inputs!$F$154*MAX(-1,MIN(1,(R32-Inputs!$F$216)/Inputs!$F$217))*R21*Time!R30/12,0)</f>
        <v>0.164534723686122</v>
      </c>
      <c r="S61" s="13" t="n">
        <f aca="false">IF(Time!S30&gt;0,Inputs!$F$154*MAX(-1,MIN(1,(S32-Inputs!$F$216)/Inputs!$F$217))*S21*Time!S30/12,0)</f>
        <v>0.0998008555865778</v>
      </c>
      <c r="T61" s="13" t="n">
        <f aca="false">IF(Time!T30&gt;0,Inputs!$F$154*MAX(-1,MIN(1,(T32-Inputs!$F$216)/Inputs!$F$217))*T21*Time!T30/12,0)</f>
        <v>0.134523590085774</v>
      </c>
      <c r="U61" s="13" t="n">
        <f aca="false">IF(Time!U30&gt;0,Inputs!$F$154*MAX(-1,MIN(1,(U32-Inputs!$F$216)/Inputs!$F$217))*U21*Time!U30/12,0)</f>
        <v>0.20399294881896</v>
      </c>
      <c r="V61" s="13" t="n">
        <f aca="false">IF(Time!V30&gt;0,Inputs!$F$154*MAX(-1,MIN(1,(V32-Inputs!$F$216)/Inputs!$F$217))*V21*Time!V30/12,0)</f>
        <v>0.084017455541348</v>
      </c>
      <c r="W61" s="13" t="n">
        <f aca="false">IF(Time!W30&gt;0,Inputs!$F$154*MAX(-1,MIN(1,(W32-Inputs!$F$216)/Inputs!$F$217))*W21*Time!W30/12,0)</f>
        <v>-0.162151728427874</v>
      </c>
      <c r="X61" s="13" t="n">
        <f aca="false">IF(Time!X30&gt;0,Inputs!$F$154*MAX(-1,MIN(1,(X32-Inputs!$F$216)/Inputs!$F$217))*X21*Time!X30/12,0)</f>
        <v>-0.0390299270742074</v>
      </c>
      <c r="Y61" s="13" t="n">
        <f aca="false">IF(Time!Y30&gt;0,Inputs!$F$154*MAX(-1,MIN(1,(Y32-Inputs!$F$216)/Inputs!$F$217))*Y21*Time!Y30/12,0)</f>
        <v>0.213067371154223</v>
      </c>
      <c r="Z61" s="13" t="n">
        <f aca="false">IF(Time!Z30&gt;0,Inputs!$F$154*MAX(-1,MIN(1,(Z32-Inputs!$F$216)/Inputs!$F$217))*Z21*Time!Z30/12,0)</f>
        <v>0.179498634614282</v>
      </c>
      <c r="AA61" s="13" t="n">
        <f aca="false">IF(Time!AA30&gt;0,Inputs!$F$154*MAX(-1,MIN(1,(AA32-Inputs!$F$216)/Inputs!$F$217))*AA21*Time!AA30/12,0)</f>
        <v>0.10887742665981</v>
      </c>
      <c r="AB61" s="13" t="n">
        <f aca="false">IF(Time!AB30&gt;0,Inputs!$F$154*MAX(-1,MIN(1,(AB32-Inputs!$F$216)/Inputs!$F$217))*AB21*Time!AB30/12,0)</f>
        <v>0.146758083660638</v>
      </c>
      <c r="AC61" s="13" t="n">
        <f aca="false">IF(Time!AC30&gt;0,Inputs!$F$154*MAX(-1,MIN(1,(AC32-Inputs!$F$216)/Inputs!$F$217))*AC21*Time!AC30/12,0)</f>
        <v>0.222545460092647</v>
      </c>
      <c r="AD61" s="13" t="n">
        <f aca="false">IF(Time!AD30&gt;0,Inputs!$F$154*MAX(-1,MIN(1,(AD32-Inputs!$F$216)/Inputs!$F$217))*AD21*Time!AD30/12,0)</f>
        <v>0.0124988967917653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-0.20438196033893</v>
      </c>
      <c r="AG61" s="13" t="n">
        <f aca="false">IF(Time!AG30&gt;0,Inputs!$F$154*MAX(-1,MIN(1,(AG32-Inputs!$F$216)/Inputs!$F$217))*AG21*Time!AG30/12,0)</f>
        <v>0.232445172339408</v>
      </c>
      <c r="AH61" s="13" t="n">
        <f aca="false">IF(Time!AH30&gt;0,Inputs!$F$154*MAX(-1,MIN(1,(AH32-Inputs!$F$216)/Inputs!$F$217))*AH21*Time!AH30/12,0)</f>
        <v>0.195823465749737</v>
      </c>
      <c r="AI61" s="13" t="n">
        <f aca="false">IF(Time!AI30&gt;0,Inputs!$F$154*MAX(-1,MIN(1,(AI32-Inputs!$F$216)/Inputs!$F$217))*AI21*Time!AI30/12,0)</f>
        <v>0.11877948306544</v>
      </c>
      <c r="AJ61" s="13" t="n">
        <f aca="false">IF(Time!AJ30&gt;0,Inputs!$F$154*MAX(-1,MIN(1,(AJ32-Inputs!$F$216)/Inputs!$F$217))*AJ21*Time!AJ30/12,0)</f>
        <v>0.160105265596985</v>
      </c>
      <c r="AK61" s="13" t="n">
        <f aca="false">IF(Time!AK30&gt;0,Inputs!$F$154*MAX(-1,MIN(1,(AK32-Inputs!$F$216)/Inputs!$F$217))*AK21*Time!AK30/12,0)</f>
        <v>0.242785263385754</v>
      </c>
      <c r="AL61" s="13" t="n">
        <f aca="false">IF(Time!AL30&gt;0,Inputs!$F$154*MAX(-1,MIN(1,(AL32-Inputs!$F$216)/Inputs!$F$217))*AL21*Time!AL30/12,0)</f>
        <v>0.0999946331022946</v>
      </c>
      <c r="AM61" s="13" t="n">
        <f aca="false">IF(Time!AM30&gt;0,Inputs!$F$154*MAX(-1,MIN(1,(AM32-Inputs!$F$216)/Inputs!$F$217))*AM21*Time!AM30/12,0)</f>
        <v>-0.192987308251301</v>
      </c>
      <c r="AN61" s="13" t="n">
        <f aca="false">IF(Time!AN30&gt;0,Inputs!$F$154*MAX(-1,MIN(1,(AN32-Inputs!$F$216)/Inputs!$F$217))*AN21*Time!AN30/12,0)</f>
        <v>-0.0464520522866107</v>
      </c>
      <c r="AO61" s="13" t="n">
        <f aca="false">IF(Time!AO30&gt;0,Inputs!$F$154*MAX(-1,MIN(1,(AO32-Inputs!$F$216)/Inputs!$F$217))*AO21*Time!AO30/12,0)</f>
        <v>0.253585323042206</v>
      </c>
      <c r="AP61" s="13" t="n">
        <f aca="false">IF(Time!AP30&gt;0,Inputs!$F$154*MAX(-1,MIN(1,(AP32-Inputs!$F$216)/Inputs!$F$217))*AP21*Time!AP30/12,0)</f>
        <v>0.213632988466125</v>
      </c>
      <c r="AQ61" s="13" t="n">
        <f aca="false">IF(Time!AQ30&gt;0,Inputs!$F$154*MAX(-1,MIN(1,(AQ32-Inputs!$F$216)/Inputs!$F$217))*AQ21*Time!AQ30/12,0)</f>
        <v>0.12958210007457</v>
      </c>
      <c r="AR61" s="13" t="n">
        <f aca="false">IF(Time!AR30&gt;0,Inputs!$F$154*MAX(-1,MIN(1,(AR32-Inputs!$F$216)/Inputs!$F$217))*AR21*Time!AR30/12,0)</f>
        <v>0.174666331369905</v>
      </c>
      <c r="AS61" s="13" t="n">
        <f aca="false">IF(Time!AS30&gt;0,Inputs!$F$154*MAX(-1,MIN(1,(AS32-Inputs!$F$216)/Inputs!$F$217))*AS21*Time!AS30/12,0)</f>
        <v>0.264865812552416</v>
      </c>
      <c r="AT61" s="13" t="n">
        <f aca="false">IF(Time!AT30&gt;0,Inputs!$F$154*MAX(-1,MIN(1,(AT32-Inputs!$F$216)/Inputs!$F$217))*AT21*Time!AT30/12,0)</f>
        <v>0.0148757492216714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-0.243248251272752</v>
      </c>
      <c r="AW61" s="13" t="n">
        <f aca="false">IF(Time!AW30&gt;0,Inputs!$F$154*MAX(-1,MIN(1,(AW32-Inputs!$F$216)/Inputs!$F$217))*AW21*Time!AW30/12,0)</f>
        <v>0.276648103357997</v>
      </c>
      <c r="AX61" s="13" t="n">
        <f aca="false">IF(Time!AX30&gt;0,Inputs!$F$154*MAX(-1,MIN(1,(AX32-Inputs!$F$216)/Inputs!$F$217))*AX21*Time!AX30/12,0)</f>
        <v>0.233062230750704</v>
      </c>
      <c r="AY61" s="13" t="n">
        <f aca="false">IF(Time!AY30&gt;0,Inputs!$F$154*MAX(-1,MIN(1,(AY32-Inputs!$F$216)/Inputs!$F$217))*AY21*Time!AY30/12,0)</f>
        <v>0.14136718081594</v>
      </c>
      <c r="AZ61" s="13" t="n">
        <f aca="false">IF(Time!AZ30&gt;0,Inputs!$F$154*MAX(-1,MIN(1,(AZ32-Inputs!$F$216)/Inputs!$F$217))*AZ21*Time!AZ30/12,0)</f>
        <v>0.190551679861776</v>
      </c>
      <c r="BA61" s="13" t="n">
        <f aca="false">IF(Time!BA30&gt;0,Inputs!$F$154*MAX(-1,MIN(1,(BA32-Inputs!$F$216)/Inputs!$F$217))*BA21*Time!BA30/12,0)</f>
        <v>0.288954517587774</v>
      </c>
      <c r="BB61" s="13" t="n">
        <f aca="false">IF(Time!BB30&gt;0,Inputs!$F$154*MAX(-1,MIN(1,(BB32-Inputs!$F$216)/Inputs!$F$217))*BB21*Time!BB30/12,0)</f>
        <v>0.119010110278116</v>
      </c>
      <c r="BC61" s="13" t="n">
        <f aca="false">IF(Time!BC30&gt;0,Inputs!$F$154*MAX(-1,MIN(1,(BC32-Inputs!$F$216)/Inputs!$F$217))*BC21*Time!BC30/12,0)</f>
        <v>-0.229686735424774</v>
      </c>
      <c r="BD61" s="13" t="n">
        <f aca="false">IF(Time!BD30&gt;0,Inputs!$F$154*MAX(-1,MIN(1,(BD32-Inputs!$F$216)/Inputs!$F$217))*BD21*Time!BD30/12,0)</f>
        <v>-0.0552856057746511</v>
      </c>
      <c r="BE61" s="13" t="n">
        <f aca="false">IF(Time!BE30&gt;0,Inputs!$F$154*MAX(-1,MIN(1,(BE32-Inputs!$F$216)/Inputs!$F$217))*BE21*Time!BE30/12,0)</f>
        <v>0.301808370348149</v>
      </c>
      <c r="BF61" s="13" t="n">
        <f aca="false">IF(Time!BF30&gt;0,Inputs!$F$154*MAX(-1,MIN(1,(BF32-Inputs!$F$216)/Inputs!$F$217))*BF21*Time!BF30/12,0)</f>
        <v>0.254258500957624</v>
      </c>
      <c r="BG61" s="13" t="n">
        <f aca="false">IF(Time!BG30&gt;0,Inputs!$F$154*MAX(-1,MIN(1,(BG32-Inputs!$F$216)/Inputs!$F$217))*BG21*Time!BG30/12,0)</f>
        <v>0.154224077247908</v>
      </c>
      <c r="BH61" s="13" t="n">
        <f aca="false">IF(Time!BH30&gt;0,Inputs!$F$154*MAX(-1,MIN(1,(BH32-Inputs!$F$216)/Inputs!$F$217))*BH21*Time!BH30/12,0)</f>
        <v>0.207881750382954</v>
      </c>
      <c r="BI61" s="13" t="n">
        <f aca="false">IF(Time!BI30&gt;0,Inputs!$F$154*MAX(-1,MIN(1,(BI32-Inputs!$F$216)/Inputs!$F$217))*BI21*Time!BI30/12,0)</f>
        <v>0.315234013894715</v>
      </c>
      <c r="BJ61" s="13" t="n">
        <f aca="false">IF(Time!BJ30&gt;0,Inputs!$F$154*MAX(-1,MIN(1,(BJ32-Inputs!$F$216)/Inputs!$F$217))*BJ21*Time!BJ30/12,0)</f>
        <v>0.0177045957409497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-0.289505549555986</v>
      </c>
      <c r="BM61" s="13" t="n">
        <f aca="false">IF(Time!BM30&gt;0,Inputs!$F$154*MAX(-1,MIN(1,(BM32-Inputs!$F$216)/Inputs!$F$217))*BM21*Time!BM30/12,0)</f>
        <v>0.329256883768808</v>
      </c>
      <c r="BN61" s="13" t="n">
        <f aca="false">IF(Time!BN30&gt;0,Inputs!$F$154*MAX(-1,MIN(1,(BN32-Inputs!$F$216)/Inputs!$F$217))*BN21*Time!BN30/12,0)</f>
        <v>0.221906003734662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94.3038468904816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0.472245782269365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2.41455048097126</v>
      </c>
      <c r="BN62" s="13" t="n">
        <f aca="false">Inputs!$F$155*BN21*Time!BN30/12*Inputs!$F$40</f>
        <v>1.62731069405419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2813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5626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293.010196711867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1.46730843037393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4.69889082755904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7.34072101148476</v>
      </c>
      <c r="BL64" s="13" t="n">
        <f aca="false">BL63*Inputs!$F$156*BL21/1000000</f>
        <v>7.42102964808522</v>
      </c>
      <c r="BM64" s="13" t="n">
        <f aca="false">BM63*Inputs!$F$156*BM21/1000000</f>
        <v>7.50221687373743</v>
      </c>
      <c r="BN64" s="13" t="n">
        <f aca="false">BN63*Inputs!$F$156*BN21/1000000</f>
        <v>5.0561948668954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156.101443527047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0.781709874438304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3.99681272797137</v>
      </c>
      <c r="BN65" s="13" t="n">
        <f aca="false">Inputs!$F$157*BN21*Time!BN30/12*(1+Inputs!$F$158*Inputs!$F$46*Time!BN41)*Inputs!$F$40</f>
        <v>2.69369232311243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113.30895889137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0.567417763900181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2.90115631769762</v>
      </c>
      <c r="BN66" s="13" t="n">
        <f aca="false">Inputs!$F$159*(Inputs!$F$218*BN21+(1-Inputs!$F$218)*BN27*Inputs!$F$153/BN11)*Time!BN30/12*Inputs!$F$40</f>
        <v>1.95526361453961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25.3087884444882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0.12673892944301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0.648004819807696</v>
      </c>
      <c r="BN67" s="13" t="n">
        <f aca="false">Inputs!$F$160*BN27/BN11*Time!BN30/12*Inputs!$F$40</f>
        <v>0.436729395960917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21.1213872734992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0.124819420372841</v>
      </c>
      <c r="Q68" s="13" t="n">
        <f aca="false">Inputs!$F$161/100*Q55</f>
        <v>0.376093309482239</v>
      </c>
      <c r="R68" s="13" t="n">
        <f aca="false">Inputs!$F$161/100*R55</f>
        <v>0.377598256368607</v>
      </c>
      <c r="S68" s="13" t="n">
        <f aca="false">Inputs!$F$161/100*S55</f>
        <v>0.378979598409245</v>
      </c>
      <c r="T68" s="13" t="n">
        <f aca="false">Inputs!$F$161/100*T55</f>
        <v>0.380792595709447</v>
      </c>
      <c r="U68" s="13" t="n">
        <f aca="false">Inputs!$F$161/100*U55</f>
        <v>0.382767647143454</v>
      </c>
      <c r="V68" s="13" t="n">
        <f aca="false">Inputs!$F$161/100*V55</f>
        <v>0.383973845798618</v>
      </c>
      <c r="W68" s="13" t="n">
        <f aca="false">Inputs!$F$161/100*W55</f>
        <v>0.384675564436646</v>
      </c>
      <c r="X68" s="13" t="n">
        <f aca="false">Inputs!$F$161/100*X55</f>
        <v>0.38692818152036</v>
      </c>
      <c r="Y68" s="13" t="n">
        <f aca="false">Inputs!$F$161/100*Y55</f>
        <v>0.389732970432567</v>
      </c>
      <c r="Z68" s="13" t="n">
        <f aca="false">Inputs!$F$161/100*Z55</f>
        <v>0.391372646516703</v>
      </c>
      <c r="AA68" s="13" t="n">
        <f aca="false">Inputs!$F$161/100*AA55</f>
        <v>0.392878370713502</v>
      </c>
      <c r="AB68" s="13" t="n">
        <f aca="false">Inputs!$F$161/100*AB55</f>
        <v>0.394852260206674</v>
      </c>
      <c r="AC68" s="13" t="n">
        <f aca="false">Inputs!$F$161/100*AC55</f>
        <v>0.397001960404316</v>
      </c>
      <c r="AD68" s="13" t="n">
        <f aca="false">Inputs!$F$161/100*AD55</f>
        <v>0.397991354608885</v>
      </c>
      <c r="AE68" s="13" t="n">
        <f aca="false">Inputs!$F$161/100*AE55</f>
        <v>0.3930144321684</v>
      </c>
      <c r="AF68" s="13" t="n">
        <f aca="false">Inputs!$F$161/100*AF55</f>
        <v>0.40087138003504</v>
      </c>
      <c r="AG68" s="13" t="n">
        <f aca="false">Inputs!$F$161/100*AG55</f>
        <v>0.404587850511516</v>
      </c>
      <c r="AH68" s="13" t="n">
        <f aca="false">Inputs!$F$161/100*AH55</f>
        <v>0.406374314274187</v>
      </c>
      <c r="AI68" s="13" t="n">
        <f aca="false">Inputs!$F$161/100*AI55</f>
        <v>0.408015619422599</v>
      </c>
      <c r="AJ68" s="13" t="n">
        <f aca="false">Inputs!$F$161/100*AJ55</f>
        <v>0.410164670487113</v>
      </c>
      <c r="AK68" s="13" t="n">
        <f aca="false">Inputs!$F$161/100*AK55</f>
        <v>0.412504450657206</v>
      </c>
      <c r="AL68" s="13" t="n">
        <f aca="false">Inputs!$F$161/100*AL55</f>
        <v>0.413940378026258</v>
      </c>
      <c r="AM68" s="13" t="n">
        <f aca="false">Inputs!$F$161/100*AM55</f>
        <v>0.414783332077468</v>
      </c>
      <c r="AN68" s="13" t="n">
        <f aca="false">Inputs!$F$161/100*AN55</f>
        <v>0.417450042935487</v>
      </c>
      <c r="AO68" s="13" t="n">
        <f aca="false">Inputs!$F$161/100*AO55</f>
        <v>0.420766172293573</v>
      </c>
      <c r="AP68" s="13" t="n">
        <f aca="false">Inputs!$F$161/100*AP55</f>
        <v>0.422712561187648</v>
      </c>
      <c r="AQ68" s="13" t="n">
        <f aca="false">Inputs!$F$161/100*AQ55</f>
        <v>0.42450165426767</v>
      </c>
      <c r="AR68" s="13" t="n">
        <f aca="false">Inputs!$F$161/100*AR55</f>
        <v>0.426841400999599</v>
      </c>
      <c r="AS68" s="13" t="n">
        <f aca="false">Inputs!$F$161/100*AS55</f>
        <v>0.429388054613171</v>
      </c>
      <c r="AT68" s="13" t="n">
        <f aca="false">Inputs!$F$161/100*AT55</f>
        <v>0.430570695273294</v>
      </c>
      <c r="AU68" s="13" t="n">
        <f aca="false">Inputs!$F$161/100*AU55</f>
        <v>0.425278142265031</v>
      </c>
      <c r="AV68" s="13" t="n">
        <f aca="false">Inputs!$F$161/100*AV55</f>
        <v>0.433996250929436</v>
      </c>
      <c r="AW68" s="13" t="n">
        <f aca="false">Inputs!$F$161/100*AW55</f>
        <v>0.438385791879973</v>
      </c>
      <c r="AX68" s="13" t="n">
        <f aca="false">Inputs!$F$161/100*AX55</f>
        <v>0.440506418848981</v>
      </c>
      <c r="AY68" s="13" t="n">
        <f aca="false">Inputs!$F$161/100*AY55</f>
        <v>0.442456605778647</v>
      </c>
      <c r="AZ68" s="13" t="n">
        <f aca="false">Inputs!$F$161/100*AZ55</f>
        <v>0.445003959009215</v>
      </c>
      <c r="BA68" s="13" t="n">
        <f aca="false">Inputs!$F$161/100*BA55</f>
        <v>0.447775761949812</v>
      </c>
      <c r="BB68" s="13" t="n">
        <f aca="false">Inputs!$F$161/100*BB55</f>
        <v>0.449485171321542</v>
      </c>
      <c r="BC68" s="13" t="n">
        <f aca="false">Inputs!$F$161/100*BC55</f>
        <v>0.450497700790586</v>
      </c>
      <c r="BD68" s="13" t="n">
        <f aca="false">Inputs!$F$161/100*BD55</f>
        <v>0.453654536931587</v>
      </c>
      <c r="BE68" s="13" t="n">
        <f aca="false">Inputs!$F$161/100*BE55</f>
        <v>0.457575056031959</v>
      </c>
      <c r="BF68" s="13" t="n">
        <f aca="false">Inputs!$F$161/100*BF55</f>
        <v>0.459885514660236</v>
      </c>
      <c r="BG68" s="13" t="n">
        <f aca="false">Inputs!$F$161/100*BG55</f>
        <v>0.462011299217566</v>
      </c>
      <c r="BH68" s="13" t="n">
        <f aca="false">Inputs!$F$161/100*BH55</f>
        <v>0.464784668444977</v>
      </c>
      <c r="BI68" s="13" t="n">
        <f aca="false">Inputs!$F$161/100*BI55</f>
        <v>0.467801509745825</v>
      </c>
      <c r="BJ68" s="13" t="n">
        <f aca="false">Inputs!$F$161/100*BJ55</f>
        <v>0.469215115092979</v>
      </c>
      <c r="BK68" s="13" t="n">
        <f aca="false">Inputs!$F$161/100*BK55</f>
        <v>0.46355034882348</v>
      </c>
      <c r="BL68" s="13" t="n">
        <f aca="false">Inputs!$F$161/100*BL55</f>
        <v>0.473289532917687</v>
      </c>
      <c r="BM68" s="13" t="n">
        <f aca="false">Inputs!$F$161/100*BM55</f>
        <v>0.478473735529104</v>
      </c>
      <c r="BN68" s="13" t="n">
        <f aca="false">Inputs!$F$161/100*BN55</f>
        <v>0.320815161976208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136.345800880728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0.706247917353283</v>
      </c>
      <c r="Q69" s="13" t="n">
        <f aca="false">Inputs!$F$162*(Inputs!$F$219*Q21+(1-Inputs!$F$219)*Q27*Inputs!$F$153/Q11)*Q38/1000000</f>
        <v>2.14085204480831</v>
      </c>
      <c r="R69" s="13" t="n">
        <f aca="false">Inputs!$F$162*(Inputs!$F$219*R21+(1-Inputs!$F$219)*R27*Inputs!$F$153/R11)*R38/1000000</f>
        <v>2.15573229297691</v>
      </c>
      <c r="S69" s="13" t="n">
        <f aca="false">Inputs!$F$162*(Inputs!$F$219*S21+(1-Inputs!$F$219)*S27*Inputs!$F$153/S11)*S38/1000000</f>
        <v>2.16370518926761</v>
      </c>
      <c r="T69" s="13" t="n">
        <f aca="false">Inputs!$F$162*(Inputs!$F$219*T21+(1-Inputs!$F$219)*T27*Inputs!$F$153/T11)*T38/1000000</f>
        <v>2.19279077613827</v>
      </c>
      <c r="U69" s="13" t="n">
        <f aca="false">Inputs!$F$162*(Inputs!$F$219*U21+(1-Inputs!$F$219)*U27*Inputs!$F$153/U11)*U38/1000000</f>
        <v>2.2293732547653</v>
      </c>
      <c r="V69" s="13" t="n">
        <f aca="false">Inputs!$F$162*(Inputs!$F$219*V21+(1-Inputs!$F$219)*V27*Inputs!$F$153/V11)*V38/1000000</f>
        <v>2.22645662181533</v>
      </c>
      <c r="W69" s="13" t="n">
        <f aca="false">Inputs!$F$162*(Inputs!$F$219*W21+(1-Inputs!$F$219)*W27*Inputs!$F$153/W11)*W38/1000000</f>
        <v>2.19737782440464</v>
      </c>
      <c r="X69" s="13" t="n">
        <f aca="false">Inputs!$F$162*(Inputs!$F$219*X21+(1-Inputs!$F$219)*X27*Inputs!$F$153/X11)*X38/1000000</f>
        <v>2.24587667365366</v>
      </c>
      <c r="Y69" s="13" t="n">
        <f aca="false">Inputs!$F$162*(Inputs!$F$219*Y21+(1-Inputs!$F$219)*Y27*Inputs!$F$153/Y11)*Y38/1000000</f>
        <v>2.32153364549327</v>
      </c>
      <c r="Z69" s="13" t="n">
        <f aca="false">Inputs!$F$162*(Inputs!$F$219*Z21+(1-Inputs!$F$219)*Z27*Inputs!$F$153/Z11)*Z38/1000000</f>
        <v>2.33765913848445</v>
      </c>
      <c r="AA69" s="13" t="n">
        <f aca="false">Inputs!$F$162*(Inputs!$F$219*AA21+(1-Inputs!$F$219)*AA27*Inputs!$F$153/AA11)*AA38/1000000</f>
        <v>2.34629422502619</v>
      </c>
      <c r="AB69" s="13" t="n">
        <f aca="false">Inputs!$F$162*(Inputs!$F$219*AB21+(1-Inputs!$F$219)*AB27*Inputs!$F$153/AB11)*AB38/1000000</f>
        <v>2.37782344430023</v>
      </c>
      <c r="AC69" s="13" t="n">
        <f aca="false">Inputs!$F$162*(Inputs!$F$219*AC21+(1-Inputs!$F$219)*AC27*Inputs!$F$153/AC11)*AC38/1000000</f>
        <v>2.41748181953257</v>
      </c>
      <c r="AD69" s="13" t="n">
        <f aca="false">Inputs!$F$162*(Inputs!$F$219*AD21+(1-Inputs!$F$219)*AD27*Inputs!$F$153/AD11)*AD38/1000000</f>
        <v>2.39781926643118</v>
      </c>
      <c r="AE69" s="13" t="n">
        <f aca="false">Inputs!$F$162*(Inputs!$F$219*AE21+(1-Inputs!$F$219)*AE27*Inputs!$F$153/AE11)*AE38/1000000</f>
        <v>2.33279525104699</v>
      </c>
      <c r="AF69" s="13" t="n">
        <f aca="false">Inputs!$F$162*(Inputs!$F$219*AF21+(1-Inputs!$F$219)*AF27*Inputs!$F$153/AF11)*AF38/1000000</f>
        <v>2.4016923283993</v>
      </c>
      <c r="AG69" s="13" t="n">
        <f aca="false">Inputs!$F$162*(Inputs!$F$219*AG21+(1-Inputs!$F$219)*AG27*Inputs!$F$153/AG11)*AG38/1000000</f>
        <v>2.5173723989879</v>
      </c>
      <c r="AH69" s="13" t="n">
        <f aca="false">Inputs!$F$162*(Inputs!$F$219*AH21+(1-Inputs!$F$219)*AH27*Inputs!$F$153/AH11)*AH38/1000000</f>
        <v>2.53484655955897</v>
      </c>
      <c r="AI69" s="13" t="n">
        <f aca="false">Inputs!$F$162*(Inputs!$F$219*AI21+(1-Inputs!$F$219)*AI27*Inputs!$F$153/AI11)*AI38/1000000</f>
        <v>2.54419833813711</v>
      </c>
      <c r="AJ69" s="13" t="n">
        <f aca="false">Inputs!$F$162*(Inputs!$F$219*AJ21+(1-Inputs!$F$219)*AJ27*Inputs!$F$153/AJ11)*AJ38/1000000</f>
        <v>2.57837509468997</v>
      </c>
      <c r="AK69" s="13" t="n">
        <f aca="false">Inputs!$F$162*(Inputs!$F$219*AK21+(1-Inputs!$F$219)*AK27*Inputs!$F$153/AK11)*AK38/1000000</f>
        <v>2.62136626701833</v>
      </c>
      <c r="AL69" s="13" t="n">
        <f aca="false">Inputs!$F$162*(Inputs!$F$219*AL21+(1-Inputs!$F$219)*AL27*Inputs!$F$153/AL11)*AL38/1000000</f>
        <v>2.61791275887111</v>
      </c>
      <c r="AM69" s="13" t="n">
        <f aca="false">Inputs!$F$162*(Inputs!$F$219*AM21+(1-Inputs!$F$219)*AM27*Inputs!$F$153/AM11)*AM38/1000000</f>
        <v>2.58369755793877</v>
      </c>
      <c r="AN69" s="13" t="n">
        <f aca="false">Inputs!$F$162*(Inputs!$F$219*AN21+(1-Inputs!$F$219)*AN27*Inputs!$F$153/AN11)*AN38/1000000</f>
        <v>2.64069863852535</v>
      </c>
      <c r="AO69" s="13" t="n">
        <f aca="false">Inputs!$F$162*(Inputs!$F$219*AO21+(1-Inputs!$F$219)*AO27*Inputs!$F$153/AO11)*AO38/1000000</f>
        <v>2.72963081890044</v>
      </c>
      <c r="AP69" s="13" t="n">
        <f aca="false">Inputs!$F$162*(Inputs!$F$219*AP21+(1-Inputs!$F$219)*AP27*Inputs!$F$153/AP11)*AP38/1000000</f>
        <v>2.74856558192688</v>
      </c>
      <c r="AQ69" s="13" t="n">
        <f aca="false">Inputs!$F$162*(Inputs!$F$219*AQ21+(1-Inputs!$F$219)*AQ27*Inputs!$F$153/AQ11)*AQ38/1000000</f>
        <v>2.75869299066468</v>
      </c>
      <c r="AR69" s="13" t="n">
        <f aca="false">Inputs!$F$162*(Inputs!$F$219*AR21+(1-Inputs!$F$219)*AR27*Inputs!$F$153/AR11)*AR38/1000000</f>
        <v>2.79573806629605</v>
      </c>
      <c r="AS69" s="13" t="n">
        <f aca="false">Inputs!$F$162*(Inputs!$F$219*AS21+(1-Inputs!$F$219)*AS27*Inputs!$F$153/AS11)*AS38/1000000</f>
        <v>2.84234022303863</v>
      </c>
      <c r="AT69" s="13" t="n">
        <f aca="false">Inputs!$F$162*(Inputs!$F$219*AT21+(1-Inputs!$F$219)*AT27*Inputs!$F$153/AT11)*AT38/1000000</f>
        <v>2.81919588461042</v>
      </c>
      <c r="AU69" s="13" t="n">
        <f aca="false">Inputs!$F$162*(Inputs!$F$219*AU21+(1-Inputs!$F$219)*AU27*Inputs!$F$153/AU11)*AU38/1000000</f>
        <v>2.74271945270987</v>
      </c>
      <c r="AV69" s="13" t="n">
        <f aca="false">Inputs!$F$162*(Inputs!$F$219*AV21+(1-Inputs!$F$219)*AV27*Inputs!$F$153/AV11)*AV38/1000000</f>
        <v>2.82369695682291</v>
      </c>
      <c r="AW69" s="13" t="n">
        <f aca="false">Inputs!$F$162*(Inputs!$F$219*AW21+(1-Inputs!$F$219)*AW27*Inputs!$F$153/AW11)*AW38/1000000</f>
        <v>2.95967569231056</v>
      </c>
      <c r="AX69" s="13" t="n">
        <f aca="false">Inputs!$F$162*(Inputs!$F$219*AX21+(1-Inputs!$F$219)*AX27*Inputs!$F$153/AX11)*AX38/1000000</f>
        <v>2.98019219764307</v>
      </c>
      <c r="AY69" s="13" t="n">
        <f aca="false">Inputs!$F$162*(Inputs!$F$219*AY21+(1-Inputs!$F$219)*AY27*Inputs!$F$153/AY11)*AY38/1000000</f>
        <v>2.99115896714139</v>
      </c>
      <c r="AZ69" s="13" t="n">
        <f aca="false">Inputs!$F$162*(Inputs!$F$219*AZ21+(1-Inputs!$F$219)*AZ27*Inputs!$F$153/AZ11)*AZ38/1000000</f>
        <v>3.0313114038171</v>
      </c>
      <c r="BA69" s="13" t="n">
        <f aca="false">Inputs!$F$162*(Inputs!$F$219*BA21+(1-Inputs!$F$219)*BA27*Inputs!$F$153/BA11)*BA38/1000000</f>
        <v>3.08182576615084</v>
      </c>
      <c r="BB69" s="13" t="n">
        <f aca="false">Inputs!$F$162*(Inputs!$F$219*BB21+(1-Inputs!$F$219)*BB27*Inputs!$F$153/BB11)*BB38/1000000</f>
        <v>3.07773666646359</v>
      </c>
      <c r="BC69" s="13" t="n">
        <f aca="false">Inputs!$F$162*(Inputs!$F$219*BC21+(1-Inputs!$F$219)*BC27*Inputs!$F$153/BC11)*BC38/1000000</f>
        <v>3.03748310225947</v>
      </c>
      <c r="BD69" s="13" t="n">
        <f aca="false">Inputs!$F$162*(Inputs!$F$219*BD21+(1-Inputs!$F$219)*BD27*Inputs!$F$153/BD11)*BD38/1000000</f>
        <v>3.10446621720421</v>
      </c>
      <c r="BE69" s="13" t="n">
        <f aca="false">Inputs!$F$162*(Inputs!$F$219*BE21+(1-Inputs!$F$219)*BE27*Inputs!$F$153/BE11)*BE38/1000000</f>
        <v>3.20898660379135</v>
      </c>
      <c r="BF69" s="13" t="n">
        <f aca="false">Inputs!$F$162*(Inputs!$F$219*BF21+(1-Inputs!$F$219)*BF27*Inputs!$F$153/BF11)*BF38/1000000</f>
        <v>3.23121594473262</v>
      </c>
      <c r="BG69" s="13" t="n">
        <f aca="false">Inputs!$F$162*(Inputs!$F$219*BG21+(1-Inputs!$F$219)*BG27*Inputs!$F$153/BG11)*BG38/1000000</f>
        <v>3.24309098229481</v>
      </c>
      <c r="BH69" s="13" t="n">
        <f aca="false">Inputs!$F$162*(Inputs!$F$219*BH21+(1-Inputs!$F$219)*BH27*Inputs!$F$153/BH11)*BH38/1000000</f>
        <v>3.28660957739705</v>
      </c>
      <c r="BI69" s="13" t="n">
        <f aca="false">Inputs!$F$162*(Inputs!$F$219*BI21+(1-Inputs!$F$219)*BI27*Inputs!$F$153/BI11)*BI38/1000000</f>
        <v>3.34136228909259</v>
      </c>
      <c r="BJ69" s="13" t="n">
        <f aca="false">Inputs!$F$162*(Inputs!$F$219*BJ21+(1-Inputs!$F$219)*BJ27*Inputs!$F$153/BJ11)*BJ38/1000000</f>
        <v>3.31412298945708</v>
      </c>
      <c r="BK69" s="13" t="n">
        <f aca="false">Inputs!$F$162*(Inputs!$F$219*BK21+(1-Inputs!$F$219)*BK27*Inputs!$F$153/BK11)*BK38/1000000</f>
        <v>3.22418988915725</v>
      </c>
      <c r="BL69" s="13" t="n">
        <f aca="false">Inputs!$F$162*(Inputs!$F$219*BL21+(1-Inputs!$F$219)*BL27*Inputs!$F$153/BL11)*BL38/1000000</f>
        <v>3.31935086257155</v>
      </c>
      <c r="BM69" s="13" t="n">
        <f aca="false">Inputs!$F$162*(Inputs!$F$219*BM21+(1-Inputs!$F$219)*BM27*Inputs!$F$153/BM11)*BM38/1000000</f>
        <v>3.47916514741697</v>
      </c>
      <c r="BN69" s="13" t="n">
        <f aca="false">Inputs!$F$162*(Inputs!$F$219*BN21+(1-Inputs!$F$219)*BN27*Inputs!$F$153/BN11)*BN38/1000000</f>
        <v>2.3432972792321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0.0425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0.085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0.051875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0.10375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1140.225471788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5.81951546270545</v>
      </c>
      <c r="Q72" s="13" t="n">
        <f aca="false">Q60+Q61+Q62+Q64+Q65+Q66+Q67+Q68+Q69+Q70+Q71</f>
        <v>17.6429155067816</v>
      </c>
      <c r="R72" s="13" t="n">
        <f aca="false">R60+R61+R62+R64+R65+R66+R67+R68+R69+R70+R71</f>
        <v>17.7887768057949</v>
      </c>
      <c r="S72" s="13" t="n">
        <f aca="false">S60+S61+S62+S64+S65+S66+S67+S68+S69+S70+S71</f>
        <v>17.8953966779362</v>
      </c>
      <c r="T72" s="13" t="n">
        <f aca="false">T60+T61+T62+T64+T65+T66+T67+T68+T69+T70+T71</f>
        <v>18.1247897984176</v>
      </c>
      <c r="U72" s="13" t="n">
        <f aca="false">U60+U61+U62+U64+U65+U66+U67+U68+U69+U70+U71</f>
        <v>18.3983801781632</v>
      </c>
      <c r="V72" s="13" t="n">
        <f aca="false">V60+V61+V62+V64+V65+V66+V67+V68+V69+V70+V71</f>
        <v>18.444069032042</v>
      </c>
      <c r="W72" s="13" t="n">
        <f aca="false">W60+W61+W62+W64+W65+W66+W67+W68+W69+W70+W71</f>
        <v>18.3387286570525</v>
      </c>
      <c r="X72" s="13" t="n">
        <f aca="false">X60+X61+X62+X64+X65+X66+X67+X68+X69+X70+X71</f>
        <v>18.683658951382</v>
      </c>
      <c r="Y72" s="13" t="n">
        <f aca="false">Y60+Y61+Y62+Y64+Y65+Y66+Y67+Y68+Y69+Y70+Y71</f>
        <v>19.1871464276452</v>
      </c>
      <c r="Z72" s="13" t="n">
        <f aca="false">Z60+Z61+Z62+Z64+Z65+Z66+Z67+Z68+Z69+Z70+Z71</f>
        <v>19.3461631414099</v>
      </c>
      <c r="AA72" s="13" t="n">
        <f aca="false">AA60+AA61+AA62+AA64+AA65+AA66+AA67+AA68+AA69+AA70+AA71</f>
        <v>19.4624155866571</v>
      </c>
      <c r="AB72" s="13" t="n">
        <f aca="false">AB60+AB61+AB62+AB64+AB65+AB66+AB67+AB68+AB69+AB70+AB71</f>
        <v>19.7124656798414</v>
      </c>
      <c r="AC72" s="13" t="n">
        <f aca="false">AC60+AC61+AC62+AC64+AC65+AC66+AC67+AC68+AC69+AC70+AC71</f>
        <v>20.0106820967008</v>
      </c>
      <c r="AD72" s="13" t="n">
        <f aca="false">AD60+AD61+AD62+AD64+AD65+AD66+AD67+AD68+AD69+AD70+AD71</f>
        <v>19.9645593611225</v>
      </c>
      <c r="AE72" s="13" t="n">
        <f aca="false">AE60+AE61+AE62+AE64+AE65+AE66+AE67+AE68+AE69+AE70+AE71</f>
        <v>19.6875850523756</v>
      </c>
      <c r="AF72" s="13" t="n">
        <f aca="false">AF60+AF61+AF62+AF64+AF65+AF66+AF67+AF68+AF69+AF70+AF71</f>
        <v>20.1256403379385</v>
      </c>
      <c r="AG72" s="13" t="n">
        <f aca="false">AG60+AG61+AG62+AG64+AG65+AG66+AG67+AG68+AG69+AG70+AG71</f>
        <v>20.8705197196862</v>
      </c>
      <c r="AH72" s="13" t="n">
        <f aca="false">AH60+AH61+AH62+AH64+AH65+AH66+AH67+AH68+AH69+AH70+AH71</f>
        <v>21.0438782684025</v>
      </c>
      <c r="AI72" s="13" t="n">
        <f aca="false">AI60+AI61+AI62+AI64+AI65+AI66+AI67+AI68+AI69+AI70+AI71</f>
        <v>21.1706335030252</v>
      </c>
      <c r="AJ72" s="13" t="n">
        <f aca="false">AJ60+AJ61+AJ62+AJ64+AJ65+AJ66+AJ67+AJ68+AJ69+AJ70+AJ71</f>
        <v>21.4432005560277</v>
      </c>
      <c r="AK72" s="13" t="n">
        <f aca="false">AK60+AK61+AK62+AK64+AK65+AK66+AK67+AK68+AK69+AK70+AK71</f>
        <v>21.7682593748341</v>
      </c>
      <c r="AL72" s="13" t="n">
        <f aca="false">AL60+AL61+AL62+AL64+AL65+AL66+AL67+AL68+AL69+AL70+AL71</f>
        <v>21.8226547668089</v>
      </c>
      <c r="AM72" s="13" t="n">
        <f aca="false">AM60+AM61+AM62+AM64+AM65+AM66+AM67+AM68+AM69+AM70+AM71</f>
        <v>21.6976835002008</v>
      </c>
      <c r="AN72" s="13" t="n">
        <f aca="false">AN60+AN61+AN62+AN64+AN65+AN66+AN67+AN68+AN69+AN70+AN71</f>
        <v>22.1074726299133</v>
      </c>
      <c r="AO72" s="13" t="n">
        <f aca="false">AO60+AO61+AO62+AO64+AO65+AO66+AO67+AO68+AO69+AO70+AO71</f>
        <v>22.7055716608777</v>
      </c>
      <c r="AP72" s="13" t="n">
        <f aca="false">AP60+AP61+AP62+AP64+AP65+AP66+AP67+AP68+AP69+AP70+AP71</f>
        <v>22.894565454336</v>
      </c>
      <c r="AQ72" s="13" t="n">
        <f aca="false">AQ60+AQ61+AQ62+AQ64+AQ65+AQ66+AQ67+AQ68+AQ69+AQ70+AQ71</f>
        <v>23.0327723072745</v>
      </c>
      <c r="AR72" s="13" t="n">
        <f aca="false">AR60+AR61+AR62+AR64+AR65+AR66+AR67+AR68+AR69+AR70+AR71</f>
        <v>23.3298837665215</v>
      </c>
      <c r="AS72" s="13" t="n">
        <f aca="false">AS60+AS61+AS62+AS64+AS65+AS66+AS67+AS68+AS69+AS70+AS71</f>
        <v>23.6842008048416</v>
      </c>
      <c r="AT72" s="13" t="n">
        <f aca="false">AT60+AT61+AT62+AT64+AT65+AT66+AT67+AT68+AT69+AT70+AT71</f>
        <v>23.6295695822541</v>
      </c>
      <c r="AU72" s="13" t="n">
        <f aca="false">AU60+AU61+AU62+AU64+AU65+AU66+AU67+AU68+AU69+AU70+AU71</f>
        <v>23.3014681399534</v>
      </c>
      <c r="AV72" s="13" t="n">
        <f aca="false">AV60+AV61+AV62+AV64+AV65+AV66+AV67+AV68+AV69+AV70+AV71</f>
        <v>23.8211718591976</v>
      </c>
      <c r="AW72" s="13" t="n">
        <f aca="false">AW60+AW61+AW62+AW64+AW65+AW66+AW67+AW68+AW69+AW70+AW71</f>
        <v>24.7059679067799</v>
      </c>
      <c r="AX72" s="13" t="n">
        <f aca="false">AX60+AX61+AX62+AX64+AX65+AX66+AX67+AX68+AX69+AX70+AX71</f>
        <v>24.9120069918206</v>
      </c>
      <c r="AY72" s="13" t="n">
        <f aca="false">AY60+AY61+AY62+AY64+AY65+AY66+AY67+AY68+AY69+AY70+AY71</f>
        <v>25.0627000059904</v>
      </c>
      <c r="AZ72" s="13" t="n">
        <f aca="false">AZ60+AZ61+AZ62+AZ64+AZ65+AZ66+AZ67+AZ68+AZ69+AZ70+AZ71</f>
        <v>25.3865658524466</v>
      </c>
      <c r="BA72" s="13" t="n">
        <f aca="false">BA60+BA61+BA62+BA64+BA65+BA66+BA67+BA68+BA69+BA70+BA71</f>
        <v>25.7727743274925</v>
      </c>
      <c r="BB72" s="13" t="n">
        <f aca="false">BB60+BB61+BB62+BB64+BB65+BB66+BB67+BB68+BB69+BB70+BB71</f>
        <v>25.8375353816365</v>
      </c>
      <c r="BC72" s="13" t="n">
        <f aca="false">BC60+BC61+BC62+BC64+BC65+BC66+BC67+BC68+BC69+BC70+BC71</f>
        <v>25.689276401629</v>
      </c>
      <c r="BD72" s="13" t="n">
        <f aca="false">BD60+BD61+BD62+BD64+BD65+BD66+BD67+BD68+BD69+BD70+BD71</f>
        <v>26.176118507473</v>
      </c>
      <c r="BE72" s="13" t="n">
        <f aca="false">BE60+BE61+BE62+BE64+BE65+BE66+BE67+BE68+BE69+BE70+BE71</f>
        <v>26.8866052255233</v>
      </c>
      <c r="BF72" s="13" t="n">
        <f aca="false">BF60+BF61+BF62+BF64+BF65+BF66+BF67+BF68+BF69+BF70+BF71</f>
        <v>27.1112268033627</v>
      </c>
      <c r="BG72" s="13" t="n">
        <f aca="false">BG60+BG61+BG62+BG64+BG65+BG66+BG67+BG68+BG69+BG70+BG71</f>
        <v>27.2755339784098</v>
      </c>
      <c r="BH72" s="13" t="n">
        <f aca="false">BH60+BH61+BH62+BH64+BH65+BH66+BH67+BH68+BH69+BH70+BH71</f>
        <v>27.6285631597835</v>
      </c>
      <c r="BI72" s="13" t="n">
        <f aca="false">BI60+BI61+BI62+BI64+BI65+BI66+BI67+BI68+BI69+BI70+BI71</f>
        <v>28.0495332500149</v>
      </c>
      <c r="BJ72" s="13" t="n">
        <f aca="false">BJ60+BJ61+BJ62+BJ64+BJ65+BJ66+BJ67+BJ68+BJ69+BJ70+BJ71</f>
        <v>27.9848254314478</v>
      </c>
      <c r="BK72" s="13" t="n">
        <f aca="false">BK60+BK61+BK62+BK64+BK65+BK66+BK67+BK68+BK69+BK70+BK71</f>
        <v>27.5960513012154</v>
      </c>
      <c r="BL72" s="13" t="n">
        <f aca="false">BL60+BL61+BL62+BL64+BL65+BL66+BL67+BL68+BL69+BL70+BL71</f>
        <v>28.2127320471755</v>
      </c>
      <c r="BM72" s="13" t="n">
        <f aca="false">BM60+BM61+BM62+BM64+BM65+BM66+BM67+BM68+BM69+BM70+BM71</f>
        <v>29.2637223962887</v>
      </c>
      <c r="BN72" s="13" t="n">
        <f aca="false">BN60+BN61+BN62+BN64+BN65+BN66+BN67+BN68+BN69+BN70+BN71</f>
        <v>19.7173381713894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4939.13676971039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25.73098281395</v>
      </c>
      <c r="Q73" s="13" t="n">
        <f aca="false">Q42*Q41/1000000</f>
        <v>78.7289099113673</v>
      </c>
      <c r="R73" s="13" t="n">
        <f aca="false">R42*R41/1000000</f>
        <v>78.465244465635</v>
      </c>
      <c r="S73" s="13" t="n">
        <f aca="false">S42*S41/1000000</f>
        <v>79.5088601807053</v>
      </c>
      <c r="T73" s="13" t="n">
        <f aca="false">T42*T41/1000000</f>
        <v>79.7534070844464</v>
      </c>
      <c r="U73" s="13" t="n">
        <f aca="false">U42*U41/1000000</f>
        <v>81.8595703955176</v>
      </c>
      <c r="V73" s="13" t="n">
        <f aca="false">V42*V41/1000000</f>
        <v>80.9161498839552</v>
      </c>
      <c r="W73" s="13" t="n">
        <f aca="false">W42*W41/1000000</f>
        <v>80.623198486552</v>
      </c>
      <c r="X73" s="13" t="n">
        <f aca="false">X42*X41/1000000</f>
        <v>81.5596170351762</v>
      </c>
      <c r="Y73" s="13" t="n">
        <f aca="false">Y42*Y41/1000000</f>
        <v>85.1134627660521</v>
      </c>
      <c r="Z73" s="13" t="n">
        <f aca="false">Z42*Z41/1000000</f>
        <v>84.8277877116459</v>
      </c>
      <c r="AA73" s="13" t="n">
        <f aca="false">AA42*AA41/1000000</f>
        <v>85.9553913309984</v>
      </c>
      <c r="AB73" s="13" t="n">
        <f aca="false">AB42*AB41/1000000</f>
        <v>86.2191275153245</v>
      </c>
      <c r="AC73" s="13" t="n">
        <f aca="false">AC42*AC41/1000000</f>
        <v>88.4953848375283</v>
      </c>
      <c r="AD73" s="13" t="n">
        <f aca="false">AD42*AD41/1000000</f>
        <v>86.8774192946939</v>
      </c>
      <c r="AE73" s="13" t="n">
        <f aca="false">AE42*AE41/1000000</f>
        <v>85.3296899250619</v>
      </c>
      <c r="AF73" s="13" t="n">
        <f aca="false">AF42*AF41/1000000</f>
        <v>86.950817416645</v>
      </c>
      <c r="AG73" s="13" t="n">
        <f aca="false">AG42*AG41/1000000</f>
        <v>92.010318950609</v>
      </c>
      <c r="AH73" s="13" t="n">
        <f aca="false">AH42*AH41/1000000</f>
        <v>91.7008143065316</v>
      </c>
      <c r="AI73" s="13" t="n">
        <f aca="false">AI42*AI41/1000000</f>
        <v>92.9190897391441</v>
      </c>
      <c r="AJ73" s="13" t="n">
        <f aca="false">AJ42*AJ41/1000000</f>
        <v>93.2034997853314</v>
      </c>
      <c r="AK73" s="13" t="n">
        <f aca="false">AK42*AK41/1000000</f>
        <v>95.6634389700434</v>
      </c>
      <c r="AL73" s="13" t="n">
        <f aca="false">AL42*AL41/1000000</f>
        <v>94.5595263127573</v>
      </c>
      <c r="AM73" s="13" t="n">
        <f aca="false">AM42*AM41/1000000</f>
        <v>94.2157800089376</v>
      </c>
      <c r="AN73" s="13" t="n">
        <f aca="false">AN42*AN41/1000000</f>
        <v>95.3086561145915</v>
      </c>
      <c r="AO73" s="13" t="n">
        <f aca="false">AO42*AO41/1000000</f>
        <v>99.4601175436392</v>
      </c>
      <c r="AP73" s="13" t="n">
        <f aca="false">AP42*AP41/1000000</f>
        <v>99.1248142365637</v>
      </c>
      <c r="AQ73" s="13" t="n">
        <f aca="false">AQ42*AQ41/1000000</f>
        <v>100.440970751872</v>
      </c>
      <c r="AR73" s="13" t="n">
        <f aca="false">AR42*AR41/1000000</f>
        <v>100.747652174361</v>
      </c>
      <c r="AS73" s="13" t="n">
        <f aca="false">AS42*AS41/1000000</f>
        <v>103.40593363176</v>
      </c>
      <c r="AT73" s="13" t="n">
        <f aca="false">AT42*AT41/1000000</f>
        <v>101.513844109913</v>
      </c>
      <c r="AU73" s="13" t="n">
        <f aca="false">AU42*AU41/1000000</f>
        <v>99.7038780263221</v>
      </c>
      <c r="AV73" s="13" t="n">
        <f aca="false">AV42*AV41/1000000</f>
        <v>101.596575637686</v>
      </c>
      <c r="AW73" s="13" t="n">
        <f aca="false">AW42*AW41/1000000</f>
        <v>107.506680317222</v>
      </c>
      <c r="AX73" s="13" t="n">
        <f aca="false">AX42*AX41/1000000</f>
        <v>107.143448083852</v>
      </c>
      <c r="AY73" s="13" t="n">
        <f aca="false">AY42*AY41/1000000</f>
        <v>108.565261023109</v>
      </c>
      <c r="AZ73" s="13" t="n">
        <f aca="false">AZ42*AZ41/1000000</f>
        <v>108.895932682542</v>
      </c>
      <c r="BA73" s="13" t="n">
        <f aca="false">BA42*BA41/1000000</f>
        <v>111.768372905811</v>
      </c>
      <c r="BB73" s="13" t="n">
        <f aca="false">BB42*BB41/1000000</f>
        <v>110.476962502246</v>
      </c>
      <c r="BC73" s="13" t="n">
        <f aca="false">BC42*BC41/1000000</f>
        <v>110.073703591796</v>
      </c>
      <c r="BD73" s="13" t="n">
        <f aca="false">BD42*BD41/1000000</f>
        <v>111.348858138568</v>
      </c>
      <c r="BE73" s="13" t="n">
        <f aca="false">BE42*BE41/1000000</f>
        <v>116.197257328013</v>
      </c>
      <c r="BF73" s="13" t="n">
        <f aca="false">BF42*BF41/1000000</f>
        <v>115.803791645587</v>
      </c>
      <c r="BG73" s="13" t="n">
        <f aca="false">BG42*BG41/1000000</f>
        <v>117.339646235298</v>
      </c>
      <c r="BH73" s="13" t="n">
        <f aca="false">BH42*BH41/1000000</f>
        <v>117.696157361461</v>
      </c>
      <c r="BI73" s="13" t="n">
        <f aca="false">BI42*BI41/1000000</f>
        <v>120.799818852911</v>
      </c>
      <c r="BJ73" s="13" t="n">
        <f aca="false">BJ42*BJ41/1000000</f>
        <v>118.58767824655</v>
      </c>
      <c r="BK73" s="13" t="n">
        <f aca="false">BK42*BK41/1000000</f>
        <v>116.471537693256</v>
      </c>
      <c r="BL73" s="13" t="n">
        <f aca="false">BL42*BL41/1000000</f>
        <v>118.680752403128</v>
      </c>
      <c r="BM73" s="13" t="n">
        <f aca="false">BM42*BM41/1000000</f>
        <v>125.582791125605</v>
      </c>
      <c r="BN73" s="13" t="n">
        <f aca="false">BN42*BN41/1000000</f>
        <v>83.7081882181135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5782.19692837277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30.3693941991122</v>
      </c>
      <c r="Q74" s="13" t="n">
        <f aca="false">Q73+Q52+Q53+Q54</f>
        <v>92.7256187384852</v>
      </c>
      <c r="R74" s="13" t="n">
        <f aca="false">R73+R52+R53+R54</f>
        <v>92.6440749533913</v>
      </c>
      <c r="S74" s="13" t="n">
        <f aca="false">S73+S52+S53+S54</f>
        <v>93.6903805728176</v>
      </c>
      <c r="T74" s="13" t="n">
        <f aca="false">T73+T52+T53+T54</f>
        <v>94.1360257354305</v>
      </c>
      <c r="U74" s="13" t="n">
        <f aca="false">U73+U52+U53+U54</f>
        <v>96.3431767919347</v>
      </c>
      <c r="V74" s="13" t="n">
        <f aca="false">V73+V52+V53+V54</f>
        <v>95.5008976963535</v>
      </c>
      <c r="W74" s="13" t="n">
        <f aca="false">W73+W52+W53+W54</f>
        <v>95.1676371980781</v>
      </c>
      <c r="X74" s="13" t="n">
        <f aca="false">X73+X52+X53+X54</f>
        <v>96.3325968772217</v>
      </c>
      <c r="Y74" s="13" t="n">
        <f aca="false">Y73+Y52+Y53+Y54</f>
        <v>99.9657786257197</v>
      </c>
      <c r="Z74" s="13" t="n">
        <f aca="false">Z73+Z52+Z53+Z54</f>
        <v>99.8733922880264</v>
      </c>
      <c r="AA74" s="13" t="n">
        <f aca="false">AA73+AA52+AA53+AA54</f>
        <v>101.003803728598</v>
      </c>
      <c r="AB74" s="13" t="n">
        <f aca="false">AB73+AB52+AB53+AB54</f>
        <v>101.480948208397</v>
      </c>
      <c r="AC74" s="13" t="n">
        <f aca="false">AC73+AC52+AC53+AC54</f>
        <v>103.864298039462</v>
      </c>
      <c r="AD74" s="13" t="n">
        <f aca="false">AD73+AD52+AD53+AD54</f>
        <v>102.335258738579</v>
      </c>
      <c r="AE74" s="13" t="n">
        <f aca="false">AE73+AE52+AE53+AE54</f>
        <v>100.707052619457</v>
      </c>
      <c r="AF74" s="13" t="n">
        <f aca="false">AF73+AF52+AF53+AF54</f>
        <v>102.58940654107</v>
      </c>
      <c r="AG74" s="13" t="n">
        <f aca="false">AG73+AG52+AG53+AG54</f>
        <v>107.770381184496</v>
      </c>
      <c r="AH74" s="13" t="n">
        <f aca="false">AH73+AH52+AH53+AH54</f>
        <v>107.666017556674</v>
      </c>
      <c r="AI74" s="13" t="n">
        <f aca="false">AI73+AI52+AI53+AI54</f>
        <v>108.887221696116</v>
      </c>
      <c r="AJ74" s="13" t="n">
        <f aca="false">AJ73+AJ52+AJ53+AJ54</f>
        <v>109.398103089657</v>
      </c>
      <c r="AK74" s="13" t="n">
        <f aca="false">AK73+AK52+AK53+AK54</f>
        <v>111.971604971181</v>
      </c>
      <c r="AL74" s="13" t="n">
        <f aca="false">AL73+AL52+AL53+AL54</f>
        <v>110.981671403588</v>
      </c>
      <c r="AM74" s="13" t="n">
        <f aca="false">AM73+AM52+AM53+AM54</f>
        <v>110.592538518579</v>
      </c>
      <c r="AN74" s="13" t="n">
        <f aca="false">AN73+AN52+AN53+AN54</f>
        <v>111.942735378105</v>
      </c>
      <c r="AO74" s="13" t="n">
        <f aca="false">AO73+AO52+AO53+AO54</f>
        <v>116.183232660824</v>
      </c>
      <c r="AP74" s="13" t="n">
        <f aca="false">AP73+AP52+AP53+AP54</f>
        <v>116.065649993449</v>
      </c>
      <c r="AQ74" s="13" t="n">
        <f aca="false">AQ73+AQ52+AQ53+AQ54</f>
        <v>117.384858905961</v>
      </c>
      <c r="AR74" s="13" t="n">
        <f aca="false">AR73+AR52+AR53+AR54</f>
        <v>117.931873772727</v>
      </c>
      <c r="AS74" s="13" t="n">
        <f aca="false">AS73+AS52+AS53+AS54</f>
        <v>120.710575183047</v>
      </c>
      <c r="AT74" s="13" t="n">
        <f aca="false">AT73+AT52+AT53+AT54</f>
        <v>118.918767700759</v>
      </c>
      <c r="AU74" s="13" t="n">
        <f aca="false">AU73+AU52+AU53+AU54</f>
        <v>117.018287196995</v>
      </c>
      <c r="AV74" s="13" t="n">
        <f aca="false">AV73+AV52+AV53+AV54</f>
        <v>119.205056230899</v>
      </c>
      <c r="AW74" s="13" t="n">
        <f aca="false">AW73+AW52+AW53+AW54</f>
        <v>125.25151374992</v>
      </c>
      <c r="AX74" s="13" t="n">
        <f aca="false">AX73+AX52+AX53+AX54</f>
        <v>125.119353770129</v>
      </c>
      <c r="AY74" s="13" t="n">
        <f aca="false">AY73+AY52+AY53+AY54</f>
        <v>126.544345401262</v>
      </c>
      <c r="AZ74" s="13" t="n">
        <f aca="false">AZ73+AZ52+AZ53+AZ54</f>
        <v>127.130060488348</v>
      </c>
      <c r="BA74" s="13" t="n">
        <f aca="false">BA73+BA52+BA53+BA54</f>
        <v>130.130187899415</v>
      </c>
      <c r="BB74" s="13" t="n">
        <f aca="false">BB73+BB52+BB53+BB54</f>
        <v>128.967232274262</v>
      </c>
      <c r="BC74" s="13" t="n">
        <f aca="false">BC73+BC52+BC53+BC54</f>
        <v>128.512875960278</v>
      </c>
      <c r="BD74" s="13" t="n">
        <f aca="false">BD73+BD52+BD53+BD54</f>
        <v>130.077746255559</v>
      </c>
      <c r="BE74" s="13" t="n">
        <f aca="false">BE73+BE52+BE53+BE54</f>
        <v>135.026036757482</v>
      </c>
      <c r="BF74" s="13" t="n">
        <f aca="false">BF73+BF52+BF53+BF54</f>
        <v>134.877814344614</v>
      </c>
      <c r="BG74" s="13" t="n">
        <f aca="false">BG73+BG52+BG53+BG54</f>
        <v>136.416976284055</v>
      </c>
      <c r="BH74" s="13" t="n">
        <f aca="false">BH73+BH52+BH53+BH54</f>
        <v>137.044140532376</v>
      </c>
      <c r="BI74" s="13" t="n">
        <f aca="false">BI73+BI52+BI53+BI54</f>
        <v>140.283190676037</v>
      </c>
      <c r="BJ74" s="13" t="n">
        <f aca="false">BJ73+BJ52+BJ53+BJ54</f>
        <v>138.184152406157</v>
      </c>
      <c r="BK74" s="13" t="n">
        <f aca="false">BK73+BK52+BK53+BK54</f>
        <v>135.966225694841</v>
      </c>
      <c r="BL74" s="13" t="n">
        <f aca="false">BL73+BL52+BL53+BL54</f>
        <v>138.506471673558</v>
      </c>
      <c r="BM74" s="13" t="n">
        <f aca="false">BM73+BM52+BM53+BM54</f>
        <v>145.561522073831</v>
      </c>
      <c r="BN74" s="13" t="n">
        <f aca="false">BN73+BN52+BN53+BN54</f>
        <v>97.2387651354575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0.0859987767239091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0.0735835360470474</v>
      </c>
      <c r="R75" s="13" t="n">
        <f aca="false">SUMIFS(Construction!$J$38:$BJ$38,Construction!$J$12:$BJ$12,Time!R20,Construction!$J$8:$BJ$8,"&gt;"&amp;Time!$F$14)</f>
        <v>0.0124152406768617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52.263650417766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2.52493405694828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11.9659479346282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3.00508808562737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14.2414521569919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3.57655059447143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16.9496775890988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2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4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19.2778097774822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0.500383418214804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1.69201454158971</v>
      </c>
      <c r="BN81" s="13" t="n">
        <f aca="false">Inputs!$F$166*BN21*BN80/12</f>
        <v>1.14035029696979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19.2778097774822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19.2778097774822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6994.04985913275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36.1889096618176</v>
      </c>
      <c r="Q83" s="13" t="n">
        <f aca="false">Q72+Q74+Q75+Q76+Q79+Q82</f>
        <v>110.442117781314</v>
      </c>
      <c r="R83" s="13" t="n">
        <f aca="false">R72+R74+R75+R76+R79+R82</f>
        <v>110.445266999863</v>
      </c>
      <c r="S83" s="13" t="n">
        <f aca="false">S72+S74+S75+S76+S79+S82</f>
        <v>111.585777250754</v>
      </c>
      <c r="T83" s="13" t="n">
        <f aca="false">T72+T74+T75+T76+T79+T82</f>
        <v>112.260815533848</v>
      </c>
      <c r="U83" s="13" t="n">
        <f aca="false">U72+U74+U75+U76+U79+U82</f>
        <v>114.741556970098</v>
      </c>
      <c r="V83" s="13" t="n">
        <f aca="false">V72+V74+V75+V76+V79+V82</f>
        <v>113.944966728396</v>
      </c>
      <c r="W83" s="13" t="n">
        <f aca="false">W72+W74+W75+W76+W79+W82</f>
        <v>116.031299912079</v>
      </c>
      <c r="X83" s="13" t="n">
        <f aca="false">X72+X74+X75+X76+X79+X82</f>
        <v>115.016255828604</v>
      </c>
      <c r="Y83" s="13" t="n">
        <f aca="false">Y72+Y74+Y75+Y76+Y79+Y82</f>
        <v>119.152925053365</v>
      </c>
      <c r="Z83" s="13" t="n">
        <f aca="false">Z72+Z74+Z75+Z76+Z79+Z82</f>
        <v>119.219555429436</v>
      </c>
      <c r="AA83" s="13" t="n">
        <f aca="false">AA72+AA74+AA75+AA76+AA79+AA82</f>
        <v>120.466219315255</v>
      </c>
      <c r="AB83" s="13" t="n">
        <f aca="false">AB72+AB74+AB75+AB76+AB79+AB82</f>
        <v>121.193413888238</v>
      </c>
      <c r="AC83" s="13" t="n">
        <f aca="false">AC72+AC74+AC75+AC76+AC79+AC82</f>
        <v>123.874980136162</v>
      </c>
      <c r="AD83" s="13" t="n">
        <f aca="false">AD72+AD74+AD75+AD76+AD79+AD82</f>
        <v>122.299818099702</v>
      </c>
      <c r="AE83" s="13" t="n">
        <f aca="false">AE72+AE74+AE75+AE76+AE79+AE82</f>
        <v>132.360585606461</v>
      </c>
      <c r="AF83" s="13" t="n">
        <f aca="false">AF72+AF74+AF75+AF76+AF79+AF82</f>
        <v>122.715046879009</v>
      </c>
      <c r="AG83" s="13" t="n">
        <f aca="false">AG72+AG74+AG75+AG76+AG79+AG82</f>
        <v>128.640900904183</v>
      </c>
      <c r="AH83" s="13" t="n">
        <f aca="false">AH72+AH74+AH75+AH76+AH79+AH82</f>
        <v>128.709895825077</v>
      </c>
      <c r="AI83" s="13" t="n">
        <f aca="false">AI72+AI74+AI75+AI76+AI79+AI82</f>
        <v>130.057855199142</v>
      </c>
      <c r="AJ83" s="13" t="n">
        <f aca="false">AJ72+AJ74+AJ75+AJ76+AJ79+AJ82</f>
        <v>130.841303645685</v>
      </c>
      <c r="AK83" s="13" t="n">
        <f aca="false">AK72+AK74+AK75+AK76+AK79+AK82</f>
        <v>133.739864346015</v>
      </c>
      <c r="AL83" s="13" t="n">
        <f aca="false">AL72+AL74+AL75+AL76+AL79+AL82</f>
        <v>132.804326170397</v>
      </c>
      <c r="AM83" s="13" t="n">
        <f aca="false">AM72+AM74+AM75+AM76+AM79+AM82</f>
        <v>135.295310104407</v>
      </c>
      <c r="AN83" s="13" t="n">
        <f aca="false">AN72+AN74+AN75+AN76+AN79+AN82</f>
        <v>134.050208008019</v>
      </c>
      <c r="AO83" s="13" t="n">
        <f aca="false">AO72+AO74+AO75+AO76+AO79+AO82</f>
        <v>138.888804321702</v>
      </c>
      <c r="AP83" s="13" t="n">
        <f aca="false">AP72+AP74+AP75+AP76+AP79+AP82</f>
        <v>138.960215447785</v>
      </c>
      <c r="AQ83" s="13" t="n">
        <f aca="false">AQ72+AQ74+AQ75+AQ76+AQ79+AQ82</f>
        <v>140.417631213235</v>
      </c>
      <c r="AR83" s="13" t="n">
        <f aca="false">AR72+AR74+AR75+AR76+AR79+AR82</f>
        <v>141.261757539248</v>
      </c>
      <c r="AS83" s="13" t="n">
        <f aca="false">AS72+AS74+AS75+AS76+AS79+AS82</f>
        <v>144.394775987888</v>
      </c>
      <c r="AT83" s="13" t="n">
        <f aca="false">AT72+AT74+AT75+AT76+AT79+AT82</f>
        <v>142.548337283013</v>
      </c>
      <c r="AU83" s="13" t="n">
        <f aca="false">AU72+AU74+AU75+AU76+AU79+AU82</f>
        <v>154.561207493941</v>
      </c>
      <c r="AV83" s="13" t="n">
        <f aca="false">AV72+AV74+AV75+AV76+AV79+AV82</f>
        <v>143.026228090096</v>
      </c>
      <c r="AW83" s="13" t="n">
        <f aca="false">AW72+AW74+AW75+AW76+AW79+AW82</f>
        <v>149.9574816567</v>
      </c>
      <c r="AX83" s="13" t="n">
        <f aca="false">AX72+AX74+AX75+AX76+AX79+AX82</f>
        <v>150.031360761949</v>
      </c>
      <c r="AY83" s="13" t="n">
        <f aca="false">AY72+AY74+AY75+AY76+AY79+AY82</f>
        <v>151.607045407252</v>
      </c>
      <c r="AZ83" s="13" t="n">
        <f aca="false">AZ72+AZ74+AZ75+AZ76+AZ79+AZ82</f>
        <v>152.516626340794</v>
      </c>
      <c r="BA83" s="13" t="n">
        <f aca="false">BA72+BA74+BA75+BA76+BA79+BA82</f>
        <v>155.902962226908</v>
      </c>
      <c r="BB83" s="13" t="n">
        <f aca="false">BB72+BB74+BB75+BB76+BB79+BB82</f>
        <v>154.804767655899</v>
      </c>
      <c r="BC83" s="13" t="n">
        <f aca="false">BC72+BC74+BC75+BC76+BC79+BC82</f>
        <v>157.778702956378</v>
      </c>
      <c r="BD83" s="13" t="n">
        <f aca="false">BD72+BD74+BD75+BD76+BD79+BD82</f>
        <v>156.253864763032</v>
      </c>
      <c r="BE83" s="13" t="n">
        <f aca="false">BE72+BE74+BE75+BE76+BE79+BE82</f>
        <v>161.912641983005</v>
      </c>
      <c r="BF83" s="13" t="n">
        <f aca="false">BF72+BF74+BF75+BF76+BF79+BF82</f>
        <v>161.989041147977</v>
      </c>
      <c r="BG83" s="13" t="n">
        <f aca="false">BG72+BG74+BG75+BG76+BG79+BG82</f>
        <v>163.692510262465</v>
      </c>
      <c r="BH83" s="13" t="n">
        <f aca="false">BH72+BH74+BH75+BH76+BH79+BH82</f>
        <v>164.672703692159</v>
      </c>
      <c r="BI83" s="13" t="n">
        <f aca="false">BI72+BI74+BI75+BI76+BI79+BI82</f>
        <v>168.332723926052</v>
      </c>
      <c r="BJ83" s="13" t="n">
        <f aca="false">BJ72+BJ74+BJ75+BJ76+BJ79+BJ82</f>
        <v>166.168977837604</v>
      </c>
      <c r="BK83" s="13" t="n">
        <f aca="false">BK72+BK74+BK75+BK76+BK79+BK82</f>
        <v>180.511954585155</v>
      </c>
      <c r="BL83" s="13" t="n">
        <f aca="false">BL72+BL74+BL75+BL76+BL79+BL82</f>
        <v>166.719203720733</v>
      </c>
      <c r="BM83" s="13" t="n">
        <f aca="false">BM72+BM74+BM75+BM76+BM79+BM82</f>
        <v>174.82524447012</v>
      </c>
      <c r="BN83" s="13" t="n">
        <f aca="false">BN72+BN74+BN75+BN76+BN79+BN82</f>
        <v>136.233913084329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2624.63556436736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16.9230614907801</v>
      </c>
      <c r="Q84" s="13" t="n">
        <f aca="false">Q56-Q83+Q58</f>
        <v>50.8061314299036</v>
      </c>
      <c r="R84" s="13" t="n">
        <f aca="false">R56-R83+R58</f>
        <v>50.9867407022095</v>
      </c>
      <c r="S84" s="13" t="n">
        <f aca="false">S56-S83+S58</f>
        <v>51.1375238480677</v>
      </c>
      <c r="T84" s="13" t="n">
        <f aca="false">T56-T83+T58</f>
        <v>51.2302003457479</v>
      </c>
      <c r="U84" s="13" t="n">
        <f aca="false">U56-U83+U58</f>
        <v>51.3107195931088</v>
      </c>
      <c r="V84" s="13" t="n">
        <f aca="false">V56-V83+V58</f>
        <v>51.4749591800154</v>
      </c>
      <c r="W84" s="13" t="n">
        <f aca="false">W56-W83+W58</f>
        <v>49.1745518843761</v>
      </c>
      <c r="X84" s="13" t="n">
        <f aca="false">X56-X83+X58</f>
        <v>51.7571514565107</v>
      </c>
      <c r="Y84" s="13" t="n">
        <f aca="false">Y56-Y83+Y58</f>
        <v>51.7591145579287</v>
      </c>
      <c r="Z84" s="13" t="n">
        <f aca="false">Z56-Z83+Z58</f>
        <v>51.8895286569547</v>
      </c>
      <c r="AA84" s="13" t="n">
        <f aca="false">AA56-AA83+AA58</f>
        <v>52.0395622173936</v>
      </c>
      <c r="AB84" s="13" t="n">
        <f aca="false">AB56-AB83+AB58</f>
        <v>52.1400926174002</v>
      </c>
      <c r="AC84" s="13" t="n">
        <f aca="false">AC56-AC83+AC58</f>
        <v>52.2256110589363</v>
      </c>
      <c r="AD84" s="13" t="n">
        <f aca="false">AD56-AD83+AD58</f>
        <v>52.4420676701167</v>
      </c>
      <c r="AE84" s="13" t="n">
        <f aca="false">AE56-AE83+AE58</f>
        <v>39.8390012621901</v>
      </c>
      <c r="AF84" s="13" t="n">
        <f aca="false">AF56-AF83+AF58</f>
        <v>52.7875483729684</v>
      </c>
      <c r="AG84" s="13" t="n">
        <f aca="false">AG56-AG83+AG58</f>
        <v>52.7109497532263</v>
      </c>
      <c r="AH84" s="13" t="n">
        <f aca="false">AH56-AH83+AH58</f>
        <v>52.8533361469062</v>
      </c>
      <c r="AI84" s="13" t="n">
        <f aca="false">AI56-AI83+AI58</f>
        <v>53.0160378721272</v>
      </c>
      <c r="AJ84" s="13" t="n">
        <f aca="false">AJ56-AJ83+AJ58</f>
        <v>53.1250885241857</v>
      </c>
      <c r="AK84" s="13" t="n">
        <f aca="false">AK56-AK83+AK58</f>
        <v>53.2159019907963</v>
      </c>
      <c r="AL84" s="13" t="n">
        <f aca="false">AL56-AL83+AL58</f>
        <v>53.4135405605213</v>
      </c>
      <c r="AM84" s="13" t="n">
        <f aca="false">AM56-AM83+AM58</f>
        <v>50.6775901271207</v>
      </c>
      <c r="AN84" s="13" t="n">
        <f aca="false">AN56-AN83+AN58</f>
        <v>53.7480550541173</v>
      </c>
      <c r="AO84" s="13" t="n">
        <f aca="false">AO56-AO83+AO58</f>
        <v>53.7412711011159</v>
      </c>
      <c r="AP84" s="13" t="n">
        <f aca="false">AP56-AP83+AP58</f>
        <v>53.8967192856058</v>
      </c>
      <c r="AQ84" s="13" t="n">
        <f aca="false">AQ56-AQ83+AQ58</f>
        <v>54.0731793538069</v>
      </c>
      <c r="AR84" s="13" t="n">
        <f aca="false">AR56-AR83+AR58</f>
        <v>54.1914731500282</v>
      </c>
      <c r="AS84" s="13" t="n">
        <f aca="false">AS56-AS83+AS58</f>
        <v>54.2878937341593</v>
      </c>
      <c r="AT84" s="13" t="n">
        <f aca="false">AT56-AT83+AT58</f>
        <v>54.5495303603424</v>
      </c>
      <c r="AU84" s="13" t="n">
        <f aca="false">AU56-AU83+AU58</f>
        <v>39.6661605187162</v>
      </c>
      <c r="AV84" s="13" t="n">
        <f aca="false">AV56-AV83+AV58</f>
        <v>54.9610447661608</v>
      </c>
      <c r="AW84" s="13" t="n">
        <f aca="false">AW56-AW83+AW58</f>
        <v>54.8566412582238</v>
      </c>
      <c r="AX84" s="13" t="n">
        <f aca="false">AX56-AX83+AX58</f>
        <v>55.0263391695362</v>
      </c>
      <c r="AY84" s="13" t="n">
        <f aca="false">AY56-AY83+AY58</f>
        <v>55.2177432105046</v>
      </c>
      <c r="AZ84" s="13" t="n">
        <f aca="false">AZ56-AZ83+AZ58</f>
        <v>55.3460643786843</v>
      </c>
      <c r="BA84" s="13" t="n">
        <f aca="false">BA56-BA83+BA58</f>
        <v>55.4484212169618</v>
      </c>
      <c r="BB84" s="13" t="n">
        <f aca="false">BB56-BB83+BB58</f>
        <v>55.6860981395695</v>
      </c>
      <c r="BC84" s="13" t="n">
        <f aca="false">BC56-BC83+BC58</f>
        <v>52.4320984345962</v>
      </c>
      <c r="BD84" s="13" t="n">
        <f aca="false">BD56-BD83+BD58</f>
        <v>56.0826883006257</v>
      </c>
      <c r="BE84" s="13" t="n">
        <f aca="false">BE56-BE83+BE58</f>
        <v>56.0641788481495</v>
      </c>
      <c r="BF84" s="13" t="n">
        <f aca="false">BF56-BF83+BF58</f>
        <v>56.249421704065</v>
      </c>
      <c r="BG84" s="13" t="n">
        <f aca="false">BG56-BG83+BG58</f>
        <v>56.4570592816034</v>
      </c>
      <c r="BH84" s="13" t="n">
        <f aca="false">BH56-BH83+BH58</f>
        <v>56.5962585840198</v>
      </c>
      <c r="BI84" s="13" t="n">
        <f aca="false">BI56-BI83+BI58</f>
        <v>56.704898666833</v>
      </c>
      <c r="BJ84" s="13" t="n">
        <f aca="false">BJ56-BJ83+BJ58</f>
        <v>57.0208662174089</v>
      </c>
      <c r="BK84" s="13" t="n">
        <f aca="false">BK56-BK83+BK58</f>
        <v>39.4244218900238</v>
      </c>
      <c r="BL84" s="13" t="n">
        <f aca="false">BL56-BL83+BL58</f>
        <v>57.5110237970095</v>
      </c>
      <c r="BM84" s="13" t="n">
        <f aca="false">BM56-BM83+BM58</f>
        <v>57.3716061155998</v>
      </c>
      <c r="BN84" s="13" t="n">
        <f aca="false">BN56-BN83+BN58</f>
        <v>19.0883965104018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39.1809623256869</v>
      </c>
      <c r="Q88" s="13" t="n">
        <f aca="false">(1-Q86)*(Q56/MAX(Time!Q31,1)*Inputs!$F$168+Q55/MAX(Time!Q31,1)*Q87)</f>
        <v>40.0893437265458</v>
      </c>
      <c r="R88" s="13" t="n">
        <f aca="false">(1-R86)*(R56/MAX(Time!R31,1)*Inputs!$F$168+R55/MAX(Time!R31,1)*R87)</f>
        <v>39.4806540575721</v>
      </c>
      <c r="S88" s="13" t="n">
        <f aca="false">(1-S86)*(S56/MAX(Time!S31,1)*Inputs!$F$168+S55/MAX(Time!S31,1)*S87)</f>
        <v>40.4560693339611</v>
      </c>
      <c r="T88" s="13" t="n">
        <f aca="false">(1-T86)*(T56/MAX(Time!T31,1)*Inputs!$F$168+T55/MAX(Time!T31,1)*T87)</f>
        <v>39.9842158401186</v>
      </c>
      <c r="U88" s="13" t="n">
        <f aca="false">(1-U86)*(U56/MAX(Time!U31,1)*Inputs!$F$168+U55/MAX(Time!U31,1)*U87)</f>
        <v>41.0568815678258</v>
      </c>
      <c r="V88" s="13" t="n">
        <f aca="false">(1-V86)*(V56/MAX(Time!V31,1)*Inputs!$F$168+V55/MAX(Time!V31,1)*V87)</f>
        <v>40.455960140644</v>
      </c>
      <c r="W88" s="13" t="n">
        <f aca="false">(1-W86)*(W56/MAX(Time!W31,1)*Inputs!$F$168+W55/MAX(Time!W31,1)*W87)</f>
        <v>41.0732780709418</v>
      </c>
      <c r="X88" s="13" t="n">
        <f aca="false">(1-X86)*(X56/MAX(Time!X31,1)*Inputs!$F$168+X55/MAX(Time!X31,1)*X87)</f>
        <v>40.7869746077725</v>
      </c>
      <c r="Y88" s="13" t="n">
        <f aca="false">(1-Y86)*(Y56/MAX(Time!Y31,1)*Inputs!$F$168+Y55/MAX(Time!Y31,1)*Y87)</f>
        <v>42.4919435497691</v>
      </c>
      <c r="Z88" s="13" t="n">
        <f aca="false">(1-Z86)*(Z56/MAX(Time!Z31,1)*Inputs!$F$168+Z55/MAX(Time!Z31,1)*Z87)</f>
        <v>41.8473303472152</v>
      </c>
      <c r="AA88" s="13" t="n">
        <f aca="false">(1-AA86)*(AA56/MAX(Time!AA31,1)*Inputs!$F$168+AA55/MAX(Time!AA31,1)*AA87)</f>
        <v>42.8881777291116</v>
      </c>
      <c r="AB88" s="13" t="n">
        <f aca="false">(1-AB86)*(AB56/MAX(Time!AB31,1)*Inputs!$F$168+AB55/MAX(Time!AB31,1)*AB87)</f>
        <v>42.3913466997486</v>
      </c>
      <c r="AC88" s="13" t="n">
        <f aca="false">(1-AC86)*(AC56/MAX(Time!AC31,1)*Inputs!$F$168+AC55/MAX(Time!AC31,1)*AC87)</f>
        <v>43.5413549658211</v>
      </c>
      <c r="AD88" s="13" t="n">
        <f aca="false">(1-AD86)*(AD56/MAX(Time!AD31,1)*Inputs!$F$168+AD55/MAX(Time!AD31,1)*AD87)</f>
        <v>42.7357872806621</v>
      </c>
      <c r="AE88" s="13" t="n">
        <f aca="false">(1-AE86)*(AE56/MAX(Time!AE31,1)*Inputs!$F$168+AE55/MAX(Time!AE31,1)*AE87)</f>
        <v>42.8120519839187</v>
      </c>
      <c r="AF88" s="13" t="n">
        <f aca="false">(1-AF86)*(AF56/MAX(Time!AF31,1)*Inputs!$F$168+AF55/MAX(Time!AF31,1)*AF87)</f>
        <v>42.9218303605379</v>
      </c>
      <c r="AG88" s="13" t="n">
        <f aca="false">(1-AG86)*(AG56/MAX(Time!AG31,1)*Inputs!$F$168+AG55/MAX(Time!AG31,1)*AG87)</f>
        <v>45.0874766827812</v>
      </c>
      <c r="AH88" s="13" t="n">
        <f aca="false">(1-AH86)*(AH56/MAX(Time!AH31,1)*Inputs!$F$168+AH55/MAX(Time!AH31,1)*AH87)</f>
        <v>44.4040512974958</v>
      </c>
      <c r="AI88" s="13" t="n">
        <f aca="false">(1-AI86)*(AI56/MAX(Time!AI31,1)*Inputs!$F$168+AI55/MAX(Time!AI31,1)*AI87)</f>
        <v>45.5156087746249</v>
      </c>
      <c r="AJ88" s="13" t="n">
        <f aca="false">(1-AJ86)*(AJ56/MAX(Time!AJ31,1)*Inputs!$F$168+AJ55/MAX(Time!AJ31,1)*AJ87)</f>
        <v>44.9917806937183</v>
      </c>
      <c r="AK88" s="13" t="n">
        <f aca="false">(1-AK86)*(AK56/MAX(Time!AK31,1)*Inputs!$F$168+AK55/MAX(Time!AK31,1)*AK87)</f>
        <v>46.2253268415193</v>
      </c>
      <c r="AL88" s="13" t="n">
        <f aca="false">(1-AL86)*(AL56/MAX(Time!AL31,1)*Inputs!$F$168+AL55/MAX(Time!AL31,1)*AL87)</f>
        <v>45.5424130591919</v>
      </c>
      <c r="AM88" s="13" t="n">
        <f aca="false">(1-AM86)*(AM56/MAX(Time!AM31,1)*Inputs!$F$168+AM55/MAX(Time!AM31,1)*AM87)</f>
        <v>46.2363564111533</v>
      </c>
      <c r="AN88" s="13" t="n">
        <f aca="false">(1-AN86)*(AN56/MAX(Time!AN31,1)*Inputs!$F$168+AN55/MAX(Time!AN31,1)*AN87)</f>
        <v>45.9289230315007</v>
      </c>
      <c r="AO88" s="13" t="n">
        <f aca="false">(1-AO86)*(AO56/MAX(Time!AO31,1)*Inputs!$F$168+AO55/MAX(Time!AO31,1)*AO87)</f>
        <v>47.8914552156177</v>
      </c>
      <c r="AP88" s="13" t="n">
        <f aca="false">(1-AP86)*(AP56/MAX(Time!AP31,1)*Inputs!$F$168+AP55/MAX(Time!AP31,1)*AP87)</f>
        <v>47.1660981684924</v>
      </c>
      <c r="AQ88" s="13" t="n">
        <f aca="false">(1-AQ86)*(AQ56/MAX(Time!AQ31,1)*Inputs!$F$168+AQ55/MAX(Time!AQ31,1)*AQ87)</f>
        <v>48.3540689255078</v>
      </c>
      <c r="AR88" s="13" t="n">
        <f aca="false">(1-AR86)*(AR56/MAX(Time!AR31,1)*Inputs!$F$168+AR55/MAX(Time!AR31,1)*AR87)</f>
        <v>47.8010618533557</v>
      </c>
      <c r="AS88" s="13" t="n">
        <f aca="false">(1-AS86)*(AS56/MAX(Time!AS31,1)*Inputs!$F$168+AS55/MAX(Time!AS31,1)*AS87)</f>
        <v>49.1248359202865</v>
      </c>
      <c r="AT88" s="13" t="n">
        <f aca="false">(1-AT86)*(AT56/MAX(Time!AT31,1)*Inputs!$F$168+AT55/MAX(Time!AT31,1)*AT87)</f>
        <v>48.2032828475597</v>
      </c>
      <c r="AU88" s="13" t="n">
        <f aca="false">(1-AU86)*(AU56/MAX(Time!AU31,1)*Inputs!$F$168+AU55/MAX(Time!AU31,1)*AU87)</f>
        <v>48.2885721578429</v>
      </c>
      <c r="AV88" s="13" t="n">
        <f aca="false">(1-AV86)*(AV56/MAX(Time!AV31,1)*Inputs!$F$168+AV55/MAX(Time!AV31,1)*AV87)</f>
        <v>48.420800426802</v>
      </c>
      <c r="AW88" s="13" t="n">
        <f aca="false">(1-AW86)*(AW56/MAX(Time!AW31,1)*Inputs!$F$168+AW55/MAX(Time!AW31,1)*AW87)</f>
        <v>50.9206382937657</v>
      </c>
      <c r="AX88" s="13" t="n">
        <f aca="false">(1-AX86)*(AX56/MAX(Time!AX31,1)*Inputs!$F$168+AX55/MAX(Time!AX31,1)*AX87)</f>
        <v>50.1499809615046</v>
      </c>
      <c r="AY88" s="13" t="n">
        <f aca="false">(1-AY86)*(AY56/MAX(Time!AY31,1)*Inputs!$F$168+AY55/MAX(Time!AY31,1)*AY87)</f>
        <v>51.4205275569009</v>
      </c>
      <c r="AZ88" s="13" t="n">
        <f aca="false">(1-AZ86)*(AZ56/MAX(Time!AZ31,1)*Inputs!$F$168+AZ55/MAX(Time!AZ31,1)*AZ87)</f>
        <v>50.8359841433507</v>
      </c>
      <c r="BA88" s="13" t="n">
        <f aca="false">(1-BA86)*(BA56/MAX(Time!BA31,1)*Inputs!$F$168+BA55/MAX(Time!BA31,1)*BA87)</f>
        <v>52.2572101921656</v>
      </c>
      <c r="BB88" s="13" t="n">
        <f aca="false">(1-BB86)*(BB56/MAX(Time!BB31,1)*Inputs!$F$168+BB55/MAX(Time!BB31,1)*BB87)</f>
        <v>51.4787443521526</v>
      </c>
      <c r="BC88" s="13" t="n">
        <f aca="false">(1-BC86)*(BC56/MAX(Time!BC31,1)*Inputs!$F$168+BC55/MAX(Time!BC31,1)*BC87)</f>
        <v>52.2623539369825</v>
      </c>
      <c r="BD88" s="13" t="n">
        <f aca="false">(1-BD86)*(BD56/MAX(Time!BD31,1)*Inputs!$F$168+BD55/MAX(Time!BD31,1)*BD87)</f>
        <v>51.9301352601338</v>
      </c>
      <c r="BE88" s="13" t="n">
        <f aca="false">(1-BE86)*(BE56/MAX(Time!BE31,1)*Inputs!$F$168+BE55/MAX(Time!BE31,1)*BE87)</f>
        <v>54.1931322508396</v>
      </c>
      <c r="BF88" s="13" t="n">
        <f aca="false">(1-BF86)*(BF56/MAX(Time!BF31,1)*Inputs!$F$168+BF55/MAX(Time!BF31,1)*BF87)</f>
        <v>53.3735371105536</v>
      </c>
      <c r="BG88" s="13" t="n">
        <f aca="false">(1-BG86)*(BG56/MAX(Time!BG31,1)*Inputs!$F$168+BG55/MAX(Time!BG31,1)*BG87)</f>
        <v>54.7333183949341</v>
      </c>
      <c r="BH88" s="13" t="n">
        <f aca="false">(1-BH86)*(BH56/MAX(Time!BH31,1)*Inputs!$F$168+BH55/MAX(Time!BH31,1)*BH87)</f>
        <v>54.1146918610221</v>
      </c>
      <c r="BI88" s="13" t="n">
        <f aca="false">(1-BI86)*(BI56/MAX(Time!BI31,1)*Inputs!$F$168+BI55/MAX(Time!BI31,1)*BI87)</f>
        <v>55.6411704213176</v>
      </c>
      <c r="BJ88" s="13" t="n">
        <f aca="false">(1-BJ86)*(BJ56/MAX(Time!BJ31,1)*Inputs!$F$168+BJ55/MAX(Time!BJ31,1)*BJ87)</f>
        <v>54.5844727308456</v>
      </c>
      <c r="BK88" s="13" t="n">
        <f aca="false">(1-BK86)*(BK56/MAX(Time!BK31,1)*Inputs!$F$168+BK55/MAX(Time!BK31,1)*BK87)</f>
        <v>54.6803145932766</v>
      </c>
      <c r="BL88" s="13" t="n">
        <f aca="false">(1-BL86)*(BL56/MAX(Time!BL31,1)*Inputs!$F$168+BL55/MAX(Time!BL31,1)*BL87)</f>
        <v>54.8389143385784</v>
      </c>
      <c r="BM88" s="13" t="n">
        <f aca="false">(1-BM86)*(BM56/MAX(Time!BM31,1)*Inputs!$F$168+BM55/MAX(Time!BM31,1)*BM87)</f>
        <v>57.7284987644055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18.981872567668</v>
      </c>
      <c r="Q90" s="13" t="n">
        <f aca="false">(1-Q86)*(Q73+Q54)/MAX(Time!Q31,1)*Inputs!$F$169</f>
        <v>19.5734858895665</v>
      </c>
      <c r="R90" s="13" t="n">
        <f aca="false">(1-R86)*(R73+R54)/MAX(Time!R31,1)*Inputs!$F$169</f>
        <v>19.1898695703999</v>
      </c>
      <c r="S90" s="13" t="n">
        <f aca="false">(1-S86)*(S73+S54)/MAX(Time!S31,1)*Inputs!$F$169</f>
        <v>19.7673961775234</v>
      </c>
      <c r="T90" s="13" t="n">
        <f aca="false">(1-T86)*(T73+T54)/MAX(Time!T31,1)*Inputs!$F$169</f>
        <v>19.5049093413048</v>
      </c>
      <c r="U90" s="13" t="n">
        <f aca="false">(1-U86)*(U73+U54)/MAX(Time!U31,1)*Inputs!$F$169</f>
        <v>20.2400036692214</v>
      </c>
      <c r="V90" s="13" t="n">
        <f aca="false">(1-V86)*(V73+V54)/MAX(Time!V31,1)*Inputs!$F$169</f>
        <v>19.7892757868369</v>
      </c>
      <c r="W90" s="13" t="n">
        <f aca="false">(1-W86)*(W73+W54)/MAX(Time!W31,1)*Inputs!$F$169</f>
        <v>20.0444416126787</v>
      </c>
      <c r="X90" s="13" t="n">
        <f aca="false">(1-X86)*(X73+X54)/MAX(Time!X31,1)*Inputs!$F$169</f>
        <v>19.9466454705594</v>
      </c>
      <c r="Y90" s="13" t="n">
        <f aca="false">(1-Y86)*(Y73+Y54)/MAX(Time!Y31,1)*Inputs!$F$169</f>
        <v>21.1608056600682</v>
      </c>
      <c r="Z90" s="13" t="n">
        <f aca="false">(1-Z86)*(Z73+Z54)/MAX(Time!Z31,1)*Inputs!$F$169</f>
        <v>20.7459263425221</v>
      </c>
      <c r="AA90" s="13" t="n">
        <f aca="false">(1-AA86)*(AA73+AA54)/MAX(Time!AA31,1)*Inputs!$F$169</f>
        <v>21.3701249165466</v>
      </c>
      <c r="AB90" s="13" t="n">
        <f aca="false">(1-AB86)*(AB73+AB54)/MAX(Time!AB31,1)*Inputs!$F$169</f>
        <v>21.0861996640739</v>
      </c>
      <c r="AC90" s="13" t="n">
        <f aca="false">(1-AC86)*(AC73+AC54)/MAX(Time!AC31,1)*Inputs!$F$169</f>
        <v>21.880727020268</v>
      </c>
      <c r="AD90" s="13" t="n">
        <f aca="false">(1-AD86)*(AD73+AD54)/MAX(Time!AD31,1)*Inputs!$F$169</f>
        <v>21.2471949362023</v>
      </c>
      <c r="AE90" s="13" t="n">
        <f aca="false">(1-AE86)*(AE73+AE54)/MAX(Time!AE31,1)*Inputs!$F$169</f>
        <v>21.2145637935237</v>
      </c>
      <c r="AF90" s="13" t="n">
        <f aca="false">(1-AF86)*(AF73+AF54)/MAX(Time!AF31,1)*Inputs!$F$169</f>
        <v>21.2651455638534</v>
      </c>
      <c r="AG90" s="13" t="n">
        <f aca="false">(1-AG86)*(AG73+AG54)/MAX(Time!AG31,1)*Inputs!$F$169</f>
        <v>22.8754936617536</v>
      </c>
      <c r="AH90" s="13" t="n">
        <f aca="false">(1-AH86)*(AH73+AH54)/MAX(Time!AH31,1)*Inputs!$F$169</f>
        <v>22.4268295858365</v>
      </c>
      <c r="AI90" s="13" t="n">
        <f aca="false">(1-AI86)*(AI73+AI54)/MAX(Time!AI31,1)*Inputs!$F$169</f>
        <v>23.1014311506159</v>
      </c>
      <c r="AJ90" s="13" t="n">
        <f aca="false">(1-AJ86)*(AJ73+AJ54)/MAX(Time!AJ31,1)*Inputs!$F$169</f>
        <v>22.79433418663</v>
      </c>
      <c r="AK90" s="13" t="n">
        <f aca="false">(1-AK86)*(AK73+AK54)/MAX(Time!AK31,1)*Inputs!$F$169</f>
        <v>23.6530480969888</v>
      </c>
      <c r="AL90" s="13" t="n">
        <f aca="false">(1-AL86)*(AL73+AL54)/MAX(Time!AL31,1)*Inputs!$F$169</f>
        <v>23.1259711090982</v>
      </c>
      <c r="AM90" s="13" t="n">
        <f aca="false">(1-AM86)*(AM73+AM54)/MAX(Time!AM31,1)*Inputs!$F$169</f>
        <v>23.4238127094044</v>
      </c>
      <c r="AN90" s="13" t="n">
        <f aca="false">(1-AN86)*(AN73+AN54)/MAX(Time!AN31,1)*Inputs!$F$169</f>
        <v>23.3091822019381</v>
      </c>
      <c r="AO90" s="13" t="n">
        <f aca="false">(1-AO86)*(AO73+AO54)/MAX(Time!AO31,1)*Inputs!$F$169</f>
        <v>24.727653532949</v>
      </c>
      <c r="AP90" s="13" t="n">
        <f aca="false">(1-AP86)*(AP73+AP54)/MAX(Time!AP31,1)*Inputs!$F$169</f>
        <v>24.2424817426379</v>
      </c>
      <c r="AQ90" s="13" t="n">
        <f aca="false">(1-AQ86)*(AQ73+AQ54)/MAX(Time!AQ31,1)*Inputs!$F$169</f>
        <v>24.9715120653825</v>
      </c>
      <c r="AR90" s="13" t="n">
        <f aca="false">(1-AR86)*(AR73+AR54)/MAX(Time!AR31,1)*Inputs!$F$169</f>
        <v>24.6393714556862</v>
      </c>
      <c r="AS90" s="13" t="n">
        <f aca="false">(1-AS86)*(AS73+AS54)/MAX(Time!AS31,1)*Inputs!$F$169</f>
        <v>25.5674011726879</v>
      </c>
      <c r="AT90" s="13" t="n">
        <f aca="false">(1-AT86)*(AT73+AT54)/MAX(Time!AT31,1)*Inputs!$F$169</f>
        <v>24.8267553529679</v>
      </c>
      <c r="AU90" s="13" t="n">
        <f aca="false">(1-AU86)*(AU73+AU54)/MAX(Time!AU31,1)*Inputs!$F$169</f>
        <v>24.7882569678701</v>
      </c>
      <c r="AV90" s="13" t="n">
        <f aca="false">(1-AV86)*(AV73+AV54)/MAX(Time!AV31,1)*Inputs!$F$169</f>
        <v>24.8469886070427</v>
      </c>
      <c r="AW90" s="13" t="n">
        <f aca="false">(1-AW86)*(AW73+AW54)/MAX(Time!AW31,1)*Inputs!$F$169</f>
        <v>26.7281801893645</v>
      </c>
      <c r="AX90" s="13" t="n">
        <f aca="false">(1-AX86)*(AX73+AX54)/MAX(Time!AX31,1)*Inputs!$F$169</f>
        <v>26.2035606726812</v>
      </c>
      <c r="AY90" s="13" t="n">
        <f aca="false">(1-AY86)*(AY73+AY54)/MAX(Time!AY31,1)*Inputs!$F$169</f>
        <v>26.9913632377895</v>
      </c>
      <c r="AZ90" s="13" t="n">
        <f aca="false">(1-AZ86)*(AZ73+AZ54)/MAX(Time!AZ31,1)*Inputs!$F$169</f>
        <v>26.6321574495346</v>
      </c>
      <c r="BA90" s="13" t="n">
        <f aca="false">(1-BA86)*(BA73+BA54)/MAX(Time!BA31,1)*Inputs!$F$169</f>
        <v>27.6350372569313</v>
      </c>
      <c r="BB90" s="13" t="n">
        <f aca="false">(1-BB86)*(BB73+BB54)/MAX(Time!BB31,1)*Inputs!$F$169</f>
        <v>27.0188223510927</v>
      </c>
      <c r="BC90" s="13" t="n">
        <f aca="false">(1-BC86)*(BC73+BC54)/MAX(Time!BC31,1)*Inputs!$F$169</f>
        <v>27.3663903957504</v>
      </c>
      <c r="BD90" s="13" t="n">
        <f aca="false">(1-BD86)*(BD73+BD54)/MAX(Time!BD31,1)*Inputs!$F$169</f>
        <v>27.2320576969325</v>
      </c>
      <c r="BE90" s="13" t="n">
        <f aca="false">(1-BE86)*(BE73+BE54)/MAX(Time!BE31,1)*Inputs!$F$169</f>
        <v>28.8888208826552</v>
      </c>
      <c r="BF90" s="13" t="n">
        <f aca="false">(1-BF86)*(BF73+BF54)/MAX(Time!BF31,1)*Inputs!$F$169</f>
        <v>28.3215794785404</v>
      </c>
      <c r="BG90" s="13" t="n">
        <f aca="false">(1-BG86)*(BG73+BG54)/MAX(Time!BG31,1)*Inputs!$F$169</f>
        <v>29.1728402242454</v>
      </c>
      <c r="BH90" s="13" t="n">
        <f aca="false">(1-BH86)*(BH73+BH54)/MAX(Time!BH31,1)*Inputs!$F$169</f>
        <v>28.784386311227</v>
      </c>
      <c r="BI90" s="13" t="n">
        <f aca="false">(1-BI86)*(BI73+BI54)/MAX(Time!BI31,1)*Inputs!$F$169</f>
        <v>29.8680870790166</v>
      </c>
      <c r="BJ90" s="13" t="n">
        <f aca="false">(1-BJ86)*(BJ73+BJ54)/MAX(Time!BJ31,1)*Inputs!$F$169</f>
        <v>29.0024213102976</v>
      </c>
      <c r="BK90" s="13" t="n">
        <f aca="false">(1-BK86)*(BK73+BK54)/MAX(Time!BK31,1)*Inputs!$F$169</f>
        <v>28.9570121336825</v>
      </c>
      <c r="BL90" s="13" t="n">
        <f aca="false">(1-BL86)*(BL73+BL54)/MAX(Time!BL31,1)*Inputs!$F$169</f>
        <v>29.0251840116346</v>
      </c>
      <c r="BM90" s="13" t="n">
        <f aca="false">(1-BM86)*(BM73+BM54)/MAX(Time!BM31,1)*Inputs!$F$169</f>
        <v>31.2222408875813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2.28118592712896</v>
      </c>
      <c r="Q91" s="13" t="n">
        <f aca="false">(1-Q86)*(Q52+Q53)/MAX(Time!Q31,1)*Inputs!$F$170</f>
        <v>2.31989649068253</v>
      </c>
      <c r="R91" s="13" t="n">
        <f aca="false">(1-R86)*(R52+R53)/MAX(Time!R31,1)*Inputs!$F$170</f>
        <v>2.31176584039505</v>
      </c>
      <c r="S91" s="13" t="n">
        <f aca="false">(1-S86)*(S52+S53)/MAX(Time!S31,1)*Inputs!$F$170</f>
        <v>2.35052824178658</v>
      </c>
      <c r="T91" s="13" t="n">
        <f aca="false">(1-T86)*(T52+T53)/MAX(Time!T31,1)*Inputs!$F$170</f>
        <v>2.34499217135609</v>
      </c>
      <c r="U91" s="13" t="n">
        <f aca="false">(1-U86)*(U52+U53)/MAX(Time!U31,1)*Inputs!$F$170</f>
        <v>2.38740764776105</v>
      </c>
      <c r="V91" s="13" t="n">
        <f aca="false">(1-V86)*(V52+V53)/MAX(Time!V31,1)*Inputs!$F$170</f>
        <v>2.37794801289102</v>
      </c>
      <c r="W91" s="13" t="n">
        <f aca="false">(1-W86)*(W52+W53)/MAX(Time!W31,1)*Inputs!$F$170</f>
        <v>2.41068044942422</v>
      </c>
      <c r="X91" s="13" t="n">
        <f aca="false">(1-X86)*(X52+X53)/MAX(Time!X31,1)*Inputs!$F$170</f>
        <v>2.40863801772481</v>
      </c>
      <c r="Y91" s="13" t="n">
        <f aca="false">(1-Y86)*(Y52+Y53)/MAX(Time!Y31,1)*Inputs!$F$170</f>
        <v>2.46170981099463</v>
      </c>
      <c r="Z91" s="13" t="n">
        <f aca="false">(1-Z86)*(Z52+Z53)/MAX(Time!Z31,1)*Inputs!$F$170</f>
        <v>2.45308770267074</v>
      </c>
      <c r="AA91" s="13" t="n">
        <f aca="false">(1-AA86)*(AA52+AA53)/MAX(Time!AA31,1)*Inputs!$F$170</f>
        <v>2.49421199960215</v>
      </c>
      <c r="AB91" s="13" t="n">
        <f aca="false">(1-AB86)*(AB52+AB53)/MAX(Time!AB31,1)*Inputs!$F$170</f>
        <v>2.48834033039226</v>
      </c>
      <c r="AC91" s="13" t="n">
        <f aca="false">(1-AC86)*(AC52+AC53)/MAX(Time!AC31,1)*Inputs!$F$170</f>
        <v>2.53333734097802</v>
      </c>
      <c r="AD91" s="13" t="n">
        <f aca="false">(1-AD86)*(AD52+AD53)/MAX(Time!AD31,1)*Inputs!$F$170</f>
        <v>2.52029990932913</v>
      </c>
      <c r="AE91" s="13" t="n">
        <f aca="false">(1-AE86)*(AE52+AE53)/MAX(Time!AE31,1)*Inputs!$F$170</f>
        <v>2.54873414824224</v>
      </c>
      <c r="AF91" s="13" t="n">
        <f aca="false">(1-AF86)*(AF52+AF53)/MAX(Time!AF31,1)*Inputs!$F$170</f>
        <v>2.5497699659389</v>
      </c>
      <c r="AG91" s="13" t="n">
        <f aca="false">(1-AG86)*(AG52+AG53)/MAX(Time!AG31,1)*Inputs!$F$170</f>
        <v>2.61216501114156</v>
      </c>
      <c r="AH91" s="13" t="n">
        <f aca="false">(1-AH86)*(AH52+AH53)/MAX(Time!AH31,1)*Inputs!$F$170</f>
        <v>2.60302226904495</v>
      </c>
      <c r="AI91" s="13" t="n">
        <f aca="false">(1-AI86)*(AI52+AI53)/MAX(Time!AI31,1)*Inputs!$F$170</f>
        <v>2.64665170557552</v>
      </c>
      <c r="AJ91" s="13" t="n">
        <f aca="false">(1-AJ86)*(AJ52+AJ53)/MAX(Time!AJ31,1)*Inputs!$F$170</f>
        <v>2.64042445179219</v>
      </c>
      <c r="AK91" s="13" t="n">
        <f aca="false">(1-AK86)*(AK52+AK53)/MAX(Time!AK31,1)*Inputs!$F$170</f>
        <v>2.68815923095673</v>
      </c>
      <c r="AL91" s="13" t="n">
        <f aca="false">(1-AL86)*(AL52+AL53)/MAX(Time!AL31,1)*Inputs!$F$170</f>
        <v>2.67752365611364</v>
      </c>
      <c r="AM91" s="13" t="n">
        <f aca="false">(1-AM86)*(AM52+AM53)/MAX(Time!AM31,1)*Inputs!$F$170</f>
        <v>2.71437986347646</v>
      </c>
      <c r="AN91" s="13" t="n">
        <f aca="false">(1-AN86)*(AN52+AN53)/MAX(Time!AN31,1)*Inputs!$F$170</f>
        <v>2.71207814079032</v>
      </c>
      <c r="AO91" s="13" t="n">
        <f aca="false">(1-AO86)*(AO52+AO53)/MAX(Time!AO31,1)*Inputs!$F$170</f>
        <v>2.77178703599751</v>
      </c>
      <c r="AP91" s="13" t="n">
        <f aca="false">(1-AP86)*(AP52+AP53)/MAX(Time!AP31,1)*Inputs!$F$170</f>
        <v>2.76209278644876</v>
      </c>
      <c r="AQ91" s="13" t="n">
        <f aca="false">(1-AQ86)*(AQ52+AQ53)/MAX(Time!AQ31,1)*Inputs!$F$170</f>
        <v>2.80837925205897</v>
      </c>
      <c r="AR91" s="13" t="n">
        <f aca="false">(1-AR86)*(AR52+AR53)/MAX(Time!AR31,1)*Inputs!$F$170</f>
        <v>2.80177526060309</v>
      </c>
      <c r="AS91" s="13" t="n">
        <f aca="false">(1-AS86)*(AS52+AS53)/MAX(Time!AS31,1)*Inputs!$F$170</f>
        <v>2.85241344251974</v>
      </c>
      <c r="AT91" s="13" t="n">
        <f aca="false">(1-AT86)*(AT52+AT53)/MAX(Time!AT31,1)*Inputs!$F$170</f>
        <v>2.83775928111615</v>
      </c>
      <c r="AU91" s="13" t="n">
        <f aca="false">(1-AU86)*(AU52+AU53)/MAX(Time!AU31,1)*Inputs!$F$170</f>
        <v>2.86979157524969</v>
      </c>
      <c r="AV91" s="13" t="n">
        <f aca="false">(1-AV86)*(AV52+AV53)/MAX(Time!AV31,1)*Inputs!$F$170</f>
        <v>2.87094792280645</v>
      </c>
      <c r="AW91" s="13" t="n">
        <f aca="false">(1-AW86)*(AW52+AW53)/MAX(Time!AW31,1)*Inputs!$F$170</f>
        <v>2.94113261315447</v>
      </c>
      <c r="AX91" s="13" t="n">
        <f aca="false">(1-AX86)*(AX52+AX53)/MAX(Time!AX31,1)*Inputs!$F$170</f>
        <v>2.93085418797993</v>
      </c>
      <c r="AY91" s="13" t="n">
        <f aca="false">(1-AY86)*(AY52+AY53)/MAX(Time!AY31,1)*Inputs!$F$170</f>
        <v>2.97995873671047</v>
      </c>
      <c r="AZ91" s="13" t="n">
        <f aca="false">(1-AZ86)*(AZ52+AZ53)/MAX(Time!AZ31,1)*Inputs!$F$170</f>
        <v>2.97295562051187</v>
      </c>
      <c r="BA91" s="13" t="n">
        <f aca="false">(1-BA86)*(BA52+BA53)/MAX(Time!BA31,1)*Inputs!$F$170</f>
        <v>3.02667280114358</v>
      </c>
      <c r="BB91" s="13" t="n">
        <f aca="false">(1-BB86)*(BB52+BB53)/MAX(Time!BB31,1)*Inputs!$F$170</f>
        <v>3.01471789761139</v>
      </c>
      <c r="BC91" s="13" t="n">
        <f aca="false">(1-BC86)*(BC52+BC53)/MAX(Time!BC31,1)*Inputs!$F$170</f>
        <v>3.05621641466548</v>
      </c>
      <c r="BD91" s="13" t="n">
        <f aca="false">(1-BD86)*(BD52+BD53)/MAX(Time!BD31,1)*Inputs!$F$170</f>
        <v>3.05362306255289</v>
      </c>
      <c r="BE91" s="13" t="n">
        <f aca="false">(1-BE86)*(BE52+BE53)/MAX(Time!BE31,1)*Inputs!$F$170</f>
        <v>3.12079217063018</v>
      </c>
      <c r="BF91" s="13" t="n">
        <f aca="false">(1-BF86)*(BF52+BF53)/MAX(Time!BF31,1)*Inputs!$F$170</f>
        <v>3.10989500527607</v>
      </c>
      <c r="BG91" s="13" t="n">
        <f aca="false">(1-BG86)*(BG52+BG53)/MAX(Time!BG31,1)*Inputs!$F$170</f>
        <v>3.16198840587128</v>
      </c>
      <c r="BH91" s="13" t="n">
        <f aca="false">(1-BH86)*(BH52+BH53)/MAX(Time!BH31,1)*Inputs!$F$170</f>
        <v>3.15456247351866</v>
      </c>
      <c r="BI91" s="13" t="n">
        <f aca="false">(1-BI86)*(BI52+BI53)/MAX(Time!BI31,1)*Inputs!$F$170</f>
        <v>3.21154480600966</v>
      </c>
      <c r="BJ91" s="13" t="n">
        <f aca="false">(1-BJ86)*(BJ52+BJ53)/MAX(Time!BJ31,1)*Inputs!$F$170</f>
        <v>3.19507730863146</v>
      </c>
      <c r="BK91" s="13" t="n">
        <f aca="false">(1-BK86)*(BK52+BK53)/MAX(Time!BK31,1)*Inputs!$F$170</f>
        <v>3.2311637571687</v>
      </c>
      <c r="BL91" s="13" t="n">
        <f aca="false">(1-BL86)*(BL52+BL53)/MAX(Time!BL31,1)*Inputs!$F$170</f>
        <v>3.23245422887442</v>
      </c>
      <c r="BM91" s="13" t="n">
        <f aca="false">(1-BM86)*(BM52+BM53)/MAX(Time!BM31,1)*Inputs!$F$170</f>
        <v>3.31139186987181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1.68108519206451</v>
      </c>
      <c r="Q92" s="13" t="n">
        <f aca="false">(1-Q86)*(Q60+Q61+Q62+Q64)/MAX(Time!Q31,1)*Inputs!$F$171</f>
        <v>1.71825527329156</v>
      </c>
      <c r="R92" s="13" t="n">
        <f aca="false">(1-R86)*(R60+R61+R62+R64)/MAX(Time!R31,1)*Inputs!$F$171</f>
        <v>1.70336647167902</v>
      </c>
      <c r="S92" s="13" t="n">
        <f aca="false">(1-S86)*(S60+S61+S62+S64)/MAX(Time!S31,1)*Inputs!$F$171</f>
        <v>1.73951531102996</v>
      </c>
      <c r="T92" s="13" t="n">
        <f aca="false">(1-T86)*(T60+T61+T62+T64)/MAX(Time!T31,1)*Inputs!$F$171</f>
        <v>1.73535723554703</v>
      </c>
      <c r="U92" s="13" t="n">
        <f aca="false">(1-U86)*(U60+U61+U62+U64)/MAX(Time!U31,1)*Inputs!$F$171</f>
        <v>1.78482920602872</v>
      </c>
      <c r="V92" s="13" t="n">
        <f aca="false">(1-V86)*(V60+V61+V62+V64)/MAX(Time!V31,1)*Inputs!$F$171</f>
        <v>1.76481786861064</v>
      </c>
      <c r="W92" s="13" t="n">
        <f aca="false">(1-W86)*(W60+W61+W62+W64)/MAX(Time!W31,1)*Inputs!$F$171</f>
        <v>1.77274251919636</v>
      </c>
      <c r="X92" s="13" t="n">
        <f aca="false">(1-X86)*(X60+X61+X62+X64)/MAX(Time!X31,1)*Inputs!$F$171</f>
        <v>1.78328042150744</v>
      </c>
      <c r="Y92" s="13" t="n">
        <f aca="false">(1-Y86)*(Y60+Y61+Y62+Y64)/MAX(Time!Y31,1)*Inputs!$F$171</f>
        <v>1.87452513709506</v>
      </c>
      <c r="Z92" s="13" t="n">
        <f aca="false">(1-Z86)*(Z60+Z61+Z62+Z64)/MAX(Time!Z31,1)*Inputs!$F$171</f>
        <v>1.85828224622911</v>
      </c>
      <c r="AA92" s="13" t="n">
        <f aca="false">(1-AA86)*(AA60+AA61+AA62+AA64)/MAX(Time!AA31,1)*Inputs!$F$171</f>
        <v>1.89771870779185</v>
      </c>
      <c r="AB92" s="13" t="n">
        <f aca="false">(1-AB86)*(AB60+AB61+AB62+AB64)/MAX(Time!AB31,1)*Inputs!$F$171</f>
        <v>1.89318246854041</v>
      </c>
      <c r="AC92" s="13" t="n">
        <f aca="false">(1-AC86)*(AC60+AC61+AC62+AC64)/MAX(Time!AC31,1)*Inputs!$F$171</f>
        <v>1.94715375772605</v>
      </c>
      <c r="AD92" s="13" t="n">
        <f aca="false">(1-AD86)*(AD60+AD61+AD62+AD64)/MAX(Time!AD31,1)*Inputs!$F$171</f>
        <v>1.91241598316742</v>
      </c>
      <c r="AE92" s="13" t="n">
        <f aca="false">(1-AE86)*(AE60+AE61+AE62+AE64)/MAX(Time!AE31,1)*Inputs!$F$171</f>
        <v>1.90045895433647</v>
      </c>
      <c r="AF92" s="13" t="n">
        <f aca="false">(1-AF86)*(AF60+AF61+AF62+AF64)/MAX(Time!AF31,1)*Inputs!$F$171</f>
        <v>1.91908329248295</v>
      </c>
      <c r="AG92" s="13" t="n">
        <f aca="false">(1-AG86)*(AG60+AG61+AG62+AG64)/MAX(Time!AG31,1)*Inputs!$F$171</f>
        <v>2.04500724905095</v>
      </c>
      <c r="AH92" s="13" t="n">
        <f aca="false">(1-AH86)*(AH60+AH61+AH62+AH64)/MAX(Time!AH31,1)*Inputs!$F$171</f>
        <v>2.02728711881151</v>
      </c>
      <c r="AI92" s="13" t="n">
        <f aca="false">(1-AI86)*(AI60+AI61+AI62+AI64)/MAX(Time!AI31,1)*Inputs!$F$171</f>
        <v>2.07031020139215</v>
      </c>
      <c r="AJ92" s="13" t="n">
        <f aca="false">(1-AJ86)*(AJ60+AJ61+AJ62+AJ64)/MAX(Time!AJ31,1)*Inputs!$F$171</f>
        <v>2.06536140557766</v>
      </c>
      <c r="AK92" s="13" t="n">
        <f aca="false">(1-AK86)*(AK60+AK61+AK62+AK64)/MAX(Time!AK31,1)*Inputs!$F$171</f>
        <v>2.12424121222368</v>
      </c>
      <c r="AL92" s="13" t="n">
        <f aca="false">(1-AL86)*(AL60+AL61+AL62+AL64)/MAX(Time!AL31,1)*Inputs!$F$171</f>
        <v>2.10042441927138</v>
      </c>
      <c r="AM92" s="13" t="n">
        <f aca="false">(1-AM86)*(AM60+AM61+AM62+AM64)/MAX(Time!AM31,1)*Inputs!$F$171</f>
        <v>2.10985606085915</v>
      </c>
      <c r="AN92" s="13" t="n">
        <f aca="false">(1-AN86)*(AN60+AN61+AN62+AN64)/MAX(Time!AN31,1)*Inputs!$F$171</f>
        <v>2.12239790312842</v>
      </c>
      <c r="AO92" s="13" t="n">
        <f aca="false">(1-AO86)*(AO60+AO61+AO62+AO64)/MAX(Time!AO31,1)*Inputs!$F$171</f>
        <v>2.23099416802264</v>
      </c>
      <c r="AP92" s="13" t="n">
        <f aca="false">(1-AP86)*(AP60+AP61+AP62+AP64)/MAX(Time!AP31,1)*Inputs!$F$171</f>
        <v>2.21166244817709</v>
      </c>
      <c r="AQ92" s="13" t="n">
        <f aca="false">(1-AQ86)*(AQ60+AQ61+AQ62+AQ64)/MAX(Time!AQ31,1)*Inputs!$F$171</f>
        <v>2.25859834357419</v>
      </c>
      <c r="AR92" s="13" t="n">
        <f aca="false">(1-AR86)*(AR60+AR61+AR62+AR64)/MAX(Time!AR31,1)*Inputs!$F$171</f>
        <v>2.25319947048658</v>
      </c>
      <c r="AS92" s="13" t="n">
        <f aca="false">(1-AS86)*(AS60+AS61+AS62+AS64)/MAX(Time!AS31,1)*Inputs!$F$171</f>
        <v>2.31743420867762</v>
      </c>
      <c r="AT92" s="13" t="n">
        <f aca="false">(1-AT86)*(AT60+AT61+AT62+AT64)/MAX(Time!AT31,1)*Inputs!$F$171</f>
        <v>2.27609052599407</v>
      </c>
      <c r="AU92" s="13" t="n">
        <f aca="false">(1-AU86)*(AU60+AU61+AU62+AU64)/MAX(Time!AU31,1)*Inputs!$F$171</f>
        <v>2.26185968904191</v>
      </c>
      <c r="AV92" s="13" t="n">
        <f aca="false">(1-AV86)*(AV60+AV61+AV62+AV64)/MAX(Time!AV31,1)*Inputs!$F$171</f>
        <v>2.28402572403704</v>
      </c>
      <c r="AW92" s="13" t="n">
        <f aca="false">(1-AW86)*(AW60+AW61+AW62+AW64)/MAX(Time!AW31,1)*Inputs!$F$171</f>
        <v>2.43389600699995</v>
      </c>
      <c r="AX92" s="13" t="n">
        <f aca="false">(1-AX86)*(AX60+AX61+AX62+AX64)/MAX(Time!AX31,1)*Inputs!$F$171</f>
        <v>2.41280612858837</v>
      </c>
      <c r="AY92" s="13" t="n">
        <f aca="false">(1-AY86)*(AY60+AY61+AY62+AY64)/MAX(Time!AY31,1)*Inputs!$F$171</f>
        <v>2.46401069470932</v>
      </c>
      <c r="AZ92" s="13" t="n">
        <f aca="false">(1-AZ86)*(AZ60+AZ61+AZ62+AZ64)/MAX(Time!AZ31,1)*Inputs!$F$171</f>
        <v>2.45812081124903</v>
      </c>
      <c r="BA92" s="13" t="n">
        <f aca="false">(1-BA86)*(BA60+BA61+BA62+BA64)/MAX(Time!BA31,1)*Inputs!$F$171</f>
        <v>2.52819749501393</v>
      </c>
      <c r="BB92" s="13" t="n">
        <f aca="false">(1-BB86)*(BB60+BB61+BB62+BB64)/MAX(Time!BB31,1)*Inputs!$F$171</f>
        <v>2.49985158216054</v>
      </c>
      <c r="BC92" s="13" t="n">
        <f aca="false">(1-BC86)*(BC60+BC61+BC62+BC64)/MAX(Time!BC31,1)*Inputs!$F$171</f>
        <v>2.5110767916607</v>
      </c>
      <c r="BD92" s="13" t="n">
        <f aca="false">(1-BD86)*(BD60+BD61+BD62+BD64)/MAX(Time!BD31,1)*Inputs!$F$171</f>
        <v>2.52600365308565</v>
      </c>
      <c r="BE92" s="13" t="n">
        <f aca="false">(1-BE86)*(BE60+BE61+BE62+BE64)/MAX(Time!BE31,1)*Inputs!$F$171</f>
        <v>2.65525112427374</v>
      </c>
      <c r="BF92" s="13" t="n">
        <f aca="false">(1-BF86)*(BF60+BF61+BF62+BF64)/MAX(Time!BF31,1)*Inputs!$F$171</f>
        <v>2.6322431883545</v>
      </c>
      <c r="BG92" s="13" t="n">
        <f aca="false">(1-BG86)*(BG60+BG61+BG62+BG64)/MAX(Time!BG31,1)*Inputs!$F$171</f>
        <v>2.68810464725397</v>
      </c>
      <c r="BH92" s="13" t="n">
        <f aca="false">(1-BH86)*(BH60+BH61+BH62+BH64)/MAX(Time!BH31,1)*Inputs!$F$171</f>
        <v>2.68167909758596</v>
      </c>
      <c r="BI92" s="13" t="n">
        <f aca="false">(1-BI86)*(BI60+BI61+BI62+BI64)/MAX(Time!BI31,1)*Inputs!$F$171</f>
        <v>2.75812903333381</v>
      </c>
      <c r="BJ92" s="13" t="n">
        <f aca="false">(1-BJ86)*(BJ60+BJ61+BJ62+BJ64)/MAX(Time!BJ31,1)*Inputs!$F$171</f>
        <v>2.70892323015397</v>
      </c>
      <c r="BK92" s="13" t="n">
        <f aca="false">(1-BK86)*(BK60+BK61+BK62+BK64)/MAX(Time!BK31,1)*Inputs!$F$171</f>
        <v>2.69198618640989</v>
      </c>
      <c r="BL92" s="13" t="n">
        <f aca="false">(1-BL86)*(BL60+BL61+BL62+BL64)/MAX(Time!BL31,1)*Inputs!$F$171</f>
        <v>2.71836742495596</v>
      </c>
      <c r="BM92" s="13" t="n">
        <f aca="false">(1-BM86)*(BM60+BM61+BM62+BM64)/MAX(Time!BM31,1)*Inputs!$F$171</f>
        <v>2.89673778693911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1.1809715928726</v>
      </c>
      <c r="Q93" s="13" t="n">
        <f aca="false">(1-Q86)*(Q65+Q66+Q67+Q68+Q69+Q70+Q71)/MAX(Time!Q31,1)*Inputs!$F$172</f>
        <v>1.20598486595401</v>
      </c>
      <c r="R93" s="13" t="n">
        <f aca="false">(1-R86)*(R65+R66+R67+R68+R69+R70+R71)/MAX(Time!R31,1)*Inputs!$F$172</f>
        <v>1.19697757274406</v>
      </c>
      <c r="S93" s="13" t="n">
        <f aca="false">(1-S86)*(S65+S66+S67+S68+S69+S70+S71)/MAX(Time!S31,1)*Inputs!$F$172</f>
        <v>1.22657253614178</v>
      </c>
      <c r="T93" s="13" t="n">
        <f aca="false">(1-T86)*(T65+T66+T67+T68+T69+T70+T71)/MAX(Time!T31,1)*Inputs!$F$172</f>
        <v>1.21977153593409</v>
      </c>
      <c r="U93" s="13" t="n">
        <f aca="false">(1-U86)*(U65+U66+U67+U68+U69+U70+U71)/MAX(Time!U31,1)*Inputs!$F$172</f>
        <v>1.24787082333884</v>
      </c>
      <c r="V93" s="13" t="n">
        <f aca="false">(1-V86)*(V65+V66+V67+V68+V69+V70+V71)/MAX(Time!V31,1)*Inputs!$F$172</f>
        <v>1.24236729965708</v>
      </c>
      <c r="W93" s="13" t="n">
        <f aca="false">(1-W86)*(W65+W66+W67+W68+W69+W70+W71)/MAX(Time!W31,1)*Inputs!$F$172</f>
        <v>1.26682576650295</v>
      </c>
      <c r="X93" s="13" t="n">
        <f aca="false">(1-X86)*(X65+X66+X67+X68+X69+X70+X71)/MAX(Time!X31,1)*Inputs!$F$172</f>
        <v>1.26296832056571</v>
      </c>
      <c r="Y93" s="13" t="n">
        <f aca="false">(1-Y86)*(Y65+Y66+Y67+Y68+Y69+Y70+Y71)/MAX(Time!Y31,1)*Inputs!$F$172</f>
        <v>1.30566487853674</v>
      </c>
      <c r="Z93" s="13" t="n">
        <f aca="false">(1-Z86)*(Z65+Z66+Z67+Z68+Z69+Z70+Z71)/MAX(Time!Z31,1)*Inputs!$F$172</f>
        <v>1.29598348334859</v>
      </c>
      <c r="AA93" s="13" t="n">
        <f aca="false">(1-AA86)*(AA65+AA66+AA67+AA68+AA69+AA70+AA71)/MAX(Time!AA31,1)*Inputs!$F$172</f>
        <v>1.32809603032811</v>
      </c>
      <c r="AB93" s="13" t="n">
        <f aca="false">(1-AB86)*(AB65+AB66+AB67+AB68+AB69+AB70+AB71)/MAX(Time!AB31,1)*Inputs!$F$172</f>
        <v>1.32080650099895</v>
      </c>
      <c r="AC93" s="13" t="n">
        <f aca="false">(1-AC86)*(AC65+AC66+AC67+AC68+AC69+AC70+AC71)/MAX(Time!AC31,1)*Inputs!$F$172</f>
        <v>1.35131032414771</v>
      </c>
      <c r="AD93" s="13" t="n">
        <f aca="false">(1-AD86)*(AD65+AD66+AD67+AD68+AD69+AD70+AD71)/MAX(Time!AD31,1)*Inputs!$F$172</f>
        <v>1.3426752170156</v>
      </c>
      <c r="AE93" s="13" t="n">
        <f aca="false">(1-AE86)*(AE65+AE66+AE67+AE68+AE69+AE70+AE71)/MAX(Time!AE31,1)*Inputs!$F$172</f>
        <v>1.36267668970368</v>
      </c>
      <c r="AF93" s="13" t="n">
        <f aca="false">(1-AF86)*(AF65+AF66+AF67+AF68+AF69+AF70+AF71)/MAX(Time!AF31,1)*Inputs!$F$172</f>
        <v>1.3622711104418</v>
      </c>
      <c r="AG93" s="13" t="n">
        <f aca="false">(1-AG86)*(AG65+AG66+AG67+AG68+AG69+AG70+AG71)/MAX(Time!AG31,1)*Inputs!$F$172</f>
        <v>1.41419491443296</v>
      </c>
      <c r="AH93" s="13" t="n">
        <f aca="false">(1-AH86)*(AH65+AH66+AH67+AH68+AH69+AH70+AH71)/MAX(Time!AH31,1)*Inputs!$F$172</f>
        <v>1.40377999016716</v>
      </c>
      <c r="AI93" s="13" t="n">
        <f aca="false">(1-AI86)*(AI65+AI66+AI67+AI68+AI69+AI70+AI71)/MAX(Time!AI31,1)*Inputs!$F$172</f>
        <v>1.43863457811479</v>
      </c>
      <c r="AJ93" s="13" t="n">
        <f aca="false">(1-AJ86)*(AJ65+AJ66+AJ67+AJ68+AJ69+AJ70+AJ71)/MAX(Time!AJ31,1)*Inputs!$F$172</f>
        <v>1.43081259812251</v>
      </c>
      <c r="AK93" s="13" t="n">
        <f aca="false">(1-AK86)*(AK65+AK66+AK67+AK68+AK69+AK70+AK71)/MAX(Time!AK31,1)*Inputs!$F$172</f>
        <v>1.46393341000173</v>
      </c>
      <c r="AL93" s="13" t="n">
        <f aca="false">(1-AL86)*(AL65+AL66+AL67+AL68+AL69+AL70+AL71)/MAX(Time!AL31,1)*Inputs!$F$172</f>
        <v>1.45761711879529</v>
      </c>
      <c r="AM93" s="13" t="n">
        <f aca="false">(1-AM86)*(AM65+AM66+AM67+AM68+AM69+AM70+AM71)/MAX(Time!AM31,1)*Inputs!$F$172</f>
        <v>1.48644507177081</v>
      </c>
      <c r="AN93" s="13" t="n">
        <f aca="false">(1-AN86)*(AN65+AN66+AN67+AN68+AN69+AN70+AN71)/MAX(Time!AN31,1)*Inputs!$F$172</f>
        <v>1.48208133000961</v>
      </c>
      <c r="AO93" s="13" t="n">
        <f aca="false">(1-AO86)*(AO65+AO66+AO67+AO68+AO69+AO70+AO71)/MAX(Time!AO31,1)*Inputs!$F$172</f>
        <v>1.53236025090735</v>
      </c>
      <c r="AP93" s="13" t="n">
        <f aca="false">(1-AP86)*(AP65+AP66+AP67+AP68+AP69+AP70+AP71)/MAX(Time!AP31,1)*Inputs!$F$172</f>
        <v>1.52114713676899</v>
      </c>
      <c r="AQ93" s="13" t="n">
        <f aca="false">(1-AQ86)*(AQ65+AQ66+AQ67+AQ68+AQ69+AQ70+AQ71)/MAX(Time!AQ31,1)*Inputs!$F$172</f>
        <v>1.5589882266923</v>
      </c>
      <c r="AR93" s="13" t="n">
        <f aca="false">(1-AR86)*(AR65+AR66+AR67+AR68+AR69+AR70+AR71)/MAX(Time!AR31,1)*Inputs!$F$172</f>
        <v>1.55058592622888</v>
      </c>
      <c r="AS93" s="13" t="n">
        <f aca="false">(1-AS86)*(AS65+AS66+AS67+AS68+AS69+AS70+AS71)/MAX(Time!AS31,1)*Inputs!$F$172</f>
        <v>1.5865549349776</v>
      </c>
      <c r="AT93" s="13" t="n">
        <f aca="false">(1-AT86)*(AT65+AT66+AT67+AT68+AT69+AT70+AT71)/MAX(Time!AT31,1)*Inputs!$F$172</f>
        <v>1.57655668850388</v>
      </c>
      <c r="AU93" s="13" t="n">
        <f aca="false">(1-AU86)*(AU65+AU66+AU67+AU68+AU69+AU70+AU71)/MAX(Time!AU31,1)*Inputs!$F$172</f>
        <v>1.60026210211059</v>
      </c>
      <c r="AV93" s="13" t="n">
        <f aca="false">(1-AV86)*(AV65+AV66+AV67+AV68+AV69+AV70+AV71)/MAX(Time!AV31,1)*Inputs!$F$172</f>
        <v>1.59986099213649</v>
      </c>
      <c r="AW93" s="13" t="n">
        <f aca="false">(1-AW86)*(AW65+AW66+AW67+AW68+AW69+AW70+AW71)/MAX(Time!AW31,1)*Inputs!$F$172</f>
        <v>1.66101580075362</v>
      </c>
      <c r="AX93" s="13" t="n">
        <f aca="false">(1-AX86)*(AX65+AX66+AX67+AX68+AX69+AX70+AX71)/MAX(Time!AX31,1)*Inputs!$F$172</f>
        <v>1.64893414181716</v>
      </c>
      <c r="AY93" s="13" t="n">
        <f aca="false">(1-AY86)*(AY65+AY66+AY67+AY68+AY69+AY70+AY71)/MAX(Time!AY31,1)*Inputs!$F$172</f>
        <v>1.69002798031672</v>
      </c>
      <c r="AZ93" s="13" t="n">
        <f aca="false">(1-AZ86)*(AZ65+AZ66+AZ67+AZ68+AZ69+AZ70+AZ71)/MAX(Time!AZ31,1)*Inputs!$F$172</f>
        <v>1.68099318643248</v>
      </c>
      <c r="BA93" s="13" t="n">
        <f aca="false">(1-BA86)*(BA65+BA66+BA67+BA68+BA69+BA70+BA71)/MAX(Time!BA31,1)*Inputs!$F$172</f>
        <v>1.7200620095178</v>
      </c>
      <c r="BB93" s="13" t="n">
        <f aca="false">(1-BB86)*(BB65+BB66+BB67+BB68+BB69+BB70+BB71)/MAX(Time!BB31,1)*Inputs!$F$172</f>
        <v>1.71279005614975</v>
      </c>
      <c r="BC93" s="13" t="n">
        <f aca="false">(1-BC86)*(BC65+BC66+BC67+BC68+BC69+BC70+BC71)/MAX(Time!BC31,1)*Inputs!$F$172</f>
        <v>1.7468143246314</v>
      </c>
      <c r="BD93" s="13" t="n">
        <f aca="false">(1-BD86)*(BD65+BD66+BD67+BD68+BD69+BD70+BD71)/MAX(Time!BD31,1)*Inputs!$F$172</f>
        <v>1.74184175574147</v>
      </c>
      <c r="BE93" s="13" t="n">
        <f aca="false">(1-BE86)*(BE65+BE66+BE67+BE68+BE69+BE70+BE71)/MAX(Time!BE31,1)*Inputs!$F$172</f>
        <v>1.80109228327155</v>
      </c>
      <c r="BF93" s="13" t="n">
        <f aca="false">(1-BF86)*(BF65+BF66+BF67+BF68+BF69+BF70+BF71)/MAX(Time!BF31,1)*Inputs!$F$172</f>
        <v>1.78806552958507</v>
      </c>
      <c r="BG93" s="13" t="n">
        <f aca="false">(1-BG86)*(BG65+BG66+BG67+BG68+BG69+BG70+BG71)/MAX(Time!BG31,1)*Inputs!$F$172</f>
        <v>1.83270208949904</v>
      </c>
      <c r="BH93" s="13" t="n">
        <f aca="false">(1-BH86)*(BH65+BH66+BH67+BH68+BH69+BH70+BH71)/MAX(Time!BH31,1)*Inputs!$F$172</f>
        <v>1.82297793933527</v>
      </c>
      <c r="BI93" s="13" t="n">
        <f aca="false">(1-BI86)*(BI65+BI66+BI67+BI68+BI69+BI70+BI71)/MAX(Time!BI31,1)*Inputs!$F$172</f>
        <v>1.86542040348184</v>
      </c>
      <c r="BJ93" s="13" t="n">
        <f aca="false">(1-BJ86)*(BJ65+BJ66+BJ67+BJ68+BJ69+BJ70+BJ71)/MAX(Time!BJ31,1)*Inputs!$F$172</f>
        <v>1.85382004671252</v>
      </c>
      <c r="BK93" s="13" t="n">
        <f aca="false">(1-BK86)*(BK65+BK66+BK67+BK68+BK69+BK70+BK71)/MAX(Time!BK31,1)*Inputs!$F$172</f>
        <v>1.88194496848769</v>
      </c>
      <c r="BL93" s="13" t="n">
        <f aca="false">(1-BL86)*(BL65+BL66+BL67+BL68+BL69+BL70+BL71)/MAX(Time!BL31,1)*Inputs!$F$172</f>
        <v>1.88153453925744</v>
      </c>
      <c r="BM93" s="13" t="n">
        <f aca="false">(1-BM86)*(BM65+BM66+BM67+BM68+BM69+BM70+BM71)/MAX(Time!BM31,1)*Inputs!$F$172</f>
        <v>1.95360294172753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15.0558470459528</v>
      </c>
      <c r="Q95" s="13" t="n">
        <f aca="false">Q88+Q89-Q90-Q91-Q92-Q93-Q94</f>
        <v>15.2717212070512</v>
      </c>
      <c r="R95" s="13" t="n">
        <f aca="false">R88+R89-R90-R91-R92-R93-R94</f>
        <v>15.0786746023541</v>
      </c>
      <c r="S95" s="13" t="n">
        <f aca="false">S88+S89-S90-S91-S92-S93-S94</f>
        <v>15.3720570674794</v>
      </c>
      <c r="T95" s="13" t="n">
        <f aca="false">T88+T89-T90-T91-T92-T93-T94</f>
        <v>15.1791855559765</v>
      </c>
      <c r="U95" s="13" t="n">
        <f aca="false">U88+U89-U90-U91-U92-U93-U94</f>
        <v>15.3967702214758</v>
      </c>
      <c r="V95" s="13" t="n">
        <f aca="false">V88+V89-V90-V91-V92-V93-V94</f>
        <v>15.2815511726484</v>
      </c>
      <c r="W95" s="13" t="n">
        <f aca="false">W88+W89-W90-W91-W92-W93-W94</f>
        <v>15.5785877231396</v>
      </c>
      <c r="X95" s="13" t="n">
        <f aca="false">X88+X89-X90-X91-X92-X93-X94</f>
        <v>15.3854423774152</v>
      </c>
      <c r="Y95" s="13" t="n">
        <f aca="false">Y88+Y89-Y90-Y91-Y92-Y93-Y94</f>
        <v>15.6892380630745</v>
      </c>
      <c r="Z95" s="13" t="n">
        <f aca="false">Z88+Z89-Z90-Z91-Z92-Z93-Z94</f>
        <v>15.4940505724447</v>
      </c>
      <c r="AA95" s="13" t="n">
        <f aca="false">AA88+AA89-AA90-AA91-AA92-AA93-AA94</f>
        <v>15.7980260748429</v>
      </c>
      <c r="AB95" s="13" t="n">
        <f aca="false">AB88+AB89-AB90-AB91-AB92-AB93-AB94</f>
        <v>15.602817735743</v>
      </c>
      <c r="AC95" s="13" t="n">
        <f aca="false">AC88+AC89-AC90-AC91-AC92-AC93-AC94</f>
        <v>15.8288265227014</v>
      </c>
      <c r="AD95" s="13" t="n">
        <f aca="false">AD88+AD89-AD90-AD91-AD92-AD93-AD94</f>
        <v>15.7132012349477</v>
      </c>
      <c r="AE95" s="13" t="n">
        <f aca="false">AE88+AE89-AE90-AE91-AE92-AE93-AE94</f>
        <v>15.7856183981126</v>
      </c>
      <c r="AF95" s="13" t="n">
        <f aca="false">AF88+AF89-AF90-AF91-AF92-AF93-AF94</f>
        <v>15.8255604278208</v>
      </c>
      <c r="AG95" s="13" t="n">
        <f aca="false">AG88+AG89-AG90-AG91-AG92-AG93-AG94</f>
        <v>16.1406158464022</v>
      </c>
      <c r="AH95" s="13" t="n">
        <f aca="false">AH88+AH89-AH90-AH91-AH92-AH93-AH94</f>
        <v>15.9431323336356</v>
      </c>
      <c r="AI95" s="13" t="n">
        <f aca="false">AI88+AI89-AI90-AI91-AI92-AI93-AI94</f>
        <v>16.2585811389265</v>
      </c>
      <c r="AJ95" s="13" t="n">
        <f aca="false">AJ88+AJ89-AJ90-AJ91-AJ92-AJ93-AJ94</f>
        <v>16.0608480515959</v>
      </c>
      <c r="AK95" s="13" t="n">
        <f aca="false">AK88+AK89-AK90-AK91-AK92-AK93-AK94</f>
        <v>16.2959448913484</v>
      </c>
      <c r="AL95" s="13" t="n">
        <f aca="false">AL88+AL89-AL90-AL91-AL92-AL93-AL94</f>
        <v>16.1808767559133</v>
      </c>
      <c r="AM95" s="13" t="n">
        <f aca="false">AM88+AM89-AM90-AM91-AM92-AM93-AM94</f>
        <v>16.5018627056425</v>
      </c>
      <c r="AN95" s="13" t="n">
        <f aca="false">AN88+AN89-AN90-AN91-AN92-AN93-AN94</f>
        <v>16.3031834556342</v>
      </c>
      <c r="AO95" s="13" t="n">
        <f aca="false">AO88+AO89-AO90-AO91-AO92-AO93-AO94</f>
        <v>16.6286602277412</v>
      </c>
      <c r="AP95" s="13" t="n">
        <f aca="false">AP88+AP89-AP90-AP91-AP92-AP93-AP94</f>
        <v>16.4287140544597</v>
      </c>
      <c r="AQ95" s="13" t="n">
        <f aca="false">AQ88+AQ89-AQ90-AQ91-AQ92-AQ93-AQ94</f>
        <v>16.7565910377998</v>
      </c>
      <c r="AR95" s="13" t="n">
        <f aca="false">AR88+AR89-AR90-AR91-AR92-AR93-AR94</f>
        <v>16.5561297403509</v>
      </c>
      <c r="AS95" s="13" t="n">
        <f aca="false">AS88+AS89-AS90-AS91-AS92-AS93-AS94</f>
        <v>16.8010321614236</v>
      </c>
      <c r="AT95" s="13" t="n">
        <f aca="false">AT88+AT89-AT90-AT91-AT92-AT93-AT94</f>
        <v>16.6861209989777</v>
      </c>
      <c r="AU95" s="13" t="n">
        <f aca="false">AU88+AU89-AU90-AU91-AU92-AU93-AU94</f>
        <v>16.7684018235705</v>
      </c>
      <c r="AV95" s="13" t="n">
        <f aca="false">AV88+AV89-AV90-AV91-AV92-AV93-AV94</f>
        <v>16.8189771807793</v>
      </c>
      <c r="AW95" s="13" t="n">
        <f aca="false">AW88+AW89-AW90-AW91-AW92-AW93-AW94</f>
        <v>17.1564136834931</v>
      </c>
      <c r="AX95" s="13" t="n">
        <f aca="false">AX88+AX89-AX90-AX91-AX92-AX93-AX94</f>
        <v>16.953825830438</v>
      </c>
      <c r="AY95" s="13" t="n">
        <f aca="false">AY88+AY89-AY90-AY91-AY92-AY93-AY94</f>
        <v>17.2951669073749</v>
      </c>
      <c r="AZ95" s="13" t="n">
        <f aca="false">AZ88+AZ89-AZ90-AZ91-AZ92-AZ93-AZ94</f>
        <v>17.0917570756227</v>
      </c>
      <c r="BA95" s="13" t="n">
        <f aca="false">BA88+BA89-BA90-BA91-BA92-BA93-BA94</f>
        <v>17.347240629559</v>
      </c>
      <c r="BB95" s="13" t="n">
        <f aca="false">BB88+BB89-BB90-BB91-BB92-BB93-BB94</f>
        <v>17.2325624651382</v>
      </c>
      <c r="BC95" s="13" t="n">
        <f aca="false">BC88+BC89-BC90-BC91-BC92-BC93-BC94</f>
        <v>17.5818560102746</v>
      </c>
      <c r="BD95" s="13" t="n">
        <f aca="false">BD88+BD89-BD90-BD91-BD92-BD93-BD94</f>
        <v>17.3766090918213</v>
      </c>
      <c r="BE95" s="13" t="n">
        <f aca="false">BE88+BE89-BE90-BE91-BE92-BE93-BE94</f>
        <v>17.7271757900089</v>
      </c>
      <c r="BF95" s="13" t="n">
        <f aca="false">BF88+BF89-BF90-BF91-BF92-BF93-BF94</f>
        <v>17.5217539087976</v>
      </c>
      <c r="BG95" s="13" t="n">
        <f aca="false">BG88+BG89-BG90-BG91-BG92-BG93-BG94</f>
        <v>17.8776830280644</v>
      </c>
      <c r="BH95" s="13" t="n">
        <f aca="false">BH88+BH89-BH90-BH91-BH92-BH93-BH94</f>
        <v>17.6710860393552</v>
      </c>
      <c r="BI95" s="13" t="n">
        <f aca="false">BI88+BI89-BI90-BI91-BI92-BI93-BI94</f>
        <v>17.9379890994758</v>
      </c>
      <c r="BJ95" s="13" t="n">
        <f aca="false">BJ88+BJ89-BJ90-BJ91-BJ92-BJ93-BJ94</f>
        <v>17.8242308350501</v>
      </c>
      <c r="BK95" s="13" t="n">
        <f aca="false">BK88+BK89-BK90-BK91-BK92-BK93-BK94</f>
        <v>17.9182075475277</v>
      </c>
      <c r="BL95" s="13" t="n">
        <f aca="false">BL88+BL89-BL90-BL91-BL92-BL93-BL94</f>
        <v>17.981374133856</v>
      </c>
      <c r="BM95" s="13" t="n">
        <f aca="false">BM88+BM89-BM90-BM91-BM92-BM93-BM94</f>
        <v>18.3445252782858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15.0558470459528</v>
      </c>
      <c r="Q96" s="13" t="n">
        <f aca="false">Q95-P95</f>
        <v>0.215874161098427</v>
      </c>
      <c r="R96" s="13" t="n">
        <f aca="false">R95-Q95</f>
        <v>-0.193046604697125</v>
      </c>
      <c r="S96" s="13" t="n">
        <f aca="false">S95-R95</f>
        <v>0.293382465125317</v>
      </c>
      <c r="T96" s="13" t="n">
        <f aca="false">T95-S95</f>
        <v>-0.192871511502885</v>
      </c>
      <c r="U96" s="13" t="n">
        <f aca="false">U95-T95</f>
        <v>0.217584665499288</v>
      </c>
      <c r="V96" s="13" t="n">
        <f aca="false">V95-U95</f>
        <v>-0.115219048827461</v>
      </c>
      <c r="W96" s="13" t="n">
        <f aca="false">W95-V95</f>
        <v>0.297036550491288</v>
      </c>
      <c r="X96" s="13" t="n">
        <f aca="false">X95-W95</f>
        <v>-0.193145345724462</v>
      </c>
      <c r="Y96" s="13" t="n">
        <f aca="false">Y95-X95</f>
        <v>0.303795685659312</v>
      </c>
      <c r="Z96" s="13" t="n">
        <f aca="false">Z95-Y95</f>
        <v>-0.195187490629834</v>
      </c>
      <c r="AA96" s="13" t="n">
        <f aca="false">AA95-Z95</f>
        <v>0.303975502398245</v>
      </c>
      <c r="AB96" s="13" t="n">
        <f aca="false">AB95-AA95</f>
        <v>-0.195208339099855</v>
      </c>
      <c r="AC96" s="13" t="n">
        <f aca="false">AC95-AB95</f>
        <v>0.226008786958307</v>
      </c>
      <c r="AD96" s="13" t="n">
        <f aca="false">AD95-AC95</f>
        <v>-0.1156252877537</v>
      </c>
      <c r="AE96" s="13" t="n">
        <f aca="false">AE95-AD95</f>
        <v>0.0724171631649284</v>
      </c>
      <c r="AF96" s="13" t="n">
        <f aca="false">AF95-AE95</f>
        <v>0.0399420297082536</v>
      </c>
      <c r="AG96" s="13" t="n">
        <f aca="false">AG95-AF95</f>
        <v>0.315055418581323</v>
      </c>
      <c r="AH96" s="13" t="n">
        <f aca="false">AH95-AG95</f>
        <v>-0.197483512766553</v>
      </c>
      <c r="AI96" s="13" t="n">
        <f aca="false">AI95-AH95</f>
        <v>0.315448805290849</v>
      </c>
      <c r="AJ96" s="13" t="n">
        <f aca="false">AJ95-AI95</f>
        <v>-0.197733087330512</v>
      </c>
      <c r="AK96" s="13" t="n">
        <f aca="false">AK95-AJ95</f>
        <v>0.235096839752455</v>
      </c>
      <c r="AL96" s="13" t="n">
        <f aca="false">AL95-AK95</f>
        <v>-0.115068135435106</v>
      </c>
      <c r="AM96" s="13" t="n">
        <f aca="false">AM95-AL95</f>
        <v>0.320985949729216</v>
      </c>
      <c r="AN96" s="13" t="n">
        <f aca="false">AN95-AM95</f>
        <v>-0.198679250008347</v>
      </c>
      <c r="AO96" s="13" t="n">
        <f aca="false">AO95-AN95</f>
        <v>0.325476772107031</v>
      </c>
      <c r="AP96" s="13" t="n">
        <f aca="false">AP95-AO95</f>
        <v>-0.199946173281493</v>
      </c>
      <c r="AQ96" s="13" t="n">
        <f aca="false">AQ95-AP95</f>
        <v>0.327876983340101</v>
      </c>
      <c r="AR96" s="13" t="n">
        <f aca="false">AR95-AQ95</f>
        <v>-0.200461297448854</v>
      </c>
      <c r="AS96" s="13" t="n">
        <f aca="false">AS95-AR95</f>
        <v>0.244902421072624</v>
      </c>
      <c r="AT96" s="13" t="n">
        <f aca="false">AT95-AS95</f>
        <v>-0.114911162445825</v>
      </c>
      <c r="AU96" s="13" t="n">
        <f aca="false">AU95-AT95</f>
        <v>0.0822808245927966</v>
      </c>
      <c r="AV96" s="13" t="n">
        <f aca="false">AV95-AU95</f>
        <v>0.0505753572087642</v>
      </c>
      <c r="AW96" s="13" t="n">
        <f aca="false">AW95-AV95</f>
        <v>0.337436502713789</v>
      </c>
      <c r="AX96" s="13" t="n">
        <f aca="false">AX95-AW95</f>
        <v>-0.2025878530551</v>
      </c>
      <c r="AY96" s="13" t="n">
        <f aca="false">AY95-AX95</f>
        <v>0.341341076936917</v>
      </c>
      <c r="AZ96" s="13" t="n">
        <f aca="false">AZ95-AY95</f>
        <v>-0.203409831752175</v>
      </c>
      <c r="BA96" s="13" t="n">
        <f aca="false">BA95-AZ95</f>
        <v>0.255483553936251</v>
      </c>
      <c r="BB96" s="13" t="n">
        <f aca="false">BB95-BA95</f>
        <v>-0.114678164420837</v>
      </c>
      <c r="BC96" s="13" t="n">
        <f aca="false">BC95-BB95</f>
        <v>0.34929354513644</v>
      </c>
      <c r="BD96" s="13" t="n">
        <f aca="false">BD95-BC95</f>
        <v>-0.205246918453305</v>
      </c>
      <c r="BE96" s="13" t="n">
        <f aca="false">BE95-BD95</f>
        <v>0.350566698187595</v>
      </c>
      <c r="BF96" s="13" t="n">
        <f aca="false">BF95-BE95</f>
        <v>-0.205421881211247</v>
      </c>
      <c r="BG96" s="13" t="n">
        <f aca="false">BG95-BF95</f>
        <v>0.355929119266726</v>
      </c>
      <c r="BH96" s="13" t="n">
        <f aca="false">BH95-BG95</f>
        <v>-0.206596988709137</v>
      </c>
      <c r="BI96" s="13" t="n">
        <f aca="false">BI95-BH95</f>
        <v>0.266903060120537</v>
      </c>
      <c r="BJ96" s="13" t="n">
        <f aca="false">BJ95-BI95</f>
        <v>-0.113758264425687</v>
      </c>
      <c r="BK96" s="13" t="n">
        <f aca="false">BK95-BJ95</f>
        <v>0.0939767124776516</v>
      </c>
      <c r="BL96" s="13" t="n">
        <f aca="false">BL95-BK95</f>
        <v>0.063166586328304</v>
      </c>
      <c r="BM96" s="13" t="n">
        <f aca="false">BM95-BL95</f>
        <v>0.363151144429725</v>
      </c>
      <c r="BN96" s="13" t="n">
        <f aca="false">BN95-BM95</f>
        <v>-18.3445252782858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-3.76373641796759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0.04813688569633</v>
      </c>
      <c r="Q98" s="13" t="n">
        <f aca="false">Q51-Q73</f>
        <v>0.142028748688844</v>
      </c>
      <c r="R98" s="13" t="n">
        <f aca="false">R51-R73</f>
        <v>0.133704318025423</v>
      </c>
      <c r="S98" s="13" t="n">
        <f aca="false">S51-S73</f>
        <v>0.127538997050223</v>
      </c>
      <c r="T98" s="13" t="n">
        <f aca="false">T51-T73</f>
        <v>0.119972742447899</v>
      </c>
      <c r="U98" s="13" t="n">
        <f aca="false">U51-U73</f>
        <v>0.114982108825927</v>
      </c>
      <c r="V98" s="13" t="n">
        <f aca="false">V51-V73</f>
        <v>0.105601703217786</v>
      </c>
      <c r="W98" s="13" t="n">
        <f aca="false">W51-W73</f>
        <v>0.0972028826230229</v>
      </c>
      <c r="X98" s="13" t="n">
        <f aca="false">X51-X73</f>
        <v>0.090231949645343</v>
      </c>
      <c r="Y98" s="13" t="n">
        <f aca="false">Y51-Y73</f>
        <v>0.0857209069253884</v>
      </c>
      <c r="Z98" s="13" t="n">
        <f aca="false">Z51-Z73</f>
        <v>0.077028795327621</v>
      </c>
      <c r="AA98" s="13" t="n">
        <f aca="false">AA51-AA73</f>
        <v>0.0695467652322463</v>
      </c>
      <c r="AB98" s="13" t="n">
        <f aca="false">AB51-AB73</f>
        <v>0.0612382596646768</v>
      </c>
      <c r="AC98" s="13" t="n">
        <f aca="false">AC51-AC73</f>
        <v>0.0541185366705292</v>
      </c>
      <c r="AD98" s="13" t="n">
        <f aca="false">AD51-AD73</f>
        <v>0.0445625568965653</v>
      </c>
      <c r="AE98" s="13" t="n">
        <f aca="false">AE51-AE73</f>
        <v>0.0353647640301062</v>
      </c>
      <c r="AF98" s="13" t="n">
        <f aca="false">AF51-AF73</f>
        <v>0.0274832499905529</v>
      </c>
      <c r="AG98" s="13" t="n">
        <f aca="false">AG51-AG73</f>
        <v>0.0200421071824053</v>
      </c>
      <c r="AH98" s="13" t="n">
        <f aca="false">AH51-AH73</f>
        <v>0.0109754563655429</v>
      </c>
      <c r="AI98" s="13" t="n">
        <f aca="false">AI51-AI73</f>
        <v>0.00201329831625685</v>
      </c>
      <c r="AJ98" s="13" t="n">
        <f aca="false">AJ51-AJ73</f>
        <v>-0.00710555380713629</v>
      </c>
      <c r="AK98" s="13" t="n">
        <f aca="false">AK51-AK73</f>
        <v>-0.0166478447707163</v>
      </c>
      <c r="AL98" s="13" t="n">
        <f aca="false">AL51-AL73</f>
        <v>-0.0256915865349043</v>
      </c>
      <c r="AM98" s="13" t="n">
        <f aca="false">AM51-AM73</f>
        <v>-0.0347895738635344</v>
      </c>
      <c r="AN98" s="13" t="n">
        <f aca="false">AN51-AN73</f>
        <v>-0.0444801224216747</v>
      </c>
      <c r="AO98" s="13" t="n">
        <f aca="false">AO51-AO73</f>
        <v>-0.0560976550196131</v>
      </c>
      <c r="AP98" s="13" t="n">
        <f aca="false">AP51-AP73</f>
        <v>-0.0655445669033554</v>
      </c>
      <c r="AQ98" s="13" t="n">
        <f aca="false">AQ51-AQ73</f>
        <v>-0.0761672966768714</v>
      </c>
      <c r="AR98" s="13" t="n">
        <f aca="false">AR51-AR73</f>
        <v>-0.0861705379228113</v>
      </c>
      <c r="AS98" s="13" t="n">
        <f aca="false">AS51-AS73</f>
        <v>-0.0984608452120455</v>
      </c>
      <c r="AT98" s="13" t="n">
        <f aca="false">AT51-AT73</f>
        <v>-0.106481016184247</v>
      </c>
      <c r="AU98" s="13" t="n">
        <f aca="false">AU51-AU73</f>
        <v>-0.114217777980429</v>
      </c>
      <c r="AV98" s="13" t="n">
        <f aca="false">AV51-AV73</f>
        <v>-0.126192634539024</v>
      </c>
      <c r="AW98" s="13" t="n">
        <f aca="false">AW51-AW73</f>
        <v>-0.14389844953682</v>
      </c>
      <c r="AX98" s="13" t="n">
        <f aca="false">AX51-AX73</f>
        <v>-0.153729993003424</v>
      </c>
      <c r="AY98" s="13" t="n">
        <f aca="false">AY51-AY73</f>
        <v>-0.166212379622721</v>
      </c>
      <c r="AZ98" s="13" t="n">
        <f aca="false">AZ51-AZ73</f>
        <v>-0.177180497817389</v>
      </c>
      <c r="BA98" s="13" t="n">
        <f aca="false">BA51-BA73</f>
        <v>-0.192579355511455</v>
      </c>
      <c r="BB98" s="13" t="n">
        <f aca="false">BB51-BB73</f>
        <v>-0.200943082710793</v>
      </c>
      <c r="BC98" s="13" t="n">
        <f aca="false">BC51-BC73</f>
        <v>-0.210747440319025</v>
      </c>
      <c r="BD98" s="13" t="n">
        <f aca="false">BD51-BD73</f>
        <v>-0.223836270371649</v>
      </c>
      <c r="BE98" s="13" t="n">
        <f aca="false">BE51-BE73</f>
        <v>-0.24468065941069</v>
      </c>
      <c r="BF98" s="13" t="n">
        <f aca="false">BF51-BF73</f>
        <v>-0.254899612615105</v>
      </c>
      <c r="BG98" s="13" t="n">
        <f aca="false">BG51-BG73</f>
        <v>-0.269461143180664</v>
      </c>
      <c r="BH98" s="13" t="n">
        <f aca="false">BH51-BH73</f>
        <v>-0.281481609828901</v>
      </c>
      <c r="BI98" s="13" t="n">
        <f aca="false">BI51-BI73</f>
        <v>-0.300388036938358</v>
      </c>
      <c r="BJ98" s="13" t="n">
        <f aca="false">BJ51-BJ73</f>
        <v>-0.306147458957526</v>
      </c>
      <c r="BK98" s="13" t="n">
        <f aca="false">BK51-BK73</f>
        <v>-0.311730823931072</v>
      </c>
      <c r="BL98" s="13" t="n">
        <f aca="false">BL51-BL73</f>
        <v>-0.32888650448524</v>
      </c>
      <c r="BM98" s="13" t="n">
        <f aca="false">BM51-BM73</f>
        <v>-0.359896129766753</v>
      </c>
      <c r="BN98" s="13" t="n">
        <f aca="false">BN51-BN73</f>
        <v>-0.246484990946328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2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4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2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4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2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4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876.20790980423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7.88587118823807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23.6576135647142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23.6576135647142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23.6576135647142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23.6576135647142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23.6576135647142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23.6576135647142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23.6576135647142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23.6576135647142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23.6576135647142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22.78140565491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21.0289898353015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21.0289898353015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21.0289898353015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21.0289898353015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21.0289898353015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21.0289898353015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21.0289898353015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21.0289898353015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21.0289898353015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21.0289898353015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21.0289898353015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21.0289898353015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21.0289898353015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21.0289898353015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21.0289898353015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21.0289898353015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21.0289898353015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21.0289898353015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21.0289898353015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21.0289898353015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21.0289898353015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21.0289898353015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21.0289898353015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21.0289898353015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21.0289898353015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21.0289898353015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21.0289898353015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21.0289898353015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21.0289898353015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14.3113958601358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0.87620790980423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0.87620790980423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0.87620790980423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0.87620790980423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0.87620790980423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0.87620790980423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0.87620790980423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0.87620790980423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0.87620790980423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0.584138606536154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236.576135647142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7.88587118823807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23.6576135647142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23.6576135647142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23.6576135647142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23.6576135647142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23.6576135647142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23.6576135647142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23.6576135647142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23.6576135647142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23.6576135647142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15.7717423764761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639.631774157088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7.00966327843384</v>
      </c>
      <c r="AA12" s="13" t="n">
        <f aca="false">AA10-AA11</f>
        <v>21.0289898353015</v>
      </c>
      <c r="AB12" s="13" t="n">
        <f aca="false">AB10-AB11</f>
        <v>21.0289898353015</v>
      </c>
      <c r="AC12" s="13" t="n">
        <f aca="false">AC10-AC11</f>
        <v>21.0289898353015</v>
      </c>
      <c r="AD12" s="13" t="n">
        <f aca="false">AD10-AD11</f>
        <v>21.0289898353015</v>
      </c>
      <c r="AE12" s="13" t="n">
        <f aca="false">AE10-AE11</f>
        <v>21.0289898353015</v>
      </c>
      <c r="AF12" s="13" t="n">
        <f aca="false">AF10-AF11</f>
        <v>21.0289898353015</v>
      </c>
      <c r="AG12" s="13" t="n">
        <f aca="false">AG10-AG11</f>
        <v>21.0289898353015</v>
      </c>
      <c r="AH12" s="13" t="n">
        <f aca="false">AH10-AH11</f>
        <v>21.0289898353015</v>
      </c>
      <c r="AI12" s="13" t="n">
        <f aca="false">AI10-AI11</f>
        <v>21.0289898353015</v>
      </c>
      <c r="AJ12" s="13" t="n">
        <f aca="false">AJ10-AJ11</f>
        <v>21.0289898353015</v>
      </c>
      <c r="AK12" s="13" t="n">
        <f aca="false">AK10-AK11</f>
        <v>21.0289898353015</v>
      </c>
      <c r="AL12" s="13" t="n">
        <f aca="false">AL10-AL11</f>
        <v>21.0289898353015</v>
      </c>
      <c r="AM12" s="13" t="n">
        <f aca="false">AM10-AM11</f>
        <v>21.0289898353015</v>
      </c>
      <c r="AN12" s="13" t="n">
        <f aca="false">AN10-AN11</f>
        <v>21.0289898353015</v>
      </c>
      <c r="AO12" s="13" t="n">
        <f aca="false">AO10-AO11</f>
        <v>21.0289898353015</v>
      </c>
      <c r="AP12" s="13" t="n">
        <f aca="false">AP10-AP11</f>
        <v>21.0289898353015</v>
      </c>
      <c r="AQ12" s="13" t="n">
        <f aca="false">AQ10-AQ11</f>
        <v>21.0289898353015</v>
      </c>
      <c r="AR12" s="13" t="n">
        <f aca="false">AR10-AR11</f>
        <v>21.0289898353015</v>
      </c>
      <c r="AS12" s="13" t="n">
        <f aca="false">AS10-AS11</f>
        <v>21.0289898353015</v>
      </c>
      <c r="AT12" s="13" t="n">
        <f aca="false">AT10-AT11</f>
        <v>21.0289898353015</v>
      </c>
      <c r="AU12" s="13" t="n">
        <f aca="false">AU10-AU11</f>
        <v>21.0289898353015</v>
      </c>
      <c r="AV12" s="13" t="n">
        <f aca="false">AV10-AV11</f>
        <v>21.0289898353015</v>
      </c>
      <c r="AW12" s="13" t="n">
        <f aca="false">AW10-AW11</f>
        <v>21.0289898353015</v>
      </c>
      <c r="AX12" s="13" t="n">
        <f aca="false">AX10-AX11</f>
        <v>21.0289898353015</v>
      </c>
      <c r="AY12" s="13" t="n">
        <f aca="false">AY10-AY11</f>
        <v>21.0289898353015</v>
      </c>
      <c r="AZ12" s="13" t="n">
        <f aca="false">AZ10-AZ11</f>
        <v>21.0289898353015</v>
      </c>
      <c r="BA12" s="13" t="n">
        <f aca="false">BA10-BA11</f>
        <v>21.0289898353015</v>
      </c>
      <c r="BB12" s="13" t="n">
        <f aca="false">BB10-BB11</f>
        <v>21.0289898353015</v>
      </c>
      <c r="BC12" s="13" t="n">
        <f aca="false">BC10-BC11</f>
        <v>21.0289898353015</v>
      </c>
      <c r="BD12" s="13" t="n">
        <f aca="false">BD10-BD11</f>
        <v>14.3113958601358</v>
      </c>
      <c r="BE12" s="13" t="n">
        <f aca="false">BE10-BE11</f>
        <v>0.87620790980423</v>
      </c>
      <c r="BF12" s="13" t="n">
        <f aca="false">BF10-BF11</f>
        <v>0.87620790980423</v>
      </c>
      <c r="BG12" s="13" t="n">
        <f aca="false">BG10-BG11</f>
        <v>0.87620790980423</v>
      </c>
      <c r="BH12" s="13" t="n">
        <f aca="false">BH10-BH11</f>
        <v>0.87620790980423</v>
      </c>
      <c r="BI12" s="13" t="n">
        <f aca="false">BI10-BI11</f>
        <v>0.87620790980423</v>
      </c>
      <c r="BJ12" s="13" t="n">
        <f aca="false">BJ10-BJ11</f>
        <v>0.87620790980423</v>
      </c>
      <c r="BK12" s="13" t="n">
        <f aca="false">BK10-BK11</f>
        <v>0.87620790980423</v>
      </c>
      <c r="BL12" s="13" t="n">
        <f aca="false">BL10-BL11</f>
        <v>0.87620790980423</v>
      </c>
      <c r="BM12" s="13" t="n">
        <f aca="false">BM10-BM11</f>
        <v>0.87620790980423</v>
      </c>
      <c r="BN12" s="13" t="n">
        <f aca="false">BN10-BN11</f>
        <v>0.584138606536154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293.190254888027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3.49719603359901</v>
      </c>
      <c r="Q13" s="13" t="n">
        <f aca="false">IF(Time!Q20&gt;=Time!$F$12,Waterfall!Q33*Inputs!$F$104/100*Time!Q31/Inputs!$F$248,0)</f>
        <v>10.5416774037</v>
      </c>
      <c r="R13" s="13" t="n">
        <f aca="false">IF(Time!R20&gt;=Time!$F$12,Waterfall!R33*Inputs!$F$104/100*Time!R31/Inputs!$F$248,0)</f>
        <v>10.6497317019404</v>
      </c>
      <c r="S13" s="13" t="n">
        <f aca="false">IF(Time!S20&gt;=Time!$F$12,Waterfall!S33*Inputs!$F$104/100*Time!S31/Inputs!$F$248,0)</f>
        <v>10.4607244446259</v>
      </c>
      <c r="T13" s="13" t="n">
        <f aca="false">IF(Time!T20&gt;=Time!$F$12,Waterfall!T33*Inputs!$F$104/100*Time!T31/Inputs!$F$248,0)</f>
        <v>10.6468743979908</v>
      </c>
      <c r="U13" s="13" t="n">
        <f aca="false">IF(Time!U20&gt;=Time!$F$12,Waterfall!U33*Inputs!$F$104/100*Time!U31/Inputs!$F$248,0)</f>
        <v>10.5156514595307</v>
      </c>
      <c r="V13" s="13" t="n">
        <f aca="false">IF(Time!V20&gt;=Time!$F$12,Waterfall!V33*Inputs!$F$104/100*Time!V31/Inputs!$F$248,0)</f>
        <v>10.6614470747178</v>
      </c>
      <c r="W13" s="13" t="n">
        <f aca="false">IF(Time!W20&gt;=Time!$F$12,Waterfall!W33*Inputs!$F$104/100*Time!W31/Inputs!$F$248,0)</f>
        <v>10.4870533359449</v>
      </c>
      <c r="X13" s="13" t="n">
        <f aca="false">IF(Time!X20&gt;=Time!$F$12,Waterfall!X33*Inputs!$F$104/100*Time!X31/Inputs!$F$248,0)</f>
        <v>10.5853200306038</v>
      </c>
      <c r="Y13" s="13" t="n">
        <f aca="false">IF(Time!Y20&gt;=Time!$F$12,Waterfall!Y33*Inputs!$F$104/100*Time!Y31/Inputs!$F$248,0)</f>
        <v>10.2989243437108</v>
      </c>
      <c r="Z13" s="13" t="n">
        <f aca="false">IF(Time!Z20&gt;=Time!$F$12,Waterfall!Z33*Inputs!$F$104/100*Time!Z31/Inputs!$F$248,0)</f>
        <v>10.4747794759601</v>
      </c>
      <c r="AA13" s="13" t="n">
        <f aca="false">IF(Time!AA20&gt;=Time!$F$12,Waterfall!AA33*Inputs!$F$104/100*Time!AA31/Inputs!$F$248,0)</f>
        <v>10.2779625915715</v>
      </c>
      <c r="AB13" s="13" t="n">
        <f aca="false">IF(Time!AB20&gt;=Time!$F$12,Waterfall!AB33*Inputs!$F$104/100*Time!AB31/Inputs!$F$248,0)</f>
        <v>10.7014928493393</v>
      </c>
      <c r="AC13" s="13" t="n">
        <f aca="false">IF(Time!AC20&gt;=Time!$F$12,Waterfall!AC33*Inputs!$F$104/100*Time!AC31/Inputs!$F$248,0)</f>
        <v>10.8142346452162</v>
      </c>
      <c r="AD13" s="13" t="n">
        <f aca="false">IF(Time!AD20&gt;=Time!$F$12,Waterfall!AD33*Inputs!$F$104/100*Time!AD31/Inputs!$F$248,0)</f>
        <v>11.1954535185072</v>
      </c>
      <c r="AE13" s="13" t="n">
        <f aca="false">IF(Time!AE20&gt;=Time!$F$12,Waterfall!AE33*Inputs!$F$104/100*Time!AE31/Inputs!$F$248,0)</f>
        <v>11.262574930285</v>
      </c>
      <c r="AF13" s="13" t="n">
        <f aca="false">IF(Time!AF20&gt;=Time!$F$12,Waterfall!AF33*Inputs!$F$104/100*Time!AF31/Inputs!$F$248,0)</f>
        <v>11.6607566362546</v>
      </c>
      <c r="AG13" s="13" t="n">
        <f aca="false">IF(Time!AG20&gt;=Time!$F$12,Waterfall!AG33*Inputs!$F$104/100*Time!AG31/Inputs!$F$248,0)</f>
        <v>11.6408211024202</v>
      </c>
      <c r="AH13" s="13" t="n">
        <f aca="false">IF(Time!AH20&gt;=Time!$F$12,Waterfall!AH33*Inputs!$F$104/100*Time!AH31/Inputs!$F$248,0)</f>
        <v>12.0027361534297</v>
      </c>
      <c r="AI13" s="13" t="n">
        <f aca="false">IF(Time!AI20&gt;=Time!$F$12,Waterfall!AI33*Inputs!$F$104/100*Time!AI31/Inputs!$F$248,0)</f>
        <v>11.9340035756438</v>
      </c>
      <c r="AJ13" s="13" t="n">
        <f aca="false">IF(Time!AJ20&gt;=Time!$F$12,Waterfall!AJ33*Inputs!$F$104/100*Time!AJ31/Inputs!$F$248,0)</f>
        <v>12.225322382337</v>
      </c>
      <c r="AK13" s="13" t="n">
        <f aca="false">IF(Time!AK20&gt;=Time!$F$12,Waterfall!AK33*Inputs!$F$104/100*Time!AK31/Inputs!$F$248,0)</f>
        <v>12.1210756852319</v>
      </c>
      <c r="AL13" s="13" t="n">
        <f aca="false">IF(Time!AL20&gt;=Time!$F$12,Waterfall!AL33*Inputs!$F$104/100*Time!AL31/Inputs!$F$248,0)</f>
        <v>12.2109269691788</v>
      </c>
      <c r="AM13" s="13" t="n">
        <f aca="false">IF(Time!AM20&gt;=Time!$F$12,Waterfall!AM33*Inputs!$F$104/100*Time!AM31/Inputs!$F$248,0)</f>
        <v>11.2328949381092</v>
      </c>
      <c r="AN13" s="13" t="n">
        <f aca="false">IF(Time!AN20&gt;=Time!$F$12,Waterfall!AN33*Inputs!$F$104/100*Time!AN31/Inputs!$F$248,0)</f>
        <v>10.3114885778957</v>
      </c>
      <c r="AO13" s="13" t="n">
        <f aca="false">IF(Time!AO20&gt;=Time!$F$12,Waterfall!AO33*Inputs!$F$104/100*Time!AO31/Inputs!$F$248,0)</f>
        <v>9.01199639512383</v>
      </c>
      <c r="AP13" s="13" t="n">
        <f aca="false">IF(Time!AP20&gt;=Time!$F$12,Waterfall!AP33*Inputs!$F$104/100*Time!AP31/Inputs!$F$248,0)</f>
        <v>7.16684065561946</v>
      </c>
      <c r="AQ13" s="13" t="n">
        <f aca="false">IF(Time!AQ20&gt;=Time!$F$12,Waterfall!AQ33*Inputs!$F$104/100*Time!AQ31/Inputs!$F$248,0)</f>
        <v>4.96906686046581</v>
      </c>
      <c r="AR13" s="13" t="n">
        <f aca="false">IF(Time!AR20&gt;=Time!$F$12,Waterfall!AR33*Inputs!$F$104/100*Time!AR31/Inputs!$F$248,0)</f>
        <v>2.84766603745634</v>
      </c>
      <c r="AS13" s="13" t="n">
        <f aca="false">IF(Time!AS20&gt;=Time!$F$12,Waterfall!AS33*Inputs!$F$104/100*Time!AS31/Inputs!$F$248,0)</f>
        <v>0.783560681617482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0.635382110352615</v>
      </c>
      <c r="Q14" s="3" t="n">
        <f aca="false">IF(Waterfall!Q33&gt;0,MIN(1,Inputs!$F$183*(Waterfall!$F$32+MAX(0,Waterfall!P43))/Waterfall!Q33),1)</f>
        <v>0.750628641533817</v>
      </c>
      <c r="R14" s="3" t="n">
        <f aca="false">IF(Waterfall!R33&gt;0,MIN(1,Inputs!$F$183*(Waterfall!$F$32+MAX(0,Waterfall!Q43))/Waterfall!R33),1)</f>
        <v>0.832447762535004</v>
      </c>
      <c r="S14" s="3" t="n">
        <f aca="false">IF(Waterfall!S33&gt;0,MIN(1,Inputs!$F$183*(Waterfall!$F$32+MAX(0,Waterfall!R43))/Waterfall!S33),1)</f>
        <v>0.91593581403048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286.622563575749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2.22205579614494</v>
      </c>
      <c r="Q15" s="13" t="n">
        <f aca="false">Q13*Q14</f>
        <v>7.91288498902707</v>
      </c>
      <c r="R15" s="13" t="n">
        <f aca="false">R13*R14</f>
        <v>8.86534532687837</v>
      </c>
      <c r="S15" s="13" t="n">
        <f aca="false">S13*S14</f>
        <v>9.581352159537</v>
      </c>
      <c r="T15" s="13" t="n">
        <f aca="false">T13*T14</f>
        <v>10.6468743979908</v>
      </c>
      <c r="U15" s="13" t="n">
        <f aca="false">U13*U14</f>
        <v>10.5156514595307</v>
      </c>
      <c r="V15" s="13" t="n">
        <f aca="false">V13*V14</f>
        <v>10.6614470747178</v>
      </c>
      <c r="W15" s="13" t="n">
        <f aca="false">W13*W14</f>
        <v>10.4870533359449</v>
      </c>
      <c r="X15" s="13" t="n">
        <f aca="false">X13*X14</f>
        <v>10.5853200306038</v>
      </c>
      <c r="Y15" s="13" t="n">
        <f aca="false">Y13*Y14</f>
        <v>10.2989243437108</v>
      </c>
      <c r="Z15" s="13" t="n">
        <f aca="false">Z13*Z14</f>
        <v>10.4747794759601</v>
      </c>
      <c r="AA15" s="13" t="n">
        <f aca="false">AA13*AA14</f>
        <v>10.2779625915715</v>
      </c>
      <c r="AB15" s="13" t="n">
        <f aca="false">AB13*AB14</f>
        <v>10.7014928493393</v>
      </c>
      <c r="AC15" s="13" t="n">
        <f aca="false">AC13*AC14</f>
        <v>10.8142346452162</v>
      </c>
      <c r="AD15" s="13" t="n">
        <f aca="false">AD13*AD14</f>
        <v>11.1954535185072</v>
      </c>
      <c r="AE15" s="13" t="n">
        <f aca="false">AE13*AE14</f>
        <v>11.262574930285</v>
      </c>
      <c r="AF15" s="13" t="n">
        <f aca="false">AF13*AF14</f>
        <v>11.6607566362546</v>
      </c>
      <c r="AG15" s="13" t="n">
        <f aca="false">AG13*AG14</f>
        <v>11.6408211024202</v>
      </c>
      <c r="AH15" s="13" t="n">
        <f aca="false">AH13*AH14</f>
        <v>12.0027361534297</v>
      </c>
      <c r="AI15" s="13" t="n">
        <f aca="false">AI13*AI14</f>
        <v>11.9340035756438</v>
      </c>
      <c r="AJ15" s="13" t="n">
        <f aca="false">AJ13*AJ14</f>
        <v>12.225322382337</v>
      </c>
      <c r="AK15" s="13" t="n">
        <f aca="false">AK13*AK14</f>
        <v>12.1210756852319</v>
      </c>
      <c r="AL15" s="13" t="n">
        <f aca="false">AL13*AL14</f>
        <v>12.2109269691788</v>
      </c>
      <c r="AM15" s="13" t="n">
        <f aca="false">AM13*AM14</f>
        <v>11.2328949381092</v>
      </c>
      <c r="AN15" s="13" t="n">
        <f aca="false">AN13*AN14</f>
        <v>10.3114885778957</v>
      </c>
      <c r="AO15" s="13" t="n">
        <f aca="false">AO13*AO14</f>
        <v>9.01199639512383</v>
      </c>
      <c r="AP15" s="13" t="n">
        <f aca="false">AP13*AP14</f>
        <v>7.16684065561946</v>
      </c>
      <c r="AQ15" s="13" t="n">
        <f aca="false">AQ13*AQ14</f>
        <v>4.96906686046581</v>
      </c>
      <c r="AR15" s="13" t="n">
        <f aca="false">AR13*AR14</f>
        <v>2.84766603745634</v>
      </c>
      <c r="AS15" s="13" t="n">
        <f aca="false">AS13*AS14</f>
        <v>0.783560681617482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319.094633173109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22.280967106413</v>
      </c>
      <c r="R16" s="13" t="n">
        <f aca="false">Debt!R112+Debt!R110+Debt!R104-Debt!R103</f>
        <v>21.9811007858316</v>
      </c>
      <c r="S16" s="13" t="n">
        <f aca="false">Debt!S112+Debt!S110+Debt!S104-Debt!S103</f>
        <v>21.1719981351569</v>
      </c>
      <c r="T16" s="13" t="n">
        <f aca="false">Debt!T112+Debt!T110+Debt!T104-Debt!T103</f>
        <v>20.808678961733</v>
      </c>
      <c r="U16" s="13" t="n">
        <f aca="false">Debt!U112+Debt!U110+Debt!U104-Debt!U103</f>
        <v>20.0263582200978</v>
      </c>
      <c r="V16" s="13" t="n">
        <f aca="false">Debt!V112+Debt!V110+Debt!V104-Debt!V103</f>
        <v>19.5196989937097</v>
      </c>
      <c r="W16" s="13" t="n">
        <f aca="false">Debt!W112+Debt!W110+Debt!W104-Debt!W103</f>
        <v>18.6038909211825</v>
      </c>
      <c r="X16" s="13" t="n">
        <f aca="false">Debt!X112+Debt!X110+Debt!X104-Debt!X103</f>
        <v>18.0819070529825</v>
      </c>
      <c r="Y16" s="13" t="n">
        <f aca="false">Debt!Y112+Debt!Y110+Debt!Y104-Debt!Y103</f>
        <v>17.7324914753873</v>
      </c>
      <c r="Z16" s="13" t="n">
        <f aca="false">Debt!Z112+Debt!Z110+Debt!Z104-Debt!Z103</f>
        <v>17.2102544291371</v>
      </c>
      <c r="AA16" s="13" t="n">
        <f aca="false">Debt!AA112+Debt!AA110+Debt!AA104-Debt!AA103</f>
        <v>16.2639983408064</v>
      </c>
      <c r="AB16" s="13" t="n">
        <f aca="false">Debt!AB112+Debt!AB110+Debt!AB104-Debt!AB103</f>
        <v>15.4199472605959</v>
      </c>
      <c r="AC16" s="13" t="n">
        <f aca="false">Debt!AC112+Debt!AC110+Debt!AC104-Debt!AC103</f>
        <v>14.2084561423947</v>
      </c>
      <c r="AD16" s="13" t="n">
        <f aca="false">Debt!AD112+Debt!AD110+Debt!AD104-Debt!AD103</f>
        <v>13.2206243761675</v>
      </c>
      <c r="AE16" s="13" t="n">
        <f aca="false">Debt!AE112+Debt!AE110+Debt!AE104-Debt!AE103</f>
        <v>11.8949344456671</v>
      </c>
      <c r="AF16" s="13" t="n">
        <f aca="false">Debt!AF112+Debt!AF110+Debt!AF104-Debt!AF103</f>
        <v>10.7631153468099</v>
      </c>
      <c r="AG16" s="13" t="n">
        <f aca="false">Debt!AG112+Debt!AG110+Debt!AG104-Debt!AG103</f>
        <v>9.58980096455059</v>
      </c>
      <c r="AH16" s="13" t="n">
        <f aca="false">Debt!AH112+Debt!AH110+Debt!AH104-Debt!AH103</f>
        <v>8.33005195303548</v>
      </c>
      <c r="AI16" s="13" t="n">
        <f aca="false">Debt!AI112+Debt!AI110+Debt!AI104-Debt!AI103</f>
        <v>6.82856589138696</v>
      </c>
      <c r="AJ16" s="13" t="n">
        <f aca="false">Debt!AJ112+Debt!AJ110+Debt!AJ104-Debt!AJ103</f>
        <v>5.46256416356642</v>
      </c>
      <c r="AK16" s="13" t="n">
        <f aca="false">Debt!AK112+Debt!AK110+Debt!AK104-Debt!AK103</f>
        <v>3.95417398979995</v>
      </c>
      <c r="AL16" s="13" t="n">
        <f aca="false">Debt!AL112+Debt!AL110+Debt!AL104-Debt!AL103</f>
        <v>2.50663715130848</v>
      </c>
      <c r="AM16" s="13" t="n">
        <f aca="false">Debt!AM112+Debt!AM110+Debt!AM104-Debt!AM103</f>
        <v>1.65979745497665</v>
      </c>
      <c r="AN16" s="13" t="n">
        <f aca="false">Debt!AN112+Debt!AN110+Debt!AN104-Debt!AN103</f>
        <v>1.05510028206056</v>
      </c>
      <c r="AO16" s="13" t="n">
        <f aca="false">Debt!AO112+Debt!AO110+Debt!AO104-Debt!AO103</f>
        <v>0.519519328351556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0.333333333333333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1158.57410970477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1.058501638852</v>
      </c>
      <c r="AA18" s="13" t="n">
        <f aca="false">(Operations!AA84-AA16-AA15)*AA17-AA12</f>
        <v>4.46861144971423</v>
      </c>
      <c r="AB18" s="13" t="n">
        <f aca="false">(Operations!AB84-AB16-AB15)*AB17-AB12</f>
        <v>4.98966267216357</v>
      </c>
      <c r="AC18" s="13" t="n">
        <f aca="false">(Operations!AC84-AC16-AC15)*AC17-AC12</f>
        <v>6.17393043602392</v>
      </c>
      <c r="AD18" s="13" t="n">
        <f aca="false">(Operations!AD84-AD16-AD15)*AD17-AD12</f>
        <v>6.9969999401405</v>
      </c>
      <c r="AE18" s="13" t="n">
        <f aca="false">(Operations!AE84-AE16-AE15)*AE17-AE12</f>
        <v>-4.3474979490636</v>
      </c>
      <c r="AF18" s="13" t="n">
        <f aca="false">(Operations!AF84-AF16-AF15)*AF17-AF12</f>
        <v>9.33468655460235</v>
      </c>
      <c r="AG18" s="13" t="n">
        <f aca="false">(Operations!AG84-AG16-AG15)*AG17-AG12</f>
        <v>10.451337850954</v>
      </c>
      <c r="AH18" s="13" t="n">
        <f aca="false">(Operations!AH84-AH16-AH15)*AH17-AH12</f>
        <v>11.4915582051394</v>
      </c>
      <c r="AI18" s="13" t="n">
        <f aca="false">(Operations!AI84-AI16-AI15)*AI17-AI12</f>
        <v>13.2244785697949</v>
      </c>
      <c r="AJ18" s="13" t="n">
        <f aca="false">(Operations!AJ84-AJ16-AJ15)*AJ17-AJ12</f>
        <v>14.4082121429807</v>
      </c>
      <c r="AK18" s="13" t="n">
        <f aca="false">(Operations!AK84-AK16-AK15)*AK17-AK12</f>
        <v>16.1116624804629</v>
      </c>
      <c r="AL18" s="13" t="n">
        <f aca="false">(Operations!AL84-AL16-AL15)*AL17-AL12</f>
        <v>17.6669866047325</v>
      </c>
      <c r="AM18" s="13" t="n">
        <f aca="false">(Operations!AM84-AM16-AM15)*AM17-AM12</f>
        <v>16.7559078987333</v>
      </c>
      <c r="AN18" s="13" t="n">
        <f aca="false">(Operations!AN84-AN16-AN15)*AN17-AN12</f>
        <v>21.3524763588594</v>
      </c>
      <c r="AO18" s="13" t="n">
        <f aca="false">(Operations!AO84-AO16-AO15)*AO17-AO12</f>
        <v>23.180765542339</v>
      </c>
      <c r="AP18" s="13" t="n">
        <f aca="false">(Operations!AP84-AP16-AP15)*AP17-AP12</f>
        <v>25.7008887946848</v>
      </c>
      <c r="AQ18" s="13" t="n">
        <f aca="false">(Operations!AQ84-AQ16-AQ15)*AQ17-AQ12</f>
        <v>28.0751226580395</v>
      </c>
      <c r="AR18" s="13" t="n">
        <f aca="false">(Operations!AR84-AR16-AR15)*AR17-AR12</f>
        <v>30.3148172772703</v>
      </c>
      <c r="AS18" s="13" t="n">
        <f aca="false">(Operations!AS84-AS16-AS15)*AS17-AS12</f>
        <v>32.4753432172403</v>
      </c>
      <c r="AT18" s="13" t="n">
        <f aca="false">(Operations!AT84-AT16-AT15)*AT17-AT12</f>
        <v>33.5205405250409</v>
      </c>
      <c r="AU18" s="13" t="n">
        <f aca="false">(Operations!AU84-AU16-AU15)*AU17-AU12</f>
        <v>18.6371706834147</v>
      </c>
      <c r="AV18" s="13" t="n">
        <f aca="false">(Operations!AV84-AV16-AV15)*AV17-AV12</f>
        <v>33.9320549308593</v>
      </c>
      <c r="AW18" s="13" t="n">
        <f aca="false">(Operations!AW84-AW16-AW15)*AW17-AW12</f>
        <v>33.8276514229223</v>
      </c>
      <c r="AX18" s="13" t="n">
        <f aca="false">(Operations!AX84-AX16-AX15)*AX17-AX12</f>
        <v>33.9973493342347</v>
      </c>
      <c r="AY18" s="13" t="n">
        <f aca="false">(Operations!AY84-AY16-AY15)*AY17-AY12</f>
        <v>34.1887533752031</v>
      </c>
      <c r="AZ18" s="13" t="n">
        <f aca="false">(Operations!AZ84-AZ16-AZ15)*AZ17-AZ12</f>
        <v>34.3170745433827</v>
      </c>
      <c r="BA18" s="13" t="n">
        <f aca="false">(Operations!BA84-BA16-BA15)*BA17-BA12</f>
        <v>34.4194313816603</v>
      </c>
      <c r="BB18" s="13" t="n">
        <f aca="false">(Operations!BB84-BB16-BB15)*BB17-BB12</f>
        <v>34.657108304268</v>
      </c>
      <c r="BC18" s="13" t="n">
        <f aca="false">(Operations!BC84-BC16-BC15)*BC17-BC12</f>
        <v>31.4031085992946</v>
      </c>
      <c r="BD18" s="13" t="n">
        <f aca="false">(Operations!BD84-BD16-BD15)*BD17-BD12</f>
        <v>41.77129244049</v>
      </c>
      <c r="BE18" s="13" t="n">
        <f aca="false">(Operations!BE84-BE16-BE15)*BE17-BE12</f>
        <v>55.1879709383452</v>
      </c>
      <c r="BF18" s="13" t="n">
        <f aca="false">(Operations!BF84-BF16-BF15)*BF17-BF12</f>
        <v>55.3732137942608</v>
      </c>
      <c r="BG18" s="13" t="n">
        <f aca="false">(Operations!BG84-BG16-BG15)*BG17-BG12</f>
        <v>55.5808513717991</v>
      </c>
      <c r="BH18" s="13" t="n">
        <f aca="false">(Operations!BH84-BH16-BH15)*BH17-BH12</f>
        <v>55.7200506742156</v>
      </c>
      <c r="BI18" s="13" t="n">
        <f aca="false">(Operations!BI84-BI16-BI15)*BI17-BI12</f>
        <v>55.8286907570288</v>
      </c>
      <c r="BJ18" s="13" t="n">
        <f aca="false">(Operations!BJ84-BJ16-BJ15)*BJ17-BJ12</f>
        <v>56.1446583076047</v>
      </c>
      <c r="BK18" s="13" t="n">
        <f aca="false">(Operations!BK84-BK16-BK15)*BK17-BK12</f>
        <v>38.5482139802196</v>
      </c>
      <c r="BL18" s="13" t="n">
        <f aca="false">(Operations!BL84-BL16-BL15)*BL17-BL12</f>
        <v>56.6348158872053</v>
      </c>
      <c r="BM18" s="13" t="n">
        <f aca="false">(Operations!BM84-BM16-BM15)*BM17-BM12</f>
        <v>56.4953982057956</v>
      </c>
      <c r="BN18" s="13" t="n">
        <f aca="false">(Operations!BN84-BN16-BN15)*BN17-BN12</f>
        <v>18.5042579038656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4.3474979490636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4.3474979490636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236.576135647142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1.058501638852</v>
      </c>
      <c r="AA20" s="13" t="n">
        <f aca="false">MIN(Z21,MAX(0,AA18-AA19))</f>
        <v>4.46861144971423</v>
      </c>
      <c r="AB20" s="13" t="n">
        <f aca="false">MIN(AA21,MAX(0,AB18-AB19))</f>
        <v>4.98966267216357</v>
      </c>
      <c r="AC20" s="13" t="n">
        <f aca="false">MIN(AB21,MAX(0,AC18-AC19))</f>
        <v>6.17393043602392</v>
      </c>
      <c r="AD20" s="13" t="n">
        <f aca="false">MIN(AC21,MAX(0,AD18-AD19))</f>
        <v>6.9969999401405</v>
      </c>
      <c r="AE20" s="13" t="n">
        <f aca="false">MIN(AD21,MAX(0,AE18-AE19))</f>
        <v>0</v>
      </c>
      <c r="AF20" s="13" t="n">
        <f aca="false">MIN(AE21,MAX(0,AF18-AF19))</f>
        <v>4.98718860553875</v>
      </c>
      <c r="AG20" s="13" t="n">
        <f aca="false">MIN(AF21,MAX(0,AG18-AG19))</f>
        <v>10.451337850954</v>
      </c>
      <c r="AH20" s="13" t="n">
        <f aca="false">MIN(AG21,MAX(0,AH18-AH19))</f>
        <v>11.4915582051394</v>
      </c>
      <c r="AI20" s="13" t="n">
        <f aca="false">MIN(AH21,MAX(0,AI18-AI19))</f>
        <v>13.2244785697949</v>
      </c>
      <c r="AJ20" s="13" t="n">
        <f aca="false">MIN(AI21,MAX(0,AJ18-AJ19))</f>
        <v>14.4082121429807</v>
      </c>
      <c r="AK20" s="13" t="n">
        <f aca="false">MIN(AJ21,MAX(0,AK18-AK19))</f>
        <v>16.1116624804629</v>
      </c>
      <c r="AL20" s="13" t="n">
        <f aca="false">MIN(AK21,MAX(0,AL18-AL19))</f>
        <v>17.6669866047325</v>
      </c>
      <c r="AM20" s="13" t="n">
        <f aca="false">MIN(AL21,MAX(0,AM18-AM19))</f>
        <v>16.7559078987333</v>
      </c>
      <c r="AN20" s="13" t="n">
        <f aca="false">MIN(AM21,MAX(0,AN18-AN19))</f>
        <v>21.3524763588594</v>
      </c>
      <c r="AO20" s="13" t="n">
        <f aca="false">MIN(AN21,MAX(0,AO18-AO19))</f>
        <v>23.180765542339</v>
      </c>
      <c r="AP20" s="13" t="n">
        <f aca="false">MIN(AO21,MAX(0,AP18-AP19))</f>
        <v>25.7008887946848</v>
      </c>
      <c r="AQ20" s="13" t="n">
        <f aca="false">MIN(AP21,MAX(0,AQ18-AQ19))</f>
        <v>28.0751226580395</v>
      </c>
      <c r="AR20" s="13" t="n">
        <f aca="false">MIN(AQ21,MAX(0,AR18-AR19))</f>
        <v>9.48184379798871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7.88587118823807</v>
      </c>
      <c r="Q21" s="13" t="n">
        <f aca="false">P21+Q11-Q20</f>
        <v>31.5434847529523</v>
      </c>
      <c r="R21" s="13" t="n">
        <f aca="false">Q21+R11-R20</f>
        <v>55.2010983176665</v>
      </c>
      <c r="S21" s="13" t="n">
        <f aca="false">R21+S11-S20</f>
        <v>78.8587118823808</v>
      </c>
      <c r="T21" s="13" t="n">
        <f aca="false">S21+T11-T20</f>
        <v>102.516325447095</v>
      </c>
      <c r="U21" s="13" t="n">
        <f aca="false">T21+U11-U20</f>
        <v>126.173939011809</v>
      </c>
      <c r="V21" s="13" t="n">
        <f aca="false">U21+V11-V20</f>
        <v>149.831552576523</v>
      </c>
      <c r="W21" s="13" t="n">
        <f aca="false">V21+W11-W20</f>
        <v>173.489166141238</v>
      </c>
      <c r="X21" s="13" t="n">
        <f aca="false">W21+X11-X20</f>
        <v>197.146779705952</v>
      </c>
      <c r="Y21" s="13" t="n">
        <f aca="false">X21+Y11-Y20</f>
        <v>220.804393270666</v>
      </c>
      <c r="Z21" s="13" t="n">
        <f aca="false">Y21+Z11-Z20</f>
        <v>235.51763400829</v>
      </c>
      <c r="AA21" s="13" t="n">
        <f aca="false">Z21+AA11-AA20</f>
        <v>231.049022558576</v>
      </c>
      <c r="AB21" s="13" t="n">
        <f aca="false">AA21+AB11-AB20</f>
        <v>226.059359886412</v>
      </c>
      <c r="AC21" s="13" t="n">
        <f aca="false">AB21+AC11-AC20</f>
        <v>219.885429450388</v>
      </c>
      <c r="AD21" s="13" t="n">
        <f aca="false">AC21+AD11-AD20</f>
        <v>212.888429510248</v>
      </c>
      <c r="AE21" s="13" t="n">
        <f aca="false">AD21+AE11-AE20</f>
        <v>212.888429510248</v>
      </c>
      <c r="AF21" s="13" t="n">
        <f aca="false">AE21+AF11-AF20</f>
        <v>207.901240904709</v>
      </c>
      <c r="AG21" s="13" t="n">
        <f aca="false">AF21+AG11-AG20</f>
        <v>197.449903053755</v>
      </c>
      <c r="AH21" s="13" t="n">
        <f aca="false">AG21+AH11-AH20</f>
        <v>185.958344848616</v>
      </c>
      <c r="AI21" s="13" t="n">
        <f aca="false">AH21+AI11-AI20</f>
        <v>172.733866278821</v>
      </c>
      <c r="AJ21" s="13" t="n">
        <f aca="false">AI21+AJ11-AJ20</f>
        <v>158.32565413584</v>
      </c>
      <c r="AK21" s="13" t="n">
        <f aca="false">AJ21+AK11-AK20</f>
        <v>142.213991655377</v>
      </c>
      <c r="AL21" s="13" t="n">
        <f aca="false">AK21+AL11-AL20</f>
        <v>124.547005050645</v>
      </c>
      <c r="AM21" s="13" t="n">
        <f aca="false">AL21+AM11-AM20</f>
        <v>107.791097151911</v>
      </c>
      <c r="AN21" s="13" t="n">
        <f aca="false">AM21+AN11-AN20</f>
        <v>86.438620793052</v>
      </c>
      <c r="AO21" s="13" t="n">
        <f aca="false">AN21+AO11-AO20</f>
        <v>63.257855250713</v>
      </c>
      <c r="AP21" s="13" t="n">
        <f aca="false">AO21+AP11-AP20</f>
        <v>37.5569664560282</v>
      </c>
      <c r="AQ21" s="13" t="n">
        <f aca="false">AP21+AQ11-AQ20</f>
        <v>9.48184379798871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4.3474979490636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921.997974057633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20.8329734792816</v>
      </c>
      <c r="AS23" s="13" t="n">
        <f aca="false">MAX(0,AS18-AS19-AS20)</f>
        <v>32.4753432172403</v>
      </c>
      <c r="AT23" s="13" t="n">
        <f aca="false">MAX(0,AT18-AT19-AT20)</f>
        <v>33.5205405250409</v>
      </c>
      <c r="AU23" s="13" t="n">
        <f aca="false">MAX(0,AU18-AU19-AU20)</f>
        <v>18.6371706834147</v>
      </c>
      <c r="AV23" s="13" t="n">
        <f aca="false">MAX(0,AV18-AV19-AV20)</f>
        <v>33.9320549308593</v>
      </c>
      <c r="AW23" s="13" t="n">
        <f aca="false">MAX(0,AW18-AW19-AW20)</f>
        <v>33.8276514229223</v>
      </c>
      <c r="AX23" s="13" t="n">
        <f aca="false">MAX(0,AX18-AX19-AX20)</f>
        <v>33.9973493342347</v>
      </c>
      <c r="AY23" s="13" t="n">
        <f aca="false">MAX(0,AY18-AY19-AY20)</f>
        <v>34.1887533752031</v>
      </c>
      <c r="AZ23" s="13" t="n">
        <f aca="false">MAX(0,AZ18-AZ19-AZ20)</f>
        <v>34.3170745433827</v>
      </c>
      <c r="BA23" s="13" t="n">
        <f aca="false">MAX(0,BA18-BA19-BA20)</f>
        <v>34.4194313816603</v>
      </c>
      <c r="BB23" s="13" t="n">
        <f aca="false">MAX(0,BB18-BB19-BB20)</f>
        <v>34.657108304268</v>
      </c>
      <c r="BC23" s="13" t="n">
        <f aca="false">MAX(0,BC18-BC19-BC20)</f>
        <v>31.4031085992946</v>
      </c>
      <c r="BD23" s="13" t="n">
        <f aca="false">MAX(0,BD18-BD19-BD20)</f>
        <v>41.77129244049</v>
      </c>
      <c r="BE23" s="13" t="n">
        <f aca="false">MAX(0,BE18-BE19-BE20)</f>
        <v>55.1879709383452</v>
      </c>
      <c r="BF23" s="13" t="n">
        <f aca="false">MAX(0,BF18-BF19-BF20)</f>
        <v>55.3732137942608</v>
      </c>
      <c r="BG23" s="13" t="n">
        <f aca="false">MAX(0,BG18-BG19-BG20)</f>
        <v>55.5808513717991</v>
      </c>
      <c r="BH23" s="13" t="n">
        <f aca="false">MAX(0,BH18-BH19-BH20)</f>
        <v>55.7200506742156</v>
      </c>
      <c r="BI23" s="13" t="n">
        <f aca="false">MAX(0,BI18-BI19-BI20)</f>
        <v>55.8286907570288</v>
      </c>
      <c r="BJ23" s="13" t="n">
        <f aca="false">MAX(0,BJ18-BJ19-BJ20)</f>
        <v>56.1446583076047</v>
      </c>
      <c r="BK23" s="13" t="n">
        <f aca="false">MAX(0,BK18-BK19-BK20)</f>
        <v>38.5482139802196</v>
      </c>
      <c r="BL23" s="13" t="n">
        <f aca="false">MAX(0,BL18-BL19-BL20)</f>
        <v>56.6348158872053</v>
      </c>
      <c r="BM23" s="13" t="n">
        <f aca="false">MAX(0,BM18-BM19-BM20)</f>
        <v>56.4953982057956</v>
      </c>
      <c r="BN23" s="13" t="n">
        <f aca="false">MAX(0,BN18-BN19-BN20)</f>
        <v>18.5042579038656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0.2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276.59939221729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6.24989204378449</v>
      </c>
      <c r="AS25" s="13" t="n">
        <f aca="false">AS23*AS24</f>
        <v>9.74260296517208</v>
      </c>
      <c r="AT25" s="13" t="n">
        <f aca="false">AT23*AT24</f>
        <v>10.0561621575123</v>
      </c>
      <c r="AU25" s="13" t="n">
        <f aca="false">AU23*AU24</f>
        <v>5.5911512050244</v>
      </c>
      <c r="AV25" s="13" t="n">
        <f aca="false">AV23*AV24</f>
        <v>10.1796164792578</v>
      </c>
      <c r="AW25" s="13" t="n">
        <f aca="false">AW23*AW24</f>
        <v>10.1482954268767</v>
      </c>
      <c r="AX25" s="13" t="n">
        <f aca="false">AX23*AX24</f>
        <v>10.1992048002704</v>
      </c>
      <c r="AY25" s="13" t="n">
        <f aca="false">AY23*AY24</f>
        <v>10.2566260125609</v>
      </c>
      <c r="AZ25" s="13" t="n">
        <f aca="false">AZ23*AZ24</f>
        <v>10.2951223630148</v>
      </c>
      <c r="BA25" s="13" t="n">
        <f aca="false">BA23*BA24</f>
        <v>10.3258294144981</v>
      </c>
      <c r="BB25" s="13" t="n">
        <f aca="false">BB23*BB24</f>
        <v>10.3971324912804</v>
      </c>
      <c r="BC25" s="13" t="n">
        <f aca="false">BC23*BC24</f>
        <v>9.42093257978839</v>
      </c>
      <c r="BD25" s="13" t="n">
        <f aca="false">BD23*BD24</f>
        <v>12.531387732147</v>
      </c>
      <c r="BE25" s="13" t="n">
        <f aca="false">BE23*BE24</f>
        <v>16.5563912815036</v>
      </c>
      <c r="BF25" s="13" t="n">
        <f aca="false">BF23*BF24</f>
        <v>16.6119641382782</v>
      </c>
      <c r="BG25" s="13" t="n">
        <f aca="false">BG23*BG24</f>
        <v>16.6742554115397</v>
      </c>
      <c r="BH25" s="13" t="n">
        <f aca="false">BH23*BH24</f>
        <v>16.7160152022647</v>
      </c>
      <c r="BI25" s="13" t="n">
        <f aca="false">BI23*BI24</f>
        <v>16.7486072271086</v>
      </c>
      <c r="BJ25" s="13" t="n">
        <f aca="false">BJ23*BJ24</f>
        <v>16.8433974922814</v>
      </c>
      <c r="BK25" s="13" t="n">
        <f aca="false">BK23*BK24</f>
        <v>11.5644641940659</v>
      </c>
      <c r="BL25" s="13" t="n">
        <f aca="false">BL23*BL24</f>
        <v>16.9904447661616</v>
      </c>
      <c r="BM25" s="13" t="n">
        <f aca="false">BM23*BM24</f>
        <v>16.9486194617387</v>
      </c>
      <c r="BN25" s="13" t="n">
        <f aca="false">BN23*BN24</f>
        <v>5.55127737115969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15.7219188964976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0.118597771671728</v>
      </c>
      <c r="AA26" s="13" t="n">
        <f aca="false">IF(Time!AA30&gt;0,Inputs!$F$176/100*Operations!AA55*(AA8+AA9)/Time!AA30,0)</f>
        <v>0.357162155194092</v>
      </c>
      <c r="AB26" s="13" t="n">
        <f aca="false">IF(Time!AB30&gt;0,Inputs!$F$176/100*Operations!AB55*(AB8+AB9)/Time!AB30,0)</f>
        <v>0.358956600187885</v>
      </c>
      <c r="AC26" s="13" t="n">
        <f aca="false">IF(Time!AC30&gt;0,Inputs!$F$176/100*Operations!AC55*(AC8+AC9)/Time!AC30,0)</f>
        <v>0.360910873094833</v>
      </c>
      <c r="AD26" s="13" t="n">
        <f aca="false">IF(Time!AD30&gt;0,Inputs!$F$176/100*Operations!AD55*(AD8+AD9)/Time!AD30,0)</f>
        <v>0.361810322371713</v>
      </c>
      <c r="AE26" s="13" t="n">
        <f aca="false">IF(Time!AE30&gt;0,Inputs!$F$176/100*Operations!AE55*(AE8+AE9)/Time!AE30,0)</f>
        <v>0.357285847425819</v>
      </c>
      <c r="AF26" s="13" t="n">
        <f aca="false">IF(Time!AF30&gt;0,Inputs!$F$176/100*Operations!AF55*(AF8+AF9)/Time!AF30,0)</f>
        <v>0.364428527304582</v>
      </c>
      <c r="AG26" s="13" t="n">
        <f aca="false">IF(Time!AG30&gt;0,Inputs!$F$176/100*Operations!AG55*(AG8+AG9)/Time!AG30,0)</f>
        <v>0.367807136828651</v>
      </c>
      <c r="AH26" s="13" t="n">
        <f aca="false">IF(Time!AH30&gt;0,Inputs!$F$176/100*Operations!AH55*(AH8+AH9)/Time!AH30,0)</f>
        <v>0.369431194794716</v>
      </c>
      <c r="AI26" s="13" t="n">
        <f aca="false">IF(Time!AI30&gt;0,Inputs!$F$176/100*Operations!AI55*(AI8+AI9)/Time!AI30,0)</f>
        <v>0.370923290384181</v>
      </c>
      <c r="AJ26" s="13" t="n">
        <f aca="false">IF(Time!AJ30&gt;0,Inputs!$F$176/100*Operations!AJ55*(AJ8+AJ9)/Time!AJ30,0)</f>
        <v>0.372876973170103</v>
      </c>
      <c r="AK26" s="13" t="n">
        <f aca="false">IF(Time!AK30&gt;0,Inputs!$F$176/100*Operations!AK55*(AK8+AK9)/Time!AK30,0)</f>
        <v>0.375004046052006</v>
      </c>
      <c r="AL26" s="13" t="n">
        <f aca="false">IF(Time!AL30&gt;0,Inputs!$F$176/100*Operations!AL55*(AL8+AL9)/Time!AL30,0)</f>
        <v>0.376309434569326</v>
      </c>
      <c r="AM26" s="13" t="n">
        <f aca="false">IF(Time!AM30&gt;0,Inputs!$F$176/100*Operations!AM55*(AM8+AM9)/Time!AM30,0)</f>
        <v>0.377075756434062</v>
      </c>
      <c r="AN26" s="13" t="n">
        <f aca="false">IF(Time!AN30&gt;0,Inputs!$F$176/100*Operations!AN55*(AN8+AN9)/Time!AN30,0)</f>
        <v>0.379500039032261</v>
      </c>
      <c r="AO26" s="13" t="n">
        <f aca="false">IF(Time!AO30&gt;0,Inputs!$F$176/100*Operations!AO55*(AO8+AO9)/Time!AO30,0)</f>
        <v>0.382514702085066</v>
      </c>
      <c r="AP26" s="13" t="n">
        <f aca="false">IF(Time!AP30&gt;0,Inputs!$F$176/100*Operations!AP55*(AP8+AP9)/Time!AP30,0)</f>
        <v>0.384284146534225</v>
      </c>
      <c r="AQ26" s="13" t="n">
        <f aca="false">IF(Time!AQ30&gt;0,Inputs!$F$176/100*Operations!AQ55*(AQ8+AQ9)/Time!AQ30,0)</f>
        <v>0.385910594788791</v>
      </c>
      <c r="AR26" s="13" t="n">
        <f aca="false">IF(Time!AR30&gt;0,Inputs!$F$176/100*Operations!AR55*(AR8+AR9)/Time!AR30,0)</f>
        <v>0.388037637272362</v>
      </c>
      <c r="AS26" s="13" t="n">
        <f aca="false">IF(Time!AS30&gt;0,Inputs!$F$176/100*Operations!AS55*(AS8+AS9)/Time!AS30,0)</f>
        <v>0.390352776921065</v>
      </c>
      <c r="AT26" s="13" t="n">
        <f aca="false">IF(Time!AT30&gt;0,Inputs!$F$176/100*Operations!AT55*(AT8+AT9)/Time!AT30,0)</f>
        <v>0.391427904793904</v>
      </c>
      <c r="AU26" s="13" t="n">
        <f aca="false">IF(Time!AU30&gt;0,Inputs!$F$176/100*Operations!AU55*(AU8+AU9)/Time!AU30,0)</f>
        <v>0.38661649296821</v>
      </c>
      <c r="AV26" s="13" t="n">
        <f aca="false">IF(Time!AV30&gt;0,Inputs!$F$176/100*Operations!AV55*(AV8+AV9)/Time!AV30,0)</f>
        <v>0.394542046299487</v>
      </c>
      <c r="AW26" s="13" t="n">
        <f aca="false">IF(Time!AW30&gt;0,Inputs!$F$176/100*Operations!AW55*(AW8+AW9)/Time!AW30,0)</f>
        <v>0.398532538072703</v>
      </c>
      <c r="AX26" s="13" t="n">
        <f aca="false">IF(Time!AX30&gt;0,Inputs!$F$176/100*Operations!AX55*(AX8+AX9)/Time!AX30,0)</f>
        <v>0.400460380771801</v>
      </c>
      <c r="AY26" s="13" t="n">
        <f aca="false">IF(Time!AY30&gt;0,Inputs!$F$176/100*Operations!AY55*(AY8+AY9)/Time!AY30,0)</f>
        <v>0.402233277980589</v>
      </c>
      <c r="AZ26" s="13" t="n">
        <f aca="false">IF(Time!AZ30&gt;0,Inputs!$F$176/100*Operations!AZ55*(AZ8+AZ9)/Time!AZ30,0)</f>
        <v>0.404549053644741</v>
      </c>
      <c r="BA26" s="13" t="n">
        <f aca="false">IF(Time!BA30&gt;0,Inputs!$F$176/100*Operations!BA55*(BA8+BA9)/Time!BA30,0)</f>
        <v>0.407068874499829</v>
      </c>
      <c r="BB26" s="13" t="n">
        <f aca="false">IF(Time!BB30&gt;0,Inputs!$F$176/100*Operations!BB55*(BB8+BB9)/Time!BB30,0)</f>
        <v>0.408622883019584</v>
      </c>
      <c r="BC26" s="13" t="n">
        <f aca="false">IF(Time!BC30&gt;0,Inputs!$F$176/100*Operations!BC55*(BC8+BC9)/Time!BC30,0)</f>
        <v>0.409543364355078</v>
      </c>
      <c r="BD26" s="13" t="n">
        <f aca="false">IF(Time!BD30&gt;0,Inputs!$F$176/100*Operations!BD55*(BD8+BD9)/Time!BD30,0)</f>
        <v>0.412413215392352</v>
      </c>
      <c r="BE26" s="13" t="n">
        <f aca="false">IF(Time!BE30&gt;0,Inputs!$F$176/100*Operations!BE55*(BE8+BE9)/Time!BE30,0)</f>
        <v>0.415977323665417</v>
      </c>
      <c r="BF26" s="13" t="n">
        <f aca="false">IF(Time!BF30&gt;0,Inputs!$F$176/100*Operations!BF55*(BF8+BF9)/Time!BF30,0)</f>
        <v>0.418077740600214</v>
      </c>
      <c r="BG26" s="13" t="n">
        <f aca="false">IF(Time!BG30&gt;0,Inputs!$F$176/100*Operations!BG55*(BG8+BG9)/Time!BG30,0)</f>
        <v>0.420010272015969</v>
      </c>
      <c r="BH26" s="13" t="n">
        <f aca="false">IF(Time!BH30&gt;0,Inputs!$F$176/100*Operations!BH55*(BH8+BH9)/Time!BH30,0)</f>
        <v>0.422531516768161</v>
      </c>
      <c r="BI26" s="13" t="n">
        <f aca="false">IF(Time!BI30&gt;0,Inputs!$F$176/100*Operations!BI55*(BI8+BI9)/Time!BI30,0)</f>
        <v>0.425274099768932</v>
      </c>
      <c r="BJ26" s="13" t="n">
        <f aca="false">IF(Time!BJ30&gt;0,Inputs!$F$176/100*Operations!BJ55*(BJ8+BJ9)/Time!BJ30,0)</f>
        <v>0.426559195539071</v>
      </c>
      <c r="BK26" s="13" t="n">
        <f aca="false">IF(Time!BK30&gt;0,Inputs!$F$176/100*Operations!BK55*(BK8+BK9)/Time!BK30,0)</f>
        <v>0.421409408021346</v>
      </c>
      <c r="BL26" s="13" t="n">
        <f aca="false">IF(Time!BL30&gt;0,Inputs!$F$176/100*Operations!BL55*(BL8+BL9)/Time!BL30,0)</f>
        <v>0.430263211743351</v>
      </c>
      <c r="BM26" s="13" t="n">
        <f aca="false">IF(Time!BM30&gt;0,Inputs!$F$176/100*Operations!BM55*(BM8+BM9)/Time!BM30,0)</f>
        <v>0.434976123208277</v>
      </c>
      <c r="BN26" s="13" t="n">
        <f aca="false">IF(Time!BN30&gt;0,Inputs!$F$176/100*Operations!BN55*(BN8+BN9)/Time!BN30,0)</f>
        <v>0.291650147251098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283.020181629214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0.118597771671728</v>
      </c>
      <c r="AA27" s="13" t="n">
        <f aca="false">MAX(AA25,AA26)</f>
        <v>0.357162155194092</v>
      </c>
      <c r="AB27" s="13" t="n">
        <f aca="false">MAX(AB25,AB26)</f>
        <v>0.358956600187885</v>
      </c>
      <c r="AC27" s="13" t="n">
        <f aca="false">MAX(AC25,AC26)</f>
        <v>0.360910873094833</v>
      </c>
      <c r="AD27" s="13" t="n">
        <f aca="false">MAX(AD25,AD26)</f>
        <v>0.361810322371713</v>
      </c>
      <c r="AE27" s="13" t="n">
        <f aca="false">MAX(AE25,AE26)</f>
        <v>0.357285847425819</v>
      </c>
      <c r="AF27" s="13" t="n">
        <f aca="false">MAX(AF25,AF26)</f>
        <v>0.364428527304582</v>
      </c>
      <c r="AG27" s="13" t="n">
        <f aca="false">MAX(AG25,AG26)</f>
        <v>0.367807136828651</v>
      </c>
      <c r="AH27" s="13" t="n">
        <f aca="false">MAX(AH25,AH26)</f>
        <v>0.369431194794716</v>
      </c>
      <c r="AI27" s="13" t="n">
        <f aca="false">MAX(AI25,AI26)</f>
        <v>0.370923290384181</v>
      </c>
      <c r="AJ27" s="13" t="n">
        <f aca="false">MAX(AJ25,AJ26)</f>
        <v>0.372876973170103</v>
      </c>
      <c r="AK27" s="13" t="n">
        <f aca="false">MAX(AK25,AK26)</f>
        <v>0.375004046052006</v>
      </c>
      <c r="AL27" s="13" t="n">
        <f aca="false">MAX(AL25,AL26)</f>
        <v>0.376309434569326</v>
      </c>
      <c r="AM27" s="13" t="n">
        <f aca="false">MAX(AM25,AM26)</f>
        <v>0.377075756434062</v>
      </c>
      <c r="AN27" s="13" t="n">
        <f aca="false">MAX(AN25,AN26)</f>
        <v>0.379500039032261</v>
      </c>
      <c r="AO27" s="13" t="n">
        <f aca="false">MAX(AO25,AO26)</f>
        <v>0.382514702085066</v>
      </c>
      <c r="AP27" s="13" t="n">
        <f aca="false">MAX(AP25,AP26)</f>
        <v>0.384284146534225</v>
      </c>
      <c r="AQ27" s="13" t="n">
        <f aca="false">MAX(AQ25,AQ26)</f>
        <v>0.385910594788791</v>
      </c>
      <c r="AR27" s="13" t="n">
        <f aca="false">MAX(AR25,AR26)</f>
        <v>6.24989204378449</v>
      </c>
      <c r="AS27" s="13" t="n">
        <f aca="false">MAX(AS25,AS26)</f>
        <v>9.74260296517208</v>
      </c>
      <c r="AT27" s="13" t="n">
        <f aca="false">MAX(AT25,AT26)</f>
        <v>10.0561621575123</v>
      </c>
      <c r="AU27" s="13" t="n">
        <f aca="false">MAX(AU25,AU26)</f>
        <v>5.5911512050244</v>
      </c>
      <c r="AV27" s="13" t="n">
        <f aca="false">MAX(AV25,AV26)</f>
        <v>10.1796164792578</v>
      </c>
      <c r="AW27" s="13" t="n">
        <f aca="false">MAX(AW25,AW26)</f>
        <v>10.1482954268767</v>
      </c>
      <c r="AX27" s="13" t="n">
        <f aca="false">MAX(AX25,AX26)</f>
        <v>10.1992048002704</v>
      </c>
      <c r="AY27" s="13" t="n">
        <f aca="false">MAX(AY25,AY26)</f>
        <v>10.2566260125609</v>
      </c>
      <c r="AZ27" s="13" t="n">
        <f aca="false">MAX(AZ25,AZ26)</f>
        <v>10.2951223630148</v>
      </c>
      <c r="BA27" s="13" t="n">
        <f aca="false">MAX(BA25,BA26)</f>
        <v>10.3258294144981</v>
      </c>
      <c r="BB27" s="13" t="n">
        <f aca="false">MAX(BB25,BB26)</f>
        <v>10.3971324912804</v>
      </c>
      <c r="BC27" s="13" t="n">
        <f aca="false">MAX(BC25,BC26)</f>
        <v>9.42093257978839</v>
      </c>
      <c r="BD27" s="13" t="n">
        <f aca="false">MAX(BD25,BD26)</f>
        <v>12.531387732147</v>
      </c>
      <c r="BE27" s="13" t="n">
        <f aca="false">MAX(BE25,BE26)</f>
        <v>16.5563912815036</v>
      </c>
      <c r="BF27" s="13" t="n">
        <f aca="false">MAX(BF25,BF26)</f>
        <v>16.6119641382782</v>
      </c>
      <c r="BG27" s="13" t="n">
        <f aca="false">MAX(BG25,BG26)</f>
        <v>16.6742554115397</v>
      </c>
      <c r="BH27" s="13" t="n">
        <f aca="false">MAX(BH25,BH26)</f>
        <v>16.7160152022647</v>
      </c>
      <c r="BI27" s="13" t="n">
        <f aca="false">MAX(BI25,BI26)</f>
        <v>16.7486072271086</v>
      </c>
      <c r="BJ27" s="13" t="n">
        <f aca="false">MAX(BJ25,BJ26)</f>
        <v>16.8433974922814</v>
      </c>
      <c r="BK27" s="13" t="n">
        <f aca="false">MAX(BK25,BK26)</f>
        <v>11.5644641940659</v>
      </c>
      <c r="BL27" s="13" t="n">
        <f aca="false">MAX(BL25,BL26)</f>
        <v>16.9904447661616</v>
      </c>
      <c r="BM27" s="13" t="n">
        <f aca="false">MAX(BM25,BM26)</f>
        <v>16.9486194617387</v>
      </c>
      <c r="BN27" s="13" t="n">
        <f aca="false">MAX(BN25,BN26)</f>
        <v>5.55127737115969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6.56769131227798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1.27514023745408</v>
      </c>
      <c r="Q28" s="13" t="n">
        <f aca="false">Q13-Q15</f>
        <v>2.62879241467294</v>
      </c>
      <c r="R28" s="13" t="n">
        <f aca="false">R13-R15</f>
        <v>1.78438637506202</v>
      </c>
      <c r="S28" s="13" t="n">
        <f aca="false">S13-S15</f>
        <v>0.879372285088943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0.737169596054362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0.976005129648431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0.0206814787178691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0.0624238888888889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0.0546692564956468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0.0534123120512024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0.0660920308910468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0.0597841824215728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-0.443011992200953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1.49674829464541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2.12734909978406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3.43417986535679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5.32082998882132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7.66636564641183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10.3938772186773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13.3125630456807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16.3510949324497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19.3590920307394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22.2358257103649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24.8744780222406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27.228850968836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29.2132250709077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30.7343917154544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31.7970416817006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32.3158342682528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33.4454072257628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31.8148561394024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30.7329968678045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29.2280047739182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27.2366490627654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24.911261797796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22.2105663843839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19.3233457744152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16.3386041196973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13.2726260028834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10.3667755039684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7.61622695255188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5.23475724971287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3.44422458226553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2.02736770819463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1.42286773323703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1.30689164720127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1.33854697014887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1.39529295162897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1.39191765405411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1.3885059730702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49.6256348742888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-0.385593086799588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0.0580151010218565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81.6899081744506</v>
      </c>
      <c r="K22" s="13" t="n">
        <f aca="false">J22+Construction!K14*$F$9/$F$10*(K21+(K19-K20)*J22)</f>
        <v>83.0921389762382</v>
      </c>
      <c r="L22" s="13" t="n">
        <f aca="false">K22+Construction!L14*$F$9/$F$10*(L21+(L19-L20)*K22)</f>
        <v>84.9845363630336</v>
      </c>
      <c r="M22" s="13" t="n">
        <f aca="false">L22+Construction!M14*$F$9/$F$10*(M21+(M19-M20)*L22)</f>
        <v>87.8610550095013</v>
      </c>
      <c r="N22" s="13" t="n">
        <f aca="false">M22+Construction!N14*$F$9/$F$10*(N21+(N19-N20)*M22)</f>
        <v>92.1818583173361</v>
      </c>
      <c r="O22" s="13" t="n">
        <f aca="false">N22+Construction!O14*$F$9/$F$10*(O21+(O19-O20)*N22)</f>
        <v>98.3059514178656</v>
      </c>
      <c r="P22" s="13" t="n">
        <f aca="false">O22+Construction!P14*$F$9/$F$10*(P21+(P19-P20)*O22)</f>
        <v>106.477843017856</v>
      </c>
      <c r="Q22" s="13" t="n">
        <f aca="false">P22+Construction!Q14*$F$9/$F$10*(Q21+(Q19-Q20)*P22)</f>
        <v>116.918226416027</v>
      </c>
      <c r="R22" s="13" t="n">
        <f aca="false">Q22+Construction!R14*$F$9/$F$10*(R21+(R19-R20)*Q22)</f>
        <v>129.677735280056</v>
      </c>
      <c r="S22" s="13" t="n">
        <f aca="false">R22+Construction!S14*$F$9/$F$10*(S21+(S19-S20)*R22)</f>
        <v>144.769012953269</v>
      </c>
      <c r="T22" s="13" t="n">
        <f aca="false">S22+Construction!T14*$F$9/$F$10*(T21+(T19-T20)*S22)</f>
        <v>162.070796871459</v>
      </c>
      <c r="U22" s="13" t="n">
        <f aca="false">T22+Construction!U14*$F$9/$F$10*(U21+(U19-U20)*T22)</f>
        <v>181.461563070029</v>
      </c>
      <c r="V22" s="13" t="n">
        <f aca="false">U22+Construction!V14*$F$9/$F$10*(V21+(V19-V20)*U22)</f>
        <v>202.702745603938</v>
      </c>
      <c r="W22" s="13" t="n">
        <f aca="false">V22+Construction!W14*$F$9/$F$10*(W21+(W19-W20)*V22)</f>
        <v>225.497436124271</v>
      </c>
      <c r="X22" s="13" t="n">
        <f aca="false">W22+Construction!X14*$F$9/$F$10*(X21+(X19-X20)*W22)</f>
        <v>249.550236701481</v>
      </c>
      <c r="Y22" s="13" t="n">
        <f aca="false">X22+Construction!Y14*$F$9/$F$10*(Y21+(Y19-Y20)*X22)</f>
        <v>274.465214038382</v>
      </c>
      <c r="Z22" s="13" t="n">
        <f aca="false">Y22+Construction!Z14*$F$9/$F$10*(Z21+(Z19-Z20)*Y22)</f>
        <v>299.894732583678</v>
      </c>
      <c r="AA22" s="13" t="n">
        <f aca="false">Z22+Construction!AA14*$F$9/$F$10*(AA21+(AA19-AA20)*Z22)</f>
        <v>326.288324852231</v>
      </c>
      <c r="AB22" s="13" t="n">
        <f aca="false">AA22+Construction!AB14*$F$9/$F$10*(AB21+(AB19-AB20)*AA22)</f>
        <v>351.470549939802</v>
      </c>
      <c r="AC22" s="13" t="n">
        <f aca="false">AB22+Construction!AC14*$F$9/$F$10*(AC21+(AC19-AC20)*AB22)</f>
        <v>376.010248613675</v>
      </c>
      <c r="AD22" s="13" t="n">
        <f aca="false">AC22+Construction!AD14*$F$9/$F$10*(AD21+(AD19-AD20)*AC22)</f>
        <v>399.460103912134</v>
      </c>
      <c r="AE22" s="13" t="n">
        <f aca="false">AD22+Construction!AE14*$F$9/$F$10*(AE21+(AE19-AE20)*AD22)</f>
        <v>421.540263602384</v>
      </c>
      <c r="AF22" s="13" t="n">
        <f aca="false">AE22+Construction!AF14*$F$9/$F$10*(AF21+(AF19-AF20)*AE22)</f>
        <v>441.896106802959</v>
      </c>
      <c r="AG22" s="13" t="n">
        <f aca="false">AF22+Construction!AG14*$F$9/$F$10*(AG21+(AG19-AG20)*AF22)</f>
        <v>460.352339097677</v>
      </c>
      <c r="AH22" s="13" t="n">
        <f aca="false">AG22+Construction!AH14*$F$9/$F$10*(AH21+(AH19-AH20)*AG22)</f>
        <v>476.698072915459</v>
      </c>
      <c r="AI22" s="13" t="n">
        <f aca="false">AH22+Construction!AI14*$F$9/$F$10*(AI21+(AI19-AI20)*AH22)</f>
        <v>490.793136230068</v>
      </c>
      <c r="AJ22" s="13" t="n">
        <f aca="false">AI22+Construction!AJ14*$F$9/$F$10*(AJ21+(AJ19-AJ20)*AI22)</f>
        <v>502.684586909597</v>
      </c>
      <c r="AK22" s="13" t="n">
        <f aca="false">AJ22+Construction!AK14*$F$9/$F$10*(AK21+(AK19-AK20)*AJ22)</f>
        <v>512.364822751365</v>
      </c>
      <c r="AL22" s="13" t="n">
        <f aca="false">AK22+Construction!AL14*$F$9/$F$10*(AL21+(AL19-AL20)*AK22)</f>
        <v>520.066084196493</v>
      </c>
      <c r="AM22" s="13" t="n">
        <f aca="false">AL22+Construction!AM14*$F$9/$F$10*(AM21+(AM19-AM20)*AL22)</f>
        <v>526.008506441209</v>
      </c>
      <c r="AN22" s="13" t="n">
        <f aca="false">AM22+Construction!AN14*$F$9/$F$10*(AN21+(AN19-AN20)*AM22)</f>
        <v>530.426626405175</v>
      </c>
      <c r="AO22" s="13" t="n">
        <f aca="false">AN22+Construction!AO14*$F$9/$F$10*(AO21+(AO19-AO20)*AN22)</f>
        <v>533.986147617515</v>
      </c>
      <c r="AP22" s="13" t="n">
        <f aca="false">AO22+Construction!AP14*$F$9/$F$10*(AP21+(AP19-AP20)*AO22)</f>
        <v>537.036838441133</v>
      </c>
      <c r="AQ22" s="13" t="n">
        <f aca="false">AP22+Construction!AQ14*$F$9/$F$10*(AQ21+(AQ19-AQ20)*AP22)</f>
        <v>540.077465684705</v>
      </c>
      <c r="AR22" s="13" t="n">
        <f aca="false">AQ22+Construction!AR14*$F$9/$F$10*(AR21+(AR19-AR20)*AQ22)</f>
        <v>543.087010494762</v>
      </c>
      <c r="AS22" s="13" t="n">
        <f aca="false">AR22+Construction!AS14*$F$9/$F$10*(AS21+(AS19-AS20)*AR22)</f>
        <v>546.217541475638</v>
      </c>
      <c r="AT22" s="13" t="n">
        <f aca="false">AS22+Construction!AT14*$F$9/$F$10*(AT21+(AT19-AT20)*AS22)</f>
        <v>549.357493759671</v>
      </c>
      <c r="AU22" s="13" t="n">
        <f aca="false">AT22+Construction!AU14*$F$9/$F$10*(AU21+(AU19-AU20)*AT22)</f>
        <v>552.439112871584</v>
      </c>
      <c r="AV22" s="13" t="n">
        <f aca="false">AU22+Construction!AV14*$F$9/$F$10*(AV21+(AV19-AV20)*AU22)</f>
        <v>592.033432238746</v>
      </c>
      <c r="AW22" s="13" t="n">
        <f aca="false">AV22+Construction!AW14*$F$9/$F$10*(AW21+(AW19-AW20)*AV22)</f>
        <v>593.93300898044</v>
      </c>
      <c r="AX22" s="13" t="n">
        <f aca="false">AW22+Construction!AX14*$F$9/$F$10*(AX21+(AX19-AX20)*AW22)</f>
        <v>596.247930521578</v>
      </c>
      <c r="AY22" s="13" t="n">
        <f aca="false">AX22+Construction!AY14*$F$9/$F$10*(AY21+(AY19-AY20)*AX22)</f>
        <v>596.247930521578</v>
      </c>
      <c r="AZ22" s="13" t="n">
        <f aca="false">AY22+Construction!AZ14*$F$9/$F$10*(AZ21+(AZ19-AZ20)*AY22)</f>
        <v>596.247930521578</v>
      </c>
      <c r="BA22" s="13" t="n">
        <f aca="false">AZ22+Construction!BA14*$F$9/$F$10*(BA21+(BA19-BA20)*AZ22)</f>
        <v>596.247930521578</v>
      </c>
      <c r="BB22" s="13" t="n">
        <f aca="false">BA22+Construction!BB14*$F$9/$F$10*(BB21+(BB19-BB20)*BA22)</f>
        <v>596.247930521578</v>
      </c>
      <c r="BC22" s="13" t="n">
        <f aca="false">BB22+Construction!BC14*$F$9/$F$10*(BC21+(BC19-BC20)*BB22)</f>
        <v>596.247930521578</v>
      </c>
      <c r="BD22" s="13" t="n">
        <f aca="false">BC22+Construction!BD14*$F$9/$F$10*(BD21+(BD19-BD20)*BC22)</f>
        <v>596.247930521578</v>
      </c>
      <c r="BE22" s="13" t="n">
        <f aca="false">BD22+Construction!BE14*$F$9/$F$10*(BE21+(BE19-BE20)*BD22)</f>
        <v>596.247930521578</v>
      </c>
      <c r="BF22" s="13" t="n">
        <f aca="false">BE22+Construction!BF14*$F$9/$F$10*(BF21+(BF19-BF20)*BE22)</f>
        <v>596.247930521578</v>
      </c>
      <c r="BG22" s="13" t="n">
        <f aca="false">BF22+Construction!BG14*$F$9/$F$10*(BG21+(BG19-BG20)*BF22)</f>
        <v>596.247930521578</v>
      </c>
      <c r="BH22" s="13" t="n">
        <f aca="false">BG22+Construction!BH14*$F$9/$F$10*(BH21+(BH19-BH20)*BG22)</f>
        <v>596.247930521578</v>
      </c>
      <c r="BI22" s="13" t="n">
        <f aca="false">BH22+Construction!BI14*$F$9/$F$10*(BI21+(BI19-BI20)*BH22)</f>
        <v>596.247930521578</v>
      </c>
      <c r="BJ22" s="13" t="n">
        <f aca="false">BI22+Construction!BJ14*$F$9/$F$10*(BJ21+(BJ19-BJ20)*BI22)</f>
        <v>596.247930521578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0.00923594344783451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0.0097344545437839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0.010251296289033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0.0107531850331501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0.0112735286253752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0.011797724160182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0.012272905273199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0.012800719032829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0.0133133558389572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0.0138449365307768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0.0143612319533229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0.0148980666797131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0.015436899590552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0.0159602917191153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0.0165030784009202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0.0170303110012885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0.0175770804654738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0.0181268382654185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0.018643069976904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0.0191968533664235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0.0197347966150487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0.0202927027875094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0.0208346508930708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0.0213972754539233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0.0219620399582379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0.0225106650424847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0.0230796643259689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0.0236324031710152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0.024205668987355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0.0247816074569726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0.0253037991153067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0.0258839366557988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0.0264475068738847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0.0270320177666924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0.027599836444749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0.0281887536582792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0.0287799227953801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0.0293542095744067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0.0299498352252379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0.0646092220683246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0.0653396571487246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0.0653396571487246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0.0653396571487246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0.0653396571487246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0.0653396571487246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0.0653396571487246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0.0653396571487246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0.0653396571487246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0.0653396571487246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0.0653396571487246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0.0653396571487246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0.0653396571487246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0.0653396571487246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887.498302759213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654.23676534394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26.9660376926352</v>
      </c>
      <c r="L28" s="13" t="n">
        <f aca="false">K61</f>
        <v>27.5194352586399</v>
      </c>
      <c r="M28" s="13" t="n">
        <f aca="false">L61</f>
        <v>28.2247633261897</v>
      </c>
      <c r="N28" s="13" t="n">
        <f aca="false">M61</f>
        <v>29.2213465427033</v>
      </c>
      <c r="O28" s="13" t="n">
        <f aca="false">N61</f>
        <v>30.6561287515392</v>
      </c>
      <c r="P28" s="13" t="n">
        <f aca="false">O61</f>
        <v>32.6329234759346</v>
      </c>
      <c r="Q28" s="13" t="n">
        <f aca="false">P61</f>
        <v>35.2110076853235</v>
      </c>
      <c r="R28" s="13" t="n">
        <f aca="false">Q61</f>
        <v>38.4836528495282</v>
      </c>
      <c r="S28" s="13" t="n">
        <f aca="false">R61</f>
        <v>42.4479947973479</v>
      </c>
      <c r="T28" s="13" t="n">
        <f aca="false">S61</f>
        <v>47.1169111878427</v>
      </c>
      <c r="U28" s="13" t="n">
        <f aca="false">T61</f>
        <v>52.4449097566694</v>
      </c>
      <c r="V28" s="13" t="n">
        <f aca="false">U61</f>
        <v>58.4050715888005</v>
      </c>
      <c r="W28" s="13" t="n">
        <f aca="false">V61</f>
        <v>64.9208903371252</v>
      </c>
      <c r="X28" s="13" t="n">
        <f aca="false">W61</f>
        <v>71.8986503809584</v>
      </c>
      <c r="Y28" s="13" t="n">
        <f aca="false">X61</f>
        <v>79.2590072317799</v>
      </c>
      <c r="Z28" s="13" t="n">
        <f aca="false">Y61</f>
        <v>86.873875844246</v>
      </c>
      <c r="AA28" s="13" t="n">
        <f aca="false">Z61</f>
        <v>94.6483084992744</v>
      </c>
      <c r="AB28" s="13" t="n">
        <f aca="false">AA61</f>
        <v>102.712758914154</v>
      </c>
      <c r="AC28" s="13" t="n">
        <f aca="false">AB61</f>
        <v>110.404872870758</v>
      </c>
      <c r="AD28" s="13" t="n">
        <f aca="false">AC61</f>
        <v>117.914227018408</v>
      </c>
      <c r="AE28" s="13" t="n">
        <f aca="false">AD61</f>
        <v>125.092410723986</v>
      </c>
      <c r="AF28" s="13" t="n">
        <f aca="false">AE61</f>
        <v>131.865000865409</v>
      </c>
      <c r="AG28" s="13" t="n">
        <f aca="false">AF61</f>
        <v>138.116047232742</v>
      </c>
      <c r="AH28" s="13" t="n">
        <f aca="false">AG61</f>
        <v>143.802715424012</v>
      </c>
      <c r="AI28" s="13" t="n">
        <f aca="false">AH61</f>
        <v>148.856803831058</v>
      </c>
      <c r="AJ28" s="13" t="n">
        <f aca="false">AI61</f>
        <v>153.231393974776</v>
      </c>
      <c r="AK28" s="13" t="n">
        <f aca="false">AJ61</f>
        <v>156.950324948144</v>
      </c>
      <c r="AL28" s="13" t="n">
        <f aca="false">AK61</f>
        <v>160.001562136729</v>
      </c>
      <c r="AM28" s="13" t="n">
        <f aca="false">AL61</f>
        <v>162.464572301977</v>
      </c>
      <c r="AN28" s="13" t="n">
        <f aca="false">AM61</f>
        <v>164.400642299675</v>
      </c>
      <c r="AO28" s="13" t="n">
        <f aca="false">AN61</f>
        <v>165.865111552011</v>
      </c>
      <c r="AP28" s="13" t="n">
        <f aca="false">AO61</f>
        <v>167.087429240479</v>
      </c>
      <c r="AQ28" s="13" t="n">
        <f aca="false">AP61</f>
        <v>168.152686771176</v>
      </c>
      <c r="AR28" s="13" t="n">
        <f aca="false">AQ61</f>
        <v>169.220500671841</v>
      </c>
      <c r="AS28" s="13" t="n">
        <f aca="false">AR61</f>
        <v>170.274545548773</v>
      </c>
      <c r="AT28" s="13" t="n">
        <f aca="false">AS61</f>
        <v>171.370503751278</v>
      </c>
      <c r="AU28" s="13" t="n">
        <f aca="false">AT61</f>
        <v>172.469887918234</v>
      </c>
      <c r="AV28" s="13" t="n">
        <f aca="false">AU61</f>
        <v>173.547277214313</v>
      </c>
      <c r="AW28" s="13" t="n">
        <f aca="false">AV61</f>
        <v>185.584158050719</v>
      </c>
      <c r="AX28" s="13" t="n">
        <f aca="false">AW61</f>
        <v>195.382075172601</v>
      </c>
      <c r="AY28" s="13" t="n">
        <f aca="false">AX61</f>
        <v>196.271029603182</v>
      </c>
      <c r="AZ28" s="13" t="n">
        <f aca="false">AY61</f>
        <v>196.271029603182</v>
      </c>
      <c r="BA28" s="13" t="n">
        <f aca="false">AZ61</f>
        <v>196.271029603182</v>
      </c>
      <c r="BB28" s="13" t="n">
        <f aca="false">BA61</f>
        <v>196.271029603182</v>
      </c>
      <c r="BC28" s="13" t="n">
        <f aca="false">BB61</f>
        <v>196.271029603182</v>
      </c>
      <c r="BD28" s="13" t="n">
        <f aca="false">BC61</f>
        <v>196.271029603182</v>
      </c>
      <c r="BE28" s="13" t="n">
        <f aca="false">BD61</f>
        <v>196.271029603182</v>
      </c>
      <c r="BF28" s="13" t="n">
        <f aca="false">BE61</f>
        <v>196.271029603182</v>
      </c>
      <c r="BG28" s="13" t="n">
        <f aca="false">BF61</f>
        <v>196.271029603182</v>
      </c>
      <c r="BH28" s="13" t="n">
        <f aca="false">BG61</f>
        <v>196.271029603182</v>
      </c>
      <c r="BI28" s="13" t="n">
        <f aca="false">BH61</f>
        <v>196.271029603182</v>
      </c>
      <c r="BJ28" s="13" t="n">
        <f aca="false">BI61</f>
        <v>196.271029603182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19.7750943079324</v>
      </c>
      <c r="L29" s="13" t="n">
        <f aca="false">K62</f>
        <v>20.1809191896693</v>
      </c>
      <c r="M29" s="13" t="n">
        <f aca="false">L62</f>
        <v>20.6981597725391</v>
      </c>
      <c r="N29" s="13" t="n">
        <f aca="false">M62</f>
        <v>21.4289874646491</v>
      </c>
      <c r="O29" s="13" t="n">
        <f aca="false">N62</f>
        <v>22.4811610844621</v>
      </c>
      <c r="P29" s="13" t="n">
        <f aca="false">O62</f>
        <v>23.9308105490187</v>
      </c>
      <c r="Q29" s="13" t="n">
        <f aca="false">P62</f>
        <v>25.8214056359039</v>
      </c>
      <c r="R29" s="13" t="n">
        <f aca="false">Q62</f>
        <v>28.2213454229874</v>
      </c>
      <c r="S29" s="13" t="n">
        <f aca="false">R62</f>
        <v>31.1285295180551</v>
      </c>
      <c r="T29" s="13" t="n">
        <f aca="false">S62</f>
        <v>34.5524015377513</v>
      </c>
      <c r="U29" s="13" t="n">
        <f aca="false">T62</f>
        <v>38.4596004882242</v>
      </c>
      <c r="V29" s="13" t="n">
        <f aca="false">U62</f>
        <v>42.8303858317871</v>
      </c>
      <c r="W29" s="13" t="n">
        <f aca="false">V62</f>
        <v>47.6086529138918</v>
      </c>
      <c r="X29" s="13" t="n">
        <f aca="false">W62</f>
        <v>52.7256769460362</v>
      </c>
      <c r="Y29" s="13" t="n">
        <f aca="false">X62</f>
        <v>58.1232719699719</v>
      </c>
      <c r="Z29" s="13" t="n">
        <f aca="false">Y62</f>
        <v>63.7075089524471</v>
      </c>
      <c r="AA29" s="13" t="n">
        <f aca="false">Z62</f>
        <v>69.4087595661345</v>
      </c>
      <c r="AB29" s="13" t="n">
        <f aca="false">AA62</f>
        <v>75.3226898703799</v>
      </c>
      <c r="AC29" s="13" t="n">
        <f aca="false">AB62</f>
        <v>80.9635734385557</v>
      </c>
      <c r="AD29" s="13" t="n">
        <f aca="false">AC62</f>
        <v>86.4704331468325</v>
      </c>
      <c r="AE29" s="13" t="n">
        <f aca="false">AD62</f>
        <v>91.7344345309233</v>
      </c>
      <c r="AF29" s="13" t="n">
        <f aca="false">AE62</f>
        <v>96.701000634633</v>
      </c>
      <c r="AG29" s="13" t="n">
        <f aca="false">AF62</f>
        <v>101.285101304011</v>
      </c>
      <c r="AH29" s="13" t="n">
        <f aca="false">AG62</f>
        <v>105.455324644275</v>
      </c>
      <c r="AI29" s="13" t="n">
        <f aca="false">AH62</f>
        <v>109.161656142776</v>
      </c>
      <c r="AJ29" s="13" t="n">
        <f aca="false">AI62</f>
        <v>112.369688914836</v>
      </c>
      <c r="AK29" s="13" t="n">
        <f aca="false">AJ62</f>
        <v>115.096904961972</v>
      </c>
      <c r="AL29" s="13" t="n">
        <f aca="false">AK62</f>
        <v>117.334478900268</v>
      </c>
      <c r="AM29" s="13" t="n">
        <f aca="false">AL62</f>
        <v>119.140686354783</v>
      </c>
      <c r="AN29" s="13" t="n">
        <f aca="false">AM62</f>
        <v>120.560471019762</v>
      </c>
      <c r="AO29" s="13" t="n">
        <f aca="false">AN62</f>
        <v>121.634415138141</v>
      </c>
      <c r="AP29" s="13" t="n">
        <f aca="false">AO62</f>
        <v>122.530781443018</v>
      </c>
      <c r="AQ29" s="13" t="n">
        <f aca="false">AP62</f>
        <v>123.311970298862</v>
      </c>
      <c r="AR29" s="13" t="n">
        <f aca="false">AQ62</f>
        <v>124.095033826016</v>
      </c>
      <c r="AS29" s="13" t="n">
        <f aca="false">AR62</f>
        <v>124.8680000691</v>
      </c>
      <c r="AT29" s="13" t="n">
        <f aca="false">AS62</f>
        <v>125.671702750937</v>
      </c>
      <c r="AU29" s="13" t="n">
        <f aca="false">AT62</f>
        <v>126.477917806705</v>
      </c>
      <c r="AV29" s="13" t="n">
        <f aca="false">AU62</f>
        <v>127.268003290496</v>
      </c>
      <c r="AW29" s="13" t="n">
        <f aca="false">AV62</f>
        <v>136.095049237194</v>
      </c>
      <c r="AX29" s="13" t="n">
        <f aca="false">AW62</f>
        <v>143.280188459908</v>
      </c>
      <c r="AY29" s="13" t="n">
        <f aca="false">AX62</f>
        <v>143.932088375667</v>
      </c>
      <c r="AZ29" s="13" t="n">
        <f aca="false">AY62</f>
        <v>143.932088375667</v>
      </c>
      <c r="BA29" s="13" t="n">
        <f aca="false">AZ62</f>
        <v>143.932088375667</v>
      </c>
      <c r="BB29" s="13" t="n">
        <f aca="false">BA62</f>
        <v>143.932088375667</v>
      </c>
      <c r="BC29" s="13" t="n">
        <f aca="false">BB62</f>
        <v>143.932088375667</v>
      </c>
      <c r="BD29" s="13" t="n">
        <f aca="false">BC62</f>
        <v>143.932088375667</v>
      </c>
      <c r="BE29" s="13" t="n">
        <f aca="false">BD62</f>
        <v>143.932088375667</v>
      </c>
      <c r="BF29" s="13" t="n">
        <f aca="false">BE62</f>
        <v>143.932088375667</v>
      </c>
      <c r="BG29" s="13" t="n">
        <f aca="false">BF62</f>
        <v>143.932088375667</v>
      </c>
      <c r="BH29" s="13" t="n">
        <f aca="false">BG62</f>
        <v>143.932088375667</v>
      </c>
      <c r="BI29" s="13" t="n">
        <f aca="false">BH62</f>
        <v>143.932088375667</v>
      </c>
      <c r="BJ29" s="13" t="n">
        <f aca="false">BI62</f>
        <v>143.932088375667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8.98867923087838</v>
      </c>
      <c r="L30" s="13" t="n">
        <f aca="false">K63</f>
        <v>9.17314508621331</v>
      </c>
      <c r="M30" s="13" t="n">
        <f aca="false">L63</f>
        <v>9.40825444206323</v>
      </c>
      <c r="N30" s="13" t="n">
        <f aca="false">M63</f>
        <v>9.74044884756778</v>
      </c>
      <c r="O30" s="13" t="n">
        <f aca="false">N63</f>
        <v>10.2187095838464</v>
      </c>
      <c r="P30" s="13" t="n">
        <f aca="false">O63</f>
        <v>10.8776411586449</v>
      </c>
      <c r="Q30" s="13" t="n">
        <f aca="false">P63</f>
        <v>11.7370025617745</v>
      </c>
      <c r="R30" s="13" t="n">
        <f aca="false">Q63</f>
        <v>12.8278842831761</v>
      </c>
      <c r="S30" s="13" t="n">
        <f aca="false">R63</f>
        <v>14.149331599116</v>
      </c>
      <c r="T30" s="13" t="n">
        <f aca="false">S63</f>
        <v>15.7056370626142</v>
      </c>
      <c r="U30" s="13" t="n">
        <f aca="false">T63</f>
        <v>17.4816365855565</v>
      </c>
      <c r="V30" s="13" t="n">
        <f aca="false">U63</f>
        <v>19.4683571962668</v>
      </c>
      <c r="W30" s="13" t="n">
        <f aca="false">V63</f>
        <v>21.6402967790417</v>
      </c>
      <c r="X30" s="13" t="n">
        <f aca="false">W63</f>
        <v>23.9662167936528</v>
      </c>
      <c r="Y30" s="13" t="n">
        <f aca="false">X63</f>
        <v>26.41966907726</v>
      </c>
      <c r="Z30" s="13" t="n">
        <f aca="false">Y63</f>
        <v>28.9579586147487</v>
      </c>
      <c r="AA30" s="13" t="n">
        <f aca="false">Z63</f>
        <v>31.5494361664248</v>
      </c>
      <c r="AB30" s="13" t="n">
        <f aca="false">AA63</f>
        <v>34.2375863047181</v>
      </c>
      <c r="AC30" s="13" t="n">
        <f aca="false">AB63</f>
        <v>36.8016242902526</v>
      </c>
      <c r="AD30" s="13" t="n">
        <f aca="false">AC63</f>
        <v>39.3047423394693</v>
      </c>
      <c r="AE30" s="13" t="n">
        <f aca="false">AD63</f>
        <v>41.6974702413288</v>
      </c>
      <c r="AF30" s="13" t="n">
        <f aca="false">AE63</f>
        <v>43.9550002884695</v>
      </c>
      <c r="AG30" s="13" t="n">
        <f aca="false">AF63</f>
        <v>46.038682410914</v>
      </c>
      <c r="AH30" s="13" t="n">
        <f aca="false">AG63</f>
        <v>47.9342384746706</v>
      </c>
      <c r="AI30" s="13" t="n">
        <f aca="false">AH63</f>
        <v>49.6189346103526</v>
      </c>
      <c r="AJ30" s="13" t="n">
        <f aca="false">AI63</f>
        <v>51.0771313249254</v>
      </c>
      <c r="AK30" s="13" t="n">
        <f aca="false">AJ63</f>
        <v>52.3167749827147</v>
      </c>
      <c r="AL30" s="13" t="n">
        <f aca="false">AK63</f>
        <v>53.3338540455762</v>
      </c>
      <c r="AM30" s="13" t="n">
        <f aca="false">AL63</f>
        <v>54.1548574339922</v>
      </c>
      <c r="AN30" s="13" t="n">
        <f aca="false">AM63</f>
        <v>54.8002140998918</v>
      </c>
      <c r="AO30" s="13" t="n">
        <f aca="false">AN63</f>
        <v>55.288370517337</v>
      </c>
      <c r="AP30" s="13" t="n">
        <f aca="false">AO63</f>
        <v>55.6958097468264</v>
      </c>
      <c r="AQ30" s="13" t="n">
        <f aca="false">AP63</f>
        <v>56.0508955903918</v>
      </c>
      <c r="AR30" s="13" t="n">
        <f aca="false">AQ63</f>
        <v>56.4068335572802</v>
      </c>
      <c r="AS30" s="13" t="n">
        <f aca="false">AR63</f>
        <v>56.7581818495909</v>
      </c>
      <c r="AT30" s="13" t="n">
        <f aca="false">AS63</f>
        <v>57.1235012504258</v>
      </c>
      <c r="AU30" s="13" t="n">
        <f aca="false">AT63</f>
        <v>57.4899626394112</v>
      </c>
      <c r="AV30" s="13" t="n">
        <f aca="false">AU63</f>
        <v>57.8490924047709</v>
      </c>
      <c r="AW30" s="13" t="n">
        <f aca="false">AV63</f>
        <v>61.8613860169062</v>
      </c>
      <c r="AX30" s="13" t="n">
        <f aca="false">AW63</f>
        <v>65.1273583908671</v>
      </c>
      <c r="AY30" s="13" t="n">
        <f aca="false">AX63</f>
        <v>65.423676534394</v>
      </c>
      <c r="AZ30" s="13" t="n">
        <f aca="false">AY63</f>
        <v>65.423676534394</v>
      </c>
      <c r="BA30" s="13" t="n">
        <f aca="false">AZ63</f>
        <v>65.423676534394</v>
      </c>
      <c r="BB30" s="13" t="n">
        <f aca="false">BA63</f>
        <v>65.423676534394</v>
      </c>
      <c r="BC30" s="13" t="n">
        <f aca="false">BB63</f>
        <v>65.423676534394</v>
      </c>
      <c r="BD30" s="13" t="n">
        <f aca="false">BC63</f>
        <v>65.423676534394</v>
      </c>
      <c r="BE30" s="13" t="n">
        <f aca="false">BD63</f>
        <v>65.423676534394</v>
      </c>
      <c r="BF30" s="13" t="n">
        <f aca="false">BE63</f>
        <v>65.423676534394</v>
      </c>
      <c r="BG30" s="13" t="n">
        <f aca="false">BF63</f>
        <v>65.423676534394</v>
      </c>
      <c r="BH30" s="13" t="n">
        <f aca="false">BG63</f>
        <v>65.423676534394</v>
      </c>
      <c r="BI30" s="13" t="n">
        <f aca="false">BH63</f>
        <v>65.423676534394</v>
      </c>
      <c r="BJ30" s="13" t="n">
        <f aca="false">BI63</f>
        <v>65.423676534394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34.1569810773379</v>
      </c>
      <c r="L31" s="13" t="n">
        <f aca="false">K64</f>
        <v>34.8579513276106</v>
      </c>
      <c r="M31" s="13" t="n">
        <f aca="false">L64</f>
        <v>35.7513668798403</v>
      </c>
      <c r="N31" s="13" t="n">
        <f aca="false">M64</f>
        <v>37.0137056207576</v>
      </c>
      <c r="O31" s="13" t="n">
        <f aca="false">N64</f>
        <v>38.8310964186163</v>
      </c>
      <c r="P31" s="13" t="n">
        <f aca="false">O64</f>
        <v>41.3350364028505</v>
      </c>
      <c r="Q31" s="13" t="n">
        <f aca="false">P64</f>
        <v>44.6006097347431</v>
      </c>
      <c r="R31" s="13" t="n">
        <f aca="false">Q64</f>
        <v>48.7459602760691</v>
      </c>
      <c r="S31" s="13" t="n">
        <f aca="false">R64</f>
        <v>53.7674600766407</v>
      </c>
      <c r="T31" s="13" t="n">
        <f aca="false">S64</f>
        <v>59.6814208379341</v>
      </c>
      <c r="U31" s="13" t="n">
        <f aca="false">T64</f>
        <v>66.4302190251146</v>
      </c>
      <c r="V31" s="13" t="n">
        <f aca="false">U64</f>
        <v>73.979757345814</v>
      </c>
      <c r="W31" s="13" t="n">
        <f aca="false">V64</f>
        <v>82.2331277603586</v>
      </c>
      <c r="X31" s="13" t="n">
        <f aca="false">W64</f>
        <v>91.0716238158807</v>
      </c>
      <c r="Y31" s="13" t="n">
        <f aca="false">X64</f>
        <v>100.394742493588</v>
      </c>
      <c r="Z31" s="13" t="n">
        <f aca="false">Y64</f>
        <v>110.040242736045</v>
      </c>
      <c r="AA31" s="13" t="n">
        <f aca="false">Z64</f>
        <v>119.887857432414</v>
      </c>
      <c r="AB31" s="13" t="n">
        <f aca="false">AA64</f>
        <v>130.102827957929</v>
      </c>
      <c r="AC31" s="13" t="n">
        <f aca="false">AB64</f>
        <v>139.84617230296</v>
      </c>
      <c r="AD31" s="13" t="n">
        <f aca="false">AC64</f>
        <v>149.358020889983</v>
      </c>
      <c r="AE31" s="13" t="n">
        <f aca="false">AD64</f>
        <v>158.450386917049</v>
      </c>
      <c r="AF31" s="13" t="n">
        <f aca="false">AE64</f>
        <v>167.029001096184</v>
      </c>
      <c r="AG31" s="13" t="n">
        <f aca="false">AF64</f>
        <v>174.946993161473</v>
      </c>
      <c r="AH31" s="13" t="n">
        <f aca="false">AG64</f>
        <v>182.150106203748</v>
      </c>
      <c r="AI31" s="13" t="n">
        <f aca="false">AH64</f>
        <v>188.55195151934</v>
      </c>
      <c r="AJ31" s="13" t="n">
        <f aca="false">AI64</f>
        <v>194.093099034717</v>
      </c>
      <c r="AK31" s="13" t="n">
        <f aca="false">AJ64</f>
        <v>198.803744934316</v>
      </c>
      <c r="AL31" s="13" t="n">
        <f aca="false">AK64</f>
        <v>202.66864537319</v>
      </c>
      <c r="AM31" s="13" t="n">
        <f aca="false">AL64</f>
        <v>205.78845824917</v>
      </c>
      <c r="AN31" s="13" t="n">
        <f aca="false">AM64</f>
        <v>208.240813579589</v>
      </c>
      <c r="AO31" s="13" t="n">
        <f aca="false">AN64</f>
        <v>210.095807965881</v>
      </c>
      <c r="AP31" s="13" t="n">
        <f aca="false">AO64</f>
        <v>211.64407703794</v>
      </c>
      <c r="AQ31" s="13" t="n">
        <f aca="false">AP64</f>
        <v>212.993403243489</v>
      </c>
      <c r="AR31" s="13" t="n">
        <f aca="false">AQ64</f>
        <v>214.345967517665</v>
      </c>
      <c r="AS31" s="13" t="n">
        <f aca="false">AR64</f>
        <v>215.681091028446</v>
      </c>
      <c r="AT31" s="13" t="n">
        <f aca="false">AS64</f>
        <v>217.069304751618</v>
      </c>
      <c r="AU31" s="13" t="n">
        <f aca="false">AT64</f>
        <v>218.461858029762</v>
      </c>
      <c r="AV31" s="13" t="n">
        <f aca="false">AU64</f>
        <v>219.826551138129</v>
      </c>
      <c r="AW31" s="13" t="n">
        <f aca="false">AV64</f>
        <v>235.073266864244</v>
      </c>
      <c r="AX31" s="13" t="n">
        <f aca="false">AW64</f>
        <v>247.483961885295</v>
      </c>
      <c r="AY31" s="13" t="n">
        <f aca="false">AX64</f>
        <v>248.609970830697</v>
      </c>
      <c r="AZ31" s="13" t="n">
        <f aca="false">AY64</f>
        <v>248.609970830697</v>
      </c>
      <c r="BA31" s="13" t="n">
        <f aca="false">AZ64</f>
        <v>248.609970830697</v>
      </c>
      <c r="BB31" s="13" t="n">
        <f aca="false">BA64</f>
        <v>248.609970830697</v>
      </c>
      <c r="BC31" s="13" t="n">
        <f aca="false">BB64</f>
        <v>248.609970830697</v>
      </c>
      <c r="BD31" s="13" t="n">
        <f aca="false">BC64</f>
        <v>248.609970830697</v>
      </c>
      <c r="BE31" s="13" t="n">
        <f aca="false">BD64</f>
        <v>248.609970830697</v>
      </c>
      <c r="BF31" s="13" t="n">
        <f aca="false">BE64</f>
        <v>248.609970830697</v>
      </c>
      <c r="BG31" s="13" t="n">
        <f aca="false">BF64</f>
        <v>248.609970830697</v>
      </c>
      <c r="BH31" s="13" t="n">
        <f aca="false">BG64</f>
        <v>248.609970830697</v>
      </c>
      <c r="BI31" s="13" t="n">
        <f aca="false">BH64</f>
        <v>248.609970830697</v>
      </c>
      <c r="BJ31" s="13" t="n">
        <f aca="false">BI64</f>
        <v>248.609970830697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3.47055717497824E-013</v>
      </c>
      <c r="AZ32" s="13" t="n">
        <f aca="false">AY65</f>
        <v>3.47055717497824E-013</v>
      </c>
      <c r="BA32" s="13" t="n">
        <f aca="false">AZ65</f>
        <v>3.47055717497824E-013</v>
      </c>
      <c r="BB32" s="13" t="n">
        <f aca="false">BA65</f>
        <v>3.47055717497824E-013</v>
      </c>
      <c r="BC32" s="13" t="n">
        <f aca="false">BB65</f>
        <v>3.47055717497824E-013</v>
      </c>
      <c r="BD32" s="13" t="n">
        <f aca="false">BC65</f>
        <v>3.47055717497824E-013</v>
      </c>
      <c r="BE32" s="13" t="n">
        <f aca="false">BD65</f>
        <v>3.47055717497824E-013</v>
      </c>
      <c r="BF32" s="13" t="n">
        <f aca="false">BE65</f>
        <v>3.47055717497824E-013</v>
      </c>
      <c r="BG32" s="13" t="n">
        <f aca="false">BF65</f>
        <v>3.47055717497824E-013</v>
      </c>
      <c r="BH32" s="13" t="n">
        <f aca="false">BG65</f>
        <v>3.47055717497824E-013</v>
      </c>
      <c r="BI32" s="13" t="n">
        <f aca="false">BH65</f>
        <v>3.47055717497824E-013</v>
      </c>
      <c r="BJ32" s="13" t="n">
        <f aca="false">BI65</f>
        <v>3.47055717497824E-013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16.3144221121794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0.0869654715587484</v>
      </c>
      <c r="L33" s="13" t="n">
        <f aca="false">Construction!L14*L28*(Construction!L17+Inputs!$F$79)/100*Construction!L11/Inputs!$F$247*1</f>
        <v>0.0917085179994175</v>
      </c>
      <c r="M33" s="13" t="n">
        <f aca="false">Construction!M14*M28*(Construction!M17+Inputs!$F$79)/100*Construction!M11/Inputs!$F$247*1</f>
        <v>0.0910248617269617</v>
      </c>
      <c r="N33" s="13" t="n">
        <f aca="false">Construction!N14*N28*(Construction!N17+Inputs!$F$79)/100*Construction!N11/Inputs!$F$247*1</f>
        <v>0.0973801373535589</v>
      </c>
      <c r="O33" s="13" t="n">
        <f aca="false">Construction!O14*O28*(Construction!O17+Inputs!$F$79)/100*Construction!O11/Inputs!$F$247*1</f>
        <v>0.109289098999237</v>
      </c>
      <c r="P33" s="13" t="n">
        <f aca="false">Construction!P14*P28*(Construction!P17+Inputs!$F$79)/100*Construction!P11/Inputs!$F$247*1</f>
        <v>0.105078013592509</v>
      </c>
      <c r="Q33" s="13" t="n">
        <f aca="false">Construction!Q14*Q28*(Construction!Q17+Inputs!$F$79)/100*Construction!Q11/Inputs!$F$247*1</f>
        <v>0.125527242398178</v>
      </c>
      <c r="R33" s="13" t="n">
        <f aca="false">Construction!R14*R28*(Construction!R17+Inputs!$F$79)/100*Construction!R11/Inputs!$F$247*1</f>
        <v>0.132768602330872</v>
      </c>
      <c r="S33" s="13" t="n">
        <f aca="false">Construction!S14*S28*(Construction!S17+Inputs!$F$79)/100*Construction!S11/Inputs!$F$247*1</f>
        <v>0.151327101452545</v>
      </c>
      <c r="T33" s="13" t="n">
        <f aca="false">Construction!T14*T28*(Construction!T17+Inputs!$F$79)/100*Construction!T11/Inputs!$F$247*1</f>
        <v>0.162553343598057</v>
      </c>
      <c r="U33" s="13" t="n">
        <f aca="false">Construction!U14*U28*(Construction!U17+Inputs!$F$79)/100*Construction!U11/Inputs!$F$247*1</f>
        <v>0.19374023745943</v>
      </c>
      <c r="V33" s="13" t="n">
        <f aca="false">Construction!V14*V28*(Construction!V17+Inputs!$F$79)/100*Construction!V11/Inputs!$F$247*1</f>
        <v>0.215758068627627</v>
      </c>
      <c r="W33" s="13" t="n">
        <f aca="false">Construction!W14*W28*(Construction!W17+Inputs!$F$79)/100*Construction!W11/Inputs!$F$247*1</f>
        <v>0.232092182955223</v>
      </c>
      <c r="X33" s="13" t="n">
        <f aca="false">Construction!X14*X28*(Construction!X17+Inputs!$F$79)/100*Construction!X11/Inputs!$F$247*1</f>
        <v>0.265605597615657</v>
      </c>
      <c r="Y33" s="13" t="n">
        <f aca="false">Construction!Y14*Y28*(Construction!Y17+Inputs!$F$79)/100*Construction!Y11/Inputs!$F$247*1</f>
        <v>0.283350950853613</v>
      </c>
      <c r="Z33" s="13" t="n">
        <f aca="false">Construction!Z14*Z28*(Construction!Z17+Inputs!$F$79)/100*Construction!Z11/Inputs!$F$247*1</f>
        <v>0.320926576347952</v>
      </c>
      <c r="AA33" s="13" t="n">
        <f aca="false">Construction!AA14*AA28*(Construction!AA17+Inputs!$F$79)/100*Construction!AA11/Inputs!$F$247*1</f>
        <v>0.356166843122131</v>
      </c>
      <c r="AB33" s="13" t="n">
        <f aca="false">Construction!AB14*AB28*(Construction!AB17+Inputs!$F$79)/100*Construction!AB11/Inputs!$F$247*1</f>
        <v>0.361577442699744</v>
      </c>
      <c r="AC33" s="13" t="n">
        <f aca="false">Construction!AC14*AC28*(Construction!AC17+Inputs!$F$79)/100*Construction!AC11/Inputs!$F$247*1</f>
        <v>0.41545967021671</v>
      </c>
      <c r="AD33" s="13" t="n">
        <f aca="false">Construction!AD14*AD28*(Construction!AD17+Inputs!$F$79)/100*Construction!AD11/Inputs!$F$247*1</f>
        <v>0.429404310058702</v>
      </c>
      <c r="AE33" s="13" t="n">
        <f aca="false">Construction!AE14*AE28*(Construction!AE17+Inputs!$F$79)/100*Construction!AE11/Inputs!$F$247*1</f>
        <v>0.470729691132734</v>
      </c>
      <c r="AF33" s="13" t="n">
        <f aca="false">Construction!AF14*AF28*(Construction!AF17+Inputs!$F$79)/100*Construction!AF11/Inputs!$F$247*1</f>
        <v>0.48020837815153</v>
      </c>
      <c r="AG33" s="13" t="n">
        <f aca="false">Construction!AG14*AG28*(Construction!AG17+Inputs!$F$79)/100*Construction!AG11/Inputs!$F$247*1</f>
        <v>0.524495689366338</v>
      </c>
      <c r="AH33" s="13" t="n">
        <f aca="false">Construction!AH14*AH28*(Construction!AH17+Inputs!$F$79)/100*Construction!AH11/Inputs!$F$247*1</f>
        <v>0.546090811822685</v>
      </c>
      <c r="AI33" s="13" t="n">
        <f aca="false">Construction!AI14*AI28*(Construction!AI17+Inputs!$F$79)/100*Construction!AI11/Inputs!$F$247*1</f>
        <v>0.547048754079137</v>
      </c>
      <c r="AJ33" s="13" t="n">
        <f aca="false">Construction!AJ14*AJ28*(Construction!AJ17+Inputs!$F$79)/100*Construction!AJ11/Inputs!$F$247*1</f>
        <v>0.581896218619213</v>
      </c>
      <c r="AK33" s="13" t="n">
        <f aca="false">Construction!AK14*AK28*(Construction!AK17+Inputs!$F$79)/100*Construction!AK11/Inputs!$F$247*1</f>
        <v>0.576792444184429</v>
      </c>
      <c r="AL33" s="13" t="n">
        <f aca="false">Construction!AL14*AL28*(Construction!AL17+Inputs!$F$79)/100*Construction!AL11/Inputs!$F$247*1</f>
        <v>0.607605932214227</v>
      </c>
      <c r="AM33" s="13" t="n">
        <f aca="false">Construction!AM14*AM28*(Construction!AM17+Inputs!$F$79)/100*Construction!AM11/Inputs!$F$247*1</f>
        <v>0.62115621476789</v>
      </c>
      <c r="AN33" s="13" t="n">
        <f aca="false">Construction!AN14*AN28*(Construction!AN17+Inputs!$F$79)/100*Construction!AN11/Inputs!$F$247*1</f>
        <v>0.567730218074879</v>
      </c>
      <c r="AO33" s="13" t="n">
        <f aca="false">Construction!AO14*AO28*(Construction!AO17+Inputs!$F$79)/100*Construction!AO11/Inputs!$F$247*1</f>
        <v>0.634157609833856</v>
      </c>
      <c r="AP33" s="13" t="n">
        <f aca="false">Construction!AP14*AP28*(Construction!AP17+Inputs!$F$79)/100*Construction!AP11/Inputs!$F$247*1</f>
        <v>0.618223488189772</v>
      </c>
      <c r="AQ33" s="13" t="n">
        <f aca="false">Construction!AQ14*AQ28*(Construction!AQ17+Inputs!$F$79)/100*Construction!AQ11/Inputs!$F$247*1</f>
        <v>0.642903772421794</v>
      </c>
      <c r="AR33" s="13" t="n">
        <f aca="false">Construction!AR14*AR28*(Construction!AR17+Inputs!$F$79)/100*Construction!AR11/Inputs!$F$247*1</f>
        <v>0.62611585248581</v>
      </c>
      <c r="AS33" s="13" t="n">
        <f aca="false">Construction!AS14*AS28*(Construction!AS17+Inputs!$F$79)/100*Construction!AS11/Inputs!$F$247*1</f>
        <v>0.651016345814808</v>
      </c>
      <c r="AT33" s="13" t="n">
        <f aca="false">Construction!AT14*AT28*(Construction!AT17+Inputs!$F$79)/100*Construction!AT11/Inputs!$F$247*1</f>
        <v>0.655206559342384</v>
      </c>
      <c r="AU33" s="13" t="n">
        <f aca="false">Construction!AU14*AU28*(Construction!AU17+Inputs!$F$79)/100*Construction!AU11/Inputs!$F$247*1</f>
        <v>0.638138585297464</v>
      </c>
      <c r="AV33" s="13" t="n">
        <f aca="false">Construction!AV14*AV28*(Construction!AV17+Inputs!$F$79)/100*Construction!AV11/Inputs!$F$247*1</f>
        <v>0.663529089882721</v>
      </c>
      <c r="AW33" s="13" t="n">
        <f aca="false">Construction!AW14*AW28*(Construction!AW17+Inputs!$F$79)/100*Construction!AW11/Inputs!$F$247*1</f>
        <v>0.686661384787659</v>
      </c>
      <c r="AX33" s="13" t="n">
        <f aca="false">Construction!AX14*AX28*(Construction!AX17+Inputs!$F$79)/100*Construction!AX11/Inputs!$F$247*1</f>
        <v>0.747010800743245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18.2477363908936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0.101676943233286</v>
      </c>
      <c r="L34" s="13" t="n">
        <f aca="false">Construction!L14*L29*(Construction!L17+Inputs!$F$80)/100*Construction!L11/Inputs!$F$247*1</f>
        <v>0.10722234481689</v>
      </c>
      <c r="M34" s="13" t="n">
        <f aca="false">Construction!M14*M29*(Construction!M17+Inputs!$F$80)/100*Construction!M11/Inputs!$F$247*1</f>
        <v>0.106423038163805</v>
      </c>
      <c r="N34" s="13" t="n">
        <f aca="false">Construction!N14*N29*(Construction!N17+Inputs!$F$80)/100*Construction!N11/Inputs!$F$247*1</f>
        <v>0.113853400898984</v>
      </c>
      <c r="O34" s="13" t="n">
        <f aca="false">Construction!O14*O29*(Construction!O17+Inputs!$F$80)/100*Construction!O11/Inputs!$F$247*1</f>
        <v>0.124670527747278</v>
      </c>
      <c r="P34" s="13" t="n">
        <f aca="false">Construction!P14*P29*(Construction!P17+Inputs!$F$80)/100*Construction!P11/Inputs!$F$247*1</f>
        <v>0.119866771061085</v>
      </c>
      <c r="Q34" s="13" t="n">
        <f aca="false">Construction!Q14*Q29*(Construction!Q17+Inputs!$F$80)/100*Construction!Q11/Inputs!$F$247*1</f>
        <v>0.143194039476441</v>
      </c>
      <c r="R34" s="13" t="n">
        <f aca="false">Construction!R14*R29*(Construction!R17+Inputs!$F$80)/100*Construction!R11/Inputs!$F$247*1</f>
        <v>0.151454553770032</v>
      </c>
      <c r="S34" s="13" t="n">
        <f aca="false">Construction!S14*S29*(Construction!S17+Inputs!$F$80)/100*Construction!S11/Inputs!$F$247*1</f>
        <v>0.172624989805126</v>
      </c>
      <c r="T34" s="13" t="n">
        <f aca="false">Construction!T14*T29*(Construction!T17+Inputs!$F$80)/100*Construction!T11/Inputs!$F$247*1</f>
        <v>0.185431221585932</v>
      </c>
      <c r="U34" s="13" t="n">
        <f aca="false">Construction!U14*U29*(Construction!U17+Inputs!$F$80)/100*Construction!U11/Inputs!$F$247*1</f>
        <v>0.218247549548315</v>
      </c>
      <c r="V34" s="13" t="n">
        <f aca="false">Construction!V14*V29*(Construction!V17+Inputs!$F$80)/100*Construction!V11/Inputs!$F$247*1</f>
        <v>0.243050542265994</v>
      </c>
      <c r="W34" s="13" t="n">
        <f aca="false">Construction!W14*W29*(Construction!W17+Inputs!$F$80)/100*Construction!W11/Inputs!$F$247*1</f>
        <v>0.261450852252123</v>
      </c>
      <c r="X34" s="13" t="n">
        <f aca="false">Construction!X14*X29*(Construction!X17+Inputs!$F$80)/100*Construction!X11/Inputs!$F$247*1</f>
        <v>0.299203570647381</v>
      </c>
      <c r="Y34" s="13" t="n">
        <f aca="false">Construction!Y14*Y29*(Construction!Y17+Inputs!$F$80)/100*Construction!Y11/Inputs!$F$247*1</f>
        <v>0.319193635235096</v>
      </c>
      <c r="Z34" s="13" t="n">
        <f aca="false">Construction!Z14*Z29*(Construction!Z17+Inputs!$F$80)/100*Construction!Z11/Inputs!$F$247*1</f>
        <v>0.361522416774873</v>
      </c>
      <c r="AA34" s="13" t="n">
        <f aca="false">Construction!AA14*AA29*(Construction!AA17+Inputs!$F$80)/100*Construction!AA11/Inputs!$F$247*1</f>
        <v>0.39865692265249</v>
      </c>
      <c r="AB34" s="13" t="n">
        <f aca="false">Construction!AB14*AB29*(Construction!AB17+Inputs!$F$80)/100*Construction!AB11/Inputs!$F$247*1</f>
        <v>0.404712997267433</v>
      </c>
      <c r="AC34" s="13" t="n">
        <f aca="false">Construction!AC14*AC29*(Construction!AC17+Inputs!$F$80)/100*Construction!AC11/Inputs!$F$247*1</f>
        <v>0.465023279996949</v>
      </c>
      <c r="AD34" s="13" t="n">
        <f aca="false">Construction!AD14*AD29*(Construction!AD17+Inputs!$F$80)/100*Construction!AD11/Inputs!$F$247*1</f>
        <v>0.480631490907811</v>
      </c>
      <c r="AE34" s="13" t="n">
        <f aca="false">Construction!AE14*AE29*(Construction!AE17+Inputs!$F$80)/100*Construction!AE11/Inputs!$F$247*1</f>
        <v>0.526886917443306</v>
      </c>
      <c r="AF34" s="13" t="n">
        <f aca="false">Construction!AF14*AF29*(Construction!AF17+Inputs!$F$80)/100*Construction!AF11/Inputs!$F$247*1</f>
        <v>0.537496395194168</v>
      </c>
      <c r="AG34" s="13" t="n">
        <f aca="false">Construction!AG14*AG29*(Construction!AG17+Inputs!$F$80)/100*Construction!AG11/Inputs!$F$247*1</f>
        <v>0.585230942284647</v>
      </c>
      <c r="AH34" s="13" t="n">
        <f aca="false">Construction!AH14*AH29*(Construction!AH17+Inputs!$F$80)/100*Construction!AH11/Inputs!$F$247*1</f>
        <v>0.60932672442377</v>
      </c>
      <c r="AI34" s="13" t="n">
        <f aca="false">Construction!AI14*AI29*(Construction!AI17+Inputs!$F$80)/100*Construction!AI11/Inputs!$F$247*1</f>
        <v>0.610395593931687</v>
      </c>
      <c r="AJ34" s="13" t="n">
        <f aca="false">Construction!AJ14*AJ29*(Construction!AJ17+Inputs!$F$80)/100*Construction!AJ11/Inputs!$F$247*1</f>
        <v>0.649278305310417</v>
      </c>
      <c r="AK34" s="13" t="n">
        <f aca="false">Construction!AK14*AK29*(Construction!AK17+Inputs!$F$80)/100*Construction!AK11/Inputs!$F$247*1</f>
        <v>0.643583526912361</v>
      </c>
      <c r="AL34" s="13" t="n">
        <f aca="false">Construction!AL14*AL29*(Construction!AL17+Inputs!$F$80)/100*Construction!AL11/Inputs!$F$247*1</f>
        <v>0.677965137667908</v>
      </c>
      <c r="AM34" s="13" t="n">
        <f aca="false">Construction!AM14*AM29*(Construction!AM17+Inputs!$F$80)/100*Construction!AM11/Inputs!$F$247*1</f>
        <v>0.69147930574912</v>
      </c>
      <c r="AN34" s="13" t="n">
        <f aca="false">Construction!AN14*AN29*(Construction!AN17+Inputs!$F$80)/100*Construction!AN11/Inputs!$F$247*1</f>
        <v>0.632004780301374</v>
      </c>
      <c r="AO34" s="13" t="n">
        <f aca="false">Construction!AO14*AO29*(Construction!AO17+Inputs!$F$80)/100*Construction!AO11/Inputs!$F$247*1</f>
        <v>0.705952630526758</v>
      </c>
      <c r="AP34" s="13" t="n">
        <f aca="false">Construction!AP14*AP29*(Construction!AP17+Inputs!$F$80)/100*Construction!AP11/Inputs!$F$247*1</f>
        <v>0.688214555771618</v>
      </c>
      <c r="AQ34" s="13" t="n">
        <f aca="false">Construction!AQ14*AQ29*(Construction!AQ17+Inputs!$F$80)/100*Construction!AQ11/Inputs!$F$247*1</f>
        <v>0.715688974284562</v>
      </c>
      <c r="AR34" s="13" t="n">
        <f aca="false">Construction!AR14*AR29*(Construction!AR17+Inputs!$F$80)/100*Construction!AR11/Inputs!$F$247*1</f>
        <v>0.697000439989459</v>
      </c>
      <c r="AS34" s="13" t="n">
        <f aca="false">Construction!AS14*AS29*(Construction!AS17+Inputs!$F$80)/100*Construction!AS11/Inputs!$F$247*1</f>
        <v>0.724719998178827</v>
      </c>
      <c r="AT34" s="13" t="n">
        <f aca="false">Construction!AT14*AT29*(Construction!AT17+Inputs!$F$80)/100*Construction!AT11/Inputs!$F$247*1</f>
        <v>0.72938459924391</v>
      </c>
      <c r="AU34" s="13" t="n">
        <f aca="false">Construction!AU14*AU29*(Construction!AU17+Inputs!$F$80)/100*Construction!AU11/Inputs!$F$247*1</f>
        <v>0.710384305014324</v>
      </c>
      <c r="AV34" s="13" t="n">
        <f aca="false">Construction!AV14*AV29*(Construction!AV17+Inputs!$F$80)/100*Construction!AV11/Inputs!$F$247*1</f>
        <v>0.738649350208784</v>
      </c>
      <c r="AW34" s="13" t="n">
        <f aca="false">Construction!AW14*AW29*(Construction!AW17+Inputs!$F$80)/100*Construction!AW11/Inputs!$F$247*1</f>
        <v>0.764400526548905</v>
      </c>
      <c r="AX34" s="13" t="n">
        <f aca="false">Construction!AX14*AX29*(Construction!AX17+Inputs!$F$80)/100*Construction!AX11/Inputs!$F$247*1</f>
        <v>0.831582293800364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7.983959879163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0.0443441508723334</v>
      </c>
      <c r="L35" s="13" t="n">
        <f aca="false">Construction!L14*L30*(Construction!L17+Inputs!$F$81)/100*Construction!L11/Inputs!$F$247*1</f>
        <v>0.0467626551728296</v>
      </c>
      <c r="M35" s="13" t="n">
        <f aca="false">Construction!M14*M30*(Construction!M17+Inputs!$F$81)/100*Construction!M11/Inputs!$F$247*1</f>
        <v>0.0464140552475119</v>
      </c>
      <c r="N35" s="13" t="n">
        <f aca="false">Construction!N14*N30*(Construction!N17+Inputs!$F$81)/100*Construction!N11/Inputs!$F$247*1</f>
        <v>0.0496546436807122</v>
      </c>
      <c r="O35" s="13" t="n">
        <f aca="false">Construction!O14*O30*(Construction!O17+Inputs!$F$81)/100*Construction!O11/Inputs!$F$247*1</f>
        <v>0.0544685606123412</v>
      </c>
      <c r="P35" s="13" t="n">
        <f aca="false">Construction!P14*P30*(Construction!P17+Inputs!$F$81)/100*Construction!P11/Inputs!$F$247*1</f>
        <v>0.052369799044898</v>
      </c>
      <c r="Q35" s="13" t="n">
        <f aca="false">Construction!Q14*Q30*(Construction!Q17+Inputs!$F$81)/100*Construction!Q11/Inputs!$F$247*1</f>
        <v>0.0625614839327475</v>
      </c>
      <c r="R35" s="13" t="n">
        <f aca="false">Construction!R14*R30*(Construction!R17+Inputs!$F$81)/100*Construction!R11/Inputs!$F$247*1</f>
        <v>0.0661705030940499</v>
      </c>
      <c r="S35" s="13" t="n">
        <f aca="false">Construction!S14*S30*(Construction!S17+Inputs!$F$81)/100*Construction!S11/Inputs!$F$247*1</f>
        <v>0.0754198677931767</v>
      </c>
      <c r="T35" s="13" t="n">
        <f aca="false">Construction!T14*T30*(Construction!T17+Inputs!$F$81)/100*Construction!T11/Inputs!$F$247*1</f>
        <v>0.0810149111813184</v>
      </c>
      <c r="U35" s="13" t="n">
        <f aca="false">Construction!U14*U30*(Construction!U17+Inputs!$F$81)/100*Construction!U11/Inputs!$F$247*1</f>
        <v>0.095440023736813</v>
      </c>
      <c r="V35" s="13" t="n">
        <f aca="false">Construction!V14*V30*(Construction!V17+Inputs!$F$81)/100*Construction!V11/Inputs!$F$247*1</f>
        <v>0.106286414537619</v>
      </c>
      <c r="W35" s="13" t="n">
        <f aca="false">Construction!W14*W30*(Construction!W17+Inputs!$F$81)/100*Construction!W11/Inputs!$F$247*1</f>
        <v>0.114332901315937</v>
      </c>
      <c r="X35" s="13" t="n">
        <f aca="false">Construction!X14*X30*(Construction!X17+Inputs!$F$81)/100*Construction!X11/Inputs!$F$247*1</f>
        <v>0.130842229128459</v>
      </c>
      <c r="Y35" s="13" t="n">
        <f aca="false">Construction!Y14*Y30*(Construction!Y17+Inputs!$F$81)/100*Construction!Y11/Inputs!$F$247*1</f>
        <v>0.139583918291523</v>
      </c>
      <c r="Z35" s="13" t="n">
        <f aca="false">Construction!Z14*Z30*(Construction!Z17+Inputs!$F$81)/100*Construction!Z11/Inputs!$F$247*1</f>
        <v>0.158094366281742</v>
      </c>
      <c r="AA35" s="13" t="n">
        <f aca="false">Construction!AA14*AA30*(Construction!AA17+Inputs!$F$81)/100*Construction!AA11/Inputs!$F$247*1</f>
        <v>0.174415799606718</v>
      </c>
      <c r="AB35" s="13" t="n">
        <f aca="false">Construction!AB14*AB30*(Construction!AB17+Inputs!$F$81)/100*Construction!AB11/Inputs!$F$247*1</f>
        <v>0.177065383839234</v>
      </c>
      <c r="AC35" s="13" t="n">
        <f aca="false">Construction!AC14*AC30*(Construction!AC17+Inputs!$F$81)/100*Construction!AC11/Inputs!$F$247*1</f>
        <v>0.203451646284613</v>
      </c>
      <c r="AD35" s="13" t="n">
        <f aca="false">Construction!AD14*AD30*(Construction!AD17+Inputs!$F$81)/100*Construction!AD11/Inputs!$F$247*1</f>
        <v>0.210280371516161</v>
      </c>
      <c r="AE35" s="13" t="n">
        <f aca="false">Construction!AE14*AE30*(Construction!AE17+Inputs!$F$81)/100*Construction!AE11/Inputs!$F$247*1</f>
        <v>0.230517514650813</v>
      </c>
      <c r="AF35" s="13" t="n">
        <f aca="false">Construction!AF14*AF30*(Construction!AF17+Inputs!$F$81)/100*Construction!AF11/Inputs!$F$247*1</f>
        <v>0.235159251543312</v>
      </c>
      <c r="AG35" s="13" t="n">
        <f aca="false">Construction!AG14*AG30*(Construction!AG17+Inputs!$F$81)/100*Construction!AG11/Inputs!$F$247*1</f>
        <v>0.256102959433601</v>
      </c>
      <c r="AH35" s="13" t="n">
        <f aca="false">Construction!AH14*AH30*(Construction!AH17+Inputs!$F$81)/100*Construction!AH11/Inputs!$F$247*1</f>
        <v>0.266647516581598</v>
      </c>
      <c r="AI35" s="13" t="n">
        <f aca="false">Construction!AI14*AI30*(Construction!AI17+Inputs!$F$81)/100*Construction!AI11/Inputs!$F$247*1</f>
        <v>0.267115264652398</v>
      </c>
      <c r="AJ35" s="13" t="n">
        <f aca="false">Construction!AJ14*AJ30*(Construction!AJ17+Inputs!$F$81)/100*Construction!AJ11/Inputs!$F$247*1</f>
        <v>0.284130731086932</v>
      </c>
      <c r="AK35" s="13" t="n">
        <f aca="false">Construction!AK14*AK30*(Construction!AK17+Inputs!$F$81)/100*Construction!AK11/Inputs!$F$247*1</f>
        <v>0.281638638656947</v>
      </c>
      <c r="AL35" s="13" t="n">
        <f aca="false">Construction!AL14*AL30*(Construction!AL17+Inputs!$F$81)/100*Construction!AL11/Inputs!$F$247*1</f>
        <v>0.296684378087975</v>
      </c>
      <c r="AM35" s="13" t="n">
        <f aca="false">Construction!AM14*AM30*(Construction!AM17+Inputs!$F$81)/100*Construction!AM11/Inputs!$F$247*1</f>
        <v>0.302650437976247</v>
      </c>
      <c r="AN35" s="13" t="n">
        <f aca="false">Construction!AN14*AN30*(Construction!AN17+Inputs!$F$81)/100*Construction!AN11/Inputs!$F$247*1</f>
        <v>0.276619302950898</v>
      </c>
      <c r="AO35" s="13" t="n">
        <f aca="false">Construction!AO14*AO30*(Construction!AO17+Inputs!$F$81)/100*Construction!AO11/Inputs!$F$247*1</f>
        <v>0.308985201788418</v>
      </c>
      <c r="AP35" s="13" t="n">
        <f aca="false">Construction!AP14*AP30*(Construction!AP17+Inputs!$F$81)/100*Construction!AP11/Inputs!$F$247*1</f>
        <v>0.301221504380753</v>
      </c>
      <c r="AQ35" s="13" t="n">
        <f aca="false">Construction!AQ14*AQ30*(Construction!AQ17+Inputs!$F$81)/100*Construction!AQ11/Inputs!$F$247*1</f>
        <v>0.313246657884193</v>
      </c>
      <c r="AR35" s="13" t="n">
        <f aca="false">Construction!AR14*AR30*(Construction!AR17+Inputs!$F$81)/100*Construction!AR11/Inputs!$F$247*1</f>
        <v>0.305066958155624</v>
      </c>
      <c r="AS35" s="13" t="n">
        <f aca="false">Construction!AS14*AS30*(Construction!AS17+Inputs!$F$81)/100*Construction!AS11/Inputs!$F$247*1</f>
        <v>0.317199405731089</v>
      </c>
      <c r="AT35" s="13" t="n">
        <f aca="false">Construction!AT14*AT30*(Construction!AT17+Inputs!$F$81)/100*Construction!AT11/Inputs!$F$247*1</f>
        <v>0.319241033793699</v>
      </c>
      <c r="AU35" s="13" t="n">
        <f aca="false">Construction!AU14*AU30*(Construction!AU17+Inputs!$F$81)/100*Construction!AU11/Inputs!$F$247*1</f>
        <v>0.310924881274816</v>
      </c>
      <c r="AV35" s="13" t="n">
        <f aca="false">Construction!AV14*AV30*(Construction!AV17+Inputs!$F$81)/100*Construction!AV11/Inputs!$F$247*1</f>
        <v>0.323296080580996</v>
      </c>
      <c r="AW35" s="13" t="n">
        <f aca="false">Construction!AW14*AW30*(Construction!AW17+Inputs!$F$81)/100*Construction!AW11/Inputs!$F$247*1</f>
        <v>0.334566996041435</v>
      </c>
      <c r="AX35" s="13" t="n">
        <f aca="false">Construction!AX14*AX30*(Construction!AX17+Inputs!$F$81)/100*Construction!AX11/Inputs!$F$247*1</f>
        <v>0.363971478740515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37.3804479482137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0.209369643270349</v>
      </c>
      <c r="L36" s="13" t="n">
        <f aca="false">Construction!L14*L31*(Construction!L17+Inputs!$F$82)/100*Construction!L11/Inputs!$F$247*(1/(1-Inputs!$F$93/100))</f>
        <v>0.220788542328773</v>
      </c>
      <c r="M36" s="13" t="n">
        <f aca="false">Construction!M14*M31*(Construction!M17+Inputs!$F$82)/100*Construction!M11/Inputs!$F$247*(1/(1-Inputs!$F$93/100))</f>
        <v>0.219142637726428</v>
      </c>
      <c r="N36" s="13" t="n">
        <f aca="false">Construction!N14*N31*(Construction!N17+Inputs!$F$82)/100*Construction!N11/Inputs!$F$247*(1/(1-Inputs!$F$93/100))</f>
        <v>0.234442983564564</v>
      </c>
      <c r="O36" s="13" t="n">
        <f aca="false">Construction!O14*O31*(Construction!O17+Inputs!$F$82)/100*Construction!O11/Inputs!$F$247*(1/(1-Inputs!$F$93/100))</f>
        <v>0.255985613705317</v>
      </c>
      <c r="P36" s="13" t="n">
        <f aca="false">Construction!P14*P31*(Construction!P17+Inputs!$F$82)/100*Construction!P11/Inputs!$F$247*(1/(1-Inputs!$F$93/100))</f>
        <v>0.246122074778948</v>
      </c>
      <c r="Q36" s="13" t="n">
        <f aca="false">Construction!Q14*Q31*(Construction!Q17+Inputs!$F$82)/100*Construction!Q11/Inputs!$F$247*(1/(1-Inputs!$F$93/100))</f>
        <v>0.294019883742092</v>
      </c>
      <c r="R36" s="13" t="n">
        <f aca="false">Construction!R14*R31*(Construction!R17+Inputs!$F$82)/100*Construction!R11/Inputs!$F$247*(1/(1-Inputs!$F$93/100))</f>
        <v>0.310981172501959</v>
      </c>
      <c r="S36" s="13" t="n">
        <f aca="false">Construction!S14*S31*(Construction!S17+Inputs!$F$82)/100*Construction!S11/Inputs!$F$247*(1/(1-Inputs!$F$93/100))</f>
        <v>0.354450364128694</v>
      </c>
      <c r="T36" s="13" t="n">
        <f aca="false">Construction!T14*T31*(Construction!T17+Inputs!$F$82)/100*Construction!T11/Inputs!$F$247*(1/(1-Inputs!$F$93/100))</f>
        <v>0.380745360716079</v>
      </c>
      <c r="U36" s="13" t="n">
        <f aca="false">Construction!U14*U31*(Construction!U17+Inputs!$F$82)/100*Construction!U11/Inputs!$F$247*(1/(1-Inputs!$F$93/100))</f>
        <v>0.447460833334599</v>
      </c>
      <c r="V36" s="13" t="n">
        <f aca="false">Construction!V14*V31*(Construction!V17+Inputs!$F$82)/100*Construction!V11/Inputs!$F$247*(1/(1-Inputs!$F$93/100))</f>
        <v>0.498313032196001</v>
      </c>
      <c r="W36" s="13" t="n">
        <f aca="false">Construction!W14*W31*(Construction!W17+Inputs!$F$82)/100*Construction!W11/Inputs!$F$247*(1/(1-Inputs!$F$93/100))</f>
        <v>0.536038166141597</v>
      </c>
      <c r="X36" s="13" t="n">
        <f aca="false">Construction!X14*X31*(Construction!X17+Inputs!$F$82)/100*Construction!X11/Inputs!$F$247*(1/(1-Inputs!$F$93/100))</f>
        <v>0.613440468567216</v>
      </c>
      <c r="Y36" s="13" t="n">
        <f aca="false">Construction!Y14*Y31*(Construction!Y17+Inputs!$F$82)/100*Construction!Y11/Inputs!$F$247*(1/(1-Inputs!$F$93/100))</f>
        <v>0.65442498810635</v>
      </c>
      <c r="Z36" s="13" t="n">
        <f aca="false">Construction!Z14*Z31*(Construction!Z17+Inputs!$F$82)/100*Construction!Z11/Inputs!$F$247*(1/(1-Inputs!$F$93/100))</f>
        <v>0.741209338725755</v>
      </c>
      <c r="AA36" s="13" t="n">
        <f aca="false">Construction!AA14*AA31*(Construction!AA17+Inputs!$F$82)/100*Construction!AA11/Inputs!$F$247*(1/(1-Inputs!$F$93/100))</f>
        <v>0.816717527545755</v>
      </c>
      <c r="AB36" s="13" t="n">
        <f aca="false">Construction!AB14*AB31*(Construction!AB17+Inputs!$F$82)/100*Construction!AB11/Inputs!$F$247*(1/(1-Inputs!$F$93/100))</f>
        <v>0.829124441875097</v>
      </c>
      <c r="AC36" s="13" t="n">
        <f aca="false">Construction!AC14*AC31*(Construction!AC17+Inputs!$F$82)/100*Construction!AC11/Inputs!$F$247*(1/(1-Inputs!$F$93/100))</f>
        <v>0.952680467614485</v>
      </c>
      <c r="AD36" s="13" t="n">
        <f aca="false">Construction!AD14*AD31*(Construction!AD17+Inputs!$F$82)/100*Construction!AD11/Inputs!$F$247*(1/(1-Inputs!$F$93/100))</f>
        <v>0.984656582163594</v>
      </c>
      <c r="AE36" s="13" t="n">
        <f aca="false">Construction!AE14*AE31*(Construction!AE17+Inputs!$F$82)/100*Construction!AE11/Inputs!$F$247*(1/(1-Inputs!$F$93/100))</f>
        <v>1.0794188086522</v>
      </c>
      <c r="AF36" s="13" t="n">
        <f aca="false">Construction!AF14*AF31*(Construction!AF17+Inputs!$F$82)/100*Construction!AF11/Inputs!$F$247*(1/(1-Inputs!$F$93/100))</f>
        <v>1.10115415537484</v>
      </c>
      <c r="AG36" s="13" t="n">
        <f aca="false">Construction!AG14*AG31*(Construction!AG17+Inputs!$F$82)/100*Construction!AG11/Inputs!$F$247*(1/(1-Inputs!$F$93/100))</f>
        <v>1.19849489512718</v>
      </c>
      <c r="AH36" s="13" t="n">
        <f aca="false">Construction!AH14*AH31*(Construction!AH17+Inputs!$F$82)/100*Construction!AH11/Inputs!$F$247*(1/(1-Inputs!$F$93/100))</f>
        <v>1.24784066583284</v>
      </c>
      <c r="AI36" s="13" t="n">
        <f aca="false">Construction!AI14*AI31*(Construction!AI17+Inputs!$F$82)/100*Construction!AI11/Inputs!$F$247*(1/(1-Inputs!$F$93/100))</f>
        <v>1.2500296045171</v>
      </c>
      <c r="AJ36" s="13" t="n">
        <f aca="false">Construction!AJ14*AJ31*(Construction!AJ17+Inputs!$F$82)/100*Construction!AJ11/Inputs!$F$247*(1/(1-Inputs!$F$93/100))</f>
        <v>1.32965753894277</v>
      </c>
      <c r="AK36" s="13" t="n">
        <f aca="false">Construction!AK14*AK31*(Construction!AK17+Inputs!$F$82)/100*Construction!AK11/Inputs!$F$247*(1/(1-Inputs!$F$93/100))</f>
        <v>1.31799519789787</v>
      </c>
      <c r="AL36" s="13" t="n">
        <f aca="false">Construction!AL14*AL31*(Construction!AL17+Inputs!$F$82)/100*Construction!AL11/Inputs!$F$247*(1/(1-Inputs!$F$93/100))</f>
        <v>1.38840532490843</v>
      </c>
      <c r="AM36" s="13" t="n">
        <f aca="false">Construction!AM14*AM31*(Construction!AM17+Inputs!$F$82)/100*Construction!AM11/Inputs!$F$247*(1/(1-Inputs!$F$93/100))</f>
        <v>1.41568485985054</v>
      </c>
      <c r="AN36" s="13" t="n">
        <f aca="false">Construction!AN14*AN31*(Construction!AN17+Inputs!$F$82)/100*Construction!AN11/Inputs!$F$247*(1/(1-Inputs!$F$93/100))</f>
        <v>1.29392100585935</v>
      </c>
      <c r="AO36" s="13" t="n">
        <f aca="false">Construction!AO14*AO31*(Construction!AO17+Inputs!$F$82)/100*Construction!AO11/Inputs!$F$247*(1/(1-Inputs!$F$93/100))</f>
        <v>1.44531650115788</v>
      </c>
      <c r="AP36" s="13" t="n">
        <f aca="false">Construction!AP14*AP31*(Construction!AP17+Inputs!$F$82)/100*Construction!AP11/Inputs!$F$247*(1/(1-Inputs!$F$93/100))</f>
        <v>1.40900084620629</v>
      </c>
      <c r="AQ36" s="13" t="n">
        <f aca="false">Construction!AQ14*AQ31*(Construction!AQ17+Inputs!$F$82)/100*Construction!AQ11/Inputs!$F$247*(1/(1-Inputs!$F$93/100))</f>
        <v>1.46524998916485</v>
      </c>
      <c r="AR36" s="13" t="n">
        <f aca="false">Construction!AR14*AR31*(Construction!AR17+Inputs!$F$82)/100*Construction!AR11/Inputs!$F$247*(1/(1-Inputs!$F$93/100))</f>
        <v>1.42698843190001</v>
      </c>
      <c r="AS36" s="13" t="n">
        <f aca="false">Construction!AS14*AS31*(Construction!AS17+Inputs!$F$82)/100*Construction!AS11/Inputs!$F$247*(1/(1-Inputs!$F$93/100))</f>
        <v>1.48373945615217</v>
      </c>
      <c r="AT36" s="13" t="n">
        <f aca="false">Construction!AT14*AT31*(Construction!AT17+Inputs!$F$82)/100*Construction!AT11/Inputs!$F$247*(1/(1-Inputs!$F$93/100))</f>
        <v>1.49328942395334</v>
      </c>
      <c r="AU36" s="13" t="n">
        <f aca="false">Construction!AU14*AU31*(Construction!AU17+Inputs!$F$82)/100*Construction!AU11/Inputs!$F$247*(1/(1-Inputs!$F$93/100))</f>
        <v>1.45438959188333</v>
      </c>
      <c r="AV36" s="13" t="n">
        <f aca="false">Construction!AV14*AV31*(Construction!AV17+Inputs!$F$82)/100*Construction!AV11/Inputs!$F$247*(1/(1-Inputs!$F$93/100))</f>
        <v>1.5122574068882</v>
      </c>
      <c r="AW36" s="13" t="n">
        <f aca="false">Construction!AW14*AW31*(Construction!AW17+Inputs!$F$82)/100*Construction!AW11/Inputs!$F$247*(1/(1-Inputs!$F$93/100))</f>
        <v>1.56497850810547</v>
      </c>
      <c r="AX36" s="13" t="n">
        <f aca="false">Construction!AX14*AX31*(Construction!AX17+Inputs!$F$82)/100*Construction!AX11/Inputs!$F$247*(1/(1-Inputs!$F$93/100))</f>
        <v>1.70252161310535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4.81733973089888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0.0290568291082559</v>
      </c>
      <c r="L38" s="13" t="n">
        <f aca="false">Construction!L14*(Inputs!$F$95/100*Inputs!$F$96/100)*L31*Construction!L11/Inputs!$F$248</f>
        <v>0.0306415717355174</v>
      </c>
      <c r="M38" s="13" t="n">
        <f aca="false">Construction!M14*(Inputs!$F$95/100*Inputs!$F$96/100)*M31*Construction!M11/Inputs!$F$248</f>
        <v>0.0304131490854532</v>
      </c>
      <c r="N38" s="13" t="n">
        <f aca="false">Construction!N14*(Inputs!$F$95/100*Inputs!$F$96/100)*N31*Construction!N11/Inputs!$F$248</f>
        <v>0.0325365683518358</v>
      </c>
      <c r="O38" s="13" t="n">
        <f aca="false">Construction!O14*(Inputs!$F$95/100*Inputs!$F$96/100)*O31*Construction!O11/Inputs!$F$248</f>
        <v>0.0341341295504467</v>
      </c>
      <c r="P38" s="13" t="n">
        <f aca="false">Construction!P14*(Inputs!$F$95/100*Inputs!$F$96/100)*P31*Construction!P11/Inputs!$F$248</f>
        <v>0.0328188864371125</v>
      </c>
      <c r="Q38" s="13" t="n">
        <f aca="false">Construction!Q14*(Inputs!$F$95/100*Inputs!$F$96/100)*Q31*Construction!Q11/Inputs!$F$248</f>
        <v>0.0392057688586091</v>
      </c>
      <c r="R38" s="13" t="n">
        <f aca="false">Construction!R14*(Inputs!$F$95/100*Inputs!$F$96/100)*R31*Construction!R11/Inputs!$F$248</f>
        <v>0.0414674538786834</v>
      </c>
      <c r="S38" s="13" t="n">
        <f aca="false">Construction!S14*(Inputs!$F$95/100*Inputs!$F$96/100)*S31*Construction!S11/Inputs!$F$248</f>
        <v>0.0472638070290141</v>
      </c>
      <c r="T38" s="13" t="n">
        <f aca="false">Construction!T14*(Inputs!$F$95/100*Inputs!$F$96/100)*T31*Construction!T11/Inputs!$F$248</f>
        <v>0.0507700853977494</v>
      </c>
      <c r="U38" s="13" t="n">
        <f aca="false">Construction!U14*(Inputs!$F$95/100*Inputs!$F$96/100)*U31*Construction!U11/Inputs!$F$248</f>
        <v>0.0583948925320767</v>
      </c>
      <c r="V38" s="13" t="n">
        <f aca="false">Construction!V14*(Inputs!$F$95/100*Inputs!$F$96/100)*V31*Construction!V11/Inputs!$F$248</f>
        <v>0.065031246970971</v>
      </c>
      <c r="W38" s="13" t="n">
        <f aca="false">Construction!W14*(Inputs!$F$95/100*Inputs!$F$96/100)*W31*Construction!W11/Inputs!$F$248</f>
        <v>0.0699544826564146</v>
      </c>
      <c r="X38" s="13" t="n">
        <f aca="false">Construction!X14*(Inputs!$F$95/100*Inputs!$F$96/100)*X31*Construction!X11/Inputs!$F$248</f>
        <v>0.080055700003631</v>
      </c>
      <c r="Y38" s="13" t="n">
        <f aca="false">Construction!Y14*(Inputs!$F$95/100*Inputs!$F$96/100)*Y31*Construction!Y11/Inputs!$F$248</f>
        <v>0.0854042946418055</v>
      </c>
      <c r="Z38" s="13" t="n">
        <f aca="false">Construction!Z14*(Inputs!$F$95/100*Inputs!$F$96/100)*Z31*Construction!Z11/Inputs!$F$248</f>
        <v>0.0967298955667398</v>
      </c>
      <c r="AA38" s="13" t="n">
        <f aca="false">Construction!AA14*(Inputs!$F$95/100*Inputs!$F$96/100)*AA31*Construction!AA11/Inputs!$F$248</f>
        <v>0.105386353581343</v>
      </c>
      <c r="AB38" s="13" t="n">
        <f aca="false">Construction!AB14*(Inputs!$F$95/100*Inputs!$F$96/100)*AB31*Construction!AB11/Inputs!$F$248</f>
        <v>0.106987298113897</v>
      </c>
      <c r="AC38" s="13" t="n">
        <f aca="false">Construction!AC14*(Inputs!$F$95/100*Inputs!$F$96/100)*AC31*Construction!AC11/Inputs!$F$248</f>
        <v>0.122930532557273</v>
      </c>
      <c r="AD38" s="13" t="n">
        <f aca="false">Construction!AD14*(Inputs!$F$95/100*Inputs!$F$96/100)*AD31*Construction!AD11/Inputs!$F$248</f>
        <v>0.127056617770794</v>
      </c>
      <c r="AE38" s="13" t="n">
        <f aca="false">Construction!AE14*(Inputs!$F$95/100*Inputs!$F$96/100)*AE31*Construction!AE11/Inputs!$F$248</f>
        <v>0.139284401759823</v>
      </c>
      <c r="AF38" s="13" t="n">
        <f aca="false">Construction!AF14*(Inputs!$F$95/100*Inputs!$F$96/100)*AF31*Construction!AF11/Inputs!$F$248</f>
        <v>0.142089054357165</v>
      </c>
      <c r="AG38" s="13" t="n">
        <f aca="false">Construction!AG14*(Inputs!$F$95/100*Inputs!$F$96/100)*AG31*Construction!AG11/Inputs!$F$248</f>
        <v>0.153785596591394</v>
      </c>
      <c r="AH38" s="13" t="n">
        <f aca="false">Construction!AH14*(Inputs!$F$95/100*Inputs!$F$96/100)*AH31*Construction!AH11/Inputs!$F$248</f>
        <v>0.160117428973898</v>
      </c>
      <c r="AI38" s="13" t="n">
        <f aca="false">Construction!AI14*(Inputs!$F$95/100*Inputs!$F$96/100)*AI31*Construction!AI11/Inputs!$F$248</f>
        <v>0.160398303963712</v>
      </c>
      <c r="AJ38" s="13" t="n">
        <f aca="false">Construction!AJ14*(Inputs!$F$95/100*Inputs!$F$96/100)*AJ31*Construction!AJ11/Inputs!$F$248</f>
        <v>0.170615810480243</v>
      </c>
      <c r="AK38" s="13" t="n">
        <f aca="false">Construction!AK14*(Inputs!$F$95/100*Inputs!$F$96/100)*AK31*Construction!AK11/Inputs!$F$248</f>
        <v>0.169119350142753</v>
      </c>
      <c r="AL38" s="13" t="n">
        <f aca="false">Construction!AL14*(Inputs!$F$95/100*Inputs!$F$96/100)*AL31*Construction!AL11/Inputs!$F$248</f>
        <v>0.178154068131474</v>
      </c>
      <c r="AM38" s="13" t="n">
        <f aca="false">Construction!AM14*(Inputs!$F$95/100*Inputs!$F$96/100)*AM31*Construction!AM11/Inputs!$F$248</f>
        <v>0.180896511860949</v>
      </c>
      <c r="AN38" s="13" t="n">
        <f aca="false">Construction!AN14*(Inputs!$F$95/100*Inputs!$F$96/100)*AN31*Construction!AN11/Inputs!$F$248</f>
        <v>0.165337500754424</v>
      </c>
      <c r="AO38" s="13" t="n">
        <f aca="false">Construction!AO14*(Inputs!$F$95/100*Inputs!$F$96/100)*AO31*Construction!AO11/Inputs!$F$248</f>
        <v>0.184682849276309</v>
      </c>
      <c r="AP38" s="13" t="n">
        <f aca="false">Construction!AP14*(Inputs!$F$95/100*Inputs!$F$96/100)*AP31*Construction!AP11/Inputs!$F$248</f>
        <v>0.18004242717885</v>
      </c>
      <c r="AQ38" s="13" t="n">
        <f aca="false">Construction!AQ14*(Inputs!$F$95/100*Inputs!$F$96/100)*AQ31*Construction!AQ11/Inputs!$F$248</f>
        <v>0.187229954604585</v>
      </c>
      <c r="AR38" s="13" t="n">
        <f aca="false">Construction!AR14*(Inputs!$F$95/100*Inputs!$F$96/100)*AR31*Construction!AR11/Inputs!$F$248</f>
        <v>0.182340884696534</v>
      </c>
      <c r="AS38" s="13" t="n">
        <f aca="false">Construction!AS14*(Inputs!$F$95/100*Inputs!$F$96/100)*AS31*Construction!AS11/Inputs!$F$248</f>
        <v>0.189592542620484</v>
      </c>
      <c r="AT38" s="13" t="n">
        <f aca="false">Construction!AT14*(Inputs!$F$95/100*Inputs!$F$96/100)*AT31*Construction!AT11/Inputs!$F$248</f>
        <v>0.190812839533032</v>
      </c>
      <c r="AU38" s="13" t="n">
        <f aca="false">Construction!AU14*(Inputs!$F$95/100*Inputs!$F$96/100)*AU31*Construction!AU11/Inputs!$F$248</f>
        <v>0.185842210734908</v>
      </c>
      <c r="AV38" s="13" t="n">
        <f aca="false">Construction!AV14*(Inputs!$F$95/100*Inputs!$F$96/100)*AV31*Construction!AV11/Inputs!$F$248</f>
        <v>0.193236572418271</v>
      </c>
      <c r="AW38" s="13" t="n">
        <f aca="false">Construction!AW14*(Inputs!$F$95/100*Inputs!$F$96/100)*AW31*Construction!AW11/Inputs!$F$248</f>
        <v>0.1999732859215</v>
      </c>
      <c r="AX38" s="13" t="n">
        <f aca="false">Construction!AX14*(Inputs!$F$95/100*Inputs!$F$96/100)*AX31*Construction!AX11/Inputs!$F$248</f>
        <v>0.21754857307095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10.3640449443714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0.567990186428127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0.47414803567837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0.48835148888548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0.470622904612399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0.483426315213779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0.479274188351612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0.427725766734236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0.46609279046529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0.441892314563983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0.445149619854491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0.41771439496207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0.416219473602488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0.398971317127137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0.367853362244551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0.359922149508076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0.327698669319021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0.316585233612272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0.294086745363495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0.253281296921449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0.248488707013568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0.219442578794359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0.205984332423533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0.180372661592842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0.168295134259464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0.15183844305728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0.132786173398488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0.124552720357159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0.110119817870026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0.104960480563891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0.0978327572021608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0.0833044708725066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0.0879919114773061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0.0817302941268809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0.0813718806055645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0.0757565090793846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0.0752314177716035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0.072059816211166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0.0666564195743474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0.0657604353622412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0.0299291774977597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0.00257255181150528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10.2846019512067</v>
      </c>
      <c r="J42" s="13" t="n">
        <f aca="false">IF(Construction!J8=1,Inputs!$F$75*$F$25*Inputs!$F$89/100+Inputs!$F$76*$F$25*Inputs!$F$90/100+Inputs!$F$77*$F$25*Inputs!$F$91/100+Inputs!$F$78*$F$25*Inputs!$F$92/100,0)</f>
        <v>10.2846019512067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39.603216907776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39.603216907776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119.009208804302</v>
      </c>
      <c r="K45" s="13" t="n">
        <f aca="false">Construction!K14*(Construction!K32+Construction!K38)+K33+K34+K35+K36+K37+K38+K39+K40+K41+K42+K43+K44+K79</f>
        <v>2.44230936836675</v>
      </c>
      <c r="L45" s="13" t="n">
        <f aca="false">Construction!L14*(Construction!L32+Construction!L38)+L33+L34+L35+L36+L37+L38+L39+L40+L41+L42+L43+L44+L79</f>
        <v>3.11282422072297</v>
      </c>
      <c r="M45" s="13" t="n">
        <f aca="false">Construction!M14*(Construction!M32+Construction!M38)+M33+M34+M35+M36+M37+M38+M39+M40+M41+M42+M43+M44+M79</f>
        <v>4.39822051191935</v>
      </c>
      <c r="N45" s="13" t="n">
        <f aca="false">Construction!N14*(Construction!N32+Construction!N38)+N33+N34+N35+N36+N37+N38+N39+N40+N41+N42+N43+N44+N79</f>
        <v>6.33212403788476</v>
      </c>
      <c r="O45" s="13" t="n">
        <f aca="false">Construction!O14*(Construction!O32+Construction!O38)+O33+O34+O35+O36+O37+O38+O39+O40+O41+O42+O43+O44+O79</f>
        <v>8.72418776537807</v>
      </c>
      <c r="P45" s="13" t="n">
        <f aca="false">Construction!P14*(Construction!P32+Construction!P38)+P33+P34+P35+P36+P37+P38+P39+P40+P41+P42+P43+P44+P79</f>
        <v>11.3778585303261</v>
      </c>
      <c r="Q45" s="13" t="n">
        <f aca="false">Construction!Q14*(Construction!Q32+Construction!Q38)+Q33+Q34+Q35+Q36+Q37+Q38+Q39+Q40+Q41+Q42+Q43+Q44+Q79</f>
        <v>14.4431642545541</v>
      </c>
      <c r="R45" s="13" t="n">
        <f aca="false">Construction!R14*(Construction!R32+Construction!R38)+R33+R34+R35+R36+R37+R38+R39+R40+R41+R42+R43+R44+R79</f>
        <v>17.4958295325893</v>
      </c>
      <c r="S45" s="13" t="n">
        <f aca="false">Construction!S14*(Construction!S32+Construction!S38)+S33+S34+S35+S36+S37+S38+S39+S40+S41+S42+S43+S44+S79</f>
        <v>20.6053277808024</v>
      </c>
      <c r="T45" s="13" t="n">
        <f aca="false">Construction!T14*(Construction!T32+Construction!T38)+T33+T34+T35+T36+T37+T38+T39+T40+T41+T42+T43+T44+T79</f>
        <v>23.5140550278061</v>
      </c>
      <c r="U45" s="13" t="n">
        <f aca="false">Construction!U14*(Construction!U32+Construction!U38)+U33+U34+U35+U36+U37+U38+U39+U40+U41+U42+U43+U44+U79</f>
        <v>26.3039810324543</v>
      </c>
      <c r="V45" s="13" t="n">
        <f aca="false">Construction!V14*(Construction!V32+Construction!V38)+V33+V34+V35+V36+V37+V38+V39+V40+V41+V42+V43+V44+V79</f>
        <v>28.7562615905613</v>
      </c>
      <c r="W45" s="13" t="n">
        <f aca="false">Construction!W14*(Construction!W32+Construction!W38)+W33+W34+W35+W36+W37+W38+W39+W40+W41+W42+W43+W44+W79</f>
        <v>30.7949470184735</v>
      </c>
      <c r="X45" s="13" t="n">
        <f aca="false">Construction!X14*(Construction!X32+Construction!X38)+X33+X34+X35+X36+X37+X38+X39+X40+X41+X42+X43+X44+X79</f>
        <v>32.4834614309248</v>
      </c>
      <c r="Y45" s="13" t="n">
        <f aca="false">Construction!Y14*(Construction!Y32+Construction!Y38)+Y33+Y34+Y35+Y36+Y37+Y38+Y39+Y40+Y41+Y42+Y43+Y44+Y79</f>
        <v>33.606698138148</v>
      </c>
      <c r="Z45" s="13" t="n">
        <f aca="false">Construction!Z14*(Construction!Z32+Construction!Z38)+Z33+Z34+Z35+Z36+Z37+Z38+Z39+Z40+Z41+Z42+Z43+Z44+Z79</f>
        <v>34.3109020955622</v>
      </c>
      <c r="AA45" s="13" t="n">
        <f aca="false">Construction!AA14*(Construction!AA32+Construction!AA38)+AA33+AA34+AA35+AA36+AA37+AA38+AA39+AA40+AA41+AA42+AA43+AA44+AA79</f>
        <v>35.5908374176347</v>
      </c>
      <c r="AB45" s="13" t="n">
        <f aca="false">Construction!AB14*(Construction!AB32+Construction!AB38)+AB33+AB34+AB35+AB36+AB37+AB38+AB39+AB40+AB41+AB42+AB43+AB44+AB79</f>
        <v>33.9476050001192</v>
      </c>
      <c r="AC45" s="13" t="n">
        <f aca="false">Construction!AC14*(Construction!AC32+Construction!AC38)+AC33+AC34+AC35+AC36+AC37+AC38+AC39+AC40+AC41+AC42+AC43+AC44+AC79</f>
        <v>33.1410311714881</v>
      </c>
      <c r="AD45" s="13" t="n">
        <f aca="false">Construction!AD14*(Construction!AD32+Construction!AD38)+AD33+AD34+AD35+AD36+AD37+AD38+AD39+AD40+AD41+AD42+AD43+AD44+AD79</f>
        <v>31.6794767251296</v>
      </c>
      <c r="AE45" s="13" t="n">
        <f aca="false">Construction!AE14*(Construction!AE32+Construction!AE38)+AE33+AE34+AE35+AE36+AE37+AE38+AE39+AE40+AE41+AE42+AE43+AE44+AE79</f>
        <v>29.8894707288278</v>
      </c>
      <c r="AF45" s="13" t="n">
        <f aca="false">Construction!AF14*(Construction!AF32+Construction!AF38)+AF33+AF34+AF35+AF36+AF37+AF38+AF39+AF40+AF41+AF42+AF43+AF44+AF79</f>
        <v>27.5877416940098</v>
      </c>
      <c r="AG45" s="13" t="n">
        <f aca="false">Construction!AG14*(Construction!AG32+Construction!AG38)+AG33+AG34+AG35+AG36+AG37+AG38+AG39+AG40+AG41+AG42+AG43+AG44+AG79</f>
        <v>25.0969716014465</v>
      </c>
      <c r="AH45" s="13" t="n">
        <f aca="false">Construction!AH14*(Construction!AH32+Construction!AH38)+AH33+AH34+AH35+AH36+AH37+AH38+AH39+AH40+AH41+AH42+AH43+AH44+AH79</f>
        <v>22.3052073651073</v>
      </c>
      <c r="AI45" s="13" t="n">
        <f aca="false">Construction!AI14*(Construction!AI32+Construction!AI38)+AI33+AI34+AI35+AI36+AI37+AI38+AI39+AI40+AI41+AI42+AI43+AI44+AI79</f>
        <v>19.3063778142399</v>
      </c>
      <c r="AJ45" s="13" t="n">
        <f aca="false">Construction!AJ14*(Construction!AJ32+Construction!AJ38)+AJ33+AJ34+AJ35+AJ36+AJ37+AJ38+AJ39+AJ40+AJ41+AJ42+AJ43+AJ44+AJ79</f>
        <v>16.4127573276802</v>
      </c>
      <c r="AK45" s="13" t="n">
        <f aca="false">Construction!AK14*(Construction!AK32+Construction!AK38)+AK33+AK34+AK35+AK36+AK37+AK38+AK39+AK40+AK41+AK42+AK43+AK44+AK79</f>
        <v>13.4660244796327</v>
      </c>
      <c r="AL45" s="13" t="n">
        <f aca="false">Construction!AL14*(Construction!AL32+Construction!AL38)+AL33+AL34+AL35+AL36+AL37+AL38+AL39+AL40+AL41+AL42+AL43+AL44+AL79</f>
        <v>10.8700022741258</v>
      </c>
      <c r="AM45" s="13" t="n">
        <f aca="false">Construction!AM14*(Construction!AM32+Construction!AM38)+AM33+AM34+AM35+AM36+AM37+AM38+AM39+AM40+AM41+AM42+AM43+AM44+AM79</f>
        <v>8.54445733711978</v>
      </c>
      <c r="AN45" s="13" t="n">
        <f aca="false">Construction!AN14*(Construction!AN32+Construction!AN38)+AN33+AN34+AN35+AN36+AN37+AN38+AN39+AN40+AN41+AN42+AN43+AN44+AN79</f>
        <v>6.46314186107896</v>
      </c>
      <c r="AO45" s="13" t="n">
        <f aca="false">Construction!AO14*(Construction!AO32+Construction!AO38)+AO33+AO34+AO35+AO36+AO37+AO38+AO39+AO40+AO41+AO42+AO43+AO44+AO79</f>
        <v>5.39445441225516</v>
      </c>
      <c r="AP45" s="13" t="n">
        <f aca="false">Construction!AP14*(Construction!AP32+Construction!AP38)+AP33+AP34+AP35+AP36+AP37+AP38+AP39+AP40+AP41+AP42+AP43+AP44+AP79</f>
        <v>4.70130084909119</v>
      </c>
      <c r="AQ45" s="13" t="n">
        <f aca="false">Construction!AQ14*(Construction!AQ32+Construction!AQ38)+AQ33+AQ34+AQ35+AQ36+AQ37+AQ38+AQ39+AQ40+AQ41+AQ42+AQ43+AQ44+AQ79</f>
        <v>4.71258287616683</v>
      </c>
      <c r="AR45" s="13" t="n">
        <f aca="false">Construction!AR14*(Construction!AR32+Construction!AR38)+AR33+AR34+AR35+AR36+AR37+AR38+AR39+AR40+AR41+AR42+AR43+AR44+AR79</f>
        <v>4.65181604645569</v>
      </c>
      <c r="AS45" s="13" t="n">
        <f aca="false">Construction!AS14*(Construction!AS32+Construction!AS38)+AS33+AS34+AS35+AS36+AS37+AS38+AS39+AS40+AS41+AS42+AS43+AS44+AS79</f>
        <v>4.83679211789795</v>
      </c>
      <c r="AT45" s="13" t="n">
        <f aca="false">Construction!AT14*(Construction!AT32+Construction!AT38)+AT33+AT34+AT35+AT36+AT37+AT38+AT39+AT40+AT41+AT42+AT43+AT44+AT79</f>
        <v>4.85191192613164</v>
      </c>
      <c r="AU45" s="13" t="n">
        <f aca="false">Construction!AU14*(Construction!AU32+Construction!AU38)+AU33+AU34+AU35+AU36+AU37+AU38+AU39+AU40+AU41+AU42+AU43+AU44+AU79</f>
        <v>4.75484196684938</v>
      </c>
      <c r="AV45" s="13" t="n">
        <f aca="false">Construction!AV14*(Construction!AV32+Construction!AV38)+AV33+AV34+AV35+AV36+AV37+AV38+AV39+AV40+AV41+AV42+AV43+AV44+AV79</f>
        <v>53.12236380963</v>
      </c>
      <c r="AW45" s="13" t="n">
        <f aca="false">Construction!AW14*(Construction!AW32+Construction!AW38)+AW33+AW34+AW35+AW36+AW37+AW38+AW39+AW40+AW41+AW42+AW43+AW44+AW79</f>
        <v>43.2411456920801</v>
      </c>
      <c r="AX45" s="13" t="n">
        <f aca="false">Construction!AX14*(Construction!AX32+Construction!AX38)+AX33+AX34+AX35+AX36+AX37+AX38+AX39+AX40+AX41+AX42+AX43+AX44+AX79</f>
        <v>3.92322241229379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654.23676534394</v>
      </c>
      <c r="K46" s="13" t="n">
        <f aca="false">$F$25-K28-K29-K30-K31</f>
        <v>564.349973035156</v>
      </c>
      <c r="L46" s="13" t="n">
        <f aca="false">$F$25-L28-L29-L30-L31</f>
        <v>562.505314481807</v>
      </c>
      <c r="M46" s="13" t="n">
        <f aca="false">$F$25-M28-M29-M30-M31</f>
        <v>560.154220923308</v>
      </c>
      <c r="N46" s="13" t="n">
        <f aca="false">$F$25-N28-N29-N30-N31</f>
        <v>556.832276868262</v>
      </c>
      <c r="O46" s="13" t="n">
        <f aca="false">$F$25-O28-O29-O30-O31</f>
        <v>552.049669505476</v>
      </c>
      <c r="P46" s="13" t="n">
        <f aca="false">$F$25-P28-P29-P30-P31</f>
        <v>545.460353757492</v>
      </c>
      <c r="Q46" s="13" t="n">
        <f aca="false">$F$25-Q28-Q29-Q30-Q31</f>
        <v>536.866739726195</v>
      </c>
      <c r="R46" s="13" t="n">
        <f aca="false">$F$25-R28-R29-R30-R31</f>
        <v>525.957922512179</v>
      </c>
      <c r="S46" s="13" t="n">
        <f aca="false">$F$25-S28-S29-S30-S31</f>
        <v>512.743449352781</v>
      </c>
      <c r="T46" s="13" t="n">
        <f aca="false">$F$25-T28-T29-T30-T31</f>
        <v>497.180394717798</v>
      </c>
      <c r="U46" s="13" t="n">
        <f aca="false">$F$25-U28-U29-U30-U31</f>
        <v>479.420399488376</v>
      </c>
      <c r="V46" s="13" t="n">
        <f aca="false">$F$25-V28-V29-V30-V31</f>
        <v>459.553193381272</v>
      </c>
      <c r="W46" s="13" t="n">
        <f aca="false">$F$25-W28-W29-W30-W31</f>
        <v>437.833797553523</v>
      </c>
      <c r="X46" s="13" t="n">
        <f aca="false">$F$25-X28-X29-X30-X31</f>
        <v>414.574597407412</v>
      </c>
      <c r="Y46" s="13" t="n">
        <f aca="false">$F$25-Y28-Y29-Y30-Y31</f>
        <v>390.040074571341</v>
      </c>
      <c r="Z46" s="13" t="n">
        <f aca="false">$F$25-Z28-Z29-Z30-Z31</f>
        <v>364.657179196453</v>
      </c>
      <c r="AA46" s="13" t="n">
        <f aca="false">$F$25-AA28-AA29-AA30-AA31</f>
        <v>338.742403679692</v>
      </c>
      <c r="AB46" s="13" t="n">
        <f aca="false">$F$25-AB28-AB29-AB30-AB31</f>
        <v>311.860902296759</v>
      </c>
      <c r="AC46" s="13" t="n">
        <f aca="false">$F$25-AC28-AC29-AC30-AC31</f>
        <v>286.220522441414</v>
      </c>
      <c r="AD46" s="13" t="n">
        <f aca="false">$F$25-AD28-AD29-AD30-AD31</f>
        <v>261.189341949247</v>
      </c>
      <c r="AE46" s="13" t="n">
        <f aca="false">$F$25-AE28-AE29-AE30-AE31</f>
        <v>237.262062930653</v>
      </c>
      <c r="AF46" s="13" t="n">
        <f aca="false">$F$25-AF28-AF29-AF30-AF31</f>
        <v>214.686762459245</v>
      </c>
      <c r="AG46" s="13" t="n">
        <f aca="false">$F$25-AG28-AG29-AG30-AG31</f>
        <v>193.8499412348</v>
      </c>
      <c r="AH46" s="13" t="n">
        <f aca="false">$F$25-AH28-AH29-AH30-AH31</f>
        <v>174.894380597234</v>
      </c>
      <c r="AI46" s="13" t="n">
        <f aca="false">$F$25-AI28-AI29-AI30-AI31</f>
        <v>158.047419240415</v>
      </c>
      <c r="AJ46" s="13" t="n">
        <f aca="false">$F$25-AJ28-AJ29-AJ30-AJ31</f>
        <v>143.465452094686</v>
      </c>
      <c r="AK46" s="13" t="n">
        <f aca="false">$F$25-AK28-AK29-AK30-AK31</f>
        <v>131.069015516794</v>
      </c>
      <c r="AL46" s="13" t="n">
        <f aca="false">$F$25-AL28-AL29-AL30-AL31</f>
        <v>120.898224888178</v>
      </c>
      <c r="AM46" s="13" t="n">
        <f aca="false">$F$25-AM28-AM29-AM30-AM31</f>
        <v>112.688191004018</v>
      </c>
      <c r="AN46" s="13" t="n">
        <f aca="false">$F$25-AN28-AN29-AN30-AN31</f>
        <v>106.234624345022</v>
      </c>
      <c r="AO46" s="13" t="n">
        <f aca="false">$F$25-AO28-AO29-AO30-AO31</f>
        <v>101.35306017057</v>
      </c>
      <c r="AP46" s="13" t="n">
        <f aca="false">$F$25-AP28-AP29-AP30-AP31</f>
        <v>97.2786678756766</v>
      </c>
      <c r="AQ46" s="13" t="n">
        <f aca="false">$F$25-AQ28-AQ29-AQ30-AQ31</f>
        <v>93.7278094400216</v>
      </c>
      <c r="AR46" s="13" t="n">
        <f aca="false">$F$25-AR28-AR29-AR30-AR31</f>
        <v>90.1684297711381</v>
      </c>
      <c r="AS46" s="13" t="n">
        <f aca="false">$F$25-AS28-AS29-AS30-AS31</f>
        <v>86.6549468480309</v>
      </c>
      <c r="AT46" s="13" t="n">
        <f aca="false">$F$25-AT28-AT29-AT30-AT31</f>
        <v>83.0017528396816</v>
      </c>
      <c r="AU46" s="13" t="n">
        <f aca="false">$F$25-AU28-AU29-AU30-AU31</f>
        <v>79.3371389498282</v>
      </c>
      <c r="AV46" s="13" t="n">
        <f aca="false">$F$25-AV28-AV29-AV30-AV31</f>
        <v>75.7458412962317</v>
      </c>
      <c r="AW46" s="13" t="n">
        <f aca="false">$F$25-AW28-AW29-AW30-AW31</f>
        <v>35.6229051748776</v>
      </c>
      <c r="AX46" s="13" t="n">
        <f aca="false">$F$25-AX28-AX29-AX30-AX31</f>
        <v>2.96318143526915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654.23676534394</v>
      </c>
      <c r="J47" s="13" t="n">
        <f aca="false">MIN($F$26*J45/(1-Inputs!$F$94/100*Inputs!$F$75*$F$26),J46)</f>
        <v>89.8867923087838</v>
      </c>
      <c r="K47" s="13" t="n">
        <f aca="false">MIN($F$26*K45/(1-Inputs!$F$94/100*Inputs!$F$75*$F$26),K46)</f>
        <v>1.84465855334923</v>
      </c>
      <c r="L47" s="13" t="n">
        <f aca="false">MIN($F$26*L45/(1-Inputs!$F$94/100*Inputs!$F$75*$F$26),L46)</f>
        <v>2.35109355849918</v>
      </c>
      <c r="M47" s="13" t="n">
        <f aca="false">MIN($F$26*M45/(1-Inputs!$F$94/100*Inputs!$F$75*$F$26),M46)</f>
        <v>3.32194405504558</v>
      </c>
      <c r="N47" s="13" t="n">
        <f aca="false">MIN($F$26*N45/(1-Inputs!$F$94/100*Inputs!$F$75*$F$26),N46)</f>
        <v>4.78260736278613</v>
      </c>
      <c r="O47" s="13" t="n">
        <f aca="false">MIN($F$26*O45/(1-Inputs!$F$94/100*Inputs!$F$75*$F$26),O46)</f>
        <v>6.5893157479846</v>
      </c>
      <c r="P47" s="13" t="n">
        <f aca="false">MIN($F$26*P45/(1-Inputs!$F$94/100*Inputs!$F$75*$F$26),P46)</f>
        <v>8.59361403129653</v>
      </c>
      <c r="Q47" s="13" t="n">
        <f aca="false">MIN($F$26*Q45/(1-Inputs!$F$94/100*Inputs!$F$75*$F$26),Q46)</f>
        <v>10.9088172140157</v>
      </c>
      <c r="R47" s="13" t="n">
        <f aca="false">MIN($F$26*R45/(1-Inputs!$F$94/100*Inputs!$F$75*$F$26),R46)</f>
        <v>13.2144731593989</v>
      </c>
      <c r="S47" s="13" t="n">
        <f aca="false">MIN($F$26*S45/(1-Inputs!$F$94/100*Inputs!$F$75*$F$26),S46)</f>
        <v>15.5630546349826</v>
      </c>
      <c r="T47" s="13" t="n">
        <f aca="false">MIN($F$26*T45/(1-Inputs!$F$94/100*Inputs!$F$75*$F$26),T46)</f>
        <v>17.7599952294224</v>
      </c>
      <c r="U47" s="13" t="n">
        <f aca="false">MIN($F$26*U45/(1-Inputs!$F$94/100*Inputs!$F$75*$F$26),U46)</f>
        <v>19.8672061071038</v>
      </c>
      <c r="V47" s="13" t="n">
        <f aca="false">MIN($F$26*V45/(1-Inputs!$F$94/100*Inputs!$F$75*$F$26),V46)</f>
        <v>21.7193958277489</v>
      </c>
      <c r="W47" s="13" t="n">
        <f aca="false">MIN($F$26*W45/(1-Inputs!$F$94/100*Inputs!$F$75*$F$26),W46)</f>
        <v>23.2592001461107</v>
      </c>
      <c r="X47" s="13" t="n">
        <f aca="false">MIN($F$26*X45/(1-Inputs!$F$94/100*Inputs!$F$75*$F$26),X46)</f>
        <v>24.5345228360714</v>
      </c>
      <c r="Y47" s="13" t="n">
        <f aca="false">MIN($F$26*Y45/(1-Inputs!$F$94/100*Inputs!$F$75*$F$26),Y46)</f>
        <v>25.3828953748873</v>
      </c>
      <c r="Z47" s="13" t="n">
        <f aca="false">MIN($F$26*Z45/(1-Inputs!$F$94/100*Inputs!$F$75*$F$26),Z46)</f>
        <v>25.914775516761</v>
      </c>
      <c r="AA47" s="13" t="n">
        <f aca="false">MIN($F$26*AA45/(1-Inputs!$F$94/100*Inputs!$F$75*$F$26),AA46)</f>
        <v>26.8815013829333</v>
      </c>
      <c r="AB47" s="13" t="n">
        <f aca="false">MIN($F$26*AB45/(1-Inputs!$F$94/100*Inputs!$F$75*$F$26),AB46)</f>
        <v>25.6403798553449</v>
      </c>
      <c r="AC47" s="13" t="n">
        <f aca="false">MIN($F$26*AC45/(1-Inputs!$F$94/100*Inputs!$F$75*$F$26),AC46)</f>
        <v>25.0311804921672</v>
      </c>
      <c r="AD47" s="13" t="n">
        <f aca="false">MIN($F$26*AD45/(1-Inputs!$F$94/100*Inputs!$F$75*$F$26),AD46)</f>
        <v>23.9272790185943</v>
      </c>
      <c r="AE47" s="13" t="n">
        <f aca="false">MIN($F$26*AE45/(1-Inputs!$F$94/100*Inputs!$F$75*$F$26),AE46)</f>
        <v>22.5753004714078</v>
      </c>
      <c r="AF47" s="13" t="n">
        <f aca="false">MIN($F$26*AF45/(1-Inputs!$F$94/100*Inputs!$F$75*$F$26),AF46)</f>
        <v>20.8368212244447</v>
      </c>
      <c r="AG47" s="13" t="n">
        <f aca="false">MIN($F$26*AG45/(1-Inputs!$F$94/100*Inputs!$F$75*$F$26),AG46)</f>
        <v>18.9555606375658</v>
      </c>
      <c r="AH47" s="13" t="n">
        <f aca="false">MIN($F$26*AH45/(1-Inputs!$F$94/100*Inputs!$F$75*$F$26),AH46)</f>
        <v>16.8469613568197</v>
      </c>
      <c r="AI47" s="13" t="n">
        <f aca="false">MIN($F$26*AI45/(1-Inputs!$F$94/100*Inputs!$F$75*$F$26),AI46)</f>
        <v>14.5819671457287</v>
      </c>
      <c r="AJ47" s="13" t="n">
        <f aca="false">MIN($F$26*AJ45/(1-Inputs!$F$94/100*Inputs!$F$75*$F$26),AJ46)</f>
        <v>12.3964365778922</v>
      </c>
      <c r="AK47" s="13" t="n">
        <f aca="false">MIN($F$26*AK45/(1-Inputs!$F$94/100*Inputs!$F$75*$F$26),AK46)</f>
        <v>10.1707906286156</v>
      </c>
      <c r="AL47" s="13" t="n">
        <f aca="false">MIN($F$26*AL45/(1-Inputs!$F$94/100*Inputs!$F$75*$F$26),AL46)</f>
        <v>8.2100338841597</v>
      </c>
      <c r="AM47" s="13" t="n">
        <f aca="false">MIN($F$26*AM45/(1-Inputs!$F$94/100*Inputs!$F$75*$F$26),AM46)</f>
        <v>6.45356665899614</v>
      </c>
      <c r="AN47" s="13" t="n">
        <f aca="false">MIN($F$26*AN45/(1-Inputs!$F$94/100*Inputs!$F$75*$F$26),AN46)</f>
        <v>4.88156417445247</v>
      </c>
      <c r="AO47" s="13" t="n">
        <f aca="false">MIN($F$26*AO45/(1-Inputs!$F$94/100*Inputs!$F$75*$F$26),AO46)</f>
        <v>4.0743922948932</v>
      </c>
      <c r="AP47" s="13" t="n">
        <f aca="false">MIN($F$26*AP45/(1-Inputs!$F$94/100*Inputs!$F$75*$F$26),AP46)</f>
        <v>3.5508584356549</v>
      </c>
      <c r="AQ47" s="13" t="n">
        <f aca="false">MIN($F$26*AQ45/(1-Inputs!$F$94/100*Inputs!$F$75*$F$26),AQ46)</f>
        <v>3.55937966888347</v>
      </c>
      <c r="AR47" s="13" t="n">
        <f aca="false">MIN($F$26*AR45/(1-Inputs!$F$94/100*Inputs!$F$75*$F$26),AR46)</f>
        <v>3.51348292310735</v>
      </c>
      <c r="AS47" s="13" t="n">
        <f aca="false">MIN($F$26*AS45/(1-Inputs!$F$94/100*Inputs!$F$75*$F$26),AS46)</f>
        <v>3.65319400834922</v>
      </c>
      <c r="AT47" s="13" t="n">
        <f aca="false">MIN($F$26*AT45/(1-Inputs!$F$94/100*Inputs!$F$75*$F$26),AT46)</f>
        <v>3.66461388985339</v>
      </c>
      <c r="AU47" s="13" t="n">
        <f aca="false">MIN($F$26*AU45/(1-Inputs!$F$94/100*Inputs!$F$75*$F$26),AU46)</f>
        <v>3.59129765359663</v>
      </c>
      <c r="AV47" s="13" t="n">
        <f aca="false">MIN($F$26*AV45/(1-Inputs!$F$94/100*Inputs!$F$75*$F$26),AV46)</f>
        <v>40.122936121354</v>
      </c>
      <c r="AW47" s="13" t="n">
        <f aca="false">MIN($F$26*AW45/(1-Inputs!$F$94/100*Inputs!$F$75*$F$26),AW46)</f>
        <v>32.6597237396085</v>
      </c>
      <c r="AX47" s="13" t="n">
        <f aca="false">MIN($F$26*AX45/(1-Inputs!$F$94/100*Inputs!$F$75*$F$26),AX46)</f>
        <v>2.96318143526915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21.2954067119452</v>
      </c>
      <c r="J48" s="13" t="n">
        <f aca="false">Inputs!$F$94/100*Inputs!$F$75*J47</f>
        <v>2.92581508965091</v>
      </c>
      <c r="K48" s="13" t="n">
        <f aca="false">Inputs!$F$94/100*Inputs!$F$75*K47</f>
        <v>0.0600436359115174</v>
      </c>
      <c r="L48" s="13" t="n">
        <f aca="false">Inputs!$F$94/100*Inputs!$F$75*L47</f>
        <v>0.0765280953291483</v>
      </c>
      <c r="M48" s="13" t="n">
        <f aca="false">Inputs!$F$94/100*Inputs!$F$75*M47</f>
        <v>0.108129278991734</v>
      </c>
      <c r="N48" s="13" t="n">
        <f aca="false">Inputs!$F$94/100*Inputs!$F$75*N47</f>
        <v>0.155673869658689</v>
      </c>
      <c r="O48" s="13" t="n">
        <f aca="false">Inputs!$F$94/100*Inputs!$F$75*O47</f>
        <v>0.214482227596899</v>
      </c>
      <c r="P48" s="13" t="n">
        <f aca="false">Inputs!$F$94/100*Inputs!$F$75*P47</f>
        <v>0.279722136718702</v>
      </c>
      <c r="Q48" s="13" t="n">
        <f aca="false">Inputs!$F$94/100*Inputs!$F$75*Q47</f>
        <v>0.355082000316211</v>
      </c>
      <c r="R48" s="13" t="n">
        <f aca="false">Inputs!$F$94/100*Inputs!$F$75*R47</f>
        <v>0.430131101338434</v>
      </c>
      <c r="S48" s="13" t="n">
        <f aca="false">Inputs!$F$94/100*Inputs!$F$75*S47</f>
        <v>0.506577428368685</v>
      </c>
      <c r="T48" s="13" t="n">
        <f aca="false">Inputs!$F$94/100*Inputs!$F$75*T47</f>
        <v>0.578087844717698</v>
      </c>
      <c r="U48" s="13" t="n">
        <f aca="false">Inputs!$F$94/100*Inputs!$F$75*U47</f>
        <v>0.646677558786229</v>
      </c>
      <c r="V48" s="13" t="n">
        <f aca="false">Inputs!$F$94/100*Inputs!$F$75*V47</f>
        <v>0.706966334193227</v>
      </c>
      <c r="W48" s="13" t="n">
        <f aca="false">Inputs!$F$94/100*Inputs!$F$75*W47</f>
        <v>0.757086964755904</v>
      </c>
      <c r="X48" s="13" t="n">
        <f aca="false">Inputs!$F$94/100*Inputs!$F$75*X47</f>
        <v>0.798598718314125</v>
      </c>
      <c r="Y48" s="13" t="n">
        <f aca="false">Inputs!$F$94/100*Inputs!$F$75*Y47</f>
        <v>0.826213244452582</v>
      </c>
      <c r="Z48" s="13" t="n">
        <f aca="false">Inputs!$F$94/100*Inputs!$F$75*Z47</f>
        <v>0.843525943070571</v>
      </c>
      <c r="AA48" s="13" t="n">
        <f aca="false">Inputs!$F$94/100*Inputs!$F$75*AA47</f>
        <v>0.874992870014478</v>
      </c>
      <c r="AB48" s="13" t="n">
        <f aca="false">Inputs!$F$94/100*Inputs!$F$75*AB47</f>
        <v>0.834594364291476</v>
      </c>
      <c r="AC48" s="13" t="n">
        <f aca="false">Inputs!$F$94/100*Inputs!$F$75*AC47</f>
        <v>0.814764925020042</v>
      </c>
      <c r="AD48" s="13" t="n">
        <f aca="false">Inputs!$F$94/100*Inputs!$F$75*AD47</f>
        <v>0.778832932055246</v>
      </c>
      <c r="AE48" s="13" t="n">
        <f aca="false">Inputs!$F$94/100*Inputs!$F$75*AE47</f>
        <v>0.734826030344323</v>
      </c>
      <c r="AF48" s="13" t="n">
        <f aca="false">Inputs!$F$94/100*Inputs!$F$75*AF47</f>
        <v>0.678238530855674</v>
      </c>
      <c r="AG48" s="13" t="n">
        <f aca="false">Inputs!$F$94/100*Inputs!$F$75*AG47</f>
        <v>0.617003498752767</v>
      </c>
      <c r="AH48" s="13" t="n">
        <f aca="false">Inputs!$F$94/100*Inputs!$F$75*AH47</f>
        <v>0.548368592164481</v>
      </c>
      <c r="AI48" s="13" t="n">
        <f aca="false">Inputs!$F$94/100*Inputs!$F$75*AI47</f>
        <v>0.474643030593469</v>
      </c>
      <c r="AJ48" s="13" t="n">
        <f aca="false">Inputs!$F$94/100*Inputs!$F$75*AJ47</f>
        <v>0.403504010610392</v>
      </c>
      <c r="AK48" s="13" t="n">
        <f aca="false">Inputs!$F$94/100*Inputs!$F$75*AK47</f>
        <v>0.331059234961438</v>
      </c>
      <c r="AL48" s="13" t="n">
        <f aca="false">Inputs!$F$94/100*Inputs!$F$75*AL47</f>
        <v>0.267236602929398</v>
      </c>
      <c r="AM48" s="13" t="n">
        <f aca="false">Inputs!$F$94/100*Inputs!$F$75*AM47</f>
        <v>0.210063594750324</v>
      </c>
      <c r="AN48" s="13" t="n">
        <f aca="false">Inputs!$F$94/100*Inputs!$F$75*AN47</f>
        <v>0.158894913878428</v>
      </c>
      <c r="AO48" s="13" t="n">
        <f aca="false">Inputs!$F$94/100*Inputs!$F$75*AO47</f>
        <v>0.132621469198774</v>
      </c>
      <c r="AP48" s="13" t="n">
        <f aca="false">Inputs!$F$94/100*Inputs!$F$75*AP47</f>
        <v>0.115580442080567</v>
      </c>
      <c r="AQ48" s="13" t="n">
        <f aca="false">Inputs!$F$94/100*Inputs!$F$75*AQ47</f>
        <v>0.115857808222157</v>
      </c>
      <c r="AR48" s="13" t="n">
        <f aca="false">Inputs!$F$94/100*Inputs!$F$75*AR47</f>
        <v>0.114363869147144</v>
      </c>
      <c r="AS48" s="13" t="n">
        <f aca="false">Inputs!$F$94/100*Inputs!$F$75*AS47</f>
        <v>0.118911464971767</v>
      </c>
      <c r="AT48" s="13" t="n">
        <f aca="false">Inputs!$F$94/100*Inputs!$F$75*AT47</f>
        <v>0.119283182114728</v>
      </c>
      <c r="AU48" s="13" t="n">
        <f aca="false">Inputs!$F$94/100*Inputs!$F$75*AU47</f>
        <v>0.11689673862457</v>
      </c>
      <c r="AV48" s="13" t="n">
        <f aca="false">Inputs!$F$94/100*Inputs!$F$75*AV47</f>
        <v>1.30600157075007</v>
      </c>
      <c r="AW48" s="13" t="n">
        <f aca="false">Inputs!$F$94/100*Inputs!$F$75*AW47</f>
        <v>1.06307400772426</v>
      </c>
      <c r="AX48" s="13" t="n">
        <f aca="false">Inputs!$F$94/100*Inputs!$F$75*AX47</f>
        <v>0.0964515557180108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887.498302759213</v>
      </c>
      <c r="J49" s="13" t="n">
        <f aca="false">J45+J48</f>
        <v>121.935023893952</v>
      </c>
      <c r="K49" s="13" t="n">
        <f aca="false">K45+K48</f>
        <v>2.50235300427827</v>
      </c>
      <c r="L49" s="13" t="n">
        <f aca="false">L45+L48</f>
        <v>3.18935231605211</v>
      </c>
      <c r="M49" s="13" t="n">
        <f aca="false">M45+M48</f>
        <v>4.50634979091108</v>
      </c>
      <c r="N49" s="13" t="n">
        <f aca="false">N45+N48</f>
        <v>6.48779790754345</v>
      </c>
      <c r="O49" s="13" t="n">
        <f aca="false">O45+O48</f>
        <v>8.93866999297496</v>
      </c>
      <c r="P49" s="13" t="n">
        <f aca="false">P45+P48</f>
        <v>11.6575806670448</v>
      </c>
      <c r="Q49" s="13" t="n">
        <f aca="false">Q45+Q48</f>
        <v>14.7982462548703</v>
      </c>
      <c r="R49" s="13" t="n">
        <f aca="false">R45+R48</f>
        <v>17.9259606339277</v>
      </c>
      <c r="S49" s="13" t="n">
        <f aca="false">S45+S48</f>
        <v>21.1119052091711</v>
      </c>
      <c r="T49" s="13" t="n">
        <f aca="false">T45+T48</f>
        <v>24.0921428725238</v>
      </c>
      <c r="U49" s="13" t="n">
        <f aca="false">U45+U48</f>
        <v>26.9506585912405</v>
      </c>
      <c r="V49" s="13" t="n">
        <f aca="false">V45+V48</f>
        <v>29.4632279247546</v>
      </c>
      <c r="W49" s="13" t="n">
        <f aca="false">W45+W48</f>
        <v>31.5520339832294</v>
      </c>
      <c r="X49" s="13" t="n">
        <f aca="false">X45+X48</f>
        <v>33.282060149239</v>
      </c>
      <c r="Y49" s="13" t="n">
        <f aca="false">Y45+Y48</f>
        <v>34.4329113826006</v>
      </c>
      <c r="Z49" s="13" t="n">
        <f aca="false">Z45+Z48</f>
        <v>35.1544280386327</v>
      </c>
      <c r="AA49" s="13" t="n">
        <f aca="false">AA45+AA48</f>
        <v>36.4658302876492</v>
      </c>
      <c r="AB49" s="13" t="n">
        <f aca="false">AB45+AB48</f>
        <v>34.7821993644107</v>
      </c>
      <c r="AC49" s="13" t="n">
        <f aca="false">AC45+AC48</f>
        <v>33.9557960965082</v>
      </c>
      <c r="AD49" s="13" t="n">
        <f aca="false">AD45+AD48</f>
        <v>32.4583096571849</v>
      </c>
      <c r="AE49" s="13" t="n">
        <f aca="false">AE45+AE48</f>
        <v>30.6242967591721</v>
      </c>
      <c r="AF49" s="13" t="n">
        <f aca="false">AF45+AF48</f>
        <v>28.2659802248655</v>
      </c>
      <c r="AG49" s="13" t="n">
        <f aca="false">AG45+AG48</f>
        <v>25.7139751001993</v>
      </c>
      <c r="AH49" s="13" t="n">
        <f aca="false">AH45+AH48</f>
        <v>22.8535759572718</v>
      </c>
      <c r="AI49" s="13" t="n">
        <f aca="false">AI45+AI48</f>
        <v>19.7810208448333</v>
      </c>
      <c r="AJ49" s="13" t="n">
        <f aca="false">AJ45+AJ48</f>
        <v>16.8162613382906</v>
      </c>
      <c r="AK49" s="13" t="n">
        <f aca="false">AK45+AK48</f>
        <v>13.7970837145942</v>
      </c>
      <c r="AL49" s="13" t="n">
        <f aca="false">AL45+AL48</f>
        <v>11.1372388770552</v>
      </c>
      <c r="AM49" s="13" t="n">
        <f aca="false">AM45+AM48</f>
        <v>8.75452093187011</v>
      </c>
      <c r="AN49" s="13" t="n">
        <f aca="false">AN45+AN48</f>
        <v>6.62203677495739</v>
      </c>
      <c r="AO49" s="13" t="n">
        <f aca="false">AO45+AO48</f>
        <v>5.52707588145393</v>
      </c>
      <c r="AP49" s="13" t="n">
        <f aca="false">AP45+AP48</f>
        <v>4.81688129117176</v>
      </c>
      <c r="AQ49" s="13" t="n">
        <f aca="false">AQ45+AQ48</f>
        <v>4.82844068438898</v>
      </c>
      <c r="AR49" s="13" t="n">
        <f aca="false">AR45+AR48</f>
        <v>4.76617991560284</v>
      </c>
      <c r="AS49" s="13" t="n">
        <f aca="false">AS45+AS48</f>
        <v>4.95570358286972</v>
      </c>
      <c r="AT49" s="13" t="n">
        <f aca="false">AT45+AT48</f>
        <v>4.97119510824637</v>
      </c>
      <c r="AU49" s="13" t="n">
        <f aca="false">AU45+AU48</f>
        <v>4.87173870547395</v>
      </c>
      <c r="AV49" s="13" t="n">
        <f aca="false">AV45+AV48</f>
        <v>54.4283653803801</v>
      </c>
      <c r="AW49" s="13" t="n">
        <f aca="false">AW45+AW48</f>
        <v>44.3042196998044</v>
      </c>
      <c r="AX49" s="13" t="n">
        <f aca="false">AX45+AX48</f>
        <v>4.0196739680118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887.498302759213</v>
      </c>
      <c r="J50" s="13" t="n">
        <f aca="false">J47/$F$26</f>
        <v>121.935023893952</v>
      </c>
      <c r="K50" s="13" t="n">
        <f aca="false">K47/$F$26</f>
        <v>2.50235300427827</v>
      </c>
      <c r="L50" s="13" t="n">
        <f aca="false">L47/$F$26</f>
        <v>3.18935231605211</v>
      </c>
      <c r="M50" s="13" t="n">
        <f aca="false">M47/$F$26</f>
        <v>4.50634979091108</v>
      </c>
      <c r="N50" s="13" t="n">
        <f aca="false">N47/$F$26</f>
        <v>6.48779790754345</v>
      </c>
      <c r="O50" s="13" t="n">
        <f aca="false">O47/$F$26</f>
        <v>8.93866999297497</v>
      </c>
      <c r="P50" s="13" t="n">
        <f aca="false">P47/$F$26</f>
        <v>11.6575806670448</v>
      </c>
      <c r="Q50" s="13" t="n">
        <f aca="false">Q47/$F$26</f>
        <v>14.7982462548703</v>
      </c>
      <c r="R50" s="13" t="n">
        <f aca="false">R47/$F$26</f>
        <v>17.9259606339277</v>
      </c>
      <c r="S50" s="13" t="n">
        <f aca="false">S47/$F$26</f>
        <v>21.1119052091711</v>
      </c>
      <c r="T50" s="13" t="n">
        <f aca="false">T47/$F$26</f>
        <v>24.0921428725238</v>
      </c>
      <c r="U50" s="13" t="n">
        <f aca="false">U47/$F$26</f>
        <v>26.9506585912405</v>
      </c>
      <c r="V50" s="13" t="n">
        <f aca="false">V47/$F$26</f>
        <v>29.4632279247546</v>
      </c>
      <c r="W50" s="13" t="n">
        <f aca="false">W47/$F$26</f>
        <v>31.5520339832294</v>
      </c>
      <c r="X50" s="13" t="n">
        <f aca="false">X47/$F$26</f>
        <v>33.282060149239</v>
      </c>
      <c r="Y50" s="13" t="n">
        <f aca="false">Y47/$F$26</f>
        <v>34.4329113826006</v>
      </c>
      <c r="Z50" s="13" t="n">
        <f aca="false">Z47/$F$26</f>
        <v>35.1544280386327</v>
      </c>
      <c r="AA50" s="13" t="n">
        <f aca="false">AA47/$F$26</f>
        <v>36.4658302876492</v>
      </c>
      <c r="AB50" s="13" t="n">
        <f aca="false">AB47/$F$26</f>
        <v>34.7821993644107</v>
      </c>
      <c r="AC50" s="13" t="n">
        <f aca="false">AC47/$F$26</f>
        <v>33.9557960965082</v>
      </c>
      <c r="AD50" s="13" t="n">
        <f aca="false">AD47/$F$26</f>
        <v>32.4583096571849</v>
      </c>
      <c r="AE50" s="13" t="n">
        <f aca="false">AE47/$F$26</f>
        <v>30.6242967591721</v>
      </c>
      <c r="AF50" s="13" t="n">
        <f aca="false">AF47/$F$26</f>
        <v>28.2659802248655</v>
      </c>
      <c r="AG50" s="13" t="n">
        <f aca="false">AG47/$F$26</f>
        <v>25.7139751001993</v>
      </c>
      <c r="AH50" s="13" t="n">
        <f aca="false">AH47/$F$26</f>
        <v>22.8535759572718</v>
      </c>
      <c r="AI50" s="13" t="n">
        <f aca="false">AI47/$F$26</f>
        <v>19.7810208448333</v>
      </c>
      <c r="AJ50" s="13" t="n">
        <f aca="false">AJ47/$F$26</f>
        <v>16.8162613382906</v>
      </c>
      <c r="AK50" s="13" t="n">
        <f aca="false">AK47/$F$26</f>
        <v>13.7970837145942</v>
      </c>
      <c r="AL50" s="13" t="n">
        <f aca="false">AL47/$F$26</f>
        <v>11.1372388770552</v>
      </c>
      <c r="AM50" s="13" t="n">
        <f aca="false">AM47/$F$26</f>
        <v>8.75452093187011</v>
      </c>
      <c r="AN50" s="13" t="n">
        <f aca="false">AN47/$F$26</f>
        <v>6.62203677495739</v>
      </c>
      <c r="AO50" s="13" t="n">
        <f aca="false">AO47/$F$26</f>
        <v>5.52707588145393</v>
      </c>
      <c r="AP50" s="13" t="n">
        <f aca="false">AP47/$F$26</f>
        <v>4.81688129117176</v>
      </c>
      <c r="AQ50" s="13" t="n">
        <f aca="false">AQ47/$F$26</f>
        <v>4.82844068438898</v>
      </c>
      <c r="AR50" s="13" t="n">
        <f aca="false">AR47/$F$26</f>
        <v>4.76617991560284</v>
      </c>
      <c r="AS50" s="13" t="n">
        <f aca="false">AS47/$F$26</f>
        <v>4.95570358286972</v>
      </c>
      <c r="AT50" s="13" t="n">
        <f aca="false">AT47/$F$26</f>
        <v>4.97119510824637</v>
      </c>
      <c r="AU50" s="13" t="n">
        <f aca="false">AU47/$F$26</f>
        <v>4.87173870547395</v>
      </c>
      <c r="AV50" s="13" t="n">
        <f aca="false">AV47/$F$26</f>
        <v>54.4283653803801</v>
      </c>
      <c r="AW50" s="13" t="n">
        <f aca="false">AW47/$F$26</f>
        <v>44.3042196998044</v>
      </c>
      <c r="AX50" s="13" t="n">
        <f aca="false">AX47/$F$26</f>
        <v>4.01967396801134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4.62740956663765E-013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3.47055717497824E-013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3.47055717497824E-013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1.15685239165941E-013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1.15685239165941E-013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196.271029603182</v>
      </c>
      <c r="J57" s="13" t="n">
        <f aca="false">Inputs!$F$75*J47</f>
        <v>26.9660376926352</v>
      </c>
      <c r="K57" s="13" t="n">
        <f aca="false">Inputs!$F$75*K47</f>
        <v>0.553397566004769</v>
      </c>
      <c r="L57" s="13" t="n">
        <f aca="false">Inputs!$F$75*L47</f>
        <v>0.705328067549754</v>
      </c>
      <c r="M57" s="13" t="n">
        <f aca="false">Inputs!$F$75*M47</f>
        <v>0.996583216513674</v>
      </c>
      <c r="N57" s="13" t="n">
        <f aca="false">Inputs!$F$75*N47</f>
        <v>1.43478220883584</v>
      </c>
      <c r="O57" s="13" t="n">
        <f aca="false">Inputs!$F$75*O47</f>
        <v>1.97679472439538</v>
      </c>
      <c r="P57" s="13" t="n">
        <f aca="false">Inputs!$F$75*P47</f>
        <v>2.57808420938896</v>
      </c>
      <c r="Q57" s="13" t="n">
        <f aca="false">Inputs!$F$75*Q47</f>
        <v>3.27264516420471</v>
      </c>
      <c r="R57" s="13" t="n">
        <f aca="false">Inputs!$F$75*R47</f>
        <v>3.96434194781967</v>
      </c>
      <c r="S57" s="13" t="n">
        <f aca="false">Inputs!$F$75*S47</f>
        <v>4.66891639049479</v>
      </c>
      <c r="T57" s="13" t="n">
        <f aca="false">Inputs!$F$75*T47</f>
        <v>5.32799856882671</v>
      </c>
      <c r="U57" s="13" t="n">
        <f aca="false">Inputs!$F$75*U47</f>
        <v>5.96016183213114</v>
      </c>
      <c r="V57" s="13" t="n">
        <f aca="false">Inputs!$F$75*V47</f>
        <v>6.51581874832467</v>
      </c>
      <c r="W57" s="13" t="n">
        <f aca="false">Inputs!$F$75*W47</f>
        <v>6.97776004383321</v>
      </c>
      <c r="X57" s="13" t="n">
        <f aca="false">Inputs!$F$75*X47</f>
        <v>7.36035685082143</v>
      </c>
      <c r="Y57" s="13" t="n">
        <f aca="false">Inputs!$F$75*Y47</f>
        <v>7.6148686124662</v>
      </c>
      <c r="Z57" s="13" t="n">
        <f aca="false">Inputs!$F$75*Z47</f>
        <v>7.7744326550283</v>
      </c>
      <c r="AA57" s="13" t="n">
        <f aca="false">Inputs!$F$75*AA47</f>
        <v>8.06445041487998</v>
      </c>
      <c r="AB57" s="13" t="n">
        <f aca="false">Inputs!$F$75*AB47</f>
        <v>7.69211395660347</v>
      </c>
      <c r="AC57" s="13" t="n">
        <f aca="false">Inputs!$F$75*AC47</f>
        <v>7.50935414765016</v>
      </c>
      <c r="AD57" s="13" t="n">
        <f aca="false">Inputs!$F$75*AD47</f>
        <v>7.1781837055783</v>
      </c>
      <c r="AE57" s="13" t="n">
        <f aca="false">Inputs!$F$75*AE47</f>
        <v>6.77259014142233</v>
      </c>
      <c r="AF57" s="13" t="n">
        <f aca="false">Inputs!$F$75*AF47</f>
        <v>6.25104636733341</v>
      </c>
      <c r="AG57" s="13" t="n">
        <f aca="false">Inputs!$F$75*AG47</f>
        <v>5.68666819126975</v>
      </c>
      <c r="AH57" s="13" t="n">
        <f aca="false">Inputs!$F$75*AH47</f>
        <v>5.05408840704591</v>
      </c>
      <c r="AI57" s="13" t="n">
        <f aca="false">Inputs!$F$75*AI47</f>
        <v>4.37459014371861</v>
      </c>
      <c r="AJ57" s="13" t="n">
        <f aca="false">Inputs!$F$75*AJ47</f>
        <v>3.71893097336767</v>
      </c>
      <c r="AK57" s="13" t="n">
        <f aca="false">Inputs!$F$75*AK47</f>
        <v>3.05123718858468</v>
      </c>
      <c r="AL57" s="13" t="n">
        <f aca="false">Inputs!$F$75*AL47</f>
        <v>2.46301016524791</v>
      </c>
      <c r="AM57" s="13" t="n">
        <f aca="false">Inputs!$F$75*AM47</f>
        <v>1.93606999769884</v>
      </c>
      <c r="AN57" s="13" t="n">
        <f aca="false">Inputs!$F$75*AN47</f>
        <v>1.46446925233574</v>
      </c>
      <c r="AO57" s="13" t="n">
        <f aca="false">Inputs!$F$75*AO47</f>
        <v>1.22231768846796</v>
      </c>
      <c r="AP57" s="13" t="n">
        <f aca="false">Inputs!$F$75*AP47</f>
        <v>1.06525753069647</v>
      </c>
      <c r="AQ57" s="13" t="n">
        <f aca="false">Inputs!$F$75*AQ47</f>
        <v>1.06781390066504</v>
      </c>
      <c r="AR57" s="13" t="n">
        <f aca="false">Inputs!$F$75*AR47</f>
        <v>1.05404487693221</v>
      </c>
      <c r="AS57" s="13" t="n">
        <f aca="false">Inputs!$F$75*AS47</f>
        <v>1.09595820250477</v>
      </c>
      <c r="AT57" s="13" t="n">
        <f aca="false">Inputs!$F$75*AT47</f>
        <v>1.09938416695602</v>
      </c>
      <c r="AU57" s="13" t="n">
        <f aca="false">Inputs!$F$75*AU47</f>
        <v>1.07738929607899</v>
      </c>
      <c r="AV57" s="13" t="n">
        <f aca="false">Inputs!$F$75*AV47</f>
        <v>12.0368808364062</v>
      </c>
      <c r="AW57" s="13" t="n">
        <f aca="false">Inputs!$F$75*AW47</f>
        <v>9.79791712188254</v>
      </c>
      <c r="AX57" s="13" t="n">
        <f aca="false">Inputs!$F$75*AX47</f>
        <v>0.888954430580745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143.932088375667</v>
      </c>
      <c r="J58" s="13" t="n">
        <f aca="false">Inputs!$F$76*J47</f>
        <v>19.7750943079324</v>
      </c>
      <c r="K58" s="13" t="n">
        <f aca="false">Inputs!$F$76*K47</f>
        <v>0.40582488173683</v>
      </c>
      <c r="L58" s="13" t="n">
        <f aca="false">Inputs!$F$76*L47</f>
        <v>0.517240582869819</v>
      </c>
      <c r="M58" s="13" t="n">
        <f aca="false">Inputs!$F$76*M47</f>
        <v>0.730827692110028</v>
      </c>
      <c r="N58" s="13" t="n">
        <f aca="false">Inputs!$F$76*N47</f>
        <v>1.05217361981295</v>
      </c>
      <c r="O58" s="13" t="n">
        <f aca="false">Inputs!$F$76*O47</f>
        <v>1.44964946455661</v>
      </c>
      <c r="P58" s="13" t="n">
        <f aca="false">Inputs!$F$76*P47</f>
        <v>1.89059508688524</v>
      </c>
      <c r="Q58" s="13" t="n">
        <f aca="false">Inputs!$F$76*Q47</f>
        <v>2.39993978708345</v>
      </c>
      <c r="R58" s="13" t="n">
        <f aca="false">Inputs!$F$76*R47</f>
        <v>2.90718409506776</v>
      </c>
      <c r="S58" s="13" t="n">
        <f aca="false">Inputs!$F$76*S47</f>
        <v>3.42387201969618</v>
      </c>
      <c r="T58" s="13" t="n">
        <f aca="false">Inputs!$F$76*T47</f>
        <v>3.90719895047292</v>
      </c>
      <c r="U58" s="13" t="n">
        <f aca="false">Inputs!$F$76*U47</f>
        <v>4.37078534356284</v>
      </c>
      <c r="V58" s="13" t="n">
        <f aca="false">Inputs!$F$76*V47</f>
        <v>4.77826708210476</v>
      </c>
      <c r="W58" s="13" t="n">
        <f aca="false">Inputs!$F$76*W47</f>
        <v>5.11702403214436</v>
      </c>
      <c r="X58" s="13" t="n">
        <f aca="false">Inputs!$F$76*X47</f>
        <v>5.39759502393572</v>
      </c>
      <c r="Y58" s="13" t="n">
        <f aca="false">Inputs!$F$76*Y47</f>
        <v>5.58423698247521</v>
      </c>
      <c r="Z58" s="13" t="n">
        <f aca="false">Inputs!$F$76*Z47</f>
        <v>5.70125061368742</v>
      </c>
      <c r="AA58" s="13" t="n">
        <f aca="false">Inputs!$F$76*AA47</f>
        <v>5.91393030424532</v>
      </c>
      <c r="AB58" s="13" t="n">
        <f aca="false">Inputs!$F$76*AB47</f>
        <v>5.64088356817588</v>
      </c>
      <c r="AC58" s="13" t="n">
        <f aca="false">Inputs!$F$76*AC47</f>
        <v>5.50685970827679</v>
      </c>
      <c r="AD58" s="13" t="n">
        <f aca="false">Inputs!$F$76*AD47</f>
        <v>5.26400138409076</v>
      </c>
      <c r="AE58" s="13" t="n">
        <f aca="false">Inputs!$F$76*AE47</f>
        <v>4.96656610370971</v>
      </c>
      <c r="AF58" s="13" t="n">
        <f aca="false">Inputs!$F$76*AF47</f>
        <v>4.58410066937783</v>
      </c>
      <c r="AG58" s="13" t="n">
        <f aca="false">Inputs!$F$76*AG47</f>
        <v>4.17022334026448</v>
      </c>
      <c r="AH58" s="13" t="n">
        <f aca="false">Inputs!$F$76*AH47</f>
        <v>3.70633149850033</v>
      </c>
      <c r="AI58" s="13" t="n">
        <f aca="false">Inputs!$F$76*AI47</f>
        <v>3.20803277206031</v>
      </c>
      <c r="AJ58" s="13" t="n">
        <f aca="false">Inputs!$F$76*AJ47</f>
        <v>2.72721604713629</v>
      </c>
      <c r="AK58" s="13" t="n">
        <f aca="false">Inputs!$F$76*AK47</f>
        <v>2.23757393829543</v>
      </c>
      <c r="AL58" s="13" t="n">
        <f aca="false">Inputs!$F$76*AL47</f>
        <v>1.80620745451513</v>
      </c>
      <c r="AM58" s="13" t="n">
        <f aca="false">Inputs!$F$76*AM47</f>
        <v>1.41978466497915</v>
      </c>
      <c r="AN58" s="13" t="n">
        <f aca="false">Inputs!$F$76*AN47</f>
        <v>1.07394411837954</v>
      </c>
      <c r="AO58" s="13" t="n">
        <f aca="false">Inputs!$F$76*AO47</f>
        <v>0.896366304876504</v>
      </c>
      <c r="AP58" s="13" t="n">
        <f aca="false">Inputs!$F$76*AP47</f>
        <v>0.781188855844077</v>
      </c>
      <c r="AQ58" s="13" t="n">
        <f aca="false">Inputs!$F$76*AQ47</f>
        <v>0.783063527154364</v>
      </c>
      <c r="AR58" s="13" t="n">
        <f aca="false">Inputs!$F$76*AR47</f>
        <v>0.772966243083618</v>
      </c>
      <c r="AS58" s="13" t="n">
        <f aca="false">Inputs!$F$76*AS47</f>
        <v>0.803702681836829</v>
      </c>
      <c r="AT58" s="13" t="n">
        <f aca="false">Inputs!$F$76*AT47</f>
        <v>0.806215055767746</v>
      </c>
      <c r="AU58" s="13" t="n">
        <f aca="false">Inputs!$F$76*AU47</f>
        <v>0.790085483791259</v>
      </c>
      <c r="AV58" s="13" t="n">
        <f aca="false">Inputs!$F$76*AV47</f>
        <v>8.82704594669787</v>
      </c>
      <c r="AW58" s="13" t="n">
        <f aca="false">Inputs!$F$76*AW47</f>
        <v>7.18513922271387</v>
      </c>
      <c r="AX58" s="13" t="n">
        <f aca="false">Inputs!$F$76*AX47</f>
        <v>0.651899915759213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65.423676534394</v>
      </c>
      <c r="J59" s="13" t="n">
        <f aca="false">Inputs!$F$77*J47</f>
        <v>8.98867923087838</v>
      </c>
      <c r="K59" s="13" t="n">
        <f aca="false">Inputs!$F$77*K47</f>
        <v>0.184465855334923</v>
      </c>
      <c r="L59" s="13" t="n">
        <f aca="false">Inputs!$F$77*L47</f>
        <v>0.235109355849918</v>
      </c>
      <c r="M59" s="13" t="n">
        <f aca="false">Inputs!$F$77*M47</f>
        <v>0.332194405504558</v>
      </c>
      <c r="N59" s="13" t="n">
        <f aca="false">Inputs!$F$77*N47</f>
        <v>0.478260736278613</v>
      </c>
      <c r="O59" s="13" t="n">
        <f aca="false">Inputs!$F$77*O47</f>
        <v>0.65893157479846</v>
      </c>
      <c r="P59" s="13" t="n">
        <f aca="false">Inputs!$F$77*P47</f>
        <v>0.859361403129653</v>
      </c>
      <c r="Q59" s="13" t="n">
        <f aca="false">Inputs!$F$77*Q47</f>
        <v>1.09088172140157</v>
      </c>
      <c r="R59" s="13" t="n">
        <f aca="false">Inputs!$F$77*R47</f>
        <v>1.32144731593989</v>
      </c>
      <c r="S59" s="13" t="n">
        <f aca="false">Inputs!$F$77*S47</f>
        <v>1.55630546349826</v>
      </c>
      <c r="T59" s="13" t="n">
        <f aca="false">Inputs!$F$77*T47</f>
        <v>1.77599952294224</v>
      </c>
      <c r="U59" s="13" t="n">
        <f aca="false">Inputs!$F$77*U47</f>
        <v>1.98672061071038</v>
      </c>
      <c r="V59" s="13" t="n">
        <f aca="false">Inputs!$F$77*V47</f>
        <v>2.17193958277489</v>
      </c>
      <c r="W59" s="13" t="n">
        <f aca="false">Inputs!$F$77*W47</f>
        <v>2.32592001461107</v>
      </c>
      <c r="X59" s="13" t="n">
        <f aca="false">Inputs!$F$77*X47</f>
        <v>2.45345228360715</v>
      </c>
      <c r="Y59" s="13" t="n">
        <f aca="false">Inputs!$F$77*Y47</f>
        <v>2.53828953748873</v>
      </c>
      <c r="Z59" s="13" t="n">
        <f aca="false">Inputs!$F$77*Z47</f>
        <v>2.5914775516761</v>
      </c>
      <c r="AA59" s="13" t="n">
        <f aca="false">Inputs!$F$77*AA47</f>
        <v>2.68815013829333</v>
      </c>
      <c r="AB59" s="13" t="n">
        <f aca="false">Inputs!$F$77*AB47</f>
        <v>2.56403798553449</v>
      </c>
      <c r="AC59" s="13" t="n">
        <f aca="false">Inputs!$F$77*AC47</f>
        <v>2.50311804921672</v>
      </c>
      <c r="AD59" s="13" t="n">
        <f aca="false">Inputs!$F$77*AD47</f>
        <v>2.39272790185944</v>
      </c>
      <c r="AE59" s="13" t="n">
        <f aca="false">Inputs!$F$77*AE47</f>
        <v>2.25753004714078</v>
      </c>
      <c r="AF59" s="13" t="n">
        <f aca="false">Inputs!$F$77*AF47</f>
        <v>2.08368212244447</v>
      </c>
      <c r="AG59" s="13" t="n">
        <f aca="false">Inputs!$F$77*AG47</f>
        <v>1.89555606375658</v>
      </c>
      <c r="AH59" s="13" t="n">
        <f aca="false">Inputs!$F$77*AH47</f>
        <v>1.68469613568197</v>
      </c>
      <c r="AI59" s="13" t="n">
        <f aca="false">Inputs!$F$77*AI47</f>
        <v>1.45819671457287</v>
      </c>
      <c r="AJ59" s="13" t="n">
        <f aca="false">Inputs!$F$77*AJ47</f>
        <v>1.23964365778922</v>
      </c>
      <c r="AK59" s="13" t="n">
        <f aca="false">Inputs!$F$77*AK47</f>
        <v>1.01707906286156</v>
      </c>
      <c r="AL59" s="13" t="n">
        <f aca="false">Inputs!$F$77*AL47</f>
        <v>0.82100338841597</v>
      </c>
      <c r="AM59" s="13" t="n">
        <f aca="false">Inputs!$F$77*AM47</f>
        <v>0.645356665899614</v>
      </c>
      <c r="AN59" s="13" t="n">
        <f aca="false">Inputs!$F$77*AN47</f>
        <v>0.488156417445247</v>
      </c>
      <c r="AO59" s="13" t="n">
        <f aca="false">Inputs!$F$77*AO47</f>
        <v>0.40743922948932</v>
      </c>
      <c r="AP59" s="13" t="n">
        <f aca="false">Inputs!$F$77*AP47</f>
        <v>0.35508584356549</v>
      </c>
      <c r="AQ59" s="13" t="n">
        <f aca="false">Inputs!$F$77*AQ47</f>
        <v>0.355937966888347</v>
      </c>
      <c r="AR59" s="13" t="n">
        <f aca="false">Inputs!$F$77*AR47</f>
        <v>0.351348292310735</v>
      </c>
      <c r="AS59" s="13" t="n">
        <f aca="false">Inputs!$F$77*AS47</f>
        <v>0.365319400834922</v>
      </c>
      <c r="AT59" s="13" t="n">
        <f aca="false">Inputs!$F$77*AT47</f>
        <v>0.366461388985339</v>
      </c>
      <c r="AU59" s="13" t="n">
        <f aca="false">Inputs!$F$77*AU47</f>
        <v>0.359129765359663</v>
      </c>
      <c r="AV59" s="13" t="n">
        <f aca="false">Inputs!$F$77*AV47</f>
        <v>4.0122936121354</v>
      </c>
      <c r="AW59" s="13" t="n">
        <f aca="false">Inputs!$F$77*AW47</f>
        <v>3.26597237396085</v>
      </c>
      <c r="AX59" s="13" t="n">
        <f aca="false">Inputs!$F$77*AX47</f>
        <v>0.296318143526915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248.609970830697</v>
      </c>
      <c r="J60" s="13" t="n">
        <f aca="false">Inputs!$F$78*J47</f>
        <v>34.1569810773379</v>
      </c>
      <c r="K60" s="13" t="n">
        <f aca="false">Inputs!$F$78*K47</f>
        <v>0.700970250272707</v>
      </c>
      <c r="L60" s="13" t="n">
        <f aca="false">Inputs!$F$78*L47</f>
        <v>0.893415552229688</v>
      </c>
      <c r="M60" s="13" t="n">
        <f aca="false">Inputs!$F$78*M47</f>
        <v>1.26233874091732</v>
      </c>
      <c r="N60" s="13" t="n">
        <f aca="false">Inputs!$F$78*N47</f>
        <v>1.81739079785873</v>
      </c>
      <c r="O60" s="13" t="n">
        <f aca="false">Inputs!$F$78*O47</f>
        <v>2.50393998423415</v>
      </c>
      <c r="P60" s="13" t="n">
        <f aca="false">Inputs!$F$78*P47</f>
        <v>3.26557333189268</v>
      </c>
      <c r="Q60" s="13" t="n">
        <f aca="false">Inputs!$F$78*Q47</f>
        <v>4.14535054132596</v>
      </c>
      <c r="R60" s="13" t="n">
        <f aca="false">Inputs!$F$78*R47</f>
        <v>5.02149980057158</v>
      </c>
      <c r="S60" s="13" t="n">
        <f aca="false">Inputs!$F$78*S47</f>
        <v>5.9139607612934</v>
      </c>
      <c r="T60" s="13" t="n">
        <f aca="false">Inputs!$F$78*T47</f>
        <v>6.7487981871805</v>
      </c>
      <c r="U60" s="13" t="n">
        <f aca="false">Inputs!$F$78*U47</f>
        <v>7.54953832069944</v>
      </c>
      <c r="V60" s="13" t="n">
        <f aca="false">Inputs!$F$78*V47</f>
        <v>8.25337041454458</v>
      </c>
      <c r="W60" s="13" t="n">
        <f aca="false">Inputs!$F$78*W47</f>
        <v>8.83849605552207</v>
      </c>
      <c r="X60" s="13" t="n">
        <f aca="false">Inputs!$F$78*X47</f>
        <v>9.32311867770715</v>
      </c>
      <c r="Y60" s="13" t="n">
        <f aca="false">Inputs!$F$78*Y47</f>
        <v>9.64550024245718</v>
      </c>
      <c r="Z60" s="13" t="n">
        <f aca="false">Inputs!$F$78*Z47</f>
        <v>9.84761469636918</v>
      </c>
      <c r="AA60" s="13" t="n">
        <f aca="false">Inputs!$F$78*AA47</f>
        <v>10.2149705255146</v>
      </c>
      <c r="AB60" s="13" t="n">
        <f aca="false">Inputs!$F$78*AB47</f>
        <v>9.74334434503106</v>
      </c>
      <c r="AC60" s="13" t="n">
        <f aca="false">Inputs!$F$78*AC47</f>
        <v>9.51184858702354</v>
      </c>
      <c r="AD60" s="13" t="n">
        <f aca="false">Inputs!$F$78*AD47</f>
        <v>9.09236602706585</v>
      </c>
      <c r="AE60" s="13" t="n">
        <f aca="false">Inputs!$F$78*AE47</f>
        <v>8.57861417913495</v>
      </c>
      <c r="AF60" s="13" t="n">
        <f aca="false">Inputs!$F$78*AF47</f>
        <v>7.91799206528898</v>
      </c>
      <c r="AG60" s="13" t="n">
        <f aca="false">Inputs!$F$78*AG47</f>
        <v>7.20311304227501</v>
      </c>
      <c r="AH60" s="13" t="n">
        <f aca="false">Inputs!$F$78*AH47</f>
        <v>6.40184531559148</v>
      </c>
      <c r="AI60" s="13" t="n">
        <f aca="false">Inputs!$F$78*AI47</f>
        <v>5.5411475153769</v>
      </c>
      <c r="AJ60" s="13" t="n">
        <f aca="false">Inputs!$F$78*AJ47</f>
        <v>4.71064589959905</v>
      </c>
      <c r="AK60" s="13" t="n">
        <f aca="false">Inputs!$F$78*AK47</f>
        <v>3.86490043887393</v>
      </c>
      <c r="AL60" s="13" t="n">
        <f aca="false">Inputs!$F$78*AL47</f>
        <v>3.11981287598069</v>
      </c>
      <c r="AM60" s="13" t="n">
        <f aca="false">Inputs!$F$78*AM47</f>
        <v>2.45235533041853</v>
      </c>
      <c r="AN60" s="13" t="n">
        <f aca="false">Inputs!$F$78*AN47</f>
        <v>1.85499438629194</v>
      </c>
      <c r="AO60" s="13" t="n">
        <f aca="false">Inputs!$F$78*AO47</f>
        <v>1.54826907205942</v>
      </c>
      <c r="AP60" s="13" t="n">
        <f aca="false">Inputs!$F$78*AP47</f>
        <v>1.34932620554886</v>
      </c>
      <c r="AQ60" s="13" t="n">
        <f aca="false">Inputs!$F$78*AQ47</f>
        <v>1.35256427417572</v>
      </c>
      <c r="AR60" s="13" t="n">
        <f aca="false">Inputs!$F$78*AR47</f>
        <v>1.33512351078079</v>
      </c>
      <c r="AS60" s="13" t="n">
        <f aca="false">Inputs!$F$78*AS47</f>
        <v>1.3882137231727</v>
      </c>
      <c r="AT60" s="13" t="n">
        <f aca="false">Inputs!$F$78*AT47</f>
        <v>1.39255327814429</v>
      </c>
      <c r="AU60" s="13" t="n">
        <f aca="false">Inputs!$F$78*AU47</f>
        <v>1.36469310836672</v>
      </c>
      <c r="AV60" s="13" t="n">
        <f aca="false">Inputs!$F$78*AV47</f>
        <v>15.2467157261145</v>
      </c>
      <c r="AW60" s="13" t="n">
        <f aca="false">Inputs!$F$78*AW47</f>
        <v>12.4106950210512</v>
      </c>
      <c r="AX60" s="13" t="n">
        <f aca="false">Inputs!$F$78*AX47</f>
        <v>1.12600894540228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26.9660376926352</v>
      </c>
      <c r="K61" s="13" t="n">
        <f aca="false">K28+K57</f>
        <v>27.5194352586399</v>
      </c>
      <c r="L61" s="13" t="n">
        <f aca="false">L28+L57</f>
        <v>28.2247633261897</v>
      </c>
      <c r="M61" s="13" t="n">
        <f aca="false">M28+M57</f>
        <v>29.2213465427033</v>
      </c>
      <c r="N61" s="13" t="n">
        <f aca="false">N28+N57</f>
        <v>30.6561287515392</v>
      </c>
      <c r="O61" s="13" t="n">
        <f aca="false">O28+O57</f>
        <v>32.6329234759346</v>
      </c>
      <c r="P61" s="13" t="n">
        <f aca="false">P28+P57</f>
        <v>35.2110076853235</v>
      </c>
      <c r="Q61" s="13" t="n">
        <f aca="false">Q28+Q57</f>
        <v>38.4836528495282</v>
      </c>
      <c r="R61" s="13" t="n">
        <f aca="false">R28+R57</f>
        <v>42.4479947973479</v>
      </c>
      <c r="S61" s="13" t="n">
        <f aca="false">S28+S57</f>
        <v>47.1169111878427</v>
      </c>
      <c r="T61" s="13" t="n">
        <f aca="false">T28+T57</f>
        <v>52.4449097566694</v>
      </c>
      <c r="U61" s="13" t="n">
        <f aca="false">U28+U57</f>
        <v>58.4050715888005</v>
      </c>
      <c r="V61" s="13" t="n">
        <f aca="false">V28+V57</f>
        <v>64.9208903371252</v>
      </c>
      <c r="W61" s="13" t="n">
        <f aca="false">W28+W57</f>
        <v>71.8986503809584</v>
      </c>
      <c r="X61" s="13" t="n">
        <f aca="false">X28+X57</f>
        <v>79.2590072317799</v>
      </c>
      <c r="Y61" s="13" t="n">
        <f aca="false">Y28+Y57</f>
        <v>86.873875844246</v>
      </c>
      <c r="Z61" s="13" t="n">
        <f aca="false">Z28+Z57</f>
        <v>94.6483084992744</v>
      </c>
      <c r="AA61" s="13" t="n">
        <f aca="false">AA28+AA57</f>
        <v>102.712758914154</v>
      </c>
      <c r="AB61" s="13" t="n">
        <f aca="false">AB28+AB57</f>
        <v>110.404872870758</v>
      </c>
      <c r="AC61" s="13" t="n">
        <f aca="false">AC28+AC57</f>
        <v>117.914227018408</v>
      </c>
      <c r="AD61" s="13" t="n">
        <f aca="false">AD28+AD57</f>
        <v>125.092410723986</v>
      </c>
      <c r="AE61" s="13" t="n">
        <f aca="false">AE28+AE57</f>
        <v>131.865000865409</v>
      </c>
      <c r="AF61" s="13" t="n">
        <f aca="false">AF28+AF57</f>
        <v>138.116047232742</v>
      </c>
      <c r="AG61" s="13" t="n">
        <f aca="false">AG28+AG57</f>
        <v>143.802715424012</v>
      </c>
      <c r="AH61" s="13" t="n">
        <f aca="false">AH28+AH57</f>
        <v>148.856803831058</v>
      </c>
      <c r="AI61" s="13" t="n">
        <f aca="false">AI28+AI57</f>
        <v>153.231393974776</v>
      </c>
      <c r="AJ61" s="13" t="n">
        <f aca="false">AJ28+AJ57</f>
        <v>156.950324948144</v>
      </c>
      <c r="AK61" s="13" t="n">
        <f aca="false">AK28+AK57</f>
        <v>160.001562136729</v>
      </c>
      <c r="AL61" s="13" t="n">
        <f aca="false">AL28+AL57</f>
        <v>162.464572301977</v>
      </c>
      <c r="AM61" s="13" t="n">
        <f aca="false">AM28+AM57</f>
        <v>164.400642299675</v>
      </c>
      <c r="AN61" s="13" t="n">
        <f aca="false">AN28+AN57</f>
        <v>165.865111552011</v>
      </c>
      <c r="AO61" s="13" t="n">
        <f aca="false">AO28+AO57</f>
        <v>167.087429240479</v>
      </c>
      <c r="AP61" s="13" t="n">
        <f aca="false">AP28+AP57</f>
        <v>168.152686771176</v>
      </c>
      <c r="AQ61" s="13" t="n">
        <f aca="false">AQ28+AQ57</f>
        <v>169.220500671841</v>
      </c>
      <c r="AR61" s="13" t="n">
        <f aca="false">AR28+AR57</f>
        <v>170.274545548773</v>
      </c>
      <c r="AS61" s="13" t="n">
        <f aca="false">AS28+AS57</f>
        <v>171.370503751278</v>
      </c>
      <c r="AT61" s="13" t="n">
        <f aca="false">AT28+AT57</f>
        <v>172.469887918234</v>
      </c>
      <c r="AU61" s="13" t="n">
        <f aca="false">AU28+AU57</f>
        <v>173.547277214313</v>
      </c>
      <c r="AV61" s="13" t="n">
        <f aca="false">AV28+AV57</f>
        <v>185.584158050719</v>
      </c>
      <c r="AW61" s="13" t="n">
        <f aca="false">AW28+AW57</f>
        <v>195.382075172601</v>
      </c>
      <c r="AX61" s="13" t="n">
        <f aca="false">AX28+AX57</f>
        <v>196.271029603182</v>
      </c>
      <c r="AY61" s="13" t="n">
        <f aca="false">AY28+AY57</f>
        <v>196.271029603182</v>
      </c>
      <c r="AZ61" s="13" t="n">
        <f aca="false">AZ28+AZ57</f>
        <v>196.271029603182</v>
      </c>
      <c r="BA61" s="13" t="n">
        <f aca="false">BA28+BA57</f>
        <v>196.271029603182</v>
      </c>
      <c r="BB61" s="13" t="n">
        <f aca="false">BB28+BB57</f>
        <v>196.271029603182</v>
      </c>
      <c r="BC61" s="13" t="n">
        <f aca="false">BC28+BC57</f>
        <v>196.271029603182</v>
      </c>
      <c r="BD61" s="13" t="n">
        <f aca="false">BD28+BD57</f>
        <v>196.271029603182</v>
      </c>
      <c r="BE61" s="13" t="n">
        <f aca="false">BE28+BE57</f>
        <v>196.271029603182</v>
      </c>
      <c r="BF61" s="13" t="n">
        <f aca="false">BF28+BF57</f>
        <v>196.271029603182</v>
      </c>
      <c r="BG61" s="13" t="n">
        <f aca="false">BG28+BG57</f>
        <v>196.271029603182</v>
      </c>
      <c r="BH61" s="13" t="n">
        <f aca="false">BH28+BH57</f>
        <v>196.271029603182</v>
      </c>
      <c r="BI61" s="13" t="n">
        <f aca="false">BI28+BI57</f>
        <v>196.271029603182</v>
      </c>
      <c r="BJ61" s="13" t="n">
        <f aca="false">BJ28+BJ57</f>
        <v>196.271029603182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19.7750943079324</v>
      </c>
      <c r="K62" s="13" t="n">
        <f aca="false">K29+K58</f>
        <v>20.1809191896693</v>
      </c>
      <c r="L62" s="13" t="n">
        <f aca="false">L29+L58</f>
        <v>20.6981597725391</v>
      </c>
      <c r="M62" s="13" t="n">
        <f aca="false">M29+M58</f>
        <v>21.4289874646491</v>
      </c>
      <c r="N62" s="13" t="n">
        <f aca="false">N29+N58</f>
        <v>22.4811610844621</v>
      </c>
      <c r="O62" s="13" t="n">
        <f aca="false">O29+O58</f>
        <v>23.9308105490187</v>
      </c>
      <c r="P62" s="13" t="n">
        <f aca="false">P29+P58</f>
        <v>25.8214056359039</v>
      </c>
      <c r="Q62" s="13" t="n">
        <f aca="false">Q29+Q58</f>
        <v>28.2213454229874</v>
      </c>
      <c r="R62" s="13" t="n">
        <f aca="false">R29+R58</f>
        <v>31.1285295180551</v>
      </c>
      <c r="S62" s="13" t="n">
        <f aca="false">S29+S58</f>
        <v>34.5524015377513</v>
      </c>
      <c r="T62" s="13" t="n">
        <f aca="false">T29+T58</f>
        <v>38.4596004882242</v>
      </c>
      <c r="U62" s="13" t="n">
        <f aca="false">U29+U58</f>
        <v>42.8303858317871</v>
      </c>
      <c r="V62" s="13" t="n">
        <f aca="false">V29+V58</f>
        <v>47.6086529138918</v>
      </c>
      <c r="W62" s="13" t="n">
        <f aca="false">W29+W58</f>
        <v>52.7256769460362</v>
      </c>
      <c r="X62" s="13" t="n">
        <f aca="false">X29+X58</f>
        <v>58.1232719699719</v>
      </c>
      <c r="Y62" s="13" t="n">
        <f aca="false">Y29+Y58</f>
        <v>63.7075089524471</v>
      </c>
      <c r="Z62" s="13" t="n">
        <f aca="false">Z29+Z58</f>
        <v>69.4087595661345</v>
      </c>
      <c r="AA62" s="13" t="n">
        <f aca="false">AA29+AA58</f>
        <v>75.3226898703799</v>
      </c>
      <c r="AB62" s="13" t="n">
        <f aca="false">AB29+AB58</f>
        <v>80.9635734385557</v>
      </c>
      <c r="AC62" s="13" t="n">
        <f aca="false">AC29+AC58</f>
        <v>86.4704331468325</v>
      </c>
      <c r="AD62" s="13" t="n">
        <f aca="false">AD29+AD58</f>
        <v>91.7344345309233</v>
      </c>
      <c r="AE62" s="13" t="n">
        <f aca="false">AE29+AE58</f>
        <v>96.701000634633</v>
      </c>
      <c r="AF62" s="13" t="n">
        <f aca="false">AF29+AF58</f>
        <v>101.285101304011</v>
      </c>
      <c r="AG62" s="13" t="n">
        <f aca="false">AG29+AG58</f>
        <v>105.455324644275</v>
      </c>
      <c r="AH62" s="13" t="n">
        <f aca="false">AH29+AH58</f>
        <v>109.161656142776</v>
      </c>
      <c r="AI62" s="13" t="n">
        <f aca="false">AI29+AI58</f>
        <v>112.369688914836</v>
      </c>
      <c r="AJ62" s="13" t="n">
        <f aca="false">AJ29+AJ58</f>
        <v>115.096904961972</v>
      </c>
      <c r="AK62" s="13" t="n">
        <f aca="false">AK29+AK58</f>
        <v>117.334478900268</v>
      </c>
      <c r="AL62" s="13" t="n">
        <f aca="false">AL29+AL58</f>
        <v>119.140686354783</v>
      </c>
      <c r="AM62" s="13" t="n">
        <f aca="false">AM29+AM58</f>
        <v>120.560471019762</v>
      </c>
      <c r="AN62" s="13" t="n">
        <f aca="false">AN29+AN58</f>
        <v>121.634415138141</v>
      </c>
      <c r="AO62" s="13" t="n">
        <f aca="false">AO29+AO58</f>
        <v>122.530781443018</v>
      </c>
      <c r="AP62" s="13" t="n">
        <f aca="false">AP29+AP58</f>
        <v>123.311970298862</v>
      </c>
      <c r="AQ62" s="13" t="n">
        <f aca="false">AQ29+AQ58</f>
        <v>124.095033826016</v>
      </c>
      <c r="AR62" s="13" t="n">
        <f aca="false">AR29+AR58</f>
        <v>124.8680000691</v>
      </c>
      <c r="AS62" s="13" t="n">
        <f aca="false">AS29+AS58</f>
        <v>125.671702750937</v>
      </c>
      <c r="AT62" s="13" t="n">
        <f aca="false">AT29+AT58</f>
        <v>126.477917806705</v>
      </c>
      <c r="AU62" s="13" t="n">
        <f aca="false">AU29+AU58</f>
        <v>127.268003290496</v>
      </c>
      <c r="AV62" s="13" t="n">
        <f aca="false">AV29+AV58</f>
        <v>136.095049237194</v>
      </c>
      <c r="AW62" s="13" t="n">
        <f aca="false">AW29+AW58</f>
        <v>143.280188459908</v>
      </c>
      <c r="AX62" s="13" t="n">
        <f aca="false">AX29+AX58</f>
        <v>143.932088375667</v>
      </c>
      <c r="AY62" s="13" t="n">
        <f aca="false">AY29+AY58</f>
        <v>143.932088375667</v>
      </c>
      <c r="AZ62" s="13" t="n">
        <f aca="false">AZ29+AZ58</f>
        <v>143.932088375667</v>
      </c>
      <c r="BA62" s="13" t="n">
        <f aca="false">BA29+BA58</f>
        <v>143.932088375667</v>
      </c>
      <c r="BB62" s="13" t="n">
        <f aca="false">BB29+BB58</f>
        <v>143.932088375667</v>
      </c>
      <c r="BC62" s="13" t="n">
        <f aca="false">BC29+BC58</f>
        <v>143.932088375667</v>
      </c>
      <c r="BD62" s="13" t="n">
        <f aca="false">BD29+BD58</f>
        <v>143.932088375667</v>
      </c>
      <c r="BE62" s="13" t="n">
        <f aca="false">BE29+BE58</f>
        <v>143.932088375667</v>
      </c>
      <c r="BF62" s="13" t="n">
        <f aca="false">BF29+BF58</f>
        <v>143.932088375667</v>
      </c>
      <c r="BG62" s="13" t="n">
        <f aca="false">BG29+BG58</f>
        <v>143.932088375667</v>
      </c>
      <c r="BH62" s="13" t="n">
        <f aca="false">BH29+BH58</f>
        <v>143.932088375667</v>
      </c>
      <c r="BI62" s="13" t="n">
        <f aca="false">BI29+BI58</f>
        <v>143.932088375667</v>
      </c>
      <c r="BJ62" s="13" t="n">
        <f aca="false">BJ29+BJ58</f>
        <v>143.932088375667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8.98867923087838</v>
      </c>
      <c r="K63" s="13" t="n">
        <f aca="false">K30+K59</f>
        <v>9.17314508621331</v>
      </c>
      <c r="L63" s="13" t="n">
        <f aca="false">L30+L59</f>
        <v>9.40825444206323</v>
      </c>
      <c r="M63" s="13" t="n">
        <f aca="false">M30+M59</f>
        <v>9.74044884756778</v>
      </c>
      <c r="N63" s="13" t="n">
        <f aca="false">N30+N59</f>
        <v>10.2187095838464</v>
      </c>
      <c r="O63" s="13" t="n">
        <f aca="false">O30+O59</f>
        <v>10.8776411586449</v>
      </c>
      <c r="P63" s="13" t="n">
        <f aca="false">P30+P59</f>
        <v>11.7370025617745</v>
      </c>
      <c r="Q63" s="13" t="n">
        <f aca="false">Q30+Q59</f>
        <v>12.8278842831761</v>
      </c>
      <c r="R63" s="13" t="n">
        <f aca="false">R30+R59</f>
        <v>14.149331599116</v>
      </c>
      <c r="S63" s="13" t="n">
        <f aca="false">S30+S59</f>
        <v>15.7056370626142</v>
      </c>
      <c r="T63" s="13" t="n">
        <f aca="false">T30+T59</f>
        <v>17.4816365855565</v>
      </c>
      <c r="U63" s="13" t="n">
        <f aca="false">U30+U59</f>
        <v>19.4683571962668</v>
      </c>
      <c r="V63" s="13" t="n">
        <f aca="false">V30+V59</f>
        <v>21.6402967790417</v>
      </c>
      <c r="W63" s="13" t="n">
        <f aca="false">W30+W59</f>
        <v>23.9662167936528</v>
      </c>
      <c r="X63" s="13" t="n">
        <f aca="false">X30+X59</f>
        <v>26.41966907726</v>
      </c>
      <c r="Y63" s="13" t="n">
        <f aca="false">Y30+Y59</f>
        <v>28.9579586147487</v>
      </c>
      <c r="Z63" s="13" t="n">
        <f aca="false">Z30+Z59</f>
        <v>31.5494361664248</v>
      </c>
      <c r="AA63" s="13" t="n">
        <f aca="false">AA30+AA59</f>
        <v>34.2375863047181</v>
      </c>
      <c r="AB63" s="13" t="n">
        <f aca="false">AB30+AB59</f>
        <v>36.8016242902526</v>
      </c>
      <c r="AC63" s="13" t="n">
        <f aca="false">AC30+AC59</f>
        <v>39.3047423394693</v>
      </c>
      <c r="AD63" s="13" t="n">
        <f aca="false">AD30+AD59</f>
        <v>41.6974702413288</v>
      </c>
      <c r="AE63" s="13" t="n">
        <f aca="false">AE30+AE59</f>
        <v>43.9550002884695</v>
      </c>
      <c r="AF63" s="13" t="n">
        <f aca="false">AF30+AF59</f>
        <v>46.038682410914</v>
      </c>
      <c r="AG63" s="13" t="n">
        <f aca="false">AG30+AG59</f>
        <v>47.9342384746706</v>
      </c>
      <c r="AH63" s="13" t="n">
        <f aca="false">AH30+AH59</f>
        <v>49.6189346103526</v>
      </c>
      <c r="AI63" s="13" t="n">
        <f aca="false">AI30+AI59</f>
        <v>51.0771313249254</v>
      </c>
      <c r="AJ63" s="13" t="n">
        <f aca="false">AJ30+AJ59</f>
        <v>52.3167749827147</v>
      </c>
      <c r="AK63" s="13" t="n">
        <f aca="false">AK30+AK59</f>
        <v>53.3338540455762</v>
      </c>
      <c r="AL63" s="13" t="n">
        <f aca="false">AL30+AL59</f>
        <v>54.1548574339922</v>
      </c>
      <c r="AM63" s="13" t="n">
        <f aca="false">AM30+AM59</f>
        <v>54.8002140998918</v>
      </c>
      <c r="AN63" s="13" t="n">
        <f aca="false">AN30+AN59</f>
        <v>55.288370517337</v>
      </c>
      <c r="AO63" s="13" t="n">
        <f aca="false">AO30+AO59</f>
        <v>55.6958097468264</v>
      </c>
      <c r="AP63" s="13" t="n">
        <f aca="false">AP30+AP59</f>
        <v>56.0508955903918</v>
      </c>
      <c r="AQ63" s="13" t="n">
        <f aca="false">AQ30+AQ59</f>
        <v>56.4068335572802</v>
      </c>
      <c r="AR63" s="13" t="n">
        <f aca="false">AR30+AR59</f>
        <v>56.7581818495909</v>
      </c>
      <c r="AS63" s="13" t="n">
        <f aca="false">AS30+AS59</f>
        <v>57.1235012504258</v>
      </c>
      <c r="AT63" s="13" t="n">
        <f aca="false">AT30+AT59</f>
        <v>57.4899626394112</v>
      </c>
      <c r="AU63" s="13" t="n">
        <f aca="false">AU30+AU59</f>
        <v>57.8490924047709</v>
      </c>
      <c r="AV63" s="13" t="n">
        <f aca="false">AV30+AV59</f>
        <v>61.8613860169062</v>
      </c>
      <c r="AW63" s="13" t="n">
        <f aca="false">AW30+AW59</f>
        <v>65.1273583908671</v>
      </c>
      <c r="AX63" s="13" t="n">
        <f aca="false">AX30+AX59</f>
        <v>65.423676534394</v>
      </c>
      <c r="AY63" s="13" t="n">
        <f aca="false">AY30+AY59</f>
        <v>65.423676534394</v>
      </c>
      <c r="AZ63" s="13" t="n">
        <f aca="false">AZ30+AZ59</f>
        <v>65.423676534394</v>
      </c>
      <c r="BA63" s="13" t="n">
        <f aca="false">BA30+BA59</f>
        <v>65.423676534394</v>
      </c>
      <c r="BB63" s="13" t="n">
        <f aca="false">BB30+BB59</f>
        <v>65.423676534394</v>
      </c>
      <c r="BC63" s="13" t="n">
        <f aca="false">BC30+BC59</f>
        <v>65.423676534394</v>
      </c>
      <c r="BD63" s="13" t="n">
        <f aca="false">BD30+BD59</f>
        <v>65.423676534394</v>
      </c>
      <c r="BE63" s="13" t="n">
        <f aca="false">BE30+BE59</f>
        <v>65.423676534394</v>
      </c>
      <c r="BF63" s="13" t="n">
        <f aca="false">BF30+BF59</f>
        <v>65.423676534394</v>
      </c>
      <c r="BG63" s="13" t="n">
        <f aca="false">BG30+BG59</f>
        <v>65.423676534394</v>
      </c>
      <c r="BH63" s="13" t="n">
        <f aca="false">BH30+BH59</f>
        <v>65.423676534394</v>
      </c>
      <c r="BI63" s="13" t="n">
        <f aca="false">BI30+BI59</f>
        <v>65.423676534394</v>
      </c>
      <c r="BJ63" s="13" t="n">
        <f aca="false">BJ30+BJ59</f>
        <v>65.423676534394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34.1569810773379</v>
      </c>
      <c r="K64" s="13" t="n">
        <f aca="false">K31+K60</f>
        <v>34.8579513276106</v>
      </c>
      <c r="L64" s="13" t="n">
        <f aca="false">L31+L60</f>
        <v>35.7513668798403</v>
      </c>
      <c r="M64" s="13" t="n">
        <f aca="false">M31+M60</f>
        <v>37.0137056207576</v>
      </c>
      <c r="N64" s="13" t="n">
        <f aca="false">N31+N60</f>
        <v>38.8310964186163</v>
      </c>
      <c r="O64" s="13" t="n">
        <f aca="false">O31+O60</f>
        <v>41.3350364028505</v>
      </c>
      <c r="P64" s="13" t="n">
        <f aca="false">P31+P60</f>
        <v>44.6006097347431</v>
      </c>
      <c r="Q64" s="13" t="n">
        <f aca="false">Q31+Q60</f>
        <v>48.7459602760691</v>
      </c>
      <c r="R64" s="13" t="n">
        <f aca="false">R31+R60</f>
        <v>53.7674600766407</v>
      </c>
      <c r="S64" s="13" t="n">
        <f aca="false">S31+S60</f>
        <v>59.6814208379341</v>
      </c>
      <c r="T64" s="13" t="n">
        <f aca="false">T31+T60</f>
        <v>66.4302190251146</v>
      </c>
      <c r="U64" s="13" t="n">
        <f aca="false">U31+U60</f>
        <v>73.979757345814</v>
      </c>
      <c r="V64" s="13" t="n">
        <f aca="false">V31+V60</f>
        <v>82.2331277603586</v>
      </c>
      <c r="W64" s="13" t="n">
        <f aca="false">W31+W60</f>
        <v>91.0716238158807</v>
      </c>
      <c r="X64" s="13" t="n">
        <f aca="false">X31+X60</f>
        <v>100.394742493588</v>
      </c>
      <c r="Y64" s="13" t="n">
        <f aca="false">Y31+Y60</f>
        <v>110.040242736045</v>
      </c>
      <c r="Z64" s="13" t="n">
        <f aca="false">Z31+Z60</f>
        <v>119.887857432414</v>
      </c>
      <c r="AA64" s="13" t="n">
        <f aca="false">AA31+AA60</f>
        <v>130.102827957929</v>
      </c>
      <c r="AB64" s="13" t="n">
        <f aca="false">AB31+AB60</f>
        <v>139.84617230296</v>
      </c>
      <c r="AC64" s="13" t="n">
        <f aca="false">AC31+AC60</f>
        <v>149.358020889983</v>
      </c>
      <c r="AD64" s="13" t="n">
        <f aca="false">AD31+AD60</f>
        <v>158.450386917049</v>
      </c>
      <c r="AE64" s="13" t="n">
        <f aca="false">AE31+AE60</f>
        <v>167.029001096184</v>
      </c>
      <c r="AF64" s="13" t="n">
        <f aca="false">AF31+AF60</f>
        <v>174.946993161473</v>
      </c>
      <c r="AG64" s="13" t="n">
        <f aca="false">AG31+AG60</f>
        <v>182.150106203748</v>
      </c>
      <c r="AH64" s="13" t="n">
        <f aca="false">AH31+AH60</f>
        <v>188.55195151934</v>
      </c>
      <c r="AI64" s="13" t="n">
        <f aca="false">AI31+AI60</f>
        <v>194.093099034717</v>
      </c>
      <c r="AJ64" s="13" t="n">
        <f aca="false">AJ31+AJ60</f>
        <v>198.803744934316</v>
      </c>
      <c r="AK64" s="13" t="n">
        <f aca="false">AK31+AK60</f>
        <v>202.66864537319</v>
      </c>
      <c r="AL64" s="13" t="n">
        <f aca="false">AL31+AL60</f>
        <v>205.78845824917</v>
      </c>
      <c r="AM64" s="13" t="n">
        <f aca="false">AM31+AM60</f>
        <v>208.240813579589</v>
      </c>
      <c r="AN64" s="13" t="n">
        <f aca="false">AN31+AN60</f>
        <v>210.095807965881</v>
      </c>
      <c r="AO64" s="13" t="n">
        <f aca="false">AO31+AO60</f>
        <v>211.64407703794</v>
      </c>
      <c r="AP64" s="13" t="n">
        <f aca="false">AP31+AP60</f>
        <v>212.993403243489</v>
      </c>
      <c r="AQ64" s="13" t="n">
        <f aca="false">AQ31+AQ60</f>
        <v>214.345967517665</v>
      </c>
      <c r="AR64" s="13" t="n">
        <f aca="false">AR31+AR60</f>
        <v>215.681091028446</v>
      </c>
      <c r="AS64" s="13" t="n">
        <f aca="false">AS31+AS60</f>
        <v>217.069304751618</v>
      </c>
      <c r="AT64" s="13" t="n">
        <f aca="false">AT31+AT60</f>
        <v>218.461858029762</v>
      </c>
      <c r="AU64" s="13" t="n">
        <f aca="false">AU31+AU60</f>
        <v>219.826551138129</v>
      </c>
      <c r="AV64" s="13" t="n">
        <f aca="false">AV31+AV60</f>
        <v>235.073266864244</v>
      </c>
      <c r="AW64" s="13" t="n">
        <f aca="false">AW31+AW60</f>
        <v>247.483961885295</v>
      </c>
      <c r="AX64" s="13" t="n">
        <f aca="false">AX31+AX60</f>
        <v>248.609970830697</v>
      </c>
      <c r="AY64" s="13" t="n">
        <f aca="false">AY31+AY60</f>
        <v>248.609970830697</v>
      </c>
      <c r="AZ64" s="13" t="n">
        <f aca="false">AZ31+AZ60</f>
        <v>248.609970830697</v>
      </c>
      <c r="BA64" s="13" t="n">
        <f aca="false">BA31+BA60</f>
        <v>248.609970830697</v>
      </c>
      <c r="BB64" s="13" t="n">
        <f aca="false">BB31+BB60</f>
        <v>248.609970830697</v>
      </c>
      <c r="BC64" s="13" t="n">
        <f aca="false">BC31+BC60</f>
        <v>248.609970830697</v>
      </c>
      <c r="BD64" s="13" t="n">
        <f aca="false">BD31+BD60</f>
        <v>248.609970830697</v>
      </c>
      <c r="BE64" s="13" t="n">
        <f aca="false">BE31+BE60</f>
        <v>248.609970830697</v>
      </c>
      <c r="BF64" s="13" t="n">
        <f aca="false">BF31+BF60</f>
        <v>248.609970830697</v>
      </c>
      <c r="BG64" s="13" t="n">
        <f aca="false">BG31+BG60</f>
        <v>248.609970830697</v>
      </c>
      <c r="BH64" s="13" t="n">
        <f aca="false">BH31+BH60</f>
        <v>248.609970830697</v>
      </c>
      <c r="BI64" s="13" t="n">
        <f aca="false">BI31+BI60</f>
        <v>248.609970830697</v>
      </c>
      <c r="BJ64" s="13" t="n">
        <f aca="false">BJ31+BJ60</f>
        <v>248.609970830697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3.47055717497824E-013</v>
      </c>
      <c r="AY65" s="13" t="n">
        <f aca="false">AY32+AY55</f>
        <v>3.47055717497824E-013</v>
      </c>
      <c r="AZ65" s="13" t="n">
        <f aca="false">AZ32+AZ55</f>
        <v>3.47055717497824E-013</v>
      </c>
      <c r="BA65" s="13" t="n">
        <f aca="false">BA32+BA55</f>
        <v>3.47055717497824E-013</v>
      </c>
      <c r="BB65" s="13" t="n">
        <f aca="false">BB32+BB55</f>
        <v>3.47055717497824E-013</v>
      </c>
      <c r="BC65" s="13" t="n">
        <f aca="false">BC32+BC55</f>
        <v>3.47055717497824E-013</v>
      </c>
      <c r="BD65" s="13" t="n">
        <f aca="false">BD32+BD55</f>
        <v>3.47055717497824E-013</v>
      </c>
      <c r="BE65" s="13" t="n">
        <f aca="false">BE32+BE55</f>
        <v>3.47055717497824E-013</v>
      </c>
      <c r="BF65" s="13" t="n">
        <f aca="false">BF32+BF55</f>
        <v>3.47055717497824E-013</v>
      </c>
      <c r="BG65" s="13" t="n">
        <f aca="false">BG32+BG55</f>
        <v>3.47055717497824E-013</v>
      </c>
      <c r="BH65" s="13" t="n">
        <f aca="false">BH32+BH55</f>
        <v>3.47055717497824E-013</v>
      </c>
      <c r="BI65" s="13" t="n">
        <f aca="false">BI32+BI55</f>
        <v>3.47055717497824E-013</v>
      </c>
      <c r="BJ65" s="13" t="n">
        <f aca="false">BJ32+BJ55</f>
        <v>3.47055717497824E-013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233.261537415273</v>
      </c>
      <c r="J67" s="13" t="n">
        <f aca="false">J50-J47+J56</f>
        <v>32.0482315851686</v>
      </c>
      <c r="K67" s="13" t="n">
        <f aca="false">K50-K47+K56</f>
        <v>0.65769445092904</v>
      </c>
      <c r="L67" s="13" t="n">
        <f aca="false">L50-L47+L56</f>
        <v>0.838258757552935</v>
      </c>
      <c r="M67" s="13" t="n">
        <f aca="false">M50-M47+M56</f>
        <v>1.1844057358655</v>
      </c>
      <c r="N67" s="13" t="n">
        <f aca="false">N50-N47+N56</f>
        <v>1.70519054475731</v>
      </c>
      <c r="O67" s="13" t="n">
        <f aca="false">O50-O47+O56</f>
        <v>2.34935424499037</v>
      </c>
      <c r="P67" s="13" t="n">
        <f aca="false">P50-P47+P56</f>
        <v>3.06396663574824</v>
      </c>
      <c r="Q67" s="13" t="n">
        <f aca="false">Q50-Q47+Q56</f>
        <v>3.88942904085459</v>
      </c>
      <c r="R67" s="13" t="n">
        <f aca="false">R50-R47+R56</f>
        <v>4.71148747452884</v>
      </c>
      <c r="S67" s="13" t="n">
        <f aca="false">S50-S47+S56</f>
        <v>5.54885057418847</v>
      </c>
      <c r="T67" s="13" t="n">
        <f aca="false">T50-T47+T56</f>
        <v>6.33214764310148</v>
      </c>
      <c r="U67" s="13" t="n">
        <f aca="false">U50-U47+U56</f>
        <v>7.08345248413675</v>
      </c>
      <c r="V67" s="13" t="n">
        <f aca="false">V50-V47+V56</f>
        <v>7.74383209700565</v>
      </c>
      <c r="W67" s="13" t="n">
        <f aca="false">W50-W47+W56</f>
        <v>8.2928338371187</v>
      </c>
      <c r="X67" s="13" t="n">
        <f aca="false">X50-X47+X56</f>
        <v>8.74753731316751</v>
      </c>
      <c r="Y67" s="13" t="n">
        <f aca="false">Y50-Y47+Y56</f>
        <v>9.0500160077133</v>
      </c>
      <c r="Z67" s="13" t="n">
        <f aca="false">Z50-Z47+Z56</f>
        <v>9.23965252187172</v>
      </c>
      <c r="AA67" s="13" t="n">
        <f aca="false">AA50-AA47+AA56</f>
        <v>9.58432890471594</v>
      </c>
      <c r="AB67" s="13" t="n">
        <f aca="false">AB50-AB47+AB56</f>
        <v>9.14181950906579</v>
      </c>
      <c r="AC67" s="13" t="n">
        <f aca="false">AC50-AC47+AC56</f>
        <v>8.92461560434098</v>
      </c>
      <c r="AD67" s="13" t="n">
        <f aca="false">AD50-AD47+AD56</f>
        <v>8.53103063859052</v>
      </c>
      <c r="AE67" s="13" t="n">
        <f aca="false">AE50-AE47+AE56</f>
        <v>8.04899628776431</v>
      </c>
      <c r="AF67" s="13" t="n">
        <f aca="false">AF50-AF47+AF56</f>
        <v>7.42915900042084</v>
      </c>
      <c r="AG67" s="13" t="n">
        <f aca="false">AG50-AG47+AG56</f>
        <v>6.75841446263347</v>
      </c>
      <c r="AH67" s="13" t="n">
        <f aca="false">AH50-AH47+AH56</f>
        <v>6.00661460045207</v>
      </c>
      <c r="AI67" s="13" t="n">
        <f aca="false">AI50-AI47+AI56</f>
        <v>5.19905369910464</v>
      </c>
      <c r="AJ67" s="13" t="n">
        <f aca="false">AJ50-AJ47+AJ56</f>
        <v>4.41982476039833</v>
      </c>
      <c r="AK67" s="13" t="n">
        <f aca="false">AK50-AK47+AK56</f>
        <v>3.62629308597858</v>
      </c>
      <c r="AL67" s="13" t="n">
        <f aca="false">AL50-AL47+AL56</f>
        <v>2.92720499289548</v>
      </c>
      <c r="AM67" s="13" t="n">
        <f aca="false">AM50-AM47+AM56</f>
        <v>2.30095427287397</v>
      </c>
      <c r="AN67" s="13" t="n">
        <f aca="false">AN50-AN47+AN56</f>
        <v>1.74047260050492</v>
      </c>
      <c r="AO67" s="13" t="n">
        <f aca="false">AO50-AO47+AO56</f>
        <v>1.45268358656073</v>
      </c>
      <c r="AP67" s="13" t="n">
        <f aca="false">AP50-AP47+AP56</f>
        <v>1.26602285551686</v>
      </c>
      <c r="AQ67" s="13" t="n">
        <f aca="false">AQ50-AQ47+AQ56</f>
        <v>1.26906101550551</v>
      </c>
      <c r="AR67" s="13" t="n">
        <f aca="false">AR50-AR47+AR56</f>
        <v>1.25269699249548</v>
      </c>
      <c r="AS67" s="13" t="n">
        <f aca="false">AS50-AS47+AS56</f>
        <v>1.3025095745205</v>
      </c>
      <c r="AT67" s="13" t="n">
        <f aca="false">AT50-AT47+AT56</f>
        <v>1.30658121839297</v>
      </c>
      <c r="AU67" s="13" t="n">
        <f aca="false">AU50-AU47+AU56</f>
        <v>1.28044105187732</v>
      </c>
      <c r="AV67" s="13" t="n">
        <f aca="false">AV50-AV47+AV56</f>
        <v>14.3054292590261</v>
      </c>
      <c r="AW67" s="13" t="n">
        <f aca="false">AW50-AW47+AW56</f>
        <v>11.6444959601959</v>
      </c>
      <c r="AX67" s="13" t="n">
        <f aca="false">AX50-AX47+AX56</f>
        <v>1.0564925327423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219.061537415273</v>
      </c>
      <c r="J68" s="13" t="n">
        <f aca="false">J67-IF(Construction!J8=1,Inputs!$F$68,0)</f>
        <v>17.8482315851686</v>
      </c>
      <c r="K68" s="13" t="n">
        <f aca="false">K67-IF(Construction!K8=1,Inputs!$F$68,0)</f>
        <v>0.65769445092904</v>
      </c>
      <c r="L68" s="13" t="n">
        <f aca="false">L67-IF(Construction!L8=1,Inputs!$F$68,0)</f>
        <v>0.838258757552935</v>
      </c>
      <c r="M68" s="13" t="n">
        <f aca="false">M67-IF(Construction!M8=1,Inputs!$F$68,0)</f>
        <v>1.1844057358655</v>
      </c>
      <c r="N68" s="13" t="n">
        <f aca="false">N67-IF(Construction!N8=1,Inputs!$F$68,0)</f>
        <v>1.70519054475731</v>
      </c>
      <c r="O68" s="13" t="n">
        <f aca="false">O67-IF(Construction!O8=1,Inputs!$F$68,0)</f>
        <v>2.34935424499037</v>
      </c>
      <c r="P68" s="13" t="n">
        <f aca="false">P67-IF(Construction!P8=1,Inputs!$F$68,0)</f>
        <v>3.06396663574824</v>
      </c>
      <c r="Q68" s="13" t="n">
        <f aca="false">Q67-IF(Construction!Q8=1,Inputs!$F$68,0)</f>
        <v>3.88942904085459</v>
      </c>
      <c r="R68" s="13" t="n">
        <f aca="false">R67-IF(Construction!R8=1,Inputs!$F$68,0)</f>
        <v>4.71148747452884</v>
      </c>
      <c r="S68" s="13" t="n">
        <f aca="false">S67-IF(Construction!S8=1,Inputs!$F$68,0)</f>
        <v>5.54885057418847</v>
      </c>
      <c r="T68" s="13" t="n">
        <f aca="false">T67-IF(Construction!T8=1,Inputs!$F$68,0)</f>
        <v>6.33214764310148</v>
      </c>
      <c r="U68" s="13" t="n">
        <f aca="false">U67-IF(Construction!U8=1,Inputs!$F$68,0)</f>
        <v>7.08345248413675</v>
      </c>
      <c r="V68" s="13" t="n">
        <f aca="false">V67-IF(Construction!V8=1,Inputs!$F$68,0)</f>
        <v>7.74383209700565</v>
      </c>
      <c r="W68" s="13" t="n">
        <f aca="false">W67-IF(Construction!W8=1,Inputs!$F$68,0)</f>
        <v>8.2928338371187</v>
      </c>
      <c r="X68" s="13" t="n">
        <f aca="false">X67-IF(Construction!X8=1,Inputs!$F$68,0)</f>
        <v>8.74753731316751</v>
      </c>
      <c r="Y68" s="13" t="n">
        <f aca="false">Y67-IF(Construction!Y8=1,Inputs!$F$68,0)</f>
        <v>9.0500160077133</v>
      </c>
      <c r="Z68" s="13" t="n">
        <f aca="false">Z67-IF(Construction!Z8=1,Inputs!$F$68,0)</f>
        <v>9.23965252187172</v>
      </c>
      <c r="AA68" s="13" t="n">
        <f aca="false">AA67-IF(Construction!AA8=1,Inputs!$F$68,0)</f>
        <v>9.58432890471594</v>
      </c>
      <c r="AB68" s="13" t="n">
        <f aca="false">AB67-IF(Construction!AB8=1,Inputs!$F$68,0)</f>
        <v>9.14181950906579</v>
      </c>
      <c r="AC68" s="13" t="n">
        <f aca="false">AC67-IF(Construction!AC8=1,Inputs!$F$68,0)</f>
        <v>8.92461560434098</v>
      </c>
      <c r="AD68" s="13" t="n">
        <f aca="false">AD67-IF(Construction!AD8=1,Inputs!$F$68,0)</f>
        <v>8.53103063859052</v>
      </c>
      <c r="AE68" s="13" t="n">
        <f aca="false">AE67-IF(Construction!AE8=1,Inputs!$F$68,0)</f>
        <v>8.04899628776431</v>
      </c>
      <c r="AF68" s="13" t="n">
        <f aca="false">AF67-IF(Construction!AF8=1,Inputs!$F$68,0)</f>
        <v>7.42915900042084</v>
      </c>
      <c r="AG68" s="13" t="n">
        <f aca="false">AG67-IF(Construction!AG8=1,Inputs!$F$68,0)</f>
        <v>6.75841446263347</v>
      </c>
      <c r="AH68" s="13" t="n">
        <f aca="false">AH67-IF(Construction!AH8=1,Inputs!$F$68,0)</f>
        <v>6.00661460045207</v>
      </c>
      <c r="AI68" s="13" t="n">
        <f aca="false">AI67-IF(Construction!AI8=1,Inputs!$F$68,0)</f>
        <v>5.19905369910464</v>
      </c>
      <c r="AJ68" s="13" t="n">
        <f aca="false">AJ67-IF(Construction!AJ8=1,Inputs!$F$68,0)</f>
        <v>4.41982476039833</v>
      </c>
      <c r="AK68" s="13" t="n">
        <f aca="false">AK67-IF(Construction!AK8=1,Inputs!$F$68,0)</f>
        <v>3.62629308597858</v>
      </c>
      <c r="AL68" s="13" t="n">
        <f aca="false">AL67-IF(Construction!AL8=1,Inputs!$F$68,0)</f>
        <v>2.92720499289548</v>
      </c>
      <c r="AM68" s="13" t="n">
        <f aca="false">AM67-IF(Construction!AM8=1,Inputs!$F$68,0)</f>
        <v>2.30095427287397</v>
      </c>
      <c r="AN68" s="13" t="n">
        <f aca="false">AN67-IF(Construction!AN8=1,Inputs!$F$68,0)</f>
        <v>1.74047260050492</v>
      </c>
      <c r="AO68" s="13" t="n">
        <f aca="false">AO67-IF(Construction!AO8=1,Inputs!$F$68,0)</f>
        <v>1.45268358656073</v>
      </c>
      <c r="AP68" s="13" t="n">
        <f aca="false">AP67-IF(Construction!AP8=1,Inputs!$F$68,0)</f>
        <v>1.26602285551686</v>
      </c>
      <c r="AQ68" s="13" t="n">
        <f aca="false">AQ67-IF(Construction!AQ8=1,Inputs!$F$68,0)</f>
        <v>1.26906101550551</v>
      </c>
      <c r="AR68" s="13" t="n">
        <f aca="false">AR67-IF(Construction!AR8=1,Inputs!$F$68,0)</f>
        <v>1.25269699249548</v>
      </c>
      <c r="AS68" s="13" t="n">
        <f aca="false">AS67-IF(Construction!AS8=1,Inputs!$F$68,0)</f>
        <v>1.3025095745205</v>
      </c>
      <c r="AT68" s="13" t="n">
        <f aca="false">AT67-IF(Construction!AT8=1,Inputs!$F$68,0)</f>
        <v>1.30658121839297</v>
      </c>
      <c r="AU68" s="13" t="n">
        <f aca="false">AU67-IF(Construction!AU8=1,Inputs!$F$68,0)</f>
        <v>1.28044105187732</v>
      </c>
      <c r="AV68" s="13" t="n">
        <f aca="false">AV67-IF(Construction!AV8=1,Inputs!$F$68,0)</f>
        <v>14.3054292590261</v>
      </c>
      <c r="AW68" s="13" t="n">
        <f aca="false">AW67-IF(Construction!AW8=1,Inputs!$F$68,0)</f>
        <v>11.6444959601959</v>
      </c>
      <c r="AX68" s="13" t="n">
        <f aca="false">AX67-IF(Construction!AX8=1,Inputs!$F$68,0)</f>
        <v>1.0564925327423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46.6523074830545</v>
      </c>
      <c r="J69" s="13" t="n">
        <f aca="false">(1-Inputs!$F$53)*J67</f>
        <v>6.40964631703372</v>
      </c>
      <c r="K69" s="13" t="n">
        <f aca="false">(1-Inputs!$F$53)*K67</f>
        <v>0.131538890185808</v>
      </c>
      <c r="L69" s="13" t="n">
        <f aca="false">(1-Inputs!$F$53)*L67</f>
        <v>0.167651751510587</v>
      </c>
      <c r="M69" s="13" t="n">
        <f aca="false">(1-Inputs!$F$53)*M67</f>
        <v>0.236881147173101</v>
      </c>
      <c r="N69" s="13" t="n">
        <f aca="false">(1-Inputs!$F$53)*N67</f>
        <v>0.341038108951462</v>
      </c>
      <c r="O69" s="13" t="n">
        <f aca="false">(1-Inputs!$F$53)*O67</f>
        <v>0.469870848998074</v>
      </c>
      <c r="P69" s="13" t="n">
        <f aca="false">(1-Inputs!$F$53)*P67</f>
        <v>0.612793327149648</v>
      </c>
      <c r="Q69" s="13" t="n">
        <f aca="false">(1-Inputs!$F$53)*Q67</f>
        <v>0.777885808170917</v>
      </c>
      <c r="R69" s="13" t="n">
        <f aca="false">(1-Inputs!$F$53)*R67</f>
        <v>0.942297494905768</v>
      </c>
      <c r="S69" s="13" t="n">
        <f aca="false">(1-Inputs!$F$53)*S67</f>
        <v>1.10977011483769</v>
      </c>
      <c r="T69" s="13" t="n">
        <f aca="false">(1-Inputs!$F$53)*T67</f>
        <v>1.26642952862029</v>
      </c>
      <c r="U69" s="13" t="n">
        <f aca="false">(1-Inputs!$F$53)*U67</f>
        <v>1.41669049682735</v>
      </c>
      <c r="V69" s="13" t="n">
        <f aca="false">(1-Inputs!$F$53)*V67</f>
        <v>1.54876641940113</v>
      </c>
      <c r="W69" s="13" t="n">
        <f aca="false">(1-Inputs!$F$53)*W67</f>
        <v>1.65856676742374</v>
      </c>
      <c r="X69" s="13" t="n">
        <f aca="false">(1-Inputs!$F$53)*X67</f>
        <v>1.7495074626335</v>
      </c>
      <c r="Y69" s="13" t="n">
        <f aca="false">(1-Inputs!$F$53)*Y67</f>
        <v>1.81000320154266</v>
      </c>
      <c r="Z69" s="13" t="n">
        <f aca="false">(1-Inputs!$F$53)*Z67</f>
        <v>1.84793050437434</v>
      </c>
      <c r="AA69" s="13" t="n">
        <f aca="false">(1-Inputs!$F$53)*AA67</f>
        <v>1.91686578094319</v>
      </c>
      <c r="AB69" s="13" t="n">
        <f aca="false">(1-Inputs!$F$53)*AB67</f>
        <v>1.82836390181316</v>
      </c>
      <c r="AC69" s="13" t="n">
        <f aca="false">(1-Inputs!$F$53)*AC67</f>
        <v>1.7849231208682</v>
      </c>
      <c r="AD69" s="13" t="n">
        <f aca="false">(1-Inputs!$F$53)*AD67</f>
        <v>1.7062061277181</v>
      </c>
      <c r="AE69" s="13" t="n">
        <f aca="false">(1-Inputs!$F$53)*AE67</f>
        <v>1.60979925755286</v>
      </c>
      <c r="AF69" s="13" t="n">
        <f aca="false">(1-Inputs!$F$53)*AF67</f>
        <v>1.48583180008417</v>
      </c>
      <c r="AG69" s="13" t="n">
        <f aca="false">(1-Inputs!$F$53)*AG67</f>
        <v>1.35168289252669</v>
      </c>
      <c r="AH69" s="13" t="n">
        <f aca="false">(1-Inputs!$F$53)*AH67</f>
        <v>1.20132292009041</v>
      </c>
      <c r="AI69" s="13" t="n">
        <f aca="false">(1-Inputs!$F$53)*AI67</f>
        <v>1.03981073982093</v>
      </c>
      <c r="AJ69" s="13" t="n">
        <f aca="false">(1-Inputs!$F$53)*AJ67</f>
        <v>0.883964952079666</v>
      </c>
      <c r="AK69" s="13" t="n">
        <f aca="false">(1-Inputs!$F$53)*AK67</f>
        <v>0.725258617195716</v>
      </c>
      <c r="AL69" s="13" t="n">
        <f aca="false">(1-Inputs!$F$53)*AL67</f>
        <v>0.585440998579097</v>
      </c>
      <c r="AM69" s="13" t="n">
        <f aca="false">(1-Inputs!$F$53)*AM67</f>
        <v>0.460190854574794</v>
      </c>
      <c r="AN69" s="13" t="n">
        <f aca="false">(1-Inputs!$F$53)*AN67</f>
        <v>0.348094520100985</v>
      </c>
      <c r="AO69" s="13" t="n">
        <f aca="false">(1-Inputs!$F$53)*AO67</f>
        <v>0.290536717312146</v>
      </c>
      <c r="AP69" s="13" t="n">
        <f aca="false">(1-Inputs!$F$53)*AP67</f>
        <v>0.253204571103372</v>
      </c>
      <c r="AQ69" s="13" t="n">
        <f aca="false">(1-Inputs!$F$53)*AQ67</f>
        <v>0.253812203101102</v>
      </c>
      <c r="AR69" s="13" t="n">
        <f aca="false">(1-Inputs!$F$53)*AR67</f>
        <v>0.250539398499096</v>
      </c>
      <c r="AS69" s="13" t="n">
        <f aca="false">(1-Inputs!$F$53)*AS67</f>
        <v>0.260501914904099</v>
      </c>
      <c r="AT69" s="13" t="n">
        <f aca="false">(1-Inputs!$F$53)*AT67</f>
        <v>0.261316243678595</v>
      </c>
      <c r="AU69" s="13" t="n">
        <f aca="false">(1-Inputs!$F$53)*AU67</f>
        <v>0.256088210375464</v>
      </c>
      <c r="AV69" s="13" t="n">
        <f aca="false">(1-Inputs!$F$53)*AV67</f>
        <v>2.86108585180522</v>
      </c>
      <c r="AW69" s="13" t="n">
        <f aca="false">(1-Inputs!$F$53)*AW67</f>
        <v>2.32889919203918</v>
      </c>
      <c r="AX69" s="13" t="n">
        <f aca="false">(1-Inputs!$F$53)*AX67</f>
        <v>0.21129850654846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186.609229932218</v>
      </c>
      <c r="J70" s="13" t="n">
        <f aca="false">Inputs!$F$53*J67</f>
        <v>25.6385852681349</v>
      </c>
      <c r="K70" s="13" t="n">
        <f aca="false">Inputs!$F$53*K67</f>
        <v>0.526155560743232</v>
      </c>
      <c r="L70" s="13" t="n">
        <f aca="false">Inputs!$F$53*L67</f>
        <v>0.670607006042348</v>
      </c>
      <c r="M70" s="13" t="n">
        <f aca="false">Inputs!$F$53*M67</f>
        <v>0.947524588692403</v>
      </c>
      <c r="N70" s="13" t="n">
        <f aca="false">Inputs!$F$53*N67</f>
        <v>1.36415243580585</v>
      </c>
      <c r="O70" s="13" t="n">
        <f aca="false">Inputs!$F$53*O67</f>
        <v>1.87948339599229</v>
      </c>
      <c r="P70" s="13" t="n">
        <f aca="false">Inputs!$F$53*P67</f>
        <v>2.45117330859859</v>
      </c>
      <c r="Q70" s="13" t="n">
        <f aca="false">Inputs!$F$53*Q67</f>
        <v>3.11154323268367</v>
      </c>
      <c r="R70" s="13" t="n">
        <f aca="false">Inputs!$F$53*R67</f>
        <v>3.76918997962307</v>
      </c>
      <c r="S70" s="13" t="n">
        <f aca="false">Inputs!$F$53*S67</f>
        <v>4.43908045935078</v>
      </c>
      <c r="T70" s="13" t="n">
        <f aca="false">Inputs!$F$53*T67</f>
        <v>5.06571811448118</v>
      </c>
      <c r="U70" s="13" t="n">
        <f aca="false">Inputs!$F$53*U67</f>
        <v>5.6667619873094</v>
      </c>
      <c r="V70" s="13" t="n">
        <f aca="false">Inputs!$F$53*V67</f>
        <v>6.19506567760452</v>
      </c>
      <c r="W70" s="13" t="n">
        <f aca="false">Inputs!$F$53*W67</f>
        <v>6.63426706969496</v>
      </c>
      <c r="X70" s="13" t="n">
        <f aca="false">Inputs!$F$53*X67</f>
        <v>6.99802985053401</v>
      </c>
      <c r="Y70" s="13" t="n">
        <f aca="false">Inputs!$F$53*Y67</f>
        <v>7.24001280617064</v>
      </c>
      <c r="Z70" s="13" t="n">
        <f aca="false">Inputs!$F$53*Z67</f>
        <v>7.39172201749737</v>
      </c>
      <c r="AA70" s="13" t="n">
        <f aca="false">Inputs!$F$53*AA67</f>
        <v>7.66746312377275</v>
      </c>
      <c r="AB70" s="13" t="n">
        <f aca="false">Inputs!$F$53*AB67</f>
        <v>7.31345560725263</v>
      </c>
      <c r="AC70" s="13" t="n">
        <f aca="false">Inputs!$F$53*AC67</f>
        <v>7.13969248347279</v>
      </c>
      <c r="AD70" s="13" t="n">
        <f aca="false">Inputs!$F$53*AD67</f>
        <v>6.82482451087241</v>
      </c>
      <c r="AE70" s="13" t="n">
        <f aca="false">Inputs!$F$53*AE67</f>
        <v>6.43919703021145</v>
      </c>
      <c r="AF70" s="13" t="n">
        <f aca="false">Inputs!$F$53*AF67</f>
        <v>5.94332720033667</v>
      </c>
      <c r="AG70" s="13" t="n">
        <f aca="false">Inputs!$F$53*AG67</f>
        <v>5.40673157010678</v>
      </c>
      <c r="AH70" s="13" t="n">
        <f aca="false">Inputs!$F$53*AH67</f>
        <v>4.80529168036165</v>
      </c>
      <c r="AI70" s="13" t="n">
        <f aca="false">Inputs!$F$53*AI67</f>
        <v>4.15924295928371</v>
      </c>
      <c r="AJ70" s="13" t="n">
        <f aca="false">Inputs!$F$53*AJ67</f>
        <v>3.53585980831867</v>
      </c>
      <c r="AK70" s="13" t="n">
        <f aca="false">Inputs!$F$53*AK67</f>
        <v>2.90103446878286</v>
      </c>
      <c r="AL70" s="13" t="n">
        <f aca="false">Inputs!$F$53*AL67</f>
        <v>2.34176399431639</v>
      </c>
      <c r="AM70" s="13" t="n">
        <f aca="false">Inputs!$F$53*AM67</f>
        <v>1.84076341829917</v>
      </c>
      <c r="AN70" s="13" t="n">
        <f aca="false">Inputs!$F$53*AN67</f>
        <v>1.39237808040394</v>
      </c>
      <c r="AO70" s="13" t="n">
        <f aca="false">Inputs!$F$53*AO67</f>
        <v>1.16214686924859</v>
      </c>
      <c r="AP70" s="13" t="n">
        <f aca="false">Inputs!$F$53*AP67</f>
        <v>1.01281828441349</v>
      </c>
      <c r="AQ70" s="13" t="n">
        <f aca="false">Inputs!$F$53*AQ67</f>
        <v>1.01524881240441</v>
      </c>
      <c r="AR70" s="13" t="n">
        <f aca="false">Inputs!$F$53*AR67</f>
        <v>1.00215759399639</v>
      </c>
      <c r="AS70" s="13" t="n">
        <f aca="false">Inputs!$F$53*AS67</f>
        <v>1.0420076596164</v>
      </c>
      <c r="AT70" s="13" t="n">
        <f aca="false">Inputs!$F$53*AT67</f>
        <v>1.04526497471438</v>
      </c>
      <c r="AU70" s="13" t="n">
        <f aca="false">Inputs!$F$53*AU67</f>
        <v>1.02435284150186</v>
      </c>
      <c r="AV70" s="13" t="n">
        <f aca="false">Inputs!$F$53*AV67</f>
        <v>11.4443434072209</v>
      </c>
      <c r="AW70" s="13" t="n">
        <f aca="false">Inputs!$F$53*AW67</f>
        <v>9.31559676815672</v>
      </c>
      <c r="AX70" s="13" t="n">
        <f aca="false">Inputs!$F$53*AX67</f>
        <v>0.845194026193842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33.6628239527933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0.200191693189546</v>
      </c>
      <c r="L71" s="13" t="n">
        <f aca="false">IF(Construction!L8&lt;=Time!$F$11,K72*Inputs!$F$104/100*Construction!L11/Inputs!$F$248,0)</f>
        <v>0.212725277472573</v>
      </c>
      <c r="M71" s="13" t="n">
        <f aca="false">IF(Construction!M8&lt;=Time!$F$11,L72*Inputs!$F$104/100*Construction!M11/Inputs!$F$248,0)</f>
        <v>0.212760423824412</v>
      </c>
      <c r="N71" s="13" t="n">
        <f aca="false">IF(Construction!N8&lt;=Time!$F$11,M72*Inputs!$F$104/100*Construction!N11/Inputs!$F$248,0)</f>
        <v>0.229214189628227</v>
      </c>
      <c r="O71" s="13" t="n">
        <f aca="false">IF(Construction!O8&lt;=Time!$F$11,N72*Inputs!$F$104/100*Construction!O11/Inputs!$F$248,0)</f>
        <v>0.242070257332071</v>
      </c>
      <c r="P71" s="13" t="n">
        <f aca="false">IF(Construction!P8&lt;=Time!$F$11,O72*Inputs!$F$104/100*Construction!P11/Inputs!$F$248,0)</f>
        <v>0.234105288925046</v>
      </c>
      <c r="Q71" s="13" t="n">
        <f aca="false">IF(Construction!Q8&lt;=Time!$F$11,P72*Inputs!$F$104/100*Construction!Q11/Inputs!$F$248,0)</f>
        <v>0.28085415042453</v>
      </c>
      <c r="R71" s="13" t="n">
        <f aca="false">IF(Construction!R8&lt;=Time!$F$11,Q72*Inputs!$F$104/100*Construction!R11/Inputs!$F$248,0)</f>
        <v>0.298282921426974</v>
      </c>
      <c r="S71" s="13" t="n">
        <f aca="false">IF(Construction!S8&lt;=Time!$F$11,R72*Inputs!$F$104/100*Construction!S11/Inputs!$F$248,0)</f>
        <v>0.341044062717259</v>
      </c>
      <c r="T71" s="13" t="n">
        <f aca="false">IF(Construction!T8&lt;=Time!$F$11,S72*Inputs!$F$104/100*Construction!T11/Inputs!$F$248,0)</f>
        <v>0.367366901306115</v>
      </c>
      <c r="U71" s="13" t="n">
        <f aca="false">IF(Construction!U8&lt;=Time!$F$11,T72*Inputs!$F$104/100*Construction!U11/Inputs!$F$248,0)</f>
        <v>0.423449273919955</v>
      </c>
      <c r="V71" s="13" t="n">
        <f aca="false">IF(Construction!V8&lt;=Time!$F$11,U72*Inputs!$F$104/100*Construction!V11/Inputs!$F$248,0)</f>
        <v>0.472588101767408</v>
      </c>
      <c r="W71" s="13" t="n">
        <f aca="false">IF(Construction!W8&lt;=Time!$F$11,V72*Inputs!$F$104/100*Construction!W11/Inputs!$F$248,0)</f>
        <v>0.509405826403944</v>
      </c>
      <c r="X71" s="13" t="n">
        <f aca="false">IF(Construction!X8&lt;=Time!$F$11,W72*Inputs!$F$104/100*Construction!X11/Inputs!$F$248,0)</f>
        <v>0.584024696450316</v>
      </c>
      <c r="Y71" s="13" t="n">
        <f aca="false">IF(Construction!Y8&lt;=Time!$F$11,X72*Inputs!$F$104/100*Construction!Y11/Inputs!$F$248,0)</f>
        <v>0.624387533836238</v>
      </c>
      <c r="Z71" s="13" t="n">
        <f aca="false">IF(Construction!Z8&lt;=Time!$F$11,Y72*Inputs!$F$104/100*Construction!Z11/Inputs!$F$248,0)</f>
        <v>0.708654311908369</v>
      </c>
      <c r="AA71" s="13" t="n">
        <f aca="false">IF(Construction!AA8&lt;=Time!$F$11,Z72*Inputs!$F$104/100*Construction!AA11/Inputs!$F$248,0)</f>
        <v>0.774012142840149</v>
      </c>
      <c r="AB71" s="13" t="n">
        <f aca="false">IF(Construction!AB8&lt;=Time!$F$11,AA72*Inputs!$F$104/100*Construction!AB11/Inputs!$F$248,0)</f>
        <v>0.787791668325944</v>
      </c>
      <c r="AC71" s="13" t="n">
        <f aca="false">IF(Construction!AC8&lt;=Time!$F$11,AB72*Inputs!$F$104/100*Construction!AC11/Inputs!$F$248,0)</f>
        <v>0.907486986365503</v>
      </c>
      <c r="AD71" s="13" t="n">
        <f aca="false">IF(Construction!AD8&lt;=Time!$F$11,AC72*Inputs!$F$104/100*Construction!AD11/Inputs!$F$248,0)</f>
        <v>0.941047353677637</v>
      </c>
      <c r="AE71" s="13" t="n">
        <f aca="false">IF(Construction!AE8&lt;=Time!$F$11,AD72*Inputs!$F$104/100*Construction!AE11/Inputs!$F$248,0)</f>
        <v>1.03507448274844</v>
      </c>
      <c r="AF71" s="13" t="n">
        <f aca="false">IF(Construction!AF8&lt;=Time!$F$11,AE72*Inputs!$F$104/100*Construction!AF11/Inputs!$F$248,0)</f>
        <v>1.06004573347463</v>
      </c>
      <c r="AG71" s="13" t="n">
        <f aca="false">IF(Construction!AG8&lt;=Time!$F$11,AF72*Inputs!$F$104/100*Construction!AG11/Inputs!$F$248,0)</f>
        <v>1.15188725780527</v>
      </c>
      <c r="AH71" s="13" t="n">
        <f aca="false">IF(Construction!AH8&lt;=Time!$F$11,AG72*Inputs!$F$104/100*Construction!AH11/Inputs!$F$248,0)</f>
        <v>1.20480542889623</v>
      </c>
      <c r="AI71" s="13" t="n">
        <f aca="false">IF(Construction!AI8&lt;=Time!$F$11,AH72*Inputs!$F$104/100*Construction!AI11/Inputs!$F$248,0)</f>
        <v>1.21286889315216</v>
      </c>
      <c r="AJ71" s="13" t="n">
        <f aca="false">IF(Construction!AJ8&lt;=Time!$F$11,AI72*Inputs!$F$104/100*Construction!AJ11/Inputs!$F$248,0)</f>
        <v>1.29664270394332</v>
      </c>
      <c r="AK71" s="13" t="n">
        <f aca="false">IF(Construction!AK8&lt;=Time!$F$11,AJ72*Inputs!$F$104/100*Construction!AK11/Inputs!$F$248,0)</f>
        <v>1.29254875873952</v>
      </c>
      <c r="AL71" s="13" t="n">
        <f aca="false">IF(Construction!AL8&lt;=Time!$F$11,AK72*Inputs!$F$104/100*Construction!AL11/Inputs!$F$248,0)</f>
        <v>1.36946961491227</v>
      </c>
      <c r="AM71" s="13" t="n">
        <f aca="false">IF(Construction!AM8&lt;=Time!$F$11,AL72*Inputs!$F$104/100*Construction!AM11/Inputs!$F$248,0)</f>
        <v>1.39941367786892</v>
      </c>
      <c r="AN71" s="13" t="n">
        <f aca="false">IF(Construction!AN8&lt;=Time!$F$11,AM72*Inputs!$F$104/100*Construction!AN11/Inputs!$F$248,0)</f>
        <v>1.28759989316574</v>
      </c>
      <c r="AO71" s="13" t="n">
        <f aca="false">IF(Construction!AO8&lt;=Time!$F$11,AN72*Inputs!$F$104/100*Construction!AO11/Inputs!$F$248,0)</f>
        <v>1.44718040850009</v>
      </c>
      <c r="AP71" s="13" t="n">
        <f aca="false">IF(Construction!AP8&lt;=Time!$F$11,AO72*Inputs!$F$104/100*Construction!AP11/Inputs!$F$248,0)</f>
        <v>1.42087136880823</v>
      </c>
      <c r="AQ71" s="13" t="n">
        <f aca="false">IF(Construction!AQ8&lt;=Time!$F$11,AP72*Inputs!$F$104/100*Construction!AQ11/Inputs!$F$248,0)</f>
        <v>1.48786995606641</v>
      </c>
      <c r="AR71" s="13" t="n">
        <f aca="false">IF(Construction!AR8&lt;=Time!$F$11,AQ72*Inputs!$F$104/100*Construction!AR11/Inputs!$F$248,0)</f>
        <v>1.45941905100501</v>
      </c>
      <c r="AS71" s="13" t="n">
        <f aca="false">IF(Construction!AS8&lt;=Time!$F$11,AR72*Inputs!$F$104/100*Construction!AS11/Inputs!$F$248,0)</f>
        <v>1.52792756700525</v>
      </c>
      <c r="AT71" s="13" t="n">
        <f aca="false">IF(Construction!AT8&lt;=Time!$F$11,AS72*Inputs!$F$104/100*Construction!AT11/Inputs!$F$248,0)</f>
        <v>1.54866307177895</v>
      </c>
      <c r="AU71" s="13" t="n">
        <f aca="false">IF(Construction!AU8&lt;=Time!$F$11,AT72*Inputs!$F$104/100*Construction!AU11/Inputs!$F$248,0)</f>
        <v>1.51896015721495</v>
      </c>
      <c r="AV71" s="13" t="n">
        <f aca="false">IF(Construction!AV8&lt;=Time!$F$11,AU72*Inputs!$F$104/100*Construction!AV11/Inputs!$F$248,0)</f>
        <v>1.59011286596565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25.6385852681349</v>
      </c>
      <c r="K72" s="13" t="n">
        <f aca="false">J72+K71+K70</f>
        <v>26.3649325220677</v>
      </c>
      <c r="L72" s="13" t="n">
        <f aca="false">K72+L71+L70</f>
        <v>27.2482648055826</v>
      </c>
      <c r="M72" s="13" t="n">
        <f aca="false">L72+M71+M70</f>
        <v>28.4085498180994</v>
      </c>
      <c r="N72" s="13" t="n">
        <f aca="false">M72+N71+N70</f>
        <v>30.0019164435335</v>
      </c>
      <c r="O72" s="13" t="n">
        <f aca="false">N72+O71+O70</f>
        <v>32.1234700968578</v>
      </c>
      <c r="P72" s="13" t="n">
        <f aca="false">O72+P71+P70</f>
        <v>34.8087486943815</v>
      </c>
      <c r="Q72" s="13" t="n">
        <f aca="false">P72+Q71+Q70</f>
        <v>38.2011460774897</v>
      </c>
      <c r="R72" s="13" t="n">
        <f aca="false">Q72+R71+R70</f>
        <v>42.2686189785397</v>
      </c>
      <c r="S72" s="13" t="n">
        <f aca="false">R72+S71+S70</f>
        <v>47.0487435006078</v>
      </c>
      <c r="T72" s="13" t="n">
        <f aca="false">S72+T71+T70</f>
        <v>52.4818285163951</v>
      </c>
      <c r="U72" s="13" t="n">
        <f aca="false">T72+U71+U70</f>
        <v>58.5720397776244</v>
      </c>
      <c r="V72" s="13" t="n">
        <f aca="false">U72+V71+V70</f>
        <v>65.2396935569963</v>
      </c>
      <c r="W72" s="13" t="n">
        <f aca="false">V72+W71+W70</f>
        <v>72.3833664530952</v>
      </c>
      <c r="X72" s="13" t="n">
        <f aca="false">W72+X71+X70</f>
        <v>79.9654210000796</v>
      </c>
      <c r="Y72" s="13" t="n">
        <f aca="false">X72+Y71+Y70</f>
        <v>87.8298213400864</v>
      </c>
      <c r="Z72" s="13" t="n">
        <f aca="false">Y72+Z71+Z70</f>
        <v>95.9301976694922</v>
      </c>
      <c r="AA72" s="13" t="n">
        <f aca="false">Z72+AA71+AA70</f>
        <v>104.371672936105</v>
      </c>
      <c r="AB72" s="13" t="n">
        <f aca="false">AA72+AB71+AB70</f>
        <v>112.472920211684</v>
      </c>
      <c r="AC72" s="13" t="n">
        <f aca="false">AB72+AC71+AC70</f>
        <v>120.520099681522</v>
      </c>
      <c r="AD72" s="13" t="n">
        <f aca="false">AC72+AD71+AD70</f>
        <v>128.285971546072</v>
      </c>
      <c r="AE72" s="13" t="n">
        <f aca="false">AD72+AE71+AE70</f>
        <v>135.760243059032</v>
      </c>
      <c r="AF72" s="13" t="n">
        <f aca="false">AE72+AF71+AF70</f>
        <v>142.763615992843</v>
      </c>
      <c r="AG72" s="13" t="n">
        <f aca="false">AF72+AG71+AG70</f>
        <v>149.322234820755</v>
      </c>
      <c r="AH72" s="13" t="n">
        <f aca="false">AG72+AH71+AH70</f>
        <v>155.332331930013</v>
      </c>
      <c r="AI72" s="13" t="n">
        <f aca="false">AH72+AI71+AI70</f>
        <v>160.704443782449</v>
      </c>
      <c r="AJ72" s="13" t="n">
        <f aca="false">AI72+AJ71+AJ70</f>
        <v>165.536946294711</v>
      </c>
      <c r="AK72" s="13" t="n">
        <f aca="false">AJ72+AK71+AK70</f>
        <v>169.730529522233</v>
      </c>
      <c r="AL72" s="13" t="n">
        <f aca="false">AK72+AL71+AL70</f>
        <v>173.441763131462</v>
      </c>
      <c r="AM72" s="13" t="n">
        <f aca="false">AL72+AM71+AM70</f>
        <v>176.68194022763</v>
      </c>
      <c r="AN72" s="13" t="n">
        <f aca="false">AM72+AN71+AN70</f>
        <v>179.3619182012</v>
      </c>
      <c r="AO72" s="13" t="n">
        <f aca="false">AN72+AO71+AO70</f>
        <v>181.971245478948</v>
      </c>
      <c r="AP72" s="13" t="n">
        <f aca="false">AO72+AP71+AP70</f>
        <v>184.40493513217</v>
      </c>
      <c r="AQ72" s="13" t="n">
        <f aca="false">AP72+AQ71+AQ70</f>
        <v>186.908053900641</v>
      </c>
      <c r="AR72" s="13" t="n">
        <f aca="false">AQ72+AR71+AR70</f>
        <v>189.369630545642</v>
      </c>
      <c r="AS72" s="13" t="n">
        <f aca="false">AR72+AS71+AS70</f>
        <v>191.939565772264</v>
      </c>
      <c r="AT72" s="13" t="n">
        <f aca="false">AS72+AT71+AT70</f>
        <v>194.533493818757</v>
      </c>
      <c r="AU72" s="13" t="n">
        <f aca="false">AT72+AU71+AU70</f>
        <v>197.076806817474</v>
      </c>
      <c r="AV72" s="13" t="n">
        <f aca="false">AU72+AV71+AV70</f>
        <v>210.111263090661</v>
      </c>
      <c r="AW72" s="13" t="n">
        <f aca="false">AV72+AW71+AW70</f>
        <v>219.426859858817</v>
      </c>
      <c r="AX72" s="13" t="n">
        <f aca="false">AW72+AX71+AX70</f>
        <v>220.272053885011</v>
      </c>
      <c r="AY72" s="13" t="n">
        <f aca="false">AX72+AY71+AY70</f>
        <v>220.272053885011</v>
      </c>
      <c r="AZ72" s="13" t="n">
        <f aca="false">AY72+AZ71+AZ70</f>
        <v>220.272053885011</v>
      </c>
      <c r="BA72" s="13" t="n">
        <f aca="false">AZ72+BA71+BA70</f>
        <v>220.272053885011</v>
      </c>
      <c r="BB72" s="13" t="n">
        <f aca="false">BA72+BB71+BB70</f>
        <v>220.272053885011</v>
      </c>
      <c r="BC72" s="13" t="n">
        <f aca="false">BB72+BC71+BC70</f>
        <v>220.272053885011</v>
      </c>
      <c r="BD72" s="13" t="n">
        <f aca="false">BC72+BD71+BD70</f>
        <v>220.272053885011</v>
      </c>
      <c r="BE72" s="13" t="n">
        <f aca="false">BD72+BE71+BE70</f>
        <v>220.272053885011</v>
      </c>
      <c r="BF72" s="13" t="n">
        <f aca="false">BE72+BF71+BF70</f>
        <v>220.272053885011</v>
      </c>
      <c r="BG72" s="13" t="n">
        <f aca="false">BF72+BG71+BG70</f>
        <v>220.272053885011</v>
      </c>
      <c r="BH72" s="13" t="n">
        <f aca="false">BG72+BH71+BH70</f>
        <v>220.272053885011</v>
      </c>
      <c r="BI72" s="13" t="n">
        <f aca="false">BH72+BI71+BI70</f>
        <v>220.272053885011</v>
      </c>
      <c r="BJ72" s="13" t="n">
        <f aca="false">BI72+BJ71+BJ70</f>
        <v>220.272053885011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654.23676534394</v>
      </c>
      <c r="J73" s="13" t="n">
        <f aca="false">J47+J55</f>
        <v>89.8867923087838</v>
      </c>
      <c r="K73" s="13" t="n">
        <f aca="false">K47+K55</f>
        <v>1.84465855334923</v>
      </c>
      <c r="L73" s="13" t="n">
        <f aca="false">L47+L55</f>
        <v>2.35109355849918</v>
      </c>
      <c r="M73" s="13" t="n">
        <f aca="false">M47+M55</f>
        <v>3.32194405504558</v>
      </c>
      <c r="N73" s="13" t="n">
        <f aca="false">N47+N55</f>
        <v>4.78260736278613</v>
      </c>
      <c r="O73" s="13" t="n">
        <f aca="false">O47+O55</f>
        <v>6.5893157479846</v>
      </c>
      <c r="P73" s="13" t="n">
        <f aca="false">P47+P55</f>
        <v>8.59361403129653</v>
      </c>
      <c r="Q73" s="13" t="n">
        <f aca="false">Q47+Q55</f>
        <v>10.9088172140157</v>
      </c>
      <c r="R73" s="13" t="n">
        <f aca="false">R47+R55</f>
        <v>13.2144731593989</v>
      </c>
      <c r="S73" s="13" t="n">
        <f aca="false">S47+S55</f>
        <v>15.5630546349826</v>
      </c>
      <c r="T73" s="13" t="n">
        <f aca="false">T47+T55</f>
        <v>17.7599952294224</v>
      </c>
      <c r="U73" s="13" t="n">
        <f aca="false">U47+U55</f>
        <v>19.8672061071038</v>
      </c>
      <c r="V73" s="13" t="n">
        <f aca="false">V47+V55</f>
        <v>21.7193958277489</v>
      </c>
      <c r="W73" s="13" t="n">
        <f aca="false">W47+W55</f>
        <v>23.2592001461107</v>
      </c>
      <c r="X73" s="13" t="n">
        <f aca="false">X47+X55</f>
        <v>24.5345228360714</v>
      </c>
      <c r="Y73" s="13" t="n">
        <f aca="false">Y47+Y55</f>
        <v>25.3828953748873</v>
      </c>
      <c r="Z73" s="13" t="n">
        <f aca="false">Z47+Z55</f>
        <v>25.914775516761</v>
      </c>
      <c r="AA73" s="13" t="n">
        <f aca="false">AA47+AA55</f>
        <v>26.8815013829333</v>
      </c>
      <c r="AB73" s="13" t="n">
        <f aca="false">AB47+AB55</f>
        <v>25.6403798553449</v>
      </c>
      <c r="AC73" s="13" t="n">
        <f aca="false">AC47+AC55</f>
        <v>25.0311804921672</v>
      </c>
      <c r="AD73" s="13" t="n">
        <f aca="false">AD47+AD55</f>
        <v>23.9272790185943</v>
      </c>
      <c r="AE73" s="13" t="n">
        <f aca="false">AE47+AE55</f>
        <v>22.5753004714078</v>
      </c>
      <c r="AF73" s="13" t="n">
        <f aca="false">AF47+AF55</f>
        <v>20.8368212244447</v>
      </c>
      <c r="AG73" s="13" t="n">
        <f aca="false">AG47+AG55</f>
        <v>18.9555606375658</v>
      </c>
      <c r="AH73" s="13" t="n">
        <f aca="false">AH47+AH55</f>
        <v>16.8469613568197</v>
      </c>
      <c r="AI73" s="13" t="n">
        <f aca="false">AI47+AI55</f>
        <v>14.5819671457287</v>
      </c>
      <c r="AJ73" s="13" t="n">
        <f aca="false">AJ47+AJ55</f>
        <v>12.3964365778922</v>
      </c>
      <c r="AK73" s="13" t="n">
        <f aca="false">AK47+AK55</f>
        <v>10.1707906286156</v>
      </c>
      <c r="AL73" s="13" t="n">
        <f aca="false">AL47+AL55</f>
        <v>8.2100338841597</v>
      </c>
      <c r="AM73" s="13" t="n">
        <f aca="false">AM47+AM55</f>
        <v>6.45356665899614</v>
      </c>
      <c r="AN73" s="13" t="n">
        <f aca="false">AN47+AN55</f>
        <v>4.88156417445247</v>
      </c>
      <c r="AO73" s="13" t="n">
        <f aca="false">AO47+AO55</f>
        <v>4.0743922948932</v>
      </c>
      <c r="AP73" s="13" t="n">
        <f aca="false">AP47+AP55</f>
        <v>3.5508584356549</v>
      </c>
      <c r="AQ73" s="13" t="n">
        <f aca="false">AQ47+AQ55</f>
        <v>3.55937966888347</v>
      </c>
      <c r="AR73" s="13" t="n">
        <f aca="false">AR47+AR55</f>
        <v>3.51348292310735</v>
      </c>
      <c r="AS73" s="13" t="n">
        <f aca="false">AS47+AS55</f>
        <v>3.65319400834922</v>
      </c>
      <c r="AT73" s="13" t="n">
        <f aca="false">AT47+AT55</f>
        <v>3.66461388985339</v>
      </c>
      <c r="AU73" s="13" t="n">
        <f aca="false">AU47+AU55</f>
        <v>3.59129765359663</v>
      </c>
      <c r="AV73" s="13" t="n">
        <f aca="false">AV47+AV55</f>
        <v>40.122936121354</v>
      </c>
      <c r="AW73" s="13" t="n">
        <f aca="false">AW47+AW55</f>
        <v>32.6597237396085</v>
      </c>
      <c r="AX73" s="13" t="n">
        <f aca="false">AX47+AX55</f>
        <v>2.9631814352695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129.285385851437</v>
      </c>
      <c r="J74" s="13" t="n">
        <f aca="false">J33+J34+J35+J36+J37+J38+J39+J40+J41+J42+J43+J48+Construction!J14*Construction!J38</f>
        <v>13.8234238939524</v>
      </c>
      <c r="K74" s="13" t="n">
        <f aca="false">K33+K34+K35+K36+K37+K38+K39+K40+K41+K42+K43+K48+Construction!K14*Construction!K38</f>
        <v>1.09480158571368</v>
      </c>
      <c r="L74" s="13" t="n">
        <f aca="false">L33+L34+L35+L36+L37+L38+L39+L40+L41+L42+L43+L48+Construction!L14*Construction!L38</f>
        <v>1.14795580657843</v>
      </c>
      <c r="M74" s="13" t="n">
        <f aca="false">M33+M34+M35+M36+M37+M38+M39+M40+M41+M42+M43+M48+Construction!M14*Construction!M38</f>
        <v>1.16263351416467</v>
      </c>
      <c r="N74" s="13" t="n">
        <f aca="false">N33+N34+N35+N36+N37+N38+N39+N40+N41+N42+N43+N48+Construction!N14*Construction!N38</f>
        <v>1.25491406716067</v>
      </c>
      <c r="O74" s="13" t="n">
        <f aca="false">O33+O34+O35+O36+O37+O38+O39+O40+O41+O42+O43+O48+Construction!O14*Construction!O38</f>
        <v>1.34355371622855</v>
      </c>
      <c r="P74" s="13" t="n">
        <f aca="false">P33+P34+P35+P36+P37+P38+P39+P40+P41+P42+P43+P48+Construction!P14*Construction!P38</f>
        <v>1.35269932848017</v>
      </c>
      <c r="Q74" s="13" t="n">
        <f aca="false">Q33+Q34+Q35+Q36+Q37+Q38+Q39+Q40+Q41+Q42+Q43+Q48+Construction!Q14*Construction!Q38</f>
        <v>1.56221786176022</v>
      </c>
      <c r="R74" s="13" t="n">
        <f aca="false">R33+R34+R35+R36+R37+R38+R39+R40+R41+R42+R43+R48+Construction!R14*Construction!R38</f>
        <v>1.66169866990859</v>
      </c>
      <c r="S74" s="13" t="n">
        <f aca="false">S33+S34+S35+S36+S37+S38+S39+S40+S41+S42+S43+S48+Construction!S14*Construction!S38</f>
        <v>1.83857962333377</v>
      </c>
      <c r="T74" s="13" t="n">
        <f aca="false">T33+T34+T35+T36+T37+T38+T39+T40+T41+T42+T43+T48+Construction!T14*Construction!T38</f>
        <v>1.93714106850469</v>
      </c>
      <c r="U74" s="13" t="n">
        <f aca="false">U33+U34+U35+U36+U37+U38+U39+U40+U41+U42+U43+U48+Construction!U14*Construction!U38</f>
        <v>2.13783610358504</v>
      </c>
      <c r="V74" s="13" t="n">
        <f aca="false">V33+V34+V35+V36+V37+V38+V39+V40+V41+V42+V43+V48+Construction!V14*Construction!V38</f>
        <v>2.30177748073541</v>
      </c>
      <c r="W74" s="13" t="n">
        <f aca="false">W33+W34+W35+W36+W37+W38+W39+W40+W41+W42+W43+W48+Construction!W14*Construction!W38</f>
        <v>2.42411779375573</v>
      </c>
      <c r="X74" s="13" t="n">
        <f aca="false">X33+X34+X35+X36+X37+X38+X39+X40+X41+X42+X43+X48+Construction!X14*Construction!X38</f>
        <v>2.626731887038</v>
      </c>
      <c r="Y74" s="13" t="n">
        <f aca="false">Y33+Y34+Y35+Y36+Y37+Y38+Y39+Y40+Y41+Y42+Y43+Y48+Construction!Y14*Construction!Y38</f>
        <v>2.73498524403602</v>
      </c>
      <c r="Z74" s="13" t="n">
        <f aca="false">Z33+Z34+Z35+Z36+Z37+Z38+Z39+Z40+Z41+Z42+Z43+Z48+Construction!Z14*Construction!Z38</f>
        <v>2.92778233643175</v>
      </c>
      <c r="AA74" s="13" t="n">
        <f aca="false">AA33+AA34+AA35+AA36+AA37+AA38+AA39+AA40+AA41+AA42+AA43+AA48+Construction!AA14*Construction!AA38</f>
        <v>3.09618458544824</v>
      </c>
      <c r="AB74" s="13" t="n">
        <f aca="false">AB33+AB34+AB35+AB36+AB37+AB38+AB39+AB40+AB41+AB42+AB43+AB48+Construction!AB14*Construction!AB38</f>
        <v>3.08427322584609</v>
      </c>
      <c r="AC74" s="13" t="n">
        <f aca="false">AC33+AC34+AC35+AC36+AC37+AC38+AC39+AC40+AC41+AC42+AC43+AC48+Construction!AC14*Construction!AC38</f>
        <v>3.30046783430723</v>
      </c>
      <c r="AD74" s="13" t="n">
        <f aca="false">AD33+AD34+AD35+AD36+AD37+AD38+AD39+AD40+AD41+AD42+AD43+AD48+Construction!AD14*Construction!AD38</f>
        <v>3.33039346771118</v>
      </c>
      <c r="AE74" s="13" t="n">
        <f aca="false">AE33+AE34+AE35+AE36+AE37+AE38+AE39+AE40+AE41+AE42+AE43+AE48+Construction!AE14*Construction!AE38</f>
        <v>3.46284631515293</v>
      </c>
      <c r="AF74" s="13" t="n">
        <f aca="false">AF33+AF34+AF35+AF36+AF37+AF38+AF39+AF40+AF41+AF42+AF43+AF48+Construction!AF14*Construction!AF38</f>
        <v>3.45315773721002</v>
      </c>
      <c r="AG74" s="13" t="n">
        <f aca="false">AG33+AG34+AG35+AG36+AG37+AG38+AG39+AG40+AG41+AG42+AG43+AG48+Construction!AG14*Construction!AG38</f>
        <v>3.55897329618015</v>
      </c>
      <c r="AH74" s="13" t="n">
        <f aca="false">AH33+AH34+AH35+AH36+AH37+AH38+AH39+AH40+AH41+AH42+AH43+AH48+Construction!AH14*Construction!AH38</f>
        <v>3.58025037143442</v>
      </c>
      <c r="AI74" s="13" t="n">
        <f aca="false">AI33+AI34+AI35+AI36+AI37+AI38+AI39+AI40+AI41+AI42+AI43+AI48+Construction!AI14*Construction!AI38</f>
        <v>3.51675888081419</v>
      </c>
      <c r="AJ74" s="13" t="n">
        <f aca="false">AJ33+AJ34+AJ35+AJ36+AJ37+AJ38+AJ39+AJ40+AJ41+AJ42+AJ43+AJ48+Construction!AJ14*Construction!AJ38</f>
        <v>3.58023294518052</v>
      </c>
      <c r="AK74" s="13" t="n">
        <f aca="false">AK33+AK34+AK35+AK36+AK37+AK38+AK39+AK40+AK41+AK42+AK43+AK48+Construction!AK14*Construction!AK38</f>
        <v>3.49220237602959</v>
      </c>
      <c r="AL74" s="13" t="n">
        <f aca="false">AL33+AL34+AL35+AL36+AL37+AL38+AL39+AL40+AL41+AL42+AL43+AL48+Construction!AL14*Construction!AL38</f>
        <v>3.54212260030877</v>
      </c>
      <c r="AM74" s="13" t="n">
        <f aca="false">AM33+AM34+AM35+AM36+AM37+AM38+AM39+AM40+AM41+AM42+AM43+AM48+Construction!AM14*Construction!AM38</f>
        <v>3.52163709148733</v>
      </c>
      <c r="AN74" s="13" t="n">
        <f aca="false">AN33+AN34+AN35+AN36+AN37+AN38+AN39+AN40+AN41+AN42+AN43+AN48+Construction!AN14*Construction!AN38</f>
        <v>3.27832049821098</v>
      </c>
      <c r="AO74" s="13" t="n">
        <f aca="false">AO33+AO34+AO35+AO36+AO37+AO38+AO39+AO40+AO41+AO42+AO43+AO48+Construction!AO14*Construction!AO38</f>
        <v>3.48567937198024</v>
      </c>
      <c r="AP74" s="13" t="n">
        <f aca="false">AP33+AP34+AP35+AP36+AP37+AP38+AP39+AP40+AP41+AP42+AP43+AP48+Construction!AP14*Construction!AP38</f>
        <v>3.40932987260717</v>
      </c>
      <c r="AQ74" s="13" t="n">
        <f aca="false">AQ33+AQ34+AQ35+AQ36+AQ37+AQ38+AQ39+AQ40+AQ41+AQ42+AQ43+AQ48+Construction!AQ14*Construction!AQ38</f>
        <v>3.4876748949153</v>
      </c>
      <c r="AR74" s="13" t="n">
        <f aca="false">AR33+AR34+AR35+AR36+AR37+AR38+AR39+AR40+AR41+AR42+AR43+AR48+Construction!AR14*Construction!AR38</f>
        <v>3.42541412612915</v>
      </c>
      <c r="AS74" s="13" t="n">
        <f aca="false">AS33+AS34+AS35+AS36+AS37+AS38+AS39+AS40+AS41+AS42+AS43+AS48+Construction!AS14*Construction!AS38</f>
        <v>3.61493779339604</v>
      </c>
      <c r="AT74" s="13" t="n">
        <f aca="false">AT33+AT34+AT35+AT36+AT37+AT38+AT39+AT40+AT41+AT42+AT43+AT48+Construction!AT14*Construction!AT38</f>
        <v>3.63042931877268</v>
      </c>
      <c r="AU74" s="13" t="n">
        <f aca="false">AU33+AU34+AU35+AU36+AU37+AU38+AU39+AU40+AU41+AU42+AU43+AU48+Construction!AU14*Construction!AU38</f>
        <v>3.53097291600027</v>
      </c>
      <c r="AV74" s="13" t="n">
        <f aca="false">AV33+AV34+AV35+AV36+AV37+AV38+AV39+AV40+AV41+AV42+AV43+AV48+Construction!AV14*Construction!AV38</f>
        <v>4.84959959090636</v>
      </c>
      <c r="AW74" s="13" t="n">
        <f aca="false">AW33+AW34+AW35+AW36+AW37+AW38+AW39+AW40+AW41+AW42+AW43+AW48+Construction!AW14*Construction!AW38</f>
        <v>4.70100279202835</v>
      </c>
      <c r="AX74" s="13" t="n">
        <f aca="false">AX33+AX34+AX35+AX36+AX37+AX38+AX39+AX40+AX41+AX42+AX43+AX48+Construction!AX14*Construction!AX38</f>
        <v>4.0196739680118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887.498302759213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876.20790980423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0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0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0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196.271029603182</v>
      </c>
      <c r="R21" s="13" t="n">
        <f aca="false">Time!R35*Q33</f>
        <v>188.420188419055</v>
      </c>
      <c r="S21" s="13" t="n">
        <f aca="false">Time!S35*R33</f>
        <v>180.569347234927</v>
      </c>
      <c r="T21" s="13" t="n">
        <f aca="false">Time!T35*S33</f>
        <v>172.7185060508</v>
      </c>
      <c r="U21" s="13" t="n">
        <f aca="false">Time!U35*T33</f>
        <v>164.867664866673</v>
      </c>
      <c r="V21" s="13" t="n">
        <f aca="false">Time!V35*U33</f>
        <v>157.016823682546</v>
      </c>
      <c r="W21" s="13" t="n">
        <f aca="false">Time!W35*V33</f>
        <v>149.165982498418</v>
      </c>
      <c r="X21" s="13" t="n">
        <f aca="false">Time!X35*W33</f>
        <v>141.315141314291</v>
      </c>
      <c r="Y21" s="13" t="n">
        <f aca="false">Time!Y35*X33</f>
        <v>133.464300130164</v>
      </c>
      <c r="Z21" s="13" t="n">
        <f aca="false">Time!Z35*Y33</f>
        <v>125.613458946036</v>
      </c>
      <c r="AA21" s="13" t="n">
        <f aca="false">Time!AA35*Z33</f>
        <v>117.762617761909</v>
      </c>
      <c r="AB21" s="13" t="n">
        <f aca="false">Time!AB35*AA33</f>
        <v>109.911776577782</v>
      </c>
      <c r="AC21" s="13" t="n">
        <f aca="false">Time!AC35*AB33</f>
        <v>102.060935393655</v>
      </c>
      <c r="AD21" s="13" t="n">
        <f aca="false">Time!AD35*AC33</f>
        <v>94.2100942095273</v>
      </c>
      <c r="AE21" s="13" t="n">
        <f aca="false">Time!AE35*AD33</f>
        <v>86.3592530254001</v>
      </c>
      <c r="AF21" s="13" t="n">
        <f aca="false">Time!AF35*AE33</f>
        <v>78.5084118412728</v>
      </c>
      <c r="AG21" s="13" t="n">
        <f aca="false">Time!AG35*AF33</f>
        <v>70.6575706571455</v>
      </c>
      <c r="AH21" s="13" t="n">
        <f aca="false">Time!AH35*AG33</f>
        <v>62.8067294730182</v>
      </c>
      <c r="AI21" s="13" t="n">
        <f aca="false">Time!AI35*AH33</f>
        <v>54.955888288891</v>
      </c>
      <c r="AJ21" s="13" t="n">
        <f aca="false">Time!AJ35*AI33</f>
        <v>47.1050471047637</v>
      </c>
      <c r="AK21" s="13" t="n">
        <f aca="false">Time!AK35*AJ33</f>
        <v>39.2542059206364</v>
      </c>
      <c r="AL21" s="13" t="n">
        <f aca="false">Time!AL35*AK33</f>
        <v>31.4033647365091</v>
      </c>
      <c r="AM21" s="13" t="n">
        <f aca="false">Time!AM35*AL33</f>
        <v>23.5525235523818</v>
      </c>
      <c r="AN21" s="13" t="n">
        <f aca="false">Time!AN35*AM33</f>
        <v>15.7016823682546</v>
      </c>
      <c r="AO21" s="13" t="n">
        <f aca="false">Time!AO35*AN33</f>
        <v>7.85084118412728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57.8180934480696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4.40115975992958</v>
      </c>
      <c r="R23" s="13" t="n">
        <f aca="false">R21*R10</f>
        <v>4.29514287289481</v>
      </c>
      <c r="S23" s="13" t="n">
        <f aca="false">S21*S10</f>
        <v>4.05814560464896</v>
      </c>
      <c r="T23" s="13" t="n">
        <f aca="false">T21*T10</f>
        <v>3.94604213490728</v>
      </c>
      <c r="U23" s="13" t="n">
        <f aca="false">U21*U10</f>
        <v>3.72573444654536</v>
      </c>
      <c r="V23" s="13" t="n">
        <f aca="false">V21*V10</f>
        <v>3.58731103173389</v>
      </c>
      <c r="W23" s="13" t="n">
        <f aca="false">W21*W10</f>
        <v>3.35238115166654</v>
      </c>
      <c r="X23" s="13" t="n">
        <f aca="false">X21*X10</f>
        <v>3.2285799285605</v>
      </c>
      <c r="Y23" s="13" t="n">
        <f aca="false">Y21*Y10</f>
        <v>2.99949892517532</v>
      </c>
      <c r="Z23" s="13" t="n">
        <f aca="false">Z21*Z10</f>
        <v>2.86984882538711</v>
      </c>
      <c r="AA23" s="13" t="n">
        <f aca="false">AA21*AA10</f>
        <v>2.64661669868411</v>
      </c>
      <c r="AB23" s="13" t="n">
        <f aca="false">AB21*AB10</f>
        <v>2.51111772221372</v>
      </c>
      <c r="AC23" s="13" t="n">
        <f aca="false">AC21*AC10</f>
        <v>2.3064070383376</v>
      </c>
      <c r="AD23" s="13" t="n">
        <f aca="false">AD21*AD10</f>
        <v>2.15238661904033</v>
      </c>
      <c r="AE23" s="13" t="n">
        <f aca="false">AE21*AE10</f>
        <v>1.94085224570168</v>
      </c>
      <c r="AF23" s="13" t="n">
        <f aca="false">AF21*AF10</f>
        <v>1.79365551586695</v>
      </c>
      <c r="AG23" s="13" t="n">
        <f aca="false">AG21*AG10</f>
        <v>1.58797001921046</v>
      </c>
      <c r="AH23" s="13" t="n">
        <f aca="false">AH21*AH10</f>
        <v>1.43492441269356</v>
      </c>
      <c r="AI23" s="13" t="n">
        <f aca="false">AI21*AI10</f>
        <v>1.23508779271925</v>
      </c>
      <c r="AJ23" s="13" t="n">
        <f aca="false">AJ21*AJ10</f>
        <v>1.07619330952017</v>
      </c>
      <c r="AK23" s="13" t="n">
        <f aca="false">AK21*AK10</f>
        <v>0.887079630129848</v>
      </c>
      <c r="AL23" s="13" t="n">
        <f aca="false">AL21*AL10</f>
        <v>0.717462206346778</v>
      </c>
      <c r="AM23" s="13" t="n">
        <f aca="false">AM21*AM10</f>
        <v>0.529323339736822</v>
      </c>
      <c r="AN23" s="13" t="n">
        <f aca="false">AN21*AN10</f>
        <v>0.358731103173389</v>
      </c>
      <c r="AO23" s="13" t="n">
        <f aca="false">AO21*AO10</f>
        <v>0.176441113245607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196.271029603182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0</v>
      </c>
      <c r="Q24" s="13" t="n">
        <f aca="false">Time!Q35*(Q21-Q22)*Q147</f>
        <v>7.85084118412728</v>
      </c>
      <c r="R24" s="13" t="n">
        <f aca="false">Time!R35*(R21-R22)*R147</f>
        <v>7.85084118412728</v>
      </c>
      <c r="S24" s="13" t="n">
        <f aca="false">Time!S35*(S21-S22)*S147</f>
        <v>7.85084118412728</v>
      </c>
      <c r="T24" s="13" t="n">
        <f aca="false">Time!T35*(T21-T22)*T147</f>
        <v>7.85084118412728</v>
      </c>
      <c r="U24" s="13" t="n">
        <f aca="false">Time!U35*(U21-U22)*U147</f>
        <v>7.85084118412728</v>
      </c>
      <c r="V24" s="13" t="n">
        <f aca="false">Time!V35*(V21-V22)*V147</f>
        <v>7.85084118412728</v>
      </c>
      <c r="W24" s="13" t="n">
        <f aca="false">Time!W35*(W21-W22)*W147</f>
        <v>7.85084118412728</v>
      </c>
      <c r="X24" s="13" t="n">
        <f aca="false">Time!X35*(X21-X22)*X147</f>
        <v>7.85084118412728</v>
      </c>
      <c r="Y24" s="13" t="n">
        <f aca="false">Time!Y35*(Y21-Y22)*Y147</f>
        <v>7.85084118412728</v>
      </c>
      <c r="Z24" s="13" t="n">
        <f aca="false">Time!Z35*(Z21-Z22)*Z147</f>
        <v>7.85084118412728</v>
      </c>
      <c r="AA24" s="13" t="n">
        <f aca="false">Time!AA35*(AA21-AA22)*AA147</f>
        <v>7.85084118412728</v>
      </c>
      <c r="AB24" s="13" t="n">
        <f aca="false">Time!AB35*(AB21-AB22)*AB147</f>
        <v>7.85084118412728</v>
      </c>
      <c r="AC24" s="13" t="n">
        <f aca="false">Time!AC35*(AC21-AC22)*AC147</f>
        <v>7.85084118412728</v>
      </c>
      <c r="AD24" s="13" t="n">
        <f aca="false">Time!AD35*(AD21-AD22)*AD147</f>
        <v>7.85084118412728</v>
      </c>
      <c r="AE24" s="13" t="n">
        <f aca="false">Time!AE35*(AE21-AE22)*AE147</f>
        <v>7.85084118412728</v>
      </c>
      <c r="AF24" s="13" t="n">
        <f aca="false">Time!AF35*(AF21-AF22)*AF147</f>
        <v>7.85084118412728</v>
      </c>
      <c r="AG24" s="13" t="n">
        <f aca="false">Time!AG35*(AG21-AG22)*AG147</f>
        <v>7.85084118412728</v>
      </c>
      <c r="AH24" s="13" t="n">
        <f aca="false">Time!AH35*(AH21-AH22)*AH147</f>
        <v>7.85084118412728</v>
      </c>
      <c r="AI24" s="13" t="n">
        <f aca="false">Time!AI35*(AI21-AI22)*AI147</f>
        <v>7.85084118412728</v>
      </c>
      <c r="AJ24" s="13" t="n">
        <f aca="false">Time!AJ35*(AJ21-AJ22)*AJ147</f>
        <v>7.85084118412728</v>
      </c>
      <c r="AK24" s="13" t="n">
        <f aca="false">Time!AK35*(AK21-AK22)*AK147</f>
        <v>7.85084118412728</v>
      </c>
      <c r="AL24" s="13" t="n">
        <f aca="false">Time!AL35*(AL21-AL22)*AL147</f>
        <v>7.85084118412728</v>
      </c>
      <c r="AM24" s="13" t="n">
        <f aca="false">Time!AM35*(AM21-AM22)*AM147</f>
        <v>7.85084118412728</v>
      </c>
      <c r="AN24" s="13" t="n">
        <f aca="false">Time!AN35*(AN21-AN22)*AN147</f>
        <v>7.85084118412728</v>
      </c>
      <c r="AO24" s="13" t="n">
        <f aca="false">Time!AO35*(AO21-AO22)*AO147</f>
        <v>7.85084118412728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196.271029603182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7.85084118412728</v>
      </c>
      <c r="R27" s="13" t="n">
        <f aca="false">R24-R25+R26</f>
        <v>7.85084118412728</v>
      </c>
      <c r="S27" s="13" t="n">
        <f aca="false">S24-S25+S26</f>
        <v>7.85084118412728</v>
      </c>
      <c r="T27" s="13" t="n">
        <f aca="false">T24-T25+T26</f>
        <v>7.85084118412728</v>
      </c>
      <c r="U27" s="13" t="n">
        <f aca="false">U24-U25+U26</f>
        <v>7.85084118412728</v>
      </c>
      <c r="V27" s="13" t="n">
        <f aca="false">V24-V25+V26</f>
        <v>7.85084118412728</v>
      </c>
      <c r="W27" s="13" t="n">
        <f aca="false">W24-W25+W26</f>
        <v>7.85084118412728</v>
      </c>
      <c r="X27" s="13" t="n">
        <f aca="false">X24-X25+X26</f>
        <v>7.85084118412728</v>
      </c>
      <c r="Y27" s="13" t="n">
        <f aca="false">Y24-Y25+Y26</f>
        <v>7.85084118412728</v>
      </c>
      <c r="Z27" s="13" t="n">
        <f aca="false">Z24-Z25+Z26</f>
        <v>7.85084118412728</v>
      </c>
      <c r="AA27" s="13" t="n">
        <f aca="false">AA24-AA25+AA26</f>
        <v>7.85084118412728</v>
      </c>
      <c r="AB27" s="13" t="n">
        <f aca="false">AB24-AB25+AB26</f>
        <v>7.85084118412728</v>
      </c>
      <c r="AC27" s="13" t="n">
        <f aca="false">AC24-AC25+AC26</f>
        <v>7.85084118412728</v>
      </c>
      <c r="AD27" s="13" t="n">
        <f aca="false">AD24-AD25+AD26</f>
        <v>7.85084118412728</v>
      </c>
      <c r="AE27" s="13" t="n">
        <f aca="false">AE24-AE25+AE26</f>
        <v>7.85084118412728</v>
      </c>
      <c r="AF27" s="13" t="n">
        <f aca="false">AF24-AF25+AF26</f>
        <v>7.85084118412728</v>
      </c>
      <c r="AG27" s="13" t="n">
        <f aca="false">AG24-AG25+AG26</f>
        <v>7.85084118412728</v>
      </c>
      <c r="AH27" s="13" t="n">
        <f aca="false">AH24-AH25+AH26</f>
        <v>7.85084118412728</v>
      </c>
      <c r="AI27" s="13" t="n">
        <f aca="false">AI24-AI25+AI26</f>
        <v>7.85084118412728</v>
      </c>
      <c r="AJ27" s="13" t="n">
        <f aca="false">AJ24-AJ25+AJ26</f>
        <v>7.85084118412728</v>
      </c>
      <c r="AK27" s="13" t="n">
        <f aca="false">AK24-AK25+AK26</f>
        <v>7.85084118412728</v>
      </c>
      <c r="AL27" s="13" t="n">
        <f aca="false">AL24-AL25+AL26</f>
        <v>7.85084118412728</v>
      </c>
      <c r="AM27" s="13" t="n">
        <f aca="false">AM24-AM25+AM26</f>
        <v>7.85084118412728</v>
      </c>
      <c r="AN27" s="13" t="n">
        <f aca="false">AN24-AN25+AN26</f>
        <v>7.85084118412728</v>
      </c>
      <c r="AO27" s="13" t="n">
        <f aca="false">AO24-AO25+AO26</f>
        <v>7.85084118412728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188.420188419055</v>
      </c>
      <c r="R31" s="13" t="n">
        <f aca="false">R21-R27-R28-R29</f>
        <v>180.569347234927</v>
      </c>
      <c r="S31" s="13" t="n">
        <f aca="false">S21-S27-S28-S29</f>
        <v>172.7185060508</v>
      </c>
      <c r="T31" s="13" t="n">
        <f aca="false">T21-T27-T28-T29</f>
        <v>164.867664866673</v>
      </c>
      <c r="U31" s="13" t="n">
        <f aca="false">U21-U27-U28-U29</f>
        <v>157.016823682546</v>
      </c>
      <c r="V31" s="13" t="n">
        <f aca="false">V21-V27-V28-V29</f>
        <v>149.165982498418</v>
      </c>
      <c r="W31" s="13" t="n">
        <f aca="false">W21-W27-W28-W29</f>
        <v>141.315141314291</v>
      </c>
      <c r="X31" s="13" t="n">
        <f aca="false">X21-X27-X28-X29</f>
        <v>133.464300130164</v>
      </c>
      <c r="Y31" s="13" t="n">
        <f aca="false">Y21-Y27-Y28-Y29</f>
        <v>125.613458946036</v>
      </c>
      <c r="Z31" s="13" t="n">
        <f aca="false">Z21-Z27-Z28-Z29</f>
        <v>117.762617761909</v>
      </c>
      <c r="AA31" s="13" t="n">
        <f aca="false">AA21-AA27-AA28-AA29</f>
        <v>109.911776577782</v>
      </c>
      <c r="AB31" s="13" t="n">
        <f aca="false">AB21-AB27-AB28-AB29</f>
        <v>102.060935393655</v>
      </c>
      <c r="AC31" s="13" t="n">
        <f aca="false">AC21-AC27-AC28-AC29</f>
        <v>94.2100942095273</v>
      </c>
      <c r="AD31" s="13" t="n">
        <f aca="false">AD21-AD27-AD28-AD29</f>
        <v>86.3592530254001</v>
      </c>
      <c r="AE31" s="13" t="n">
        <f aca="false">AE21-AE27-AE28-AE29</f>
        <v>78.5084118412728</v>
      </c>
      <c r="AF31" s="13" t="n">
        <f aca="false">AF21-AF27-AF28-AF29</f>
        <v>70.6575706571455</v>
      </c>
      <c r="AG31" s="13" t="n">
        <f aca="false">AG21-AG27-AG28-AG29</f>
        <v>62.8067294730182</v>
      </c>
      <c r="AH31" s="13" t="n">
        <f aca="false">AH21-AH27-AH28-AH29</f>
        <v>54.955888288891</v>
      </c>
      <c r="AI31" s="13" t="n">
        <f aca="false">AI21-AI27-AI28-AI29</f>
        <v>47.1050471047637</v>
      </c>
      <c r="AJ31" s="13" t="n">
        <f aca="false">AJ21-AJ27-AJ28-AJ29</f>
        <v>39.2542059206364</v>
      </c>
      <c r="AK31" s="13" t="n">
        <f aca="false">AK21-AK27-AK28-AK29</f>
        <v>31.4033647365091</v>
      </c>
      <c r="AL31" s="13" t="n">
        <f aca="false">AL21-AL27-AL28-AL29</f>
        <v>23.5525235523818</v>
      </c>
      <c r="AM31" s="13" t="n">
        <f aca="false">AM21-AM27-AM28-AM29</f>
        <v>15.7016823682546</v>
      </c>
      <c r="AN31" s="13" t="n">
        <f aca="false">AN21-AN27-AN28-AN29</f>
        <v>7.85084118412728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196.271029603182</v>
      </c>
      <c r="Q33" s="13" t="n">
        <f aca="false">IF(Time!Q34=1,INDEX(Funding!$J$61:$BJ$61,1,Time!$F$14),Time!Q35*(Q31-Q32))</f>
        <v>188.420188419055</v>
      </c>
      <c r="R33" s="13" t="n">
        <f aca="false">IF(Time!R34=1,INDEX(Funding!$J$61:$BJ$61,1,Time!$F$14),Time!R35*(R31-R32))</f>
        <v>180.569347234927</v>
      </c>
      <c r="S33" s="13" t="n">
        <f aca="false">IF(Time!S34=1,INDEX(Funding!$J$61:$BJ$61,1,Time!$F$14),Time!S35*(S31-S32))</f>
        <v>172.7185060508</v>
      </c>
      <c r="T33" s="13" t="n">
        <f aca="false">IF(Time!T34=1,INDEX(Funding!$J$61:$BJ$61,1,Time!$F$14),Time!T35*(T31-T32))</f>
        <v>164.867664866673</v>
      </c>
      <c r="U33" s="13" t="n">
        <f aca="false">IF(Time!U34=1,INDEX(Funding!$J$61:$BJ$61,1,Time!$F$14),Time!U35*(U31-U32))</f>
        <v>157.016823682546</v>
      </c>
      <c r="V33" s="13" t="n">
        <f aca="false">IF(Time!V34=1,INDEX(Funding!$J$61:$BJ$61,1,Time!$F$14),Time!V35*(V31-V32))</f>
        <v>149.165982498418</v>
      </c>
      <c r="W33" s="13" t="n">
        <f aca="false">IF(Time!W34=1,INDEX(Funding!$J$61:$BJ$61,1,Time!$F$14),Time!W35*(W31-W32))</f>
        <v>141.315141314291</v>
      </c>
      <c r="X33" s="13" t="n">
        <f aca="false">IF(Time!X34=1,INDEX(Funding!$J$61:$BJ$61,1,Time!$F$14),Time!X35*(X31-X32))</f>
        <v>133.464300130164</v>
      </c>
      <c r="Y33" s="13" t="n">
        <f aca="false">IF(Time!Y34=1,INDEX(Funding!$J$61:$BJ$61,1,Time!$F$14),Time!Y35*(Y31-Y32))</f>
        <v>125.613458946036</v>
      </c>
      <c r="Z33" s="13" t="n">
        <f aca="false">IF(Time!Z34=1,INDEX(Funding!$J$61:$BJ$61,1,Time!$F$14),Time!Z35*(Z31-Z32))</f>
        <v>117.762617761909</v>
      </c>
      <c r="AA33" s="13" t="n">
        <f aca="false">IF(Time!AA34=1,INDEX(Funding!$J$61:$BJ$61,1,Time!$F$14),Time!AA35*(AA31-AA32))</f>
        <v>109.911776577782</v>
      </c>
      <c r="AB33" s="13" t="n">
        <f aca="false">IF(Time!AB34=1,INDEX(Funding!$J$61:$BJ$61,1,Time!$F$14),Time!AB35*(AB31-AB32))</f>
        <v>102.060935393655</v>
      </c>
      <c r="AC33" s="13" t="n">
        <f aca="false">IF(Time!AC34=1,INDEX(Funding!$J$61:$BJ$61,1,Time!$F$14),Time!AC35*(AC31-AC32))</f>
        <v>94.2100942095273</v>
      </c>
      <c r="AD33" s="13" t="n">
        <f aca="false">IF(Time!AD34=1,INDEX(Funding!$J$61:$BJ$61,1,Time!$F$14),Time!AD35*(AD31-AD32))</f>
        <v>86.3592530254001</v>
      </c>
      <c r="AE33" s="13" t="n">
        <f aca="false">IF(Time!AE34=1,INDEX(Funding!$J$61:$BJ$61,1,Time!$F$14),Time!AE35*(AE31-AE32))</f>
        <v>78.5084118412728</v>
      </c>
      <c r="AF33" s="13" t="n">
        <f aca="false">IF(Time!AF34=1,INDEX(Funding!$J$61:$BJ$61,1,Time!$F$14),Time!AF35*(AF31-AF32))</f>
        <v>70.6575706571455</v>
      </c>
      <c r="AG33" s="13" t="n">
        <f aca="false">IF(Time!AG34=1,INDEX(Funding!$J$61:$BJ$61,1,Time!$F$14),Time!AG35*(AG31-AG32))</f>
        <v>62.8067294730182</v>
      </c>
      <c r="AH33" s="13" t="n">
        <f aca="false">IF(Time!AH34=1,INDEX(Funding!$J$61:$BJ$61,1,Time!$F$14),Time!AH35*(AH31-AH32))</f>
        <v>54.955888288891</v>
      </c>
      <c r="AI33" s="13" t="n">
        <f aca="false">IF(Time!AI34=1,INDEX(Funding!$J$61:$BJ$61,1,Time!$F$14),Time!AI35*(AI31-AI32))</f>
        <v>47.1050471047637</v>
      </c>
      <c r="AJ33" s="13" t="n">
        <f aca="false">IF(Time!AJ34=1,INDEX(Funding!$J$61:$BJ$61,1,Time!$F$14),Time!AJ35*(AJ31-AJ32))</f>
        <v>39.2542059206364</v>
      </c>
      <c r="AK33" s="13" t="n">
        <f aca="false">IF(Time!AK34=1,INDEX(Funding!$J$61:$BJ$61,1,Time!$F$14),Time!AK35*(AK31-AK32))</f>
        <v>31.4033647365091</v>
      </c>
      <c r="AL33" s="13" t="n">
        <f aca="false">IF(Time!AL34=1,INDEX(Funding!$J$61:$BJ$61,1,Time!$F$14),Time!AL35*(AL31-AL32))</f>
        <v>23.5525235523818</v>
      </c>
      <c r="AM33" s="13" t="n">
        <f aca="false">IF(Time!AM34=1,INDEX(Funding!$J$61:$BJ$61,1,Time!$F$14),Time!AM35*(AM31-AM32))</f>
        <v>15.7016823682546</v>
      </c>
      <c r="AN33" s="13" t="n">
        <f aca="false">IF(Time!AN34=1,INDEX(Funding!$J$61:$BJ$61,1,Time!$F$14),Time!AN35*(AN31-AN32))</f>
        <v>7.85084118412728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143.932088375667</v>
      </c>
      <c r="R35" s="13" t="n">
        <f aca="false">Time!R35*Q47</f>
        <v>140.955359953107</v>
      </c>
      <c r="S35" s="13" t="n">
        <f aca="false">Time!S35*R47</f>
        <v>137.727362540894</v>
      </c>
      <c r="T35" s="13" t="n">
        <f aca="false">Time!T35*S47</f>
        <v>134.345608512987</v>
      </c>
      <c r="U35" s="13" t="n">
        <f aca="false">Time!U35*T47</f>
        <v>130.709423823748</v>
      </c>
      <c r="V35" s="13" t="n">
        <f aca="false">Time!V35*U47</f>
        <v>126.890523341646</v>
      </c>
      <c r="W35" s="13" t="n">
        <f aca="false">Time!W35*V47</f>
        <v>122.67358162242</v>
      </c>
      <c r="X35" s="13" t="n">
        <f aca="false">Time!X35*W47</f>
        <v>118.260643589362</v>
      </c>
      <c r="Y35" s="13" t="n">
        <f aca="false">Time!Y35*X47</f>
        <v>114.047628276045</v>
      </c>
      <c r="Z35" s="13" t="n">
        <f aca="false">Time!Z35*Y47</f>
        <v>109.846945100166</v>
      </c>
      <c r="AA35" s="13" t="n">
        <f aca="false">Time!AA35*Z47</f>
        <v>105.38138189879</v>
      </c>
      <c r="AB35" s="13" t="n">
        <f aca="false">Time!AB35*AA47</f>
        <v>100.720656264126</v>
      </c>
      <c r="AC35" s="13" t="n">
        <f aca="false">Time!AC35*AB47</f>
        <v>95.7280059225738</v>
      </c>
      <c r="AD35" s="13" t="n">
        <f aca="false">Time!AD35*AC47</f>
        <v>90.4926170480475</v>
      </c>
      <c r="AE35" s="13" t="n">
        <f aca="false">Time!AE35*AD47</f>
        <v>84.5512997565549</v>
      </c>
      <c r="AF35" s="13" t="n">
        <f aca="false">Time!AF35*AE47</f>
        <v>78.2461270645146</v>
      </c>
      <c r="AG35" s="13" t="n">
        <f aca="false">Time!AG35*AF47</f>
        <v>71.6330728405228</v>
      </c>
      <c r="AH35" s="13" t="n">
        <f aca="false">Time!AH35*AG47</f>
        <v>64.8551192789617</v>
      </c>
      <c r="AI35" s="13" t="n">
        <f aca="false">Time!AI35*AH47</f>
        <v>57.6087591294035</v>
      </c>
      <c r="AJ35" s="13" t="n">
        <f aca="false">Time!AJ35*AI47</f>
        <v>50.0675339807387</v>
      </c>
      <c r="AK35" s="13" t="n">
        <f aca="false">Time!AK35*AJ47</f>
        <v>42.0340921685998</v>
      </c>
      <c r="AL35" s="13" t="n">
        <f aca="false">Time!AL35*AK47</f>
        <v>33.6467481960529</v>
      </c>
      <c r="AM35" s="13" t="n">
        <f aca="false">Time!AM35*AL47</f>
        <v>24.5888965817766</v>
      </c>
      <c r="AN35" s="13" t="n">
        <f aca="false">Time!AN35*AM47</f>
        <v>15.1690886442189</v>
      </c>
      <c r="AO35" s="13" t="n">
        <f aca="false">Time!AO35*AN47</f>
        <v>7.47290375837315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75.5737245905415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4.89193183480364</v>
      </c>
      <c r="R37" s="13" t="n">
        <f aca="false">R35*R11</f>
        <v>4.87016430344646</v>
      </c>
      <c r="S37" s="13" t="n">
        <f aca="false">S35*S11</f>
        <v>4.68797161768708</v>
      </c>
      <c r="T37" s="13" t="n">
        <f aca="false">T35*T11</f>
        <v>4.64865660034605</v>
      </c>
      <c r="U37" s="13" t="n">
        <f aca="false">U35*U11</f>
        <v>4.4736752630609</v>
      </c>
      <c r="V37" s="13" t="n">
        <f aca="false">V35*V11</f>
        <v>4.39069408656171</v>
      </c>
      <c r="W37" s="13" t="n">
        <f aca="false">W35*W11</f>
        <v>4.17557018646291</v>
      </c>
      <c r="X37" s="13" t="n">
        <f aca="false">X35*X11</f>
        <v>4.09208106962212</v>
      </c>
      <c r="Y37" s="13" t="n">
        <f aca="false">Y35*Y11</f>
        <v>3.88195950723936</v>
      </c>
      <c r="Z37" s="13" t="n">
        <f aca="false">Z35*Z11</f>
        <v>3.80094840478819</v>
      </c>
      <c r="AA37" s="13" t="n">
        <f aca="false">AA35*AA11</f>
        <v>3.58697733159223</v>
      </c>
      <c r="AB37" s="13" t="n">
        <f aca="false">AB35*AB11</f>
        <v>3.48515853041933</v>
      </c>
      <c r="AC37" s="13" t="n">
        <f aca="false">AC35*AC11</f>
        <v>3.27639736715111</v>
      </c>
      <c r="AD37" s="13" t="n">
        <f aca="false">AD35*AD11</f>
        <v>3.13124564456699</v>
      </c>
      <c r="AE37" s="13" t="n">
        <f aca="false">AE35*AE11</f>
        <v>2.87796183840805</v>
      </c>
      <c r="AF37" s="13" t="n">
        <f aca="false">AF35*AF11</f>
        <v>2.70748987671457</v>
      </c>
      <c r="AG37" s="13" t="n">
        <f aca="false">AG35*AG11</f>
        <v>2.43825051296087</v>
      </c>
      <c r="AH37" s="13" t="n">
        <f aca="false">AH35*AH11</f>
        <v>2.24413124953936</v>
      </c>
      <c r="AI37" s="13" t="n">
        <f aca="false">AI35*AI11</f>
        <v>1.96089014373325</v>
      </c>
      <c r="AJ37" s="13" t="n">
        <f aca="false">AJ35*AJ11</f>
        <v>1.73244793692018</v>
      </c>
      <c r="AK37" s="13" t="n">
        <f aca="false">AK35*AK11</f>
        <v>1.43866350901718</v>
      </c>
      <c r="AL37" s="13" t="n">
        <f aca="false">AL35*AL11</f>
        <v>1.16425225813498</v>
      </c>
      <c r="AM37" s="13" t="n">
        <f aca="false">AM35*AM11</f>
        <v>0.836958227900322</v>
      </c>
      <c r="AN37" s="13" t="n">
        <f aca="false">AN35*AN11</f>
        <v>0.52488417617585</v>
      </c>
      <c r="AO37" s="13" t="n">
        <f aca="false">AO35*AO11</f>
        <v>0.254363113288825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143.932088375667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2.9767284225598</v>
      </c>
      <c r="R38" s="13" t="n">
        <f aca="false">Time!R35*(R35-R36)*R19</f>
        <v>3.22799741221325</v>
      </c>
      <c r="S38" s="13" t="n">
        <f aca="false">Time!S35*(S35-S36)*S19</f>
        <v>3.3817540279065</v>
      </c>
      <c r="T38" s="13" t="n">
        <f aca="false">Time!T35*(T35-T36)*T19</f>
        <v>3.63618468923965</v>
      </c>
      <c r="U38" s="13" t="n">
        <f aca="false">Time!U35*(U35-U36)*U19</f>
        <v>3.81890048210176</v>
      </c>
      <c r="V38" s="13" t="n">
        <f aca="false">Time!V35*(V35-V36)*V19</f>
        <v>4.21694171922573</v>
      </c>
      <c r="W38" s="13" t="n">
        <f aca="false">Time!W35*(W35-W36)*W19</f>
        <v>4.41293803305825</v>
      </c>
      <c r="X38" s="13" t="n">
        <f aca="false">Time!X35*(X35-X36)*X19</f>
        <v>4.21301531331702</v>
      </c>
      <c r="Y38" s="13" t="n">
        <f aca="false">Time!Y35*(Y35-Y36)*Y19</f>
        <v>4.20068317587883</v>
      </c>
      <c r="Z38" s="13" t="n">
        <f aca="false">Time!Z35*(Z35-Z36)*Z19</f>
        <v>4.46556320137611</v>
      </c>
      <c r="AA38" s="13" t="n">
        <f aca="false">Time!AA35*(AA35-AA36)*AA19</f>
        <v>4.66072563466427</v>
      </c>
      <c r="AB38" s="13" t="n">
        <f aca="false">Time!AB35*(AB35-AB36)*AB19</f>
        <v>4.99265034155185</v>
      </c>
      <c r="AC38" s="13" t="n">
        <f aca="false">Time!AC35*(AC35-AC36)*AC19</f>
        <v>5.23538887452632</v>
      </c>
      <c r="AD38" s="13" t="n">
        <f aca="false">Time!AD35*(AD35-AD36)*AD19</f>
        <v>5.94131729149255</v>
      </c>
      <c r="AE38" s="13" t="n">
        <f aca="false">Time!AE35*(AE35-AE36)*AE19</f>
        <v>6.30517269204029</v>
      </c>
      <c r="AF38" s="13" t="n">
        <f aca="false">Time!AF35*(AF35-AF36)*AF19</f>
        <v>6.61305422399187</v>
      </c>
      <c r="AG38" s="13" t="n">
        <f aca="false">Time!AG35*(AG35-AG36)*AG19</f>
        <v>6.77795356156103</v>
      </c>
      <c r="AH38" s="13" t="n">
        <f aca="false">Time!AH35*(AH35-AH36)*AH19</f>
        <v>7.24636014955823</v>
      </c>
      <c r="AI38" s="13" t="n">
        <f aca="false">Time!AI35*(AI35-AI36)*AI19</f>
        <v>7.54122514866477</v>
      </c>
      <c r="AJ38" s="13" t="n">
        <f aca="false">Time!AJ35*(AJ35-AJ36)*AJ19</f>
        <v>8.0334418121389</v>
      </c>
      <c r="AK38" s="13" t="n">
        <f aca="false">Time!AK35*(AK35-AK36)*AK19</f>
        <v>8.38734397254692</v>
      </c>
      <c r="AL38" s="13" t="n">
        <f aca="false">Time!AL35*(AL35-AL36)*AL19</f>
        <v>9.0578516142763</v>
      </c>
      <c r="AM38" s="13" t="n">
        <f aca="false">Time!AM35*(AM35-AM36)*AM19</f>
        <v>9.41980793755772</v>
      </c>
      <c r="AN38" s="13" t="n">
        <f aca="false">Time!AN35*(AN35-AN36)*AN19</f>
        <v>7.69618488584574</v>
      </c>
      <c r="AO38" s="13" t="n">
        <f aca="false">Time!AO35*(AO35-AO36)*AO19</f>
        <v>7.47290375837315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143.932088375667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2.9767284225598</v>
      </c>
      <c r="R41" s="13" t="n">
        <f aca="false">R38-R39+R40</f>
        <v>3.22799741221325</v>
      </c>
      <c r="S41" s="13" t="n">
        <f aca="false">S38-S39+S40</f>
        <v>3.3817540279065</v>
      </c>
      <c r="T41" s="13" t="n">
        <f aca="false">T38-T39+T40</f>
        <v>3.63618468923965</v>
      </c>
      <c r="U41" s="13" t="n">
        <f aca="false">U38-U39+U40</f>
        <v>3.81890048210176</v>
      </c>
      <c r="V41" s="13" t="n">
        <f aca="false">V38-V39+V40</f>
        <v>4.21694171922573</v>
      </c>
      <c r="W41" s="13" t="n">
        <f aca="false">W38-W39+W40</f>
        <v>4.41293803305825</v>
      </c>
      <c r="X41" s="13" t="n">
        <f aca="false">X38-X39+X40</f>
        <v>4.21301531331702</v>
      </c>
      <c r="Y41" s="13" t="n">
        <f aca="false">Y38-Y39+Y40</f>
        <v>4.20068317587883</v>
      </c>
      <c r="Z41" s="13" t="n">
        <f aca="false">Z38-Z39+Z40</f>
        <v>4.46556320137611</v>
      </c>
      <c r="AA41" s="13" t="n">
        <f aca="false">AA38-AA39+AA40</f>
        <v>4.66072563466427</v>
      </c>
      <c r="AB41" s="13" t="n">
        <f aca="false">AB38-AB39+AB40</f>
        <v>4.99265034155185</v>
      </c>
      <c r="AC41" s="13" t="n">
        <f aca="false">AC38-AC39+AC40</f>
        <v>5.23538887452632</v>
      </c>
      <c r="AD41" s="13" t="n">
        <f aca="false">AD38-AD39+AD40</f>
        <v>5.94131729149255</v>
      </c>
      <c r="AE41" s="13" t="n">
        <f aca="false">AE38-AE39+AE40</f>
        <v>6.30517269204029</v>
      </c>
      <c r="AF41" s="13" t="n">
        <f aca="false">AF38-AF39+AF40</f>
        <v>6.61305422399187</v>
      </c>
      <c r="AG41" s="13" t="n">
        <f aca="false">AG38-AG39+AG40</f>
        <v>6.77795356156103</v>
      </c>
      <c r="AH41" s="13" t="n">
        <f aca="false">AH38-AH39+AH40</f>
        <v>7.24636014955823</v>
      </c>
      <c r="AI41" s="13" t="n">
        <f aca="false">AI38-AI39+AI40</f>
        <v>7.54122514866477</v>
      </c>
      <c r="AJ41" s="13" t="n">
        <f aca="false">AJ38-AJ39+AJ40</f>
        <v>8.0334418121389</v>
      </c>
      <c r="AK41" s="13" t="n">
        <f aca="false">AK38-AK39+AK40</f>
        <v>8.38734397254692</v>
      </c>
      <c r="AL41" s="13" t="n">
        <f aca="false">AL38-AL39+AL40</f>
        <v>9.0578516142763</v>
      </c>
      <c r="AM41" s="13" t="n">
        <f aca="false">AM38-AM39+AM40</f>
        <v>9.41980793755772</v>
      </c>
      <c r="AN41" s="13" t="n">
        <f aca="false">AN38-AN39+AN40</f>
        <v>7.69618488584574</v>
      </c>
      <c r="AO41" s="13" t="n">
        <f aca="false">AO38-AO39+AO40</f>
        <v>7.47290375837315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140.955359953107</v>
      </c>
      <c r="R45" s="13" t="n">
        <f aca="false">R35-R41-R42-R43</f>
        <v>137.727362540894</v>
      </c>
      <c r="S45" s="13" t="n">
        <f aca="false">S35-S41-S42-S43</f>
        <v>134.345608512987</v>
      </c>
      <c r="T45" s="13" t="n">
        <f aca="false">T35-T41-T42-T43</f>
        <v>130.709423823748</v>
      </c>
      <c r="U45" s="13" t="n">
        <f aca="false">U35-U41-U42-U43</f>
        <v>126.890523341646</v>
      </c>
      <c r="V45" s="13" t="n">
        <f aca="false">V35-V41-V42-V43</f>
        <v>122.67358162242</v>
      </c>
      <c r="W45" s="13" t="n">
        <f aca="false">W35-W41-W42-W43</f>
        <v>118.260643589362</v>
      </c>
      <c r="X45" s="13" t="n">
        <f aca="false">X35-X41-X42-X43</f>
        <v>114.047628276045</v>
      </c>
      <c r="Y45" s="13" t="n">
        <f aca="false">Y35-Y41-Y42-Y43</f>
        <v>109.846945100166</v>
      </c>
      <c r="Z45" s="13" t="n">
        <f aca="false">Z35-Z41-Z42-Z43</f>
        <v>105.38138189879</v>
      </c>
      <c r="AA45" s="13" t="n">
        <f aca="false">AA35-AA41-AA42-AA43</f>
        <v>100.720656264126</v>
      </c>
      <c r="AB45" s="13" t="n">
        <f aca="false">AB35-AB41-AB42-AB43</f>
        <v>95.7280059225738</v>
      </c>
      <c r="AC45" s="13" t="n">
        <f aca="false">AC35-AC41-AC42-AC43</f>
        <v>90.4926170480475</v>
      </c>
      <c r="AD45" s="13" t="n">
        <f aca="false">AD35-AD41-AD42-AD43</f>
        <v>84.5512997565549</v>
      </c>
      <c r="AE45" s="13" t="n">
        <f aca="false">AE35-AE41-AE42-AE43</f>
        <v>78.2461270645146</v>
      </c>
      <c r="AF45" s="13" t="n">
        <f aca="false">AF35-AF41-AF42-AF43</f>
        <v>71.6330728405228</v>
      </c>
      <c r="AG45" s="13" t="n">
        <f aca="false">AG35-AG41-AG42-AG43</f>
        <v>64.8551192789617</v>
      </c>
      <c r="AH45" s="13" t="n">
        <f aca="false">AH35-AH41-AH42-AH43</f>
        <v>57.6087591294035</v>
      </c>
      <c r="AI45" s="13" t="n">
        <f aca="false">AI35-AI41-AI42-AI43</f>
        <v>50.0675339807387</v>
      </c>
      <c r="AJ45" s="13" t="n">
        <f aca="false">AJ35-AJ41-AJ42-AJ43</f>
        <v>42.0340921685998</v>
      </c>
      <c r="AK45" s="13" t="n">
        <f aca="false">AK35-AK41-AK42-AK43</f>
        <v>33.6467481960529</v>
      </c>
      <c r="AL45" s="13" t="n">
        <f aca="false">AL35-AL41-AL42-AL43</f>
        <v>24.5888965817766</v>
      </c>
      <c r="AM45" s="13" t="n">
        <f aca="false">AM35-AM41-AM42-AM43</f>
        <v>15.1690886442189</v>
      </c>
      <c r="AN45" s="13" t="n">
        <f aca="false">AN35-AN41-AN42-AN43</f>
        <v>7.47290375837315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143.932088375667</v>
      </c>
      <c r="Q47" s="13" t="n">
        <f aca="false">IF(Time!Q34=1,INDEX(Funding!$J$62:$BJ$62,1,Time!$F$14),Time!Q35*(Q45-Q46))</f>
        <v>140.955359953107</v>
      </c>
      <c r="R47" s="13" t="n">
        <f aca="false">IF(Time!R34=1,INDEX(Funding!$J$62:$BJ$62,1,Time!$F$14),Time!R35*(R45-R46))</f>
        <v>137.727362540894</v>
      </c>
      <c r="S47" s="13" t="n">
        <f aca="false">IF(Time!S34=1,INDEX(Funding!$J$62:$BJ$62,1,Time!$F$14),Time!S35*(S45-S46))</f>
        <v>134.345608512987</v>
      </c>
      <c r="T47" s="13" t="n">
        <f aca="false">IF(Time!T34=1,INDEX(Funding!$J$62:$BJ$62,1,Time!$F$14),Time!T35*(T45-T46))</f>
        <v>130.709423823748</v>
      </c>
      <c r="U47" s="13" t="n">
        <f aca="false">IF(Time!U34=1,INDEX(Funding!$J$62:$BJ$62,1,Time!$F$14),Time!U35*(U45-U46))</f>
        <v>126.890523341646</v>
      </c>
      <c r="V47" s="13" t="n">
        <f aca="false">IF(Time!V34=1,INDEX(Funding!$J$62:$BJ$62,1,Time!$F$14),Time!V35*(V45-V46))</f>
        <v>122.67358162242</v>
      </c>
      <c r="W47" s="13" t="n">
        <f aca="false">IF(Time!W34=1,INDEX(Funding!$J$62:$BJ$62,1,Time!$F$14),Time!W35*(W45-W46))</f>
        <v>118.260643589362</v>
      </c>
      <c r="X47" s="13" t="n">
        <f aca="false">IF(Time!X34=1,INDEX(Funding!$J$62:$BJ$62,1,Time!$F$14),Time!X35*(X45-X46))</f>
        <v>114.047628276045</v>
      </c>
      <c r="Y47" s="13" t="n">
        <f aca="false">IF(Time!Y34=1,INDEX(Funding!$J$62:$BJ$62,1,Time!$F$14),Time!Y35*(Y45-Y46))</f>
        <v>109.846945100166</v>
      </c>
      <c r="Z47" s="13" t="n">
        <f aca="false">IF(Time!Z34=1,INDEX(Funding!$J$62:$BJ$62,1,Time!$F$14),Time!Z35*(Z45-Z46))</f>
        <v>105.38138189879</v>
      </c>
      <c r="AA47" s="13" t="n">
        <f aca="false">IF(Time!AA34=1,INDEX(Funding!$J$62:$BJ$62,1,Time!$F$14),Time!AA35*(AA45-AA46))</f>
        <v>100.720656264126</v>
      </c>
      <c r="AB47" s="13" t="n">
        <f aca="false">IF(Time!AB34=1,INDEX(Funding!$J$62:$BJ$62,1,Time!$F$14),Time!AB35*(AB45-AB46))</f>
        <v>95.7280059225738</v>
      </c>
      <c r="AC47" s="13" t="n">
        <f aca="false">IF(Time!AC34=1,INDEX(Funding!$J$62:$BJ$62,1,Time!$F$14),Time!AC35*(AC45-AC46))</f>
        <v>90.4926170480475</v>
      </c>
      <c r="AD47" s="13" t="n">
        <f aca="false">IF(Time!AD34=1,INDEX(Funding!$J$62:$BJ$62,1,Time!$F$14),Time!AD35*(AD45-AD46))</f>
        <v>84.5512997565549</v>
      </c>
      <c r="AE47" s="13" t="n">
        <f aca="false">IF(Time!AE34=1,INDEX(Funding!$J$62:$BJ$62,1,Time!$F$14),Time!AE35*(AE45-AE46))</f>
        <v>78.2461270645146</v>
      </c>
      <c r="AF47" s="13" t="n">
        <f aca="false">IF(Time!AF34=1,INDEX(Funding!$J$62:$BJ$62,1,Time!$F$14),Time!AF35*(AF45-AF46))</f>
        <v>71.6330728405228</v>
      </c>
      <c r="AG47" s="13" t="n">
        <f aca="false">IF(Time!AG34=1,INDEX(Funding!$J$62:$BJ$62,1,Time!$F$14),Time!AG35*(AG45-AG46))</f>
        <v>64.8551192789617</v>
      </c>
      <c r="AH47" s="13" t="n">
        <f aca="false">IF(Time!AH34=1,INDEX(Funding!$J$62:$BJ$62,1,Time!$F$14),Time!AH35*(AH45-AH46))</f>
        <v>57.6087591294035</v>
      </c>
      <c r="AI47" s="13" t="n">
        <f aca="false">IF(Time!AI34=1,INDEX(Funding!$J$62:$BJ$62,1,Time!$F$14),Time!AI35*(AI45-AI46))</f>
        <v>50.0675339807387</v>
      </c>
      <c r="AJ47" s="13" t="n">
        <f aca="false">IF(Time!AJ34=1,INDEX(Funding!$J$62:$BJ$62,1,Time!$F$14),Time!AJ35*(AJ45-AJ46))</f>
        <v>42.0340921685998</v>
      </c>
      <c r="AK47" s="13" t="n">
        <f aca="false">IF(Time!AK34=1,INDEX(Funding!$J$62:$BJ$62,1,Time!$F$14),Time!AK35*(AK45-AK46))</f>
        <v>33.6467481960529</v>
      </c>
      <c r="AL47" s="13" t="n">
        <f aca="false">IF(Time!AL34=1,INDEX(Funding!$J$62:$BJ$62,1,Time!$F$14),Time!AL35*(AL45-AL46))</f>
        <v>24.5888965817766</v>
      </c>
      <c r="AM47" s="13" t="n">
        <f aca="false">IF(Time!AM34=1,INDEX(Funding!$J$62:$BJ$62,1,Time!$F$14),Time!AM35*(AM45-AM46))</f>
        <v>15.1690886442189</v>
      </c>
      <c r="AN47" s="13" t="n">
        <f aca="false">IF(Time!AN34=1,INDEX(Funding!$J$62:$BJ$62,1,Time!$F$14),Time!AN35*(AN45-AN46))</f>
        <v>7.47290375837315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65.423676534394</v>
      </c>
      <c r="R49" s="13" t="n">
        <f aca="false">Time!R35*Q61</f>
        <v>64.0706181605032</v>
      </c>
      <c r="S49" s="13" t="n">
        <f aca="false">Time!S35*R61</f>
        <v>62.6033466094972</v>
      </c>
      <c r="T49" s="13" t="n">
        <f aca="false">Time!T35*S61</f>
        <v>61.0661856877215</v>
      </c>
      <c r="U49" s="13" t="n">
        <f aca="false">Time!U35*T61</f>
        <v>59.4133744653398</v>
      </c>
      <c r="V49" s="13" t="n">
        <f aca="false">Time!V35*U61</f>
        <v>57.677510609839</v>
      </c>
      <c r="W49" s="13" t="n">
        <f aca="false">Time!W35*V61</f>
        <v>55.7607189192819</v>
      </c>
      <c r="X49" s="13" t="n">
        <f aca="false">Time!X35*W61</f>
        <v>53.7548379951645</v>
      </c>
      <c r="Y49" s="13" t="n">
        <f aca="false">Time!Y35*X61</f>
        <v>51.8398310345658</v>
      </c>
      <c r="Z49" s="13" t="n">
        <f aca="false">Time!Z35*Y61</f>
        <v>49.9304295909846</v>
      </c>
      <c r="AA49" s="13" t="n">
        <f aca="false">Time!AA35*Z61</f>
        <v>47.9006281358136</v>
      </c>
      <c r="AB49" s="13" t="n">
        <f aca="false">Time!AB35*AA61</f>
        <v>45.7821164836935</v>
      </c>
      <c r="AC49" s="13" t="n">
        <f aca="false">Time!AC35*AB61</f>
        <v>43.5127299648063</v>
      </c>
      <c r="AD49" s="13" t="n">
        <f aca="false">Time!AD35*AC61</f>
        <v>41.1330077491125</v>
      </c>
      <c r="AE49" s="13" t="n">
        <f aca="false">Time!AE35*AD61</f>
        <v>38.4324089802522</v>
      </c>
      <c r="AF49" s="13" t="n">
        <f aca="false">Time!AF35*AE61</f>
        <v>35.5664213929612</v>
      </c>
      <c r="AG49" s="13" t="n">
        <f aca="false">Time!AG35*AF61</f>
        <v>32.5604876547831</v>
      </c>
      <c r="AH49" s="13" t="n">
        <f aca="false">Time!AH35*AG61</f>
        <v>29.4795996722553</v>
      </c>
      <c r="AI49" s="13" t="n">
        <f aca="false">Time!AI35*AH61</f>
        <v>26.1857996042743</v>
      </c>
      <c r="AJ49" s="13" t="n">
        <f aca="false">Time!AJ35*AI61</f>
        <v>22.7579699912449</v>
      </c>
      <c r="AK49" s="13" t="n">
        <f aca="false">Time!AK35*AJ61</f>
        <v>19.1064055311817</v>
      </c>
      <c r="AL49" s="13" t="n">
        <f aca="false">Time!AL35*AK61</f>
        <v>15.2939764527513</v>
      </c>
      <c r="AM49" s="13" t="n">
        <f aca="false">Time!AM35*AL61</f>
        <v>11.1767711735348</v>
      </c>
      <c r="AN49" s="13" t="n">
        <f aca="false">Time!AN35*AM61</f>
        <v>6.89504029282677</v>
      </c>
      <c r="AO49" s="13" t="n">
        <f aca="false">Time!AO35*AN61</f>
        <v>3.39677443562416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33.0829242706913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2.14137145270116</v>
      </c>
      <c r="R51" s="13" t="n">
        <f aca="false">R49*R12</f>
        <v>2.13184303492714</v>
      </c>
      <c r="S51" s="13" t="n">
        <f aca="false">S49*S12</f>
        <v>2.05220726113333</v>
      </c>
      <c r="T51" s="13" t="n">
        <f aca="false">T49*T12</f>
        <v>2.0349967123846</v>
      </c>
      <c r="U51" s="13" t="n">
        <f aca="false">U49*U12</f>
        <v>1.95839685209863</v>
      </c>
      <c r="V51" s="13" t="n">
        <f aca="false">V49*V12</f>
        <v>1.92207099801144</v>
      </c>
      <c r="W51" s="13" t="n">
        <f aca="false">W49*W12</f>
        <v>1.82789832252841</v>
      </c>
      <c r="X51" s="13" t="n">
        <f aca="false">X49*X12</f>
        <v>1.79135011238997</v>
      </c>
      <c r="Y51" s="13" t="n">
        <f aca="false">Y49*Y12</f>
        <v>1.69936726112533</v>
      </c>
      <c r="Z51" s="13" t="n">
        <f aca="false">Z49*Z12</f>
        <v>1.66390382699201</v>
      </c>
      <c r="AA51" s="13" t="n">
        <f aca="false">AA49*AA12</f>
        <v>1.57023581321212</v>
      </c>
      <c r="AB51" s="13" t="n">
        <f aca="false">AB49*AB12</f>
        <v>1.52566359730993</v>
      </c>
      <c r="AC51" s="13" t="n">
        <f aca="false">AC49*AC12</f>
        <v>1.43427627459549</v>
      </c>
      <c r="AD51" s="13" t="n">
        <f aca="false">AD49*AD12</f>
        <v>1.3707346315682</v>
      </c>
      <c r="AE51" s="13" t="n">
        <f aca="false">AE49*AE12</f>
        <v>1.25985706904931</v>
      </c>
      <c r="AF51" s="13" t="n">
        <f aca="false">AF49*AF12</f>
        <v>1.18523123379744</v>
      </c>
      <c r="AG51" s="13" t="n">
        <f aca="false">AG49*AG12</f>
        <v>1.06736896364341</v>
      </c>
      <c r="AH51" s="13" t="n">
        <f aca="false">AH49*AH12</f>
        <v>0.982391281522535</v>
      </c>
      <c r="AI51" s="13" t="n">
        <f aca="false">AI49*AI12</f>
        <v>0.858399606361006</v>
      </c>
      <c r="AJ51" s="13" t="n">
        <f aca="false">AJ49*AJ12</f>
        <v>0.758396706641574</v>
      </c>
      <c r="AK51" s="13" t="n">
        <f aca="false">AK49*AK12</f>
        <v>0.629789584986708</v>
      </c>
      <c r="AL51" s="13" t="n">
        <f aca="false">AL49*AL12</f>
        <v>0.509663268634353</v>
      </c>
      <c r="AM51" s="13" t="n">
        <f aca="false">AM49*AM12</f>
        <v>0.366386977703109</v>
      </c>
      <c r="AN51" s="13" t="n">
        <f aca="false">AN49*AN12</f>
        <v>0.229773387180512</v>
      </c>
      <c r="AO51" s="13" t="n">
        <f aca="false">AO49*AO12</f>
        <v>0.111350040193577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65.423676534394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1.35305837389082</v>
      </c>
      <c r="R52" s="13" t="n">
        <f aca="false">Time!R35*(R49-R50)*R19</f>
        <v>1.46727155100602</v>
      </c>
      <c r="S52" s="13" t="n">
        <f aca="false">Time!S35*(S49-S50)*S19</f>
        <v>1.53716092177568</v>
      </c>
      <c r="T52" s="13" t="n">
        <f aca="false">Time!T35*(T49-T50)*T19</f>
        <v>1.65281122238166</v>
      </c>
      <c r="U52" s="13" t="n">
        <f aca="false">Time!U35*(U49-U50)*U19</f>
        <v>1.7358638555008</v>
      </c>
      <c r="V52" s="13" t="n">
        <f aca="false">Time!V35*(V49-V50)*V19</f>
        <v>1.91679169055715</v>
      </c>
      <c r="W52" s="13" t="n">
        <f aca="false">Time!W35*(W49-W50)*W19</f>
        <v>2.00588092411739</v>
      </c>
      <c r="X52" s="13" t="n">
        <f aca="false">Time!X35*(X49-X50)*X19</f>
        <v>1.91500696059865</v>
      </c>
      <c r="Y52" s="13" t="n">
        <f aca="false">Time!Y35*(Y49-Y50)*Y19</f>
        <v>1.90940144358128</v>
      </c>
      <c r="Z52" s="13" t="n">
        <f aca="false">Time!Z35*(Z49-Z50)*Z19</f>
        <v>2.02980145517096</v>
      </c>
      <c r="AA52" s="13" t="n">
        <f aca="false">Time!AA35*(AA49-AA50)*AA19</f>
        <v>2.11851165212012</v>
      </c>
      <c r="AB52" s="13" t="n">
        <f aca="false">Time!AB35*(AB49-AB50)*AB19</f>
        <v>2.2693865188872</v>
      </c>
      <c r="AC52" s="13" t="n">
        <f aca="false">Time!AC35*(AC49-AC50)*AC19</f>
        <v>2.37972221569378</v>
      </c>
      <c r="AD52" s="13" t="n">
        <f aca="false">Time!AD35*(AD49-AD50)*AD19</f>
        <v>2.70059876886025</v>
      </c>
      <c r="AE52" s="13" t="n">
        <f aca="false">Time!AE35*(AE49-AE50)*AE19</f>
        <v>2.86598758729104</v>
      </c>
      <c r="AF52" s="13" t="n">
        <f aca="false">Time!AF35*(AF49-AF50)*AF19</f>
        <v>3.00593373817812</v>
      </c>
      <c r="AG52" s="13" t="n">
        <f aca="false">Time!AG35*(AG49-AG50)*AG19</f>
        <v>3.08088798252774</v>
      </c>
      <c r="AH52" s="13" t="n">
        <f aca="false">Time!AH35*(AH49-AH50)*AH19</f>
        <v>3.29380006798101</v>
      </c>
      <c r="AI52" s="13" t="n">
        <f aca="false">Time!AI35*(AI49-AI50)*AI19</f>
        <v>3.42782961302944</v>
      </c>
      <c r="AJ52" s="13" t="n">
        <f aca="false">Time!AJ35*(AJ49-AJ50)*AJ19</f>
        <v>3.65156446006314</v>
      </c>
      <c r="AK52" s="13" t="n">
        <f aca="false">Time!AK35*(AK49-AK50)*AK19</f>
        <v>3.81242907843042</v>
      </c>
      <c r="AL52" s="13" t="n">
        <f aca="false">Time!AL35*(AL49-AL50)*AL19</f>
        <v>4.1172052792165</v>
      </c>
      <c r="AM52" s="13" t="n">
        <f aca="false">Time!AM35*(AM49-AM50)*AM19</f>
        <v>4.28173088070805</v>
      </c>
      <c r="AN52" s="13" t="n">
        <f aca="false">Time!AN35*(AN49-AN50)*AN19</f>
        <v>3.49826585720261</v>
      </c>
      <c r="AO52" s="13" t="n">
        <f aca="false">Time!AO35*(AO49-AO50)*AO19</f>
        <v>3.39677443562416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65.423676534394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1.35305837389082</v>
      </c>
      <c r="R55" s="13" t="n">
        <f aca="false">R52-R53+R54</f>
        <v>1.46727155100602</v>
      </c>
      <c r="S55" s="13" t="n">
        <f aca="false">S52-S53+S54</f>
        <v>1.53716092177568</v>
      </c>
      <c r="T55" s="13" t="n">
        <f aca="false">T52-T53+T54</f>
        <v>1.65281122238166</v>
      </c>
      <c r="U55" s="13" t="n">
        <f aca="false">U52-U53+U54</f>
        <v>1.7358638555008</v>
      </c>
      <c r="V55" s="13" t="n">
        <f aca="false">V52-V53+V54</f>
        <v>1.91679169055715</v>
      </c>
      <c r="W55" s="13" t="n">
        <f aca="false">W52-W53+W54</f>
        <v>2.00588092411739</v>
      </c>
      <c r="X55" s="13" t="n">
        <f aca="false">X52-X53+X54</f>
        <v>1.91500696059865</v>
      </c>
      <c r="Y55" s="13" t="n">
        <f aca="false">Y52-Y53+Y54</f>
        <v>1.90940144358128</v>
      </c>
      <c r="Z55" s="13" t="n">
        <f aca="false">Z52-Z53+Z54</f>
        <v>2.02980145517096</v>
      </c>
      <c r="AA55" s="13" t="n">
        <f aca="false">AA52-AA53+AA54</f>
        <v>2.11851165212012</v>
      </c>
      <c r="AB55" s="13" t="n">
        <f aca="false">AB52-AB53+AB54</f>
        <v>2.2693865188872</v>
      </c>
      <c r="AC55" s="13" t="n">
        <f aca="false">AC52-AC53+AC54</f>
        <v>2.37972221569378</v>
      </c>
      <c r="AD55" s="13" t="n">
        <f aca="false">AD52-AD53+AD54</f>
        <v>2.70059876886025</v>
      </c>
      <c r="AE55" s="13" t="n">
        <f aca="false">AE52-AE53+AE54</f>
        <v>2.86598758729104</v>
      </c>
      <c r="AF55" s="13" t="n">
        <f aca="false">AF52-AF53+AF54</f>
        <v>3.00593373817812</v>
      </c>
      <c r="AG55" s="13" t="n">
        <f aca="false">AG52-AG53+AG54</f>
        <v>3.08088798252774</v>
      </c>
      <c r="AH55" s="13" t="n">
        <f aca="false">AH52-AH53+AH54</f>
        <v>3.29380006798101</v>
      </c>
      <c r="AI55" s="13" t="n">
        <f aca="false">AI52-AI53+AI54</f>
        <v>3.42782961302944</v>
      </c>
      <c r="AJ55" s="13" t="n">
        <f aca="false">AJ52-AJ53+AJ54</f>
        <v>3.65156446006314</v>
      </c>
      <c r="AK55" s="13" t="n">
        <f aca="false">AK52-AK53+AK54</f>
        <v>3.81242907843042</v>
      </c>
      <c r="AL55" s="13" t="n">
        <f aca="false">AL52-AL53+AL54</f>
        <v>4.1172052792165</v>
      </c>
      <c r="AM55" s="13" t="n">
        <f aca="false">AM52-AM53+AM54</f>
        <v>4.28173088070805</v>
      </c>
      <c r="AN55" s="13" t="n">
        <f aca="false">AN52-AN53+AN54</f>
        <v>3.49826585720261</v>
      </c>
      <c r="AO55" s="13" t="n">
        <f aca="false">AO52-AO53+AO54</f>
        <v>3.39677443562416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64.0706181605032</v>
      </c>
      <c r="R59" s="13" t="n">
        <f aca="false">R49-R55-R56-R57</f>
        <v>62.6033466094972</v>
      </c>
      <c r="S59" s="13" t="n">
        <f aca="false">S49-S55-S56-S57</f>
        <v>61.0661856877215</v>
      </c>
      <c r="T59" s="13" t="n">
        <f aca="false">T49-T55-T56-T57</f>
        <v>59.4133744653398</v>
      </c>
      <c r="U59" s="13" t="n">
        <f aca="false">U49-U55-U56-U57</f>
        <v>57.677510609839</v>
      </c>
      <c r="V59" s="13" t="n">
        <f aca="false">V49-V55-V56-V57</f>
        <v>55.7607189192819</v>
      </c>
      <c r="W59" s="13" t="n">
        <f aca="false">W49-W55-W56-W57</f>
        <v>53.7548379951645</v>
      </c>
      <c r="X59" s="13" t="n">
        <f aca="false">X49-X55-X56-X57</f>
        <v>51.8398310345658</v>
      </c>
      <c r="Y59" s="13" t="n">
        <f aca="false">Y49-Y55-Y56-Y57</f>
        <v>49.9304295909846</v>
      </c>
      <c r="Z59" s="13" t="n">
        <f aca="false">Z49-Z55-Z56-Z57</f>
        <v>47.9006281358136</v>
      </c>
      <c r="AA59" s="13" t="n">
        <f aca="false">AA49-AA55-AA56-AA57</f>
        <v>45.7821164836935</v>
      </c>
      <c r="AB59" s="13" t="n">
        <f aca="false">AB49-AB55-AB56-AB57</f>
        <v>43.5127299648063</v>
      </c>
      <c r="AC59" s="13" t="n">
        <f aca="false">AC49-AC55-AC56-AC57</f>
        <v>41.1330077491125</v>
      </c>
      <c r="AD59" s="13" t="n">
        <f aca="false">AD49-AD55-AD56-AD57</f>
        <v>38.4324089802522</v>
      </c>
      <c r="AE59" s="13" t="n">
        <f aca="false">AE49-AE55-AE56-AE57</f>
        <v>35.5664213929612</v>
      </c>
      <c r="AF59" s="13" t="n">
        <f aca="false">AF49-AF55-AF56-AF57</f>
        <v>32.5604876547831</v>
      </c>
      <c r="AG59" s="13" t="n">
        <f aca="false">AG49-AG55-AG56-AG57</f>
        <v>29.4795996722553</v>
      </c>
      <c r="AH59" s="13" t="n">
        <f aca="false">AH49-AH55-AH56-AH57</f>
        <v>26.1857996042743</v>
      </c>
      <c r="AI59" s="13" t="n">
        <f aca="false">AI49-AI55-AI56-AI57</f>
        <v>22.7579699912449</v>
      </c>
      <c r="AJ59" s="13" t="n">
        <f aca="false">AJ49-AJ55-AJ56-AJ57</f>
        <v>19.1064055311817</v>
      </c>
      <c r="AK59" s="13" t="n">
        <f aca="false">AK49-AK55-AK56-AK57</f>
        <v>15.2939764527513</v>
      </c>
      <c r="AL59" s="13" t="n">
        <f aca="false">AL49-AL55-AL56-AL57</f>
        <v>11.1767711735348</v>
      </c>
      <c r="AM59" s="13" t="n">
        <f aca="false">AM49-AM55-AM56-AM57</f>
        <v>6.89504029282677</v>
      </c>
      <c r="AN59" s="13" t="n">
        <f aca="false">AN49-AN55-AN56-AN57</f>
        <v>3.39677443562416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65.423676534394</v>
      </c>
      <c r="Q61" s="13" t="n">
        <f aca="false">IF(Time!Q34=1,INDEX(Funding!$J$63:$BJ$63,1,Time!$F$14),Time!Q35*(Q59-Q60))</f>
        <v>64.0706181605032</v>
      </c>
      <c r="R61" s="13" t="n">
        <f aca="false">IF(Time!R34=1,INDEX(Funding!$J$63:$BJ$63,1,Time!$F$14),Time!R35*(R59-R60))</f>
        <v>62.6033466094972</v>
      </c>
      <c r="S61" s="13" t="n">
        <f aca="false">IF(Time!S34=1,INDEX(Funding!$J$63:$BJ$63,1,Time!$F$14),Time!S35*(S59-S60))</f>
        <v>61.0661856877215</v>
      </c>
      <c r="T61" s="13" t="n">
        <f aca="false">IF(Time!T34=1,INDEX(Funding!$J$63:$BJ$63,1,Time!$F$14),Time!T35*(T59-T60))</f>
        <v>59.4133744653398</v>
      </c>
      <c r="U61" s="13" t="n">
        <f aca="false">IF(Time!U34=1,INDEX(Funding!$J$63:$BJ$63,1,Time!$F$14),Time!U35*(U59-U60))</f>
        <v>57.677510609839</v>
      </c>
      <c r="V61" s="13" t="n">
        <f aca="false">IF(Time!V34=1,INDEX(Funding!$J$63:$BJ$63,1,Time!$F$14),Time!V35*(V59-V60))</f>
        <v>55.7607189192819</v>
      </c>
      <c r="W61" s="13" t="n">
        <f aca="false">IF(Time!W34=1,INDEX(Funding!$J$63:$BJ$63,1,Time!$F$14),Time!W35*(W59-W60))</f>
        <v>53.7548379951645</v>
      </c>
      <c r="X61" s="13" t="n">
        <f aca="false">IF(Time!X34=1,INDEX(Funding!$J$63:$BJ$63,1,Time!$F$14),Time!X35*(X59-X60))</f>
        <v>51.8398310345658</v>
      </c>
      <c r="Y61" s="13" t="n">
        <f aca="false">IF(Time!Y34=1,INDEX(Funding!$J$63:$BJ$63,1,Time!$F$14),Time!Y35*(Y59-Y60))</f>
        <v>49.9304295909846</v>
      </c>
      <c r="Z61" s="13" t="n">
        <f aca="false">IF(Time!Z34=1,INDEX(Funding!$J$63:$BJ$63,1,Time!$F$14),Time!Z35*(Z59-Z60))</f>
        <v>47.9006281358136</v>
      </c>
      <c r="AA61" s="13" t="n">
        <f aca="false">IF(Time!AA34=1,INDEX(Funding!$J$63:$BJ$63,1,Time!$F$14),Time!AA35*(AA59-AA60))</f>
        <v>45.7821164836935</v>
      </c>
      <c r="AB61" s="13" t="n">
        <f aca="false">IF(Time!AB34=1,INDEX(Funding!$J$63:$BJ$63,1,Time!$F$14),Time!AB35*(AB59-AB60))</f>
        <v>43.5127299648063</v>
      </c>
      <c r="AC61" s="13" t="n">
        <f aca="false">IF(Time!AC34=1,INDEX(Funding!$J$63:$BJ$63,1,Time!$F$14),Time!AC35*(AC59-AC60))</f>
        <v>41.1330077491125</v>
      </c>
      <c r="AD61" s="13" t="n">
        <f aca="false">IF(Time!AD34=1,INDEX(Funding!$J$63:$BJ$63,1,Time!$F$14),Time!AD35*(AD59-AD60))</f>
        <v>38.4324089802522</v>
      </c>
      <c r="AE61" s="13" t="n">
        <f aca="false">IF(Time!AE34=1,INDEX(Funding!$J$63:$BJ$63,1,Time!$F$14),Time!AE35*(AE59-AE60))</f>
        <v>35.5664213929612</v>
      </c>
      <c r="AF61" s="13" t="n">
        <f aca="false">IF(Time!AF34=1,INDEX(Funding!$J$63:$BJ$63,1,Time!$F$14),Time!AF35*(AF59-AF60))</f>
        <v>32.5604876547831</v>
      </c>
      <c r="AG61" s="13" t="n">
        <f aca="false">IF(Time!AG34=1,INDEX(Funding!$J$63:$BJ$63,1,Time!$F$14),Time!AG35*(AG59-AG60))</f>
        <v>29.4795996722553</v>
      </c>
      <c r="AH61" s="13" t="n">
        <f aca="false">IF(Time!AH34=1,INDEX(Funding!$J$63:$BJ$63,1,Time!$F$14),Time!AH35*(AH59-AH60))</f>
        <v>26.1857996042743</v>
      </c>
      <c r="AI61" s="13" t="n">
        <f aca="false">IF(Time!AI34=1,INDEX(Funding!$J$63:$BJ$63,1,Time!$F$14),Time!AI35*(AI59-AI60))</f>
        <v>22.7579699912449</v>
      </c>
      <c r="AJ61" s="13" t="n">
        <f aca="false">IF(Time!AJ34=1,INDEX(Funding!$J$63:$BJ$63,1,Time!$F$14),Time!AJ35*(AJ59-AJ60))</f>
        <v>19.1064055311817</v>
      </c>
      <c r="AK61" s="13" t="n">
        <f aca="false">IF(Time!AK34=1,INDEX(Funding!$J$63:$BJ$63,1,Time!$F$14),Time!AK35*(AK59-AK60))</f>
        <v>15.2939764527513</v>
      </c>
      <c r="AL61" s="13" t="n">
        <f aca="false">IF(Time!AL34=1,INDEX(Funding!$J$63:$BJ$63,1,Time!$F$14),Time!AL35*(AL59-AL60))</f>
        <v>11.1767711735348</v>
      </c>
      <c r="AM61" s="13" t="n">
        <f aca="false">IF(Time!AM34=1,INDEX(Funding!$J$63:$BJ$63,1,Time!$F$14),Time!AM35*(AM59-AM60))</f>
        <v>6.89504029282677</v>
      </c>
      <c r="AN61" s="13" t="n">
        <f aca="false">IF(Time!AN34=1,INDEX(Funding!$J$63:$BJ$63,1,Time!$F$14),Time!AN35*(AN59-AN60))</f>
        <v>3.39677443562416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248.609970830697</v>
      </c>
      <c r="R63" s="13" t="n">
        <f aca="false">Time!R35*Q75</f>
        <v>243.468349009912</v>
      </c>
      <c r="S63" s="13" t="n">
        <f aca="false">Time!S35*R75</f>
        <v>237.892717116089</v>
      </c>
      <c r="T63" s="13" t="n">
        <f aca="false">Time!T35*S75</f>
        <v>232.051505613342</v>
      </c>
      <c r="U63" s="13" t="n">
        <f aca="false">Time!U35*T75</f>
        <v>225.770822968291</v>
      </c>
      <c r="V63" s="13" t="n">
        <f aca="false">Time!V35*U75</f>
        <v>219.174540317388</v>
      </c>
      <c r="W63" s="13" t="n">
        <f aca="false">Time!W35*V75</f>
        <v>211.890731893271</v>
      </c>
      <c r="X63" s="13" t="n">
        <f aca="false">Time!X35*W75</f>
        <v>204.268384381625</v>
      </c>
      <c r="Y63" s="13" t="n">
        <f aca="false">Time!Y35*X75</f>
        <v>196.99135793135</v>
      </c>
      <c r="Z63" s="13" t="n">
        <f aca="false">Time!Z35*Y75</f>
        <v>189.735632445741</v>
      </c>
      <c r="AA63" s="13" t="n">
        <f aca="false">Time!AA35*Z75</f>
        <v>182.022386916092</v>
      </c>
      <c r="AB63" s="13" t="n">
        <f aca="false">Time!AB35*AA75</f>
        <v>168.980676706786</v>
      </c>
      <c r="AC63" s="13" t="n">
        <f aca="false">Time!AC35*AB75</f>
        <v>154.738547446078</v>
      </c>
      <c r="AD63" s="13" t="n">
        <f aca="false">Time!AD35*AC75</f>
        <v>140.940404649156</v>
      </c>
      <c r="AE63" s="13" t="n">
        <f aca="false">Time!AE35*AD75</f>
        <v>125.790943353659</v>
      </c>
      <c r="AF63" s="13" t="n">
        <f aca="false">Time!AF35*AE75</f>
        <v>109.56439152462</v>
      </c>
      <c r="AG63" s="13" t="n">
        <f aca="false">Time!AG35*AF75</f>
        <v>92.256229148424</v>
      </c>
      <c r="AH63" s="13" t="n">
        <f aca="false">Time!AH35*AG75</f>
        <v>75.4144140634104</v>
      </c>
      <c r="AI63" s="13" t="n">
        <f aca="false">Time!AI35*AH75</f>
        <v>57.6805938914858</v>
      </c>
      <c r="AJ63" s="13" t="n">
        <f aca="false">Time!AJ35*AI75</f>
        <v>40.1487042334491</v>
      </c>
      <c r="AK63" s="13" t="n">
        <f aca="false">Time!AK35*AJ75</f>
        <v>22.08598285954</v>
      </c>
      <c r="AL63" s="13" t="n">
        <f aca="false">Time!AL35*AK75</f>
        <v>4.65280676105367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142.864849379384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10.0135338899311</v>
      </c>
      <c r="R65" s="13" t="n">
        <f aca="false">R63*R13</f>
        <v>9.96897686822561</v>
      </c>
      <c r="S65" s="13" t="n">
        <f aca="false">S63*S13</f>
        <v>9.59515310437184</v>
      </c>
      <c r="T65" s="13" t="n">
        <f aca="false">T63*T13</f>
        <v>9.51468469682753</v>
      </c>
      <c r="U65" s="13" t="n">
        <f aca="false">U63*U13</f>
        <v>9.15653988312511</v>
      </c>
      <c r="V65" s="13" t="n">
        <f aca="false">V63*V13</f>
        <v>8.98669732471741</v>
      </c>
      <c r="W65" s="13" t="n">
        <f aca="false">W63*W13</f>
        <v>8.54639031644335</v>
      </c>
      <c r="X65" s="13" t="n">
        <f aca="false">X63*X13</f>
        <v>8.37550812602782</v>
      </c>
      <c r="Y65" s="13" t="n">
        <f aca="false">Y63*Y13</f>
        <v>8.49567790940229</v>
      </c>
      <c r="Z65" s="13" t="n">
        <f aca="false">Z63*Z13</f>
        <v>8.31838491285576</v>
      </c>
      <c r="AA65" s="13" t="n">
        <f aca="false">AA63*AA13</f>
        <v>7.85010869399979</v>
      </c>
      <c r="AB65" s="13" t="n">
        <f aca="false">AB63*AB13</f>
        <v>7.40844665581652</v>
      </c>
      <c r="AC65" s="13" t="n">
        <f aca="false">AC63*AC13</f>
        <v>6.71030397233449</v>
      </c>
      <c r="AD65" s="13" t="n">
        <f aca="false">AD63*AD13</f>
        <v>6.17910574061831</v>
      </c>
      <c r="AE65" s="13" t="n">
        <f aca="false">AE63*AE13</f>
        <v>5.42500620268319</v>
      </c>
      <c r="AF65" s="13" t="n">
        <f aca="false">AF63*AF13</f>
        <v>4.80351934792876</v>
      </c>
      <c r="AG65" s="13" t="n">
        <f aca="false">AG63*AG13</f>
        <v>4.23644021146939</v>
      </c>
      <c r="AH65" s="13" t="n">
        <f aca="false">AH63*AH13</f>
        <v>3.52045657353787</v>
      </c>
      <c r="AI65" s="13" t="n">
        <f aca="false">AI63*AI13</f>
        <v>2.64871423467995</v>
      </c>
      <c r="AJ65" s="13" t="n">
        <f aca="false">AJ63*AJ13</f>
        <v>1.87420099317923</v>
      </c>
      <c r="AK65" s="13" t="n">
        <f aca="false">AK63*AK13</f>
        <v>1.01979980855513</v>
      </c>
      <c r="AL65" s="13" t="n">
        <f aca="false">AL63*AL13</f>
        <v>0.217199912653039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156.178386786155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5.14162182078511</v>
      </c>
      <c r="R66" s="13" t="n">
        <f aca="false">Time!R35*(R63-R64)*R19</f>
        <v>5.57563189382289</v>
      </c>
      <c r="S66" s="13" t="n">
        <f aca="false">Time!S35*(S63-S64)*S19</f>
        <v>5.8412115027476</v>
      </c>
      <c r="T66" s="13" t="n">
        <f aca="false">Time!T35*(T63-T64)*T19</f>
        <v>6.2806826450503</v>
      </c>
      <c r="U66" s="13" t="n">
        <f aca="false">Time!U35*(U63-U64)*U19</f>
        <v>6.59628265090304</v>
      </c>
      <c r="V66" s="13" t="n">
        <f aca="false">Time!V35*(V63-V64)*V19</f>
        <v>7.28380842411717</v>
      </c>
      <c r="W66" s="13" t="n">
        <f aca="false">Time!W35*(W63-W64)*W19</f>
        <v>7.62234751164606</v>
      </c>
      <c r="X66" s="13" t="n">
        <f aca="false">Time!X35*(X63-X64)*X19</f>
        <v>7.27702645027485</v>
      </c>
      <c r="Y66" s="13" t="n">
        <f aca="false">Time!Y35*(Y63-Y64)*Y19</f>
        <v>7.25572548560888</v>
      </c>
      <c r="Z66" s="13" t="n">
        <f aca="false">Time!Z35*(Z63-Z64)*Z19</f>
        <v>7.71324552964965</v>
      </c>
      <c r="AA66" s="13" t="n">
        <f aca="false">Time!AA35*(AA63-AA64)*AA19</f>
        <v>8.05034427805647</v>
      </c>
      <c r="AB66" s="13" t="n">
        <f aca="false">Time!AB35*(AB63-AB64)*AB19</f>
        <v>8.37625035984092</v>
      </c>
      <c r="AC66" s="13" t="n">
        <f aca="false">Time!AC35*(AC63-AC64)*AC19</f>
        <v>8.46269032716293</v>
      </c>
      <c r="AD66" s="13" t="n">
        <f aca="false">Time!AD35*(AD63-AD64)*AD19</f>
        <v>9.25348045539873</v>
      </c>
      <c r="AE66" s="13" t="n">
        <f aca="false">Time!AE35*(AE63-AE64)*AE19</f>
        <v>9.38050181633064</v>
      </c>
      <c r="AF66" s="13" t="n">
        <f aca="false">Time!AF35*(AF63-AF64)*AF19</f>
        <v>9.25995048385696</v>
      </c>
      <c r="AG66" s="13" t="n">
        <f aca="false">Time!AG35*(AG63-AG64)*AG19</f>
        <v>8.72932588449584</v>
      </c>
      <c r="AH66" s="13" t="n">
        <f aca="false">Time!AH35*(AH63-AH64)*AH19</f>
        <v>8.42616605823825</v>
      </c>
      <c r="AI66" s="13" t="n">
        <f aca="false">Time!AI35*(AI63-AI64)*AI19</f>
        <v>7.55062861651496</v>
      </c>
      <c r="AJ66" s="13" t="n">
        <f aca="false">Time!AJ35*(AJ63-AJ64)*AJ19</f>
        <v>6.44194458261651</v>
      </c>
      <c r="AK66" s="13" t="n">
        <f aca="false">Time!AK35*(AK63-AK64)*AK19</f>
        <v>4.40696410122821</v>
      </c>
      <c r="AL66" s="13" t="n">
        <f aca="false">Time!AL35*(AL63-AL64)*AL19</f>
        <v>1.25255590780894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156.178386786155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5.14162182078511</v>
      </c>
      <c r="R69" s="13" t="n">
        <f aca="false">R66-R67+R68</f>
        <v>5.57563189382289</v>
      </c>
      <c r="S69" s="13" t="n">
        <f aca="false">S66-S67+S68</f>
        <v>5.8412115027476</v>
      </c>
      <c r="T69" s="13" t="n">
        <f aca="false">T66-T67+T68</f>
        <v>6.2806826450503</v>
      </c>
      <c r="U69" s="13" t="n">
        <f aca="false">U66-U67+U68</f>
        <v>6.59628265090304</v>
      </c>
      <c r="V69" s="13" t="n">
        <f aca="false">V66-V67+V68</f>
        <v>7.28380842411717</v>
      </c>
      <c r="W69" s="13" t="n">
        <f aca="false">W66-W67+W68</f>
        <v>7.62234751164606</v>
      </c>
      <c r="X69" s="13" t="n">
        <f aca="false">X66-X67+X68</f>
        <v>7.27702645027485</v>
      </c>
      <c r="Y69" s="13" t="n">
        <f aca="false">Y66-Y67+Y68</f>
        <v>7.25572548560888</v>
      </c>
      <c r="Z69" s="13" t="n">
        <f aca="false">Z66-Z67+Z68</f>
        <v>7.71324552964965</v>
      </c>
      <c r="AA69" s="13" t="n">
        <f aca="false">AA66-AA67+AA68</f>
        <v>8.05034427805647</v>
      </c>
      <c r="AB69" s="13" t="n">
        <f aca="false">AB66-AB67+AB68</f>
        <v>8.37625035984092</v>
      </c>
      <c r="AC69" s="13" t="n">
        <f aca="false">AC66-AC67+AC68</f>
        <v>8.46269032716293</v>
      </c>
      <c r="AD69" s="13" t="n">
        <f aca="false">AD66-AD67+AD68</f>
        <v>9.25348045539873</v>
      </c>
      <c r="AE69" s="13" t="n">
        <f aca="false">AE66-AE67+AE68</f>
        <v>9.38050181633064</v>
      </c>
      <c r="AF69" s="13" t="n">
        <f aca="false">AF66-AF67+AF68</f>
        <v>9.25995048385696</v>
      </c>
      <c r="AG69" s="13" t="n">
        <f aca="false">AG66-AG67+AG68</f>
        <v>8.72932588449584</v>
      </c>
      <c r="AH69" s="13" t="n">
        <f aca="false">AH66-AH67+AH68</f>
        <v>8.42616605823825</v>
      </c>
      <c r="AI69" s="13" t="n">
        <f aca="false">AI66-AI67+AI68</f>
        <v>7.55062861651496</v>
      </c>
      <c r="AJ69" s="13" t="n">
        <f aca="false">AJ66-AJ67+AJ68</f>
        <v>6.44194458261651</v>
      </c>
      <c r="AK69" s="13" t="n">
        <f aca="false">AK66-AK67+AK68</f>
        <v>4.40696410122821</v>
      </c>
      <c r="AL69" s="13" t="n">
        <f aca="false">AL66-AL67+AL68</f>
        <v>1.25255590780894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243.468349009912</v>
      </c>
      <c r="R73" s="13" t="n">
        <f aca="false">R63-R69-R70-R71</f>
        <v>237.892717116089</v>
      </c>
      <c r="S73" s="13" t="n">
        <f aca="false">S63-S69-S70-S71</f>
        <v>232.051505613342</v>
      </c>
      <c r="T73" s="13" t="n">
        <f aca="false">T63-T69-T70-T71</f>
        <v>225.770822968291</v>
      </c>
      <c r="U73" s="13" t="n">
        <f aca="false">U63-U69-U70-U71</f>
        <v>219.174540317388</v>
      </c>
      <c r="V73" s="13" t="n">
        <f aca="false">V63-V69-V70-V71</f>
        <v>211.890731893271</v>
      </c>
      <c r="W73" s="13" t="n">
        <f aca="false">W63-W69-W70-W71</f>
        <v>204.268384381625</v>
      </c>
      <c r="X73" s="13" t="n">
        <f aca="false">X63-X69-X70-X71</f>
        <v>196.99135793135</v>
      </c>
      <c r="Y73" s="13" t="n">
        <f aca="false">Y63-Y69-Y70-Y71</f>
        <v>189.735632445741</v>
      </c>
      <c r="Z73" s="13" t="n">
        <f aca="false">Z63-Z69-Z70-Z71</f>
        <v>182.022386916092</v>
      </c>
      <c r="AA73" s="13" t="n">
        <f aca="false">AA63-AA69-AA70-AA71</f>
        <v>173.972042638035</v>
      </c>
      <c r="AB73" s="13" t="n">
        <f aca="false">AB63-AB69-AB70-AB71</f>
        <v>160.604426346945</v>
      </c>
      <c r="AC73" s="13" t="n">
        <f aca="false">AC63-AC69-AC70-AC71</f>
        <v>146.275857118915</v>
      </c>
      <c r="AD73" s="13" t="n">
        <f aca="false">AD63-AD69-AD70-AD71</f>
        <v>131.686924193757</v>
      </c>
      <c r="AE73" s="13" t="n">
        <f aca="false">AE63-AE69-AE70-AE71</f>
        <v>116.410441537329</v>
      </c>
      <c r="AF73" s="13" t="n">
        <f aca="false">AF63-AF69-AF70-AF71</f>
        <v>100.304441040763</v>
      </c>
      <c r="AG73" s="13" t="n">
        <f aca="false">AG63-AG69-AG70-AG71</f>
        <v>83.5269032639282</v>
      </c>
      <c r="AH73" s="13" t="n">
        <f aca="false">AH63-AH69-AH70-AH71</f>
        <v>66.9882480051721</v>
      </c>
      <c r="AI73" s="13" t="n">
        <f aca="false">AI63-AI69-AI70-AI71</f>
        <v>50.1299652749708</v>
      </c>
      <c r="AJ73" s="13" t="n">
        <f aca="false">AJ63-AJ69-AJ70-AJ71</f>
        <v>33.7067596508326</v>
      </c>
      <c r="AK73" s="13" t="n">
        <f aca="false">AK63-AK69-AK70-AK71</f>
        <v>17.6790187583118</v>
      </c>
      <c r="AL73" s="13" t="n">
        <f aca="false">AL63-AL69-AL70-AL71</f>
        <v>3.40025085324474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92.4315840445423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4.99136593124933</v>
      </c>
      <c r="AB74" s="13" t="n">
        <f aca="false">Waterfall!AB28*AB73/(AB31+AB45+AB59+AB73+AB87+Inputs!$F$253)+Waterfall!AB29</f>
        <v>5.8658789008668</v>
      </c>
      <c r="AC74" s="13" t="n">
        <f aca="false">Waterfall!AC28*AC73/(AC31+AC45+AC59+AC73+AC87+Inputs!$F$253)+Waterfall!AC29</f>
        <v>5.33545246975903</v>
      </c>
      <c r="AD74" s="13" t="n">
        <f aca="false">Waterfall!AD28*AD73/(AD31+AD45+AD59+AD73+AD87+Inputs!$F$253)+Waterfall!AD29</f>
        <v>5.89598084009812</v>
      </c>
      <c r="AE74" s="13" t="n">
        <f aca="false">Waterfall!AE28*AE73/(AE31+AE45+AE59+AE73+AE87+Inputs!$F$253)+Waterfall!AE29</f>
        <v>6.84605001270899</v>
      </c>
      <c r="AF74" s="13" t="n">
        <f aca="false">Waterfall!AF28*AF73/(AF31+AF45+AF59+AF73+AF87+Inputs!$F$253)+Waterfall!AF29</f>
        <v>8.04821189233877</v>
      </c>
      <c r="AG74" s="13" t="n">
        <f aca="false">Waterfall!AG28*AG73/(AG31+AG45+AG59+AG73+AG87+Inputs!$F$253)+Waterfall!AG29</f>
        <v>8.11248920051779</v>
      </c>
      <c r="AH74" s="13" t="n">
        <f aca="false">Waterfall!AH28*AH73/(AH31+AH45+AH59+AH73+AH87+Inputs!$F$253)+Waterfall!AH29</f>
        <v>9.30765411368636</v>
      </c>
      <c r="AI74" s="13" t="n">
        <f aca="false">Waterfall!AI28*AI73/(AI31+AI45+AI59+AI73+AI87+Inputs!$F$253)+Waterfall!AI29</f>
        <v>9.98126104152171</v>
      </c>
      <c r="AJ74" s="13" t="n">
        <f aca="false">Waterfall!AJ28*AJ73/(AJ31+AJ45+AJ59+AJ73+AJ87+Inputs!$F$253)+Waterfall!AJ29</f>
        <v>11.6207767912926</v>
      </c>
      <c r="AK74" s="13" t="n">
        <f aca="false">Waterfall!AK28*AK73/(AK31+AK45+AK59+AK73+AK87+Inputs!$F$253)+Waterfall!AK29</f>
        <v>13.0262119972581</v>
      </c>
      <c r="AL74" s="13" t="n">
        <f aca="false">Waterfall!AL28*AL73/(AL31+AL45+AL59+AL73+AL87+Inputs!$F$253)+Waterfall!AL29</f>
        <v>3.40025085324474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248.609970830697</v>
      </c>
      <c r="Q75" s="13" t="n">
        <f aca="false">IF(Time!Q34=1,INDEX(Funding!$J$64:$BJ$64,1,Time!$F$14),Time!Q35*(Q73-Q74))</f>
        <v>243.468349009912</v>
      </c>
      <c r="R75" s="13" t="n">
        <f aca="false">IF(Time!R34=1,INDEX(Funding!$J$64:$BJ$64,1,Time!$F$14),Time!R35*(R73-R74))</f>
        <v>237.892717116089</v>
      </c>
      <c r="S75" s="13" t="n">
        <f aca="false">IF(Time!S34=1,INDEX(Funding!$J$64:$BJ$64,1,Time!$F$14),Time!S35*(S73-S74))</f>
        <v>232.051505613342</v>
      </c>
      <c r="T75" s="13" t="n">
        <f aca="false">IF(Time!T34=1,INDEX(Funding!$J$64:$BJ$64,1,Time!$F$14),Time!T35*(T73-T74))</f>
        <v>225.770822968291</v>
      </c>
      <c r="U75" s="13" t="n">
        <f aca="false">IF(Time!U34=1,INDEX(Funding!$J$64:$BJ$64,1,Time!$F$14),Time!U35*(U73-U74))</f>
        <v>219.174540317388</v>
      </c>
      <c r="V75" s="13" t="n">
        <f aca="false">IF(Time!V34=1,INDEX(Funding!$J$64:$BJ$64,1,Time!$F$14),Time!V35*(V73-V74))</f>
        <v>211.890731893271</v>
      </c>
      <c r="W75" s="13" t="n">
        <f aca="false">IF(Time!W34=1,INDEX(Funding!$J$64:$BJ$64,1,Time!$F$14),Time!W35*(W73-W74))</f>
        <v>204.268384381625</v>
      </c>
      <c r="X75" s="13" t="n">
        <f aca="false">IF(Time!X34=1,INDEX(Funding!$J$64:$BJ$64,1,Time!$F$14),Time!X35*(X73-X74))</f>
        <v>196.99135793135</v>
      </c>
      <c r="Y75" s="13" t="n">
        <f aca="false">IF(Time!Y34=1,INDEX(Funding!$J$64:$BJ$64,1,Time!$F$14),Time!Y35*(Y73-Y74))</f>
        <v>189.735632445741</v>
      </c>
      <c r="Z75" s="13" t="n">
        <f aca="false">IF(Time!Z34=1,INDEX(Funding!$J$64:$BJ$64,1,Time!$F$14),Time!Z35*(Z73-Z74))</f>
        <v>182.022386916092</v>
      </c>
      <c r="AA75" s="13" t="n">
        <f aca="false">IF(Time!AA34=1,INDEX(Funding!$J$64:$BJ$64,1,Time!$F$14),Time!AA35*(AA73-AA74))</f>
        <v>168.980676706786</v>
      </c>
      <c r="AB75" s="13" t="n">
        <f aca="false">IF(Time!AB34=1,INDEX(Funding!$J$64:$BJ$64,1,Time!$F$14),Time!AB35*(AB73-AB74))</f>
        <v>154.738547446078</v>
      </c>
      <c r="AC75" s="13" t="n">
        <f aca="false">IF(Time!AC34=1,INDEX(Funding!$J$64:$BJ$64,1,Time!$F$14),Time!AC35*(AC73-AC74))</f>
        <v>140.940404649156</v>
      </c>
      <c r="AD75" s="13" t="n">
        <f aca="false">IF(Time!AD34=1,INDEX(Funding!$J$64:$BJ$64,1,Time!$F$14),Time!AD35*(AD73-AD74))</f>
        <v>125.790943353659</v>
      </c>
      <c r="AE75" s="13" t="n">
        <f aca="false">IF(Time!AE34=1,INDEX(Funding!$J$64:$BJ$64,1,Time!$F$14),Time!AE35*(AE73-AE74))</f>
        <v>109.56439152462</v>
      </c>
      <c r="AF75" s="13" t="n">
        <f aca="false">IF(Time!AF34=1,INDEX(Funding!$J$64:$BJ$64,1,Time!$F$14),Time!AF35*(AF73-AF74))</f>
        <v>92.256229148424</v>
      </c>
      <c r="AG75" s="13" t="n">
        <f aca="false">IF(Time!AG34=1,INDEX(Funding!$J$64:$BJ$64,1,Time!$F$14),Time!AG35*(AG73-AG74))</f>
        <v>75.4144140634104</v>
      </c>
      <c r="AH75" s="13" t="n">
        <f aca="false">IF(Time!AH34=1,INDEX(Funding!$J$64:$BJ$64,1,Time!$F$14),Time!AH35*(AH73-AH74))</f>
        <v>57.6805938914858</v>
      </c>
      <c r="AI75" s="13" t="n">
        <f aca="false">IF(Time!AI34=1,INDEX(Funding!$J$64:$BJ$64,1,Time!$F$14),Time!AI35*(AI73-AI74))</f>
        <v>40.1487042334491</v>
      </c>
      <c r="AJ75" s="13" t="n">
        <f aca="false">IF(Time!AJ34=1,INDEX(Funding!$J$64:$BJ$64,1,Time!$F$14),Time!AJ35*(AJ73-AJ74))</f>
        <v>22.08598285954</v>
      </c>
      <c r="AK75" s="13" t="n">
        <f aca="false">IF(Time!AK34=1,INDEX(Funding!$J$64:$BJ$64,1,Time!$F$14),Time!AK35*(AK73-AK74))</f>
        <v>4.65280676105367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3.47055717497824E-013</v>
      </c>
      <c r="R77" s="13" t="n">
        <f aca="false">Time!R35*Q89</f>
        <v>3.39878092062478E-013</v>
      </c>
      <c r="S77" s="13" t="n">
        <f aca="false">Time!S35*R89</f>
        <v>3.3209459520212E-013</v>
      </c>
      <c r="T77" s="13" t="n">
        <f aca="false">Time!T35*S89</f>
        <v>3.23940353268987E-013</v>
      </c>
      <c r="U77" s="13" t="n">
        <f aca="false">Time!U35*T89</f>
        <v>3.1517261634166E-013</v>
      </c>
      <c r="V77" s="13" t="n">
        <f aca="false">Time!V35*U89</f>
        <v>3.05964306632366E-013</v>
      </c>
      <c r="W77" s="13" t="n">
        <f aca="false">Time!W35*V89</f>
        <v>2.95796221457414E-013</v>
      </c>
      <c r="X77" s="13" t="n">
        <f aca="false">Time!X35*W89</f>
        <v>2.85155540893265E-013</v>
      </c>
      <c r="Y77" s="13" t="n">
        <f aca="false">Time!Y35*X89</f>
        <v>2.74996923250086E-013</v>
      </c>
      <c r="Z77" s="13" t="n">
        <f aca="false">Time!Z35*Y89</f>
        <v>2.64868041427844E-013</v>
      </c>
      <c r="AA77" s="13" t="n">
        <f aca="false">Time!AA35*Z89</f>
        <v>2.54100468620587E-013</v>
      </c>
      <c r="AB77" s="13" t="n">
        <f aca="false">Time!AB35*AA89</f>
        <v>2.42862311115521E-013</v>
      </c>
      <c r="AC77" s="13" t="n">
        <f aca="false">Time!AC35*AB89</f>
        <v>2.30823801384594E-013</v>
      </c>
      <c r="AD77" s="13" t="n">
        <f aca="false">Time!AD35*AC89</f>
        <v>2.18199989260876E-013</v>
      </c>
      <c r="AE77" s="13" t="n">
        <f aca="false">Time!AE35*AD89</f>
        <v>2.03874009844115E-013</v>
      </c>
      <c r="AF77" s="13" t="n">
        <f aca="false">Time!AF35*AE89</f>
        <v>1.88670685434117E-013</v>
      </c>
      <c r="AG77" s="13" t="n">
        <f aca="false">Time!AG35*AF89</f>
        <v>1.7272498281519E-013</v>
      </c>
      <c r="AH77" s="13" t="n">
        <f aca="false">Time!AH35*AG89</f>
        <v>1.56381667276442E-013</v>
      </c>
      <c r="AI77" s="13" t="n">
        <f aca="false">Time!AI35*AH89</f>
        <v>1.38908908079142E-013</v>
      </c>
      <c r="AJ77" s="13" t="n">
        <f aca="false">Time!AJ35*AI89</f>
        <v>1.2072515673975E-013</v>
      </c>
      <c r="AK77" s="13" t="n">
        <f aca="false">Time!AK35*AJ89</f>
        <v>1.01354549785087E-013</v>
      </c>
      <c r="AL77" s="13" t="n">
        <f aca="false">Time!AL35*AK89</f>
        <v>8.11305975507816E-014</v>
      </c>
      <c r="AM77" s="13" t="n">
        <f aca="false">Time!AM35*AL89</f>
        <v>5.9289886237147E-014</v>
      </c>
      <c r="AN77" s="13" t="n">
        <f aca="false">Time!AN35*AM89</f>
        <v>3.65764090733328E-014</v>
      </c>
      <c r="AO77" s="13" t="n">
        <f aca="false">Time!AO35*AN89</f>
        <v>1.80190116389143E-014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2.15797269510088E-013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1.35708168899937E-014</v>
      </c>
      <c r="R79" s="13" t="n">
        <f aca="false">R77*R14</f>
        <v>1.35104310971881E-014</v>
      </c>
      <c r="S79" s="13" t="n">
        <f aca="false">S77*S14</f>
        <v>1.30036066679326E-014</v>
      </c>
      <c r="T79" s="13" t="n">
        <f aca="false">T77*T14</f>
        <v>1.28945537419898E-014</v>
      </c>
      <c r="U79" s="13" t="n">
        <f aca="false">U77*U14</f>
        <v>1.24091863656814E-014</v>
      </c>
      <c r="V79" s="13" t="n">
        <f aca="false">V77*V14</f>
        <v>1.21790112136035E-014</v>
      </c>
      <c r="W79" s="13" t="n">
        <f aca="false">W77*W14</f>
        <v>1.1582295446127E-014</v>
      </c>
      <c r="X79" s="13" t="n">
        <f aca="false">X77*X14</f>
        <v>1.13507113571034E-014</v>
      </c>
      <c r="Y79" s="13" t="n">
        <f aca="false">Y77*Y14</f>
        <v>1.12287456656461E-014</v>
      </c>
      <c r="Z79" s="13" t="n">
        <f aca="false">Z77*Z14</f>
        <v>1.09944173415558E-014</v>
      </c>
      <c r="AA79" s="13" t="n">
        <f aca="false">AA77*AA14</f>
        <v>1.03754962126151E-014</v>
      </c>
      <c r="AB79" s="13" t="n">
        <f aca="false">AB77*AB14</f>
        <v>1.00809806669946E-014</v>
      </c>
      <c r="AC79" s="13" t="n">
        <f aca="false">AC77*AC14</f>
        <v>9.47712944112995E-015</v>
      </c>
      <c r="AD79" s="13" t="n">
        <f aca="false">AD77*AD14</f>
        <v>9.05727143571078E-015</v>
      </c>
      <c r="AE79" s="13" t="n">
        <f aca="false">AE77*AE14</f>
        <v>8.32463642617969E-015</v>
      </c>
      <c r="AF79" s="13" t="n">
        <f aca="false">AF77*AF14</f>
        <v>7.83153846948795E-015</v>
      </c>
      <c r="AG79" s="13" t="n">
        <f aca="false">AG77*AG14</f>
        <v>7.34222555561604E-015</v>
      </c>
      <c r="AH79" s="13" t="n">
        <f aca="false">AH77*AH14</f>
        <v>6.75768044462168E-015</v>
      </c>
      <c r="AI79" s="13" t="n">
        <f aca="false">AI77*AI14</f>
        <v>5.90476558850004E-015</v>
      </c>
      <c r="AJ79" s="13" t="n">
        <f aca="false">AJ77*AJ14</f>
        <v>5.21686489908012E-015</v>
      </c>
      <c r="AK79" s="13" t="n">
        <f aca="false">AK77*AK14</f>
        <v>4.33220127533619E-015</v>
      </c>
      <c r="AL79" s="13" t="n">
        <f aca="false">AL77*AL14</f>
        <v>3.5058754781033E-015</v>
      </c>
      <c r="AM79" s="13" t="n">
        <f aca="false">AM77*AM14</f>
        <v>2.52030546377721E-015</v>
      </c>
      <c r="AN79" s="13" t="n">
        <f aca="false">AN77*AN14</f>
        <v>1.58056688251321E-015</v>
      </c>
      <c r="AO79" s="13" t="n">
        <f aca="false">AO77*AO14</f>
        <v>7.65955483600975E-016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3.47055717497824E-013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7.17762543534603E-015</v>
      </c>
      <c r="R80" s="13" t="n">
        <f aca="false">Time!R35*(R77-R78)*R19</f>
        <v>7.78349686035811E-015</v>
      </c>
      <c r="S80" s="13" t="n">
        <f aca="false">Time!S35*(S77-S78)*S19</f>
        <v>8.15424193313286E-015</v>
      </c>
      <c r="T80" s="13" t="n">
        <f aca="false">Time!T35*(T77-T78)*T19</f>
        <v>8.76773692732729E-015</v>
      </c>
      <c r="U80" s="13" t="n">
        <f aca="false">Time!U35*(U77-U78)*U19</f>
        <v>9.20830970929398E-015</v>
      </c>
      <c r="V80" s="13" t="n">
        <f aca="false">Time!V35*(V77-V78)*V19</f>
        <v>1.01680851749513E-014</v>
      </c>
      <c r="W80" s="13" t="n">
        <f aca="false">Time!W35*(W77-W78)*W19</f>
        <v>1.06406805641499E-014</v>
      </c>
      <c r="X80" s="13" t="n">
        <f aca="false">Time!X35*(X77-X78)*X19</f>
        <v>1.01586176431784E-014</v>
      </c>
      <c r="Y80" s="13" t="n">
        <f aca="false">Time!Y35*(Y77-Y78)*Y19</f>
        <v>1.01288818222423E-014</v>
      </c>
      <c r="Z80" s="13" t="n">
        <f aca="false">Time!Z35*(Z77-Z78)*Z19</f>
        <v>1.07675728072565E-014</v>
      </c>
      <c r="AA80" s="13" t="n">
        <f aca="false">Time!AA35*(AA77-AA78)*AA19</f>
        <v>1.12381575050666E-014</v>
      </c>
      <c r="AB80" s="13" t="n">
        <f aca="false">Time!AB35*(AB77-AB78)*AB19</f>
        <v>1.20385097309265E-014</v>
      </c>
      <c r="AC80" s="13" t="n">
        <f aca="false">Time!AC35*(AC77-AC78)*AC19</f>
        <v>1.26238121237185E-014</v>
      </c>
      <c r="AD80" s="13" t="n">
        <f aca="false">Time!AD35*(AD77-AD78)*AD19</f>
        <v>1.43259794167606E-014</v>
      </c>
      <c r="AE80" s="13" t="n">
        <f aca="false">Time!AE35*(AE77-AE78)*AE19</f>
        <v>1.52033244099978E-014</v>
      </c>
      <c r="AF80" s="13" t="n">
        <f aca="false">Time!AF35*(AF77-AF78)*AF19</f>
        <v>1.59457026189271E-014</v>
      </c>
      <c r="AG80" s="13" t="n">
        <f aca="false">Time!AG35*(AG77-AG78)*AG19</f>
        <v>1.63433155387481E-014</v>
      </c>
      <c r="AH80" s="13" t="n">
        <f aca="false">Time!AH35*(AH77-AH78)*AH19</f>
        <v>1.74727591973003E-014</v>
      </c>
      <c r="AI80" s="13" t="n">
        <f aca="false">Time!AI35*(AI77-AI78)*AI19</f>
        <v>1.81837513393918E-014</v>
      </c>
      <c r="AJ80" s="13" t="n">
        <f aca="false">Time!AJ35*(AJ77-AJ78)*AJ19</f>
        <v>1.93706069546632E-014</v>
      </c>
      <c r="AK80" s="13" t="n">
        <f aca="false">Time!AK35*(AK77-AK78)*AK19</f>
        <v>2.02239522343055E-014</v>
      </c>
      <c r="AL80" s="13" t="n">
        <f aca="false">Time!AL35*(AL77-AL78)*AL19</f>
        <v>2.18407113136346E-014</v>
      </c>
      <c r="AM80" s="13" t="n">
        <f aca="false">Time!AM35*(AM77-AM78)*AM19</f>
        <v>2.27134771638142E-014</v>
      </c>
      <c r="AN80" s="13" t="n">
        <f aca="false">Time!AN35*(AN77-AN78)*AN19</f>
        <v>1.85573974344185E-014</v>
      </c>
      <c r="AO80" s="13" t="n">
        <f aca="false">Time!AO35*(AO77-AO78)*AO19</f>
        <v>1.80190116389143E-014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3.47055717497824E-013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7.17762543534603E-015</v>
      </c>
      <c r="R83" s="13" t="n">
        <f aca="false">R80-R81+R82</f>
        <v>7.78349686035811E-015</v>
      </c>
      <c r="S83" s="13" t="n">
        <f aca="false">S80-S81+S82</f>
        <v>8.15424193313286E-015</v>
      </c>
      <c r="T83" s="13" t="n">
        <f aca="false">T80-T81+T82</f>
        <v>8.76773692732729E-015</v>
      </c>
      <c r="U83" s="13" t="n">
        <f aca="false">U80-U81+U82</f>
        <v>9.20830970929398E-015</v>
      </c>
      <c r="V83" s="13" t="n">
        <f aca="false">V80-V81+V82</f>
        <v>1.01680851749513E-014</v>
      </c>
      <c r="W83" s="13" t="n">
        <f aca="false">W80-W81+W82</f>
        <v>1.06406805641499E-014</v>
      </c>
      <c r="X83" s="13" t="n">
        <f aca="false">X80-X81+X82</f>
        <v>1.01586176431784E-014</v>
      </c>
      <c r="Y83" s="13" t="n">
        <f aca="false">Y80-Y81+Y82</f>
        <v>1.01288818222423E-014</v>
      </c>
      <c r="Z83" s="13" t="n">
        <f aca="false">Z80-Z81+Z82</f>
        <v>1.07675728072565E-014</v>
      </c>
      <c r="AA83" s="13" t="n">
        <f aca="false">AA80-AA81+AA82</f>
        <v>1.12381575050666E-014</v>
      </c>
      <c r="AB83" s="13" t="n">
        <f aca="false">AB80-AB81+AB82</f>
        <v>1.20385097309265E-014</v>
      </c>
      <c r="AC83" s="13" t="n">
        <f aca="false">AC80-AC81+AC82</f>
        <v>1.26238121237185E-014</v>
      </c>
      <c r="AD83" s="13" t="n">
        <f aca="false">AD80-AD81+AD82</f>
        <v>1.43259794167606E-014</v>
      </c>
      <c r="AE83" s="13" t="n">
        <f aca="false">AE80-AE81+AE82</f>
        <v>1.52033244099978E-014</v>
      </c>
      <c r="AF83" s="13" t="n">
        <f aca="false">AF80-AF81+AF82</f>
        <v>1.59457026189271E-014</v>
      </c>
      <c r="AG83" s="13" t="n">
        <f aca="false">AG80-AG81+AG82</f>
        <v>1.63433155387481E-014</v>
      </c>
      <c r="AH83" s="13" t="n">
        <f aca="false">AH80-AH81+AH82</f>
        <v>1.74727591973003E-014</v>
      </c>
      <c r="AI83" s="13" t="n">
        <f aca="false">AI80-AI81+AI82</f>
        <v>1.81837513393918E-014</v>
      </c>
      <c r="AJ83" s="13" t="n">
        <f aca="false">AJ80-AJ81+AJ82</f>
        <v>1.93706069546632E-014</v>
      </c>
      <c r="AK83" s="13" t="n">
        <f aca="false">AK80-AK81+AK82</f>
        <v>2.02239522343055E-014</v>
      </c>
      <c r="AL83" s="13" t="n">
        <f aca="false">AL80-AL81+AL82</f>
        <v>2.18407113136346E-014</v>
      </c>
      <c r="AM83" s="13" t="n">
        <f aca="false">AM80-AM81+AM82</f>
        <v>2.27134771638142E-014</v>
      </c>
      <c r="AN83" s="13" t="n">
        <f aca="false">AN80-AN81+AN82</f>
        <v>1.85573974344185E-014</v>
      </c>
      <c r="AO83" s="13" t="n">
        <f aca="false">AO80-AO81+AO82</f>
        <v>1.80190116389143E-014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3.39878092062478E-013</v>
      </c>
      <c r="R87" s="13" t="n">
        <f aca="false">R77-R83-R84-R85</f>
        <v>3.3209459520212E-013</v>
      </c>
      <c r="S87" s="13" t="n">
        <f aca="false">S77-S83-S84-S85</f>
        <v>3.23940353268987E-013</v>
      </c>
      <c r="T87" s="13" t="n">
        <f aca="false">T77-T83-T84-T85</f>
        <v>3.1517261634166E-013</v>
      </c>
      <c r="U87" s="13" t="n">
        <f aca="false">U77-U83-U84-U85</f>
        <v>3.05964306632366E-013</v>
      </c>
      <c r="V87" s="13" t="n">
        <f aca="false">V77-V83-V84-V85</f>
        <v>2.95796221457414E-013</v>
      </c>
      <c r="W87" s="13" t="n">
        <f aca="false">W77-W83-W84-W85</f>
        <v>2.85155540893265E-013</v>
      </c>
      <c r="X87" s="13" t="n">
        <f aca="false">X77-X83-X84-X85</f>
        <v>2.74996923250086E-013</v>
      </c>
      <c r="Y87" s="13" t="n">
        <f aca="false">Y77-Y83-Y84-Y85</f>
        <v>2.64868041427844E-013</v>
      </c>
      <c r="Z87" s="13" t="n">
        <f aca="false">Z77-Z83-Z84-Z85</f>
        <v>2.54100468620587E-013</v>
      </c>
      <c r="AA87" s="13" t="n">
        <f aca="false">AA77-AA83-AA84-AA85</f>
        <v>2.42862311115521E-013</v>
      </c>
      <c r="AB87" s="13" t="n">
        <f aca="false">AB77-AB83-AB84-AB85</f>
        <v>2.30823801384594E-013</v>
      </c>
      <c r="AC87" s="13" t="n">
        <f aca="false">AC77-AC83-AC84-AC85</f>
        <v>2.18199989260876E-013</v>
      </c>
      <c r="AD87" s="13" t="n">
        <f aca="false">AD77-AD83-AD84-AD85</f>
        <v>2.03874009844115E-013</v>
      </c>
      <c r="AE87" s="13" t="n">
        <f aca="false">AE77-AE83-AE84-AE85</f>
        <v>1.88670685434117E-013</v>
      </c>
      <c r="AF87" s="13" t="n">
        <f aca="false">AF77-AF83-AF84-AF85</f>
        <v>1.7272498281519E-013</v>
      </c>
      <c r="AG87" s="13" t="n">
        <f aca="false">AG77-AG83-AG84-AG85</f>
        <v>1.56381667276442E-013</v>
      </c>
      <c r="AH87" s="13" t="n">
        <f aca="false">AH77-AH83-AH84-AH85</f>
        <v>1.38908908079142E-013</v>
      </c>
      <c r="AI87" s="13" t="n">
        <f aca="false">AI77-AI83-AI84-AI85</f>
        <v>1.2072515673975E-013</v>
      </c>
      <c r="AJ87" s="13" t="n">
        <f aca="false">AJ77-AJ83-AJ84-AJ85</f>
        <v>1.01354549785087E-013</v>
      </c>
      <c r="AK87" s="13" t="n">
        <f aca="false">AK77-AK83-AK84-AK85</f>
        <v>8.11305975507816E-014</v>
      </c>
      <c r="AL87" s="13" t="n">
        <f aca="false">AL77-AL83-AL84-AL85</f>
        <v>5.9289886237147E-014</v>
      </c>
      <c r="AM87" s="13" t="n">
        <f aca="false">AM77-AM83-AM84-AM85</f>
        <v>3.65764090733328E-014</v>
      </c>
      <c r="AN87" s="13" t="n">
        <f aca="false">AN77-AN83-AN84-AN85</f>
        <v>1.80190116389143E-014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3.47055717497824E-013</v>
      </c>
      <c r="Q89" s="13" t="n">
        <f aca="false">IF(Time!Q34=1,INDEX(Funding!$J$65:$BJ$65,1,Time!$F$14),Time!Q35*(Q87-Q88))</f>
        <v>3.39878092062478E-013</v>
      </c>
      <c r="R89" s="13" t="n">
        <f aca="false">IF(Time!R34=1,INDEX(Funding!$J$65:$BJ$65,1,Time!$F$14),Time!R35*(R87-R88))</f>
        <v>3.3209459520212E-013</v>
      </c>
      <c r="S89" s="13" t="n">
        <f aca="false">IF(Time!S34=1,INDEX(Funding!$J$65:$BJ$65,1,Time!$F$14),Time!S35*(S87-S88))</f>
        <v>3.23940353268987E-013</v>
      </c>
      <c r="T89" s="13" t="n">
        <f aca="false">IF(Time!T34=1,INDEX(Funding!$J$65:$BJ$65,1,Time!$F$14),Time!T35*(T87-T88))</f>
        <v>3.1517261634166E-013</v>
      </c>
      <c r="U89" s="13" t="n">
        <f aca="false">IF(Time!U34=1,INDEX(Funding!$J$65:$BJ$65,1,Time!$F$14),Time!U35*(U87-U88))</f>
        <v>3.05964306632366E-013</v>
      </c>
      <c r="V89" s="13" t="n">
        <f aca="false">IF(Time!V34=1,INDEX(Funding!$J$65:$BJ$65,1,Time!$F$14),Time!V35*(V87-V88))</f>
        <v>2.95796221457414E-013</v>
      </c>
      <c r="W89" s="13" t="n">
        <f aca="false">IF(Time!W34=1,INDEX(Funding!$J$65:$BJ$65,1,Time!$F$14),Time!W35*(W87-W88))</f>
        <v>2.85155540893265E-013</v>
      </c>
      <c r="X89" s="13" t="n">
        <f aca="false">IF(Time!X34=1,INDEX(Funding!$J$65:$BJ$65,1,Time!$F$14),Time!X35*(X87-X88))</f>
        <v>2.74996923250086E-013</v>
      </c>
      <c r="Y89" s="13" t="n">
        <f aca="false">IF(Time!Y34=1,INDEX(Funding!$J$65:$BJ$65,1,Time!$F$14),Time!Y35*(Y87-Y88))</f>
        <v>2.64868041427844E-013</v>
      </c>
      <c r="Z89" s="13" t="n">
        <f aca="false">IF(Time!Z34=1,INDEX(Funding!$J$65:$BJ$65,1,Time!$F$14),Time!Z35*(Z87-Z88))</f>
        <v>2.54100468620587E-013</v>
      </c>
      <c r="AA89" s="13" t="n">
        <f aca="false">IF(Time!AA34=1,INDEX(Funding!$J$65:$BJ$65,1,Time!$F$14),Time!AA35*(AA87-AA88))</f>
        <v>2.42862311115521E-013</v>
      </c>
      <c r="AB89" s="13" t="n">
        <f aca="false">IF(Time!AB34=1,INDEX(Funding!$J$65:$BJ$65,1,Time!$F$14),Time!AB35*(AB87-AB88))</f>
        <v>2.30823801384594E-013</v>
      </c>
      <c r="AC89" s="13" t="n">
        <f aca="false">IF(Time!AC34=1,INDEX(Funding!$J$65:$BJ$65,1,Time!$F$14),Time!AC35*(AC87-AC88))</f>
        <v>2.18199989260876E-013</v>
      </c>
      <c r="AD89" s="13" t="n">
        <f aca="false">IF(Time!AD34=1,INDEX(Funding!$J$65:$BJ$65,1,Time!$F$14),Time!AD35*(AD87-AD88))</f>
        <v>2.03874009844115E-013</v>
      </c>
      <c r="AE89" s="13" t="n">
        <f aca="false">IF(Time!AE34=1,INDEX(Funding!$J$65:$BJ$65,1,Time!$F$14),Time!AE35*(AE87-AE88))</f>
        <v>1.88670685434117E-013</v>
      </c>
      <c r="AF89" s="13" t="n">
        <f aca="false">IF(Time!AF34=1,INDEX(Funding!$J$65:$BJ$65,1,Time!$F$14),Time!AF35*(AF87-AF88))</f>
        <v>1.7272498281519E-013</v>
      </c>
      <c r="AG89" s="13" t="n">
        <f aca="false">IF(Time!AG34=1,INDEX(Funding!$J$65:$BJ$65,1,Time!$F$14),Time!AG35*(AG87-AG88))</f>
        <v>1.56381667276442E-013</v>
      </c>
      <c r="AH89" s="13" t="n">
        <f aca="false">IF(Time!AH34=1,INDEX(Funding!$J$65:$BJ$65,1,Time!$F$14),Time!AH35*(AH87-AH88))</f>
        <v>1.38908908079142E-013</v>
      </c>
      <c r="AI89" s="13" t="n">
        <f aca="false">IF(Time!AI34=1,INDEX(Funding!$J$65:$BJ$65,1,Time!$F$14),Time!AI35*(AI87-AI88))</f>
        <v>1.2072515673975E-013</v>
      </c>
      <c r="AJ89" s="13" t="n">
        <f aca="false">IF(Time!AJ34=1,INDEX(Funding!$J$65:$BJ$65,1,Time!$F$14),Time!AJ35*(AJ87-AJ88))</f>
        <v>1.01354549785087E-013</v>
      </c>
      <c r="AK89" s="13" t="n">
        <f aca="false">IF(Time!AK34=1,INDEX(Funding!$J$65:$BJ$65,1,Time!$F$14),Time!AK35*(AK87-AK88))</f>
        <v>8.11305975507816E-014</v>
      </c>
      <c r="AL89" s="13" t="n">
        <f aca="false">IF(Time!AL34=1,INDEX(Funding!$J$65:$BJ$65,1,Time!$F$14),Time!AL35*(AL87-AL88))</f>
        <v>5.9289886237147E-014</v>
      </c>
      <c r="AM89" s="13" t="n">
        <f aca="false">IF(Time!AM34=1,INDEX(Funding!$J$65:$BJ$65,1,Time!$F$14),Time!AM35*(AM87-AM88))</f>
        <v>3.65764090733328E-014</v>
      </c>
      <c r="AN89" s="13" t="n">
        <f aca="false">IF(Time!AN34=1,INDEX(Funding!$J$65:$BJ$65,1,Time!$F$14),Time!AN35*(AN87-AN88))</f>
        <v>1.80190116389143E-014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-7.76383190655704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17.5188733909803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1.27598216124846</v>
      </c>
      <c r="R108" s="13" t="n">
        <f aca="false">(Inputs!$F$95/100*Inputs!$F$96/100)*R63*Time!R25/Inputs!$F$248</f>
        <v>1.27030444891637</v>
      </c>
      <c r="S108" s="13" t="n">
        <f aca="false">(Inputs!$F$95/100*Inputs!$F$96/100)*S63*Time!S25/Inputs!$F$248</f>
        <v>1.22097622358747</v>
      </c>
      <c r="T108" s="13" t="n">
        <f aca="false">(Inputs!$F$95/100*Inputs!$F$96/100)*T63*Time!T25/Inputs!$F$248</f>
        <v>1.21073667750698</v>
      </c>
      <c r="U108" s="13" t="n">
        <f aca="false">(Inputs!$F$95/100*Inputs!$F$96/100)*U63*Time!U25/Inputs!$F$248</f>
        <v>1.16516301157636</v>
      </c>
      <c r="V108" s="13" t="n">
        <f aca="false">(Inputs!$F$95/100*Inputs!$F$96/100)*V63*Time!V25/Inputs!$F$248</f>
        <v>1.14355067008338</v>
      </c>
      <c r="W108" s="13" t="n">
        <f aca="false">(Inputs!$F$95/100*Inputs!$F$96/100)*W63*Time!W25/Inputs!$F$248</f>
        <v>1.0875219249103</v>
      </c>
      <c r="X108" s="13" t="n">
        <f aca="false">(Inputs!$F$95/100*Inputs!$F$96/100)*X63*Time!X25/Inputs!$F$248</f>
        <v>1.06577729100374</v>
      </c>
      <c r="Y108" s="13" t="n">
        <f aca="false">(Inputs!$F$95/100*Inputs!$F$96/100)*Y63*Time!Y25/Inputs!$F$248</f>
        <v>1.01105139830327</v>
      </c>
      <c r="Z108" s="13" t="n">
        <f aca="false">(Inputs!$F$95/100*Inputs!$F$96/100)*Z63*Time!Z25/Inputs!$F$248</f>
        <v>0.989952160081287</v>
      </c>
      <c r="AA108" s="13" t="n">
        <f aca="false">(Inputs!$F$95/100*Inputs!$F$96/100)*AA63*Time!AA25/Inputs!$F$248</f>
        <v>0.934223667203453</v>
      </c>
      <c r="AB108" s="13" t="n">
        <f aca="false">(Inputs!$F$95/100*Inputs!$F$96/100)*AB63*Time!AB25/Inputs!$F$248</f>
        <v>0.881662467727131</v>
      </c>
      <c r="AC108" s="13" t="n">
        <f aca="false">(Inputs!$F$95/100*Inputs!$F$96/100)*AC63*Time!AC25/Inputs!$F$248</f>
        <v>0.798578087189527</v>
      </c>
      <c r="AD108" s="13" t="n">
        <f aca="false">(Inputs!$F$95/100*Inputs!$F$96/100)*AD63*Time!AD25/Inputs!$F$248</f>
        <v>0.735361387983159</v>
      </c>
      <c r="AE108" s="13" t="n">
        <f aca="false">(Inputs!$F$95/100*Inputs!$F$96/100)*AE63*Time!AE25/Inputs!$F$248</f>
        <v>0.645617708853638</v>
      </c>
      <c r="AF108" s="13" t="n">
        <f aca="false">(Inputs!$F$95/100*Inputs!$F$96/100)*AF63*Time!AF25/Inputs!$F$248</f>
        <v>0.571655964984893</v>
      </c>
      <c r="AG108" s="13" t="n">
        <f aca="false">(Inputs!$F$95/100*Inputs!$F$96/100)*AG63*Time!AG25/Inputs!$F$248</f>
        <v>0.473501936644384</v>
      </c>
      <c r="AH108" s="13" t="n">
        <f aca="false">(Inputs!$F$95/100*Inputs!$F$96/100)*AH63*Time!AH25/Inputs!$F$248</f>
        <v>0.393477288061257</v>
      </c>
      <c r="AI108" s="13" t="n">
        <f aca="false">(Inputs!$F$95/100*Inputs!$F$96/100)*AI63*Time!AI25/Inputs!$F$248</f>
        <v>0.296043672785246</v>
      </c>
      <c r="AJ108" s="13" t="n">
        <f aca="false">(Inputs!$F$95/100*Inputs!$F$96/100)*AJ63*Time!AJ25/Inputs!$F$248</f>
        <v>0.209477239293645</v>
      </c>
      <c r="AK108" s="13" t="n">
        <f aca="false">(Inputs!$F$95/100*Inputs!$F$96/100)*AK63*Time!AK25/Inputs!$F$248</f>
        <v>0.11398182441785</v>
      </c>
      <c r="AL108" s="13" t="n">
        <f aca="false">(Inputs!$F$95/100*Inputs!$F$96/100)*AL63*Time!AL25/Inputs!$F$248</f>
        <v>0.0242761786184948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309.339591688686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21.4479969373655</v>
      </c>
      <c r="R111" s="13" t="n">
        <f aca="false">R23+R37+R51+R65+R79+R92</f>
        <v>21.266127079494</v>
      </c>
      <c r="S111" s="13" t="n">
        <f aca="false">S23+S37+S51+S65+S79+S92</f>
        <v>20.3934775878412</v>
      </c>
      <c r="T111" s="13" t="n">
        <f aca="false">T23+T37+T51+T65+T79+T92</f>
        <v>20.1443801444655</v>
      </c>
      <c r="U111" s="13" t="n">
        <f aca="false">U23+U37+U51+U65+U79+U92</f>
        <v>19.31434644483</v>
      </c>
      <c r="V111" s="13" t="n">
        <f aca="false">V23+V37+V51+V65+V79+V92</f>
        <v>18.8867734410245</v>
      </c>
      <c r="W111" s="13" t="n">
        <f aca="false">W23+W37+W51+W65+W79+W92</f>
        <v>17.9022399771012</v>
      </c>
      <c r="X111" s="13" t="n">
        <f aca="false">X23+X37+X51+X65+X79+X92</f>
        <v>17.4875192366004</v>
      </c>
      <c r="Y111" s="13" t="n">
        <f aca="false">Y23+Y37+Y51+Y65+Y79+Y92</f>
        <v>17.0765036029423</v>
      </c>
      <c r="Z111" s="13" t="n">
        <f aca="false">Z23+Z37+Z51+Z65+Z79+Z92</f>
        <v>16.6530859700231</v>
      </c>
      <c r="AA111" s="13" t="n">
        <f aca="false">AA23+AA37+AA51+AA65+AA79+AA92</f>
        <v>15.6539385374883</v>
      </c>
      <c r="AB111" s="13" t="n">
        <f aca="false">AB23+AB37+AB51+AB65+AB79+AB92</f>
        <v>14.9303865057595</v>
      </c>
      <c r="AC111" s="13" t="n">
        <f aca="false">AC23+AC37+AC51+AC65+AC79+AC92</f>
        <v>13.7273846524187</v>
      </c>
      <c r="AD111" s="13" t="n">
        <f aca="false">AD23+AD37+AD51+AD65+AD79+AD92</f>
        <v>12.8334726357939</v>
      </c>
      <c r="AE111" s="13" t="n">
        <f aca="false">AE23+AE37+AE51+AE65+AE79+AE92</f>
        <v>11.5036773558422</v>
      </c>
      <c r="AF111" s="13" t="n">
        <f aca="false">AF23+AF37+AF51+AF65+AF79+AF92</f>
        <v>10.4898959743077</v>
      </c>
      <c r="AG111" s="13" t="n">
        <f aca="false">AG23+AG37+AG51+AG65+AG79+AG92</f>
        <v>9.33002970728414</v>
      </c>
      <c r="AH111" s="13" t="n">
        <f aca="false">AH23+AH37+AH51+AH65+AH79+AH92</f>
        <v>8.18190351729333</v>
      </c>
      <c r="AI111" s="13" t="n">
        <f aca="false">AI23+AI37+AI51+AI65+AI79+AI92</f>
        <v>6.70309177749347</v>
      </c>
      <c r="AJ111" s="13" t="n">
        <f aca="false">AJ23+AJ37+AJ51+AJ65+AJ79+AJ92</f>
        <v>5.44123894626116</v>
      </c>
      <c r="AK111" s="13" t="n">
        <f aca="false">AK23+AK37+AK51+AK65+AK79+AK92</f>
        <v>3.97533253268887</v>
      </c>
      <c r="AL111" s="13" t="n">
        <f aca="false">AL23+AL37+AL51+AL65+AL79+AL92</f>
        <v>2.60857764576915</v>
      </c>
      <c r="AM111" s="13" t="n">
        <f aca="false">AM23+AM37+AM51+AM65+AM79+AM92</f>
        <v>1.73266854534025</v>
      </c>
      <c r="AN111" s="13" t="n">
        <f aca="false">AN23+AN37+AN51+AN65+AN79+AN92</f>
        <v>1.11338866652975</v>
      </c>
      <c r="AO111" s="13" t="n">
        <f aca="false">AO23+AO37+AO51+AO65+AO79+AO92</f>
        <v>0.54215426672801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319.094633173109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22.280967106413</v>
      </c>
      <c r="R112" s="13" t="n">
        <f aca="false">R111+R107+R108+R109</f>
        <v>21.9811007858316</v>
      </c>
      <c r="S112" s="13" t="n">
        <f aca="false">S111+S107+S108+S109</f>
        <v>21.1719981351569</v>
      </c>
      <c r="T112" s="13" t="n">
        <f aca="false">T111+T107+T108+T109</f>
        <v>20.808678961733</v>
      </c>
      <c r="U112" s="13" t="n">
        <f aca="false">U111+U107+U108+U109</f>
        <v>20.0263582200978</v>
      </c>
      <c r="V112" s="13" t="n">
        <f aca="false">V111+V107+V108+V109</f>
        <v>19.5196989937097</v>
      </c>
      <c r="W112" s="13" t="n">
        <f aca="false">W111+W107+W108+W109</f>
        <v>18.6038909211825</v>
      </c>
      <c r="X112" s="13" t="n">
        <f aca="false">X111+X107+X108+X109</f>
        <v>18.0819070529825</v>
      </c>
      <c r="Y112" s="13" t="n">
        <f aca="false">Y111+Y107+Y108+Y109</f>
        <v>17.7324914753873</v>
      </c>
      <c r="Z112" s="13" t="n">
        <f aca="false">Z111+Z107+Z108+Z109</f>
        <v>17.2102544291371</v>
      </c>
      <c r="AA112" s="13" t="n">
        <f aca="false">AA111+AA107+AA108+AA109</f>
        <v>16.2639983408064</v>
      </c>
      <c r="AB112" s="13" t="n">
        <f aca="false">AB111+AB107+AB108+AB109</f>
        <v>15.4199472605959</v>
      </c>
      <c r="AC112" s="13" t="n">
        <f aca="false">AC111+AC107+AC108+AC109</f>
        <v>14.2084561423947</v>
      </c>
      <c r="AD112" s="13" t="n">
        <f aca="false">AD111+AD107+AD108+AD109</f>
        <v>13.2206243761675</v>
      </c>
      <c r="AE112" s="13" t="n">
        <f aca="false">AE111+AE107+AE108+AE109</f>
        <v>11.8949344456671</v>
      </c>
      <c r="AF112" s="13" t="n">
        <f aca="false">AF111+AF107+AF108+AF109</f>
        <v>10.7631153468099</v>
      </c>
      <c r="AG112" s="13" t="n">
        <f aca="false">AG111+AG107+AG108+AG109</f>
        <v>9.58980096455059</v>
      </c>
      <c r="AH112" s="13" t="n">
        <f aca="false">AH111+AH107+AH108+AH109</f>
        <v>8.33005195303548</v>
      </c>
      <c r="AI112" s="13" t="n">
        <f aca="false">AI111+AI107+AI108+AI109</f>
        <v>6.82856589138696</v>
      </c>
      <c r="AJ112" s="13" t="n">
        <f aca="false">AJ111+AJ107+AJ108+AJ109</f>
        <v>5.46256416356642</v>
      </c>
      <c r="AK112" s="13" t="n">
        <f aca="false">AK111+AK107+AK108+AK109</f>
        <v>3.95417398979995</v>
      </c>
      <c r="AL112" s="13" t="n">
        <f aca="false">AL111+AL107+AL108+AL109</f>
        <v>2.50663715130848</v>
      </c>
      <c r="AM112" s="13" t="n">
        <f aca="false">AM111+AM107+AM108+AM109</f>
        <v>1.65979745497665</v>
      </c>
      <c r="AN112" s="13" t="n">
        <f aca="false">AN111+AN107+AN108+AN109</f>
        <v>1.05510028206056</v>
      </c>
      <c r="AO112" s="13" t="n">
        <f aca="false">AO111+AO107+AO108+AO109</f>
        <v>0.519519328351556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561.805181299398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17.322249801363</v>
      </c>
      <c r="R113" s="13" t="n">
        <f aca="false">R27+R41+R55+R69+R83+R93</f>
        <v>18.1217420411694</v>
      </c>
      <c r="S113" s="13" t="n">
        <f aca="false">S27+S41+S55+S69+S83+S93</f>
        <v>18.6109676365571</v>
      </c>
      <c r="T113" s="13" t="n">
        <f aca="false">T27+T41+T55+T69+T83+T93</f>
        <v>19.4205197407989</v>
      </c>
      <c r="U113" s="13" t="n">
        <f aca="false">U27+U41+U55+U69+U83+U93</f>
        <v>20.0018881726329</v>
      </c>
      <c r="V113" s="13" t="n">
        <f aca="false">V27+V41+V55+V69+V83+V93</f>
        <v>21.2683830180273</v>
      </c>
      <c r="W113" s="13" t="n">
        <f aca="false">W27+W41+W55+W69+W83+W93</f>
        <v>21.892007652949</v>
      </c>
      <c r="X113" s="13" t="n">
        <f aca="false">X27+X41+X55+X69+X83+X93</f>
        <v>21.2558899083178</v>
      </c>
      <c r="Y113" s="13" t="n">
        <f aca="false">Y27+Y41+Y55+Y69+Y83+Y93</f>
        <v>21.2166512891963</v>
      </c>
      <c r="Z113" s="13" t="n">
        <f aca="false">Z27+Z41+Z55+Z69+Z83+Z93</f>
        <v>22.059451370324</v>
      </c>
      <c r="AA113" s="13" t="n">
        <f aca="false">AA27+AA41+AA55+AA69+AA83+AA93</f>
        <v>22.6804227489681</v>
      </c>
      <c r="AB113" s="13" t="n">
        <f aca="false">AB27+AB41+AB55+AB69+AB83+AB93</f>
        <v>23.4891284044073</v>
      </c>
      <c r="AC113" s="13" t="n">
        <f aca="false">AC27+AC41+AC55+AC69+AC83+AC93</f>
        <v>23.9286426015103</v>
      </c>
      <c r="AD113" s="13" t="n">
        <f aca="false">AD27+AD41+AD55+AD69+AD83+AD93</f>
        <v>25.7462376998788</v>
      </c>
      <c r="AE113" s="13" t="n">
        <f aca="false">AE27+AE41+AE55+AE69+AE83+AE93</f>
        <v>26.4025032797893</v>
      </c>
      <c r="AF113" s="13" t="n">
        <f aca="false">AF27+AF41+AF55+AF69+AF83+AF93</f>
        <v>26.7297796301542</v>
      </c>
      <c r="AG113" s="13" t="n">
        <f aca="false">AG27+AG41+AG55+AG69+AG83+AG93</f>
        <v>26.4390086127119</v>
      </c>
      <c r="AH113" s="13" t="n">
        <f aca="false">AH27+AH41+AH55+AH69+AH83+AH93</f>
        <v>26.8171674599048</v>
      </c>
      <c r="AI113" s="13" t="n">
        <f aca="false">AI27+AI41+AI55+AI69+AI83+AI93</f>
        <v>26.3705245623365</v>
      </c>
      <c r="AJ113" s="13" t="n">
        <f aca="false">AJ27+AJ41+AJ55+AJ69+AJ83+AJ93</f>
        <v>25.9777920389459</v>
      </c>
      <c r="AK113" s="13" t="n">
        <f aca="false">AK27+AK41+AK55+AK69+AK83+AK93</f>
        <v>24.4575783363328</v>
      </c>
      <c r="AL113" s="13" t="n">
        <f aca="false">AL27+AL41+AL55+AL69+AL83+AL93</f>
        <v>22.278453985429</v>
      </c>
      <c r="AM113" s="13" t="n">
        <f aca="false">AM27+AM41+AM55+AM69+AM83+AM93</f>
        <v>21.5523800023931</v>
      </c>
      <c r="AN113" s="13" t="n">
        <f aca="false">AN27+AN41+AN55+AN69+AN83+AN93</f>
        <v>19.0452919271756</v>
      </c>
      <c r="AO113" s="13" t="n">
        <f aca="false">AO27+AO41+AO55+AO69+AO83+AO93</f>
        <v>18.7205193781246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880.899814472508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39.603216907776</v>
      </c>
      <c r="R114" s="13" t="n">
        <f aca="false">R112+R113</f>
        <v>40.102842827001</v>
      </c>
      <c r="S114" s="13" t="n">
        <f aca="false">S112+S113</f>
        <v>39.782965771714</v>
      </c>
      <c r="T114" s="13" t="n">
        <f aca="false">T112+T113</f>
        <v>40.2291987025319</v>
      </c>
      <c r="U114" s="13" t="n">
        <f aca="false">U112+U113</f>
        <v>40.0282463927307</v>
      </c>
      <c r="V114" s="13" t="n">
        <f aca="false">V112+V113</f>
        <v>40.788082011737</v>
      </c>
      <c r="W114" s="13" t="n">
        <f aca="false">W112+W113</f>
        <v>40.4958985741315</v>
      </c>
      <c r="X114" s="13" t="n">
        <f aca="false">X112+X113</f>
        <v>39.3377969613003</v>
      </c>
      <c r="Y114" s="13" t="n">
        <f aca="false">Y112+Y113</f>
        <v>38.9491427645836</v>
      </c>
      <c r="Z114" s="13" t="n">
        <f aca="false">Z112+Z113</f>
        <v>39.2697057994611</v>
      </c>
      <c r="AA114" s="13" t="n">
        <f aca="false">AA112+AA113</f>
        <v>38.9444210897746</v>
      </c>
      <c r="AB114" s="13" t="n">
        <f aca="false">AB112+AB113</f>
        <v>38.9090756650031</v>
      </c>
      <c r="AC114" s="13" t="n">
        <f aca="false">AC112+AC113</f>
        <v>38.137098743905</v>
      </c>
      <c r="AD114" s="13" t="n">
        <f aca="false">AD112+AD113</f>
        <v>38.9668620760463</v>
      </c>
      <c r="AE114" s="13" t="n">
        <f aca="false">AE112+AE113</f>
        <v>38.2974377254564</v>
      </c>
      <c r="AF114" s="13" t="n">
        <f aca="false">AF112+AF113</f>
        <v>37.4928949769641</v>
      </c>
      <c r="AG114" s="13" t="n">
        <f aca="false">AG112+AG113</f>
        <v>36.0288095772625</v>
      </c>
      <c r="AH114" s="13" t="n">
        <f aca="false">AH112+AH113</f>
        <v>35.1472194129403</v>
      </c>
      <c r="AI114" s="13" t="n">
        <f aca="false">AI112+AI113</f>
        <v>33.1990904537234</v>
      </c>
      <c r="AJ114" s="13" t="n">
        <f aca="false">AJ112+AJ113</f>
        <v>31.4403562025123</v>
      </c>
      <c r="AK114" s="13" t="n">
        <f aca="false">AK112+AK113</f>
        <v>28.4117523261328</v>
      </c>
      <c r="AL114" s="13" t="n">
        <f aca="false">AL112+AL113</f>
        <v>24.7850911367375</v>
      </c>
      <c r="AM114" s="13" t="n">
        <f aca="false">AM112+AM113</f>
        <v>23.2121774573697</v>
      </c>
      <c r="AN114" s="13" t="n">
        <f aca="false">AN112+AN113</f>
        <v>20.1003922092362</v>
      </c>
      <c r="AO114" s="13" t="n">
        <f aca="false">AO112+AO113</f>
        <v>19.2400387064762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654.23676534394</v>
      </c>
      <c r="R115" s="13" t="n">
        <f aca="false">R21+R35+R49+R63+R77+R91</f>
        <v>636.914515542577</v>
      </c>
      <c r="S115" s="13" t="n">
        <f aca="false">S21+S35+S49+S63+S77+S91</f>
        <v>618.792773501408</v>
      </c>
      <c r="T115" s="13" t="n">
        <f aca="false">T21+T35+T49+T63+T77+T91</f>
        <v>600.181805864851</v>
      </c>
      <c r="U115" s="13" t="n">
        <f aca="false">U21+U35+U49+U63+U77+U91</f>
        <v>580.761286124052</v>
      </c>
      <c r="V115" s="13" t="n">
        <f aca="false">V21+V35+V49+V63+V77+V91</f>
        <v>560.759397951419</v>
      </c>
      <c r="W115" s="13" t="n">
        <f aca="false">W21+W35+W49+W63+W77+W91</f>
        <v>539.491014933392</v>
      </c>
      <c r="X115" s="13" t="n">
        <f aca="false">X21+X35+X49+X63+X77+X91</f>
        <v>517.599007280443</v>
      </c>
      <c r="Y115" s="13" t="n">
        <f aca="false">Y21+Y35+Y49+Y63+Y77+Y91</f>
        <v>496.343117372125</v>
      </c>
      <c r="Z115" s="13" t="n">
        <f aca="false">Z21+Z35+Z49+Z63+Z77+Z91</f>
        <v>475.126466082929</v>
      </c>
      <c r="AA115" s="13" t="n">
        <f aca="false">AA21+AA35+AA49+AA63+AA77+AA91</f>
        <v>453.067014712605</v>
      </c>
      <c r="AB115" s="13" t="n">
        <f aca="false">AB21+AB35+AB49+AB63+AB77+AB91</f>
        <v>425.395226032387</v>
      </c>
      <c r="AC115" s="13" t="n">
        <f aca="false">AC21+AC35+AC49+AC63+AC77+AC91</f>
        <v>396.040218727113</v>
      </c>
      <c r="AD115" s="13" t="n">
        <f aca="false">AD21+AD35+AD49+AD63+AD77+AD91</f>
        <v>366.776123655844</v>
      </c>
      <c r="AE115" s="13" t="n">
        <f aca="false">AE21+AE35+AE49+AE63+AE77+AE91</f>
        <v>335.133905115867</v>
      </c>
      <c r="AF115" s="13" t="n">
        <f aca="false">AF21+AF35+AF49+AF63+AF77+AF91</f>
        <v>301.885351823368</v>
      </c>
      <c r="AG115" s="13" t="n">
        <f aca="false">AG21+AG35+AG49+AG63+AG77+AG91</f>
        <v>267.107360300876</v>
      </c>
      <c r="AH115" s="13" t="n">
        <f aca="false">AH21+AH35+AH49+AH63+AH77+AH91</f>
        <v>232.555862487646</v>
      </c>
      <c r="AI115" s="13" t="n">
        <f aca="false">AI21+AI35+AI49+AI63+AI77+AI91</f>
        <v>196.431040914055</v>
      </c>
      <c r="AJ115" s="13" t="n">
        <f aca="false">AJ21+AJ35+AJ49+AJ63+AJ77+AJ91</f>
        <v>160.079255310196</v>
      </c>
      <c r="AK115" s="13" t="n">
        <f aca="false">AK21+AK35+AK49+AK63+AK77+AK91</f>
        <v>122.480686479958</v>
      </c>
      <c r="AL115" s="13" t="n">
        <f aca="false">AL21+AL35+AL49+AL63+AL77+AL91</f>
        <v>84.9968961463671</v>
      </c>
      <c r="AM115" s="13" t="n">
        <f aca="false">AM21+AM35+AM49+AM63+AM77+AM91</f>
        <v>59.3181913076933</v>
      </c>
      <c r="AN115" s="13" t="n">
        <f aca="false">AN21+AN35+AN49+AN63+AN77+AN91</f>
        <v>37.7658113053003</v>
      </c>
      <c r="AO115" s="13" t="n">
        <f aca="false">AO21+AO35+AO49+AO63+AO77+AO91</f>
        <v>18.7205193781246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654.23676534394</v>
      </c>
      <c r="Q116" s="13" t="n">
        <f aca="false">Q33+Q47+Q61+Q75+Q89+Q95</f>
        <v>636.914515542577</v>
      </c>
      <c r="R116" s="13" t="n">
        <f aca="false">R33+R47+R61+R75+R89+R95</f>
        <v>618.792773501408</v>
      </c>
      <c r="S116" s="13" t="n">
        <f aca="false">S33+S47+S61+S75+S89+S95</f>
        <v>600.181805864851</v>
      </c>
      <c r="T116" s="13" t="n">
        <f aca="false">T33+T47+T61+T75+T89+T95</f>
        <v>580.761286124052</v>
      </c>
      <c r="U116" s="13" t="n">
        <f aca="false">U33+U47+U61+U75+U89+U95</f>
        <v>560.759397951419</v>
      </c>
      <c r="V116" s="13" t="n">
        <f aca="false">V33+V47+V61+V75+V89+V95</f>
        <v>539.491014933392</v>
      </c>
      <c r="W116" s="13" t="n">
        <f aca="false">W33+W47+W61+W75+W89+W95</f>
        <v>517.599007280443</v>
      </c>
      <c r="X116" s="13" t="n">
        <f aca="false">X33+X47+X61+X75+X89+X95</f>
        <v>496.343117372125</v>
      </c>
      <c r="Y116" s="13" t="n">
        <f aca="false">Y33+Y47+Y61+Y75+Y89+Y95</f>
        <v>475.126466082929</v>
      </c>
      <c r="Z116" s="13" t="n">
        <f aca="false">Z33+Z47+Z61+Z75+Z89+Z95</f>
        <v>453.067014712605</v>
      </c>
      <c r="AA116" s="13" t="n">
        <f aca="false">AA33+AA47+AA61+AA75+AA89+AA95</f>
        <v>425.395226032387</v>
      </c>
      <c r="AB116" s="13" t="n">
        <f aca="false">AB33+AB47+AB61+AB75+AB89+AB95</f>
        <v>396.040218727113</v>
      </c>
      <c r="AC116" s="13" t="n">
        <f aca="false">AC33+AC47+AC61+AC75+AC89+AC95</f>
        <v>366.776123655844</v>
      </c>
      <c r="AD116" s="13" t="n">
        <f aca="false">AD33+AD47+AD61+AD75+AD89+AD95</f>
        <v>335.133905115867</v>
      </c>
      <c r="AE116" s="13" t="n">
        <f aca="false">AE33+AE47+AE61+AE75+AE89+AE95</f>
        <v>301.885351823368</v>
      </c>
      <c r="AF116" s="13" t="n">
        <f aca="false">AF33+AF47+AF61+AF75+AF89+AF95</f>
        <v>267.107360300876</v>
      </c>
      <c r="AG116" s="13" t="n">
        <f aca="false">AG33+AG47+AG61+AG75+AG89+AG95</f>
        <v>232.555862487646</v>
      </c>
      <c r="AH116" s="13" t="n">
        <f aca="false">AH33+AH47+AH61+AH75+AH89+AH95</f>
        <v>196.431040914055</v>
      </c>
      <c r="AI116" s="13" t="n">
        <f aca="false">AI33+AI47+AI61+AI75+AI89+AI95</f>
        <v>160.079255310196</v>
      </c>
      <c r="AJ116" s="13" t="n">
        <f aca="false">AJ33+AJ47+AJ61+AJ75+AJ89+AJ95</f>
        <v>122.480686479958</v>
      </c>
      <c r="AK116" s="13" t="n">
        <f aca="false">AK33+AK47+AK61+AK75+AK89+AK95</f>
        <v>84.9968961463671</v>
      </c>
      <c r="AL116" s="13" t="n">
        <f aca="false">AL33+AL47+AL61+AL75+AL89+AL95</f>
        <v>59.3181913076933</v>
      </c>
      <c r="AM116" s="13" t="n">
        <f aca="false">AM33+AM47+AM61+AM75+AM89+AM95</f>
        <v>37.7658113053003</v>
      </c>
      <c r="AN116" s="13" t="n">
        <f aca="false">AN33+AN47+AN61+AN75+AN89+AN95</f>
        <v>18.7205193781246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248.609970830697</v>
      </c>
      <c r="Q118" s="13" t="n">
        <f aca="false">IF(Time!Q34=1,Q75,Q73)</f>
        <v>243.468349009912</v>
      </c>
      <c r="R118" s="13" t="n">
        <f aca="false">IF(Time!R34=1,R75,R73)</f>
        <v>237.892717116089</v>
      </c>
      <c r="S118" s="13" t="n">
        <f aca="false">IF(Time!S34=1,S75,S73)</f>
        <v>232.051505613342</v>
      </c>
      <c r="T118" s="13" t="n">
        <f aca="false">IF(Time!T34=1,T75,T73)</f>
        <v>225.770822968291</v>
      </c>
      <c r="U118" s="13" t="n">
        <f aca="false">IF(Time!U34=1,U75,U73)</f>
        <v>219.174540317388</v>
      </c>
      <c r="V118" s="13" t="n">
        <f aca="false">IF(Time!V34=1,V75,V73)</f>
        <v>211.890731893271</v>
      </c>
      <c r="W118" s="13" t="n">
        <f aca="false">IF(Time!W34=1,W75,W73)</f>
        <v>204.268384381625</v>
      </c>
      <c r="X118" s="13" t="n">
        <f aca="false">IF(Time!X34=1,X75,X73)</f>
        <v>196.99135793135</v>
      </c>
      <c r="Y118" s="13" t="n">
        <f aca="false">IF(Time!Y34=1,Y75,Y73)</f>
        <v>189.735632445741</v>
      </c>
      <c r="Z118" s="13" t="n">
        <f aca="false">IF(Time!Z34=1,Z75,Z73)</f>
        <v>182.022386916092</v>
      </c>
      <c r="AA118" s="13" t="n">
        <f aca="false">IF(Time!AA34=1,AA75,AA73)</f>
        <v>173.972042638035</v>
      </c>
      <c r="AB118" s="13" t="n">
        <f aca="false">IF(Time!AB34=1,AB75,AB73)</f>
        <v>160.604426346945</v>
      </c>
      <c r="AC118" s="13" t="n">
        <f aca="false">IF(Time!AC34=1,AC75,AC73)</f>
        <v>146.275857118915</v>
      </c>
      <c r="AD118" s="13" t="n">
        <f aca="false">IF(Time!AD34=1,AD75,AD73)</f>
        <v>131.686924193757</v>
      </c>
      <c r="AE118" s="13" t="n">
        <f aca="false">IF(Time!AE34=1,AE75,AE73)</f>
        <v>116.410441537329</v>
      </c>
      <c r="AF118" s="13" t="n">
        <f aca="false">IF(Time!AF34=1,AF75,AF73)</f>
        <v>100.304441040763</v>
      </c>
      <c r="AG118" s="13" t="n">
        <f aca="false">IF(Time!AG34=1,AG75,AG73)</f>
        <v>83.5269032639282</v>
      </c>
      <c r="AH118" s="13" t="n">
        <f aca="false">IF(Time!AH34=1,AH75,AH73)</f>
        <v>66.9882480051721</v>
      </c>
      <c r="AI118" s="13" t="n">
        <f aca="false">IF(Time!AI34=1,AI75,AI73)</f>
        <v>50.1299652749708</v>
      </c>
      <c r="AJ118" s="13" t="n">
        <f aca="false">IF(Time!AJ34=1,AJ75,AJ73)</f>
        <v>33.7067596508326</v>
      </c>
      <c r="AK118" s="13" t="n">
        <f aca="false">IF(Time!AK34=1,AK75,AK73)</f>
        <v>17.6790187583118</v>
      </c>
      <c r="AL118" s="13" t="n">
        <f aca="false">IF(Time!AL34=1,AL75,AL73)</f>
        <v>3.40025085324474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0</v>
      </c>
      <c r="P119" s="13" t="n">
        <f aca="false">IF(AND(Time!P20&gt;=Time!$F$12,Time!Q20&gt;0),(IF(Time!P34=1,P33,P31)-P30)*Q147+IF(Time!Q46&gt;0,Time!Q45*P30/Time!Q46,0)+IF(Time!P34=1,P33,P31)*Q10,0)</f>
        <v>12.2520009440569</v>
      </c>
      <c r="Q119" s="13" t="n">
        <f aca="false">IF(AND(Time!Q20&gt;=Time!$F$12,Time!R20&gt;0),(IF(Time!Q34=1,Q33,Q31)-Q30)*R147+IF(Time!R46&gt;0,Time!R45*Q30/Time!R46,0)+IF(Time!Q34=1,Q33,Q31)*R10,0)</f>
        <v>12.1459840570221</v>
      </c>
      <c r="R119" s="13" t="n">
        <f aca="false">IF(AND(Time!R20&gt;=Time!$F$12,Time!S20&gt;0),(IF(Time!R34=1,R33,R31)-R30)*S147+IF(Time!S46&gt;0,Time!S45*R30/Time!S46,0)+IF(Time!R34=1,R33,R31)*S10,0)</f>
        <v>11.9089867887762</v>
      </c>
      <c r="S119" s="13" t="n">
        <f aca="false">IF(AND(Time!S20&gt;=Time!$F$12,Time!T20&gt;0),(IF(Time!S34=1,S33,S31)-S30)*T147+IF(Time!T46&gt;0,Time!T45*S30/Time!T46,0)+IF(Time!S34=1,S33,S31)*T10,0)</f>
        <v>11.7968833190346</v>
      </c>
      <c r="T119" s="13" t="n">
        <f aca="false">IF(AND(Time!T20&gt;=Time!$F$12,Time!U20&gt;0),(IF(Time!T34=1,T33,T31)-T30)*U147+IF(Time!U46&gt;0,Time!U45*T30/Time!U46,0)+IF(Time!T34=1,T33,T31)*U10,0)</f>
        <v>11.5765756306726</v>
      </c>
      <c r="U119" s="13" t="n">
        <f aca="false">IF(AND(Time!U20&gt;=Time!$F$12,Time!V20&gt;0),(IF(Time!U34=1,U33,U31)-U30)*V147+IF(Time!V46&gt;0,Time!V45*U30/Time!V46,0)+IF(Time!U34=1,U33,U31)*V10,0)</f>
        <v>11.4381522158612</v>
      </c>
      <c r="V119" s="13" t="n">
        <f aca="false">IF(AND(Time!V20&gt;=Time!$F$12,Time!W20&gt;0),(IF(Time!V34=1,V33,V31)-V30)*W147+IF(Time!W46&gt;0,Time!W45*V30/Time!W46,0)+IF(Time!V34=1,V33,V31)*W10,0)</f>
        <v>11.2032223357938</v>
      </c>
      <c r="W119" s="13" t="n">
        <f aca="false">IF(AND(Time!W20&gt;=Time!$F$12,Time!X20&gt;0),(IF(Time!W34=1,W33,W31)-W30)*X147+IF(Time!X46&gt;0,Time!X45*W30/Time!X46,0)+IF(Time!W34=1,W33,W31)*X10,0)</f>
        <v>11.0794211126878</v>
      </c>
      <c r="X119" s="13" t="n">
        <f aca="false">IF(AND(Time!X20&gt;=Time!$F$12,Time!Y20&gt;0),(IF(Time!X34=1,X33,X31)-X30)*Y147+IF(Time!Y46&gt;0,Time!Y45*X30/Time!Y46,0)+IF(Time!X34=1,X33,X31)*Y10,0)</f>
        <v>10.8503401093026</v>
      </c>
      <c r="Y119" s="13" t="n">
        <f aca="false">IF(AND(Time!Y20&gt;=Time!$F$12,Time!Z20&gt;0),(IF(Time!Y34=1,Y33,Y31)-Y30)*Z147+IF(Time!Z46&gt;0,Time!Z45*Y30/Time!Z46,0)+IF(Time!Y34=1,Y33,Y31)*Z10,0)</f>
        <v>10.7206900095144</v>
      </c>
      <c r="Z119" s="13" t="n">
        <f aca="false">IF(AND(Time!Z20&gt;=Time!$F$12,Time!AA20&gt;0),(IF(Time!Z34=1,Z33,Z31)-Z30)*AA147+IF(Time!AA46&gt;0,Time!AA45*Z30/Time!AA46,0)+IF(Time!Z34=1,Z33,Z31)*AA10,0)</f>
        <v>10.4974578828114</v>
      </c>
      <c r="AA119" s="13" t="n">
        <f aca="false">IF(AND(Time!AA20&gt;=Time!$F$12,Time!AB20&gt;0),(IF(Time!AA34=1,AA33,AA31)-AA30)*AB147+IF(Time!AB46&gt;0,Time!AB45*AA30/Time!AB46,0)+IF(Time!AA34=1,AA33,AA31)*AB10,0)</f>
        <v>10.361958906341</v>
      </c>
      <c r="AB119" s="13" t="n">
        <f aca="false">IF(AND(Time!AB20&gt;=Time!$F$12,Time!AC20&gt;0),(IF(Time!AB34=1,AB33,AB31)-AB30)*AC147+IF(Time!AC46&gt;0,Time!AC45*AB30/Time!AC46,0)+IF(Time!AB34=1,AB33,AB31)*AC10,0)</f>
        <v>10.1572482224649</v>
      </c>
      <c r="AC119" s="13" t="n">
        <f aca="false">IF(AND(Time!AC20&gt;=Time!$F$12,Time!AD20&gt;0),(IF(Time!AC34=1,AC33,AC31)-AC30)*AD147+IF(Time!AD46&gt;0,Time!AD45*AC30/Time!AD46,0)+IF(Time!AC34=1,AC33,AC31)*AD10,0)</f>
        <v>10.0032278031676</v>
      </c>
      <c r="AD119" s="13" t="n">
        <f aca="false">IF(AND(Time!AD20&gt;=Time!$F$12,Time!AE20&gt;0),(IF(Time!AD34=1,AD33,AD31)-AD30)*AE147+IF(Time!AE46&gt;0,Time!AE45*AD30/Time!AE46,0)+IF(Time!AD34=1,AD33,AD31)*AE10,0)</f>
        <v>9.79169342982896</v>
      </c>
      <c r="AE119" s="13" t="n">
        <f aca="false">IF(AND(Time!AE20&gt;=Time!$F$12,Time!AF20&gt;0),(IF(Time!AE34=1,AE33,AE31)-AE30)*AF147+IF(Time!AF46&gt;0,Time!AF45*AE30/Time!AF46,0)+IF(Time!AE34=1,AE33,AE31)*AF10,0)</f>
        <v>9.64449669999422</v>
      </c>
      <c r="AF119" s="13" t="n">
        <f aca="false">IF(AND(Time!AF20&gt;=Time!$F$12,Time!AG20&gt;0),(IF(Time!AF34=1,AF33,AF31)-AF30)*AG147+IF(Time!AG46&gt;0,Time!AG45*AF30/Time!AG46,0)+IF(Time!AF34=1,AF33,AF31)*AG10,0)</f>
        <v>9.43881120333774</v>
      </c>
      <c r="AG119" s="13" t="n">
        <f aca="false">IF(AND(Time!AG20&gt;=Time!$F$12,Time!AH20&gt;0),(IF(Time!AG34=1,AG33,AG31)-AG30)*AH147+IF(Time!AH46&gt;0,Time!AH45*AG30/Time!AH46,0)+IF(Time!AG34=1,AG33,AG31)*AH10,0)</f>
        <v>9.28576559682083</v>
      </c>
      <c r="AH119" s="13" t="n">
        <f aca="false">IF(AND(Time!AH20&gt;=Time!$F$12,Time!AI20&gt;0),(IF(Time!AH34=1,AH33,AH31)-AH30)*AI147+IF(Time!AI46&gt;0,Time!AI45*AH30/Time!AI46,0)+IF(Time!AH34=1,AH33,AH31)*AI10,0)</f>
        <v>9.08592897684653</v>
      </c>
      <c r="AI119" s="13" t="n">
        <f aca="false">IF(AND(Time!AI20&gt;=Time!$F$12,Time!AJ20&gt;0),(IF(Time!AI34=1,AI33,AI31)-AI30)*AJ147+IF(Time!AJ46&gt;0,Time!AJ45*AI30/Time!AJ46,0)+IF(Time!AI34=1,AI33,AI31)*AJ10,0)</f>
        <v>8.92703449364745</v>
      </c>
      <c r="AJ119" s="13" t="n">
        <f aca="false">IF(AND(Time!AJ20&gt;=Time!$F$12,Time!AK20&gt;0),(IF(Time!AJ34=1,AJ33,AJ31)-AJ30)*AK147+IF(Time!AK46&gt;0,Time!AK45*AJ30/Time!AK46,0)+IF(Time!AJ34=1,AJ33,AJ31)*AK10,0)</f>
        <v>8.73792081425713</v>
      </c>
      <c r="AK119" s="13" t="n">
        <f aca="false">IF(AND(Time!AK20&gt;=Time!$F$12,Time!AL20&gt;0),(IF(Time!AK34=1,AK33,AK31)-AK30)*AL147+IF(Time!AL46&gt;0,Time!AL45*AK30/Time!AL46,0)+IF(Time!AK34=1,AK33,AK31)*AL10,0)</f>
        <v>8.56830339047406</v>
      </c>
      <c r="AL119" s="13" t="n">
        <f aca="false">IF(AND(Time!AL20&gt;=Time!$F$12,Time!AM20&gt;0),(IF(Time!AL34=1,AL33,AL31)-AL30)*AM147+IF(Time!AM46&gt;0,Time!AM45*AL30/Time!AM46,0)+IF(Time!AL34=1,AL33,AL31)*AM10,0)</f>
        <v>8.3801645238641</v>
      </c>
      <c r="AM119" s="13" t="n">
        <f aca="false">IF(AND(Time!AM20&gt;=Time!$F$12,Time!AN20&gt;0),(IF(Time!AM34=1,AM33,AM31)-AM30)*AN147+IF(Time!AN46&gt;0,Time!AN45*AM30/Time!AN46,0)+IF(Time!AM34=1,AM33,AM31)*AN10,0)</f>
        <v>8.20957228730067</v>
      </c>
      <c r="AN119" s="13" t="n">
        <f aca="false">IF(AND(Time!AN20&gt;=Time!$F$12,Time!AO20&gt;0),(IF(Time!AN34=1,AN33,AN31)-AN30)*AO147+IF(Time!AO46&gt;0,Time!AO45*AN30/Time!AO46,0)+IF(Time!AN34=1,AN33,AN31)*AO10,0)</f>
        <v>8.02728229737289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7.86866025736344</v>
      </c>
      <c r="Q120" s="13" t="n">
        <f aca="false">IF(AND(Time!Q20&gt;=Time!$F$12,Time!R20&gt;0),(IF(Time!Q34=1,Q47,Q45)-Q44)*R19+IF(Time!R46&gt;0,Time!R45*Q44/Time!R46,0)+IF(Time!Q34=1,Q47,Q45)*R11,0)</f>
        <v>8.09816171565971</v>
      </c>
      <c r="R120" s="13" t="n">
        <f aca="false">IF(AND(Time!R20&gt;=Time!$F$12,Time!S20&gt;0),(IF(Time!R34=1,R47,R45)-R44)*S19+IF(Time!S46&gt;0,Time!S45*R44/Time!S46,0)+IF(Time!R34=1,R47,R45)*S11,0)</f>
        <v>8.06972564559359</v>
      </c>
      <c r="S120" s="13" t="n">
        <f aca="false">IF(AND(Time!S20&gt;=Time!$F$12,Time!T20&gt;0),(IF(Time!S34=1,S47,S45)-S44)*T19+IF(Time!T46&gt;0,Time!T45*S44/Time!T46,0)+IF(Time!S34=1,S47,S45)*T11,0)</f>
        <v>8.2848412895857</v>
      </c>
      <c r="T120" s="13" t="n">
        <f aca="false">IF(AND(Time!T20&gt;=Time!$F$12,Time!U20&gt;0),(IF(Time!T34=1,T47,T45)-T44)*U19+IF(Time!U46&gt;0,Time!U45*T44/Time!U46,0)+IF(Time!T34=1,T47,T45)*U11,0)</f>
        <v>8.29257574516266</v>
      </c>
      <c r="U120" s="13" t="n">
        <f aca="false">IF(AND(Time!U20&gt;=Time!$F$12,Time!V20&gt;0),(IF(Time!U34=1,U47,U45)-U44)*V19+IF(Time!V46&gt;0,Time!V45*U44/Time!V46,0)+IF(Time!U34=1,U47,U45)*V11,0)</f>
        <v>8.60763580578744</v>
      </c>
      <c r="V120" s="13" t="n">
        <f aca="false">IF(AND(Time!V20&gt;=Time!$F$12,Time!W20&gt;0),(IF(Time!V34=1,V47,V45)-V44)*W19+IF(Time!W46&gt;0,Time!W45*V44/Time!W46,0)+IF(Time!V34=1,V47,V45)*W11,0)</f>
        <v>8.58850821952116</v>
      </c>
      <c r="W120" s="13" t="n">
        <f aca="false">IF(AND(Time!W20&gt;=Time!$F$12,Time!X20&gt;0),(IF(Time!W34=1,W47,W45)-W44)*X19+IF(Time!X46&gt;0,Time!X45*W44/Time!X46,0)+IF(Time!W34=1,W47,W45)*X11,0)</f>
        <v>8.30509638293914</v>
      </c>
      <c r="X120" s="13" t="n">
        <f aca="false">IF(AND(Time!X20&gt;=Time!$F$12,Time!Y20&gt;0),(IF(Time!X34=1,X47,X45)-X44)*Y19+IF(Time!Y46&gt;0,Time!Y45*X44/Time!Y46,0)+IF(Time!X34=1,X47,X45)*Y11,0)</f>
        <v>8.08264268311819</v>
      </c>
      <c r="Y120" s="13" t="n">
        <f aca="false">IF(AND(Time!Y20&gt;=Time!$F$12,Time!Z20&gt;0),(IF(Time!Y34=1,Y47,Y45)-Y44)*Z19+IF(Time!Z46&gt;0,Time!Z45*Y44/Time!Z46,0)+IF(Time!Y34=1,Y47,Y45)*Z11,0)</f>
        <v>8.2665116061643</v>
      </c>
      <c r="Z120" s="13" t="n">
        <f aca="false">IF(AND(Time!Z20&gt;=Time!$F$12,Time!AA20&gt;0),(IF(Time!Z34=1,Z47,Z45)-Z44)*AA19+IF(Time!AA46&gt;0,Time!AA45*Z44/Time!AA46,0)+IF(Time!Z34=1,Z47,Z45)*AA11,0)</f>
        <v>8.2477029662565</v>
      </c>
      <c r="AA120" s="13" t="n">
        <f aca="false">IF(AND(Time!AA20&gt;=Time!$F$12,Time!AB20&gt;0),(IF(Time!AA34=1,AA47,AA45)-AA44)*AB19+IF(Time!AB46&gt;0,Time!AB45*AA44/Time!AB46,0)+IF(Time!AA34=1,AA47,AA45)*AB11,0)</f>
        <v>8.47780887197118</v>
      </c>
      <c r="AB120" s="13" t="n">
        <f aca="false">IF(AND(Time!AB20&gt;=Time!$F$12,Time!AC20&gt;0),(IF(Time!AB34=1,AB47,AB45)-AB44)*AC19+IF(Time!AC46&gt;0,Time!AC45*AB44/Time!AC46,0)+IF(Time!AB34=1,AB47,AB45)*AC11,0)</f>
        <v>8.51178624167743</v>
      </c>
      <c r="AC120" s="13" t="n">
        <f aca="false">IF(AND(Time!AC20&gt;=Time!$F$12,Time!AD20&gt;0),(IF(Time!AC34=1,AC47,AC45)-AC44)*AD19+IF(Time!AD46&gt;0,Time!AD45*AC44/Time!AD46,0)+IF(Time!AC34=1,AC47,AC45)*AD11,0)</f>
        <v>9.07256293605954</v>
      </c>
      <c r="AD120" s="13" t="n">
        <f aca="false">IF(AND(Time!AD20&gt;=Time!$F$12,Time!AE20&gt;0),(IF(Time!AD34=1,AD47,AD45)-AD44)*AE19+IF(Time!AE46&gt;0,Time!AE45*AD44/Time!AE46,0)+IF(Time!AD34=1,AD47,AD45)*AE11,0)</f>
        <v>9.18313453044834</v>
      </c>
      <c r="AE120" s="13" t="n">
        <f aca="false">IF(AND(Time!AE20&gt;=Time!$F$12,Time!AF20&gt;0),(IF(Time!AE34=1,AE47,AE45)-AE44)*AF19+IF(Time!AF46&gt;0,Time!AF45*AE44/Time!AF46,0)+IF(Time!AE34=1,AE47,AE45)*AF11,0)</f>
        <v>9.32054410070644</v>
      </c>
      <c r="AF120" s="13" t="n">
        <f aca="false">IF(AND(Time!AF20&gt;=Time!$F$12,Time!AG20&gt;0),(IF(Time!AF34=1,AF47,AF45)-AF44)*AG19+IF(Time!AG46&gt;0,Time!AG45*AF44/Time!AG46,0)+IF(Time!AF34=1,AF47,AF45)*AG11,0)</f>
        <v>9.2162040745219</v>
      </c>
      <c r="AG120" s="13" t="n">
        <f aca="false">IF(AND(Time!AG20&gt;=Time!$F$12,Time!AH20&gt;0),(IF(Time!AG34=1,AG47,AG45)-AG44)*AH19+IF(Time!AH46&gt;0,Time!AH45*AG44/Time!AH46,0)+IF(Time!AG34=1,AG47,AG45)*AH11,0)</f>
        <v>9.4904913990976</v>
      </c>
      <c r="AH120" s="13" t="n">
        <f aca="false">IF(AND(Time!AH20&gt;=Time!$F$12,Time!AI20&gt;0),(IF(Time!AH34=1,AH47,AH45)-AH44)*AI19+IF(Time!AI46&gt;0,Time!AI45*AH44/Time!AI46,0)+IF(Time!AH34=1,AH47,AH45)*AI11,0)</f>
        <v>9.50211529239802</v>
      </c>
      <c r="AI120" s="13" t="n">
        <f aca="false">IF(AND(Time!AI20&gt;=Time!$F$12,Time!AJ20&gt;0),(IF(Time!AI34=1,AI47,AI45)-AI44)*AJ19+IF(Time!AJ46&gt;0,Time!AJ45*AI44/Time!AJ46,0)+IF(Time!AI34=1,AI47,AI45)*AJ11,0)</f>
        <v>9.76588974905909</v>
      </c>
      <c r="AJ120" s="13" t="n">
        <f aca="false">IF(AND(Time!AJ20&gt;=Time!$F$12,Time!AK20&gt;0),(IF(Time!AJ34=1,AJ47,AJ45)-AJ44)*AK19+IF(Time!AK46&gt;0,Time!AK45*AJ44/Time!AK46,0)+IF(Time!AJ34=1,AJ47,AJ45)*AK11,0)</f>
        <v>9.82600748156411</v>
      </c>
      <c r="AK120" s="13" t="n">
        <f aca="false">IF(AND(Time!AK20&gt;=Time!$F$12,Time!AL20&gt;0),(IF(Time!AK34=1,AK47,AK45)-AK44)*AL19+IF(Time!AL46&gt;0,Time!AL45*AK44/Time!AL46,0)+IF(Time!AK34=1,AK47,AK45)*AL11,0)</f>
        <v>10.2221038724113</v>
      </c>
      <c r="AL120" s="13" t="n">
        <f aca="false">IF(AND(Time!AL20&gt;=Time!$F$12,Time!AM20&gt;0),(IF(Time!AL34=1,AL47,AL45)-AL44)*AM19+IF(Time!AM46&gt;0,Time!AM45*AL44/Time!AM46,0)+IF(Time!AL34=1,AL47,AL45)*AM11,0)</f>
        <v>10.256766165458</v>
      </c>
      <c r="AM120" s="13" t="n">
        <f aca="false">IF(AND(Time!AM20&gt;=Time!$F$12,Time!AN20&gt;0),(IF(Time!AM34=1,AM47,AM45)-AM44)*AN19+IF(Time!AN46&gt;0,Time!AN45*AM44/Time!AN46,0)+IF(Time!AM34=1,AM47,AM45)*AN11,0)</f>
        <v>8.22106906202158</v>
      </c>
      <c r="AN120" s="13" t="n">
        <f aca="false">IF(AND(Time!AN20&gt;=Time!$F$12,Time!AO20&gt;0),(IF(Time!AN34=1,AN47,AN45)-AN44)*AO19+IF(Time!AO46&gt;0,Time!AO45*AN44/Time!AO46,0)+IF(Time!AN34=1,AN47,AN45)*AO11,0)</f>
        <v>7.72726687166198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3.49442982659198</v>
      </c>
      <c r="Q121" s="13" t="n">
        <f aca="false">IF(AND(Time!Q20&gt;=Time!$F$12,Time!R20&gt;0),(IF(Time!Q34=1,Q61,Q59)-Q58)*R19+IF(Time!R46&gt;0,Time!R45*Q58/Time!R46,0)+IF(Time!Q34=1,Q61,Q59)*R12,0)</f>
        <v>3.59911458593317</v>
      </c>
      <c r="R121" s="13" t="n">
        <f aca="false">IF(AND(Time!R20&gt;=Time!$F$12,Time!S20&gt;0),(IF(Time!R34=1,R61,R59)-R58)*S19+IF(Time!S46&gt;0,Time!S45*R58/Time!S46,0)+IF(Time!R34=1,R61,R59)*S12,0)</f>
        <v>3.58936818290901</v>
      </c>
      <c r="S121" s="13" t="n">
        <f aca="false">IF(AND(Time!S20&gt;=Time!$F$12,Time!T20&gt;0),(IF(Time!S34=1,S61,S59)-S58)*T19+IF(Time!T46&gt;0,Time!T45*S58/Time!T46,0)+IF(Time!S34=1,S61,S59)*T12,0)</f>
        <v>3.68780793476626</v>
      </c>
      <c r="T121" s="13" t="n">
        <f aca="false">IF(AND(Time!T20&gt;=Time!$F$12,Time!U20&gt;0),(IF(Time!T34=1,T61,T59)-T58)*U19+IF(Time!U46&gt;0,Time!U45*T58/Time!U46,0)+IF(Time!T34=1,T61,T59)*U12,0)</f>
        <v>3.69426070759944</v>
      </c>
      <c r="U121" s="13" t="n">
        <f aca="false">IF(AND(Time!U20&gt;=Time!$F$12,Time!V20&gt;0),(IF(Time!U34=1,U61,U59)-U58)*V19+IF(Time!V46&gt;0,Time!V45*U58/Time!V46,0)+IF(Time!U34=1,U61,U59)*V12,0)</f>
        <v>3.83886268856859</v>
      </c>
      <c r="V121" s="13" t="n">
        <f aca="false">IF(AND(Time!V20&gt;=Time!$F$12,Time!W20&gt;0),(IF(Time!V34=1,V61,V59)-V58)*W19+IF(Time!W46&gt;0,Time!W45*V58/Time!W46,0)+IF(Time!V34=1,V61,V59)*W12,0)</f>
        <v>3.8337792466458</v>
      </c>
      <c r="W121" s="13" t="n">
        <f aca="false">IF(AND(Time!W20&gt;=Time!$F$12,Time!X20&gt;0),(IF(Time!W34=1,W61,W59)-W58)*X19+IF(Time!X46&gt;0,Time!X45*W58/Time!X46,0)+IF(Time!W34=1,W61,W59)*X12,0)</f>
        <v>3.70635707298862</v>
      </c>
      <c r="X121" s="13" t="n">
        <f aca="false">IF(AND(Time!X20&gt;=Time!$F$12,Time!Y20&gt;0),(IF(Time!X34=1,X61,X59)-X58)*Y19+IF(Time!Y46&gt;0,Time!Y45*X58/Time!Y46,0)+IF(Time!X34=1,X61,X59)*Y12,0)</f>
        <v>3.60876870470661</v>
      </c>
      <c r="Y121" s="13" t="n">
        <f aca="false">IF(AND(Time!Y20&gt;=Time!$F$12,Time!Z20&gt;0),(IF(Time!Y34=1,Y61,Y59)-Y58)*Z19+IF(Time!Z46&gt;0,Time!Z45*Y58/Time!Z46,0)+IF(Time!Y34=1,Y61,Y59)*Z12,0)</f>
        <v>3.69370528216297</v>
      </c>
      <c r="Z121" s="13" t="n">
        <f aca="false">IF(AND(Time!Z20&gt;=Time!$F$12,Time!AA20&gt;0),(IF(Time!Z34=1,Z61,Z59)-Z58)*AA19+IF(Time!AA46&gt;0,Time!AA45*Z58/Time!AA46,0)+IF(Time!Z34=1,Z61,Z59)*AA12,0)</f>
        <v>3.68874746533224</v>
      </c>
      <c r="AA121" s="13" t="n">
        <f aca="false">IF(AND(Time!AA20&gt;=Time!$F$12,Time!AB20&gt;0),(IF(Time!AA34=1,AA61,AA59)-AA58)*AB19+IF(Time!AB46&gt;0,Time!AB45*AA58/Time!AB46,0)+IF(Time!AA34=1,AA61,AA59)*AB12,0)</f>
        <v>3.79505011619713</v>
      </c>
      <c r="AB121" s="13" t="n">
        <f aca="false">IF(AND(Time!AB20&gt;=Time!$F$12,Time!AC20&gt;0),(IF(Time!AB34=1,AB61,AB59)-AB58)*AC19+IF(Time!AC46&gt;0,Time!AC45*AB58/Time!AC46,0)+IF(Time!AB34=1,AB61,AB59)*AC12,0)</f>
        <v>3.81399849028927</v>
      </c>
      <c r="AC121" s="13" t="n">
        <f aca="false">IF(AND(Time!AC20&gt;=Time!$F$12,Time!AD20&gt;0),(IF(Time!AC34=1,AC61,AC59)-AC58)*AD19+IF(Time!AD46&gt;0,Time!AD45*AC58/Time!AD46,0)+IF(Time!AC34=1,AC61,AC59)*AD12,0)</f>
        <v>4.07133340042845</v>
      </c>
      <c r="AD121" s="13" t="n">
        <f aca="false">IF(AND(Time!AD20&gt;=Time!$F$12,Time!AE20&gt;0),(IF(Time!AD34=1,AD61,AD59)-AD58)*AE19+IF(Time!AE46&gt;0,Time!AE45*AD58/Time!AE46,0)+IF(Time!AD34=1,AD61,AD59)*AE12,0)</f>
        <v>4.12584465634035</v>
      </c>
      <c r="AE121" s="13" t="n">
        <f aca="false">IF(AND(Time!AE20&gt;=Time!$F$12,Time!AF20&gt;0),(IF(Time!AE34=1,AE61,AE59)-AE58)*AF19+IF(Time!AF46&gt;0,Time!AF45*AE58/Time!AF46,0)+IF(Time!AE34=1,AE61,AE59)*AF12,0)</f>
        <v>4.19116497197556</v>
      </c>
      <c r="AF121" s="13" t="n">
        <f aca="false">IF(AND(Time!AF20&gt;=Time!$F$12,Time!AG20&gt;0),(IF(Time!AF34=1,AF61,AF59)-AF58)*AG19+IF(Time!AG46&gt;0,Time!AG45*AF58/Time!AG46,0)+IF(Time!AF34=1,AF61,AF59)*AG12,0)</f>
        <v>4.14825694617115</v>
      </c>
      <c r="AG121" s="13" t="n">
        <f aca="false">IF(AND(Time!AG20&gt;=Time!$F$12,Time!AH20&gt;0),(IF(Time!AG34=1,AG61,AG59)-AG58)*AH19+IF(Time!AH46&gt;0,Time!AH45*AG58/Time!AH46,0)+IF(Time!AG34=1,AG61,AG59)*AH12,0)</f>
        <v>4.27619134950355</v>
      </c>
      <c r="AH121" s="13" t="n">
        <f aca="false">IF(AND(Time!AH20&gt;=Time!$F$12,Time!AI20&gt;0),(IF(Time!AH34=1,AH61,AH59)-AH58)*AI19+IF(Time!AI46&gt;0,Time!AI45*AH58/Time!AI46,0)+IF(Time!AH34=1,AH61,AH59)*AI12,0)</f>
        <v>4.28622921939044</v>
      </c>
      <c r="AI121" s="13" t="n">
        <f aca="false">IF(AND(Time!AI20&gt;=Time!$F$12,Time!AJ20&gt;0),(IF(Time!AI34=1,AI61,AI59)-AI58)*AJ19+IF(Time!AJ46&gt;0,Time!AJ45*AI58/Time!AJ46,0)+IF(Time!AI34=1,AI61,AI59)*AJ12,0)</f>
        <v>4.40996116670471</v>
      </c>
      <c r="AJ121" s="13" t="n">
        <f aca="false">IF(AND(Time!AJ20&gt;=Time!$F$12,Time!AK20&gt;0),(IF(Time!AJ34=1,AJ61,AJ59)-AJ58)*AK19+IF(Time!AK46&gt;0,Time!AK45*AJ58/Time!AK46,0)+IF(Time!AJ34=1,AJ61,AJ59)*AK12,0)</f>
        <v>4.44221866341713</v>
      </c>
      <c r="AK121" s="13" t="n">
        <f aca="false">IF(AND(Time!AK20&gt;=Time!$F$12,Time!AL20&gt;0),(IF(Time!AK34=1,AK61,AK59)-AK58)*AL19+IF(Time!AL46&gt;0,Time!AL45*AK58/Time!AL46,0)+IF(Time!AK34=1,AK61,AK59)*AL12,0)</f>
        <v>4.62686854785086</v>
      </c>
      <c r="AL121" s="13" t="n">
        <f aca="false">IF(AND(Time!AL20&gt;=Time!$F$12,Time!AM20&gt;0),(IF(Time!AL34=1,AL61,AL59)-AL58)*AM19+IF(Time!AM46&gt;0,Time!AM45*AL58/Time!AM46,0)+IF(Time!AL34=1,AL61,AL59)*AM12,0)</f>
        <v>4.64811785841116</v>
      </c>
      <c r="AM121" s="13" t="n">
        <f aca="false">IF(AND(Time!AM20&gt;=Time!$F$12,Time!AN20&gt;0),(IF(Time!AM34=1,AM61,AM59)-AM58)*AN19+IF(Time!AN46&gt;0,Time!AN45*AM58/Time!AN46,0)+IF(Time!AM34=1,AM61,AM59)*AN12,0)</f>
        <v>3.72803924438312</v>
      </c>
      <c r="AN121" s="13" t="n">
        <f aca="false">IF(AND(Time!AN20&gt;=Time!$F$12,Time!AO20&gt;0),(IF(Time!AN34=1,AN61,AN59)-AN58)*AO19+IF(Time!AO46&gt;0,Time!AO45*AN58/Time!AO46,0)+IF(Time!AN34=1,AN61,AN59)*AO12,0)</f>
        <v>3.50812447581774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15.1551557107162</v>
      </c>
      <c r="Q122" s="13" t="n">
        <f aca="false">IF(AND(Time!Q20&gt;=Time!$F$12,Time!R20&gt;0),(IF(Time!Q34=1,Q75,Q73)-Q72)*R19+IF(Time!R46&gt;0,Time!R45*Q72/Time!R46,0)+IF(Time!Q34=1,Q75,Q73)*R13,0)</f>
        <v>15.5446087620485</v>
      </c>
      <c r="R122" s="13" t="n">
        <f aca="false">IF(AND(Time!R20&gt;=Time!$F$12,Time!S20&gt;0),(IF(Time!R34=1,R75,R73)-R72)*S19+IF(Time!S46&gt;0,Time!S45*R72/Time!S46,0)+IF(Time!R34=1,R75,R73)*S13,0)</f>
        <v>15.4363646071194</v>
      </c>
      <c r="S122" s="13" t="n">
        <f aca="false">IF(AND(Time!S20&gt;=Time!$F$12,Time!T20&gt;0),(IF(Time!S34=1,S75,S73)-S72)*T19+IF(Time!T46&gt;0,Time!T45*S72/Time!T46,0)+IF(Time!S34=1,S75,S73)*T13,0)</f>
        <v>15.7953673418778</v>
      </c>
      <c r="T122" s="13" t="n">
        <f aca="false">IF(AND(Time!T20&gt;=Time!$F$12,Time!U20&gt;0),(IF(Time!T34=1,T75,T73)-T72)*U19+IF(Time!U46&gt;0,Time!U45*T72/Time!U46,0)+IF(Time!T34=1,T75,T73)*U13,0)</f>
        <v>15.7528225340282</v>
      </c>
      <c r="U122" s="13" t="n">
        <f aca="false">IF(AND(Time!U20&gt;=Time!$F$12,Time!V20&gt;0),(IF(Time!U34=1,U75,U73)-U72)*V19+IF(Time!V46&gt;0,Time!V45*U72/Time!V46,0)+IF(Time!U34=1,U75,U73)*V13,0)</f>
        <v>16.2705057488346</v>
      </c>
      <c r="V122" s="13" t="n">
        <f aca="false">IF(AND(Time!V20&gt;=Time!$F$12,Time!W20&gt;0),(IF(Time!V34=1,V75,V73)-V72)*W19+IF(Time!W46&gt;0,Time!W45*V72/Time!W46,0)+IF(Time!V34=1,V75,V73)*W13,0)</f>
        <v>16.1687378280894</v>
      </c>
      <c r="W122" s="13" t="n">
        <f aca="false">IF(AND(Time!W20&gt;=Time!$F$12,Time!X20&gt;0),(IF(Time!W34=1,W75,W73)-W72)*X19+IF(Time!X46&gt;0,Time!X45*W72/Time!X46,0)+IF(Time!W34=1,W75,W73)*X13,0)</f>
        <v>15.6525345763027</v>
      </c>
      <c r="X122" s="13" t="n">
        <f aca="false">IF(AND(Time!X20&gt;=Time!$F$12,Time!Y20&gt;0),(IF(Time!X34=1,X75,X73)-X72)*Y19+IF(Time!Y46&gt;0,Time!Y45*X72/Time!Y46,0)+IF(Time!X34=1,X75,X73)*Y13,0)</f>
        <v>15.7514033950112</v>
      </c>
      <c r="Y122" s="13" t="n">
        <f aca="false">IF(AND(Time!Y20&gt;=Time!$F$12,Time!Z20&gt;0),(IF(Time!Y34=1,Y75,Y73)-Y72)*Z19+IF(Time!Z46&gt;0,Time!Z45*Y72/Time!Z46,0)+IF(Time!Y34=1,Y75,Y73)*Z13,0)</f>
        <v>16.0316304425054</v>
      </c>
      <c r="Z122" s="13" t="n">
        <f aca="false">IF(AND(Time!Z20&gt;=Time!$F$12,Time!AA20&gt;0),(IF(Time!Z34=1,Z75,Z73)-Z72)*AA19+IF(Time!AA46&gt;0,Time!AA45*Z72/Time!AA46,0)+IF(Time!Z34=1,Z75,Z73)*AA13,0)</f>
        <v>15.9004529720563</v>
      </c>
      <c r="AA122" s="13" t="n">
        <f aca="false">IF(AND(Time!AA20&gt;=Time!$F$12,Time!AB20&gt;0),(IF(Time!AA34=1,AA75,AA73)-AA72)*AB19+IF(Time!AB46&gt;0,Time!AB45*AA72/Time!AB46,0)+IF(Time!AA34=1,AA75,AA73)*AB13,0)</f>
        <v>16.2509467695021</v>
      </c>
      <c r="AB122" s="13" t="n">
        <f aca="false">IF(AND(Time!AB20&gt;=Time!$F$12,Time!AC20&gt;0),(IF(Time!AB34=1,AB75,AB73)-AB72)*AC19+IF(Time!AC46&gt;0,Time!AC45*AB72/Time!AC46,0)+IF(Time!AB34=1,AB75,AB73)*AC13,0)</f>
        <v>15.748177074529</v>
      </c>
      <c r="AC122" s="13" t="n">
        <f aca="false">IF(AND(Time!AC20&gt;=Time!$F$12,Time!AD20&gt;0),(IF(Time!AC34=1,AC75,AC73)-AC72)*AD19+IF(Time!AD46&gt;0,Time!AD45*AC72/Time!AD46,0)+IF(Time!AC34=1,AC75,AC73)*AD13,0)</f>
        <v>16.016803549013</v>
      </c>
      <c r="AD122" s="13" t="n">
        <f aca="false">IF(AND(Time!AD20&gt;=Time!$F$12,Time!AE20&gt;0),(IF(Time!AD34=1,AD75,AD73)-AD72)*AE19+IF(Time!AE46&gt;0,Time!AE45*AD72/Time!AE46,0)+IF(Time!AD34=1,AD75,AD73)*AE13,0)</f>
        <v>15.4994609323218</v>
      </c>
      <c r="AE122" s="13" t="n">
        <f aca="false">IF(AND(Time!AE20&gt;=Time!$F$12,Time!AF20&gt;0),(IF(Time!AE34=1,AE75,AE73)-AE72)*AF19+IF(Time!AF46&gt;0,Time!AF45*AE72/Time!AF46,0)+IF(Time!AE34=1,AE75,AE73)*AF13,0)</f>
        <v>14.9422153482886</v>
      </c>
      <c r="AF122" s="13" t="n">
        <f aca="false">IF(AND(Time!AF20&gt;=Time!$F$12,Time!AG20&gt;0),(IF(Time!AF34=1,AF75,AF73)-AF72)*AG19+IF(Time!AG46&gt;0,Time!AG45*AF72/Time!AG46,0)+IF(Time!AF34=1,AF75,AF73)*AG13,0)</f>
        <v>14.096868394965</v>
      </c>
      <c r="AG122" s="13" t="n">
        <f aca="false">IF(AND(Time!AG20&gt;=Time!$F$12,Time!AH20&gt;0),(IF(Time!AG34=1,AG75,AG73)-AG72)*AH19+IF(Time!AH46&gt;0,Time!AH45*AG72/Time!AH46,0)+IF(Time!AG34=1,AG75,AG73)*AH13,0)</f>
        <v>13.2317462820302</v>
      </c>
      <c r="AH122" s="13" t="n">
        <f aca="false">IF(AND(Time!AH20&gt;=Time!$F$12,Time!AI20&gt;0),(IF(Time!AH34=1,AH75,AH73)-AH72)*AI19+IF(Time!AI46&gt;0,Time!AI45*AH72/Time!AI46,0)+IF(Time!AH34=1,AH75,AH73)*AI13,0)</f>
        <v>11.8451642452051</v>
      </c>
      <c r="AI122" s="13" t="n">
        <f aca="false">IF(AND(Time!AI20&gt;=Time!$F$12,Time!AJ20&gt;0),(IF(Time!AI34=1,AI75,AI73)-AI72)*AJ19+IF(Time!AJ46&gt;0,Time!AJ45*AI72/Time!AJ46,0)+IF(Time!AI34=1,AI75,AI73)*AJ13,0)</f>
        <v>10.3836000911063</v>
      </c>
      <c r="AJ122" s="13" t="n">
        <f aca="false">IF(AND(Time!AJ20&gt;=Time!$F$12,Time!AK20&gt;0),(IF(Time!AJ34=1,AJ75,AJ73)-AJ72)*AK19+IF(Time!AK46&gt;0,Time!AK45*AJ72/Time!AK46,0)+IF(Time!AJ34=1,AJ75,AJ73)*AK13,0)</f>
        <v>8.28211395219245</v>
      </c>
      <c r="AK122" s="13" t="n">
        <f aca="false">IF(AND(Time!AK20&gt;=Time!$F$12,Time!AL20&gt;0),(IF(Time!AK34=1,AK75,AK73)-AK72)*AL19+IF(Time!AL46&gt;0,Time!AL45*AK72/Time!AL46,0)+IF(Time!AK34=1,AK75,AK73)*AL13,0)</f>
        <v>5.58455187470559</v>
      </c>
      <c r="AL122" s="13" t="n">
        <f aca="false">IF(AND(Time!AL20&gt;=Time!$F$12,Time!AM20&gt;0),(IF(Time!AL34=1,AL75,AL73)-AL72)*AM19+IF(Time!AM46&gt;0,Time!AM45*AL72/Time!AM46,0)+IF(Time!AL34=1,AL75,AL73)*AM13,0)</f>
        <v>1.45874945275973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2.07484423253397E-014</v>
      </c>
      <c r="Q123" s="13" t="n">
        <f aca="false">IF(AND(Time!Q20&gt;=Time!$F$12,Time!R20&gt;0),(IF(Time!Q34=1,Q89,Q87)-Q86)*R19+IF(Time!R46&gt;0,Time!R45*Q86/Time!R46,0)+IF(Time!Q34=1,Q89,Q87)*R14,0)</f>
        <v>2.12939279575462E-014</v>
      </c>
      <c r="R123" s="13" t="n">
        <f aca="false">IF(AND(Time!R20&gt;=Time!$F$12,Time!S20&gt;0),(IF(Time!R34=1,R89,R87)-R86)*S19+IF(Time!S46&gt;0,Time!S45*R86/Time!S46,0)+IF(Time!R34=1,R89,R87)*S14,0)</f>
        <v>2.11578486010655E-014</v>
      </c>
      <c r="S123" s="13" t="n">
        <f aca="false">IF(AND(Time!S20&gt;=Time!$F$12,Time!T20&gt;0),(IF(Time!S34=1,S89,S87)-S86)*T19+IF(Time!T46&gt;0,Time!T45*S86/Time!T46,0)+IF(Time!S34=1,S89,S87)*T14,0)</f>
        <v>2.16622906693171E-014</v>
      </c>
      <c r="T123" s="13" t="n">
        <f aca="false">IF(AND(Time!T20&gt;=Time!$F$12,Time!U20&gt;0),(IF(Time!T34=1,T89,T87)-T86)*U19+IF(Time!U46&gt;0,Time!U45*T86/Time!U46,0)+IF(Time!T34=1,T89,T87)*U14,0)</f>
        <v>2.16174960749754E-014</v>
      </c>
      <c r="U123" s="13" t="n">
        <f aca="false">IF(AND(Time!U20&gt;=Time!$F$12,Time!V20&gt;0),(IF(Time!U34=1,U89,U87)-U86)*V19+IF(Time!V46&gt;0,Time!V45*U86/Time!V46,0)+IF(Time!U34=1,U89,U87)*V14,0)</f>
        <v>2.23470963885548E-014</v>
      </c>
      <c r="V123" s="13" t="n">
        <f aca="false">IF(AND(Time!V20&gt;=Time!$F$12,Time!W20&gt;0),(IF(Time!V34=1,V89,V87)-V86)*W19+IF(Time!W46&gt;0,Time!W45*V86/Time!W46,0)+IF(Time!V34=1,V89,V87)*W14,0)</f>
        <v>2.22229760102769E-014</v>
      </c>
      <c r="W123" s="13" t="n">
        <f aca="false">IF(AND(Time!W20&gt;=Time!$F$12,Time!X20&gt;0),(IF(Time!W34=1,W89,W87)-W86)*X19+IF(Time!X46&gt;0,Time!X45*W86/Time!X46,0)+IF(Time!W34=1,W89,W87)*X14,0)</f>
        <v>2.15093290002817E-014</v>
      </c>
      <c r="X123" s="13" t="n">
        <f aca="false">IF(AND(Time!X20&gt;=Time!$F$12,Time!Y20&gt;0),(IF(Time!X34=1,X89,X87)-X86)*Y19+IF(Time!Y46&gt;0,Time!Y45*X86/Time!Y46,0)+IF(Time!X34=1,X89,X87)*Y14,0)</f>
        <v>2.13576274878884E-014</v>
      </c>
      <c r="Y123" s="13" t="n">
        <f aca="false">IF(AND(Time!Y20&gt;=Time!$F$12,Time!Z20&gt;0),(IF(Time!Y34=1,Y89,Y87)-Y86)*Z19+IF(Time!Z46&gt;0,Time!Z45*Y86/Time!Z46,0)+IF(Time!Y34=1,Y89,Y87)*Z14,0)</f>
        <v>2.17619901488123E-014</v>
      </c>
      <c r="Z123" s="13" t="n">
        <f aca="false">IF(AND(Time!Z20&gt;=Time!$F$12,Time!AA20&gt;0),(IF(Time!Z34=1,Z89,Z87)-Z86)*AA19+IF(Time!AA46&gt;0,Time!AA45*Z86/Time!AA46,0)+IF(Time!Z34=1,Z89,Z87)*AA14,0)</f>
        <v>2.16136537176817E-014</v>
      </c>
      <c r="AA123" s="13" t="n">
        <f aca="false">IF(AND(Time!AA20&gt;=Time!$F$12,Time!AB20&gt;0),(IF(Time!AA34=1,AA89,AA87)-AA86)*AB19+IF(Time!AB46&gt;0,Time!AB45*AA86/Time!AB46,0)+IF(Time!AA34=1,AA89,AA87)*AB14,0)</f>
        <v>2.2119490397921E-014</v>
      </c>
      <c r="AB123" s="13" t="n">
        <f aca="false">IF(AND(Time!AB20&gt;=Time!$F$12,Time!AC20&gt;0),(IF(Time!AB34=1,AB89,AB87)-AB86)*AC19+IF(Time!AC46&gt;0,Time!AC45*AB86/Time!AC46,0)+IF(Time!AB34=1,AB89,AB87)*AC14,0)</f>
        <v>2.21009415648484E-014</v>
      </c>
      <c r="AC123" s="13" t="n">
        <f aca="false">IF(AND(Time!AC20&gt;=Time!$F$12,Time!AD20&gt;0),(IF(Time!AC34=1,AC89,AC87)-AC86)*AD19+IF(Time!AD46&gt;0,Time!AD45*AC86/Time!AD46,0)+IF(Time!AC34=1,AC89,AC87)*AD14,0)</f>
        <v>2.33832508524714E-014</v>
      </c>
      <c r="AD123" s="13" t="n">
        <f aca="false">IF(AND(Time!AD20&gt;=Time!$F$12,Time!AE20&gt;0),(IF(Time!AD34=1,AD89,AD87)-AD86)*AE19+IF(Time!AE46&gt;0,Time!AE45*AD86/Time!AE46,0)+IF(Time!AD34=1,AD89,AD87)*AE14,0)</f>
        <v>2.35279608361774E-014</v>
      </c>
      <c r="AE123" s="13" t="n">
        <f aca="false">IF(AND(Time!AE20&gt;=Time!$F$12,Time!AF20&gt;0),(IF(Time!AE34=1,AE89,AE87)-AE86)*AF19+IF(Time!AF46&gt;0,Time!AF45*AE86/Time!AF46,0)+IF(Time!AE34=1,AE89,AE87)*AF14,0)</f>
        <v>2.3777241088415E-014</v>
      </c>
      <c r="AF123" s="13" t="n">
        <f aca="false">IF(AND(Time!AF20&gt;=Time!$F$12,Time!AG20&gt;0),(IF(Time!AF34=1,AF89,AF87)-AF86)*AG19+IF(Time!AG46&gt;0,Time!AG45*AF86/Time!AG46,0)+IF(Time!AF34=1,AF89,AF87)*AG14,0)</f>
        <v>2.36855410943641E-014</v>
      </c>
      <c r="AG123" s="13" t="n">
        <f aca="false">IF(AND(Time!AG20&gt;=Time!$F$12,Time!AH20&gt;0),(IF(Time!AG34=1,AG89,AG87)-AG86)*AH19+IF(Time!AH46&gt;0,Time!AH45*AG86/Time!AH46,0)+IF(Time!AG34=1,AG89,AG87)*AH14,0)</f>
        <v>2.4230439641922E-014</v>
      </c>
      <c r="AH123" s="13" t="n">
        <f aca="false">IF(AND(Time!AH20&gt;=Time!$F$12,Time!AI20&gt;0),(IF(Time!AH34=1,AH89,AH87)-AH86)*AI19+IF(Time!AI46&gt;0,Time!AI45*AH86/Time!AI46,0)+IF(Time!AH34=1,AH89,AH87)*AI14,0)</f>
        <v>2.40885169278918E-014</v>
      </c>
      <c r="AI123" s="13" t="n">
        <f aca="false">IF(AND(Time!AI20&gt;=Time!$F$12,Time!AJ20&gt;0),(IF(Time!AI34=1,AI89,AI87)-AI86)*AJ19+IF(Time!AJ46&gt;0,Time!AJ45*AI86/Time!AJ46,0)+IF(Time!AI34=1,AI89,AI87)*AJ14,0)</f>
        <v>2.45874718537433E-014</v>
      </c>
      <c r="AJ123" s="13" t="n">
        <f aca="false">IF(AND(Time!AJ20&gt;=Time!$F$12,Time!AK20&gt;0),(IF(Time!AJ34=1,AJ89,AJ87)-AJ86)*AK19+IF(Time!AK46&gt;0,Time!AK45*AJ86/Time!AK46,0)+IF(Time!AJ34=1,AJ89,AJ87)*AK14,0)</f>
        <v>2.45561535096417E-014</v>
      </c>
      <c r="AK123" s="13" t="n">
        <f aca="false">IF(AND(Time!AK20&gt;=Time!$F$12,Time!AL20&gt;0),(IF(Time!AK34=1,AK89,AK87)-AK86)*AL19+IF(Time!AL46&gt;0,Time!AL45*AK86/Time!AL46,0)+IF(Time!AK34=1,AK89,AK87)*AL14,0)</f>
        <v>2.53465867917379E-014</v>
      </c>
      <c r="AL123" s="13" t="n">
        <f aca="false">IF(AND(Time!AL20&gt;=Time!$F$12,Time!AM20&gt;0),(IF(Time!AL34=1,AL89,AL87)-AL86)*AM19+IF(Time!AM46&gt;0,Time!AM45*AL86/Time!AM46,0)+IF(Time!AL34=1,AL89,AL87)*AM14,0)</f>
        <v>2.52337826275914E-014</v>
      </c>
      <c r="AM123" s="13" t="n">
        <f aca="false">IF(AND(Time!AM20&gt;=Time!$F$12,Time!AN20&gt;0),(IF(Time!AM34=1,AM89,AM87)-AM86)*AN19+IF(Time!AN46&gt;0,Time!AN45*AM86/Time!AN46,0)+IF(Time!AM34=1,AM89,AM87)*AN14,0)</f>
        <v>2.01379643169317E-014</v>
      </c>
      <c r="AN123" s="13" t="n">
        <f aca="false">IF(AND(Time!AN20&gt;=Time!$F$12,Time!AO20&gt;0),(IF(Time!AN34=1,AN89,AN87)-AN86)*AO19+IF(Time!AO46&gt;0,Time!AO45*AN86/Time!AO46,0)+IF(Time!AN34=1,AN89,AN87)*AO14,0)</f>
        <v>1.87849671225153E-014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39.603216907776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40.102842827001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39.782965771714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40.2291987025319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40.0282463927307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40.788082011737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40.4958985741315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39.3377969613003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38.9491427645836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39.2697057994611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38.9444210897746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39.4013680415313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38.7425542753354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39.5789173350242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39.021651558509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38.4073599938621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37.201219048176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36.4746702534231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34.8926830637168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33.559888289131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31.3270751281084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28.96785189818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24.6883785811868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20.1003922092362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19.2400387064762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</v>
      </c>
      <c r="Q127" s="16" t="n">
        <f aca="false">IF(Time!Q53=1,(Inputs!$F$76*Q11+Inputs!$F$77*Q12+Inputs!$F$78*(Q13+(Inputs!$F$95/100*Inputs!$F$96/100)*Time!Q25/Inputs!$F$248))/(1-Inputs!$F$75)+Q148,0)</f>
        <v>0.0393229265519283</v>
      </c>
      <c r="R127" s="16" t="n">
        <f aca="false">IF(Time!R53=1,(Inputs!$F$76*R11+Inputs!$F$77*R12+Inputs!$F$78*(R13+(Inputs!$F$95/100*Inputs!$F$96/100)*Time!R25/Inputs!$F$248))/(1-Inputs!$F$75)+R148,0)</f>
        <v>0.0397886150757914</v>
      </c>
      <c r="S127" s="16" t="n">
        <f aca="false">IF(Time!S53=1,(Inputs!$F$76*S11+Inputs!$F$77*S12+Inputs!$F$78*(S13+(Inputs!$F$95/100*Inputs!$F$96/100)*Time!S25/Inputs!$F$248))/(1-Inputs!$F$75)+S148,0)</f>
        <v>0.0393377280303332</v>
      </c>
      <c r="T127" s="16" t="n">
        <f aca="false">IF(Time!T53=1,(Inputs!$F$76*T11+Inputs!$F$77*T12+Inputs!$F$78*(T13+(Inputs!$F$95/100*Inputs!$F$96/100)*Time!T25/Inputs!$F$248))/(1-Inputs!$F$75)+T148,0)</f>
        <v>0.0398036006405399</v>
      </c>
      <c r="U127" s="16" t="n">
        <f aca="false">IF(Time!U53=1,(Inputs!$F$76*U11+Inputs!$F$77*U12+Inputs!$F$78*(U13+(Inputs!$F$95/100*Inputs!$F$96/100)*Time!U25/Inputs!$F$248))/(1-Inputs!$F$75)+U148,0)</f>
        <v>0.0394928217107059</v>
      </c>
      <c r="V127" s="16" t="n">
        <f aca="false">IF(Time!V53=1,(Inputs!$F$76*V11+Inputs!$F$77*V12+Inputs!$F$78*(V13+(Inputs!$F$95/100*Inputs!$F$96/100)*Time!V25/Inputs!$F$248))/(1-Inputs!$F$75)+V148,0)</f>
        <v>0.0398033194417398</v>
      </c>
      <c r="W127" s="16" t="n">
        <f aca="false">IF(Time!W53=1,(Inputs!$F$76*W11+Inputs!$F$77*W12+Inputs!$F$78*(W13+(Inputs!$F$95/100*Inputs!$F$96/100)*Time!W25/Inputs!$F$248))/(1-Inputs!$F$75)+W148,0)</f>
        <v>0.0393372926796081</v>
      </c>
      <c r="X127" s="16" t="n">
        <f aca="false">IF(Time!X53=1,(Inputs!$F$76*X11+Inputs!$F$77*X12+Inputs!$F$78*(X13+(Inputs!$F$95/100*Inputs!$F$96/100)*Time!X25/Inputs!$F$248))/(1-Inputs!$F$75)+X148,0)</f>
        <v>0.0398030664931997</v>
      </c>
      <c r="Y127" s="16" t="n">
        <f aca="false">IF(Time!Y53=1,(Inputs!$F$76*Y11+Inputs!$F$77*Y12+Inputs!$F$78*(Y13+(Inputs!$F$95/100*Inputs!$F$96/100)*Time!Y25/Inputs!$F$248))/(1-Inputs!$F$75)+Y148,0)</f>
        <v>0.0408533905167545</v>
      </c>
      <c r="Z127" s="16" t="n">
        <f aca="false">IF(Time!Z53=1,(Inputs!$F$76*Z11+Inputs!$F$77*Z12+Inputs!$F$78*(Z13+(Inputs!$F$95/100*Inputs!$F$96/100)*Time!Z25/Inputs!$F$248))/(1-Inputs!$F$75)+Z148,0)</f>
        <v>0.0413441997602305</v>
      </c>
      <c r="AA127" s="16" t="n">
        <f aca="false">IF(Time!AA53=1,(Inputs!$F$76*AA11+Inputs!$F$77*AA12+Inputs!$F$78*(AA13+(Inputs!$F$95/100*Inputs!$F$96/100)*Time!AA25/Inputs!$F$248))/(1-Inputs!$F$75)+AA148,0)</f>
        <v>0.0408531352827775</v>
      </c>
      <c r="AB127" s="16" t="n">
        <f aca="false">IF(Time!AB53=1,(Inputs!$F$76*AB11+Inputs!$F$77*AB12+Inputs!$F$78*(AB13+(Inputs!$F$95/100*Inputs!$F$96/100)*Time!AB25/Inputs!$F$248))/(1-Inputs!$F$75)+AB148,0)</f>
        <v>0.0413438737332258</v>
      </c>
      <c r="AC127" s="16" t="n">
        <f aca="false">IF(Time!AC53=1,(Inputs!$F$76*AC11+Inputs!$F$77*AC12+Inputs!$F$78*(AC13+(Inputs!$F$95/100*Inputs!$F$96/100)*Time!AC25/Inputs!$F$248))/(1-Inputs!$F$75)+AC148,0)</f>
        <v>0.0410164919574815</v>
      </c>
      <c r="AD127" s="16" t="n">
        <f aca="false">IF(Time!AD53=1,(Inputs!$F$76*AD11+Inputs!$F$77*AD12+Inputs!$F$78*(AD13+(Inputs!$F$95/100*Inputs!$F$96/100)*Time!AD25/Inputs!$F$248))/(1-Inputs!$F$75)+AD148,0)</f>
        <v>0.0413435531326107</v>
      </c>
      <c r="AE127" s="16" t="n">
        <f aca="false">IF(Time!AE53=1,(Inputs!$F$76*AE11+Inputs!$F$77*AE12+Inputs!$F$78*(AE13+(Inputs!$F$95/100*Inputs!$F$96/100)*Time!AE25/Inputs!$F$248))/(1-Inputs!$F$75)+AE148,0)</f>
        <v>0.040852653653406</v>
      </c>
      <c r="AF127" s="16" t="n">
        <f aca="false">IF(Time!AF53=1,(Inputs!$F$76*AF11+Inputs!$F$77*AF12+Inputs!$F$78*(AF13+(Inputs!$F$95/100*Inputs!$F$96/100)*Time!AF25/Inputs!$F$248))/(1-Inputs!$F$75)+AF148,0)</f>
        <v>0.0413433069151729</v>
      </c>
      <c r="AG127" s="16" t="n">
        <f aca="false">IF(Time!AG53=1,(Inputs!$F$76*AG11+Inputs!$F$77*AG12+Inputs!$F$78*(AG13+(Inputs!$F$95/100*Inputs!$F$96/100)*Time!AG25/Inputs!$F$248))/(1-Inputs!$F$75)+AG148,0)</f>
        <v>0.0423687865848416</v>
      </c>
      <c r="AH127" s="16" t="n">
        <f aca="false">IF(Time!AH53=1,(Inputs!$F$76*AH11+Inputs!$F$77*AH12+Inputs!$F$78*(AH13+(Inputs!$F$95/100*Inputs!$F$96/100)*Time!AH25/Inputs!$F$248))/(1-Inputs!$F$75)+AH148,0)</f>
        <v>0.0428845210777417</v>
      </c>
      <c r="AI127" s="16" t="n">
        <f aca="false">IF(Time!AI53=1,(Inputs!$F$76*AI11+Inputs!$F$77*AI12+Inputs!$F$78*(AI13+(Inputs!$F$95/100*Inputs!$F$96/100)*Time!AI25/Inputs!$F$248))/(1-Inputs!$F$75)+AI148,0)</f>
        <v>0.0423686160946569</v>
      </c>
      <c r="AJ127" s="16" t="n">
        <f aca="false">IF(Time!AJ53=1,(Inputs!$F$76*AJ11+Inputs!$F$77*AJ12+Inputs!$F$78*(AJ13+(Inputs!$F$95/100*Inputs!$F$96/100)*Time!AJ25/Inputs!$F$248))/(1-Inputs!$F$75)+AJ148,0)</f>
        <v>0.0428843350337254</v>
      </c>
      <c r="AK127" s="16" t="n">
        <f aca="false">IF(Time!AK53=1,(Inputs!$F$76*AK11+Inputs!$F$77*AK12+Inputs!$F$78*(AK13+(Inputs!$F$95/100*Inputs!$F$96/100)*Time!AK25/Inputs!$F$248))/(1-Inputs!$F$75)+AK148,0)</f>
        <v>0.0425404353193249</v>
      </c>
      <c r="AL127" s="16" t="n">
        <f aca="false">IF(Time!AL53=1,(Inputs!$F$76*AL11+Inputs!$F$77*AL12+Inputs!$F$78*(AL13+(Inputs!$F$95/100*Inputs!$F$96/100)*Time!AL25/Inputs!$F$248))/(1-Inputs!$F$75)+AL148,0)</f>
        <v>0.0428842839818934</v>
      </c>
      <c r="AM127" s="16" t="n">
        <f aca="false">IF(Time!AM53=1,(Inputs!$F$76*AM11+Inputs!$F$77*AM12+Inputs!$F$78*(AM13+(Inputs!$F$95/100*Inputs!$F$96/100)*Time!AM25/Inputs!$F$248))/(1-Inputs!$F$75)+AM148,0)</f>
        <v>0.042368636749308</v>
      </c>
      <c r="AN127" s="16" t="n">
        <f aca="false">IF(Time!AN53=1,(Inputs!$F$76*AN11+Inputs!$F$77*AN12+Inputs!$F$78*(AN13+(Inputs!$F$95/100*Inputs!$F$96/100)*Time!AN25/Inputs!$F$248))/(1-Inputs!$F$75)+AN148,0)</f>
        <v>0.0428849606779682</v>
      </c>
      <c r="AO127" s="16" t="n">
        <f aca="false">IF(Time!AO53=1,(Inputs!$F$76*AO11+Inputs!$F$77*AO12+Inputs!$F$78*(AO13+(Inputs!$F$95/100*Inputs!$F$96/100)*Time!AO25/Inputs!$F$248))/(1-Inputs!$F$75)+AO148,0)</f>
        <v>0.0423691162225063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793.785275128796</v>
      </c>
      <c r="R128" s="13" t="n">
        <f aca="false">IF(Time!R53=1,(Waterfall!R7+S128)/(1+R127),0)</f>
        <v>774.829800274707</v>
      </c>
      <c r="S128" s="13" t="n">
        <f aca="false">IF(Time!S53=1,(Waterfall!S7+T128)/(1+S127),0)</f>
        <v>754.900239983008</v>
      </c>
      <c r="T128" s="13" t="n">
        <f aca="false">IF(Time!T53=1,(Waterfall!T7+U128)/(1+T127),0)</f>
        <v>734.172981273375</v>
      </c>
      <c r="U128" s="13" t="n">
        <f aca="false">IF(Time!U53=1,(Waterfall!U7+V128)/(1+U127),0)</f>
        <v>712.393459906629</v>
      </c>
      <c r="V128" s="13" t="n">
        <f aca="false">IF(Time!V53=1,(Waterfall!V7+W128)/(1+V127),0)</f>
        <v>689.855575221809</v>
      </c>
      <c r="W128" s="13" t="n">
        <f aca="false">IF(Time!W53=1,(Waterfall!W7+X128)/(1+W127),0)</f>
        <v>666.14476116501</v>
      </c>
      <c r="X128" s="13" t="n">
        <f aca="false">IF(Time!X53=1,(Waterfall!X7+Y128)/(1+X127),0)</f>
        <v>640.946643211113</v>
      </c>
      <c r="Y128" s="13" t="n">
        <f aca="false">IF(Time!Y53=1,(Waterfall!Y7+Z128)/(1+Y127),0)</f>
        <v>614.507988267202</v>
      </c>
      <c r="Z128" s="13" t="n">
        <f aca="false">IF(Time!Z53=1,(Waterfall!Z7+AA128)/(1+Z127),0)</f>
        <v>590.15172887105</v>
      </c>
      <c r="AA128" s="13" t="n">
        <f aca="false">IF(Time!AA53=1,(Waterfall!AA7+AB128)/(1+AA127),0)</f>
        <v>564.579286118198</v>
      </c>
      <c r="AB128" s="13" t="n">
        <f aca="false">IF(Time!AB53=1,(Waterfall!AB7+AC128)/(1+AB127),0)</f>
        <v>538.260020167809</v>
      </c>
      <c r="AC128" s="13" t="n">
        <f aca="false">IF(Time!AC53=1,(Waterfall!AC7+AD128)/(1+AC127),0)</f>
        <v>510.53175477673</v>
      </c>
      <c r="AD128" s="13" t="n">
        <f aca="false">IF(Time!AD53=1,(Waterfall!AD7+AE128)/(1+AD127),0)</f>
        <v>481.827609647457</v>
      </c>
      <c r="AE128" s="13" t="n">
        <f aca="false">IF(Time!AE53=1,(Waterfall!AE7+AF128)/(1+AE127),0)</f>
        <v>451.546517047948</v>
      </c>
      <c r="AF128" s="13" t="n">
        <f aca="false">IF(Time!AF53=1,(Waterfall!AF7+AG128)/(1+AF127),0)</f>
        <v>418.618144331082</v>
      </c>
      <c r="AG128" s="13" t="n">
        <f aca="false">IF(Time!AG53=1,(Waterfall!AG7+AH128)/(1+AG127),0)</f>
        <v>383.542024936466</v>
      </c>
      <c r="AH128" s="13" t="n">
        <f aca="false">IF(Time!AH53=1,(Waterfall!AH7+AI128)/(1+AH127),0)</f>
        <v>348.264995953772</v>
      </c>
      <c r="AI128" s="13" t="n">
        <f aca="false">IF(Time!AI53=1,(Waterfall!AI7+AJ128)/(1+AI127),0)</f>
        <v>311.019633062785</v>
      </c>
      <c r="AJ128" s="13" t="n">
        <f aca="false">IF(Time!AJ53=1,(Waterfall!AJ7+AK128)/(1+AJ127),0)</f>
        <v>272.368286731742</v>
      </c>
      <c r="AK128" s="13" t="n">
        <f aca="false">IF(Time!AK53=1,(Waterfall!AK7+AL128)/(1+AK127),0)</f>
        <v>231.599522968433</v>
      </c>
      <c r="AL128" s="13" t="n">
        <f aca="false">IF(Time!AL53=1,(Waterfall!AL7+AM128)/(1+AL127),0)</f>
        <v>189.346914404538</v>
      </c>
      <c r="AM128" s="13" t="n">
        <f aca="false">IF(Time!AM53=1,(Waterfall!AM7+AN128)/(1+AM127),0)</f>
        <v>144.815470005841</v>
      </c>
      <c r="AN128" s="13" t="n">
        <f aca="false">IF(Time!AN53=1,(Waterfall!AN7+AO128)/(1+AN127),0)</f>
        <v>97.9664875436142</v>
      </c>
      <c r="AO128" s="13" t="n">
        <f aca="false">IF(Time!AO53=1,(Waterfall!AO7+AP128)/(1+AO127),0)</f>
        <v>48.6005422445874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1.27967898365327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620.15780662514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665.623727069409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39.2047033411105</v>
      </c>
      <c r="R132" s="13" t="n">
        <f aca="false">IF(Time!R53=1,(Waterfall!R7)/$F$129,0)</f>
        <v>39.6653892206414</v>
      </c>
      <c r="S132" s="13" t="n">
        <f aca="false">IF(Time!S53=1,(Waterfall!S7)/$F$129,0)</f>
        <v>39.4031000619916</v>
      </c>
      <c r="T132" s="13" t="n">
        <f aca="false">IF(Time!T53=1,(Waterfall!T7)/$F$129,0)</f>
        <v>39.8555029549857</v>
      </c>
      <c r="U132" s="13" t="n">
        <f aca="false">IF(Time!U53=1,(Waterfall!U7)/$F$129,0)</f>
        <v>39.5976750670106</v>
      </c>
      <c r="V132" s="13" t="n">
        <f aca="false">IF(Time!V53=1,(Waterfall!V7)/$F$129,0)</f>
        <v>39.9860875576295</v>
      </c>
      <c r="W132" s="13" t="n">
        <f aca="false">IF(Time!W53=1,(Waterfall!W7)/$F$129,0)</f>
        <v>40.1682375403927</v>
      </c>
      <c r="X132" s="13" t="n">
        <f aca="false">IF(Time!X53=1,(Waterfall!X7)/$F$129,0)</f>
        <v>40.596350698771</v>
      </c>
      <c r="Y132" s="13" t="n">
        <f aca="false">IF(Time!Y53=1,(Waterfall!Y7)/$F$129,0)</f>
        <v>38.6510951952145</v>
      </c>
      <c r="Z132" s="13" t="n">
        <f aca="false">IF(Time!Z53=1,(Waterfall!Z7)/$F$129,0)</f>
        <v>39.050257414934</v>
      </c>
      <c r="AA132" s="13" t="n">
        <f aca="false">IF(Time!AA53=1,(Waterfall!AA7)/$F$129,0)</f>
        <v>38.5910064436992</v>
      </c>
      <c r="AB132" s="13" t="n">
        <f aca="false">IF(Time!AB53=1,(Waterfall!AB7)/$F$129,0)</f>
        <v>39.0582484662289</v>
      </c>
      <c r="AC132" s="13" t="n">
        <f aca="false">IF(Time!AC53=1,(Waterfall!AC7)/$F$129,0)</f>
        <v>38.7943909193424</v>
      </c>
      <c r="AD132" s="13" t="n">
        <f aca="false">IF(Time!AD53=1,(Waterfall!AD7)/$F$129,0)</f>
        <v>39.2298057723899</v>
      </c>
      <c r="AE132" s="13" t="n">
        <f aca="false">IF(Time!AE53=1,(Waterfall!AE7)/$F$129,0)</f>
        <v>40.1469797054567</v>
      </c>
      <c r="AF132" s="13" t="n">
        <f aca="false">IF(Time!AF53=1,(Waterfall!AF7)/$F$129,0)</f>
        <v>40.9346238276182</v>
      </c>
      <c r="AG132" s="13" t="n">
        <f aca="false">IF(Time!AG53=1,(Waterfall!AG7)/$F$129,0)</f>
        <v>40.2657540224997</v>
      </c>
      <c r="AH132" s="13" t="n">
        <f aca="false">IF(Time!AH53=1,(Waterfall!AH7)/$F$129,0)</f>
        <v>40.7762736726674</v>
      </c>
      <c r="AI132" s="13" t="n">
        <f aca="false">IF(Time!AI53=1,(Waterfall!AI7)/$F$129,0)</f>
        <v>40.5014213910259</v>
      </c>
      <c r="AJ132" s="13" t="n">
        <f aca="false">IF(Time!AJ53=1,(Waterfall!AJ7)/$F$129,0)</f>
        <v>40.9861358153599</v>
      </c>
      <c r="AK132" s="13" t="n">
        <f aca="false">IF(Time!AK53=1,(Waterfall!AK7)/$F$129,0)</f>
        <v>40.7172062339958</v>
      </c>
      <c r="AL132" s="13" t="n">
        <f aca="false">IF(Time!AL53=1,(Waterfall!AL7)/$F$129,0)</f>
        <v>41.1442650224703</v>
      </c>
      <c r="AM132" s="13" t="n">
        <f aca="false">IF(Time!AM53=1,(Waterfall!AM7)/$F$129,0)</f>
        <v>41.4046156758176</v>
      </c>
      <c r="AN132" s="13" t="n">
        <f aca="false">IF(Time!AN53=1,(Waterfall!AN7)/$F$129,0)</f>
        <v>41.8598999822343</v>
      </c>
      <c r="AO132" s="13" t="n">
        <f aca="false">IF(Time!AO53=1,(Waterfall!AO7)/$F$129,0)</f>
        <v>39.5878223480704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0</v>
      </c>
      <c r="Q133" s="13" t="n">
        <f aca="false">IF(Time!Q53=1,IF(Time!Q20=Time!$F$13,Funding!$F$25*(1-Inputs!$F$75),P133-P134),0)</f>
        <v>457.965735740758</v>
      </c>
      <c r="R133" s="13" t="n">
        <f aca="false">IF(Time!R53=1,IF(Time!R20=Time!$F$13,Funding!$F$25*(1-Inputs!$F$75),Q133-Q134),0)</f>
        <v>448.886900755459</v>
      </c>
      <c r="S133" s="13" t="n">
        <f aca="false">IF(Time!S53=1,IF(Time!S20=Time!$F$13,Funding!$F$25*(1-Inputs!$F$75),R133-R134),0)</f>
        <v>439.061582629012</v>
      </c>
      <c r="T133" s="13" t="n">
        <f aca="false">IF(Time!T53=1,IF(Time!T20=Time!$F$13,Funding!$F$25*(1-Inputs!$F$75),S133-S134),0)</f>
        <v>428.708290218138</v>
      </c>
      <c r="U133" s="13" t="n">
        <f aca="false">IF(Time!U53=1,IF(Time!U20=Time!$F$13,Funding!$F$25*(1-Inputs!$F$75),T133-T134),0)</f>
        <v>417.554406153926</v>
      </c>
      <c r="V133" s="13" t="n">
        <f aca="false">IF(Time!V53=1,IF(Time!V20=Time!$F$13,Funding!$F$25*(1-Inputs!$F$75),U133-U134),0)</f>
        <v>405.893301869275</v>
      </c>
      <c r="W133" s="13" t="n">
        <f aca="false">IF(Time!W53=1,IF(Time!W20=Time!$F$13,Funding!$F$25*(1-Inputs!$F$75),V133-V134),0)</f>
        <v>393.356315852318</v>
      </c>
      <c r="X133" s="13" t="n">
        <f aca="false">IF(Time!X53=1,IF(Time!X20=Time!$F$13,Funding!$F$25*(1-Inputs!$F$75),W133-W134),0)</f>
        <v>379.756702970949</v>
      </c>
      <c r="Y133" s="13" t="n">
        <f aca="false">IF(Time!Y53=1,IF(Time!Y20=Time!$F$13,Funding!$F$25*(1-Inputs!$F$75),X133-X134),0)</f>
        <v>365.224762653119</v>
      </c>
      <c r="Z133" s="13" t="n">
        <f aca="false">IF(Time!Z53=1,IF(Time!Z20=Time!$F$13,Funding!$F$25*(1-Inputs!$F$75),Y133-Y134),0)</f>
        <v>352.247864717289</v>
      </c>
      <c r="AA133" s="13" t="n">
        <f aca="false">IF(Time!AA53=1,IF(Time!AA20=Time!$F$13,Funding!$F$25*(1-Inputs!$F$75),Z133-Z134),0)</f>
        <v>338.3656711695</v>
      </c>
      <c r="AB133" s="13" t="n">
        <f aca="false">IF(Time!AB53=1,IF(Time!AB20=Time!$F$13,Funding!$F$25*(1-Inputs!$F$75),AA133-AA134),0)</f>
        <v>324.009968115948</v>
      </c>
      <c r="AC133" s="13" t="n">
        <f aca="false">IF(Time!AC53=1,IF(Time!AC20=Time!$F$13,Funding!$F$25*(1-Inputs!$F$75),AB133-AB134),0)</f>
        <v>308.607941733884</v>
      </c>
      <c r="AD133" s="13" t="n">
        <f aca="false">IF(Time!AD53=1,IF(Time!AD20=Time!$F$13,Funding!$F$25*(1-Inputs!$F$75),AC133-AC134),0)</f>
        <v>292.547982107965</v>
      </c>
      <c r="AE133" s="13" t="n">
        <f aca="false">IF(Time!AE53=1,IF(Time!AE20=Time!$F$13,Funding!$F$25*(1-Inputs!$F$75),AD133-AD134),0)</f>
        <v>275.329292092245</v>
      </c>
      <c r="AF133" s="13" t="n">
        <f aca="false">IF(Time!AF53=1,IF(Time!AF20=Time!$F$13,Funding!$F$25*(1-Inputs!$F$75),AE133-AE134),0)</f>
        <v>256.159230877147</v>
      </c>
      <c r="AG133" s="13" t="n">
        <f aca="false">IF(Time!AG53=1,IF(Time!AG20=Time!$F$13,Funding!$F$25*(1-Inputs!$F$75),AF133-AF134),0)</f>
        <v>235.386983213512</v>
      </c>
      <c r="AH133" s="13" t="n">
        <f aca="false">IF(Time!AH53=1,IF(Time!AH20=Time!$F$13,Funding!$F$25*(1-Inputs!$F$75),AG133-AG134),0)</f>
        <v>214.481782611882</v>
      </c>
      <c r="AI133" s="13" t="n">
        <f aca="false">IF(Time!AI53=1,IF(Time!AI20=Time!$F$13,Funding!$F$25*(1-Inputs!$F$75),AH133-AH134),0)</f>
        <v>192.131136299369</v>
      </c>
      <c r="AJ133" s="13" t="n">
        <f aca="false">IF(Time!AJ53=1,IF(Time!AJ20=Time!$F$13,Funding!$F$25*(1-Inputs!$F$75),AI133-AI134),0)</f>
        <v>168.816050372378</v>
      </c>
      <c r="AK133" s="13" t="n">
        <f aca="false">IF(Time!AK53=1,IF(Time!AK20=Time!$F$13,Funding!$F$25*(1-Inputs!$F$75),AJ133-AJ134),0)</f>
        <v>143.952939277384</v>
      </c>
      <c r="AL133" s="13" t="n">
        <f aca="false">IF(Time!AL53=1,IF(Time!AL20=Time!$F$13,Funding!$F$25*(1-Inputs!$F$75),AK133-AK134),0)</f>
        <v>118.066355932935</v>
      </c>
      <c r="AM133" s="13" t="n">
        <f aca="false">IF(Time!AM53=1,IF(Time!AM20=Time!$F$13,Funding!$F$25*(1-Inputs!$F$75),AL133-AL134),0)</f>
        <v>90.5245346099274</v>
      </c>
      <c r="AN133" s="13" t="n">
        <f aca="false">IF(Time!AN53=1,IF(Time!AN20=Time!$F$13,Funding!$F$25*(1-Inputs!$F$75),AM133-AM134),0)</f>
        <v>61.318374839727</v>
      </c>
      <c r="AO133" s="13" t="n">
        <f aca="false">IF(Time!AO53=1,IF(Time!AO20=Time!$F$13,Funding!$F$25*(1-Inputs!$F$75),AN133-AN134),0)</f>
        <v>30.2831684501256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0</v>
      </c>
      <c r="Q134" s="13" t="n">
        <f aca="false">Q132-Q149-Q133*Q127</f>
        <v>9.0788349852989</v>
      </c>
      <c r="R134" s="13" t="n">
        <f aca="false">R132-R149-R133*R127</f>
        <v>9.8253181264467</v>
      </c>
      <c r="S134" s="13" t="n">
        <f aca="false">S132-S149-S133*S127</f>
        <v>10.3532924108744</v>
      </c>
      <c r="T134" s="13" t="n">
        <f aca="false">T132-T149-T133*T127</f>
        <v>11.1538840642122</v>
      </c>
      <c r="U134" s="13" t="n">
        <f aca="false">U132-U149-U133*U127</f>
        <v>11.6611042846511</v>
      </c>
      <c r="V134" s="13" t="n">
        <f aca="false">V132-V149-V133*V127</f>
        <v>12.5369860169569</v>
      </c>
      <c r="W134" s="13" t="n">
        <f aca="false">W132-W149-W133*W127</f>
        <v>13.599612881369</v>
      </c>
      <c r="X134" s="13" t="n">
        <f aca="false">X132-X149-X133*X127</f>
        <v>14.5319403178294</v>
      </c>
      <c r="Y134" s="13" t="n">
        <f aca="false">Y132-Y149-Y133*Y127</f>
        <v>12.9768979358305</v>
      </c>
      <c r="Z134" s="13" t="n">
        <f aca="false">Z132-Z149-Z133*Z127</f>
        <v>13.8821935477892</v>
      </c>
      <c r="AA134" s="13" t="n">
        <f aca="false">AA132-AA149-AA133*AA127</f>
        <v>14.355703053552</v>
      </c>
      <c r="AB134" s="13" t="n">
        <f aca="false">AB132-AB149-AB133*AB127</f>
        <v>15.4020263820643</v>
      </c>
      <c r="AC134" s="13" t="n">
        <f aca="false">AC132-AC149-AC133*AC127</f>
        <v>16.0599596259186</v>
      </c>
      <c r="AD134" s="13" t="n">
        <f aca="false">AD132-AD149-AD133*AD127</f>
        <v>17.2186900157195</v>
      </c>
      <c r="AE134" s="13" t="n">
        <f aca="false">AE132-AE149-AE133*AE127</f>
        <v>19.1700612150983</v>
      </c>
      <c r="AF134" s="13" t="n">
        <f aca="false">AF132-AF149-AF133*AF127</f>
        <v>20.7722476636354</v>
      </c>
      <c r="AG134" s="13" t="n">
        <f aca="false">AG132-AG149-AG133*AG127</f>
        <v>20.9052006016296</v>
      </c>
      <c r="AH134" s="13" t="n">
        <f aca="false">AH132-AH149-AH133*AH127</f>
        <v>22.3506463125133</v>
      </c>
      <c r="AI134" s="13" t="n">
        <f aca="false">AI132-AI149-AI133*AI127</f>
        <v>23.3150859269912</v>
      </c>
      <c r="AJ134" s="13" t="n">
        <f aca="false">AJ132-AJ149-AJ133*AJ127</f>
        <v>24.8631110949936</v>
      </c>
      <c r="AK134" s="13" t="n">
        <f aca="false">AK132-AK149-AK133*AK127</f>
        <v>25.8865833444493</v>
      </c>
      <c r="AL134" s="13" t="n">
        <f aca="false">AL132-AL149-AL133*AL127</f>
        <v>27.5418213230072</v>
      </c>
      <c r="AM134" s="13" t="n">
        <f aca="false">AM132-AM149-AM133*AM127</f>
        <v>29.2061597702005</v>
      </c>
      <c r="AN134" s="13" t="n">
        <f aca="false">AN132-AN149-AN133*AN127</f>
        <v>31.0352063896014</v>
      </c>
      <c r="AO134" s="13" t="n">
        <f aca="false">AO132-AO149-AO133*AO127</f>
        <v>30.2831684501256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-2.83641341546886</v>
      </c>
      <c r="K137" s="3" t="n">
        <f aca="false">(Time!K23-Time!$F$8)/Inputs!$F$1320</f>
        <v>-2.34086242299795</v>
      </c>
      <c r="L137" s="3" t="n">
        <f aca="false">(Time!L23-Time!$F$8)/Inputs!$F$1320</f>
        <v>-1.83709787816564</v>
      </c>
      <c r="M137" s="3" t="n">
        <f aca="false">(Time!M23-Time!$F$8)/Inputs!$F$1320</f>
        <v>-1.3388090349076</v>
      </c>
      <c r="N137" s="3" t="n">
        <f aca="false">(Time!N23-Time!$F$8)/Inputs!$F$1320</f>
        <v>-0.835044490075291</v>
      </c>
      <c r="O137" s="3" t="n">
        <f aca="false">(Time!O23-Time!$F$8)/Inputs!$F$1320</f>
        <v>-0.339493497604381</v>
      </c>
      <c r="P137" s="3" t="n">
        <f aca="false">(Time!P23-Time!$F$8)/Inputs!$F$1320</f>
        <v>0.164271047227926</v>
      </c>
      <c r="Q137" s="3" t="n">
        <f aca="false">(Time!Q23-Time!$F$8)/Inputs!$F$1320</f>
        <v>0.659822039698837</v>
      </c>
      <c r="R137" s="3" t="n">
        <f aca="false">(Time!R23-Time!$F$8)/Inputs!$F$1320</f>
        <v>1.16358658453114</v>
      </c>
      <c r="S137" s="3" t="n">
        <f aca="false">(Time!S23-Time!$F$8)/Inputs!$F$1320</f>
        <v>1.65913757700205</v>
      </c>
      <c r="T137" s="3" t="n">
        <f aca="false">(Time!T23-Time!$F$8)/Inputs!$F$1320</f>
        <v>2.16290212183436</v>
      </c>
      <c r="U137" s="3" t="n">
        <f aca="false">(Time!U23-Time!$F$8)/Inputs!$F$1320</f>
        <v>2.6611909650924</v>
      </c>
      <c r="V137" s="3" t="n">
        <f aca="false">(Time!V23-Time!$F$8)/Inputs!$F$1320</f>
        <v>3.16495550992471</v>
      </c>
      <c r="W137" s="3" t="n">
        <f aca="false">(Time!W23-Time!$F$8)/Inputs!$F$1320</f>
        <v>3.66050650239562</v>
      </c>
      <c r="X137" s="3" t="n">
        <f aca="false">(Time!X23-Time!$F$8)/Inputs!$F$1320</f>
        <v>4.16427104722793</v>
      </c>
      <c r="Y137" s="3" t="n">
        <f aca="false">(Time!Y23-Time!$F$8)/Inputs!$F$1320</f>
        <v>4.65982203969884</v>
      </c>
      <c r="Z137" s="3" t="n">
        <f aca="false">(Time!Z23-Time!$F$8)/Inputs!$F$1320</f>
        <v>5.16358658453114</v>
      </c>
      <c r="AA137" s="3" t="n">
        <f aca="false">(Time!AA23-Time!$F$8)/Inputs!$F$1320</f>
        <v>5.65913757700205</v>
      </c>
      <c r="AB137" s="3" t="n">
        <f aca="false">(Time!AB23-Time!$F$8)/Inputs!$F$1320</f>
        <v>6.16290212183436</v>
      </c>
      <c r="AC137" s="3" t="n">
        <f aca="false">(Time!AC23-Time!$F$8)/Inputs!$F$1320</f>
        <v>6.6611909650924</v>
      </c>
      <c r="AD137" s="3" t="n">
        <f aca="false">(Time!AD23-Time!$F$8)/Inputs!$F$1320</f>
        <v>7.16495550992471</v>
      </c>
      <c r="AE137" s="3" t="n">
        <f aca="false">(Time!AE23-Time!$F$8)/Inputs!$F$1320</f>
        <v>7.66050650239562</v>
      </c>
      <c r="AF137" s="3" t="n">
        <f aca="false">(Time!AF23-Time!$F$8)/Inputs!$F$1320</f>
        <v>8.16427104722793</v>
      </c>
      <c r="AG137" s="3" t="n">
        <f aca="false">(Time!AG23-Time!$F$8)/Inputs!$F$1320</f>
        <v>8.65982203969884</v>
      </c>
      <c r="AH137" s="3" t="n">
        <f aca="false">(Time!AH23-Time!$F$8)/Inputs!$F$1320</f>
        <v>9.16358658453114</v>
      </c>
      <c r="AI137" s="3" t="n">
        <f aca="false">(Time!AI23-Time!$F$8)/Inputs!$F$1320</f>
        <v>9.65913757700205</v>
      </c>
      <c r="AJ137" s="3" t="n">
        <f aca="false">(Time!AJ23-Time!$F$8)/Inputs!$F$1320</f>
        <v>10.1629021218344</v>
      </c>
      <c r="AK137" s="3" t="n">
        <f aca="false">(Time!AK23-Time!$F$8)/Inputs!$F$1320</f>
        <v>10.6611909650924</v>
      </c>
      <c r="AL137" s="3" t="n">
        <f aca="false">(Time!AL23-Time!$F$8)/Inputs!$F$1320</f>
        <v>11.1649555099247</v>
      </c>
      <c r="AM137" s="3" t="n">
        <f aca="false">(Time!AM23-Time!$F$8)/Inputs!$F$1320</f>
        <v>11.6605065023956</v>
      </c>
      <c r="AN137" s="3" t="n">
        <f aca="false">(Time!AN23-Time!$F$8)/Inputs!$F$1320</f>
        <v>12.1642710472279</v>
      </c>
      <c r="AO137" s="3" t="n">
        <f aca="false">(Time!AO23-Time!$F$8)/Inputs!$F$1320</f>
        <v>12.6598220396988</v>
      </c>
      <c r="AP137" s="3" t="n">
        <f aca="false">(Time!AP23-Time!$F$8)/Inputs!$F$1320</f>
        <v>13.1635865845311</v>
      </c>
      <c r="AQ137" s="3" t="n">
        <f aca="false">(Time!AQ23-Time!$F$8)/Inputs!$F$1320</f>
        <v>13.6591375770021</v>
      </c>
      <c r="AR137" s="3" t="n">
        <f aca="false">(Time!AR23-Time!$F$8)/Inputs!$F$1320</f>
        <v>14.1629021218344</v>
      </c>
      <c r="AS137" s="3" t="n">
        <f aca="false">(Time!AS23-Time!$F$8)/Inputs!$F$1320</f>
        <v>14.6611909650924</v>
      </c>
      <c r="AT137" s="3" t="n">
        <f aca="false">(Time!AT23-Time!$F$8)/Inputs!$F$1320</f>
        <v>15.1649555099247</v>
      </c>
      <c r="AU137" s="3" t="n">
        <f aca="false">(Time!AU23-Time!$F$8)/Inputs!$F$1320</f>
        <v>15.6605065023956</v>
      </c>
      <c r="AV137" s="3" t="n">
        <f aca="false">(Time!AV23-Time!$F$8)/Inputs!$F$1320</f>
        <v>16.1642710472279</v>
      </c>
      <c r="AW137" s="3" t="n">
        <f aca="false">(Time!AW23-Time!$F$8)/Inputs!$F$1320</f>
        <v>16.6598220396988</v>
      </c>
      <c r="AX137" s="3" t="n">
        <f aca="false">(Time!AX23-Time!$F$8)/Inputs!$F$1320</f>
        <v>17.1635865845311</v>
      </c>
      <c r="AY137" s="3" t="n">
        <f aca="false">(Time!AY23-Time!$F$8)/Inputs!$F$1320</f>
        <v>17.6591375770021</v>
      </c>
      <c r="AZ137" s="3" t="n">
        <f aca="false">(Time!AZ23-Time!$F$8)/Inputs!$F$1320</f>
        <v>18.1629021218344</v>
      </c>
      <c r="BA137" s="3" t="n">
        <f aca="false">(Time!BA23-Time!$F$8)/Inputs!$F$1320</f>
        <v>18.6611909650924</v>
      </c>
      <c r="BB137" s="3" t="n">
        <f aca="false">(Time!BB23-Time!$F$8)/Inputs!$F$1320</f>
        <v>19.1649555099247</v>
      </c>
      <c r="BC137" s="3" t="n">
        <f aca="false">(Time!BC23-Time!$F$8)/Inputs!$F$1320</f>
        <v>19.6605065023956</v>
      </c>
      <c r="BD137" s="3" t="n">
        <f aca="false">(Time!BD23-Time!$F$8)/Inputs!$F$1320</f>
        <v>20.1642710472279</v>
      </c>
      <c r="BE137" s="3" t="n">
        <f aca="false">(Time!BE23-Time!$F$8)/Inputs!$F$1320</f>
        <v>20.6598220396988</v>
      </c>
      <c r="BF137" s="3" t="n">
        <f aca="false">(Time!BF23-Time!$F$8)/Inputs!$F$1320</f>
        <v>21.1635865845311</v>
      </c>
      <c r="BG137" s="3" t="n">
        <f aca="false">(Time!BG23-Time!$F$8)/Inputs!$F$1320</f>
        <v>21.6591375770021</v>
      </c>
      <c r="BH137" s="3" t="n">
        <f aca="false">(Time!BH23-Time!$F$8)/Inputs!$F$1320</f>
        <v>22.1629021218344</v>
      </c>
      <c r="BI137" s="3" t="n">
        <f aca="false">(Time!BI23-Time!$F$8)/Inputs!$F$1320</f>
        <v>22.6611909650924</v>
      </c>
      <c r="BJ137" s="3" t="n">
        <f aca="false">(Time!BJ23-Time!$F$8)/Inputs!$F$1320</f>
        <v>23.1649555099247</v>
      </c>
      <c r="BK137" s="3" t="n">
        <f aca="false">(Time!BK23-Time!$F$8)/Inputs!$F$1320</f>
        <v>23.6605065023956</v>
      </c>
      <c r="BL137" s="3" t="n">
        <f aca="false">(Time!BL23-Time!$F$8)/Inputs!$F$1320</f>
        <v>24.1642710472279</v>
      </c>
      <c r="BM137" s="3" t="n">
        <f aca="false">(Time!BM23-Time!$F$8)/Inputs!$F$1320</f>
        <v>24.6598220396988</v>
      </c>
      <c r="BN137" s="3" t="n">
        <f aca="false">(Time!BN23-Time!$F$8)/Inputs!$F$1320</f>
        <v>25.1635865845311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6.6619575633128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0.04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12.6598220396988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0.12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</v>
      </c>
      <c r="Q145" s="11" t="n">
        <f aca="false">IF(Time!Q53=1,1/SUM(Time!$J$53:$BN$53),0)</f>
        <v>0.04</v>
      </c>
      <c r="R145" s="11" t="n">
        <f aca="false">IF(Time!R53=1,1/SUM(Time!$J$53:$BN$53),0)</f>
        <v>0.04</v>
      </c>
      <c r="S145" s="11" t="n">
        <f aca="false">IF(Time!S53=1,1/SUM(Time!$J$53:$BN$53),0)</f>
        <v>0.04</v>
      </c>
      <c r="T145" s="11" t="n">
        <f aca="false">IF(Time!T53=1,1/SUM(Time!$J$53:$BN$53),0)</f>
        <v>0.04</v>
      </c>
      <c r="U145" s="11" t="n">
        <f aca="false">IF(Time!U53=1,1/SUM(Time!$J$53:$BN$53),0)</f>
        <v>0.04</v>
      </c>
      <c r="V145" s="11" t="n">
        <f aca="false">IF(Time!V53=1,1/SUM(Time!$J$53:$BN$53),0)</f>
        <v>0.04</v>
      </c>
      <c r="W145" s="11" t="n">
        <f aca="false">IF(Time!W53=1,1/SUM(Time!$J$53:$BN$53),0)</f>
        <v>0.04</v>
      </c>
      <c r="X145" s="11" t="n">
        <f aca="false">IF(Time!X53=1,1/SUM(Time!$J$53:$BN$53),0)</f>
        <v>0.04</v>
      </c>
      <c r="Y145" s="11" t="n">
        <f aca="false">IF(Time!Y53=1,1/SUM(Time!$J$53:$BN$53),0)</f>
        <v>0.04</v>
      </c>
      <c r="Z145" s="11" t="n">
        <f aca="false">IF(Time!Z53=1,1/SUM(Time!$J$53:$BN$53),0)</f>
        <v>0.04</v>
      </c>
      <c r="AA145" s="11" t="n">
        <f aca="false">IF(Time!AA53=1,1/SUM(Time!$J$53:$BN$53),0)</f>
        <v>0.04</v>
      </c>
      <c r="AB145" s="11" t="n">
        <f aca="false">IF(Time!AB53=1,1/SUM(Time!$J$53:$BN$53),0)</f>
        <v>0.04</v>
      </c>
      <c r="AC145" s="11" t="n">
        <f aca="false">IF(Time!AC53=1,1/SUM(Time!$J$53:$BN$53),0)</f>
        <v>0.04</v>
      </c>
      <c r="AD145" s="11" t="n">
        <f aca="false">IF(Time!AD53=1,1/SUM(Time!$J$53:$BN$53),0)</f>
        <v>0.04</v>
      </c>
      <c r="AE145" s="11" t="n">
        <f aca="false">IF(Time!AE53=1,1/SUM(Time!$J$53:$BN$53),0)</f>
        <v>0.04</v>
      </c>
      <c r="AF145" s="11" t="n">
        <f aca="false">IF(Time!AF53=1,1/SUM(Time!$J$53:$BN$53),0)</f>
        <v>0.04</v>
      </c>
      <c r="AG145" s="11" t="n">
        <f aca="false">IF(Time!AG53=1,1/SUM(Time!$J$53:$BN$53),0)</f>
        <v>0.04</v>
      </c>
      <c r="AH145" s="11" t="n">
        <f aca="false">IF(Time!AH53=1,1/SUM(Time!$J$53:$BN$53),0)</f>
        <v>0.04</v>
      </c>
      <c r="AI145" s="11" t="n">
        <f aca="false">IF(Time!AI53=1,1/SUM(Time!$J$53:$BN$53),0)</f>
        <v>0.04</v>
      </c>
      <c r="AJ145" s="11" t="n">
        <f aca="false">IF(Time!AJ53=1,1/SUM(Time!$J$53:$BN$53),0)</f>
        <v>0.04</v>
      </c>
      <c r="AK145" s="11" t="n">
        <f aca="false">IF(Time!AK53=1,1/SUM(Time!$J$53:$BN$53),0)</f>
        <v>0.04</v>
      </c>
      <c r="AL145" s="11" t="n">
        <f aca="false">IF(Time!AL53=1,1/SUM(Time!$J$53:$BN$53),0)</f>
        <v>0.04</v>
      </c>
      <c r="AM145" s="11" t="n">
        <f aca="false">IF(Time!AM53=1,1/SUM(Time!$J$53:$BN$53),0)</f>
        <v>0.04</v>
      </c>
      <c r="AN145" s="11" t="n">
        <f aca="false">IF(Time!AN53=1,1/SUM(Time!$J$53:$BN$53),0)</f>
        <v>0.04</v>
      </c>
      <c r="AO145" s="11" t="n">
        <f aca="false">IF(Time!AO53=1,1/SUM(Time!$J$53:$BN$53),0)</f>
        <v>0.04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1</v>
      </c>
      <c r="R146" s="11" t="n">
        <f aca="false">SUM(R145:BN145)</f>
        <v>0.96</v>
      </c>
      <c r="S146" s="11" t="n">
        <f aca="false">SUM(S145:BN145)</f>
        <v>0.92</v>
      </c>
      <c r="T146" s="11" t="n">
        <f aca="false">SUM(T145:BN145)</f>
        <v>0.88</v>
      </c>
      <c r="U146" s="11" t="n">
        <f aca="false">SUM(U145:BN145)</f>
        <v>0.84</v>
      </c>
      <c r="V146" s="11" t="n">
        <f aca="false">SUM(V145:BN145)</f>
        <v>0.8</v>
      </c>
      <c r="W146" s="11" t="n">
        <f aca="false">SUM(W145:BN145)</f>
        <v>0.76</v>
      </c>
      <c r="X146" s="11" t="n">
        <f aca="false">SUM(X145:BN145)</f>
        <v>0.72</v>
      </c>
      <c r="Y146" s="11" t="n">
        <f aca="false">SUM(Y145:BN145)</f>
        <v>0.68</v>
      </c>
      <c r="Z146" s="11" t="n">
        <f aca="false">SUM(Z145:BN145)</f>
        <v>0.64</v>
      </c>
      <c r="AA146" s="11" t="n">
        <f aca="false">SUM(AA145:BN145)</f>
        <v>0.6</v>
      </c>
      <c r="AB146" s="11" t="n">
        <f aca="false">SUM(AB145:BN145)</f>
        <v>0.56</v>
      </c>
      <c r="AC146" s="11" t="n">
        <f aca="false">SUM(AC145:BN145)</f>
        <v>0.52</v>
      </c>
      <c r="AD146" s="11" t="n">
        <f aca="false">SUM(AD145:BN145)</f>
        <v>0.48</v>
      </c>
      <c r="AE146" s="11" t="n">
        <f aca="false">SUM(AE145:BN145)</f>
        <v>0.44</v>
      </c>
      <c r="AF146" s="11" t="n">
        <f aca="false">SUM(AF145:BN145)</f>
        <v>0.4</v>
      </c>
      <c r="AG146" s="11" t="n">
        <f aca="false">SUM(AG145:BN145)</f>
        <v>0.36</v>
      </c>
      <c r="AH146" s="11" t="n">
        <f aca="false">SUM(AH145:BN145)</f>
        <v>0.32</v>
      </c>
      <c r="AI146" s="11" t="n">
        <f aca="false">SUM(AI145:BN145)</f>
        <v>0.28</v>
      </c>
      <c r="AJ146" s="11" t="n">
        <f aca="false">SUM(AJ145:BN145)</f>
        <v>0.24</v>
      </c>
      <c r="AK146" s="11" t="n">
        <f aca="false">SUM(AK145:BN145)</f>
        <v>0.2</v>
      </c>
      <c r="AL146" s="11" t="n">
        <f aca="false">SUM(AL145:BN145)</f>
        <v>0.16</v>
      </c>
      <c r="AM146" s="11" t="n">
        <f aca="false">SUM(AM145:BN145)</f>
        <v>0.12</v>
      </c>
      <c r="AN146" s="11" t="n">
        <f aca="false">SUM(AN145:BN145)</f>
        <v>0.08</v>
      </c>
      <c r="AO146" s="11" t="n">
        <f aca="false">SUM(AO145:BN145)</f>
        <v>0.04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0</v>
      </c>
      <c r="Q148" s="16" t="n">
        <f aca="false">IF(Time!Q53=1,Inputs!Q301/(Funding!$F$25*(Inputs!$F$75*Q146+(1-Inputs!$F$75)*Q18))*(Inputs!$F$97/100*Time!Q24-Operations!Q9/100*Time!Q25/Inputs!$F$247),0)</f>
        <v>-0.000686222405574533</v>
      </c>
      <c r="R148" s="16" t="n">
        <f aca="false">IF(Time!R53=1,Inputs!R301/(Funding!$F$25*(Inputs!$F$75*R146+(1-Inputs!$F$75)*R18))*(Inputs!$F$97/100*Time!R24-Operations!R9/100*Time!R25/Inputs!$F$247),0)</f>
        <v>-0.000883668947305381</v>
      </c>
      <c r="S148" s="16" t="n">
        <f aca="false">IF(Time!S53=1,Inputs!S301/(Funding!$F$25*(Inputs!$F$75*S146+(1-Inputs!$F$75)*S18))*(Inputs!$F$97/100*Time!S24-Operations!S9/100*Time!S25/Inputs!$F$247),0)</f>
        <v>-0.000724731332813426</v>
      </c>
      <c r="T148" s="16" t="n">
        <f aca="false">IF(Time!T53=1,Inputs!T301/(Funding!$F$25*(Inputs!$F$75*T146+(1-Inputs!$F$75)*T18))*(Inputs!$F$97/100*Time!T24-Operations!T9/100*Time!T25/Inputs!$F$247),0)</f>
        <v>-0.000922877386084211</v>
      </c>
      <c r="U148" s="16" t="n">
        <f aca="false">IF(Time!U53=1,Inputs!U301/(Funding!$F$25*(Inputs!$F$75*U146+(1-Inputs!$F$75)*U18))*(Inputs!$F$97/100*Time!U24-Operations!U9/100*Time!U25/Inputs!$F$247),0)</f>
        <v>-0.00079097720693317</v>
      </c>
      <c r="V148" s="16" t="n">
        <f aca="false">IF(Time!V53=1,Inputs!V301/(Funding!$F$25*(Inputs!$F$75*V146+(1-Inputs!$F$75)*V18))*(Inputs!$F$97/100*Time!V24-Operations!V9/100*Time!V25/Inputs!$F$247),0)</f>
        <v>-0.000923158584884364</v>
      </c>
      <c r="W148" s="16" t="n">
        <f aca="false">IF(Time!W53=1,Inputs!W301/(Funding!$F$25*(Inputs!$F$75*W146+(1-Inputs!$F$75)*W18))*(Inputs!$F$97/100*Time!W24-Operations!W9/100*Time!W25/Inputs!$F$247),0)</f>
        <v>-0.000725166683538446</v>
      </c>
      <c r="X148" s="16" t="n">
        <f aca="false">IF(Time!X53=1,Inputs!X301/(Funding!$F$25*(Inputs!$F$75*X146+(1-Inputs!$F$75)*X18))*(Inputs!$F$97/100*Time!X24-Operations!X9/100*Time!X25/Inputs!$F$247),0)</f>
        <v>-0.00092341153342446</v>
      </c>
      <c r="Y148" s="16" t="n">
        <f aca="false">IF(Time!Y53=1,Inputs!Y301/(Funding!$F$25*(Inputs!$F$75*Y146+(1-Inputs!$F$75)*Y18))*(Inputs!$F$97/100*Time!Y24-Operations!Y9/100*Time!Y25/Inputs!$F$247),0)</f>
        <v>-0.000725382779372732</v>
      </c>
      <c r="Z148" s="16" t="n">
        <f aca="false">IF(Time!Z53=1,Inputs!Z301/(Funding!$F$25*(Inputs!$F$75*Z146+(1-Inputs!$F$75)*Z18))*(Inputs!$F$97/100*Time!Z24-Operations!Z9/100*Time!Z25/Inputs!$F$247),0)</f>
        <v>-0.000923724474506545</v>
      </c>
      <c r="AA148" s="16" t="n">
        <f aca="false">IF(Time!AA53=1,Inputs!AA301/(Funding!$F$25*(Inputs!$F$75*AA146+(1-Inputs!$F$75)*AA18))*(Inputs!$F$97/100*Time!AA24-Operations!AA9/100*Time!AA25/Inputs!$F$247),0)</f>
        <v>-0.000725638013349687</v>
      </c>
      <c r="AB148" s="16" t="n">
        <f aca="false">IF(Time!AB53=1,Inputs!AB301/(Funding!$F$25*(Inputs!$F$75*AB146+(1-Inputs!$F$75)*AB18))*(Inputs!$F$97/100*Time!AB24-Operations!AB9/100*Time!AB25/Inputs!$F$247),0)</f>
        <v>-0.000924050501511218</v>
      </c>
      <c r="AC148" s="16" t="n">
        <f aca="false">IF(Time!AC53=1,Inputs!AC301/(Funding!$F$25*(Inputs!$F$75*AC146+(1-Inputs!$F$75)*AC18))*(Inputs!$F$97/100*Time!AC24-Operations!AC9/100*Time!AC25/Inputs!$F$247),0)</f>
        <v>-0.00079199831818231</v>
      </c>
      <c r="AD148" s="16" t="n">
        <f aca="false">IF(Time!AD53=1,Inputs!AD301/(Funding!$F$25*(Inputs!$F$75*AD146+(1-Inputs!$F$75)*AD18))*(Inputs!$F$97/100*Time!AD24-Operations!AD9/100*Time!AD25/Inputs!$F$247),0)</f>
        <v>-0.000924371102126344</v>
      </c>
      <c r="AE148" s="16" t="n">
        <f aca="false">IF(Time!AE53=1,Inputs!AE301/(Funding!$F$25*(Inputs!$F$75*AE146+(1-Inputs!$F$75)*AE18))*(Inputs!$F$97/100*Time!AE24-Operations!AE9/100*Time!AE25/Inputs!$F$247),0)</f>
        <v>-0.000726119642721223</v>
      </c>
      <c r="AF148" s="16" t="n">
        <f aca="false">IF(Time!AF53=1,Inputs!AF301/(Funding!$F$25*(Inputs!$F$75*AF146+(1-Inputs!$F$75)*AF18))*(Inputs!$F$97/100*Time!AF24-Operations!AF9/100*Time!AF25/Inputs!$F$247),0)</f>
        <v>-0.000924617319564169</v>
      </c>
      <c r="AG148" s="16" t="n">
        <f aca="false">IF(Time!AG53=1,Inputs!AG301/(Funding!$F$25*(Inputs!$F$75*AG146+(1-Inputs!$F$75)*AG18))*(Inputs!$F$97/100*Time!AG24-Operations!AG9/100*Time!AG25/Inputs!$F$247),0)</f>
        <v>-0.000726300644266198</v>
      </c>
      <c r="AH148" s="16" t="n">
        <f aca="false">IF(Time!AH53=1,Inputs!AH301/(Funding!$F$25*(Inputs!$F$75*AH146+(1-Inputs!$F$75)*AH18))*(Inputs!$F$97/100*Time!AH24-Operations!AH9/100*Time!AH25/Inputs!$F$247),0)</f>
        <v>-0.000924849365108174</v>
      </c>
      <c r="AI148" s="16" t="n">
        <f aca="false">IF(Time!AI53=1,Inputs!AI301/(Funding!$F$25*(Inputs!$F$75*AI146+(1-Inputs!$F$75)*AI18))*(Inputs!$F$97/100*Time!AI24-Operations!AI9/100*Time!AI25/Inputs!$F$247),0)</f>
        <v>-0.000726471134450909</v>
      </c>
      <c r="AJ148" s="16" t="n">
        <f aca="false">IF(Time!AJ53=1,Inputs!AJ301/(Funding!$F$25*(Inputs!$F$75*AJ146+(1-Inputs!$F$75)*AJ18))*(Inputs!$F$97/100*Time!AJ24-Operations!AJ9/100*Time!AJ25/Inputs!$F$247),0)</f>
        <v>-0.000925035409124526</v>
      </c>
      <c r="AK148" s="16" t="n">
        <f aca="false">IF(Time!AK53=1,Inputs!AK301/(Funding!$F$25*(Inputs!$F$75*AK146+(1-Inputs!$F$75)*AK18))*(Inputs!$F$97/100*Time!AK24-Operations!AK9/100*Time!AK25/Inputs!$F$247),0)</f>
        <v>-0.000792746314363599</v>
      </c>
      <c r="AL148" s="16" t="n">
        <f aca="false">IF(Time!AL53=1,Inputs!AL301/(Funding!$F$25*(Inputs!$F$75*AL146+(1-Inputs!$F$75)*AL18))*(Inputs!$F$97/100*Time!AL24-Operations!AL9/100*Time!AL25/Inputs!$F$247),0)</f>
        <v>-0.000925086460956543</v>
      </c>
      <c r="AM148" s="16" t="n">
        <f aca="false">IF(Time!AM53=1,Inputs!AM301/(Funding!$F$25*(Inputs!$F$75*AM146+(1-Inputs!$F$75)*AM18))*(Inputs!$F$97/100*Time!AM24-Operations!AM9/100*Time!AM25/Inputs!$F$247),0)</f>
        <v>-0.000726450479799753</v>
      </c>
      <c r="AN148" s="16" t="n">
        <f aca="false">IF(Time!AN53=1,Inputs!AN301/(Funding!$F$25*(Inputs!$F$75*AN146+(1-Inputs!$F$75)*AN18))*(Inputs!$F$97/100*Time!AN24-Operations!AN9/100*Time!AN25/Inputs!$F$247),0)</f>
        <v>-0.000924409764881701</v>
      </c>
      <c r="AO148" s="16" t="n">
        <f aca="false">IF(Time!AO53=1,Inputs!AO301/(Funding!$F$25*(Inputs!$F$75*AO146+(1-Inputs!$F$75)*AO18))*(Inputs!$F$97/100*Time!AO24-Operations!AO9/100*Time!AO25/Inputs!$F$247),0)</f>
        <v>-0.000725971006601468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0</v>
      </c>
      <c r="Q149" s="13" t="n">
        <f aca="false">IF(Time!Q53=1,Funding!$F$25*Inputs!$F$75*(Q145+Q146*(Q10+Q148)),0)</f>
        <v>12.117315365978</v>
      </c>
      <c r="R149" s="13" t="n">
        <f aca="false">IF(Time!R53=1,Funding!$F$25*Inputs!$F$75*(R145+R146*(R10+R148)),0)</f>
        <v>11.9794829874707</v>
      </c>
      <c r="S149" s="13" t="n">
        <f aca="false">IF(Time!S53=1,Funding!$F$25*Inputs!$F$75*(S145+S146*(S10+S148)),0)</f>
        <v>11.7781225250894</v>
      </c>
      <c r="T149" s="13" t="n">
        <f aca="false">IF(Time!T53=1,Funding!$F$25*Inputs!$F$75*(T145+T146*(T10+T148)),0)</f>
        <v>11.637485315642</v>
      </c>
      <c r="U149" s="13" t="n">
        <f aca="false">IF(Time!U53=1,Funding!$F$25*Inputs!$F$75*(U145+U146*(U10+U148)),0)</f>
        <v>11.4461690656028</v>
      </c>
      <c r="V149" s="13" t="n">
        <f aca="false">IF(Time!V53=1,Funding!$F$25*Inputs!$F$75*(V145+V146*(V10+V148)),0)</f>
        <v>11.2932007871074</v>
      </c>
      <c r="W149" s="13" t="n">
        <f aca="false">IF(Time!W53=1,Funding!$F$25*Inputs!$F$75*(W145+W146*(W10+W148)),0)</f>
        <v>11.0950521349687</v>
      </c>
      <c r="X149" s="13" t="n">
        <f aca="false">IF(Time!X53=1,Funding!$F$25*Inputs!$F$75*(X145+X146*(X10+X148)),0)</f>
        <v>10.9489290813507</v>
      </c>
      <c r="Y149" s="13" t="n">
        <f aca="false">IF(Time!Y53=1,Funding!$F$25*Inputs!$F$75*(Y145+Y146*(Y10+Y148)),0)</f>
        <v>10.7535274043272</v>
      </c>
      <c r="Z149" s="13" t="n">
        <f aca="false">IF(Time!Z53=1,Funding!$F$25*Inputs!$F$75*(Z145+Z146*(Z10+Z148)),0)</f>
        <v>10.6046577831585</v>
      </c>
      <c r="AA149" s="13" t="n">
        <f aca="false">IF(Time!AA53=1,Funding!$F$25*Inputs!$F$75*(AA145+AA146*(AA10+AA148)),0)</f>
        <v>10.4120048508118</v>
      </c>
      <c r="AB149" s="13" t="n">
        <f aca="false">IF(Time!AB53=1,Funding!$F$25*Inputs!$F$75*(AB145+AB146*(AB10+AB148)),0)</f>
        <v>10.2603948740723</v>
      </c>
      <c r="AC149" s="13" t="n">
        <f aca="false">IF(Time!AC53=1,Funding!$F$25*Inputs!$F$75*(AC145+AC146*(AC10+AC148)),0)</f>
        <v>10.076416133281</v>
      </c>
      <c r="AD149" s="13" t="n">
        <f aca="false">IF(Time!AD53=1,Funding!$F$25*Inputs!$F$75*(AD145+AD146*(AD10+AD148)),0)</f>
        <v>9.91614271455173</v>
      </c>
      <c r="AE149" s="13" t="n">
        <f aca="false">IF(Time!AE53=1,Funding!$F$25*Inputs!$F$75*(AE145+AE146*(AE10+AE148)),0)</f>
        <v>9.72898627987649</v>
      </c>
      <c r="AF149" s="13" t="n">
        <f aca="false">IF(Time!AF53=1,Funding!$F$25*Inputs!$F$75*(AF145+AF146*(AF10+AF148)),0)</f>
        <v>9.57190646267431</v>
      </c>
      <c r="AG149" s="13" t="n">
        <f aca="false">IF(Time!AG53=1,Funding!$F$25*Inputs!$F$75*(AG145+AG146*(AG10+AG148)),0)</f>
        <v>9.38749256424718</v>
      </c>
      <c r="AH149" s="13" t="n">
        <f aca="false">IF(Time!AH53=1,Funding!$F$25*Inputs!$F$75*(AH145+AH146*(AH10+AH148)),0)</f>
        <v>9.2276788329432</v>
      </c>
      <c r="AI149" s="13" t="n">
        <f aca="false">IF(Time!AI53=1,Funding!$F$25*Inputs!$F$75*(AI145+AI146*(AI10+AI148)),0)</f>
        <v>9.04600511033654</v>
      </c>
      <c r="AJ149" s="13" t="n">
        <f aca="false">IF(Time!AJ53=1,Funding!$F$25*Inputs!$F$75*(AJ145+AJ146*(AJ10+AJ148)),0)</f>
        <v>8.88346065712706</v>
      </c>
      <c r="AK149" s="13" t="n">
        <f aca="false">IF(Time!AK53=1,Funding!$F$25*Inputs!$F$75*(AK145+AK146*(AK10+AK148)),0)</f>
        <v>8.70680218719028</v>
      </c>
      <c r="AL149" s="13" t="n">
        <f aca="false">IF(Time!AL53=1,Funding!$F$25*Inputs!$F$75*(AL145+AL146*(AL10+AL148)),0)</f>
        <v>8.53925256292784</v>
      </c>
      <c r="AM149" s="13" t="n">
        <f aca="false">IF(Time!AM53=1,Funding!$F$25*Inputs!$F$75*(AM145+AM146*(AM10+AM148)),0)</f>
        <v>8.36305478182898</v>
      </c>
      <c r="AN149" s="13" t="n">
        <f aca="false">IF(Time!AN53=1,Funding!$F$25*Inputs!$F$75*(AN145+AN146*(AN10+AN148)),0)</f>
        <v>8.19505749879439</v>
      </c>
      <c r="AO149" s="13" t="n">
        <f aca="false">IF(Time!AO53=1,Funding!$F$25*Inputs!$F$75*(AO145+AO146*(AO10+AO148)),0)</f>
        <v>8.02158281429578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0</v>
      </c>
      <c r="Q150" s="13" t="n">
        <f aca="false">IF(Time!Q53=1,(Q149+R150)/(1+Q127),0)</f>
        <v>162.334578063465</v>
      </c>
      <c r="R150" s="13" t="n">
        <f aca="false">IF(Time!R53=1,(R149+S150)/(1+R127),0)</f>
        <v>156.600733387515</v>
      </c>
      <c r="S150" s="13" t="n">
        <f aca="false">IF(Time!S53=1,(S149+T150)/(1+S127),0)</f>
        <v>150.852176701387</v>
      </c>
      <c r="T150" s="13" t="n">
        <f aca="false">IF(Time!T53=1,(T149+U150)/(1+T127),0)</f>
        <v>145.008236076161</v>
      </c>
      <c r="U150" s="13" t="n">
        <f aca="false">IF(Time!U53=1,(U149+V150)/(1+U127),0)</f>
        <v>139.142600678883</v>
      </c>
      <c r="V150" s="13" t="n">
        <f aca="false">IF(Time!V53=1,(V149+W150)/(1+V127),0)</f>
        <v>133.191565534255</v>
      </c>
      <c r="W150" s="13" t="n">
        <f aca="false">IF(Time!W53=1,(W149+X150)/(1+W127),0)</f>
        <v>127.199831177053</v>
      </c>
      <c r="X150" s="13" t="n">
        <f aca="false">IF(Time!X53=1,(X149+Y150)/(1+X127),0)</f>
        <v>121.108476029893</v>
      </c>
      <c r="Y150" s="13" t="n">
        <f aca="false">IF(Time!Y53=1,(Y149+Z150)/(1+Y127),0)</f>
        <v>114.98003567285</v>
      </c>
      <c r="Z150" s="13" t="n">
        <f aca="false">IF(Time!Z53=1,(Z149+AA150)/(1+Z127),0)</f>
        <v>108.923832567497</v>
      </c>
      <c r="AA150" s="13" t="n">
        <f aca="false">IF(Time!AA53=1,(AA149+AB150)/(1+AA127),0)</f>
        <v>102.822543476659</v>
      </c>
      <c r="AB150" s="13" t="n">
        <f aca="false">IF(Time!AB53=1,(AB149+AC150)/(1+AB127),0)</f>
        <v>96.611161904618</v>
      </c>
      <c r="AC150" s="13" t="n">
        <f aca="false">IF(Time!AC53=1,(AC149+AD150)/(1+AC127),0)</f>
        <v>90.3450467095505</v>
      </c>
      <c r="AD150" s="13" t="n">
        <f aca="false">IF(Time!AD53=1,(AD149+AE150)/(1+AD127),0)</f>
        <v>83.97426745803</v>
      </c>
      <c r="AE150" s="13" t="n">
        <f aca="false">IF(Time!AE53=1,(AE149+AF150)/(1+AE127),0)</f>
        <v>77.5299193319014</v>
      </c>
      <c r="AF150" s="13" t="n">
        <f aca="false">IF(Time!AF53=1,(AF149+AG150)/(1+AF127),0)</f>
        <v>70.9682359942676</v>
      </c>
      <c r="AG150" s="13" t="n">
        <f aca="false">IF(Time!AG53=1,(AG149+AH150)/(1+AG127),0)</f>
        <v>64.3303910935327</v>
      </c>
      <c r="AH150" s="13" t="n">
        <f aca="false">IF(Time!AH53=1,(AH149+AI150)/(1+AH127),0)</f>
        <v>57.6684991404468</v>
      </c>
      <c r="AI150" s="13" t="n">
        <f aca="false">IF(Time!AI53=1,(AI149+AJ150)/(1+AI127),0)</f>
        <v>50.9139062744139</v>
      </c>
      <c r="AJ150" s="13" t="n">
        <f aca="false">IF(Time!AJ53=1,(AJ149+AK150)/(1+AJ127),0)</f>
        <v>44.0250529128973</v>
      </c>
      <c r="AK150" s="13" t="n">
        <f aca="false">IF(Time!AK53=1,(AK149+AL150)/(1+AK127),0)</f>
        <v>37.0295773747644</v>
      </c>
      <c r="AL150" s="13" t="n">
        <f aca="false">IF(Time!AL53=1,(AL149+AM150)/(1+AL127),0)</f>
        <v>29.8980295287872</v>
      </c>
      <c r="AM150" s="13" t="n">
        <f aca="false">IF(Time!AM53=1,(AM149+AN150)/(1+AM127),0)</f>
        <v>22.6409325546709</v>
      </c>
      <c r="AN150" s="13" t="n">
        <f aca="false">IF(Time!AN53=1,(AN149+AO150)/(1+AN127),0)</f>
        <v>15.2371432199164</v>
      </c>
      <c r="AO150" s="13" t="n">
        <f aca="false">IF(Time!AO53=1,(AO149+AP150)/(1+AO127),0)</f>
        <v>7.69553000895268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52.263650417766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0.420822342824714</v>
      </c>
      <c r="R7" s="13" t="n">
        <f aca="false">SUM(Operations!S79:X79)/Inputs!$F$225</f>
        <v>0.420822342824714</v>
      </c>
      <c r="S7" s="13" t="n">
        <f aca="false">SUM(Operations!T79:Y79)/Inputs!$F$225</f>
        <v>0.420822342824714</v>
      </c>
      <c r="T7" s="13" t="n">
        <f aca="false">SUM(Operations!U79:Z79)/Inputs!$F$225</f>
        <v>0.420822342824714</v>
      </c>
      <c r="U7" s="13" t="n">
        <f aca="false">SUM(Operations!V79:AA79)/Inputs!$F$225</f>
        <v>0.420822342824714</v>
      </c>
      <c r="V7" s="13" t="n">
        <f aca="false">SUM(Operations!W79:AB79)/Inputs!$F$225</f>
        <v>0.420822342824714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1.99432465577136</v>
      </c>
      <c r="Z7" s="13" t="n">
        <f aca="false">SUM(Operations!AA79:AF79)/Inputs!$F$225</f>
        <v>1.99432465577136</v>
      </c>
      <c r="AA7" s="13" t="n">
        <f aca="false">SUM(Operations!AB79:AG79)/Inputs!$F$225</f>
        <v>1.99432465577136</v>
      </c>
      <c r="AB7" s="13" t="n">
        <f aca="false">SUM(Operations!AC79:AH79)/Inputs!$F$225</f>
        <v>1.99432465577136</v>
      </c>
      <c r="AC7" s="13" t="n">
        <f aca="false">SUM(Operations!AD79:AI79)/Inputs!$F$225</f>
        <v>1.99432465577136</v>
      </c>
      <c r="AD7" s="13" t="n">
        <f aca="false">SUM(Operations!AE79:AJ79)/Inputs!$F$225</f>
        <v>1.99432465577136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0.500848014271228</v>
      </c>
      <c r="AH7" s="13" t="n">
        <f aca="false">SUM(Operations!AI79:AN79)/Inputs!$F$225</f>
        <v>0.500848014271228</v>
      </c>
      <c r="AI7" s="13" t="n">
        <f aca="false">SUM(Operations!AJ79:AO79)/Inputs!$F$225</f>
        <v>0.500848014271228</v>
      </c>
      <c r="AJ7" s="13" t="n">
        <f aca="false">SUM(Operations!AK79:AP79)/Inputs!$F$225</f>
        <v>0.500848014271228</v>
      </c>
      <c r="AK7" s="13" t="n">
        <f aca="false">SUM(Operations!AL79:AQ79)/Inputs!$F$225</f>
        <v>0.500848014271228</v>
      </c>
      <c r="AL7" s="13" t="n">
        <f aca="false">SUM(Operations!AM79:AR79)/Inputs!$F$225</f>
        <v>0.500848014271228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2.37357535949866</v>
      </c>
      <c r="AP7" s="13" t="n">
        <f aca="false">SUM(Operations!AQ79:AV79)/Inputs!$F$225</f>
        <v>2.37357535949866</v>
      </c>
      <c r="AQ7" s="13" t="n">
        <f aca="false">SUM(Operations!AR79:AW79)/Inputs!$F$225</f>
        <v>2.37357535949866</v>
      </c>
      <c r="AR7" s="13" t="n">
        <f aca="false">SUM(Operations!AS79:AX79)/Inputs!$F$225</f>
        <v>2.37357535949866</v>
      </c>
      <c r="AS7" s="13" t="n">
        <f aca="false">SUM(Operations!AT79:AY79)/Inputs!$F$225</f>
        <v>2.37357535949866</v>
      </c>
      <c r="AT7" s="13" t="n">
        <f aca="false">SUM(Operations!AU79:AZ79)/Inputs!$F$225</f>
        <v>2.37357535949866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0.596091765745239</v>
      </c>
      <c r="AX7" s="13" t="n">
        <f aca="false">SUM(Operations!AY79:BD79)/Inputs!$F$225</f>
        <v>0.596091765745239</v>
      </c>
      <c r="AY7" s="13" t="n">
        <f aca="false">SUM(Operations!AZ79:BE79)/Inputs!$F$225</f>
        <v>0.596091765745239</v>
      </c>
      <c r="AZ7" s="13" t="n">
        <f aca="false">SUM(Operations!BA79:BF79)/Inputs!$F$225</f>
        <v>0.596091765745239</v>
      </c>
      <c r="BA7" s="13" t="n">
        <f aca="false">SUM(Operations!BB79:BG79)/Inputs!$F$225</f>
        <v>0.596091765745239</v>
      </c>
      <c r="BB7" s="13" t="n">
        <f aca="false">SUM(Operations!BC79:BH79)/Inputs!$F$225</f>
        <v>0.596091765745239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2.8249462648498</v>
      </c>
      <c r="BF7" s="13" t="n">
        <f aca="false">SUM(Operations!BG79:BL79)/Inputs!$F$225</f>
        <v>2.8249462648498</v>
      </c>
      <c r="BG7" s="13" t="n">
        <f aca="false">SUM(Operations!BH79:BM79)/Inputs!$F$225</f>
        <v>2.8249462648498</v>
      </c>
      <c r="BH7" s="13" t="n">
        <f aca="false">SUM(Operations!BI79:BN79)/Inputs!$F$225</f>
        <v>2.8249462648498</v>
      </c>
      <c r="BI7" s="13" t="n">
        <f aca="false">SUM(Operations!BJ79:BO79)/Inputs!$F$225</f>
        <v>2.8249462648498</v>
      </c>
      <c r="BJ7" s="13" t="n">
        <f aca="false">SUM(Operations!BK79:BP79)/Inputs!$F$225</f>
        <v>2.8249462648498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0.420822342824714</v>
      </c>
      <c r="R8" s="13" t="n">
        <f aca="false">Q8+R7-Operations!R79</f>
        <v>0.841644685649428</v>
      </c>
      <c r="S8" s="13" t="n">
        <f aca="false">R8+S7-Operations!S79</f>
        <v>1.26246702847414</v>
      </c>
      <c r="T8" s="13" t="n">
        <f aca="false">S8+T7-Operations!T79</f>
        <v>1.68328937129886</v>
      </c>
      <c r="U8" s="13" t="n">
        <f aca="false">T8+U7-Operations!U79</f>
        <v>2.10411171412357</v>
      </c>
      <c r="V8" s="13" t="n">
        <f aca="false">U8+V7-Operations!V79</f>
        <v>2.52493405694828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1.99432465577136</v>
      </c>
      <c r="Z8" s="13" t="n">
        <f aca="false">Y8+Z7-Operations!Z79</f>
        <v>3.98864931154273</v>
      </c>
      <c r="AA8" s="13" t="n">
        <f aca="false">Z8+AA7-Operations!AA79</f>
        <v>5.98297396731409</v>
      </c>
      <c r="AB8" s="13" t="n">
        <f aca="false">AA8+AB7-Operations!AB79</f>
        <v>7.97729862308545</v>
      </c>
      <c r="AC8" s="13" t="n">
        <f aca="false">AB8+AC7-Operations!AC79</f>
        <v>9.97162327885681</v>
      </c>
      <c r="AD8" s="13" t="n">
        <f aca="false">AC8+AD7-Operations!AD79</f>
        <v>11.9659479346282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0.500848014271228</v>
      </c>
      <c r="AH8" s="13" t="n">
        <f aca="false">AG8+AH7-Operations!AH79</f>
        <v>1.00169602854246</v>
      </c>
      <c r="AI8" s="13" t="n">
        <f aca="false">AH8+AI7-Operations!AI79</f>
        <v>1.50254404281368</v>
      </c>
      <c r="AJ8" s="13" t="n">
        <f aca="false">AI8+AJ7-Operations!AJ79</f>
        <v>2.00339205708491</v>
      </c>
      <c r="AK8" s="13" t="n">
        <f aca="false">AJ8+AK7-Operations!AK79</f>
        <v>2.50424007135614</v>
      </c>
      <c r="AL8" s="13" t="n">
        <f aca="false">AK8+AL7-Operations!AL79</f>
        <v>3.00508808562737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2.37357535949866</v>
      </c>
      <c r="AP8" s="13" t="n">
        <f aca="false">AO8+AP7-Operations!AP79</f>
        <v>4.74715071899731</v>
      </c>
      <c r="AQ8" s="13" t="n">
        <f aca="false">AP8+AQ7-Operations!AQ79</f>
        <v>7.12072607849597</v>
      </c>
      <c r="AR8" s="13" t="n">
        <f aca="false">AQ8+AR7-Operations!AR79</f>
        <v>9.49430143799463</v>
      </c>
      <c r="AS8" s="13" t="n">
        <f aca="false">AR8+AS7-Operations!AS79</f>
        <v>11.8678767974933</v>
      </c>
      <c r="AT8" s="13" t="n">
        <f aca="false">AS8+AT7-Operations!AT79</f>
        <v>14.2414521569919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0.596091765745239</v>
      </c>
      <c r="AX8" s="13" t="n">
        <f aca="false">AW8+AX7-Operations!AX79</f>
        <v>1.19218353149048</v>
      </c>
      <c r="AY8" s="13" t="n">
        <f aca="false">AX8+AY7-Operations!AY79</f>
        <v>1.78827529723572</v>
      </c>
      <c r="AZ8" s="13" t="n">
        <f aca="false">AY8+AZ7-Operations!AZ79</f>
        <v>2.38436706298096</v>
      </c>
      <c r="BA8" s="13" t="n">
        <f aca="false">AZ8+BA7-Operations!BA79</f>
        <v>2.9804588287262</v>
      </c>
      <c r="BB8" s="13" t="n">
        <f aca="false">BA8+BB7-Operations!BB79</f>
        <v>3.57655059447143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2.8249462648498</v>
      </c>
      <c r="BF8" s="13" t="n">
        <f aca="false">BE8+BF7-Operations!BF79</f>
        <v>5.6498925296996</v>
      </c>
      <c r="BG8" s="13" t="n">
        <f aca="false">BF8+BG7-Operations!BG79</f>
        <v>8.4748387945494</v>
      </c>
      <c r="BH8" s="13" t="n">
        <f aca="false">BG8+BH7-Operations!BH79</f>
        <v>11.2997850593992</v>
      </c>
      <c r="BI8" s="13" t="n">
        <f aca="false">BH8+BI7-Operations!BI79</f>
        <v>14.124731324249</v>
      </c>
      <c r="BJ8" s="13" t="n">
        <f aca="false">BI8+BJ7-Operations!BJ79</f>
        <v>16.9496775890988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39.603216907776</v>
      </c>
      <c r="Q9" s="13" t="n">
        <f aca="false">IF(Time!Q34=1,SUM(Funding!$J$44:$BJ$44),P13)</f>
        <v>39.603216907776</v>
      </c>
      <c r="R9" s="13" t="n">
        <f aca="false">IF(Time!R34=1,SUM(Funding!$J$44:$BJ$44),Q13)</f>
        <v>40.102842827001</v>
      </c>
      <c r="S9" s="13" t="n">
        <f aca="false">IF(Time!S34=1,SUM(Funding!$J$44:$BJ$44),R13)</f>
        <v>39.782965771714</v>
      </c>
      <c r="T9" s="13" t="n">
        <f aca="false">IF(Time!T34=1,SUM(Funding!$J$44:$BJ$44),S13)</f>
        <v>40.2291987025319</v>
      </c>
      <c r="U9" s="13" t="n">
        <f aca="false">IF(Time!U34=1,SUM(Funding!$J$44:$BJ$44),T13)</f>
        <v>40.0282463927307</v>
      </c>
      <c r="V9" s="13" t="n">
        <f aca="false">IF(Time!V34=1,SUM(Funding!$J$44:$BJ$44),U13)</f>
        <v>40.788082011737</v>
      </c>
      <c r="W9" s="13" t="n">
        <f aca="false">IF(Time!W34=1,SUM(Funding!$J$44:$BJ$44),V13)</f>
        <v>40.4958985741315</v>
      </c>
      <c r="X9" s="13" t="n">
        <f aca="false">IF(Time!X34=1,SUM(Funding!$J$44:$BJ$44),W13)</f>
        <v>39.3377969613003</v>
      </c>
      <c r="Y9" s="13" t="n">
        <f aca="false">IF(Time!Y34=1,SUM(Funding!$J$44:$BJ$44),X13)</f>
        <v>38.9491427645836</v>
      </c>
      <c r="Z9" s="13" t="n">
        <f aca="false">IF(Time!Z34=1,SUM(Funding!$J$44:$BJ$44),Y13)</f>
        <v>39.2697057994611</v>
      </c>
      <c r="AA9" s="13" t="n">
        <f aca="false">IF(Time!AA34=1,SUM(Funding!$J$44:$BJ$44),Z13)</f>
        <v>38.9444210897746</v>
      </c>
      <c r="AB9" s="13" t="n">
        <f aca="false">IF(Time!AB34=1,SUM(Funding!$J$44:$BJ$44),AA13)</f>
        <v>39.4013680415313</v>
      </c>
      <c r="AC9" s="13" t="n">
        <f aca="false">IF(Time!AC34=1,SUM(Funding!$J$44:$BJ$44),AB13)</f>
        <v>38.7425542753354</v>
      </c>
      <c r="AD9" s="13" t="n">
        <f aca="false">IF(Time!AD34=1,SUM(Funding!$J$44:$BJ$44),AC13)</f>
        <v>39.5789173350242</v>
      </c>
      <c r="AE9" s="13" t="n">
        <f aca="false">IF(Time!AE34=1,SUM(Funding!$J$44:$BJ$44),AD13)</f>
        <v>39.021651558509</v>
      </c>
      <c r="AF9" s="13" t="n">
        <f aca="false">IF(Time!AF34=1,SUM(Funding!$J$44:$BJ$44),AE13)</f>
        <v>38.4073599938621</v>
      </c>
      <c r="AG9" s="13" t="n">
        <f aca="false">IF(Time!AG34=1,SUM(Funding!$J$44:$BJ$44),AF13)</f>
        <v>37.201219048176</v>
      </c>
      <c r="AH9" s="13" t="n">
        <f aca="false">IF(Time!AH34=1,SUM(Funding!$J$44:$BJ$44),AG13)</f>
        <v>36.4746702534231</v>
      </c>
      <c r="AI9" s="13" t="n">
        <f aca="false">IF(Time!AI34=1,SUM(Funding!$J$44:$BJ$44),AH13)</f>
        <v>34.8926830637168</v>
      </c>
      <c r="AJ9" s="13" t="n">
        <f aca="false">IF(Time!AJ34=1,SUM(Funding!$J$44:$BJ$44),AI13)</f>
        <v>33.559888289131</v>
      </c>
      <c r="AK9" s="13" t="n">
        <f aca="false">IF(Time!AK34=1,SUM(Funding!$J$44:$BJ$44),AJ13)</f>
        <v>31.3270751281084</v>
      </c>
      <c r="AL9" s="13" t="n">
        <f aca="false">IF(Time!AL34=1,SUM(Funding!$J$44:$BJ$44),AK13)</f>
        <v>28.96785189818</v>
      </c>
      <c r="AM9" s="13" t="n">
        <f aca="false">IF(Time!AM34=1,SUM(Funding!$J$44:$BJ$44),AL13)</f>
        <v>24.6883785811868</v>
      </c>
      <c r="AN9" s="13" t="n">
        <f aca="false">IF(Time!AN34=1,SUM(Funding!$J$44:$BJ$44),AM13)</f>
        <v>20.1003922092362</v>
      </c>
      <c r="AO9" s="13" t="n">
        <f aca="false">IF(Time!AO34=1,SUM(Funding!$J$44:$BJ$44),AN13)</f>
        <v>19.2400387064762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3.31956751537221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0.499625919224975</v>
      </c>
      <c r="R11" s="13" t="n">
        <f aca="false">MIN(Waterfall!R13,MAX(0,Debt!R125-(R9-R10)))</f>
        <v>0</v>
      </c>
      <c r="S11" s="13" t="n">
        <f aca="false">MIN(Waterfall!S13,MAX(0,Debt!S125-(S9-S10)))</f>
        <v>0.446232930817949</v>
      </c>
      <c r="T11" s="13" t="n">
        <f aca="false">MIN(Waterfall!T13,MAX(0,Debt!T125-(T9-T10)))</f>
        <v>0</v>
      </c>
      <c r="U11" s="13" t="n">
        <f aca="false">MIN(Waterfall!U13,MAX(0,Debt!U125-(U9-U10)))</f>
        <v>0.759835619006353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0.320563034877459</v>
      </c>
      <c r="Z11" s="13" t="n">
        <f aca="false">MIN(Waterfall!Z13,MAX(0,Debt!Z125-(Z9-Z10)))</f>
        <v>0</v>
      </c>
      <c r="AA11" s="13" t="n">
        <f aca="false">MIN(Waterfall!AA13,MAX(0,Debt!AA125-(AA9-AA10)))</f>
        <v>0.456946951756713</v>
      </c>
      <c r="AB11" s="13" t="n">
        <f aca="false">MIN(Waterfall!AB13,MAX(0,Debt!AB125-(AB9-AB10)))</f>
        <v>0</v>
      </c>
      <c r="AC11" s="13" t="n">
        <f aca="false">MIN(Waterfall!AC13,MAX(0,Debt!AC125-(AC9-AC10)))</f>
        <v>0.836363059688758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42.9227844231482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0.319877055287009</v>
      </c>
      <c r="S12" s="13" t="n">
        <f aca="false">MAX(0,S9-S10-Debt!S125)</f>
        <v>0</v>
      </c>
      <c r="T12" s="13" t="n">
        <f aca="false">MAX(0,T9-T10-Debt!T125)</f>
        <v>0.200952309801266</v>
      </c>
      <c r="U12" s="13" t="n">
        <f aca="false">MAX(0,U9-U10-Debt!U125)</f>
        <v>0</v>
      </c>
      <c r="V12" s="13" t="n">
        <f aca="false">MAX(0,V9-V10-Debt!V125)</f>
        <v>0.292183437605537</v>
      </c>
      <c r="W12" s="13" t="n">
        <f aca="false">MAX(0,W9-W10-Debt!W125)</f>
        <v>1.15810161283115</v>
      </c>
      <c r="X12" s="13" t="n">
        <f aca="false">MAX(0,X9-X10-Debt!X125)</f>
        <v>0.388654196716722</v>
      </c>
      <c r="Y12" s="13" t="n">
        <f aca="false">MAX(0,Y9-Y10-Debt!Y125)</f>
        <v>0</v>
      </c>
      <c r="Z12" s="13" t="n">
        <f aca="false">MAX(0,Z9-Z10-Debt!Z125)</f>
        <v>0.325284709686486</v>
      </c>
      <c r="AA12" s="13" t="n">
        <f aca="false">MAX(0,AA9-AA10-Debt!AA125)</f>
        <v>0</v>
      </c>
      <c r="AB12" s="13" t="n">
        <f aca="false">MAX(0,AB9-AB10-Debt!AB125)</f>
        <v>0.658813766195884</v>
      </c>
      <c r="AC12" s="13" t="n">
        <f aca="false">MAX(0,AC9-AC10-Debt!AC125)</f>
        <v>0</v>
      </c>
      <c r="AD12" s="13" t="n">
        <f aca="false">MAX(0,AD9-AD10-Debt!AD125)</f>
        <v>0.557265776515209</v>
      </c>
      <c r="AE12" s="13" t="n">
        <f aca="false">MAX(0,AE9-AE10-Debt!AE125)</f>
        <v>0.614291564646862</v>
      </c>
      <c r="AF12" s="13" t="n">
        <f aca="false">MAX(0,AF9-AF10-Debt!AF125)</f>
        <v>1.20614094568611</v>
      </c>
      <c r="AG12" s="13" t="n">
        <f aca="false">MAX(0,AG9-AG10-Debt!AG125)</f>
        <v>0.726548794752929</v>
      </c>
      <c r="AH12" s="13" t="n">
        <f aca="false">MAX(0,AH9-AH10-Debt!AH125)</f>
        <v>1.58198718970621</v>
      </c>
      <c r="AI12" s="13" t="n">
        <f aca="false">MAX(0,AI9-AI10-Debt!AI125)</f>
        <v>1.33279477458586</v>
      </c>
      <c r="AJ12" s="13" t="n">
        <f aca="false">MAX(0,AJ9-AJ10-Debt!AJ125)</f>
        <v>2.23281316102262</v>
      </c>
      <c r="AK12" s="13" t="n">
        <f aca="false">MAX(0,AK9-AK10-Debt!AK125)</f>
        <v>2.35922322992839</v>
      </c>
      <c r="AL12" s="13" t="n">
        <f aca="false">MAX(0,AL9-AL10-Debt!AL125)</f>
        <v>4.27947331699319</v>
      </c>
      <c r="AM12" s="13" t="n">
        <f aca="false">MAX(0,AM9-AM10-Debt!AM125)</f>
        <v>4.5879863719506</v>
      </c>
      <c r="AN12" s="13" t="n">
        <f aca="false">MAX(0,AN9-AN10-Debt!AN125)</f>
        <v>0.860353502760034</v>
      </c>
      <c r="AO12" s="13" t="n">
        <f aca="false">MAX(0,AO9-AO10-Debt!AO125)</f>
        <v>19.2400387064762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39.603216907776</v>
      </c>
      <c r="Q13" s="13" t="n">
        <f aca="false">(1-Time!Q37)*(Q9-Q10+Q11-Q12)</f>
        <v>40.102842827001</v>
      </c>
      <c r="R13" s="13" t="n">
        <f aca="false">(1-Time!R37)*(R9-R10+R11-R12)</f>
        <v>39.782965771714</v>
      </c>
      <c r="S13" s="13" t="n">
        <f aca="false">(1-Time!S37)*(S9-S10+S11-S12)</f>
        <v>40.2291987025319</v>
      </c>
      <c r="T13" s="13" t="n">
        <f aca="false">(1-Time!T37)*(T9-T10+T11-T12)</f>
        <v>40.0282463927307</v>
      </c>
      <c r="U13" s="13" t="n">
        <f aca="false">(1-Time!U37)*(U9-U10+U11-U12)</f>
        <v>40.788082011737</v>
      </c>
      <c r="V13" s="13" t="n">
        <f aca="false">(1-Time!V37)*(V9-V10+V11-V12)</f>
        <v>40.4958985741315</v>
      </c>
      <c r="W13" s="13" t="n">
        <f aca="false">(1-Time!W37)*(W9-W10+W11-W12)</f>
        <v>39.3377969613003</v>
      </c>
      <c r="X13" s="13" t="n">
        <f aca="false">(1-Time!X37)*(X9-X10+X11-X12)</f>
        <v>38.9491427645836</v>
      </c>
      <c r="Y13" s="13" t="n">
        <f aca="false">(1-Time!Y37)*(Y9-Y10+Y11-Y12)</f>
        <v>39.2697057994611</v>
      </c>
      <c r="Z13" s="13" t="n">
        <f aca="false">(1-Time!Z37)*(Z9-Z10+Z11-Z12)</f>
        <v>38.9444210897746</v>
      </c>
      <c r="AA13" s="13" t="n">
        <f aca="false">(1-Time!AA37)*(AA9-AA10+AA11-AA12)</f>
        <v>39.4013680415313</v>
      </c>
      <c r="AB13" s="13" t="n">
        <f aca="false">(1-Time!AB37)*(AB9-AB10+AB11-AB12)</f>
        <v>38.7425542753354</v>
      </c>
      <c r="AC13" s="13" t="n">
        <f aca="false">(1-Time!AC37)*(AC9-AC10+AC11-AC12)</f>
        <v>39.5789173350242</v>
      </c>
      <c r="AD13" s="13" t="n">
        <f aca="false">(1-Time!AD37)*(AD9-AD10+AD11-AD12)</f>
        <v>39.021651558509</v>
      </c>
      <c r="AE13" s="13" t="n">
        <f aca="false">(1-Time!AE37)*(AE9-AE10+AE11-AE12)</f>
        <v>38.4073599938621</v>
      </c>
      <c r="AF13" s="13" t="n">
        <f aca="false">(1-Time!AF37)*(AF9-AF10+AF11-AF12)</f>
        <v>37.201219048176</v>
      </c>
      <c r="AG13" s="13" t="n">
        <f aca="false">(1-Time!AG37)*(AG9-AG10+AG11-AG12)</f>
        <v>36.4746702534231</v>
      </c>
      <c r="AH13" s="13" t="n">
        <f aca="false">(1-Time!AH37)*(AH9-AH10+AH11-AH12)</f>
        <v>34.8926830637168</v>
      </c>
      <c r="AI13" s="13" t="n">
        <f aca="false">(1-Time!AI37)*(AI9-AI10+AI11-AI12)</f>
        <v>33.559888289131</v>
      </c>
      <c r="AJ13" s="13" t="n">
        <f aca="false">(1-Time!AJ37)*(AJ9-AJ10+AJ11-AJ12)</f>
        <v>31.3270751281084</v>
      </c>
      <c r="AK13" s="13" t="n">
        <f aca="false">(1-Time!AK37)*(AK9-AK10+AK11-AK12)</f>
        <v>28.96785189818</v>
      </c>
      <c r="AL13" s="13" t="n">
        <f aca="false">(1-Time!AL37)*(AL9-AL10+AL11-AL12)</f>
        <v>24.6883785811868</v>
      </c>
      <c r="AM13" s="13" t="n">
        <f aca="false">(1-Time!AM37)*(AM9-AM10+AM11-AM12)</f>
        <v>20.1003922092362</v>
      </c>
      <c r="AN13" s="13" t="n">
        <f aca="false">(1-Time!AN37)*(AN9-AN10+AN11-AN12)</f>
        <v>19.2400387064762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19.2778097774822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0.500383418214804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1.69201454158971</v>
      </c>
      <c r="BN14" s="13" t="n">
        <f aca="false">MIN(Waterfall!BN14,Operations!BN81)</f>
        <v>1.14035029696979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19.2778097774822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19.2778097774822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0.500383418214804</v>
      </c>
      <c r="BC16" s="13" t="n">
        <f aca="false">BB16+BC14-BC15</f>
        <v>2.01795649155704</v>
      </c>
      <c r="BD16" s="13" t="n">
        <f aca="false">BC16+BD14-BD15</f>
        <v>3.55213205180363</v>
      </c>
      <c r="BE16" s="13" t="n">
        <f aca="false">BD16+BE14-BE15</f>
        <v>5.1030917327594</v>
      </c>
      <c r="BF16" s="13" t="n">
        <f aca="false">BE16+BF14-BF15</f>
        <v>6.67101915533141</v>
      </c>
      <c r="BG16" s="13" t="n">
        <f aca="false">BF16+BG14-BG15</f>
        <v>8.2560999492682</v>
      </c>
      <c r="BH16" s="13" t="n">
        <f aca="false">BG16+BH14-BH15</f>
        <v>9.8585217751368</v>
      </c>
      <c r="BI16" s="13" t="n">
        <f aca="false">BH16+BI14-BI15</f>
        <v>11.4784743465402</v>
      </c>
      <c r="BJ16" s="13" t="n">
        <f aca="false">BI16+BJ14-BJ15</f>
        <v>13.1161494525779</v>
      </c>
      <c r="BK16" s="13" t="n">
        <f aca="false">BJ16+BK14-BK15</f>
        <v>14.7717409805522</v>
      </c>
      <c r="BL16" s="13" t="n">
        <f aca="false">BK16+BL14-BL15</f>
        <v>16.4454449389227</v>
      </c>
      <c r="BM16" s="13" t="n">
        <f aca="false">BL16+BM14-BM15</f>
        <v>18.1374594805124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2346.96538273815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1.86721444482732</v>
      </c>
      <c r="Q7" s="13" t="n">
        <f aca="false">Operations!Q84-Tax!Q27-Operations!Q96-Reserves!Q7+Operations!Q79+Operations!Q97</f>
        <v>50.1694349259804</v>
      </c>
      <c r="R7" s="13" t="n">
        <f aca="false">Operations!R84-Tax!R27-Operations!R96-Reserves!R7+Operations!R79+Operations!R97</f>
        <v>50.7589649640819</v>
      </c>
      <c r="S7" s="13" t="n">
        <f aca="false">Operations!S84-Tax!S27-Operations!S96-Reserves!S7+Operations!S79+Operations!S97</f>
        <v>50.4233190401177</v>
      </c>
      <c r="T7" s="13" t="n">
        <f aca="false">Operations!T84-Tax!T27-Operations!T96-Reserves!T7+Operations!T79+Operations!T97</f>
        <v>51.0022495144261</v>
      </c>
      <c r="U7" s="13" t="n">
        <f aca="false">Operations!U84-Tax!U27-Operations!U96-Reserves!U7+Operations!U79+Operations!U97</f>
        <v>50.6723125847848</v>
      </c>
      <c r="V7" s="13" t="n">
        <f aca="false">Operations!V84-Tax!V27-Operations!V96-Reserves!V7+Operations!V79+Operations!V97</f>
        <v>51.1693558860182</v>
      </c>
      <c r="W7" s="13" t="n">
        <f aca="false">Operations!W84-Tax!W27-Operations!W96-Reserves!W7+Operations!W79+Operations!W97</f>
        <v>51.4024493908331</v>
      </c>
      <c r="X7" s="13" t="n">
        <f aca="false">Operations!X84-Tax!X27-Operations!X96-Reserves!X7+Operations!X79+Operations!X97</f>
        <v>51.9502968022351</v>
      </c>
      <c r="Y7" s="13" t="n">
        <f aca="false">Operations!Y84-Tax!Y27-Operations!Y96-Reserves!Y7+Operations!Y79+Operations!Y97</f>
        <v>49.460994216498</v>
      </c>
      <c r="Z7" s="13" t="n">
        <f aca="false">Operations!Z84-Tax!Z27-Operations!Z96-Reserves!Z7+Operations!Z79+Operations!Z97</f>
        <v>49.9717937201414</v>
      </c>
      <c r="AA7" s="13" t="n">
        <f aca="false">Operations!AA84-Tax!AA27-Operations!AA96-Reserves!AA7+Operations!AA79+Operations!AA97</f>
        <v>49.3840999040299</v>
      </c>
      <c r="AB7" s="13" t="n">
        <f aca="false">Operations!AB84-Tax!AB27-Operations!AB96-Reserves!AB7+Operations!AB79+Operations!AB97</f>
        <v>49.9820197005408</v>
      </c>
      <c r="AC7" s="13" t="n">
        <f aca="false">Operations!AC84-Tax!AC27-Operations!AC96-Reserves!AC7+Operations!AC79+Operations!AC97</f>
        <v>49.6443667431118</v>
      </c>
      <c r="AD7" s="13" t="n">
        <f aca="false">Operations!AD84-Tax!AD27-Operations!AD96-Reserves!AD7+Operations!AD79+Operations!AD97</f>
        <v>50.2015579797273</v>
      </c>
      <c r="AE7" s="13" t="n">
        <f aca="false">Operations!AE84-Tax!AE27-Operations!AE96-Reserves!AE7+Operations!AE79+Operations!AE97</f>
        <v>51.3752461862275</v>
      </c>
      <c r="AF7" s="13" t="n">
        <f aca="false">Operations!AF84-Tax!AF27-Operations!AF96-Reserves!AF7+Operations!AF79+Operations!AF97</f>
        <v>52.3831778159556</v>
      </c>
      <c r="AG7" s="13" t="n">
        <f aca="false">Operations!AG84-Tax!AG27-Operations!AG96-Reserves!AG7+Operations!AG79+Operations!AG97</f>
        <v>51.5272391835451</v>
      </c>
      <c r="AH7" s="13" t="n">
        <f aca="false">Operations!AH84-Tax!AH27-Operations!AH96-Reserves!AH7+Operations!AH79+Operations!AH97</f>
        <v>52.1805404506068</v>
      </c>
      <c r="AI7" s="13" t="n">
        <f aca="false">Operations!AI84-Tax!AI27-Operations!AI96-Reserves!AI7+Operations!AI79+Operations!AI97</f>
        <v>51.828817762181</v>
      </c>
      <c r="AJ7" s="13" t="n">
        <f aca="false">Operations!AJ84-Tax!AJ27-Operations!AJ96-Reserves!AJ7+Operations!AJ79+Operations!AJ97</f>
        <v>52.4490966240749</v>
      </c>
      <c r="AK7" s="13" t="n">
        <f aca="false">Operations!AK84-Tax!AK27-Operations!AK96-Reserves!AK7+Operations!AK79+Operations!AK97</f>
        <v>52.1049530907206</v>
      </c>
      <c r="AL7" s="13" t="n">
        <f aca="false">Operations!AL84-Tax!AL27-Operations!AL96-Reserves!AL7+Operations!AL79+Operations!AL97</f>
        <v>52.6514512471158</v>
      </c>
      <c r="AM7" s="13" t="n">
        <f aca="false">Operations!AM84-Tax!AM27-Operations!AM96-Reserves!AM7+Operations!AM79+Operations!AM97</f>
        <v>52.9846165065847</v>
      </c>
      <c r="AN7" s="13" t="n">
        <f aca="false">Operations!AN84-Tax!AN27-Operations!AN96-Reserves!AN7+Operations!AN79+Operations!AN97</f>
        <v>53.5672342650934</v>
      </c>
      <c r="AO7" s="13" t="n">
        <f aca="false">Operations!AO84-Tax!AO27-Operations!AO96-Reserves!AO7+Operations!AO79+Operations!AO97</f>
        <v>50.6597042674252</v>
      </c>
      <c r="AP7" s="13" t="n">
        <f aca="false">Operations!AP84-Tax!AP27-Operations!AP96-Reserves!AP7+Operations!AP79+Operations!AP97</f>
        <v>51.3388059528544</v>
      </c>
      <c r="AQ7" s="13" t="n">
        <f aca="false">Operations!AQ84-Tax!AQ27-Operations!AQ96-Reserves!AQ7+Operations!AQ79+Operations!AQ97</f>
        <v>50.9858164161793</v>
      </c>
      <c r="AR7" s="13" t="n">
        <f aca="false">Operations!AR84-Tax!AR27-Operations!AR96-Reserves!AR7+Operations!AR79+Operations!AR97</f>
        <v>45.7684670441939</v>
      </c>
      <c r="AS7" s="13" t="n">
        <f aca="false">Operations!AS84-Tax!AS27-Operations!AS96-Reserves!AS7+Operations!AS79+Operations!AS97</f>
        <v>41.9268129884159</v>
      </c>
      <c r="AT7" s="13" t="n">
        <f aca="false">Operations!AT84-Tax!AT27-Operations!AT96-Reserves!AT7+Operations!AT79+Operations!AT97</f>
        <v>42.2347040057773</v>
      </c>
      <c r="AU7" s="13" t="n">
        <f aca="false">Operations!AU84-Tax!AU27-Operations!AU96-Reserves!AU7+Operations!AU79+Operations!AU97</f>
        <v>48.2341806460909</v>
      </c>
      <c r="AV7" s="13" t="n">
        <f aca="false">Operations!AV84-Tax!AV27-Operations!AV96-Reserves!AV7+Operations!AV79+Operations!AV97</f>
        <v>44.7308529296943</v>
      </c>
      <c r="AW7" s="13" t="n">
        <f aca="false">Operations!AW84-Tax!AW27-Operations!AW96-Reserves!AW7+Operations!AW79+Operations!AW97</f>
        <v>43.7748175628881</v>
      </c>
      <c r="AX7" s="13" t="n">
        <f aca="false">Operations!AX84-Tax!AX27-Operations!AX96-Reserves!AX7+Operations!AX79+Operations!AX97</f>
        <v>44.4336304565757</v>
      </c>
      <c r="AY7" s="13" t="n">
        <f aca="false">Operations!AY84-Tax!AY27-Operations!AY96-Reserves!AY7+Operations!AY79+Operations!AY97</f>
        <v>44.0236843552615</v>
      </c>
      <c r="AZ7" s="13" t="n">
        <f aca="false">Operations!AZ84-Tax!AZ27-Operations!AZ96-Reserves!AZ7+Operations!AZ79+Operations!AZ97</f>
        <v>44.6582600816764</v>
      </c>
      <c r="BA7" s="13" t="n">
        <f aca="false">Operations!BA84-Tax!BA27-Operations!BA96-Reserves!BA7+Operations!BA79+Operations!BA97</f>
        <v>44.2710164827823</v>
      </c>
      <c r="BB7" s="13" t="n">
        <f aca="false">Operations!BB84-Tax!BB27-Operations!BB96-Reserves!BB7+Operations!BB79+Operations!BB97</f>
        <v>44.8075520469647</v>
      </c>
      <c r="BC7" s="13" t="n">
        <f aca="false">Operations!BC84-Tax!BC27-Operations!BC96-Reserves!BC7+Operations!BC79+Operations!BC97</f>
        <v>46.2384229041428</v>
      </c>
      <c r="BD7" s="13" t="n">
        <f aca="false">Operations!BD84-Tax!BD27-Operations!BD96-Reserves!BD7+Operations!BD79+Operations!BD97</f>
        <v>43.7565474869321</v>
      </c>
      <c r="BE7" s="13" t="n">
        <f aca="false">Operations!BE84-Tax!BE27-Operations!BE96-Reserves!BE7+Operations!BE79+Operations!BE97</f>
        <v>36.3322746036085</v>
      </c>
      <c r="BF7" s="13" t="n">
        <f aca="false">Operations!BF84-Tax!BF27-Operations!BF96-Reserves!BF7+Operations!BF79+Operations!BF97</f>
        <v>37.0179331821482</v>
      </c>
      <c r="BG7" s="13" t="n">
        <f aca="false">Operations!BG84-Tax!BG27-Operations!BG96-Reserves!BG7+Operations!BG79+Operations!BG97</f>
        <v>36.6019284859471</v>
      </c>
      <c r="BH7" s="13" t="n">
        <f aca="false">Operations!BH84-Tax!BH27-Operations!BH96-Reserves!BH7+Operations!BH79+Operations!BH97</f>
        <v>37.2618941056145</v>
      </c>
      <c r="BI7" s="13" t="n">
        <f aca="false">Operations!BI84-Tax!BI27-Operations!BI96-Reserves!BI7+Operations!BI79+Operations!BI97</f>
        <v>36.8644421147541</v>
      </c>
      <c r="BJ7" s="13" t="n">
        <f aca="false">Operations!BJ84-Tax!BJ27-Operations!BJ96-Reserves!BJ7+Operations!BJ79+Operations!BJ97</f>
        <v>37.4662807247034</v>
      </c>
      <c r="BK7" s="13" t="n">
        <f aca="false">Operations!BK84-Tax!BK27-Operations!BK96-Reserves!BK7+Operations!BK79+Operations!BK97</f>
        <v>44.7156585725791</v>
      </c>
      <c r="BL7" s="13" t="n">
        <f aca="false">Operations!BL84-Tax!BL27-Operations!BL96-Reserves!BL7+Operations!BL79+Operations!BL97</f>
        <v>40.4574124445196</v>
      </c>
      <c r="BM7" s="13" t="n">
        <f aca="false">Operations!BM84-Tax!BM27-Operations!BM96-Reserves!BM7+Operations!BM79+Operations!BM97</f>
        <v>40.0598355094314</v>
      </c>
      <c r="BN7" s="13" t="n">
        <f aca="false">Operations!BN84-Tax!BN27-Operations!BN96-Reserves!BN7+Operations!BN79+Operations!BN97</f>
        <v>37.2316444175279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0</v>
      </c>
      <c r="Q8" s="13" t="n">
        <f aca="false">IF(Time!Q34=1,INDEX(Funding!$J$54:$BJ$54,1,Time!$F$14)+SUM(Funding!$J$79:$BJ$79),0)+P30+P42</f>
        <v>1.86721444482732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1.86721444482732</v>
      </c>
      <c r="Q9" s="13" t="n">
        <f aca="false">Q7+Q8</f>
        <v>52.0366493708077</v>
      </c>
      <c r="R9" s="13" t="n">
        <f aca="false">R7+R8</f>
        <v>50.7589649640819</v>
      </c>
      <c r="S9" s="13" t="n">
        <f aca="false">S7+S8</f>
        <v>50.4233190401177</v>
      </c>
      <c r="T9" s="13" t="n">
        <f aca="false">T7+T8</f>
        <v>51.0022495144261</v>
      </c>
      <c r="U9" s="13" t="n">
        <f aca="false">U7+U8</f>
        <v>50.6723125847848</v>
      </c>
      <c r="V9" s="13" t="n">
        <f aca="false">V7+V8</f>
        <v>51.1693558860182</v>
      </c>
      <c r="W9" s="13" t="n">
        <f aca="false">W7+W8</f>
        <v>51.4024493908331</v>
      </c>
      <c r="X9" s="13" t="n">
        <f aca="false">X7+X8</f>
        <v>51.9502968022351</v>
      </c>
      <c r="Y9" s="13" t="n">
        <f aca="false">Y7+Y8</f>
        <v>49.460994216498</v>
      </c>
      <c r="Z9" s="13" t="n">
        <f aca="false">Z7+Z8</f>
        <v>49.9717937201414</v>
      </c>
      <c r="AA9" s="13" t="n">
        <f aca="false">AA7+AA8</f>
        <v>49.3840999040299</v>
      </c>
      <c r="AB9" s="13" t="n">
        <f aca="false">AB7+AB8</f>
        <v>49.9820197005408</v>
      </c>
      <c r="AC9" s="13" t="n">
        <f aca="false">AC7+AC8</f>
        <v>49.6443667431118</v>
      </c>
      <c r="AD9" s="13" t="n">
        <f aca="false">AD7+AD8</f>
        <v>50.2015579797273</v>
      </c>
      <c r="AE9" s="13" t="n">
        <f aca="false">AE7+AE8</f>
        <v>51.3752461862275</v>
      </c>
      <c r="AF9" s="13" t="n">
        <f aca="false">AF7+AF8</f>
        <v>52.3831778159556</v>
      </c>
      <c r="AG9" s="13" t="n">
        <f aca="false">AG7+AG8</f>
        <v>51.5272391835451</v>
      </c>
      <c r="AH9" s="13" t="n">
        <f aca="false">AH7+AH8</f>
        <v>52.1805404506068</v>
      </c>
      <c r="AI9" s="13" t="n">
        <f aca="false">AI7+AI8</f>
        <v>51.828817762181</v>
      </c>
      <c r="AJ9" s="13" t="n">
        <f aca="false">AJ7+AJ8</f>
        <v>52.4490966240749</v>
      </c>
      <c r="AK9" s="13" t="n">
        <f aca="false">AK7+AK8</f>
        <v>52.1049530907206</v>
      </c>
      <c r="AL9" s="13" t="n">
        <f aca="false">AL7+AL8</f>
        <v>52.6514512471158</v>
      </c>
      <c r="AM9" s="13" t="n">
        <f aca="false">AM7+AM8</f>
        <v>52.9846165065847</v>
      </c>
      <c r="AN9" s="13" t="n">
        <f aca="false">AN7+AN8</f>
        <v>53.5672342650934</v>
      </c>
      <c r="AO9" s="13" t="n">
        <f aca="false">AO7+AO8</f>
        <v>50.6597042674252</v>
      </c>
      <c r="AP9" s="13" t="n">
        <f aca="false">AP7+AP8</f>
        <v>51.3388059528544</v>
      </c>
      <c r="AQ9" s="13" t="n">
        <f aca="false">AQ7+AQ8</f>
        <v>50.9858164161793</v>
      </c>
      <c r="AR9" s="13" t="n">
        <f aca="false">AR7+AR8</f>
        <v>45.7684670441939</v>
      </c>
      <c r="AS9" s="13" t="n">
        <f aca="false">AS7+AS8</f>
        <v>41.9268129884159</v>
      </c>
      <c r="AT9" s="13" t="n">
        <f aca="false">AT7+AT8</f>
        <v>42.2347040057773</v>
      </c>
      <c r="AU9" s="13" t="n">
        <f aca="false">AU7+AU8</f>
        <v>48.2341806460909</v>
      </c>
      <c r="AV9" s="13" t="n">
        <f aca="false">AV7+AV8</f>
        <v>44.7308529296943</v>
      </c>
      <c r="AW9" s="13" t="n">
        <f aca="false">AW7+AW8</f>
        <v>43.7748175628881</v>
      </c>
      <c r="AX9" s="13" t="n">
        <f aca="false">AX7+AX8</f>
        <v>44.4336304565757</v>
      </c>
      <c r="AY9" s="13" t="n">
        <f aca="false">AY7+AY8</f>
        <v>44.0236843552615</v>
      </c>
      <c r="AZ9" s="13" t="n">
        <f aca="false">AZ7+AZ8</f>
        <v>44.6582600816764</v>
      </c>
      <c r="BA9" s="13" t="n">
        <f aca="false">BA7+BA8</f>
        <v>44.2710164827823</v>
      </c>
      <c r="BB9" s="13" t="n">
        <f aca="false">BB7+BB8</f>
        <v>44.8075520469647</v>
      </c>
      <c r="BC9" s="13" t="n">
        <f aca="false">BC7+BC8</f>
        <v>46.2384229041428</v>
      </c>
      <c r="BD9" s="13" t="n">
        <f aca="false">BD7+BD8</f>
        <v>43.7565474869321</v>
      </c>
      <c r="BE9" s="13" t="n">
        <f aca="false">BE7+BE8</f>
        <v>36.3322746036085</v>
      </c>
      <c r="BF9" s="13" t="n">
        <f aca="false">BF7+BF8</f>
        <v>37.0179331821482</v>
      </c>
      <c r="BG9" s="13" t="n">
        <f aca="false">BG7+BG8</f>
        <v>36.6019284859471</v>
      </c>
      <c r="BH9" s="13" t="n">
        <f aca="false">BH7+BH8</f>
        <v>37.2618941056145</v>
      </c>
      <c r="BI9" s="13" t="n">
        <f aca="false">BI7+BI8</f>
        <v>36.8644421147541</v>
      </c>
      <c r="BJ9" s="13" t="n">
        <f aca="false">BJ7+BJ8</f>
        <v>37.4662807247034</v>
      </c>
      <c r="BK9" s="13" t="n">
        <f aca="false">BK7+BK8</f>
        <v>44.7156585725791</v>
      </c>
      <c r="BL9" s="13" t="n">
        <f aca="false">BL7+BL8</f>
        <v>40.4574124445196</v>
      </c>
      <c r="BM9" s="13" t="n">
        <f aca="false">BM7+BM8</f>
        <v>40.0598355094314</v>
      </c>
      <c r="BN9" s="13" t="n">
        <f aca="false">BN7+BN8</f>
        <v>37.2316444175279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880.899814472508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39.603216907776</v>
      </c>
      <c r="R10" s="13" t="n">
        <f aca="false">Debt!R114+Debt!R110</f>
        <v>40.102842827001</v>
      </c>
      <c r="S10" s="13" t="n">
        <f aca="false">Debt!S114+Debt!S110</f>
        <v>39.782965771714</v>
      </c>
      <c r="T10" s="13" t="n">
        <f aca="false">Debt!T114+Debt!T110</f>
        <v>40.2291987025319</v>
      </c>
      <c r="U10" s="13" t="n">
        <f aca="false">Debt!U114+Debt!U110</f>
        <v>40.0282463927307</v>
      </c>
      <c r="V10" s="13" t="n">
        <f aca="false">Debt!V114+Debt!V110</f>
        <v>40.788082011737</v>
      </c>
      <c r="W10" s="13" t="n">
        <f aca="false">Debt!W114+Debt!W110</f>
        <v>40.4958985741315</v>
      </c>
      <c r="X10" s="13" t="n">
        <f aca="false">Debt!X114+Debt!X110</f>
        <v>39.3377969613003</v>
      </c>
      <c r="Y10" s="13" t="n">
        <f aca="false">Debt!Y114+Debt!Y110</f>
        <v>38.9491427645836</v>
      </c>
      <c r="Z10" s="13" t="n">
        <f aca="false">Debt!Z114+Debt!Z110</f>
        <v>39.2697057994611</v>
      </c>
      <c r="AA10" s="13" t="n">
        <f aca="false">Debt!AA114+Debt!AA110</f>
        <v>38.9444210897746</v>
      </c>
      <c r="AB10" s="13" t="n">
        <f aca="false">Debt!AB114+Debt!AB110</f>
        <v>38.9090756650031</v>
      </c>
      <c r="AC10" s="13" t="n">
        <f aca="false">Debt!AC114+Debt!AC110</f>
        <v>38.137098743905</v>
      </c>
      <c r="AD10" s="13" t="n">
        <f aca="false">Debt!AD114+Debt!AD110</f>
        <v>38.9668620760463</v>
      </c>
      <c r="AE10" s="13" t="n">
        <f aca="false">Debt!AE114+Debt!AE110</f>
        <v>38.2974377254564</v>
      </c>
      <c r="AF10" s="13" t="n">
        <f aca="false">Debt!AF114+Debt!AF110</f>
        <v>37.4928949769641</v>
      </c>
      <c r="AG10" s="13" t="n">
        <f aca="false">Debt!AG114+Debt!AG110</f>
        <v>36.0288095772625</v>
      </c>
      <c r="AH10" s="13" t="n">
        <f aca="false">Debt!AH114+Debt!AH110</f>
        <v>35.1472194129403</v>
      </c>
      <c r="AI10" s="13" t="n">
        <f aca="false">Debt!AI114+Debt!AI110</f>
        <v>33.1990904537234</v>
      </c>
      <c r="AJ10" s="13" t="n">
        <f aca="false">Debt!AJ114+Debt!AJ110</f>
        <v>31.4403562025123</v>
      </c>
      <c r="AK10" s="13" t="n">
        <f aca="false">Debt!AK114+Debt!AK110</f>
        <v>28.4117523261328</v>
      </c>
      <c r="AL10" s="13" t="n">
        <f aca="false">Debt!AL114+Debt!AL110</f>
        <v>24.7850911367375</v>
      </c>
      <c r="AM10" s="13" t="n">
        <f aca="false">Debt!AM114+Debt!AM110</f>
        <v>23.2121774573697</v>
      </c>
      <c r="AN10" s="13" t="n">
        <f aca="false">Debt!AN114+Debt!AN110</f>
        <v>20.1003922092362</v>
      </c>
      <c r="AO10" s="13" t="n">
        <f aca="false">Debt!AO114+Debt!AO110</f>
        <v>19.2400387064762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0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0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1.86721444482732</v>
      </c>
      <c r="Q13" s="13" t="n">
        <f aca="false">MAX(0,Q9-Q10)</f>
        <v>12.4334324630317</v>
      </c>
      <c r="R13" s="13" t="n">
        <f aca="false">MAX(0,R9-R10)</f>
        <v>10.6561221370809</v>
      </c>
      <c r="S13" s="13" t="n">
        <f aca="false">MAX(0,S9-S10)</f>
        <v>10.6403532684037</v>
      </c>
      <c r="T13" s="13" t="n">
        <f aca="false">MAX(0,T9-T10)</f>
        <v>10.7730508118942</v>
      </c>
      <c r="U13" s="13" t="n">
        <f aca="false">MAX(0,U9-U10)</f>
        <v>10.6440661920541</v>
      </c>
      <c r="V13" s="13" t="n">
        <f aca="false">MAX(0,V9-V10)</f>
        <v>10.3812738742811</v>
      </c>
      <c r="W13" s="13" t="n">
        <f aca="false">MAX(0,W9-W10)</f>
        <v>10.9065508167016</v>
      </c>
      <c r="X13" s="13" t="n">
        <f aca="false">MAX(0,X9-X10)</f>
        <v>12.6124998409348</v>
      </c>
      <c r="Y13" s="13" t="n">
        <f aca="false">MAX(0,Y9-Y10)</f>
        <v>10.5118514519144</v>
      </c>
      <c r="Z13" s="13" t="n">
        <f aca="false">MAX(0,Z9-Z10)</f>
        <v>10.7020879206803</v>
      </c>
      <c r="AA13" s="13" t="n">
        <f aca="false">MAX(0,AA9-AA10)</f>
        <v>10.4396788142554</v>
      </c>
      <c r="AB13" s="13" t="n">
        <f aca="false">MAX(0,AB9-AB10)</f>
        <v>11.0729440355377</v>
      </c>
      <c r="AC13" s="13" t="n">
        <f aca="false">MAX(0,AC9-AC10)</f>
        <v>11.5072679992068</v>
      </c>
      <c r="AD13" s="13" t="n">
        <f aca="false">MAX(0,AD9-AD10)</f>
        <v>11.234695903681</v>
      </c>
      <c r="AE13" s="13" t="n">
        <f aca="false">MAX(0,AE9-AE10)</f>
        <v>13.0778084607711</v>
      </c>
      <c r="AF13" s="13" t="n">
        <f aca="false">MAX(0,AF9-AF10)</f>
        <v>14.8902828389914</v>
      </c>
      <c r="AG13" s="13" t="n">
        <f aca="false">MAX(0,AG9-AG10)</f>
        <v>15.4984296062826</v>
      </c>
      <c r="AH13" s="13" t="n">
        <f aca="false">MAX(0,AH9-AH10)</f>
        <v>17.0333210376665</v>
      </c>
      <c r="AI13" s="13" t="n">
        <f aca="false">MAX(0,AI9-AI10)</f>
        <v>18.6297273084576</v>
      </c>
      <c r="AJ13" s="13" t="n">
        <f aca="false">MAX(0,AJ9-AJ10)</f>
        <v>21.0087404215626</v>
      </c>
      <c r="AK13" s="13" t="n">
        <f aca="false">MAX(0,AK9-AK10)</f>
        <v>23.6932007645878</v>
      </c>
      <c r="AL13" s="13" t="n">
        <f aca="false">MAX(0,AL9-AL10)</f>
        <v>27.8663601103783</v>
      </c>
      <c r="AM13" s="13" t="n">
        <f aca="false">MAX(0,AM9-AM10)</f>
        <v>29.772439049215</v>
      </c>
      <c r="AN13" s="13" t="n">
        <f aca="false">MAX(0,AN9-AN10)</f>
        <v>33.4668420558572</v>
      </c>
      <c r="AO13" s="13" t="n">
        <f aca="false">MAX(0,AO9-AO10)</f>
        <v>31.419665560949</v>
      </c>
      <c r="AP13" s="13" t="n">
        <f aca="false">MAX(0,AP9-AP10)</f>
        <v>51.3388059528544</v>
      </c>
      <c r="AQ13" s="13" t="n">
        <f aca="false">MAX(0,AQ9-AQ10)</f>
        <v>50.9858164161793</v>
      </c>
      <c r="AR13" s="13" t="n">
        <f aca="false">MAX(0,AR9-AR10)</f>
        <v>45.7684670441939</v>
      </c>
      <c r="AS13" s="13" t="n">
        <f aca="false">MAX(0,AS9-AS10)</f>
        <v>41.9268129884159</v>
      </c>
      <c r="AT13" s="13" t="n">
        <f aca="false">MAX(0,AT9-AT10)</f>
        <v>42.2347040057773</v>
      </c>
      <c r="AU13" s="13" t="n">
        <f aca="false">MAX(0,AU9-AU10)</f>
        <v>48.2341806460909</v>
      </c>
      <c r="AV13" s="13" t="n">
        <f aca="false">MAX(0,AV9-AV10)</f>
        <v>44.7308529296943</v>
      </c>
      <c r="AW13" s="13" t="n">
        <f aca="false">MAX(0,AW9-AW10)</f>
        <v>43.7748175628881</v>
      </c>
      <c r="AX13" s="13" t="n">
        <f aca="false">MAX(0,AX9-AX10)</f>
        <v>44.4336304565757</v>
      </c>
      <c r="AY13" s="13" t="n">
        <f aca="false">MAX(0,AY9-AY10)</f>
        <v>44.0236843552615</v>
      </c>
      <c r="AZ13" s="13" t="n">
        <f aca="false">MAX(0,AZ9-AZ10)</f>
        <v>44.6582600816764</v>
      </c>
      <c r="BA13" s="13" t="n">
        <f aca="false">MAX(0,BA9-BA10)</f>
        <v>44.2710164827823</v>
      </c>
      <c r="BB13" s="13" t="n">
        <f aca="false">MAX(0,BB9-BB10)</f>
        <v>44.8075520469647</v>
      </c>
      <c r="BC13" s="13" t="n">
        <f aca="false">MAX(0,BC9-BC10)</f>
        <v>46.2384229041428</v>
      </c>
      <c r="BD13" s="13" t="n">
        <f aca="false">MAX(0,BD9-BD10)</f>
        <v>43.7565474869321</v>
      </c>
      <c r="BE13" s="13" t="n">
        <f aca="false">MAX(0,BE9-BE10)</f>
        <v>36.3322746036085</v>
      </c>
      <c r="BF13" s="13" t="n">
        <f aca="false">MAX(0,BF9-BF10)</f>
        <v>37.0179331821482</v>
      </c>
      <c r="BG13" s="13" t="n">
        <f aca="false">MAX(0,BG9-BG10)</f>
        <v>36.6019284859471</v>
      </c>
      <c r="BH13" s="13" t="n">
        <f aca="false">MAX(0,BH9-BH10)</f>
        <v>37.2618941056145</v>
      </c>
      <c r="BI13" s="13" t="n">
        <f aca="false">MAX(0,BI9-BI10)</f>
        <v>36.8644421147541</v>
      </c>
      <c r="BJ13" s="13" t="n">
        <f aca="false">MAX(0,BJ9-BJ10)</f>
        <v>37.4662807247034</v>
      </c>
      <c r="BK13" s="13" t="n">
        <f aca="false">MAX(0,BK9-BK10)</f>
        <v>44.7156585725791</v>
      </c>
      <c r="BL13" s="13" t="n">
        <f aca="false">MAX(0,BL9-BL10)</f>
        <v>40.4574124445196</v>
      </c>
      <c r="BM13" s="13" t="n">
        <f aca="false">MAX(0,BM9-BM10)</f>
        <v>40.0598355094314</v>
      </c>
      <c r="BN13" s="13" t="n">
        <f aca="false">MAX(0,BN9-BN10)</f>
        <v>37.2316444175279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1.86721444482732</v>
      </c>
      <c r="Q14" s="13" t="n">
        <f aca="false">Q13-Reserves!Q11+Reserves!Q12</f>
        <v>11.9338065438067</v>
      </c>
      <c r="R14" s="13" t="n">
        <f aca="false">R13-Reserves!R11+Reserves!R12</f>
        <v>10.9759991923679</v>
      </c>
      <c r="S14" s="13" t="n">
        <f aca="false">S13-Reserves!S11+Reserves!S12</f>
        <v>10.1941203375857</v>
      </c>
      <c r="T14" s="13" t="n">
        <f aca="false">T13-Reserves!T11+Reserves!T12</f>
        <v>10.9740031216955</v>
      </c>
      <c r="U14" s="13" t="n">
        <f aca="false">U13-Reserves!U11+Reserves!U12</f>
        <v>9.88423057304774</v>
      </c>
      <c r="V14" s="13" t="n">
        <f aca="false">V13-Reserves!V11+Reserves!V12</f>
        <v>10.6734573118867</v>
      </c>
      <c r="W14" s="13" t="n">
        <f aca="false">W13-Reserves!W11+Reserves!W12</f>
        <v>12.0646524295327</v>
      </c>
      <c r="X14" s="13" t="n">
        <f aca="false">X13-Reserves!X11+Reserves!X12</f>
        <v>13.0011540376515</v>
      </c>
      <c r="Y14" s="13" t="n">
        <f aca="false">Y13-Reserves!Y11+Reserves!Y12</f>
        <v>10.1912884170369</v>
      </c>
      <c r="Z14" s="13" t="n">
        <f aca="false">Z13-Reserves!Z11+Reserves!Z12</f>
        <v>11.0273726303668</v>
      </c>
      <c r="AA14" s="13" t="n">
        <f aca="false">AA13-Reserves!AA11+Reserves!AA12</f>
        <v>9.98273186249865</v>
      </c>
      <c r="AB14" s="13" t="n">
        <f aca="false">AB13-Reserves!AB11+Reserves!AB12</f>
        <v>11.7317578017336</v>
      </c>
      <c r="AC14" s="13" t="n">
        <f aca="false">AC13-Reserves!AC11+Reserves!AC12</f>
        <v>10.6709049395181</v>
      </c>
      <c r="AD14" s="13" t="n">
        <f aca="false">AD13-Reserves!AD11+Reserves!AD12</f>
        <v>11.7919616801962</v>
      </c>
      <c r="AE14" s="13" t="n">
        <f aca="false">AE13-Reserves!AE11+Reserves!AE12</f>
        <v>13.692100025418</v>
      </c>
      <c r="AF14" s="13" t="n">
        <f aca="false">AF13-Reserves!AF11+Reserves!AF12</f>
        <v>16.0964237846775</v>
      </c>
      <c r="AG14" s="13" t="n">
        <f aca="false">AG13-Reserves!AG11+Reserves!AG12</f>
        <v>16.2249784010356</v>
      </c>
      <c r="AH14" s="13" t="n">
        <f aca="false">AH13-Reserves!AH11+Reserves!AH12</f>
        <v>18.6153082273727</v>
      </c>
      <c r="AI14" s="13" t="n">
        <f aca="false">AI13-Reserves!AI11+Reserves!AI12</f>
        <v>19.9625220830434</v>
      </c>
      <c r="AJ14" s="13" t="n">
        <f aca="false">AJ13-Reserves!AJ11+Reserves!AJ12</f>
        <v>23.2415535825852</v>
      </c>
      <c r="AK14" s="13" t="n">
        <f aca="false">AK13-Reserves!AK11+Reserves!AK12</f>
        <v>26.0524239945162</v>
      </c>
      <c r="AL14" s="13" t="n">
        <f aca="false">AL13-Reserves!AL11+Reserves!AL12</f>
        <v>32.1458334273715</v>
      </c>
      <c r="AM14" s="13" t="n">
        <f aca="false">AM13-Reserves!AM11+Reserves!AM12</f>
        <v>34.3604254211656</v>
      </c>
      <c r="AN14" s="13" t="n">
        <f aca="false">AN13-Reserves!AN11+Reserves!AN12</f>
        <v>34.3271955586172</v>
      </c>
      <c r="AO14" s="13" t="n">
        <f aca="false">AO13-Reserves!AO11+Reserves!AO12</f>
        <v>50.6597042674252</v>
      </c>
      <c r="AP14" s="13" t="n">
        <f aca="false">AP13-Reserves!AP11+Reserves!AP12</f>
        <v>51.3388059528544</v>
      </c>
      <c r="AQ14" s="13" t="n">
        <f aca="false">AQ13-Reserves!AQ11+Reserves!AQ12</f>
        <v>50.9858164161793</v>
      </c>
      <c r="AR14" s="13" t="n">
        <f aca="false">AR13-Reserves!AR11+Reserves!AR12</f>
        <v>45.7684670441939</v>
      </c>
      <c r="AS14" s="13" t="n">
        <f aca="false">AS13-Reserves!AS11+Reserves!AS12</f>
        <v>41.9268129884159</v>
      </c>
      <c r="AT14" s="13" t="n">
        <f aca="false">AT13-Reserves!AT11+Reserves!AT12</f>
        <v>42.2347040057773</v>
      </c>
      <c r="AU14" s="13" t="n">
        <f aca="false">AU13-Reserves!AU11+Reserves!AU12</f>
        <v>48.2341806460909</v>
      </c>
      <c r="AV14" s="13" t="n">
        <f aca="false">AV13-Reserves!AV11+Reserves!AV12</f>
        <v>44.7308529296943</v>
      </c>
      <c r="AW14" s="13" t="n">
        <f aca="false">AW13-Reserves!AW11+Reserves!AW12</f>
        <v>43.7748175628881</v>
      </c>
      <c r="AX14" s="13" t="n">
        <f aca="false">AX13-Reserves!AX11+Reserves!AX12</f>
        <v>44.4336304565757</v>
      </c>
      <c r="AY14" s="13" t="n">
        <f aca="false">AY13-Reserves!AY11+Reserves!AY12</f>
        <v>44.0236843552615</v>
      </c>
      <c r="AZ14" s="13" t="n">
        <f aca="false">AZ13-Reserves!AZ11+Reserves!AZ12</f>
        <v>44.6582600816764</v>
      </c>
      <c r="BA14" s="13" t="n">
        <f aca="false">BA13-Reserves!BA11+Reserves!BA12</f>
        <v>44.2710164827823</v>
      </c>
      <c r="BB14" s="13" t="n">
        <f aca="false">BB13-Reserves!BB11+Reserves!BB12</f>
        <v>44.8075520469647</v>
      </c>
      <c r="BC14" s="13" t="n">
        <f aca="false">BC13-Reserves!BC11+Reserves!BC12</f>
        <v>46.2384229041428</v>
      </c>
      <c r="BD14" s="13" t="n">
        <f aca="false">BD13-Reserves!BD11+Reserves!BD12</f>
        <v>43.7565474869321</v>
      </c>
      <c r="BE14" s="13" t="n">
        <f aca="false">BE13-Reserves!BE11+Reserves!BE12</f>
        <v>36.3322746036085</v>
      </c>
      <c r="BF14" s="13" t="n">
        <f aca="false">BF13-Reserves!BF11+Reserves!BF12</f>
        <v>37.0179331821482</v>
      </c>
      <c r="BG14" s="13" t="n">
        <f aca="false">BG13-Reserves!BG11+Reserves!BG12</f>
        <v>36.6019284859471</v>
      </c>
      <c r="BH14" s="13" t="n">
        <f aca="false">BH13-Reserves!BH11+Reserves!BH12</f>
        <v>37.2618941056145</v>
      </c>
      <c r="BI14" s="13" t="n">
        <f aca="false">BI13-Reserves!BI11+Reserves!BI12</f>
        <v>36.8644421147541</v>
      </c>
      <c r="BJ14" s="13" t="n">
        <f aca="false">BJ13-Reserves!BJ11+Reserves!BJ12</f>
        <v>37.4662807247034</v>
      </c>
      <c r="BK14" s="13" t="n">
        <f aca="false">BK13-Reserves!BK11+Reserves!BK12</f>
        <v>44.7156585725791</v>
      </c>
      <c r="BL14" s="13" t="n">
        <f aca="false">BL13-Reserves!BL11+Reserves!BL12</f>
        <v>40.4574124445196</v>
      </c>
      <c r="BM14" s="13" t="n">
        <f aca="false">BM13-Reserves!BM11+Reserves!BM12</f>
        <v>40.0598355094314</v>
      </c>
      <c r="BN14" s="13" t="n">
        <f aca="false">BN13-Reserves!BN11+Reserves!BN12</f>
        <v>37.2316444175279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1.86721444482732</v>
      </c>
      <c r="Q15" s="13" t="n">
        <f aca="false">Q14-Reserves!Q14+Reserves!Q15</f>
        <v>11.9338065438067</v>
      </c>
      <c r="R15" s="13" t="n">
        <f aca="false">R14-Reserves!R14+Reserves!R15</f>
        <v>10.9759991923679</v>
      </c>
      <c r="S15" s="13" t="n">
        <f aca="false">S14-Reserves!S14+Reserves!S15</f>
        <v>10.1941203375857</v>
      </c>
      <c r="T15" s="13" t="n">
        <f aca="false">T14-Reserves!T14+Reserves!T15</f>
        <v>10.9740031216955</v>
      </c>
      <c r="U15" s="13" t="n">
        <f aca="false">U14-Reserves!U14+Reserves!U15</f>
        <v>9.88423057304774</v>
      </c>
      <c r="V15" s="13" t="n">
        <f aca="false">V14-Reserves!V14+Reserves!V15</f>
        <v>10.6734573118867</v>
      </c>
      <c r="W15" s="13" t="n">
        <f aca="false">W14-Reserves!W14+Reserves!W15</f>
        <v>12.0646524295327</v>
      </c>
      <c r="X15" s="13" t="n">
        <f aca="false">X14-Reserves!X14+Reserves!X15</f>
        <v>13.0011540376515</v>
      </c>
      <c r="Y15" s="13" t="n">
        <f aca="false">Y14-Reserves!Y14+Reserves!Y15</f>
        <v>10.1912884170369</v>
      </c>
      <c r="Z15" s="13" t="n">
        <f aca="false">Z14-Reserves!Z14+Reserves!Z15</f>
        <v>11.0273726303668</v>
      </c>
      <c r="AA15" s="13" t="n">
        <f aca="false">AA14-Reserves!AA14+Reserves!AA15</f>
        <v>9.98273186249865</v>
      </c>
      <c r="AB15" s="13" t="n">
        <f aca="false">AB14-Reserves!AB14+Reserves!AB15</f>
        <v>11.7317578017336</v>
      </c>
      <c r="AC15" s="13" t="n">
        <f aca="false">AC14-Reserves!AC14+Reserves!AC15</f>
        <v>10.6709049395181</v>
      </c>
      <c r="AD15" s="13" t="n">
        <f aca="false">AD14-Reserves!AD14+Reserves!AD15</f>
        <v>11.7919616801962</v>
      </c>
      <c r="AE15" s="13" t="n">
        <f aca="false">AE14-Reserves!AE14+Reserves!AE15</f>
        <v>13.692100025418</v>
      </c>
      <c r="AF15" s="13" t="n">
        <f aca="false">AF14-Reserves!AF14+Reserves!AF15</f>
        <v>16.0964237846775</v>
      </c>
      <c r="AG15" s="13" t="n">
        <f aca="false">AG14-Reserves!AG14+Reserves!AG15</f>
        <v>16.2249784010356</v>
      </c>
      <c r="AH15" s="13" t="n">
        <f aca="false">AH14-Reserves!AH14+Reserves!AH15</f>
        <v>18.6153082273727</v>
      </c>
      <c r="AI15" s="13" t="n">
        <f aca="false">AI14-Reserves!AI14+Reserves!AI15</f>
        <v>19.9625220830434</v>
      </c>
      <c r="AJ15" s="13" t="n">
        <f aca="false">AJ14-Reserves!AJ14+Reserves!AJ15</f>
        <v>23.2415535825852</v>
      </c>
      <c r="AK15" s="13" t="n">
        <f aca="false">AK14-Reserves!AK14+Reserves!AK15</f>
        <v>26.0524239945162</v>
      </c>
      <c r="AL15" s="13" t="n">
        <f aca="false">AL14-Reserves!AL14+Reserves!AL15</f>
        <v>32.1458334273715</v>
      </c>
      <c r="AM15" s="13" t="n">
        <f aca="false">AM14-Reserves!AM14+Reserves!AM15</f>
        <v>34.3604254211656</v>
      </c>
      <c r="AN15" s="13" t="n">
        <f aca="false">AN14-Reserves!AN14+Reserves!AN15</f>
        <v>34.3271955586172</v>
      </c>
      <c r="AO15" s="13" t="n">
        <f aca="false">AO14-Reserves!AO14+Reserves!AO15</f>
        <v>50.6597042674252</v>
      </c>
      <c r="AP15" s="13" t="n">
        <f aca="false">AP14-Reserves!AP14+Reserves!AP15</f>
        <v>51.3388059528544</v>
      </c>
      <c r="AQ15" s="13" t="n">
        <f aca="false">AQ14-Reserves!AQ14+Reserves!AQ15</f>
        <v>50.9858164161793</v>
      </c>
      <c r="AR15" s="13" t="n">
        <f aca="false">AR14-Reserves!AR14+Reserves!AR15</f>
        <v>45.7684670441939</v>
      </c>
      <c r="AS15" s="13" t="n">
        <f aca="false">AS14-Reserves!AS14+Reserves!AS15</f>
        <v>41.9268129884159</v>
      </c>
      <c r="AT15" s="13" t="n">
        <f aca="false">AT14-Reserves!AT14+Reserves!AT15</f>
        <v>42.2347040057773</v>
      </c>
      <c r="AU15" s="13" t="n">
        <f aca="false">AU14-Reserves!AU14+Reserves!AU15</f>
        <v>48.2341806460909</v>
      </c>
      <c r="AV15" s="13" t="n">
        <f aca="false">AV14-Reserves!AV14+Reserves!AV15</f>
        <v>44.7308529296943</v>
      </c>
      <c r="AW15" s="13" t="n">
        <f aca="false">AW14-Reserves!AW14+Reserves!AW15</f>
        <v>43.7748175628881</v>
      </c>
      <c r="AX15" s="13" t="n">
        <f aca="false">AX14-Reserves!AX14+Reserves!AX15</f>
        <v>44.4336304565757</v>
      </c>
      <c r="AY15" s="13" t="n">
        <f aca="false">AY14-Reserves!AY14+Reserves!AY15</f>
        <v>44.0236843552615</v>
      </c>
      <c r="AZ15" s="13" t="n">
        <f aca="false">AZ14-Reserves!AZ14+Reserves!AZ15</f>
        <v>44.6582600816764</v>
      </c>
      <c r="BA15" s="13" t="n">
        <f aca="false">BA14-Reserves!BA14+Reserves!BA15</f>
        <v>44.2710164827823</v>
      </c>
      <c r="BB15" s="13" t="n">
        <f aca="false">BB14-Reserves!BB14+Reserves!BB15</f>
        <v>44.3071686287499</v>
      </c>
      <c r="BC15" s="13" t="n">
        <f aca="false">BC14-Reserves!BC14+Reserves!BC15</f>
        <v>44.7208498308005</v>
      </c>
      <c r="BD15" s="13" t="n">
        <f aca="false">BD14-Reserves!BD14+Reserves!BD15</f>
        <v>42.2223719266855</v>
      </c>
      <c r="BE15" s="13" t="n">
        <f aca="false">BE14-Reserves!BE14+Reserves!BE15</f>
        <v>34.7813149226527</v>
      </c>
      <c r="BF15" s="13" t="n">
        <f aca="false">BF14-Reserves!BF14+Reserves!BF15</f>
        <v>35.4500057595762</v>
      </c>
      <c r="BG15" s="13" t="n">
        <f aca="false">BG14-Reserves!BG14+Reserves!BG15</f>
        <v>35.0168476920103</v>
      </c>
      <c r="BH15" s="13" t="n">
        <f aca="false">BH14-Reserves!BH14+Reserves!BH15</f>
        <v>35.6594722797459</v>
      </c>
      <c r="BI15" s="13" t="n">
        <f aca="false">BI14-Reserves!BI14+Reserves!BI15</f>
        <v>35.2444895433507</v>
      </c>
      <c r="BJ15" s="13" t="n">
        <f aca="false">BJ14-Reserves!BJ14+Reserves!BJ15</f>
        <v>35.8286056186657</v>
      </c>
      <c r="BK15" s="13" t="n">
        <f aca="false">BK14-Reserves!BK14+Reserves!BK15</f>
        <v>43.0600670446048</v>
      </c>
      <c r="BL15" s="13" t="n">
        <f aca="false">BL14-Reserves!BL14+Reserves!BL15</f>
        <v>38.7837084861491</v>
      </c>
      <c r="BM15" s="13" t="n">
        <f aca="false">BM14-Reserves!BM14+Reserves!BM15</f>
        <v>38.3678209678417</v>
      </c>
      <c r="BN15" s="13" t="n">
        <f aca="false">BN14-Reserves!BN14+Reserves!BN15</f>
        <v>55.3691038980403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1.26680201365485</v>
      </c>
      <c r="R17" s="3" t="n">
        <f aca="false">IF(Debt!R114&gt;Inputs!$F$253,R7/Debt!R114,0)</f>
        <v>1.26571986886441</v>
      </c>
      <c r="S17" s="3" t="n">
        <f aca="false">IF(Debt!S114&gt;Inputs!$F$253,S7/Debt!S114,0)</f>
        <v>1.26746003124707</v>
      </c>
      <c r="T17" s="3" t="n">
        <f aca="false">IF(Debt!T114&gt;Inputs!$F$253,T7/Debt!T114,0)</f>
        <v>1.2677918317875</v>
      </c>
      <c r="U17" s="3" t="n">
        <f aca="false">IF(Debt!U114&gt;Inputs!$F$253,U7/Debt!U114,0)</f>
        <v>1.26591387710622</v>
      </c>
      <c r="V17" s="3" t="n">
        <f aca="false">IF(Debt!V114&gt;Inputs!$F$253,V7/Debt!V114,0)</f>
        <v>1.25451733355086</v>
      </c>
      <c r="W17" s="3" t="n">
        <f aca="false">IF(Debt!W114&gt;Inputs!$F$253,W7/Debt!W114,0)</f>
        <v>1.26932482549402</v>
      </c>
      <c r="X17" s="3" t="n">
        <f aca="false">IF(Debt!X114&gt;Inputs!$F$253,X7/Debt!X114,0)</f>
        <v>1.32062039095231</v>
      </c>
      <c r="Y17" s="3" t="n">
        <f aca="false">IF(Debt!Y114&gt;Inputs!$F$253,Y7/Debt!Y114,0)</f>
        <v>1.26988659328012</v>
      </c>
      <c r="Z17" s="3" t="n">
        <f aca="false">IF(Debt!Z114&gt;Inputs!$F$253,Z7/Debt!Z114,0)</f>
        <v>1.27252783546006</v>
      </c>
      <c r="AA17" s="3" t="n">
        <f aca="false">IF(Debt!AA114&gt;Inputs!$F$253,AA7/Debt!AA114,0)</f>
        <v>1.26806609322013</v>
      </c>
      <c r="AB17" s="3" t="n">
        <f aca="false">IF(Debt!AB114&gt;Inputs!$F$253,AB7/Debt!AB114,0)</f>
        <v>1.28458512175598</v>
      </c>
      <c r="AC17" s="3" t="n">
        <f aca="false">IF(Debt!AC114&gt;Inputs!$F$253,AC7/Debt!AC114,0)</f>
        <v>1.30173422672971</v>
      </c>
      <c r="AD17" s="3" t="n">
        <f aca="false">IF(Debt!AD114&gt;Inputs!$F$253,AD7/Debt!AD114,0)</f>
        <v>1.28831410344913</v>
      </c>
      <c r="AE17" s="3" t="n">
        <f aca="false">IF(Debt!AE114&gt;Inputs!$F$253,AE7/Debt!AE114,0)</f>
        <v>1.34147998501942</v>
      </c>
      <c r="AF17" s="3" t="n">
        <f aca="false">IF(Debt!AF114&gt;Inputs!$F$253,AF7/Debt!AF114,0)</f>
        <v>1.39714945586731</v>
      </c>
      <c r="AG17" s="3" t="n">
        <f aca="false">IF(Debt!AG114&gt;Inputs!$F$253,AG7/Debt!AG114,0)</f>
        <v>1.43016768492023</v>
      </c>
      <c r="AH17" s="3" t="n">
        <f aca="false">IF(Debt!AH114&gt;Inputs!$F$253,AH7/Debt!AH114,0)</f>
        <v>1.48462784032911</v>
      </c>
      <c r="AI17" s="3" t="n">
        <f aca="false">IF(Debt!AI114&gt;Inputs!$F$253,AI7/Debt!AI114,0)</f>
        <v>1.56115173800998</v>
      </c>
      <c r="AJ17" s="3" t="n">
        <f aca="false">IF(Debt!AJ114&gt;Inputs!$F$253,AJ7/Debt!AJ114,0)</f>
        <v>1.66820936398564</v>
      </c>
      <c r="AK17" s="3" t="n">
        <f aca="false">IF(Debt!AK114&gt;Inputs!$F$253,AK7/Debt!AK114,0)</f>
        <v>1.83392254348195</v>
      </c>
      <c r="AL17" s="3" t="n">
        <f aca="false">IF(Debt!AL114&gt;Inputs!$F$253,AL7/Debt!AL114,0)</f>
        <v>2.12431945303899</v>
      </c>
      <c r="AM17" s="3" t="n">
        <f aca="false">IF(Debt!AM114&gt;Inputs!$F$253,AM7/Debt!AM114,0)</f>
        <v>2.28262155086026</v>
      </c>
      <c r="AN17" s="3" t="n">
        <f aca="false">IF(Debt!AN114&gt;Inputs!$F$253,AN7/Debt!AN114,0)</f>
        <v>2.66498452903218</v>
      </c>
      <c r="AO17" s="3" t="n">
        <f aca="false">IF(Debt!AO114&gt;Inputs!$F$253,AO7/Debt!AO114,0)</f>
        <v>2.6330354652755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1.26680201365485</v>
      </c>
      <c r="R18" s="3" t="n">
        <f aca="false">IF(Debt!R114&gt;Inputs!$F$253,IF(Debt!Q114&gt;Inputs!$F$253,(R7+Q7)/(Debt!R114+Debt!Q114),R17),0)</f>
        <v>1.2662575496255</v>
      </c>
      <c r="S18" s="3" t="n">
        <f aca="false">IF(Debt!S114&gt;Inputs!$F$253,IF(Debt!R114&gt;Inputs!$F$253,(S7+R7)/(Debt!S114+Debt!R114),S17),0)</f>
        <v>1.26658646609515</v>
      </c>
      <c r="T18" s="3" t="n">
        <f aca="false">IF(Debt!T114&gt;Inputs!$F$253,IF(Debt!S114&gt;Inputs!$F$253,(T7+S7)/(Debt!T114+Debt!S114),T17),0)</f>
        <v>1.26762685675364</v>
      </c>
      <c r="U18" s="3" t="n">
        <f aca="false">IF(Debt!U114&gt;Inputs!$F$253,IF(Debt!T114&gt;Inputs!$F$253,(U7+T7)/(Debt!U114+Debt!T114),U17),0)</f>
        <v>1.26685520550183</v>
      </c>
      <c r="V18" s="3" t="n">
        <f aca="false">IF(Debt!V114&gt;Inputs!$F$253,IF(Debt!U114&gt;Inputs!$F$253,(V7+U7)/(Debt!V114+Debt!U114),V17),0)</f>
        <v>1.26016203014208</v>
      </c>
      <c r="W18" s="3" t="n">
        <f aca="false">IF(Debt!W114&gt;Inputs!$F$253,IF(Debt!V114&gt;Inputs!$F$253,(W7+V7)/(Debt!W114+Debt!V114),W17),0)</f>
        <v>1.26189446601344</v>
      </c>
      <c r="X18" s="3" t="n">
        <f aca="false">IF(Debt!X114&gt;Inputs!$F$253,IF(Debt!W114&gt;Inputs!$F$253,(X7+W7)/(Debt!X114+Debt!W114),X17),0)</f>
        <v>1.29460055055573</v>
      </c>
      <c r="Y18" s="3" t="n">
        <f aca="false">IF(Debt!Y114&gt;Inputs!$F$253,IF(Debt!X114&gt;Inputs!$F$253,(Y7+X7)/(Debt!Y114+Debt!X114),Y17),0)</f>
        <v>1.29537942565922</v>
      </c>
      <c r="Z18" s="3" t="n">
        <f aca="false">IF(Debt!Z114&gt;Inputs!$F$253,IF(Debt!Y114&gt;Inputs!$F$253,(Z7+Y7)/(Debt!Z114+Debt!Y114),Z17),0)</f>
        <v>1.27121262665002</v>
      </c>
      <c r="AA18" s="3" t="n">
        <f aca="false">IF(Debt!AA114&gt;Inputs!$F$253,IF(Debt!Z114&gt;Inputs!$F$253,(AA7+Z7)/(Debt!AA114+Debt!Z114),AA17),0)</f>
        <v>1.27030624230935</v>
      </c>
      <c r="AB18" s="3" t="n">
        <f aca="false">IF(Debt!AB114&gt;Inputs!$F$253,IF(Debt!AA114&gt;Inputs!$F$253,(AB7+AA7)/(Debt!AB114+Debt!AA114),AB17),0)</f>
        <v>1.27632185767524</v>
      </c>
      <c r="AC18" s="3" t="n">
        <f aca="false">IF(Debt!AC114&gt;Inputs!$F$253,IF(Debt!AB114&gt;Inputs!$F$253,(AC7+AB7)/(Debt!AC114+Debt!AB114),AC17),0)</f>
        <v>1.29307376009228</v>
      </c>
      <c r="AD18" s="3" t="n">
        <f aca="false">IF(Debt!AD114&gt;Inputs!$F$253,IF(Debt!AC114&gt;Inputs!$F$253,(AD7+AC7)/(Debt!AD114+Debt!AC114),AD17),0)</f>
        <v>1.29495195397281</v>
      </c>
      <c r="AE18" s="3" t="n">
        <f aca="false">IF(Debt!AE114&gt;Inputs!$F$253,IF(Debt!AD114&gt;Inputs!$F$253,(AE7+AD7)/(Debt!AE114+Debt!AD114),AE17),0)</f>
        <v>1.31466672741373</v>
      </c>
      <c r="AF18" s="3" t="n">
        <f aca="false">IF(Debt!AF114&gt;Inputs!$F$253,IF(Debt!AE114&gt;Inputs!$F$253,(AF7+AE7)/(Debt!AF114+Debt!AE114),AF17),0)</f>
        <v>1.36901924430884</v>
      </c>
      <c r="AG18" s="3" t="n">
        <f aca="false">IF(Debt!AG114&gt;Inputs!$F$253,IF(Debt!AF114&gt;Inputs!$F$253,(AG7+AF7)/(Debt!AG114+Debt!AF114),AG17),0)</f>
        <v>1.41332981368598</v>
      </c>
      <c r="AH18" s="3" t="n">
        <f aca="false">IF(Debt!AH114&gt;Inputs!$F$253,IF(Debt!AG114&gt;Inputs!$F$253,(AH7+AG7)/(Debt!AH114+Debt!AG114),AH17),0)</f>
        <v>1.45706048940195</v>
      </c>
      <c r="AI18" s="3" t="n">
        <f aca="false">IF(Debt!AI114&gt;Inputs!$F$253,IF(Debt!AH114&gt;Inputs!$F$253,(AI7+AH7)/(Debt!AI114+Debt!AH114),AI17),0)</f>
        <v>1.52179917856134</v>
      </c>
      <c r="AJ18" s="3" t="n">
        <f aca="false">IF(Debt!AJ114&gt;Inputs!$F$253,IF(Debt!AI114&gt;Inputs!$F$253,(AJ7+AI7)/(Debt!AJ114+Debt!AI114),AJ17),0)</f>
        <v>1.61322411902479</v>
      </c>
      <c r="AK18" s="3" t="n">
        <f aca="false">IF(Debt!AK114&gt;Inputs!$F$253,IF(Debt!AJ114&gt;Inputs!$F$253,(AK7+AJ7)/(Debt!AK114+Debt!AJ114),AK17),0)</f>
        <v>1.74687328959774</v>
      </c>
      <c r="AL18" s="3" t="n">
        <f aca="false">IF(Debt!AL114&gt;Inputs!$F$253,IF(Debt!AK114&gt;Inputs!$F$253,(AL7+AK7)/(Debt!AL114+Debt!AK114),AL17),0)</f>
        <v>1.96922218535303</v>
      </c>
      <c r="AM18" s="3" t="n">
        <f aca="false">IF(Debt!AM114&gt;Inputs!$F$253,IF(Debt!AL114&gt;Inputs!$F$253,(AM7+AL7)/(Debt!AM114+Debt!AL114),AM17),0)</f>
        <v>2.20087665085737</v>
      </c>
      <c r="AN18" s="3" t="n">
        <f aca="false">IF(Debt!AN114&gt;Inputs!$F$253,IF(Debt!AM114&gt;Inputs!$F$253,(AN7+AM7)/(Debt!AN114+Debt!AM114),AN17),0)</f>
        <v>2.46006763375736</v>
      </c>
      <c r="AO18" s="3" t="n">
        <f aca="false">IF(Debt!AO114&gt;Inputs!$F$253,IF(Debt!AN114&gt;Inputs!$F$253,(AO7+AN7)/(Debt!AO114+Debt!AN114),AO17),0)</f>
        <v>2.64935935134587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92.4315840445423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4.99136593124933</v>
      </c>
      <c r="AB29" s="13" t="n">
        <f aca="false">IF(AND(AB24=1,Time!AB52=1,Inputs!$F$52=1),MIN(Inputs!$F$111*AB15,Debt!AB73),0)</f>
        <v>5.8658789008668</v>
      </c>
      <c r="AC29" s="13" t="n">
        <f aca="false">IF(AND(AC24=1,Time!AC52=1,Inputs!$F$52=1),MIN(Inputs!$F$111*AC15,Debt!AC73),0)</f>
        <v>5.33545246975903</v>
      </c>
      <c r="AD29" s="13" t="n">
        <f aca="false">IF(AND(AD24=1,Time!AD52=1,Inputs!$F$52=1),MIN(Inputs!$F$111*AD15,Debt!AD73),0)</f>
        <v>5.89598084009812</v>
      </c>
      <c r="AE29" s="13" t="n">
        <f aca="false">IF(AND(AE24=1,Time!AE52=1,Inputs!$F$52=1),MIN(Inputs!$F$111*AE15,Debt!AE73),0)</f>
        <v>6.84605001270899</v>
      </c>
      <c r="AF29" s="13" t="n">
        <f aca="false">IF(AND(AF24=1,Time!AF52=1,Inputs!$F$52=1),MIN(Inputs!$F$111*AF15,Debt!AF73),0)</f>
        <v>8.04821189233877</v>
      </c>
      <c r="AG29" s="13" t="n">
        <f aca="false">IF(AND(AG24=1,Time!AG52=1,Inputs!$F$52=1),MIN(Inputs!$F$111*AG15,Debt!AG73),0)</f>
        <v>8.11248920051779</v>
      </c>
      <c r="AH29" s="13" t="n">
        <f aca="false">IF(AND(AH24=1,Time!AH52=1,Inputs!$F$52=1),MIN(Inputs!$F$111*AH15,Debt!AH73),0)</f>
        <v>9.30765411368636</v>
      </c>
      <c r="AI29" s="13" t="n">
        <f aca="false">IF(AND(AI24=1,Time!AI52=1,Inputs!$F$52=1),MIN(Inputs!$F$111*AI15,Debt!AI73),0)</f>
        <v>9.98126104152171</v>
      </c>
      <c r="AJ29" s="13" t="n">
        <f aca="false">IF(AND(AJ24=1,Time!AJ52=1,Inputs!$F$52=1),MIN(Inputs!$F$111*AJ15,Debt!AJ73),0)</f>
        <v>11.6207767912926</v>
      </c>
      <c r="AK29" s="13" t="n">
        <f aca="false">IF(AND(AK24=1,Time!AK52=1,Inputs!$F$52=1),MIN(Inputs!$F$111*AK15,Debt!AK73),0)</f>
        <v>13.0262119972581</v>
      </c>
      <c r="AL29" s="13" t="n">
        <f aca="false">IF(AND(AL24=1,Time!AL52=1,Inputs!$F$52=1),MIN(Inputs!$F$111*AL15,Debt!AL73),0)</f>
        <v>3.40025085324474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1.86721444482732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1413.23720112887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11.9338065438067</v>
      </c>
      <c r="R31" s="13" t="n">
        <f aca="false">IF(R24=1,R15-R29,0)</f>
        <v>10.9759991923679</v>
      </c>
      <c r="S31" s="13" t="n">
        <f aca="false">IF(S24=1,S15-S29,0)</f>
        <v>10.1941203375857</v>
      </c>
      <c r="T31" s="13" t="n">
        <f aca="false">IF(T24=1,T15-T29,0)</f>
        <v>10.9740031216955</v>
      </c>
      <c r="U31" s="13" t="n">
        <f aca="false">IF(U24=1,U15-U29,0)</f>
        <v>9.88423057304774</v>
      </c>
      <c r="V31" s="13" t="n">
        <f aca="false">IF(V24=1,V15-V29,0)</f>
        <v>10.6734573118867</v>
      </c>
      <c r="W31" s="13" t="n">
        <f aca="false">IF(W24=1,W15-W29,0)</f>
        <v>12.0646524295327</v>
      </c>
      <c r="X31" s="13" t="n">
        <f aca="false">IF(X24=1,X15-X29,0)</f>
        <v>13.0011540376515</v>
      </c>
      <c r="Y31" s="13" t="n">
        <f aca="false">IF(Y24=1,Y15-Y29,0)</f>
        <v>10.1912884170369</v>
      </c>
      <c r="Z31" s="13" t="n">
        <f aca="false">IF(Z24=1,Z15-Z29,0)</f>
        <v>11.0273726303668</v>
      </c>
      <c r="AA31" s="13" t="n">
        <f aca="false">IF(AA24=1,AA15-AA29,0)</f>
        <v>4.99136593124933</v>
      </c>
      <c r="AB31" s="13" t="n">
        <f aca="false">IF(AB24=1,AB15-AB29,0)</f>
        <v>5.8658789008668</v>
      </c>
      <c r="AC31" s="13" t="n">
        <f aca="false">IF(AC24=1,AC15-AC29,0)</f>
        <v>5.33545246975903</v>
      </c>
      <c r="AD31" s="13" t="n">
        <f aca="false">IF(AD24=1,AD15-AD29,0)</f>
        <v>5.89598084009812</v>
      </c>
      <c r="AE31" s="13" t="n">
        <f aca="false">IF(AE24=1,AE15-AE29,0)</f>
        <v>6.84605001270899</v>
      </c>
      <c r="AF31" s="13" t="n">
        <f aca="false">IF(AF24=1,AF15-AF29,0)</f>
        <v>8.04821189233877</v>
      </c>
      <c r="AG31" s="13" t="n">
        <f aca="false">IF(AG24=1,AG15-AG29,0)</f>
        <v>8.11248920051779</v>
      </c>
      <c r="AH31" s="13" t="n">
        <f aca="false">IF(AH24=1,AH15-AH29,0)</f>
        <v>9.30765411368636</v>
      </c>
      <c r="AI31" s="13" t="n">
        <f aca="false">IF(AI24=1,AI15-AI29,0)</f>
        <v>9.98126104152171</v>
      </c>
      <c r="AJ31" s="13" t="n">
        <f aca="false">IF(AJ24=1,AJ15-AJ29,0)</f>
        <v>11.6207767912926</v>
      </c>
      <c r="AK31" s="13" t="n">
        <f aca="false">IF(AK24=1,AK15-AK29,0)</f>
        <v>13.0262119972581</v>
      </c>
      <c r="AL31" s="13" t="n">
        <f aca="false">IF(AL24=1,AL15-AL29,0)</f>
        <v>28.7455825741267</v>
      </c>
      <c r="AM31" s="13" t="n">
        <f aca="false">IF(AM24=1,AM15-AM29,0)</f>
        <v>34.3604254211656</v>
      </c>
      <c r="AN31" s="13" t="n">
        <f aca="false">IF(AN24=1,AN15-AN29,0)</f>
        <v>34.3271955586172</v>
      </c>
      <c r="AO31" s="13" t="n">
        <f aca="false">IF(AO24=1,AO15-AO29,0)</f>
        <v>50.6597042674252</v>
      </c>
      <c r="AP31" s="13" t="n">
        <f aca="false">IF(AP24=1,AP15-AP29,0)</f>
        <v>51.3388059528544</v>
      </c>
      <c r="AQ31" s="13" t="n">
        <f aca="false">IF(AQ24=1,AQ15-AQ29,0)</f>
        <v>50.9858164161793</v>
      </c>
      <c r="AR31" s="13" t="n">
        <f aca="false">IF(AR24=1,AR15-AR29,0)</f>
        <v>45.7684670441939</v>
      </c>
      <c r="AS31" s="13" t="n">
        <f aca="false">IF(AS24=1,AS15-AS29,0)</f>
        <v>41.9268129884159</v>
      </c>
      <c r="AT31" s="13" t="n">
        <f aca="false">IF(AT24=1,AT15-AT29,0)</f>
        <v>42.2347040057773</v>
      </c>
      <c r="AU31" s="13" t="n">
        <f aca="false">IF(AU24=1,AU15-AU29,0)</f>
        <v>48.2341806460909</v>
      </c>
      <c r="AV31" s="13" t="n">
        <f aca="false">IF(AV24=1,AV15-AV29,0)</f>
        <v>44.7308529296943</v>
      </c>
      <c r="AW31" s="13" t="n">
        <f aca="false">IF(AW24=1,AW15-AW29,0)</f>
        <v>43.7748175628881</v>
      </c>
      <c r="AX31" s="13" t="n">
        <f aca="false">IF(AX24=1,AX15-AX29,0)</f>
        <v>44.4336304565757</v>
      </c>
      <c r="AY31" s="13" t="n">
        <f aca="false">IF(AY24=1,AY15-AY29,0)</f>
        <v>44.0236843552615</v>
      </c>
      <c r="AZ31" s="13" t="n">
        <f aca="false">IF(AZ24=1,AZ15-AZ29,0)</f>
        <v>44.6582600816764</v>
      </c>
      <c r="BA31" s="13" t="n">
        <f aca="false">IF(BA24=1,BA15-BA29,0)</f>
        <v>44.2710164827823</v>
      </c>
      <c r="BB31" s="13" t="n">
        <f aca="false">IF(BB24=1,BB15-BB29,0)</f>
        <v>44.3071686287499</v>
      </c>
      <c r="BC31" s="13" t="n">
        <f aca="false">IF(BC24=1,BC15-BC29,0)</f>
        <v>44.7208498308005</v>
      </c>
      <c r="BD31" s="13" t="n">
        <f aca="false">IF(BD24=1,BD15-BD29,0)</f>
        <v>42.2223719266855</v>
      </c>
      <c r="BE31" s="13" t="n">
        <f aca="false">IF(BE24=1,BE15-BE29,0)</f>
        <v>34.7813149226527</v>
      </c>
      <c r="BF31" s="13" t="n">
        <f aca="false">IF(BF24=1,BF15-BF29,0)</f>
        <v>35.4500057595762</v>
      </c>
      <c r="BG31" s="13" t="n">
        <f aca="false">IF(BG24=1,BG15-BG29,0)</f>
        <v>35.0168476920103</v>
      </c>
      <c r="BH31" s="13" t="n">
        <f aca="false">IF(BH24=1,BH15-BH29,0)</f>
        <v>35.6594722797459</v>
      </c>
      <c r="BI31" s="13" t="n">
        <f aca="false">IF(BI24=1,BI15-BI29,0)</f>
        <v>35.2444895433507</v>
      </c>
      <c r="BJ31" s="13" t="n">
        <f aca="false">IF(BJ24=1,BJ15-BJ29,0)</f>
        <v>35.8286056186657</v>
      </c>
      <c r="BK31" s="13" t="n">
        <f aca="false">IF(BK24=1,BK15-BK29,0)</f>
        <v>43.0600670446048</v>
      </c>
      <c r="BL31" s="13" t="n">
        <f aca="false">IF(BL24=1,BL15-BL29,0)</f>
        <v>38.7837084861491</v>
      </c>
      <c r="BM31" s="13" t="n">
        <f aca="false">IF(BM24=1,BM15-BM29,0)</f>
        <v>38.3678209678417</v>
      </c>
      <c r="BN31" s="13" t="n">
        <f aca="false">IF(BN24=1,BN15-BN29,0)</f>
        <v>55.3691038980403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46.6523074830545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220.272053885011</v>
      </c>
      <c r="Q33" s="13" t="n">
        <f aca="false">IF(Time!Q20&lt;Time!$F$12,0,IF(Time!Q34=1,INDEX(Funding!$J$72:$BJ$72,1,Time!$F$14),P36))</f>
        <v>223.76924991861</v>
      </c>
      <c r="R33" s="13" t="n">
        <f aca="false">IF(Time!R20&lt;Time!$F$12,0,IF(Time!R34=1,INDEX(Funding!$J$72:$BJ$72,1,Time!$F$14),Q36))</f>
        <v>222.377120778504</v>
      </c>
      <c r="S33" s="13" t="n">
        <f aca="false">IF(Time!S20&lt;Time!$F$12,0,IF(Time!S34=1,INDEX(Funding!$J$72:$BJ$72,1,Time!$F$14),R36))</f>
        <v>222.050853288076</v>
      </c>
      <c r="T33" s="13" t="n">
        <f aca="false">IF(Time!T20&lt;Time!$F$12,0,IF(Time!T34=1,INDEX(Funding!$J$72:$BJ$72,1,Time!$F$14),S36))</f>
        <v>222.317457395116</v>
      </c>
      <c r="U33" s="13" t="n">
        <f aca="false">IF(Time!U20&lt;Time!$F$12,0,IF(Time!U34=1,INDEX(Funding!$J$72:$BJ$72,1,Time!$F$14),T36))</f>
        <v>221.990328671412</v>
      </c>
      <c r="V33" s="13" t="n">
        <f aca="false">IF(Time!V20&lt;Time!$F$12,0,IF(Time!V34=1,INDEX(Funding!$J$72:$BJ$72,1,Time!$F$14),U36))</f>
        <v>222.621749557895</v>
      </c>
      <c r="W33" s="13" t="n">
        <f aca="false">IF(Time!W20&lt;Time!$F$12,0,IF(Time!W34=1,INDEX(Funding!$J$72:$BJ$72,1,Time!$F$14),V36))</f>
        <v>222.609739320726</v>
      </c>
      <c r="X33" s="13" t="n">
        <f aca="false">IF(Time!X20&lt;Time!$F$12,0,IF(Time!X34=1,INDEX(Funding!$J$72:$BJ$72,1,Time!$F$14),W36))</f>
        <v>221.032140227138</v>
      </c>
      <c r="Y33" s="13" t="n">
        <f aca="false">IF(Time!Y20&lt;Time!$F$12,0,IF(Time!Y34=1,INDEX(Funding!$J$72:$BJ$72,1,Time!$F$14),X36))</f>
        <v>218.61630622009</v>
      </c>
      <c r="Z33" s="13" t="n">
        <f aca="false">IF(Time!Z20&lt;Time!$F$12,0,IF(Time!Z34=1,INDEX(Funding!$J$72:$BJ$72,1,Time!$F$14),Y36))</f>
        <v>218.723942146764</v>
      </c>
      <c r="AA33" s="13" t="n">
        <f aca="false">IF(Time!AA20&lt;Time!$F$12,0,IF(Time!AA34=1,INDEX(Funding!$J$72:$BJ$72,1,Time!$F$14),Z36))</f>
        <v>218.171348992357</v>
      </c>
      <c r="AB33" s="13" t="n">
        <f aca="false">IF(Time!AB20&lt;Time!$F$12,0,IF(Time!AB34=1,INDEX(Funding!$J$72:$BJ$72,1,Time!$F$14),AA36))</f>
        <v>223.457945652679</v>
      </c>
      <c r="AC33" s="13" t="n">
        <f aca="false">IF(Time!AC20&lt;Time!$F$12,0,IF(Time!AC34=1,INDEX(Funding!$J$72:$BJ$72,1,Time!$F$14),AB36))</f>
        <v>228.293559601152</v>
      </c>
      <c r="AD33" s="13" t="n">
        <f aca="false">IF(Time!AD20&lt;Time!$F$12,0,IF(Time!AD34=1,INDEX(Funding!$J$72:$BJ$72,1,Time!$F$14),AC36))</f>
        <v>233.772341776609</v>
      </c>
      <c r="AE33" s="13" t="n">
        <f aca="false">IF(Time!AE20&lt;Time!$F$12,0,IF(Time!AE34=1,INDEX(Funding!$J$72:$BJ$72,1,Time!$F$14),AD36))</f>
        <v>239.071814455018</v>
      </c>
      <c r="AF33" s="13" t="n">
        <f aca="false">IF(Time!AF20&lt;Time!$F$12,0,IF(Time!AF34=1,INDEX(Funding!$J$72:$BJ$72,1,Time!$F$14),AE36))</f>
        <v>243.488339372594</v>
      </c>
      <c r="AG33" s="13" t="n">
        <f aca="false">IF(Time!AG20&lt;Time!$F$12,0,IF(Time!AG34=1,INDEX(Funding!$J$72:$BJ$72,1,Time!$F$14),AF36))</f>
        <v>247.10088411651</v>
      </c>
      <c r="AH33" s="13" t="n">
        <f aca="false">IF(Time!AH20&lt;Time!$F$12,0,IF(Time!AH34=1,INDEX(Funding!$J$72:$BJ$72,1,Time!$F$14),AG36))</f>
        <v>250.629216018412</v>
      </c>
      <c r="AI33" s="13" t="n">
        <f aca="false">IF(Time!AI20&lt;Time!$F$12,0,IF(Time!AI34=1,INDEX(Funding!$J$72:$BJ$72,1,Time!$F$14),AH36))</f>
        <v>253.324298058156</v>
      </c>
      <c r="AJ33" s="13" t="n">
        <f aca="false">IF(Time!AJ20&lt;Time!$F$12,0,IF(Time!AJ34=1,INDEX(Funding!$J$72:$BJ$72,1,Time!$F$14),AI36))</f>
        <v>255.277040592278</v>
      </c>
      <c r="AK33" s="13" t="n">
        <f aca="false">IF(Time!AK20&lt;Time!$F$12,0,IF(Time!AK34=1,INDEX(Funding!$J$72:$BJ$72,1,Time!$F$14),AJ36))</f>
        <v>255.881586183322</v>
      </c>
      <c r="AL33" s="13" t="n">
        <f aca="false">IF(Time!AL20&lt;Time!$F$12,0,IF(Time!AL34=1,INDEX(Funding!$J$72:$BJ$72,1,Time!$F$14),AK36))</f>
        <v>254.976449871296</v>
      </c>
      <c r="AM33" s="13" t="n">
        <f aca="false">IF(Time!AM20&lt;Time!$F$12,0,IF(Time!AM34=1,INDEX(Funding!$J$72:$BJ$72,1,Time!$F$14),AL36))</f>
        <v>238.441794266348</v>
      </c>
      <c r="AN33" s="13" t="n">
        <f aca="false">IF(Time!AN20&lt;Time!$F$12,0,IF(Time!AN34=1,INDEX(Funding!$J$72:$BJ$72,1,Time!$F$14),AM36))</f>
        <v>215.314263783292</v>
      </c>
      <c r="AO33" s="13" t="n">
        <f aca="false">IF(Time!AO20&lt;Time!$F$12,0,IF(Time!AO34=1,INDEX(Funding!$J$72:$BJ$72,1,Time!$F$14),AN36))</f>
        <v>191.29855680257</v>
      </c>
      <c r="AP33" s="13" t="n">
        <f aca="false">IF(Time!AP20&lt;Time!$F$12,0,IF(Time!AP34=1,INDEX(Funding!$J$72:$BJ$72,1,Time!$F$14),AO36))</f>
        <v>149.650848930269</v>
      </c>
      <c r="AQ33" s="13" t="n">
        <f aca="false">IF(Time!AQ20&lt;Time!$F$12,0,IF(Time!AQ34=1,INDEX(Funding!$J$72:$BJ$72,1,Time!$F$14),AP36))</f>
        <v>105.478883633034</v>
      </c>
      <c r="AR33" s="13" t="n">
        <f aca="false">IF(Time!AR20&lt;Time!$F$12,0,IF(Time!AR34=1,INDEX(Funding!$J$72:$BJ$72,1,Time!$F$14),AQ36))</f>
        <v>59.4621340773206</v>
      </c>
      <c r="AS33" s="13" t="n">
        <f aca="false">IF(Time!AS20&lt;Time!$F$12,0,IF(Time!AS34=1,INDEX(Funding!$J$72:$BJ$72,1,Time!$F$14),AR36))</f>
        <v>16.541333070583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250.977160743266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10.5416774037</v>
      </c>
      <c r="R34" s="13" t="n">
        <f aca="false">R24*MIN(R31,Tax!R13)</f>
        <v>10.6497317019404</v>
      </c>
      <c r="S34" s="13" t="n">
        <f aca="false">S24*MIN(S31,Tax!S13)</f>
        <v>10.1941203375857</v>
      </c>
      <c r="T34" s="13" t="n">
        <f aca="false">T24*MIN(T31,Tax!T13)</f>
        <v>10.6468743979908</v>
      </c>
      <c r="U34" s="13" t="n">
        <f aca="false">U24*MIN(U31,Tax!U13)</f>
        <v>9.88423057304774</v>
      </c>
      <c r="V34" s="13" t="n">
        <f aca="false">V24*MIN(V31,Tax!V13)</f>
        <v>10.6614470747178</v>
      </c>
      <c r="W34" s="13" t="n">
        <f aca="false">W24*MIN(W31,Tax!W13)</f>
        <v>10.4870533359449</v>
      </c>
      <c r="X34" s="13" t="n">
        <f aca="false">X24*MIN(X31,Tax!X13)</f>
        <v>10.5853200306038</v>
      </c>
      <c r="Y34" s="13" t="n">
        <f aca="false">Y24*MIN(Y31,Tax!Y13)</f>
        <v>10.1912884170369</v>
      </c>
      <c r="Z34" s="13" t="n">
        <f aca="false">Z24*MIN(Z31,Tax!Z13)</f>
        <v>10.4747794759601</v>
      </c>
      <c r="AA34" s="13" t="n">
        <f aca="false">AA24*MIN(AA31,Tax!AA13)</f>
        <v>4.99136593124933</v>
      </c>
      <c r="AB34" s="13" t="n">
        <f aca="false">AB24*MIN(AB31,Tax!AB13)</f>
        <v>5.8658789008668</v>
      </c>
      <c r="AC34" s="13" t="n">
        <f aca="false">AC24*MIN(AC31,Tax!AC13)</f>
        <v>5.33545246975903</v>
      </c>
      <c r="AD34" s="13" t="n">
        <f aca="false">AD24*MIN(AD31,Tax!AD13)</f>
        <v>5.89598084009812</v>
      </c>
      <c r="AE34" s="13" t="n">
        <f aca="false">AE24*MIN(AE31,Tax!AE13)</f>
        <v>6.84605001270899</v>
      </c>
      <c r="AF34" s="13" t="n">
        <f aca="false">AF24*MIN(AF31,Tax!AF13)</f>
        <v>8.04821189233877</v>
      </c>
      <c r="AG34" s="13" t="n">
        <f aca="false">AG24*MIN(AG31,Tax!AG13)</f>
        <v>8.11248920051779</v>
      </c>
      <c r="AH34" s="13" t="n">
        <f aca="false">AH24*MIN(AH31,Tax!AH13)</f>
        <v>9.30765411368636</v>
      </c>
      <c r="AI34" s="13" t="n">
        <f aca="false">AI24*MIN(AI31,Tax!AI13)</f>
        <v>9.98126104152171</v>
      </c>
      <c r="AJ34" s="13" t="n">
        <f aca="false">AJ24*MIN(AJ31,Tax!AJ13)</f>
        <v>11.6207767912926</v>
      </c>
      <c r="AK34" s="13" t="n">
        <f aca="false">AK24*MIN(AK31,Tax!AK13)</f>
        <v>12.1210756852319</v>
      </c>
      <c r="AL34" s="13" t="n">
        <f aca="false">AL24*MIN(AL31,Tax!AL13)</f>
        <v>12.2109269691788</v>
      </c>
      <c r="AM34" s="13" t="n">
        <f aca="false">AM24*MIN(AM31,Tax!AM13)</f>
        <v>11.2328949381092</v>
      </c>
      <c r="AN34" s="13" t="n">
        <f aca="false">AN24*MIN(AN31,Tax!AN13)</f>
        <v>10.3114885778957</v>
      </c>
      <c r="AO34" s="13" t="n">
        <f aca="false">AO24*MIN(AO31,Tax!AO13)</f>
        <v>9.01199639512383</v>
      </c>
      <c r="AP34" s="13" t="n">
        <f aca="false">AP24*MIN(AP31,Tax!AP13)</f>
        <v>7.16684065561946</v>
      </c>
      <c r="AQ34" s="13" t="n">
        <f aca="false">AQ24*MIN(AQ31,Tax!AQ13)</f>
        <v>4.96906686046581</v>
      </c>
      <c r="AR34" s="13" t="n">
        <f aca="false">AR24*MIN(AR31,Tax!AR13)</f>
        <v>2.84766603745634</v>
      </c>
      <c r="AS34" s="13" t="n">
        <f aca="false">AS24*MIN(AS31,Tax!AS13)</f>
        <v>0.783560681617482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262.485148029773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1.39212914010672</v>
      </c>
      <c r="R35" s="13" t="n">
        <f aca="false">R24*MIN(R31-R34,R33+Tax!R13-R34)</f>
        <v>0.326267490427519</v>
      </c>
      <c r="S35" s="13" t="n">
        <f aca="false">S24*MIN(S31-S34,S33+Tax!S13-S34)</f>
        <v>0</v>
      </c>
      <c r="T35" s="13" t="n">
        <f aca="false">T24*MIN(T31-T34,T33+Tax!T13-T34)</f>
        <v>0.327128723704682</v>
      </c>
      <c r="U35" s="13" t="n">
        <f aca="false">U24*MIN(U31-U34,U33+Tax!U13-U34)</f>
        <v>0</v>
      </c>
      <c r="V35" s="13" t="n">
        <f aca="false">V24*MIN(V31-V34,V33+Tax!V13-V34)</f>
        <v>0.0120102371688802</v>
      </c>
      <c r="W35" s="13" t="n">
        <f aca="false">W24*MIN(W31-W34,W33+Tax!W13-W34)</f>
        <v>1.57759909358786</v>
      </c>
      <c r="X35" s="13" t="n">
        <f aca="false">X24*MIN(X31-X34,X33+Tax!X13-X34)</f>
        <v>2.41583400704779</v>
      </c>
      <c r="Y35" s="13" t="n">
        <f aca="false">Y24*MIN(Y31-Y34,Y33+Tax!Y13-Y34)</f>
        <v>0</v>
      </c>
      <c r="Z35" s="13" t="n">
        <f aca="false">Z24*MIN(Z31-Z34,Z33+Tax!Z13-Z34)</f>
        <v>0.55259315440674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0.905136312026185</v>
      </c>
      <c r="AL35" s="13" t="n">
        <f aca="false">AL24*MIN(AL31-AL34,AL33+Tax!AL13-AL34)</f>
        <v>16.5346556049479</v>
      </c>
      <c r="AM35" s="13" t="n">
        <f aca="false">AM24*MIN(AM31-AM34,AM33+Tax!AM13-AM34)</f>
        <v>23.1275304830564</v>
      </c>
      <c r="AN35" s="13" t="n">
        <f aca="false">AN24*MIN(AN31-AN34,AN33+Tax!AN13-AN34)</f>
        <v>24.0157069807215</v>
      </c>
      <c r="AO35" s="13" t="n">
        <f aca="false">AO24*MIN(AO31-AO34,AO33+Tax!AO13-AO34)</f>
        <v>41.6477078723013</v>
      </c>
      <c r="AP35" s="13" t="n">
        <f aca="false">AP24*MIN(AP31-AP34,AP33+Tax!AP13-AP34)</f>
        <v>44.1719652972349</v>
      </c>
      <c r="AQ35" s="13" t="n">
        <f aca="false">AQ24*MIN(AQ31-AQ34,AQ33+Tax!AQ13-AQ34)</f>
        <v>46.0167495557135</v>
      </c>
      <c r="AR35" s="13" t="n">
        <f aca="false">AR24*MIN(AR31-AR34,AR33+Tax!AR13-AR34)</f>
        <v>42.9208010067376</v>
      </c>
      <c r="AS35" s="13" t="n">
        <f aca="false">AS24*MIN(AS31-AS34,AS33+Tax!AS13-AS34)</f>
        <v>16.541333070583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223.76924991861</v>
      </c>
      <c r="Q36" s="13" t="n">
        <f aca="false">Q33+Tax!Q13-Q34-Q35</f>
        <v>222.377120778504</v>
      </c>
      <c r="R36" s="13" t="n">
        <f aca="false">R33+Tax!R13-R34-R35</f>
        <v>222.050853288076</v>
      </c>
      <c r="S36" s="13" t="n">
        <f aca="false">S33+Tax!S13-S34-S35</f>
        <v>222.317457395116</v>
      </c>
      <c r="T36" s="13" t="n">
        <f aca="false">T33+Tax!T13-T34-T35</f>
        <v>221.990328671412</v>
      </c>
      <c r="U36" s="13" t="n">
        <f aca="false">U33+Tax!U13-U34-U35</f>
        <v>222.621749557895</v>
      </c>
      <c r="V36" s="13" t="n">
        <f aca="false">V33+Tax!V13-V34-V35</f>
        <v>222.609739320726</v>
      </c>
      <c r="W36" s="13" t="n">
        <f aca="false">W33+Tax!W13-W34-W35</f>
        <v>221.032140227138</v>
      </c>
      <c r="X36" s="13" t="n">
        <f aca="false">X33+Tax!X13-X34-X35</f>
        <v>218.61630622009</v>
      </c>
      <c r="Y36" s="13" t="n">
        <f aca="false">Y33+Tax!Y13-Y34-Y35</f>
        <v>218.723942146764</v>
      </c>
      <c r="Z36" s="13" t="n">
        <f aca="false">Z33+Tax!Z13-Z34-Z35</f>
        <v>218.171348992357</v>
      </c>
      <c r="AA36" s="13" t="n">
        <f aca="false">AA33+Tax!AA13-AA34-AA35</f>
        <v>223.457945652679</v>
      </c>
      <c r="AB36" s="13" t="n">
        <f aca="false">AB33+Tax!AB13-AB34-AB35</f>
        <v>228.293559601152</v>
      </c>
      <c r="AC36" s="13" t="n">
        <f aca="false">AC33+Tax!AC13-AC34-AC35</f>
        <v>233.772341776609</v>
      </c>
      <c r="AD36" s="13" t="n">
        <f aca="false">AD33+Tax!AD13-AD34-AD35</f>
        <v>239.071814455018</v>
      </c>
      <c r="AE36" s="13" t="n">
        <f aca="false">AE33+Tax!AE13-AE34-AE35</f>
        <v>243.488339372594</v>
      </c>
      <c r="AF36" s="13" t="n">
        <f aca="false">AF33+Tax!AF13-AF34-AF35</f>
        <v>247.10088411651</v>
      </c>
      <c r="AG36" s="13" t="n">
        <f aca="false">AG33+Tax!AG13-AG34-AG35</f>
        <v>250.629216018412</v>
      </c>
      <c r="AH36" s="13" t="n">
        <f aca="false">AH33+Tax!AH13-AH34-AH35</f>
        <v>253.324298058156</v>
      </c>
      <c r="AI36" s="13" t="n">
        <f aca="false">AI33+Tax!AI13-AI34-AI35</f>
        <v>255.277040592278</v>
      </c>
      <c r="AJ36" s="13" t="n">
        <f aca="false">AJ33+Tax!AJ13-AJ34-AJ35</f>
        <v>255.881586183322</v>
      </c>
      <c r="AK36" s="13" t="n">
        <f aca="false">AK33+Tax!AK13-AK34-AK35</f>
        <v>254.976449871296</v>
      </c>
      <c r="AL36" s="13" t="n">
        <f aca="false">AL33+Tax!AL13-AL34-AL35</f>
        <v>238.441794266348</v>
      </c>
      <c r="AM36" s="13" t="n">
        <f aca="false">AM33+Tax!AM13-AM34-AM35</f>
        <v>215.314263783292</v>
      </c>
      <c r="AN36" s="13" t="n">
        <f aca="false">AN33+Tax!AN13-AN34-AN35</f>
        <v>191.29855680257</v>
      </c>
      <c r="AO36" s="13" t="n">
        <f aca="false">AO33+Tax!AO13-AO34-AO35</f>
        <v>149.650848930269</v>
      </c>
      <c r="AP36" s="13" t="n">
        <f aca="false">AP33+Tax!AP13-AP34-AP35</f>
        <v>105.478883633034</v>
      </c>
      <c r="AQ36" s="13" t="n">
        <f aca="false">AQ33+Tax!AQ13-AQ34-AQ35</f>
        <v>59.4621340773206</v>
      </c>
      <c r="AR36" s="13" t="n">
        <f aca="false">AR33+Tax!AR13-AR34-AR35</f>
        <v>16.541333070583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9.33689521142803</v>
      </c>
      <c r="Q37" s="13" t="n">
        <f aca="false">MAX(0,P43+Financials!Q14)</f>
        <v>15.0534713939594</v>
      </c>
      <c r="R37" s="13" t="n">
        <f aca="false">MAX(0,Q43+Financials!R14)</f>
        <v>21.1424688711377</v>
      </c>
      <c r="S37" s="13" t="n">
        <f aca="false">MAX(0,R43+Financials!S14)</f>
        <v>28.3803594021633</v>
      </c>
      <c r="T37" s="13" t="n">
        <f aca="false">MAX(0,S43+Financials!T14)</f>
        <v>35.8880956509282</v>
      </c>
      <c r="U37" s="13" t="n">
        <f aca="false">MAX(0,T43+Financials!U14)</f>
        <v>44.3898948271493</v>
      </c>
      <c r="V37" s="13" t="n">
        <f aca="false">MAX(0,U43+Financials!V14)</f>
        <v>53.416797201478</v>
      </c>
      <c r="W37" s="13" t="n">
        <f aca="false">MAX(0,V43+Financials!W14)</f>
        <v>61.2334940914675</v>
      </c>
      <c r="X37" s="13" t="n">
        <f aca="false">MAX(0,W43+Financials!X14)</f>
        <v>72.0565077271327</v>
      </c>
      <c r="Y37" s="13" t="n">
        <f aca="false">MAX(0,X43+Financials!Y14)</f>
        <v>83.5172957287039</v>
      </c>
      <c r="Z37" s="13" t="n">
        <f aca="false">MAX(0,Y43+Financials!Z14)</f>
        <v>92.9158324964448</v>
      </c>
      <c r="AA37" s="13" t="n">
        <f aca="false">MAX(0,Z43+Financials!AA14)</f>
        <v>98.1400805035025</v>
      </c>
      <c r="AB37" s="13" t="n">
        <f aca="false">MAX(0,AA43+Financials!AB14)</f>
        <v>103.727269921281</v>
      </c>
      <c r="AC37" s="13" t="n">
        <f aca="false">MAX(0,AB43+Financials!AC14)</f>
        <v>110.141492500855</v>
      </c>
      <c r="AD37" s="13" t="n">
        <f aca="false">MAX(0,AC43+Financials!AD14)</f>
        <v>117.130964284033</v>
      </c>
      <c r="AE37" s="13" t="n">
        <f aca="false">MAX(0,AD43+Financials!AE14)</f>
        <v>114.879562634996</v>
      </c>
      <c r="AF37" s="13" t="n">
        <f aca="false">MAX(0,AE43+Financials!AF14)</f>
        <v>124.807046228084</v>
      </c>
      <c r="AG37" s="13" t="n">
        <f aca="false">MAX(0,AF43+Financials!AG14)</f>
        <v>134.208557734375</v>
      </c>
      <c r="AH37" s="13" t="n">
        <f aca="false">MAX(0,AG43+Financials!AH14)</f>
        <v>144.336599430629</v>
      </c>
      <c r="AI37" s="13" t="n">
        <f aca="false">MAX(0,AH43+Financials!AI14)</f>
        <v>155.676193286553</v>
      </c>
      <c r="AJ37" s="13" t="n">
        <f aca="false">MAX(0,AI43+Financials!AJ14)</f>
        <v>167.842446960922</v>
      </c>
      <c r="AK37" s="13" t="n">
        <f aca="false">MAX(0,AJ43+Financials!AK14)</f>
        <v>181.198988798646</v>
      </c>
      <c r="AL37" s="13" t="n">
        <f aca="false">MAX(0,AK43+Financials!AL14)</f>
        <v>195.642952134841</v>
      </c>
      <c r="AM37" s="13" t="n">
        <f aca="false">MAX(0,AL43+Financials!AM14)</f>
        <v>209.448394054972</v>
      </c>
      <c r="AN37" s="13" t="n">
        <f aca="false">MAX(0,AM43+Financials!AN14)</f>
        <v>226.469009614593</v>
      </c>
      <c r="AO37" s="13" t="n">
        <f aca="false">MAX(0,AN43+Financials!AO14)</f>
        <v>244.766412939597</v>
      </c>
      <c r="AP37" s="13" t="n">
        <f aca="false">MAX(0,AO43+Financials!AP14)</f>
        <v>264.826133096794</v>
      </c>
      <c r="AQ37" s="13" t="n">
        <f aca="false">MAX(0,AP43+Financials!AQ14)</f>
        <v>286.546190510085</v>
      </c>
      <c r="AR37" s="13" t="n">
        <f aca="false">MAX(0,AQ43+Financials!AR14)</f>
        <v>310.219944751626</v>
      </c>
      <c r="AS37" s="13" t="n">
        <f aca="false">MAX(0,AR43+Financials!AS14)</f>
        <v>335.406067151146</v>
      </c>
      <c r="AT37" s="13" t="n">
        <f aca="false">MAX(0,AS43+Financials!AT14)</f>
        <v>336.721908429911</v>
      </c>
      <c r="AU37" s="13" t="n">
        <f aca="false">MAX(0,AT43+Financials!AU14)</f>
        <v>309.986606049976</v>
      </c>
      <c r="AV37" s="13" t="n">
        <f aca="false">MAX(0,AU43+Financials!AV14)</f>
        <v>287.958246002938</v>
      </c>
      <c r="AW37" s="13" t="n">
        <f aca="false">MAX(0,AV43+Financials!AW14)</f>
        <v>269.360131216741</v>
      </c>
      <c r="AX37" s="13" t="n">
        <f aca="false">MAX(0,AW43+Financials!AX14)</f>
        <v>251.836840335269</v>
      </c>
      <c r="AY37" s="13" t="n">
        <f aca="false">MAX(0,AX43+Financials!AY14)</f>
        <v>233.788719388788</v>
      </c>
      <c r="AZ37" s="13" t="n">
        <f aca="false">MAX(0,AY43+Financials!AZ14)</f>
        <v>216.240369361346</v>
      </c>
      <c r="BA37" s="13" t="n">
        <f aca="false">MAX(0,AZ43+Financials!BA14)</f>
        <v>198.129093394284</v>
      </c>
      <c r="BB37" s="13" t="n">
        <f aca="false">MAX(0,BA43+Financials!BB14)</f>
        <v>180.571434871941</v>
      </c>
      <c r="BC37" s="13" t="n">
        <f aca="false">MAX(0,BB43+Financials!BC14)</f>
        <v>160.699824410149</v>
      </c>
      <c r="BD37" s="13" t="n">
        <f aca="false">MAX(0,BC43+Financials!BD14)</f>
        <v>142.969945652527</v>
      </c>
      <c r="BE37" s="13" t="n">
        <f aca="false">MAX(0,BD43+Financials!BE14)</f>
        <v>127.725588182287</v>
      </c>
      <c r="BF37" s="13" t="n">
        <f aca="false">MAX(0,BE43+Financials!BF14)</f>
        <v>120.051957715221</v>
      </c>
      <c r="BG37" s="13" t="n">
        <f aca="false">MAX(0,BF43+Financials!BG14)</f>
        <v>111.854982715508</v>
      </c>
      <c r="BH37" s="13" t="n">
        <f aca="false">MAX(0,BG43+Financials!BH14)</f>
        <v>104.188605295052</v>
      </c>
      <c r="BI37" s="13" t="n">
        <f aca="false">MAX(0,BH43+Financials!BI14)</f>
        <v>95.95565134483</v>
      </c>
      <c r="BJ37" s="13" t="n">
        <f aca="false">MAX(0,BI43+Financials!BJ14)</f>
        <v>88.3588574164063</v>
      </c>
      <c r="BK37" s="13" t="n">
        <f aca="false">MAX(0,BJ43+Financials!BK14)</f>
        <v>67.8604363834981</v>
      </c>
      <c r="BL37" s="13" t="n">
        <f aca="false">MAX(0,BK43+Financials!BL14)</f>
        <v>52.7911752595407</v>
      </c>
      <c r="BM37" s="13" t="n">
        <f aca="false">MAX(0,BL43+Financials!BM14)</f>
        <v>41.9006803170523</v>
      </c>
      <c r="BN37" s="13" t="n">
        <f aca="false">MAX(0,BM43+Financials!BN14)</f>
        <v>8.71679641498567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24.6019192362154</v>
      </c>
      <c r="AT38" s="13" t="n">
        <f aca="false">AT24*MIN(AT31-AT34-AT35,AT37)</f>
        <v>42.2347040057773</v>
      </c>
      <c r="AU38" s="13" t="n">
        <f aca="false">AU24*MIN(AU31-AU34-AU35,AU37)</f>
        <v>48.2341806460909</v>
      </c>
      <c r="AV38" s="13" t="n">
        <f aca="false">AV24*MIN(AV31-AV34-AV35,AV37)</f>
        <v>44.7308529296943</v>
      </c>
      <c r="AW38" s="13" t="n">
        <f aca="false">AW24*MIN(AW31-AW34-AW35,AW37)</f>
        <v>43.7748175628881</v>
      </c>
      <c r="AX38" s="13" t="n">
        <f aca="false">AX24*MIN(AX31-AX34-AX35,AX37)</f>
        <v>44.4336304565757</v>
      </c>
      <c r="AY38" s="13" t="n">
        <f aca="false">AY24*MIN(AY31-AY34-AY35,AY37)</f>
        <v>44.0236843552615</v>
      </c>
      <c r="AZ38" s="13" t="n">
        <f aca="false">AZ24*MIN(AZ31-AZ34-AZ35,AZ37)</f>
        <v>44.6582600816764</v>
      </c>
      <c r="BA38" s="13" t="n">
        <f aca="false">BA24*MIN(BA31-BA34-BA35,BA37)</f>
        <v>44.2710164827823</v>
      </c>
      <c r="BB38" s="13" t="n">
        <f aca="false">BB24*MIN(BB31-BB34-BB35,BB37)</f>
        <v>44.3071686287499</v>
      </c>
      <c r="BC38" s="13" t="n">
        <f aca="false">BC24*MIN(BC31-BC34-BC35,BC37)</f>
        <v>44.7208498308005</v>
      </c>
      <c r="BD38" s="13" t="n">
        <f aca="false">BD24*MIN(BD31-BD34-BD35,BD37)</f>
        <v>42.2223719266855</v>
      </c>
      <c r="BE38" s="13" t="n">
        <f aca="false">BE24*MIN(BE31-BE34-BE35,BE37)</f>
        <v>34.7813149226527</v>
      </c>
      <c r="BF38" s="13" t="n">
        <f aca="false">BF24*MIN(BF31-BF34-BF35,BF37)</f>
        <v>35.4500057595762</v>
      </c>
      <c r="BG38" s="13" t="n">
        <f aca="false">BG24*MIN(BG31-BG34-BG35,BG37)</f>
        <v>35.0168476920103</v>
      </c>
      <c r="BH38" s="13" t="n">
        <f aca="false">BH24*MIN(BH31-BH34-BH35,BH37)</f>
        <v>35.6594722797459</v>
      </c>
      <c r="BI38" s="13" t="n">
        <f aca="false">BI24*MIN(BI31-BI34-BI35,BI37)</f>
        <v>35.2444895433507</v>
      </c>
      <c r="BJ38" s="13" t="n">
        <f aca="false">BJ24*MIN(BJ31-BJ34-BJ35,BJ37)</f>
        <v>35.8286056186657</v>
      </c>
      <c r="BK38" s="13" t="n">
        <f aca="false">BK24*MIN(BK31-BK34-BK35,BK37)</f>
        <v>43.0600670446048</v>
      </c>
      <c r="BL38" s="13" t="n">
        <f aca="false">BL24*MIN(BL31-BL34-BL35,BL37)</f>
        <v>38.7837084861491</v>
      </c>
      <c r="BM38" s="13" t="n">
        <f aca="false">BM24*MIN(BM31-BM34-BM35,BM37)</f>
        <v>38.3678209678417</v>
      </c>
      <c r="BN38" s="13" t="n">
        <f aca="false">BN24*MIN(BN31-BN34-BN35,BN37)</f>
        <v>8.71679641498567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46.6523074830546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46.6523074830546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46.6523074830546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899.774892355835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24.6019192362154</v>
      </c>
      <c r="AT41" s="13" t="n">
        <f aca="false">AT38+AT40</f>
        <v>42.2347040057773</v>
      </c>
      <c r="AU41" s="13" t="n">
        <f aca="false">AU38+AU40</f>
        <v>48.2341806460909</v>
      </c>
      <c r="AV41" s="13" t="n">
        <f aca="false">AV38+AV40</f>
        <v>44.7308529296943</v>
      </c>
      <c r="AW41" s="13" t="n">
        <f aca="false">AW38+AW40</f>
        <v>43.7748175628881</v>
      </c>
      <c r="AX41" s="13" t="n">
        <f aca="false">AX38+AX40</f>
        <v>44.4336304565757</v>
      </c>
      <c r="AY41" s="13" t="n">
        <f aca="false">AY38+AY40</f>
        <v>44.0236843552615</v>
      </c>
      <c r="AZ41" s="13" t="n">
        <f aca="false">AZ38+AZ40</f>
        <v>44.6582600816764</v>
      </c>
      <c r="BA41" s="13" t="n">
        <f aca="false">BA38+BA40</f>
        <v>44.2710164827823</v>
      </c>
      <c r="BB41" s="13" t="n">
        <f aca="false">BB38+BB40</f>
        <v>44.3071686287499</v>
      </c>
      <c r="BC41" s="13" t="n">
        <f aca="false">BC38+BC40</f>
        <v>44.7208498308005</v>
      </c>
      <c r="BD41" s="13" t="n">
        <f aca="false">BD38+BD40</f>
        <v>42.2223719266855</v>
      </c>
      <c r="BE41" s="13" t="n">
        <f aca="false">BE38+BE40</f>
        <v>34.7813149226527</v>
      </c>
      <c r="BF41" s="13" t="n">
        <f aca="false">BF38+BF40</f>
        <v>35.4500057595762</v>
      </c>
      <c r="BG41" s="13" t="n">
        <f aca="false">BG38+BG40</f>
        <v>35.0168476920103</v>
      </c>
      <c r="BH41" s="13" t="n">
        <f aca="false">BH38+BH40</f>
        <v>35.6594722797459</v>
      </c>
      <c r="BI41" s="13" t="n">
        <f aca="false">BI38+BI40</f>
        <v>35.2444895433507</v>
      </c>
      <c r="BJ41" s="13" t="n">
        <f aca="false">BJ38+BJ40</f>
        <v>35.8286056186657</v>
      </c>
      <c r="BK41" s="13" t="n">
        <f aca="false">BK38+BK40</f>
        <v>43.0600670446048</v>
      </c>
      <c r="BL41" s="13" t="n">
        <f aca="false">BL38+BL40</f>
        <v>38.7837084861491</v>
      </c>
      <c r="BM41" s="13" t="n">
        <f aca="false">BM38+BM40</f>
        <v>38.3678209678417</v>
      </c>
      <c r="BN41" s="13" t="n">
        <f aca="false">BN38+BN40</f>
        <v>55.3691038980403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9.33689521142803</v>
      </c>
      <c r="Q43" s="13" t="n">
        <f aca="false">IF(Time!Q20&lt;Time!$F$12,0,P43+Financials!Q14-Q41)</f>
        <v>15.0534713939594</v>
      </c>
      <c r="R43" s="13" t="n">
        <f aca="false">IF(Time!R20&lt;Time!$F$12,0,Q43+Financials!R14-R41)</f>
        <v>21.1424688711377</v>
      </c>
      <c r="S43" s="13" t="n">
        <f aca="false">IF(Time!S20&lt;Time!$F$12,0,R43+Financials!S14-S41)</f>
        <v>28.3803594021633</v>
      </c>
      <c r="T43" s="13" t="n">
        <f aca="false">IF(Time!T20&lt;Time!$F$12,0,S43+Financials!T14-T41)</f>
        <v>35.8880956509282</v>
      </c>
      <c r="U43" s="13" t="n">
        <f aca="false">IF(Time!U20&lt;Time!$F$12,0,T43+Financials!U14-U41)</f>
        <v>44.3898948271493</v>
      </c>
      <c r="V43" s="13" t="n">
        <f aca="false">IF(Time!V20&lt;Time!$F$12,0,U43+Financials!V14-V41)</f>
        <v>53.416797201478</v>
      </c>
      <c r="W43" s="13" t="n">
        <f aca="false">IF(Time!W20&lt;Time!$F$12,0,V43+Financials!W14-W41)</f>
        <v>61.2334940914675</v>
      </c>
      <c r="X43" s="13" t="n">
        <f aca="false">IF(Time!X20&lt;Time!$F$12,0,W43+Financials!X14-X41)</f>
        <v>72.0565077271327</v>
      </c>
      <c r="Y43" s="13" t="n">
        <f aca="false">IF(Time!Y20&lt;Time!$F$12,0,X43+Financials!Y14-Y41)</f>
        <v>83.5172957287039</v>
      </c>
      <c r="Z43" s="13" t="n">
        <f aca="false">IF(Time!Z20&lt;Time!$F$12,0,Y43+Financials!Z14-Z41)</f>
        <v>92.9158324964448</v>
      </c>
      <c r="AA43" s="13" t="n">
        <f aca="false">IF(Time!AA20&lt;Time!$F$12,0,Z43+Financials!AA14-AA41)</f>
        <v>98.1400805035025</v>
      </c>
      <c r="AB43" s="13" t="n">
        <f aca="false">IF(Time!AB20&lt;Time!$F$12,0,AA43+Financials!AB14-AB41)</f>
        <v>103.727269921281</v>
      </c>
      <c r="AC43" s="13" t="n">
        <f aca="false">IF(Time!AC20&lt;Time!$F$12,0,AB43+Financials!AC14-AC41)</f>
        <v>110.141492500855</v>
      </c>
      <c r="AD43" s="13" t="n">
        <f aca="false">IF(Time!AD20&lt;Time!$F$12,0,AC43+Financials!AD14-AD41)</f>
        <v>117.130964284033</v>
      </c>
      <c r="AE43" s="13" t="n">
        <f aca="false">IF(Time!AE20&lt;Time!$F$12,0,AD43+Financials!AE14-AE41)</f>
        <v>114.879562634996</v>
      </c>
      <c r="AF43" s="13" t="n">
        <f aca="false">IF(Time!AF20&lt;Time!$F$12,0,AE43+Financials!AF14-AF41)</f>
        <v>124.807046228084</v>
      </c>
      <c r="AG43" s="13" t="n">
        <f aca="false">IF(Time!AG20&lt;Time!$F$12,0,AF43+Financials!AG14-AG41)</f>
        <v>134.208557734375</v>
      </c>
      <c r="AH43" s="13" t="n">
        <f aca="false">IF(Time!AH20&lt;Time!$F$12,0,AG43+Financials!AH14-AH41)</f>
        <v>144.336599430629</v>
      </c>
      <c r="AI43" s="13" t="n">
        <f aca="false">IF(Time!AI20&lt;Time!$F$12,0,AH43+Financials!AI14-AI41)</f>
        <v>155.676193286553</v>
      </c>
      <c r="AJ43" s="13" t="n">
        <f aca="false">IF(Time!AJ20&lt;Time!$F$12,0,AI43+Financials!AJ14-AJ41)</f>
        <v>167.842446960922</v>
      </c>
      <c r="AK43" s="13" t="n">
        <f aca="false">IF(Time!AK20&lt;Time!$F$12,0,AJ43+Financials!AK14-AK41)</f>
        <v>181.198988798646</v>
      </c>
      <c r="AL43" s="13" t="n">
        <f aca="false">IF(Time!AL20&lt;Time!$F$12,0,AK43+Financials!AL14-AL41)</f>
        <v>195.642952134841</v>
      </c>
      <c r="AM43" s="13" t="n">
        <f aca="false">IF(Time!AM20&lt;Time!$F$12,0,AL43+Financials!AM14-AM41)</f>
        <v>209.448394054972</v>
      </c>
      <c r="AN43" s="13" t="n">
        <f aca="false">IF(Time!AN20&lt;Time!$F$12,0,AM43+Financials!AN14-AN41)</f>
        <v>226.469009614593</v>
      </c>
      <c r="AO43" s="13" t="n">
        <f aca="false">IF(Time!AO20&lt;Time!$F$12,0,AN43+Financials!AO14-AO41)</f>
        <v>244.766412939597</v>
      </c>
      <c r="AP43" s="13" t="n">
        <f aca="false">IF(Time!AP20&lt;Time!$F$12,0,AO43+Financials!AP14-AP41)</f>
        <v>264.826133096794</v>
      </c>
      <c r="AQ43" s="13" t="n">
        <f aca="false">IF(Time!AQ20&lt;Time!$F$12,0,AP43+Financials!AQ14-AQ41)</f>
        <v>286.546190510085</v>
      </c>
      <c r="AR43" s="13" t="n">
        <f aca="false">IF(Time!AR20&lt;Time!$F$12,0,AQ43+Financials!AR14-AR41)</f>
        <v>310.219944751626</v>
      </c>
      <c r="AS43" s="13" t="n">
        <f aca="false">IF(Time!AS20&lt;Time!$F$12,0,AR43+Financials!AS14-AS41)</f>
        <v>310.804147914931</v>
      </c>
      <c r="AT43" s="13" t="n">
        <f aca="false">IF(Time!AT20&lt;Time!$F$12,0,AS43+Financials!AT14-AT41)</f>
        <v>294.487204424134</v>
      </c>
      <c r="AU43" s="13" t="n">
        <f aca="false">IF(Time!AU20&lt;Time!$F$12,0,AT43+Financials!AU14-AU41)</f>
        <v>261.752425403885</v>
      </c>
      <c r="AV43" s="13" t="n">
        <f aca="false">IF(Time!AV20&lt;Time!$F$12,0,AU43+Financials!AV14-AV41)</f>
        <v>243.227393073244</v>
      </c>
      <c r="AW43" s="13" t="n">
        <f aca="false">IF(Time!AW20&lt;Time!$F$12,0,AV43+Financials!AW14-AW41)</f>
        <v>225.585313653853</v>
      </c>
      <c r="AX43" s="13" t="n">
        <f aca="false">IF(Time!AX20&lt;Time!$F$12,0,AW43+Financials!AX14-AX41)</f>
        <v>207.403209878694</v>
      </c>
      <c r="AY43" s="13" t="n">
        <f aca="false">IF(Time!AY20&lt;Time!$F$12,0,AX43+Financials!AY14-AY41)</f>
        <v>189.765035033526</v>
      </c>
      <c r="AZ43" s="13" t="n">
        <f aca="false">IF(Time!AZ20&lt;Time!$F$12,0,AY43+Financials!AZ14-AZ41)</f>
        <v>171.58210927967</v>
      </c>
      <c r="BA43" s="13" t="n">
        <f aca="false">IF(Time!BA20&lt;Time!$F$12,0,AZ43+Financials!BA14-BA41)</f>
        <v>153.858076911501</v>
      </c>
      <c r="BB43" s="13" t="n">
        <f aca="false">IF(Time!BB20&lt;Time!$F$12,0,BA43+Financials!BB14-BB41)</f>
        <v>136.264266243191</v>
      </c>
      <c r="BC43" s="13" t="n">
        <f aca="false">IF(Time!BC20&lt;Time!$F$12,0,BB43+Financials!BC14-BC41)</f>
        <v>115.978974579348</v>
      </c>
      <c r="BD43" s="13" t="n">
        <f aca="false">IF(Time!BD20&lt;Time!$F$12,0,BC43+Financials!BD14-BD41)</f>
        <v>100.747573725842</v>
      </c>
      <c r="BE43" s="13" t="n">
        <f aca="false">IF(Time!BE20&lt;Time!$F$12,0,BD43+Financials!BE14-BE41)</f>
        <v>92.9442732596344</v>
      </c>
      <c r="BF43" s="13" t="n">
        <f aca="false">IF(Time!BF20&lt;Time!$F$12,0,BE43+Financials!BF14-BF41)</f>
        <v>84.6019519556445</v>
      </c>
      <c r="BG43" s="13" t="n">
        <f aca="false">IF(Time!BG20&lt;Time!$F$12,0,BF43+Financials!BG14-BG41)</f>
        <v>76.8381350234973</v>
      </c>
      <c r="BH43" s="13" t="n">
        <f aca="false">IF(Time!BH20&lt;Time!$F$12,0,BG43+Financials!BH14-BH41)</f>
        <v>68.5291330153061</v>
      </c>
      <c r="BI43" s="13" t="n">
        <f aca="false">IF(Time!BI20&lt;Time!$F$12,0,BH43+Financials!BI14-BI41)</f>
        <v>60.7111618014794</v>
      </c>
      <c r="BJ43" s="13" t="n">
        <f aca="false">IF(Time!BJ20&lt;Time!$F$12,0,BI43+Financials!BJ14-BJ41)</f>
        <v>52.5302517977407</v>
      </c>
      <c r="BK43" s="13" t="n">
        <f aca="false">IF(Time!BK20&lt;Time!$F$12,0,BJ43+Financials!BK14-BK41)</f>
        <v>24.8003693388933</v>
      </c>
      <c r="BL43" s="13" t="n">
        <f aca="false">IF(Time!BL20&lt;Time!$F$12,0,BK43+Financials!BL14-BL41)</f>
        <v>14.0074667733916</v>
      </c>
      <c r="BM43" s="13" t="n">
        <f aca="false">IF(Time!BM20&lt;Time!$F$12,0,BL43+Financials!BM14-BM41)</f>
        <v>3.5328593492106</v>
      </c>
      <c r="BN43" s="13" t="n">
        <f aca="false">IF(Time!BN20&lt;Time!$F$12,0,BM43+Financials!BN14-BN41)</f>
        <v>-46.6523074830546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1413.23720112887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11.9338065438067</v>
      </c>
      <c r="R44" s="13" t="n">
        <f aca="false">R34+R35+R41</f>
        <v>10.9759991923679</v>
      </c>
      <c r="S44" s="13" t="n">
        <f aca="false">S34+S35+S41</f>
        <v>10.1941203375857</v>
      </c>
      <c r="T44" s="13" t="n">
        <f aca="false">T34+T35+T41</f>
        <v>10.9740031216955</v>
      </c>
      <c r="U44" s="13" t="n">
        <f aca="false">U34+U35+U41</f>
        <v>9.88423057304774</v>
      </c>
      <c r="V44" s="13" t="n">
        <f aca="false">V34+V35+V41</f>
        <v>10.6734573118867</v>
      </c>
      <c r="W44" s="13" t="n">
        <f aca="false">W34+W35+W41</f>
        <v>12.0646524295327</v>
      </c>
      <c r="X44" s="13" t="n">
        <f aca="false">X34+X35+X41</f>
        <v>13.0011540376515</v>
      </c>
      <c r="Y44" s="13" t="n">
        <f aca="false">Y34+Y35+Y41</f>
        <v>10.1912884170369</v>
      </c>
      <c r="Z44" s="13" t="n">
        <f aca="false">Z34+Z35+Z41</f>
        <v>11.0273726303668</v>
      </c>
      <c r="AA44" s="13" t="n">
        <f aca="false">AA34+AA35+AA41</f>
        <v>4.99136593124933</v>
      </c>
      <c r="AB44" s="13" t="n">
        <f aca="false">AB34+AB35+AB41</f>
        <v>5.8658789008668</v>
      </c>
      <c r="AC44" s="13" t="n">
        <f aca="false">AC34+AC35+AC41</f>
        <v>5.33545246975903</v>
      </c>
      <c r="AD44" s="13" t="n">
        <f aca="false">AD34+AD35+AD41</f>
        <v>5.89598084009812</v>
      </c>
      <c r="AE44" s="13" t="n">
        <f aca="false">AE34+AE35+AE41</f>
        <v>6.84605001270899</v>
      </c>
      <c r="AF44" s="13" t="n">
        <f aca="false">AF34+AF35+AF41</f>
        <v>8.04821189233877</v>
      </c>
      <c r="AG44" s="13" t="n">
        <f aca="false">AG34+AG35+AG41</f>
        <v>8.11248920051779</v>
      </c>
      <c r="AH44" s="13" t="n">
        <f aca="false">AH34+AH35+AH41</f>
        <v>9.30765411368636</v>
      </c>
      <c r="AI44" s="13" t="n">
        <f aca="false">AI34+AI35+AI41</f>
        <v>9.98126104152171</v>
      </c>
      <c r="AJ44" s="13" t="n">
        <f aca="false">AJ34+AJ35+AJ41</f>
        <v>11.6207767912926</v>
      </c>
      <c r="AK44" s="13" t="n">
        <f aca="false">AK34+AK35+AK41</f>
        <v>13.0262119972581</v>
      </c>
      <c r="AL44" s="13" t="n">
        <f aca="false">AL34+AL35+AL41</f>
        <v>28.7455825741267</v>
      </c>
      <c r="AM44" s="13" t="n">
        <f aca="false">AM34+AM35+AM41</f>
        <v>34.3604254211656</v>
      </c>
      <c r="AN44" s="13" t="n">
        <f aca="false">AN34+AN35+AN41</f>
        <v>34.3271955586172</v>
      </c>
      <c r="AO44" s="13" t="n">
        <f aca="false">AO34+AO35+AO41</f>
        <v>50.6597042674252</v>
      </c>
      <c r="AP44" s="13" t="n">
        <f aca="false">AP34+AP35+AP41</f>
        <v>51.3388059528544</v>
      </c>
      <c r="AQ44" s="13" t="n">
        <f aca="false">AQ34+AQ35+AQ41</f>
        <v>50.9858164161793</v>
      </c>
      <c r="AR44" s="13" t="n">
        <f aca="false">AR34+AR35+AR41</f>
        <v>45.7684670441939</v>
      </c>
      <c r="AS44" s="13" t="n">
        <f aca="false">AS34+AS35+AS41</f>
        <v>41.9268129884159</v>
      </c>
      <c r="AT44" s="13" t="n">
        <f aca="false">AT34+AT35+AT41</f>
        <v>42.2347040057773</v>
      </c>
      <c r="AU44" s="13" t="n">
        <f aca="false">AU34+AU35+AU41</f>
        <v>48.2341806460909</v>
      </c>
      <c r="AV44" s="13" t="n">
        <f aca="false">AV34+AV35+AV41</f>
        <v>44.7308529296943</v>
      </c>
      <c r="AW44" s="13" t="n">
        <f aca="false">AW34+AW35+AW41</f>
        <v>43.7748175628881</v>
      </c>
      <c r="AX44" s="13" t="n">
        <f aca="false">AX34+AX35+AX41</f>
        <v>44.4336304565757</v>
      </c>
      <c r="AY44" s="13" t="n">
        <f aca="false">AY34+AY35+AY41</f>
        <v>44.0236843552615</v>
      </c>
      <c r="AZ44" s="13" t="n">
        <f aca="false">AZ34+AZ35+AZ41</f>
        <v>44.6582600816764</v>
      </c>
      <c r="BA44" s="13" t="n">
        <f aca="false">BA34+BA35+BA41</f>
        <v>44.2710164827823</v>
      </c>
      <c r="BB44" s="13" t="n">
        <f aca="false">BB34+BB35+BB41</f>
        <v>44.3071686287499</v>
      </c>
      <c r="BC44" s="13" t="n">
        <f aca="false">BC34+BC35+BC41</f>
        <v>44.7208498308005</v>
      </c>
      <c r="BD44" s="13" t="n">
        <f aca="false">BD34+BD35+BD41</f>
        <v>42.2223719266855</v>
      </c>
      <c r="BE44" s="13" t="n">
        <f aca="false">BE34+BE35+BE41</f>
        <v>34.7813149226527</v>
      </c>
      <c r="BF44" s="13" t="n">
        <f aca="false">BF34+BF35+BF41</f>
        <v>35.4500057595762</v>
      </c>
      <c r="BG44" s="13" t="n">
        <f aca="false">BG34+BG35+BG41</f>
        <v>35.0168476920103</v>
      </c>
      <c r="BH44" s="13" t="n">
        <f aca="false">BH34+BH35+BH41</f>
        <v>35.6594722797459</v>
      </c>
      <c r="BI44" s="13" t="n">
        <f aca="false">BI34+BI35+BI41</f>
        <v>35.2444895433507</v>
      </c>
      <c r="BJ44" s="13" t="n">
        <f aca="false">BJ34+BJ35+BJ41</f>
        <v>35.8286056186657</v>
      </c>
      <c r="BK44" s="13" t="n">
        <f aca="false">BK34+BK35+BK41</f>
        <v>43.0600670446048</v>
      </c>
      <c r="BL44" s="13" t="n">
        <f aca="false">BL34+BL35+BL41</f>
        <v>38.7837084861491</v>
      </c>
      <c r="BM44" s="13" t="n">
        <f aca="false">BM34+BM35+BM41</f>
        <v>38.3678209678417</v>
      </c>
      <c r="BN44" s="13" t="n">
        <f aca="false">BN34+BN35+BN41</f>
        <v>55.3691038980403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876.20790980423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5.84138606536154</v>
      </c>
      <c r="Q8" s="13" t="n">
        <f aca="false">Funding!$F$76/Time!$F$9*Time!Q30</f>
        <v>17.5241581960846</v>
      </c>
      <c r="R8" s="13" t="n">
        <f aca="false">Funding!$F$76/Time!$F$9*Time!R30</f>
        <v>17.5241581960846</v>
      </c>
      <c r="S8" s="13" t="n">
        <f aca="false">Funding!$F$76/Time!$F$9*Time!S30</f>
        <v>17.5241581960846</v>
      </c>
      <c r="T8" s="13" t="n">
        <f aca="false">Funding!$F$76/Time!$F$9*Time!T30</f>
        <v>17.5241581960846</v>
      </c>
      <c r="U8" s="13" t="n">
        <f aca="false">Funding!$F$76/Time!$F$9*Time!U30</f>
        <v>17.5241581960846</v>
      </c>
      <c r="V8" s="13" t="n">
        <f aca="false">Funding!$F$76/Time!$F$9*Time!V30</f>
        <v>17.5241581960846</v>
      </c>
      <c r="W8" s="13" t="n">
        <f aca="false">Funding!$F$76/Time!$F$9*Time!W30</f>
        <v>17.5241581960846</v>
      </c>
      <c r="X8" s="13" t="n">
        <f aca="false">Funding!$F$76/Time!$F$9*Time!X30</f>
        <v>17.5241581960846</v>
      </c>
      <c r="Y8" s="13" t="n">
        <f aca="false">Funding!$F$76/Time!$F$9*Time!Y30</f>
        <v>17.5241581960846</v>
      </c>
      <c r="Z8" s="13" t="n">
        <f aca="false">Funding!$F$76/Time!$F$9*Time!Z30</f>
        <v>17.5241581960846</v>
      </c>
      <c r="AA8" s="13" t="n">
        <f aca="false">Funding!$F$76/Time!$F$9*Time!AA30</f>
        <v>17.5241581960846</v>
      </c>
      <c r="AB8" s="13" t="n">
        <f aca="false">Funding!$F$76/Time!$F$9*Time!AB30</f>
        <v>17.5241581960846</v>
      </c>
      <c r="AC8" s="13" t="n">
        <f aca="false">Funding!$F$76/Time!$F$9*Time!AC30</f>
        <v>17.5241581960846</v>
      </c>
      <c r="AD8" s="13" t="n">
        <f aca="false">Funding!$F$76/Time!$F$9*Time!AD30</f>
        <v>17.5241581960846</v>
      </c>
      <c r="AE8" s="13" t="n">
        <f aca="false">Funding!$F$76/Time!$F$9*Time!AE30</f>
        <v>17.5241581960846</v>
      </c>
      <c r="AF8" s="13" t="n">
        <f aca="false">Funding!$F$76/Time!$F$9*Time!AF30</f>
        <v>17.5241581960846</v>
      </c>
      <c r="AG8" s="13" t="n">
        <f aca="false">Funding!$F$76/Time!$F$9*Time!AG30</f>
        <v>17.5241581960846</v>
      </c>
      <c r="AH8" s="13" t="n">
        <f aca="false">Funding!$F$76/Time!$F$9*Time!AH30</f>
        <v>17.5241581960846</v>
      </c>
      <c r="AI8" s="13" t="n">
        <f aca="false">Funding!$F$76/Time!$F$9*Time!AI30</f>
        <v>17.5241581960846</v>
      </c>
      <c r="AJ8" s="13" t="n">
        <f aca="false">Funding!$F$76/Time!$F$9*Time!AJ30</f>
        <v>17.5241581960846</v>
      </c>
      <c r="AK8" s="13" t="n">
        <f aca="false">Funding!$F$76/Time!$F$9*Time!AK30</f>
        <v>17.5241581960846</v>
      </c>
      <c r="AL8" s="13" t="n">
        <f aca="false">Funding!$F$76/Time!$F$9*Time!AL30</f>
        <v>17.5241581960846</v>
      </c>
      <c r="AM8" s="13" t="n">
        <f aca="false">Funding!$F$76/Time!$F$9*Time!AM30</f>
        <v>17.5241581960846</v>
      </c>
      <c r="AN8" s="13" t="n">
        <f aca="false">Funding!$F$76/Time!$F$9*Time!AN30</f>
        <v>17.5241581960846</v>
      </c>
      <c r="AO8" s="13" t="n">
        <f aca="false">Funding!$F$76/Time!$F$9*Time!AO30</f>
        <v>17.5241581960846</v>
      </c>
      <c r="AP8" s="13" t="n">
        <f aca="false">Funding!$F$76/Time!$F$9*Time!AP30</f>
        <v>17.5241581960846</v>
      </c>
      <c r="AQ8" s="13" t="n">
        <f aca="false">Funding!$F$76/Time!$F$9*Time!AQ30</f>
        <v>17.5241581960846</v>
      </c>
      <c r="AR8" s="13" t="n">
        <f aca="false">Funding!$F$76/Time!$F$9*Time!AR30</f>
        <v>17.5241581960846</v>
      </c>
      <c r="AS8" s="13" t="n">
        <f aca="false">Funding!$F$76/Time!$F$9*Time!AS30</f>
        <v>17.5241581960846</v>
      </c>
      <c r="AT8" s="13" t="n">
        <f aca="false">Funding!$F$76/Time!$F$9*Time!AT30</f>
        <v>17.5241581960846</v>
      </c>
      <c r="AU8" s="13" t="n">
        <f aca="false">Funding!$F$76/Time!$F$9*Time!AU30</f>
        <v>17.5241581960846</v>
      </c>
      <c r="AV8" s="13" t="n">
        <f aca="false">Funding!$F$76/Time!$F$9*Time!AV30</f>
        <v>17.5241581960846</v>
      </c>
      <c r="AW8" s="13" t="n">
        <f aca="false">Funding!$F$76/Time!$F$9*Time!AW30</f>
        <v>17.5241581960846</v>
      </c>
      <c r="AX8" s="13" t="n">
        <f aca="false">Funding!$F$76/Time!$F$9*Time!AX30</f>
        <v>17.5241581960846</v>
      </c>
      <c r="AY8" s="13" t="n">
        <f aca="false">Funding!$F$76/Time!$F$9*Time!AY30</f>
        <v>17.5241581960846</v>
      </c>
      <c r="AZ8" s="13" t="n">
        <f aca="false">Funding!$F$76/Time!$F$9*Time!AZ30</f>
        <v>17.5241581960846</v>
      </c>
      <c r="BA8" s="13" t="n">
        <f aca="false">Funding!$F$76/Time!$F$9*Time!BA30</f>
        <v>17.5241581960846</v>
      </c>
      <c r="BB8" s="13" t="n">
        <f aca="false">Funding!$F$76/Time!$F$9*Time!BB30</f>
        <v>17.5241581960846</v>
      </c>
      <c r="BC8" s="13" t="n">
        <f aca="false">Funding!$F$76/Time!$F$9*Time!BC30</f>
        <v>17.5241581960846</v>
      </c>
      <c r="BD8" s="13" t="n">
        <f aca="false">Funding!$F$76/Time!$F$9*Time!BD30</f>
        <v>17.5241581960846</v>
      </c>
      <c r="BE8" s="13" t="n">
        <f aca="false">Funding!$F$76/Time!$F$9*Time!BE30</f>
        <v>17.5241581960846</v>
      </c>
      <c r="BF8" s="13" t="n">
        <f aca="false">Funding!$F$76/Time!$F$9*Time!BF30</f>
        <v>17.5241581960846</v>
      </c>
      <c r="BG8" s="13" t="n">
        <f aca="false">Funding!$F$76/Time!$F$9*Time!BG30</f>
        <v>17.5241581960846</v>
      </c>
      <c r="BH8" s="13" t="n">
        <f aca="false">Funding!$F$76/Time!$F$9*Time!BH30</f>
        <v>17.5241581960846</v>
      </c>
      <c r="BI8" s="13" t="n">
        <f aca="false">Funding!$F$76/Time!$F$9*Time!BI30</f>
        <v>17.5241581960846</v>
      </c>
      <c r="BJ8" s="13" t="n">
        <f aca="false">Funding!$F$76/Time!$F$9*Time!BJ30</f>
        <v>17.5241581960846</v>
      </c>
      <c r="BK8" s="13" t="n">
        <f aca="false">Funding!$F$76/Time!$F$9*Time!BK30</f>
        <v>17.5241581960846</v>
      </c>
      <c r="BL8" s="13" t="n">
        <f aca="false">Funding!$F$76/Time!$F$9*Time!BL30</f>
        <v>17.5241581960846</v>
      </c>
      <c r="BM8" s="13" t="n">
        <f aca="false">Funding!$F$76/Time!$F$9*Time!BM30</f>
        <v>17.5241581960846</v>
      </c>
      <c r="BN8" s="13" t="n">
        <f aca="false">Funding!$F$76/Time!$F$9*Time!BN30</f>
        <v>11.6827721307231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612.284888061137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3.49719603359901</v>
      </c>
      <c r="Q9" s="13" t="n">
        <f aca="false">Debt!Q112+Debt!Q110+Debt!Q104-Debt!Q103+Tax!Q13</f>
        <v>32.822644510113</v>
      </c>
      <c r="R9" s="13" t="n">
        <f aca="false">Debt!R112+Debt!R110+Debt!R104-Debt!R103+Tax!R13</f>
        <v>32.6308324877719</v>
      </c>
      <c r="S9" s="13" t="n">
        <f aca="false">Debt!S112+Debt!S110+Debt!S104-Debt!S103+Tax!S13</f>
        <v>31.6327225797828</v>
      </c>
      <c r="T9" s="13" t="n">
        <f aca="false">Debt!T112+Debt!T110+Debt!T104-Debt!T103+Tax!T13</f>
        <v>31.4555533597238</v>
      </c>
      <c r="U9" s="13" t="n">
        <f aca="false">Debt!U112+Debt!U110+Debt!U104-Debt!U103+Tax!U13</f>
        <v>30.5420096796285</v>
      </c>
      <c r="V9" s="13" t="n">
        <f aca="false">Debt!V112+Debt!V110+Debt!V104-Debt!V103+Tax!V13</f>
        <v>30.1811460684275</v>
      </c>
      <c r="W9" s="13" t="n">
        <f aca="false">Debt!W112+Debt!W110+Debt!W104-Debt!W103+Tax!W13</f>
        <v>29.0909442571274</v>
      </c>
      <c r="X9" s="13" t="n">
        <f aca="false">Debt!X112+Debt!X110+Debt!X104-Debt!X103+Tax!X13</f>
        <v>28.6672270835863</v>
      </c>
      <c r="Y9" s="13" t="n">
        <f aca="false">Debt!Y112+Debt!Y110+Debt!Y104-Debt!Y103+Tax!Y13</f>
        <v>28.0314158190982</v>
      </c>
      <c r="Z9" s="13" t="n">
        <f aca="false">Debt!Z112+Debt!Z110+Debt!Z104-Debt!Z103+Tax!Z13</f>
        <v>27.6850339050972</v>
      </c>
      <c r="AA9" s="13" t="n">
        <f aca="false">Debt!AA112+Debt!AA110+Debt!AA104-Debt!AA103+Tax!AA13</f>
        <v>26.5419609323779</v>
      </c>
      <c r="AB9" s="13" t="n">
        <f aca="false">Debt!AB112+Debt!AB110+Debt!AB104-Debt!AB103+Tax!AB13</f>
        <v>26.1214401099351</v>
      </c>
      <c r="AC9" s="13" t="n">
        <f aca="false">Debt!AC112+Debt!AC110+Debt!AC104-Debt!AC103+Tax!AC13</f>
        <v>25.0226907876109</v>
      </c>
      <c r="AD9" s="13" t="n">
        <f aca="false">Debt!AD112+Debt!AD110+Debt!AD104-Debt!AD103+Tax!AD13</f>
        <v>24.4160778946746</v>
      </c>
      <c r="AE9" s="13" t="n">
        <f aca="false">Debt!AE112+Debt!AE110+Debt!AE104-Debt!AE103+Tax!AE13</f>
        <v>23.1575093759521</v>
      </c>
      <c r="AF9" s="13" t="n">
        <f aca="false">Debt!AF112+Debt!AF110+Debt!AF104-Debt!AF103+Tax!AF13</f>
        <v>22.4238719830645</v>
      </c>
      <c r="AG9" s="13" t="n">
        <f aca="false">Debt!AG112+Debt!AG110+Debt!AG104-Debt!AG103+Tax!AG13</f>
        <v>21.2306220669708</v>
      </c>
      <c r="AH9" s="13" t="n">
        <f aca="false">Debt!AH112+Debt!AH110+Debt!AH104-Debt!AH103+Tax!AH13</f>
        <v>20.3327881064652</v>
      </c>
      <c r="AI9" s="13" t="n">
        <f aca="false">Debt!AI112+Debt!AI110+Debt!AI104-Debt!AI103+Tax!AI13</f>
        <v>18.7625694670308</v>
      </c>
      <c r="AJ9" s="13" t="n">
        <f aca="false">Debt!AJ112+Debt!AJ110+Debt!AJ104-Debt!AJ103+Tax!AJ13</f>
        <v>17.6878865459035</v>
      </c>
      <c r="AK9" s="13" t="n">
        <f aca="false">Debt!AK112+Debt!AK110+Debt!AK104-Debt!AK103+Tax!AK13</f>
        <v>16.0752496750318</v>
      </c>
      <c r="AL9" s="13" t="n">
        <f aca="false">Debt!AL112+Debt!AL110+Debt!AL104-Debt!AL103+Tax!AL13</f>
        <v>14.7175641204873</v>
      </c>
      <c r="AM9" s="13" t="n">
        <f aca="false">Debt!AM112+Debt!AM110+Debt!AM104-Debt!AM103+Tax!AM13</f>
        <v>12.8926923930859</v>
      </c>
      <c r="AN9" s="13" t="n">
        <f aca="false">Debt!AN112+Debt!AN110+Debt!AN104-Debt!AN103+Tax!AN13</f>
        <v>11.3665888599563</v>
      </c>
      <c r="AO9" s="13" t="n">
        <f aca="false">Debt!AO112+Debt!AO110+Debt!AO104-Debt!AO103+Tax!AO13</f>
        <v>9.53151572347539</v>
      </c>
      <c r="AP9" s="13" t="n">
        <f aca="false">Debt!AP112+Debt!AP110+Debt!AP104-Debt!AP103+Tax!AP13</f>
        <v>7.16684065561946</v>
      </c>
      <c r="AQ9" s="13" t="n">
        <f aca="false">Debt!AQ112+Debt!AQ110+Debt!AQ104-Debt!AQ103+Tax!AQ13</f>
        <v>4.96906686046581</v>
      </c>
      <c r="AR9" s="13" t="n">
        <f aca="false">Debt!AR112+Debt!AR110+Debt!AR104-Debt!AR103+Tax!AR13</f>
        <v>2.84766603745634</v>
      </c>
      <c r="AS9" s="13" t="n">
        <f aca="false">Debt!AS112+Debt!AS110+Debt!AS104-Debt!AS103+Tax!AS13</f>
        <v>0.783560681617482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876.20790980423</v>
      </c>
      <c r="K10" s="13" t="n">
        <f aca="false">Funding!$F$76-SUM(Tax!$J$10:K$10)</f>
        <v>876.20790980423</v>
      </c>
      <c r="L10" s="13" t="n">
        <f aca="false">Funding!$F$76-SUM(Tax!$J$10:L$10)</f>
        <v>876.20790980423</v>
      </c>
      <c r="M10" s="13" t="n">
        <f aca="false">Funding!$F$76-SUM(Tax!$J$10:M$10)</f>
        <v>876.20790980423</v>
      </c>
      <c r="N10" s="13" t="n">
        <f aca="false">Funding!$F$76-SUM(Tax!$J$10:N$10)</f>
        <v>876.20790980423</v>
      </c>
      <c r="O10" s="13" t="n">
        <f aca="false">Funding!$F$76-SUM(Tax!$J$10:O$10)</f>
        <v>876.20790980423</v>
      </c>
      <c r="P10" s="13" t="n">
        <f aca="false">Funding!$F$76-SUM(Tax!$J$10:P$10)</f>
        <v>868.322038615992</v>
      </c>
      <c r="Q10" s="13" t="n">
        <f aca="false">Funding!$F$76-SUM(Tax!$J$10:Q$10)</f>
        <v>844.664425051278</v>
      </c>
      <c r="R10" s="13" t="n">
        <f aca="false">Funding!$F$76-SUM(Tax!$J$10:R$10)</f>
        <v>821.006811486564</v>
      </c>
      <c r="S10" s="13" t="n">
        <f aca="false">Funding!$F$76-SUM(Tax!$J$10:S$10)</f>
        <v>797.34919792185</v>
      </c>
      <c r="T10" s="13" t="n">
        <f aca="false">Funding!$F$76-SUM(Tax!$J$10:T$10)</f>
        <v>773.691584357135</v>
      </c>
      <c r="U10" s="13" t="n">
        <f aca="false">Funding!$F$76-SUM(Tax!$J$10:U$10)</f>
        <v>750.033970792421</v>
      </c>
      <c r="V10" s="13" t="n">
        <f aca="false">Funding!$F$76-SUM(Tax!$J$10:V$10)</f>
        <v>726.376357227707</v>
      </c>
      <c r="W10" s="13" t="n">
        <f aca="false">Funding!$F$76-SUM(Tax!$J$10:W$10)</f>
        <v>702.718743662993</v>
      </c>
      <c r="X10" s="13" t="n">
        <f aca="false">Funding!$F$76-SUM(Tax!$J$10:X$10)</f>
        <v>679.061130098279</v>
      </c>
      <c r="Y10" s="13" t="n">
        <f aca="false">Funding!$F$76-SUM(Tax!$J$10:Y$10)</f>
        <v>655.403516533564</v>
      </c>
      <c r="Z10" s="13" t="n">
        <f aca="false">Funding!$F$76-SUM(Tax!$J$10:Z$10)</f>
        <v>632.622110878654</v>
      </c>
      <c r="AA10" s="13" t="n">
        <f aca="false">Funding!$F$76-SUM(Tax!$J$10:AA$10)</f>
        <v>611.593121043353</v>
      </c>
      <c r="AB10" s="13" t="n">
        <f aca="false">Funding!$F$76-SUM(Tax!$J$10:AB$10)</f>
        <v>590.564131208051</v>
      </c>
      <c r="AC10" s="13" t="n">
        <f aca="false">Funding!$F$76-SUM(Tax!$J$10:AC$10)</f>
        <v>569.53514137275</v>
      </c>
      <c r="AD10" s="13" t="n">
        <f aca="false">Funding!$F$76-SUM(Tax!$J$10:AD$10)</f>
        <v>548.506151537448</v>
      </c>
      <c r="AE10" s="13" t="n">
        <f aca="false">Funding!$F$76-SUM(Tax!$J$10:AE$10)</f>
        <v>527.477161702147</v>
      </c>
      <c r="AF10" s="13" t="n">
        <f aca="false">Funding!$F$76-SUM(Tax!$J$10:AF$10)</f>
        <v>506.448171866845</v>
      </c>
      <c r="AG10" s="13" t="n">
        <f aca="false">Funding!$F$76-SUM(Tax!$J$10:AG$10)</f>
        <v>485.419182031544</v>
      </c>
      <c r="AH10" s="13" t="n">
        <f aca="false">Funding!$F$76-SUM(Tax!$J$10:AH$10)</f>
        <v>464.390192196242</v>
      </c>
      <c r="AI10" s="13" t="n">
        <f aca="false">Funding!$F$76-SUM(Tax!$J$10:AI$10)</f>
        <v>443.36120236094</v>
      </c>
      <c r="AJ10" s="13" t="n">
        <f aca="false">Funding!$F$76-SUM(Tax!$J$10:AJ$10)</f>
        <v>422.332212525639</v>
      </c>
      <c r="AK10" s="13" t="n">
        <f aca="false">Funding!$F$76-SUM(Tax!$J$10:AK$10)</f>
        <v>401.303222690337</v>
      </c>
      <c r="AL10" s="13" t="n">
        <f aca="false">Funding!$F$76-SUM(Tax!$J$10:AL$10)</f>
        <v>380.274232855036</v>
      </c>
      <c r="AM10" s="13" t="n">
        <f aca="false">Funding!$F$76-SUM(Tax!$J$10:AM$10)</f>
        <v>359.245243019734</v>
      </c>
      <c r="AN10" s="13" t="n">
        <f aca="false">Funding!$F$76-SUM(Tax!$J$10:AN$10)</f>
        <v>338.216253184433</v>
      </c>
      <c r="AO10" s="13" t="n">
        <f aca="false">Funding!$F$76-SUM(Tax!$J$10:AO$10)</f>
        <v>317.187263349131</v>
      </c>
      <c r="AP10" s="13" t="n">
        <f aca="false">Funding!$F$76-SUM(Tax!$J$10:AP$10)</f>
        <v>296.15827351383</v>
      </c>
      <c r="AQ10" s="13" t="n">
        <f aca="false">Funding!$F$76-SUM(Tax!$J$10:AQ$10)</f>
        <v>275.129283678528</v>
      </c>
      <c r="AR10" s="13" t="n">
        <f aca="false">Funding!$F$76-SUM(Tax!$J$10:AR$10)</f>
        <v>254.100293843227</v>
      </c>
      <c r="AS10" s="13" t="n">
        <f aca="false">Funding!$F$76-SUM(Tax!$J$10:AS$10)</f>
        <v>233.071304007925</v>
      </c>
      <c r="AT10" s="13" t="n">
        <f aca="false">Funding!$F$76-SUM(Tax!$J$10:AT$10)</f>
        <v>212.042314172624</v>
      </c>
      <c r="AU10" s="13" t="n">
        <f aca="false">Funding!$F$76-SUM(Tax!$J$10:AU$10)</f>
        <v>191.013324337322</v>
      </c>
      <c r="AV10" s="13" t="n">
        <f aca="false">Funding!$F$76-SUM(Tax!$J$10:AV$10)</f>
        <v>169.984334502021</v>
      </c>
      <c r="AW10" s="13" t="n">
        <f aca="false">Funding!$F$76-SUM(Tax!$J$10:AW$10)</f>
        <v>148.955344666719</v>
      </c>
      <c r="AX10" s="13" t="n">
        <f aca="false">Funding!$F$76-SUM(Tax!$J$10:AX$10)</f>
        <v>127.926354831417</v>
      </c>
      <c r="AY10" s="13" t="n">
        <f aca="false">Funding!$F$76-SUM(Tax!$J$10:AY$10)</f>
        <v>106.897364996116</v>
      </c>
      <c r="AZ10" s="13" t="n">
        <f aca="false">Funding!$F$76-SUM(Tax!$J$10:AZ$10)</f>
        <v>85.8683751608145</v>
      </c>
      <c r="BA10" s="13" t="n">
        <f aca="false">Funding!$F$76-SUM(Tax!$J$10:BA$10)</f>
        <v>64.8393853255129</v>
      </c>
      <c r="BB10" s="13" t="n">
        <f aca="false">Funding!$F$76-SUM(Tax!$J$10:BB$10)</f>
        <v>43.8103954902114</v>
      </c>
      <c r="BC10" s="13" t="n">
        <f aca="false">Funding!$F$76-SUM(Tax!$J$10:BC$10)</f>
        <v>22.7814056549099</v>
      </c>
      <c r="BD10" s="13" t="n">
        <f aca="false">Funding!$F$76-SUM(Tax!$J$10:BD$10)</f>
        <v>8.47000979477411</v>
      </c>
      <c r="BE10" s="13" t="n">
        <f aca="false">Funding!$F$76-SUM(Tax!$J$10:BE$10)</f>
        <v>7.59380188496994</v>
      </c>
      <c r="BF10" s="13" t="n">
        <f aca="false">Funding!$F$76-SUM(Tax!$J$10:BF$10)</f>
        <v>6.71759397516576</v>
      </c>
      <c r="BG10" s="13" t="n">
        <f aca="false">Funding!$F$76-SUM(Tax!$J$10:BG$10)</f>
        <v>5.84138606536146</v>
      </c>
      <c r="BH10" s="13" t="n">
        <f aca="false">Funding!$F$76-SUM(Tax!$J$10:BH$10)</f>
        <v>4.96517815555728</v>
      </c>
      <c r="BI10" s="13" t="n">
        <f aca="false">Funding!$F$76-SUM(Tax!$J$10:BI$10)</f>
        <v>4.0889702457531</v>
      </c>
      <c r="BJ10" s="13" t="n">
        <f aca="false">Funding!$F$76-SUM(Tax!$J$10:BJ$10)</f>
        <v>3.21276233594881</v>
      </c>
      <c r="BK10" s="13" t="n">
        <f aca="false">Funding!$F$76-SUM(Tax!$J$10:BK$10)</f>
        <v>2.33655442614463</v>
      </c>
      <c r="BL10" s="13" t="n">
        <f aca="false">Funding!$F$76-SUM(Tax!$J$10:BL$10)</f>
        <v>1.46034651634034</v>
      </c>
      <c r="BM10" s="13" t="n">
        <f aca="false">Funding!$F$76-SUM(Tax!$J$10:BM$10)</f>
        <v>0.584138606536158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876.20790980423</v>
      </c>
      <c r="K11" s="13" t="n">
        <f aca="false">Funding!$F$76-SUM($J$8:K$8)</f>
        <v>876.20790980423</v>
      </c>
      <c r="L11" s="13" t="n">
        <f aca="false">Funding!$F$76-SUM($J$8:L$8)</f>
        <v>876.20790980423</v>
      </c>
      <c r="M11" s="13" t="n">
        <f aca="false">Funding!$F$76-SUM($J$8:M$8)</f>
        <v>876.20790980423</v>
      </c>
      <c r="N11" s="13" t="n">
        <f aca="false">Funding!$F$76-SUM($J$8:N$8)</f>
        <v>876.20790980423</v>
      </c>
      <c r="O11" s="13" t="n">
        <f aca="false">Funding!$F$76-SUM($J$8:O$8)</f>
        <v>876.20790980423</v>
      </c>
      <c r="P11" s="13" t="n">
        <f aca="false">Funding!$F$76-SUM($J$8:P$8)</f>
        <v>870.366523738869</v>
      </c>
      <c r="Q11" s="13" t="n">
        <f aca="false">Funding!$F$76-SUM($J$8:Q$8)</f>
        <v>852.842365542784</v>
      </c>
      <c r="R11" s="13" t="n">
        <f aca="false">Funding!$F$76-SUM($J$8:R$8)</f>
        <v>835.318207346699</v>
      </c>
      <c r="S11" s="13" t="n">
        <f aca="false">Funding!$F$76-SUM($J$8:S$8)</f>
        <v>817.794049150615</v>
      </c>
      <c r="T11" s="13" t="n">
        <f aca="false">Funding!$F$76-SUM($J$8:T$8)</f>
        <v>800.26989095453</v>
      </c>
      <c r="U11" s="13" t="n">
        <f aca="false">Funding!$F$76-SUM($J$8:U$8)</f>
        <v>782.745732758446</v>
      </c>
      <c r="V11" s="13" t="n">
        <f aca="false">Funding!$F$76-SUM($J$8:V$8)</f>
        <v>765.221574562361</v>
      </c>
      <c r="W11" s="13" t="n">
        <f aca="false">Funding!$F$76-SUM($J$8:W$8)</f>
        <v>747.697416366277</v>
      </c>
      <c r="X11" s="13" t="n">
        <f aca="false">Funding!$F$76-SUM($J$8:X$8)</f>
        <v>730.173258170192</v>
      </c>
      <c r="Y11" s="13" t="n">
        <f aca="false">Funding!$F$76-SUM($J$8:Y$8)</f>
        <v>712.649099974107</v>
      </c>
      <c r="Z11" s="13" t="n">
        <f aca="false">Funding!$F$76-SUM($J$8:Z$8)</f>
        <v>695.124941778023</v>
      </c>
      <c r="AA11" s="13" t="n">
        <f aca="false">Funding!$F$76-SUM($J$8:AA$8)</f>
        <v>677.600783581938</v>
      </c>
      <c r="AB11" s="13" t="n">
        <f aca="false">Funding!$F$76-SUM($J$8:AB$8)</f>
        <v>660.076625385853</v>
      </c>
      <c r="AC11" s="13" t="n">
        <f aca="false">Funding!$F$76-SUM($J$8:AC$8)</f>
        <v>642.552467189769</v>
      </c>
      <c r="AD11" s="13" t="n">
        <f aca="false">Funding!$F$76-SUM($J$8:AD$8)</f>
        <v>625.028308993684</v>
      </c>
      <c r="AE11" s="13" t="n">
        <f aca="false">Funding!$F$76-SUM($J$8:AE$8)</f>
        <v>607.5041507976</v>
      </c>
      <c r="AF11" s="13" t="n">
        <f aca="false">Funding!$F$76-SUM($J$8:AF$8)</f>
        <v>589.979992601515</v>
      </c>
      <c r="AG11" s="13" t="n">
        <f aca="false">Funding!$F$76-SUM($J$8:AG$8)</f>
        <v>572.45583440543</v>
      </c>
      <c r="AH11" s="13" t="n">
        <f aca="false">Funding!$F$76-SUM($J$8:AH$8)</f>
        <v>554.931676209346</v>
      </c>
      <c r="AI11" s="13" t="n">
        <f aca="false">Funding!$F$76-SUM($J$8:AI$8)</f>
        <v>537.407518013261</v>
      </c>
      <c r="AJ11" s="13" t="n">
        <f aca="false">Funding!$F$76-SUM($J$8:AJ$8)</f>
        <v>519.883359817177</v>
      </c>
      <c r="AK11" s="13" t="n">
        <f aca="false">Funding!$F$76-SUM($J$8:AK$8)</f>
        <v>502.359201621092</v>
      </c>
      <c r="AL11" s="13" t="n">
        <f aca="false">Funding!$F$76-SUM($J$8:AL$8)</f>
        <v>484.835043425007</v>
      </c>
      <c r="AM11" s="13" t="n">
        <f aca="false">Funding!$F$76-SUM($J$8:AM$8)</f>
        <v>467.310885228923</v>
      </c>
      <c r="AN11" s="13" t="n">
        <f aca="false">Funding!$F$76-SUM($J$8:AN$8)</f>
        <v>449.786727032838</v>
      </c>
      <c r="AO11" s="13" t="n">
        <f aca="false">Funding!$F$76-SUM($J$8:AO$8)</f>
        <v>432.262568836754</v>
      </c>
      <c r="AP11" s="13" t="n">
        <f aca="false">Funding!$F$76-SUM($J$8:AP$8)</f>
        <v>414.738410640669</v>
      </c>
      <c r="AQ11" s="13" t="n">
        <f aca="false">Funding!$F$76-SUM($J$8:AQ$8)</f>
        <v>397.214252444584</v>
      </c>
      <c r="AR11" s="13" t="n">
        <f aca="false">Funding!$F$76-SUM($J$8:AR$8)</f>
        <v>379.6900942485</v>
      </c>
      <c r="AS11" s="13" t="n">
        <f aca="false">Funding!$F$76-SUM($J$8:AS$8)</f>
        <v>362.165936052415</v>
      </c>
      <c r="AT11" s="13" t="n">
        <f aca="false">Funding!$F$76-SUM($J$8:AT$8)</f>
        <v>344.64177785633</v>
      </c>
      <c r="AU11" s="13" t="n">
        <f aca="false">Funding!$F$76-SUM($J$8:AU$8)</f>
        <v>327.117619660246</v>
      </c>
      <c r="AV11" s="13" t="n">
        <f aca="false">Funding!$F$76-SUM($J$8:AV$8)</f>
        <v>309.593461464161</v>
      </c>
      <c r="AW11" s="13" t="n">
        <f aca="false">Funding!$F$76-SUM($J$8:AW$8)</f>
        <v>292.069303268077</v>
      </c>
      <c r="AX11" s="13" t="n">
        <f aca="false">Funding!$F$76-SUM($J$8:AX$8)</f>
        <v>274.545145071992</v>
      </c>
      <c r="AY11" s="13" t="n">
        <f aca="false">Funding!$F$76-SUM($J$8:AY$8)</f>
        <v>257.020986875907</v>
      </c>
      <c r="AZ11" s="13" t="n">
        <f aca="false">Funding!$F$76-SUM($J$8:AZ$8)</f>
        <v>239.496828679823</v>
      </c>
      <c r="BA11" s="13" t="n">
        <f aca="false">Funding!$F$76-SUM($J$8:BA$8)</f>
        <v>221.972670483738</v>
      </c>
      <c r="BB11" s="13" t="n">
        <f aca="false">Funding!$F$76-SUM($J$8:BB$8)</f>
        <v>204.448512287654</v>
      </c>
      <c r="BC11" s="13" t="n">
        <f aca="false">Funding!$F$76-SUM($J$8:BC$8)</f>
        <v>186.924354091569</v>
      </c>
      <c r="BD11" s="13" t="n">
        <f aca="false">Funding!$F$76-SUM($J$8:BD$8)</f>
        <v>169.400195895484</v>
      </c>
      <c r="BE11" s="13" t="n">
        <f aca="false">Funding!$F$76-SUM($J$8:BE$8)</f>
        <v>151.8760376994</v>
      </c>
      <c r="BF11" s="13" t="n">
        <f aca="false">Funding!$F$76-SUM($J$8:BF$8)</f>
        <v>134.351879503315</v>
      </c>
      <c r="BG11" s="13" t="n">
        <f aca="false">Funding!$F$76-SUM($J$8:BG$8)</f>
        <v>116.827721307231</v>
      </c>
      <c r="BH11" s="13" t="n">
        <f aca="false">Funding!$F$76-SUM($J$8:BH$8)</f>
        <v>99.303563111146</v>
      </c>
      <c r="BI11" s="13" t="n">
        <f aca="false">Funding!$F$76-SUM($J$8:BI$8)</f>
        <v>81.7794049150614</v>
      </c>
      <c r="BJ11" s="13" t="n">
        <f aca="false">Funding!$F$76-SUM($J$8:BJ$8)</f>
        <v>64.2552467189768</v>
      </c>
      <c r="BK11" s="13" t="n">
        <f aca="false">Funding!$F$76-SUM($J$8:BK$8)</f>
        <v>46.7310885228922</v>
      </c>
      <c r="BL11" s="13" t="n">
        <f aca="false">Funding!$F$76-SUM($J$8:BL$8)</f>
        <v>29.2069303268075</v>
      </c>
      <c r="BM11" s="13" t="n">
        <f aca="false">Funding!$F$76-SUM($J$8:BM$8)</f>
        <v>11.6827721307229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-1.75241581960847</v>
      </c>
      <c r="Q12" s="13" t="n">
        <f aca="false">IF(Time!Q20&gt;=Time!$F$12,Inputs!$F$184/100*(Q11-Q10-Tax!Q21),0)</f>
        <v>-7.00966327843386</v>
      </c>
      <c r="R12" s="13" t="n">
        <f aca="false">IF(Time!R20&gt;=Time!$F$12,Inputs!$F$184/100*(R11-R10-Tax!R21),0)</f>
        <v>-12.2669107372592</v>
      </c>
      <c r="S12" s="13" t="n">
        <f aca="false">IF(Time!S20&gt;=Time!$F$12,Inputs!$F$184/100*(S11-S10-Tax!S21),0)</f>
        <v>-17.5241581960846</v>
      </c>
      <c r="T12" s="13" t="n">
        <f aca="false">IF(Time!T20&gt;=Time!$F$12,Inputs!$F$184/100*(T11-T10-Tax!T21),0)</f>
        <v>-22.78140565491</v>
      </c>
      <c r="U12" s="13" t="n">
        <f aca="false">IF(Time!U20&gt;=Time!$F$12,Inputs!$F$184/100*(U11-U10-Tax!U21),0)</f>
        <v>-28.0386531137354</v>
      </c>
      <c r="V12" s="13" t="n">
        <f aca="false">IF(Time!V20&gt;=Time!$F$12,Inputs!$F$184/100*(V11-V10-Tax!V21),0)</f>
        <v>-33.2959005725608</v>
      </c>
      <c r="W12" s="13" t="n">
        <f aca="false">IF(Time!W20&gt;=Time!$F$12,Inputs!$F$184/100*(W11-W10-Tax!W21),0)</f>
        <v>-38.5531480313862</v>
      </c>
      <c r="X12" s="13" t="n">
        <f aca="false">IF(Time!X20&gt;=Time!$F$12,Inputs!$F$184/100*(X11-X10-Tax!X21),0)</f>
        <v>-43.8103954902115</v>
      </c>
      <c r="Y12" s="13" t="n">
        <f aca="false">IF(Time!Y20&gt;=Time!$F$12,Inputs!$F$184/100*(Y11-Y10-Tax!Y21),0)</f>
        <v>-49.0676429490369</v>
      </c>
      <c r="Z12" s="13" t="n">
        <f aca="false">IF(Time!Z20&gt;=Time!$F$12,Inputs!$F$184/100*(Z11-Z10-Tax!Z21),0)</f>
        <v>-51.9044409326765</v>
      </c>
      <c r="AA12" s="13" t="n">
        <f aca="false">IF(Time!AA20&gt;=Time!$F$12,Inputs!$F$184/100*(AA11-AA10-Tax!AA21),0)</f>
        <v>-49.5124080059972</v>
      </c>
      <c r="AB12" s="13" t="n">
        <f aca="false">IF(Time!AB20&gt;=Time!$F$12,Inputs!$F$184/100*(AB11-AB10-Tax!AB21),0)</f>
        <v>-46.964059712583</v>
      </c>
      <c r="AC12" s="13" t="n">
        <f aca="false">IF(Time!AC20&gt;=Time!$F$12,Inputs!$F$184/100*(AC11-AC10-Tax!AC21),0)</f>
        <v>-44.0604310900108</v>
      </c>
      <c r="AD12" s="13" t="n">
        <f aca="false">IF(Time!AD20&gt;=Time!$F$12,Inputs!$F$184/100*(AD11-AD10-Tax!AD21),0)</f>
        <v>-40.9098816162036</v>
      </c>
      <c r="AE12" s="13" t="n">
        <f aca="false">IF(Time!AE20&gt;=Time!$F$12,Inputs!$F$184/100*(AE11-AE10-Tax!AE21),0)</f>
        <v>-39.8584321244385</v>
      </c>
      <c r="AF12" s="13" t="n">
        <f aca="false">IF(Time!AF20&gt;=Time!$F$12,Inputs!$F$184/100*(AF11-AF10-Tax!AF21),0)</f>
        <v>-37.3108260510118</v>
      </c>
      <c r="AG12" s="13" t="n">
        <f aca="false">IF(Time!AG20&gt;=Time!$F$12,Inputs!$F$184/100*(AG11-AG10-Tax!AG21),0)</f>
        <v>-33.1239752039605</v>
      </c>
      <c r="AH12" s="13" t="n">
        <f aca="false">IF(Time!AH20&gt;=Time!$F$12,Inputs!$F$184/100*(AH11-AH10-Tax!AH21),0)</f>
        <v>-28.6250582506536</v>
      </c>
      <c r="AI12" s="13" t="n">
        <f aca="false">IF(Time!AI20&gt;=Time!$F$12,Inputs!$F$184/100*(AI11-AI10-Tax!AI21),0)</f>
        <v>-23.6062651879501</v>
      </c>
      <c r="AJ12" s="13" t="n">
        <f aca="false">IF(Time!AJ20&gt;=Time!$F$12,Inputs!$F$184/100*(AJ11-AJ10-Tax!AJ21),0)</f>
        <v>-18.2323520532907</v>
      </c>
      <c r="AK12" s="13" t="n">
        <f aca="false">IF(Time!AK20&gt;=Time!$F$12,Inputs!$F$184/100*(AK11-AK10-Tax!AK21),0)</f>
        <v>-12.3474038173868</v>
      </c>
      <c r="AL12" s="13" t="n">
        <f aca="false">IF(Time!AL20&gt;=Time!$F$12,Inputs!$F$184/100*(AL11-AL10-Tax!AL21),0)</f>
        <v>-5.995858344202</v>
      </c>
      <c r="AM12" s="13" t="n">
        <f aca="false">IF(Time!AM20&gt;=Time!$F$12,Inputs!$F$184/100*(AM11-AM10-Tax!AM21),0)</f>
        <v>0.0823635171830773</v>
      </c>
      <c r="AN12" s="13" t="n">
        <f aca="false">IF(Time!AN20&gt;=Time!$F$12,Inputs!$F$184/100*(AN11-AN10-Tax!AN21),0)</f>
        <v>7.53955591660601</v>
      </c>
      <c r="AO12" s="13" t="n">
        <f aca="false">IF(Time!AO20&gt;=Time!$F$12,Inputs!$F$184/100*(AO11-AO10-Tax!AO21),0)</f>
        <v>15.5452350710728</v>
      </c>
      <c r="AP12" s="13" t="n">
        <f aca="false">IF(Time!AP20&gt;=Time!$F$12,Inputs!$F$184/100*(AP11-AP10-Tax!AP21),0)</f>
        <v>24.3069512012433</v>
      </c>
      <c r="AQ12" s="13" t="n">
        <f aca="false">IF(Time!AQ20&gt;=Time!$F$12,Inputs!$F$184/100*(AQ11-AQ10-Tax!AQ21),0)</f>
        <v>33.7809374904202</v>
      </c>
      <c r="AR12" s="13" t="n">
        <f aca="false">IF(Time!AR20&gt;=Time!$F$12,Inputs!$F$184/100*(AR11-AR10-Tax!AR21),0)</f>
        <v>37.6769401215819</v>
      </c>
      <c r="AS12" s="13" t="n">
        <f aca="false">IF(Time!AS20&gt;=Time!$F$12,Inputs!$F$184/100*(AS11-AS10-Tax!AS21),0)</f>
        <v>38.728389613347</v>
      </c>
      <c r="AT12" s="13" t="n">
        <f aca="false">IF(Time!AT20&gt;=Time!$F$12,Inputs!$F$184/100*(AT11-AT10-Tax!AT21),0)</f>
        <v>39.7798391051121</v>
      </c>
      <c r="AU12" s="13" t="n">
        <f aca="false">IF(Time!AU20&gt;=Time!$F$12,Inputs!$F$184/100*(AU11-AU10-Tax!AU21),0)</f>
        <v>40.8312885968771</v>
      </c>
      <c r="AV12" s="13" t="n">
        <f aca="false">IF(Time!AV20&gt;=Time!$F$12,Inputs!$F$184/100*(AV11-AV10-Tax!AV21),0)</f>
        <v>41.8827380886422</v>
      </c>
      <c r="AW12" s="13" t="n">
        <f aca="false">IF(Time!AW20&gt;=Time!$F$12,Inputs!$F$184/100*(AW11-AW10-Tax!AW21),0)</f>
        <v>42.9341875804073</v>
      </c>
      <c r="AX12" s="13" t="n">
        <f aca="false">IF(Time!AX20&gt;=Time!$F$12,Inputs!$F$184/100*(AX11-AX10-Tax!AX21),0)</f>
        <v>43.9856370721724</v>
      </c>
      <c r="AY12" s="13" t="n">
        <f aca="false">IF(Time!AY20&gt;=Time!$F$12,Inputs!$F$184/100*(AY11-AY10-Tax!AY21),0)</f>
        <v>45.0370865639374</v>
      </c>
      <c r="AZ12" s="13" t="n">
        <f aca="false">IF(Time!AZ20&gt;=Time!$F$12,Inputs!$F$184/100*(AZ11-AZ10-Tax!AZ21),0)</f>
        <v>46.0885360557025</v>
      </c>
      <c r="BA12" s="13" t="n">
        <f aca="false">IF(Time!BA20&gt;=Time!$F$12,Inputs!$F$184/100*(BA11-BA10-Tax!BA21),0)</f>
        <v>47.1399855474676</v>
      </c>
      <c r="BB12" s="13" t="n">
        <f aca="false">IF(Time!BB20&gt;=Time!$F$12,Inputs!$F$184/100*(BB11-BB10-Tax!BB21),0)</f>
        <v>48.1914350392327</v>
      </c>
      <c r="BC12" s="13" t="n">
        <f aca="false">IF(Time!BC20&gt;=Time!$F$12,Inputs!$F$184/100*(BC11-BC10-Tax!BC21),0)</f>
        <v>49.2428845309977</v>
      </c>
      <c r="BD12" s="13" t="n">
        <f aca="false">IF(Time!BD20&gt;=Time!$F$12,Inputs!$F$184/100*(BD11-BD10-Tax!BD21),0)</f>
        <v>48.2790558302131</v>
      </c>
      <c r="BE12" s="13" t="n">
        <f aca="false">IF(Time!BE20&gt;=Time!$F$12,Inputs!$F$184/100*(BE11-BE10-Tax!BE21),0)</f>
        <v>43.284670744329</v>
      </c>
      <c r="BF12" s="13" t="n">
        <f aca="false">IF(Time!BF20&gt;=Time!$F$12,Inputs!$F$184/100*(BF11-BF10-Tax!BF21),0)</f>
        <v>38.2902856584448</v>
      </c>
      <c r="BG12" s="13" t="n">
        <f aca="false">IF(Time!BG20&gt;=Time!$F$12,Inputs!$F$184/100*(BG11-BG10-Tax!BG21),0)</f>
        <v>33.2959005725607</v>
      </c>
      <c r="BH12" s="13" t="n">
        <f aca="false">IF(Time!BH20&gt;=Time!$F$12,Inputs!$F$184/100*(BH11-BH10-Tax!BH21),0)</f>
        <v>28.3015154866766</v>
      </c>
      <c r="BI12" s="13" t="n">
        <f aca="false">IF(Time!BI20&gt;=Time!$F$12,Inputs!$F$184/100*(BI11-BI10-Tax!BI21),0)</f>
        <v>23.3071304007925</v>
      </c>
      <c r="BJ12" s="13" t="n">
        <f aca="false">IF(Time!BJ20&gt;=Time!$F$12,Inputs!$F$184/100*(BJ11-BJ10-Tax!BJ21),0)</f>
        <v>18.3127453149084</v>
      </c>
      <c r="BK12" s="13" t="n">
        <f aca="false">IF(Time!BK20&gt;=Time!$F$12,Inputs!$F$184/100*(BK11-BK10-Tax!BK21),0)</f>
        <v>13.3183602290243</v>
      </c>
      <c r="BL12" s="13" t="n">
        <f aca="false">IF(Time!BL20&gt;=Time!$F$12,Inputs!$F$184/100*(BL11-BL10-Tax!BL21),0)</f>
        <v>8.32397514314016</v>
      </c>
      <c r="BM12" s="13" t="n">
        <f aca="false">IF(Time!BM20&gt;=Time!$F$12,Inputs!$F$184/100*(BM11-BM10-Tax!BM21),0)</f>
        <v>3.32959005725603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-1.75241581960847</v>
      </c>
      <c r="Q13" s="13" t="n">
        <f aca="false">Q12-P12</f>
        <v>-5.25724745882539</v>
      </c>
      <c r="R13" s="13" t="n">
        <f aca="false">R12-Q12</f>
        <v>-5.25724745882539</v>
      </c>
      <c r="S13" s="13" t="n">
        <f aca="false">S12-R12</f>
        <v>-5.25724745882535</v>
      </c>
      <c r="T13" s="13" t="n">
        <f aca="false">T12-S12</f>
        <v>-5.25724745882539</v>
      </c>
      <c r="U13" s="13" t="n">
        <f aca="false">U12-T12</f>
        <v>-5.25724745882539</v>
      </c>
      <c r="V13" s="13" t="n">
        <f aca="false">V12-U12</f>
        <v>-5.25724745882539</v>
      </c>
      <c r="W13" s="13" t="n">
        <f aca="false">W12-V12</f>
        <v>-5.25724745882538</v>
      </c>
      <c r="X13" s="13" t="n">
        <f aca="false">X12-W12</f>
        <v>-5.25724745882538</v>
      </c>
      <c r="Y13" s="13" t="n">
        <f aca="false">Y12-X12</f>
        <v>-5.25724745882538</v>
      </c>
      <c r="Z13" s="13" t="n">
        <f aca="false">Z12-Y12</f>
        <v>-2.83679798363962</v>
      </c>
      <c r="AA13" s="13" t="n">
        <f aca="false">AA12-Z12</f>
        <v>2.39203292667935</v>
      </c>
      <c r="AB13" s="13" t="n">
        <f aca="false">AB12-AA12</f>
        <v>2.54834829341416</v>
      </c>
      <c r="AC13" s="13" t="n">
        <f aca="false">AC12-AB12</f>
        <v>2.90362862257223</v>
      </c>
      <c r="AD13" s="13" t="n">
        <f aca="false">AD12-AC12</f>
        <v>3.15054947380724</v>
      </c>
      <c r="AE13" s="13" t="n">
        <f aca="false">AE12-AD12</f>
        <v>1.05144949176508</v>
      </c>
      <c r="AF13" s="13" t="n">
        <f aca="false">AF12-AE12</f>
        <v>2.54760607342673</v>
      </c>
      <c r="AG13" s="13" t="n">
        <f aca="false">AG12-AF12</f>
        <v>4.18685084705123</v>
      </c>
      <c r="AH13" s="13" t="n">
        <f aca="false">AH12-AG12</f>
        <v>4.49891695330694</v>
      </c>
      <c r="AI13" s="13" t="n">
        <f aca="false">AI12-AH12</f>
        <v>5.01879306270353</v>
      </c>
      <c r="AJ13" s="13" t="n">
        <f aca="false">AJ12-AI12</f>
        <v>5.37391313465932</v>
      </c>
      <c r="AK13" s="13" t="n">
        <f aca="false">AK12-AJ12</f>
        <v>5.88494823590393</v>
      </c>
      <c r="AL13" s="13" t="n">
        <f aca="false">AL12-AK12</f>
        <v>6.3515454731848</v>
      </c>
      <c r="AM13" s="13" t="n">
        <f aca="false">AM12-AL12</f>
        <v>6.07822186138508</v>
      </c>
      <c r="AN13" s="13" t="n">
        <f aca="false">AN12-AM12</f>
        <v>7.45719239942294</v>
      </c>
      <c r="AO13" s="13" t="n">
        <f aca="false">AO12-AN12</f>
        <v>8.00567915446676</v>
      </c>
      <c r="AP13" s="13" t="n">
        <f aca="false">AP12-AO12</f>
        <v>8.76171613017052</v>
      </c>
      <c r="AQ13" s="13" t="n">
        <f aca="false">AQ12-AP12</f>
        <v>9.47398628917694</v>
      </c>
      <c r="AR13" s="13" t="n">
        <f aca="false">AR12-AQ12</f>
        <v>3.89600263116166</v>
      </c>
      <c r="AS13" s="13" t="n">
        <f aca="false">AS12-AR12</f>
        <v>1.05144949176508</v>
      </c>
      <c r="AT13" s="13" t="n">
        <f aca="false">AT12-AS12</f>
        <v>1.05144949176508</v>
      </c>
      <c r="AU13" s="13" t="n">
        <f aca="false">AU12-AT12</f>
        <v>1.05144949176508</v>
      </c>
      <c r="AV13" s="13" t="n">
        <f aca="false">AV12-AU12</f>
        <v>1.05144949176506</v>
      </c>
      <c r="AW13" s="13" t="n">
        <f aca="false">AW12-AV12</f>
        <v>1.05144949176508</v>
      </c>
      <c r="AX13" s="13" t="n">
        <f aca="false">AX12-AW12</f>
        <v>1.05144949176508</v>
      </c>
      <c r="AY13" s="13" t="n">
        <f aca="false">AY12-AX12</f>
        <v>1.05144949176505</v>
      </c>
      <c r="AZ13" s="13" t="n">
        <f aca="false">AZ12-AY12</f>
        <v>1.05144949176512</v>
      </c>
      <c r="BA13" s="13" t="n">
        <f aca="false">BA12-AZ12</f>
        <v>1.05144949176508</v>
      </c>
      <c r="BB13" s="13" t="n">
        <f aca="false">BB12-BA12</f>
        <v>1.05144949176508</v>
      </c>
      <c r="BC13" s="13" t="n">
        <f aca="false">BC12-BB12</f>
        <v>1.05144949176505</v>
      </c>
      <c r="BD13" s="13" t="n">
        <f aca="false">BD12-BC12</f>
        <v>-0.963828700784646</v>
      </c>
      <c r="BE13" s="13" t="n">
        <f aca="false">BE12-BD12</f>
        <v>-4.99438508588413</v>
      </c>
      <c r="BF13" s="13" t="n">
        <f aca="false">BF12-BE12</f>
        <v>-4.99438508588413</v>
      </c>
      <c r="BG13" s="13" t="n">
        <f aca="false">BG12-BF12</f>
        <v>-4.9943850858841</v>
      </c>
      <c r="BH13" s="13" t="n">
        <f aca="false">BH12-BG12</f>
        <v>-4.99438508588413</v>
      </c>
      <c r="BI13" s="13" t="n">
        <f aca="false">BI12-BH12</f>
        <v>-4.99438508588413</v>
      </c>
      <c r="BJ13" s="13" t="n">
        <f aca="false">BJ12-BI12</f>
        <v>-4.99438508588409</v>
      </c>
      <c r="BK13" s="13" t="n">
        <f aca="false">BK12-BJ12</f>
        <v>-4.99438508588413</v>
      </c>
      <c r="BL13" s="13" t="n">
        <f aca="false">BL12-BK12</f>
        <v>-4.9943850858841</v>
      </c>
      <c r="BM13" s="13" t="n">
        <f aca="false">BM12-BL12</f>
        <v>-4.99438508588413</v>
      </c>
      <c r="BN13" s="13" t="n">
        <f aca="false">BN12-BM12</f>
        <v>-3.32959005725603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853.12258487278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9.33689521142803</v>
      </c>
      <c r="Q14" s="13" t="n">
        <f aca="false">Operations!Q84-Q8-Q9-Tax!Q27-Q13</f>
        <v>5.71657618253132</v>
      </c>
      <c r="R14" s="13" t="n">
        <f aca="false">Operations!R84-R8-R9-Tax!R27-R13</f>
        <v>6.08899747717833</v>
      </c>
      <c r="S14" s="13" t="n">
        <f aca="false">Operations!S84-S8-S9-Tax!S27-S13</f>
        <v>7.23789053102559</v>
      </c>
      <c r="T14" s="13" t="n">
        <f aca="false">Operations!T84-T8-T9-Tax!T27-T13</f>
        <v>7.50773624876492</v>
      </c>
      <c r="U14" s="13" t="n">
        <f aca="false">Operations!U84-U8-U9-Tax!U27-U13</f>
        <v>8.50179917622106</v>
      </c>
      <c r="V14" s="13" t="n">
        <f aca="false">Operations!V84-V8-V9-Tax!V27-V13</f>
        <v>9.02690237432872</v>
      </c>
      <c r="W14" s="13" t="n">
        <f aca="false">Operations!W84-W8-W9-Tax!W27-W13</f>
        <v>7.81669688998947</v>
      </c>
      <c r="X14" s="13" t="n">
        <f aca="false">Operations!X84-X8-X9-Tax!X27-X13</f>
        <v>10.8230136356652</v>
      </c>
      <c r="Y14" s="13" t="n">
        <f aca="false">Operations!Y84-Y8-Y9-Tax!Y27-Y13</f>
        <v>11.4607880015713</v>
      </c>
      <c r="Z14" s="13" t="n">
        <f aca="false">Operations!Z84-Z8-Z9-Tax!Z27-Z13</f>
        <v>9.39853676774081</v>
      </c>
      <c r="AA14" s="13" t="n">
        <f aca="false">Operations!AA84-AA8-AA9-Tax!AA27-AA13</f>
        <v>5.22424800705771</v>
      </c>
      <c r="AB14" s="13" t="n">
        <f aca="false">Operations!AB84-AB8-AB9-Tax!AB27-AB13</f>
        <v>5.58718941777845</v>
      </c>
      <c r="AC14" s="13" t="n">
        <f aca="false">Operations!AC84-AC8-AC9-Tax!AC27-AC13</f>
        <v>6.41422257957379</v>
      </c>
      <c r="AD14" s="13" t="n">
        <f aca="false">Operations!AD84-AD8-AD9-Tax!AD27-AD13</f>
        <v>6.98947178317847</v>
      </c>
      <c r="AE14" s="13" t="n">
        <f aca="false">Operations!AE84-AE8-AE9-Tax!AE27-AE13</f>
        <v>-2.25140164903758</v>
      </c>
      <c r="AF14" s="13" t="n">
        <f aca="false">Operations!AF84-AF8-AF9-Tax!AF27-AF13</f>
        <v>9.92748359308796</v>
      </c>
      <c r="AG14" s="13" t="n">
        <f aca="false">Operations!AG84-AG8-AG9-Tax!AG27-AG13</f>
        <v>9.40151150629102</v>
      </c>
      <c r="AH14" s="13" t="n">
        <f aca="false">Operations!AH84-AH8-AH9-Tax!AH27-AH13</f>
        <v>10.1280416962547</v>
      </c>
      <c r="AI14" s="13" t="n">
        <f aca="false">Operations!AI84-AI8-AI9-Tax!AI27-AI13</f>
        <v>11.3395938559242</v>
      </c>
      <c r="AJ14" s="13" t="n">
        <f aca="false">Operations!AJ84-AJ8-AJ9-Tax!AJ27-AJ13</f>
        <v>12.1662536743682</v>
      </c>
      <c r="AK14" s="13" t="n">
        <f aca="false">Operations!AK84-AK8-AK9-Tax!AK27-AK13</f>
        <v>13.3565418377239</v>
      </c>
      <c r="AL14" s="13" t="n">
        <f aca="false">Operations!AL84-AL8-AL9-Tax!AL27-AL13</f>
        <v>14.4439633361953</v>
      </c>
      <c r="AM14" s="13" t="n">
        <f aca="false">Operations!AM84-AM8-AM9-Tax!AM27-AM13</f>
        <v>13.805441920131</v>
      </c>
      <c r="AN14" s="13" t="n">
        <f aca="false">Operations!AN84-AN8-AN9-Tax!AN27-AN13</f>
        <v>17.0206155596212</v>
      </c>
      <c r="AO14" s="13" t="n">
        <f aca="false">Operations!AO84-AO8-AO9-Tax!AO27-AO13</f>
        <v>18.2974033250041</v>
      </c>
      <c r="AP14" s="13" t="n">
        <f aca="false">Operations!AP84-AP8-AP9-Tax!AP27-AP13</f>
        <v>20.059720157197</v>
      </c>
      <c r="AQ14" s="13" t="n">
        <f aca="false">Operations!AQ84-AQ8-AQ9-Tax!AQ27-AQ13</f>
        <v>21.7200574132907</v>
      </c>
      <c r="AR14" s="13" t="n">
        <f aca="false">Operations!AR84-AR8-AR9-Tax!AR27-AR13</f>
        <v>23.6737542415411</v>
      </c>
      <c r="AS14" s="13" t="n">
        <f aca="false">Operations!AS84-AS8-AS9-Tax!AS27-AS13</f>
        <v>25.18612239952</v>
      </c>
      <c r="AT14" s="13" t="n">
        <f aca="false">Operations!AT84-AT8-AT9-Tax!AT27-AT13</f>
        <v>25.9177605149805</v>
      </c>
      <c r="AU14" s="13" t="n">
        <f aca="false">Operations!AU84-AU8-AU9-Tax!AU27-AU13</f>
        <v>15.4994016258421</v>
      </c>
      <c r="AV14" s="13" t="n">
        <f aca="false">Operations!AV84-AV8-AV9-Tax!AV27-AV13</f>
        <v>26.2058205990534</v>
      </c>
      <c r="AW14" s="13" t="n">
        <f aca="false">Operations!AW84-AW8-AW9-Tax!AW27-AW13</f>
        <v>26.1327381434974</v>
      </c>
      <c r="AX14" s="13" t="n">
        <f aca="false">Operations!AX84-AX8-AX9-Tax!AX27-AX13</f>
        <v>26.2515266814161</v>
      </c>
      <c r="AY14" s="13" t="n">
        <f aca="false">Operations!AY84-AY8-AY9-Tax!AY27-AY13</f>
        <v>26.385509510094</v>
      </c>
      <c r="AZ14" s="13" t="n">
        <f aca="false">Operations!AZ84-AZ8-AZ9-Tax!AZ27-AZ13</f>
        <v>26.4753343278197</v>
      </c>
      <c r="BA14" s="13" t="n">
        <f aca="false">Operations!BA84-BA8-BA9-Tax!BA27-BA13</f>
        <v>26.5469841146141</v>
      </c>
      <c r="BB14" s="13" t="n">
        <f aca="false">Operations!BB84-BB8-BB9-Tax!BB27-BB13</f>
        <v>26.7133579604394</v>
      </c>
      <c r="BC14" s="13" t="n">
        <f aca="false">Operations!BC84-BC8-BC9-Tax!BC27-BC13</f>
        <v>24.4355581669581</v>
      </c>
      <c r="BD14" s="13" t="n">
        <f aca="false">Operations!BD84-BD8-BD9-Tax!BD27-BD13</f>
        <v>26.9909710731788</v>
      </c>
      <c r="BE14" s="13" t="n">
        <f aca="false">Operations!BE84-BE8-BE9-Tax!BE27-BE13</f>
        <v>26.9780144564454</v>
      </c>
      <c r="BF14" s="13" t="n">
        <f aca="false">Operations!BF84-BF8-BF9-Tax!BF27-BF13</f>
        <v>27.1076844555863</v>
      </c>
      <c r="BG14" s="13" t="n">
        <f aca="false">Operations!BG84-BG8-BG9-Tax!BG27-BG13</f>
        <v>27.2530307598631</v>
      </c>
      <c r="BH14" s="13" t="n">
        <f aca="false">Operations!BH84-BH8-BH9-Tax!BH27-BH13</f>
        <v>27.3504702715547</v>
      </c>
      <c r="BI14" s="13" t="n">
        <f aca="false">Operations!BI84-BI8-BI9-Tax!BI27-BI13</f>
        <v>27.4265183295239</v>
      </c>
      <c r="BJ14" s="13" t="n">
        <f aca="false">Operations!BJ84-BJ8-BJ9-Tax!BJ27-BJ13</f>
        <v>27.647695614927</v>
      </c>
      <c r="BK14" s="13" t="n">
        <f aca="false">Operations!BK84-BK8-BK9-Tax!BK27-BK13</f>
        <v>15.3301845857575</v>
      </c>
      <c r="BL14" s="13" t="n">
        <f aca="false">Operations!BL84-BL8-BL9-Tax!BL27-BL13</f>
        <v>27.9908059206474</v>
      </c>
      <c r="BM14" s="13" t="n">
        <f aca="false">Operations!BM84-BM8-BM9-Tax!BM27-BM13</f>
        <v>27.8932135436607</v>
      </c>
      <c r="BN14" s="13" t="n">
        <f aca="false">Operations!BN84-BN8-BN9-Tax!BN27-BN13</f>
        <v>5.18393706577506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139.475768496852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239.763997709497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433.92182752348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635.979698280703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753.607076770396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797.424566605255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870.366523738869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852.842365542784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835.318207346699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817.794049150615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800.26989095453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782.745732758446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765.221574562361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747.697416366277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730.173258170192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712.649099974107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695.124941778023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677.600783581938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660.076625385853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642.552467189769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625.028308993684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607.5041507976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589.979992601515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572.45583440543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554.931676209346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537.407518013261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519.883359817177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502.359201621092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484.835043425007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467.310885228923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449.786727032838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432.262568836754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414.738410640669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397.214252444584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379.6900942485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362.165936052415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344.64177785633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327.117619660246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309.593461464161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292.069303268077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274.545145071992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257.020986875907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239.496828679823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221.972670483738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204.448512287654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186.924354091569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169.400195895484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151.8760376994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134.351879503315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116.827721307231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99.303563111146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81.7794049150614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64.2552467189768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46.7310885228922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29.2069303268075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11.6827721307229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41.4704313526033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40.5236651698257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40.6246104573634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41.4916657310061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41.7115357640295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42.8921937258606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43.0208326310798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39.3377969613003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38.9491427645836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41.2640304552324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42.9330704013173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45.3843420088454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46.7198528984209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49.550540613881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50.9875994931371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38.4073599938621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37.201219048176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36.9755182676943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35.8943790922593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35.0624323319447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33.3304671851933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31.4720919695361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27.6934666668142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20.1003922092362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19.2400387064762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2.37357535949866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4.74715071899731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7.12072607849597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9.49430143799463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11.8678767974933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14.2414521569919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0.596091765745239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1.19218353149048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1.78827529723572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2.38436706298096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2.9804588287262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4.07693401268624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2.01795649155704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3.55213205180363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7.9280379976092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12.320911685031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16.7309387438176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21.158306834536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25.6032056707892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30.0658270416767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14.7717409805522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16.4454449389227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18.1374594805124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39.1809623256869</v>
      </c>
      <c r="Q18" s="13" t="n">
        <f aca="false">Operations!Q88+Operations!Q89</f>
        <v>40.0893437265458</v>
      </c>
      <c r="R18" s="13" t="n">
        <f aca="false">Operations!R88+Operations!R89</f>
        <v>39.4806540575721</v>
      </c>
      <c r="S18" s="13" t="n">
        <f aca="false">Operations!S88+Operations!S89</f>
        <v>40.4560693339611</v>
      </c>
      <c r="T18" s="13" t="n">
        <f aca="false">Operations!T88+Operations!T89</f>
        <v>39.9842158401186</v>
      </c>
      <c r="U18" s="13" t="n">
        <f aca="false">Operations!U88+Operations!U89</f>
        <v>41.0568815678258</v>
      </c>
      <c r="V18" s="13" t="n">
        <f aca="false">Operations!V88+Operations!V89</f>
        <v>40.455960140644</v>
      </c>
      <c r="W18" s="13" t="n">
        <f aca="false">Operations!W88+Operations!W89</f>
        <v>41.0732780709418</v>
      </c>
      <c r="X18" s="13" t="n">
        <f aca="false">Operations!X88+Operations!X89</f>
        <v>40.7869746077725</v>
      </c>
      <c r="Y18" s="13" t="n">
        <f aca="false">Operations!Y88+Operations!Y89</f>
        <v>42.4919435497691</v>
      </c>
      <c r="Z18" s="13" t="n">
        <f aca="false">Operations!Z88+Operations!Z89</f>
        <v>41.8473303472152</v>
      </c>
      <c r="AA18" s="13" t="n">
        <f aca="false">Operations!AA88+Operations!AA89</f>
        <v>42.8881777291116</v>
      </c>
      <c r="AB18" s="13" t="n">
        <f aca="false">Operations!AB88+Operations!AB89</f>
        <v>42.3913466997486</v>
      </c>
      <c r="AC18" s="13" t="n">
        <f aca="false">Operations!AC88+Operations!AC89</f>
        <v>43.5413549658211</v>
      </c>
      <c r="AD18" s="13" t="n">
        <f aca="false">Operations!AD88+Operations!AD89</f>
        <v>42.7357872806621</v>
      </c>
      <c r="AE18" s="13" t="n">
        <f aca="false">Operations!AE88+Operations!AE89</f>
        <v>42.8120519839187</v>
      </c>
      <c r="AF18" s="13" t="n">
        <f aca="false">Operations!AF88+Operations!AF89</f>
        <v>42.9218303605379</v>
      </c>
      <c r="AG18" s="13" t="n">
        <f aca="false">Operations!AG88+Operations!AG89</f>
        <v>45.0874766827812</v>
      </c>
      <c r="AH18" s="13" t="n">
        <f aca="false">Operations!AH88+Operations!AH89</f>
        <v>44.4040512974958</v>
      </c>
      <c r="AI18" s="13" t="n">
        <f aca="false">Operations!AI88+Operations!AI89</f>
        <v>45.5156087746249</v>
      </c>
      <c r="AJ18" s="13" t="n">
        <f aca="false">Operations!AJ88+Operations!AJ89</f>
        <v>44.9917806937183</v>
      </c>
      <c r="AK18" s="13" t="n">
        <f aca="false">Operations!AK88+Operations!AK89</f>
        <v>46.2253268415193</v>
      </c>
      <c r="AL18" s="13" t="n">
        <f aca="false">Operations!AL88+Operations!AL89</f>
        <v>45.5424130591919</v>
      </c>
      <c r="AM18" s="13" t="n">
        <f aca="false">Operations!AM88+Operations!AM89</f>
        <v>46.2363564111533</v>
      </c>
      <c r="AN18" s="13" t="n">
        <f aca="false">Operations!AN88+Operations!AN89</f>
        <v>45.9289230315007</v>
      </c>
      <c r="AO18" s="13" t="n">
        <f aca="false">Operations!AO88+Operations!AO89</f>
        <v>47.8914552156177</v>
      </c>
      <c r="AP18" s="13" t="n">
        <f aca="false">Operations!AP88+Operations!AP89</f>
        <v>47.1660981684924</v>
      </c>
      <c r="AQ18" s="13" t="n">
        <f aca="false">Operations!AQ88+Operations!AQ89</f>
        <v>48.3540689255078</v>
      </c>
      <c r="AR18" s="13" t="n">
        <f aca="false">Operations!AR88+Operations!AR89</f>
        <v>47.8010618533557</v>
      </c>
      <c r="AS18" s="13" t="n">
        <f aca="false">Operations!AS88+Operations!AS89</f>
        <v>49.1248359202865</v>
      </c>
      <c r="AT18" s="13" t="n">
        <f aca="false">Operations!AT88+Operations!AT89</f>
        <v>48.2032828475597</v>
      </c>
      <c r="AU18" s="13" t="n">
        <f aca="false">Operations!AU88+Operations!AU89</f>
        <v>48.2885721578429</v>
      </c>
      <c r="AV18" s="13" t="n">
        <f aca="false">Operations!AV88+Operations!AV89</f>
        <v>48.420800426802</v>
      </c>
      <c r="AW18" s="13" t="n">
        <f aca="false">Operations!AW88+Operations!AW89</f>
        <v>50.9206382937657</v>
      </c>
      <c r="AX18" s="13" t="n">
        <f aca="false">Operations!AX88+Operations!AX89</f>
        <v>50.1499809615046</v>
      </c>
      <c r="AY18" s="13" t="n">
        <f aca="false">Operations!AY88+Operations!AY89</f>
        <v>51.4205275569009</v>
      </c>
      <c r="AZ18" s="13" t="n">
        <f aca="false">Operations!AZ88+Operations!AZ89</f>
        <v>50.8359841433507</v>
      </c>
      <c r="BA18" s="13" t="n">
        <f aca="false">Operations!BA88+Operations!BA89</f>
        <v>52.2572101921656</v>
      </c>
      <c r="BB18" s="13" t="n">
        <f aca="false">Operations!BB88+Operations!BB89</f>
        <v>51.4787443521526</v>
      </c>
      <c r="BC18" s="13" t="n">
        <f aca="false">Operations!BC88+Operations!BC89</f>
        <v>52.2623539369825</v>
      </c>
      <c r="BD18" s="13" t="n">
        <f aca="false">Operations!BD88+Operations!BD89</f>
        <v>51.9301352601338</v>
      </c>
      <c r="BE18" s="13" t="n">
        <f aca="false">Operations!BE88+Operations!BE89</f>
        <v>54.1931322508396</v>
      </c>
      <c r="BF18" s="13" t="n">
        <f aca="false">Operations!BF88+Operations!BF89</f>
        <v>53.3735371105536</v>
      </c>
      <c r="BG18" s="13" t="n">
        <f aca="false">Operations!BG88+Operations!BG89</f>
        <v>54.7333183949341</v>
      </c>
      <c r="BH18" s="13" t="n">
        <f aca="false">Operations!BH88+Operations!BH89</f>
        <v>54.1146918610221</v>
      </c>
      <c r="BI18" s="13" t="n">
        <f aca="false">Operations!BI88+Operations!BI89</f>
        <v>55.6411704213176</v>
      </c>
      <c r="BJ18" s="13" t="n">
        <f aca="false">Operations!BJ88+Operations!BJ89</f>
        <v>54.5844727308456</v>
      </c>
      <c r="BK18" s="13" t="n">
        <f aca="false">Operations!BK88+Operations!BK89</f>
        <v>54.6803145932766</v>
      </c>
      <c r="BL18" s="13" t="n">
        <f aca="false">Operations!BL88+Operations!BL89</f>
        <v>54.8389143385784</v>
      </c>
      <c r="BM18" s="13" t="n">
        <f aca="false">Operations!BM88+Operations!BM89</f>
        <v>57.7284987644055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1.75241581960847</v>
      </c>
      <c r="Q20" s="13" t="n">
        <f aca="false">MAX(0,-Q12)</f>
        <v>7.00966327843386</v>
      </c>
      <c r="R20" s="13" t="n">
        <f aca="false">MAX(0,-R12)</f>
        <v>12.2669107372592</v>
      </c>
      <c r="S20" s="13" t="n">
        <f aca="false">MAX(0,-S12)</f>
        <v>17.5241581960846</v>
      </c>
      <c r="T20" s="13" t="n">
        <f aca="false">MAX(0,-T12)</f>
        <v>22.78140565491</v>
      </c>
      <c r="U20" s="13" t="n">
        <f aca="false">MAX(0,-U12)</f>
        <v>28.0386531137354</v>
      </c>
      <c r="V20" s="13" t="n">
        <f aca="false">MAX(0,-V12)</f>
        <v>33.2959005725608</v>
      </c>
      <c r="W20" s="13" t="n">
        <f aca="false">MAX(0,-W12)</f>
        <v>38.5531480313862</v>
      </c>
      <c r="X20" s="13" t="n">
        <f aca="false">MAX(0,-X12)</f>
        <v>43.8103954902115</v>
      </c>
      <c r="Y20" s="13" t="n">
        <f aca="false">MAX(0,-Y12)</f>
        <v>49.0676429490369</v>
      </c>
      <c r="Z20" s="13" t="n">
        <f aca="false">MAX(0,-Z12)</f>
        <v>51.9044409326765</v>
      </c>
      <c r="AA20" s="13" t="n">
        <f aca="false">MAX(0,-AA12)</f>
        <v>49.5124080059972</v>
      </c>
      <c r="AB20" s="13" t="n">
        <f aca="false">MAX(0,-AB12)</f>
        <v>46.964059712583</v>
      </c>
      <c r="AC20" s="13" t="n">
        <f aca="false">MAX(0,-AC12)</f>
        <v>44.0604310900108</v>
      </c>
      <c r="AD20" s="13" t="n">
        <f aca="false">MAX(0,-AD12)</f>
        <v>40.9098816162036</v>
      </c>
      <c r="AE20" s="13" t="n">
        <f aca="false">MAX(0,-AE12)</f>
        <v>39.8584321244385</v>
      </c>
      <c r="AF20" s="13" t="n">
        <f aca="false">MAX(0,-AF12)</f>
        <v>37.3108260510118</v>
      </c>
      <c r="AG20" s="13" t="n">
        <f aca="false">MAX(0,-AG12)</f>
        <v>33.1239752039605</v>
      </c>
      <c r="AH20" s="13" t="n">
        <f aca="false">MAX(0,-AH12)</f>
        <v>28.6250582506536</v>
      </c>
      <c r="AI20" s="13" t="n">
        <f aca="false">MAX(0,-AI12)</f>
        <v>23.6062651879501</v>
      </c>
      <c r="AJ20" s="13" t="n">
        <f aca="false">MAX(0,-AJ12)</f>
        <v>18.2323520532907</v>
      </c>
      <c r="AK20" s="13" t="n">
        <f aca="false">MAX(0,-AK12)</f>
        <v>12.3474038173868</v>
      </c>
      <c r="AL20" s="13" t="n">
        <f aca="false">MAX(0,-AL12)</f>
        <v>5.995858344202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139.475768496852</v>
      </c>
      <c r="K21" s="13" t="n">
        <f aca="false">K16+K17+K18+K19+K20</f>
        <v>239.763997709497</v>
      </c>
      <c r="L21" s="13" t="n">
        <f aca="false">L16+L17+L18+L19+L20</f>
        <v>433.92182752348</v>
      </c>
      <c r="M21" s="13" t="n">
        <f aca="false">M16+M17+M18+M19+M20</f>
        <v>635.979698280703</v>
      </c>
      <c r="N21" s="13" t="n">
        <f aca="false">N16+N17+N18+N19+N20</f>
        <v>753.607076770396</v>
      </c>
      <c r="O21" s="13" t="n">
        <f aca="false">O16+O17+O18+O19+O20</f>
        <v>797.424566605255</v>
      </c>
      <c r="P21" s="13" t="n">
        <f aca="false">P16+P17+P18+P19+P20</f>
        <v>958.120333236767</v>
      </c>
      <c r="Q21" s="13" t="n">
        <f aca="false">Q16+Q17+Q18+Q19+Q20</f>
        <v>945.815037717589</v>
      </c>
      <c r="R21" s="13" t="n">
        <f aca="false">R16+R17+R18+R19+R20</f>
        <v>933.040382598894</v>
      </c>
      <c r="S21" s="13" t="n">
        <f aca="false">S16+S17+S18+S19+S20</f>
        <v>922.615942411667</v>
      </c>
      <c r="T21" s="13" t="n">
        <f aca="false">T16+T17+T18+T19+T20</f>
        <v>910.097048213588</v>
      </c>
      <c r="U21" s="13" t="n">
        <f aca="false">U16+U17+U18+U19+U20</f>
        <v>900.083461165867</v>
      </c>
      <c r="V21" s="13" t="n">
        <f aca="false">V16+V17+V18+V19+V20</f>
        <v>887.344267906646</v>
      </c>
      <c r="W21" s="13" t="n">
        <f aca="false">W16+W17+W18+W19+W20</f>
        <v>872.011639429905</v>
      </c>
      <c r="X21" s="13" t="n">
        <f aca="false">X16+X17+X18+X19+X20</f>
        <v>859.06977103276</v>
      </c>
      <c r="Y21" s="13" t="n">
        <f aca="false">Y16+Y17+Y18+Y19+Y20</f>
        <v>850.822716928146</v>
      </c>
      <c r="Z21" s="13" t="n">
        <f aca="false">Z16+Z17+Z18+Z19+Z20</f>
        <v>837.159783459232</v>
      </c>
      <c r="AA21" s="13" t="n">
        <f aca="false">AA16+AA17+AA18+AA19+AA20</f>
        <v>820.735711325892</v>
      </c>
      <c r="AB21" s="13" t="n">
        <f aca="false">AB16+AB17+AB18+AB19+AB20</f>
        <v>801.501884696606</v>
      </c>
      <c r="AC21" s="13" t="n">
        <f aca="false">AC16+AC17+AC18+AC19+AC20</f>
        <v>785.054793859482</v>
      </c>
      <c r="AD21" s="13" t="n">
        <f aca="false">AD16+AD17+AD18+AD19+AD20</f>
        <v>765.011577383687</v>
      </c>
      <c r="AE21" s="13" t="n">
        <f aca="false">AE16+AE17+AE18+AE19+AE20</f>
        <v>733.931994899819</v>
      </c>
      <c r="AF21" s="13" t="n">
        <f aca="false">AF16+AF17+AF18+AF19+AF20</f>
        <v>712.763868061241</v>
      </c>
      <c r="AG21" s="13" t="n">
        <f aca="false">AG16+AG17+AG18+AG19+AG20</f>
        <v>692.992804559866</v>
      </c>
      <c r="AH21" s="13" t="n">
        <f aca="false">AH16+AH17+AH18+AH19+AH20</f>
        <v>669.205164849755</v>
      </c>
      <c r="AI21" s="13" t="n">
        <f aca="false">AI16+AI17+AI18+AI19+AI20</f>
        <v>646.941824307781</v>
      </c>
      <c r="AJ21" s="13" t="n">
        <f aca="false">AJ16+AJ17+AJ18+AJ19+AJ20</f>
        <v>621.787959749379</v>
      </c>
      <c r="AK21" s="13" t="n">
        <f aca="false">AK16+AK17+AK18+AK19+AK20</f>
        <v>597.754024249534</v>
      </c>
      <c r="AL21" s="13" t="n">
        <f aca="false">AL16+AL17+AL18+AL19+AL20</f>
        <v>569.416781495215</v>
      </c>
      <c r="AM21" s="13" t="n">
        <f aca="false">AM16+AM17+AM18+AM19+AM20</f>
        <v>538.997633849312</v>
      </c>
      <c r="AN21" s="13" t="n">
        <f aca="false">AN16+AN17+AN18+AN19+AN20</f>
        <v>520.305688770815</v>
      </c>
      <c r="AO21" s="13" t="n">
        <f aca="false">AO16+AO17+AO18+AO19+AO20</f>
        <v>487.87759941187</v>
      </c>
      <c r="AP21" s="13" t="n">
        <f aca="false">AP16+AP17+AP18+AP19+AP20</f>
        <v>472.001659528159</v>
      </c>
      <c r="AQ21" s="13" t="n">
        <f aca="false">AQ16+AQ17+AQ18+AQ19+AQ20</f>
        <v>458.039047448588</v>
      </c>
      <c r="AR21" s="13" t="n">
        <f aca="false">AR16+AR17+AR18+AR19+AR20</f>
        <v>442.33545753985</v>
      </c>
      <c r="AS21" s="13" t="n">
        <f aca="false">AS16+AS17+AS18+AS19+AS20</f>
        <v>428.508648770195</v>
      </c>
      <c r="AT21" s="13" t="n">
        <f aca="false">AT16+AT17+AT18+AT19+AT20</f>
        <v>412.436512860882</v>
      </c>
      <c r="AU21" s="13" t="n">
        <f aca="false">AU16+AU17+AU18+AU19+AU20</f>
        <v>380.756191818089</v>
      </c>
      <c r="AV21" s="13" t="n">
        <f aca="false">AV16+AV17+AV18+AV19+AV20</f>
        <v>363.364261890963</v>
      </c>
      <c r="AW21" s="13" t="n">
        <f aca="false">AW16+AW17+AW18+AW19+AW20</f>
        <v>348.936033327588</v>
      </c>
      <c r="AX21" s="13" t="n">
        <f aca="false">AX16+AX17+AX18+AX19+AX20</f>
        <v>331.237309564987</v>
      </c>
      <c r="AY21" s="13" t="n">
        <f aca="false">AY16+AY17+AY18+AY19+AY20</f>
        <v>315.579789730044</v>
      </c>
      <c r="AZ21" s="13" t="n">
        <f aca="false">AZ16+AZ17+AZ18+AZ19+AZ20</f>
        <v>298.067179886155</v>
      </c>
      <c r="BA21" s="13" t="n">
        <f aca="false">BA16+BA17+BA18+BA19+BA20</f>
        <v>282.56033950463</v>
      </c>
      <c r="BB21" s="13" t="n">
        <f aca="false">BB16+BB17+BB18+BB19+BB20</f>
        <v>265.354190652493</v>
      </c>
      <c r="BC21" s="13" t="n">
        <f aca="false">BC16+BC17+BC18+BC19+BC20</f>
        <v>246.554664520109</v>
      </c>
      <c r="BD21" s="13" t="n">
        <f aca="false">BD16+BD17+BD18+BD19+BD20</f>
        <v>230.232463207422</v>
      </c>
      <c r="BE21" s="13" t="n">
        <f aca="false">BE16+BE17+BE18+BE19+BE20</f>
        <v>219.347207947849</v>
      </c>
      <c r="BF21" s="13" t="n">
        <f aca="false">BF16+BF17+BF18+BF19+BF20</f>
        <v>205.3963282989</v>
      </c>
      <c r="BG21" s="13" t="n">
        <f aca="false">BG16+BG17+BG18+BG19+BG20</f>
        <v>193.641978445982</v>
      </c>
      <c r="BH21" s="13" t="n">
        <f aca="false">BH16+BH17+BH18+BH19+BH20</f>
        <v>179.926561806704</v>
      </c>
      <c r="BI21" s="13" t="n">
        <f aca="false">BI16+BI17+BI18+BI19+BI20</f>
        <v>168.373781007168</v>
      </c>
      <c r="BJ21" s="13" t="n">
        <f aca="false">BJ16+BJ17+BJ18+BJ19+BJ20</f>
        <v>154.255546491499</v>
      </c>
      <c r="BK21" s="13" t="n">
        <f aca="false">BK16+BK17+BK18+BK19+BK20</f>
        <v>121.533144096721</v>
      </c>
      <c r="BL21" s="13" t="n">
        <f aca="false">BL16+BL17+BL18+BL19+BL20</f>
        <v>105.841289604309</v>
      </c>
      <c r="BM21" s="13" t="n">
        <f aca="false">BM16+BM17+BM18+BM19+BM20</f>
        <v>92.8987303756408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102.187095838464</v>
      </c>
      <c r="K22" s="13" t="n">
        <f aca="false">IF(Time!K20&lt;Time!$F$12,SUMIFS(Funding!$J$73:$BJ$73,Construction!$J$12:$BJ$12,"&lt;="&amp;Time!K20),Debt!K116)</f>
        <v>174.816365855565</v>
      </c>
      <c r="L22" s="13" t="n">
        <f aca="false">IF(Time!L20&lt;Time!$F$12,SUMIFS(Funding!$J$73:$BJ$73,Construction!$J$12:$BJ$12,"&lt;="&amp;Time!L20),Debt!L116)</f>
        <v>315.494361664248</v>
      </c>
      <c r="M22" s="13" t="n">
        <f aca="false">IF(Time!M20&lt;Time!$F$12,SUMIFS(Funding!$J$73:$BJ$73,Construction!$J$12:$BJ$12,"&lt;="&amp;Time!M20),Debt!M116)</f>
        <v>460.38682410914</v>
      </c>
      <c r="N22" s="13" t="n">
        <f aca="false">IF(Time!N20&lt;Time!$F$12,SUMIFS(Funding!$J$73:$BJ$73,Construction!$J$12:$BJ$12,"&lt;="&amp;Time!N20),Debt!N116)</f>
        <v>541.548574339922</v>
      </c>
      <c r="O22" s="13" t="n">
        <f aca="false">IF(Time!O20&lt;Time!$F$12,SUMIFS(Funding!$J$73:$BJ$73,Construction!$J$12:$BJ$12,"&lt;="&amp;Time!O20),Debt!O116)</f>
        <v>567.581818495909</v>
      </c>
      <c r="P22" s="13" t="n">
        <f aca="false">IF(Time!P20&lt;Time!$F$12,SUMIFS(Funding!$J$73:$BJ$73,Construction!$J$12:$BJ$12,"&lt;="&amp;Time!P20),Debt!P116)</f>
        <v>654.23676534394</v>
      </c>
      <c r="Q22" s="13" t="n">
        <f aca="false">IF(Time!Q20&lt;Time!$F$12,SUMIFS(Funding!$J$73:$BJ$73,Construction!$J$12:$BJ$12,"&lt;="&amp;Time!Q20),Debt!Q116)</f>
        <v>636.914515542577</v>
      </c>
      <c r="R22" s="13" t="n">
        <f aca="false">IF(Time!R20&lt;Time!$F$12,SUMIFS(Funding!$J$73:$BJ$73,Construction!$J$12:$BJ$12,"&lt;="&amp;Time!R20),Debt!R116)</f>
        <v>618.792773501408</v>
      </c>
      <c r="S22" s="13" t="n">
        <f aca="false">IF(Time!S20&lt;Time!$F$12,SUMIFS(Funding!$J$73:$BJ$73,Construction!$J$12:$BJ$12,"&lt;="&amp;Time!S20),Debt!S116)</f>
        <v>600.181805864851</v>
      </c>
      <c r="T22" s="13" t="n">
        <f aca="false">IF(Time!T20&lt;Time!$F$12,SUMIFS(Funding!$J$73:$BJ$73,Construction!$J$12:$BJ$12,"&lt;="&amp;Time!T20),Debt!T116)</f>
        <v>580.761286124052</v>
      </c>
      <c r="U22" s="13" t="n">
        <f aca="false">IF(Time!U20&lt;Time!$F$12,SUMIFS(Funding!$J$73:$BJ$73,Construction!$J$12:$BJ$12,"&lt;="&amp;Time!U20),Debt!U116)</f>
        <v>560.759397951419</v>
      </c>
      <c r="V22" s="13" t="n">
        <f aca="false">IF(Time!V20&lt;Time!$F$12,SUMIFS(Funding!$J$73:$BJ$73,Construction!$J$12:$BJ$12,"&lt;="&amp;Time!V20),Debt!V116)</f>
        <v>539.491014933392</v>
      </c>
      <c r="W22" s="13" t="n">
        <f aca="false">IF(Time!W20&lt;Time!$F$12,SUMIFS(Funding!$J$73:$BJ$73,Construction!$J$12:$BJ$12,"&lt;="&amp;Time!W20),Debt!W116)</f>
        <v>517.599007280443</v>
      </c>
      <c r="X22" s="13" t="n">
        <f aca="false">IF(Time!X20&lt;Time!$F$12,SUMIFS(Funding!$J$73:$BJ$73,Construction!$J$12:$BJ$12,"&lt;="&amp;Time!X20),Debt!X116)</f>
        <v>496.343117372125</v>
      </c>
      <c r="Y22" s="13" t="n">
        <f aca="false">IF(Time!Y20&lt;Time!$F$12,SUMIFS(Funding!$J$73:$BJ$73,Construction!$J$12:$BJ$12,"&lt;="&amp;Time!Y20),Debt!Y116)</f>
        <v>475.126466082929</v>
      </c>
      <c r="Z22" s="13" t="n">
        <f aca="false">IF(Time!Z20&lt;Time!$F$12,SUMIFS(Funding!$J$73:$BJ$73,Construction!$J$12:$BJ$12,"&lt;="&amp;Time!Z20),Debt!Z116)</f>
        <v>453.067014712605</v>
      </c>
      <c r="AA22" s="13" t="n">
        <f aca="false">IF(Time!AA20&lt;Time!$F$12,SUMIFS(Funding!$J$73:$BJ$73,Construction!$J$12:$BJ$12,"&lt;="&amp;Time!AA20),Debt!AA116)</f>
        <v>425.395226032387</v>
      </c>
      <c r="AB22" s="13" t="n">
        <f aca="false">IF(Time!AB20&lt;Time!$F$12,SUMIFS(Funding!$J$73:$BJ$73,Construction!$J$12:$BJ$12,"&lt;="&amp;Time!AB20),Debt!AB116)</f>
        <v>396.040218727113</v>
      </c>
      <c r="AC22" s="13" t="n">
        <f aca="false">IF(Time!AC20&lt;Time!$F$12,SUMIFS(Funding!$J$73:$BJ$73,Construction!$J$12:$BJ$12,"&lt;="&amp;Time!AC20),Debt!AC116)</f>
        <v>366.776123655844</v>
      </c>
      <c r="AD22" s="13" t="n">
        <f aca="false">IF(Time!AD20&lt;Time!$F$12,SUMIFS(Funding!$J$73:$BJ$73,Construction!$J$12:$BJ$12,"&lt;="&amp;Time!AD20),Debt!AD116)</f>
        <v>335.133905115867</v>
      </c>
      <c r="AE22" s="13" t="n">
        <f aca="false">IF(Time!AE20&lt;Time!$F$12,SUMIFS(Funding!$J$73:$BJ$73,Construction!$J$12:$BJ$12,"&lt;="&amp;Time!AE20),Debt!AE116)</f>
        <v>301.885351823368</v>
      </c>
      <c r="AF22" s="13" t="n">
        <f aca="false">IF(Time!AF20&lt;Time!$F$12,SUMIFS(Funding!$J$73:$BJ$73,Construction!$J$12:$BJ$12,"&lt;="&amp;Time!AF20),Debt!AF116)</f>
        <v>267.107360300876</v>
      </c>
      <c r="AG22" s="13" t="n">
        <f aca="false">IF(Time!AG20&lt;Time!$F$12,SUMIFS(Funding!$J$73:$BJ$73,Construction!$J$12:$BJ$12,"&lt;="&amp;Time!AG20),Debt!AG116)</f>
        <v>232.555862487646</v>
      </c>
      <c r="AH22" s="13" t="n">
        <f aca="false">IF(Time!AH20&lt;Time!$F$12,SUMIFS(Funding!$J$73:$BJ$73,Construction!$J$12:$BJ$12,"&lt;="&amp;Time!AH20),Debt!AH116)</f>
        <v>196.431040914055</v>
      </c>
      <c r="AI22" s="13" t="n">
        <f aca="false">IF(Time!AI20&lt;Time!$F$12,SUMIFS(Funding!$J$73:$BJ$73,Construction!$J$12:$BJ$12,"&lt;="&amp;Time!AI20),Debt!AI116)</f>
        <v>160.079255310196</v>
      </c>
      <c r="AJ22" s="13" t="n">
        <f aca="false">IF(Time!AJ20&lt;Time!$F$12,SUMIFS(Funding!$J$73:$BJ$73,Construction!$J$12:$BJ$12,"&lt;="&amp;Time!AJ20),Debt!AJ116)</f>
        <v>122.480686479958</v>
      </c>
      <c r="AK22" s="13" t="n">
        <f aca="false">IF(Time!AK20&lt;Time!$F$12,SUMIFS(Funding!$J$73:$BJ$73,Construction!$J$12:$BJ$12,"&lt;="&amp;Time!AK20),Debt!AK116)</f>
        <v>84.9968961463671</v>
      </c>
      <c r="AL22" s="13" t="n">
        <f aca="false">IF(Time!AL20&lt;Time!$F$12,SUMIFS(Funding!$J$73:$BJ$73,Construction!$J$12:$BJ$12,"&lt;="&amp;Time!AL20),Debt!AL116)</f>
        <v>59.3181913076933</v>
      </c>
      <c r="AM22" s="13" t="n">
        <f aca="false">IF(Time!AM20&lt;Time!$F$12,SUMIFS(Funding!$J$73:$BJ$73,Construction!$J$12:$BJ$12,"&lt;="&amp;Time!AM20),Debt!AM116)</f>
        <v>37.7658113053003</v>
      </c>
      <c r="AN22" s="13" t="n">
        <f aca="false">IF(Time!AN20&lt;Time!$F$12,SUMIFS(Funding!$J$73:$BJ$73,Construction!$J$12:$BJ$12,"&lt;="&amp;Time!AN20),Debt!AN116)</f>
        <v>18.7205193781246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30.0019164435335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52.4818285163951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95.9301976694922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142.763615992843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173.441763131462</v>
      </c>
      <c r="O23" s="13" t="n">
        <f aca="false">IF(Time!O20&lt;Time!$F$12,SUMIFS(Funding!$J$70:$BJ$70,Construction!$J$12:$BJ$12,"&lt;="&amp;Time!O20)+SUMIFS(Funding!$J$71:$BJ$71,Construction!$J$12:$BJ$12,"&lt;="&amp;Time!O20),Waterfall!O36)</f>
        <v>189.369630545642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223.76924991861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222.377120778504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222.050853288076</v>
      </c>
      <c r="S23" s="13" t="n">
        <f aca="false">IF(Time!S20&lt;Time!$F$12,SUMIFS(Funding!$J$70:$BJ$70,Construction!$J$12:$BJ$12,"&lt;="&amp;Time!S20)+SUMIFS(Funding!$J$71:$BJ$71,Construction!$J$12:$BJ$12,"&lt;="&amp;Time!S20),Waterfall!S36)</f>
        <v>222.317457395116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221.990328671412</v>
      </c>
      <c r="U23" s="13" t="n">
        <f aca="false">IF(Time!U20&lt;Time!$F$12,SUMIFS(Funding!$J$70:$BJ$70,Construction!$J$12:$BJ$12,"&lt;="&amp;Time!U20)+SUMIFS(Funding!$J$71:$BJ$71,Construction!$J$12:$BJ$12,"&lt;="&amp;Time!U20),Waterfall!U36)</f>
        <v>222.621749557895</v>
      </c>
      <c r="V23" s="13" t="n">
        <f aca="false">IF(Time!V20&lt;Time!$F$12,SUMIFS(Funding!$J$70:$BJ$70,Construction!$J$12:$BJ$12,"&lt;="&amp;Time!V20)+SUMIFS(Funding!$J$71:$BJ$71,Construction!$J$12:$BJ$12,"&lt;="&amp;Time!V20),Waterfall!V36)</f>
        <v>222.609739320726</v>
      </c>
      <c r="W23" s="13" t="n">
        <f aca="false">IF(Time!W20&lt;Time!$F$12,SUMIFS(Funding!$J$70:$BJ$70,Construction!$J$12:$BJ$12,"&lt;="&amp;Time!W20)+SUMIFS(Funding!$J$71:$BJ$71,Construction!$J$12:$BJ$12,"&lt;="&amp;Time!W20),Waterfall!W36)</f>
        <v>221.032140227138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218.61630622009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218.723942146764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218.171348992357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223.457945652679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228.293559601152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233.772341776609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239.071814455018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243.488339372594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247.10088411651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250.629216018412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253.324298058156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255.277040592278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255.881586183322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254.976449871296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238.441794266348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215.314263783292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191.29855680257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149.650848930269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105.478883633034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59.4621340773206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16.541333070583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24.1251152797341</v>
      </c>
      <c r="Q24" s="13" t="n">
        <f aca="false">Operations!Q90+Operations!Q91+Operations!Q92+Operations!Q93+Operations!Q94</f>
        <v>24.8176225194946</v>
      </c>
      <c r="R24" s="13" t="n">
        <f aca="false">Operations!R90+Operations!R91+Operations!R92+Operations!R93+Operations!R94</f>
        <v>24.401979455218</v>
      </c>
      <c r="S24" s="13" t="n">
        <f aca="false">Operations!S90+Operations!S91+Operations!S92+Operations!S93+Operations!S94</f>
        <v>25.0840122664817</v>
      </c>
      <c r="T24" s="13" t="n">
        <f aca="false">Operations!T90+Operations!T91+Operations!T92+Operations!T93+Operations!T94</f>
        <v>24.805030284142</v>
      </c>
      <c r="U24" s="13" t="n">
        <f aca="false">Operations!U90+Operations!U91+Operations!U92+Operations!U93+Operations!U94</f>
        <v>25.66011134635</v>
      </c>
      <c r="V24" s="13" t="n">
        <f aca="false">Operations!V90+Operations!V91+Operations!V92+Operations!V93+Operations!V94</f>
        <v>25.1744089679956</v>
      </c>
      <c r="W24" s="13" t="n">
        <f aca="false">Operations!W90+Operations!W91+Operations!W92+Operations!W93+Operations!W94</f>
        <v>25.4946903478022</v>
      </c>
      <c r="X24" s="13" t="n">
        <f aca="false">Operations!X90+Operations!X91+Operations!X92+Operations!X93+Operations!X94</f>
        <v>25.4015322303574</v>
      </c>
      <c r="Y24" s="13" t="n">
        <f aca="false">Operations!Y90+Operations!Y91+Operations!Y92+Operations!Y93+Operations!Y94</f>
        <v>26.8027054866946</v>
      </c>
      <c r="Z24" s="13" t="n">
        <f aca="false">Operations!Z90+Operations!Z91+Operations!Z92+Operations!Z93+Operations!Z94</f>
        <v>26.3532797747705</v>
      </c>
      <c r="AA24" s="13" t="n">
        <f aca="false">Operations!AA90+Operations!AA91+Operations!AA92+Operations!AA93+Operations!AA94</f>
        <v>27.0901516542687</v>
      </c>
      <c r="AB24" s="13" t="n">
        <f aca="false">Operations!AB90+Operations!AB91+Operations!AB92+Operations!AB93+Operations!AB94</f>
        <v>26.7885289640055</v>
      </c>
      <c r="AC24" s="13" t="n">
        <f aca="false">Operations!AC90+Operations!AC91+Operations!AC92+Operations!AC93+Operations!AC94</f>
        <v>27.7125284431198</v>
      </c>
      <c r="AD24" s="13" t="n">
        <f aca="false">Operations!AD90+Operations!AD91+Operations!AD92+Operations!AD93+Operations!AD94</f>
        <v>27.0225860457145</v>
      </c>
      <c r="AE24" s="13" t="n">
        <f aca="false">Operations!AE90+Operations!AE91+Operations!AE92+Operations!AE93+Operations!AE94</f>
        <v>27.0264335858061</v>
      </c>
      <c r="AF24" s="13" t="n">
        <f aca="false">Operations!AF90+Operations!AF91+Operations!AF92+Operations!AF93+Operations!AF94</f>
        <v>27.096269932717</v>
      </c>
      <c r="AG24" s="13" t="n">
        <f aca="false">Operations!AG90+Operations!AG91+Operations!AG92+Operations!AG93+Operations!AG94</f>
        <v>28.9468608363791</v>
      </c>
      <c r="AH24" s="13" t="n">
        <f aca="false">Operations!AH90+Operations!AH91+Operations!AH92+Operations!AH93+Operations!AH94</f>
        <v>28.4609189638602</v>
      </c>
      <c r="AI24" s="13" t="n">
        <f aca="false">Operations!AI90+Operations!AI91+Operations!AI92+Operations!AI93+Operations!AI94</f>
        <v>29.2570276356984</v>
      </c>
      <c r="AJ24" s="13" t="n">
        <f aca="false">Operations!AJ90+Operations!AJ91+Operations!AJ92+Operations!AJ93+Operations!AJ94</f>
        <v>28.9309326421223</v>
      </c>
      <c r="AK24" s="13" t="n">
        <f aca="false">Operations!AK90+Operations!AK91+Operations!AK92+Operations!AK93+Operations!AK94</f>
        <v>29.9293819501709</v>
      </c>
      <c r="AL24" s="13" t="n">
        <f aca="false">Operations!AL90+Operations!AL91+Operations!AL92+Operations!AL93+Operations!AL94</f>
        <v>29.3615363032786</v>
      </c>
      <c r="AM24" s="13" t="n">
        <f aca="false">Operations!AM90+Operations!AM91+Operations!AM92+Operations!AM93+Operations!AM94</f>
        <v>29.7344937055108</v>
      </c>
      <c r="AN24" s="13" t="n">
        <f aca="false">Operations!AN90+Operations!AN91+Operations!AN92+Operations!AN93+Operations!AN94</f>
        <v>29.6257395758665</v>
      </c>
      <c r="AO24" s="13" t="n">
        <f aca="false">Operations!AO90+Operations!AO91+Operations!AO92+Operations!AO93+Operations!AO94</f>
        <v>31.2627949878765</v>
      </c>
      <c r="AP24" s="13" t="n">
        <f aca="false">Operations!AP90+Operations!AP91+Operations!AP92+Operations!AP93+Operations!AP94</f>
        <v>30.7373841140327</v>
      </c>
      <c r="AQ24" s="13" t="n">
        <f aca="false">Operations!AQ90+Operations!AQ91+Operations!AQ92+Operations!AQ93+Operations!AQ94</f>
        <v>31.597477887708</v>
      </c>
      <c r="AR24" s="13" t="n">
        <f aca="false">Operations!AR90+Operations!AR91+Operations!AR92+Operations!AR93+Operations!AR94</f>
        <v>31.2449321130047</v>
      </c>
      <c r="AS24" s="13" t="n">
        <f aca="false">Operations!AS90+Operations!AS91+Operations!AS92+Operations!AS93+Operations!AS94</f>
        <v>32.3238037588629</v>
      </c>
      <c r="AT24" s="13" t="n">
        <f aca="false">Operations!AT90+Operations!AT91+Operations!AT92+Operations!AT93+Operations!AT94</f>
        <v>31.517161848582</v>
      </c>
      <c r="AU24" s="13" t="n">
        <f aca="false">Operations!AU90+Operations!AU91+Operations!AU92+Operations!AU93+Operations!AU94</f>
        <v>31.5201703342723</v>
      </c>
      <c r="AV24" s="13" t="n">
        <f aca="false">Operations!AV90+Operations!AV91+Operations!AV92+Operations!AV93+Operations!AV94</f>
        <v>31.6018232460227</v>
      </c>
      <c r="AW24" s="13" t="n">
        <f aca="false">Operations!AW90+Operations!AW91+Operations!AW92+Operations!AW93+Operations!AW94</f>
        <v>33.7642246102726</v>
      </c>
      <c r="AX24" s="13" t="n">
        <f aca="false">Operations!AX90+Operations!AX91+Operations!AX92+Operations!AX93+Operations!AX94</f>
        <v>33.1961551310667</v>
      </c>
      <c r="AY24" s="13" t="n">
        <f aca="false">Operations!AY90+Operations!AY91+Operations!AY92+Operations!AY93+Operations!AY94</f>
        <v>34.125360649526</v>
      </c>
      <c r="AZ24" s="13" t="n">
        <f aca="false">Operations!AZ90+Operations!AZ91+Operations!AZ92+Operations!AZ93+Operations!AZ94</f>
        <v>33.744227067728</v>
      </c>
      <c r="BA24" s="13" t="n">
        <f aca="false">Operations!BA90+Operations!BA91+Operations!BA92+Operations!BA93+Operations!BA94</f>
        <v>34.9099695626066</v>
      </c>
      <c r="BB24" s="13" t="n">
        <f aca="false">Operations!BB90+Operations!BB91+Operations!BB92+Operations!BB93+Operations!BB94</f>
        <v>34.2461818870144</v>
      </c>
      <c r="BC24" s="13" t="n">
        <f aca="false">Operations!BC90+Operations!BC91+Operations!BC92+Operations!BC93+Operations!BC94</f>
        <v>34.6804979267079</v>
      </c>
      <c r="BD24" s="13" t="n">
        <f aca="false">Operations!BD90+Operations!BD91+Operations!BD92+Operations!BD93+Operations!BD94</f>
        <v>34.5535261683125</v>
      </c>
      <c r="BE24" s="13" t="n">
        <f aca="false">Operations!BE90+Operations!BE91+Operations!BE92+Operations!BE93+Operations!BE94</f>
        <v>36.4659564608307</v>
      </c>
      <c r="BF24" s="13" t="n">
        <f aca="false">Operations!BF90+Operations!BF91+Operations!BF92+Operations!BF93+Operations!BF94</f>
        <v>35.851783201756</v>
      </c>
      <c r="BG24" s="13" t="n">
        <f aca="false">Operations!BG90+Operations!BG91+Operations!BG92+Operations!BG93+Operations!BG94</f>
        <v>36.8556353668697</v>
      </c>
      <c r="BH24" s="13" t="n">
        <f aca="false">Operations!BH90+Operations!BH91+Operations!BH92+Operations!BH93+Operations!BH94</f>
        <v>36.4436058216668</v>
      </c>
      <c r="BI24" s="13" t="n">
        <f aca="false">Operations!BI90+Operations!BI91+Operations!BI92+Operations!BI93+Operations!BI94</f>
        <v>37.7031813218419</v>
      </c>
      <c r="BJ24" s="13" t="n">
        <f aca="false">Operations!BJ90+Operations!BJ91+Operations!BJ92+Operations!BJ93+Operations!BJ94</f>
        <v>36.7602418957956</v>
      </c>
      <c r="BK24" s="13" t="n">
        <f aca="false">Operations!BK90+Operations!BK91+Operations!BK92+Operations!BK93+Operations!BK94</f>
        <v>36.7621070457488</v>
      </c>
      <c r="BL24" s="13" t="n">
        <f aca="false">Operations!BL90+Operations!BL91+Operations!BL92+Operations!BL93+Operations!BL94</f>
        <v>36.8575402047224</v>
      </c>
      <c r="BM24" s="13" t="n">
        <f aca="false">Operations!BM90+Operations!BM91+Operations!BM92+Operations!BM93+Operations!BM94</f>
        <v>39.3839734861197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0.0823635171830773</v>
      </c>
      <c r="AN25" s="13" t="n">
        <f aca="false">MAX(0,AN12)</f>
        <v>7.53955591660601</v>
      </c>
      <c r="AO25" s="13" t="n">
        <f aca="false">MAX(0,AO12)</f>
        <v>15.5452350710728</v>
      </c>
      <c r="AP25" s="13" t="n">
        <f aca="false">MAX(0,AP12)</f>
        <v>24.3069512012433</v>
      </c>
      <c r="AQ25" s="13" t="n">
        <f aca="false">MAX(0,AQ12)</f>
        <v>33.7809374904202</v>
      </c>
      <c r="AR25" s="13" t="n">
        <f aca="false">MAX(0,AR12)</f>
        <v>37.6769401215819</v>
      </c>
      <c r="AS25" s="13" t="n">
        <f aca="false">MAX(0,AS12)</f>
        <v>38.728389613347</v>
      </c>
      <c r="AT25" s="13" t="n">
        <f aca="false">MAX(0,AT12)</f>
        <v>39.7798391051121</v>
      </c>
      <c r="AU25" s="13" t="n">
        <f aca="false">MAX(0,AU12)</f>
        <v>40.8312885968771</v>
      </c>
      <c r="AV25" s="13" t="n">
        <f aca="false">MAX(0,AV12)</f>
        <v>41.8827380886422</v>
      </c>
      <c r="AW25" s="13" t="n">
        <f aca="false">MAX(0,AW12)</f>
        <v>42.9341875804073</v>
      </c>
      <c r="AX25" s="13" t="n">
        <f aca="false">MAX(0,AX12)</f>
        <v>43.9856370721724</v>
      </c>
      <c r="AY25" s="13" t="n">
        <f aca="false">MAX(0,AY12)</f>
        <v>45.0370865639374</v>
      </c>
      <c r="AZ25" s="13" t="n">
        <f aca="false">MAX(0,AZ12)</f>
        <v>46.0885360557025</v>
      </c>
      <c r="BA25" s="13" t="n">
        <f aca="false">MAX(0,BA12)</f>
        <v>47.1399855474676</v>
      </c>
      <c r="BB25" s="13" t="n">
        <f aca="false">MAX(0,BB12)</f>
        <v>48.1914350392327</v>
      </c>
      <c r="BC25" s="13" t="n">
        <f aca="false">MAX(0,BC12)</f>
        <v>49.2428845309977</v>
      </c>
      <c r="BD25" s="13" t="n">
        <f aca="false">MAX(0,BD12)</f>
        <v>48.2790558302131</v>
      </c>
      <c r="BE25" s="13" t="n">
        <f aca="false">MAX(0,BE12)</f>
        <v>43.284670744329</v>
      </c>
      <c r="BF25" s="13" t="n">
        <f aca="false">MAX(0,BF12)</f>
        <v>38.2902856584448</v>
      </c>
      <c r="BG25" s="13" t="n">
        <f aca="false">MAX(0,BG12)</f>
        <v>33.2959005725607</v>
      </c>
      <c r="BH25" s="13" t="n">
        <f aca="false">MAX(0,BH12)</f>
        <v>28.3015154866766</v>
      </c>
      <c r="BI25" s="13" t="n">
        <f aca="false">MAX(0,BI12)</f>
        <v>23.3071304007925</v>
      </c>
      <c r="BJ25" s="13" t="n">
        <f aca="false">MAX(0,BJ12)</f>
        <v>18.3127453149084</v>
      </c>
      <c r="BK25" s="13" t="n">
        <f aca="false">MAX(0,BK12)</f>
        <v>13.3183602290243</v>
      </c>
      <c r="BL25" s="13" t="n">
        <f aca="false">MAX(0,BL12)</f>
        <v>8.32397514314016</v>
      </c>
      <c r="BM25" s="13" t="n">
        <f aca="false">MAX(0,BM12)</f>
        <v>3.32959005725603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7.28675621485468</v>
      </c>
      <c r="K26" s="13" t="n">
        <f aca="false">SUMIFS(Funding!$J$69:$BJ$69,Construction!$J$12:$BJ$12,"&lt;="&amp;Time!K20)</f>
        <v>12.4658033375371</v>
      </c>
      <c r="L26" s="13" t="n">
        <f aca="false">SUMIFS(Funding!$J$69:$BJ$69,Construction!$J$12:$BJ$12,"&lt;="&amp;Time!L20)</f>
        <v>22.4972681897398</v>
      </c>
      <c r="M26" s="13" t="n">
        <f aca="false">SUMIFS(Funding!$J$69:$BJ$69,Construction!$J$12:$BJ$12,"&lt;="&amp;Time!M20)</f>
        <v>32.8292581787195</v>
      </c>
      <c r="N26" s="13" t="n">
        <f aca="false">SUMIFS(Funding!$J$69:$BJ$69,Construction!$J$12:$BJ$12,"&lt;="&amp;Time!N20)</f>
        <v>38.616739299012</v>
      </c>
      <c r="O26" s="13" t="n">
        <f aca="false">SUMIFS(Funding!$J$69:$BJ$69,Construction!$J$12:$BJ$12,"&lt;="&amp;Time!O20)</f>
        <v>40.4731175637035</v>
      </c>
      <c r="P26" s="13" t="n">
        <f aca="false">SUMIFS(Funding!$J$69:$BJ$69,Construction!$J$12:$BJ$12,"&lt;="&amp;Time!P20)</f>
        <v>46.6523074830545</v>
      </c>
      <c r="Q26" s="13" t="n">
        <f aca="false">SUMIFS(Funding!$J$69:$BJ$69,Construction!$J$12:$BJ$12,"&lt;="&amp;Time!Q20)</f>
        <v>46.6523074830545</v>
      </c>
      <c r="R26" s="13" t="n">
        <f aca="false">SUMIFS(Funding!$J$69:$BJ$69,Construction!$J$12:$BJ$12,"&lt;="&amp;Time!R20)</f>
        <v>46.6523074830545</v>
      </c>
      <c r="S26" s="13" t="n">
        <f aca="false">SUMIFS(Funding!$J$69:$BJ$69,Construction!$J$12:$BJ$12,"&lt;="&amp;Time!S20)</f>
        <v>46.6523074830545</v>
      </c>
      <c r="T26" s="13" t="n">
        <f aca="false">SUMIFS(Funding!$J$69:$BJ$69,Construction!$J$12:$BJ$12,"&lt;="&amp;Time!T20)</f>
        <v>46.6523074830545</v>
      </c>
      <c r="U26" s="13" t="n">
        <f aca="false">SUMIFS(Funding!$J$69:$BJ$69,Construction!$J$12:$BJ$12,"&lt;="&amp;Time!U20)</f>
        <v>46.6523074830545</v>
      </c>
      <c r="V26" s="13" t="n">
        <f aca="false">SUMIFS(Funding!$J$69:$BJ$69,Construction!$J$12:$BJ$12,"&lt;="&amp;Time!V20)</f>
        <v>46.6523074830545</v>
      </c>
      <c r="W26" s="13" t="n">
        <f aca="false">SUMIFS(Funding!$J$69:$BJ$69,Construction!$J$12:$BJ$12,"&lt;="&amp;Time!W20)</f>
        <v>46.6523074830545</v>
      </c>
      <c r="X26" s="13" t="n">
        <f aca="false">SUMIFS(Funding!$J$69:$BJ$69,Construction!$J$12:$BJ$12,"&lt;="&amp;Time!X20)</f>
        <v>46.6523074830545</v>
      </c>
      <c r="Y26" s="13" t="n">
        <f aca="false">SUMIFS(Funding!$J$69:$BJ$69,Construction!$J$12:$BJ$12,"&lt;="&amp;Time!Y20)</f>
        <v>46.6523074830545</v>
      </c>
      <c r="Z26" s="13" t="n">
        <f aca="false">SUMIFS(Funding!$J$69:$BJ$69,Construction!$J$12:$BJ$12,"&lt;="&amp;Time!Z20)</f>
        <v>46.6523074830545</v>
      </c>
      <c r="AA26" s="13" t="n">
        <f aca="false">SUMIFS(Funding!$J$69:$BJ$69,Construction!$J$12:$BJ$12,"&lt;="&amp;Time!AA20)</f>
        <v>46.6523074830545</v>
      </c>
      <c r="AB26" s="13" t="n">
        <f aca="false">SUMIFS(Funding!$J$69:$BJ$69,Construction!$J$12:$BJ$12,"&lt;="&amp;Time!AB20)</f>
        <v>46.6523074830545</v>
      </c>
      <c r="AC26" s="13" t="n">
        <f aca="false">SUMIFS(Funding!$J$69:$BJ$69,Construction!$J$12:$BJ$12,"&lt;="&amp;Time!AC20)</f>
        <v>46.6523074830545</v>
      </c>
      <c r="AD26" s="13" t="n">
        <f aca="false">SUMIFS(Funding!$J$69:$BJ$69,Construction!$J$12:$BJ$12,"&lt;="&amp;Time!AD20)</f>
        <v>46.6523074830545</v>
      </c>
      <c r="AE26" s="13" t="n">
        <f aca="false">SUMIFS(Funding!$J$69:$BJ$69,Construction!$J$12:$BJ$12,"&lt;="&amp;Time!AE20)</f>
        <v>46.6523074830545</v>
      </c>
      <c r="AF26" s="13" t="n">
        <f aca="false">SUMIFS(Funding!$J$69:$BJ$69,Construction!$J$12:$BJ$12,"&lt;="&amp;Time!AF20)</f>
        <v>46.6523074830545</v>
      </c>
      <c r="AG26" s="13" t="n">
        <f aca="false">SUMIFS(Funding!$J$69:$BJ$69,Construction!$J$12:$BJ$12,"&lt;="&amp;Time!AG20)</f>
        <v>46.6523074830545</v>
      </c>
      <c r="AH26" s="13" t="n">
        <f aca="false">SUMIFS(Funding!$J$69:$BJ$69,Construction!$J$12:$BJ$12,"&lt;="&amp;Time!AH20)</f>
        <v>46.6523074830545</v>
      </c>
      <c r="AI26" s="13" t="n">
        <f aca="false">SUMIFS(Funding!$J$69:$BJ$69,Construction!$J$12:$BJ$12,"&lt;="&amp;Time!AI20)</f>
        <v>46.6523074830545</v>
      </c>
      <c r="AJ26" s="13" t="n">
        <f aca="false">SUMIFS(Funding!$J$69:$BJ$69,Construction!$J$12:$BJ$12,"&lt;="&amp;Time!AJ20)</f>
        <v>46.6523074830545</v>
      </c>
      <c r="AK26" s="13" t="n">
        <f aca="false">SUMIFS(Funding!$J$69:$BJ$69,Construction!$J$12:$BJ$12,"&lt;="&amp;Time!AK20)</f>
        <v>46.6523074830545</v>
      </c>
      <c r="AL26" s="13" t="n">
        <f aca="false">SUMIFS(Funding!$J$69:$BJ$69,Construction!$J$12:$BJ$12,"&lt;="&amp;Time!AL20)</f>
        <v>46.6523074830545</v>
      </c>
      <c r="AM26" s="13" t="n">
        <f aca="false">SUMIFS(Funding!$J$69:$BJ$69,Construction!$J$12:$BJ$12,"&lt;="&amp;Time!AM20)</f>
        <v>46.6523074830545</v>
      </c>
      <c r="AN26" s="13" t="n">
        <f aca="false">SUMIFS(Funding!$J$69:$BJ$69,Construction!$J$12:$BJ$12,"&lt;="&amp;Time!AN20)</f>
        <v>46.6523074830545</v>
      </c>
      <c r="AO26" s="13" t="n">
        <f aca="false">SUMIFS(Funding!$J$69:$BJ$69,Construction!$J$12:$BJ$12,"&lt;="&amp;Time!AO20)</f>
        <v>46.6523074830545</v>
      </c>
      <c r="AP26" s="13" t="n">
        <f aca="false">SUMIFS(Funding!$J$69:$BJ$69,Construction!$J$12:$BJ$12,"&lt;="&amp;Time!AP20)</f>
        <v>46.6523074830545</v>
      </c>
      <c r="AQ26" s="13" t="n">
        <f aca="false">SUMIFS(Funding!$J$69:$BJ$69,Construction!$J$12:$BJ$12,"&lt;="&amp;Time!AQ20)</f>
        <v>46.6523074830545</v>
      </c>
      <c r="AR26" s="13" t="n">
        <f aca="false">SUMIFS(Funding!$J$69:$BJ$69,Construction!$J$12:$BJ$12,"&lt;="&amp;Time!AR20)</f>
        <v>46.6523074830545</v>
      </c>
      <c r="AS26" s="13" t="n">
        <f aca="false">SUMIFS(Funding!$J$69:$BJ$69,Construction!$J$12:$BJ$12,"&lt;="&amp;Time!AS20)</f>
        <v>46.6523074830545</v>
      </c>
      <c r="AT26" s="13" t="n">
        <f aca="false">SUMIFS(Funding!$J$69:$BJ$69,Construction!$J$12:$BJ$12,"&lt;="&amp;Time!AT20)</f>
        <v>46.6523074830545</v>
      </c>
      <c r="AU26" s="13" t="n">
        <f aca="false">SUMIFS(Funding!$J$69:$BJ$69,Construction!$J$12:$BJ$12,"&lt;="&amp;Time!AU20)</f>
        <v>46.6523074830545</v>
      </c>
      <c r="AV26" s="13" t="n">
        <f aca="false">SUMIFS(Funding!$J$69:$BJ$69,Construction!$J$12:$BJ$12,"&lt;="&amp;Time!AV20)</f>
        <v>46.6523074830545</v>
      </c>
      <c r="AW26" s="13" t="n">
        <f aca="false">SUMIFS(Funding!$J$69:$BJ$69,Construction!$J$12:$BJ$12,"&lt;="&amp;Time!AW20)</f>
        <v>46.6523074830545</v>
      </c>
      <c r="AX26" s="13" t="n">
        <f aca="false">SUMIFS(Funding!$J$69:$BJ$69,Construction!$J$12:$BJ$12,"&lt;="&amp;Time!AX20)</f>
        <v>46.6523074830545</v>
      </c>
      <c r="AY26" s="13" t="n">
        <f aca="false">SUMIFS(Funding!$J$69:$BJ$69,Construction!$J$12:$BJ$12,"&lt;="&amp;Time!AY20)</f>
        <v>46.6523074830545</v>
      </c>
      <c r="AZ26" s="13" t="n">
        <f aca="false">SUMIFS(Funding!$J$69:$BJ$69,Construction!$J$12:$BJ$12,"&lt;="&amp;Time!AZ20)</f>
        <v>46.6523074830545</v>
      </c>
      <c r="BA26" s="13" t="n">
        <f aca="false">SUMIFS(Funding!$J$69:$BJ$69,Construction!$J$12:$BJ$12,"&lt;="&amp;Time!BA20)</f>
        <v>46.6523074830545</v>
      </c>
      <c r="BB26" s="13" t="n">
        <f aca="false">SUMIFS(Funding!$J$69:$BJ$69,Construction!$J$12:$BJ$12,"&lt;="&amp;Time!BB20)</f>
        <v>46.6523074830545</v>
      </c>
      <c r="BC26" s="13" t="n">
        <f aca="false">SUMIFS(Funding!$J$69:$BJ$69,Construction!$J$12:$BJ$12,"&lt;="&amp;Time!BC20)</f>
        <v>46.6523074830545</v>
      </c>
      <c r="BD26" s="13" t="n">
        <f aca="false">SUMIFS(Funding!$J$69:$BJ$69,Construction!$J$12:$BJ$12,"&lt;="&amp;Time!BD20)</f>
        <v>46.6523074830545</v>
      </c>
      <c r="BE26" s="13" t="n">
        <f aca="false">SUMIFS(Funding!$J$69:$BJ$69,Construction!$J$12:$BJ$12,"&lt;="&amp;Time!BE20)</f>
        <v>46.6523074830545</v>
      </c>
      <c r="BF26" s="13" t="n">
        <f aca="false">SUMIFS(Funding!$J$69:$BJ$69,Construction!$J$12:$BJ$12,"&lt;="&amp;Time!BF20)</f>
        <v>46.6523074830545</v>
      </c>
      <c r="BG26" s="13" t="n">
        <f aca="false">SUMIFS(Funding!$J$69:$BJ$69,Construction!$J$12:$BJ$12,"&lt;="&amp;Time!BG20)</f>
        <v>46.6523074830545</v>
      </c>
      <c r="BH26" s="13" t="n">
        <f aca="false">SUMIFS(Funding!$J$69:$BJ$69,Construction!$J$12:$BJ$12,"&lt;="&amp;Time!BH20)</f>
        <v>46.6523074830545</v>
      </c>
      <c r="BI26" s="13" t="n">
        <f aca="false">SUMIFS(Funding!$J$69:$BJ$69,Construction!$J$12:$BJ$12,"&lt;="&amp;Time!BI20)</f>
        <v>46.6523074830545</v>
      </c>
      <c r="BJ26" s="13" t="n">
        <f aca="false">SUMIFS(Funding!$J$69:$BJ$69,Construction!$J$12:$BJ$12,"&lt;="&amp;Time!BJ20)</f>
        <v>46.6523074830545</v>
      </c>
      <c r="BK26" s="13" t="n">
        <f aca="false">SUMIFS(Funding!$J$69:$BJ$69,Construction!$J$12:$BJ$12,"&lt;="&amp;Time!BK20)</f>
        <v>46.6523074830545</v>
      </c>
      <c r="BL26" s="13" t="n">
        <f aca="false">SUMIFS(Funding!$J$69:$BJ$69,Construction!$J$12:$BJ$12,"&lt;="&amp;Time!BL20)</f>
        <v>46.6523074830545</v>
      </c>
      <c r="BM26" s="13" t="n">
        <f aca="false">SUMIFS(Funding!$J$69:$BJ$69,Construction!$J$12:$BJ$12,"&lt;="&amp;Time!BM20)</f>
        <v>46.6523074830545</v>
      </c>
      <c r="BN26" s="13" t="n">
        <f aca="false">SUMIFS(Funding!$J$69:$BJ$69,Construction!$J$12:$BJ$12,"&lt;="&amp;Time!BN20)</f>
        <v>46.6523074830545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9.33689521142803</v>
      </c>
      <c r="Q27" s="18" t="n">
        <f aca="false">Waterfall!Q43</f>
        <v>15.0534713939594</v>
      </c>
      <c r="R27" s="18" t="n">
        <f aca="false">Waterfall!R43</f>
        <v>21.1424688711377</v>
      </c>
      <c r="S27" s="18" t="n">
        <f aca="false">Waterfall!S43</f>
        <v>28.3803594021633</v>
      </c>
      <c r="T27" s="18" t="n">
        <f aca="false">Waterfall!T43</f>
        <v>35.8880956509282</v>
      </c>
      <c r="U27" s="18" t="n">
        <f aca="false">Waterfall!U43</f>
        <v>44.3898948271493</v>
      </c>
      <c r="V27" s="18" t="n">
        <f aca="false">Waterfall!V43</f>
        <v>53.416797201478</v>
      </c>
      <c r="W27" s="18" t="n">
        <f aca="false">Waterfall!W43</f>
        <v>61.2334940914675</v>
      </c>
      <c r="X27" s="18" t="n">
        <f aca="false">Waterfall!X43</f>
        <v>72.0565077271327</v>
      </c>
      <c r="Y27" s="18" t="n">
        <f aca="false">Waterfall!Y43</f>
        <v>83.5172957287039</v>
      </c>
      <c r="Z27" s="18" t="n">
        <f aca="false">Waterfall!Z43</f>
        <v>92.9158324964448</v>
      </c>
      <c r="AA27" s="18" t="n">
        <f aca="false">Waterfall!AA43</f>
        <v>98.1400805035025</v>
      </c>
      <c r="AB27" s="18" t="n">
        <f aca="false">Waterfall!AB43</f>
        <v>103.727269921281</v>
      </c>
      <c r="AC27" s="18" t="n">
        <f aca="false">Waterfall!AC43</f>
        <v>110.141492500855</v>
      </c>
      <c r="AD27" s="18" t="n">
        <f aca="false">Waterfall!AD43</f>
        <v>117.130964284033</v>
      </c>
      <c r="AE27" s="18" t="n">
        <f aca="false">Waterfall!AE43</f>
        <v>114.879562634996</v>
      </c>
      <c r="AF27" s="18" t="n">
        <f aca="false">Waterfall!AF43</f>
        <v>124.807046228084</v>
      </c>
      <c r="AG27" s="18" t="n">
        <f aca="false">Waterfall!AG43</f>
        <v>134.208557734375</v>
      </c>
      <c r="AH27" s="18" t="n">
        <f aca="false">Waterfall!AH43</f>
        <v>144.336599430629</v>
      </c>
      <c r="AI27" s="18" t="n">
        <f aca="false">Waterfall!AI43</f>
        <v>155.676193286553</v>
      </c>
      <c r="AJ27" s="18" t="n">
        <f aca="false">Waterfall!AJ43</f>
        <v>167.842446960922</v>
      </c>
      <c r="AK27" s="18" t="n">
        <f aca="false">Waterfall!AK43</f>
        <v>181.198988798646</v>
      </c>
      <c r="AL27" s="18" t="n">
        <f aca="false">Waterfall!AL43</f>
        <v>195.642952134841</v>
      </c>
      <c r="AM27" s="18" t="n">
        <f aca="false">Waterfall!AM43</f>
        <v>209.448394054972</v>
      </c>
      <c r="AN27" s="18" t="n">
        <f aca="false">Waterfall!AN43</f>
        <v>226.469009614593</v>
      </c>
      <c r="AO27" s="18" t="n">
        <f aca="false">Waterfall!AO43</f>
        <v>244.766412939597</v>
      </c>
      <c r="AP27" s="18" t="n">
        <f aca="false">Waterfall!AP43</f>
        <v>264.826133096794</v>
      </c>
      <c r="AQ27" s="18" t="n">
        <f aca="false">Waterfall!AQ43</f>
        <v>286.546190510085</v>
      </c>
      <c r="AR27" s="18" t="n">
        <f aca="false">Waterfall!AR43</f>
        <v>310.219944751626</v>
      </c>
      <c r="AS27" s="18" t="n">
        <f aca="false">Waterfall!AS43</f>
        <v>310.804147914931</v>
      </c>
      <c r="AT27" s="18" t="n">
        <f aca="false">Waterfall!AT43</f>
        <v>294.487204424134</v>
      </c>
      <c r="AU27" s="18" t="n">
        <f aca="false">Waterfall!AU43</f>
        <v>261.752425403885</v>
      </c>
      <c r="AV27" s="18" t="n">
        <f aca="false">Waterfall!AV43</f>
        <v>243.227393073244</v>
      </c>
      <c r="AW27" s="18" t="n">
        <f aca="false">Waterfall!AW43</f>
        <v>225.585313653853</v>
      </c>
      <c r="AX27" s="18" t="n">
        <f aca="false">Waterfall!AX43</f>
        <v>207.403209878694</v>
      </c>
      <c r="AY27" s="18" t="n">
        <f aca="false">Waterfall!AY43</f>
        <v>189.765035033526</v>
      </c>
      <c r="AZ27" s="18" t="n">
        <f aca="false">Waterfall!AZ43</f>
        <v>171.58210927967</v>
      </c>
      <c r="BA27" s="18" t="n">
        <f aca="false">Waterfall!BA43</f>
        <v>153.858076911501</v>
      </c>
      <c r="BB27" s="18" t="n">
        <f aca="false">Waterfall!BB43</f>
        <v>136.264266243191</v>
      </c>
      <c r="BC27" s="18" t="n">
        <f aca="false">Waterfall!BC43</f>
        <v>115.978974579348</v>
      </c>
      <c r="BD27" s="18" t="n">
        <f aca="false">Waterfall!BD43</f>
        <v>100.747573725842</v>
      </c>
      <c r="BE27" s="18" t="n">
        <f aca="false">Waterfall!BE43</f>
        <v>92.9442732596344</v>
      </c>
      <c r="BF27" s="18" t="n">
        <f aca="false">Waterfall!BF43</f>
        <v>84.6019519556445</v>
      </c>
      <c r="BG27" s="18" t="n">
        <f aca="false">Waterfall!BG43</f>
        <v>76.8381350234973</v>
      </c>
      <c r="BH27" s="18" t="n">
        <f aca="false">Waterfall!BH43</f>
        <v>68.5291330153061</v>
      </c>
      <c r="BI27" s="18" t="n">
        <f aca="false">Waterfall!BI43</f>
        <v>60.7111618014794</v>
      </c>
      <c r="BJ27" s="18" t="n">
        <f aca="false">Waterfall!BJ43</f>
        <v>52.5302517977407</v>
      </c>
      <c r="BK27" s="18" t="n">
        <f aca="false">Waterfall!BK43</f>
        <v>24.8003693388933</v>
      </c>
      <c r="BL27" s="18" t="n">
        <f aca="false">Waterfall!BL43</f>
        <v>14.0074667733916</v>
      </c>
      <c r="BM27" s="18" t="n">
        <f aca="false">Waterfall!BM43</f>
        <v>3.5328593492106</v>
      </c>
      <c r="BN27" s="18" t="n">
        <f aca="false">Waterfall!BN43</f>
        <v>-46.6523074830546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139.475768496852</v>
      </c>
      <c r="K28" s="13" t="n">
        <f aca="false">K22+K23+K24+K25+K26+K27</f>
        <v>239.763997709497</v>
      </c>
      <c r="L28" s="13" t="n">
        <f aca="false">L22+L23+L24+L25+L26+L27</f>
        <v>433.92182752348</v>
      </c>
      <c r="M28" s="13" t="n">
        <f aca="false">M22+M23+M24+M25+M26+M27</f>
        <v>635.979698280703</v>
      </c>
      <c r="N28" s="13" t="n">
        <f aca="false">N22+N23+N24+N25+N26+N27</f>
        <v>753.607076770396</v>
      </c>
      <c r="O28" s="13" t="n">
        <f aca="false">O22+O23+O24+O25+O26+O27</f>
        <v>797.424566605255</v>
      </c>
      <c r="P28" s="13" t="n">
        <f aca="false">P22+P23+P24+P25+P26+P27</f>
        <v>958.120333236767</v>
      </c>
      <c r="Q28" s="13" t="n">
        <f aca="false">Q22+Q23+Q24+Q25+Q26+Q27</f>
        <v>945.81503771759</v>
      </c>
      <c r="R28" s="13" t="n">
        <f aca="false">R22+R23+R24+R25+R26+R27</f>
        <v>933.040382598894</v>
      </c>
      <c r="S28" s="13" t="n">
        <f aca="false">S22+S23+S24+S25+S26+S27</f>
        <v>922.615942411667</v>
      </c>
      <c r="T28" s="13" t="n">
        <f aca="false">T22+T23+T24+T25+T26+T27</f>
        <v>910.097048213588</v>
      </c>
      <c r="U28" s="13" t="n">
        <f aca="false">U22+U23+U24+U25+U26+U27</f>
        <v>900.083461165867</v>
      </c>
      <c r="V28" s="13" t="n">
        <f aca="false">V22+V23+V24+V25+V26+V27</f>
        <v>887.344267906646</v>
      </c>
      <c r="W28" s="13" t="n">
        <f aca="false">W22+W23+W24+W25+W26+W27</f>
        <v>872.011639429905</v>
      </c>
      <c r="X28" s="13" t="n">
        <f aca="false">X22+X23+X24+X25+X26+X27</f>
        <v>859.069771032759</v>
      </c>
      <c r="Y28" s="13" t="n">
        <f aca="false">Y22+Y23+Y24+Y25+Y26+Y27</f>
        <v>850.822716928146</v>
      </c>
      <c r="Z28" s="13" t="n">
        <f aca="false">Z22+Z23+Z24+Z25+Z26+Z27</f>
        <v>837.159783459232</v>
      </c>
      <c r="AA28" s="13" t="n">
        <f aca="false">AA22+AA23+AA24+AA25+AA26+AA27</f>
        <v>820.735711325892</v>
      </c>
      <c r="AB28" s="13" t="n">
        <f aca="false">AB22+AB23+AB24+AB25+AB26+AB27</f>
        <v>801.501884696606</v>
      </c>
      <c r="AC28" s="13" t="n">
        <f aca="false">AC22+AC23+AC24+AC25+AC26+AC27</f>
        <v>785.054793859482</v>
      </c>
      <c r="AD28" s="13" t="n">
        <f aca="false">AD22+AD23+AD24+AD25+AD26+AD27</f>
        <v>765.011577383687</v>
      </c>
      <c r="AE28" s="13" t="n">
        <f aca="false">AE22+AE23+AE24+AE25+AE26+AE27</f>
        <v>733.931994899819</v>
      </c>
      <c r="AF28" s="13" t="n">
        <f aca="false">AF22+AF23+AF24+AF25+AF26+AF27</f>
        <v>712.763868061241</v>
      </c>
      <c r="AG28" s="13" t="n">
        <f aca="false">AG22+AG23+AG24+AG25+AG26+AG27</f>
        <v>692.992804559867</v>
      </c>
      <c r="AH28" s="13" t="n">
        <f aca="false">AH22+AH23+AH24+AH25+AH26+AH27</f>
        <v>669.205164849754</v>
      </c>
      <c r="AI28" s="13" t="n">
        <f aca="false">AI22+AI23+AI24+AI25+AI26+AI27</f>
        <v>646.941824307781</v>
      </c>
      <c r="AJ28" s="13" t="n">
        <f aca="false">AJ22+AJ23+AJ24+AJ25+AJ26+AJ27</f>
        <v>621.787959749379</v>
      </c>
      <c r="AK28" s="13" t="n">
        <f aca="false">AK22+AK23+AK24+AK25+AK26+AK27</f>
        <v>597.754024249534</v>
      </c>
      <c r="AL28" s="13" t="n">
        <f aca="false">AL22+AL23+AL24+AL25+AL26+AL27</f>
        <v>569.416781495215</v>
      </c>
      <c r="AM28" s="13" t="n">
        <f aca="false">AM22+AM23+AM24+AM25+AM26+AM27</f>
        <v>538.997633849312</v>
      </c>
      <c r="AN28" s="13" t="n">
        <f aca="false">AN22+AN23+AN24+AN25+AN26+AN27</f>
        <v>520.305688770815</v>
      </c>
      <c r="AO28" s="13" t="n">
        <f aca="false">AO22+AO23+AO24+AO25+AO26+AO27</f>
        <v>487.87759941187</v>
      </c>
      <c r="AP28" s="13" t="n">
        <f aca="false">AP22+AP23+AP24+AP25+AP26+AP27</f>
        <v>472.001659528159</v>
      </c>
      <c r="AQ28" s="13" t="n">
        <f aca="false">AQ22+AQ23+AQ24+AQ25+AQ26+AQ27</f>
        <v>458.039047448588</v>
      </c>
      <c r="AR28" s="13" t="n">
        <f aca="false">AR22+AR23+AR24+AR25+AR26+AR27</f>
        <v>442.33545753985</v>
      </c>
      <c r="AS28" s="13" t="n">
        <f aca="false">AS22+AS23+AS24+AS25+AS26+AS27</f>
        <v>428.508648770195</v>
      </c>
      <c r="AT28" s="13" t="n">
        <f aca="false">AT22+AT23+AT24+AT25+AT26+AT27</f>
        <v>412.436512860882</v>
      </c>
      <c r="AU28" s="13" t="n">
        <f aca="false">AU22+AU23+AU24+AU25+AU26+AU27</f>
        <v>380.756191818089</v>
      </c>
      <c r="AV28" s="13" t="n">
        <f aca="false">AV22+AV23+AV24+AV25+AV26+AV27</f>
        <v>363.364261890963</v>
      </c>
      <c r="AW28" s="13" t="n">
        <f aca="false">AW22+AW23+AW24+AW25+AW26+AW27</f>
        <v>348.936033327588</v>
      </c>
      <c r="AX28" s="13" t="n">
        <f aca="false">AX22+AX23+AX24+AX25+AX26+AX27</f>
        <v>331.237309564987</v>
      </c>
      <c r="AY28" s="13" t="n">
        <f aca="false">AY22+AY23+AY24+AY25+AY26+AY27</f>
        <v>315.579789730044</v>
      </c>
      <c r="AZ28" s="13" t="n">
        <f aca="false">AZ22+AZ23+AZ24+AZ25+AZ26+AZ27</f>
        <v>298.067179886155</v>
      </c>
      <c r="BA28" s="13" t="n">
        <f aca="false">BA22+BA23+BA24+BA25+BA26+BA27</f>
        <v>282.56033950463</v>
      </c>
      <c r="BB28" s="13" t="n">
        <f aca="false">BB22+BB23+BB24+BB25+BB26+BB27</f>
        <v>265.354190652492</v>
      </c>
      <c r="BC28" s="13" t="n">
        <f aca="false">BC22+BC23+BC24+BC25+BC26+BC27</f>
        <v>246.554664520109</v>
      </c>
      <c r="BD28" s="13" t="n">
        <f aca="false">BD22+BD23+BD24+BD25+BD26+BD27</f>
        <v>230.232463207422</v>
      </c>
      <c r="BE28" s="13" t="n">
        <f aca="false">BE22+BE23+BE24+BE25+BE26+BE27</f>
        <v>219.347207947849</v>
      </c>
      <c r="BF28" s="13" t="n">
        <f aca="false">BF22+BF23+BF24+BF25+BF26+BF27</f>
        <v>205.3963282989</v>
      </c>
      <c r="BG28" s="13" t="n">
        <f aca="false">BG22+BG23+BG24+BG25+BG26+BG27</f>
        <v>193.641978445982</v>
      </c>
      <c r="BH28" s="13" t="n">
        <f aca="false">BH22+BH23+BH24+BH25+BH26+BH27</f>
        <v>179.926561806704</v>
      </c>
      <c r="BI28" s="13" t="n">
        <f aca="false">BI22+BI23+BI24+BI25+BI26+BI27</f>
        <v>168.373781007168</v>
      </c>
      <c r="BJ28" s="13" t="n">
        <f aca="false">BJ22+BJ23+BJ24+BJ25+BJ26+BJ27</f>
        <v>154.255546491499</v>
      </c>
      <c r="BK28" s="13" t="n">
        <f aca="false">BK22+BK23+BK24+BK25+BK26+BK27</f>
        <v>121.533144096721</v>
      </c>
      <c r="BL28" s="13" t="n">
        <f aca="false">BL22+BL23+BL24+BL25+BL26+BL27</f>
        <v>105.841289604309</v>
      </c>
      <c r="BM28" s="13" t="n">
        <f aca="false">BM22+BM23+BM24+BM25+BM26+BM27</f>
        <v>92.8987303756408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2624.63556436736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16.9230614907801</v>
      </c>
      <c r="Q32" s="18" t="n">
        <f aca="false">Operations!Q84</f>
        <v>50.8061314299036</v>
      </c>
      <c r="R32" s="18" t="n">
        <f aca="false">Operations!R84</f>
        <v>50.9867407022095</v>
      </c>
      <c r="S32" s="18" t="n">
        <f aca="false">Operations!S84</f>
        <v>51.1375238480677</v>
      </c>
      <c r="T32" s="18" t="n">
        <f aca="false">Operations!T84</f>
        <v>51.2302003457479</v>
      </c>
      <c r="U32" s="18" t="n">
        <f aca="false">Operations!U84</f>
        <v>51.3107195931088</v>
      </c>
      <c r="V32" s="18" t="n">
        <f aca="false">Operations!V84</f>
        <v>51.4749591800154</v>
      </c>
      <c r="W32" s="18" t="n">
        <f aca="false">Operations!W84</f>
        <v>49.1745518843761</v>
      </c>
      <c r="X32" s="18" t="n">
        <f aca="false">Operations!X84</f>
        <v>51.7571514565107</v>
      </c>
      <c r="Y32" s="18" t="n">
        <f aca="false">Operations!Y84</f>
        <v>51.7591145579287</v>
      </c>
      <c r="Z32" s="18" t="n">
        <f aca="false">Operations!Z84</f>
        <v>51.8895286569547</v>
      </c>
      <c r="AA32" s="18" t="n">
        <f aca="false">Operations!AA84</f>
        <v>52.0395622173936</v>
      </c>
      <c r="AB32" s="18" t="n">
        <f aca="false">Operations!AB84</f>
        <v>52.1400926174002</v>
      </c>
      <c r="AC32" s="18" t="n">
        <f aca="false">Operations!AC84</f>
        <v>52.2256110589363</v>
      </c>
      <c r="AD32" s="18" t="n">
        <f aca="false">Operations!AD84</f>
        <v>52.4420676701167</v>
      </c>
      <c r="AE32" s="18" t="n">
        <f aca="false">Operations!AE84</f>
        <v>39.8390012621901</v>
      </c>
      <c r="AF32" s="18" t="n">
        <f aca="false">Operations!AF84</f>
        <v>52.7875483729684</v>
      </c>
      <c r="AG32" s="18" t="n">
        <f aca="false">Operations!AG84</f>
        <v>52.7109497532263</v>
      </c>
      <c r="AH32" s="18" t="n">
        <f aca="false">Operations!AH84</f>
        <v>52.8533361469062</v>
      </c>
      <c r="AI32" s="18" t="n">
        <f aca="false">Operations!AI84</f>
        <v>53.0160378721272</v>
      </c>
      <c r="AJ32" s="18" t="n">
        <f aca="false">Operations!AJ84</f>
        <v>53.1250885241857</v>
      </c>
      <c r="AK32" s="18" t="n">
        <f aca="false">Operations!AK84</f>
        <v>53.2159019907963</v>
      </c>
      <c r="AL32" s="18" t="n">
        <f aca="false">Operations!AL84</f>
        <v>53.4135405605213</v>
      </c>
      <c r="AM32" s="18" t="n">
        <f aca="false">Operations!AM84</f>
        <v>50.6775901271207</v>
      </c>
      <c r="AN32" s="18" t="n">
        <f aca="false">Operations!AN84</f>
        <v>53.7480550541173</v>
      </c>
      <c r="AO32" s="18" t="n">
        <f aca="false">Operations!AO84</f>
        <v>53.7412711011159</v>
      </c>
      <c r="AP32" s="18" t="n">
        <f aca="false">Operations!AP84</f>
        <v>53.8967192856058</v>
      </c>
      <c r="AQ32" s="18" t="n">
        <f aca="false">Operations!AQ84</f>
        <v>54.0731793538069</v>
      </c>
      <c r="AR32" s="18" t="n">
        <f aca="false">Operations!AR84</f>
        <v>54.1914731500282</v>
      </c>
      <c r="AS32" s="18" t="n">
        <f aca="false">Operations!AS84</f>
        <v>54.2878937341593</v>
      </c>
      <c r="AT32" s="18" t="n">
        <f aca="false">Operations!AT84</f>
        <v>54.5495303603424</v>
      </c>
      <c r="AU32" s="18" t="n">
        <f aca="false">Operations!AU84</f>
        <v>39.6661605187162</v>
      </c>
      <c r="AV32" s="18" t="n">
        <f aca="false">Operations!AV84</f>
        <v>54.9610447661608</v>
      </c>
      <c r="AW32" s="18" t="n">
        <f aca="false">Operations!AW84</f>
        <v>54.8566412582238</v>
      </c>
      <c r="AX32" s="18" t="n">
        <f aca="false">Operations!AX84</f>
        <v>55.0263391695362</v>
      </c>
      <c r="AY32" s="18" t="n">
        <f aca="false">Operations!AY84</f>
        <v>55.2177432105046</v>
      </c>
      <c r="AZ32" s="18" t="n">
        <f aca="false">Operations!AZ84</f>
        <v>55.3460643786843</v>
      </c>
      <c r="BA32" s="18" t="n">
        <f aca="false">Operations!BA84</f>
        <v>55.4484212169618</v>
      </c>
      <c r="BB32" s="18" t="n">
        <f aca="false">Operations!BB84</f>
        <v>55.6860981395695</v>
      </c>
      <c r="BC32" s="18" t="n">
        <f aca="false">Operations!BC84</f>
        <v>52.4320984345962</v>
      </c>
      <c r="BD32" s="18" t="n">
        <f aca="false">Operations!BD84</f>
        <v>56.0826883006257</v>
      </c>
      <c r="BE32" s="18" t="n">
        <f aca="false">Operations!BE84</f>
        <v>56.0641788481495</v>
      </c>
      <c r="BF32" s="18" t="n">
        <f aca="false">Operations!BF84</f>
        <v>56.249421704065</v>
      </c>
      <c r="BG32" s="18" t="n">
        <f aca="false">Operations!BG84</f>
        <v>56.4570592816034</v>
      </c>
      <c r="BH32" s="18" t="n">
        <f aca="false">Operations!BH84</f>
        <v>56.5962585840198</v>
      </c>
      <c r="BI32" s="18" t="n">
        <f aca="false">Operations!BI84</f>
        <v>56.704898666833</v>
      </c>
      <c r="BJ32" s="18" t="n">
        <f aca="false">Operations!BJ84</f>
        <v>57.0208662174089</v>
      </c>
      <c r="BK32" s="18" t="n">
        <f aca="false">Operations!BK84</f>
        <v>39.4244218900238</v>
      </c>
      <c r="BL32" s="18" t="n">
        <f aca="false">Operations!BL84</f>
        <v>57.5110237970095</v>
      </c>
      <c r="BM32" s="18" t="n">
        <f aca="false">Operations!BM84</f>
        <v>57.3716061155998</v>
      </c>
      <c r="BN32" s="18" t="n">
        <f aca="false">Operations!BN84</f>
        <v>19.0883965104018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-283.020181629214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-0.118597771671728</v>
      </c>
      <c r="AA33" s="13" t="n">
        <f aca="false">-Tax!AA27</f>
        <v>-0.357162155194092</v>
      </c>
      <c r="AB33" s="13" t="n">
        <f aca="false">-Tax!AB27</f>
        <v>-0.358956600187885</v>
      </c>
      <c r="AC33" s="13" t="n">
        <f aca="false">-Tax!AC27</f>
        <v>-0.360910873094833</v>
      </c>
      <c r="AD33" s="13" t="n">
        <f aca="false">-Tax!AD27</f>
        <v>-0.361810322371713</v>
      </c>
      <c r="AE33" s="13" t="n">
        <f aca="false">-Tax!AE27</f>
        <v>-0.357285847425819</v>
      </c>
      <c r="AF33" s="13" t="n">
        <f aca="false">-Tax!AF27</f>
        <v>-0.364428527304582</v>
      </c>
      <c r="AG33" s="13" t="n">
        <f aca="false">-Tax!AG27</f>
        <v>-0.367807136828651</v>
      </c>
      <c r="AH33" s="13" t="n">
        <f aca="false">-Tax!AH27</f>
        <v>-0.369431194794716</v>
      </c>
      <c r="AI33" s="13" t="n">
        <f aca="false">-Tax!AI27</f>
        <v>-0.370923290384181</v>
      </c>
      <c r="AJ33" s="13" t="n">
        <f aca="false">-Tax!AJ27</f>
        <v>-0.372876973170103</v>
      </c>
      <c r="AK33" s="13" t="n">
        <f aca="false">-Tax!AK27</f>
        <v>-0.375004046052006</v>
      </c>
      <c r="AL33" s="13" t="n">
        <f aca="false">-Tax!AL27</f>
        <v>-0.376309434569326</v>
      </c>
      <c r="AM33" s="13" t="n">
        <f aca="false">-Tax!AM27</f>
        <v>-0.377075756434062</v>
      </c>
      <c r="AN33" s="13" t="n">
        <f aca="false">-Tax!AN27</f>
        <v>-0.379500039032261</v>
      </c>
      <c r="AO33" s="13" t="n">
        <f aca="false">-Tax!AO27</f>
        <v>-0.382514702085066</v>
      </c>
      <c r="AP33" s="13" t="n">
        <f aca="false">-Tax!AP27</f>
        <v>-0.384284146534225</v>
      </c>
      <c r="AQ33" s="13" t="n">
        <f aca="false">-Tax!AQ27</f>
        <v>-0.385910594788791</v>
      </c>
      <c r="AR33" s="13" t="n">
        <f aca="false">-Tax!AR27</f>
        <v>-6.24989204378449</v>
      </c>
      <c r="AS33" s="13" t="n">
        <f aca="false">-Tax!AS27</f>
        <v>-9.74260296517208</v>
      </c>
      <c r="AT33" s="13" t="n">
        <f aca="false">-Tax!AT27</f>
        <v>-10.0561621575123</v>
      </c>
      <c r="AU33" s="13" t="n">
        <f aca="false">-Tax!AU27</f>
        <v>-5.5911512050244</v>
      </c>
      <c r="AV33" s="13" t="n">
        <f aca="false">-Tax!AV27</f>
        <v>-10.1796164792578</v>
      </c>
      <c r="AW33" s="13" t="n">
        <f aca="false">-Tax!AW27</f>
        <v>-10.1482954268767</v>
      </c>
      <c r="AX33" s="13" t="n">
        <f aca="false">-Tax!AX27</f>
        <v>-10.1992048002704</v>
      </c>
      <c r="AY33" s="13" t="n">
        <f aca="false">-Tax!AY27</f>
        <v>-10.2566260125609</v>
      </c>
      <c r="AZ33" s="13" t="n">
        <f aca="false">-Tax!AZ27</f>
        <v>-10.2951223630148</v>
      </c>
      <c r="BA33" s="13" t="n">
        <f aca="false">-Tax!BA27</f>
        <v>-10.3258294144981</v>
      </c>
      <c r="BB33" s="13" t="n">
        <f aca="false">-Tax!BB27</f>
        <v>-10.3971324912804</v>
      </c>
      <c r="BC33" s="13" t="n">
        <f aca="false">-Tax!BC27</f>
        <v>-9.42093257978839</v>
      </c>
      <c r="BD33" s="13" t="n">
        <f aca="false">-Tax!BD27</f>
        <v>-12.531387732147</v>
      </c>
      <c r="BE33" s="13" t="n">
        <f aca="false">-Tax!BE27</f>
        <v>-16.5563912815036</v>
      </c>
      <c r="BF33" s="13" t="n">
        <f aca="false">-Tax!BF27</f>
        <v>-16.6119641382782</v>
      </c>
      <c r="BG33" s="13" t="n">
        <f aca="false">-Tax!BG27</f>
        <v>-16.6742554115397</v>
      </c>
      <c r="BH33" s="13" t="n">
        <f aca="false">-Tax!BH27</f>
        <v>-16.7160152022647</v>
      </c>
      <c r="BI33" s="13" t="n">
        <f aca="false">-Tax!BI27</f>
        <v>-16.7486072271086</v>
      </c>
      <c r="BJ33" s="13" t="n">
        <f aca="false">-Tax!BJ27</f>
        <v>-16.8433974922814</v>
      </c>
      <c r="BK33" s="13" t="n">
        <f aca="false">-Tax!BK27</f>
        <v>-11.5644641940659</v>
      </c>
      <c r="BL33" s="13" t="n">
        <f aca="false">-Tax!BL27</f>
        <v>-16.9904447661616</v>
      </c>
      <c r="BM33" s="13" t="n">
        <f aca="false">-Tax!BM27</f>
        <v>-16.9486194617387</v>
      </c>
      <c r="BN33" s="13" t="n">
        <f aca="false">-Tax!BN27</f>
        <v>-5.55127737115969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-15.0558470459528</v>
      </c>
      <c r="Q34" s="13" t="n">
        <f aca="false">-Operations!Q96+Operations!Q97</f>
        <v>-0.215874161098427</v>
      </c>
      <c r="R34" s="13" t="n">
        <f aca="false">-Operations!R96+Operations!R97</f>
        <v>0.193046604697125</v>
      </c>
      <c r="S34" s="13" t="n">
        <f aca="false">-Operations!S96+Operations!S97</f>
        <v>-0.293382465125317</v>
      </c>
      <c r="T34" s="13" t="n">
        <f aca="false">-Operations!T96+Operations!T97</f>
        <v>0.192871511502885</v>
      </c>
      <c r="U34" s="13" t="n">
        <f aca="false">-Operations!U96+Operations!U97</f>
        <v>-0.217584665499288</v>
      </c>
      <c r="V34" s="13" t="n">
        <f aca="false">-Operations!V96+Operations!V97</f>
        <v>0.115219048827461</v>
      </c>
      <c r="W34" s="13" t="n">
        <f aca="false">-Operations!W96+Operations!W97</f>
        <v>-0.297036550491288</v>
      </c>
      <c r="X34" s="13" t="n">
        <f aca="false">-Operations!X96+Operations!X97</f>
        <v>0.193145345724462</v>
      </c>
      <c r="Y34" s="13" t="n">
        <f aca="false">-Operations!Y96+Operations!Y97</f>
        <v>-0.303795685659312</v>
      </c>
      <c r="Z34" s="13" t="n">
        <f aca="false">-Operations!Z96+Operations!Z97</f>
        <v>0.195187490629834</v>
      </c>
      <c r="AA34" s="13" t="n">
        <f aca="false">-Operations!AA96+Operations!AA97</f>
        <v>-0.303975502398245</v>
      </c>
      <c r="AB34" s="13" t="n">
        <f aca="false">-Operations!AB96+Operations!AB97</f>
        <v>0.195208339099855</v>
      </c>
      <c r="AC34" s="13" t="n">
        <f aca="false">-Operations!AC96+Operations!AC97</f>
        <v>-0.226008786958307</v>
      </c>
      <c r="AD34" s="13" t="n">
        <f aca="false">-Operations!AD96+Operations!AD97</f>
        <v>0.1156252877537</v>
      </c>
      <c r="AE34" s="13" t="n">
        <f aca="false">-Operations!AE96+Operations!AE97</f>
        <v>-0.0724171631649284</v>
      </c>
      <c r="AF34" s="13" t="n">
        <f aca="false">-Operations!AF96+Operations!AF97</f>
        <v>-0.0399420297082536</v>
      </c>
      <c r="AG34" s="13" t="n">
        <f aca="false">-Operations!AG96+Operations!AG97</f>
        <v>-0.315055418581323</v>
      </c>
      <c r="AH34" s="13" t="n">
        <f aca="false">-Operations!AH96+Operations!AH97</f>
        <v>0.197483512766553</v>
      </c>
      <c r="AI34" s="13" t="n">
        <f aca="false">-Operations!AI96+Operations!AI97</f>
        <v>-0.315448805290849</v>
      </c>
      <c r="AJ34" s="13" t="n">
        <f aca="false">-Operations!AJ96+Operations!AJ97</f>
        <v>0.197733087330512</v>
      </c>
      <c r="AK34" s="13" t="n">
        <f aca="false">-Operations!AK96+Operations!AK97</f>
        <v>-0.235096839752455</v>
      </c>
      <c r="AL34" s="13" t="n">
        <f aca="false">-Operations!AL96+Operations!AL97</f>
        <v>0.115068135435106</v>
      </c>
      <c r="AM34" s="13" t="n">
        <f aca="false">-Operations!AM96+Operations!AM97</f>
        <v>-0.320985949729216</v>
      </c>
      <c r="AN34" s="13" t="n">
        <f aca="false">-Operations!AN96+Operations!AN97</f>
        <v>0.198679250008347</v>
      </c>
      <c r="AO34" s="13" t="n">
        <f aca="false">-Operations!AO96+Operations!AO97</f>
        <v>-0.325476772107031</v>
      </c>
      <c r="AP34" s="13" t="n">
        <f aca="false">-Operations!AP96+Operations!AP97</f>
        <v>0.199946173281493</v>
      </c>
      <c r="AQ34" s="13" t="n">
        <f aca="false">-Operations!AQ96+Operations!AQ97</f>
        <v>-0.327876983340101</v>
      </c>
      <c r="AR34" s="13" t="n">
        <f aca="false">-Operations!AR96+Operations!AR97</f>
        <v>0.200461297448854</v>
      </c>
      <c r="AS34" s="13" t="n">
        <f aca="false">-Operations!AS96+Operations!AS97</f>
        <v>-0.244902421072624</v>
      </c>
      <c r="AT34" s="13" t="n">
        <f aca="false">-Operations!AT96+Operations!AT97</f>
        <v>0.114911162445825</v>
      </c>
      <c r="AU34" s="13" t="n">
        <f aca="false">-Operations!AU96+Operations!AU97</f>
        <v>-0.0822808245927966</v>
      </c>
      <c r="AV34" s="13" t="n">
        <f aca="false">-Operations!AV96+Operations!AV97</f>
        <v>-0.0505753572087642</v>
      </c>
      <c r="AW34" s="13" t="n">
        <f aca="false">-Operations!AW96+Operations!AW97</f>
        <v>-0.337436502713789</v>
      </c>
      <c r="AX34" s="13" t="n">
        <f aca="false">-Operations!AX96+Operations!AX97</f>
        <v>0.2025878530551</v>
      </c>
      <c r="AY34" s="13" t="n">
        <f aca="false">-Operations!AY96+Operations!AY97</f>
        <v>-0.341341076936917</v>
      </c>
      <c r="AZ34" s="13" t="n">
        <f aca="false">-Operations!AZ96+Operations!AZ97</f>
        <v>0.203409831752175</v>
      </c>
      <c r="BA34" s="13" t="n">
        <f aca="false">-Operations!BA96+Operations!BA97</f>
        <v>-0.255483553936251</v>
      </c>
      <c r="BB34" s="13" t="n">
        <f aca="false">-Operations!BB96+Operations!BB97</f>
        <v>0.114678164420837</v>
      </c>
      <c r="BC34" s="13" t="n">
        <f aca="false">-Operations!BC96+Operations!BC97</f>
        <v>-0.34929354513644</v>
      </c>
      <c r="BD34" s="13" t="n">
        <f aca="false">-Operations!BD96+Operations!BD97</f>
        <v>0.205246918453305</v>
      </c>
      <c r="BE34" s="13" t="n">
        <f aca="false">-Operations!BE96+Operations!BE97</f>
        <v>-0.350566698187595</v>
      </c>
      <c r="BF34" s="13" t="n">
        <f aca="false">-Operations!BF96+Operations!BF97</f>
        <v>0.205421881211247</v>
      </c>
      <c r="BG34" s="13" t="n">
        <f aca="false">-Operations!BG96+Operations!BG97</f>
        <v>-0.355929119266726</v>
      </c>
      <c r="BH34" s="13" t="n">
        <f aca="false">-Operations!BH96+Operations!BH97</f>
        <v>0.206596988709137</v>
      </c>
      <c r="BI34" s="13" t="n">
        <f aca="false">-Operations!BI96+Operations!BI97</f>
        <v>-0.266903060120537</v>
      </c>
      <c r="BJ34" s="13" t="n">
        <f aca="false">-Operations!BJ96+Operations!BJ97</f>
        <v>0.113758264425687</v>
      </c>
      <c r="BK34" s="13" t="n">
        <f aca="false">-Operations!BK96+Operations!BK97</f>
        <v>-0.0939767124776516</v>
      </c>
      <c r="BL34" s="13" t="n">
        <f aca="false">-Operations!BL96+Operations!BL97</f>
        <v>-0.063166586328304</v>
      </c>
      <c r="BM34" s="13" t="n">
        <f aca="false">-Operations!BM96+Operations!BM97</f>
        <v>-0.363151144429725</v>
      </c>
      <c r="BN34" s="13" t="n">
        <f aca="false">-Operations!BN96+Operations!BN97</f>
        <v>23.6945252782858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-0.420822342824714</v>
      </c>
      <c r="R35" s="13" t="n">
        <f aca="false">Operations!R79-Reserves!R7</f>
        <v>-0.420822342824714</v>
      </c>
      <c r="S35" s="13" t="n">
        <f aca="false">Operations!S79-Reserves!S7</f>
        <v>-0.420822342824714</v>
      </c>
      <c r="T35" s="13" t="n">
        <f aca="false">Operations!T79-Reserves!T7</f>
        <v>-0.420822342824714</v>
      </c>
      <c r="U35" s="13" t="n">
        <f aca="false">Operations!U79-Reserves!U7</f>
        <v>-0.420822342824714</v>
      </c>
      <c r="V35" s="13" t="n">
        <f aca="false">Operations!V79-Reserves!V7</f>
        <v>-0.420822342824714</v>
      </c>
      <c r="W35" s="13" t="n">
        <f aca="false">Operations!W79-Reserves!W7</f>
        <v>2.52493405694828</v>
      </c>
      <c r="X35" s="13" t="n">
        <f aca="false">Operations!X79-Reserves!X7</f>
        <v>0</v>
      </c>
      <c r="Y35" s="13" t="n">
        <f aca="false">Operations!Y79-Reserves!Y7</f>
        <v>-1.99432465577136</v>
      </c>
      <c r="Z35" s="13" t="n">
        <f aca="false">Operations!Z79-Reserves!Z7</f>
        <v>-1.99432465577136</v>
      </c>
      <c r="AA35" s="13" t="n">
        <f aca="false">Operations!AA79-Reserves!AA7</f>
        <v>-1.99432465577136</v>
      </c>
      <c r="AB35" s="13" t="n">
        <f aca="false">Operations!AB79-Reserves!AB7</f>
        <v>-1.99432465577136</v>
      </c>
      <c r="AC35" s="13" t="n">
        <f aca="false">Operations!AC79-Reserves!AC7</f>
        <v>-1.99432465577136</v>
      </c>
      <c r="AD35" s="13" t="n">
        <f aca="false">Operations!AD79-Reserves!AD7</f>
        <v>-1.99432465577136</v>
      </c>
      <c r="AE35" s="13" t="n">
        <f aca="false">Operations!AE79-Reserves!AE7</f>
        <v>11.9659479346282</v>
      </c>
      <c r="AF35" s="13" t="n">
        <f aca="false">Operations!AF79-Reserves!AF7</f>
        <v>0</v>
      </c>
      <c r="AG35" s="13" t="n">
        <f aca="false">Operations!AG79-Reserves!AG7</f>
        <v>-0.500848014271228</v>
      </c>
      <c r="AH35" s="13" t="n">
        <f aca="false">Operations!AH79-Reserves!AH7</f>
        <v>-0.500848014271228</v>
      </c>
      <c r="AI35" s="13" t="n">
        <f aca="false">Operations!AI79-Reserves!AI7</f>
        <v>-0.500848014271228</v>
      </c>
      <c r="AJ35" s="13" t="n">
        <f aca="false">Operations!AJ79-Reserves!AJ7</f>
        <v>-0.500848014271228</v>
      </c>
      <c r="AK35" s="13" t="n">
        <f aca="false">Operations!AK79-Reserves!AK7</f>
        <v>-0.500848014271228</v>
      </c>
      <c r="AL35" s="13" t="n">
        <f aca="false">Operations!AL79-Reserves!AL7</f>
        <v>-0.500848014271228</v>
      </c>
      <c r="AM35" s="13" t="n">
        <f aca="false">Operations!AM79-Reserves!AM7</f>
        <v>3.00508808562737</v>
      </c>
      <c r="AN35" s="13" t="n">
        <f aca="false">Operations!AN79-Reserves!AN7</f>
        <v>0</v>
      </c>
      <c r="AO35" s="13" t="n">
        <f aca="false">Operations!AO79-Reserves!AO7</f>
        <v>-2.37357535949866</v>
      </c>
      <c r="AP35" s="13" t="n">
        <f aca="false">Operations!AP79-Reserves!AP7</f>
        <v>-2.37357535949866</v>
      </c>
      <c r="AQ35" s="13" t="n">
        <f aca="false">Operations!AQ79-Reserves!AQ7</f>
        <v>-2.37357535949866</v>
      </c>
      <c r="AR35" s="13" t="n">
        <f aca="false">Operations!AR79-Reserves!AR7</f>
        <v>-2.37357535949866</v>
      </c>
      <c r="AS35" s="13" t="n">
        <f aca="false">Operations!AS79-Reserves!AS7</f>
        <v>-2.37357535949866</v>
      </c>
      <c r="AT35" s="13" t="n">
        <f aca="false">Operations!AT79-Reserves!AT7</f>
        <v>-2.37357535949866</v>
      </c>
      <c r="AU35" s="13" t="n">
        <f aca="false">Operations!AU79-Reserves!AU7</f>
        <v>14.2414521569919</v>
      </c>
      <c r="AV35" s="13" t="n">
        <f aca="false">Operations!AV79-Reserves!AV7</f>
        <v>0</v>
      </c>
      <c r="AW35" s="13" t="n">
        <f aca="false">Operations!AW79-Reserves!AW7</f>
        <v>-0.596091765745239</v>
      </c>
      <c r="AX35" s="13" t="n">
        <f aca="false">Operations!AX79-Reserves!AX7</f>
        <v>-0.596091765745239</v>
      </c>
      <c r="AY35" s="13" t="n">
        <f aca="false">Operations!AY79-Reserves!AY7</f>
        <v>-0.596091765745239</v>
      </c>
      <c r="AZ35" s="13" t="n">
        <f aca="false">Operations!AZ79-Reserves!AZ7</f>
        <v>-0.596091765745239</v>
      </c>
      <c r="BA35" s="13" t="n">
        <f aca="false">Operations!BA79-Reserves!BA7</f>
        <v>-0.596091765745239</v>
      </c>
      <c r="BB35" s="13" t="n">
        <f aca="false">Operations!BB79-Reserves!BB7</f>
        <v>-0.596091765745239</v>
      </c>
      <c r="BC35" s="13" t="n">
        <f aca="false">Operations!BC79-Reserves!BC7</f>
        <v>3.57655059447143</v>
      </c>
      <c r="BD35" s="13" t="n">
        <f aca="false">Operations!BD79-Reserves!BD7</f>
        <v>0</v>
      </c>
      <c r="BE35" s="13" t="n">
        <f aca="false">Operations!BE79-Reserves!BE7</f>
        <v>-2.8249462648498</v>
      </c>
      <c r="BF35" s="13" t="n">
        <f aca="false">Operations!BF79-Reserves!BF7</f>
        <v>-2.8249462648498</v>
      </c>
      <c r="BG35" s="13" t="n">
        <f aca="false">Operations!BG79-Reserves!BG7</f>
        <v>-2.8249462648498</v>
      </c>
      <c r="BH35" s="13" t="n">
        <f aca="false">Operations!BH79-Reserves!BH7</f>
        <v>-2.8249462648498</v>
      </c>
      <c r="BI35" s="13" t="n">
        <f aca="false">Operations!BI79-Reserves!BI7</f>
        <v>-2.8249462648498</v>
      </c>
      <c r="BJ35" s="13" t="n">
        <f aca="false">Operations!BJ79-Reserves!BJ7</f>
        <v>-2.8249462648498</v>
      </c>
      <c r="BK35" s="13" t="n">
        <f aca="false">Operations!BK79-Reserves!BK7</f>
        <v>16.9496775890988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2346.96538273815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1.86721444482732</v>
      </c>
      <c r="Q36" s="13" t="n">
        <f aca="false">Q32+Q33+Q34+Q35</f>
        <v>50.1694349259804</v>
      </c>
      <c r="R36" s="13" t="n">
        <f aca="false">R32+R33+R34+R35</f>
        <v>50.7589649640819</v>
      </c>
      <c r="S36" s="13" t="n">
        <f aca="false">S32+S33+S34+S35</f>
        <v>50.4233190401177</v>
      </c>
      <c r="T36" s="13" t="n">
        <f aca="false">T32+T33+T34+T35</f>
        <v>51.0022495144261</v>
      </c>
      <c r="U36" s="13" t="n">
        <f aca="false">U32+U33+U34+U35</f>
        <v>50.6723125847848</v>
      </c>
      <c r="V36" s="13" t="n">
        <f aca="false">V32+V33+V34+V35</f>
        <v>51.1693558860182</v>
      </c>
      <c r="W36" s="13" t="n">
        <f aca="false">W32+W33+W34+W35</f>
        <v>51.4024493908331</v>
      </c>
      <c r="X36" s="13" t="n">
        <f aca="false">X32+X33+X34+X35</f>
        <v>51.9502968022351</v>
      </c>
      <c r="Y36" s="13" t="n">
        <f aca="false">Y32+Y33+Y34+Y35</f>
        <v>49.460994216498</v>
      </c>
      <c r="Z36" s="13" t="n">
        <f aca="false">Z32+Z33+Z34+Z35</f>
        <v>49.9717937201414</v>
      </c>
      <c r="AA36" s="13" t="n">
        <f aca="false">AA32+AA33+AA34+AA35</f>
        <v>49.3840999040299</v>
      </c>
      <c r="AB36" s="13" t="n">
        <f aca="false">AB32+AB33+AB34+AB35</f>
        <v>49.9820197005408</v>
      </c>
      <c r="AC36" s="13" t="n">
        <f aca="false">AC32+AC33+AC34+AC35</f>
        <v>49.6443667431118</v>
      </c>
      <c r="AD36" s="13" t="n">
        <f aca="false">AD32+AD33+AD34+AD35</f>
        <v>50.2015579797273</v>
      </c>
      <c r="AE36" s="13" t="n">
        <f aca="false">AE32+AE33+AE34+AE35</f>
        <v>51.3752461862275</v>
      </c>
      <c r="AF36" s="13" t="n">
        <f aca="false">AF32+AF33+AF34+AF35</f>
        <v>52.3831778159556</v>
      </c>
      <c r="AG36" s="13" t="n">
        <f aca="false">AG32+AG33+AG34+AG35</f>
        <v>51.5272391835451</v>
      </c>
      <c r="AH36" s="13" t="n">
        <f aca="false">AH32+AH33+AH34+AH35</f>
        <v>52.1805404506068</v>
      </c>
      <c r="AI36" s="13" t="n">
        <f aca="false">AI32+AI33+AI34+AI35</f>
        <v>51.828817762181</v>
      </c>
      <c r="AJ36" s="13" t="n">
        <f aca="false">AJ32+AJ33+AJ34+AJ35</f>
        <v>52.4490966240749</v>
      </c>
      <c r="AK36" s="13" t="n">
        <f aca="false">AK32+AK33+AK34+AK35</f>
        <v>52.1049530907206</v>
      </c>
      <c r="AL36" s="13" t="n">
        <f aca="false">AL32+AL33+AL34+AL35</f>
        <v>52.6514512471158</v>
      </c>
      <c r="AM36" s="13" t="n">
        <f aca="false">AM32+AM33+AM34+AM35</f>
        <v>52.9846165065847</v>
      </c>
      <c r="AN36" s="13" t="n">
        <f aca="false">AN32+AN33+AN34+AN35</f>
        <v>53.5672342650934</v>
      </c>
      <c r="AO36" s="13" t="n">
        <f aca="false">AO32+AO33+AO34+AO35</f>
        <v>50.6597042674252</v>
      </c>
      <c r="AP36" s="13" t="n">
        <f aca="false">AP32+AP33+AP34+AP35</f>
        <v>51.3388059528544</v>
      </c>
      <c r="AQ36" s="13" t="n">
        <f aca="false">AQ32+AQ33+AQ34+AQ35</f>
        <v>50.9858164161793</v>
      </c>
      <c r="AR36" s="13" t="n">
        <f aca="false">AR32+AR33+AR34+AR35</f>
        <v>45.7684670441939</v>
      </c>
      <c r="AS36" s="13" t="n">
        <f aca="false">AS32+AS33+AS34+AS35</f>
        <v>41.9268129884159</v>
      </c>
      <c r="AT36" s="13" t="n">
        <f aca="false">AT32+AT33+AT34+AT35</f>
        <v>42.2347040057773</v>
      </c>
      <c r="AU36" s="13" t="n">
        <f aca="false">AU32+AU33+AU34+AU35</f>
        <v>48.2341806460909</v>
      </c>
      <c r="AV36" s="13" t="n">
        <f aca="false">AV32+AV33+AV34+AV35</f>
        <v>44.7308529296943</v>
      </c>
      <c r="AW36" s="13" t="n">
        <f aca="false">AW32+AW33+AW34+AW35</f>
        <v>43.7748175628881</v>
      </c>
      <c r="AX36" s="13" t="n">
        <f aca="false">AX32+AX33+AX34+AX35</f>
        <v>44.4336304565757</v>
      </c>
      <c r="AY36" s="13" t="n">
        <f aca="false">AY32+AY33+AY34+AY35</f>
        <v>44.0236843552615</v>
      </c>
      <c r="AZ36" s="13" t="n">
        <f aca="false">AZ32+AZ33+AZ34+AZ35</f>
        <v>44.6582600816764</v>
      </c>
      <c r="BA36" s="13" t="n">
        <f aca="false">BA32+BA33+BA34+BA35</f>
        <v>44.2710164827823</v>
      </c>
      <c r="BB36" s="13" t="n">
        <f aca="false">BB32+BB33+BB34+BB35</f>
        <v>44.8075520469647</v>
      </c>
      <c r="BC36" s="13" t="n">
        <f aca="false">BC32+BC33+BC34+BC35</f>
        <v>46.2384229041428</v>
      </c>
      <c r="BD36" s="13" t="n">
        <f aca="false">BD32+BD33+BD34+BD35</f>
        <v>43.7565474869321</v>
      </c>
      <c r="BE36" s="13" t="n">
        <f aca="false">BE32+BE33+BE34+BE35</f>
        <v>36.3322746036085</v>
      </c>
      <c r="BF36" s="13" t="n">
        <f aca="false">BF32+BF33+BF34+BF35</f>
        <v>37.0179331821482</v>
      </c>
      <c r="BG36" s="13" t="n">
        <f aca="false">BG32+BG33+BG34+BG35</f>
        <v>36.6019284859471</v>
      </c>
      <c r="BH36" s="13" t="n">
        <f aca="false">BH32+BH33+BH34+BH35</f>
        <v>37.2618941056145</v>
      </c>
      <c r="BI36" s="13" t="n">
        <f aca="false">BI32+BI33+BI34+BI35</f>
        <v>36.8644421147541</v>
      </c>
      <c r="BJ36" s="13" t="n">
        <f aca="false">BJ32+BJ33+BJ34+BJ35</f>
        <v>37.4662807247034</v>
      </c>
      <c r="BK36" s="13" t="n">
        <f aca="false">BK32+BK33+BK34+BK35</f>
        <v>44.7156585725791</v>
      </c>
      <c r="BL36" s="13" t="n">
        <f aca="false">BL32+BL33+BL34+BL35</f>
        <v>40.4574124445196</v>
      </c>
      <c r="BM36" s="13" t="n">
        <f aca="false">BM32+BM33+BM34+BM35</f>
        <v>40.0598355094314</v>
      </c>
      <c r="BN36" s="13" t="n">
        <f aca="false">BN32+BN33+BN34+BN35</f>
        <v>37.2316444175279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-880.899814472508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-39.603216907776</v>
      </c>
      <c r="R37" s="13" t="n">
        <f aca="false">-(Debt!R114+Debt!R110)</f>
        <v>-40.102842827001</v>
      </c>
      <c r="S37" s="13" t="n">
        <f aca="false">-(Debt!S114+Debt!S110)</f>
        <v>-39.782965771714</v>
      </c>
      <c r="T37" s="13" t="n">
        <f aca="false">-(Debt!T114+Debt!T110)</f>
        <v>-40.2291987025319</v>
      </c>
      <c r="U37" s="13" t="n">
        <f aca="false">-(Debt!U114+Debt!U110)</f>
        <v>-40.0282463927307</v>
      </c>
      <c r="V37" s="13" t="n">
        <f aca="false">-(Debt!V114+Debt!V110)</f>
        <v>-40.788082011737</v>
      </c>
      <c r="W37" s="13" t="n">
        <f aca="false">-(Debt!W114+Debt!W110)</f>
        <v>-40.4958985741315</v>
      </c>
      <c r="X37" s="13" t="n">
        <f aca="false">-(Debt!X114+Debt!X110)</f>
        <v>-39.3377969613003</v>
      </c>
      <c r="Y37" s="13" t="n">
        <f aca="false">-(Debt!Y114+Debt!Y110)</f>
        <v>-38.9491427645836</v>
      </c>
      <c r="Z37" s="13" t="n">
        <f aca="false">-(Debt!Z114+Debt!Z110)</f>
        <v>-39.2697057994611</v>
      </c>
      <c r="AA37" s="13" t="n">
        <f aca="false">-(Debt!AA114+Debt!AA110)</f>
        <v>-38.9444210897746</v>
      </c>
      <c r="AB37" s="13" t="n">
        <f aca="false">-(Debt!AB114+Debt!AB110)</f>
        <v>-38.9090756650031</v>
      </c>
      <c r="AC37" s="13" t="n">
        <f aca="false">-(Debt!AC114+Debt!AC110)</f>
        <v>-38.137098743905</v>
      </c>
      <c r="AD37" s="13" t="n">
        <f aca="false">-(Debt!AD114+Debt!AD110)</f>
        <v>-38.9668620760463</v>
      </c>
      <c r="AE37" s="13" t="n">
        <f aca="false">-(Debt!AE114+Debt!AE110)</f>
        <v>-38.2974377254564</v>
      </c>
      <c r="AF37" s="13" t="n">
        <f aca="false">-(Debt!AF114+Debt!AF110)</f>
        <v>-37.4928949769641</v>
      </c>
      <c r="AG37" s="13" t="n">
        <f aca="false">-(Debt!AG114+Debt!AG110)</f>
        <v>-36.0288095772625</v>
      </c>
      <c r="AH37" s="13" t="n">
        <f aca="false">-(Debt!AH114+Debt!AH110)</f>
        <v>-35.1472194129403</v>
      </c>
      <c r="AI37" s="13" t="n">
        <f aca="false">-(Debt!AI114+Debt!AI110)</f>
        <v>-33.1990904537234</v>
      </c>
      <c r="AJ37" s="13" t="n">
        <f aca="false">-(Debt!AJ114+Debt!AJ110)</f>
        <v>-31.4403562025123</v>
      </c>
      <c r="AK37" s="13" t="n">
        <f aca="false">-(Debt!AK114+Debt!AK110)</f>
        <v>-28.4117523261328</v>
      </c>
      <c r="AL37" s="13" t="n">
        <f aca="false">-(Debt!AL114+Debt!AL110)</f>
        <v>-24.7850911367375</v>
      </c>
      <c r="AM37" s="13" t="n">
        <f aca="false">-(Debt!AM114+Debt!AM110)</f>
        <v>-23.2121774573697</v>
      </c>
      <c r="AN37" s="13" t="n">
        <f aca="false">-(Debt!AN114+Debt!AN110)</f>
        <v>-20.1003922092362</v>
      </c>
      <c r="AO37" s="13" t="n">
        <f aca="false">-(Debt!AO114+Debt!AO110)</f>
        <v>-19.2400387064762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-92.4315840445423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-4.99136593124933</v>
      </c>
      <c r="AB43" s="13" t="n">
        <f aca="false">-(Waterfall!AB28+Waterfall!AB29)</f>
        <v>-5.8658789008668</v>
      </c>
      <c r="AC43" s="13" t="n">
        <f aca="false">-(Waterfall!AC28+Waterfall!AC29)</f>
        <v>-5.33545246975903</v>
      </c>
      <c r="AD43" s="13" t="n">
        <f aca="false">-(Waterfall!AD28+Waterfall!AD29)</f>
        <v>-5.89598084009812</v>
      </c>
      <c r="AE43" s="13" t="n">
        <f aca="false">-(Waterfall!AE28+Waterfall!AE29)</f>
        <v>-6.84605001270899</v>
      </c>
      <c r="AF43" s="13" t="n">
        <f aca="false">-(Waterfall!AF28+Waterfall!AF29)</f>
        <v>-8.04821189233877</v>
      </c>
      <c r="AG43" s="13" t="n">
        <f aca="false">-(Waterfall!AG28+Waterfall!AG29)</f>
        <v>-8.11248920051779</v>
      </c>
      <c r="AH43" s="13" t="n">
        <f aca="false">-(Waterfall!AH28+Waterfall!AH29)</f>
        <v>-9.30765411368636</v>
      </c>
      <c r="AI43" s="13" t="n">
        <f aca="false">-(Waterfall!AI28+Waterfall!AI29)</f>
        <v>-9.98126104152171</v>
      </c>
      <c r="AJ43" s="13" t="n">
        <f aca="false">-(Waterfall!AJ28+Waterfall!AJ29)</f>
        <v>-11.6207767912926</v>
      </c>
      <c r="AK43" s="13" t="n">
        <f aca="false">-(Waterfall!AK28+Waterfall!AK29)</f>
        <v>-13.0262119972581</v>
      </c>
      <c r="AL43" s="13" t="n">
        <f aca="false">-(Waterfall!AL28+Waterfall!AL29)</f>
        <v>-3.40025085324474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-513.462308773039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-11.9338065438067</v>
      </c>
      <c r="R44" s="13" t="n">
        <f aca="false">-(Waterfall!R34+Waterfall!R35)</f>
        <v>-10.9759991923679</v>
      </c>
      <c r="S44" s="13" t="n">
        <f aca="false">-(Waterfall!S34+Waterfall!S35)</f>
        <v>-10.1941203375857</v>
      </c>
      <c r="T44" s="13" t="n">
        <f aca="false">-(Waterfall!T34+Waterfall!T35)</f>
        <v>-10.9740031216955</v>
      </c>
      <c r="U44" s="13" t="n">
        <f aca="false">-(Waterfall!U34+Waterfall!U35)</f>
        <v>-9.88423057304774</v>
      </c>
      <c r="V44" s="13" t="n">
        <f aca="false">-(Waterfall!V34+Waterfall!V35)</f>
        <v>-10.6734573118867</v>
      </c>
      <c r="W44" s="13" t="n">
        <f aca="false">-(Waterfall!W34+Waterfall!W35)</f>
        <v>-12.0646524295327</v>
      </c>
      <c r="X44" s="13" t="n">
        <f aca="false">-(Waterfall!X34+Waterfall!X35)</f>
        <v>-13.0011540376515</v>
      </c>
      <c r="Y44" s="13" t="n">
        <f aca="false">-(Waterfall!Y34+Waterfall!Y35)</f>
        <v>-10.1912884170369</v>
      </c>
      <c r="Z44" s="13" t="n">
        <f aca="false">-(Waterfall!Z34+Waterfall!Z35)</f>
        <v>-11.0273726303668</v>
      </c>
      <c r="AA44" s="13" t="n">
        <f aca="false">-(Waterfall!AA34+Waterfall!AA35)</f>
        <v>-4.99136593124933</v>
      </c>
      <c r="AB44" s="13" t="n">
        <f aca="false">-(Waterfall!AB34+Waterfall!AB35)</f>
        <v>-5.8658789008668</v>
      </c>
      <c r="AC44" s="13" t="n">
        <f aca="false">-(Waterfall!AC34+Waterfall!AC35)</f>
        <v>-5.33545246975903</v>
      </c>
      <c r="AD44" s="13" t="n">
        <f aca="false">-(Waterfall!AD34+Waterfall!AD35)</f>
        <v>-5.89598084009812</v>
      </c>
      <c r="AE44" s="13" t="n">
        <f aca="false">-(Waterfall!AE34+Waterfall!AE35)</f>
        <v>-6.84605001270899</v>
      </c>
      <c r="AF44" s="13" t="n">
        <f aca="false">-(Waterfall!AF34+Waterfall!AF35)</f>
        <v>-8.04821189233877</v>
      </c>
      <c r="AG44" s="13" t="n">
        <f aca="false">-(Waterfall!AG34+Waterfall!AG35)</f>
        <v>-8.11248920051779</v>
      </c>
      <c r="AH44" s="13" t="n">
        <f aca="false">-(Waterfall!AH34+Waterfall!AH35)</f>
        <v>-9.30765411368636</v>
      </c>
      <c r="AI44" s="13" t="n">
        <f aca="false">-(Waterfall!AI34+Waterfall!AI35)</f>
        <v>-9.98126104152171</v>
      </c>
      <c r="AJ44" s="13" t="n">
        <f aca="false">-(Waterfall!AJ34+Waterfall!AJ35)</f>
        <v>-11.6207767912926</v>
      </c>
      <c r="AK44" s="13" t="n">
        <f aca="false">-(Waterfall!AK34+Waterfall!AK35)</f>
        <v>-13.0262119972581</v>
      </c>
      <c r="AL44" s="13" t="n">
        <f aca="false">-(Waterfall!AL34+Waterfall!AL35)</f>
        <v>-28.7455825741267</v>
      </c>
      <c r="AM44" s="13" t="n">
        <f aca="false">-(Waterfall!AM34+Waterfall!AM35)</f>
        <v>-34.3604254211656</v>
      </c>
      <c r="AN44" s="13" t="n">
        <f aca="false">-(Waterfall!AN34+Waterfall!AN35)</f>
        <v>-34.3271955586172</v>
      </c>
      <c r="AO44" s="13" t="n">
        <f aca="false">-(Waterfall!AO34+Waterfall!AO35)</f>
        <v>-50.6597042674252</v>
      </c>
      <c r="AP44" s="13" t="n">
        <f aca="false">-(Waterfall!AP34+Waterfall!AP35)</f>
        <v>-51.3388059528544</v>
      </c>
      <c r="AQ44" s="13" t="n">
        <f aca="false">-(Waterfall!AQ34+Waterfall!AQ35)</f>
        <v>-50.9858164161793</v>
      </c>
      <c r="AR44" s="13" t="n">
        <f aca="false">-(Waterfall!AR34+Waterfall!AR35)</f>
        <v>-45.7684670441939</v>
      </c>
      <c r="AS44" s="13" t="n">
        <f aca="false">-(Waterfall!AS34+Waterfall!AS35)</f>
        <v>-17.3248937522005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-899.774892355835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-24.6019192362154</v>
      </c>
      <c r="AT45" s="13" t="n">
        <f aca="false">-Waterfall!AT41</f>
        <v>-42.2347040057773</v>
      </c>
      <c r="AU45" s="13" t="n">
        <f aca="false">-Waterfall!AU41</f>
        <v>-48.2341806460909</v>
      </c>
      <c r="AV45" s="13" t="n">
        <f aca="false">-Waterfall!AV41</f>
        <v>-44.7308529296943</v>
      </c>
      <c r="AW45" s="13" t="n">
        <f aca="false">-Waterfall!AW41</f>
        <v>-43.7748175628881</v>
      </c>
      <c r="AX45" s="13" t="n">
        <f aca="false">-Waterfall!AX41</f>
        <v>-44.4336304565757</v>
      </c>
      <c r="AY45" s="13" t="n">
        <f aca="false">-Waterfall!AY41</f>
        <v>-44.0236843552615</v>
      </c>
      <c r="AZ45" s="13" t="n">
        <f aca="false">-Waterfall!AZ41</f>
        <v>-44.6582600816764</v>
      </c>
      <c r="BA45" s="13" t="n">
        <f aca="false">-Waterfall!BA41</f>
        <v>-44.2710164827823</v>
      </c>
      <c r="BB45" s="13" t="n">
        <f aca="false">-Waterfall!BB41</f>
        <v>-44.3071686287499</v>
      </c>
      <c r="BC45" s="13" t="n">
        <f aca="false">-Waterfall!BC41</f>
        <v>-44.7208498308005</v>
      </c>
      <c r="BD45" s="13" t="n">
        <f aca="false">-Waterfall!BD41</f>
        <v>-42.2223719266855</v>
      </c>
      <c r="BE45" s="13" t="n">
        <f aca="false">-Waterfall!BE41</f>
        <v>-34.7813149226527</v>
      </c>
      <c r="BF45" s="13" t="n">
        <f aca="false">-Waterfall!BF41</f>
        <v>-35.4500057595762</v>
      </c>
      <c r="BG45" s="13" t="n">
        <f aca="false">-Waterfall!BG41</f>
        <v>-35.0168476920103</v>
      </c>
      <c r="BH45" s="13" t="n">
        <f aca="false">-Waterfall!BH41</f>
        <v>-35.6594722797459</v>
      </c>
      <c r="BI45" s="13" t="n">
        <f aca="false">-Waterfall!BI41</f>
        <v>-35.2444895433507</v>
      </c>
      <c r="BJ45" s="13" t="n">
        <f aca="false">-Waterfall!BJ41</f>
        <v>-35.8286056186657</v>
      </c>
      <c r="BK45" s="13" t="n">
        <f aca="false">-Waterfall!BK41</f>
        <v>-43.0600670446048</v>
      </c>
      <c r="BL45" s="13" t="n">
        <f aca="false">-Waterfall!BL41</f>
        <v>-38.7837084861491</v>
      </c>
      <c r="BM45" s="13" t="n">
        <f aca="false">-Waterfall!BM41</f>
        <v>-38.3678209678417</v>
      </c>
      <c r="BN45" s="13" t="n">
        <f aca="false">-Waterfall!BN41</f>
        <v>-55.3691038980403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39.603216907776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39.603216907776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0.420822342824714</v>
      </c>
      <c r="R48" s="13" t="n">
        <f aca="false">Reserves!R7-Operations!R79</f>
        <v>0.420822342824714</v>
      </c>
      <c r="S48" s="13" t="n">
        <f aca="false">Reserves!S7-Operations!S79</f>
        <v>0.420822342824714</v>
      </c>
      <c r="T48" s="13" t="n">
        <f aca="false">Reserves!T7-Operations!T79</f>
        <v>0.420822342824714</v>
      </c>
      <c r="U48" s="13" t="n">
        <f aca="false">Reserves!U7-Operations!U79</f>
        <v>0.420822342824714</v>
      </c>
      <c r="V48" s="13" t="n">
        <f aca="false">Reserves!V7-Operations!V79</f>
        <v>0.420822342824714</v>
      </c>
      <c r="W48" s="13" t="n">
        <f aca="false">Reserves!W7-Operations!W79</f>
        <v>-2.52493405694828</v>
      </c>
      <c r="X48" s="13" t="n">
        <f aca="false">Reserves!X7-Operations!X79</f>
        <v>0</v>
      </c>
      <c r="Y48" s="13" t="n">
        <f aca="false">Reserves!Y7-Operations!Y79</f>
        <v>1.99432465577136</v>
      </c>
      <c r="Z48" s="13" t="n">
        <f aca="false">Reserves!Z7-Operations!Z79</f>
        <v>1.99432465577136</v>
      </c>
      <c r="AA48" s="13" t="n">
        <f aca="false">Reserves!AA7-Operations!AA79</f>
        <v>1.99432465577136</v>
      </c>
      <c r="AB48" s="13" t="n">
        <f aca="false">Reserves!AB7-Operations!AB79</f>
        <v>1.99432465577136</v>
      </c>
      <c r="AC48" s="13" t="n">
        <f aca="false">Reserves!AC7-Operations!AC79</f>
        <v>1.99432465577136</v>
      </c>
      <c r="AD48" s="13" t="n">
        <f aca="false">Reserves!AD7-Operations!AD79</f>
        <v>1.99432465577136</v>
      </c>
      <c r="AE48" s="13" t="n">
        <f aca="false">Reserves!AE7-Operations!AE79</f>
        <v>-11.9659479346282</v>
      </c>
      <c r="AF48" s="13" t="n">
        <f aca="false">Reserves!AF7-Operations!AF79</f>
        <v>0</v>
      </c>
      <c r="AG48" s="13" t="n">
        <f aca="false">Reserves!AG7-Operations!AG79</f>
        <v>0.500848014271228</v>
      </c>
      <c r="AH48" s="13" t="n">
        <f aca="false">Reserves!AH7-Operations!AH79</f>
        <v>0.500848014271228</v>
      </c>
      <c r="AI48" s="13" t="n">
        <f aca="false">Reserves!AI7-Operations!AI79</f>
        <v>0.500848014271228</v>
      </c>
      <c r="AJ48" s="13" t="n">
        <f aca="false">Reserves!AJ7-Operations!AJ79</f>
        <v>0.500848014271228</v>
      </c>
      <c r="AK48" s="13" t="n">
        <f aca="false">Reserves!AK7-Operations!AK79</f>
        <v>0.500848014271228</v>
      </c>
      <c r="AL48" s="13" t="n">
        <f aca="false">Reserves!AL7-Operations!AL79</f>
        <v>0.500848014271228</v>
      </c>
      <c r="AM48" s="13" t="n">
        <f aca="false">Reserves!AM7-Operations!AM79</f>
        <v>-3.00508808562737</v>
      </c>
      <c r="AN48" s="13" t="n">
        <f aca="false">Reserves!AN7-Operations!AN79</f>
        <v>0</v>
      </c>
      <c r="AO48" s="13" t="n">
        <f aca="false">Reserves!AO7-Operations!AO79</f>
        <v>2.37357535949866</v>
      </c>
      <c r="AP48" s="13" t="n">
        <f aca="false">Reserves!AP7-Operations!AP79</f>
        <v>2.37357535949866</v>
      </c>
      <c r="AQ48" s="13" t="n">
        <f aca="false">Reserves!AQ7-Operations!AQ79</f>
        <v>2.37357535949866</v>
      </c>
      <c r="AR48" s="13" t="n">
        <f aca="false">Reserves!AR7-Operations!AR79</f>
        <v>2.37357535949866</v>
      </c>
      <c r="AS48" s="13" t="n">
        <f aca="false">Reserves!AS7-Operations!AS79</f>
        <v>2.37357535949866</v>
      </c>
      <c r="AT48" s="13" t="n">
        <f aca="false">Reserves!AT7-Operations!AT79</f>
        <v>2.37357535949866</v>
      </c>
      <c r="AU48" s="13" t="n">
        <f aca="false">Reserves!AU7-Operations!AU79</f>
        <v>-14.2414521569919</v>
      </c>
      <c r="AV48" s="13" t="n">
        <f aca="false">Reserves!AV7-Operations!AV79</f>
        <v>0</v>
      </c>
      <c r="AW48" s="13" t="n">
        <f aca="false">Reserves!AW7-Operations!AW79</f>
        <v>0.596091765745239</v>
      </c>
      <c r="AX48" s="13" t="n">
        <f aca="false">Reserves!AX7-Operations!AX79</f>
        <v>0.596091765745239</v>
      </c>
      <c r="AY48" s="13" t="n">
        <f aca="false">Reserves!AY7-Operations!AY79</f>
        <v>0.596091765745239</v>
      </c>
      <c r="AZ48" s="13" t="n">
        <f aca="false">Reserves!AZ7-Operations!AZ79</f>
        <v>0.596091765745239</v>
      </c>
      <c r="BA48" s="13" t="n">
        <f aca="false">Reserves!BA7-Operations!BA79</f>
        <v>0.596091765745239</v>
      </c>
      <c r="BB48" s="13" t="n">
        <f aca="false">Reserves!BB7-Operations!BB79</f>
        <v>0.596091765745239</v>
      </c>
      <c r="BC48" s="13" t="n">
        <f aca="false">Reserves!BC7-Operations!BC79</f>
        <v>-3.57655059447143</v>
      </c>
      <c r="BD48" s="13" t="n">
        <f aca="false">Reserves!BD7-Operations!BD79</f>
        <v>0</v>
      </c>
      <c r="BE48" s="13" t="n">
        <f aca="false">Reserves!BE7-Operations!BE79</f>
        <v>2.8249462648498</v>
      </c>
      <c r="BF48" s="13" t="n">
        <f aca="false">Reserves!BF7-Operations!BF79</f>
        <v>2.8249462648498</v>
      </c>
      <c r="BG48" s="13" t="n">
        <f aca="false">Reserves!BG7-Operations!BG79</f>
        <v>2.8249462648498</v>
      </c>
      <c r="BH48" s="13" t="n">
        <f aca="false">Reserves!BH7-Operations!BH79</f>
        <v>2.8249462648498</v>
      </c>
      <c r="BI48" s="13" t="n">
        <f aca="false">Reserves!BI7-Operations!BI79</f>
        <v>2.8249462648498</v>
      </c>
      <c r="BJ48" s="13" t="n">
        <f aca="false">Reserves!BJ7-Operations!BJ79</f>
        <v>2.8249462648498</v>
      </c>
      <c r="BK48" s="13" t="n">
        <f aca="false">Reserves!BK7-Operations!BK79</f>
        <v>-16.9496775890988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0</v>
      </c>
      <c r="P49" s="13" t="n">
        <f aca="false">P36+P37+P38+P39+P40+P41+P42+P43+P44+P45+P46+P47+P48+P53</f>
        <v>41.4704313526033</v>
      </c>
      <c r="Q49" s="13" t="n">
        <f aca="false">Q36+Q37+Q38+Q39+Q40+Q41+Q42+Q43+Q44+Q45+Q46+Q47+Q48+Q53</f>
        <v>-0.94676618277763</v>
      </c>
      <c r="R49" s="13" t="n">
        <f aca="false">R36+R37+R38+R39+R40+R41+R42+R43+R44+R45+R46+R47+R48+R53</f>
        <v>0.100945287537705</v>
      </c>
      <c r="S49" s="13" t="n">
        <f aca="false">S36+S37+S38+S39+S40+S41+S42+S43+S44+S45+S46+S47+S48+S53</f>
        <v>0.867055273642663</v>
      </c>
      <c r="T49" s="13" t="n">
        <f aca="false">T36+T37+T38+T39+T40+T41+T42+T43+T44+T45+T46+T47+T48+T53</f>
        <v>0.219870033023447</v>
      </c>
      <c r="U49" s="13" t="n">
        <f aca="false">U36+U37+U38+U39+U40+U41+U42+U43+U44+U45+U46+U47+U48+U53</f>
        <v>1.18065796183107</v>
      </c>
      <c r="V49" s="13" t="n">
        <f aca="false">V36+V37+V38+V39+V40+V41+V42+V43+V44+V45+V46+V47+V48+V53</f>
        <v>0.128638905219177</v>
      </c>
      <c r="W49" s="13" t="n">
        <f aca="false">W36+W37+W38+W39+W40+W41+W42+W43+W44+W45+W46+W47+W48+W53</f>
        <v>-3.68303566977944</v>
      </c>
      <c r="X49" s="13" t="n">
        <f aca="false">X36+X37+X38+X39+X40+X41+X42+X43+X44+X45+X46+X47+X48+X53</f>
        <v>-0.388654196716722</v>
      </c>
      <c r="Y49" s="13" t="n">
        <f aca="false">Y36+Y37+Y38+Y39+Y40+Y41+Y42+Y43+Y44+Y45+Y46+Y47+Y48+Y53</f>
        <v>2.31488769064882</v>
      </c>
      <c r="Z49" s="13" t="n">
        <f aca="false">Z36+Z37+Z38+Z39+Z40+Z41+Z42+Z43+Z44+Z45+Z46+Z47+Z48+Z53</f>
        <v>1.66903994608488</v>
      </c>
      <c r="AA49" s="13" t="n">
        <f aca="false">AA36+AA37+AA38+AA39+AA40+AA41+AA42+AA43+AA44+AA45+AA46+AA47+AA48+AA53</f>
        <v>2.45127160752808</v>
      </c>
      <c r="AB49" s="13" t="n">
        <f aca="false">AB36+AB37+AB38+AB39+AB40+AB41+AB42+AB43+AB44+AB45+AB46+AB47+AB48+AB53</f>
        <v>1.33551088957548</v>
      </c>
      <c r="AC49" s="13" t="n">
        <f aca="false">AC36+AC37+AC38+AC39+AC40+AC41+AC42+AC43+AC44+AC45+AC46+AC47+AC48+AC53</f>
        <v>2.83068771546012</v>
      </c>
      <c r="AD49" s="13" t="n">
        <f aca="false">AD36+AD37+AD38+AD39+AD40+AD41+AD42+AD43+AD44+AD45+AD46+AD47+AD48+AD53</f>
        <v>1.43705887925615</v>
      </c>
      <c r="AE49" s="13" t="n">
        <f aca="false">AE36+AE37+AE38+AE39+AE40+AE41+AE42+AE43+AE44+AE45+AE46+AE47+AE48+AE53</f>
        <v>-12.580239499275</v>
      </c>
      <c r="AF49" s="13" t="n">
        <f aca="false">AF36+AF37+AF38+AF39+AF40+AF41+AF42+AF43+AF44+AF45+AF46+AF47+AF48+AF53</f>
        <v>-1.20614094568611</v>
      </c>
      <c r="AG49" s="13" t="n">
        <f aca="false">AG36+AG37+AG38+AG39+AG40+AG41+AG42+AG43+AG44+AG45+AG46+AG47+AG48+AG53</f>
        <v>-0.225700780481702</v>
      </c>
      <c r="AH49" s="13" t="n">
        <f aca="false">AH36+AH37+AH38+AH39+AH40+AH41+AH42+AH43+AH44+AH45+AH46+AH47+AH48+AH53</f>
        <v>-1.08113917543498</v>
      </c>
      <c r="AI49" s="13" t="n">
        <f aca="false">AI36+AI37+AI38+AI39+AI40+AI41+AI42+AI43+AI44+AI45+AI46+AI47+AI48+AI53</f>
        <v>-0.831946760314629</v>
      </c>
      <c r="AJ49" s="13" t="n">
        <f aca="false">AJ36+AJ37+AJ38+AJ39+AJ40+AJ41+AJ42+AJ43+AJ44+AJ45+AJ46+AJ47+AJ48+AJ53</f>
        <v>-1.73196514675139</v>
      </c>
      <c r="AK49" s="13" t="n">
        <f aca="false">AK36+AK37+AK38+AK39+AK40+AK41+AK42+AK43+AK44+AK45+AK46+AK47+AK48+AK53</f>
        <v>-1.85837521565716</v>
      </c>
      <c r="AL49" s="13" t="n">
        <f aca="false">AL36+AL37+AL38+AL39+AL40+AL41+AL42+AL43+AL44+AL45+AL46+AL47+AL48+AL53</f>
        <v>-3.77862530272196</v>
      </c>
      <c r="AM49" s="13" t="n">
        <f aca="false">AM36+AM37+AM38+AM39+AM40+AM41+AM42+AM43+AM44+AM45+AM46+AM47+AM48+AM53</f>
        <v>-7.59307445757797</v>
      </c>
      <c r="AN49" s="13" t="n">
        <f aca="false">AN36+AN37+AN38+AN39+AN40+AN41+AN42+AN43+AN44+AN45+AN46+AN47+AN48+AN53</f>
        <v>-0.860353502760034</v>
      </c>
      <c r="AO49" s="13" t="n">
        <f aca="false">AO36+AO37+AO38+AO39+AO40+AO41+AO42+AO43+AO44+AO45+AO46+AO47+AO48+AO53</f>
        <v>-16.8664633469775</v>
      </c>
      <c r="AP49" s="13" t="n">
        <f aca="false">AP36+AP37+AP38+AP39+AP40+AP41+AP42+AP43+AP44+AP45+AP46+AP47+AP48+AP53</f>
        <v>2.37357535949866</v>
      </c>
      <c r="AQ49" s="13" t="n">
        <f aca="false">AQ36+AQ37+AQ38+AQ39+AQ40+AQ41+AQ42+AQ43+AQ44+AQ45+AQ46+AQ47+AQ48+AQ53</f>
        <v>2.37357535949866</v>
      </c>
      <c r="AR49" s="13" t="n">
        <f aca="false">AR36+AR37+AR38+AR39+AR40+AR41+AR42+AR43+AR44+AR45+AR46+AR47+AR48+AR53</f>
        <v>2.37357535949866</v>
      </c>
      <c r="AS49" s="13" t="n">
        <f aca="false">AS36+AS37+AS38+AS39+AS40+AS41+AS42+AS43+AS44+AS45+AS46+AS47+AS48+AS53</f>
        <v>2.37357535949866</v>
      </c>
      <c r="AT49" s="13" t="n">
        <f aca="false">AT36+AT37+AT38+AT39+AT40+AT41+AT42+AT43+AT44+AT45+AT46+AT47+AT48+AT53</f>
        <v>2.37357535949866</v>
      </c>
      <c r="AU49" s="13" t="n">
        <f aca="false">AU36+AU37+AU38+AU39+AU40+AU41+AU42+AU43+AU44+AU45+AU46+AU47+AU48+AU53</f>
        <v>-14.2414521569919</v>
      </c>
      <c r="AV49" s="13" t="n">
        <f aca="false">AV36+AV37+AV38+AV39+AV40+AV41+AV42+AV43+AV44+AV45+AV46+AV47+AV48+AV53</f>
        <v>0</v>
      </c>
      <c r="AW49" s="13" t="n">
        <f aca="false">AW36+AW37+AW38+AW39+AW40+AW41+AW42+AW43+AW44+AW45+AW46+AW47+AW48+AW53</f>
        <v>0.596091765745239</v>
      </c>
      <c r="AX49" s="13" t="n">
        <f aca="false">AX36+AX37+AX38+AX39+AX40+AX41+AX42+AX43+AX44+AX45+AX46+AX47+AX48+AX53</f>
        <v>0.596091765745239</v>
      </c>
      <c r="AY49" s="13" t="n">
        <f aca="false">AY36+AY37+AY38+AY39+AY40+AY41+AY42+AY43+AY44+AY45+AY46+AY47+AY48+AY53</f>
        <v>0.596091765745239</v>
      </c>
      <c r="AZ49" s="13" t="n">
        <f aca="false">AZ36+AZ37+AZ38+AZ39+AZ40+AZ41+AZ42+AZ43+AZ44+AZ45+AZ46+AZ47+AZ48+AZ53</f>
        <v>0.596091765745239</v>
      </c>
      <c r="BA49" s="13" t="n">
        <f aca="false">BA36+BA37+BA38+BA39+BA40+BA41+BA42+BA43+BA44+BA45+BA46+BA47+BA48+BA53</f>
        <v>0.596091765745239</v>
      </c>
      <c r="BB49" s="13" t="n">
        <f aca="false">BB36+BB37+BB38+BB39+BB40+BB41+BB42+BB43+BB44+BB45+BB46+BB47+BB48+BB53</f>
        <v>1.09647518396004</v>
      </c>
      <c r="BC49" s="13" t="n">
        <f aca="false">BC36+BC37+BC38+BC39+BC40+BC41+BC42+BC43+BC44+BC45+BC46+BC47+BC48+BC53</f>
        <v>-2.0589775211292</v>
      </c>
      <c r="BD49" s="13" t="n">
        <f aca="false">BD36+BD37+BD38+BD39+BD40+BD41+BD42+BD43+BD44+BD45+BD46+BD47+BD48+BD53</f>
        <v>1.53417556024659</v>
      </c>
      <c r="BE49" s="13" t="n">
        <f aca="false">BE36+BE37+BE38+BE39+BE40+BE41+BE42+BE43+BE44+BE45+BE46+BE47+BE48+BE53</f>
        <v>4.37590594580556</v>
      </c>
      <c r="BF49" s="13" t="n">
        <f aca="false">BF36+BF37+BF38+BF39+BF40+BF41+BF42+BF43+BF44+BF45+BF46+BF47+BF48+BF53</f>
        <v>4.39287368742181</v>
      </c>
      <c r="BG49" s="13" t="n">
        <f aca="false">BG36+BG37+BG38+BG39+BG40+BG41+BG42+BG43+BG44+BG45+BG46+BG47+BG48+BG53</f>
        <v>4.41002705878659</v>
      </c>
      <c r="BH49" s="13" t="n">
        <f aca="false">BH36+BH37+BH38+BH39+BH40+BH41+BH42+BH43+BH44+BH45+BH46+BH47+BH48+BH53</f>
        <v>4.4273680907184</v>
      </c>
      <c r="BI49" s="13" t="n">
        <f aca="false">BI36+BI37+BI38+BI39+BI40+BI41+BI42+BI43+BI44+BI45+BI46+BI47+BI48+BI53</f>
        <v>4.4448988362532</v>
      </c>
      <c r="BJ49" s="13" t="n">
        <f aca="false">BJ36+BJ37+BJ38+BJ39+BJ40+BJ41+BJ42+BJ43+BJ44+BJ45+BJ46+BJ47+BJ48+BJ53</f>
        <v>4.4626213708875</v>
      </c>
      <c r="BK49" s="13" t="n">
        <f aca="false">BK36+BK37+BK38+BK39+BK40+BK41+BK42+BK43+BK44+BK45+BK46+BK47+BK48+BK53</f>
        <v>-15.2940860611245</v>
      </c>
      <c r="BL49" s="13" t="n">
        <f aca="false">BL36+BL37+BL38+BL39+BL40+BL41+BL42+BL43+BL44+BL45+BL46+BL47+BL48+BL53</f>
        <v>1.67370395837054</v>
      </c>
      <c r="BM49" s="13" t="n">
        <f aca="false">BM36+BM37+BM38+BM39+BM40+BM41+BM42+BM43+BM44+BM45+BM46+BM47+BM48+BM53</f>
        <v>1.69201454158971</v>
      </c>
      <c r="BN49" s="13" t="n">
        <f aca="false">BN36+BN37+BN38+BN39+BN40+BN41+BN42+BN43+BN44+BN45+BN46+BN47+BN48+BN53</f>
        <v>-18.1374594805124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-39.603216907776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0</v>
      </c>
      <c r="Q50" s="13" t="n">
        <f aca="false">Reserves!Q11-Reserves!Q10-Reserves!Q12</f>
        <v>0.499625919224975</v>
      </c>
      <c r="R50" s="13" t="n">
        <f aca="false">Reserves!R11-Reserves!R10-Reserves!R12</f>
        <v>-0.319877055287009</v>
      </c>
      <c r="S50" s="13" t="n">
        <f aca="false">Reserves!S11-Reserves!S10-Reserves!S12</f>
        <v>0.446232930817949</v>
      </c>
      <c r="T50" s="13" t="n">
        <f aca="false">Reserves!T11-Reserves!T10-Reserves!T12</f>
        <v>-0.200952309801266</v>
      </c>
      <c r="U50" s="13" t="n">
        <f aca="false">Reserves!U11-Reserves!U10-Reserves!U12</f>
        <v>0.759835619006353</v>
      </c>
      <c r="V50" s="13" t="n">
        <f aca="false">Reserves!V11-Reserves!V10-Reserves!V12</f>
        <v>-0.292183437605537</v>
      </c>
      <c r="W50" s="13" t="n">
        <f aca="false">Reserves!W11-Reserves!W10-Reserves!W12</f>
        <v>-1.15810161283115</v>
      </c>
      <c r="X50" s="13" t="n">
        <f aca="false">Reserves!X11-Reserves!X10-Reserves!X12</f>
        <v>-0.388654196716722</v>
      </c>
      <c r="Y50" s="13" t="n">
        <f aca="false">Reserves!Y11-Reserves!Y10-Reserves!Y12</f>
        <v>0.320563034877459</v>
      </c>
      <c r="Z50" s="13" t="n">
        <f aca="false">Reserves!Z11-Reserves!Z10-Reserves!Z12</f>
        <v>-0.325284709686486</v>
      </c>
      <c r="AA50" s="13" t="n">
        <f aca="false">Reserves!AA11-Reserves!AA10-Reserves!AA12</f>
        <v>0.456946951756713</v>
      </c>
      <c r="AB50" s="13" t="n">
        <f aca="false">Reserves!AB11-Reserves!AB10-Reserves!AB12</f>
        <v>-0.658813766195884</v>
      </c>
      <c r="AC50" s="13" t="n">
        <f aca="false">Reserves!AC11-Reserves!AC10-Reserves!AC12</f>
        <v>0.836363059688758</v>
      </c>
      <c r="AD50" s="13" t="n">
        <f aca="false">Reserves!AD11-Reserves!AD10-Reserves!AD12</f>
        <v>-0.557265776515209</v>
      </c>
      <c r="AE50" s="13" t="n">
        <f aca="false">Reserves!AE11-Reserves!AE10-Reserves!AE12</f>
        <v>-0.614291564646862</v>
      </c>
      <c r="AF50" s="13" t="n">
        <f aca="false">Reserves!AF11-Reserves!AF10-Reserves!AF12</f>
        <v>-1.20614094568611</v>
      </c>
      <c r="AG50" s="13" t="n">
        <f aca="false">Reserves!AG11-Reserves!AG10-Reserves!AG12</f>
        <v>-0.726548794752929</v>
      </c>
      <c r="AH50" s="13" t="n">
        <f aca="false">Reserves!AH11-Reserves!AH10-Reserves!AH12</f>
        <v>-1.58198718970621</v>
      </c>
      <c r="AI50" s="13" t="n">
        <f aca="false">Reserves!AI11-Reserves!AI10-Reserves!AI12</f>
        <v>-1.33279477458586</v>
      </c>
      <c r="AJ50" s="13" t="n">
        <f aca="false">Reserves!AJ11-Reserves!AJ10-Reserves!AJ12</f>
        <v>-2.23281316102262</v>
      </c>
      <c r="AK50" s="13" t="n">
        <f aca="false">Reserves!AK11-Reserves!AK10-Reserves!AK12</f>
        <v>-2.35922322992839</v>
      </c>
      <c r="AL50" s="13" t="n">
        <f aca="false">Reserves!AL11-Reserves!AL10-Reserves!AL12</f>
        <v>-4.27947331699319</v>
      </c>
      <c r="AM50" s="13" t="n">
        <f aca="false">Reserves!AM11-Reserves!AM10-Reserves!AM12</f>
        <v>-4.5879863719506</v>
      </c>
      <c r="AN50" s="13" t="n">
        <f aca="false">Reserves!AN11-Reserves!AN10-Reserves!AN12</f>
        <v>-0.860353502760034</v>
      </c>
      <c r="AO50" s="13" t="n">
        <f aca="false">Reserves!AO11-Reserves!AO10-Reserves!AO12</f>
        <v>-19.2400387064762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41.4704313526033</v>
      </c>
      <c r="Q51" s="13" t="n">
        <f aca="false">Q17-P17</f>
        <v>-0.946766182777623</v>
      </c>
      <c r="R51" s="13" t="n">
        <f aca="false">R17-Q17</f>
        <v>0.100945287537705</v>
      </c>
      <c r="S51" s="13" t="n">
        <f aca="false">S17-R17</f>
        <v>0.867055273642663</v>
      </c>
      <c r="T51" s="13" t="n">
        <f aca="false">T17-S17</f>
        <v>0.219870033023447</v>
      </c>
      <c r="U51" s="13" t="n">
        <f aca="false">U17-T17</f>
        <v>1.18065796183107</v>
      </c>
      <c r="V51" s="13" t="n">
        <f aca="false">V17-U17</f>
        <v>0.128638905219177</v>
      </c>
      <c r="W51" s="13" t="n">
        <f aca="false">W17-V17</f>
        <v>-3.68303566977944</v>
      </c>
      <c r="X51" s="13" t="n">
        <f aca="false">X17-W17</f>
        <v>-0.388654196716722</v>
      </c>
      <c r="Y51" s="13" t="n">
        <f aca="false">Y17-X17</f>
        <v>2.31488769064882</v>
      </c>
      <c r="Z51" s="13" t="n">
        <f aca="false">Z17-Y17</f>
        <v>1.66903994608487</v>
      </c>
      <c r="AA51" s="13" t="n">
        <f aca="false">AA17-Z17</f>
        <v>2.45127160752808</v>
      </c>
      <c r="AB51" s="13" t="n">
        <f aca="false">AB17-AA17</f>
        <v>1.33551088957548</v>
      </c>
      <c r="AC51" s="13" t="n">
        <f aca="false">AC17-AB17</f>
        <v>2.83068771546012</v>
      </c>
      <c r="AD51" s="13" t="n">
        <f aca="false">AD17-AC17</f>
        <v>1.43705887925616</v>
      </c>
      <c r="AE51" s="13" t="n">
        <f aca="false">AE17-AD17</f>
        <v>-12.580239499275</v>
      </c>
      <c r="AF51" s="13" t="n">
        <f aca="false">AF17-AE17</f>
        <v>-1.20614094568611</v>
      </c>
      <c r="AG51" s="13" t="n">
        <f aca="false">AG17-AF17</f>
        <v>-0.225700780481702</v>
      </c>
      <c r="AH51" s="13" t="n">
        <f aca="false">AH17-AG17</f>
        <v>-1.08113917543498</v>
      </c>
      <c r="AI51" s="13" t="n">
        <f aca="false">AI17-AH17</f>
        <v>-0.831946760314629</v>
      </c>
      <c r="AJ51" s="13" t="n">
        <f aca="false">AJ17-AI17</f>
        <v>-1.73196514675139</v>
      </c>
      <c r="AK51" s="13" t="n">
        <f aca="false">AK17-AJ17</f>
        <v>-1.85837521565716</v>
      </c>
      <c r="AL51" s="13" t="n">
        <f aca="false">AL17-AK17</f>
        <v>-3.77862530272196</v>
      </c>
      <c r="AM51" s="13" t="n">
        <f aca="false">AM17-AL17</f>
        <v>-7.59307445757797</v>
      </c>
      <c r="AN51" s="13" t="n">
        <f aca="false">AN17-AM17</f>
        <v>-0.860353502760034</v>
      </c>
      <c r="AO51" s="13" t="n">
        <f aca="false">AO17-AN17</f>
        <v>-16.8664633469775</v>
      </c>
      <c r="AP51" s="13" t="n">
        <f aca="false">AP17-AO17</f>
        <v>2.37357535949866</v>
      </c>
      <c r="AQ51" s="13" t="n">
        <f aca="false">AQ17-AP17</f>
        <v>2.37357535949866</v>
      </c>
      <c r="AR51" s="13" t="n">
        <f aca="false">AR17-AQ17</f>
        <v>2.37357535949866</v>
      </c>
      <c r="AS51" s="13" t="n">
        <f aca="false">AS17-AR17</f>
        <v>2.37357535949866</v>
      </c>
      <c r="AT51" s="13" t="n">
        <f aca="false">AT17-AS17</f>
        <v>2.37357535949866</v>
      </c>
      <c r="AU51" s="13" t="n">
        <f aca="false">AU17-AT17</f>
        <v>-14.2414521569919</v>
      </c>
      <c r="AV51" s="13" t="n">
        <f aca="false">AV17-AU17</f>
        <v>0</v>
      </c>
      <c r="AW51" s="13" t="n">
        <f aca="false">AW17-AV17</f>
        <v>0.596091765745239</v>
      </c>
      <c r="AX51" s="13" t="n">
        <f aca="false">AX17-AW17</f>
        <v>0.596091765745239</v>
      </c>
      <c r="AY51" s="13" t="n">
        <f aca="false">AY17-AX17</f>
        <v>0.596091765745239</v>
      </c>
      <c r="AZ51" s="13" t="n">
        <f aca="false">AZ17-AY17</f>
        <v>0.596091765745239</v>
      </c>
      <c r="BA51" s="13" t="n">
        <f aca="false">BA17-AZ17</f>
        <v>0.596091765745239</v>
      </c>
      <c r="BB51" s="13" t="n">
        <f aca="false">BB17-BA17</f>
        <v>1.09647518396004</v>
      </c>
      <c r="BC51" s="13" t="n">
        <f aca="false">BC17-BB17</f>
        <v>-2.0589775211292</v>
      </c>
      <c r="BD51" s="13" t="n">
        <f aca="false">BD17-BC17</f>
        <v>1.53417556024659</v>
      </c>
      <c r="BE51" s="13" t="n">
        <f aca="false">BE17-BD17</f>
        <v>4.37590594580557</v>
      </c>
      <c r="BF51" s="13" t="n">
        <f aca="false">BF17-BE17</f>
        <v>4.39287368742181</v>
      </c>
      <c r="BG51" s="13" t="n">
        <f aca="false">BG17-BF17</f>
        <v>4.41002705878659</v>
      </c>
      <c r="BH51" s="13" t="n">
        <f aca="false">BH17-BG17</f>
        <v>4.4273680907184</v>
      </c>
      <c r="BI51" s="13" t="n">
        <f aca="false">BI17-BH17</f>
        <v>4.4448988362532</v>
      </c>
      <c r="BJ51" s="13" t="n">
        <f aca="false">BJ17-BI17</f>
        <v>4.46262137088751</v>
      </c>
      <c r="BK51" s="13" t="n">
        <f aca="false">BK17-BJ17</f>
        <v>-15.2940860611245</v>
      </c>
      <c r="BL51" s="13" t="n">
        <f aca="false">BL17-BK17</f>
        <v>1.67370395837054</v>
      </c>
      <c r="BM51" s="13" t="n">
        <f aca="false">BM17-BL17</f>
        <v>1.69201454158971</v>
      </c>
      <c r="BN51" s="13" t="n">
        <f aca="false">BN17-BM17</f>
        <v>-18.1374594805124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7.105427357601E-015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0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0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0.0340564277134435</v>
      </c>
      <c r="R7" s="16" t="n">
        <f aca="false">IF(Debt!R115&gt;Inputs!$F$253,Debt!R112/Debt!R115,0)</f>
        <v>0.0345118540234653</v>
      </c>
      <c r="S7" s="16" t="n">
        <f aca="false">IF(Debt!S115&gt;Inputs!$F$253,Debt!S112/Debt!S115,0)</f>
        <v>0.034215005478096</v>
      </c>
      <c r="T7" s="16" t="n">
        <f aca="false">IF(Debt!T115&gt;Inputs!$F$253,Debt!T112/Debt!T115,0)</f>
        <v>0.0346706260642942</v>
      </c>
      <c r="U7" s="16" t="n">
        <f aca="false">IF(Debt!U115&gt;Inputs!$F$253,Debt!U112/Debt!U115,0)</f>
        <v>0.0344829428176108</v>
      </c>
      <c r="V7" s="16" t="n">
        <f aca="false">IF(Debt!V115&gt;Inputs!$F$253,Debt!V112/Debt!V115,0)</f>
        <v>0.0348094014385128</v>
      </c>
      <c r="W7" s="16" t="n">
        <f aca="false">IF(Debt!W115&gt;Inputs!$F$253,Debt!W112/Debt!W115,0)</f>
        <v>0.0344841534079663</v>
      </c>
      <c r="X7" s="16" t="n">
        <f aca="false">IF(Debt!X115&gt;Inputs!$F$253,Debt!X112/Debt!X115,0)</f>
        <v>0.0349341996384191</v>
      </c>
      <c r="Y7" s="16" t="n">
        <f aca="false">IF(Debt!Y115&gt;Inputs!$F$253,Debt!Y112/Debt!Y115,0)</f>
        <v>0.0357262765509302</v>
      </c>
      <c r="Z7" s="16" t="n">
        <f aca="false">IF(Debt!Z115&gt;Inputs!$F$253,Debt!Z112/Debt!Z115,0)</f>
        <v>0.0362224705582559</v>
      </c>
      <c r="AA7" s="16" t="n">
        <f aca="false">IF(Debt!AA115&gt;Inputs!$F$253,Debt!AA112/Debt!AA115,0)</f>
        <v>0.0358975555771219</v>
      </c>
      <c r="AB7" s="16" t="n">
        <f aca="false">IF(Debt!AB115&gt;Inputs!$F$253,Debt!AB112/Debt!AB115,0)</f>
        <v>0.0362485197692884</v>
      </c>
      <c r="AC7" s="16" t="n">
        <f aca="false">IF(Debt!AC115&gt;Inputs!$F$253,Debt!AC112/Debt!AC115,0)</f>
        <v>0.0358762960692759</v>
      </c>
      <c r="AD7" s="16" t="n">
        <f aca="false">IF(Debt!AD115&gt;Inputs!$F$253,Debt!AD112/Debt!AD115,0)</f>
        <v>0.0360454880333834</v>
      </c>
      <c r="AE7" s="16" t="n">
        <f aca="false">IF(Debt!AE115&gt;Inputs!$F$253,Debt!AE112/Debt!AE115,0)</f>
        <v>0.0354930798229879</v>
      </c>
      <c r="AF7" s="16" t="n">
        <f aca="false">IF(Debt!AF115&gt;Inputs!$F$253,Debt!AF112/Debt!AF115,0)</f>
        <v>0.0356529897254084</v>
      </c>
      <c r="AG7" s="16" t="n">
        <f aca="false">IF(Debt!AG115&gt;Inputs!$F$253,Debt!AG112/Debt!AG115,0)</f>
        <v>0.0359024212352233</v>
      </c>
      <c r="AH7" s="16" t="n">
        <f aca="false">IF(Debt!AH115&gt;Inputs!$F$253,Debt!AH112/Debt!AH115,0)</f>
        <v>0.0358195741183605</v>
      </c>
      <c r="AI7" s="16" t="n">
        <f aca="false">IF(Debt!AI115&gt;Inputs!$F$253,Debt!AI112/Debt!AI115,0)</f>
        <v>0.0347631711343153</v>
      </c>
      <c r="AJ7" s="16" t="n">
        <f aca="false">IF(Debt!AJ115&gt;Inputs!$F$253,Debt!AJ112/Debt!AJ115,0)</f>
        <v>0.0341241227851869</v>
      </c>
      <c r="AK7" s="16" t="n">
        <f aca="false">IF(Debt!AK115&gt;Inputs!$F$253,Debt!AK112/Debt!AK115,0)</f>
        <v>0.0322840612952229</v>
      </c>
      <c r="AL7" s="16" t="n">
        <f aca="false">IF(Debt!AL115&gt;Inputs!$F$253,Debt!AL112/Debt!AL115,0)</f>
        <v>0.0294909257273581</v>
      </c>
      <c r="AM7" s="16" t="n">
        <f aca="false">IF(Debt!AM115&gt;Inputs!$F$253,Debt!AM112/Debt!AM115,0)</f>
        <v>0.0279812553010426</v>
      </c>
      <c r="AN7" s="16" t="n">
        <f aca="false">IF(Debt!AN115&gt;Inputs!$F$253,Debt!AN112/Debt!AN115,0)</f>
        <v>0.0279379747341077</v>
      </c>
      <c r="AO7" s="16" t="n">
        <f aca="false">IF(Debt!AO115&gt;Inputs!$F$253,Debt!AO112/Debt!AO115,0)</f>
        <v>0.0277513309250718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0.0277513309250718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0.0277513309250718</v>
      </c>
      <c r="K10" s="16" t="n">
        <f aca="false">IF(K7&gt;0,K7,$F$9)</f>
        <v>0.0277513309250718</v>
      </c>
      <c r="L10" s="16" t="n">
        <f aca="false">IF(L7&gt;0,L7,$F$9)</f>
        <v>0.0277513309250718</v>
      </c>
      <c r="M10" s="16" t="n">
        <f aca="false">IF(M7&gt;0,M7,$F$9)</f>
        <v>0.0277513309250718</v>
      </c>
      <c r="N10" s="16" t="n">
        <f aca="false">IF(N7&gt;0,N7,$F$9)</f>
        <v>0.0277513309250718</v>
      </c>
      <c r="O10" s="16" t="n">
        <f aca="false">IF(O7&gt;0,O7,$F$9)</f>
        <v>0.0277513309250718</v>
      </c>
      <c r="P10" s="16" t="n">
        <f aca="false">IF(P7&gt;0,P7,$F$9)</f>
        <v>0.0277513309250718</v>
      </c>
      <c r="Q10" s="16" t="n">
        <f aca="false">IF(Q7&gt;0,Q7,$F$9)</f>
        <v>0.0340564277134435</v>
      </c>
      <c r="R10" s="16" t="n">
        <f aca="false">IF(R7&gt;0,R7,$F$9)</f>
        <v>0.0345118540234653</v>
      </c>
      <c r="S10" s="16" t="n">
        <f aca="false">IF(S7&gt;0,S7,$F$9)</f>
        <v>0.034215005478096</v>
      </c>
      <c r="T10" s="16" t="n">
        <f aca="false">IF(T7&gt;0,T7,$F$9)</f>
        <v>0.0346706260642942</v>
      </c>
      <c r="U10" s="16" t="n">
        <f aca="false">IF(U7&gt;0,U7,$F$9)</f>
        <v>0.0344829428176108</v>
      </c>
      <c r="V10" s="16" t="n">
        <f aca="false">IF(V7&gt;0,V7,$F$9)</f>
        <v>0.0348094014385128</v>
      </c>
      <c r="W10" s="16" t="n">
        <f aca="false">IF(W7&gt;0,W7,$F$9)</f>
        <v>0.0344841534079663</v>
      </c>
      <c r="X10" s="16" t="n">
        <f aca="false">IF(X7&gt;0,X7,$F$9)</f>
        <v>0.0349341996384191</v>
      </c>
      <c r="Y10" s="16" t="n">
        <f aca="false">IF(Y7&gt;0,Y7,$F$9)</f>
        <v>0.0357262765509302</v>
      </c>
      <c r="Z10" s="16" t="n">
        <f aca="false">IF(Z7&gt;0,Z7,$F$9)</f>
        <v>0.0362224705582559</v>
      </c>
      <c r="AA10" s="16" t="n">
        <f aca="false">IF(AA7&gt;0,AA7,$F$9)</f>
        <v>0.0358975555771219</v>
      </c>
      <c r="AB10" s="16" t="n">
        <f aca="false">IF(AB7&gt;0,AB7,$F$9)</f>
        <v>0.0362485197692884</v>
      </c>
      <c r="AC10" s="16" t="n">
        <f aca="false">IF(AC7&gt;0,AC7,$F$9)</f>
        <v>0.0358762960692759</v>
      </c>
      <c r="AD10" s="16" t="n">
        <f aca="false">IF(AD7&gt;0,AD7,$F$9)</f>
        <v>0.0360454880333834</v>
      </c>
      <c r="AE10" s="16" t="n">
        <f aca="false">IF(AE7&gt;0,AE7,$F$9)</f>
        <v>0.0354930798229879</v>
      </c>
      <c r="AF10" s="16" t="n">
        <f aca="false">IF(AF7&gt;0,AF7,$F$9)</f>
        <v>0.0356529897254084</v>
      </c>
      <c r="AG10" s="16" t="n">
        <f aca="false">IF(AG7&gt;0,AG7,$F$9)</f>
        <v>0.0359024212352233</v>
      </c>
      <c r="AH10" s="16" t="n">
        <f aca="false">IF(AH7&gt;0,AH7,$F$9)</f>
        <v>0.0358195741183605</v>
      </c>
      <c r="AI10" s="16" t="n">
        <f aca="false">IF(AI7&gt;0,AI7,$F$9)</f>
        <v>0.0347631711343153</v>
      </c>
      <c r="AJ10" s="16" t="n">
        <f aca="false">IF(AJ7&gt;0,AJ7,$F$9)</f>
        <v>0.0341241227851869</v>
      </c>
      <c r="AK10" s="16" t="n">
        <f aca="false">IF(AK7&gt;0,AK7,$F$9)</f>
        <v>0.0322840612952229</v>
      </c>
      <c r="AL10" s="16" t="n">
        <f aca="false">IF(AL7&gt;0,AL7,$F$9)</f>
        <v>0.0294909257273581</v>
      </c>
      <c r="AM10" s="16" t="n">
        <f aca="false">IF(AM7&gt;0,AM7,$F$9)</f>
        <v>0.0279812553010426</v>
      </c>
      <c r="AN10" s="16" t="n">
        <f aca="false">IF(AN7&gt;0,AN7,$F$9)</f>
        <v>0.0279379747341077</v>
      </c>
      <c r="AO10" s="16" t="n">
        <f aca="false">IF(AO7&gt;0,AO7,$F$9)</f>
        <v>0.0277513309250718</v>
      </c>
      <c r="AP10" s="16" t="n">
        <f aca="false">IF(AP7&gt;0,AP7,$F$9)</f>
        <v>0.0277513309250718</v>
      </c>
      <c r="AQ10" s="16" t="n">
        <f aca="false">IF(AQ7&gt;0,AQ7,$F$9)</f>
        <v>0.0277513309250718</v>
      </c>
      <c r="AR10" s="16" t="n">
        <f aca="false">IF(AR7&gt;0,AR7,$F$9)</f>
        <v>0.0277513309250718</v>
      </c>
      <c r="AS10" s="16" t="n">
        <f aca="false">IF(AS7&gt;0,AS7,$F$9)</f>
        <v>0.0277513309250718</v>
      </c>
      <c r="AT10" s="16" t="n">
        <f aca="false">IF(AT7&gt;0,AT7,$F$9)</f>
        <v>0.0277513309250718</v>
      </c>
      <c r="AU10" s="16" t="n">
        <f aca="false">IF(AU7&gt;0,AU7,$F$9)</f>
        <v>0.0277513309250718</v>
      </c>
      <c r="AV10" s="16" t="n">
        <f aca="false">IF(AV7&gt;0,AV7,$F$9)</f>
        <v>0.0277513309250718</v>
      </c>
      <c r="AW10" s="16" t="n">
        <f aca="false">IF(AW7&gt;0,AW7,$F$9)</f>
        <v>0.0277513309250718</v>
      </c>
      <c r="AX10" s="16" t="n">
        <f aca="false">IF(AX7&gt;0,AX7,$F$9)</f>
        <v>0.0277513309250718</v>
      </c>
      <c r="AY10" s="16" t="n">
        <f aca="false">IF(AY7&gt;0,AY7,$F$9)</f>
        <v>0.0277513309250718</v>
      </c>
      <c r="AZ10" s="16" t="n">
        <f aca="false">IF(AZ7&gt;0,AZ7,$F$9)</f>
        <v>0.0277513309250718</v>
      </c>
      <c r="BA10" s="16" t="n">
        <f aca="false">IF(BA7&gt;0,BA7,$F$9)</f>
        <v>0.0277513309250718</v>
      </c>
      <c r="BB10" s="16" t="n">
        <f aca="false">IF(BB7&gt;0,BB7,$F$9)</f>
        <v>0.0277513309250718</v>
      </c>
      <c r="BC10" s="16" t="n">
        <f aca="false">IF(BC7&gt;0,BC7,$F$9)</f>
        <v>0.0277513309250718</v>
      </c>
      <c r="BD10" s="16" t="n">
        <f aca="false">IF(BD7&gt;0,BD7,$F$9)</f>
        <v>0.0277513309250718</v>
      </c>
      <c r="BE10" s="16" t="n">
        <f aca="false">IF(BE7&gt;0,BE7,$F$9)</f>
        <v>0.0277513309250718</v>
      </c>
      <c r="BF10" s="16" t="n">
        <f aca="false">IF(BF7&gt;0,BF7,$F$9)</f>
        <v>0.0277513309250718</v>
      </c>
      <c r="BG10" s="16" t="n">
        <f aca="false">IF(BG7&gt;0,BG7,$F$9)</f>
        <v>0.0277513309250718</v>
      </c>
      <c r="BH10" s="16" t="n">
        <f aca="false">IF(BH7&gt;0,BH7,$F$9)</f>
        <v>0.0277513309250718</v>
      </c>
      <c r="BI10" s="16" t="n">
        <f aca="false">IF(BI7&gt;0,BI7,$F$9)</f>
        <v>0.0277513309250718</v>
      </c>
      <c r="BJ10" s="16" t="n">
        <f aca="false">IF(BJ7&gt;0,BJ7,$F$9)</f>
        <v>0.0277513309250718</v>
      </c>
      <c r="BK10" s="16" t="n">
        <f aca="false">IF(BK7&gt;0,BK7,$F$9)</f>
        <v>0.0277513309250718</v>
      </c>
      <c r="BL10" s="16" t="n">
        <f aca="false">IF(BL7&gt;0,BL7,$F$9)</f>
        <v>0.0277513309250718</v>
      </c>
      <c r="BM10" s="16" t="n">
        <f aca="false">IF(BM7&gt;0,BM7,$F$9)</f>
        <v>0.0277513309250718</v>
      </c>
      <c r="BN10" s="16" t="n">
        <f aca="false">IF(BN7&gt;0,BN7,$F$9)</f>
        <v>0.0277513309250718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697.401575061385</v>
      </c>
      <c r="K11" s="13" t="n">
        <f aca="false">IF(Time!K20&lt;=$F$8,(Waterfall!K7+L11)/(1+K10),0)</f>
        <v>716.75539695858</v>
      </c>
      <c r="L11" s="13" t="n">
        <f aca="false">IF(Time!L20&lt;=$F$8,(Waterfall!L7+M11)/(1+L10),0)</f>
        <v>736.646313171908</v>
      </c>
      <c r="M11" s="13" t="n">
        <f aca="false">IF(Time!M20&lt;=$F$8,(Waterfall!M7+N11)/(1+M10),0)</f>
        <v>757.089228783476</v>
      </c>
      <c r="N11" s="13" t="n">
        <f aca="false">IF(Time!N20&lt;=$F$8,(Waterfall!N7+O11)/(1+N10),0)</f>
        <v>778.099462511254</v>
      </c>
      <c r="O11" s="13" t="n">
        <f aca="false">IF(Time!O20&lt;=$F$8,(Waterfall!O7+P11)/(1+O10),0)</f>
        <v>799.692758188024</v>
      </c>
      <c r="P11" s="13" t="n">
        <f aca="false">IF(Time!P20&lt;=$F$8,(Waterfall!P7+Q11)/(1+P10),0)</f>
        <v>821.885296558884</v>
      </c>
      <c r="Q11" s="13" t="n">
        <f aca="false">IF(Time!Q20&lt;=$F$8,(Waterfall!Q7+R11)/(1+Q10),0)</f>
        <v>842.826492961313</v>
      </c>
      <c r="R11" s="13" t="n">
        <f aca="false">IF(Time!R20&lt;=$F$8,(Waterfall!R7+S11)/(1+R10),0)</f>
        <v>821.360717567844</v>
      </c>
      <c r="S11" s="13" t="n">
        <f aca="false">IF(Time!S20&lt;=$F$8,(Waterfall!S7+T11)/(1+S10),0)</f>
        <v>798.948433789072</v>
      </c>
      <c r="T11" s="13" t="n">
        <f aca="false">IF(Time!T20&lt;=$F$8,(Waterfall!T7+U11)/(1+T10),0)</f>
        <v>775.861139787764</v>
      </c>
      <c r="U11" s="13" t="n">
        <f aca="false">IF(Time!U20&lt;=$F$8,(Waterfall!U7+V11)/(1+U10),0)</f>
        <v>751.758481728737</v>
      </c>
      <c r="V11" s="13" t="n">
        <f aca="false">IF(Time!V20&lt;=$F$8,(Waterfall!V7+W11)/(1+V10),0)</f>
        <v>727.009013882058</v>
      </c>
      <c r="W11" s="13" t="n">
        <f aca="false">IF(Time!W20&lt;=$F$8,(Waterfall!W7+X11)/(1+W10),0)</f>
        <v>701.146406609678</v>
      </c>
      <c r="X11" s="13" t="n">
        <f aca="false">IF(Time!X20&lt;=$F$8,(Waterfall!X7+Y11)/(1+X10),0)</f>
        <v>673.922397465817</v>
      </c>
      <c r="Y11" s="13" t="n">
        <f aca="false">IF(Time!Y20&lt;=$F$8,(Waterfall!Y7+Z11)/(1+Y10),0)</f>
        <v>645.515040237455</v>
      </c>
      <c r="Z11" s="13" t="n">
        <f aca="false">IF(Time!Z20&lt;=$F$8,(Waterfall!Z7+AA11)/(1+Z10),0)</f>
        <v>619.115894866265</v>
      </c>
      <c r="AA11" s="13" t="n">
        <f aca="false">IF(Time!AA20&lt;=$F$8,(Waterfall!AA7+AB11)/(1+AA10),0)</f>
        <v>591.570008420065</v>
      </c>
      <c r="AB11" s="13" t="n">
        <f aca="false">IF(Time!AB20&lt;=$F$8,(Waterfall!AB7+AC11)/(1+AB10),0)</f>
        <v>563.421825771053</v>
      </c>
      <c r="AC11" s="13" t="n">
        <f aca="false">IF(Time!AC20&lt;=$F$8,(Waterfall!AC7+AD11)/(1+AC10),0)</f>
        <v>533.863013260422</v>
      </c>
      <c r="AD11" s="13" t="n">
        <f aca="false">IF(Time!AD20&lt;=$F$8,(Waterfall!AD7+AE11)/(1+AD10),0)</f>
        <v>503.371674041477</v>
      </c>
      <c r="AE11" s="13" t="n">
        <f aca="false">IF(Time!AE20&lt;=$F$8,(Waterfall!AE7+AF11)/(1+AE10),0)</f>
        <v>471.314393714756</v>
      </c>
      <c r="AF11" s="13" t="n">
        <f aca="false">IF(Time!AF20&lt;=$F$8,(Waterfall!AF7+AG11)/(1+AF10),0)</f>
        <v>436.66754692637</v>
      </c>
      <c r="AG11" s="13" t="n">
        <f aca="false">IF(Time!AG20&lt;=$F$8,(Waterfall!AG7+AH11)/(1+AG10),0)</f>
        <v>399.852872674399</v>
      </c>
      <c r="AH11" s="13" t="n">
        <f aca="false">IF(Time!AH20&lt;=$F$8,(Waterfall!AH7+AI11)/(1+AH10),0)</f>
        <v>362.681319757724</v>
      </c>
      <c r="AI11" s="13" t="n">
        <f aca="false">IF(Time!AI20&lt;=$F$8,(Waterfall!AI7+AJ11)/(1+AI10),0)</f>
        <v>323.491869721524</v>
      </c>
      <c r="AJ11" s="13" t="n">
        <f aca="false">IF(Time!AJ20&lt;=$F$8,(Waterfall!AJ7+AK11)/(1+AJ10),0)</f>
        <v>282.908655187032</v>
      </c>
      <c r="AK11" s="13" t="n">
        <f aca="false">IF(Time!AK20&lt;=$F$8,(Waterfall!AK7+AL11)/(1+AK10),0)</f>
        <v>240.113568249552</v>
      </c>
      <c r="AL11" s="13" t="n">
        <f aca="false">IF(Time!AL20&lt;=$F$8,(Waterfall!AL7+AM11)/(1+AL10),0)</f>
        <v>195.760456314014</v>
      </c>
      <c r="AM11" s="13" t="n">
        <f aca="false">IF(Time!AM20&lt;=$F$8,(Waterfall!AM7+AN11)/(1+AM10),0)</f>
        <v>148.882162144409</v>
      </c>
      <c r="AN11" s="13" t="n">
        <f aca="false">IF(Time!AN20&lt;=$F$8,(Waterfall!AN7+AO11)/(1+AN10),0)</f>
        <v>100.063455426558</v>
      </c>
      <c r="AO11" s="13" t="n">
        <f aca="false">IF(Time!AO20&lt;=$F$8,(Waterfall!AO7+AP11)/(1+AO10),0)</f>
        <v>49.2917914509794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973.925933659913</v>
      </c>
      <c r="K12" s="13" t="n">
        <f aca="false">IF(Time!K20&lt;=Time!$F$15,(Waterfall!K7+L12)/(1+K10),0)</f>
        <v>1000.95367454142</v>
      </c>
      <c r="L12" s="13" t="n">
        <f aca="false">IF(Time!L20&lt;=Time!$F$15,(Waterfall!L7+M12)/(1+L10),0)</f>
        <v>1028.73147120428</v>
      </c>
      <c r="M12" s="13" t="n">
        <f aca="false">IF(Time!M20&lt;=Time!$F$15,(Waterfall!M7+N12)/(1+M10),0)</f>
        <v>1057.28013869471</v>
      </c>
      <c r="N12" s="13" t="n">
        <f aca="false">IF(Time!N20&lt;=Time!$F$15,(Waterfall!N7+O12)/(1+N10),0)</f>
        <v>1086.62106970413</v>
      </c>
      <c r="O12" s="13" t="n">
        <f aca="false">IF(Time!O20&lt;=Time!$F$15,(Waterfall!O7+P12)/(1+O10),0)</f>
        <v>1116.77625059965</v>
      </c>
      <c r="P12" s="13" t="n">
        <f aca="false">IF(Time!P20&lt;=Time!$F$15,(Waterfall!P7+Q12)/(1+P10),0)</f>
        <v>1147.7682778993</v>
      </c>
      <c r="Q12" s="13" t="n">
        <f aca="false">IF(Time!Q20&lt;=Time!$F$15,(Waterfall!Q7+R12)/(1+Q10),0)</f>
        <v>1177.75316075976</v>
      </c>
      <c r="R12" s="13" t="n">
        <f aca="false">IF(Time!R20&lt;=Time!$F$15,(Waterfall!R7+S12)/(1+R10),0)</f>
        <v>1167.69379121747</v>
      </c>
      <c r="S12" s="13" t="n">
        <f aca="false">IF(Time!S20&lt;=Time!$F$15,(Waterfall!S7+T12)/(1+S10),0)</f>
        <v>1157.23410391999</v>
      </c>
      <c r="T12" s="13" t="n">
        <f aca="false">IF(Time!T20&lt;=Time!$F$15,(Waterfall!T7+U12)/(1+T10),0)</f>
        <v>1146.40555608494</v>
      </c>
      <c r="U12" s="13" t="n">
        <f aca="false">IF(Time!U20&lt;=Time!$F$15,(Waterfall!U7+V12)/(1+U10),0)</f>
        <v>1135.14990492356</v>
      </c>
      <c r="V12" s="13" t="n">
        <f aca="false">IF(Time!V20&lt;=Time!$F$15,(Waterfall!V7+W12)/(1+V10),0)</f>
        <v>1123.62090159967</v>
      </c>
      <c r="W12" s="13" t="n">
        <f aca="false">IF(Time!W20&lt;=Time!$F$15,(Waterfall!W7+X12)/(1+W10),0)</f>
        <v>1111.56411674214</v>
      </c>
      <c r="X12" s="13" t="n">
        <f aca="false">IF(Time!X20&lt;=Time!$F$15,(Waterfall!X7+Y12)/(1+X10),0)</f>
        <v>1098.49301487583</v>
      </c>
      <c r="Y12" s="13" t="n">
        <f aca="false">IF(Time!Y20&lt;=Time!$F$15,(Waterfall!Y7+Z12)/(1+Y10),0)</f>
        <v>1084.91769235668</v>
      </c>
      <c r="Z12" s="13" t="n">
        <f aca="false">IF(Time!Z20&lt;=Time!$F$15,(Waterfall!Z7+AA12)/(1+Z10),0)</f>
        <v>1074.21676765231</v>
      </c>
      <c r="AA12" s="13" t="n">
        <f aca="false">IF(Time!AA20&lt;=Time!$F$15,(Waterfall!AA7+AB12)/(1+AA10),0)</f>
        <v>1063.15575917164</v>
      </c>
      <c r="AB12" s="13" t="n">
        <f aca="false">IF(Time!AB20&lt;=Time!$F$15,(Waterfall!AB7+AC12)/(1+AB10),0)</f>
        <v>1051.93635221961</v>
      </c>
      <c r="AC12" s="13" t="n">
        <f aca="false">IF(Time!AC20&lt;=Time!$F$15,(Waterfall!AC7+AD12)/(1+AC10),0)</f>
        <v>1040.08546817854</v>
      </c>
      <c r="AD12" s="13" t="n">
        <f aca="false">IF(Time!AD20&lt;=Time!$F$15,(Waterfall!AD7+AE12)/(1+AD10),0)</f>
        <v>1027.75551562915</v>
      </c>
      <c r="AE12" s="13" t="n">
        <f aca="false">IF(Time!AE20&lt;=Time!$F$15,(Waterfall!AE7+AF12)/(1+AE10),0)</f>
        <v>1014.59990678928</v>
      </c>
      <c r="AF12" s="13" t="n">
        <f aca="false">IF(Time!AF20&lt;=Time!$F$15,(Waterfall!AF7+AG12)/(1+AF10),0)</f>
        <v>999.23593608312</v>
      </c>
      <c r="AG12" s="13" t="n">
        <f aca="false">IF(Time!AG20&lt;=Time!$F$15,(Waterfall!AG7+AH12)/(1+AG10),0)</f>
        <v>982.478506829595</v>
      </c>
      <c r="AH12" s="13" t="n">
        <f aca="false">IF(Time!AH20&lt;=Time!$F$15,(Waterfall!AH7+AI12)/(1+AH10),0)</f>
        <v>966.224624852799</v>
      </c>
      <c r="AI12" s="13" t="n">
        <f aca="false">IF(Time!AI20&lt;=Time!$F$15,(Waterfall!AI7+AJ12)/(1+AI10),0)</f>
        <v>948.653838967092</v>
      </c>
      <c r="AJ12" s="13" t="n">
        <f aca="false">IF(Time!AJ20&lt;=Time!$F$15,(Waterfall!AJ7+AK12)/(1+AJ10),0)</f>
        <v>929.803236956149</v>
      </c>
      <c r="AK12" s="13" t="n">
        <f aca="false">IF(Time!AK20&lt;=Time!$F$15,(Waterfall!AK7+AL12)/(1+AK10),0)</f>
        <v>909.08286015603</v>
      </c>
      <c r="AL12" s="13" t="n">
        <f aca="false">IF(Time!AL20&lt;=Time!$F$15,(Waterfall!AL7+AM12)/(1+AL10),0)</f>
        <v>886.326793845023</v>
      </c>
      <c r="AM12" s="13" t="n">
        <f aca="false">IF(Time!AM20&lt;=Time!$F$15,(Waterfall!AM7+AN12)/(1+AM10),0)</f>
        <v>859.813940245359</v>
      </c>
      <c r="AN12" s="13" t="n">
        <f aca="false">IF(Time!AN20&lt;=Time!$F$15,(Waterfall!AN7+AO12)/(1+AN10),0)</f>
        <v>830.887997112175</v>
      </c>
      <c r="AO12" s="13" t="n">
        <f aca="false">IF(Time!AO20&lt;=Time!$F$15,(Waterfall!AO7+AP12)/(1+AO10),0)</f>
        <v>800.534090717275</v>
      </c>
      <c r="AP12" s="13" t="n">
        <f aca="false">IF(Time!AP20&lt;=Time!$F$15,(Waterfall!AP7+AQ12)/(1+AP10),0)</f>
        <v>772.090272918146</v>
      </c>
      <c r="AQ12" s="13" t="n">
        <f aca="false">IF(Time!AQ20&lt;=Time!$F$15,(Waterfall!AQ7+AR12)/(1+AQ10),0)</f>
        <v>742.177999633072</v>
      </c>
      <c r="AR12" s="13" t="n">
        <f aca="false">IF(Time!AR20&lt;=Time!$F$15,(Waterfall!AR7+AS12)/(1+AR10),0)</f>
        <v>711.788610490018</v>
      </c>
      <c r="AS12" s="13" t="n">
        <f aca="false">IF(Time!AS20&lt;=Time!$F$15,(Waterfall!AS7+AT12)/(1+AS10),0)</f>
        <v>685.77322472423</v>
      </c>
      <c r="AT12" s="13" t="n">
        <f aca="false">IF(Time!AT20&lt;=Time!$F$15,(Waterfall!AT7+AU12)/(1+AT10),0)</f>
        <v>662.87753143469</v>
      </c>
      <c r="AU12" s="13" t="n">
        <f aca="false">IF(Time!AU20&lt;=Time!$F$15,(Waterfall!AU7+AV12)/(1+AU10),0)</f>
        <v>639.038561166551</v>
      </c>
      <c r="AV12" s="13" t="n">
        <f aca="false">IF(Time!AV20&lt;=Time!$F$15,(Waterfall!AV7+AW12)/(1+AV10),0)</f>
        <v>608.538551105275</v>
      </c>
      <c r="AW12" s="13" t="n">
        <f aca="false">IF(Time!AW20&lt;=Time!$F$15,(Waterfall!AW7+AX12)/(1+AW10),0)</f>
        <v>580.695452887967</v>
      </c>
      <c r="AX12" s="13" t="n">
        <f aca="false">IF(Time!AX20&lt;=Time!$F$15,(Waterfall!AX7+AY12)/(1+AX10),0)</f>
        <v>553.035707004857</v>
      </c>
      <c r="AY12" s="13" t="n">
        <f aca="false">IF(Time!AY20&lt;=Time!$F$15,(Waterfall!AY7+AZ12)/(1+AY10),0)</f>
        <v>523.949553466754</v>
      </c>
      <c r="AZ12" s="13" t="n">
        <f aca="false">IF(Time!AZ20&lt;=Time!$F$15,(Waterfall!AZ7+BA12)/(1+AZ10),0)</f>
        <v>494.466166557792</v>
      </c>
      <c r="BA12" s="13" t="n">
        <f aca="false">IF(Time!BA20&lt;=Time!$F$15,(Waterfall!BA7+BB12)/(1+BA10),0)</f>
        <v>463.530000695513</v>
      </c>
      <c r="BB12" s="13" t="n">
        <f aca="false">IF(Time!BB20&lt;=Time!$F$15,(Waterfall!BB7+BC12)/(1+BB10),0)</f>
        <v>432.122558655731</v>
      </c>
      <c r="BC12" s="13" t="n">
        <f aca="false">IF(Time!BC20&lt;=Time!$F$15,(Waterfall!BC7+BD12)/(1+BC10),0)</f>
        <v>399.30698273421</v>
      </c>
      <c r="BD12" s="13" t="n">
        <f aca="false">IF(Time!BD20&lt;=Time!$F$15,(Waterfall!BD7+BE12)/(1+BD10),0)</f>
        <v>364.149860048616</v>
      </c>
      <c r="BE12" s="13" t="n">
        <f aca="false">IF(Time!BE20&lt;=Time!$F$15,(Waterfall!BE7+BF12)/(1+BE10),0)</f>
        <v>330.498955834212</v>
      </c>
      <c r="BF12" s="13" t="n">
        <f aca="false">IF(Time!BF20&lt;=Time!$F$15,(Waterfall!BF7+BG12)/(1+BF10),0)</f>
        <v>303.338467124349</v>
      </c>
      <c r="BG12" s="13" t="n">
        <f aca="false">IF(Time!BG20&lt;=Time!$F$15,(Waterfall!BG7+BH12)/(1+BG10),0)</f>
        <v>274.738580125673</v>
      </c>
      <c r="BH12" s="13" t="n">
        <f aca="false">IF(Time!BH20&lt;=Time!$F$15,(Waterfall!BH7+BI12)/(1+BH10),0)</f>
        <v>245.761012894678</v>
      </c>
      <c r="BI12" s="13" t="n">
        <f aca="false">IF(Time!BI20&lt;=Time!$F$15,(Waterfall!BI7+BJ12)/(1+BI10),0)</f>
        <v>215.319313986385</v>
      </c>
      <c r="BJ12" s="13" t="n">
        <f aca="false">IF(Time!BJ20&lt;=Time!$F$15,(Waterfall!BJ7+BK12)/(1+BJ10),0)</f>
        <v>184.430269408626</v>
      </c>
      <c r="BK12" s="13" t="n">
        <f aca="false">IF(Time!BK20&lt;=Time!$F$15,(Waterfall!BK7+BL12)/(1+BK10),0)</f>
        <v>152.082174122882</v>
      </c>
      <c r="BL12" s="13" t="n">
        <f aca="false">IF(Time!BL20&lt;=Time!$F$15,(Waterfall!BL7+BM12)/(1+BL10),0)</f>
        <v>111.586998292191</v>
      </c>
      <c r="BM12" s="13" t="n">
        <f aca="false">IF(Time!BM20&lt;=Time!$F$15,(Waterfall!BM7+BN12)/(1+BM10),0)</f>
        <v>74.2262735642134</v>
      </c>
      <c r="BN12" s="13" t="n">
        <f aca="false">IF(Time!BN20&lt;=Time!$F$15,(Waterfall!BN7+BO12)/(1+BN10),0)</f>
        <v>36.2263159357973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1.34879260324843</v>
      </c>
      <c r="R13" s="3" t="n">
        <f aca="false">IF(Debt!R115&gt;Inputs!$F$253,(R11+Reserves!R9)/Debt!R115,0)</f>
        <v>1.35255758719987</v>
      </c>
      <c r="S13" s="3" t="n">
        <f aca="false">IF(Debt!S115&gt;Inputs!$F$253,(S11+Reserves!S9)/Debt!S115,0)</f>
        <v>1.35543179474264</v>
      </c>
      <c r="T13" s="3" t="n">
        <f aca="false">IF(Debt!T115&gt;Inputs!$F$253,(T11+Reserves!T9)/Debt!T115,0)</f>
        <v>1.35973855007871</v>
      </c>
      <c r="U13" s="3" t="n">
        <f aca="false">IF(Debt!U115&gt;Inputs!$F$253,(U11+Reserves!U9)/Debt!U115,0)</f>
        <v>1.36336003628234</v>
      </c>
      <c r="V13" s="3" t="n">
        <f aca="false">IF(Debt!V115&gt;Inputs!$F$253,(V11+Reserves!V9)/Debt!V115,0)</f>
        <v>1.3692095017912</v>
      </c>
      <c r="W13" s="3" t="n">
        <f aca="false">IF(Debt!W115&gt;Inputs!$F$253,(W11+Reserves!W9)/Debt!W115,0)</f>
        <v>1.37470742728751</v>
      </c>
      <c r="X13" s="3" t="n">
        <f aca="false">IF(Debt!X115&gt;Inputs!$F$253,(X11+Reserves!X9)/Debt!X115,0)</f>
        <v>1.37801692892479</v>
      </c>
      <c r="Y13" s="3" t="n">
        <f aca="false">IF(Debt!Y115&gt;Inputs!$F$253,(Y11+Reserves!Y9)/Debt!Y115,0)</f>
        <v>1.37901415179466</v>
      </c>
      <c r="Z13" s="3" t="n">
        <f aca="false">IF(Debt!Z115&gt;Inputs!$F$253,(Z11+Reserves!Z9)/Debt!Z115,0)</f>
        <v>1.38570601232475</v>
      </c>
      <c r="AA13" s="3" t="n">
        <f aca="false">IF(Debt!AA115&gt;Inputs!$F$253,(AA11+Reserves!AA9)/Debt!AA115,0)</f>
        <v>1.3916582073621</v>
      </c>
      <c r="AB13" s="3" t="n">
        <f aca="false">IF(Debt!AB115&gt;Inputs!$F$253,(AB11+Reserves!AB9)/Debt!AB115,0)</f>
        <v>1.41708970134679</v>
      </c>
      <c r="AC13" s="3" t="n">
        <f aca="false">IF(Debt!AC115&gt;Inputs!$F$253,(AC11+Reserves!AC9)/Debt!AC115,0)</f>
        <v>1.44582681369112</v>
      </c>
      <c r="AD13" s="3" t="n">
        <f aca="false">IF(Debt!AD115&gt;Inputs!$F$253,(AD11+Reserves!AD9)/Debt!AD115,0)</f>
        <v>1.48033243266938</v>
      </c>
      <c r="AE13" s="3" t="n">
        <f aca="false">IF(Debt!AE115&gt;Inputs!$F$253,(AE11+Reserves!AE9)/Debt!AE115,0)</f>
        <v>1.52278249822806</v>
      </c>
      <c r="AF13" s="3" t="n">
        <f aca="false">IF(Debt!AF115&gt;Inputs!$F$253,(AF11+Reserves!AF9)/Debt!AF115,0)</f>
        <v>1.57369313897084</v>
      </c>
      <c r="AG13" s="3" t="n">
        <f aca="false">IF(Debt!AG115&gt;Inputs!$F$253,(AG11+Reserves!AG9)/Debt!AG115,0)</f>
        <v>1.636248777384</v>
      </c>
      <c r="AH13" s="3" t="n">
        <f aca="false">IF(Debt!AH115&gt;Inputs!$F$253,(AH11+Reserves!AH9)/Debt!AH115,0)</f>
        <v>1.71638756271884</v>
      </c>
      <c r="AI13" s="3" t="n">
        <f aca="false">IF(Debt!AI115&gt;Inputs!$F$253,(AI11+Reserves!AI9)/Debt!AI115,0)</f>
        <v>1.82448024058502</v>
      </c>
      <c r="AJ13" s="3" t="n">
        <f aca="false">IF(Debt!AJ115&gt;Inputs!$F$253,(AJ11+Reserves!AJ9)/Debt!AJ115,0)</f>
        <v>1.97694912350086</v>
      </c>
      <c r="AK13" s="3" t="n">
        <f aca="false">IF(Debt!AK115&gt;Inputs!$F$253,(AK11+Reserves!AK9)/Debt!AK115,0)</f>
        <v>2.21619139456797</v>
      </c>
      <c r="AL13" s="3" t="n">
        <f aca="false">IF(Debt!AL115&gt;Inputs!$F$253,(AL11+Reserves!AL9)/Debt!AL115,0)</f>
        <v>2.64395899616388</v>
      </c>
      <c r="AM13" s="3" t="n">
        <f aca="false">IF(Debt!AM115&gt;Inputs!$F$253,(AM11+Reserves!AM9)/Debt!AM115,0)</f>
        <v>2.92609293876235</v>
      </c>
      <c r="AN13" s="3" t="n">
        <f aca="false">IF(Debt!AN115&gt;Inputs!$F$253,(AN11+Reserves!AN9)/Debt!AN115,0)</f>
        <v>3.1818156020636</v>
      </c>
      <c r="AO13" s="3" t="n">
        <f aca="false">IF(Debt!AO115&gt;Inputs!$F$253,(AO11+Reserves!AO9)/Debt!AO115,0)</f>
        <v>3.66078679620058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1.28825914043248</v>
      </c>
      <c r="R14" s="3" t="n">
        <f aca="false">IF(Debt!R115&gt;Inputs!$F$253,R11/Debt!R115,0)</f>
        <v>1.28959334027446</v>
      </c>
      <c r="S14" s="3" t="n">
        <f aca="false">IF(Debt!S115&gt;Inputs!$F$253,S11/Debt!S115,0)</f>
        <v>1.29114053686869</v>
      </c>
      <c r="T14" s="3" t="n">
        <f aca="false">IF(Debt!T115&gt;Inputs!$F$253,T11/Debt!T115,0)</f>
        <v>1.29271019582102</v>
      </c>
      <c r="U14" s="3" t="n">
        <f aca="false">IF(Debt!U115&gt;Inputs!$F$253,U11/Debt!U115,0)</f>
        <v>1.29443628508006</v>
      </c>
      <c r="V14" s="3" t="n">
        <f aca="false">IF(Debt!V115&gt;Inputs!$F$253,V11/Debt!V115,0)</f>
        <v>1.2964722776613</v>
      </c>
      <c r="W14" s="3" t="n">
        <f aca="false">IF(Debt!W115&gt;Inputs!$F$253,W11/Debt!W115,0)</f>
        <v>1.29964427062098</v>
      </c>
      <c r="X14" s="3" t="n">
        <f aca="false">IF(Debt!X115&gt;Inputs!$F$253,X11/Debt!X115,0)</f>
        <v>1.30201640263324</v>
      </c>
      <c r="Y14" s="3" t="n">
        <f aca="false">IF(Debt!Y115&gt;Inputs!$F$253,Y11/Debt!Y115,0)</f>
        <v>1.30054193892144</v>
      </c>
      <c r="Z14" s="3" t="n">
        <f aca="false">IF(Debt!Z115&gt;Inputs!$F$253,Z11/Debt!Z115,0)</f>
        <v>1.30305495286428</v>
      </c>
      <c r="AA14" s="3" t="n">
        <f aca="false">IF(Debt!AA115&gt;Inputs!$F$253,AA11/Debt!AA115,0)</f>
        <v>1.30570089900567</v>
      </c>
      <c r="AB14" s="3" t="n">
        <f aca="false">IF(Debt!AB115&gt;Inputs!$F$253,AB11/Debt!AB115,0)</f>
        <v>1.32446673420862</v>
      </c>
      <c r="AC14" s="3" t="n">
        <f aca="false">IF(Debt!AC115&gt;Inputs!$F$253,AC11/Debt!AC115,0)</f>
        <v>1.34800201599796</v>
      </c>
      <c r="AD14" s="3" t="n">
        <f aca="false">IF(Debt!AD115&gt;Inputs!$F$253,AD11/Debt!AD115,0)</f>
        <v>1.37242214412464</v>
      </c>
      <c r="AE14" s="3" t="n">
        <f aca="false">IF(Debt!AE115&gt;Inputs!$F$253,AE11/Debt!AE115,0)</f>
        <v>1.40634649768369</v>
      </c>
      <c r="AF14" s="3" t="n">
        <f aca="false">IF(Debt!AF115&gt;Inputs!$F$253,AF11/Debt!AF115,0)</f>
        <v>1.4464681518627</v>
      </c>
      <c r="AG14" s="3" t="n">
        <f aca="false">IF(Debt!AG115&gt;Inputs!$F$253,AG11/Debt!AG115,0)</f>
        <v>1.49697437099448</v>
      </c>
      <c r="AH14" s="3" t="n">
        <f aca="false">IF(Debt!AH115&gt;Inputs!$F$253,AH11/Debt!AH115,0)</f>
        <v>1.5595449449355</v>
      </c>
      <c r="AI14" s="3" t="n">
        <f aca="false">IF(Debt!AI115&gt;Inputs!$F$253,AI11/Debt!AI115,0)</f>
        <v>1.64684699636176</v>
      </c>
      <c r="AJ14" s="3" t="n">
        <f aca="false">IF(Debt!AJ115&gt;Inputs!$F$253,AJ11/Debt!AJ115,0)</f>
        <v>1.767303668666</v>
      </c>
      <c r="AK14" s="3" t="n">
        <f aca="false">IF(Debt!AK115&gt;Inputs!$F$253,AK11/Debt!AK115,0)</f>
        <v>1.96041984373465</v>
      </c>
      <c r="AL14" s="3" t="n">
        <f aca="false">IF(Debt!AL115&gt;Inputs!$F$253,AL11/Debt!AL115,0)</f>
        <v>2.30314829352015</v>
      </c>
      <c r="AM14" s="3" t="n">
        <f aca="false">IF(Debt!AM115&gt;Inputs!$F$253,AM11/Debt!AM115,0)</f>
        <v>2.50989045455099</v>
      </c>
      <c r="AN14" s="3" t="n">
        <f aca="false">IF(Debt!AN115&gt;Inputs!$F$253,AN11/Debt!AN115,0)</f>
        <v>2.64957780511165</v>
      </c>
      <c r="AO14" s="3" t="n">
        <f aca="false">IF(Debt!AO115&gt;Inputs!$F$253,AO11/Debt!AO115,0)</f>
        <v>2.6330354652755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1.80019409355663</v>
      </c>
      <c r="R15" s="3" t="n">
        <f aca="false">IF(Debt!R115&gt;Inputs!$F$253,R12/Debt!R115,0)</f>
        <v>1.83336030616719</v>
      </c>
      <c r="S15" s="3" t="n">
        <f aca="false">IF(Debt!S115&gt;Inputs!$F$253,S12/Debt!S115,0)</f>
        <v>1.87014805840708</v>
      </c>
      <c r="T15" s="3" t="n">
        <f aca="false">IF(Debt!T115&gt;Inputs!$F$253,T12/Debt!T115,0)</f>
        <v>1.91009714870145</v>
      </c>
      <c r="U15" s="3" t="n">
        <f aca="false">IF(Debt!U115&gt;Inputs!$F$253,U12/Debt!U115,0)</f>
        <v>1.95458948804843</v>
      </c>
      <c r="V15" s="3" t="n">
        <f aca="false">IF(Debt!V115&gt;Inputs!$F$253,V12/Debt!V115,0)</f>
        <v>2.00374867671325</v>
      </c>
      <c r="W15" s="3" t="n">
        <f aca="false">IF(Debt!W115&gt;Inputs!$F$253,W12/Debt!W115,0)</f>
        <v>2.06039412330042</v>
      </c>
      <c r="X15" s="3" t="n">
        <f aca="false">IF(Debt!X115&gt;Inputs!$F$253,X12/Debt!X115,0)</f>
        <v>2.12228578383006</v>
      </c>
      <c r="Y15" s="3" t="n">
        <f aca="false">IF(Debt!Y115&gt;Inputs!$F$253,Y12/Debt!Y115,0)</f>
        <v>2.18582197351854</v>
      </c>
      <c r="Z15" s="3" t="n">
        <f aca="false">IF(Debt!Z115&gt;Inputs!$F$253,Z12/Debt!Z115,0)</f>
        <v>2.26090703072899</v>
      </c>
      <c r="AA15" s="3" t="n">
        <f aca="false">IF(Debt!AA115&gt;Inputs!$F$253,AA12/Debt!AA115,0)</f>
        <v>2.34657506427838</v>
      </c>
      <c r="AB15" s="3" t="n">
        <f aca="false">IF(Debt!AB115&gt;Inputs!$F$253,AB12/Debt!AB115,0)</f>
        <v>2.47284475199899</v>
      </c>
      <c r="AC15" s="3" t="n">
        <f aca="false">IF(Debt!AC115&gt;Inputs!$F$253,AC12/Debt!AC115,0)</f>
        <v>2.62621173051921</v>
      </c>
      <c r="AD15" s="3" t="n">
        <f aca="false">IF(Debt!AD115&gt;Inputs!$F$253,AD12/Debt!AD115,0)</f>
        <v>2.80213309793721</v>
      </c>
      <c r="AE15" s="3" t="n">
        <f aca="false">IF(Debt!AE115&gt;Inputs!$F$253,AE12/Debt!AE115,0)</f>
        <v>3.02744631713255</v>
      </c>
      <c r="AF15" s="3" t="n">
        <f aca="false">IF(Debt!AF115&gt;Inputs!$F$253,AF12/Debt!AF115,0)</f>
        <v>3.30998483380461</v>
      </c>
      <c r="AG15" s="3" t="n">
        <f aca="false">IF(Debt!AG115&gt;Inputs!$F$253,AG12/Debt!AG115,0)</f>
        <v>3.67821577706773</v>
      </c>
      <c r="AH15" s="3" t="n">
        <f aca="false">IF(Debt!AH115&gt;Inputs!$F$253,AH12/Debt!AH115,0)</f>
        <v>4.15480656783756</v>
      </c>
      <c r="AI15" s="3" t="n">
        <f aca="false">IF(Debt!AI115&gt;Inputs!$F$253,AI12/Debt!AI115,0)</f>
        <v>4.82944973743819</v>
      </c>
      <c r="AJ15" s="3" t="n">
        <f aca="false">IF(Debt!AJ115&gt;Inputs!$F$253,AJ12/Debt!AJ115,0)</f>
        <v>5.80839306851101</v>
      </c>
      <c r="AK15" s="3" t="n">
        <f aca="false">IF(Debt!AK115&gt;Inputs!$F$253,AK12/Debt!AK115,0)</f>
        <v>7.42225477569304</v>
      </c>
      <c r="AL15" s="3" t="n">
        <f aca="false">IF(Debt!AL115&gt;Inputs!$F$253,AL12/Debt!AL115,0)</f>
        <v>10.4277548243496</v>
      </c>
      <c r="AM15" s="3" t="n">
        <f aca="false">IF(Debt!AM115&gt;Inputs!$F$253,AM12/Debt!AM115,0)</f>
        <v>14.4949453327962</v>
      </c>
      <c r="AN15" s="3" t="n">
        <f aca="false">IF(Debt!AN115&gt;Inputs!$F$253,AN12/Debt!AN115,0)</f>
        <v>22.0010630883908</v>
      </c>
      <c r="AO15" s="3" t="n">
        <f aca="false">IF(Debt!AO115&gt;Inputs!$F$253,AO12/Debt!AO115,0)</f>
        <v>42.7623867985585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1.25451733355086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1.45295216521129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1.34879260324843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1.80019409355663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1.2662575496255</v>
      </c>
      <c r="Q20" s="3" t="n">
        <f aca="false">IF(Debt!R114&gt;Inputs!$F$253,(Waterfall!R7+IF(Debt!S114&gt;Inputs!$F$253,Waterfall!S7,0))/(Debt!R114+Debt!S114),0)</f>
        <v>1.26658646609515</v>
      </c>
      <c r="R20" s="3" t="n">
        <f aca="false">IF(Debt!S114&gt;Inputs!$F$253,(Waterfall!S7+IF(Debt!T114&gt;Inputs!$F$253,Waterfall!T7,0))/(Debt!S114+Debt!T114),0)</f>
        <v>1.26762685675364</v>
      </c>
      <c r="S20" s="3" t="n">
        <f aca="false">IF(Debt!T114&gt;Inputs!$F$253,(Waterfall!T7+IF(Debt!U114&gt;Inputs!$F$253,Waterfall!U7,0))/(Debt!T114+Debt!U114),0)</f>
        <v>1.26685520550183</v>
      </c>
      <c r="T20" s="3" t="n">
        <f aca="false">IF(Debt!U114&gt;Inputs!$F$253,(Waterfall!U7+IF(Debt!V114&gt;Inputs!$F$253,Waterfall!V7,0))/(Debt!U114+Debt!V114),0)</f>
        <v>1.26016203014208</v>
      </c>
      <c r="U20" s="3" t="n">
        <f aca="false">IF(Debt!V114&gt;Inputs!$F$253,(Waterfall!V7+IF(Debt!W114&gt;Inputs!$F$253,Waterfall!W7,0))/(Debt!V114+Debt!W114),0)</f>
        <v>1.26189446601344</v>
      </c>
      <c r="V20" s="3" t="n">
        <f aca="false">IF(Debt!W114&gt;Inputs!$F$253,(Waterfall!W7+IF(Debt!X114&gt;Inputs!$F$253,Waterfall!X7,0))/(Debt!W114+Debt!X114),0)</f>
        <v>1.29460055055573</v>
      </c>
      <c r="W20" s="3" t="n">
        <f aca="false">IF(Debt!X114&gt;Inputs!$F$253,(Waterfall!X7+IF(Debt!Y114&gt;Inputs!$F$253,Waterfall!Y7,0))/(Debt!X114+Debt!Y114),0)</f>
        <v>1.29537942565922</v>
      </c>
      <c r="X20" s="3" t="n">
        <f aca="false">IF(Debt!Y114&gt;Inputs!$F$253,(Waterfall!Y7+IF(Debt!Z114&gt;Inputs!$F$253,Waterfall!Z7,0))/(Debt!Y114+Debt!Z114),0)</f>
        <v>1.27121262665002</v>
      </c>
      <c r="Y20" s="3" t="n">
        <f aca="false">IF(Debt!Z114&gt;Inputs!$F$253,(Waterfall!Z7+IF(Debt!AA114&gt;Inputs!$F$253,Waterfall!AA7,0))/(Debt!Z114+Debt!AA114),0)</f>
        <v>1.27030624230935</v>
      </c>
      <c r="Z20" s="3" t="n">
        <f aca="false">IF(Debt!AA114&gt;Inputs!$F$253,(Waterfall!AA7+IF(Debt!AB114&gt;Inputs!$F$253,Waterfall!AB7,0))/(Debt!AA114+Debt!AB114),0)</f>
        <v>1.27632185767524</v>
      </c>
      <c r="AA20" s="3" t="n">
        <f aca="false">IF(Debt!AB114&gt;Inputs!$F$253,(Waterfall!AB7+IF(Debt!AC114&gt;Inputs!$F$253,Waterfall!AC7,0))/(Debt!AB114+Debt!AC114),0)</f>
        <v>1.29307376009228</v>
      </c>
      <c r="AB20" s="3" t="n">
        <f aca="false">IF(Debt!AC114&gt;Inputs!$F$253,(Waterfall!AC7+IF(Debt!AD114&gt;Inputs!$F$253,Waterfall!AD7,0))/(Debt!AC114+Debt!AD114),0)</f>
        <v>1.29495195397281</v>
      </c>
      <c r="AC20" s="3" t="n">
        <f aca="false">IF(Debt!AD114&gt;Inputs!$F$253,(Waterfall!AD7+IF(Debt!AE114&gt;Inputs!$F$253,Waterfall!AE7,0))/(Debt!AD114+Debt!AE114),0)</f>
        <v>1.31466672741373</v>
      </c>
      <c r="AD20" s="3" t="n">
        <f aca="false">IF(Debt!AE114&gt;Inputs!$F$253,(Waterfall!AE7+IF(Debt!AF114&gt;Inputs!$F$253,Waterfall!AF7,0))/(Debt!AE114+Debt!AF114),0)</f>
        <v>1.36901924430884</v>
      </c>
      <c r="AE20" s="3" t="n">
        <f aca="false">IF(Debt!AF114&gt;Inputs!$F$253,(Waterfall!AF7+IF(Debt!AG114&gt;Inputs!$F$253,Waterfall!AG7,0))/(Debt!AF114+Debt!AG114),0)</f>
        <v>1.41332981368598</v>
      </c>
      <c r="AF20" s="3" t="n">
        <f aca="false">IF(Debt!AG114&gt;Inputs!$F$253,(Waterfall!AG7+IF(Debt!AH114&gt;Inputs!$F$253,Waterfall!AH7,0))/(Debt!AG114+Debt!AH114),0)</f>
        <v>1.45706048940195</v>
      </c>
      <c r="AG20" s="3" t="n">
        <f aca="false">IF(Debt!AH114&gt;Inputs!$F$253,(Waterfall!AH7+IF(Debt!AI114&gt;Inputs!$F$253,Waterfall!AI7,0))/(Debt!AH114+Debt!AI114),0)</f>
        <v>1.52179917856134</v>
      </c>
      <c r="AH20" s="3" t="n">
        <f aca="false">IF(Debt!AI114&gt;Inputs!$F$253,(Waterfall!AI7+IF(Debt!AJ114&gt;Inputs!$F$253,Waterfall!AJ7,0))/(Debt!AI114+Debt!AJ114),0)</f>
        <v>1.61322411902479</v>
      </c>
      <c r="AI20" s="3" t="n">
        <f aca="false">IF(Debt!AJ114&gt;Inputs!$F$253,(Waterfall!AJ7+IF(Debt!AK114&gt;Inputs!$F$253,Waterfall!AK7,0))/(Debt!AJ114+Debt!AK114),0)</f>
        <v>1.74687328959774</v>
      </c>
      <c r="AJ20" s="3" t="n">
        <f aca="false">IF(Debt!AK114&gt;Inputs!$F$253,(Waterfall!AK7+IF(Debt!AL114&gt;Inputs!$F$253,Waterfall!AL7,0))/(Debt!AK114+Debt!AL114),0)</f>
        <v>1.96922218535303</v>
      </c>
      <c r="AK20" s="3" t="n">
        <f aca="false">IF(Debt!AL114&gt;Inputs!$F$253,(Waterfall!AL7+IF(Debt!AM114&gt;Inputs!$F$253,Waterfall!AM7,0))/(Debt!AL114+Debt!AM114),0)</f>
        <v>2.20087665085737</v>
      </c>
      <c r="AL20" s="3" t="n">
        <f aca="false">IF(Debt!AM114&gt;Inputs!$F$253,(Waterfall!AM7+IF(Debt!AN114&gt;Inputs!$F$253,Waterfall!AN7,0))/(Debt!AM114+Debt!AN114),0)</f>
        <v>2.46006763375736</v>
      </c>
      <c r="AM20" s="3" t="n">
        <f aca="false">IF(Debt!AN114&gt;Inputs!$F$253,(Waterfall!AN7+IF(Debt!AO114&gt;Inputs!$F$253,Waterfall!AO7,0))/(Debt!AN114+Debt!AO114),0)</f>
        <v>2.64935935134587</v>
      </c>
      <c r="AN20" s="3" t="n">
        <f aca="false">IF(Debt!AO114&gt;Inputs!$F$253,(Waterfall!AO7+IF(Debt!AP114&gt;Inputs!$F$253,Waterfall!AP7,0))/(Debt!AO114+Debt!AP114),0)</f>
        <v>2.6330354652755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1179.9756637136</v>
      </c>
      <c r="J8" s="13" t="n">
        <f aca="false">-Inputs!$F$68</f>
        <v>-14.2</v>
      </c>
      <c r="K8" s="13" t="n">
        <f aca="false">-Funding!J68</f>
        <v>-17.8482315851686</v>
      </c>
      <c r="L8" s="13" t="n">
        <f aca="false">-Funding!K68</f>
        <v>-0.65769445092904</v>
      </c>
      <c r="M8" s="13" t="n">
        <f aca="false">-Funding!L68</f>
        <v>-0.838258757552935</v>
      </c>
      <c r="N8" s="13" t="n">
        <f aca="false">-Funding!M68</f>
        <v>-1.1844057358655</v>
      </c>
      <c r="O8" s="13" t="n">
        <f aca="false">-Funding!N68</f>
        <v>-1.70519054475731</v>
      </c>
      <c r="P8" s="13" t="n">
        <f aca="false">-Funding!O68</f>
        <v>-2.34935424499037</v>
      </c>
      <c r="Q8" s="13" t="n">
        <f aca="false">-Funding!P68</f>
        <v>-3.06396663574824</v>
      </c>
      <c r="R8" s="13" t="n">
        <f aca="false">-Funding!Q68</f>
        <v>-3.88942904085459</v>
      </c>
      <c r="S8" s="13" t="n">
        <f aca="false">-Funding!R68</f>
        <v>-4.71148747452884</v>
      </c>
      <c r="T8" s="13" t="n">
        <f aca="false">-Funding!S68</f>
        <v>-5.54885057418847</v>
      </c>
      <c r="U8" s="13" t="n">
        <f aca="false">-Funding!T68</f>
        <v>-6.33214764310148</v>
      </c>
      <c r="V8" s="13" t="n">
        <f aca="false">-Funding!U68</f>
        <v>-7.08345248413675</v>
      </c>
      <c r="W8" s="13" t="n">
        <f aca="false">-Funding!V68</f>
        <v>-7.74383209700565</v>
      </c>
      <c r="X8" s="13" t="n">
        <f aca="false">-Funding!W68</f>
        <v>-8.2928338371187</v>
      </c>
      <c r="Y8" s="13" t="n">
        <f aca="false">-Funding!X68</f>
        <v>-8.74753731316751</v>
      </c>
      <c r="Z8" s="13" t="n">
        <f aca="false">-Funding!Y68</f>
        <v>-9.0500160077133</v>
      </c>
      <c r="AA8" s="13" t="n">
        <f aca="false">-Funding!Z68</f>
        <v>-9.23965252187172</v>
      </c>
      <c r="AB8" s="13" t="n">
        <f aca="false">-Funding!AA68</f>
        <v>-9.58432890471594</v>
      </c>
      <c r="AC8" s="13" t="n">
        <f aca="false">-Funding!AB68</f>
        <v>-9.14181950906579</v>
      </c>
      <c r="AD8" s="13" t="n">
        <f aca="false">-Funding!AC68</f>
        <v>-8.92461560434098</v>
      </c>
      <c r="AE8" s="13" t="n">
        <f aca="false">-Funding!AD68</f>
        <v>-8.53103063859052</v>
      </c>
      <c r="AF8" s="13" t="n">
        <f aca="false">-Funding!AE68</f>
        <v>-8.04899628776431</v>
      </c>
      <c r="AG8" s="13" t="n">
        <f aca="false">-Funding!AF68</f>
        <v>-7.42915900042084</v>
      </c>
      <c r="AH8" s="13" t="n">
        <f aca="false">-Funding!AG68</f>
        <v>-6.75841446263347</v>
      </c>
      <c r="AI8" s="13" t="n">
        <f aca="false">-Funding!AH68</f>
        <v>-6.00661460045207</v>
      </c>
      <c r="AJ8" s="13" t="n">
        <f aca="false">-Funding!AI68</f>
        <v>-5.19905369910464</v>
      </c>
      <c r="AK8" s="13" t="n">
        <f aca="false">-Funding!AJ68</f>
        <v>-4.41982476039833</v>
      </c>
      <c r="AL8" s="13" t="n">
        <f aca="false">-Funding!AK68</f>
        <v>-3.62629308597858</v>
      </c>
      <c r="AM8" s="13" t="n">
        <f aca="false">-Funding!AL68</f>
        <v>-2.92720499289548</v>
      </c>
      <c r="AN8" s="13" t="n">
        <f aca="false">-Funding!AM68</f>
        <v>-2.30095427287397</v>
      </c>
      <c r="AO8" s="13" t="n">
        <f aca="false">-Funding!AN68</f>
        <v>-1.74047260050492</v>
      </c>
      <c r="AP8" s="13" t="n">
        <f aca="false">-Funding!AO68</f>
        <v>-1.45268358656073</v>
      </c>
      <c r="AQ8" s="13" t="n">
        <f aca="false">-Funding!AP68</f>
        <v>-1.26602285551686</v>
      </c>
      <c r="AR8" s="13" t="n">
        <f aca="false">-Funding!AQ68</f>
        <v>-1.26906101550551</v>
      </c>
      <c r="AS8" s="13" t="n">
        <f aca="false">-Funding!AR68</f>
        <v>-1.25269699249548</v>
      </c>
      <c r="AT8" s="13" t="n">
        <f aca="false">-Funding!AS68</f>
        <v>-1.3025095745205</v>
      </c>
      <c r="AU8" s="13" t="n">
        <f aca="false">-Funding!AT68</f>
        <v>-1.30658121839297</v>
      </c>
      <c r="AV8" s="13" t="n">
        <f aca="false">-Funding!AU68</f>
        <v>-1.28044105187732</v>
      </c>
      <c r="AW8" s="13" t="n">
        <f aca="false">-Funding!AV68</f>
        <v>-14.3054292590261</v>
      </c>
      <c r="AX8" s="13" t="n">
        <f aca="false">-Funding!AW68</f>
        <v>-11.6444959601959</v>
      </c>
      <c r="AY8" s="13" t="n">
        <f aca="false">-Funding!AX68</f>
        <v>-1.0564925327423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11.9338065438067</v>
      </c>
      <c r="BT8" s="18" t="n">
        <f aca="false">Waterfall!R44</f>
        <v>10.9759991923679</v>
      </c>
      <c r="BU8" s="18" t="n">
        <f aca="false">Waterfall!S44</f>
        <v>10.1941203375857</v>
      </c>
      <c r="BV8" s="18" t="n">
        <f aca="false">Waterfall!T44</f>
        <v>10.9740031216955</v>
      </c>
      <c r="BW8" s="18" t="n">
        <f aca="false">Waterfall!U44</f>
        <v>9.88423057304774</v>
      </c>
      <c r="BX8" s="18" t="n">
        <f aca="false">Waterfall!V44</f>
        <v>10.6734573118867</v>
      </c>
      <c r="BY8" s="18" t="n">
        <f aca="false">Waterfall!W44</f>
        <v>12.0646524295327</v>
      </c>
      <c r="BZ8" s="18" t="n">
        <f aca="false">Waterfall!X44</f>
        <v>13.0011540376515</v>
      </c>
      <c r="CA8" s="18" t="n">
        <f aca="false">Waterfall!Y44</f>
        <v>10.1912884170369</v>
      </c>
      <c r="CB8" s="18" t="n">
        <f aca="false">Waterfall!Z44</f>
        <v>11.0273726303668</v>
      </c>
      <c r="CC8" s="18" t="n">
        <f aca="false">Waterfall!AA44</f>
        <v>4.99136593124933</v>
      </c>
      <c r="CD8" s="18" t="n">
        <f aca="false">Waterfall!AB44</f>
        <v>5.8658789008668</v>
      </c>
      <c r="CE8" s="18" t="n">
        <f aca="false">Waterfall!AC44</f>
        <v>5.33545246975903</v>
      </c>
      <c r="CF8" s="18" t="n">
        <f aca="false">Waterfall!AD44</f>
        <v>5.89598084009812</v>
      </c>
      <c r="CG8" s="18" t="n">
        <f aca="false">Waterfall!AE44</f>
        <v>6.84605001270899</v>
      </c>
      <c r="CH8" s="18" t="n">
        <f aca="false">Waterfall!AF44</f>
        <v>8.04821189233877</v>
      </c>
      <c r="CI8" s="18" t="n">
        <f aca="false">Waterfall!AG44</f>
        <v>8.11248920051779</v>
      </c>
      <c r="CJ8" s="18" t="n">
        <f aca="false">Waterfall!AH44</f>
        <v>9.30765411368636</v>
      </c>
      <c r="CK8" s="18" t="n">
        <f aca="false">Waterfall!AI44</f>
        <v>9.98126104152171</v>
      </c>
      <c r="CL8" s="18" t="n">
        <f aca="false">Waterfall!AJ44</f>
        <v>11.6207767912926</v>
      </c>
      <c r="CM8" s="18" t="n">
        <f aca="false">Waterfall!AK44</f>
        <v>13.0262119972581</v>
      </c>
      <c r="CN8" s="18" t="n">
        <f aca="false">Waterfall!AL44</f>
        <v>28.7455825741267</v>
      </c>
      <c r="CO8" s="18" t="n">
        <f aca="false">Waterfall!AM44</f>
        <v>34.3604254211656</v>
      </c>
      <c r="CP8" s="18" t="n">
        <f aca="false">Waterfall!AN44</f>
        <v>34.3271955586172</v>
      </c>
      <c r="CQ8" s="18" t="n">
        <f aca="false">Waterfall!AO44</f>
        <v>50.6597042674252</v>
      </c>
      <c r="CR8" s="18" t="n">
        <f aca="false">Waterfall!AP44</f>
        <v>51.3388059528544</v>
      </c>
      <c r="CS8" s="18" t="n">
        <f aca="false">Waterfall!AQ44</f>
        <v>50.9858164161793</v>
      </c>
      <c r="CT8" s="18" t="n">
        <f aca="false">Waterfall!AR44</f>
        <v>45.7684670441939</v>
      </c>
      <c r="CU8" s="18" t="n">
        <f aca="false">Waterfall!AS44</f>
        <v>41.9268129884159</v>
      </c>
      <c r="CV8" s="18" t="n">
        <f aca="false">Waterfall!AT44</f>
        <v>42.2347040057773</v>
      </c>
      <c r="CW8" s="18" t="n">
        <f aca="false">Waterfall!AU44</f>
        <v>48.2341806460909</v>
      </c>
      <c r="CX8" s="18" t="n">
        <f aca="false">Waterfall!AV44</f>
        <v>44.7308529296943</v>
      </c>
      <c r="CY8" s="18" t="n">
        <f aca="false">Waterfall!AW44</f>
        <v>43.7748175628881</v>
      </c>
      <c r="CZ8" s="18" t="n">
        <f aca="false">Waterfall!AX44</f>
        <v>44.4336304565757</v>
      </c>
      <c r="DA8" s="18" t="n">
        <f aca="false">Waterfall!AY44</f>
        <v>44.0236843552615</v>
      </c>
      <c r="DB8" s="18" t="n">
        <f aca="false">Waterfall!AZ44</f>
        <v>44.6582600816764</v>
      </c>
      <c r="DC8" s="18" t="n">
        <f aca="false">Waterfall!BA44</f>
        <v>44.2710164827823</v>
      </c>
      <c r="DD8" s="18" t="n">
        <f aca="false">Waterfall!BB44</f>
        <v>44.3071686287499</v>
      </c>
      <c r="DE8" s="18" t="n">
        <f aca="false">Waterfall!BC44</f>
        <v>44.7208498308005</v>
      </c>
      <c r="DF8" s="18" t="n">
        <f aca="false">Waterfall!BD44</f>
        <v>42.2223719266855</v>
      </c>
      <c r="DG8" s="18" t="n">
        <f aca="false">Waterfall!BE44</f>
        <v>34.7813149226527</v>
      </c>
      <c r="DH8" s="18" t="n">
        <f aca="false">Waterfall!BF44</f>
        <v>35.4500057595762</v>
      </c>
      <c r="DI8" s="18" t="n">
        <f aca="false">Waterfall!BG44</f>
        <v>35.0168476920103</v>
      </c>
      <c r="DJ8" s="18" t="n">
        <f aca="false">Waterfall!BH44</f>
        <v>35.6594722797459</v>
      </c>
      <c r="DK8" s="18" t="n">
        <f aca="false">Waterfall!BI44</f>
        <v>35.2444895433507</v>
      </c>
      <c r="DL8" s="18" t="n">
        <f aca="false">Waterfall!BJ44</f>
        <v>35.8286056186657</v>
      </c>
      <c r="DM8" s="18" t="n">
        <f aca="false">Waterfall!BK44</f>
        <v>43.0600670446048</v>
      </c>
      <c r="DN8" s="18" t="n">
        <f aca="false">Waterfall!BL44</f>
        <v>38.7837084861491</v>
      </c>
      <c r="DO8" s="18" t="n">
        <f aca="false">Waterfall!BM44</f>
        <v>38.3678209678417</v>
      </c>
      <c r="DP8" s="18" t="n">
        <f aca="false">Waterfall!BN44</f>
        <v>55.3691038980403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1628.35568273815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-1.40755141856459</v>
      </c>
      <c r="M9" s="13" t="n">
        <f aca="false">-Construction!L32</f>
        <v>-2.04139650947368</v>
      </c>
      <c r="N9" s="13" t="n">
        <f aca="false">-Construction!M32</f>
        <v>-3.34371627674641</v>
      </c>
      <c r="O9" s="13" t="n">
        <f aca="false">-Construction!N32</f>
        <v>-5.23288384038278</v>
      </c>
      <c r="P9" s="13" t="n">
        <f aca="false">-Construction!O32</f>
        <v>-7.59511627674641</v>
      </c>
      <c r="Q9" s="13" t="n">
        <f aca="false">-Construction!P32</f>
        <v>-10.3048813385646</v>
      </c>
      <c r="R9" s="13" t="n">
        <f aca="false">-Construction!Q32</f>
        <v>-13.23602839311</v>
      </c>
      <c r="S9" s="13" t="n">
        <f aca="false">-Construction!R32</f>
        <v>-16.2642619640191</v>
      </c>
      <c r="T9" s="13" t="n">
        <f aca="false">-Construction!S32</f>
        <v>-19.2733255858373</v>
      </c>
      <c r="U9" s="13" t="n">
        <f aca="false">-Construction!T32</f>
        <v>-22.1550018040191</v>
      </c>
      <c r="V9" s="13" t="n">
        <f aca="false">-Construction!U32</f>
        <v>-24.8128224876555</v>
      </c>
      <c r="W9" s="13" t="n">
        <f aca="false">-Construction!V32</f>
        <v>-27.1614504440191</v>
      </c>
      <c r="X9" s="13" t="n">
        <f aca="false">-Construction!W32</f>
        <v>-29.1279161894737</v>
      </c>
      <c r="Y9" s="13" t="n">
        <f aca="false">-Construction!X32</f>
        <v>-30.655328262201</v>
      </c>
      <c r="Z9" s="13" t="n">
        <f aca="false">-Construction!Y32</f>
        <v>-31.6979261385646</v>
      </c>
      <c r="AA9" s="13" t="n">
        <f aca="false">-Construction!Z32</f>
        <v>-32.226645702201</v>
      </c>
      <c r="AB9" s="13" t="n">
        <f aca="false">-Construction!AA32</f>
        <v>-33.369645702201</v>
      </c>
      <c r="AC9" s="13" t="n">
        <f aca="false">-Construction!AB32</f>
        <v>-31.6979261385646</v>
      </c>
      <c r="AD9" s="13" t="n">
        <f aca="false">-Construction!AC32</f>
        <v>-30.655328262201</v>
      </c>
      <c r="AE9" s="13" t="n">
        <f aca="false">-Construction!AD32</f>
        <v>-29.1279161894737</v>
      </c>
      <c r="AF9" s="13" t="n">
        <f aca="false">-Construction!AE32</f>
        <v>-27.1614504440191</v>
      </c>
      <c r="AG9" s="13" t="n">
        <f aca="false">-Construction!AF32</f>
        <v>-24.8128224876555</v>
      </c>
      <c r="AH9" s="13" t="n">
        <f aca="false">-Construction!AG32</f>
        <v>-22.1550018040191</v>
      </c>
      <c r="AI9" s="13" t="n">
        <f aca="false">-Construction!AH32</f>
        <v>-19.2733255858373</v>
      </c>
      <c r="AJ9" s="13" t="n">
        <f aca="false">-Construction!AI32</f>
        <v>-16.2642619640191</v>
      </c>
      <c r="AK9" s="13" t="n">
        <f aca="false">-Construction!AJ32</f>
        <v>-13.23602839311</v>
      </c>
      <c r="AL9" s="13" t="n">
        <f aca="false">-Construction!AK32</f>
        <v>-10.3048813385646</v>
      </c>
      <c r="AM9" s="13" t="n">
        <f aca="false">-Construction!AL32</f>
        <v>-7.59511627674641</v>
      </c>
      <c r="AN9" s="13" t="n">
        <f aca="false">-Construction!AM32</f>
        <v>-5.23288384038278</v>
      </c>
      <c r="AO9" s="13" t="n">
        <f aca="false">-Construction!AN32</f>
        <v>-3.34371627674641</v>
      </c>
      <c r="AP9" s="13" t="n">
        <f aca="false">-Construction!AO32</f>
        <v>-2.04139650947368</v>
      </c>
      <c r="AQ9" s="13" t="n">
        <f aca="false">-Construction!AP32</f>
        <v>-1.40755141856459</v>
      </c>
      <c r="AR9" s="13" t="n">
        <f aca="false">-Construction!AQ32</f>
        <v>-1.34076578947368</v>
      </c>
      <c r="AS9" s="13" t="n">
        <f aca="false">-Construction!AR32</f>
        <v>-1.34076578947368</v>
      </c>
      <c r="AT9" s="13" t="n">
        <f aca="false">-Construction!AS32</f>
        <v>-1.34076578947368</v>
      </c>
      <c r="AU9" s="13" t="n">
        <f aca="false">-Construction!AT32</f>
        <v>-1.34076578947368</v>
      </c>
      <c r="AV9" s="13" t="n">
        <f aca="false">-Construction!AU32</f>
        <v>-1.34076578947368</v>
      </c>
      <c r="AW9" s="13" t="n">
        <f aca="false">-Construction!AV32</f>
        <v>-49.5787657894737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1.86721444482732</v>
      </c>
      <c r="BS9" s="18" t="n">
        <f aca="false">Waterfall!Q7</f>
        <v>50.1694349259804</v>
      </c>
      <c r="BT9" s="18" t="n">
        <f aca="false">Waterfall!R7</f>
        <v>50.7589649640819</v>
      </c>
      <c r="BU9" s="18" t="n">
        <f aca="false">Waterfall!S7</f>
        <v>50.4233190401177</v>
      </c>
      <c r="BV9" s="18" t="n">
        <f aca="false">Waterfall!T7</f>
        <v>51.0022495144261</v>
      </c>
      <c r="BW9" s="18" t="n">
        <f aca="false">Waterfall!U7</f>
        <v>50.6723125847848</v>
      </c>
      <c r="BX9" s="18" t="n">
        <f aca="false">Waterfall!V7</f>
        <v>51.1693558860182</v>
      </c>
      <c r="BY9" s="18" t="n">
        <f aca="false">Waterfall!W7</f>
        <v>51.4024493908331</v>
      </c>
      <c r="BZ9" s="18" t="n">
        <f aca="false">Waterfall!X7</f>
        <v>51.9502968022351</v>
      </c>
      <c r="CA9" s="18" t="n">
        <f aca="false">Waterfall!Y7</f>
        <v>49.460994216498</v>
      </c>
      <c r="CB9" s="18" t="n">
        <f aca="false">Waterfall!Z7</f>
        <v>49.9717937201414</v>
      </c>
      <c r="CC9" s="18" t="n">
        <f aca="false">Waterfall!AA7</f>
        <v>49.3840999040299</v>
      </c>
      <c r="CD9" s="18" t="n">
        <f aca="false">Waterfall!AB7</f>
        <v>49.9820197005408</v>
      </c>
      <c r="CE9" s="18" t="n">
        <f aca="false">Waterfall!AC7</f>
        <v>49.6443667431118</v>
      </c>
      <c r="CF9" s="18" t="n">
        <f aca="false">Waterfall!AD7</f>
        <v>50.2015579797273</v>
      </c>
      <c r="CG9" s="18" t="n">
        <f aca="false">Waterfall!AE7</f>
        <v>51.3752461862275</v>
      </c>
      <c r="CH9" s="18" t="n">
        <f aca="false">Waterfall!AF7</f>
        <v>52.3831778159556</v>
      </c>
      <c r="CI9" s="18" t="n">
        <f aca="false">Waterfall!AG7</f>
        <v>51.5272391835451</v>
      </c>
      <c r="CJ9" s="18" t="n">
        <f aca="false">Waterfall!AH7</f>
        <v>52.1805404506068</v>
      </c>
      <c r="CK9" s="18" t="n">
        <f aca="false">Waterfall!AI7</f>
        <v>51.828817762181</v>
      </c>
      <c r="CL9" s="18" t="n">
        <f aca="false">Waterfall!AJ7</f>
        <v>52.4490966240749</v>
      </c>
      <c r="CM9" s="18" t="n">
        <f aca="false">Waterfall!AK7</f>
        <v>52.1049530907206</v>
      </c>
      <c r="CN9" s="18" t="n">
        <f aca="false">Waterfall!AL7</f>
        <v>52.6514512471158</v>
      </c>
      <c r="CO9" s="18" t="n">
        <f aca="false">Waterfall!AM7</f>
        <v>52.9846165065847</v>
      </c>
      <c r="CP9" s="18" t="n">
        <f aca="false">Waterfall!AN7</f>
        <v>53.5672342650934</v>
      </c>
      <c r="CQ9" s="18" t="n">
        <f aca="false">Waterfall!AO7</f>
        <v>50.6597042674252</v>
      </c>
      <c r="CR9" s="18" t="n">
        <f aca="false">Waterfall!AP7</f>
        <v>51.3388059528544</v>
      </c>
      <c r="CS9" s="18" t="n">
        <f aca="false">Waterfall!AQ7</f>
        <v>50.9858164161793</v>
      </c>
      <c r="CT9" s="18" t="n">
        <f aca="false">Waterfall!AR7</f>
        <v>45.7684670441939</v>
      </c>
      <c r="CU9" s="18" t="n">
        <f aca="false">Waterfall!AS7</f>
        <v>41.9268129884159</v>
      </c>
      <c r="CV9" s="18" t="n">
        <f aca="false">Waterfall!AT7</f>
        <v>42.2347040057773</v>
      </c>
      <c r="CW9" s="18" t="n">
        <f aca="false">Waterfall!AU7</f>
        <v>48.2341806460909</v>
      </c>
      <c r="CX9" s="18" t="n">
        <f aca="false">Waterfall!AV7</f>
        <v>44.7308529296943</v>
      </c>
      <c r="CY9" s="18" t="n">
        <f aca="false">Waterfall!AW7</f>
        <v>43.7748175628881</v>
      </c>
      <c r="CZ9" s="18" t="n">
        <f aca="false">Waterfall!AX7</f>
        <v>44.4336304565757</v>
      </c>
      <c r="DA9" s="18" t="n">
        <f aca="false">Waterfall!AY7</f>
        <v>44.0236843552615</v>
      </c>
      <c r="DB9" s="18" t="n">
        <f aca="false">Waterfall!AZ7</f>
        <v>44.6582600816764</v>
      </c>
      <c r="DC9" s="18" t="n">
        <f aca="false">Waterfall!BA7</f>
        <v>44.2710164827823</v>
      </c>
      <c r="DD9" s="18" t="n">
        <f aca="false">Waterfall!BB7</f>
        <v>44.8075520469647</v>
      </c>
      <c r="DE9" s="18" t="n">
        <f aca="false">Waterfall!BC7</f>
        <v>46.2384229041428</v>
      </c>
      <c r="DF9" s="18" t="n">
        <f aca="false">Waterfall!BD7</f>
        <v>43.7565474869321</v>
      </c>
      <c r="DG9" s="18" t="n">
        <f aca="false">Waterfall!BE7</f>
        <v>36.3322746036085</v>
      </c>
      <c r="DH9" s="18" t="n">
        <f aca="false">Waterfall!BF7</f>
        <v>37.0179331821482</v>
      </c>
      <c r="DI9" s="18" t="n">
        <f aca="false">Waterfall!BG7</f>
        <v>36.6019284859471</v>
      </c>
      <c r="DJ9" s="18" t="n">
        <f aca="false">Waterfall!BH7</f>
        <v>37.2618941056145</v>
      </c>
      <c r="DK9" s="18" t="n">
        <f aca="false">Waterfall!BI7</f>
        <v>36.8644421147541</v>
      </c>
      <c r="DL9" s="18" t="n">
        <f aca="false">Waterfall!BJ7</f>
        <v>37.4662807247034</v>
      </c>
      <c r="DM9" s="18" t="n">
        <f aca="false">Waterfall!BK7</f>
        <v>44.7156585725791</v>
      </c>
      <c r="DN9" s="18" t="n">
        <f aca="false">Waterfall!BL7</f>
        <v>40.4574124445196</v>
      </c>
      <c r="DO9" s="18" t="n">
        <f aca="false">Waterfall!BM7</f>
        <v>40.0598355094314</v>
      </c>
      <c r="DP9" s="18" t="n">
        <f aca="false">Waterfall!BN7</f>
        <v>37.2316444175279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1911.37586436736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-1.40755141856459</v>
      </c>
      <c r="M10" s="13" t="n">
        <f aca="false">-Construction!L32</f>
        <v>-2.04139650947368</v>
      </c>
      <c r="N10" s="13" t="n">
        <f aca="false">-Construction!M32</f>
        <v>-3.34371627674641</v>
      </c>
      <c r="O10" s="13" t="n">
        <f aca="false">-Construction!N32</f>
        <v>-5.23288384038278</v>
      </c>
      <c r="P10" s="13" t="n">
        <f aca="false">-Construction!O32</f>
        <v>-7.59511627674641</v>
      </c>
      <c r="Q10" s="13" t="n">
        <f aca="false">-Construction!P32</f>
        <v>-10.3048813385646</v>
      </c>
      <c r="R10" s="13" t="n">
        <f aca="false">-Construction!Q32</f>
        <v>-13.23602839311</v>
      </c>
      <c r="S10" s="13" t="n">
        <f aca="false">-Construction!R32</f>
        <v>-16.2642619640191</v>
      </c>
      <c r="T10" s="13" t="n">
        <f aca="false">-Construction!S32</f>
        <v>-19.2733255858373</v>
      </c>
      <c r="U10" s="13" t="n">
        <f aca="false">-Construction!T32</f>
        <v>-22.1550018040191</v>
      </c>
      <c r="V10" s="13" t="n">
        <f aca="false">-Construction!U32</f>
        <v>-24.8128224876555</v>
      </c>
      <c r="W10" s="13" t="n">
        <f aca="false">-Construction!V32</f>
        <v>-27.1614504440191</v>
      </c>
      <c r="X10" s="13" t="n">
        <f aca="false">-Construction!W32</f>
        <v>-29.1279161894737</v>
      </c>
      <c r="Y10" s="13" t="n">
        <f aca="false">-Construction!X32</f>
        <v>-30.655328262201</v>
      </c>
      <c r="Z10" s="13" t="n">
        <f aca="false">-Construction!Y32</f>
        <v>-31.6979261385646</v>
      </c>
      <c r="AA10" s="13" t="n">
        <f aca="false">-Construction!Z32</f>
        <v>-32.226645702201</v>
      </c>
      <c r="AB10" s="13" t="n">
        <f aca="false">-Construction!AA32</f>
        <v>-33.369645702201</v>
      </c>
      <c r="AC10" s="13" t="n">
        <f aca="false">-Construction!AB32</f>
        <v>-31.6979261385646</v>
      </c>
      <c r="AD10" s="13" t="n">
        <f aca="false">-Construction!AC32</f>
        <v>-30.655328262201</v>
      </c>
      <c r="AE10" s="13" t="n">
        <f aca="false">-Construction!AD32</f>
        <v>-29.1279161894737</v>
      </c>
      <c r="AF10" s="13" t="n">
        <f aca="false">-Construction!AE32</f>
        <v>-27.1614504440191</v>
      </c>
      <c r="AG10" s="13" t="n">
        <f aca="false">-Construction!AF32</f>
        <v>-24.8128224876555</v>
      </c>
      <c r="AH10" s="13" t="n">
        <f aca="false">-Construction!AG32</f>
        <v>-22.1550018040191</v>
      </c>
      <c r="AI10" s="13" t="n">
        <f aca="false">-Construction!AH32</f>
        <v>-19.2733255858373</v>
      </c>
      <c r="AJ10" s="13" t="n">
        <f aca="false">-Construction!AI32</f>
        <v>-16.2642619640191</v>
      </c>
      <c r="AK10" s="13" t="n">
        <f aca="false">-Construction!AJ32</f>
        <v>-13.23602839311</v>
      </c>
      <c r="AL10" s="13" t="n">
        <f aca="false">-Construction!AK32</f>
        <v>-10.3048813385646</v>
      </c>
      <c r="AM10" s="13" t="n">
        <f aca="false">-Construction!AL32</f>
        <v>-7.59511627674641</v>
      </c>
      <c r="AN10" s="13" t="n">
        <f aca="false">-Construction!AM32</f>
        <v>-5.23288384038278</v>
      </c>
      <c r="AO10" s="13" t="n">
        <f aca="false">-Construction!AN32</f>
        <v>-3.34371627674641</v>
      </c>
      <c r="AP10" s="13" t="n">
        <f aca="false">-Construction!AO32</f>
        <v>-2.04139650947368</v>
      </c>
      <c r="AQ10" s="13" t="n">
        <f aca="false">-Construction!AP32</f>
        <v>-1.40755141856459</v>
      </c>
      <c r="AR10" s="13" t="n">
        <f aca="false">-Construction!AQ32</f>
        <v>-1.34076578947368</v>
      </c>
      <c r="AS10" s="13" t="n">
        <f aca="false">-Construction!AR32</f>
        <v>-1.34076578947368</v>
      </c>
      <c r="AT10" s="13" t="n">
        <f aca="false">-Construction!AS32</f>
        <v>-1.34076578947368</v>
      </c>
      <c r="AU10" s="13" t="n">
        <f aca="false">-Construction!AT32</f>
        <v>-1.34076578947368</v>
      </c>
      <c r="AV10" s="13" t="n">
        <f aca="false">-Construction!AU32</f>
        <v>-1.34076578947368</v>
      </c>
      <c r="AW10" s="13" t="n">
        <f aca="false">-Construction!AV32</f>
        <v>-49.5787657894737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1.86721444482732</v>
      </c>
      <c r="BS10" s="13" t="n">
        <f aca="false">Waterfall!Q7+Tax!Q27</f>
        <v>50.1694349259804</v>
      </c>
      <c r="BT10" s="13" t="n">
        <f aca="false">Waterfall!R7+Tax!R27</f>
        <v>50.7589649640819</v>
      </c>
      <c r="BU10" s="13" t="n">
        <f aca="false">Waterfall!S7+Tax!S27</f>
        <v>50.4233190401177</v>
      </c>
      <c r="BV10" s="13" t="n">
        <f aca="false">Waterfall!T7+Tax!T27</f>
        <v>51.0022495144261</v>
      </c>
      <c r="BW10" s="13" t="n">
        <f aca="false">Waterfall!U7+Tax!U27</f>
        <v>50.6723125847848</v>
      </c>
      <c r="BX10" s="13" t="n">
        <f aca="false">Waterfall!V7+Tax!V27</f>
        <v>51.1693558860182</v>
      </c>
      <c r="BY10" s="13" t="n">
        <f aca="false">Waterfall!W7+Tax!W27</f>
        <v>51.4024493908331</v>
      </c>
      <c r="BZ10" s="13" t="n">
        <f aca="false">Waterfall!X7+Tax!X27</f>
        <v>51.9502968022351</v>
      </c>
      <c r="CA10" s="13" t="n">
        <f aca="false">Waterfall!Y7+Tax!Y27</f>
        <v>49.460994216498</v>
      </c>
      <c r="CB10" s="13" t="n">
        <f aca="false">Waterfall!Z7+Tax!Z27</f>
        <v>50.0903914918132</v>
      </c>
      <c r="CC10" s="13" t="n">
        <f aca="false">Waterfall!AA7+Tax!AA27</f>
        <v>49.741262059224</v>
      </c>
      <c r="CD10" s="13" t="n">
        <f aca="false">Waterfall!AB7+Tax!AB27</f>
        <v>50.3409763007287</v>
      </c>
      <c r="CE10" s="13" t="n">
        <f aca="false">Waterfall!AC7+Tax!AC27</f>
        <v>50.0052776162067</v>
      </c>
      <c r="CF10" s="13" t="n">
        <f aca="false">Waterfall!AD7+Tax!AD27</f>
        <v>50.563368302099</v>
      </c>
      <c r="CG10" s="13" t="n">
        <f aca="false">Waterfall!AE7+Tax!AE27</f>
        <v>51.7325320336533</v>
      </c>
      <c r="CH10" s="13" t="n">
        <f aca="false">Waterfall!AF7+Tax!AF27</f>
        <v>52.7476063432601</v>
      </c>
      <c r="CI10" s="13" t="n">
        <f aca="false">Waterfall!AG7+Tax!AG27</f>
        <v>51.8950463203738</v>
      </c>
      <c r="CJ10" s="13" t="n">
        <f aca="false">Waterfall!AH7+Tax!AH27</f>
        <v>52.5499716454015</v>
      </c>
      <c r="CK10" s="13" t="n">
        <f aca="false">Waterfall!AI7+Tax!AI27</f>
        <v>52.1997410525652</v>
      </c>
      <c r="CL10" s="13" t="n">
        <f aca="false">Waterfall!AJ7+Tax!AJ27</f>
        <v>52.821973597245</v>
      </c>
      <c r="CM10" s="13" t="n">
        <f aca="false">Waterfall!AK7+Tax!AK27</f>
        <v>52.4799571367726</v>
      </c>
      <c r="CN10" s="13" t="n">
        <f aca="false">Waterfall!AL7+Tax!AL27</f>
        <v>53.0277606816851</v>
      </c>
      <c r="CO10" s="13" t="n">
        <f aca="false">Waterfall!AM7+Tax!AM27</f>
        <v>53.3616922630188</v>
      </c>
      <c r="CP10" s="13" t="n">
        <f aca="false">Waterfall!AN7+Tax!AN27</f>
        <v>53.9467343041256</v>
      </c>
      <c r="CQ10" s="13" t="n">
        <f aca="false">Waterfall!AO7+Tax!AO27</f>
        <v>51.0422189695102</v>
      </c>
      <c r="CR10" s="13" t="n">
        <f aca="false">Waterfall!AP7+Tax!AP27</f>
        <v>51.7230900993886</v>
      </c>
      <c r="CS10" s="13" t="n">
        <f aca="false">Waterfall!AQ7+Tax!AQ27</f>
        <v>51.3717270109681</v>
      </c>
      <c r="CT10" s="13" t="n">
        <f aca="false">Waterfall!AR7+Tax!AR27</f>
        <v>52.0183590879784</v>
      </c>
      <c r="CU10" s="13" t="n">
        <f aca="false">Waterfall!AS7+Tax!AS27</f>
        <v>51.669415953588</v>
      </c>
      <c r="CV10" s="13" t="n">
        <f aca="false">Waterfall!AT7+Tax!AT27</f>
        <v>52.2908661632896</v>
      </c>
      <c r="CW10" s="13" t="n">
        <f aca="false">Waterfall!AU7+Tax!AU27</f>
        <v>53.8253318511153</v>
      </c>
      <c r="CX10" s="13" t="n">
        <f aca="false">Waterfall!AV7+Tax!AV27</f>
        <v>54.9104694089521</v>
      </c>
      <c r="CY10" s="13" t="n">
        <f aca="false">Waterfall!AW7+Tax!AW27</f>
        <v>53.9231129897648</v>
      </c>
      <c r="CZ10" s="13" t="n">
        <f aca="false">Waterfall!AX7+Tax!AX27</f>
        <v>54.6328352568461</v>
      </c>
      <c r="DA10" s="13" t="n">
        <f aca="false">Waterfall!AY7+Tax!AY27</f>
        <v>54.2803103678224</v>
      </c>
      <c r="DB10" s="13" t="n">
        <f aca="false">Waterfall!AZ7+Tax!AZ27</f>
        <v>54.9533824446912</v>
      </c>
      <c r="DC10" s="13" t="n">
        <f aca="false">Waterfall!BA7+Tax!BA27</f>
        <v>54.5968458972803</v>
      </c>
      <c r="DD10" s="13" t="n">
        <f aca="false">Waterfall!BB7+Tax!BB27</f>
        <v>55.2046845382451</v>
      </c>
      <c r="DE10" s="13" t="n">
        <f aca="false">Waterfall!BC7+Tax!BC27</f>
        <v>55.6593554839312</v>
      </c>
      <c r="DF10" s="13" t="n">
        <f aca="false">Waterfall!BD7+Tax!BD27</f>
        <v>56.287935219079</v>
      </c>
      <c r="DG10" s="13" t="n">
        <f aca="false">Waterfall!BE7+Tax!BE27</f>
        <v>52.8886658851121</v>
      </c>
      <c r="DH10" s="13" t="n">
        <f aca="false">Waterfall!BF7+Tax!BF27</f>
        <v>53.6298973204265</v>
      </c>
      <c r="DI10" s="13" t="n">
        <f aca="false">Waterfall!BG7+Tax!BG27</f>
        <v>53.2761838974868</v>
      </c>
      <c r="DJ10" s="13" t="n">
        <f aca="false">Waterfall!BH7+Tax!BH27</f>
        <v>53.9779093078791</v>
      </c>
      <c r="DK10" s="13" t="n">
        <f aca="false">Waterfall!BI7+Tax!BI27</f>
        <v>53.6130493418627</v>
      </c>
      <c r="DL10" s="13" t="n">
        <f aca="false">Waterfall!BJ7+Tax!BJ27</f>
        <v>54.3096782169848</v>
      </c>
      <c r="DM10" s="13" t="n">
        <f aca="false">Waterfall!BK7+Tax!BK27</f>
        <v>56.280122766645</v>
      </c>
      <c r="DN10" s="13" t="n">
        <f aca="false">Waterfall!BL7+Tax!BL27</f>
        <v>57.4478572106812</v>
      </c>
      <c r="DO10" s="13" t="n">
        <f aca="false">Waterfall!BM7+Tax!BM27</f>
        <v>57.0084549711701</v>
      </c>
      <c r="DP10" s="13" t="n">
        <f aca="false">Waterfall!BN7+Tax!BN27</f>
        <v>42.7829217886875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-32.0482315851686</v>
      </c>
      <c r="L11" s="13" t="n">
        <f aca="false">K11+L8</f>
        <v>-32.7059260360977</v>
      </c>
      <c r="M11" s="13" t="n">
        <f aca="false">L11+M8</f>
        <v>-33.5441847936506</v>
      </c>
      <c r="N11" s="13" t="n">
        <f aca="false">M11+N8</f>
        <v>-34.7285905295161</v>
      </c>
      <c r="O11" s="13" t="n">
        <f aca="false">N11+O8</f>
        <v>-36.4337810742734</v>
      </c>
      <c r="P11" s="13" t="n">
        <f aca="false">O11+P8</f>
        <v>-38.7831353192638</v>
      </c>
      <c r="Q11" s="13" t="n">
        <f aca="false">P11+Q8</f>
        <v>-41.847101955012</v>
      </c>
      <c r="R11" s="13" t="n">
        <f aca="false">Q11+R8</f>
        <v>-45.7365309958666</v>
      </c>
      <c r="S11" s="13" t="n">
        <f aca="false">R11+S8</f>
        <v>-50.4480184703954</v>
      </c>
      <c r="T11" s="13" t="n">
        <f aca="false">S11+T8</f>
        <v>-55.9968690445839</v>
      </c>
      <c r="U11" s="13" t="n">
        <f aca="false">T11+U8</f>
        <v>-62.3290166876854</v>
      </c>
      <c r="V11" s="13" t="n">
        <f aca="false">U11+V8</f>
        <v>-69.4124691718221</v>
      </c>
      <c r="W11" s="13" t="n">
        <f aca="false">V11+W8</f>
        <v>-77.1563012688278</v>
      </c>
      <c r="X11" s="13" t="n">
        <f aca="false">W11+X8</f>
        <v>-85.4491351059465</v>
      </c>
      <c r="Y11" s="13" t="n">
        <f aca="false">X11+Y8</f>
        <v>-94.196672419114</v>
      </c>
      <c r="Z11" s="13" t="n">
        <f aca="false">Y11+Z8</f>
        <v>-103.246688426827</v>
      </c>
      <c r="AA11" s="13" t="n">
        <f aca="false">Z11+AA8</f>
        <v>-112.486340948699</v>
      </c>
      <c r="AB11" s="13" t="n">
        <f aca="false">AA11+AB8</f>
        <v>-122.070669853415</v>
      </c>
      <c r="AC11" s="13" t="n">
        <f aca="false">AB11+AC8</f>
        <v>-131.212489362481</v>
      </c>
      <c r="AD11" s="13" t="n">
        <f aca="false">AC11+AD8</f>
        <v>-140.137104966822</v>
      </c>
      <c r="AE11" s="13" t="n">
        <f aca="false">AD11+AE8</f>
        <v>-148.668135605412</v>
      </c>
      <c r="AF11" s="13" t="n">
        <f aca="false">AE11+AF8</f>
        <v>-156.717131893177</v>
      </c>
      <c r="AG11" s="13" t="n">
        <f aca="false">AF11+AG8</f>
        <v>-164.146290893597</v>
      </c>
      <c r="AH11" s="13" t="n">
        <f aca="false">AG11+AH8</f>
        <v>-170.904705356231</v>
      </c>
      <c r="AI11" s="13" t="n">
        <f aca="false">AH11+AI8</f>
        <v>-176.911319956683</v>
      </c>
      <c r="AJ11" s="13" t="n">
        <f aca="false">AI11+AJ8</f>
        <v>-182.110373655788</v>
      </c>
      <c r="AK11" s="13" t="n">
        <f aca="false">AJ11+AK8</f>
        <v>-186.530198416186</v>
      </c>
      <c r="AL11" s="13" t="n">
        <f aca="false">AK11+AL8</f>
        <v>-190.156491502164</v>
      </c>
      <c r="AM11" s="13" t="n">
        <f aca="false">AL11+AM8</f>
        <v>-193.08369649506</v>
      </c>
      <c r="AN11" s="13" t="n">
        <f aca="false">AM11+AN8</f>
        <v>-195.384650767934</v>
      </c>
      <c r="AO11" s="13" t="n">
        <f aca="false">AN11+AO8</f>
        <v>-197.125123368439</v>
      </c>
      <c r="AP11" s="13" t="n">
        <f aca="false">AO11+AP8</f>
        <v>-198.577806955</v>
      </c>
      <c r="AQ11" s="13" t="n">
        <f aca="false">AP11+AQ8</f>
        <v>-199.843829810516</v>
      </c>
      <c r="AR11" s="13" t="n">
        <f aca="false">AQ11+AR8</f>
        <v>-201.112890826022</v>
      </c>
      <c r="AS11" s="13" t="n">
        <f aca="false">AR11+AS8</f>
        <v>-202.365587818517</v>
      </c>
      <c r="AT11" s="13" t="n">
        <f aca="false">AS11+AT8</f>
        <v>-203.668097393038</v>
      </c>
      <c r="AU11" s="13" t="n">
        <f aca="false">AT11+AU8</f>
        <v>-204.974678611431</v>
      </c>
      <c r="AV11" s="13" t="n">
        <f aca="false">AU11+AV8</f>
        <v>-206.255119663308</v>
      </c>
      <c r="AW11" s="13" t="n">
        <f aca="false">AV11+AW8</f>
        <v>-220.560548922334</v>
      </c>
      <c r="AX11" s="13" t="n">
        <f aca="false">AW11+AX8</f>
        <v>-232.20504488253</v>
      </c>
      <c r="AY11" s="13" t="n">
        <f aca="false">AX11+AY8</f>
        <v>-233.261537415273</v>
      </c>
      <c r="AZ11" s="13" t="n">
        <f aca="false">AY11+AZ8</f>
        <v>-233.261537415273</v>
      </c>
      <c r="BA11" s="13" t="n">
        <f aca="false">AZ11+BA8</f>
        <v>-233.261537415273</v>
      </c>
      <c r="BB11" s="13" t="n">
        <f aca="false">BA11+BB8</f>
        <v>-233.261537415273</v>
      </c>
      <c r="BC11" s="13" t="n">
        <f aca="false">BB11+BC8</f>
        <v>-233.261537415273</v>
      </c>
      <c r="BD11" s="13" t="n">
        <f aca="false">BC11+BD8</f>
        <v>-233.261537415273</v>
      </c>
      <c r="BE11" s="13" t="n">
        <f aca="false">BD11+BE8</f>
        <v>-233.261537415273</v>
      </c>
      <c r="BF11" s="13" t="n">
        <f aca="false">BE11+BF8</f>
        <v>-233.261537415273</v>
      </c>
      <c r="BG11" s="13" t="n">
        <f aca="false">BF11+BG8</f>
        <v>-233.261537415273</v>
      </c>
      <c r="BH11" s="13" t="n">
        <f aca="false">BG11+BH8</f>
        <v>-233.261537415273</v>
      </c>
      <c r="BI11" s="13" t="n">
        <f aca="false">BH11+BI8</f>
        <v>-233.261537415273</v>
      </c>
      <c r="BJ11" s="13" t="n">
        <f aca="false">BI11+BJ8</f>
        <v>-233.261537415273</v>
      </c>
      <c r="BK11" s="13" t="n">
        <f aca="false">BJ11+BK8</f>
        <v>-233.261537415273</v>
      </c>
      <c r="BL11" s="13" t="n">
        <f aca="false">BK11+BL8</f>
        <v>-233.261537415273</v>
      </c>
      <c r="BM11" s="13" t="n">
        <f aca="false">BL11+BM8</f>
        <v>-233.261537415273</v>
      </c>
      <c r="BN11" s="13" t="n">
        <f aca="false">BM11+BN8</f>
        <v>-233.261537415273</v>
      </c>
      <c r="BO11" s="13" t="n">
        <f aca="false">BN11+BO8</f>
        <v>-233.261537415273</v>
      </c>
      <c r="BP11" s="13" t="n">
        <f aca="false">BO11+BP8</f>
        <v>-233.261537415273</v>
      </c>
      <c r="BQ11" s="13" t="n">
        <f aca="false">BP11+BQ8</f>
        <v>-233.261537415273</v>
      </c>
      <c r="BR11" s="13" t="n">
        <f aca="false">BQ11+BR8</f>
        <v>-233.261537415273</v>
      </c>
      <c r="BS11" s="13" t="n">
        <f aca="false">BR11+BS8</f>
        <v>-221.327730871466</v>
      </c>
      <c r="BT11" s="13" t="n">
        <f aca="false">BS11+BT8</f>
        <v>-210.351731679098</v>
      </c>
      <c r="BU11" s="13" t="n">
        <f aca="false">BT11+BU8</f>
        <v>-200.157611341512</v>
      </c>
      <c r="BV11" s="13" t="n">
        <f aca="false">BU11+BV8</f>
        <v>-189.183608219817</v>
      </c>
      <c r="BW11" s="13" t="n">
        <f aca="false">BV11+BW8</f>
        <v>-179.299377646769</v>
      </c>
      <c r="BX11" s="13" t="n">
        <f aca="false">BW11+BX8</f>
        <v>-168.625920334882</v>
      </c>
      <c r="BY11" s="13" t="n">
        <f aca="false">BX11+BY8</f>
        <v>-156.56126790535</v>
      </c>
      <c r="BZ11" s="13" t="n">
        <f aca="false">BY11+BZ8</f>
        <v>-143.560113867698</v>
      </c>
      <c r="CA11" s="13" t="n">
        <f aca="false">BZ11+CA8</f>
        <v>-133.368825450661</v>
      </c>
      <c r="CB11" s="13" t="n">
        <f aca="false">CA11+CB8</f>
        <v>-122.341452820294</v>
      </c>
      <c r="CC11" s="13" t="n">
        <f aca="false">CB11+CC8</f>
        <v>-117.350086889045</v>
      </c>
      <c r="CD11" s="13" t="n">
        <f aca="false">CC11+CD8</f>
        <v>-111.484207988178</v>
      </c>
      <c r="CE11" s="13" t="n">
        <f aca="false">CD11+CE8</f>
        <v>-106.148755518419</v>
      </c>
      <c r="CF11" s="13" t="n">
        <f aca="false">CE11+CF8</f>
        <v>-100.252774678321</v>
      </c>
      <c r="CG11" s="13" t="n">
        <f aca="false">CF11+CG8</f>
        <v>-93.406724665612</v>
      </c>
      <c r="CH11" s="13" t="n">
        <f aca="false">CG11+CH8</f>
        <v>-85.3585127732732</v>
      </c>
      <c r="CI11" s="13" t="n">
        <f aca="false">CH11+CI8</f>
        <v>-77.2460235727554</v>
      </c>
      <c r="CJ11" s="13" t="n">
        <f aca="false">CI11+CJ8</f>
        <v>-67.938369459069</v>
      </c>
      <c r="CK11" s="13" t="n">
        <f aca="false">CJ11+CK8</f>
        <v>-57.9571084175473</v>
      </c>
      <c r="CL11" s="13" t="n">
        <f aca="false">CK11+CL8</f>
        <v>-46.3363316262547</v>
      </c>
      <c r="CM11" s="13" t="n">
        <f aca="false">CL11+CM8</f>
        <v>-33.3101196289966</v>
      </c>
      <c r="CN11" s="13" t="n">
        <f aca="false">CM11+CN8</f>
        <v>-4.56453705486992</v>
      </c>
      <c r="CO11" s="13" t="n">
        <f aca="false">CN11+CO8</f>
        <v>29.7958883662957</v>
      </c>
      <c r="CP11" s="13" t="n">
        <f aca="false">CO11+CP8</f>
        <v>64.1230839249129</v>
      </c>
      <c r="CQ11" s="13" t="n">
        <f aca="false">CP11+CQ8</f>
        <v>114.782788192338</v>
      </c>
      <c r="CR11" s="13" t="n">
        <f aca="false">CQ11+CR8</f>
        <v>166.121594145192</v>
      </c>
      <c r="CS11" s="13" t="n">
        <f aca="false">CR11+CS8</f>
        <v>217.107410561372</v>
      </c>
      <c r="CT11" s="13" t="n">
        <f aca="false">CS11+CT8</f>
        <v>262.875877605566</v>
      </c>
      <c r="CU11" s="13" t="n">
        <f aca="false">CT11+CU8</f>
        <v>304.802690593982</v>
      </c>
      <c r="CV11" s="13" t="n">
        <f aca="false">CU11+CV8</f>
        <v>347.037394599759</v>
      </c>
      <c r="CW11" s="13" t="n">
        <f aca="false">CV11+CW8</f>
        <v>395.27157524585</v>
      </c>
      <c r="CX11" s="13" t="n">
        <f aca="false">CW11+CX8</f>
        <v>440.002428175544</v>
      </c>
      <c r="CY11" s="13" t="n">
        <f aca="false">CX11+CY8</f>
        <v>483.777245738432</v>
      </c>
      <c r="CZ11" s="13" t="n">
        <f aca="false">CY11+CZ8</f>
        <v>528.210876195008</v>
      </c>
      <c r="DA11" s="13" t="n">
        <f aca="false">CZ11+DA8</f>
        <v>572.234560550269</v>
      </c>
      <c r="DB11" s="13" t="n">
        <f aca="false">DA11+DB8</f>
        <v>616.892820631946</v>
      </c>
      <c r="DC11" s="13" t="n">
        <f aca="false">DB11+DC8</f>
        <v>661.163837114728</v>
      </c>
      <c r="DD11" s="13" t="n">
        <f aca="false">DC11+DD8</f>
        <v>705.471005743478</v>
      </c>
      <c r="DE11" s="13" t="n">
        <f aca="false">DD11+DE8</f>
        <v>750.191855574278</v>
      </c>
      <c r="DF11" s="13" t="n">
        <f aca="false">DE11+DF8</f>
        <v>792.414227500964</v>
      </c>
      <c r="DG11" s="13" t="n">
        <f aca="false">DF11+DG8</f>
        <v>827.195542423617</v>
      </c>
      <c r="DH11" s="13" t="n">
        <f aca="false">DG11+DH8</f>
        <v>862.645548183193</v>
      </c>
      <c r="DI11" s="13" t="n">
        <f aca="false">DH11+DI8</f>
        <v>897.662395875203</v>
      </c>
      <c r="DJ11" s="13" t="n">
        <f aca="false">DI11+DJ8</f>
        <v>933.321868154949</v>
      </c>
      <c r="DK11" s="13" t="n">
        <f aca="false">DJ11+DK8</f>
        <v>968.5663576983</v>
      </c>
      <c r="DL11" s="13" t="n">
        <f aca="false">DK11+DL8</f>
        <v>1004.39496331697</v>
      </c>
      <c r="DM11" s="13" t="n">
        <f aca="false">DL11+DM8</f>
        <v>1047.45503036157</v>
      </c>
      <c r="DN11" s="13" t="n">
        <f aca="false">DM11+DN8</f>
        <v>1086.23873884772</v>
      </c>
      <c r="DO11" s="13" t="n">
        <f aca="false">DN11+DO8</f>
        <v>1124.60655981556</v>
      </c>
      <c r="DP11" s="13" t="n">
        <f aca="false">DO11+DP8</f>
        <v>1179.9756637136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0.11978670130605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0.104497055158817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0.109446763015916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-68.379643444101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887.498302759213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654.23676534394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233.261537415273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83.9677507839753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22.4774635622448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21.2954067119452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39.603216907776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3.47055717497824E-013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1.15685239165941E-013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1.25451733355086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1.45295216521129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1.34879260324843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1.80019409355663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0.11978670130605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0.104497055158817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-68.379643444101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2026-10-03T23:43:43Z</dcterms:created>
  <dc:creator>openpyxl</dc:creator>
  <dc:description/>
  <dc:language>en-US</dc:language>
  <cp:lastModifiedBy/>
  <dcterms:modified xsi:type="dcterms:W3CDTF">2026-10-03T23:43:44Z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