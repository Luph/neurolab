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<sst xmlns="http://schemas.openxmlformats.org/spreadsheetml/2006/main" count="2466" uniqueCount="947">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</sst>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8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1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1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6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2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44501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53631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39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7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8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41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57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44501</v>
      </c>
      <c r="K28" s="9" t="n">
        <f aca="false">MAX(K22,$F$8)</f>
        <v>44501</v>
      </c>
      <c r="L28" s="9" t="n">
        <f aca="false">MAX(L22,$F$8)</f>
        <v>44501</v>
      </c>
      <c r="M28" s="9" t="n">
        <f aca="false">MAX(M22,$F$8)</f>
        <v>44501</v>
      </c>
      <c r="N28" s="9" t="n">
        <f aca="false">MAX(N22,$F$8)</f>
        <v>44501</v>
      </c>
      <c r="O28" s="9" t="n">
        <f aca="false">MAX(O22,$F$8)</f>
        <v>44501</v>
      </c>
      <c r="P28" s="9" t="n">
        <f aca="false">MAX(P22,$F$8)</f>
        <v>44501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53508</v>
      </c>
      <c r="BN29" s="9" t="n">
        <f aca="false">MIN(BN23,$F$10)</f>
        <v>53631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0</v>
      </c>
      <c r="P30" s="10" t="n">
        <f aca="false">IF(P29&gt;=P28,(YEAR(P29)-YEAR(P28))*12+MONTH(P29)-MONTH(P28)+1,0)</f>
        <v>2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6</v>
      </c>
      <c r="BN30" s="10" t="n">
        <f aca="false">IF(BN29&gt;=BN28,(YEAR(BN29)-YEAR(BN28))*12+MONTH(BN29)-MONTH(BN28)+1,0)</f>
        <v>4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0</v>
      </c>
      <c r="P31" s="10" t="n">
        <f aca="false">IF(P29&gt;=P28,P29-P28+1,0)</f>
        <v>61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181</v>
      </c>
      <c r="BN31" s="10" t="n">
        <f aca="false">IF(BN29&gt;=BN28,BN29-BN28+1,0)</f>
        <v>123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0</v>
      </c>
      <c r="Q32" s="10" t="n">
        <f aca="false">MIN(MAX((YEAR(Q22)-YEAR($F$8))*12+MONTH(Q22)-MONTH($F$8),0),$F$9)</f>
        <v>2</v>
      </c>
      <c r="R32" s="10" t="n">
        <f aca="false">MIN(MAX((YEAR(R22)-YEAR($F$8))*12+MONTH(R22)-MONTH($F$8),0),$F$9)</f>
        <v>8</v>
      </c>
      <c r="S32" s="10" t="n">
        <f aca="false">MIN(MAX((YEAR(S22)-YEAR($F$8))*12+MONTH(S22)-MONTH($F$8),0),$F$9)</f>
        <v>14</v>
      </c>
      <c r="T32" s="10" t="n">
        <f aca="false">MIN(MAX((YEAR(T22)-YEAR($F$8))*12+MONTH(T22)-MONTH($F$8),0),$F$9)</f>
        <v>20</v>
      </c>
      <c r="U32" s="10" t="n">
        <f aca="false">MIN(MAX((YEAR(U22)-YEAR($F$8))*12+MONTH(U22)-MONTH($F$8),0),$F$9)</f>
        <v>26</v>
      </c>
      <c r="V32" s="10" t="n">
        <f aca="false">MIN(MAX((YEAR(V22)-YEAR($F$8))*12+MONTH(V22)-MONTH($F$8),0),$F$9)</f>
        <v>32</v>
      </c>
      <c r="W32" s="10" t="n">
        <f aca="false">MIN(MAX((YEAR(W22)-YEAR($F$8))*12+MONTH(W22)-MONTH($F$8),0),$F$9)</f>
        <v>38</v>
      </c>
      <c r="X32" s="10" t="n">
        <f aca="false">MIN(MAX((YEAR(X22)-YEAR($F$8))*12+MONTH(X22)-MONTH($F$8),0),$F$9)</f>
        <v>44</v>
      </c>
      <c r="Y32" s="10" t="n">
        <f aca="false">MIN(MAX((YEAR(Y22)-YEAR($F$8))*12+MONTH(Y22)-MONTH($F$8),0),$F$9)</f>
        <v>50</v>
      </c>
      <c r="Z32" s="10" t="n">
        <f aca="false">MIN(MAX((YEAR(Z22)-YEAR($F$8))*12+MONTH(Z22)-MONTH($F$8),0),$F$9)</f>
        <v>56</v>
      </c>
      <c r="AA32" s="10" t="n">
        <f aca="false">MIN(MAX((YEAR(AA22)-YEAR($F$8))*12+MONTH(AA22)-MONTH($F$8),0),$F$9)</f>
        <v>62</v>
      </c>
      <c r="AB32" s="10" t="n">
        <f aca="false">MIN(MAX((YEAR(AB22)-YEAR($F$8))*12+MONTH(AB22)-MONTH($F$8),0),$F$9)</f>
        <v>68</v>
      </c>
      <c r="AC32" s="10" t="n">
        <f aca="false">MIN(MAX((YEAR(AC22)-YEAR($F$8))*12+MONTH(AC22)-MONTH($F$8),0),$F$9)</f>
        <v>74</v>
      </c>
      <c r="AD32" s="10" t="n">
        <f aca="false">MIN(MAX((YEAR(AD22)-YEAR($F$8))*12+MONTH(AD22)-MONTH($F$8),0),$F$9)</f>
        <v>80</v>
      </c>
      <c r="AE32" s="10" t="n">
        <f aca="false">MIN(MAX((YEAR(AE22)-YEAR($F$8))*12+MONTH(AE22)-MONTH($F$8),0),$F$9)</f>
        <v>86</v>
      </c>
      <c r="AF32" s="10" t="n">
        <f aca="false">MIN(MAX((YEAR(AF22)-YEAR($F$8))*12+MONTH(AF22)-MONTH($F$8),0),$F$9)</f>
        <v>92</v>
      </c>
      <c r="AG32" s="10" t="n">
        <f aca="false">MIN(MAX((YEAR(AG22)-YEAR($F$8))*12+MONTH(AG22)-MONTH($F$8),0),$F$9)</f>
        <v>98</v>
      </c>
      <c r="AH32" s="10" t="n">
        <f aca="false">MIN(MAX((YEAR(AH22)-YEAR($F$8))*12+MONTH(AH22)-MONTH($F$8),0),$F$9)</f>
        <v>104</v>
      </c>
      <c r="AI32" s="10" t="n">
        <f aca="false">MIN(MAX((YEAR(AI22)-YEAR($F$8))*12+MONTH(AI22)-MONTH($F$8),0),$F$9)</f>
        <v>110</v>
      </c>
      <c r="AJ32" s="10" t="n">
        <f aca="false">MIN(MAX((YEAR(AJ22)-YEAR($F$8))*12+MONTH(AJ22)-MONTH($F$8),0),$F$9)</f>
        <v>116</v>
      </c>
      <c r="AK32" s="10" t="n">
        <f aca="false">MIN(MAX((YEAR(AK22)-YEAR($F$8))*12+MONTH(AK22)-MONTH($F$8),0),$F$9)</f>
        <v>122</v>
      </c>
      <c r="AL32" s="10" t="n">
        <f aca="false">MIN(MAX((YEAR(AL22)-YEAR($F$8))*12+MONTH(AL22)-MONTH($F$8),0),$F$9)</f>
        <v>128</v>
      </c>
      <c r="AM32" s="10" t="n">
        <f aca="false">MIN(MAX((YEAR(AM22)-YEAR($F$8))*12+MONTH(AM22)-MONTH($F$8),0),$F$9)</f>
        <v>134</v>
      </c>
      <c r="AN32" s="10" t="n">
        <f aca="false">MIN(MAX((YEAR(AN22)-YEAR($F$8))*12+MONTH(AN22)-MONTH($F$8),0),$F$9)</f>
        <v>140</v>
      </c>
      <c r="AO32" s="10" t="n">
        <f aca="false">MIN(MAX((YEAR(AO22)-YEAR($F$8))*12+MONTH(AO22)-MONTH($F$8),0),$F$9)</f>
        <v>146</v>
      </c>
      <c r="AP32" s="10" t="n">
        <f aca="false">MIN(MAX((YEAR(AP22)-YEAR($F$8))*12+MONTH(AP22)-MONTH($F$8),0),$F$9)</f>
        <v>152</v>
      </c>
      <c r="AQ32" s="10" t="n">
        <f aca="false">MIN(MAX((YEAR(AQ22)-YEAR($F$8))*12+MONTH(AQ22)-MONTH($F$8),0),$F$9)</f>
        <v>158</v>
      </c>
      <c r="AR32" s="10" t="n">
        <f aca="false">MIN(MAX((YEAR(AR22)-YEAR($F$8))*12+MONTH(AR22)-MONTH($F$8),0),$F$9)</f>
        <v>164</v>
      </c>
      <c r="AS32" s="10" t="n">
        <f aca="false">MIN(MAX((YEAR(AS22)-YEAR($F$8))*12+MONTH(AS22)-MONTH($F$8),0),$F$9)</f>
        <v>170</v>
      </c>
      <c r="AT32" s="10" t="n">
        <f aca="false">MIN(MAX((YEAR(AT22)-YEAR($F$8))*12+MONTH(AT22)-MONTH($F$8),0),$F$9)</f>
        <v>176</v>
      </c>
      <c r="AU32" s="10" t="n">
        <f aca="false">MIN(MAX((YEAR(AU22)-YEAR($F$8))*12+MONTH(AU22)-MONTH($F$8),0),$F$9)</f>
        <v>182</v>
      </c>
      <c r="AV32" s="10" t="n">
        <f aca="false">MIN(MAX((YEAR(AV22)-YEAR($F$8))*12+MONTH(AV22)-MONTH($F$8),0),$F$9)</f>
        <v>188</v>
      </c>
      <c r="AW32" s="10" t="n">
        <f aca="false">MIN(MAX((YEAR(AW22)-YEAR($F$8))*12+MONTH(AW22)-MONTH($F$8),0),$F$9)</f>
        <v>194</v>
      </c>
      <c r="AX32" s="10" t="n">
        <f aca="false">MIN(MAX((YEAR(AX22)-YEAR($F$8))*12+MONTH(AX22)-MONTH($F$8),0),$F$9)</f>
        <v>200</v>
      </c>
      <c r="AY32" s="10" t="n">
        <f aca="false">MIN(MAX((YEAR(AY22)-YEAR($F$8))*12+MONTH(AY22)-MONTH($F$8),0),$F$9)</f>
        <v>206</v>
      </c>
      <c r="AZ32" s="10" t="n">
        <f aca="false">MIN(MAX((YEAR(AZ22)-YEAR($F$8))*12+MONTH(AZ22)-MONTH($F$8),0),$F$9)</f>
        <v>212</v>
      </c>
      <c r="BA32" s="10" t="n">
        <f aca="false">MIN(MAX((YEAR(BA22)-YEAR($F$8))*12+MONTH(BA22)-MONTH($F$8),0),$F$9)</f>
        <v>218</v>
      </c>
      <c r="BB32" s="10" t="n">
        <f aca="false">MIN(MAX((YEAR(BB22)-YEAR($F$8))*12+MONTH(BB22)-MONTH($F$8),0),$F$9)</f>
        <v>224</v>
      </c>
      <c r="BC32" s="10" t="n">
        <f aca="false">MIN(MAX((YEAR(BC22)-YEAR($F$8))*12+MONTH(BC22)-MONTH($F$8),0),$F$9)</f>
        <v>230</v>
      </c>
      <c r="BD32" s="10" t="n">
        <f aca="false">MIN(MAX((YEAR(BD22)-YEAR($F$8))*12+MONTH(BD22)-MONTH($F$8),0),$F$9)</f>
        <v>236</v>
      </c>
      <c r="BE32" s="10" t="n">
        <f aca="false">MIN(MAX((YEAR(BE22)-YEAR($F$8))*12+MONTH(BE22)-MONTH($F$8),0),$F$9)</f>
        <v>242</v>
      </c>
      <c r="BF32" s="10" t="n">
        <f aca="false">MIN(MAX((YEAR(BF22)-YEAR($F$8))*12+MONTH(BF22)-MONTH($F$8),0),$F$9)</f>
        <v>248</v>
      </c>
      <c r="BG32" s="10" t="n">
        <f aca="false">MIN(MAX((YEAR(BG22)-YEAR($F$8))*12+MONTH(BG22)-MONTH($F$8),0),$F$9)</f>
        <v>254</v>
      </c>
      <c r="BH32" s="10" t="n">
        <f aca="false">MIN(MAX((YEAR(BH22)-YEAR($F$8))*12+MONTH(BH22)-MONTH($F$8),0),$F$9)</f>
        <v>260</v>
      </c>
      <c r="BI32" s="10" t="n">
        <f aca="false">MIN(MAX((YEAR(BI22)-YEAR($F$8))*12+MONTH(BI22)-MONTH($F$8),0),$F$9)</f>
        <v>266</v>
      </c>
      <c r="BJ32" s="10" t="n">
        <f aca="false">MIN(MAX((YEAR(BJ22)-YEAR($F$8))*12+MONTH(BJ22)-MONTH($F$8),0),$F$9)</f>
        <v>272</v>
      </c>
      <c r="BK32" s="10" t="n">
        <f aca="false">MIN(MAX((YEAR(BK22)-YEAR($F$8))*12+MONTH(BK22)-MONTH($F$8),0),$F$9)</f>
        <v>278</v>
      </c>
      <c r="BL32" s="10" t="n">
        <f aca="false">MIN(MAX((YEAR(BL22)-YEAR($F$8))*12+MONTH(BL22)-MONTH($F$8),0),$F$9)</f>
        <v>284</v>
      </c>
      <c r="BM32" s="10" t="n">
        <f aca="false">MIN(MAX((YEAR(BM22)-YEAR($F$8))*12+MONTH(BM22)-MONTH($F$8),0),$F$9)</f>
        <v>290</v>
      </c>
      <c r="BN32" s="10" t="n">
        <f aca="false">MIN(MAX((YEAR(BN22)-YEAR($F$8))*12+MONTH(BN22)-MONTH($F$8),0),$F$9)</f>
        <v>296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0</v>
      </c>
      <c r="P33" s="10" t="n">
        <f aca="false">P32+P30</f>
        <v>2</v>
      </c>
      <c r="Q33" s="10" t="n">
        <f aca="false">Q32+Q30</f>
        <v>8</v>
      </c>
      <c r="R33" s="10" t="n">
        <f aca="false">R32+R30</f>
        <v>14</v>
      </c>
      <c r="S33" s="10" t="n">
        <f aca="false">S32+S30</f>
        <v>20</v>
      </c>
      <c r="T33" s="10" t="n">
        <f aca="false">T32+T30</f>
        <v>26</v>
      </c>
      <c r="U33" s="10" t="n">
        <f aca="false">U32+U30</f>
        <v>32</v>
      </c>
      <c r="V33" s="10" t="n">
        <f aca="false">V32+V30</f>
        <v>38</v>
      </c>
      <c r="W33" s="10" t="n">
        <f aca="false">W32+W30</f>
        <v>44</v>
      </c>
      <c r="X33" s="10" t="n">
        <f aca="false">X32+X30</f>
        <v>50</v>
      </c>
      <c r="Y33" s="10" t="n">
        <f aca="false">Y32+Y30</f>
        <v>56</v>
      </c>
      <c r="Z33" s="10" t="n">
        <f aca="false">Z32+Z30</f>
        <v>62</v>
      </c>
      <c r="AA33" s="10" t="n">
        <f aca="false">AA32+AA30</f>
        <v>68</v>
      </c>
      <c r="AB33" s="10" t="n">
        <f aca="false">AB32+AB30</f>
        <v>74</v>
      </c>
      <c r="AC33" s="10" t="n">
        <f aca="false">AC32+AC30</f>
        <v>80</v>
      </c>
      <c r="AD33" s="10" t="n">
        <f aca="false">AD32+AD30</f>
        <v>86</v>
      </c>
      <c r="AE33" s="10" t="n">
        <f aca="false">AE32+AE30</f>
        <v>92</v>
      </c>
      <c r="AF33" s="10" t="n">
        <f aca="false">AF32+AF30</f>
        <v>98</v>
      </c>
      <c r="AG33" s="10" t="n">
        <f aca="false">AG32+AG30</f>
        <v>104</v>
      </c>
      <c r="AH33" s="10" t="n">
        <f aca="false">AH32+AH30</f>
        <v>110</v>
      </c>
      <c r="AI33" s="10" t="n">
        <f aca="false">AI32+AI30</f>
        <v>116</v>
      </c>
      <c r="AJ33" s="10" t="n">
        <f aca="false">AJ32+AJ30</f>
        <v>122</v>
      </c>
      <c r="AK33" s="10" t="n">
        <f aca="false">AK32+AK30</f>
        <v>128</v>
      </c>
      <c r="AL33" s="10" t="n">
        <f aca="false">AL32+AL30</f>
        <v>134</v>
      </c>
      <c r="AM33" s="10" t="n">
        <f aca="false">AM32+AM30</f>
        <v>140</v>
      </c>
      <c r="AN33" s="10" t="n">
        <f aca="false">AN32+AN30</f>
        <v>146</v>
      </c>
      <c r="AO33" s="10" t="n">
        <f aca="false">AO32+AO30</f>
        <v>152</v>
      </c>
      <c r="AP33" s="10" t="n">
        <f aca="false">AP32+AP30</f>
        <v>158</v>
      </c>
      <c r="AQ33" s="10" t="n">
        <f aca="false">AQ32+AQ30</f>
        <v>164</v>
      </c>
      <c r="AR33" s="10" t="n">
        <f aca="false">AR32+AR30</f>
        <v>170</v>
      </c>
      <c r="AS33" s="10" t="n">
        <f aca="false">AS32+AS30</f>
        <v>176</v>
      </c>
      <c r="AT33" s="10" t="n">
        <f aca="false">AT32+AT30</f>
        <v>182</v>
      </c>
      <c r="AU33" s="10" t="n">
        <f aca="false">AU32+AU30</f>
        <v>188</v>
      </c>
      <c r="AV33" s="10" t="n">
        <f aca="false">AV32+AV30</f>
        <v>194</v>
      </c>
      <c r="AW33" s="10" t="n">
        <f aca="false">AW32+AW30</f>
        <v>200</v>
      </c>
      <c r="AX33" s="10" t="n">
        <f aca="false">AX32+AX30</f>
        <v>206</v>
      </c>
      <c r="AY33" s="10" t="n">
        <f aca="false">AY32+AY30</f>
        <v>212</v>
      </c>
      <c r="AZ33" s="10" t="n">
        <f aca="false">AZ32+AZ30</f>
        <v>218</v>
      </c>
      <c r="BA33" s="10" t="n">
        <f aca="false">BA32+BA30</f>
        <v>224</v>
      </c>
      <c r="BB33" s="10" t="n">
        <f aca="false">BB32+BB30</f>
        <v>230</v>
      </c>
      <c r="BC33" s="10" t="n">
        <f aca="false">BC32+BC30</f>
        <v>236</v>
      </c>
      <c r="BD33" s="10" t="n">
        <f aca="false">BD32+BD30</f>
        <v>242</v>
      </c>
      <c r="BE33" s="10" t="n">
        <f aca="false">BE32+BE30</f>
        <v>248</v>
      </c>
      <c r="BF33" s="10" t="n">
        <f aca="false">BF32+BF30</f>
        <v>254</v>
      </c>
      <c r="BG33" s="10" t="n">
        <f aca="false">BG32+BG30</f>
        <v>260</v>
      </c>
      <c r="BH33" s="10" t="n">
        <f aca="false">BH32+BH30</f>
        <v>266</v>
      </c>
      <c r="BI33" s="10" t="n">
        <f aca="false">BI32+BI30</f>
        <v>272</v>
      </c>
      <c r="BJ33" s="10" t="n">
        <f aca="false">BJ32+BJ30</f>
        <v>278</v>
      </c>
      <c r="BK33" s="10" t="n">
        <f aca="false">BK32+BK30</f>
        <v>284</v>
      </c>
      <c r="BL33" s="10" t="n">
        <f aca="false">BL32+BL30</f>
        <v>290</v>
      </c>
      <c r="BM33" s="10" t="n">
        <f aca="false">BM32+BM30</f>
        <v>296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0</v>
      </c>
      <c r="P34" s="10" t="n">
        <f aca="false">IF(P20=$F$12,1,0)</f>
        <v>1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0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0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1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0</v>
      </c>
      <c r="BN37" s="10" t="n">
        <f aca="false">IF(AND(BN30&gt;0,BO30=0),1,0)</f>
        <v>1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0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0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0</v>
      </c>
      <c r="U44" s="10" t="n">
        <f aca="false">Inputs!$F$49*IF(AND(U22&gt;=Inputs!$F$201,U23&lt;=Inputs!$F$202),1,0)</f>
        <v>0</v>
      </c>
      <c r="V44" s="10" t="n">
        <f aca="false">Inputs!$F$49*IF(AND(V22&gt;=Inputs!$F$201,V23&lt;=Inputs!$F$202),1,0)</f>
        <v>0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0</v>
      </c>
      <c r="V45" s="10" t="n">
        <f aca="false">Inputs!$F$49*IF(AND(V23&gt;=Inputs!$F$203,V23&lt;=Inputs!$F$204),1,0)</f>
        <v>0</v>
      </c>
      <c r="W45" s="10" t="n">
        <f aca="false">Inputs!$F$49*IF(AND(W23&gt;=Inputs!$F$203,W23&lt;=Inputs!$F$204),1,0)</f>
        <v>0</v>
      </c>
      <c r="X45" s="10" t="n">
        <f aca="false">Inputs!$F$49*IF(AND(X23&gt;=Inputs!$F$203,X23&lt;=Inputs!$F$204),1,0)</f>
        <v>0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0</v>
      </c>
      <c r="K46" s="10" t="n">
        <f aca="false">SUM(K45:BN45)</f>
        <v>0</v>
      </c>
      <c r="L46" s="10" t="n">
        <f aca="false">SUM(L45:BN45)</f>
        <v>0</v>
      </c>
      <c r="M46" s="10" t="n">
        <f aca="false">SUM(M45:BN45)</f>
        <v>0</v>
      </c>
      <c r="N46" s="10" t="n">
        <f aca="false">SUM(N45:BN45)</f>
        <v>0</v>
      </c>
      <c r="O46" s="10" t="n">
        <f aca="false">SUM(O45:BN45)</f>
        <v>0</v>
      </c>
      <c r="P46" s="10" t="n">
        <f aca="false">SUM(P45:BN45)</f>
        <v>0</v>
      </c>
      <c r="Q46" s="10" t="n">
        <f aca="false">SUM(Q45:BN45)</f>
        <v>0</v>
      </c>
      <c r="R46" s="10" t="n">
        <f aca="false">SUM(R45:BN45)</f>
        <v>0</v>
      </c>
      <c r="S46" s="10" t="n">
        <f aca="false">SUM(S45:BN45)</f>
        <v>0</v>
      </c>
      <c r="T46" s="10" t="n">
        <f aca="false">SUM(T45:BN45)</f>
        <v>0</v>
      </c>
      <c r="U46" s="10" t="n">
        <f aca="false">SUM(U45:BN45)</f>
        <v>0</v>
      </c>
      <c r="V46" s="10" t="n">
        <f aca="false">SUM(V45:BN45)</f>
        <v>0</v>
      </c>
      <c r="W46" s="10" t="n">
        <f aca="false">SUM(W45:BN45)</f>
        <v>0</v>
      </c>
      <c r="X46" s="10" t="n">
        <f aca="false">SUM(X45:BN45)</f>
        <v>0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0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0</v>
      </c>
      <c r="Y48" s="10" t="n">
        <f aca="false">Inputs!$F$50*IF(Y23&gt;Inputs!$F$205,1,0)</f>
        <v>0</v>
      </c>
      <c r="Z48" s="10" t="n">
        <f aca="false">Inputs!$F$50*IF(Z23&gt;Inputs!$F$205,1,0)</f>
        <v>0</v>
      </c>
      <c r="AA48" s="10" t="n">
        <f aca="false">Inputs!$F$50*IF(AA23&gt;Inputs!$F$205,1,0)</f>
        <v>0</v>
      </c>
      <c r="AB48" s="10" t="n">
        <f aca="false">Inputs!$F$50*IF(AB23&gt;Inputs!$F$205,1,0)</f>
        <v>0</v>
      </c>
      <c r="AC48" s="10" t="n">
        <f aca="false">Inputs!$F$50*IF(AC23&gt;Inputs!$F$205,1,0)</f>
        <v>0</v>
      </c>
      <c r="AD48" s="10" t="n">
        <f aca="false">Inputs!$F$50*IF(AD23&gt;Inputs!$F$205,1,0)</f>
        <v>0</v>
      </c>
      <c r="AE48" s="10" t="n">
        <f aca="false">Inputs!$F$50*IF(AE23&gt;Inputs!$F$205,1,0)</f>
        <v>0</v>
      </c>
      <c r="AF48" s="10" t="n">
        <f aca="false">Inputs!$F$50*IF(AF23&gt;Inputs!$F$205,1,0)</f>
        <v>0</v>
      </c>
      <c r="AG48" s="10" t="n">
        <f aca="false">Inputs!$F$50*IF(AG23&gt;Inputs!$F$205,1,0)</f>
        <v>0</v>
      </c>
      <c r="AH48" s="10" t="n">
        <f aca="false">Inputs!$F$50*IF(AH23&gt;Inputs!$F$205,1,0)</f>
        <v>0</v>
      </c>
      <c r="AI48" s="10" t="n">
        <f aca="false">Inputs!$F$50*IF(AI23&gt;Inputs!$F$205,1,0)</f>
        <v>0</v>
      </c>
      <c r="AJ48" s="10" t="n">
        <f aca="false">Inputs!$F$50*IF(AJ23&gt;Inputs!$F$205,1,0)</f>
        <v>0</v>
      </c>
      <c r="AK48" s="10" t="n">
        <f aca="false">Inputs!$F$50*IF(AK23&gt;Inputs!$F$205,1,0)</f>
        <v>0</v>
      </c>
      <c r="AL48" s="10" t="n">
        <f aca="false">Inputs!$F$50*IF(AL23&gt;Inputs!$F$205,1,0)</f>
        <v>0</v>
      </c>
      <c r="AM48" s="10" t="n">
        <f aca="false">Inputs!$F$50*IF(AM23&gt;Inputs!$F$205,1,0)</f>
        <v>0</v>
      </c>
      <c r="AN48" s="10" t="n">
        <f aca="false">Inputs!$F$50*IF(AN23&gt;Inputs!$F$205,1,0)</f>
        <v>0</v>
      </c>
      <c r="AO48" s="10" t="n">
        <f aca="false">Inputs!$F$50*IF(AO23&gt;Inputs!$F$205,1,0)</f>
        <v>0</v>
      </c>
      <c r="AP48" s="10" t="n">
        <f aca="false">Inputs!$F$50*IF(AP23&gt;Inputs!$F$205,1,0)</f>
        <v>0</v>
      </c>
      <c r="AQ48" s="10" t="n">
        <f aca="false">Inputs!$F$50*IF(AQ23&gt;Inputs!$F$205,1,0)</f>
        <v>0</v>
      </c>
      <c r="AR48" s="10" t="n">
        <f aca="false">Inputs!$F$50*IF(AR23&gt;Inputs!$F$205,1,0)</f>
        <v>0</v>
      </c>
      <c r="AS48" s="10" t="n">
        <f aca="false">Inputs!$F$50*IF(AS23&gt;Inputs!$F$205,1,0)</f>
        <v>0</v>
      </c>
      <c r="AT48" s="10" t="n">
        <f aca="false">Inputs!$F$50*IF(AT23&gt;Inputs!$F$205,1,0)</f>
        <v>0</v>
      </c>
      <c r="AU48" s="10" t="n">
        <f aca="false">Inputs!$F$50*IF(AU23&gt;Inputs!$F$205,1,0)</f>
        <v>0</v>
      </c>
      <c r="AV48" s="10" t="n">
        <f aca="false">Inputs!$F$50*IF(AV23&gt;Inputs!$F$205,1,0)</f>
        <v>0</v>
      </c>
      <c r="AW48" s="10" t="n">
        <f aca="false">Inputs!$F$50*IF(AW23&gt;Inputs!$F$205,1,0)</f>
        <v>0</v>
      </c>
      <c r="AX48" s="10" t="n">
        <f aca="false">Inputs!$F$50*IF(AX23&gt;Inputs!$F$205,1,0)</f>
        <v>0</v>
      </c>
      <c r="AY48" s="10" t="n">
        <f aca="false">Inputs!$F$50*IF(AY23&gt;Inputs!$F$205,1,0)</f>
        <v>0</v>
      </c>
      <c r="AZ48" s="10" t="n">
        <f aca="false">Inputs!$F$50*IF(AZ23&gt;Inputs!$F$205,1,0)</f>
        <v>0</v>
      </c>
      <c r="BA48" s="10" t="n">
        <f aca="false">Inputs!$F$50*IF(BA23&gt;Inputs!$F$205,1,0)</f>
        <v>0</v>
      </c>
      <c r="BB48" s="10" t="n">
        <f aca="false">Inputs!$F$50*IF(BB23&gt;Inputs!$F$205,1,0)</f>
        <v>0</v>
      </c>
      <c r="BC48" s="10" t="n">
        <f aca="false">Inputs!$F$50*IF(BC23&gt;Inputs!$F$205,1,0)</f>
        <v>0</v>
      </c>
      <c r="BD48" s="10" t="n">
        <f aca="false">Inputs!$F$50*IF(BD23&gt;Inputs!$F$205,1,0)</f>
        <v>0</v>
      </c>
      <c r="BE48" s="10" t="n">
        <f aca="false">Inputs!$F$50*IF(BE23&gt;Inputs!$F$205,1,0)</f>
        <v>0</v>
      </c>
      <c r="BF48" s="10" t="n">
        <f aca="false">Inputs!$F$50*IF(BF23&gt;Inputs!$F$205,1,0)</f>
        <v>0</v>
      </c>
      <c r="BG48" s="10" t="n">
        <f aca="false">Inputs!$F$50*IF(BG23&gt;Inputs!$F$205,1,0)</f>
        <v>0</v>
      </c>
      <c r="BH48" s="10" t="n">
        <f aca="false">Inputs!$F$50*IF(BH23&gt;Inputs!$F$205,1,0)</f>
        <v>0</v>
      </c>
      <c r="BI48" s="10" t="n">
        <f aca="false">Inputs!$F$50*IF(BI23&gt;Inputs!$F$205,1,0)</f>
        <v>0</v>
      </c>
      <c r="BJ48" s="10" t="n">
        <f aca="false">Inputs!$F$50*IF(BJ23&gt;Inputs!$F$205,1,0)</f>
        <v>0</v>
      </c>
      <c r="BK48" s="10" t="n">
        <f aca="false">Inputs!$F$50*IF(BK23&gt;Inputs!$F$205,1,0)</f>
        <v>0</v>
      </c>
      <c r="BL48" s="10" t="n">
        <f aca="false">Inputs!$F$50*IF(BL23&gt;Inputs!$F$205,1,0)</f>
        <v>0</v>
      </c>
      <c r="BM48" s="10" t="n">
        <f aca="false">Inputs!$F$50*IF(BM23&gt;Inputs!$F$205,1,0)</f>
        <v>0</v>
      </c>
      <c r="BN48" s="10" t="n">
        <f aca="false">Inputs!$F$50*IF(BN23&gt;Inputs!$F$205,1,0)</f>
        <v>0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0</v>
      </c>
      <c r="T49" s="10" t="n">
        <f aca="false">Inputs!$F$49*IF(AND(T23&gt;=Inputs!$F$199,T23&lt;=Inputs!$F$200),1,0)</f>
        <v>0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0</v>
      </c>
      <c r="T50" s="10" t="n">
        <f aca="false">Inputs!$F$49*IF(T23&gt;=Inputs!$F$199,1,0)</f>
        <v>0</v>
      </c>
      <c r="U50" s="10" t="n">
        <f aca="false">Inputs!$F$49*IF(U23&gt;=Inputs!$F$199,1,0)</f>
        <v>0</v>
      </c>
      <c r="V50" s="10" t="n">
        <f aca="false">Inputs!$F$49*IF(V23&gt;=Inputs!$F$199,1,0)</f>
        <v>0</v>
      </c>
      <c r="W50" s="10" t="n">
        <f aca="false">Inputs!$F$49*IF(W23&gt;=Inputs!$F$199,1,0)</f>
        <v>0</v>
      </c>
      <c r="X50" s="10" t="n">
        <f aca="false">Inputs!$F$49*IF(X23&gt;=Inputs!$F$199,1,0)</f>
        <v>0</v>
      </c>
      <c r="Y50" s="10" t="n">
        <f aca="false">Inputs!$F$49*IF(Y23&gt;=Inputs!$F$199,1,0)</f>
        <v>0</v>
      </c>
      <c r="Z50" s="10" t="n">
        <f aca="false">Inputs!$F$49*IF(Z23&gt;=Inputs!$F$199,1,0)</f>
        <v>0</v>
      </c>
      <c r="AA50" s="10" t="n">
        <f aca="false">Inputs!$F$49*IF(AA23&gt;=Inputs!$F$199,1,0)</f>
        <v>0</v>
      </c>
      <c r="AB50" s="10" t="n">
        <f aca="false">Inputs!$F$49*IF(AB23&gt;=Inputs!$F$199,1,0)</f>
        <v>0</v>
      </c>
      <c r="AC50" s="10" t="n">
        <f aca="false">Inputs!$F$49*IF(AC23&gt;=Inputs!$F$199,1,0)</f>
        <v>0</v>
      </c>
      <c r="AD50" s="10" t="n">
        <f aca="false">Inputs!$F$49*IF(AD23&gt;=Inputs!$F$199,1,0)</f>
        <v>0</v>
      </c>
      <c r="AE50" s="10" t="n">
        <f aca="false">Inputs!$F$49*IF(AE23&gt;=Inputs!$F$199,1,0)</f>
        <v>0</v>
      </c>
      <c r="AF50" s="10" t="n">
        <f aca="false">Inputs!$F$49*IF(AF23&gt;=Inputs!$F$199,1,0)</f>
        <v>0</v>
      </c>
      <c r="AG50" s="10" t="n">
        <f aca="false">Inputs!$F$49*IF(AG23&gt;=Inputs!$F$199,1,0)</f>
        <v>0</v>
      </c>
      <c r="AH50" s="10" t="n">
        <f aca="false">Inputs!$F$49*IF(AH23&gt;=Inputs!$F$199,1,0)</f>
        <v>0</v>
      </c>
      <c r="AI50" s="10" t="n">
        <f aca="false">Inputs!$F$49*IF(AI23&gt;=Inputs!$F$199,1,0)</f>
        <v>0</v>
      </c>
      <c r="AJ50" s="10" t="n">
        <f aca="false">Inputs!$F$49*IF(AJ23&gt;=Inputs!$F$199,1,0)</f>
        <v>0</v>
      </c>
      <c r="AK50" s="10" t="n">
        <f aca="false">Inputs!$F$49*IF(AK23&gt;=Inputs!$F$199,1,0)</f>
        <v>0</v>
      </c>
      <c r="AL50" s="10" t="n">
        <f aca="false">Inputs!$F$49*IF(AL23&gt;=Inputs!$F$199,1,0)</f>
        <v>0</v>
      </c>
      <c r="AM50" s="10" t="n">
        <f aca="false">Inputs!$F$49*IF(AM23&gt;=Inputs!$F$199,1,0)</f>
        <v>0</v>
      </c>
      <c r="AN50" s="10" t="n">
        <f aca="false">Inputs!$F$49*IF(AN23&gt;=Inputs!$F$199,1,0)</f>
        <v>0</v>
      </c>
      <c r="AO50" s="10" t="n">
        <f aca="false">Inputs!$F$49*IF(AO23&gt;=Inputs!$F$199,1,0)</f>
        <v>0</v>
      </c>
      <c r="AP50" s="10" t="n">
        <f aca="false">Inputs!$F$49*IF(AP23&gt;=Inputs!$F$199,1,0)</f>
        <v>0</v>
      </c>
      <c r="AQ50" s="10" t="n">
        <f aca="false">Inputs!$F$49*IF(AQ23&gt;=Inputs!$F$199,1,0)</f>
        <v>0</v>
      </c>
      <c r="AR50" s="10" t="n">
        <f aca="false">Inputs!$F$49*IF(AR23&gt;=Inputs!$F$199,1,0)</f>
        <v>0</v>
      </c>
      <c r="AS50" s="10" t="n">
        <f aca="false">Inputs!$F$49*IF(AS23&gt;=Inputs!$F$199,1,0)</f>
        <v>0</v>
      </c>
      <c r="AT50" s="10" t="n">
        <f aca="false">Inputs!$F$49*IF(AT23&gt;=Inputs!$F$199,1,0)</f>
        <v>0</v>
      </c>
      <c r="AU50" s="10" t="n">
        <f aca="false">Inputs!$F$49*IF(AU23&gt;=Inputs!$F$199,1,0)</f>
        <v>0</v>
      </c>
      <c r="AV50" s="10" t="n">
        <f aca="false">Inputs!$F$49*IF(AV23&gt;=Inputs!$F$199,1,0)</f>
        <v>0</v>
      </c>
      <c r="AW50" s="10" t="n">
        <f aca="false">Inputs!$F$49*IF(AW23&gt;=Inputs!$F$199,1,0)</f>
        <v>0</v>
      </c>
      <c r="AX50" s="10" t="n">
        <f aca="false">Inputs!$F$49*IF(AX23&gt;=Inputs!$F$199,1,0)</f>
        <v>0</v>
      </c>
      <c r="AY50" s="10" t="n">
        <f aca="false">Inputs!$F$49*IF(AY23&gt;=Inputs!$F$199,1,0)</f>
        <v>0</v>
      </c>
      <c r="AZ50" s="10" t="n">
        <f aca="false">Inputs!$F$49*IF(AZ23&gt;=Inputs!$F$199,1,0)</f>
        <v>0</v>
      </c>
      <c r="BA50" s="10" t="n">
        <f aca="false">Inputs!$F$49*IF(BA23&gt;=Inputs!$F$199,1,0)</f>
        <v>0</v>
      </c>
      <c r="BB50" s="10" t="n">
        <f aca="false">Inputs!$F$49*IF(BB23&gt;=Inputs!$F$199,1,0)</f>
        <v>0</v>
      </c>
      <c r="BC50" s="10" t="n">
        <f aca="false">Inputs!$F$49*IF(BC23&gt;=Inputs!$F$199,1,0)</f>
        <v>0</v>
      </c>
      <c r="BD50" s="10" t="n">
        <f aca="false">Inputs!$F$49*IF(BD23&gt;=Inputs!$F$199,1,0)</f>
        <v>0</v>
      </c>
      <c r="BE50" s="10" t="n">
        <f aca="false">Inputs!$F$49*IF(BE23&gt;=Inputs!$F$199,1,0)</f>
        <v>0</v>
      </c>
      <c r="BF50" s="10" t="n">
        <f aca="false">Inputs!$F$49*IF(BF23&gt;=Inputs!$F$199,1,0)</f>
        <v>0</v>
      </c>
      <c r="BG50" s="10" t="n">
        <f aca="false">Inputs!$F$49*IF(BG23&gt;=Inputs!$F$199,1,0)</f>
        <v>0</v>
      </c>
      <c r="BH50" s="10" t="n">
        <f aca="false">Inputs!$F$49*IF(BH23&gt;=Inputs!$F$199,1,0)</f>
        <v>0</v>
      </c>
      <c r="BI50" s="10" t="n">
        <f aca="false">Inputs!$F$49*IF(BI23&gt;=Inputs!$F$199,1,0)</f>
        <v>0</v>
      </c>
      <c r="BJ50" s="10" t="n">
        <f aca="false">Inputs!$F$49*IF(BJ23&gt;=Inputs!$F$199,1,0)</f>
        <v>0</v>
      </c>
      <c r="BK50" s="10" t="n">
        <f aca="false">Inputs!$F$49*IF(BK23&gt;=Inputs!$F$199,1,0)</f>
        <v>0</v>
      </c>
      <c r="BL50" s="10" t="n">
        <f aca="false">Inputs!$F$49*IF(BL23&gt;=Inputs!$F$199,1,0)</f>
        <v>0</v>
      </c>
      <c r="BM50" s="10" t="n">
        <f aca="false">Inputs!$F$49*IF(BM23&gt;=Inputs!$F$199,1,0)</f>
        <v>0</v>
      </c>
      <c r="BN50" s="10" t="n">
        <f aca="false">Inputs!$F$49*IF(BN23&gt;=Inputs!$F$199,1,0)</f>
        <v>0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0</v>
      </c>
      <c r="V51" s="10" t="n">
        <f aca="false">Inputs!$F$49*IF(V23&gt;Inputs!$F$200,1,0)</f>
        <v>0</v>
      </c>
      <c r="W51" s="10" t="n">
        <f aca="false">Inputs!$F$49*IF(W23&gt;Inputs!$F$200,1,0)</f>
        <v>0</v>
      </c>
      <c r="X51" s="10" t="n">
        <f aca="false">Inputs!$F$49*IF(X23&gt;Inputs!$F$200,1,0)</f>
        <v>0</v>
      </c>
      <c r="Y51" s="10" t="n">
        <f aca="false">Inputs!$F$49*IF(Y23&gt;Inputs!$F$200,1,0)</f>
        <v>0</v>
      </c>
      <c r="Z51" s="10" t="n">
        <f aca="false">Inputs!$F$49*IF(Z23&gt;Inputs!$F$200,1,0)</f>
        <v>0</v>
      </c>
      <c r="AA51" s="10" t="n">
        <f aca="false">Inputs!$F$49*IF(AA23&gt;Inputs!$F$200,1,0)</f>
        <v>0</v>
      </c>
      <c r="AB51" s="10" t="n">
        <f aca="false">Inputs!$F$49*IF(AB23&gt;Inputs!$F$200,1,0)</f>
        <v>0</v>
      </c>
      <c r="AC51" s="10" t="n">
        <f aca="false">Inputs!$F$49*IF(AC23&gt;Inputs!$F$200,1,0)</f>
        <v>0</v>
      </c>
      <c r="AD51" s="10" t="n">
        <f aca="false">Inputs!$F$49*IF(AD23&gt;Inputs!$F$200,1,0)</f>
        <v>0</v>
      </c>
      <c r="AE51" s="10" t="n">
        <f aca="false">Inputs!$F$49*IF(AE23&gt;Inputs!$F$200,1,0)</f>
        <v>0</v>
      </c>
      <c r="AF51" s="10" t="n">
        <f aca="false">Inputs!$F$49*IF(AF23&gt;Inputs!$F$200,1,0)</f>
        <v>0</v>
      </c>
      <c r="AG51" s="10" t="n">
        <f aca="false">Inputs!$F$49*IF(AG23&gt;Inputs!$F$200,1,0)</f>
        <v>0</v>
      </c>
      <c r="AH51" s="10" t="n">
        <f aca="false">Inputs!$F$49*IF(AH23&gt;Inputs!$F$200,1,0)</f>
        <v>0</v>
      </c>
      <c r="AI51" s="10" t="n">
        <f aca="false">Inputs!$F$49*IF(AI23&gt;Inputs!$F$200,1,0)</f>
        <v>0</v>
      </c>
      <c r="AJ51" s="10" t="n">
        <f aca="false">Inputs!$F$49*IF(AJ23&gt;Inputs!$F$200,1,0)</f>
        <v>0</v>
      </c>
      <c r="AK51" s="10" t="n">
        <f aca="false">Inputs!$F$49*IF(AK23&gt;Inputs!$F$200,1,0)</f>
        <v>0</v>
      </c>
      <c r="AL51" s="10" t="n">
        <f aca="false">Inputs!$F$49*IF(AL23&gt;Inputs!$F$200,1,0)</f>
        <v>0</v>
      </c>
      <c r="AM51" s="10" t="n">
        <f aca="false">Inputs!$F$49*IF(AM23&gt;Inputs!$F$200,1,0)</f>
        <v>0</v>
      </c>
      <c r="AN51" s="10" t="n">
        <f aca="false">Inputs!$F$49*IF(AN23&gt;Inputs!$F$200,1,0)</f>
        <v>0</v>
      </c>
      <c r="AO51" s="10" t="n">
        <f aca="false">Inputs!$F$49*IF(AO23&gt;Inputs!$F$200,1,0)</f>
        <v>0</v>
      </c>
      <c r="AP51" s="10" t="n">
        <f aca="false">Inputs!$F$49*IF(AP23&gt;Inputs!$F$200,1,0)</f>
        <v>0</v>
      </c>
      <c r="AQ51" s="10" t="n">
        <f aca="false">Inputs!$F$49*IF(AQ23&gt;Inputs!$F$200,1,0)</f>
        <v>0</v>
      </c>
      <c r="AR51" s="10" t="n">
        <f aca="false">Inputs!$F$49*IF(AR23&gt;Inputs!$F$200,1,0)</f>
        <v>0</v>
      </c>
      <c r="AS51" s="10" t="n">
        <f aca="false">Inputs!$F$49*IF(AS23&gt;Inputs!$F$200,1,0)</f>
        <v>0</v>
      </c>
      <c r="AT51" s="10" t="n">
        <f aca="false">Inputs!$F$49*IF(AT23&gt;Inputs!$F$200,1,0)</f>
        <v>0</v>
      </c>
      <c r="AU51" s="10" t="n">
        <f aca="false">Inputs!$F$49*IF(AU23&gt;Inputs!$F$200,1,0)</f>
        <v>0</v>
      </c>
      <c r="AV51" s="10" t="n">
        <f aca="false">Inputs!$F$49*IF(AV23&gt;Inputs!$F$200,1,0)</f>
        <v>0</v>
      </c>
      <c r="AW51" s="10" t="n">
        <f aca="false">Inputs!$F$49*IF(AW23&gt;Inputs!$F$200,1,0)</f>
        <v>0</v>
      </c>
      <c r="AX51" s="10" t="n">
        <f aca="false">Inputs!$F$49*IF(AX23&gt;Inputs!$F$200,1,0)</f>
        <v>0</v>
      </c>
      <c r="AY51" s="10" t="n">
        <f aca="false">Inputs!$F$49*IF(AY23&gt;Inputs!$F$200,1,0)</f>
        <v>0</v>
      </c>
      <c r="AZ51" s="10" t="n">
        <f aca="false">Inputs!$F$49*IF(AZ23&gt;Inputs!$F$200,1,0)</f>
        <v>0</v>
      </c>
      <c r="BA51" s="10" t="n">
        <f aca="false">Inputs!$F$49*IF(BA23&gt;Inputs!$F$200,1,0)</f>
        <v>0</v>
      </c>
      <c r="BB51" s="10" t="n">
        <f aca="false">Inputs!$F$49*IF(BB23&gt;Inputs!$F$200,1,0)</f>
        <v>0</v>
      </c>
      <c r="BC51" s="10" t="n">
        <f aca="false">Inputs!$F$49*IF(BC23&gt;Inputs!$F$200,1,0)</f>
        <v>0</v>
      </c>
      <c r="BD51" s="10" t="n">
        <f aca="false">Inputs!$F$49*IF(BD23&gt;Inputs!$F$200,1,0)</f>
        <v>0</v>
      </c>
      <c r="BE51" s="10" t="n">
        <f aca="false">Inputs!$F$49*IF(BE23&gt;Inputs!$F$200,1,0)</f>
        <v>0</v>
      </c>
      <c r="BF51" s="10" t="n">
        <f aca="false">Inputs!$F$49*IF(BF23&gt;Inputs!$F$200,1,0)</f>
        <v>0</v>
      </c>
      <c r="BG51" s="10" t="n">
        <f aca="false">Inputs!$F$49*IF(BG23&gt;Inputs!$F$200,1,0)</f>
        <v>0</v>
      </c>
      <c r="BH51" s="10" t="n">
        <f aca="false">Inputs!$F$49*IF(BH23&gt;Inputs!$F$200,1,0)</f>
        <v>0</v>
      </c>
      <c r="BI51" s="10" t="n">
        <f aca="false">Inputs!$F$49*IF(BI23&gt;Inputs!$F$200,1,0)</f>
        <v>0</v>
      </c>
      <c r="BJ51" s="10" t="n">
        <f aca="false">Inputs!$F$49*IF(BJ23&gt;Inputs!$F$200,1,0)</f>
        <v>0</v>
      </c>
      <c r="BK51" s="10" t="n">
        <f aca="false">Inputs!$F$49*IF(BK23&gt;Inputs!$F$200,1,0)</f>
        <v>0</v>
      </c>
      <c r="BL51" s="10" t="n">
        <f aca="false">Inputs!$F$49*IF(BL23&gt;Inputs!$F$200,1,0)</f>
        <v>0</v>
      </c>
      <c r="BM51" s="10" t="n">
        <f aca="false">Inputs!$F$49*IF(BM23&gt;Inputs!$F$200,1,0)</f>
        <v>0</v>
      </c>
      <c r="BN51" s="10" t="n">
        <f aca="false">Inputs!$F$49*IF(BN23&gt;Inputs!$F$200,1,0)</f>
        <v>0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0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1</v>
      </c>
      <c r="AR13" s="10" t="n">
        <f aca="false">IF(AR8&lt;=Time!$F$11,1,0)</f>
        <v>1</v>
      </c>
      <c r="AS13" s="10" t="n">
        <f aca="false">IF(AS8&lt;=Time!$F$11,1,0)</f>
        <v>1</v>
      </c>
      <c r="AT13" s="10" t="n">
        <f aca="false">IF(AT8&lt;=Time!$F$11,1,0)</f>
        <v>1</v>
      </c>
      <c r="AU13" s="10" t="n">
        <f aca="false">IF(AU8&lt;=Time!$F$11,1,0)</f>
        <v>1</v>
      </c>
      <c r="AV13" s="10" t="n">
        <f aca="false">IF(AV8&lt;=Time!$F$11,1,0)</f>
        <v>1</v>
      </c>
      <c r="AW13" s="10" t="n">
        <f aca="false">IF(AW8&lt;=Time!$F$11,1,0)</f>
        <v>0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1</v>
      </c>
      <c r="AT14" s="10" t="n">
        <f aca="false">IF(AT8&lt;=Time!$F$14,1,0)</f>
        <v>1</v>
      </c>
      <c r="AU14" s="10" t="n">
        <f aca="false">IF(AU8&lt;=Time!$F$14,1,0)</f>
        <v>1</v>
      </c>
      <c r="AV14" s="10" t="n">
        <f aca="false">IF(AV8&lt;=Time!$F$14,1,0)</f>
        <v>1</v>
      </c>
      <c r="AW14" s="10" t="n">
        <f aca="false">IF(AW8&lt;=Time!$F$14,1,0)</f>
        <v>1</v>
      </c>
      <c r="AX14" s="10" t="n">
        <f aca="false">IF(AX8&lt;=Time!$F$14,1,0)</f>
        <v>1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0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1</v>
      </c>
      <c r="AX15" s="10" t="n">
        <f aca="false">IF(AX8=Time!$F$11+1,1,0)</f>
        <v>0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0.0107999999999997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7.5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0.0617587199999983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42.888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53.7997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1.26995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1.26995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1.26995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1.26995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1.26995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1.26995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0.0708157894736842</v>
      </c>
      <c r="L26" s="13" t="n">
        <f aca="false">Inputs!$F$65*Inputs!$F$36*(Inputs!$F$244*IF(L8=1,1,0)+(1-Inputs!$F$244)/(Time!$F$11-1)*IF(AND(L8&gt;1,L8&lt;=Time!$F$11),1,0))</f>
        <v>0.0708157894736842</v>
      </c>
      <c r="M26" s="13" t="n">
        <f aca="false">Inputs!$F$65*Inputs!$F$36*(Inputs!$F$244*IF(M8=1,1,0)+(1-Inputs!$F$244)/(Time!$F$11-1)*IF(AND(M8&gt;1,M8&lt;=Time!$F$11),1,0))</f>
        <v>0.0708157894736842</v>
      </c>
      <c r="N26" s="13" t="n">
        <f aca="false">Inputs!$F$65*Inputs!$F$36*(Inputs!$F$244*IF(N8=1,1,0)+(1-Inputs!$F$244)/(Time!$F$11-1)*IF(AND(N8&gt;1,N8&lt;=Time!$F$11),1,0))</f>
        <v>0.0708157894736842</v>
      </c>
      <c r="O26" s="13" t="n">
        <f aca="false">Inputs!$F$65*Inputs!$F$36*(Inputs!$F$244*IF(O8=1,1,0)+(1-Inputs!$F$244)/(Time!$F$11-1)*IF(AND(O8&gt;1,O8&lt;=Time!$F$11),1,0))</f>
        <v>0.0708157894736842</v>
      </c>
      <c r="P26" s="13" t="n">
        <f aca="false">Inputs!$F$65*Inputs!$F$36*(Inputs!$F$244*IF(P8=1,1,0)+(1-Inputs!$F$244)/(Time!$F$11-1)*IF(AND(P8&gt;1,P8&lt;=Time!$F$11),1,0))</f>
        <v>0.0708157894736842</v>
      </c>
      <c r="Q26" s="13" t="n">
        <f aca="false">Inputs!$F$65*Inputs!$F$36*(Inputs!$F$244*IF(Q8=1,1,0)+(1-Inputs!$F$244)/(Time!$F$11-1)*IF(AND(Q8&gt;1,Q8&lt;=Time!$F$11),1,0))</f>
        <v>0.0708157894736842</v>
      </c>
      <c r="R26" s="13" t="n">
        <f aca="false">Inputs!$F$65*Inputs!$F$36*(Inputs!$F$244*IF(R8=1,1,0)+(1-Inputs!$F$244)/(Time!$F$11-1)*IF(AND(R8&gt;1,R8&lt;=Time!$F$11),1,0))</f>
        <v>0.0708157894736842</v>
      </c>
      <c r="S26" s="13" t="n">
        <f aca="false">Inputs!$F$65*Inputs!$F$36*(Inputs!$F$244*IF(S8=1,1,0)+(1-Inputs!$F$244)/(Time!$F$11-1)*IF(AND(S8&gt;1,S8&lt;=Time!$F$11),1,0))</f>
        <v>0.0708157894736842</v>
      </c>
      <c r="T26" s="13" t="n">
        <f aca="false">Inputs!$F$65*Inputs!$F$36*(Inputs!$F$244*IF(T8=1,1,0)+(1-Inputs!$F$244)/(Time!$F$11-1)*IF(AND(T8&gt;1,T8&lt;=Time!$F$11),1,0))</f>
        <v>0.0708157894736842</v>
      </c>
      <c r="U26" s="13" t="n">
        <f aca="false">Inputs!$F$65*Inputs!$F$36*(Inputs!$F$244*IF(U8=1,1,0)+(1-Inputs!$F$244)/(Time!$F$11-1)*IF(AND(U8&gt;1,U8&lt;=Time!$F$11),1,0))</f>
        <v>0.0708157894736842</v>
      </c>
      <c r="V26" s="13" t="n">
        <f aca="false">Inputs!$F$65*Inputs!$F$36*(Inputs!$F$244*IF(V8=1,1,0)+(1-Inputs!$F$244)/(Time!$F$11-1)*IF(AND(V8&gt;1,V8&lt;=Time!$F$11),1,0))</f>
        <v>0.0708157894736842</v>
      </c>
      <c r="W26" s="13" t="n">
        <f aca="false">Inputs!$F$65*Inputs!$F$36*(Inputs!$F$244*IF(W8=1,1,0)+(1-Inputs!$F$244)/(Time!$F$11-1)*IF(AND(W8&gt;1,W8&lt;=Time!$F$11),1,0))</f>
        <v>0.0708157894736842</v>
      </c>
      <c r="X26" s="13" t="n">
        <f aca="false">Inputs!$F$65*Inputs!$F$36*(Inputs!$F$244*IF(X8=1,1,0)+(1-Inputs!$F$244)/(Time!$F$11-1)*IF(AND(X8&gt;1,X8&lt;=Time!$F$11),1,0))</f>
        <v>0.0708157894736842</v>
      </c>
      <c r="Y26" s="13" t="n">
        <f aca="false">Inputs!$F$65*Inputs!$F$36*(Inputs!$F$244*IF(Y8=1,1,0)+(1-Inputs!$F$244)/(Time!$F$11-1)*IF(AND(Y8&gt;1,Y8&lt;=Time!$F$11),1,0))</f>
        <v>0.0708157894736842</v>
      </c>
      <c r="Z26" s="13" t="n">
        <f aca="false">Inputs!$F$65*Inputs!$F$36*(Inputs!$F$244*IF(Z8=1,1,0)+(1-Inputs!$F$244)/(Time!$F$11-1)*IF(AND(Z8&gt;1,Z8&lt;=Time!$F$11),1,0))</f>
        <v>0.0708157894736842</v>
      </c>
      <c r="AA26" s="13" t="n">
        <f aca="false">Inputs!$F$65*Inputs!$F$36*(Inputs!$F$244*IF(AA8=1,1,0)+(1-Inputs!$F$244)/(Time!$F$11-1)*IF(AND(AA8&gt;1,AA8&lt;=Time!$F$11),1,0))</f>
        <v>0.0708157894736842</v>
      </c>
      <c r="AB26" s="13" t="n">
        <f aca="false">Inputs!$F$65*Inputs!$F$36*(Inputs!$F$244*IF(AB8=1,1,0)+(1-Inputs!$F$244)/(Time!$F$11-1)*IF(AND(AB8&gt;1,AB8&lt;=Time!$F$11),1,0))</f>
        <v>0.0708157894736842</v>
      </c>
      <c r="AC26" s="13" t="n">
        <f aca="false">Inputs!$F$65*Inputs!$F$36*(Inputs!$F$244*IF(AC8=1,1,0)+(1-Inputs!$F$244)/(Time!$F$11-1)*IF(AND(AC8&gt;1,AC8&lt;=Time!$F$11),1,0))</f>
        <v>0.0708157894736842</v>
      </c>
      <c r="AD26" s="13" t="n">
        <f aca="false">Inputs!$F$65*Inputs!$F$36*(Inputs!$F$244*IF(AD8=1,1,0)+(1-Inputs!$F$244)/(Time!$F$11-1)*IF(AND(AD8&gt;1,AD8&lt;=Time!$F$11),1,0))</f>
        <v>0.0708157894736842</v>
      </c>
      <c r="AE26" s="13" t="n">
        <f aca="false">Inputs!$F$65*Inputs!$F$36*(Inputs!$F$244*IF(AE8=1,1,0)+(1-Inputs!$F$244)/(Time!$F$11-1)*IF(AND(AE8&gt;1,AE8&lt;=Time!$F$11),1,0))</f>
        <v>0.0708157894736842</v>
      </c>
      <c r="AF26" s="13" t="n">
        <f aca="false">Inputs!$F$65*Inputs!$F$36*(Inputs!$F$244*IF(AF8=1,1,0)+(1-Inputs!$F$244)/(Time!$F$11-1)*IF(AND(AF8&gt;1,AF8&lt;=Time!$F$11),1,0))</f>
        <v>0.0708157894736842</v>
      </c>
      <c r="AG26" s="13" t="n">
        <f aca="false">Inputs!$F$65*Inputs!$F$36*(Inputs!$F$244*IF(AG8=1,1,0)+(1-Inputs!$F$244)/(Time!$F$11-1)*IF(AND(AG8&gt;1,AG8&lt;=Time!$F$11),1,0))</f>
        <v>0.0708157894736842</v>
      </c>
      <c r="AH26" s="13" t="n">
        <f aca="false">Inputs!$F$65*Inputs!$F$36*(Inputs!$F$244*IF(AH8=1,1,0)+(1-Inputs!$F$244)/(Time!$F$11-1)*IF(AND(AH8&gt;1,AH8&lt;=Time!$F$11),1,0))</f>
        <v>0.0708157894736842</v>
      </c>
      <c r="AI26" s="13" t="n">
        <f aca="false">Inputs!$F$65*Inputs!$F$36*(Inputs!$F$244*IF(AI8=1,1,0)+(1-Inputs!$F$244)/(Time!$F$11-1)*IF(AND(AI8&gt;1,AI8&lt;=Time!$F$11),1,0))</f>
        <v>0.0708157894736842</v>
      </c>
      <c r="AJ26" s="13" t="n">
        <f aca="false">Inputs!$F$65*Inputs!$F$36*(Inputs!$F$244*IF(AJ8=1,1,0)+(1-Inputs!$F$244)/(Time!$F$11-1)*IF(AND(AJ8&gt;1,AJ8&lt;=Time!$F$11),1,0))</f>
        <v>0.0708157894736842</v>
      </c>
      <c r="AK26" s="13" t="n">
        <f aca="false">Inputs!$F$65*Inputs!$F$36*(Inputs!$F$244*IF(AK8=1,1,0)+(1-Inputs!$F$244)/(Time!$F$11-1)*IF(AND(AK8&gt;1,AK8&lt;=Time!$F$11),1,0))</f>
        <v>0.0708157894736842</v>
      </c>
      <c r="AL26" s="13" t="n">
        <f aca="false">Inputs!$F$65*Inputs!$F$36*(Inputs!$F$244*IF(AL8=1,1,0)+(1-Inputs!$F$244)/(Time!$F$11-1)*IF(AND(AL8&gt;1,AL8&lt;=Time!$F$11),1,0))</f>
        <v>0.0708157894736842</v>
      </c>
      <c r="AM26" s="13" t="n">
        <f aca="false">Inputs!$F$65*Inputs!$F$36*(Inputs!$F$244*IF(AM8=1,1,0)+(1-Inputs!$F$244)/(Time!$F$11-1)*IF(AND(AM8&gt;1,AM8&lt;=Time!$F$11),1,0))</f>
        <v>0.0708157894736842</v>
      </c>
      <c r="AN26" s="13" t="n">
        <f aca="false">Inputs!$F$65*Inputs!$F$36*(Inputs!$F$244*IF(AN8=1,1,0)+(1-Inputs!$F$244)/(Time!$F$11-1)*IF(AND(AN8&gt;1,AN8&lt;=Time!$F$11),1,0))</f>
        <v>0.0708157894736842</v>
      </c>
      <c r="AO26" s="13" t="n">
        <f aca="false">Inputs!$F$65*Inputs!$F$36*(Inputs!$F$244*IF(AO8=1,1,0)+(1-Inputs!$F$244)/(Time!$F$11-1)*IF(AND(AO8&gt;1,AO8&lt;=Time!$F$11),1,0))</f>
        <v>0.0708157894736842</v>
      </c>
      <c r="AP26" s="13" t="n">
        <f aca="false">Inputs!$F$65*Inputs!$F$36*(Inputs!$F$244*IF(AP8=1,1,0)+(1-Inputs!$F$244)/(Time!$F$11-1)*IF(AND(AP8&gt;1,AP8&lt;=Time!$F$11),1,0))</f>
        <v>0.0708157894736842</v>
      </c>
      <c r="AQ26" s="13" t="n">
        <f aca="false">Inputs!$F$65*Inputs!$F$36*(Inputs!$F$244*IF(AQ8=1,1,0)+(1-Inputs!$F$244)/(Time!$F$11-1)*IF(AND(AQ8&gt;1,AQ8&lt;=Time!$F$11),1,0))</f>
        <v>0.0708157894736842</v>
      </c>
      <c r="AR26" s="13" t="n">
        <f aca="false">Inputs!$F$65*Inputs!$F$36*(Inputs!$F$244*IF(AR8=1,1,0)+(1-Inputs!$F$244)/(Time!$F$11-1)*IF(AND(AR8&gt;1,AR8&lt;=Time!$F$11),1,0))</f>
        <v>0.0708157894736842</v>
      </c>
      <c r="AS26" s="13" t="n">
        <f aca="false">Inputs!$F$65*Inputs!$F$36*(Inputs!$F$244*IF(AS8=1,1,0)+(1-Inputs!$F$244)/(Time!$F$11-1)*IF(AND(AS8&gt;1,AS8&lt;=Time!$F$11),1,0))</f>
        <v>0.0708157894736842</v>
      </c>
      <c r="AT26" s="13" t="n">
        <f aca="false">Inputs!$F$65*Inputs!$F$36*(Inputs!$F$244*IF(AT8=1,1,0)+(1-Inputs!$F$244)/(Time!$F$11-1)*IF(AND(AT8&gt;1,AT8&lt;=Time!$F$11),1,0))</f>
        <v>0.0708157894736842</v>
      </c>
      <c r="AU26" s="13" t="n">
        <f aca="false">Inputs!$F$65*Inputs!$F$36*(Inputs!$F$244*IF(AU8=1,1,0)+(1-Inputs!$F$244)/(Time!$F$11-1)*IF(AND(AU8&gt;1,AU8&lt;=Time!$F$11),1,0))</f>
        <v>0.0708157894736842</v>
      </c>
      <c r="AV26" s="13" t="n">
        <f aca="false">Inputs!$F$65*Inputs!$F$36*(Inputs!$F$244*IF(AV8=1,1,0)+(1-Inputs!$F$244)/(Time!$F$11-1)*IF(AND(AV8&gt;1,AV8&lt;=Time!$F$11),1,0))</f>
        <v>0.0708157894736842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0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5.35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718.6097</v>
      </c>
      <c r="J32" s="13" t="n">
        <f aca="false">J22+J23+J24+J25+J26+J27+J28+J29-J31</f>
        <v>108.1116</v>
      </c>
      <c r="K32" s="13" t="n">
        <f aca="false">K22+K23+K24+K25+K26+K27+K28+K29-K31</f>
        <v>1.40755141856459</v>
      </c>
      <c r="L32" s="13" t="n">
        <f aca="false">L22+L23+L24+L25+L26+L27+L28+L29-L31</f>
        <v>2.04139650947368</v>
      </c>
      <c r="M32" s="13" t="n">
        <f aca="false">M22+M23+M24+M25+M26+M27+M28+M29-M31</f>
        <v>3.34371627674641</v>
      </c>
      <c r="N32" s="13" t="n">
        <f aca="false">N22+N23+N24+N25+N26+N27+N28+N29-N31</f>
        <v>5.23288384038278</v>
      </c>
      <c r="O32" s="13" t="n">
        <f aca="false">O22+O23+O24+O25+O26+O27+O28+O29-O31</f>
        <v>7.59511627674641</v>
      </c>
      <c r="P32" s="13" t="n">
        <f aca="false">P22+P23+P24+P25+P26+P27+P28+P29-P31</f>
        <v>10.3048813385646</v>
      </c>
      <c r="Q32" s="13" t="n">
        <f aca="false">Q22+Q23+Q24+Q25+Q26+Q27+Q28+Q29-Q31</f>
        <v>13.23602839311</v>
      </c>
      <c r="R32" s="13" t="n">
        <f aca="false">R22+R23+R24+R25+R26+R27+R28+R29-R31</f>
        <v>16.2642619640191</v>
      </c>
      <c r="S32" s="13" t="n">
        <f aca="false">S22+S23+S24+S25+S26+S27+S28+S29-S31</f>
        <v>19.2733255858373</v>
      </c>
      <c r="T32" s="13" t="n">
        <f aca="false">T22+T23+T24+T25+T26+T27+T28+T29-T31</f>
        <v>22.1550018040191</v>
      </c>
      <c r="U32" s="13" t="n">
        <f aca="false">U22+U23+U24+U25+U26+U27+U28+U29-U31</f>
        <v>24.8128224876555</v>
      </c>
      <c r="V32" s="13" t="n">
        <f aca="false">V22+V23+V24+V25+V26+V27+V28+V29-V31</f>
        <v>27.1614504440191</v>
      </c>
      <c r="W32" s="13" t="n">
        <f aca="false">W22+W23+W24+W25+W26+W27+W28+W29-W31</f>
        <v>29.1279161894737</v>
      </c>
      <c r="X32" s="13" t="n">
        <f aca="false">X22+X23+X24+X25+X26+X27+X28+X29-X31</f>
        <v>30.655328262201</v>
      </c>
      <c r="Y32" s="13" t="n">
        <f aca="false">Y22+Y23+Y24+Y25+Y26+Y27+Y28+Y29-Y31</f>
        <v>31.6979261385646</v>
      </c>
      <c r="Z32" s="13" t="n">
        <f aca="false">Z22+Z23+Z24+Z25+Z26+Z27+Z28+Z29-Z31</f>
        <v>32.226645702201</v>
      </c>
      <c r="AA32" s="13" t="n">
        <f aca="false">AA22+AA23+AA24+AA25+AA26+AA27+AA28+AA29-AA31</f>
        <v>33.369645702201</v>
      </c>
      <c r="AB32" s="13" t="n">
        <f aca="false">AB22+AB23+AB24+AB25+AB26+AB27+AB28+AB29-AB31</f>
        <v>31.6979261385646</v>
      </c>
      <c r="AC32" s="13" t="n">
        <f aca="false">AC22+AC23+AC24+AC25+AC26+AC27+AC28+AC29-AC31</f>
        <v>30.655328262201</v>
      </c>
      <c r="AD32" s="13" t="n">
        <f aca="false">AD22+AD23+AD24+AD25+AD26+AD27+AD28+AD29-AD31</f>
        <v>29.1279161894737</v>
      </c>
      <c r="AE32" s="13" t="n">
        <f aca="false">AE22+AE23+AE24+AE25+AE26+AE27+AE28+AE29-AE31</f>
        <v>27.1614504440191</v>
      </c>
      <c r="AF32" s="13" t="n">
        <f aca="false">AF22+AF23+AF24+AF25+AF26+AF27+AF28+AF29-AF31</f>
        <v>24.8128224876555</v>
      </c>
      <c r="AG32" s="13" t="n">
        <f aca="false">AG22+AG23+AG24+AG25+AG26+AG27+AG28+AG29-AG31</f>
        <v>22.1550018040191</v>
      </c>
      <c r="AH32" s="13" t="n">
        <f aca="false">AH22+AH23+AH24+AH25+AH26+AH27+AH28+AH29-AH31</f>
        <v>19.2733255858373</v>
      </c>
      <c r="AI32" s="13" t="n">
        <f aca="false">AI22+AI23+AI24+AI25+AI26+AI27+AI28+AI29-AI31</f>
        <v>16.2642619640191</v>
      </c>
      <c r="AJ32" s="13" t="n">
        <f aca="false">AJ22+AJ23+AJ24+AJ25+AJ26+AJ27+AJ28+AJ29-AJ31</f>
        <v>13.23602839311</v>
      </c>
      <c r="AK32" s="13" t="n">
        <f aca="false">AK22+AK23+AK24+AK25+AK26+AK27+AK28+AK29-AK31</f>
        <v>10.3048813385646</v>
      </c>
      <c r="AL32" s="13" t="n">
        <f aca="false">AL22+AL23+AL24+AL25+AL26+AL27+AL28+AL29-AL31</f>
        <v>7.59511627674641</v>
      </c>
      <c r="AM32" s="13" t="n">
        <f aca="false">AM22+AM23+AM24+AM25+AM26+AM27+AM28+AM29-AM31</f>
        <v>5.23288384038278</v>
      </c>
      <c r="AN32" s="13" t="n">
        <f aca="false">AN22+AN23+AN24+AN25+AN26+AN27+AN28+AN29-AN31</f>
        <v>3.34371627674641</v>
      </c>
      <c r="AO32" s="13" t="n">
        <f aca="false">AO22+AO23+AO24+AO25+AO26+AO27+AO28+AO29-AO31</f>
        <v>2.04139650947368</v>
      </c>
      <c r="AP32" s="13" t="n">
        <f aca="false">AP22+AP23+AP24+AP25+AP26+AP27+AP28+AP29-AP31</f>
        <v>1.40755141856459</v>
      </c>
      <c r="AQ32" s="13" t="n">
        <f aca="false">AQ22+AQ23+AQ24+AQ25+AQ26+AQ27+AQ28+AQ29-AQ31</f>
        <v>1.34076578947368</v>
      </c>
      <c r="AR32" s="13" t="n">
        <f aca="false">AR22+AR23+AR24+AR25+AR26+AR27+AR28+AR29-AR31</f>
        <v>1.34076578947368</v>
      </c>
      <c r="AS32" s="13" t="n">
        <f aca="false">AS22+AS23+AS24+AS25+AS26+AS27+AS28+AS29-AS31</f>
        <v>1.34076578947368</v>
      </c>
      <c r="AT32" s="13" t="n">
        <f aca="false">AT22+AT23+AT24+AT25+AT26+AT27+AT28+AT29-AT31</f>
        <v>1.34076578947368</v>
      </c>
      <c r="AU32" s="13" t="n">
        <f aca="false">AU22+AU23+AU24+AU25+AU26+AU27+AU28+AU29-AU31</f>
        <v>1.34076578947368</v>
      </c>
      <c r="AV32" s="13" t="n">
        <f aca="false">AV22+AV23+AV24+AV25+AV26+AV27+AV28+AV29-AV31</f>
        <v>49.5787657894737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4.63739018399987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3220.40985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0.834730233119977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579.673773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0.834730233119977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579.673773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832.813445177281</v>
      </c>
      <c r="AQ37" s="13" t="n">
        <f aca="false">AP37+AQ35-AQ36</f>
        <v>608.680648600921</v>
      </c>
      <c r="AR37" s="13" t="n">
        <f aca="false">AQ37+AR35-AR36</f>
        <v>422.157086416801</v>
      </c>
      <c r="AS37" s="13" t="n">
        <f aca="false">AR37+AS35-AS36</f>
        <v>273.482357117761</v>
      </c>
      <c r="AT37" s="13" t="n">
        <f aca="false">AS37+AT35-AT36</f>
        <v>161.443010272321</v>
      </c>
      <c r="AU37" s="13" t="n">
        <f aca="false">AT37+AU35-AU36</f>
        <v>83.2720697373606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579.673773</v>
      </c>
      <c r="AZ37" s="13" t="n">
        <f aca="false">AY37+AZ35-AZ36</f>
        <v>579.673773</v>
      </c>
      <c r="BA37" s="13" t="n">
        <f aca="false">AZ37+BA35-BA36</f>
        <v>579.673773</v>
      </c>
      <c r="BB37" s="13" t="n">
        <f aca="false">BA37+BB35-BB36</f>
        <v>579.673773</v>
      </c>
      <c r="BC37" s="13" t="n">
        <f aca="false">BB37+BC35-BC36</f>
        <v>579.673773</v>
      </c>
      <c r="BD37" s="13" t="n">
        <f aca="false">BC37+BD35-BD36</f>
        <v>579.673773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1.63076356999541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0.0189206644060081</v>
      </c>
      <c r="AR38" s="13" t="n">
        <f aca="false">AQ37*(AR18+Inputs!$F$71)/100*AR11/Inputs!$F$248/AR16</f>
        <v>0.0133262486709748</v>
      </c>
      <c r="AS38" s="13" t="n">
        <f aca="false">AR37*(AS18+Inputs!$F$71)/100*AS11/Inputs!$F$248/AS16</f>
        <v>0.00951049548862297</v>
      </c>
      <c r="AT38" s="13" t="n">
        <f aca="false">AS37*(AT18+Inputs!$F$71)/100*AT11/Inputs!$F$248/AT16</f>
        <v>0.00613519791375784</v>
      </c>
      <c r="AU38" s="13" t="n">
        <f aca="false">AT37*(AU18+Inputs!$F$71)/100*AU11/Inputs!$F$248/AU16</f>
        <v>0.00349018359651425</v>
      </c>
      <c r="AV38" s="13" t="n">
        <f aca="false">AU37*(AV18+Inputs!$F$71)/100*AV11/Inputs!$F$248/AV16</f>
        <v>0.00185241814840726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0.0114525044024139</v>
      </c>
      <c r="BA38" s="13" t="n">
        <f aca="false">AZ37*(BA18+Inputs!$F$71)/100*BA11/Inputs!$F$248/BA16</f>
        <v>0.0126262484997983</v>
      </c>
      <c r="BB38" s="13" t="n">
        <f aca="false">BA37*(BB18+Inputs!$F$71)/100*BB11/Inputs!$F$248/BB16</f>
        <v>0.0121675767972054</v>
      </c>
      <c r="BC38" s="13" t="n">
        <f aca="false">BB37*(BC18+Inputs!$F$71)/100*BC11/Inputs!$F$248/BC16</f>
        <v>0.0125203000751124</v>
      </c>
      <c r="BD38" s="13" t="n">
        <f aca="false">BC37*(BD18+Inputs!$F$71)/100*BD11/Inputs!$F$248/BD16</f>
        <v>0.0120654771439371</v>
      </c>
      <c r="BE38" s="13" t="n">
        <f aca="false">BD37*(BE18+Inputs!$F$71)/100*BE11/Inputs!$F$248/BE16</f>
        <v>0.0124152406768617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1</v>
      </c>
      <c r="S29" s="10" t="n">
        <f aca="false">INT(Time!S32/12)+1</f>
        <v>2</v>
      </c>
      <c r="T29" s="10" t="n">
        <f aca="false">INT(Time!T32/12)+1</f>
        <v>2</v>
      </c>
      <c r="U29" s="10" t="n">
        <f aca="false">INT(Time!U32/12)+1</f>
        <v>3</v>
      </c>
      <c r="V29" s="10" t="n">
        <f aca="false">INT(Time!V32/12)+1</f>
        <v>3</v>
      </c>
      <c r="W29" s="10" t="n">
        <f aca="false">INT(Time!W32/12)+1</f>
        <v>4</v>
      </c>
      <c r="X29" s="10" t="n">
        <f aca="false">INT(Time!X32/12)+1</f>
        <v>4</v>
      </c>
      <c r="Y29" s="10" t="n">
        <f aca="false">INT(Time!Y32/12)+1</f>
        <v>5</v>
      </c>
      <c r="Z29" s="10" t="n">
        <f aca="false">INT(Time!Z32/12)+1</f>
        <v>5</v>
      </c>
      <c r="AA29" s="10" t="n">
        <f aca="false">INT(Time!AA32/12)+1</f>
        <v>6</v>
      </c>
      <c r="AB29" s="10" t="n">
        <f aca="false">INT(Time!AB32/12)+1</f>
        <v>6</v>
      </c>
      <c r="AC29" s="10" t="n">
        <f aca="false">INT(Time!AC32/12)+1</f>
        <v>7</v>
      </c>
      <c r="AD29" s="10" t="n">
        <f aca="false">INT(Time!AD32/12)+1</f>
        <v>7</v>
      </c>
      <c r="AE29" s="10" t="n">
        <f aca="false">INT(Time!AE32/12)+1</f>
        <v>8</v>
      </c>
      <c r="AF29" s="10" t="n">
        <f aca="false">INT(Time!AF32/12)+1</f>
        <v>8</v>
      </c>
      <c r="AG29" s="10" t="n">
        <f aca="false">INT(Time!AG32/12)+1</f>
        <v>9</v>
      </c>
      <c r="AH29" s="10" t="n">
        <f aca="false">INT(Time!AH32/12)+1</f>
        <v>9</v>
      </c>
      <c r="AI29" s="10" t="n">
        <f aca="false">INT(Time!AI32/12)+1</f>
        <v>10</v>
      </c>
      <c r="AJ29" s="10" t="n">
        <f aca="false">INT(Time!AJ32/12)+1</f>
        <v>10</v>
      </c>
      <c r="AK29" s="10" t="n">
        <f aca="false">INT(Time!AK32/12)+1</f>
        <v>11</v>
      </c>
      <c r="AL29" s="10" t="n">
        <f aca="false">INT(Time!AL32/12)+1</f>
        <v>11</v>
      </c>
      <c r="AM29" s="10" t="n">
        <f aca="false">INT(Time!AM32/12)+1</f>
        <v>12</v>
      </c>
      <c r="AN29" s="10" t="n">
        <f aca="false">INT(Time!AN32/12)+1</f>
        <v>12</v>
      </c>
      <c r="AO29" s="10" t="n">
        <f aca="false">INT(Time!AO32/12)+1</f>
        <v>13</v>
      </c>
      <c r="AP29" s="10" t="n">
        <f aca="false">INT(Time!AP32/12)+1</f>
        <v>13</v>
      </c>
      <c r="AQ29" s="10" t="n">
        <f aca="false">INT(Time!AQ32/12)+1</f>
        <v>14</v>
      </c>
      <c r="AR29" s="10" t="n">
        <f aca="false">INT(Time!AR32/12)+1</f>
        <v>14</v>
      </c>
      <c r="AS29" s="10" t="n">
        <f aca="false">INT(Time!AS32/12)+1</f>
        <v>15</v>
      </c>
      <c r="AT29" s="10" t="n">
        <f aca="false">INT(Time!AT32/12)+1</f>
        <v>15</v>
      </c>
      <c r="AU29" s="10" t="n">
        <f aca="false">INT(Time!AU32/12)+1</f>
        <v>16</v>
      </c>
      <c r="AV29" s="10" t="n">
        <f aca="false">INT(Time!AV32/12)+1</f>
        <v>16</v>
      </c>
      <c r="AW29" s="10" t="n">
        <f aca="false">INT(Time!AW32/12)+1</f>
        <v>17</v>
      </c>
      <c r="AX29" s="10" t="n">
        <f aca="false">INT(Time!AX32/12)+1</f>
        <v>17</v>
      </c>
      <c r="AY29" s="10" t="n">
        <f aca="false">INT(Time!AY32/12)+1</f>
        <v>18</v>
      </c>
      <c r="AZ29" s="10" t="n">
        <f aca="false">INT(Time!AZ32/12)+1</f>
        <v>18</v>
      </c>
      <c r="BA29" s="10" t="n">
        <f aca="false">INT(Time!BA32/12)+1</f>
        <v>19</v>
      </c>
      <c r="BB29" s="10" t="n">
        <f aca="false">INT(Time!BB32/12)+1</f>
        <v>19</v>
      </c>
      <c r="BC29" s="10" t="n">
        <f aca="false">INT(Time!BC32/12)+1</f>
        <v>20</v>
      </c>
      <c r="BD29" s="10" t="n">
        <f aca="false">INT(Time!BD32/12)+1</f>
        <v>20</v>
      </c>
      <c r="BE29" s="10" t="n">
        <f aca="false">INT(Time!BE32/12)+1</f>
        <v>21</v>
      </c>
      <c r="BF29" s="10" t="n">
        <f aca="false">INT(Time!BF32/12)+1</f>
        <v>21</v>
      </c>
      <c r="BG29" s="10" t="n">
        <f aca="false">INT(Time!BG32/12)+1</f>
        <v>22</v>
      </c>
      <c r="BH29" s="10" t="n">
        <f aca="false">INT(Time!BH32/12)+1</f>
        <v>22</v>
      </c>
      <c r="BI29" s="10" t="n">
        <f aca="false">INT(Time!BI32/12)+1</f>
        <v>23</v>
      </c>
      <c r="BJ29" s="10" t="n">
        <f aca="false">INT(Time!BJ32/12)+1</f>
        <v>23</v>
      </c>
      <c r="BK29" s="10" t="n">
        <f aca="false">INT(Time!BK32/12)+1</f>
        <v>24</v>
      </c>
      <c r="BL29" s="10" t="n">
        <f aca="false">INT(Time!BL32/12)+1</f>
        <v>24</v>
      </c>
      <c r="BM29" s="10" t="n">
        <f aca="false">INT(Time!BM32/12)+1</f>
        <v>25</v>
      </c>
      <c r="BN29" s="10" t="n">
        <f aca="false">INT(Time!BN32/12)+1</f>
        <v>25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0</v>
      </c>
      <c r="P30" s="10" t="n">
        <f aca="false">MIN(Time!P33,P29*12)-Time!P32</f>
        <v>2</v>
      </c>
      <c r="Q30" s="10" t="n">
        <f aca="false">MIN(Time!Q33,Q29*12)-Time!Q32</f>
        <v>6</v>
      </c>
      <c r="R30" s="10" t="n">
        <f aca="false">MIN(Time!R33,R29*12)-Time!R32</f>
        <v>4</v>
      </c>
      <c r="S30" s="10" t="n">
        <f aca="false">MIN(Time!S33,S29*12)-Time!S32</f>
        <v>6</v>
      </c>
      <c r="T30" s="10" t="n">
        <f aca="false">MIN(Time!T33,T29*12)-Time!T32</f>
        <v>4</v>
      </c>
      <c r="U30" s="10" t="n">
        <f aca="false">MIN(Time!U33,U29*12)-Time!U32</f>
        <v>6</v>
      </c>
      <c r="V30" s="10" t="n">
        <f aca="false">MIN(Time!V33,V29*12)-Time!V32</f>
        <v>4</v>
      </c>
      <c r="W30" s="10" t="n">
        <f aca="false">MIN(Time!W33,W29*12)-Time!W32</f>
        <v>6</v>
      </c>
      <c r="X30" s="10" t="n">
        <f aca="false">MIN(Time!X33,X29*12)-Time!X32</f>
        <v>4</v>
      </c>
      <c r="Y30" s="10" t="n">
        <f aca="false">MIN(Time!Y33,Y29*12)-Time!Y32</f>
        <v>6</v>
      </c>
      <c r="Z30" s="10" t="n">
        <f aca="false">MIN(Time!Z33,Z29*12)-Time!Z32</f>
        <v>4</v>
      </c>
      <c r="AA30" s="10" t="n">
        <f aca="false">MIN(Time!AA33,AA29*12)-Time!AA32</f>
        <v>6</v>
      </c>
      <c r="AB30" s="10" t="n">
        <f aca="false">MIN(Time!AB33,AB29*12)-Time!AB32</f>
        <v>4</v>
      </c>
      <c r="AC30" s="10" t="n">
        <f aca="false">MIN(Time!AC33,AC29*12)-Time!AC32</f>
        <v>6</v>
      </c>
      <c r="AD30" s="10" t="n">
        <f aca="false">MIN(Time!AD33,AD29*12)-Time!AD32</f>
        <v>4</v>
      </c>
      <c r="AE30" s="10" t="n">
        <f aca="false">MIN(Time!AE33,AE29*12)-Time!AE32</f>
        <v>6</v>
      </c>
      <c r="AF30" s="10" t="n">
        <f aca="false">MIN(Time!AF33,AF29*12)-Time!AF32</f>
        <v>4</v>
      </c>
      <c r="AG30" s="10" t="n">
        <f aca="false">MIN(Time!AG33,AG29*12)-Time!AG32</f>
        <v>6</v>
      </c>
      <c r="AH30" s="10" t="n">
        <f aca="false">MIN(Time!AH33,AH29*12)-Time!AH32</f>
        <v>4</v>
      </c>
      <c r="AI30" s="10" t="n">
        <f aca="false">MIN(Time!AI33,AI29*12)-Time!AI32</f>
        <v>6</v>
      </c>
      <c r="AJ30" s="10" t="n">
        <f aca="false">MIN(Time!AJ33,AJ29*12)-Time!AJ32</f>
        <v>4</v>
      </c>
      <c r="AK30" s="10" t="n">
        <f aca="false">MIN(Time!AK33,AK29*12)-Time!AK32</f>
        <v>6</v>
      </c>
      <c r="AL30" s="10" t="n">
        <f aca="false">MIN(Time!AL33,AL29*12)-Time!AL32</f>
        <v>4</v>
      </c>
      <c r="AM30" s="10" t="n">
        <f aca="false">MIN(Time!AM33,AM29*12)-Time!AM32</f>
        <v>6</v>
      </c>
      <c r="AN30" s="10" t="n">
        <f aca="false">MIN(Time!AN33,AN29*12)-Time!AN32</f>
        <v>4</v>
      </c>
      <c r="AO30" s="10" t="n">
        <f aca="false">MIN(Time!AO33,AO29*12)-Time!AO32</f>
        <v>6</v>
      </c>
      <c r="AP30" s="10" t="n">
        <f aca="false">MIN(Time!AP33,AP29*12)-Time!AP32</f>
        <v>4</v>
      </c>
      <c r="AQ30" s="10" t="n">
        <f aca="false">MIN(Time!AQ33,AQ29*12)-Time!AQ32</f>
        <v>6</v>
      </c>
      <c r="AR30" s="10" t="n">
        <f aca="false">MIN(Time!AR33,AR29*12)-Time!AR32</f>
        <v>4</v>
      </c>
      <c r="AS30" s="10" t="n">
        <f aca="false">MIN(Time!AS33,AS29*12)-Time!AS32</f>
        <v>6</v>
      </c>
      <c r="AT30" s="10" t="n">
        <f aca="false">MIN(Time!AT33,AT29*12)-Time!AT32</f>
        <v>4</v>
      </c>
      <c r="AU30" s="10" t="n">
        <f aca="false">MIN(Time!AU33,AU29*12)-Time!AU32</f>
        <v>6</v>
      </c>
      <c r="AV30" s="10" t="n">
        <f aca="false">MIN(Time!AV33,AV29*12)-Time!AV32</f>
        <v>4</v>
      </c>
      <c r="AW30" s="10" t="n">
        <f aca="false">MIN(Time!AW33,AW29*12)-Time!AW32</f>
        <v>6</v>
      </c>
      <c r="AX30" s="10" t="n">
        <f aca="false">MIN(Time!AX33,AX29*12)-Time!AX32</f>
        <v>4</v>
      </c>
      <c r="AY30" s="10" t="n">
        <f aca="false">MIN(Time!AY33,AY29*12)-Time!AY32</f>
        <v>6</v>
      </c>
      <c r="AZ30" s="10" t="n">
        <f aca="false">MIN(Time!AZ33,AZ29*12)-Time!AZ32</f>
        <v>4</v>
      </c>
      <c r="BA30" s="10" t="n">
        <f aca="false">MIN(Time!BA33,BA29*12)-Time!BA32</f>
        <v>6</v>
      </c>
      <c r="BB30" s="10" t="n">
        <f aca="false">MIN(Time!BB33,BB29*12)-Time!BB32</f>
        <v>4</v>
      </c>
      <c r="BC30" s="10" t="n">
        <f aca="false">MIN(Time!BC33,BC29*12)-Time!BC32</f>
        <v>6</v>
      </c>
      <c r="BD30" s="10" t="n">
        <f aca="false">MIN(Time!BD33,BD29*12)-Time!BD32</f>
        <v>4</v>
      </c>
      <c r="BE30" s="10" t="n">
        <f aca="false">MIN(Time!BE33,BE29*12)-Time!BE32</f>
        <v>6</v>
      </c>
      <c r="BF30" s="10" t="n">
        <f aca="false">MIN(Time!BF33,BF29*12)-Time!BF32</f>
        <v>4</v>
      </c>
      <c r="BG30" s="10" t="n">
        <f aca="false">MIN(Time!BG33,BG29*12)-Time!BG32</f>
        <v>6</v>
      </c>
      <c r="BH30" s="10" t="n">
        <f aca="false">MIN(Time!BH33,BH29*12)-Time!BH32</f>
        <v>4</v>
      </c>
      <c r="BI30" s="10" t="n">
        <f aca="false">MIN(Time!BI33,BI29*12)-Time!BI32</f>
        <v>6</v>
      </c>
      <c r="BJ30" s="10" t="n">
        <f aca="false">MIN(Time!BJ33,BJ29*12)-Time!BJ32</f>
        <v>4</v>
      </c>
      <c r="BK30" s="10" t="n">
        <f aca="false">MIN(Time!BK33,BK29*12)-Time!BK32</f>
        <v>6</v>
      </c>
      <c r="BL30" s="10" t="n">
        <f aca="false">MIN(Time!BL33,BL29*12)-Time!BL32</f>
        <v>4</v>
      </c>
      <c r="BM30" s="10" t="n">
        <f aca="false">MIN(Time!BM33,BM29*12)-Time!BM32</f>
        <v>6</v>
      </c>
      <c r="BN30" s="10" t="n">
        <f aca="false">MIN(Time!BN33,BN29*12)-Time!BN32</f>
        <v>4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0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93.8</v>
      </c>
      <c r="R31" s="13" t="n">
        <f aca="false">IF(Time!R30&gt;0,(R30*INDEX(Inputs!$J$302:$Q$302,1,MOD(R29-1,Inputs!$F$220)+1)+(Time!R30-R30)*INDEX(Inputs!$J$302:$Q$302,1,MOD(R29,Inputs!$F$220)+1))/Time!R30,0)</f>
        <v>93.5</v>
      </c>
      <c r="S31" s="13" t="n">
        <f aca="false">IF(Time!S30&gt;0,(S30*INDEX(Inputs!$J$302:$Q$302,1,MOD(S29-1,Inputs!$F$220)+1)+(Time!S30-S30)*INDEX(Inputs!$J$302:$Q$302,1,MOD(S29,Inputs!$F$220)+1))/Time!S30,0)</f>
        <v>92.9</v>
      </c>
      <c r="T31" s="13" t="n">
        <f aca="false">IF(Time!T30&gt;0,(T30*INDEX(Inputs!$J$302:$Q$302,1,MOD(T29-1,Inputs!$F$220)+1)+(Time!T30-T30)*INDEX(Inputs!$J$302:$Q$302,1,MOD(T29,Inputs!$F$220)+1))/Time!T30,0)</f>
        <v>93.2</v>
      </c>
      <c r="U31" s="13" t="n">
        <f aca="false">IF(Time!U30&gt;0,(U30*INDEX(Inputs!$J$302:$Q$302,1,MOD(U29-1,Inputs!$F$220)+1)+(Time!U30-U30)*INDEX(Inputs!$J$302:$Q$302,1,MOD(U29,Inputs!$F$220)+1))/Time!U30,0)</f>
        <v>93.8</v>
      </c>
      <c r="V31" s="13" t="n">
        <f aca="false">IF(Time!V30&gt;0,(V30*INDEX(Inputs!$J$302:$Q$302,1,MOD(V29-1,Inputs!$F$220)+1)+(Time!V30-V30)*INDEX(Inputs!$J$302:$Q$302,1,MOD(V29,Inputs!$F$220)+1))/Time!V30,0)</f>
        <v>92.7333333333333</v>
      </c>
      <c r="W31" s="13" t="n">
        <f aca="false">IF(Time!W30&gt;0,(W30*INDEX(Inputs!$J$302:$Q$302,1,MOD(W29-1,Inputs!$F$220)+1)+(Time!W30-W30)*INDEX(Inputs!$J$302:$Q$302,1,MOD(W29,Inputs!$F$220)+1))/Time!W30,0)</f>
        <v>90.6</v>
      </c>
      <c r="X31" s="13" t="n">
        <f aca="false">IF(Time!X30&gt;0,(X30*INDEX(Inputs!$J$302:$Q$302,1,MOD(X29-1,Inputs!$F$220)+1)+(Time!X30-X30)*INDEX(Inputs!$J$302:$Q$302,1,MOD(X29,Inputs!$F$220)+1))/Time!X30,0)</f>
        <v>91.6666666666667</v>
      </c>
      <c r="Y31" s="13" t="n">
        <f aca="false">IF(Time!Y30&gt;0,(Y30*INDEX(Inputs!$J$302:$Q$302,1,MOD(Y29-1,Inputs!$F$220)+1)+(Time!Y30-Y30)*INDEX(Inputs!$J$302:$Q$302,1,MOD(Y29,Inputs!$F$220)+1))/Time!Y30,0)</f>
        <v>93.8</v>
      </c>
      <c r="Z31" s="13" t="n">
        <f aca="false">IF(Time!Z30&gt;0,(Z30*INDEX(Inputs!$J$302:$Q$302,1,MOD(Z29-1,Inputs!$F$220)+1)+(Time!Z30-Z30)*INDEX(Inputs!$J$302:$Q$302,1,MOD(Z29,Inputs!$F$220)+1))/Time!Z30,0)</f>
        <v>93.5</v>
      </c>
      <c r="AA31" s="13" t="n">
        <f aca="false">IF(Time!AA30&gt;0,(AA30*INDEX(Inputs!$J$302:$Q$302,1,MOD(AA29-1,Inputs!$F$220)+1)+(Time!AA30-AA30)*INDEX(Inputs!$J$302:$Q$302,1,MOD(AA29,Inputs!$F$220)+1))/Time!AA30,0)</f>
        <v>92.9</v>
      </c>
      <c r="AB31" s="13" t="n">
        <f aca="false">IF(Time!AB30&gt;0,(AB30*INDEX(Inputs!$J$302:$Q$302,1,MOD(AB29-1,Inputs!$F$220)+1)+(Time!AB30-AB30)*INDEX(Inputs!$J$302:$Q$302,1,MOD(AB29,Inputs!$F$220)+1))/Time!AB30,0)</f>
        <v>93.2</v>
      </c>
      <c r="AC31" s="13" t="n">
        <f aca="false">IF(Time!AC30&gt;0,(AC30*INDEX(Inputs!$J$302:$Q$302,1,MOD(AC29-1,Inputs!$F$220)+1)+(Time!AC30-AC30)*INDEX(Inputs!$J$302:$Q$302,1,MOD(AC29,Inputs!$F$220)+1))/Time!AC30,0)</f>
        <v>93.8</v>
      </c>
      <c r="AD31" s="13" t="n">
        <f aca="false">IF(Time!AD30&gt;0,(AD30*INDEX(Inputs!$J$302:$Q$302,1,MOD(AD29-1,Inputs!$F$220)+1)+(Time!AD30-AD30)*INDEX(Inputs!$J$302:$Q$302,1,MOD(AD29,Inputs!$F$220)+1))/Time!AD30,0)</f>
        <v>92.1</v>
      </c>
      <c r="AE31" s="13" t="n">
        <f aca="false">IF(Time!AE30&gt;0,(AE30*INDEX(Inputs!$J$302:$Q$302,1,MOD(AE29-1,Inputs!$F$220)+1)+(Time!AE30-AE30)*INDEX(Inputs!$J$302:$Q$302,1,MOD(AE29,Inputs!$F$220)+1))/Time!AE30,0)</f>
        <v>88.7</v>
      </c>
      <c r="AF31" s="13" t="n">
        <f aca="false">IF(Time!AF30&gt;0,(AF30*INDEX(Inputs!$J$302:$Q$302,1,MOD(AF29-1,Inputs!$F$220)+1)+(Time!AF30-AF30)*INDEX(Inputs!$J$302:$Q$302,1,MOD(AF29,Inputs!$F$220)+1))/Time!AF30,0)</f>
        <v>90.4</v>
      </c>
      <c r="AG31" s="13" t="n">
        <f aca="false">IF(Time!AG30&gt;0,(AG30*INDEX(Inputs!$J$302:$Q$302,1,MOD(AG29-1,Inputs!$F$220)+1)+(Time!AG30-AG30)*INDEX(Inputs!$J$302:$Q$302,1,MOD(AG29,Inputs!$F$220)+1))/Time!AG30,0)</f>
        <v>93.8</v>
      </c>
      <c r="AH31" s="13" t="n">
        <f aca="false">IF(Time!AH30&gt;0,(AH30*INDEX(Inputs!$J$302:$Q$302,1,MOD(AH29-1,Inputs!$F$220)+1)+(Time!AH30-AH30)*INDEX(Inputs!$J$302:$Q$302,1,MOD(AH29,Inputs!$F$220)+1))/Time!AH30,0)</f>
        <v>93.5</v>
      </c>
      <c r="AI31" s="13" t="n">
        <f aca="false">IF(Time!AI30&gt;0,(AI30*INDEX(Inputs!$J$302:$Q$302,1,MOD(AI29-1,Inputs!$F$220)+1)+(Time!AI30-AI30)*INDEX(Inputs!$J$302:$Q$302,1,MOD(AI29,Inputs!$F$220)+1))/Time!AI30,0)</f>
        <v>92.9</v>
      </c>
      <c r="AJ31" s="13" t="n">
        <f aca="false">IF(Time!AJ30&gt;0,(AJ30*INDEX(Inputs!$J$302:$Q$302,1,MOD(AJ29-1,Inputs!$F$220)+1)+(Time!AJ30-AJ30)*INDEX(Inputs!$J$302:$Q$302,1,MOD(AJ29,Inputs!$F$220)+1))/Time!AJ30,0)</f>
        <v>93.2</v>
      </c>
      <c r="AK31" s="13" t="n">
        <f aca="false">IF(Time!AK30&gt;0,(AK30*INDEX(Inputs!$J$302:$Q$302,1,MOD(AK29-1,Inputs!$F$220)+1)+(Time!AK30-AK30)*INDEX(Inputs!$J$302:$Q$302,1,MOD(AK29,Inputs!$F$220)+1))/Time!AK30,0)</f>
        <v>93.8</v>
      </c>
      <c r="AL31" s="13" t="n">
        <f aca="false">IF(Time!AL30&gt;0,(AL30*INDEX(Inputs!$J$302:$Q$302,1,MOD(AL29-1,Inputs!$F$220)+1)+(Time!AL30-AL30)*INDEX(Inputs!$J$302:$Q$302,1,MOD(AL29,Inputs!$F$220)+1))/Time!AL30,0)</f>
        <v>92.7333333333333</v>
      </c>
      <c r="AM31" s="13" t="n">
        <f aca="false">IF(Time!AM30&gt;0,(AM30*INDEX(Inputs!$J$302:$Q$302,1,MOD(AM29-1,Inputs!$F$220)+1)+(Time!AM30-AM30)*INDEX(Inputs!$J$302:$Q$302,1,MOD(AM29,Inputs!$F$220)+1))/Time!AM30,0)</f>
        <v>90.6</v>
      </c>
      <c r="AN31" s="13" t="n">
        <f aca="false">IF(Time!AN30&gt;0,(AN30*INDEX(Inputs!$J$302:$Q$302,1,MOD(AN29-1,Inputs!$F$220)+1)+(Time!AN30-AN30)*INDEX(Inputs!$J$302:$Q$302,1,MOD(AN29,Inputs!$F$220)+1))/Time!AN30,0)</f>
        <v>91.6666666666667</v>
      </c>
      <c r="AO31" s="13" t="n">
        <f aca="false">IF(Time!AO30&gt;0,(AO30*INDEX(Inputs!$J$302:$Q$302,1,MOD(AO29-1,Inputs!$F$220)+1)+(Time!AO30-AO30)*INDEX(Inputs!$J$302:$Q$302,1,MOD(AO29,Inputs!$F$220)+1))/Time!AO30,0)</f>
        <v>93.8</v>
      </c>
      <c r="AP31" s="13" t="n">
        <f aca="false">IF(Time!AP30&gt;0,(AP30*INDEX(Inputs!$J$302:$Q$302,1,MOD(AP29-1,Inputs!$F$220)+1)+(Time!AP30-AP30)*INDEX(Inputs!$J$302:$Q$302,1,MOD(AP29,Inputs!$F$220)+1))/Time!AP30,0)</f>
        <v>93.5</v>
      </c>
      <c r="AQ31" s="13" t="n">
        <f aca="false">IF(Time!AQ30&gt;0,(AQ30*INDEX(Inputs!$J$302:$Q$302,1,MOD(AQ29-1,Inputs!$F$220)+1)+(Time!AQ30-AQ30)*INDEX(Inputs!$J$302:$Q$302,1,MOD(AQ29,Inputs!$F$220)+1))/Time!AQ30,0)</f>
        <v>92.9</v>
      </c>
      <c r="AR31" s="13" t="n">
        <f aca="false">IF(Time!AR30&gt;0,(AR30*INDEX(Inputs!$J$302:$Q$302,1,MOD(AR29-1,Inputs!$F$220)+1)+(Time!AR30-AR30)*INDEX(Inputs!$J$302:$Q$302,1,MOD(AR29,Inputs!$F$220)+1))/Time!AR30,0)</f>
        <v>93.2</v>
      </c>
      <c r="AS31" s="13" t="n">
        <f aca="false">IF(Time!AS30&gt;0,(AS30*INDEX(Inputs!$J$302:$Q$302,1,MOD(AS29-1,Inputs!$F$220)+1)+(Time!AS30-AS30)*INDEX(Inputs!$J$302:$Q$302,1,MOD(AS29,Inputs!$F$220)+1))/Time!AS30,0)</f>
        <v>93.8</v>
      </c>
      <c r="AT31" s="13" t="n">
        <f aca="false">IF(Time!AT30&gt;0,(AT30*INDEX(Inputs!$J$302:$Q$302,1,MOD(AT29-1,Inputs!$F$220)+1)+(Time!AT30-AT30)*INDEX(Inputs!$J$302:$Q$302,1,MOD(AT29,Inputs!$F$220)+1))/Time!AT30,0)</f>
        <v>92.1</v>
      </c>
      <c r="AU31" s="13" t="n">
        <f aca="false">IF(Time!AU30&gt;0,(AU30*INDEX(Inputs!$J$302:$Q$302,1,MOD(AU29-1,Inputs!$F$220)+1)+(Time!AU30-AU30)*INDEX(Inputs!$J$302:$Q$302,1,MOD(AU29,Inputs!$F$220)+1))/Time!AU30,0)</f>
        <v>88.7</v>
      </c>
      <c r="AV31" s="13" t="n">
        <f aca="false">IF(Time!AV30&gt;0,(AV30*INDEX(Inputs!$J$302:$Q$302,1,MOD(AV29-1,Inputs!$F$220)+1)+(Time!AV30-AV30)*INDEX(Inputs!$J$302:$Q$302,1,MOD(AV29,Inputs!$F$220)+1))/Time!AV30,0)</f>
        <v>90.4</v>
      </c>
      <c r="AW31" s="13" t="n">
        <f aca="false">IF(Time!AW30&gt;0,(AW30*INDEX(Inputs!$J$302:$Q$302,1,MOD(AW29-1,Inputs!$F$220)+1)+(Time!AW30-AW30)*INDEX(Inputs!$J$302:$Q$302,1,MOD(AW29,Inputs!$F$220)+1))/Time!AW30,0)</f>
        <v>93.8</v>
      </c>
      <c r="AX31" s="13" t="n">
        <f aca="false">IF(Time!AX30&gt;0,(AX30*INDEX(Inputs!$J$302:$Q$302,1,MOD(AX29-1,Inputs!$F$220)+1)+(Time!AX30-AX30)*INDEX(Inputs!$J$302:$Q$302,1,MOD(AX29,Inputs!$F$220)+1))/Time!AX30,0)</f>
        <v>93.5</v>
      </c>
      <c r="AY31" s="13" t="n">
        <f aca="false">IF(Time!AY30&gt;0,(AY30*INDEX(Inputs!$J$302:$Q$302,1,MOD(AY29-1,Inputs!$F$220)+1)+(Time!AY30-AY30)*INDEX(Inputs!$J$302:$Q$302,1,MOD(AY29,Inputs!$F$220)+1))/Time!AY30,0)</f>
        <v>92.9</v>
      </c>
      <c r="AZ31" s="13" t="n">
        <f aca="false">IF(Time!AZ30&gt;0,(AZ30*INDEX(Inputs!$J$302:$Q$302,1,MOD(AZ29-1,Inputs!$F$220)+1)+(Time!AZ30-AZ30)*INDEX(Inputs!$J$302:$Q$302,1,MOD(AZ29,Inputs!$F$220)+1))/Time!AZ30,0)</f>
        <v>93.2</v>
      </c>
      <c r="BA31" s="13" t="n">
        <f aca="false">IF(Time!BA30&gt;0,(BA30*INDEX(Inputs!$J$302:$Q$302,1,MOD(BA29-1,Inputs!$F$220)+1)+(Time!BA30-BA30)*INDEX(Inputs!$J$302:$Q$302,1,MOD(BA29,Inputs!$F$220)+1))/Time!BA30,0)</f>
        <v>93.8</v>
      </c>
      <c r="BB31" s="13" t="n">
        <f aca="false">IF(Time!BB30&gt;0,(BB30*INDEX(Inputs!$J$302:$Q$302,1,MOD(BB29-1,Inputs!$F$220)+1)+(Time!BB30-BB30)*INDEX(Inputs!$J$302:$Q$302,1,MOD(BB29,Inputs!$F$220)+1))/Time!BB30,0)</f>
        <v>92.7333333333333</v>
      </c>
      <c r="BC31" s="13" t="n">
        <f aca="false">IF(Time!BC30&gt;0,(BC30*INDEX(Inputs!$J$302:$Q$302,1,MOD(BC29-1,Inputs!$F$220)+1)+(Time!BC30-BC30)*INDEX(Inputs!$J$302:$Q$302,1,MOD(BC29,Inputs!$F$220)+1))/Time!BC30,0)</f>
        <v>90.6</v>
      </c>
      <c r="BD31" s="13" t="n">
        <f aca="false">IF(Time!BD30&gt;0,(BD30*INDEX(Inputs!$J$302:$Q$302,1,MOD(BD29-1,Inputs!$F$220)+1)+(Time!BD30-BD30)*INDEX(Inputs!$J$302:$Q$302,1,MOD(BD29,Inputs!$F$220)+1))/Time!BD30,0)</f>
        <v>91.6666666666667</v>
      </c>
      <c r="BE31" s="13" t="n">
        <f aca="false">IF(Time!BE30&gt;0,(BE30*INDEX(Inputs!$J$302:$Q$302,1,MOD(BE29-1,Inputs!$F$220)+1)+(Time!BE30-BE30)*INDEX(Inputs!$J$302:$Q$302,1,MOD(BE29,Inputs!$F$220)+1))/Time!BE30,0)</f>
        <v>93.8</v>
      </c>
      <c r="BF31" s="13" t="n">
        <f aca="false">IF(Time!BF30&gt;0,(BF30*INDEX(Inputs!$J$302:$Q$302,1,MOD(BF29-1,Inputs!$F$220)+1)+(Time!BF30-BF30)*INDEX(Inputs!$J$302:$Q$302,1,MOD(BF29,Inputs!$F$220)+1))/Time!BF30,0)</f>
        <v>93.5</v>
      </c>
      <c r="BG31" s="13" t="n">
        <f aca="false">IF(Time!BG30&gt;0,(BG30*INDEX(Inputs!$J$302:$Q$302,1,MOD(BG29-1,Inputs!$F$220)+1)+(Time!BG30-BG30)*INDEX(Inputs!$J$302:$Q$302,1,MOD(BG29,Inputs!$F$220)+1))/Time!BG30,0)</f>
        <v>92.9</v>
      </c>
      <c r="BH31" s="13" t="n">
        <f aca="false">IF(Time!BH30&gt;0,(BH30*INDEX(Inputs!$J$302:$Q$302,1,MOD(BH29-1,Inputs!$F$220)+1)+(Time!BH30-BH30)*INDEX(Inputs!$J$302:$Q$302,1,MOD(BH29,Inputs!$F$220)+1))/Time!BH30,0)</f>
        <v>93.2</v>
      </c>
      <c r="BI31" s="13" t="n">
        <f aca="false">IF(Time!BI30&gt;0,(BI30*INDEX(Inputs!$J$302:$Q$302,1,MOD(BI29-1,Inputs!$F$220)+1)+(Time!BI30-BI30)*INDEX(Inputs!$J$302:$Q$302,1,MOD(BI29,Inputs!$F$220)+1))/Time!BI30,0)</f>
        <v>93.8</v>
      </c>
      <c r="BJ31" s="13" t="n">
        <f aca="false">IF(Time!BJ30&gt;0,(BJ30*INDEX(Inputs!$J$302:$Q$302,1,MOD(BJ29-1,Inputs!$F$220)+1)+(Time!BJ30-BJ30)*INDEX(Inputs!$J$302:$Q$302,1,MOD(BJ29,Inputs!$F$220)+1))/Time!BJ30,0)</f>
        <v>92.1</v>
      </c>
      <c r="BK31" s="13" t="n">
        <f aca="false">IF(Time!BK30&gt;0,(BK30*INDEX(Inputs!$J$302:$Q$302,1,MOD(BK29-1,Inputs!$F$220)+1)+(Time!BK30-BK30)*INDEX(Inputs!$J$302:$Q$302,1,MOD(BK29,Inputs!$F$220)+1))/Time!BK30,0)</f>
        <v>88.7</v>
      </c>
      <c r="BL31" s="13" t="n">
        <f aca="false">IF(Time!BL30&gt;0,(BL30*INDEX(Inputs!$J$302:$Q$302,1,MOD(BL29-1,Inputs!$F$220)+1)+(Time!BL30-BL30)*INDEX(Inputs!$J$302:$Q$302,1,MOD(BL29,Inputs!$F$220)+1))/Time!BL30,0)</f>
        <v>90.4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93.8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0</v>
      </c>
      <c r="P32" s="13" t="n">
        <f aca="false">IF(Time!P30&gt;0,P31+Inputs!$F$37,0)</f>
        <v>93.8</v>
      </c>
      <c r="Q32" s="13" t="n">
        <f aca="false">IF(Time!Q30&gt;0,Q31+Inputs!$F$37,0)</f>
        <v>93.8</v>
      </c>
      <c r="R32" s="13" t="n">
        <f aca="false">IF(Time!R30&gt;0,R31+Inputs!$F$37,0)</f>
        <v>93.5</v>
      </c>
      <c r="S32" s="13" t="n">
        <f aca="false">IF(Time!S30&gt;0,S31+Inputs!$F$37,0)</f>
        <v>92.9</v>
      </c>
      <c r="T32" s="13" t="n">
        <f aca="false">IF(Time!T30&gt;0,T31+Inputs!$F$37,0)</f>
        <v>93.2</v>
      </c>
      <c r="U32" s="13" t="n">
        <f aca="false">IF(Time!U30&gt;0,U31+Inputs!$F$37,0)</f>
        <v>93.8</v>
      </c>
      <c r="V32" s="13" t="n">
        <f aca="false">IF(Time!V30&gt;0,V31+Inputs!$F$37,0)</f>
        <v>92.7333333333333</v>
      </c>
      <c r="W32" s="13" t="n">
        <f aca="false">IF(Time!W30&gt;0,W31+Inputs!$F$37,0)</f>
        <v>90.6</v>
      </c>
      <c r="X32" s="13" t="n">
        <f aca="false">IF(Time!X30&gt;0,X31+Inputs!$F$37,0)</f>
        <v>91.6666666666667</v>
      </c>
      <c r="Y32" s="13" t="n">
        <f aca="false">IF(Time!Y30&gt;0,Y31+Inputs!$F$37,0)</f>
        <v>93.8</v>
      </c>
      <c r="Z32" s="13" t="n">
        <f aca="false">IF(Time!Z30&gt;0,Z31+Inputs!$F$37,0)</f>
        <v>93.5</v>
      </c>
      <c r="AA32" s="13" t="n">
        <f aca="false">IF(Time!AA30&gt;0,AA31+Inputs!$F$37,0)</f>
        <v>92.9</v>
      </c>
      <c r="AB32" s="13" t="n">
        <f aca="false">IF(Time!AB30&gt;0,AB31+Inputs!$F$37,0)</f>
        <v>93.2</v>
      </c>
      <c r="AC32" s="13" t="n">
        <f aca="false">IF(Time!AC30&gt;0,AC31+Inputs!$F$37,0)</f>
        <v>93.8</v>
      </c>
      <c r="AD32" s="13" t="n">
        <f aca="false">IF(Time!AD30&gt;0,AD31+Inputs!$F$37,0)</f>
        <v>92.1</v>
      </c>
      <c r="AE32" s="13" t="n">
        <f aca="false">IF(Time!AE30&gt;0,AE31+Inputs!$F$37,0)</f>
        <v>88.7</v>
      </c>
      <c r="AF32" s="13" t="n">
        <f aca="false">IF(Time!AF30&gt;0,AF31+Inputs!$F$37,0)</f>
        <v>90.4</v>
      </c>
      <c r="AG32" s="13" t="n">
        <f aca="false">IF(Time!AG30&gt;0,AG31+Inputs!$F$37,0)</f>
        <v>93.8</v>
      </c>
      <c r="AH32" s="13" t="n">
        <f aca="false">IF(Time!AH30&gt;0,AH31+Inputs!$F$37,0)</f>
        <v>93.5</v>
      </c>
      <c r="AI32" s="13" t="n">
        <f aca="false">IF(Time!AI30&gt;0,AI31+Inputs!$F$37,0)</f>
        <v>92.9</v>
      </c>
      <c r="AJ32" s="13" t="n">
        <f aca="false">IF(Time!AJ30&gt;0,AJ31+Inputs!$F$37,0)</f>
        <v>93.2</v>
      </c>
      <c r="AK32" s="13" t="n">
        <f aca="false">IF(Time!AK30&gt;0,AK31+Inputs!$F$37,0)</f>
        <v>93.8</v>
      </c>
      <c r="AL32" s="13" t="n">
        <f aca="false">IF(Time!AL30&gt;0,AL31+Inputs!$F$37,0)</f>
        <v>92.7333333333333</v>
      </c>
      <c r="AM32" s="13" t="n">
        <f aca="false">IF(Time!AM30&gt;0,AM31+Inputs!$F$37,0)</f>
        <v>90.6</v>
      </c>
      <c r="AN32" s="13" t="n">
        <f aca="false">IF(Time!AN30&gt;0,AN31+Inputs!$F$37,0)</f>
        <v>91.6666666666667</v>
      </c>
      <c r="AO32" s="13" t="n">
        <f aca="false">IF(Time!AO30&gt;0,AO31+Inputs!$F$37,0)</f>
        <v>93.8</v>
      </c>
      <c r="AP32" s="13" t="n">
        <f aca="false">IF(Time!AP30&gt;0,AP31+Inputs!$F$37,0)</f>
        <v>93.5</v>
      </c>
      <c r="AQ32" s="13" t="n">
        <f aca="false">IF(Time!AQ30&gt;0,AQ31+Inputs!$F$37,0)</f>
        <v>92.9</v>
      </c>
      <c r="AR32" s="13" t="n">
        <f aca="false">IF(Time!AR30&gt;0,AR31+Inputs!$F$37,0)</f>
        <v>93.2</v>
      </c>
      <c r="AS32" s="13" t="n">
        <f aca="false">IF(Time!AS30&gt;0,AS31+Inputs!$F$37,0)</f>
        <v>93.8</v>
      </c>
      <c r="AT32" s="13" t="n">
        <f aca="false">IF(Time!AT30&gt;0,AT31+Inputs!$F$37,0)</f>
        <v>92.1</v>
      </c>
      <c r="AU32" s="13" t="n">
        <f aca="false">IF(Time!AU30&gt;0,AU31+Inputs!$F$37,0)</f>
        <v>88.7</v>
      </c>
      <c r="AV32" s="13" t="n">
        <f aca="false">IF(Time!AV30&gt;0,AV31+Inputs!$F$37,0)</f>
        <v>90.4</v>
      </c>
      <c r="AW32" s="13" t="n">
        <f aca="false">IF(Time!AW30&gt;0,AW31+Inputs!$F$37,0)</f>
        <v>93.8</v>
      </c>
      <c r="AX32" s="13" t="n">
        <f aca="false">IF(Time!AX30&gt;0,AX31+Inputs!$F$37,0)</f>
        <v>93.5</v>
      </c>
      <c r="AY32" s="13" t="n">
        <f aca="false">IF(Time!AY30&gt;0,AY31+Inputs!$F$37,0)</f>
        <v>92.9</v>
      </c>
      <c r="AZ32" s="13" t="n">
        <f aca="false">IF(Time!AZ30&gt;0,AZ31+Inputs!$F$37,0)</f>
        <v>93.2</v>
      </c>
      <c r="BA32" s="13" t="n">
        <f aca="false">IF(Time!BA30&gt;0,BA31+Inputs!$F$37,0)</f>
        <v>93.8</v>
      </c>
      <c r="BB32" s="13" t="n">
        <f aca="false">IF(Time!BB30&gt;0,BB31+Inputs!$F$37,0)</f>
        <v>92.7333333333333</v>
      </c>
      <c r="BC32" s="13" t="n">
        <f aca="false">IF(Time!BC30&gt;0,BC31+Inputs!$F$37,0)</f>
        <v>90.6</v>
      </c>
      <c r="BD32" s="13" t="n">
        <f aca="false">IF(Time!BD30&gt;0,BD31+Inputs!$F$37,0)</f>
        <v>91.6666666666667</v>
      </c>
      <c r="BE32" s="13" t="n">
        <f aca="false">IF(Time!BE30&gt;0,BE31+Inputs!$F$37,0)</f>
        <v>93.8</v>
      </c>
      <c r="BF32" s="13" t="n">
        <f aca="false">IF(Time!BF30&gt;0,BF31+Inputs!$F$37,0)</f>
        <v>93.5</v>
      </c>
      <c r="BG32" s="13" t="n">
        <f aca="false">IF(Time!BG30&gt;0,BG31+Inputs!$F$37,0)</f>
        <v>92.9</v>
      </c>
      <c r="BH32" s="13" t="n">
        <f aca="false">IF(Time!BH30&gt;0,BH31+Inputs!$F$37,0)</f>
        <v>93.2</v>
      </c>
      <c r="BI32" s="13" t="n">
        <f aca="false">IF(Time!BI30&gt;0,BI31+Inputs!$F$37,0)</f>
        <v>93.8</v>
      </c>
      <c r="BJ32" s="13" t="n">
        <f aca="false">IF(Time!BJ30&gt;0,BJ31+Inputs!$F$37,0)</f>
        <v>92.1</v>
      </c>
      <c r="BK32" s="13" t="n">
        <f aca="false">IF(Time!BK30&gt;0,BK31+Inputs!$F$37,0)</f>
        <v>88.7</v>
      </c>
      <c r="BL32" s="13" t="n">
        <f aca="false">IF(Time!BL30&gt;0,BL31+Inputs!$F$37,0)</f>
        <v>90.4</v>
      </c>
      <c r="BM32" s="13" t="n">
        <f aca="false">IF(Time!BM30&gt;0,BM31+Inputs!$F$37,0)</f>
        <v>93.8</v>
      </c>
      <c r="BN32" s="13" t="n">
        <f aca="false">IF(Time!BN30&gt;0,BN31+Inputs!$F$37,0)</f>
        <v>93.8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</v>
      </c>
      <c r="P33" s="13" t="n">
        <f aca="false">IF(Time!P30&gt;0,AVERAGE(Time!P32,Time!P33)/12,0)</f>
        <v>0.0833333333333333</v>
      </c>
      <c r="Q33" s="13" t="n">
        <f aca="false">IF(Time!Q30&gt;0,AVERAGE(Time!Q32,Time!Q33)/12,0)</f>
        <v>0.416666666666667</v>
      </c>
      <c r="R33" s="13" t="n">
        <f aca="false">IF(Time!R30&gt;0,AVERAGE(Time!R32,Time!R33)/12,0)</f>
        <v>0.916666666666667</v>
      </c>
      <c r="S33" s="13" t="n">
        <f aca="false">IF(Time!S30&gt;0,AVERAGE(Time!S32,Time!S33)/12,0)</f>
        <v>1.41666666666667</v>
      </c>
      <c r="T33" s="13" t="n">
        <f aca="false">IF(Time!T30&gt;0,AVERAGE(Time!T32,Time!T33)/12,0)</f>
        <v>1.91666666666667</v>
      </c>
      <c r="U33" s="13" t="n">
        <f aca="false">IF(Time!U30&gt;0,AVERAGE(Time!U32,Time!U33)/12,0)</f>
        <v>2.41666666666667</v>
      </c>
      <c r="V33" s="13" t="n">
        <f aca="false">IF(Time!V30&gt;0,AVERAGE(Time!V32,Time!V33)/12,0)</f>
        <v>2.91666666666667</v>
      </c>
      <c r="W33" s="13" t="n">
        <f aca="false">IF(Time!W30&gt;0,AVERAGE(Time!W32,Time!W33)/12,0)</f>
        <v>3.41666666666667</v>
      </c>
      <c r="X33" s="13" t="n">
        <f aca="false">IF(Time!X30&gt;0,AVERAGE(Time!X32,Time!X33)/12,0)</f>
        <v>3.91666666666667</v>
      </c>
      <c r="Y33" s="13" t="n">
        <f aca="false">IF(Time!Y30&gt;0,AVERAGE(Time!Y32,Time!Y33)/12,0)</f>
        <v>4.41666666666667</v>
      </c>
      <c r="Z33" s="13" t="n">
        <f aca="false">IF(Time!Z30&gt;0,AVERAGE(Time!Z32,Time!Z33)/12,0)</f>
        <v>4.91666666666667</v>
      </c>
      <c r="AA33" s="13" t="n">
        <f aca="false">IF(Time!AA30&gt;0,AVERAGE(Time!AA32,Time!AA33)/12,0)</f>
        <v>5.41666666666667</v>
      </c>
      <c r="AB33" s="13" t="n">
        <f aca="false">IF(Time!AB30&gt;0,AVERAGE(Time!AB32,Time!AB33)/12,0)</f>
        <v>5.91666666666667</v>
      </c>
      <c r="AC33" s="13" t="n">
        <f aca="false">IF(Time!AC30&gt;0,AVERAGE(Time!AC32,Time!AC33)/12,0)</f>
        <v>6.41666666666667</v>
      </c>
      <c r="AD33" s="13" t="n">
        <f aca="false">IF(Time!AD30&gt;0,AVERAGE(Time!AD32,Time!AD33)/12,0)</f>
        <v>6.91666666666667</v>
      </c>
      <c r="AE33" s="13" t="n">
        <f aca="false">IF(Time!AE30&gt;0,AVERAGE(Time!AE32,Time!AE33)/12,0)</f>
        <v>7.41666666666667</v>
      </c>
      <c r="AF33" s="13" t="n">
        <f aca="false">IF(Time!AF30&gt;0,AVERAGE(Time!AF32,Time!AF33)/12,0)</f>
        <v>7.91666666666667</v>
      </c>
      <c r="AG33" s="13" t="n">
        <f aca="false">IF(Time!AG30&gt;0,AVERAGE(Time!AG32,Time!AG33)/12,0)</f>
        <v>8.41666666666667</v>
      </c>
      <c r="AH33" s="13" t="n">
        <f aca="false">IF(Time!AH30&gt;0,AVERAGE(Time!AH32,Time!AH33)/12,0)</f>
        <v>8.91666666666667</v>
      </c>
      <c r="AI33" s="13" t="n">
        <f aca="false">IF(Time!AI30&gt;0,AVERAGE(Time!AI32,Time!AI33)/12,0)</f>
        <v>9.41666666666667</v>
      </c>
      <c r="AJ33" s="13" t="n">
        <f aca="false">IF(Time!AJ30&gt;0,AVERAGE(Time!AJ32,Time!AJ33)/12,0)</f>
        <v>9.91666666666667</v>
      </c>
      <c r="AK33" s="13" t="n">
        <f aca="false">IF(Time!AK30&gt;0,AVERAGE(Time!AK32,Time!AK33)/12,0)</f>
        <v>10.4166666666667</v>
      </c>
      <c r="AL33" s="13" t="n">
        <f aca="false">IF(Time!AL30&gt;0,AVERAGE(Time!AL32,Time!AL33)/12,0)</f>
        <v>10.9166666666667</v>
      </c>
      <c r="AM33" s="13" t="n">
        <f aca="false">IF(Time!AM30&gt;0,AVERAGE(Time!AM32,Time!AM33)/12,0)</f>
        <v>11.4166666666667</v>
      </c>
      <c r="AN33" s="13" t="n">
        <f aca="false">IF(Time!AN30&gt;0,AVERAGE(Time!AN32,Time!AN33)/12,0)</f>
        <v>11.9166666666667</v>
      </c>
      <c r="AO33" s="13" t="n">
        <f aca="false">IF(Time!AO30&gt;0,AVERAGE(Time!AO32,Time!AO33)/12,0)</f>
        <v>12.4166666666667</v>
      </c>
      <c r="AP33" s="13" t="n">
        <f aca="false">IF(Time!AP30&gt;0,AVERAGE(Time!AP32,Time!AP33)/12,0)</f>
        <v>12.9166666666667</v>
      </c>
      <c r="AQ33" s="13" t="n">
        <f aca="false">IF(Time!AQ30&gt;0,AVERAGE(Time!AQ32,Time!AQ33)/12,0)</f>
        <v>13.4166666666667</v>
      </c>
      <c r="AR33" s="13" t="n">
        <f aca="false">IF(Time!AR30&gt;0,AVERAGE(Time!AR32,Time!AR33)/12,0)</f>
        <v>13.9166666666667</v>
      </c>
      <c r="AS33" s="13" t="n">
        <f aca="false">IF(Time!AS30&gt;0,AVERAGE(Time!AS32,Time!AS33)/12,0)</f>
        <v>14.4166666666667</v>
      </c>
      <c r="AT33" s="13" t="n">
        <f aca="false">IF(Time!AT30&gt;0,AVERAGE(Time!AT32,Time!AT33)/12,0)</f>
        <v>14.9166666666667</v>
      </c>
      <c r="AU33" s="13" t="n">
        <f aca="false">IF(Time!AU30&gt;0,AVERAGE(Time!AU32,Time!AU33)/12,0)</f>
        <v>15.4166666666667</v>
      </c>
      <c r="AV33" s="13" t="n">
        <f aca="false">IF(Time!AV30&gt;0,AVERAGE(Time!AV32,Time!AV33)/12,0)</f>
        <v>15.9166666666667</v>
      </c>
      <c r="AW33" s="13" t="n">
        <f aca="false">IF(Time!AW30&gt;0,AVERAGE(Time!AW32,Time!AW33)/12,0)</f>
        <v>16.4166666666667</v>
      </c>
      <c r="AX33" s="13" t="n">
        <f aca="false">IF(Time!AX30&gt;0,AVERAGE(Time!AX32,Time!AX33)/12,0)</f>
        <v>16.9166666666667</v>
      </c>
      <c r="AY33" s="13" t="n">
        <f aca="false">IF(Time!AY30&gt;0,AVERAGE(Time!AY32,Time!AY33)/12,0)</f>
        <v>17.4166666666667</v>
      </c>
      <c r="AZ33" s="13" t="n">
        <f aca="false">IF(Time!AZ30&gt;0,AVERAGE(Time!AZ32,Time!AZ33)/12,0)</f>
        <v>17.9166666666667</v>
      </c>
      <c r="BA33" s="13" t="n">
        <f aca="false">IF(Time!BA30&gt;0,AVERAGE(Time!BA32,Time!BA33)/12,0)</f>
        <v>18.4166666666667</v>
      </c>
      <c r="BB33" s="13" t="n">
        <f aca="false">IF(Time!BB30&gt;0,AVERAGE(Time!BB32,Time!BB33)/12,0)</f>
        <v>18.9166666666667</v>
      </c>
      <c r="BC33" s="13" t="n">
        <f aca="false">IF(Time!BC30&gt;0,AVERAGE(Time!BC32,Time!BC33)/12,0)</f>
        <v>19.4166666666667</v>
      </c>
      <c r="BD33" s="13" t="n">
        <f aca="false">IF(Time!BD30&gt;0,AVERAGE(Time!BD32,Time!BD33)/12,0)</f>
        <v>19.9166666666667</v>
      </c>
      <c r="BE33" s="13" t="n">
        <f aca="false">IF(Time!BE30&gt;0,AVERAGE(Time!BE32,Time!BE33)/12,0)</f>
        <v>20.4166666666667</v>
      </c>
      <c r="BF33" s="13" t="n">
        <f aca="false">IF(Time!BF30&gt;0,AVERAGE(Time!BF32,Time!BF33)/12,0)</f>
        <v>20.9166666666667</v>
      </c>
      <c r="BG33" s="13" t="n">
        <f aca="false">IF(Time!BG30&gt;0,AVERAGE(Time!BG32,Time!BG33)/12,0)</f>
        <v>21.4166666666667</v>
      </c>
      <c r="BH33" s="13" t="n">
        <f aca="false">IF(Time!BH30&gt;0,AVERAGE(Time!BH32,Time!BH33)/12,0)</f>
        <v>21.9166666666667</v>
      </c>
      <c r="BI33" s="13" t="n">
        <f aca="false">IF(Time!BI30&gt;0,AVERAGE(Time!BI32,Time!BI33)/12,0)</f>
        <v>22.4166666666667</v>
      </c>
      <c r="BJ33" s="13" t="n">
        <f aca="false">IF(Time!BJ30&gt;0,AVERAGE(Time!BJ32,Time!BJ33)/12,0)</f>
        <v>22.9166666666667</v>
      </c>
      <c r="BK33" s="13" t="n">
        <f aca="false">IF(Time!BK30&gt;0,AVERAGE(Time!BK32,Time!BK33)/12,0)</f>
        <v>23.4166666666667</v>
      </c>
      <c r="BL33" s="13" t="n">
        <f aca="false">IF(Time!BL30&gt;0,AVERAGE(Time!BL32,Time!BL33)/12,0)</f>
        <v>23.9166666666667</v>
      </c>
      <c r="BM33" s="13" t="n">
        <f aca="false">IF(Time!BM30&gt;0,AVERAGE(Time!BM32,Time!BM33)/12,0)</f>
        <v>24.4166666666667</v>
      </c>
      <c r="BN33" s="13" t="n">
        <f aca="false">IF(Time!BN30&gt;0,AVERAGE(Time!BN32,Time!BN33)/12,0)</f>
        <v>24.8333333333333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0.99</v>
      </c>
      <c r="P36" s="13" t="n">
        <f aca="false">(1-Inputs!$F$125/100*P33)*(1-Inputs!$F$126/100)</f>
        <v>0.98987625</v>
      </c>
      <c r="Q36" s="13" t="n">
        <f aca="false">(1-Inputs!$F$125/100*Q33)*(1-Inputs!$F$126/100)</f>
        <v>0.98938125</v>
      </c>
      <c r="R36" s="13" t="n">
        <f aca="false">(1-Inputs!$F$125/100*R33)*(1-Inputs!$F$126/100)</f>
        <v>0.98863875</v>
      </c>
      <c r="S36" s="13" t="n">
        <f aca="false">(1-Inputs!$F$125/100*S33)*(1-Inputs!$F$126/100)</f>
        <v>0.98789625</v>
      </c>
      <c r="T36" s="13" t="n">
        <f aca="false">(1-Inputs!$F$125/100*T33)*(1-Inputs!$F$126/100)</f>
        <v>0.98715375</v>
      </c>
      <c r="U36" s="13" t="n">
        <f aca="false">(1-Inputs!$F$125/100*U33)*(1-Inputs!$F$126/100)</f>
        <v>0.98641125</v>
      </c>
      <c r="V36" s="13" t="n">
        <f aca="false">(1-Inputs!$F$125/100*V33)*(1-Inputs!$F$126/100)</f>
        <v>0.98566875</v>
      </c>
      <c r="W36" s="13" t="n">
        <f aca="false">(1-Inputs!$F$125/100*W33)*(1-Inputs!$F$126/100)</f>
        <v>0.98492625</v>
      </c>
      <c r="X36" s="13" t="n">
        <f aca="false">(1-Inputs!$F$125/100*X33)*(1-Inputs!$F$126/100)</f>
        <v>0.98418375</v>
      </c>
      <c r="Y36" s="13" t="n">
        <f aca="false">(1-Inputs!$F$125/100*Y33)*(1-Inputs!$F$126/100)</f>
        <v>0.98344125</v>
      </c>
      <c r="Z36" s="13" t="n">
        <f aca="false">(1-Inputs!$F$125/100*Z33)*(1-Inputs!$F$126/100)</f>
        <v>0.98269875</v>
      </c>
      <c r="AA36" s="13" t="n">
        <f aca="false">(1-Inputs!$F$125/100*AA33)*(1-Inputs!$F$126/100)</f>
        <v>0.98195625</v>
      </c>
      <c r="AB36" s="13" t="n">
        <f aca="false">(1-Inputs!$F$125/100*AB33)*(1-Inputs!$F$126/100)</f>
        <v>0.98121375</v>
      </c>
      <c r="AC36" s="13" t="n">
        <f aca="false">(1-Inputs!$F$125/100*AC33)*(1-Inputs!$F$126/100)</f>
        <v>0.98047125</v>
      </c>
      <c r="AD36" s="13" t="n">
        <f aca="false">(1-Inputs!$F$125/100*AD33)*(1-Inputs!$F$126/100)</f>
        <v>0.97972875</v>
      </c>
      <c r="AE36" s="13" t="n">
        <f aca="false">(1-Inputs!$F$125/100*AE33)*(1-Inputs!$F$126/100)</f>
        <v>0.97898625</v>
      </c>
      <c r="AF36" s="13" t="n">
        <f aca="false">(1-Inputs!$F$125/100*AF33)*(1-Inputs!$F$126/100)</f>
        <v>0.97824375</v>
      </c>
      <c r="AG36" s="13" t="n">
        <f aca="false">(1-Inputs!$F$125/100*AG33)*(1-Inputs!$F$126/100)</f>
        <v>0.97750125</v>
      </c>
      <c r="AH36" s="13" t="n">
        <f aca="false">(1-Inputs!$F$125/100*AH33)*(1-Inputs!$F$126/100)</f>
        <v>0.97675875</v>
      </c>
      <c r="AI36" s="13" t="n">
        <f aca="false">(1-Inputs!$F$125/100*AI33)*(1-Inputs!$F$126/100)</f>
        <v>0.97601625</v>
      </c>
      <c r="AJ36" s="13" t="n">
        <f aca="false">(1-Inputs!$F$125/100*AJ33)*(1-Inputs!$F$126/100)</f>
        <v>0.97527375</v>
      </c>
      <c r="AK36" s="13" t="n">
        <f aca="false">(1-Inputs!$F$125/100*AK33)*(1-Inputs!$F$126/100)</f>
        <v>0.97453125</v>
      </c>
      <c r="AL36" s="13" t="n">
        <f aca="false">(1-Inputs!$F$125/100*AL33)*(1-Inputs!$F$126/100)</f>
        <v>0.97378875</v>
      </c>
      <c r="AM36" s="13" t="n">
        <f aca="false">(1-Inputs!$F$125/100*AM33)*(1-Inputs!$F$126/100)</f>
        <v>0.97304625</v>
      </c>
      <c r="AN36" s="13" t="n">
        <f aca="false">(1-Inputs!$F$125/100*AN33)*(1-Inputs!$F$126/100)</f>
        <v>0.97230375</v>
      </c>
      <c r="AO36" s="13" t="n">
        <f aca="false">(1-Inputs!$F$125/100*AO33)*(1-Inputs!$F$126/100)</f>
        <v>0.97156125</v>
      </c>
      <c r="AP36" s="13" t="n">
        <f aca="false">(1-Inputs!$F$125/100*AP33)*(1-Inputs!$F$126/100)</f>
        <v>0.97081875</v>
      </c>
      <c r="AQ36" s="13" t="n">
        <f aca="false">(1-Inputs!$F$125/100*AQ33)*(1-Inputs!$F$126/100)</f>
        <v>0.97007625</v>
      </c>
      <c r="AR36" s="13" t="n">
        <f aca="false">(1-Inputs!$F$125/100*AR33)*(1-Inputs!$F$126/100)</f>
        <v>0.96933375</v>
      </c>
      <c r="AS36" s="13" t="n">
        <f aca="false">(1-Inputs!$F$125/100*AS33)*(1-Inputs!$F$126/100)</f>
        <v>0.96859125</v>
      </c>
      <c r="AT36" s="13" t="n">
        <f aca="false">(1-Inputs!$F$125/100*AT33)*(1-Inputs!$F$126/100)</f>
        <v>0.96784875</v>
      </c>
      <c r="AU36" s="13" t="n">
        <f aca="false">(1-Inputs!$F$125/100*AU33)*(1-Inputs!$F$126/100)</f>
        <v>0.96710625</v>
      </c>
      <c r="AV36" s="13" t="n">
        <f aca="false">(1-Inputs!$F$125/100*AV33)*(1-Inputs!$F$126/100)</f>
        <v>0.96636375</v>
      </c>
      <c r="AW36" s="13" t="n">
        <f aca="false">(1-Inputs!$F$125/100*AW33)*(1-Inputs!$F$126/100)</f>
        <v>0.96562125</v>
      </c>
      <c r="AX36" s="13" t="n">
        <f aca="false">(1-Inputs!$F$125/100*AX33)*(1-Inputs!$F$126/100)</f>
        <v>0.96487875</v>
      </c>
      <c r="AY36" s="13" t="n">
        <f aca="false">(1-Inputs!$F$125/100*AY33)*(1-Inputs!$F$126/100)</f>
        <v>0.96413625</v>
      </c>
      <c r="AZ36" s="13" t="n">
        <f aca="false">(1-Inputs!$F$125/100*AZ33)*(1-Inputs!$F$126/100)</f>
        <v>0.96339375</v>
      </c>
      <c r="BA36" s="13" t="n">
        <f aca="false">(1-Inputs!$F$125/100*BA33)*(1-Inputs!$F$126/100)</f>
        <v>0.96265125</v>
      </c>
      <c r="BB36" s="13" t="n">
        <f aca="false">(1-Inputs!$F$125/100*BB33)*(1-Inputs!$F$126/100)</f>
        <v>0.96190875</v>
      </c>
      <c r="BC36" s="13" t="n">
        <f aca="false">(1-Inputs!$F$125/100*BC33)*(1-Inputs!$F$126/100)</f>
        <v>0.96116625</v>
      </c>
      <c r="BD36" s="13" t="n">
        <f aca="false">(1-Inputs!$F$125/100*BD33)*(1-Inputs!$F$126/100)</f>
        <v>0.96042375</v>
      </c>
      <c r="BE36" s="13" t="n">
        <f aca="false">(1-Inputs!$F$125/100*BE33)*(1-Inputs!$F$126/100)</f>
        <v>0.95968125</v>
      </c>
      <c r="BF36" s="13" t="n">
        <f aca="false">(1-Inputs!$F$125/100*BF33)*(1-Inputs!$F$126/100)</f>
        <v>0.95893875</v>
      </c>
      <c r="BG36" s="13" t="n">
        <f aca="false">(1-Inputs!$F$125/100*BG33)*(1-Inputs!$F$126/100)</f>
        <v>0.95819625</v>
      </c>
      <c r="BH36" s="13" t="n">
        <f aca="false">(1-Inputs!$F$125/100*BH33)*(1-Inputs!$F$126/100)</f>
        <v>0.95745375</v>
      </c>
      <c r="BI36" s="13" t="n">
        <f aca="false">(1-Inputs!$F$125/100*BI33)*(1-Inputs!$F$126/100)</f>
        <v>0.95671125</v>
      </c>
      <c r="BJ36" s="13" t="n">
        <f aca="false">(1-Inputs!$F$125/100*BJ33)*(1-Inputs!$F$126/100)</f>
        <v>0.95596875</v>
      </c>
      <c r="BK36" s="13" t="n">
        <f aca="false">(1-Inputs!$F$125/100*BK33)*(1-Inputs!$F$126/100)</f>
        <v>0.95522625</v>
      </c>
      <c r="BL36" s="13" t="n">
        <f aca="false">(1-Inputs!$F$125/100*BL33)*(1-Inputs!$F$126/100)</f>
        <v>0.95448375</v>
      </c>
      <c r="BM36" s="13" t="n">
        <f aca="false">(1-Inputs!$F$125/100*BM33)*(1-Inputs!$F$126/100)</f>
        <v>0.95374125</v>
      </c>
      <c r="BN36" s="13" t="n">
        <f aca="false">(1-Inputs!$F$125/100*BN33)*(1-Inputs!$F$126/100)</f>
        <v>0.9531225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76.5</v>
      </c>
      <c r="R37" s="13" t="n">
        <f aca="false">IF(AND(Inputs!$F$55=1,Inputs!R303&gt;0),Inputs!R303,Inputs!$F$38)</f>
        <v>76.5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0</v>
      </c>
      <c r="P38" s="15" t="n">
        <f aca="false">$F$34*Inputs!$F$215*Time!P30*P32/100*P37/100*P36</f>
        <v>610197.884664083</v>
      </c>
      <c r="Q38" s="15" t="n">
        <f aca="false">$F$34*Inputs!$F$215*Time!Q30*Q32/100*Q37/100*Q36</f>
        <v>1829678.24273885</v>
      </c>
      <c r="R38" s="15" t="n">
        <f aca="false">$F$34*Inputs!$F$215*Time!R30*R32/100*R37/100*R36</f>
        <v>1822457.66810013</v>
      </c>
      <c r="S38" s="15" t="n">
        <f aca="false">$F$34*Inputs!$F$215*Time!S30*S32/100*S37/100*S36</f>
        <v>1809402.81059825</v>
      </c>
      <c r="T38" s="15" t="n">
        <f aca="false">$F$34*Inputs!$F$215*Time!T30*T32/100*T37/100*T36</f>
        <v>1813881.54310857</v>
      </c>
      <c r="U38" s="15" t="n">
        <f aca="false">$F$34*Inputs!$F$215*Time!U30*U32/100*U37/100*U36</f>
        <v>1824185.77521843</v>
      </c>
      <c r="V38" s="15" t="n">
        <f aca="false">$F$34*Inputs!$F$215*Time!V30*V32/100*V37/100*V36</f>
        <v>1802084.15618238</v>
      </c>
      <c r="W38" s="15" t="n">
        <f aca="false">$F$34*Inputs!$F$215*Time!W30*W32/100*W37/100*W36</f>
        <v>1759300.87906306</v>
      </c>
      <c r="X38" s="15" t="n">
        <f aca="false">$F$34*Inputs!$F$215*Time!X30*X32/100*X37/100*X36</f>
        <v>1778671.87902979</v>
      </c>
      <c r="Y38" s="15" t="n">
        <f aca="false">$F$34*Inputs!$F$215*Time!Y30*Y32/100*Y37/100*Y36</f>
        <v>1818693.30769801</v>
      </c>
      <c r="Z38" s="15" t="n">
        <f aca="false">$F$34*Inputs!$F$215*Time!Z30*Z32/100*Z37/100*Z36</f>
        <v>1811507.8661138</v>
      </c>
      <c r="AA38" s="15" t="n">
        <f aca="false">$F$34*Inputs!$F$215*Time!AA30*AA32/100*AA37/100*AA36</f>
        <v>1798523.27472092</v>
      </c>
      <c r="AB38" s="15" t="n">
        <f aca="false">$F$34*Inputs!$F$215*Time!AB30*AB32/100*AB37/100*AB36</f>
        <v>1802966.87417673</v>
      </c>
      <c r="AC38" s="15" t="n">
        <f aca="false">$F$34*Inputs!$F$215*Time!AC30*AC32/100*AC37/100*AC36</f>
        <v>1813200.8401776</v>
      </c>
      <c r="AD38" s="15" t="n">
        <f aca="false">$F$34*Inputs!$F$215*Time!AD30*AD32/100*AD37/100*AD36</f>
        <v>1778990.7602953</v>
      </c>
      <c r="AE38" s="15" t="n">
        <f aca="false">$F$34*Inputs!$F$215*Time!AE30*AE32/100*AE37/100*AE36</f>
        <v>1712018.37515162</v>
      </c>
      <c r="AF38" s="15" t="n">
        <f aca="false">$F$34*Inputs!$F$215*Time!AF30*AF32/100*AF37/100*AF36</f>
        <v>1743507.10718732</v>
      </c>
      <c r="AG38" s="15" t="n">
        <f aca="false">$F$34*Inputs!$F$215*Time!AG30*AG32/100*AG37/100*AG36</f>
        <v>1807708.37265718</v>
      </c>
      <c r="AH38" s="15" t="n">
        <f aca="false">$F$34*Inputs!$F$215*Time!AH30*AH32/100*AH37/100*AH36</f>
        <v>1800558.06412747</v>
      </c>
      <c r="AI38" s="15" t="n">
        <f aca="false">$F$34*Inputs!$F$215*Time!AI30*AI32/100*AI37/100*AI36</f>
        <v>1787643.73884359</v>
      </c>
      <c r="AJ38" s="15" t="n">
        <f aca="false">$F$34*Inputs!$F$215*Time!AJ30*AJ32/100*AJ37/100*AJ36</f>
        <v>1792052.2052449</v>
      </c>
      <c r="AK38" s="15" t="n">
        <f aca="false">$F$34*Inputs!$F$215*Time!AK30*AK32/100*AK37/100*AK36</f>
        <v>1802215.90513676</v>
      </c>
      <c r="AL38" s="15" t="n">
        <f aca="false">$F$34*Inputs!$F$215*Time!AL30*AL32/100*AL37/100*AL36</f>
        <v>1780364.12115495</v>
      </c>
      <c r="AM38" s="15" t="n">
        <f aca="false">$F$34*Inputs!$F$215*Time!AM30*AM32/100*AM37/100*AM36</f>
        <v>1738080.51414409</v>
      </c>
      <c r="AN38" s="15" t="n">
        <f aca="false">$F$34*Inputs!$F$215*Time!AN30*AN32/100*AN37/100*AN36</f>
        <v>1757201.67905659</v>
      </c>
      <c r="AO38" s="15" t="n">
        <f aca="false">$F$34*Inputs!$F$215*Time!AO30*AO32/100*AO37/100*AO36</f>
        <v>1796723.43761635</v>
      </c>
      <c r="AP38" s="15" t="n">
        <f aca="false">$F$34*Inputs!$F$215*Time!AP30*AP32/100*AP37/100*AP36</f>
        <v>1789608.26214114</v>
      </c>
      <c r="AQ38" s="15" t="n">
        <f aca="false">$F$34*Inputs!$F$215*Time!AQ30*AQ32/100*AQ37/100*AQ36</f>
        <v>1776764.20296626</v>
      </c>
      <c r="AR38" s="15" t="n">
        <f aca="false">$F$34*Inputs!$F$215*Time!AR30*AR32/100*AR37/100*AR36</f>
        <v>1781137.53631307</v>
      </c>
      <c r="AS38" s="15" t="n">
        <f aca="false">$F$34*Inputs!$F$215*Time!AS30*AS32/100*AS37/100*AS36</f>
        <v>1791230.97009593</v>
      </c>
      <c r="AT38" s="15" t="n">
        <f aca="false">$F$34*Inputs!$F$215*Time!AT30*AT32/100*AT37/100*AT36</f>
        <v>1757419.06483132</v>
      </c>
      <c r="AU38" s="15" t="n">
        <f aca="false">$F$34*Inputs!$F$215*Time!AU30*AU32/100*AU37/100*AU36</f>
        <v>1691243.02892301</v>
      </c>
      <c r="AV38" s="15" t="n">
        <f aca="false">$F$34*Inputs!$F$215*Time!AV30*AV32/100*AV37/100*AV36</f>
        <v>1722333.58634102</v>
      </c>
      <c r="AW38" s="15" t="n">
        <f aca="false">$F$34*Inputs!$F$215*Time!AW30*AW32/100*AW37/100*AW36</f>
        <v>1785738.50257551</v>
      </c>
      <c r="AX38" s="15" t="n">
        <f aca="false">$F$34*Inputs!$F$215*Time!AX30*AX32/100*AX37/100*AX36</f>
        <v>1778658.4601548</v>
      </c>
      <c r="AY38" s="15" t="n">
        <f aca="false">$F$34*Inputs!$F$215*Time!AY30*AY32/100*AY37/100*AY36</f>
        <v>1765884.66708893</v>
      </c>
      <c r="AZ38" s="15" t="n">
        <f aca="false">$F$34*Inputs!$F$215*Time!AZ30*AZ32/100*AZ37/100*AZ36</f>
        <v>1770222.86738124</v>
      </c>
      <c r="BA38" s="15" t="n">
        <f aca="false">$F$34*Inputs!$F$215*Time!BA30*BA32/100*BA37/100*BA36</f>
        <v>1780246.0350551</v>
      </c>
      <c r="BB38" s="15" t="n">
        <f aca="false">$F$34*Inputs!$F$215*Time!BB30*BB32/100*BB37/100*BB36</f>
        <v>1758644.08612751</v>
      </c>
      <c r="BC38" s="15" t="n">
        <f aca="false">$F$34*Inputs!$F$215*Time!BC30*BC32/100*BC37/100*BC36</f>
        <v>1716860.14922513</v>
      </c>
      <c r="BD38" s="15" t="n">
        <f aca="false">$F$34*Inputs!$F$215*Time!BD30*BD32/100*BD37/100*BD36</f>
        <v>1735731.47908339</v>
      </c>
      <c r="BE38" s="15" t="n">
        <f aca="false">$F$34*Inputs!$F$215*Time!BE30*BE32/100*BE37/100*BE36</f>
        <v>1774753.56753468</v>
      </c>
      <c r="BF38" s="15" t="n">
        <f aca="false">$F$34*Inputs!$F$215*Time!BF30*BF32/100*BF37/100*BF36</f>
        <v>1767708.65816847</v>
      </c>
      <c r="BG38" s="15" t="n">
        <f aca="false">$F$34*Inputs!$F$215*Time!BG30*BG32/100*BG37/100*BG36</f>
        <v>1755005.1312116</v>
      </c>
      <c r="BH38" s="15" t="n">
        <f aca="false">$F$34*Inputs!$F$215*Time!BH30*BH32/100*BH37/100*BH36</f>
        <v>1759308.19844941</v>
      </c>
      <c r="BI38" s="15" t="n">
        <f aca="false">$F$34*Inputs!$F$215*Time!BI30*BI32/100*BI37/100*BI36</f>
        <v>1769261.10001426</v>
      </c>
      <c r="BJ38" s="15" t="n">
        <f aca="false">$F$34*Inputs!$F$215*Time!BJ30*BJ32/100*BJ37/100*BJ36</f>
        <v>1735847.36936733</v>
      </c>
      <c r="BK38" s="15" t="n">
        <f aca="false">$F$34*Inputs!$F$215*Time!BK30*BK32/100*BK37/100*BK36</f>
        <v>1670467.6826944</v>
      </c>
      <c r="BL38" s="15" t="n">
        <f aca="false">$F$34*Inputs!$F$215*Time!BL30*BL32/100*BL37/100*BL36</f>
        <v>1701160.06549472</v>
      </c>
      <c r="BM38" s="15" t="n">
        <f aca="false">$F$34*Inputs!$F$215*Time!BM30*BM32/100*BM37/100*BM36</f>
        <v>1763768.63249384</v>
      </c>
      <c r="BN38" s="15" t="n">
        <f aca="false">$F$34*Inputs!$F$215*Time!BN30*BN32/100*BN37/100*BN36</f>
        <v>1175082.91228473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6456.243024</v>
      </c>
      <c r="K39" s="13" t="n">
        <f aca="false">$F$35*(1+Inputs!$F$127/100*K33)*(1+Inputs!$F$128/100)*(1+Inputs!$F$122/100)*Inputs!$F$39</f>
        <v>6456.243024</v>
      </c>
      <c r="L39" s="13" t="n">
        <f aca="false">$F$35*(1+Inputs!$F$127/100*L33)*(1+Inputs!$F$128/100)*(1+Inputs!$F$122/100)*Inputs!$F$39</f>
        <v>6456.243024</v>
      </c>
      <c r="M39" s="13" t="n">
        <f aca="false">$F$35*(1+Inputs!$F$127/100*M33)*(1+Inputs!$F$128/100)*(1+Inputs!$F$122/100)*Inputs!$F$39</f>
        <v>6456.243024</v>
      </c>
      <c r="N39" s="13" t="n">
        <f aca="false">$F$35*(1+Inputs!$F$127/100*N33)*(1+Inputs!$F$128/100)*(1+Inputs!$F$122/100)*Inputs!$F$39</f>
        <v>6456.243024</v>
      </c>
      <c r="O39" s="13" t="n">
        <f aca="false">$F$35*(1+Inputs!$F$127/100*O33)*(1+Inputs!$F$128/100)*(1+Inputs!$F$122/100)*Inputs!$F$39</f>
        <v>6456.243024</v>
      </c>
      <c r="P39" s="13" t="n">
        <f aca="false">$F$35*(1+Inputs!$F$127/100*P33)*(1+Inputs!$F$128/100)*(1+Inputs!$F$122/100)*Inputs!$F$39</f>
        <v>6456.8886483024</v>
      </c>
      <c r="Q39" s="13" t="n">
        <f aca="false">$F$35*(1+Inputs!$F$127/100*Q33)*(1+Inputs!$F$128/100)*(1+Inputs!$F$122/100)*Inputs!$F$39</f>
        <v>6459.471145512</v>
      </c>
      <c r="R39" s="13" t="n">
        <f aca="false">$F$35*(1+Inputs!$F$127/100*R33)*(1+Inputs!$F$128/100)*(1+Inputs!$F$122/100)*Inputs!$F$39</f>
        <v>6463.3448913264</v>
      </c>
      <c r="S39" s="13" t="n">
        <f aca="false">$F$35*(1+Inputs!$F$127/100*S33)*(1+Inputs!$F$128/100)*(1+Inputs!$F$122/100)*Inputs!$F$39</f>
        <v>6467.2186371408</v>
      </c>
      <c r="T39" s="13" t="n">
        <f aca="false">$F$35*(1+Inputs!$F$127/100*T33)*(1+Inputs!$F$128/100)*(1+Inputs!$F$122/100)*Inputs!$F$39</f>
        <v>6471.0923829552</v>
      </c>
      <c r="U39" s="13" t="n">
        <f aca="false">$F$35*(1+Inputs!$F$127/100*U33)*(1+Inputs!$F$128/100)*(1+Inputs!$F$122/100)*Inputs!$F$39</f>
        <v>6474.9661287696</v>
      </c>
      <c r="V39" s="13" t="n">
        <f aca="false">$F$35*(1+Inputs!$F$127/100*V33)*(1+Inputs!$F$128/100)*(1+Inputs!$F$122/100)*Inputs!$F$39</f>
        <v>6478.839874584</v>
      </c>
      <c r="W39" s="13" t="n">
        <f aca="false">$F$35*(1+Inputs!$F$127/100*W33)*(1+Inputs!$F$128/100)*(1+Inputs!$F$122/100)*Inputs!$F$39</f>
        <v>6482.7136203984</v>
      </c>
      <c r="X39" s="13" t="n">
        <f aca="false">$F$35*(1+Inputs!$F$127/100*X33)*(1+Inputs!$F$128/100)*(1+Inputs!$F$122/100)*Inputs!$F$39</f>
        <v>6486.5873662128</v>
      </c>
      <c r="Y39" s="13" t="n">
        <f aca="false">$F$35*(1+Inputs!$F$127/100*Y33)*(1+Inputs!$F$128/100)*(1+Inputs!$F$122/100)*Inputs!$F$39</f>
        <v>6490.4611120272</v>
      </c>
      <c r="Z39" s="13" t="n">
        <f aca="false">$F$35*(1+Inputs!$F$127/100*Z33)*(1+Inputs!$F$128/100)*(1+Inputs!$F$122/100)*Inputs!$F$39</f>
        <v>6494.3348578416</v>
      </c>
      <c r="AA39" s="13" t="n">
        <f aca="false">$F$35*(1+Inputs!$F$127/100*AA33)*(1+Inputs!$F$128/100)*(1+Inputs!$F$122/100)*Inputs!$F$39</f>
        <v>6498.208603656</v>
      </c>
      <c r="AB39" s="13" t="n">
        <f aca="false">$F$35*(1+Inputs!$F$127/100*AB33)*(1+Inputs!$F$128/100)*(1+Inputs!$F$122/100)*Inputs!$F$39</f>
        <v>6502.0823494704</v>
      </c>
      <c r="AC39" s="13" t="n">
        <f aca="false">$F$35*(1+Inputs!$F$127/100*AC33)*(1+Inputs!$F$128/100)*(1+Inputs!$F$122/100)*Inputs!$F$39</f>
        <v>6505.9560952848</v>
      </c>
      <c r="AD39" s="13" t="n">
        <f aca="false">$F$35*(1+Inputs!$F$127/100*AD33)*(1+Inputs!$F$128/100)*(1+Inputs!$F$122/100)*Inputs!$F$39</f>
        <v>6509.8298410992</v>
      </c>
      <c r="AE39" s="13" t="n">
        <f aca="false">$F$35*(1+Inputs!$F$127/100*AE33)*(1+Inputs!$F$128/100)*(1+Inputs!$F$122/100)*Inputs!$F$39</f>
        <v>6513.7035869136</v>
      </c>
      <c r="AF39" s="13" t="n">
        <f aca="false">$F$35*(1+Inputs!$F$127/100*AF33)*(1+Inputs!$F$128/100)*(1+Inputs!$F$122/100)*Inputs!$F$39</f>
        <v>6517.577332728</v>
      </c>
      <c r="AG39" s="13" t="n">
        <f aca="false">$F$35*(1+Inputs!$F$127/100*AG33)*(1+Inputs!$F$128/100)*(1+Inputs!$F$122/100)*Inputs!$F$39</f>
        <v>6521.4510785424</v>
      </c>
      <c r="AH39" s="13" t="n">
        <f aca="false">$F$35*(1+Inputs!$F$127/100*AH33)*(1+Inputs!$F$128/100)*(1+Inputs!$F$122/100)*Inputs!$F$39</f>
        <v>6525.3248243568</v>
      </c>
      <c r="AI39" s="13" t="n">
        <f aca="false">$F$35*(1+Inputs!$F$127/100*AI33)*(1+Inputs!$F$128/100)*(1+Inputs!$F$122/100)*Inputs!$F$39</f>
        <v>6529.1985701712</v>
      </c>
      <c r="AJ39" s="13" t="n">
        <f aca="false">$F$35*(1+Inputs!$F$127/100*AJ33)*(1+Inputs!$F$128/100)*(1+Inputs!$F$122/100)*Inputs!$F$39</f>
        <v>6533.0723159856</v>
      </c>
      <c r="AK39" s="13" t="n">
        <f aca="false">$F$35*(1+Inputs!$F$127/100*AK33)*(1+Inputs!$F$128/100)*(1+Inputs!$F$122/100)*Inputs!$F$39</f>
        <v>6536.9460618</v>
      </c>
      <c r="AL39" s="13" t="n">
        <f aca="false">$F$35*(1+Inputs!$F$127/100*AL33)*(1+Inputs!$F$128/100)*(1+Inputs!$F$122/100)*Inputs!$F$39</f>
        <v>6540.8198076144</v>
      </c>
      <c r="AM39" s="13" t="n">
        <f aca="false">$F$35*(1+Inputs!$F$127/100*AM33)*(1+Inputs!$F$128/100)*(1+Inputs!$F$122/100)*Inputs!$F$39</f>
        <v>6544.6935534288</v>
      </c>
      <c r="AN39" s="13" t="n">
        <f aca="false">$F$35*(1+Inputs!$F$127/100*AN33)*(1+Inputs!$F$128/100)*(1+Inputs!$F$122/100)*Inputs!$F$39</f>
        <v>6548.5672992432</v>
      </c>
      <c r="AO39" s="13" t="n">
        <f aca="false">$F$35*(1+Inputs!$F$127/100*AO33)*(1+Inputs!$F$128/100)*(1+Inputs!$F$122/100)*Inputs!$F$39</f>
        <v>6552.4410450576</v>
      </c>
      <c r="AP39" s="13" t="n">
        <f aca="false">$F$35*(1+Inputs!$F$127/100*AP33)*(1+Inputs!$F$128/100)*(1+Inputs!$F$122/100)*Inputs!$F$39</f>
        <v>6556.314790872</v>
      </c>
      <c r="AQ39" s="13" t="n">
        <f aca="false">$F$35*(1+Inputs!$F$127/100*AQ33)*(1+Inputs!$F$128/100)*(1+Inputs!$F$122/100)*Inputs!$F$39</f>
        <v>6560.1885366864</v>
      </c>
      <c r="AR39" s="13" t="n">
        <f aca="false">$F$35*(1+Inputs!$F$127/100*AR33)*(1+Inputs!$F$128/100)*(1+Inputs!$F$122/100)*Inputs!$F$39</f>
        <v>6564.0622825008</v>
      </c>
      <c r="AS39" s="13" t="n">
        <f aca="false">$F$35*(1+Inputs!$F$127/100*AS33)*(1+Inputs!$F$128/100)*(1+Inputs!$F$122/100)*Inputs!$F$39</f>
        <v>6567.9360283152</v>
      </c>
      <c r="AT39" s="13" t="n">
        <f aca="false">$F$35*(1+Inputs!$F$127/100*AT33)*(1+Inputs!$F$128/100)*(1+Inputs!$F$122/100)*Inputs!$F$39</f>
        <v>6571.8097741296</v>
      </c>
      <c r="AU39" s="13" t="n">
        <f aca="false">$F$35*(1+Inputs!$F$127/100*AU33)*(1+Inputs!$F$128/100)*(1+Inputs!$F$122/100)*Inputs!$F$39</f>
        <v>6575.683519944</v>
      </c>
      <c r="AV39" s="13" t="n">
        <f aca="false">$F$35*(1+Inputs!$F$127/100*AV33)*(1+Inputs!$F$128/100)*(1+Inputs!$F$122/100)*Inputs!$F$39</f>
        <v>6579.5572657584</v>
      </c>
      <c r="AW39" s="13" t="n">
        <f aca="false">$F$35*(1+Inputs!$F$127/100*AW33)*(1+Inputs!$F$128/100)*(1+Inputs!$F$122/100)*Inputs!$F$39</f>
        <v>6583.4310115728</v>
      </c>
      <c r="AX39" s="13" t="n">
        <f aca="false">$F$35*(1+Inputs!$F$127/100*AX33)*(1+Inputs!$F$128/100)*(1+Inputs!$F$122/100)*Inputs!$F$39</f>
        <v>6587.3047573872</v>
      </c>
      <c r="AY39" s="13" t="n">
        <f aca="false">$F$35*(1+Inputs!$F$127/100*AY33)*(1+Inputs!$F$128/100)*(1+Inputs!$F$122/100)*Inputs!$F$39</f>
        <v>6591.1785032016</v>
      </c>
      <c r="AZ39" s="13" t="n">
        <f aca="false">$F$35*(1+Inputs!$F$127/100*AZ33)*(1+Inputs!$F$128/100)*(1+Inputs!$F$122/100)*Inputs!$F$39</f>
        <v>6595.052249016</v>
      </c>
      <c r="BA39" s="13" t="n">
        <f aca="false">$F$35*(1+Inputs!$F$127/100*BA33)*(1+Inputs!$F$128/100)*(1+Inputs!$F$122/100)*Inputs!$F$39</f>
        <v>6598.9259948304</v>
      </c>
      <c r="BB39" s="13" t="n">
        <f aca="false">$F$35*(1+Inputs!$F$127/100*BB33)*(1+Inputs!$F$128/100)*(1+Inputs!$F$122/100)*Inputs!$F$39</f>
        <v>6602.7997406448</v>
      </c>
      <c r="BC39" s="13" t="n">
        <f aca="false">$F$35*(1+Inputs!$F$127/100*BC33)*(1+Inputs!$F$128/100)*(1+Inputs!$F$122/100)*Inputs!$F$39</f>
        <v>6606.6734864592</v>
      </c>
      <c r="BD39" s="13" t="n">
        <f aca="false">$F$35*(1+Inputs!$F$127/100*BD33)*(1+Inputs!$F$128/100)*(1+Inputs!$F$122/100)*Inputs!$F$39</f>
        <v>6610.5472322736</v>
      </c>
      <c r="BE39" s="13" t="n">
        <f aca="false">$F$35*(1+Inputs!$F$127/100*BE33)*(1+Inputs!$F$128/100)*(1+Inputs!$F$122/100)*Inputs!$F$39</f>
        <v>6614.420978088</v>
      </c>
      <c r="BF39" s="13" t="n">
        <f aca="false">$F$35*(1+Inputs!$F$127/100*BF33)*(1+Inputs!$F$128/100)*(1+Inputs!$F$122/100)*Inputs!$F$39</f>
        <v>6618.2947239024</v>
      </c>
      <c r="BG39" s="13" t="n">
        <f aca="false">$F$35*(1+Inputs!$F$127/100*BG33)*(1+Inputs!$F$128/100)*(1+Inputs!$F$122/100)*Inputs!$F$39</f>
        <v>6622.1684697168</v>
      </c>
      <c r="BH39" s="13" t="n">
        <f aca="false">$F$35*(1+Inputs!$F$127/100*BH33)*(1+Inputs!$F$128/100)*(1+Inputs!$F$122/100)*Inputs!$F$39</f>
        <v>6626.0422155312</v>
      </c>
      <c r="BI39" s="13" t="n">
        <f aca="false">$F$35*(1+Inputs!$F$127/100*BI33)*(1+Inputs!$F$128/100)*(1+Inputs!$F$122/100)*Inputs!$F$39</f>
        <v>6629.9159613456</v>
      </c>
      <c r="BJ39" s="13" t="n">
        <f aca="false">$F$35*(1+Inputs!$F$127/100*BJ33)*(1+Inputs!$F$128/100)*(1+Inputs!$F$122/100)*Inputs!$F$39</f>
        <v>6633.78970716</v>
      </c>
      <c r="BK39" s="13" t="n">
        <f aca="false">$F$35*(1+Inputs!$F$127/100*BK33)*(1+Inputs!$F$128/100)*(1+Inputs!$F$122/100)*Inputs!$F$39</f>
        <v>6637.6634529744</v>
      </c>
      <c r="BL39" s="13" t="n">
        <f aca="false">$F$35*(1+Inputs!$F$127/100*BL33)*(1+Inputs!$F$128/100)*(1+Inputs!$F$122/100)*Inputs!$F$39</f>
        <v>6641.5371987888</v>
      </c>
      <c r="BM39" s="13" t="n">
        <f aca="false">$F$35*(1+Inputs!$F$127/100*BM33)*(1+Inputs!$F$128/100)*(1+Inputs!$F$122/100)*Inputs!$F$39</f>
        <v>6645.4109446032</v>
      </c>
      <c r="BN39" s="13" t="n">
        <f aca="false">$F$35*(1+Inputs!$F$127/100*BN33)*(1+Inputs!$F$128/100)*(1+Inputs!$F$122/100)*Inputs!$F$39</f>
        <v>6648.6390661152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6468.429</v>
      </c>
      <c r="P40" s="13" t="n">
        <f aca="false">Inputs!$F$120*(1+Inputs!$F$121/100*P33)*(1+Inputs!$F$122/100)</f>
        <v>6468.96803575</v>
      </c>
      <c r="Q40" s="13" t="n">
        <f aca="false">Inputs!$F$120*(1+Inputs!$F$121/100*Q33)*(1+Inputs!$F$122/100)</f>
        <v>6471.12417875</v>
      </c>
      <c r="R40" s="13" t="n">
        <f aca="false">Inputs!$F$120*(1+Inputs!$F$121/100*R33)*(1+Inputs!$F$122/100)</f>
        <v>6474.35839325</v>
      </c>
      <c r="S40" s="13" t="n">
        <f aca="false">Inputs!$F$120*(1+Inputs!$F$121/100*S33)*(1+Inputs!$F$122/100)</f>
        <v>6477.59260775</v>
      </c>
      <c r="T40" s="13" t="n">
        <f aca="false">Inputs!$F$120*(1+Inputs!$F$121/100*T33)*(1+Inputs!$F$122/100)</f>
        <v>6480.82682225</v>
      </c>
      <c r="U40" s="13" t="n">
        <f aca="false">Inputs!$F$120*(1+Inputs!$F$121/100*U33)*(1+Inputs!$F$122/100)</f>
        <v>6484.06103675</v>
      </c>
      <c r="V40" s="13" t="n">
        <f aca="false">Inputs!$F$120*(1+Inputs!$F$121/100*V33)*(1+Inputs!$F$122/100)</f>
        <v>6487.29525125</v>
      </c>
      <c r="W40" s="13" t="n">
        <f aca="false">Inputs!$F$120*(1+Inputs!$F$121/100*W33)*(1+Inputs!$F$122/100)</f>
        <v>6490.52946575</v>
      </c>
      <c r="X40" s="13" t="n">
        <f aca="false">Inputs!$F$120*(1+Inputs!$F$121/100*X33)*(1+Inputs!$F$122/100)</f>
        <v>6493.76368025</v>
      </c>
      <c r="Y40" s="13" t="n">
        <f aca="false">Inputs!$F$120*(1+Inputs!$F$121/100*Y33)*(1+Inputs!$F$122/100)</f>
        <v>6496.99789475</v>
      </c>
      <c r="Z40" s="13" t="n">
        <f aca="false">Inputs!$F$120*(1+Inputs!$F$121/100*Z33)*(1+Inputs!$F$122/100)</f>
        <v>6500.23210925</v>
      </c>
      <c r="AA40" s="13" t="n">
        <f aca="false">Inputs!$F$120*(1+Inputs!$F$121/100*AA33)*(1+Inputs!$F$122/100)</f>
        <v>6503.46632375</v>
      </c>
      <c r="AB40" s="13" t="n">
        <f aca="false">Inputs!$F$120*(1+Inputs!$F$121/100*AB33)*(1+Inputs!$F$122/100)</f>
        <v>6506.70053825</v>
      </c>
      <c r="AC40" s="13" t="n">
        <f aca="false">Inputs!$F$120*(1+Inputs!$F$121/100*AC33)*(1+Inputs!$F$122/100)</f>
        <v>6509.93475275</v>
      </c>
      <c r="AD40" s="13" t="n">
        <f aca="false">Inputs!$F$120*(1+Inputs!$F$121/100*AD33)*(1+Inputs!$F$122/100)</f>
        <v>6513.16896725</v>
      </c>
      <c r="AE40" s="13" t="n">
        <f aca="false">Inputs!$F$120*(1+Inputs!$F$121/100*AE33)*(1+Inputs!$F$122/100)</f>
        <v>6516.40318175</v>
      </c>
      <c r="AF40" s="13" t="n">
        <f aca="false">Inputs!$F$120*(1+Inputs!$F$121/100*AF33)*(1+Inputs!$F$122/100)</f>
        <v>6519.63739625</v>
      </c>
      <c r="AG40" s="13" t="n">
        <f aca="false">Inputs!$F$120*(1+Inputs!$F$121/100*AG33)*(1+Inputs!$F$122/100)</f>
        <v>6522.87161075</v>
      </c>
      <c r="AH40" s="13" t="n">
        <f aca="false">Inputs!$F$120*(1+Inputs!$F$121/100*AH33)*(1+Inputs!$F$122/100)</f>
        <v>6526.10582525</v>
      </c>
      <c r="AI40" s="13" t="n">
        <f aca="false">Inputs!$F$120*(1+Inputs!$F$121/100*AI33)*(1+Inputs!$F$122/100)</f>
        <v>6529.34003975</v>
      </c>
      <c r="AJ40" s="13" t="n">
        <f aca="false">Inputs!$F$120*(1+Inputs!$F$121/100*AJ33)*(1+Inputs!$F$122/100)</f>
        <v>6532.57425425</v>
      </c>
      <c r="AK40" s="13" t="n">
        <f aca="false">Inputs!$F$120*(1+Inputs!$F$121/100*AK33)*(1+Inputs!$F$122/100)</f>
        <v>6535.80846875</v>
      </c>
      <c r="AL40" s="13" t="n">
        <f aca="false">Inputs!$F$120*(1+Inputs!$F$121/100*AL33)*(1+Inputs!$F$122/100)</f>
        <v>6539.04268325</v>
      </c>
      <c r="AM40" s="13" t="n">
        <f aca="false">Inputs!$F$120*(1+Inputs!$F$121/100*AM33)*(1+Inputs!$F$122/100)</f>
        <v>6542.27689775</v>
      </c>
      <c r="AN40" s="13" t="n">
        <f aca="false">Inputs!$F$120*(1+Inputs!$F$121/100*AN33)*(1+Inputs!$F$122/100)</f>
        <v>6545.51111225</v>
      </c>
      <c r="AO40" s="13" t="n">
        <f aca="false">Inputs!$F$120*(1+Inputs!$F$121/100*AO33)*(1+Inputs!$F$122/100)</f>
        <v>6548.74532675</v>
      </c>
      <c r="AP40" s="13" t="n">
        <f aca="false">Inputs!$F$120*(1+Inputs!$F$121/100*AP33)*(1+Inputs!$F$122/100)</f>
        <v>6551.97954125</v>
      </c>
      <c r="AQ40" s="13" t="n">
        <f aca="false">Inputs!$F$120*(1+Inputs!$F$121/100*AQ33)*(1+Inputs!$F$122/100)</f>
        <v>6555.21375575</v>
      </c>
      <c r="AR40" s="13" t="n">
        <f aca="false">Inputs!$F$120*(1+Inputs!$F$121/100*AR33)*(1+Inputs!$F$122/100)</f>
        <v>6558.44797025</v>
      </c>
      <c r="AS40" s="13" t="n">
        <f aca="false">Inputs!$F$120*(1+Inputs!$F$121/100*AS33)*(1+Inputs!$F$122/100)</f>
        <v>6561.68218475</v>
      </c>
      <c r="AT40" s="13" t="n">
        <f aca="false">Inputs!$F$120*(1+Inputs!$F$121/100*AT33)*(1+Inputs!$F$122/100)</f>
        <v>6564.91639925</v>
      </c>
      <c r="AU40" s="13" t="n">
        <f aca="false">Inputs!$F$120*(1+Inputs!$F$121/100*AU33)*(1+Inputs!$F$122/100)</f>
        <v>6568.15061375</v>
      </c>
      <c r="AV40" s="13" t="n">
        <f aca="false">Inputs!$F$120*(1+Inputs!$F$121/100*AV33)*(1+Inputs!$F$122/100)</f>
        <v>6571.38482825</v>
      </c>
      <c r="AW40" s="13" t="n">
        <f aca="false">Inputs!$F$120*(1+Inputs!$F$121/100*AW33)*(1+Inputs!$F$122/100)</f>
        <v>6574.61904275</v>
      </c>
      <c r="AX40" s="13" t="n">
        <f aca="false">Inputs!$F$120*(1+Inputs!$F$121/100*AX33)*(1+Inputs!$F$122/100)</f>
        <v>6577.85325725</v>
      </c>
      <c r="AY40" s="13" t="n">
        <f aca="false">Inputs!$F$120*(1+Inputs!$F$121/100*AY33)*(1+Inputs!$F$122/100)</f>
        <v>6581.08747175</v>
      </c>
      <c r="AZ40" s="13" t="n">
        <f aca="false">Inputs!$F$120*(1+Inputs!$F$121/100*AZ33)*(1+Inputs!$F$122/100)</f>
        <v>6584.32168625</v>
      </c>
      <c r="BA40" s="13" t="n">
        <f aca="false">Inputs!$F$120*(1+Inputs!$F$121/100*BA33)*(1+Inputs!$F$122/100)</f>
        <v>6587.55590075</v>
      </c>
      <c r="BB40" s="13" t="n">
        <f aca="false">Inputs!$F$120*(1+Inputs!$F$121/100*BB33)*(1+Inputs!$F$122/100)</f>
        <v>6590.79011525</v>
      </c>
      <c r="BC40" s="13" t="n">
        <f aca="false">Inputs!$F$120*(1+Inputs!$F$121/100*BC33)*(1+Inputs!$F$122/100)</f>
        <v>6594.02432975</v>
      </c>
      <c r="BD40" s="13" t="n">
        <f aca="false">Inputs!$F$120*(1+Inputs!$F$121/100*BD33)*(1+Inputs!$F$122/100)</f>
        <v>6597.25854425</v>
      </c>
      <c r="BE40" s="13" t="n">
        <f aca="false">Inputs!$F$120*(1+Inputs!$F$121/100*BE33)*(1+Inputs!$F$122/100)</f>
        <v>6600.49275875</v>
      </c>
      <c r="BF40" s="13" t="n">
        <f aca="false">Inputs!$F$120*(1+Inputs!$F$121/100*BF33)*(1+Inputs!$F$122/100)</f>
        <v>6603.72697325</v>
      </c>
      <c r="BG40" s="13" t="n">
        <f aca="false">Inputs!$F$120*(1+Inputs!$F$121/100*BG33)*(1+Inputs!$F$122/100)</f>
        <v>6606.96118775</v>
      </c>
      <c r="BH40" s="13" t="n">
        <f aca="false">Inputs!$F$120*(1+Inputs!$F$121/100*BH33)*(1+Inputs!$F$122/100)</f>
        <v>6610.19540225</v>
      </c>
      <c r="BI40" s="13" t="n">
        <f aca="false">Inputs!$F$120*(1+Inputs!$F$121/100*BI33)*(1+Inputs!$F$122/100)</f>
        <v>6613.42961675</v>
      </c>
      <c r="BJ40" s="13" t="n">
        <f aca="false">Inputs!$F$120*(1+Inputs!$F$121/100*BJ33)*(1+Inputs!$F$122/100)</f>
        <v>6616.66383125</v>
      </c>
      <c r="BK40" s="13" t="n">
        <f aca="false">Inputs!$F$120*(1+Inputs!$F$121/100*BK33)*(1+Inputs!$F$122/100)</f>
        <v>6619.89804575</v>
      </c>
      <c r="BL40" s="13" t="n">
        <f aca="false">Inputs!$F$120*(1+Inputs!$F$121/100*BL33)*(1+Inputs!$F$122/100)</f>
        <v>6623.13226025</v>
      </c>
      <c r="BM40" s="13" t="n">
        <f aca="false">Inputs!$F$120*(1+Inputs!$F$121/100*BM33)*(1+Inputs!$F$122/100)</f>
        <v>6626.36647475</v>
      </c>
      <c r="BN40" s="13" t="n">
        <f aca="false">Inputs!$F$120*(1+Inputs!$F$121/100*BN33)*(1+Inputs!$F$122/100)</f>
        <v>6629.0616535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0</v>
      </c>
      <c r="P42" s="15" t="n">
        <f aca="false">P38*P39*(1000*Inputs!$F$123/Inputs!$F$124)</f>
        <v>4137692.79785515</v>
      </c>
      <c r="Q42" s="15" t="n">
        <f aca="false">Q38*Q39*(1000*Inputs!$F$123/Inputs!$F$124)</f>
        <v>12411833.3306604</v>
      </c>
      <c r="R42" s="15" t="n">
        <f aca="false">R38*R39*(1000*Inputs!$F$123/Inputs!$F$124)</f>
        <v>12370265.7340664</v>
      </c>
      <c r="S42" s="15" t="n">
        <f aca="false">S38*S39*(1000*Inputs!$F$123/Inputs!$F$124)</f>
        <v>12289014.3890996</v>
      </c>
      <c r="T42" s="15" t="n">
        <f aca="false">T38*T39*(1000*Inputs!$F$123/Inputs!$F$124)</f>
        <v>12326811.9428824</v>
      </c>
      <c r="U42" s="15" t="n">
        <f aca="false">U38*U39*(1000*Inputs!$F$123/Inputs!$F$124)</f>
        <v>12404258.6807638</v>
      </c>
      <c r="V42" s="15" t="n">
        <f aca="false">V38*V39*(1000*Inputs!$F$123/Inputs!$F$124)</f>
        <v>12261301.2719524</v>
      </c>
      <c r="W42" s="15" t="n">
        <f aca="false">W38*W39*(1000*Inputs!$F$123/Inputs!$F$124)</f>
        <v>11977362.8114126</v>
      </c>
      <c r="X42" s="15" t="n">
        <f aca="false">X38*X39*(1000*Inputs!$F$123/Inputs!$F$124)</f>
        <v>12116476.923861</v>
      </c>
      <c r="Y42" s="15" t="n">
        <f aca="false">Y38*Y39*(1000*Inputs!$F$123/Inputs!$F$124)</f>
        <v>12396505.2780672</v>
      </c>
      <c r="Z42" s="15" t="n">
        <f aca="false">Z38*Z39*(1000*Inputs!$F$123/Inputs!$F$124)</f>
        <v>12354897.6145475</v>
      </c>
      <c r="AA42" s="15" t="n">
        <f aca="false">AA38*AA39*(1000*Inputs!$F$123/Inputs!$F$124)</f>
        <v>12273656.3696857</v>
      </c>
      <c r="AB42" s="15" t="n">
        <f aca="false">AB38*AB39*(1000*Inputs!$F$123/Inputs!$F$124)</f>
        <v>12311315.5234461</v>
      </c>
      <c r="AC42" s="15" t="n">
        <f aca="false">AC38*AC39*(1000*Inputs!$F$123/Inputs!$F$124)</f>
        <v>12388573.1225706</v>
      </c>
      <c r="AD42" s="15" t="n">
        <f aca="false">AD38*AD39*(1000*Inputs!$F$123/Inputs!$F$124)</f>
        <v>12162072.2211507</v>
      </c>
      <c r="AE42" s="15" t="n">
        <f aca="false">AE38*AE39*(1000*Inputs!$F$123/Inputs!$F$124)</f>
        <v>11711180.1610953</v>
      </c>
      <c r="AF42" s="15" t="n">
        <f aca="false">AF38*AF39*(1000*Inputs!$F$123/Inputs!$F$124)</f>
        <v>11933673.8339858</v>
      </c>
      <c r="AG42" s="15" t="n">
        <f aca="false">AG38*AG39*(1000*Inputs!$F$123/Inputs!$F$124)</f>
        <v>12380462.2142742</v>
      </c>
      <c r="AH42" s="15" t="n">
        <f aca="false">AH38*AH39*(1000*Inputs!$F$123/Inputs!$F$124)</f>
        <v>12338816.7706452</v>
      </c>
      <c r="AI42" s="15" t="n">
        <f aca="false">AI38*AI39*(1000*Inputs!$F$123/Inputs!$F$124)</f>
        <v>12257590.1995206</v>
      </c>
      <c r="AJ42" s="15" t="n">
        <f aca="false">AJ38*AJ39*(1000*Inputs!$F$123/Inputs!$F$124)</f>
        <v>12295108.6664425</v>
      </c>
      <c r="AK42" s="15" t="n">
        <f aca="false">AK38*AK39*(1000*Inputs!$F$123/Inputs!$F$124)</f>
        <v>12372172.5531778</v>
      </c>
      <c r="AL42" s="15" t="n">
        <f aca="false">AL38*AL39*(1000*Inputs!$F$123/Inputs!$F$124)</f>
        <v>12229403.2985218</v>
      </c>
      <c r="AM42" s="15" t="n">
        <f aca="false">AM38*AM39*(1000*Inputs!$F$123/Inputs!$F$124)</f>
        <v>11946025.9972694</v>
      </c>
      <c r="AN42" s="15" t="n">
        <f aca="false">AN38*AN39*(1000*Inputs!$F$123/Inputs!$F$124)</f>
        <v>12084596.482688</v>
      </c>
      <c r="AO42" s="15" t="n">
        <f aca="false">AO38*AO39*(1000*Inputs!$F$123/Inputs!$F$124)</f>
        <v>12363704.1392815</v>
      </c>
      <c r="AP42" s="15" t="n">
        <f aca="false">AP38*AP39*(1000*Inputs!$F$123/Inputs!$F$124)</f>
        <v>12322023.2023594</v>
      </c>
      <c r="AQ42" s="15" t="n">
        <f aca="false">AQ38*AQ39*(1000*Inputs!$F$123/Inputs!$F$124)</f>
        <v>12240815.8786045</v>
      </c>
      <c r="AR42" s="15" t="n">
        <f aca="false">AR38*AR39*(1000*Inputs!$F$123/Inputs!$F$124)</f>
        <v>12278191.3718717</v>
      </c>
      <c r="AS42" s="15" t="n">
        <f aca="false">AS38*AS39*(1000*Inputs!$F$123/Inputs!$F$124)</f>
        <v>12355056.9725853</v>
      </c>
      <c r="AT42" s="15" t="n">
        <f aca="false">AT38*AT39*(1000*Inputs!$F$123/Inputs!$F$124)</f>
        <v>12128987.9935759</v>
      </c>
      <c r="AU42" s="15" t="n">
        <f aca="false">AU38*AU39*(1000*Inputs!$F$123/Inputs!$F$124)</f>
        <v>11679148.2501102</v>
      </c>
      <c r="AV42" s="15" t="n">
        <f aca="false">AV38*AV39*(1000*Inputs!$F$123/Inputs!$F$124)</f>
        <v>11900855.7346466</v>
      </c>
      <c r="AW42" s="15" t="n">
        <f aca="false">AW38*AW39*(1000*Inputs!$F$123/Inputs!$F$124)</f>
        <v>12346231.0530892</v>
      </c>
      <c r="AX42" s="15" t="n">
        <f aca="false">AX38*AX39*(1000*Inputs!$F$123/Inputs!$F$124)</f>
        <v>12304516.9096901</v>
      </c>
      <c r="AY42" s="15" t="n">
        <f aca="false">AY38*AY39*(1000*Inputs!$F$123/Inputs!$F$124)</f>
        <v>12223333.4069373</v>
      </c>
      <c r="AZ42" s="15" t="n">
        <f aca="false">AZ38*AZ39*(1000*Inputs!$F$123/Inputs!$F$124)</f>
        <v>12260563.6397335</v>
      </c>
      <c r="BA42" s="15" t="n">
        <f aca="false">BA38*BA39*(1000*Inputs!$F$123/Inputs!$F$124)</f>
        <v>12337226.3807931</v>
      </c>
      <c r="BB42" s="15" t="n">
        <f aca="false">BB38*BB39*(1000*Inputs!$F$123/Inputs!$F$124)</f>
        <v>12194677.8039008</v>
      </c>
      <c r="BC42" s="15" t="n">
        <f aca="false">BC38*BC39*(1000*Inputs!$F$123/Inputs!$F$124)</f>
        <v>11911926.7091521</v>
      </c>
      <c r="BD42" s="15" t="n">
        <f aca="false">BD38*BD39*(1000*Inputs!$F$123/Inputs!$F$124)</f>
        <v>12049921.0439328</v>
      </c>
      <c r="BE42" s="15" t="n">
        <f aca="false">BE38*BE39*(1000*Inputs!$F$123/Inputs!$F$124)</f>
        <v>12328042.9556971</v>
      </c>
      <c r="BF42" s="15" t="n">
        <f aca="false">BF38*BF39*(1000*Inputs!$F$123/Inputs!$F$124)</f>
        <v>12286297.8926373</v>
      </c>
      <c r="BG42" s="15" t="n">
        <f aca="false">BG38*BG39*(1000*Inputs!$F$123/Inputs!$F$124)</f>
        <v>12205142.7845191</v>
      </c>
      <c r="BH42" s="15" t="n">
        <f aca="false">BH38*BH39*(1000*Inputs!$F$123/Inputs!$F$124)</f>
        <v>12242225.4700281</v>
      </c>
      <c r="BI42" s="15" t="n">
        <f aca="false">BI38*BI39*(1000*Inputs!$F$123/Inputs!$F$124)</f>
        <v>12318680.7778012</v>
      </c>
      <c r="BJ42" s="15" t="n">
        <f aca="false">BJ38*BJ39*(1000*Inputs!$F$123/Inputs!$F$124)</f>
        <v>12093095.5557029</v>
      </c>
      <c r="BK42" s="15" t="n">
        <f aca="false">BK38*BK39*(1000*Inputs!$F$123/Inputs!$F$124)</f>
        <v>11644411.7978281</v>
      </c>
      <c r="BL42" s="15" t="n">
        <f aca="false">BL38*BL39*(1000*Inputs!$F$123/Inputs!$F$124)</f>
        <v>11865281.2595099</v>
      </c>
      <c r="BM42" s="15" t="n">
        <f aca="false">BM38*BM39*(1000*Inputs!$F$123/Inputs!$F$124)</f>
        <v>12309139.8471054</v>
      </c>
      <c r="BN42" s="15" t="n">
        <f aca="false">BN38*BN39*(1000*Inputs!$F$123/Inputs!$F$124)</f>
        <v>8204753.10262872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0</v>
      </c>
      <c r="P43" s="15" t="n">
        <f aca="false">Inputs!$F$145*Inputs!$F$144*Time!P31</f>
        <v>3533120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10483520</v>
      </c>
      <c r="BN43" s="15" t="n">
        <f aca="false">Inputs!$F$145*Inputs!$F$144*Time!BN31</f>
        <v>7124160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0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1</v>
      </c>
      <c r="AE47" s="13" t="n">
        <f aca="false">MIN(1,AE32/Inputs!$F$133)</f>
        <v>0.985555555555556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1</v>
      </c>
      <c r="AU47" s="13" t="n">
        <f aca="false">MIN(1,AU32/Inputs!$F$133)</f>
        <v>0.985555555555556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1</v>
      </c>
      <c r="BK47" s="13" t="n">
        <f aca="false">MIN(1,BK32/Inputs!$F$133)</f>
        <v>0.985555555555556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1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3349.12562807373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0</v>
      </c>
      <c r="P48" s="13" t="n">
        <f aca="false">$F$34*1000*Time!P30*(P45+P46)*P47/1000000</f>
        <v>20.1504883023659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63.7249606951716</v>
      </c>
      <c r="AE48" s="13" t="n">
        <f aca="false">$F$34*1000*Time!AE30*(AE45+AE46)*AE47/1000000</f>
        <v>63.0542865152397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68.1306506977385</v>
      </c>
      <c r="AU48" s="13" t="n">
        <f aca="false">$F$34*1000*Time!AU30*(AU45+AU46)*AU47/1000000</f>
        <v>67.4438415045077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73.3741486414762</v>
      </c>
      <c r="BK48" s="13" t="n">
        <f aca="false">$F$34*1000*Time!BK30*(BK45+BK46)*BK47/1000000</f>
        <v>72.6681361205019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74.4630413933989</v>
      </c>
      <c r="BN48" s="13" t="n">
        <f aca="false">$F$34*1000*Time!BN30*(BN45+BN46)*BN47/1000000</f>
        <v>49.8893174793379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491.126603471572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0</v>
      </c>
      <c r="P50" s="13" t="n">
        <f aca="false">P38*P49/1000000</f>
        <v>2.54395176542335</v>
      </c>
      <c r="Q50" s="13" t="n">
        <f aca="false">Q38*Q49/1000000</f>
        <v>7.71149083074173</v>
      </c>
      <c r="R50" s="13" t="n">
        <f aca="false">R38*R49/1000000</f>
        <v>7.76509047000199</v>
      </c>
      <c r="S50" s="13" t="n">
        <f aca="false">S38*S49/1000000</f>
        <v>7.79380937039928</v>
      </c>
      <c r="T50" s="13" t="n">
        <f aca="false">T38*T49/1000000</f>
        <v>7.89857758032942</v>
      </c>
      <c r="U50" s="13" t="n">
        <f aca="false">U38*U49/1000000</f>
        <v>8.03035009080359</v>
      </c>
      <c r="V50" s="13" t="n">
        <f aca="false">V38*V49/1000000</f>
        <v>8.01984418578093</v>
      </c>
      <c r="W50" s="13" t="n">
        <f aca="false">W38*W49/1000000</f>
        <v>7.91510043193519</v>
      </c>
      <c r="X50" s="13" t="n">
        <f aca="false">X38*X49/1000000</f>
        <v>8.08979649848136</v>
      </c>
      <c r="Y50" s="13" t="n">
        <f aca="false">Y38*Y49/1000000</f>
        <v>8.36231792098586</v>
      </c>
      <c r="Z50" s="13" t="n">
        <f aca="false">Z38*Z49/1000000</f>
        <v>8.42040301455608</v>
      </c>
      <c r="AA50" s="13" t="n">
        <f aca="false">AA38*AA49/1000000</f>
        <v>8.45150716808727</v>
      </c>
      <c r="AB50" s="13" t="n">
        <f aca="false">AB38*AB49/1000000</f>
        <v>8.56507750374957</v>
      </c>
      <c r="AC50" s="13" t="n">
        <f aca="false">AC38*AC49/1000000</f>
        <v>8.70792959747923</v>
      </c>
      <c r="AD50" s="13" t="n">
        <f aca="false">AD38*AD49/1000000</f>
        <v>8.63710377917103</v>
      </c>
      <c r="AE50" s="13" t="n">
        <f aca="false">AE38*AE49/1000000</f>
        <v>8.40288296992398</v>
      </c>
      <c r="AF50" s="13" t="n">
        <f aca="false">AF38*AF49/1000000</f>
        <v>8.65105480485096</v>
      </c>
      <c r="AG50" s="13" t="n">
        <f aca="false">AG38*AG49/1000000</f>
        <v>9.0677420793438</v>
      </c>
      <c r="AH50" s="13" t="n">
        <f aca="false">AH38*AH49/1000000</f>
        <v>9.13068516284434</v>
      </c>
      <c r="AI50" s="13" t="n">
        <f aca="false">AI38*AI49/1000000</f>
        <v>9.16437088854937</v>
      </c>
      <c r="AJ50" s="13" t="n">
        <f aca="false">AJ38*AJ49/1000000</f>
        <v>9.28747782880755</v>
      </c>
      <c r="AK50" s="13" t="n">
        <f aca="false">AK38*AK49/1000000</f>
        <v>9.442334878372</v>
      </c>
      <c r="AL50" s="13" t="n">
        <f aca="false">AL38*AL49/1000000</f>
        <v>9.42989511333744</v>
      </c>
      <c r="AM50" s="13" t="n">
        <f aca="false">AM38*AM49/1000000</f>
        <v>9.30664969387859</v>
      </c>
      <c r="AN50" s="13" t="n">
        <f aca="false">AN38*AN49/1000000</f>
        <v>9.51197136071293</v>
      </c>
      <c r="AO50" s="13" t="n">
        <f aca="false">AO38*AO49/1000000</f>
        <v>9.83231096343491</v>
      </c>
      <c r="AP50" s="13" t="n">
        <f aca="false">AP38*AP49/1000000</f>
        <v>9.90051523369952</v>
      </c>
      <c r="AQ50" s="13" t="n">
        <f aca="false">AQ38*AQ49/1000000</f>
        <v>9.9369948306012</v>
      </c>
      <c r="AR50" s="13" t="n">
        <f aca="false">AR38*AR49/1000000</f>
        <v>10.0704336461178</v>
      </c>
      <c r="AS50" s="13" t="n">
        <f aca="false">AS38*AS49/1000000</f>
        <v>10.2382977006584</v>
      </c>
      <c r="AT50" s="13" t="n">
        <f aca="false">AT38*AT49/1000000</f>
        <v>10.1549302610422</v>
      </c>
      <c r="AU50" s="13" t="n">
        <f aca="false">AU38*AU49/1000000</f>
        <v>9.8794570891343</v>
      </c>
      <c r="AV50" s="13" t="n">
        <f aca="false">AV38*AV49/1000000</f>
        <v>10.1711434212087</v>
      </c>
      <c r="AW50" s="13" t="n">
        <f aca="false">AW38*AW49/1000000</f>
        <v>10.6609478308276</v>
      </c>
      <c r="AX50" s="13" t="n">
        <f aca="false">AX38*AX49/1000000</f>
        <v>10.7348496416203</v>
      </c>
      <c r="AY50" s="13" t="n">
        <f aca="false">AY38*AY49/1000000</f>
        <v>10.7743526715631</v>
      </c>
      <c r="AZ50" s="13" t="n">
        <f aca="false">AZ38*AZ49/1000000</f>
        <v>10.9189844073281</v>
      </c>
      <c r="BA50" s="13" t="n">
        <f aca="false">BA38*BA49/1000000</f>
        <v>11.1009404854709</v>
      </c>
      <c r="BB50" s="13" t="n">
        <f aca="false">BB38*BB49/1000000</f>
        <v>11.0862112776209</v>
      </c>
      <c r="BC50" s="13" t="n">
        <f aca="false">BC38*BC49/1000000</f>
        <v>10.941215273802</v>
      </c>
      <c r="BD50" s="13" t="n">
        <f aca="false">BD38*BD49/1000000</f>
        <v>11.182492889396</v>
      </c>
      <c r="BE50" s="13" t="n">
        <f aca="false">BE38*BE49/1000000</f>
        <v>11.558982243131</v>
      </c>
      <c r="BF50" s="13" t="n">
        <f aca="false">BF38*BF49/1000000</f>
        <v>11.6390538012089</v>
      </c>
      <c r="BG50" s="13" t="n">
        <f aca="false">BG38*BG49/1000000</f>
        <v>11.6818284728625</v>
      </c>
      <c r="BH50" s="13" t="n">
        <f aca="false">BH38*BH49/1000000</f>
        <v>11.8385853341839</v>
      </c>
      <c r="BI50" s="13" t="n">
        <f aca="false">BI38*BI49/1000000</f>
        <v>12.0358082273877</v>
      </c>
      <c r="BJ50" s="13" t="n">
        <f aca="false">BJ38*BJ49/1000000</f>
        <v>11.9376904663381</v>
      </c>
      <c r="BK50" s="13" t="n">
        <f aca="false">BK38*BK49/1000000</f>
        <v>11.6137454837672</v>
      </c>
      <c r="BL50" s="13" t="n">
        <f aca="false">BL38*BL49/1000000</f>
        <v>11.9565216114816</v>
      </c>
      <c r="BM50" s="13" t="n">
        <f aca="false">BM38*BM49/1000000</f>
        <v>12.5321832482564</v>
      </c>
      <c r="BN50" s="13" t="n">
        <f aca="false">BN38*BN49/1000000</f>
        <v>8.44071197088183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4935.37303329242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0</v>
      </c>
      <c r="P51" s="13" t="n">
        <f aca="false">P38*P40*(1000*Inputs!$F$123/Inputs!$F$124)*P41/1000000</f>
        <v>25.7791196996463</v>
      </c>
      <c r="Q51" s="13" t="n">
        <f aca="false">Q38*Q40*(1000*Inputs!$F$123/Inputs!$F$124)*Q41/1000000</f>
        <v>78.8709386600562</v>
      </c>
      <c r="R51" s="13" t="n">
        <f aca="false">R38*R40*(1000*Inputs!$F$123/Inputs!$F$124)*R41/1000000</f>
        <v>78.5989487836604</v>
      </c>
      <c r="S51" s="13" t="n">
        <f aca="false">S38*S40*(1000*Inputs!$F$123/Inputs!$F$124)*S41/1000000</f>
        <v>79.6363991777555</v>
      </c>
      <c r="T51" s="13" t="n">
        <f aca="false">T38*T40*(1000*Inputs!$F$123/Inputs!$F$124)*T41/1000000</f>
        <v>79.8733798268943</v>
      </c>
      <c r="U51" s="13" t="n">
        <f aca="false">U38*U40*(1000*Inputs!$F$123/Inputs!$F$124)*U41/1000000</f>
        <v>81.9745525043435</v>
      </c>
      <c r="V51" s="13" t="n">
        <f aca="false">V38*V40*(1000*Inputs!$F$123/Inputs!$F$124)*V41/1000000</f>
        <v>81.021751587173</v>
      </c>
      <c r="W51" s="13" t="n">
        <f aca="false">W38*W40*(1000*Inputs!$F$123/Inputs!$F$124)*W41/1000000</f>
        <v>80.720401369175</v>
      </c>
      <c r="X51" s="13" t="n">
        <f aca="false">X38*X40*(1000*Inputs!$F$123/Inputs!$F$124)*X41/1000000</f>
        <v>81.6498489848216</v>
      </c>
      <c r="Y51" s="13" t="n">
        <f aca="false">Y38*Y40*(1000*Inputs!$F$123/Inputs!$F$124)*Y41/1000000</f>
        <v>85.1991836729775</v>
      </c>
      <c r="Z51" s="13" t="n">
        <f aca="false">Z38*Z40*(1000*Inputs!$F$123/Inputs!$F$124)*Z41/1000000</f>
        <v>84.9048165069735</v>
      </c>
      <c r="AA51" s="13" t="n">
        <f aca="false">AA38*AA40*(1000*Inputs!$F$123/Inputs!$F$124)*AA41/1000000</f>
        <v>86.0249380962306</v>
      </c>
      <c r="AB51" s="13" t="n">
        <f aca="false">AB38*AB40*(1000*Inputs!$F$123/Inputs!$F$124)*AB41/1000000</f>
        <v>86.2803657749892</v>
      </c>
      <c r="AC51" s="13" t="n">
        <f aca="false">AC38*AC40*(1000*Inputs!$F$123/Inputs!$F$124)*AC41/1000000</f>
        <v>88.5495033741988</v>
      </c>
      <c r="AD51" s="13" t="n">
        <f aca="false">AD38*AD40*(1000*Inputs!$F$123/Inputs!$F$124)*AD41/1000000</f>
        <v>86.9219818515905</v>
      </c>
      <c r="AE51" s="13" t="n">
        <f aca="false">AE38*AE40*(1000*Inputs!$F$123/Inputs!$F$124)*AE41/1000000</f>
        <v>85.365054689092</v>
      </c>
      <c r="AF51" s="13" t="n">
        <f aca="false">AF38*AF40*(1000*Inputs!$F$123/Inputs!$F$124)*AF41/1000000</f>
        <v>86.9783006666355</v>
      </c>
      <c r="AG51" s="13" t="n">
        <f aca="false">AG38*AG40*(1000*Inputs!$F$123/Inputs!$F$124)*AG41/1000000</f>
        <v>92.0303610577914</v>
      </c>
      <c r="AH51" s="13" t="n">
        <f aca="false">AH38*AH40*(1000*Inputs!$F$123/Inputs!$F$124)*AH41/1000000</f>
        <v>91.7117897628972</v>
      </c>
      <c r="AI51" s="13" t="n">
        <f aca="false">AI38*AI40*(1000*Inputs!$F$123/Inputs!$F$124)*AI41/1000000</f>
        <v>92.9211030374604</v>
      </c>
      <c r="AJ51" s="13" t="n">
        <f aca="false">AJ38*AJ40*(1000*Inputs!$F$123/Inputs!$F$124)*AJ41/1000000</f>
        <v>93.1963942315242</v>
      </c>
      <c r="AK51" s="13" t="n">
        <f aca="false">AK38*AK40*(1000*Inputs!$F$123/Inputs!$F$124)*AK41/1000000</f>
        <v>95.6467911252727</v>
      </c>
      <c r="AL51" s="13" t="n">
        <f aca="false">AL38*AL40*(1000*Inputs!$F$123/Inputs!$F$124)*AL41/1000000</f>
        <v>94.5338347262224</v>
      </c>
      <c r="AM51" s="13" t="n">
        <f aca="false">AM38*AM40*(1000*Inputs!$F$123/Inputs!$F$124)*AM41/1000000</f>
        <v>94.1809904350741</v>
      </c>
      <c r="AN51" s="13" t="n">
        <f aca="false">AN38*AN40*(1000*Inputs!$F$123/Inputs!$F$124)*AN41/1000000</f>
        <v>95.2641759921699</v>
      </c>
      <c r="AO51" s="13" t="n">
        <f aca="false">AO38*AO40*(1000*Inputs!$F$123/Inputs!$F$124)*AO41/1000000</f>
        <v>99.4040198886196</v>
      </c>
      <c r="AP51" s="13" t="n">
        <f aca="false">AP38*AP40*(1000*Inputs!$F$123/Inputs!$F$124)*AP41/1000000</f>
        <v>99.0592696696603</v>
      </c>
      <c r="AQ51" s="13" t="n">
        <f aca="false">AQ38*AQ40*(1000*Inputs!$F$123/Inputs!$F$124)*AQ41/1000000</f>
        <v>100.364803455195</v>
      </c>
      <c r="AR51" s="13" t="n">
        <f aca="false">AR38*AR40*(1000*Inputs!$F$123/Inputs!$F$124)*AR41/1000000</f>
        <v>100.661481636439</v>
      </c>
      <c r="AS51" s="13" t="n">
        <f aca="false">AS38*AS40*(1000*Inputs!$F$123/Inputs!$F$124)*AS41/1000000</f>
        <v>103.307472786548</v>
      </c>
      <c r="AT51" s="13" t="n">
        <f aca="false">AT38*AT40*(1000*Inputs!$F$123/Inputs!$F$124)*AT41/1000000</f>
        <v>101.407363093729</v>
      </c>
      <c r="AU51" s="13" t="n">
        <f aca="false">AU38*AU40*(1000*Inputs!$F$123/Inputs!$F$124)*AU41/1000000</f>
        <v>99.5896602483417</v>
      </c>
      <c r="AV51" s="13" t="n">
        <f aca="false">AV38*AV40*(1000*Inputs!$F$123/Inputs!$F$124)*AV41/1000000</f>
        <v>101.470383003147</v>
      </c>
      <c r="AW51" s="13" t="n">
        <f aca="false">AW38*AW40*(1000*Inputs!$F$123/Inputs!$F$124)*AW41/1000000</f>
        <v>107.362781867685</v>
      </c>
      <c r="AX51" s="13" t="n">
        <f aca="false">AX38*AX40*(1000*Inputs!$F$123/Inputs!$F$124)*AX41/1000000</f>
        <v>106.989718090849</v>
      </c>
      <c r="AY51" s="13" t="n">
        <f aca="false">AY38*AY40*(1000*Inputs!$F$123/Inputs!$F$124)*AY41/1000000</f>
        <v>108.399048643486</v>
      </c>
      <c r="AZ51" s="13" t="n">
        <f aca="false">AZ38*AZ40*(1000*Inputs!$F$123/Inputs!$F$124)*AZ41/1000000</f>
        <v>108.718752184724</v>
      </c>
      <c r="BA51" s="13" t="n">
        <f aca="false">BA38*BA40*(1000*Inputs!$F$123/Inputs!$F$124)*BA41/1000000</f>
        <v>111.5757935503</v>
      </c>
      <c r="BB51" s="13" t="n">
        <f aca="false">BB38*BB40*(1000*Inputs!$F$123/Inputs!$F$124)*BB41/1000000</f>
        <v>110.276019419535</v>
      </c>
      <c r="BC51" s="13" t="n">
        <f aca="false">BC38*BC40*(1000*Inputs!$F$123/Inputs!$F$124)*BC41/1000000</f>
        <v>109.862956151477</v>
      </c>
      <c r="BD51" s="13" t="n">
        <f aca="false">BD38*BD40*(1000*Inputs!$F$123/Inputs!$F$124)*BD41/1000000</f>
        <v>111.125021868197</v>
      </c>
      <c r="BE51" s="13" t="n">
        <f aca="false">BE38*BE40*(1000*Inputs!$F$123/Inputs!$F$124)*BE41/1000000</f>
        <v>115.952576668602</v>
      </c>
      <c r="BF51" s="13" t="n">
        <f aca="false">BF38*BF40*(1000*Inputs!$F$123/Inputs!$F$124)*BF41/1000000</f>
        <v>115.548892032972</v>
      </c>
      <c r="BG51" s="13" t="n">
        <f aca="false">BG38*BG40*(1000*Inputs!$F$123/Inputs!$F$124)*BG41/1000000</f>
        <v>117.070185092118</v>
      </c>
      <c r="BH51" s="13" t="n">
        <f aca="false">BH38*BH40*(1000*Inputs!$F$123/Inputs!$F$124)*BH41/1000000</f>
        <v>117.414675751632</v>
      </c>
      <c r="BI51" s="13" t="n">
        <f aca="false">BI38*BI40*(1000*Inputs!$F$123/Inputs!$F$124)*BI41/1000000</f>
        <v>120.499430815973</v>
      </c>
      <c r="BJ51" s="13" t="n">
        <f aca="false">BJ38*BJ40*(1000*Inputs!$F$123/Inputs!$F$124)*BJ41/1000000</f>
        <v>118.281530787593</v>
      </c>
      <c r="BK51" s="13" t="n">
        <f aca="false">BK38*BK40*(1000*Inputs!$F$123/Inputs!$F$124)*BK41/1000000</f>
        <v>116.159806869325</v>
      </c>
      <c r="BL51" s="13" t="n">
        <f aca="false">BL38*BL40*(1000*Inputs!$F$123/Inputs!$F$124)*BL41/1000000</f>
        <v>118.351865898643</v>
      </c>
      <c r="BM51" s="13" t="n">
        <f aca="false">BM38*BM40*(1000*Inputs!$F$123/Inputs!$F$124)*BM41/1000000</f>
        <v>125.222894995838</v>
      </c>
      <c r="BN51" s="13" t="n">
        <f aca="false">BN38*BN40*(1000*Inputs!$F$123/Inputs!$F$124)*BN41/1000000</f>
        <v>83.4617032271672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695.537825674145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0</v>
      </c>
      <c r="P52" s="13" t="n">
        <f aca="false">Inputs!$F$146*Time!P31*Inputs!$F$147*(1+Inputs!$F$149/100)^(Time!P26-Inputs!$F$256)/1000000</f>
        <v>3.81633916775125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16.4303479493762</v>
      </c>
      <c r="BN52" s="13" t="n">
        <f aca="false">Inputs!$F$146*Time!BN31*Inputs!$F$147*(1+Inputs!$F$149/100)^(Time!BN26-Inputs!$F$256)/1000000</f>
        <v>11.165374573333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147.52233298824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</v>
      </c>
      <c r="P53" s="13" t="n">
        <f aca="false">P42*Inputs!$F$148*(1+Inputs!$F$149/100)^(Time!P26-Inputs!$F$256)/1000000</f>
        <v>0.822072217410972</v>
      </c>
      <c r="Q53" s="13" t="n">
        <f aca="false">Q42*Inputs!$F$148*(1+Inputs!$F$149/100)^(Time!Q26-Inputs!$F$256)/1000000</f>
        <v>2.50295882378314</v>
      </c>
      <c r="R53" s="13" t="n">
        <f aca="false">R42*Inputs!$F$148*(1+Inputs!$F$149/100)^(Time!R26-Inputs!$F$256)/1000000</f>
        <v>2.49457634071986</v>
      </c>
      <c r="S53" s="13" t="n">
        <f aca="false">S42*Inputs!$F$148*(1+Inputs!$F$149/100)^(Time!S26-Inputs!$F$256)/1000000</f>
        <v>2.51536413872757</v>
      </c>
      <c r="T53" s="13" t="n">
        <f aca="false">T42*Inputs!$F$148*(1+Inputs!$F$149/100)^(Time!T26-Inputs!$F$256)/1000000</f>
        <v>2.52310069174203</v>
      </c>
      <c r="U53" s="13" t="n">
        <f aca="false">U42*Inputs!$F$148*(1+Inputs!$F$149/100)^(Time!U26-Inputs!$F$256)/1000000</f>
        <v>2.5770370887498</v>
      </c>
      <c r="V53" s="13" t="n">
        <f aca="false">V42*Inputs!$F$148*(1+Inputs!$F$149/100)^(Time!V26-Inputs!$F$256)/1000000</f>
        <v>2.54733708376765</v>
      </c>
      <c r="W53" s="13" t="n">
        <f aca="false">W42*Inputs!$F$148*(1+Inputs!$F$149/100)^(Time!W26-Inputs!$F$256)/1000000</f>
        <v>2.52567288538279</v>
      </c>
      <c r="X53" s="13" t="n">
        <f aca="false">X42*Inputs!$F$148*(1+Inputs!$F$149/100)^(Time!X26-Inputs!$F$256)/1000000</f>
        <v>2.5550079524854</v>
      </c>
      <c r="Y53" s="13" t="n">
        <f aca="false">Y42*Inputs!$F$148*(1+Inputs!$F$149/100)^(Time!Y26-Inputs!$F$256)/1000000</f>
        <v>2.65326854613213</v>
      </c>
      <c r="Z53" s="13" t="n">
        <f aca="false">Z42*Inputs!$F$148*(1+Inputs!$F$149/100)^(Time!Z26-Inputs!$F$256)/1000000</f>
        <v>2.64436310847705</v>
      </c>
      <c r="AA53" s="13" t="n">
        <f aca="false">AA42*Inputs!$F$148*(1+Inputs!$F$149/100)^(Time!AA26-Inputs!$F$256)/1000000</f>
        <v>2.66637937436111</v>
      </c>
      <c r="AB53" s="13" t="n">
        <f aca="false">AB42*Inputs!$F$148*(1+Inputs!$F$149/100)^(Time!AB26-Inputs!$F$256)/1000000</f>
        <v>2.6745606031505</v>
      </c>
      <c r="AC53" s="13" t="n">
        <f aca="false">AC42*Inputs!$F$148*(1+Inputs!$F$149/100)^(Time!AC26-Inputs!$F$256)/1000000</f>
        <v>2.73171452578498</v>
      </c>
      <c r="AD53" s="13" t="n">
        <f aca="false">AD42*Inputs!$F$148*(1+Inputs!$F$149/100)^(Time!AD26-Inputs!$F$256)/1000000</f>
        <v>2.68177045261444</v>
      </c>
      <c r="AE53" s="13" t="n">
        <f aca="false">AE42*Inputs!$F$148*(1+Inputs!$F$149/100)^(Time!AE26-Inputs!$F$256)/1000000</f>
        <v>2.62108272302898</v>
      </c>
      <c r="AF53" s="13" t="n">
        <f aca="false">AF42*Inputs!$F$148*(1+Inputs!$F$149/100)^(Time!AF26-Inputs!$F$256)/1000000</f>
        <v>2.67087909828532</v>
      </c>
      <c r="AG53" s="13" t="n">
        <f aca="false">AG42*Inputs!$F$148*(1+Inputs!$F$149/100)^(Time!AG26-Inputs!$F$256)/1000000</f>
        <v>2.81243806295103</v>
      </c>
      <c r="AH53" s="13" t="n">
        <f aca="false">AH42*Inputs!$F$148*(1+Inputs!$F$149/100)^(Time!AH26-Inputs!$F$256)/1000000</f>
        <v>2.80297757361037</v>
      </c>
      <c r="AI53" s="13" t="n">
        <f aca="false">AI42*Inputs!$F$148*(1+Inputs!$F$149/100)^(Time!AI26-Inputs!$F$256)/1000000</f>
        <v>2.82629342347187</v>
      </c>
      <c r="AJ53" s="13" t="n">
        <f aca="false">AJ42*Inputs!$F$148*(1+Inputs!$F$149/100)^(Time!AJ26-Inputs!$F$256)/1000000</f>
        <v>2.83494424264546</v>
      </c>
      <c r="AK53" s="13" t="n">
        <f aca="false">AK42*Inputs!$F$148*(1+Inputs!$F$149/100)^(Time!AK26-Inputs!$F$256)/1000000</f>
        <v>2.89550394426714</v>
      </c>
      <c r="AL53" s="13" t="n">
        <f aca="false">AL42*Inputs!$F$148*(1+Inputs!$F$149/100)^(Time!AL26-Inputs!$F$256)/1000000</f>
        <v>2.86209114322515</v>
      </c>
      <c r="AM53" s="13" t="n">
        <f aca="false">AM42*Inputs!$F$148*(1+Inputs!$F$149/100)^(Time!AM26-Inputs!$F$256)/1000000</f>
        <v>2.83770790646585</v>
      </c>
      <c r="AN53" s="13" t="n">
        <f aca="false">AN42*Inputs!$F$148*(1+Inputs!$F$149/100)^(Time!AN26-Inputs!$F$256)/1000000</f>
        <v>2.87062450669468</v>
      </c>
      <c r="AO53" s="13" t="n">
        <f aca="false">AO42*Inputs!$F$148*(1+Inputs!$F$149/100)^(Time!AO26-Inputs!$F$256)/1000000</f>
        <v>2.98097875496188</v>
      </c>
      <c r="AP53" s="13" t="n">
        <f aca="false">AP42*Inputs!$F$148*(1+Inputs!$F$149/100)^(Time!AP26-Inputs!$F$256)/1000000</f>
        <v>2.97092917871418</v>
      </c>
      <c r="AQ53" s="13" t="n">
        <f aca="false">AQ42*Inputs!$F$148*(1+Inputs!$F$149/100)^(Time!AQ26-Inputs!$F$256)/1000000</f>
        <v>2.99561974643266</v>
      </c>
      <c r="AR53" s="13" t="n">
        <f aca="false">AR42*Inputs!$F$148*(1+Inputs!$F$149/100)^(Time!AR26-Inputs!$F$256)/1000000</f>
        <v>3.00476642152149</v>
      </c>
      <c r="AS53" s="13" t="n">
        <f aca="false">AS42*Inputs!$F$148*(1+Inputs!$F$149/100)^(Time!AS26-Inputs!$F$256)/1000000</f>
        <v>3.06893092727332</v>
      </c>
      <c r="AT53" s="13" t="n">
        <f aca="false">AT42*Inputs!$F$148*(1+Inputs!$F$149/100)^(Time!AT26-Inputs!$F$256)/1000000</f>
        <v>3.0127765863489</v>
      </c>
      <c r="AU53" s="13" t="n">
        <f aca="false">AU42*Inputs!$F$148*(1+Inputs!$F$149/100)^(Time!AU26-Inputs!$F$256)/1000000</f>
        <v>2.94455435039529</v>
      </c>
      <c r="AV53" s="13" t="n">
        <f aca="false">AV42*Inputs!$F$148*(1+Inputs!$F$149/100)^(Time!AV26-Inputs!$F$256)/1000000</f>
        <v>3.00045138364863</v>
      </c>
      <c r="AW53" s="13" t="n">
        <f aca="false">AW42*Inputs!$F$148*(1+Inputs!$F$149/100)^(Time!AW26-Inputs!$F$256)/1000000</f>
        <v>3.15943079011661</v>
      </c>
      <c r="AX53" s="13" t="n">
        <f aca="false">AX42*Inputs!$F$148*(1+Inputs!$F$149/100)^(Time!AX26-Inputs!$F$256)/1000000</f>
        <v>3.14875603856921</v>
      </c>
      <c r="AY53" s="13" t="n">
        <f aca="false">AY42*Inputs!$F$148*(1+Inputs!$F$149/100)^(Time!AY26-Inputs!$F$256)/1000000</f>
        <v>3.17490069593238</v>
      </c>
      <c r="AZ53" s="13" t="n">
        <f aca="false">AZ42*Inputs!$F$148*(1+Inputs!$F$149/100)^(Time!AZ26-Inputs!$F$256)/1000000</f>
        <v>3.18457091338283</v>
      </c>
      <c r="BA53" s="13" t="n">
        <f aca="false">BA42*Inputs!$F$148*(1+Inputs!$F$149/100)^(Time!BA26-Inputs!$F$256)/1000000</f>
        <v>3.25255062003178</v>
      </c>
      <c r="BB53" s="13" t="n">
        <f aca="false">BB42*Inputs!$F$148*(1+Inputs!$F$149/100)^(Time!BB26-Inputs!$F$256)/1000000</f>
        <v>3.21496952620687</v>
      </c>
      <c r="BC53" s="13" t="n">
        <f aca="false">BC42*Inputs!$F$148*(1+Inputs!$F$149/100)^(Time!BC26-Inputs!$F$256)/1000000</f>
        <v>3.18753223446583</v>
      </c>
      <c r="BD53" s="13" t="n">
        <f aca="false">BD42*Inputs!$F$148*(1+Inputs!$F$149/100)^(Time!BD26-Inputs!$F$256)/1000000</f>
        <v>3.22445836749426</v>
      </c>
      <c r="BE53" s="13" t="n">
        <f aca="false">BE42*Inputs!$F$148*(1+Inputs!$F$149/100)^(Time!BE26-Inputs!$F$256)/1000000</f>
        <v>3.34836469344265</v>
      </c>
      <c r="BF53" s="13" t="n">
        <f aca="false">BF42*Inputs!$F$148*(1+Inputs!$F$149/100)^(Time!BF26-Inputs!$F$256)/1000000</f>
        <v>3.33702650328729</v>
      </c>
      <c r="BG53" s="13" t="n">
        <f aca="false">BG42*Inputs!$F$148*(1+Inputs!$F$149/100)^(Time!BG26-Inputs!$F$256)/1000000</f>
        <v>3.36470909169022</v>
      </c>
      <c r="BH53" s="13" t="n">
        <f aca="false">BH42*Inputs!$F$148*(1+Inputs!$F$149/100)^(Time!BH26-Inputs!$F$256)/1000000</f>
        <v>3.37493203223909</v>
      </c>
      <c r="BI53" s="13" t="n">
        <f aca="false">BI42*Inputs!$F$148*(1+Inputs!$F$149/100)^(Time!BI26-Inputs!$F$256)/1000000</f>
        <v>3.44694934025841</v>
      </c>
      <c r="BJ53" s="13" t="n">
        <f aca="false">BJ42*Inputs!$F$148*(1+Inputs!$F$149/100)^(Time!BJ26-Inputs!$F$256)/1000000</f>
        <v>3.38382725385082</v>
      </c>
      <c r="BK53" s="13" t="n">
        <f aca="false">BK42*Inputs!$F$148*(1+Inputs!$F$149/100)^(Time!BK26-Inputs!$F$256)/1000000</f>
        <v>3.30715307609067</v>
      </c>
      <c r="BL53" s="13" t="n">
        <f aca="false">BL42*Inputs!$F$148*(1+Inputs!$F$149/100)^(Time!BL26-Inputs!$F$256)/1000000</f>
        <v>3.36988266108797</v>
      </c>
      <c r="BM53" s="13" t="n">
        <f aca="false">BM42*Inputs!$F$148*(1+Inputs!$F$149/100)^(Time!BM26-Inputs!$F$256)/1000000</f>
        <v>3.54838299885033</v>
      </c>
      <c r="BN53" s="13" t="n">
        <f aca="false">BN42*Inputs!$F$148*(1+Inputs!$F$149/100)^(Time!BN26-Inputs!$F$256)/1000000</f>
        <v>2.36520234401095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3840.2522315453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0</v>
      </c>
      <c r="P55" s="13" t="n">
        <f aca="false">P48+P50</f>
        <v>22.6944400677892</v>
      </c>
      <c r="Q55" s="13" t="n">
        <f aca="false">Q48+Q50</f>
        <v>68.3806017240434</v>
      </c>
      <c r="R55" s="13" t="n">
        <f aca="false">R48+R50</f>
        <v>68.6542284306558</v>
      </c>
      <c r="S55" s="13" t="n">
        <f aca="false">S48+S50</f>
        <v>68.9053815289536</v>
      </c>
      <c r="T55" s="13" t="n">
        <f aca="false">T48+T50</f>
        <v>69.2350174017176</v>
      </c>
      <c r="U55" s="13" t="n">
        <f aca="false">U48+U50</f>
        <v>69.5941176624461</v>
      </c>
      <c r="V55" s="13" t="n">
        <f aca="false">V48+V50</f>
        <v>69.8134265088396</v>
      </c>
      <c r="W55" s="13" t="n">
        <f aca="false">W48+W50</f>
        <v>69.9410117157538</v>
      </c>
      <c r="X55" s="13" t="n">
        <f aca="false">X48+X50</f>
        <v>70.3505784582473</v>
      </c>
      <c r="Y55" s="13" t="n">
        <f aca="false">Y48+Y50</f>
        <v>70.8605400786485</v>
      </c>
      <c r="Z55" s="13" t="n">
        <f aca="false">Z48+Z50</f>
        <v>71.1586630030369</v>
      </c>
      <c r="AA55" s="13" t="n">
        <f aca="false">AA48+AA50</f>
        <v>71.4324310388185</v>
      </c>
      <c r="AB55" s="13" t="n">
        <f aca="false">AB48+AB50</f>
        <v>71.791320037577</v>
      </c>
      <c r="AC55" s="13" t="n">
        <f aca="false">AC48+AC50</f>
        <v>72.1821746189666</v>
      </c>
      <c r="AD55" s="13" t="n">
        <f aca="false">AD48+AD50</f>
        <v>72.3620644743427</v>
      </c>
      <c r="AE55" s="13" t="n">
        <f aca="false">AE48+AE50</f>
        <v>71.4571694851637</v>
      </c>
      <c r="AF55" s="13" t="n">
        <f aca="false">AF48+AF50</f>
        <v>72.8857054609163</v>
      </c>
      <c r="AG55" s="13" t="n">
        <f aca="false">AG48+AG50</f>
        <v>73.5614273657301</v>
      </c>
      <c r="AH55" s="13" t="n">
        <f aca="false">AH48+AH50</f>
        <v>73.8862389589432</v>
      </c>
      <c r="AI55" s="13" t="n">
        <f aca="false">AI48+AI50</f>
        <v>74.1846580768362</v>
      </c>
      <c r="AJ55" s="13" t="n">
        <f aca="false">AJ48+AJ50</f>
        <v>74.5753946340206</v>
      </c>
      <c r="AK55" s="13" t="n">
        <f aca="false">AK48+AK50</f>
        <v>75.0008092104011</v>
      </c>
      <c r="AL55" s="13" t="n">
        <f aca="false">AL48+AL50</f>
        <v>75.2618869138651</v>
      </c>
      <c r="AM55" s="13" t="n">
        <f aca="false">AM48+AM50</f>
        <v>75.4151512868124</v>
      </c>
      <c r="AN55" s="13" t="n">
        <f aca="false">AN48+AN50</f>
        <v>75.9000078064522</v>
      </c>
      <c r="AO55" s="13" t="n">
        <f aca="false">AO48+AO50</f>
        <v>76.5029404170132</v>
      </c>
      <c r="AP55" s="13" t="n">
        <f aca="false">AP48+AP50</f>
        <v>76.8568293068451</v>
      </c>
      <c r="AQ55" s="13" t="n">
        <f aca="false">AQ48+AQ50</f>
        <v>77.1821189577582</v>
      </c>
      <c r="AR55" s="13" t="n">
        <f aca="false">AR48+AR50</f>
        <v>77.6075274544725</v>
      </c>
      <c r="AS55" s="13" t="n">
        <f aca="false">AS48+AS50</f>
        <v>78.0705553842129</v>
      </c>
      <c r="AT55" s="13" t="n">
        <f aca="false">AT48+AT50</f>
        <v>78.2855809587808</v>
      </c>
      <c r="AU55" s="13" t="n">
        <f aca="false">AU48+AU50</f>
        <v>77.323298593642</v>
      </c>
      <c r="AV55" s="13" t="n">
        <f aca="false">AV48+AV50</f>
        <v>78.9084092598975</v>
      </c>
      <c r="AW55" s="13" t="n">
        <f aca="false">AW48+AW50</f>
        <v>79.7065076145405</v>
      </c>
      <c r="AX55" s="13" t="n">
        <f aca="false">AX48+AX50</f>
        <v>80.0920761543602</v>
      </c>
      <c r="AY55" s="13" t="n">
        <f aca="false">AY48+AY50</f>
        <v>80.4466555961177</v>
      </c>
      <c r="AZ55" s="13" t="n">
        <f aca="false">AZ48+AZ50</f>
        <v>80.9098107289483</v>
      </c>
      <c r="BA55" s="13" t="n">
        <f aca="false">BA48+BA50</f>
        <v>81.4137748999657</v>
      </c>
      <c r="BB55" s="13" t="n">
        <f aca="false">BB48+BB50</f>
        <v>81.7245766039167</v>
      </c>
      <c r="BC55" s="13" t="n">
        <f aca="false">BC48+BC50</f>
        <v>81.9086728710156</v>
      </c>
      <c r="BD55" s="13" t="n">
        <f aca="false">BD48+BD50</f>
        <v>82.4826430784703</v>
      </c>
      <c r="BE55" s="13" t="n">
        <f aca="false">BE48+BE50</f>
        <v>83.1954647330834</v>
      </c>
      <c r="BF55" s="13" t="n">
        <f aca="false">BF48+BF50</f>
        <v>83.6155481200429</v>
      </c>
      <c r="BG55" s="13" t="n">
        <f aca="false">BG48+BG50</f>
        <v>84.0020544031938</v>
      </c>
      <c r="BH55" s="13" t="n">
        <f aca="false">BH48+BH50</f>
        <v>84.5063033536322</v>
      </c>
      <c r="BI55" s="13" t="n">
        <f aca="false">BI48+BI50</f>
        <v>85.0548199537863</v>
      </c>
      <c r="BJ55" s="13" t="n">
        <f aca="false">BJ48+BJ50</f>
        <v>85.3118391078143</v>
      </c>
      <c r="BK55" s="13" t="n">
        <f aca="false">BK48+BK50</f>
        <v>84.2818816042691</v>
      </c>
      <c r="BL55" s="13" t="n">
        <f aca="false">BL48+BL50</f>
        <v>86.0526423486703</v>
      </c>
      <c r="BM55" s="13" t="n">
        <f aca="false">BM48+BM50</f>
        <v>86.9952246416553</v>
      </c>
      <c r="BN55" s="13" t="n">
        <f aca="false">BN48+BN50</f>
        <v>58.3300294502197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9618.68542350011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0</v>
      </c>
      <c r="P56" s="13" t="n">
        <f aca="false">P55+P51+P52+P53+P54</f>
        <v>53.1119711525977</v>
      </c>
      <c r="Q56" s="13" t="n">
        <f aca="false">Q55+Q51+Q52+Q53+Q54</f>
        <v>161.248249211217</v>
      </c>
      <c r="R56" s="13" t="n">
        <f aca="false">R55+R51+R52+R53+R54</f>
        <v>161.432007702073</v>
      </c>
      <c r="S56" s="13" t="n">
        <f aca="false">S55+S51+S52+S53+S54</f>
        <v>162.723301098821</v>
      </c>
      <c r="T56" s="13" t="n">
        <f aca="false">T55+T51+T52+T53+T54</f>
        <v>163.491015879596</v>
      </c>
      <c r="U56" s="13" t="n">
        <f aca="false">U55+U51+U52+U53+U54</f>
        <v>166.052276563207</v>
      </c>
      <c r="V56" s="13" t="n">
        <f aca="false">V55+V51+V52+V53+V54</f>
        <v>165.419925908411</v>
      </c>
      <c r="W56" s="13" t="n">
        <f aca="false">W55+W51+W52+W53+W54</f>
        <v>165.205851796455</v>
      </c>
      <c r="X56" s="13" t="n">
        <f aca="false">X55+X51+X52+X53+X54</f>
        <v>166.773407285114</v>
      </c>
      <c r="Y56" s="13" t="n">
        <f aca="false">Y55+Y51+Y52+Y53+Y54</f>
        <v>170.912039611294</v>
      </c>
      <c r="Z56" s="13" t="n">
        <f aca="false">Z55+Z51+Z52+Z53+Z54</f>
        <v>171.109084086391</v>
      </c>
      <c r="AA56" s="13" t="n">
        <f aca="false">AA55+AA51+AA52+AA53+AA54</f>
        <v>172.505781532649</v>
      </c>
      <c r="AB56" s="13" t="n">
        <f aca="false">AB55+AB51+AB52+AB53+AB54</f>
        <v>173.333506505639</v>
      </c>
      <c r="AC56" s="13" t="n">
        <f aca="false">AC55+AC51+AC52+AC53+AC54</f>
        <v>176.100591195099</v>
      </c>
      <c r="AD56" s="13" t="n">
        <f aca="false">AD55+AD51+AD52+AD53+AD54</f>
        <v>174.741885769818</v>
      </c>
      <c r="AE56" s="13" t="n">
        <f aca="false">AE55+AE51+AE52+AE53+AE54</f>
        <v>172.199586868651</v>
      </c>
      <c r="AF56" s="13" t="n">
        <f aca="false">AF55+AF51+AF52+AF53+AF54</f>
        <v>175.502595251977</v>
      </c>
      <c r="AG56" s="13" t="n">
        <f aca="false">AG55+AG51+AG52+AG53+AG54</f>
        <v>181.351850657409</v>
      </c>
      <c r="AH56" s="13" t="n">
        <f aca="false">AH55+AH51+AH52+AH53+AH54</f>
        <v>181.563231971983</v>
      </c>
      <c r="AI56" s="13" t="n">
        <f aca="false">AI55+AI51+AI52+AI53+AI54</f>
        <v>183.073893071269</v>
      </c>
      <c r="AJ56" s="13" t="n">
        <f aca="false">AJ55+AJ51+AJ52+AJ53+AJ54</f>
        <v>183.96639216987</v>
      </c>
      <c r="AK56" s="13" t="n">
        <f aca="false">AK55+AK51+AK52+AK53+AK54</f>
        <v>186.955766336811</v>
      </c>
      <c r="AL56" s="13" t="n">
        <f aca="false">AL55+AL51+AL52+AL53+AL54</f>
        <v>186.217866730918</v>
      </c>
      <c r="AM56" s="13" t="n">
        <f aca="false">AM55+AM51+AM52+AM53+AM54</f>
        <v>185.972900231528</v>
      </c>
      <c r="AN56" s="13" t="n">
        <f aca="false">AN55+AN51+AN52+AN53+AN54</f>
        <v>187.798263062136</v>
      </c>
      <c r="AO56" s="13" t="n">
        <f aca="false">AO55+AO51+AO52+AO53+AO54</f>
        <v>192.630075422818</v>
      </c>
      <c r="AP56" s="13" t="n">
        <f aca="false">AP55+AP51+AP52+AP53+AP54</f>
        <v>192.856934733391</v>
      </c>
      <c r="AQ56" s="13" t="n">
        <f aca="false">AQ55+AQ51+AQ52+AQ53+AQ54</f>
        <v>194.490810567042</v>
      </c>
      <c r="AR56" s="13" t="n">
        <f aca="false">AR55+AR51+AR52+AR53+AR54</f>
        <v>195.453230689277</v>
      </c>
      <c r="AS56" s="13" t="n">
        <f aca="false">AS55+AS51+AS52+AS53+AS54</f>
        <v>198.682669722047</v>
      </c>
      <c r="AT56" s="13" t="n">
        <f aca="false">AT55+AT51+AT52+AT53+AT54</f>
        <v>197.097867643355</v>
      </c>
      <c r="AU56" s="13" t="n">
        <f aca="false">AU55+AU51+AU52+AU53+AU54</f>
        <v>194.227368012657</v>
      </c>
      <c r="AV56" s="13" t="n">
        <f aca="false">AV55+AV51+AV52+AV53+AV54</f>
        <v>197.987272856257</v>
      </c>
      <c r="AW56" s="13" t="n">
        <f aca="false">AW55+AW51+AW52+AW53+AW54</f>
        <v>204.814122914924</v>
      </c>
      <c r="AX56" s="13" t="n">
        <f aca="false">AX55+AX51+AX52+AX53+AX54</f>
        <v>205.057699931486</v>
      </c>
      <c r="AY56" s="13" t="n">
        <f aca="false">AY55+AY51+AY52+AY53+AY54</f>
        <v>206.824788617757</v>
      </c>
      <c r="AZ56" s="13" t="n">
        <f aca="false">AZ55+AZ51+AZ52+AZ53+AZ54</f>
        <v>207.862690719479</v>
      </c>
      <c r="BA56" s="13" t="n">
        <f aca="false">BA55+BA51+BA52+BA53+BA54</f>
        <v>211.35138344387</v>
      </c>
      <c r="BB56" s="13" t="n">
        <f aca="false">BB55+BB51+BB52+BB53+BB54</f>
        <v>210.490865795468</v>
      </c>
      <c r="BC56" s="13" t="n">
        <f aca="false">BC55+BC51+BC52+BC53+BC54</f>
        <v>210.210801390974</v>
      </c>
      <c r="BD56" s="13" t="n">
        <f aca="false">BD55+BD51+BD52+BD53+BD54</f>
        <v>212.336553063658</v>
      </c>
      <c r="BE56" s="13" t="n">
        <f aca="false">BE55+BE51+BE52+BE53+BE54</f>
        <v>217.976820831155</v>
      </c>
      <c r="BF56" s="13" t="n">
        <f aca="false">BF55+BF51+BF52+BF53+BF54</f>
        <v>218.238462852042</v>
      </c>
      <c r="BG56" s="13" t="n">
        <f aca="false">BG55+BG51+BG52+BG53+BG54</f>
        <v>220.149569544068</v>
      </c>
      <c r="BH56" s="13" t="n">
        <f aca="false">BH55+BH51+BH52+BH53+BH54</f>
        <v>221.268962276179</v>
      </c>
      <c r="BI56" s="13" t="n">
        <f aca="false">BI55+BI51+BI52+BI53+BI54</f>
        <v>225.037622592885</v>
      </c>
      <c r="BJ56" s="13" t="n">
        <f aca="false">BJ55+BJ51+BJ52+BJ53+BJ54</f>
        <v>223.189844055013</v>
      </c>
      <c r="BK56" s="13" t="n">
        <f aca="false">BK55+BK51+BK52+BK53+BK54</f>
        <v>219.936376475179</v>
      </c>
      <c r="BL56" s="13" t="n">
        <f aca="false">BL55+BL51+BL52+BL53+BL54</f>
        <v>224.230227517743</v>
      </c>
      <c r="BM56" s="13" t="n">
        <f aca="false">BM55+BM51+BM52+BM53+BM54</f>
        <v>232.19685058572</v>
      </c>
      <c r="BN56" s="13" t="n">
        <f aca="false">BN55+BN51+BN52+BN53+BN54</f>
        <v>155.322309594731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282.415873551671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0</v>
      </c>
      <c r="P60" s="13" t="n">
        <f aca="false">Inputs!$F$151*(Inputs!$F$152*P21+(1-Inputs!$F$152)*P27*Inputs!$F$153/P11)*Time!P30/12*Inputs!$F$40</f>
        <v>1.41425519242689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7.23096040938848</v>
      </c>
      <c r="BN60" s="13" t="n">
        <f aca="false">Inputs!$F$151*(Inputs!$F$152*BN21+(1-Inputs!$F$152)*BN27*Inputs!$F$153/BN11)*Time!BN30/12*Inputs!$F$40</f>
        <v>4.87337883188386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4.15292561684909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</v>
      </c>
      <c r="P61" s="13" t="n">
        <f aca="false">IF(Time!P30&gt;0,Inputs!$F$154*MAX(-1,MIN(1,(P32-Inputs!$F$216)/Inputs!$F$217))*P21*Time!P30/12,0)</f>
        <v>0.0643971521276405</v>
      </c>
      <c r="Q61" s="13" t="n">
        <f aca="false">IF(Time!Q30&gt;0,Inputs!$F$154*MAX(-1,MIN(1,(Q32-Inputs!$F$216)/Inputs!$F$217))*Q21*Time!Q30/12,0)</f>
        <v>0.195305001147897</v>
      </c>
      <c r="R61" s="13" t="n">
        <f aca="false">IF(Time!R30&gt;0,Inputs!$F$154*MAX(-1,MIN(1,(R32-Inputs!$F$216)/Inputs!$F$217))*R21*Time!R30/12,0)</f>
        <v>0.164534723686122</v>
      </c>
      <c r="S61" s="13" t="n">
        <f aca="false">IF(Time!S30&gt;0,Inputs!$F$154*MAX(-1,MIN(1,(S32-Inputs!$F$216)/Inputs!$F$217))*S21*Time!S30/12,0)</f>
        <v>0.0998008555865778</v>
      </c>
      <c r="T61" s="13" t="n">
        <f aca="false">IF(Time!T30&gt;0,Inputs!$F$154*MAX(-1,MIN(1,(T32-Inputs!$F$216)/Inputs!$F$217))*T21*Time!T30/12,0)</f>
        <v>0.134523590085774</v>
      </c>
      <c r="U61" s="13" t="n">
        <f aca="false">IF(Time!U30&gt;0,Inputs!$F$154*MAX(-1,MIN(1,(U32-Inputs!$F$216)/Inputs!$F$217))*U21*Time!U30/12,0)</f>
        <v>0.20399294881896</v>
      </c>
      <c r="V61" s="13" t="n">
        <f aca="false">IF(Time!V30&gt;0,Inputs!$F$154*MAX(-1,MIN(1,(V32-Inputs!$F$216)/Inputs!$F$217))*V21*Time!V30/12,0)</f>
        <v>0.084017455541348</v>
      </c>
      <c r="W61" s="13" t="n">
        <f aca="false">IF(Time!W30&gt;0,Inputs!$F$154*MAX(-1,MIN(1,(W32-Inputs!$F$216)/Inputs!$F$217))*W21*Time!W30/12,0)</f>
        <v>-0.162151728427874</v>
      </c>
      <c r="X61" s="13" t="n">
        <f aca="false">IF(Time!X30&gt;0,Inputs!$F$154*MAX(-1,MIN(1,(X32-Inputs!$F$216)/Inputs!$F$217))*X21*Time!X30/12,0)</f>
        <v>-0.0390299270742074</v>
      </c>
      <c r="Y61" s="13" t="n">
        <f aca="false">IF(Time!Y30&gt;0,Inputs!$F$154*MAX(-1,MIN(1,(Y32-Inputs!$F$216)/Inputs!$F$217))*Y21*Time!Y30/12,0)</f>
        <v>0.213067371154223</v>
      </c>
      <c r="Z61" s="13" t="n">
        <f aca="false">IF(Time!Z30&gt;0,Inputs!$F$154*MAX(-1,MIN(1,(Z32-Inputs!$F$216)/Inputs!$F$217))*Z21*Time!Z30/12,0)</f>
        <v>0.179498634614282</v>
      </c>
      <c r="AA61" s="13" t="n">
        <f aca="false">IF(Time!AA30&gt;0,Inputs!$F$154*MAX(-1,MIN(1,(AA32-Inputs!$F$216)/Inputs!$F$217))*AA21*Time!AA30/12,0)</f>
        <v>0.10887742665981</v>
      </c>
      <c r="AB61" s="13" t="n">
        <f aca="false">IF(Time!AB30&gt;0,Inputs!$F$154*MAX(-1,MIN(1,(AB32-Inputs!$F$216)/Inputs!$F$217))*AB21*Time!AB30/12,0)</f>
        <v>0.146758083660638</v>
      </c>
      <c r="AC61" s="13" t="n">
        <f aca="false">IF(Time!AC30&gt;0,Inputs!$F$154*MAX(-1,MIN(1,(AC32-Inputs!$F$216)/Inputs!$F$217))*AC21*Time!AC30/12,0)</f>
        <v>0.222545460092647</v>
      </c>
      <c r="AD61" s="13" t="n">
        <f aca="false">IF(Time!AD30&gt;0,Inputs!$F$154*MAX(-1,MIN(1,(AD32-Inputs!$F$216)/Inputs!$F$217))*AD21*Time!AD30/12,0)</f>
        <v>0.0124988967917653</v>
      </c>
      <c r="AE61" s="13" t="n">
        <f aca="false">IF(Time!AE30&gt;0,Inputs!$F$154*MAX(-1,MIN(1,(AE32-Inputs!$F$216)/Inputs!$F$217))*AE21*Time!AE30/12,0)</f>
        <v>-0.379069100357809</v>
      </c>
      <c r="AF61" s="13" t="n">
        <f aca="false">IF(Time!AF30&gt;0,Inputs!$F$154*MAX(-1,MIN(1,(AF32-Inputs!$F$216)/Inputs!$F$217))*AF21*Time!AF30/12,0)</f>
        <v>-0.20438196033893</v>
      </c>
      <c r="AG61" s="13" t="n">
        <f aca="false">IF(Time!AG30&gt;0,Inputs!$F$154*MAX(-1,MIN(1,(AG32-Inputs!$F$216)/Inputs!$F$217))*AG21*Time!AG30/12,0)</f>
        <v>0.232445172339408</v>
      </c>
      <c r="AH61" s="13" t="n">
        <f aca="false">IF(Time!AH30&gt;0,Inputs!$F$154*MAX(-1,MIN(1,(AH32-Inputs!$F$216)/Inputs!$F$217))*AH21*Time!AH30/12,0)</f>
        <v>0.195823465749737</v>
      </c>
      <c r="AI61" s="13" t="n">
        <f aca="false">IF(Time!AI30&gt;0,Inputs!$F$154*MAX(-1,MIN(1,(AI32-Inputs!$F$216)/Inputs!$F$217))*AI21*Time!AI30/12,0)</f>
        <v>0.11877948306544</v>
      </c>
      <c r="AJ61" s="13" t="n">
        <f aca="false">IF(Time!AJ30&gt;0,Inputs!$F$154*MAX(-1,MIN(1,(AJ32-Inputs!$F$216)/Inputs!$F$217))*AJ21*Time!AJ30/12,0)</f>
        <v>0.160105265596985</v>
      </c>
      <c r="AK61" s="13" t="n">
        <f aca="false">IF(Time!AK30&gt;0,Inputs!$F$154*MAX(-1,MIN(1,(AK32-Inputs!$F$216)/Inputs!$F$217))*AK21*Time!AK30/12,0)</f>
        <v>0.242785263385754</v>
      </c>
      <c r="AL61" s="13" t="n">
        <f aca="false">IF(Time!AL30&gt;0,Inputs!$F$154*MAX(-1,MIN(1,(AL32-Inputs!$F$216)/Inputs!$F$217))*AL21*Time!AL30/12,0)</f>
        <v>0.0999946331022946</v>
      </c>
      <c r="AM61" s="13" t="n">
        <f aca="false">IF(Time!AM30&gt;0,Inputs!$F$154*MAX(-1,MIN(1,(AM32-Inputs!$F$216)/Inputs!$F$217))*AM21*Time!AM30/12,0)</f>
        <v>-0.192987308251301</v>
      </c>
      <c r="AN61" s="13" t="n">
        <f aca="false">IF(Time!AN30&gt;0,Inputs!$F$154*MAX(-1,MIN(1,(AN32-Inputs!$F$216)/Inputs!$F$217))*AN21*Time!AN30/12,0)</f>
        <v>-0.0464520522866107</v>
      </c>
      <c r="AO61" s="13" t="n">
        <f aca="false">IF(Time!AO30&gt;0,Inputs!$F$154*MAX(-1,MIN(1,(AO32-Inputs!$F$216)/Inputs!$F$217))*AO21*Time!AO30/12,0)</f>
        <v>0.253585323042206</v>
      </c>
      <c r="AP61" s="13" t="n">
        <f aca="false">IF(Time!AP30&gt;0,Inputs!$F$154*MAX(-1,MIN(1,(AP32-Inputs!$F$216)/Inputs!$F$217))*AP21*Time!AP30/12,0)</f>
        <v>0.213632988466125</v>
      </c>
      <c r="AQ61" s="13" t="n">
        <f aca="false">IF(Time!AQ30&gt;0,Inputs!$F$154*MAX(-1,MIN(1,(AQ32-Inputs!$F$216)/Inputs!$F$217))*AQ21*Time!AQ30/12,0)</f>
        <v>0.12958210007457</v>
      </c>
      <c r="AR61" s="13" t="n">
        <f aca="false">IF(Time!AR30&gt;0,Inputs!$F$154*MAX(-1,MIN(1,(AR32-Inputs!$F$216)/Inputs!$F$217))*AR21*Time!AR30/12,0)</f>
        <v>0.174666331369905</v>
      </c>
      <c r="AS61" s="13" t="n">
        <f aca="false">IF(Time!AS30&gt;0,Inputs!$F$154*MAX(-1,MIN(1,(AS32-Inputs!$F$216)/Inputs!$F$217))*AS21*Time!AS30/12,0)</f>
        <v>0.264865812552416</v>
      </c>
      <c r="AT61" s="13" t="n">
        <f aca="false">IF(Time!AT30&gt;0,Inputs!$F$154*MAX(-1,MIN(1,(AT32-Inputs!$F$216)/Inputs!$F$217))*AT21*Time!AT30/12,0)</f>
        <v>0.0148757492216714</v>
      </c>
      <c r="AU61" s="13" t="n">
        <f aca="false">IF(Time!AU30&gt;0,Inputs!$F$154*MAX(-1,MIN(1,(AU32-Inputs!$F$216)/Inputs!$F$217))*AU21*Time!AU30/12,0)</f>
        <v>-0.451154767380948</v>
      </c>
      <c r="AV61" s="13" t="n">
        <f aca="false">IF(Time!AV30&gt;0,Inputs!$F$154*MAX(-1,MIN(1,(AV32-Inputs!$F$216)/Inputs!$F$217))*AV21*Time!AV30/12,0)</f>
        <v>-0.243248251272752</v>
      </c>
      <c r="AW61" s="13" t="n">
        <f aca="false">IF(Time!AW30&gt;0,Inputs!$F$154*MAX(-1,MIN(1,(AW32-Inputs!$F$216)/Inputs!$F$217))*AW21*Time!AW30/12,0)</f>
        <v>0.276648103357997</v>
      </c>
      <c r="AX61" s="13" t="n">
        <f aca="false">IF(Time!AX30&gt;0,Inputs!$F$154*MAX(-1,MIN(1,(AX32-Inputs!$F$216)/Inputs!$F$217))*AX21*Time!AX30/12,0)</f>
        <v>0.233062230750704</v>
      </c>
      <c r="AY61" s="13" t="n">
        <f aca="false">IF(Time!AY30&gt;0,Inputs!$F$154*MAX(-1,MIN(1,(AY32-Inputs!$F$216)/Inputs!$F$217))*AY21*Time!AY30/12,0)</f>
        <v>0.14136718081594</v>
      </c>
      <c r="AZ61" s="13" t="n">
        <f aca="false">IF(Time!AZ30&gt;0,Inputs!$F$154*MAX(-1,MIN(1,(AZ32-Inputs!$F$216)/Inputs!$F$217))*AZ21*Time!AZ30/12,0)</f>
        <v>0.190551679861776</v>
      </c>
      <c r="BA61" s="13" t="n">
        <f aca="false">IF(Time!BA30&gt;0,Inputs!$F$154*MAX(-1,MIN(1,(BA32-Inputs!$F$216)/Inputs!$F$217))*BA21*Time!BA30/12,0)</f>
        <v>0.288954517587774</v>
      </c>
      <c r="BB61" s="13" t="n">
        <f aca="false">IF(Time!BB30&gt;0,Inputs!$F$154*MAX(-1,MIN(1,(BB32-Inputs!$F$216)/Inputs!$F$217))*BB21*Time!BB30/12,0)</f>
        <v>0.119010110278116</v>
      </c>
      <c r="BC61" s="13" t="n">
        <f aca="false">IF(Time!BC30&gt;0,Inputs!$F$154*MAX(-1,MIN(1,(BC32-Inputs!$F$216)/Inputs!$F$217))*BC21*Time!BC30/12,0)</f>
        <v>-0.229686735424774</v>
      </c>
      <c r="BD61" s="13" t="n">
        <f aca="false">IF(Time!BD30&gt;0,Inputs!$F$154*MAX(-1,MIN(1,(BD32-Inputs!$F$216)/Inputs!$F$217))*BD21*Time!BD30/12,0)</f>
        <v>-0.0552856057746511</v>
      </c>
      <c r="BE61" s="13" t="n">
        <f aca="false">IF(Time!BE30&gt;0,Inputs!$F$154*MAX(-1,MIN(1,(BE32-Inputs!$F$216)/Inputs!$F$217))*BE21*Time!BE30/12,0)</f>
        <v>0.301808370348149</v>
      </c>
      <c r="BF61" s="13" t="n">
        <f aca="false">IF(Time!BF30&gt;0,Inputs!$F$154*MAX(-1,MIN(1,(BF32-Inputs!$F$216)/Inputs!$F$217))*BF21*Time!BF30/12,0)</f>
        <v>0.254258500957624</v>
      </c>
      <c r="BG61" s="13" t="n">
        <f aca="false">IF(Time!BG30&gt;0,Inputs!$F$154*MAX(-1,MIN(1,(BG32-Inputs!$F$216)/Inputs!$F$217))*BG21*Time!BG30/12,0)</f>
        <v>0.154224077247908</v>
      </c>
      <c r="BH61" s="13" t="n">
        <f aca="false">IF(Time!BH30&gt;0,Inputs!$F$154*MAX(-1,MIN(1,(BH32-Inputs!$F$216)/Inputs!$F$217))*BH21*Time!BH30/12,0)</f>
        <v>0.207881750382954</v>
      </c>
      <c r="BI61" s="13" t="n">
        <f aca="false">IF(Time!BI30&gt;0,Inputs!$F$154*MAX(-1,MIN(1,(BI32-Inputs!$F$216)/Inputs!$F$217))*BI21*Time!BI30/12,0)</f>
        <v>0.315234013894715</v>
      </c>
      <c r="BJ61" s="13" t="n">
        <f aca="false">IF(Time!BJ30&gt;0,Inputs!$F$154*MAX(-1,MIN(1,(BJ32-Inputs!$F$216)/Inputs!$F$217))*BJ21*Time!BJ30/12,0)</f>
        <v>0.0177045957409497</v>
      </c>
      <c r="BK61" s="13" t="n">
        <f aca="false">IF(Time!BK30&gt;0,Inputs!$F$154*MAX(-1,MIN(1,(BK32-Inputs!$F$216)/Inputs!$F$217))*BK21*Time!BK30/12,0)</f>
        <v>-0.536948603667333</v>
      </c>
      <c r="BL61" s="13" t="n">
        <f aca="false">IF(Time!BL30&gt;0,Inputs!$F$154*MAX(-1,MIN(1,(BL32-Inputs!$F$216)/Inputs!$F$217))*BL21*Time!BL30/12,0)</f>
        <v>-0.289505549555986</v>
      </c>
      <c r="BM61" s="13" t="n">
        <f aca="false">IF(Time!BM30&gt;0,Inputs!$F$154*MAX(-1,MIN(1,(BM32-Inputs!$F$216)/Inputs!$F$217))*BM21*Time!BM30/12,0)</f>
        <v>0.329256883768808</v>
      </c>
      <c r="BN61" s="13" t="n">
        <f aca="false">IF(Time!BN30&gt;0,Inputs!$F$154*MAX(-1,MIN(1,(BN32-Inputs!$F$216)/Inputs!$F$217))*BN21*Time!BN30/12,0)</f>
        <v>0.221906003734662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94.3038468904816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</v>
      </c>
      <c r="P62" s="13" t="n">
        <f aca="false">Inputs!$F$155*P21*Time!P30/12*Inputs!$F$40</f>
        <v>0.472245782269365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2.41455048097126</v>
      </c>
      <c r="BN62" s="13" t="n">
        <f aca="false">Inputs!$F$155*BN21*Time!BN30/12*Inputs!$F$40</f>
        <v>1.62731069405419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0</v>
      </c>
      <c r="P63" s="15" t="n">
        <f aca="false">IF(P31&gt;0,Inputs!$F$258*(Inputs!$F$129*P32/P31*P37/Inputs!$F$131+Inputs!$F$130*Inputs!$F$132)*Time!P30/12,0)</f>
        <v>2813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8439</v>
      </c>
      <c r="BN63" s="15" t="n">
        <f aca="false">IF(BN31&gt;0,Inputs!$F$258*(Inputs!$F$129*BN32/BN31*BN37/Inputs!$F$131+Inputs!$F$130*Inputs!$F$132)*Time!BN30/12,0)</f>
        <v>5626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293.010196711867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0</v>
      </c>
      <c r="P64" s="13" t="n">
        <f aca="false">P63*Inputs!$F$156*P21/1000000</f>
        <v>1.46730843037393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4.69889082755904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7.34072101148476</v>
      </c>
      <c r="BL64" s="13" t="n">
        <f aca="false">BL63*Inputs!$F$156*BL21/1000000</f>
        <v>7.42102964808522</v>
      </c>
      <c r="BM64" s="13" t="n">
        <f aca="false">BM63*Inputs!$F$156*BM21/1000000</f>
        <v>7.50221687373743</v>
      </c>
      <c r="BN64" s="13" t="n">
        <f aca="false">BN63*Inputs!$F$156*BN21/1000000</f>
        <v>5.0561948668954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156.101443527047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</v>
      </c>
      <c r="P65" s="13" t="n">
        <f aca="false">Inputs!$F$157*P21*Time!P30/12*(1+Inputs!$F$158*Inputs!$F$46*Time!P41)*Inputs!$F$40</f>
        <v>0.781709874438304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3.99681272797137</v>
      </c>
      <c r="BN65" s="13" t="n">
        <f aca="false">Inputs!$F$157*BN21*Time!BN30/12*(1+Inputs!$F$158*Inputs!$F$46*Time!BN41)*Inputs!$F$40</f>
        <v>2.69369232311243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113.30895889137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</v>
      </c>
      <c r="P66" s="13" t="n">
        <f aca="false">Inputs!$F$159*(Inputs!$F$218*P21+(1-Inputs!$F$218)*P27*Inputs!$F$153/P11)*Time!P30/12*Inputs!$F$40</f>
        <v>0.567417763900181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2.90115631769762</v>
      </c>
      <c r="BN66" s="13" t="n">
        <f aca="false">Inputs!$F$159*(Inputs!$F$218*BN21+(1-Inputs!$F$218)*BN27*Inputs!$F$153/BN11)*Time!BN30/12*Inputs!$F$40</f>
        <v>1.95526361453961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25.3087884444882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</v>
      </c>
      <c r="P67" s="13" t="n">
        <f aca="false">Inputs!$F$160*P27/P11*Time!P30/12*Inputs!$F$40</f>
        <v>0.12673892944301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0.648004819807696</v>
      </c>
      <c r="BN67" s="13" t="n">
        <f aca="false">Inputs!$F$160*BN27/BN11*Time!BN30/12*Inputs!$F$40</f>
        <v>0.436729395960917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21.1213872734992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</v>
      </c>
      <c r="P68" s="13" t="n">
        <f aca="false">Inputs!$F$161/100*P55</f>
        <v>0.124819420372841</v>
      </c>
      <c r="Q68" s="13" t="n">
        <f aca="false">Inputs!$F$161/100*Q55</f>
        <v>0.376093309482239</v>
      </c>
      <c r="R68" s="13" t="n">
        <f aca="false">Inputs!$F$161/100*R55</f>
        <v>0.377598256368607</v>
      </c>
      <c r="S68" s="13" t="n">
        <f aca="false">Inputs!$F$161/100*S55</f>
        <v>0.378979598409245</v>
      </c>
      <c r="T68" s="13" t="n">
        <f aca="false">Inputs!$F$161/100*T55</f>
        <v>0.380792595709447</v>
      </c>
      <c r="U68" s="13" t="n">
        <f aca="false">Inputs!$F$161/100*U55</f>
        <v>0.382767647143454</v>
      </c>
      <c r="V68" s="13" t="n">
        <f aca="false">Inputs!$F$161/100*V55</f>
        <v>0.383973845798618</v>
      </c>
      <c r="W68" s="13" t="n">
        <f aca="false">Inputs!$F$161/100*W55</f>
        <v>0.384675564436646</v>
      </c>
      <c r="X68" s="13" t="n">
        <f aca="false">Inputs!$F$161/100*X55</f>
        <v>0.38692818152036</v>
      </c>
      <c r="Y68" s="13" t="n">
        <f aca="false">Inputs!$F$161/100*Y55</f>
        <v>0.389732970432567</v>
      </c>
      <c r="Z68" s="13" t="n">
        <f aca="false">Inputs!$F$161/100*Z55</f>
        <v>0.391372646516703</v>
      </c>
      <c r="AA68" s="13" t="n">
        <f aca="false">Inputs!$F$161/100*AA55</f>
        <v>0.392878370713502</v>
      </c>
      <c r="AB68" s="13" t="n">
        <f aca="false">Inputs!$F$161/100*AB55</f>
        <v>0.394852260206674</v>
      </c>
      <c r="AC68" s="13" t="n">
        <f aca="false">Inputs!$F$161/100*AC55</f>
        <v>0.397001960404316</v>
      </c>
      <c r="AD68" s="13" t="n">
        <f aca="false">Inputs!$F$161/100*AD55</f>
        <v>0.397991354608885</v>
      </c>
      <c r="AE68" s="13" t="n">
        <f aca="false">Inputs!$F$161/100*AE55</f>
        <v>0.3930144321684</v>
      </c>
      <c r="AF68" s="13" t="n">
        <f aca="false">Inputs!$F$161/100*AF55</f>
        <v>0.40087138003504</v>
      </c>
      <c r="AG68" s="13" t="n">
        <f aca="false">Inputs!$F$161/100*AG55</f>
        <v>0.404587850511516</v>
      </c>
      <c r="AH68" s="13" t="n">
        <f aca="false">Inputs!$F$161/100*AH55</f>
        <v>0.406374314274187</v>
      </c>
      <c r="AI68" s="13" t="n">
        <f aca="false">Inputs!$F$161/100*AI55</f>
        <v>0.408015619422599</v>
      </c>
      <c r="AJ68" s="13" t="n">
        <f aca="false">Inputs!$F$161/100*AJ55</f>
        <v>0.410164670487113</v>
      </c>
      <c r="AK68" s="13" t="n">
        <f aca="false">Inputs!$F$161/100*AK55</f>
        <v>0.412504450657206</v>
      </c>
      <c r="AL68" s="13" t="n">
        <f aca="false">Inputs!$F$161/100*AL55</f>
        <v>0.413940378026258</v>
      </c>
      <c r="AM68" s="13" t="n">
        <f aca="false">Inputs!$F$161/100*AM55</f>
        <v>0.414783332077468</v>
      </c>
      <c r="AN68" s="13" t="n">
        <f aca="false">Inputs!$F$161/100*AN55</f>
        <v>0.417450042935487</v>
      </c>
      <c r="AO68" s="13" t="n">
        <f aca="false">Inputs!$F$161/100*AO55</f>
        <v>0.420766172293573</v>
      </c>
      <c r="AP68" s="13" t="n">
        <f aca="false">Inputs!$F$161/100*AP55</f>
        <v>0.422712561187648</v>
      </c>
      <c r="AQ68" s="13" t="n">
        <f aca="false">Inputs!$F$161/100*AQ55</f>
        <v>0.42450165426767</v>
      </c>
      <c r="AR68" s="13" t="n">
        <f aca="false">Inputs!$F$161/100*AR55</f>
        <v>0.426841400999599</v>
      </c>
      <c r="AS68" s="13" t="n">
        <f aca="false">Inputs!$F$161/100*AS55</f>
        <v>0.429388054613171</v>
      </c>
      <c r="AT68" s="13" t="n">
        <f aca="false">Inputs!$F$161/100*AT55</f>
        <v>0.430570695273294</v>
      </c>
      <c r="AU68" s="13" t="n">
        <f aca="false">Inputs!$F$161/100*AU55</f>
        <v>0.425278142265031</v>
      </c>
      <c r="AV68" s="13" t="n">
        <f aca="false">Inputs!$F$161/100*AV55</f>
        <v>0.433996250929436</v>
      </c>
      <c r="AW68" s="13" t="n">
        <f aca="false">Inputs!$F$161/100*AW55</f>
        <v>0.438385791879973</v>
      </c>
      <c r="AX68" s="13" t="n">
        <f aca="false">Inputs!$F$161/100*AX55</f>
        <v>0.440506418848981</v>
      </c>
      <c r="AY68" s="13" t="n">
        <f aca="false">Inputs!$F$161/100*AY55</f>
        <v>0.442456605778647</v>
      </c>
      <c r="AZ68" s="13" t="n">
        <f aca="false">Inputs!$F$161/100*AZ55</f>
        <v>0.445003959009215</v>
      </c>
      <c r="BA68" s="13" t="n">
        <f aca="false">Inputs!$F$161/100*BA55</f>
        <v>0.447775761949812</v>
      </c>
      <c r="BB68" s="13" t="n">
        <f aca="false">Inputs!$F$161/100*BB55</f>
        <v>0.449485171321542</v>
      </c>
      <c r="BC68" s="13" t="n">
        <f aca="false">Inputs!$F$161/100*BC55</f>
        <v>0.450497700790586</v>
      </c>
      <c r="BD68" s="13" t="n">
        <f aca="false">Inputs!$F$161/100*BD55</f>
        <v>0.453654536931587</v>
      </c>
      <c r="BE68" s="13" t="n">
        <f aca="false">Inputs!$F$161/100*BE55</f>
        <v>0.457575056031959</v>
      </c>
      <c r="BF68" s="13" t="n">
        <f aca="false">Inputs!$F$161/100*BF55</f>
        <v>0.459885514660236</v>
      </c>
      <c r="BG68" s="13" t="n">
        <f aca="false">Inputs!$F$161/100*BG55</f>
        <v>0.462011299217566</v>
      </c>
      <c r="BH68" s="13" t="n">
        <f aca="false">Inputs!$F$161/100*BH55</f>
        <v>0.464784668444977</v>
      </c>
      <c r="BI68" s="13" t="n">
        <f aca="false">Inputs!$F$161/100*BI55</f>
        <v>0.467801509745825</v>
      </c>
      <c r="BJ68" s="13" t="n">
        <f aca="false">Inputs!$F$161/100*BJ55</f>
        <v>0.469215115092979</v>
      </c>
      <c r="BK68" s="13" t="n">
        <f aca="false">Inputs!$F$161/100*BK55</f>
        <v>0.46355034882348</v>
      </c>
      <c r="BL68" s="13" t="n">
        <f aca="false">Inputs!$F$161/100*BL55</f>
        <v>0.473289532917687</v>
      </c>
      <c r="BM68" s="13" t="n">
        <f aca="false">Inputs!$F$161/100*BM55</f>
        <v>0.478473735529104</v>
      </c>
      <c r="BN68" s="13" t="n">
        <f aca="false">Inputs!$F$161/100*BN55</f>
        <v>0.320815161976208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136.345800880728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</v>
      </c>
      <c r="P69" s="13" t="n">
        <f aca="false">Inputs!$F$162*(Inputs!$F$219*P21+(1-Inputs!$F$219)*P27*Inputs!$F$153/P11)*P38/1000000</f>
        <v>0.706247917353283</v>
      </c>
      <c r="Q69" s="13" t="n">
        <f aca="false">Inputs!$F$162*(Inputs!$F$219*Q21+(1-Inputs!$F$219)*Q27*Inputs!$F$153/Q11)*Q38/1000000</f>
        <v>2.14085204480831</v>
      </c>
      <c r="R69" s="13" t="n">
        <f aca="false">Inputs!$F$162*(Inputs!$F$219*R21+(1-Inputs!$F$219)*R27*Inputs!$F$153/R11)*R38/1000000</f>
        <v>2.15573229297691</v>
      </c>
      <c r="S69" s="13" t="n">
        <f aca="false">Inputs!$F$162*(Inputs!$F$219*S21+(1-Inputs!$F$219)*S27*Inputs!$F$153/S11)*S38/1000000</f>
        <v>2.16370518926761</v>
      </c>
      <c r="T69" s="13" t="n">
        <f aca="false">Inputs!$F$162*(Inputs!$F$219*T21+(1-Inputs!$F$219)*T27*Inputs!$F$153/T11)*T38/1000000</f>
        <v>2.19279077613827</v>
      </c>
      <c r="U69" s="13" t="n">
        <f aca="false">Inputs!$F$162*(Inputs!$F$219*U21+(1-Inputs!$F$219)*U27*Inputs!$F$153/U11)*U38/1000000</f>
        <v>2.2293732547653</v>
      </c>
      <c r="V69" s="13" t="n">
        <f aca="false">Inputs!$F$162*(Inputs!$F$219*V21+(1-Inputs!$F$219)*V27*Inputs!$F$153/V11)*V38/1000000</f>
        <v>2.22645662181533</v>
      </c>
      <c r="W69" s="13" t="n">
        <f aca="false">Inputs!$F$162*(Inputs!$F$219*W21+(1-Inputs!$F$219)*W27*Inputs!$F$153/W11)*W38/1000000</f>
        <v>2.19737782440464</v>
      </c>
      <c r="X69" s="13" t="n">
        <f aca="false">Inputs!$F$162*(Inputs!$F$219*X21+(1-Inputs!$F$219)*X27*Inputs!$F$153/X11)*X38/1000000</f>
        <v>2.24587667365366</v>
      </c>
      <c r="Y69" s="13" t="n">
        <f aca="false">Inputs!$F$162*(Inputs!$F$219*Y21+(1-Inputs!$F$219)*Y27*Inputs!$F$153/Y11)*Y38/1000000</f>
        <v>2.32153364549327</v>
      </c>
      <c r="Z69" s="13" t="n">
        <f aca="false">Inputs!$F$162*(Inputs!$F$219*Z21+(1-Inputs!$F$219)*Z27*Inputs!$F$153/Z11)*Z38/1000000</f>
        <v>2.33765913848445</v>
      </c>
      <c r="AA69" s="13" t="n">
        <f aca="false">Inputs!$F$162*(Inputs!$F$219*AA21+(1-Inputs!$F$219)*AA27*Inputs!$F$153/AA11)*AA38/1000000</f>
        <v>2.34629422502619</v>
      </c>
      <c r="AB69" s="13" t="n">
        <f aca="false">Inputs!$F$162*(Inputs!$F$219*AB21+(1-Inputs!$F$219)*AB27*Inputs!$F$153/AB11)*AB38/1000000</f>
        <v>2.37782344430023</v>
      </c>
      <c r="AC69" s="13" t="n">
        <f aca="false">Inputs!$F$162*(Inputs!$F$219*AC21+(1-Inputs!$F$219)*AC27*Inputs!$F$153/AC11)*AC38/1000000</f>
        <v>2.41748181953257</v>
      </c>
      <c r="AD69" s="13" t="n">
        <f aca="false">Inputs!$F$162*(Inputs!$F$219*AD21+(1-Inputs!$F$219)*AD27*Inputs!$F$153/AD11)*AD38/1000000</f>
        <v>2.39781926643118</v>
      </c>
      <c r="AE69" s="13" t="n">
        <f aca="false">Inputs!$F$162*(Inputs!$F$219*AE21+(1-Inputs!$F$219)*AE27*Inputs!$F$153/AE11)*AE38/1000000</f>
        <v>2.33279525104699</v>
      </c>
      <c r="AF69" s="13" t="n">
        <f aca="false">Inputs!$F$162*(Inputs!$F$219*AF21+(1-Inputs!$F$219)*AF27*Inputs!$F$153/AF11)*AF38/1000000</f>
        <v>2.4016923283993</v>
      </c>
      <c r="AG69" s="13" t="n">
        <f aca="false">Inputs!$F$162*(Inputs!$F$219*AG21+(1-Inputs!$F$219)*AG27*Inputs!$F$153/AG11)*AG38/1000000</f>
        <v>2.5173723989879</v>
      </c>
      <c r="AH69" s="13" t="n">
        <f aca="false">Inputs!$F$162*(Inputs!$F$219*AH21+(1-Inputs!$F$219)*AH27*Inputs!$F$153/AH11)*AH38/1000000</f>
        <v>2.53484655955897</v>
      </c>
      <c r="AI69" s="13" t="n">
        <f aca="false">Inputs!$F$162*(Inputs!$F$219*AI21+(1-Inputs!$F$219)*AI27*Inputs!$F$153/AI11)*AI38/1000000</f>
        <v>2.54419833813711</v>
      </c>
      <c r="AJ69" s="13" t="n">
        <f aca="false">Inputs!$F$162*(Inputs!$F$219*AJ21+(1-Inputs!$F$219)*AJ27*Inputs!$F$153/AJ11)*AJ38/1000000</f>
        <v>2.57837509468997</v>
      </c>
      <c r="AK69" s="13" t="n">
        <f aca="false">Inputs!$F$162*(Inputs!$F$219*AK21+(1-Inputs!$F$219)*AK27*Inputs!$F$153/AK11)*AK38/1000000</f>
        <v>2.62136626701833</v>
      </c>
      <c r="AL69" s="13" t="n">
        <f aca="false">Inputs!$F$162*(Inputs!$F$219*AL21+(1-Inputs!$F$219)*AL27*Inputs!$F$153/AL11)*AL38/1000000</f>
        <v>2.61791275887111</v>
      </c>
      <c r="AM69" s="13" t="n">
        <f aca="false">Inputs!$F$162*(Inputs!$F$219*AM21+(1-Inputs!$F$219)*AM27*Inputs!$F$153/AM11)*AM38/1000000</f>
        <v>2.58369755793877</v>
      </c>
      <c r="AN69" s="13" t="n">
        <f aca="false">Inputs!$F$162*(Inputs!$F$219*AN21+(1-Inputs!$F$219)*AN27*Inputs!$F$153/AN11)*AN38/1000000</f>
        <v>2.64069863852535</v>
      </c>
      <c r="AO69" s="13" t="n">
        <f aca="false">Inputs!$F$162*(Inputs!$F$219*AO21+(1-Inputs!$F$219)*AO27*Inputs!$F$153/AO11)*AO38/1000000</f>
        <v>2.72963081890044</v>
      </c>
      <c r="AP69" s="13" t="n">
        <f aca="false">Inputs!$F$162*(Inputs!$F$219*AP21+(1-Inputs!$F$219)*AP27*Inputs!$F$153/AP11)*AP38/1000000</f>
        <v>2.74856558192688</v>
      </c>
      <c r="AQ69" s="13" t="n">
        <f aca="false">Inputs!$F$162*(Inputs!$F$219*AQ21+(1-Inputs!$F$219)*AQ27*Inputs!$F$153/AQ11)*AQ38/1000000</f>
        <v>2.75869299066468</v>
      </c>
      <c r="AR69" s="13" t="n">
        <f aca="false">Inputs!$F$162*(Inputs!$F$219*AR21+(1-Inputs!$F$219)*AR27*Inputs!$F$153/AR11)*AR38/1000000</f>
        <v>2.79573806629605</v>
      </c>
      <c r="AS69" s="13" t="n">
        <f aca="false">Inputs!$F$162*(Inputs!$F$219*AS21+(1-Inputs!$F$219)*AS27*Inputs!$F$153/AS11)*AS38/1000000</f>
        <v>2.84234022303863</v>
      </c>
      <c r="AT69" s="13" t="n">
        <f aca="false">Inputs!$F$162*(Inputs!$F$219*AT21+(1-Inputs!$F$219)*AT27*Inputs!$F$153/AT11)*AT38/1000000</f>
        <v>2.81919588461042</v>
      </c>
      <c r="AU69" s="13" t="n">
        <f aca="false">Inputs!$F$162*(Inputs!$F$219*AU21+(1-Inputs!$F$219)*AU27*Inputs!$F$153/AU11)*AU38/1000000</f>
        <v>2.74271945270987</v>
      </c>
      <c r="AV69" s="13" t="n">
        <f aca="false">Inputs!$F$162*(Inputs!$F$219*AV21+(1-Inputs!$F$219)*AV27*Inputs!$F$153/AV11)*AV38/1000000</f>
        <v>2.82369695682291</v>
      </c>
      <c r="AW69" s="13" t="n">
        <f aca="false">Inputs!$F$162*(Inputs!$F$219*AW21+(1-Inputs!$F$219)*AW27*Inputs!$F$153/AW11)*AW38/1000000</f>
        <v>2.95967569231056</v>
      </c>
      <c r="AX69" s="13" t="n">
        <f aca="false">Inputs!$F$162*(Inputs!$F$219*AX21+(1-Inputs!$F$219)*AX27*Inputs!$F$153/AX11)*AX38/1000000</f>
        <v>2.98019219764307</v>
      </c>
      <c r="AY69" s="13" t="n">
        <f aca="false">Inputs!$F$162*(Inputs!$F$219*AY21+(1-Inputs!$F$219)*AY27*Inputs!$F$153/AY11)*AY38/1000000</f>
        <v>2.99115896714139</v>
      </c>
      <c r="AZ69" s="13" t="n">
        <f aca="false">Inputs!$F$162*(Inputs!$F$219*AZ21+(1-Inputs!$F$219)*AZ27*Inputs!$F$153/AZ11)*AZ38/1000000</f>
        <v>3.0313114038171</v>
      </c>
      <c r="BA69" s="13" t="n">
        <f aca="false">Inputs!$F$162*(Inputs!$F$219*BA21+(1-Inputs!$F$219)*BA27*Inputs!$F$153/BA11)*BA38/1000000</f>
        <v>3.08182576615084</v>
      </c>
      <c r="BB69" s="13" t="n">
        <f aca="false">Inputs!$F$162*(Inputs!$F$219*BB21+(1-Inputs!$F$219)*BB27*Inputs!$F$153/BB11)*BB38/1000000</f>
        <v>3.07773666646359</v>
      </c>
      <c r="BC69" s="13" t="n">
        <f aca="false">Inputs!$F$162*(Inputs!$F$219*BC21+(1-Inputs!$F$219)*BC27*Inputs!$F$153/BC11)*BC38/1000000</f>
        <v>3.03748310225947</v>
      </c>
      <c r="BD69" s="13" t="n">
        <f aca="false">Inputs!$F$162*(Inputs!$F$219*BD21+(1-Inputs!$F$219)*BD27*Inputs!$F$153/BD11)*BD38/1000000</f>
        <v>3.10446621720421</v>
      </c>
      <c r="BE69" s="13" t="n">
        <f aca="false">Inputs!$F$162*(Inputs!$F$219*BE21+(1-Inputs!$F$219)*BE27*Inputs!$F$153/BE11)*BE38/1000000</f>
        <v>3.20898660379135</v>
      </c>
      <c r="BF69" s="13" t="n">
        <f aca="false">Inputs!$F$162*(Inputs!$F$219*BF21+(1-Inputs!$F$219)*BF27*Inputs!$F$153/BF11)*BF38/1000000</f>
        <v>3.23121594473262</v>
      </c>
      <c r="BG69" s="13" t="n">
        <f aca="false">Inputs!$F$162*(Inputs!$F$219*BG21+(1-Inputs!$F$219)*BG27*Inputs!$F$153/BG11)*BG38/1000000</f>
        <v>3.24309098229481</v>
      </c>
      <c r="BH69" s="13" t="n">
        <f aca="false">Inputs!$F$162*(Inputs!$F$219*BH21+(1-Inputs!$F$219)*BH27*Inputs!$F$153/BH11)*BH38/1000000</f>
        <v>3.28660957739705</v>
      </c>
      <c r="BI69" s="13" t="n">
        <f aca="false">Inputs!$F$162*(Inputs!$F$219*BI21+(1-Inputs!$F$219)*BI27*Inputs!$F$153/BI11)*BI38/1000000</f>
        <v>3.34136228909259</v>
      </c>
      <c r="BJ69" s="13" t="n">
        <f aca="false">Inputs!$F$162*(Inputs!$F$219*BJ21+(1-Inputs!$F$219)*BJ27*Inputs!$F$153/BJ11)*BJ38/1000000</f>
        <v>3.31412298945708</v>
      </c>
      <c r="BK69" s="13" t="n">
        <f aca="false">Inputs!$F$162*(Inputs!$F$219*BK21+(1-Inputs!$F$219)*BK27*Inputs!$F$153/BK11)*BK38/1000000</f>
        <v>3.22418988915725</v>
      </c>
      <c r="BL69" s="13" t="n">
        <f aca="false">Inputs!$F$162*(Inputs!$F$219*BL21+(1-Inputs!$F$219)*BL27*Inputs!$F$153/BL11)*BL38/1000000</f>
        <v>3.31935086257155</v>
      </c>
      <c r="BM69" s="13" t="n">
        <f aca="false">Inputs!$F$162*(Inputs!$F$219*BM21+(1-Inputs!$F$219)*BM27*Inputs!$F$153/BM11)*BM38/1000000</f>
        <v>3.47916514741697</v>
      </c>
      <c r="BN69" s="13" t="n">
        <f aca="false">Inputs!$F$162*(Inputs!$F$219*BN21+(1-Inputs!$F$219)*BN27*Inputs!$F$153/BN11)*BN38/1000000</f>
        <v>2.3432972792321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</v>
      </c>
      <c r="P70" s="13" t="n">
        <f aca="false">Inputs!$F$107*Time!P30/12</f>
        <v>0.0425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0.1275</v>
      </c>
      <c r="BN70" s="13" t="n">
        <f aca="false">Inputs!$F$107*Time!BN30/12</f>
        <v>0.085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</v>
      </c>
      <c r="P71" s="13" t="n">
        <f aca="false">Inputs!$F$163*Time!P30/12</f>
        <v>0.051875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0.155625</v>
      </c>
      <c r="BN71" s="13" t="n">
        <f aca="false">Inputs!$F$163*Time!BN30/12</f>
        <v>0.10375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1140.225471788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0</v>
      </c>
      <c r="P72" s="13" t="n">
        <f aca="false">P60+P61+P62+P64+P65+P66+P67+P68+P69+P70+P71</f>
        <v>5.81951546270545</v>
      </c>
      <c r="Q72" s="13" t="n">
        <f aca="false">Q60+Q61+Q62+Q64+Q65+Q66+Q67+Q68+Q69+Q70+Q71</f>
        <v>17.6429155067816</v>
      </c>
      <c r="R72" s="13" t="n">
        <f aca="false">R60+R61+R62+R64+R65+R66+R67+R68+R69+R70+R71</f>
        <v>17.7887768057949</v>
      </c>
      <c r="S72" s="13" t="n">
        <f aca="false">S60+S61+S62+S64+S65+S66+S67+S68+S69+S70+S71</f>
        <v>17.8953966779362</v>
      </c>
      <c r="T72" s="13" t="n">
        <f aca="false">T60+T61+T62+T64+T65+T66+T67+T68+T69+T70+T71</f>
        <v>18.1247897984176</v>
      </c>
      <c r="U72" s="13" t="n">
        <f aca="false">U60+U61+U62+U64+U65+U66+U67+U68+U69+U70+U71</f>
        <v>18.3983801781632</v>
      </c>
      <c r="V72" s="13" t="n">
        <f aca="false">V60+V61+V62+V64+V65+V66+V67+V68+V69+V70+V71</f>
        <v>18.444069032042</v>
      </c>
      <c r="W72" s="13" t="n">
        <f aca="false">W60+W61+W62+W64+W65+W66+W67+W68+W69+W70+W71</f>
        <v>18.3387286570525</v>
      </c>
      <c r="X72" s="13" t="n">
        <f aca="false">X60+X61+X62+X64+X65+X66+X67+X68+X69+X70+X71</f>
        <v>18.683658951382</v>
      </c>
      <c r="Y72" s="13" t="n">
        <f aca="false">Y60+Y61+Y62+Y64+Y65+Y66+Y67+Y68+Y69+Y70+Y71</f>
        <v>19.1871464276452</v>
      </c>
      <c r="Z72" s="13" t="n">
        <f aca="false">Z60+Z61+Z62+Z64+Z65+Z66+Z67+Z68+Z69+Z70+Z71</f>
        <v>19.3461631414099</v>
      </c>
      <c r="AA72" s="13" t="n">
        <f aca="false">AA60+AA61+AA62+AA64+AA65+AA66+AA67+AA68+AA69+AA70+AA71</f>
        <v>19.4624155866571</v>
      </c>
      <c r="AB72" s="13" t="n">
        <f aca="false">AB60+AB61+AB62+AB64+AB65+AB66+AB67+AB68+AB69+AB70+AB71</f>
        <v>19.7124656798414</v>
      </c>
      <c r="AC72" s="13" t="n">
        <f aca="false">AC60+AC61+AC62+AC64+AC65+AC66+AC67+AC68+AC69+AC70+AC71</f>
        <v>20.0106820967008</v>
      </c>
      <c r="AD72" s="13" t="n">
        <f aca="false">AD60+AD61+AD62+AD64+AD65+AD66+AD67+AD68+AD69+AD70+AD71</f>
        <v>19.9645593611225</v>
      </c>
      <c r="AE72" s="13" t="n">
        <f aca="false">AE60+AE61+AE62+AE64+AE65+AE66+AE67+AE68+AE69+AE70+AE71</f>
        <v>19.6875850523756</v>
      </c>
      <c r="AF72" s="13" t="n">
        <f aca="false">AF60+AF61+AF62+AF64+AF65+AF66+AF67+AF68+AF69+AF70+AF71</f>
        <v>20.1256403379385</v>
      </c>
      <c r="AG72" s="13" t="n">
        <f aca="false">AG60+AG61+AG62+AG64+AG65+AG66+AG67+AG68+AG69+AG70+AG71</f>
        <v>20.8705197196862</v>
      </c>
      <c r="AH72" s="13" t="n">
        <f aca="false">AH60+AH61+AH62+AH64+AH65+AH66+AH67+AH68+AH69+AH70+AH71</f>
        <v>21.0438782684025</v>
      </c>
      <c r="AI72" s="13" t="n">
        <f aca="false">AI60+AI61+AI62+AI64+AI65+AI66+AI67+AI68+AI69+AI70+AI71</f>
        <v>21.1706335030252</v>
      </c>
      <c r="AJ72" s="13" t="n">
        <f aca="false">AJ60+AJ61+AJ62+AJ64+AJ65+AJ66+AJ67+AJ68+AJ69+AJ70+AJ71</f>
        <v>21.4432005560277</v>
      </c>
      <c r="AK72" s="13" t="n">
        <f aca="false">AK60+AK61+AK62+AK64+AK65+AK66+AK67+AK68+AK69+AK70+AK71</f>
        <v>21.7682593748341</v>
      </c>
      <c r="AL72" s="13" t="n">
        <f aca="false">AL60+AL61+AL62+AL64+AL65+AL66+AL67+AL68+AL69+AL70+AL71</f>
        <v>21.8226547668089</v>
      </c>
      <c r="AM72" s="13" t="n">
        <f aca="false">AM60+AM61+AM62+AM64+AM65+AM66+AM67+AM68+AM69+AM70+AM71</f>
        <v>21.6976835002008</v>
      </c>
      <c r="AN72" s="13" t="n">
        <f aca="false">AN60+AN61+AN62+AN64+AN65+AN66+AN67+AN68+AN69+AN70+AN71</f>
        <v>22.1074726299133</v>
      </c>
      <c r="AO72" s="13" t="n">
        <f aca="false">AO60+AO61+AO62+AO64+AO65+AO66+AO67+AO68+AO69+AO70+AO71</f>
        <v>22.7055716608777</v>
      </c>
      <c r="AP72" s="13" t="n">
        <f aca="false">AP60+AP61+AP62+AP64+AP65+AP66+AP67+AP68+AP69+AP70+AP71</f>
        <v>22.894565454336</v>
      </c>
      <c r="AQ72" s="13" t="n">
        <f aca="false">AQ60+AQ61+AQ62+AQ64+AQ65+AQ66+AQ67+AQ68+AQ69+AQ70+AQ71</f>
        <v>23.0327723072745</v>
      </c>
      <c r="AR72" s="13" t="n">
        <f aca="false">AR60+AR61+AR62+AR64+AR65+AR66+AR67+AR68+AR69+AR70+AR71</f>
        <v>23.3298837665215</v>
      </c>
      <c r="AS72" s="13" t="n">
        <f aca="false">AS60+AS61+AS62+AS64+AS65+AS66+AS67+AS68+AS69+AS70+AS71</f>
        <v>23.6842008048416</v>
      </c>
      <c r="AT72" s="13" t="n">
        <f aca="false">AT60+AT61+AT62+AT64+AT65+AT66+AT67+AT68+AT69+AT70+AT71</f>
        <v>23.6295695822541</v>
      </c>
      <c r="AU72" s="13" t="n">
        <f aca="false">AU60+AU61+AU62+AU64+AU65+AU66+AU67+AU68+AU69+AU70+AU71</f>
        <v>23.3014681399534</v>
      </c>
      <c r="AV72" s="13" t="n">
        <f aca="false">AV60+AV61+AV62+AV64+AV65+AV66+AV67+AV68+AV69+AV70+AV71</f>
        <v>23.8211718591976</v>
      </c>
      <c r="AW72" s="13" t="n">
        <f aca="false">AW60+AW61+AW62+AW64+AW65+AW66+AW67+AW68+AW69+AW70+AW71</f>
        <v>24.7059679067799</v>
      </c>
      <c r="AX72" s="13" t="n">
        <f aca="false">AX60+AX61+AX62+AX64+AX65+AX66+AX67+AX68+AX69+AX70+AX71</f>
        <v>24.9120069918206</v>
      </c>
      <c r="AY72" s="13" t="n">
        <f aca="false">AY60+AY61+AY62+AY64+AY65+AY66+AY67+AY68+AY69+AY70+AY71</f>
        <v>25.0627000059904</v>
      </c>
      <c r="AZ72" s="13" t="n">
        <f aca="false">AZ60+AZ61+AZ62+AZ64+AZ65+AZ66+AZ67+AZ68+AZ69+AZ70+AZ71</f>
        <v>25.3865658524466</v>
      </c>
      <c r="BA72" s="13" t="n">
        <f aca="false">BA60+BA61+BA62+BA64+BA65+BA66+BA67+BA68+BA69+BA70+BA71</f>
        <v>25.7727743274925</v>
      </c>
      <c r="BB72" s="13" t="n">
        <f aca="false">BB60+BB61+BB62+BB64+BB65+BB66+BB67+BB68+BB69+BB70+BB71</f>
        <v>25.8375353816365</v>
      </c>
      <c r="BC72" s="13" t="n">
        <f aca="false">BC60+BC61+BC62+BC64+BC65+BC66+BC67+BC68+BC69+BC70+BC71</f>
        <v>25.689276401629</v>
      </c>
      <c r="BD72" s="13" t="n">
        <f aca="false">BD60+BD61+BD62+BD64+BD65+BD66+BD67+BD68+BD69+BD70+BD71</f>
        <v>26.176118507473</v>
      </c>
      <c r="BE72" s="13" t="n">
        <f aca="false">BE60+BE61+BE62+BE64+BE65+BE66+BE67+BE68+BE69+BE70+BE71</f>
        <v>26.8866052255233</v>
      </c>
      <c r="BF72" s="13" t="n">
        <f aca="false">BF60+BF61+BF62+BF64+BF65+BF66+BF67+BF68+BF69+BF70+BF71</f>
        <v>27.1112268033627</v>
      </c>
      <c r="BG72" s="13" t="n">
        <f aca="false">BG60+BG61+BG62+BG64+BG65+BG66+BG67+BG68+BG69+BG70+BG71</f>
        <v>27.2755339784098</v>
      </c>
      <c r="BH72" s="13" t="n">
        <f aca="false">BH60+BH61+BH62+BH64+BH65+BH66+BH67+BH68+BH69+BH70+BH71</f>
        <v>27.6285631597835</v>
      </c>
      <c r="BI72" s="13" t="n">
        <f aca="false">BI60+BI61+BI62+BI64+BI65+BI66+BI67+BI68+BI69+BI70+BI71</f>
        <v>28.0495332500149</v>
      </c>
      <c r="BJ72" s="13" t="n">
        <f aca="false">BJ60+BJ61+BJ62+BJ64+BJ65+BJ66+BJ67+BJ68+BJ69+BJ70+BJ71</f>
        <v>27.9848254314478</v>
      </c>
      <c r="BK72" s="13" t="n">
        <f aca="false">BK60+BK61+BK62+BK64+BK65+BK66+BK67+BK68+BK69+BK70+BK71</f>
        <v>27.5960513012154</v>
      </c>
      <c r="BL72" s="13" t="n">
        <f aca="false">BL60+BL61+BL62+BL64+BL65+BL66+BL67+BL68+BL69+BL70+BL71</f>
        <v>28.2127320471755</v>
      </c>
      <c r="BM72" s="13" t="n">
        <f aca="false">BM60+BM61+BM62+BM64+BM65+BM66+BM67+BM68+BM69+BM70+BM71</f>
        <v>29.2637223962887</v>
      </c>
      <c r="BN72" s="13" t="n">
        <f aca="false">BN60+BN61+BN62+BN64+BN65+BN66+BN67+BN68+BN69+BN70+BN71</f>
        <v>19.7173381713894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4939.13676971039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0</v>
      </c>
      <c r="P73" s="13" t="n">
        <f aca="false">P42*P41/1000000</f>
        <v>25.73098281395</v>
      </c>
      <c r="Q73" s="13" t="n">
        <f aca="false">Q42*Q41/1000000</f>
        <v>78.7289099113673</v>
      </c>
      <c r="R73" s="13" t="n">
        <f aca="false">R42*R41/1000000</f>
        <v>78.465244465635</v>
      </c>
      <c r="S73" s="13" t="n">
        <f aca="false">S42*S41/1000000</f>
        <v>79.5088601807053</v>
      </c>
      <c r="T73" s="13" t="n">
        <f aca="false">T42*T41/1000000</f>
        <v>79.7534070844464</v>
      </c>
      <c r="U73" s="13" t="n">
        <f aca="false">U42*U41/1000000</f>
        <v>81.8595703955176</v>
      </c>
      <c r="V73" s="13" t="n">
        <f aca="false">V42*V41/1000000</f>
        <v>80.9161498839552</v>
      </c>
      <c r="W73" s="13" t="n">
        <f aca="false">W42*W41/1000000</f>
        <v>80.623198486552</v>
      </c>
      <c r="X73" s="13" t="n">
        <f aca="false">X42*X41/1000000</f>
        <v>81.5596170351762</v>
      </c>
      <c r="Y73" s="13" t="n">
        <f aca="false">Y42*Y41/1000000</f>
        <v>85.1134627660521</v>
      </c>
      <c r="Z73" s="13" t="n">
        <f aca="false">Z42*Z41/1000000</f>
        <v>84.8277877116459</v>
      </c>
      <c r="AA73" s="13" t="n">
        <f aca="false">AA42*AA41/1000000</f>
        <v>85.9553913309984</v>
      </c>
      <c r="AB73" s="13" t="n">
        <f aca="false">AB42*AB41/1000000</f>
        <v>86.2191275153245</v>
      </c>
      <c r="AC73" s="13" t="n">
        <f aca="false">AC42*AC41/1000000</f>
        <v>88.4953848375283</v>
      </c>
      <c r="AD73" s="13" t="n">
        <f aca="false">AD42*AD41/1000000</f>
        <v>86.8774192946939</v>
      </c>
      <c r="AE73" s="13" t="n">
        <f aca="false">AE42*AE41/1000000</f>
        <v>85.3296899250619</v>
      </c>
      <c r="AF73" s="13" t="n">
        <f aca="false">AF42*AF41/1000000</f>
        <v>86.950817416645</v>
      </c>
      <c r="AG73" s="13" t="n">
        <f aca="false">AG42*AG41/1000000</f>
        <v>92.010318950609</v>
      </c>
      <c r="AH73" s="13" t="n">
        <f aca="false">AH42*AH41/1000000</f>
        <v>91.7008143065316</v>
      </c>
      <c r="AI73" s="13" t="n">
        <f aca="false">AI42*AI41/1000000</f>
        <v>92.9190897391441</v>
      </c>
      <c r="AJ73" s="13" t="n">
        <f aca="false">AJ42*AJ41/1000000</f>
        <v>93.2034997853314</v>
      </c>
      <c r="AK73" s="13" t="n">
        <f aca="false">AK42*AK41/1000000</f>
        <v>95.6634389700434</v>
      </c>
      <c r="AL73" s="13" t="n">
        <f aca="false">AL42*AL41/1000000</f>
        <v>94.5595263127573</v>
      </c>
      <c r="AM73" s="13" t="n">
        <f aca="false">AM42*AM41/1000000</f>
        <v>94.2157800089376</v>
      </c>
      <c r="AN73" s="13" t="n">
        <f aca="false">AN42*AN41/1000000</f>
        <v>95.3086561145915</v>
      </c>
      <c r="AO73" s="13" t="n">
        <f aca="false">AO42*AO41/1000000</f>
        <v>99.4601175436392</v>
      </c>
      <c r="AP73" s="13" t="n">
        <f aca="false">AP42*AP41/1000000</f>
        <v>99.1248142365637</v>
      </c>
      <c r="AQ73" s="13" t="n">
        <f aca="false">AQ42*AQ41/1000000</f>
        <v>100.440970751872</v>
      </c>
      <c r="AR73" s="13" t="n">
        <f aca="false">AR42*AR41/1000000</f>
        <v>100.747652174361</v>
      </c>
      <c r="AS73" s="13" t="n">
        <f aca="false">AS42*AS41/1000000</f>
        <v>103.40593363176</v>
      </c>
      <c r="AT73" s="13" t="n">
        <f aca="false">AT42*AT41/1000000</f>
        <v>101.513844109913</v>
      </c>
      <c r="AU73" s="13" t="n">
        <f aca="false">AU42*AU41/1000000</f>
        <v>99.7038780263221</v>
      </c>
      <c r="AV73" s="13" t="n">
        <f aca="false">AV42*AV41/1000000</f>
        <v>101.596575637686</v>
      </c>
      <c r="AW73" s="13" t="n">
        <f aca="false">AW42*AW41/1000000</f>
        <v>107.506680317222</v>
      </c>
      <c r="AX73" s="13" t="n">
        <f aca="false">AX42*AX41/1000000</f>
        <v>107.143448083852</v>
      </c>
      <c r="AY73" s="13" t="n">
        <f aca="false">AY42*AY41/1000000</f>
        <v>108.565261023109</v>
      </c>
      <c r="AZ73" s="13" t="n">
        <f aca="false">AZ42*AZ41/1000000</f>
        <v>108.895932682542</v>
      </c>
      <c r="BA73" s="13" t="n">
        <f aca="false">BA42*BA41/1000000</f>
        <v>111.768372905811</v>
      </c>
      <c r="BB73" s="13" t="n">
        <f aca="false">BB42*BB41/1000000</f>
        <v>110.476962502246</v>
      </c>
      <c r="BC73" s="13" t="n">
        <f aca="false">BC42*BC41/1000000</f>
        <v>110.073703591796</v>
      </c>
      <c r="BD73" s="13" t="n">
        <f aca="false">BD42*BD41/1000000</f>
        <v>111.348858138568</v>
      </c>
      <c r="BE73" s="13" t="n">
        <f aca="false">BE42*BE41/1000000</f>
        <v>116.197257328013</v>
      </c>
      <c r="BF73" s="13" t="n">
        <f aca="false">BF42*BF41/1000000</f>
        <v>115.803791645587</v>
      </c>
      <c r="BG73" s="13" t="n">
        <f aca="false">BG42*BG41/1000000</f>
        <v>117.339646235298</v>
      </c>
      <c r="BH73" s="13" t="n">
        <f aca="false">BH42*BH41/1000000</f>
        <v>117.696157361461</v>
      </c>
      <c r="BI73" s="13" t="n">
        <f aca="false">BI42*BI41/1000000</f>
        <v>120.799818852911</v>
      </c>
      <c r="BJ73" s="13" t="n">
        <f aca="false">BJ42*BJ41/1000000</f>
        <v>118.58767824655</v>
      </c>
      <c r="BK73" s="13" t="n">
        <f aca="false">BK42*BK41/1000000</f>
        <v>116.471537693256</v>
      </c>
      <c r="BL73" s="13" t="n">
        <f aca="false">BL42*BL41/1000000</f>
        <v>118.680752403128</v>
      </c>
      <c r="BM73" s="13" t="n">
        <f aca="false">BM42*BM41/1000000</f>
        <v>125.582791125605</v>
      </c>
      <c r="BN73" s="13" t="n">
        <f aca="false">BN42*BN41/1000000</f>
        <v>83.7081882181135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5782.19692837277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0</v>
      </c>
      <c r="P74" s="13" t="n">
        <f aca="false">P73+P52+P53+P54</f>
        <v>30.3693941991122</v>
      </c>
      <c r="Q74" s="13" t="n">
        <f aca="false">Q73+Q52+Q53+Q54</f>
        <v>92.7256187384852</v>
      </c>
      <c r="R74" s="13" t="n">
        <f aca="false">R73+R52+R53+R54</f>
        <v>92.6440749533913</v>
      </c>
      <c r="S74" s="13" t="n">
        <f aca="false">S73+S52+S53+S54</f>
        <v>93.6903805728176</v>
      </c>
      <c r="T74" s="13" t="n">
        <f aca="false">T73+T52+T53+T54</f>
        <v>94.1360257354305</v>
      </c>
      <c r="U74" s="13" t="n">
        <f aca="false">U73+U52+U53+U54</f>
        <v>96.3431767919347</v>
      </c>
      <c r="V74" s="13" t="n">
        <f aca="false">V73+V52+V53+V54</f>
        <v>95.5008976963535</v>
      </c>
      <c r="W74" s="13" t="n">
        <f aca="false">W73+W52+W53+W54</f>
        <v>95.1676371980781</v>
      </c>
      <c r="X74" s="13" t="n">
        <f aca="false">X73+X52+X53+X54</f>
        <v>96.3325968772217</v>
      </c>
      <c r="Y74" s="13" t="n">
        <f aca="false">Y73+Y52+Y53+Y54</f>
        <v>99.9657786257197</v>
      </c>
      <c r="Z74" s="13" t="n">
        <f aca="false">Z73+Z52+Z53+Z54</f>
        <v>99.8733922880264</v>
      </c>
      <c r="AA74" s="13" t="n">
        <f aca="false">AA73+AA52+AA53+AA54</f>
        <v>101.003803728598</v>
      </c>
      <c r="AB74" s="13" t="n">
        <f aca="false">AB73+AB52+AB53+AB54</f>
        <v>101.480948208397</v>
      </c>
      <c r="AC74" s="13" t="n">
        <f aca="false">AC73+AC52+AC53+AC54</f>
        <v>103.864298039462</v>
      </c>
      <c r="AD74" s="13" t="n">
        <f aca="false">AD73+AD52+AD53+AD54</f>
        <v>102.335258738579</v>
      </c>
      <c r="AE74" s="13" t="n">
        <f aca="false">AE73+AE52+AE53+AE54</f>
        <v>100.707052619457</v>
      </c>
      <c r="AF74" s="13" t="n">
        <f aca="false">AF73+AF52+AF53+AF54</f>
        <v>102.58940654107</v>
      </c>
      <c r="AG74" s="13" t="n">
        <f aca="false">AG73+AG52+AG53+AG54</f>
        <v>107.770381184496</v>
      </c>
      <c r="AH74" s="13" t="n">
        <f aca="false">AH73+AH52+AH53+AH54</f>
        <v>107.666017556674</v>
      </c>
      <c r="AI74" s="13" t="n">
        <f aca="false">AI73+AI52+AI53+AI54</f>
        <v>108.887221696116</v>
      </c>
      <c r="AJ74" s="13" t="n">
        <f aca="false">AJ73+AJ52+AJ53+AJ54</f>
        <v>109.398103089657</v>
      </c>
      <c r="AK74" s="13" t="n">
        <f aca="false">AK73+AK52+AK53+AK54</f>
        <v>111.971604971181</v>
      </c>
      <c r="AL74" s="13" t="n">
        <f aca="false">AL73+AL52+AL53+AL54</f>
        <v>110.981671403588</v>
      </c>
      <c r="AM74" s="13" t="n">
        <f aca="false">AM73+AM52+AM53+AM54</f>
        <v>110.592538518579</v>
      </c>
      <c r="AN74" s="13" t="n">
        <f aca="false">AN73+AN52+AN53+AN54</f>
        <v>111.942735378105</v>
      </c>
      <c r="AO74" s="13" t="n">
        <f aca="false">AO73+AO52+AO53+AO54</f>
        <v>116.183232660824</v>
      </c>
      <c r="AP74" s="13" t="n">
        <f aca="false">AP73+AP52+AP53+AP54</f>
        <v>116.065649993449</v>
      </c>
      <c r="AQ74" s="13" t="n">
        <f aca="false">AQ73+AQ52+AQ53+AQ54</f>
        <v>117.384858905961</v>
      </c>
      <c r="AR74" s="13" t="n">
        <f aca="false">AR73+AR52+AR53+AR54</f>
        <v>117.931873772727</v>
      </c>
      <c r="AS74" s="13" t="n">
        <f aca="false">AS73+AS52+AS53+AS54</f>
        <v>120.710575183047</v>
      </c>
      <c r="AT74" s="13" t="n">
        <f aca="false">AT73+AT52+AT53+AT54</f>
        <v>118.918767700759</v>
      </c>
      <c r="AU74" s="13" t="n">
        <f aca="false">AU73+AU52+AU53+AU54</f>
        <v>117.018287196995</v>
      </c>
      <c r="AV74" s="13" t="n">
        <f aca="false">AV73+AV52+AV53+AV54</f>
        <v>119.205056230899</v>
      </c>
      <c r="AW74" s="13" t="n">
        <f aca="false">AW73+AW52+AW53+AW54</f>
        <v>125.25151374992</v>
      </c>
      <c r="AX74" s="13" t="n">
        <f aca="false">AX73+AX52+AX53+AX54</f>
        <v>125.119353770129</v>
      </c>
      <c r="AY74" s="13" t="n">
        <f aca="false">AY73+AY52+AY53+AY54</f>
        <v>126.544345401262</v>
      </c>
      <c r="AZ74" s="13" t="n">
        <f aca="false">AZ73+AZ52+AZ53+AZ54</f>
        <v>127.130060488348</v>
      </c>
      <c r="BA74" s="13" t="n">
        <f aca="false">BA73+BA52+BA53+BA54</f>
        <v>130.130187899415</v>
      </c>
      <c r="BB74" s="13" t="n">
        <f aca="false">BB73+BB52+BB53+BB54</f>
        <v>128.967232274262</v>
      </c>
      <c r="BC74" s="13" t="n">
        <f aca="false">BC73+BC52+BC53+BC54</f>
        <v>128.512875960278</v>
      </c>
      <c r="BD74" s="13" t="n">
        <f aca="false">BD73+BD52+BD53+BD54</f>
        <v>130.077746255559</v>
      </c>
      <c r="BE74" s="13" t="n">
        <f aca="false">BE73+BE52+BE53+BE54</f>
        <v>135.026036757482</v>
      </c>
      <c r="BF74" s="13" t="n">
        <f aca="false">BF73+BF52+BF53+BF54</f>
        <v>134.877814344614</v>
      </c>
      <c r="BG74" s="13" t="n">
        <f aca="false">BG73+BG52+BG53+BG54</f>
        <v>136.416976284055</v>
      </c>
      <c r="BH74" s="13" t="n">
        <f aca="false">BH73+BH52+BH53+BH54</f>
        <v>137.044140532376</v>
      </c>
      <c r="BI74" s="13" t="n">
        <f aca="false">BI73+BI52+BI53+BI54</f>
        <v>140.283190676037</v>
      </c>
      <c r="BJ74" s="13" t="n">
        <f aca="false">BJ73+BJ52+BJ53+BJ54</f>
        <v>138.184152406157</v>
      </c>
      <c r="BK74" s="13" t="n">
        <f aca="false">BK73+BK52+BK53+BK54</f>
        <v>135.966225694841</v>
      </c>
      <c r="BL74" s="13" t="n">
        <f aca="false">BL73+BL52+BL53+BL54</f>
        <v>138.506471673558</v>
      </c>
      <c r="BM74" s="13" t="n">
        <f aca="false">BM73+BM52+BM53+BM54</f>
        <v>145.561522073831</v>
      </c>
      <c r="BN74" s="13" t="n">
        <f aca="false">BN73+BN52+BN53+BN54</f>
        <v>97.2387651354575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0.0859987767239091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</v>
      </c>
      <c r="Q75" s="13" t="n">
        <f aca="false">SUMIFS(Construction!$J$38:$BJ$38,Construction!$J$12:$BJ$12,Time!Q20,Construction!$J$8:$BJ$8,"&gt;"&amp;Time!$F$14)</f>
        <v>0.0735835360470474</v>
      </c>
      <c r="R75" s="13" t="n">
        <f aca="false">SUMIFS(Construction!$J$38:$BJ$38,Construction!$J$12:$BJ$12,Time!R20,Construction!$J$8:$BJ$8,"&gt;"&amp;Time!$F$14)</f>
        <v>0.0124152406768617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0</v>
      </c>
      <c r="Q77" s="10" t="n">
        <f aca="false">INT((Time!Q33-Inputs!$F$221)/12)+1</f>
        <v>1</v>
      </c>
      <c r="R77" s="10" t="n">
        <f aca="false">INT((Time!R33-Inputs!$F$221)/12)+1</f>
        <v>1</v>
      </c>
      <c r="S77" s="10" t="n">
        <f aca="false">INT((Time!S33-Inputs!$F$221)/12)+1</f>
        <v>2</v>
      </c>
      <c r="T77" s="10" t="n">
        <f aca="false">INT((Time!T33-Inputs!$F$221)/12)+1</f>
        <v>2</v>
      </c>
      <c r="U77" s="10" t="n">
        <f aca="false">INT((Time!U33-Inputs!$F$221)/12)+1</f>
        <v>3</v>
      </c>
      <c r="V77" s="10" t="n">
        <f aca="false">INT((Time!V33-Inputs!$F$221)/12)+1</f>
        <v>3</v>
      </c>
      <c r="W77" s="10" t="n">
        <f aca="false">INT((Time!W33-Inputs!$F$221)/12)+1</f>
        <v>4</v>
      </c>
      <c r="X77" s="10" t="n">
        <f aca="false">INT((Time!X33-Inputs!$F$221)/12)+1</f>
        <v>4</v>
      </c>
      <c r="Y77" s="10" t="n">
        <f aca="false">INT((Time!Y33-Inputs!$F$221)/12)+1</f>
        <v>5</v>
      </c>
      <c r="Z77" s="10" t="n">
        <f aca="false">INT((Time!Z33-Inputs!$F$221)/12)+1</f>
        <v>5</v>
      </c>
      <c r="AA77" s="10" t="n">
        <f aca="false">INT((Time!AA33-Inputs!$F$221)/12)+1</f>
        <v>6</v>
      </c>
      <c r="AB77" s="10" t="n">
        <f aca="false">INT((Time!AB33-Inputs!$F$221)/12)+1</f>
        <v>6</v>
      </c>
      <c r="AC77" s="10" t="n">
        <f aca="false">INT((Time!AC33-Inputs!$F$221)/12)+1</f>
        <v>7</v>
      </c>
      <c r="AD77" s="10" t="n">
        <f aca="false">INT((Time!AD33-Inputs!$F$221)/12)+1</f>
        <v>7</v>
      </c>
      <c r="AE77" s="10" t="n">
        <f aca="false">INT((Time!AE33-Inputs!$F$221)/12)+1</f>
        <v>8</v>
      </c>
      <c r="AF77" s="10" t="n">
        <f aca="false">INT((Time!AF33-Inputs!$F$221)/12)+1</f>
        <v>8</v>
      </c>
      <c r="AG77" s="10" t="n">
        <f aca="false">INT((Time!AG33-Inputs!$F$221)/12)+1</f>
        <v>9</v>
      </c>
      <c r="AH77" s="10" t="n">
        <f aca="false">INT((Time!AH33-Inputs!$F$221)/12)+1</f>
        <v>9</v>
      </c>
      <c r="AI77" s="10" t="n">
        <f aca="false">INT((Time!AI33-Inputs!$F$221)/12)+1</f>
        <v>10</v>
      </c>
      <c r="AJ77" s="10" t="n">
        <f aca="false">INT((Time!AJ33-Inputs!$F$221)/12)+1</f>
        <v>10</v>
      </c>
      <c r="AK77" s="10" t="n">
        <f aca="false">INT((Time!AK33-Inputs!$F$221)/12)+1</f>
        <v>11</v>
      </c>
      <c r="AL77" s="10" t="n">
        <f aca="false">INT((Time!AL33-Inputs!$F$221)/12)+1</f>
        <v>11</v>
      </c>
      <c r="AM77" s="10" t="n">
        <f aca="false">INT((Time!AM33-Inputs!$F$221)/12)+1</f>
        <v>12</v>
      </c>
      <c r="AN77" s="10" t="n">
        <f aca="false">INT((Time!AN33-Inputs!$F$221)/12)+1</f>
        <v>12</v>
      </c>
      <c r="AO77" s="10" t="n">
        <f aca="false">INT((Time!AO33-Inputs!$F$221)/12)+1</f>
        <v>13</v>
      </c>
      <c r="AP77" s="10" t="n">
        <f aca="false">INT((Time!AP33-Inputs!$F$221)/12)+1</f>
        <v>13</v>
      </c>
      <c r="AQ77" s="10" t="n">
        <f aca="false">INT((Time!AQ33-Inputs!$F$221)/12)+1</f>
        <v>14</v>
      </c>
      <c r="AR77" s="10" t="n">
        <f aca="false">INT((Time!AR33-Inputs!$F$221)/12)+1</f>
        <v>14</v>
      </c>
      <c r="AS77" s="10" t="n">
        <f aca="false">INT((Time!AS33-Inputs!$F$221)/12)+1</f>
        <v>15</v>
      </c>
      <c r="AT77" s="10" t="n">
        <f aca="false">INT((Time!AT33-Inputs!$F$221)/12)+1</f>
        <v>15</v>
      </c>
      <c r="AU77" s="10" t="n">
        <f aca="false">INT((Time!AU33-Inputs!$F$221)/12)+1</f>
        <v>16</v>
      </c>
      <c r="AV77" s="10" t="n">
        <f aca="false">INT((Time!AV33-Inputs!$F$221)/12)+1</f>
        <v>16</v>
      </c>
      <c r="AW77" s="10" t="n">
        <f aca="false">INT((Time!AW33-Inputs!$F$221)/12)+1</f>
        <v>17</v>
      </c>
      <c r="AX77" s="10" t="n">
        <f aca="false">INT((Time!AX33-Inputs!$F$221)/12)+1</f>
        <v>17</v>
      </c>
      <c r="AY77" s="10" t="n">
        <f aca="false">INT((Time!AY33-Inputs!$F$221)/12)+1</f>
        <v>18</v>
      </c>
      <c r="AZ77" s="10" t="n">
        <f aca="false">INT((Time!AZ33-Inputs!$F$221)/12)+1</f>
        <v>18</v>
      </c>
      <c r="BA77" s="10" t="n">
        <f aca="false">INT((Time!BA33-Inputs!$F$221)/12)+1</f>
        <v>19</v>
      </c>
      <c r="BB77" s="10" t="n">
        <f aca="false">INT((Time!BB33-Inputs!$F$221)/12)+1</f>
        <v>19</v>
      </c>
      <c r="BC77" s="10" t="n">
        <f aca="false">INT((Time!BC33-Inputs!$F$221)/12)+1</f>
        <v>20</v>
      </c>
      <c r="BD77" s="10" t="n">
        <f aca="false">INT((Time!BD33-Inputs!$F$221)/12)+1</f>
        <v>20</v>
      </c>
      <c r="BE77" s="10" t="n">
        <f aca="false">INT((Time!BE33-Inputs!$F$221)/12)+1</f>
        <v>21</v>
      </c>
      <c r="BF77" s="10" t="n">
        <f aca="false">INT((Time!BF33-Inputs!$F$221)/12)+1</f>
        <v>21</v>
      </c>
      <c r="BG77" s="10" t="n">
        <f aca="false">INT((Time!BG33-Inputs!$F$221)/12)+1</f>
        <v>22</v>
      </c>
      <c r="BH77" s="10" t="n">
        <f aca="false">INT((Time!BH33-Inputs!$F$221)/12)+1</f>
        <v>22</v>
      </c>
      <c r="BI77" s="10" t="n">
        <f aca="false">INT((Time!BI33-Inputs!$F$221)/12)+1</f>
        <v>23</v>
      </c>
      <c r="BJ77" s="10" t="n">
        <f aca="false">INT((Time!BJ33-Inputs!$F$221)/12)+1</f>
        <v>23</v>
      </c>
      <c r="BK77" s="10" t="n">
        <f aca="false">INT((Time!BK33-Inputs!$F$221)/12)+1</f>
        <v>24</v>
      </c>
      <c r="BL77" s="10" t="n">
        <f aca="false">INT((Time!BL33-Inputs!$F$221)/12)+1</f>
        <v>24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0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2.18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0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9.47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0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2.18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0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9.47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0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2.18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0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9.47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52.263650417766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0</v>
      </c>
      <c r="W79" s="13" t="n">
        <f aca="false">W78*W21</f>
        <v>2.52493405694828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0</v>
      </c>
      <c r="AE79" s="13" t="n">
        <f aca="false">AE78*AE21</f>
        <v>11.9659479346282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0</v>
      </c>
      <c r="AM79" s="13" t="n">
        <f aca="false">AM78*AM21</f>
        <v>3.00508808562737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0</v>
      </c>
      <c r="AU79" s="13" t="n">
        <f aca="false">AU78*AU21</f>
        <v>14.2414521569919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0</v>
      </c>
      <c r="BC79" s="13" t="n">
        <f aca="false">BC78*BC21</f>
        <v>3.57655059447143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0</v>
      </c>
      <c r="BK79" s="13" t="n">
        <f aca="false">BK78*BK21</f>
        <v>16.9496775890988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0</v>
      </c>
      <c r="BB80" s="10" t="n">
        <f aca="false">MAX(0,MIN(Time!BB33,Time!$F$9)-MAX(Time!BB32,(Inputs!$F$227-1)*12))</f>
        <v>2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6</v>
      </c>
      <c r="BN80" s="10" t="n">
        <f aca="false">MAX(0,MIN(Time!BN33,Time!$F$9)-MAX(Time!BN32,(Inputs!$F$227-1)*12))</f>
        <v>4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19.2778097774822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</v>
      </c>
      <c r="BB81" s="13" t="n">
        <f aca="false">Inputs!$F$166*BB21*BB80/12</f>
        <v>0.500383418214804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1.69201454158971</v>
      </c>
      <c r="BN81" s="13" t="n">
        <f aca="false">Inputs!$F$166*BN21*BN80/12</f>
        <v>1.14035029696979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19.2778097774822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0</v>
      </c>
      <c r="BN82" s="13" t="n">
        <f aca="false">Time!BN37*SUM($J$81:$BN$81)</f>
        <v>19.2778097774822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6994.04985913275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0</v>
      </c>
      <c r="P83" s="13" t="n">
        <f aca="false">P72+P74+P75+P76+P79+P82</f>
        <v>36.1889096618176</v>
      </c>
      <c r="Q83" s="13" t="n">
        <f aca="false">Q72+Q74+Q75+Q76+Q79+Q82</f>
        <v>110.442117781314</v>
      </c>
      <c r="R83" s="13" t="n">
        <f aca="false">R72+R74+R75+R76+R79+R82</f>
        <v>110.445266999863</v>
      </c>
      <c r="S83" s="13" t="n">
        <f aca="false">S72+S74+S75+S76+S79+S82</f>
        <v>111.585777250754</v>
      </c>
      <c r="T83" s="13" t="n">
        <f aca="false">T72+T74+T75+T76+T79+T82</f>
        <v>112.260815533848</v>
      </c>
      <c r="U83" s="13" t="n">
        <f aca="false">U72+U74+U75+U76+U79+U82</f>
        <v>114.741556970098</v>
      </c>
      <c r="V83" s="13" t="n">
        <f aca="false">V72+V74+V75+V76+V79+V82</f>
        <v>113.944966728396</v>
      </c>
      <c r="W83" s="13" t="n">
        <f aca="false">W72+W74+W75+W76+W79+W82</f>
        <v>116.031299912079</v>
      </c>
      <c r="X83" s="13" t="n">
        <f aca="false">X72+X74+X75+X76+X79+X82</f>
        <v>115.016255828604</v>
      </c>
      <c r="Y83" s="13" t="n">
        <f aca="false">Y72+Y74+Y75+Y76+Y79+Y82</f>
        <v>119.152925053365</v>
      </c>
      <c r="Z83" s="13" t="n">
        <f aca="false">Z72+Z74+Z75+Z76+Z79+Z82</f>
        <v>119.219555429436</v>
      </c>
      <c r="AA83" s="13" t="n">
        <f aca="false">AA72+AA74+AA75+AA76+AA79+AA82</f>
        <v>120.466219315255</v>
      </c>
      <c r="AB83" s="13" t="n">
        <f aca="false">AB72+AB74+AB75+AB76+AB79+AB82</f>
        <v>121.193413888238</v>
      </c>
      <c r="AC83" s="13" t="n">
        <f aca="false">AC72+AC74+AC75+AC76+AC79+AC82</f>
        <v>123.874980136162</v>
      </c>
      <c r="AD83" s="13" t="n">
        <f aca="false">AD72+AD74+AD75+AD76+AD79+AD82</f>
        <v>122.299818099702</v>
      </c>
      <c r="AE83" s="13" t="n">
        <f aca="false">AE72+AE74+AE75+AE76+AE79+AE82</f>
        <v>132.360585606461</v>
      </c>
      <c r="AF83" s="13" t="n">
        <f aca="false">AF72+AF74+AF75+AF76+AF79+AF82</f>
        <v>122.715046879009</v>
      </c>
      <c r="AG83" s="13" t="n">
        <f aca="false">AG72+AG74+AG75+AG76+AG79+AG82</f>
        <v>128.640900904183</v>
      </c>
      <c r="AH83" s="13" t="n">
        <f aca="false">AH72+AH74+AH75+AH76+AH79+AH82</f>
        <v>128.709895825077</v>
      </c>
      <c r="AI83" s="13" t="n">
        <f aca="false">AI72+AI74+AI75+AI76+AI79+AI82</f>
        <v>130.057855199142</v>
      </c>
      <c r="AJ83" s="13" t="n">
        <f aca="false">AJ72+AJ74+AJ75+AJ76+AJ79+AJ82</f>
        <v>130.841303645685</v>
      </c>
      <c r="AK83" s="13" t="n">
        <f aca="false">AK72+AK74+AK75+AK76+AK79+AK82</f>
        <v>133.739864346015</v>
      </c>
      <c r="AL83" s="13" t="n">
        <f aca="false">AL72+AL74+AL75+AL76+AL79+AL82</f>
        <v>132.804326170397</v>
      </c>
      <c r="AM83" s="13" t="n">
        <f aca="false">AM72+AM74+AM75+AM76+AM79+AM82</f>
        <v>135.295310104407</v>
      </c>
      <c r="AN83" s="13" t="n">
        <f aca="false">AN72+AN74+AN75+AN76+AN79+AN82</f>
        <v>134.050208008019</v>
      </c>
      <c r="AO83" s="13" t="n">
        <f aca="false">AO72+AO74+AO75+AO76+AO79+AO82</f>
        <v>138.888804321702</v>
      </c>
      <c r="AP83" s="13" t="n">
        <f aca="false">AP72+AP74+AP75+AP76+AP79+AP82</f>
        <v>138.960215447785</v>
      </c>
      <c r="AQ83" s="13" t="n">
        <f aca="false">AQ72+AQ74+AQ75+AQ76+AQ79+AQ82</f>
        <v>140.417631213235</v>
      </c>
      <c r="AR83" s="13" t="n">
        <f aca="false">AR72+AR74+AR75+AR76+AR79+AR82</f>
        <v>141.261757539248</v>
      </c>
      <c r="AS83" s="13" t="n">
        <f aca="false">AS72+AS74+AS75+AS76+AS79+AS82</f>
        <v>144.394775987888</v>
      </c>
      <c r="AT83" s="13" t="n">
        <f aca="false">AT72+AT74+AT75+AT76+AT79+AT82</f>
        <v>142.548337283013</v>
      </c>
      <c r="AU83" s="13" t="n">
        <f aca="false">AU72+AU74+AU75+AU76+AU79+AU82</f>
        <v>154.561207493941</v>
      </c>
      <c r="AV83" s="13" t="n">
        <f aca="false">AV72+AV74+AV75+AV76+AV79+AV82</f>
        <v>143.026228090096</v>
      </c>
      <c r="AW83" s="13" t="n">
        <f aca="false">AW72+AW74+AW75+AW76+AW79+AW82</f>
        <v>149.9574816567</v>
      </c>
      <c r="AX83" s="13" t="n">
        <f aca="false">AX72+AX74+AX75+AX76+AX79+AX82</f>
        <v>150.031360761949</v>
      </c>
      <c r="AY83" s="13" t="n">
        <f aca="false">AY72+AY74+AY75+AY76+AY79+AY82</f>
        <v>151.607045407252</v>
      </c>
      <c r="AZ83" s="13" t="n">
        <f aca="false">AZ72+AZ74+AZ75+AZ76+AZ79+AZ82</f>
        <v>152.516626340794</v>
      </c>
      <c r="BA83" s="13" t="n">
        <f aca="false">BA72+BA74+BA75+BA76+BA79+BA82</f>
        <v>155.902962226908</v>
      </c>
      <c r="BB83" s="13" t="n">
        <f aca="false">BB72+BB74+BB75+BB76+BB79+BB82</f>
        <v>154.804767655899</v>
      </c>
      <c r="BC83" s="13" t="n">
        <f aca="false">BC72+BC74+BC75+BC76+BC79+BC82</f>
        <v>157.778702956378</v>
      </c>
      <c r="BD83" s="13" t="n">
        <f aca="false">BD72+BD74+BD75+BD76+BD79+BD82</f>
        <v>156.253864763032</v>
      </c>
      <c r="BE83" s="13" t="n">
        <f aca="false">BE72+BE74+BE75+BE76+BE79+BE82</f>
        <v>161.912641983005</v>
      </c>
      <c r="BF83" s="13" t="n">
        <f aca="false">BF72+BF74+BF75+BF76+BF79+BF82</f>
        <v>161.989041147977</v>
      </c>
      <c r="BG83" s="13" t="n">
        <f aca="false">BG72+BG74+BG75+BG76+BG79+BG82</f>
        <v>163.692510262465</v>
      </c>
      <c r="BH83" s="13" t="n">
        <f aca="false">BH72+BH74+BH75+BH76+BH79+BH82</f>
        <v>164.672703692159</v>
      </c>
      <c r="BI83" s="13" t="n">
        <f aca="false">BI72+BI74+BI75+BI76+BI79+BI82</f>
        <v>168.332723926052</v>
      </c>
      <c r="BJ83" s="13" t="n">
        <f aca="false">BJ72+BJ74+BJ75+BJ76+BJ79+BJ82</f>
        <v>166.168977837604</v>
      </c>
      <c r="BK83" s="13" t="n">
        <f aca="false">BK72+BK74+BK75+BK76+BK79+BK82</f>
        <v>180.511954585155</v>
      </c>
      <c r="BL83" s="13" t="n">
        <f aca="false">BL72+BL74+BL75+BL76+BL79+BL82</f>
        <v>166.719203720733</v>
      </c>
      <c r="BM83" s="13" t="n">
        <f aca="false">BM72+BM74+BM75+BM76+BM79+BM82</f>
        <v>174.82524447012</v>
      </c>
      <c r="BN83" s="13" t="n">
        <f aca="false">BN72+BN74+BN75+BN76+BN79+BN82</f>
        <v>136.233913084329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2624.63556436736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0</v>
      </c>
      <c r="P84" s="13" t="n">
        <f aca="false">P56-P83+P58</f>
        <v>16.9230614907801</v>
      </c>
      <c r="Q84" s="13" t="n">
        <f aca="false">Q56-Q83+Q58</f>
        <v>50.8061314299036</v>
      </c>
      <c r="R84" s="13" t="n">
        <f aca="false">R56-R83+R58</f>
        <v>50.9867407022095</v>
      </c>
      <c r="S84" s="13" t="n">
        <f aca="false">S56-S83+S58</f>
        <v>51.1375238480677</v>
      </c>
      <c r="T84" s="13" t="n">
        <f aca="false">T56-T83+T58</f>
        <v>51.2302003457479</v>
      </c>
      <c r="U84" s="13" t="n">
        <f aca="false">U56-U83+U58</f>
        <v>51.3107195931088</v>
      </c>
      <c r="V84" s="13" t="n">
        <f aca="false">V56-V83+V58</f>
        <v>51.4749591800154</v>
      </c>
      <c r="W84" s="13" t="n">
        <f aca="false">W56-W83+W58</f>
        <v>49.1745518843761</v>
      </c>
      <c r="X84" s="13" t="n">
        <f aca="false">X56-X83+X58</f>
        <v>51.7571514565107</v>
      </c>
      <c r="Y84" s="13" t="n">
        <f aca="false">Y56-Y83+Y58</f>
        <v>51.7591145579287</v>
      </c>
      <c r="Z84" s="13" t="n">
        <f aca="false">Z56-Z83+Z58</f>
        <v>51.8895286569547</v>
      </c>
      <c r="AA84" s="13" t="n">
        <f aca="false">AA56-AA83+AA58</f>
        <v>52.0395622173936</v>
      </c>
      <c r="AB84" s="13" t="n">
        <f aca="false">AB56-AB83+AB58</f>
        <v>52.1400926174002</v>
      </c>
      <c r="AC84" s="13" t="n">
        <f aca="false">AC56-AC83+AC58</f>
        <v>52.2256110589363</v>
      </c>
      <c r="AD84" s="13" t="n">
        <f aca="false">AD56-AD83+AD58</f>
        <v>52.4420676701167</v>
      </c>
      <c r="AE84" s="13" t="n">
        <f aca="false">AE56-AE83+AE58</f>
        <v>39.8390012621901</v>
      </c>
      <c r="AF84" s="13" t="n">
        <f aca="false">AF56-AF83+AF58</f>
        <v>52.7875483729684</v>
      </c>
      <c r="AG84" s="13" t="n">
        <f aca="false">AG56-AG83+AG58</f>
        <v>52.7109497532263</v>
      </c>
      <c r="AH84" s="13" t="n">
        <f aca="false">AH56-AH83+AH58</f>
        <v>52.8533361469062</v>
      </c>
      <c r="AI84" s="13" t="n">
        <f aca="false">AI56-AI83+AI58</f>
        <v>53.0160378721272</v>
      </c>
      <c r="AJ84" s="13" t="n">
        <f aca="false">AJ56-AJ83+AJ58</f>
        <v>53.1250885241857</v>
      </c>
      <c r="AK84" s="13" t="n">
        <f aca="false">AK56-AK83+AK58</f>
        <v>53.2159019907963</v>
      </c>
      <c r="AL84" s="13" t="n">
        <f aca="false">AL56-AL83+AL58</f>
        <v>53.4135405605213</v>
      </c>
      <c r="AM84" s="13" t="n">
        <f aca="false">AM56-AM83+AM58</f>
        <v>50.6775901271207</v>
      </c>
      <c r="AN84" s="13" t="n">
        <f aca="false">AN56-AN83+AN58</f>
        <v>53.7480550541173</v>
      </c>
      <c r="AO84" s="13" t="n">
        <f aca="false">AO56-AO83+AO58</f>
        <v>53.7412711011159</v>
      </c>
      <c r="AP84" s="13" t="n">
        <f aca="false">AP56-AP83+AP58</f>
        <v>53.8967192856058</v>
      </c>
      <c r="AQ84" s="13" t="n">
        <f aca="false">AQ56-AQ83+AQ58</f>
        <v>54.0731793538069</v>
      </c>
      <c r="AR84" s="13" t="n">
        <f aca="false">AR56-AR83+AR58</f>
        <v>54.1914731500282</v>
      </c>
      <c r="AS84" s="13" t="n">
        <f aca="false">AS56-AS83+AS58</f>
        <v>54.2878937341593</v>
      </c>
      <c r="AT84" s="13" t="n">
        <f aca="false">AT56-AT83+AT58</f>
        <v>54.5495303603424</v>
      </c>
      <c r="AU84" s="13" t="n">
        <f aca="false">AU56-AU83+AU58</f>
        <v>39.6661605187162</v>
      </c>
      <c r="AV84" s="13" t="n">
        <f aca="false">AV56-AV83+AV58</f>
        <v>54.9610447661608</v>
      </c>
      <c r="AW84" s="13" t="n">
        <f aca="false">AW56-AW83+AW58</f>
        <v>54.8566412582238</v>
      </c>
      <c r="AX84" s="13" t="n">
        <f aca="false">AX56-AX83+AX58</f>
        <v>55.0263391695362</v>
      </c>
      <c r="AY84" s="13" t="n">
        <f aca="false">AY56-AY83+AY58</f>
        <v>55.2177432105046</v>
      </c>
      <c r="AZ84" s="13" t="n">
        <f aca="false">AZ56-AZ83+AZ58</f>
        <v>55.3460643786843</v>
      </c>
      <c r="BA84" s="13" t="n">
        <f aca="false">BA56-BA83+BA58</f>
        <v>55.4484212169618</v>
      </c>
      <c r="BB84" s="13" t="n">
        <f aca="false">BB56-BB83+BB58</f>
        <v>55.6860981395695</v>
      </c>
      <c r="BC84" s="13" t="n">
        <f aca="false">BC56-BC83+BC58</f>
        <v>52.4320984345962</v>
      </c>
      <c r="BD84" s="13" t="n">
        <f aca="false">BD56-BD83+BD58</f>
        <v>56.0826883006257</v>
      </c>
      <c r="BE84" s="13" t="n">
        <f aca="false">BE56-BE83+BE58</f>
        <v>56.0641788481495</v>
      </c>
      <c r="BF84" s="13" t="n">
        <f aca="false">BF56-BF83+BF58</f>
        <v>56.249421704065</v>
      </c>
      <c r="BG84" s="13" t="n">
        <f aca="false">BG56-BG83+BG58</f>
        <v>56.4570592816034</v>
      </c>
      <c r="BH84" s="13" t="n">
        <f aca="false">BH56-BH83+BH58</f>
        <v>56.5962585840198</v>
      </c>
      <c r="BI84" s="13" t="n">
        <f aca="false">BI56-BI83+BI58</f>
        <v>56.704898666833</v>
      </c>
      <c r="BJ84" s="13" t="n">
        <f aca="false">BJ56-BJ83+BJ58</f>
        <v>57.0208662174089</v>
      </c>
      <c r="BK84" s="13" t="n">
        <f aca="false">BK56-BK83+BK58</f>
        <v>39.4244218900238</v>
      </c>
      <c r="BL84" s="13" t="n">
        <f aca="false">BL56-BL83+BL58</f>
        <v>57.5110237970095</v>
      </c>
      <c r="BM84" s="13" t="n">
        <f aca="false">BM56-BM83+BM58</f>
        <v>57.3716061155998</v>
      </c>
      <c r="BN84" s="13" t="n">
        <f aca="false">BN56-BN83+BN58</f>
        <v>19.0883965104018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0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0</v>
      </c>
      <c r="R87" s="10" t="n">
        <f aca="false">Inputs!$F$44*Time!R38</f>
        <v>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0</v>
      </c>
      <c r="P88" s="13" t="n">
        <f aca="false">(1-P86)*(P56/MAX(Time!P31,1)*Inputs!$F$168+P55/MAX(Time!P31,1)*P87)</f>
        <v>39.1809623256869</v>
      </c>
      <c r="Q88" s="13" t="n">
        <f aca="false">(1-Q86)*(Q56/MAX(Time!Q31,1)*Inputs!$F$168+Q55/MAX(Time!Q31,1)*Q87)</f>
        <v>40.0893437265458</v>
      </c>
      <c r="R88" s="13" t="n">
        <f aca="false">(1-R86)*(R56/MAX(Time!R31,1)*Inputs!$F$168+R55/MAX(Time!R31,1)*R87)</f>
        <v>39.4806540575721</v>
      </c>
      <c r="S88" s="13" t="n">
        <f aca="false">(1-S86)*(S56/MAX(Time!S31,1)*Inputs!$F$168+S55/MAX(Time!S31,1)*S87)</f>
        <v>40.4560693339611</v>
      </c>
      <c r="T88" s="13" t="n">
        <f aca="false">(1-T86)*(T56/MAX(Time!T31,1)*Inputs!$F$168+T55/MAX(Time!T31,1)*T87)</f>
        <v>39.9842158401186</v>
      </c>
      <c r="U88" s="13" t="n">
        <f aca="false">(1-U86)*(U56/MAX(Time!U31,1)*Inputs!$F$168+U55/MAX(Time!U31,1)*U87)</f>
        <v>41.0568815678258</v>
      </c>
      <c r="V88" s="13" t="n">
        <f aca="false">(1-V86)*(V56/MAX(Time!V31,1)*Inputs!$F$168+V55/MAX(Time!V31,1)*V87)</f>
        <v>40.455960140644</v>
      </c>
      <c r="W88" s="13" t="n">
        <f aca="false">(1-W86)*(W56/MAX(Time!W31,1)*Inputs!$F$168+W55/MAX(Time!W31,1)*W87)</f>
        <v>41.0732780709418</v>
      </c>
      <c r="X88" s="13" t="n">
        <f aca="false">(1-X86)*(X56/MAX(Time!X31,1)*Inputs!$F$168+X55/MAX(Time!X31,1)*X87)</f>
        <v>40.7869746077725</v>
      </c>
      <c r="Y88" s="13" t="n">
        <f aca="false">(1-Y86)*(Y56/MAX(Time!Y31,1)*Inputs!$F$168+Y55/MAX(Time!Y31,1)*Y87)</f>
        <v>42.4919435497691</v>
      </c>
      <c r="Z88" s="13" t="n">
        <f aca="false">(1-Z86)*(Z56/MAX(Time!Z31,1)*Inputs!$F$168+Z55/MAX(Time!Z31,1)*Z87)</f>
        <v>41.8473303472152</v>
      </c>
      <c r="AA88" s="13" t="n">
        <f aca="false">(1-AA86)*(AA56/MAX(Time!AA31,1)*Inputs!$F$168+AA55/MAX(Time!AA31,1)*AA87)</f>
        <v>42.8881777291116</v>
      </c>
      <c r="AB88" s="13" t="n">
        <f aca="false">(1-AB86)*(AB56/MAX(Time!AB31,1)*Inputs!$F$168+AB55/MAX(Time!AB31,1)*AB87)</f>
        <v>42.3913466997486</v>
      </c>
      <c r="AC88" s="13" t="n">
        <f aca="false">(1-AC86)*(AC56/MAX(Time!AC31,1)*Inputs!$F$168+AC55/MAX(Time!AC31,1)*AC87)</f>
        <v>43.5413549658211</v>
      </c>
      <c r="AD88" s="13" t="n">
        <f aca="false">(1-AD86)*(AD56/MAX(Time!AD31,1)*Inputs!$F$168+AD55/MAX(Time!AD31,1)*AD87)</f>
        <v>42.7357872806621</v>
      </c>
      <c r="AE88" s="13" t="n">
        <f aca="false">(1-AE86)*(AE56/MAX(Time!AE31,1)*Inputs!$F$168+AE55/MAX(Time!AE31,1)*AE87)</f>
        <v>42.8120519839187</v>
      </c>
      <c r="AF88" s="13" t="n">
        <f aca="false">(1-AF86)*(AF56/MAX(Time!AF31,1)*Inputs!$F$168+AF55/MAX(Time!AF31,1)*AF87)</f>
        <v>42.9218303605379</v>
      </c>
      <c r="AG88" s="13" t="n">
        <f aca="false">(1-AG86)*(AG56/MAX(Time!AG31,1)*Inputs!$F$168+AG55/MAX(Time!AG31,1)*AG87)</f>
        <v>45.0874766827812</v>
      </c>
      <c r="AH88" s="13" t="n">
        <f aca="false">(1-AH86)*(AH56/MAX(Time!AH31,1)*Inputs!$F$168+AH55/MAX(Time!AH31,1)*AH87)</f>
        <v>44.4040512974958</v>
      </c>
      <c r="AI88" s="13" t="n">
        <f aca="false">(1-AI86)*(AI56/MAX(Time!AI31,1)*Inputs!$F$168+AI55/MAX(Time!AI31,1)*AI87)</f>
        <v>45.5156087746249</v>
      </c>
      <c r="AJ88" s="13" t="n">
        <f aca="false">(1-AJ86)*(AJ56/MAX(Time!AJ31,1)*Inputs!$F$168+AJ55/MAX(Time!AJ31,1)*AJ87)</f>
        <v>44.9917806937183</v>
      </c>
      <c r="AK88" s="13" t="n">
        <f aca="false">(1-AK86)*(AK56/MAX(Time!AK31,1)*Inputs!$F$168+AK55/MAX(Time!AK31,1)*AK87)</f>
        <v>46.2253268415193</v>
      </c>
      <c r="AL88" s="13" t="n">
        <f aca="false">(1-AL86)*(AL56/MAX(Time!AL31,1)*Inputs!$F$168+AL55/MAX(Time!AL31,1)*AL87)</f>
        <v>45.5424130591919</v>
      </c>
      <c r="AM88" s="13" t="n">
        <f aca="false">(1-AM86)*(AM56/MAX(Time!AM31,1)*Inputs!$F$168+AM55/MAX(Time!AM31,1)*AM87)</f>
        <v>46.2363564111533</v>
      </c>
      <c r="AN88" s="13" t="n">
        <f aca="false">(1-AN86)*(AN56/MAX(Time!AN31,1)*Inputs!$F$168+AN55/MAX(Time!AN31,1)*AN87)</f>
        <v>45.9289230315007</v>
      </c>
      <c r="AO88" s="13" t="n">
        <f aca="false">(1-AO86)*(AO56/MAX(Time!AO31,1)*Inputs!$F$168+AO55/MAX(Time!AO31,1)*AO87)</f>
        <v>47.8914552156177</v>
      </c>
      <c r="AP88" s="13" t="n">
        <f aca="false">(1-AP86)*(AP56/MAX(Time!AP31,1)*Inputs!$F$168+AP55/MAX(Time!AP31,1)*AP87)</f>
        <v>47.1660981684924</v>
      </c>
      <c r="AQ88" s="13" t="n">
        <f aca="false">(1-AQ86)*(AQ56/MAX(Time!AQ31,1)*Inputs!$F$168+AQ55/MAX(Time!AQ31,1)*AQ87)</f>
        <v>48.3540689255078</v>
      </c>
      <c r="AR88" s="13" t="n">
        <f aca="false">(1-AR86)*(AR56/MAX(Time!AR31,1)*Inputs!$F$168+AR55/MAX(Time!AR31,1)*AR87)</f>
        <v>47.8010618533557</v>
      </c>
      <c r="AS88" s="13" t="n">
        <f aca="false">(1-AS86)*(AS56/MAX(Time!AS31,1)*Inputs!$F$168+AS55/MAX(Time!AS31,1)*AS87)</f>
        <v>49.1248359202865</v>
      </c>
      <c r="AT88" s="13" t="n">
        <f aca="false">(1-AT86)*(AT56/MAX(Time!AT31,1)*Inputs!$F$168+AT55/MAX(Time!AT31,1)*AT87)</f>
        <v>48.2032828475597</v>
      </c>
      <c r="AU88" s="13" t="n">
        <f aca="false">(1-AU86)*(AU56/MAX(Time!AU31,1)*Inputs!$F$168+AU55/MAX(Time!AU31,1)*AU87)</f>
        <v>48.2885721578429</v>
      </c>
      <c r="AV88" s="13" t="n">
        <f aca="false">(1-AV86)*(AV56/MAX(Time!AV31,1)*Inputs!$F$168+AV55/MAX(Time!AV31,1)*AV87)</f>
        <v>48.420800426802</v>
      </c>
      <c r="AW88" s="13" t="n">
        <f aca="false">(1-AW86)*(AW56/MAX(Time!AW31,1)*Inputs!$F$168+AW55/MAX(Time!AW31,1)*AW87)</f>
        <v>50.9206382937657</v>
      </c>
      <c r="AX88" s="13" t="n">
        <f aca="false">(1-AX86)*(AX56/MAX(Time!AX31,1)*Inputs!$F$168+AX55/MAX(Time!AX31,1)*AX87)</f>
        <v>50.1499809615046</v>
      </c>
      <c r="AY88" s="13" t="n">
        <f aca="false">(1-AY86)*(AY56/MAX(Time!AY31,1)*Inputs!$F$168+AY55/MAX(Time!AY31,1)*AY87)</f>
        <v>51.4205275569009</v>
      </c>
      <c r="AZ88" s="13" t="n">
        <f aca="false">(1-AZ86)*(AZ56/MAX(Time!AZ31,1)*Inputs!$F$168+AZ55/MAX(Time!AZ31,1)*AZ87)</f>
        <v>50.8359841433507</v>
      </c>
      <c r="BA88" s="13" t="n">
        <f aca="false">(1-BA86)*(BA56/MAX(Time!BA31,1)*Inputs!$F$168+BA55/MAX(Time!BA31,1)*BA87)</f>
        <v>52.2572101921656</v>
      </c>
      <c r="BB88" s="13" t="n">
        <f aca="false">(1-BB86)*(BB56/MAX(Time!BB31,1)*Inputs!$F$168+BB55/MAX(Time!BB31,1)*BB87)</f>
        <v>51.4787443521526</v>
      </c>
      <c r="BC88" s="13" t="n">
        <f aca="false">(1-BC86)*(BC56/MAX(Time!BC31,1)*Inputs!$F$168+BC55/MAX(Time!BC31,1)*BC87)</f>
        <v>52.2623539369825</v>
      </c>
      <c r="BD88" s="13" t="n">
        <f aca="false">(1-BD86)*(BD56/MAX(Time!BD31,1)*Inputs!$F$168+BD55/MAX(Time!BD31,1)*BD87)</f>
        <v>51.9301352601338</v>
      </c>
      <c r="BE88" s="13" t="n">
        <f aca="false">(1-BE86)*(BE56/MAX(Time!BE31,1)*Inputs!$F$168+BE55/MAX(Time!BE31,1)*BE87)</f>
        <v>54.1931322508396</v>
      </c>
      <c r="BF88" s="13" t="n">
        <f aca="false">(1-BF86)*(BF56/MAX(Time!BF31,1)*Inputs!$F$168+BF55/MAX(Time!BF31,1)*BF87)</f>
        <v>53.3735371105536</v>
      </c>
      <c r="BG88" s="13" t="n">
        <f aca="false">(1-BG86)*(BG56/MAX(Time!BG31,1)*Inputs!$F$168+BG55/MAX(Time!BG31,1)*BG87)</f>
        <v>54.7333183949341</v>
      </c>
      <c r="BH88" s="13" t="n">
        <f aca="false">(1-BH86)*(BH56/MAX(Time!BH31,1)*Inputs!$F$168+BH55/MAX(Time!BH31,1)*BH87)</f>
        <v>54.1146918610221</v>
      </c>
      <c r="BI88" s="13" t="n">
        <f aca="false">(1-BI86)*(BI56/MAX(Time!BI31,1)*Inputs!$F$168+BI55/MAX(Time!BI31,1)*BI87)</f>
        <v>55.6411704213176</v>
      </c>
      <c r="BJ88" s="13" t="n">
        <f aca="false">(1-BJ86)*(BJ56/MAX(Time!BJ31,1)*Inputs!$F$168+BJ55/MAX(Time!BJ31,1)*BJ87)</f>
        <v>54.5844727308456</v>
      </c>
      <c r="BK88" s="13" t="n">
        <f aca="false">(1-BK86)*(BK56/MAX(Time!BK31,1)*Inputs!$F$168+BK55/MAX(Time!BK31,1)*BK87)</f>
        <v>54.6803145932766</v>
      </c>
      <c r="BL88" s="13" t="n">
        <f aca="false">(1-BL86)*(BL56/MAX(Time!BL31,1)*Inputs!$F$168+BL55/MAX(Time!BL31,1)*BL87)</f>
        <v>54.8389143385784</v>
      </c>
      <c r="BM88" s="13" t="n">
        <f aca="false">(1-BM86)*(BM56/MAX(Time!BM31,1)*Inputs!$F$168+BM55/MAX(Time!BM31,1)*BM87)</f>
        <v>57.7284987644055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0</v>
      </c>
      <c r="P90" s="13" t="n">
        <f aca="false">(1-P86)*(P73+P54)/MAX(Time!P31,1)*Inputs!$F$169</f>
        <v>18.981872567668</v>
      </c>
      <c r="Q90" s="13" t="n">
        <f aca="false">(1-Q86)*(Q73+Q54)/MAX(Time!Q31,1)*Inputs!$F$169</f>
        <v>19.5734858895665</v>
      </c>
      <c r="R90" s="13" t="n">
        <f aca="false">(1-R86)*(R73+R54)/MAX(Time!R31,1)*Inputs!$F$169</f>
        <v>19.1898695703999</v>
      </c>
      <c r="S90" s="13" t="n">
        <f aca="false">(1-S86)*(S73+S54)/MAX(Time!S31,1)*Inputs!$F$169</f>
        <v>19.7673961775234</v>
      </c>
      <c r="T90" s="13" t="n">
        <f aca="false">(1-T86)*(T73+T54)/MAX(Time!T31,1)*Inputs!$F$169</f>
        <v>19.5049093413048</v>
      </c>
      <c r="U90" s="13" t="n">
        <f aca="false">(1-U86)*(U73+U54)/MAX(Time!U31,1)*Inputs!$F$169</f>
        <v>20.2400036692214</v>
      </c>
      <c r="V90" s="13" t="n">
        <f aca="false">(1-V86)*(V73+V54)/MAX(Time!V31,1)*Inputs!$F$169</f>
        <v>19.7892757868369</v>
      </c>
      <c r="W90" s="13" t="n">
        <f aca="false">(1-W86)*(W73+W54)/MAX(Time!W31,1)*Inputs!$F$169</f>
        <v>20.0444416126787</v>
      </c>
      <c r="X90" s="13" t="n">
        <f aca="false">(1-X86)*(X73+X54)/MAX(Time!X31,1)*Inputs!$F$169</f>
        <v>19.9466454705594</v>
      </c>
      <c r="Y90" s="13" t="n">
        <f aca="false">(1-Y86)*(Y73+Y54)/MAX(Time!Y31,1)*Inputs!$F$169</f>
        <v>21.1608056600682</v>
      </c>
      <c r="Z90" s="13" t="n">
        <f aca="false">(1-Z86)*(Z73+Z54)/MAX(Time!Z31,1)*Inputs!$F$169</f>
        <v>20.7459263425221</v>
      </c>
      <c r="AA90" s="13" t="n">
        <f aca="false">(1-AA86)*(AA73+AA54)/MAX(Time!AA31,1)*Inputs!$F$169</f>
        <v>21.3701249165466</v>
      </c>
      <c r="AB90" s="13" t="n">
        <f aca="false">(1-AB86)*(AB73+AB54)/MAX(Time!AB31,1)*Inputs!$F$169</f>
        <v>21.0861996640739</v>
      </c>
      <c r="AC90" s="13" t="n">
        <f aca="false">(1-AC86)*(AC73+AC54)/MAX(Time!AC31,1)*Inputs!$F$169</f>
        <v>21.880727020268</v>
      </c>
      <c r="AD90" s="13" t="n">
        <f aca="false">(1-AD86)*(AD73+AD54)/MAX(Time!AD31,1)*Inputs!$F$169</f>
        <v>21.2471949362023</v>
      </c>
      <c r="AE90" s="13" t="n">
        <f aca="false">(1-AE86)*(AE73+AE54)/MAX(Time!AE31,1)*Inputs!$F$169</f>
        <v>21.2145637935237</v>
      </c>
      <c r="AF90" s="13" t="n">
        <f aca="false">(1-AF86)*(AF73+AF54)/MAX(Time!AF31,1)*Inputs!$F$169</f>
        <v>21.2651455638534</v>
      </c>
      <c r="AG90" s="13" t="n">
        <f aca="false">(1-AG86)*(AG73+AG54)/MAX(Time!AG31,1)*Inputs!$F$169</f>
        <v>22.8754936617536</v>
      </c>
      <c r="AH90" s="13" t="n">
        <f aca="false">(1-AH86)*(AH73+AH54)/MAX(Time!AH31,1)*Inputs!$F$169</f>
        <v>22.4268295858365</v>
      </c>
      <c r="AI90" s="13" t="n">
        <f aca="false">(1-AI86)*(AI73+AI54)/MAX(Time!AI31,1)*Inputs!$F$169</f>
        <v>23.1014311506159</v>
      </c>
      <c r="AJ90" s="13" t="n">
        <f aca="false">(1-AJ86)*(AJ73+AJ54)/MAX(Time!AJ31,1)*Inputs!$F$169</f>
        <v>22.79433418663</v>
      </c>
      <c r="AK90" s="13" t="n">
        <f aca="false">(1-AK86)*(AK73+AK54)/MAX(Time!AK31,1)*Inputs!$F$169</f>
        <v>23.6530480969888</v>
      </c>
      <c r="AL90" s="13" t="n">
        <f aca="false">(1-AL86)*(AL73+AL54)/MAX(Time!AL31,1)*Inputs!$F$169</f>
        <v>23.1259711090982</v>
      </c>
      <c r="AM90" s="13" t="n">
        <f aca="false">(1-AM86)*(AM73+AM54)/MAX(Time!AM31,1)*Inputs!$F$169</f>
        <v>23.4238127094044</v>
      </c>
      <c r="AN90" s="13" t="n">
        <f aca="false">(1-AN86)*(AN73+AN54)/MAX(Time!AN31,1)*Inputs!$F$169</f>
        <v>23.3091822019381</v>
      </c>
      <c r="AO90" s="13" t="n">
        <f aca="false">(1-AO86)*(AO73+AO54)/MAX(Time!AO31,1)*Inputs!$F$169</f>
        <v>24.727653532949</v>
      </c>
      <c r="AP90" s="13" t="n">
        <f aca="false">(1-AP86)*(AP73+AP54)/MAX(Time!AP31,1)*Inputs!$F$169</f>
        <v>24.2424817426379</v>
      </c>
      <c r="AQ90" s="13" t="n">
        <f aca="false">(1-AQ86)*(AQ73+AQ54)/MAX(Time!AQ31,1)*Inputs!$F$169</f>
        <v>24.9715120653825</v>
      </c>
      <c r="AR90" s="13" t="n">
        <f aca="false">(1-AR86)*(AR73+AR54)/MAX(Time!AR31,1)*Inputs!$F$169</f>
        <v>24.6393714556862</v>
      </c>
      <c r="AS90" s="13" t="n">
        <f aca="false">(1-AS86)*(AS73+AS54)/MAX(Time!AS31,1)*Inputs!$F$169</f>
        <v>25.5674011726879</v>
      </c>
      <c r="AT90" s="13" t="n">
        <f aca="false">(1-AT86)*(AT73+AT54)/MAX(Time!AT31,1)*Inputs!$F$169</f>
        <v>24.8267553529679</v>
      </c>
      <c r="AU90" s="13" t="n">
        <f aca="false">(1-AU86)*(AU73+AU54)/MAX(Time!AU31,1)*Inputs!$F$169</f>
        <v>24.7882569678701</v>
      </c>
      <c r="AV90" s="13" t="n">
        <f aca="false">(1-AV86)*(AV73+AV54)/MAX(Time!AV31,1)*Inputs!$F$169</f>
        <v>24.8469886070427</v>
      </c>
      <c r="AW90" s="13" t="n">
        <f aca="false">(1-AW86)*(AW73+AW54)/MAX(Time!AW31,1)*Inputs!$F$169</f>
        <v>26.7281801893645</v>
      </c>
      <c r="AX90" s="13" t="n">
        <f aca="false">(1-AX86)*(AX73+AX54)/MAX(Time!AX31,1)*Inputs!$F$169</f>
        <v>26.2035606726812</v>
      </c>
      <c r="AY90" s="13" t="n">
        <f aca="false">(1-AY86)*(AY73+AY54)/MAX(Time!AY31,1)*Inputs!$F$169</f>
        <v>26.9913632377895</v>
      </c>
      <c r="AZ90" s="13" t="n">
        <f aca="false">(1-AZ86)*(AZ73+AZ54)/MAX(Time!AZ31,1)*Inputs!$F$169</f>
        <v>26.6321574495346</v>
      </c>
      <c r="BA90" s="13" t="n">
        <f aca="false">(1-BA86)*(BA73+BA54)/MAX(Time!BA31,1)*Inputs!$F$169</f>
        <v>27.6350372569313</v>
      </c>
      <c r="BB90" s="13" t="n">
        <f aca="false">(1-BB86)*(BB73+BB54)/MAX(Time!BB31,1)*Inputs!$F$169</f>
        <v>27.0188223510927</v>
      </c>
      <c r="BC90" s="13" t="n">
        <f aca="false">(1-BC86)*(BC73+BC54)/MAX(Time!BC31,1)*Inputs!$F$169</f>
        <v>27.3663903957504</v>
      </c>
      <c r="BD90" s="13" t="n">
        <f aca="false">(1-BD86)*(BD73+BD54)/MAX(Time!BD31,1)*Inputs!$F$169</f>
        <v>27.2320576969325</v>
      </c>
      <c r="BE90" s="13" t="n">
        <f aca="false">(1-BE86)*(BE73+BE54)/MAX(Time!BE31,1)*Inputs!$F$169</f>
        <v>28.8888208826552</v>
      </c>
      <c r="BF90" s="13" t="n">
        <f aca="false">(1-BF86)*(BF73+BF54)/MAX(Time!BF31,1)*Inputs!$F$169</f>
        <v>28.3215794785404</v>
      </c>
      <c r="BG90" s="13" t="n">
        <f aca="false">(1-BG86)*(BG73+BG54)/MAX(Time!BG31,1)*Inputs!$F$169</f>
        <v>29.1728402242454</v>
      </c>
      <c r="BH90" s="13" t="n">
        <f aca="false">(1-BH86)*(BH73+BH54)/MAX(Time!BH31,1)*Inputs!$F$169</f>
        <v>28.784386311227</v>
      </c>
      <c r="BI90" s="13" t="n">
        <f aca="false">(1-BI86)*(BI73+BI54)/MAX(Time!BI31,1)*Inputs!$F$169</f>
        <v>29.8680870790166</v>
      </c>
      <c r="BJ90" s="13" t="n">
        <f aca="false">(1-BJ86)*(BJ73+BJ54)/MAX(Time!BJ31,1)*Inputs!$F$169</f>
        <v>29.0024213102976</v>
      </c>
      <c r="BK90" s="13" t="n">
        <f aca="false">(1-BK86)*(BK73+BK54)/MAX(Time!BK31,1)*Inputs!$F$169</f>
        <v>28.9570121336825</v>
      </c>
      <c r="BL90" s="13" t="n">
        <f aca="false">(1-BL86)*(BL73+BL54)/MAX(Time!BL31,1)*Inputs!$F$169</f>
        <v>29.0251840116346</v>
      </c>
      <c r="BM90" s="13" t="n">
        <f aca="false">(1-BM86)*(BM73+BM54)/MAX(Time!BM31,1)*Inputs!$F$169</f>
        <v>31.2222408875813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0</v>
      </c>
      <c r="P91" s="13" t="n">
        <f aca="false">(1-P86)*(P52+P53)/MAX(Time!P31,1)*Inputs!$F$170</f>
        <v>2.28118592712896</v>
      </c>
      <c r="Q91" s="13" t="n">
        <f aca="false">(1-Q86)*(Q52+Q53)/MAX(Time!Q31,1)*Inputs!$F$170</f>
        <v>2.31989649068253</v>
      </c>
      <c r="R91" s="13" t="n">
        <f aca="false">(1-R86)*(R52+R53)/MAX(Time!R31,1)*Inputs!$F$170</f>
        <v>2.31176584039505</v>
      </c>
      <c r="S91" s="13" t="n">
        <f aca="false">(1-S86)*(S52+S53)/MAX(Time!S31,1)*Inputs!$F$170</f>
        <v>2.35052824178658</v>
      </c>
      <c r="T91" s="13" t="n">
        <f aca="false">(1-T86)*(T52+T53)/MAX(Time!T31,1)*Inputs!$F$170</f>
        <v>2.34499217135609</v>
      </c>
      <c r="U91" s="13" t="n">
        <f aca="false">(1-U86)*(U52+U53)/MAX(Time!U31,1)*Inputs!$F$170</f>
        <v>2.38740764776105</v>
      </c>
      <c r="V91" s="13" t="n">
        <f aca="false">(1-V86)*(V52+V53)/MAX(Time!V31,1)*Inputs!$F$170</f>
        <v>2.37794801289102</v>
      </c>
      <c r="W91" s="13" t="n">
        <f aca="false">(1-W86)*(W52+W53)/MAX(Time!W31,1)*Inputs!$F$170</f>
        <v>2.41068044942422</v>
      </c>
      <c r="X91" s="13" t="n">
        <f aca="false">(1-X86)*(X52+X53)/MAX(Time!X31,1)*Inputs!$F$170</f>
        <v>2.40863801772481</v>
      </c>
      <c r="Y91" s="13" t="n">
        <f aca="false">(1-Y86)*(Y52+Y53)/MAX(Time!Y31,1)*Inputs!$F$170</f>
        <v>2.46170981099463</v>
      </c>
      <c r="Z91" s="13" t="n">
        <f aca="false">(1-Z86)*(Z52+Z53)/MAX(Time!Z31,1)*Inputs!$F$170</f>
        <v>2.45308770267074</v>
      </c>
      <c r="AA91" s="13" t="n">
        <f aca="false">(1-AA86)*(AA52+AA53)/MAX(Time!AA31,1)*Inputs!$F$170</f>
        <v>2.49421199960215</v>
      </c>
      <c r="AB91" s="13" t="n">
        <f aca="false">(1-AB86)*(AB52+AB53)/MAX(Time!AB31,1)*Inputs!$F$170</f>
        <v>2.48834033039226</v>
      </c>
      <c r="AC91" s="13" t="n">
        <f aca="false">(1-AC86)*(AC52+AC53)/MAX(Time!AC31,1)*Inputs!$F$170</f>
        <v>2.53333734097802</v>
      </c>
      <c r="AD91" s="13" t="n">
        <f aca="false">(1-AD86)*(AD52+AD53)/MAX(Time!AD31,1)*Inputs!$F$170</f>
        <v>2.52029990932913</v>
      </c>
      <c r="AE91" s="13" t="n">
        <f aca="false">(1-AE86)*(AE52+AE53)/MAX(Time!AE31,1)*Inputs!$F$170</f>
        <v>2.54873414824224</v>
      </c>
      <c r="AF91" s="13" t="n">
        <f aca="false">(1-AF86)*(AF52+AF53)/MAX(Time!AF31,1)*Inputs!$F$170</f>
        <v>2.5497699659389</v>
      </c>
      <c r="AG91" s="13" t="n">
        <f aca="false">(1-AG86)*(AG52+AG53)/MAX(Time!AG31,1)*Inputs!$F$170</f>
        <v>2.61216501114156</v>
      </c>
      <c r="AH91" s="13" t="n">
        <f aca="false">(1-AH86)*(AH52+AH53)/MAX(Time!AH31,1)*Inputs!$F$170</f>
        <v>2.60302226904495</v>
      </c>
      <c r="AI91" s="13" t="n">
        <f aca="false">(1-AI86)*(AI52+AI53)/MAX(Time!AI31,1)*Inputs!$F$170</f>
        <v>2.64665170557552</v>
      </c>
      <c r="AJ91" s="13" t="n">
        <f aca="false">(1-AJ86)*(AJ52+AJ53)/MAX(Time!AJ31,1)*Inputs!$F$170</f>
        <v>2.64042445179219</v>
      </c>
      <c r="AK91" s="13" t="n">
        <f aca="false">(1-AK86)*(AK52+AK53)/MAX(Time!AK31,1)*Inputs!$F$170</f>
        <v>2.68815923095673</v>
      </c>
      <c r="AL91" s="13" t="n">
        <f aca="false">(1-AL86)*(AL52+AL53)/MAX(Time!AL31,1)*Inputs!$F$170</f>
        <v>2.67752365611364</v>
      </c>
      <c r="AM91" s="13" t="n">
        <f aca="false">(1-AM86)*(AM52+AM53)/MAX(Time!AM31,1)*Inputs!$F$170</f>
        <v>2.71437986347646</v>
      </c>
      <c r="AN91" s="13" t="n">
        <f aca="false">(1-AN86)*(AN52+AN53)/MAX(Time!AN31,1)*Inputs!$F$170</f>
        <v>2.71207814079032</v>
      </c>
      <c r="AO91" s="13" t="n">
        <f aca="false">(1-AO86)*(AO52+AO53)/MAX(Time!AO31,1)*Inputs!$F$170</f>
        <v>2.77178703599751</v>
      </c>
      <c r="AP91" s="13" t="n">
        <f aca="false">(1-AP86)*(AP52+AP53)/MAX(Time!AP31,1)*Inputs!$F$170</f>
        <v>2.76209278644876</v>
      </c>
      <c r="AQ91" s="13" t="n">
        <f aca="false">(1-AQ86)*(AQ52+AQ53)/MAX(Time!AQ31,1)*Inputs!$F$170</f>
        <v>2.80837925205897</v>
      </c>
      <c r="AR91" s="13" t="n">
        <f aca="false">(1-AR86)*(AR52+AR53)/MAX(Time!AR31,1)*Inputs!$F$170</f>
        <v>2.80177526060309</v>
      </c>
      <c r="AS91" s="13" t="n">
        <f aca="false">(1-AS86)*(AS52+AS53)/MAX(Time!AS31,1)*Inputs!$F$170</f>
        <v>2.85241344251974</v>
      </c>
      <c r="AT91" s="13" t="n">
        <f aca="false">(1-AT86)*(AT52+AT53)/MAX(Time!AT31,1)*Inputs!$F$170</f>
        <v>2.83775928111615</v>
      </c>
      <c r="AU91" s="13" t="n">
        <f aca="false">(1-AU86)*(AU52+AU53)/MAX(Time!AU31,1)*Inputs!$F$170</f>
        <v>2.86979157524969</v>
      </c>
      <c r="AV91" s="13" t="n">
        <f aca="false">(1-AV86)*(AV52+AV53)/MAX(Time!AV31,1)*Inputs!$F$170</f>
        <v>2.87094792280645</v>
      </c>
      <c r="AW91" s="13" t="n">
        <f aca="false">(1-AW86)*(AW52+AW53)/MAX(Time!AW31,1)*Inputs!$F$170</f>
        <v>2.94113261315447</v>
      </c>
      <c r="AX91" s="13" t="n">
        <f aca="false">(1-AX86)*(AX52+AX53)/MAX(Time!AX31,1)*Inputs!$F$170</f>
        <v>2.93085418797993</v>
      </c>
      <c r="AY91" s="13" t="n">
        <f aca="false">(1-AY86)*(AY52+AY53)/MAX(Time!AY31,1)*Inputs!$F$170</f>
        <v>2.97995873671047</v>
      </c>
      <c r="AZ91" s="13" t="n">
        <f aca="false">(1-AZ86)*(AZ52+AZ53)/MAX(Time!AZ31,1)*Inputs!$F$170</f>
        <v>2.97295562051187</v>
      </c>
      <c r="BA91" s="13" t="n">
        <f aca="false">(1-BA86)*(BA52+BA53)/MAX(Time!BA31,1)*Inputs!$F$170</f>
        <v>3.02667280114358</v>
      </c>
      <c r="BB91" s="13" t="n">
        <f aca="false">(1-BB86)*(BB52+BB53)/MAX(Time!BB31,1)*Inputs!$F$170</f>
        <v>3.01471789761139</v>
      </c>
      <c r="BC91" s="13" t="n">
        <f aca="false">(1-BC86)*(BC52+BC53)/MAX(Time!BC31,1)*Inputs!$F$170</f>
        <v>3.05621641466548</v>
      </c>
      <c r="BD91" s="13" t="n">
        <f aca="false">(1-BD86)*(BD52+BD53)/MAX(Time!BD31,1)*Inputs!$F$170</f>
        <v>3.05362306255289</v>
      </c>
      <c r="BE91" s="13" t="n">
        <f aca="false">(1-BE86)*(BE52+BE53)/MAX(Time!BE31,1)*Inputs!$F$170</f>
        <v>3.12079217063018</v>
      </c>
      <c r="BF91" s="13" t="n">
        <f aca="false">(1-BF86)*(BF52+BF53)/MAX(Time!BF31,1)*Inputs!$F$170</f>
        <v>3.10989500527607</v>
      </c>
      <c r="BG91" s="13" t="n">
        <f aca="false">(1-BG86)*(BG52+BG53)/MAX(Time!BG31,1)*Inputs!$F$170</f>
        <v>3.16198840587128</v>
      </c>
      <c r="BH91" s="13" t="n">
        <f aca="false">(1-BH86)*(BH52+BH53)/MAX(Time!BH31,1)*Inputs!$F$170</f>
        <v>3.15456247351866</v>
      </c>
      <c r="BI91" s="13" t="n">
        <f aca="false">(1-BI86)*(BI52+BI53)/MAX(Time!BI31,1)*Inputs!$F$170</f>
        <v>3.21154480600966</v>
      </c>
      <c r="BJ91" s="13" t="n">
        <f aca="false">(1-BJ86)*(BJ52+BJ53)/MAX(Time!BJ31,1)*Inputs!$F$170</f>
        <v>3.19507730863146</v>
      </c>
      <c r="BK91" s="13" t="n">
        <f aca="false">(1-BK86)*(BK52+BK53)/MAX(Time!BK31,1)*Inputs!$F$170</f>
        <v>3.2311637571687</v>
      </c>
      <c r="BL91" s="13" t="n">
        <f aca="false">(1-BL86)*(BL52+BL53)/MAX(Time!BL31,1)*Inputs!$F$170</f>
        <v>3.23245422887442</v>
      </c>
      <c r="BM91" s="13" t="n">
        <f aca="false">(1-BM86)*(BM52+BM53)/MAX(Time!BM31,1)*Inputs!$F$170</f>
        <v>3.31139186987181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0</v>
      </c>
      <c r="P92" s="13" t="n">
        <f aca="false">(1-P86)*(P60+P61+P62+P64)/MAX(Time!P31,1)*Inputs!$F$171</f>
        <v>1.68108519206451</v>
      </c>
      <c r="Q92" s="13" t="n">
        <f aca="false">(1-Q86)*(Q60+Q61+Q62+Q64)/MAX(Time!Q31,1)*Inputs!$F$171</f>
        <v>1.71825527329156</v>
      </c>
      <c r="R92" s="13" t="n">
        <f aca="false">(1-R86)*(R60+R61+R62+R64)/MAX(Time!R31,1)*Inputs!$F$171</f>
        <v>1.70336647167902</v>
      </c>
      <c r="S92" s="13" t="n">
        <f aca="false">(1-S86)*(S60+S61+S62+S64)/MAX(Time!S31,1)*Inputs!$F$171</f>
        <v>1.73951531102996</v>
      </c>
      <c r="T92" s="13" t="n">
        <f aca="false">(1-T86)*(T60+T61+T62+T64)/MAX(Time!T31,1)*Inputs!$F$171</f>
        <v>1.73535723554703</v>
      </c>
      <c r="U92" s="13" t="n">
        <f aca="false">(1-U86)*(U60+U61+U62+U64)/MAX(Time!U31,1)*Inputs!$F$171</f>
        <v>1.78482920602872</v>
      </c>
      <c r="V92" s="13" t="n">
        <f aca="false">(1-V86)*(V60+V61+V62+V64)/MAX(Time!V31,1)*Inputs!$F$171</f>
        <v>1.76481786861064</v>
      </c>
      <c r="W92" s="13" t="n">
        <f aca="false">(1-W86)*(W60+W61+W62+W64)/MAX(Time!W31,1)*Inputs!$F$171</f>
        <v>1.77274251919636</v>
      </c>
      <c r="X92" s="13" t="n">
        <f aca="false">(1-X86)*(X60+X61+X62+X64)/MAX(Time!X31,1)*Inputs!$F$171</f>
        <v>1.78328042150744</v>
      </c>
      <c r="Y92" s="13" t="n">
        <f aca="false">(1-Y86)*(Y60+Y61+Y62+Y64)/MAX(Time!Y31,1)*Inputs!$F$171</f>
        <v>1.87452513709506</v>
      </c>
      <c r="Z92" s="13" t="n">
        <f aca="false">(1-Z86)*(Z60+Z61+Z62+Z64)/MAX(Time!Z31,1)*Inputs!$F$171</f>
        <v>1.85828224622911</v>
      </c>
      <c r="AA92" s="13" t="n">
        <f aca="false">(1-AA86)*(AA60+AA61+AA62+AA64)/MAX(Time!AA31,1)*Inputs!$F$171</f>
        <v>1.89771870779185</v>
      </c>
      <c r="AB92" s="13" t="n">
        <f aca="false">(1-AB86)*(AB60+AB61+AB62+AB64)/MAX(Time!AB31,1)*Inputs!$F$171</f>
        <v>1.89318246854041</v>
      </c>
      <c r="AC92" s="13" t="n">
        <f aca="false">(1-AC86)*(AC60+AC61+AC62+AC64)/MAX(Time!AC31,1)*Inputs!$F$171</f>
        <v>1.94715375772605</v>
      </c>
      <c r="AD92" s="13" t="n">
        <f aca="false">(1-AD86)*(AD60+AD61+AD62+AD64)/MAX(Time!AD31,1)*Inputs!$F$171</f>
        <v>1.91241598316742</v>
      </c>
      <c r="AE92" s="13" t="n">
        <f aca="false">(1-AE86)*(AE60+AE61+AE62+AE64)/MAX(Time!AE31,1)*Inputs!$F$171</f>
        <v>1.90045895433647</v>
      </c>
      <c r="AF92" s="13" t="n">
        <f aca="false">(1-AF86)*(AF60+AF61+AF62+AF64)/MAX(Time!AF31,1)*Inputs!$F$171</f>
        <v>1.91908329248295</v>
      </c>
      <c r="AG92" s="13" t="n">
        <f aca="false">(1-AG86)*(AG60+AG61+AG62+AG64)/MAX(Time!AG31,1)*Inputs!$F$171</f>
        <v>2.04500724905095</v>
      </c>
      <c r="AH92" s="13" t="n">
        <f aca="false">(1-AH86)*(AH60+AH61+AH62+AH64)/MAX(Time!AH31,1)*Inputs!$F$171</f>
        <v>2.02728711881151</v>
      </c>
      <c r="AI92" s="13" t="n">
        <f aca="false">(1-AI86)*(AI60+AI61+AI62+AI64)/MAX(Time!AI31,1)*Inputs!$F$171</f>
        <v>2.07031020139215</v>
      </c>
      <c r="AJ92" s="13" t="n">
        <f aca="false">(1-AJ86)*(AJ60+AJ61+AJ62+AJ64)/MAX(Time!AJ31,1)*Inputs!$F$171</f>
        <v>2.06536140557766</v>
      </c>
      <c r="AK92" s="13" t="n">
        <f aca="false">(1-AK86)*(AK60+AK61+AK62+AK64)/MAX(Time!AK31,1)*Inputs!$F$171</f>
        <v>2.12424121222368</v>
      </c>
      <c r="AL92" s="13" t="n">
        <f aca="false">(1-AL86)*(AL60+AL61+AL62+AL64)/MAX(Time!AL31,1)*Inputs!$F$171</f>
        <v>2.10042441927138</v>
      </c>
      <c r="AM92" s="13" t="n">
        <f aca="false">(1-AM86)*(AM60+AM61+AM62+AM64)/MAX(Time!AM31,1)*Inputs!$F$171</f>
        <v>2.10985606085915</v>
      </c>
      <c r="AN92" s="13" t="n">
        <f aca="false">(1-AN86)*(AN60+AN61+AN62+AN64)/MAX(Time!AN31,1)*Inputs!$F$171</f>
        <v>2.12239790312842</v>
      </c>
      <c r="AO92" s="13" t="n">
        <f aca="false">(1-AO86)*(AO60+AO61+AO62+AO64)/MAX(Time!AO31,1)*Inputs!$F$171</f>
        <v>2.23099416802264</v>
      </c>
      <c r="AP92" s="13" t="n">
        <f aca="false">(1-AP86)*(AP60+AP61+AP62+AP64)/MAX(Time!AP31,1)*Inputs!$F$171</f>
        <v>2.21166244817709</v>
      </c>
      <c r="AQ92" s="13" t="n">
        <f aca="false">(1-AQ86)*(AQ60+AQ61+AQ62+AQ64)/MAX(Time!AQ31,1)*Inputs!$F$171</f>
        <v>2.25859834357419</v>
      </c>
      <c r="AR92" s="13" t="n">
        <f aca="false">(1-AR86)*(AR60+AR61+AR62+AR64)/MAX(Time!AR31,1)*Inputs!$F$171</f>
        <v>2.25319947048658</v>
      </c>
      <c r="AS92" s="13" t="n">
        <f aca="false">(1-AS86)*(AS60+AS61+AS62+AS64)/MAX(Time!AS31,1)*Inputs!$F$171</f>
        <v>2.31743420867762</v>
      </c>
      <c r="AT92" s="13" t="n">
        <f aca="false">(1-AT86)*(AT60+AT61+AT62+AT64)/MAX(Time!AT31,1)*Inputs!$F$171</f>
        <v>2.27609052599407</v>
      </c>
      <c r="AU92" s="13" t="n">
        <f aca="false">(1-AU86)*(AU60+AU61+AU62+AU64)/MAX(Time!AU31,1)*Inputs!$F$171</f>
        <v>2.26185968904191</v>
      </c>
      <c r="AV92" s="13" t="n">
        <f aca="false">(1-AV86)*(AV60+AV61+AV62+AV64)/MAX(Time!AV31,1)*Inputs!$F$171</f>
        <v>2.28402572403704</v>
      </c>
      <c r="AW92" s="13" t="n">
        <f aca="false">(1-AW86)*(AW60+AW61+AW62+AW64)/MAX(Time!AW31,1)*Inputs!$F$171</f>
        <v>2.43389600699995</v>
      </c>
      <c r="AX92" s="13" t="n">
        <f aca="false">(1-AX86)*(AX60+AX61+AX62+AX64)/MAX(Time!AX31,1)*Inputs!$F$171</f>
        <v>2.41280612858837</v>
      </c>
      <c r="AY92" s="13" t="n">
        <f aca="false">(1-AY86)*(AY60+AY61+AY62+AY64)/MAX(Time!AY31,1)*Inputs!$F$171</f>
        <v>2.46401069470932</v>
      </c>
      <c r="AZ92" s="13" t="n">
        <f aca="false">(1-AZ86)*(AZ60+AZ61+AZ62+AZ64)/MAX(Time!AZ31,1)*Inputs!$F$171</f>
        <v>2.45812081124903</v>
      </c>
      <c r="BA92" s="13" t="n">
        <f aca="false">(1-BA86)*(BA60+BA61+BA62+BA64)/MAX(Time!BA31,1)*Inputs!$F$171</f>
        <v>2.52819749501393</v>
      </c>
      <c r="BB92" s="13" t="n">
        <f aca="false">(1-BB86)*(BB60+BB61+BB62+BB64)/MAX(Time!BB31,1)*Inputs!$F$171</f>
        <v>2.49985158216054</v>
      </c>
      <c r="BC92" s="13" t="n">
        <f aca="false">(1-BC86)*(BC60+BC61+BC62+BC64)/MAX(Time!BC31,1)*Inputs!$F$171</f>
        <v>2.5110767916607</v>
      </c>
      <c r="BD92" s="13" t="n">
        <f aca="false">(1-BD86)*(BD60+BD61+BD62+BD64)/MAX(Time!BD31,1)*Inputs!$F$171</f>
        <v>2.52600365308565</v>
      </c>
      <c r="BE92" s="13" t="n">
        <f aca="false">(1-BE86)*(BE60+BE61+BE62+BE64)/MAX(Time!BE31,1)*Inputs!$F$171</f>
        <v>2.65525112427374</v>
      </c>
      <c r="BF92" s="13" t="n">
        <f aca="false">(1-BF86)*(BF60+BF61+BF62+BF64)/MAX(Time!BF31,1)*Inputs!$F$171</f>
        <v>2.6322431883545</v>
      </c>
      <c r="BG92" s="13" t="n">
        <f aca="false">(1-BG86)*(BG60+BG61+BG62+BG64)/MAX(Time!BG31,1)*Inputs!$F$171</f>
        <v>2.68810464725397</v>
      </c>
      <c r="BH92" s="13" t="n">
        <f aca="false">(1-BH86)*(BH60+BH61+BH62+BH64)/MAX(Time!BH31,1)*Inputs!$F$171</f>
        <v>2.68167909758596</v>
      </c>
      <c r="BI92" s="13" t="n">
        <f aca="false">(1-BI86)*(BI60+BI61+BI62+BI64)/MAX(Time!BI31,1)*Inputs!$F$171</f>
        <v>2.75812903333381</v>
      </c>
      <c r="BJ92" s="13" t="n">
        <f aca="false">(1-BJ86)*(BJ60+BJ61+BJ62+BJ64)/MAX(Time!BJ31,1)*Inputs!$F$171</f>
        <v>2.70892323015397</v>
      </c>
      <c r="BK92" s="13" t="n">
        <f aca="false">(1-BK86)*(BK60+BK61+BK62+BK64)/MAX(Time!BK31,1)*Inputs!$F$171</f>
        <v>2.69198618640989</v>
      </c>
      <c r="BL92" s="13" t="n">
        <f aca="false">(1-BL86)*(BL60+BL61+BL62+BL64)/MAX(Time!BL31,1)*Inputs!$F$171</f>
        <v>2.71836742495596</v>
      </c>
      <c r="BM92" s="13" t="n">
        <f aca="false">(1-BM86)*(BM60+BM61+BM62+BM64)/MAX(Time!BM31,1)*Inputs!$F$171</f>
        <v>2.89673778693911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0</v>
      </c>
      <c r="P93" s="13" t="n">
        <f aca="false">(1-P86)*(P65+P66+P67+P68+P69+P70+P71)/MAX(Time!P31,1)*Inputs!$F$172</f>
        <v>1.1809715928726</v>
      </c>
      <c r="Q93" s="13" t="n">
        <f aca="false">(1-Q86)*(Q65+Q66+Q67+Q68+Q69+Q70+Q71)/MAX(Time!Q31,1)*Inputs!$F$172</f>
        <v>1.20598486595401</v>
      </c>
      <c r="R93" s="13" t="n">
        <f aca="false">(1-R86)*(R65+R66+R67+R68+R69+R70+R71)/MAX(Time!R31,1)*Inputs!$F$172</f>
        <v>1.19697757274406</v>
      </c>
      <c r="S93" s="13" t="n">
        <f aca="false">(1-S86)*(S65+S66+S67+S68+S69+S70+S71)/MAX(Time!S31,1)*Inputs!$F$172</f>
        <v>1.22657253614178</v>
      </c>
      <c r="T93" s="13" t="n">
        <f aca="false">(1-T86)*(T65+T66+T67+T68+T69+T70+T71)/MAX(Time!T31,1)*Inputs!$F$172</f>
        <v>1.21977153593409</v>
      </c>
      <c r="U93" s="13" t="n">
        <f aca="false">(1-U86)*(U65+U66+U67+U68+U69+U70+U71)/MAX(Time!U31,1)*Inputs!$F$172</f>
        <v>1.24787082333884</v>
      </c>
      <c r="V93" s="13" t="n">
        <f aca="false">(1-V86)*(V65+V66+V67+V68+V69+V70+V71)/MAX(Time!V31,1)*Inputs!$F$172</f>
        <v>1.24236729965708</v>
      </c>
      <c r="W93" s="13" t="n">
        <f aca="false">(1-W86)*(W65+W66+W67+W68+W69+W70+W71)/MAX(Time!W31,1)*Inputs!$F$172</f>
        <v>1.26682576650295</v>
      </c>
      <c r="X93" s="13" t="n">
        <f aca="false">(1-X86)*(X65+X66+X67+X68+X69+X70+X71)/MAX(Time!X31,1)*Inputs!$F$172</f>
        <v>1.26296832056571</v>
      </c>
      <c r="Y93" s="13" t="n">
        <f aca="false">(1-Y86)*(Y65+Y66+Y67+Y68+Y69+Y70+Y71)/MAX(Time!Y31,1)*Inputs!$F$172</f>
        <v>1.30566487853674</v>
      </c>
      <c r="Z93" s="13" t="n">
        <f aca="false">(1-Z86)*(Z65+Z66+Z67+Z68+Z69+Z70+Z71)/MAX(Time!Z31,1)*Inputs!$F$172</f>
        <v>1.29598348334859</v>
      </c>
      <c r="AA93" s="13" t="n">
        <f aca="false">(1-AA86)*(AA65+AA66+AA67+AA68+AA69+AA70+AA71)/MAX(Time!AA31,1)*Inputs!$F$172</f>
        <v>1.32809603032811</v>
      </c>
      <c r="AB93" s="13" t="n">
        <f aca="false">(1-AB86)*(AB65+AB66+AB67+AB68+AB69+AB70+AB71)/MAX(Time!AB31,1)*Inputs!$F$172</f>
        <v>1.32080650099895</v>
      </c>
      <c r="AC93" s="13" t="n">
        <f aca="false">(1-AC86)*(AC65+AC66+AC67+AC68+AC69+AC70+AC71)/MAX(Time!AC31,1)*Inputs!$F$172</f>
        <v>1.35131032414771</v>
      </c>
      <c r="AD93" s="13" t="n">
        <f aca="false">(1-AD86)*(AD65+AD66+AD67+AD68+AD69+AD70+AD71)/MAX(Time!AD31,1)*Inputs!$F$172</f>
        <v>1.3426752170156</v>
      </c>
      <c r="AE93" s="13" t="n">
        <f aca="false">(1-AE86)*(AE65+AE66+AE67+AE68+AE69+AE70+AE71)/MAX(Time!AE31,1)*Inputs!$F$172</f>
        <v>1.36267668970368</v>
      </c>
      <c r="AF93" s="13" t="n">
        <f aca="false">(1-AF86)*(AF65+AF66+AF67+AF68+AF69+AF70+AF71)/MAX(Time!AF31,1)*Inputs!$F$172</f>
        <v>1.3622711104418</v>
      </c>
      <c r="AG93" s="13" t="n">
        <f aca="false">(1-AG86)*(AG65+AG66+AG67+AG68+AG69+AG70+AG71)/MAX(Time!AG31,1)*Inputs!$F$172</f>
        <v>1.41419491443296</v>
      </c>
      <c r="AH93" s="13" t="n">
        <f aca="false">(1-AH86)*(AH65+AH66+AH67+AH68+AH69+AH70+AH71)/MAX(Time!AH31,1)*Inputs!$F$172</f>
        <v>1.40377999016716</v>
      </c>
      <c r="AI93" s="13" t="n">
        <f aca="false">(1-AI86)*(AI65+AI66+AI67+AI68+AI69+AI70+AI71)/MAX(Time!AI31,1)*Inputs!$F$172</f>
        <v>1.43863457811479</v>
      </c>
      <c r="AJ93" s="13" t="n">
        <f aca="false">(1-AJ86)*(AJ65+AJ66+AJ67+AJ68+AJ69+AJ70+AJ71)/MAX(Time!AJ31,1)*Inputs!$F$172</f>
        <v>1.43081259812251</v>
      </c>
      <c r="AK93" s="13" t="n">
        <f aca="false">(1-AK86)*(AK65+AK66+AK67+AK68+AK69+AK70+AK71)/MAX(Time!AK31,1)*Inputs!$F$172</f>
        <v>1.46393341000173</v>
      </c>
      <c r="AL93" s="13" t="n">
        <f aca="false">(1-AL86)*(AL65+AL66+AL67+AL68+AL69+AL70+AL71)/MAX(Time!AL31,1)*Inputs!$F$172</f>
        <v>1.45761711879529</v>
      </c>
      <c r="AM93" s="13" t="n">
        <f aca="false">(1-AM86)*(AM65+AM66+AM67+AM68+AM69+AM70+AM71)/MAX(Time!AM31,1)*Inputs!$F$172</f>
        <v>1.48644507177081</v>
      </c>
      <c r="AN93" s="13" t="n">
        <f aca="false">(1-AN86)*(AN65+AN66+AN67+AN68+AN69+AN70+AN71)/MAX(Time!AN31,1)*Inputs!$F$172</f>
        <v>1.48208133000961</v>
      </c>
      <c r="AO93" s="13" t="n">
        <f aca="false">(1-AO86)*(AO65+AO66+AO67+AO68+AO69+AO70+AO71)/MAX(Time!AO31,1)*Inputs!$F$172</f>
        <v>1.53236025090735</v>
      </c>
      <c r="AP93" s="13" t="n">
        <f aca="false">(1-AP86)*(AP65+AP66+AP67+AP68+AP69+AP70+AP71)/MAX(Time!AP31,1)*Inputs!$F$172</f>
        <v>1.52114713676899</v>
      </c>
      <c r="AQ93" s="13" t="n">
        <f aca="false">(1-AQ86)*(AQ65+AQ66+AQ67+AQ68+AQ69+AQ70+AQ71)/MAX(Time!AQ31,1)*Inputs!$F$172</f>
        <v>1.5589882266923</v>
      </c>
      <c r="AR93" s="13" t="n">
        <f aca="false">(1-AR86)*(AR65+AR66+AR67+AR68+AR69+AR70+AR71)/MAX(Time!AR31,1)*Inputs!$F$172</f>
        <v>1.55058592622888</v>
      </c>
      <c r="AS93" s="13" t="n">
        <f aca="false">(1-AS86)*(AS65+AS66+AS67+AS68+AS69+AS70+AS71)/MAX(Time!AS31,1)*Inputs!$F$172</f>
        <v>1.5865549349776</v>
      </c>
      <c r="AT93" s="13" t="n">
        <f aca="false">(1-AT86)*(AT65+AT66+AT67+AT68+AT69+AT70+AT71)/MAX(Time!AT31,1)*Inputs!$F$172</f>
        <v>1.57655668850388</v>
      </c>
      <c r="AU93" s="13" t="n">
        <f aca="false">(1-AU86)*(AU65+AU66+AU67+AU68+AU69+AU70+AU71)/MAX(Time!AU31,1)*Inputs!$F$172</f>
        <v>1.60026210211059</v>
      </c>
      <c r="AV93" s="13" t="n">
        <f aca="false">(1-AV86)*(AV65+AV66+AV67+AV68+AV69+AV70+AV71)/MAX(Time!AV31,1)*Inputs!$F$172</f>
        <v>1.59986099213649</v>
      </c>
      <c r="AW93" s="13" t="n">
        <f aca="false">(1-AW86)*(AW65+AW66+AW67+AW68+AW69+AW70+AW71)/MAX(Time!AW31,1)*Inputs!$F$172</f>
        <v>1.66101580075362</v>
      </c>
      <c r="AX93" s="13" t="n">
        <f aca="false">(1-AX86)*(AX65+AX66+AX67+AX68+AX69+AX70+AX71)/MAX(Time!AX31,1)*Inputs!$F$172</f>
        <v>1.64893414181716</v>
      </c>
      <c r="AY93" s="13" t="n">
        <f aca="false">(1-AY86)*(AY65+AY66+AY67+AY68+AY69+AY70+AY71)/MAX(Time!AY31,1)*Inputs!$F$172</f>
        <v>1.69002798031672</v>
      </c>
      <c r="AZ93" s="13" t="n">
        <f aca="false">(1-AZ86)*(AZ65+AZ66+AZ67+AZ68+AZ69+AZ70+AZ71)/MAX(Time!AZ31,1)*Inputs!$F$172</f>
        <v>1.68099318643248</v>
      </c>
      <c r="BA93" s="13" t="n">
        <f aca="false">(1-BA86)*(BA65+BA66+BA67+BA68+BA69+BA70+BA71)/MAX(Time!BA31,1)*Inputs!$F$172</f>
        <v>1.7200620095178</v>
      </c>
      <c r="BB93" s="13" t="n">
        <f aca="false">(1-BB86)*(BB65+BB66+BB67+BB68+BB69+BB70+BB71)/MAX(Time!BB31,1)*Inputs!$F$172</f>
        <v>1.71279005614975</v>
      </c>
      <c r="BC93" s="13" t="n">
        <f aca="false">(1-BC86)*(BC65+BC66+BC67+BC68+BC69+BC70+BC71)/MAX(Time!BC31,1)*Inputs!$F$172</f>
        <v>1.7468143246314</v>
      </c>
      <c r="BD93" s="13" t="n">
        <f aca="false">(1-BD86)*(BD65+BD66+BD67+BD68+BD69+BD70+BD71)/MAX(Time!BD31,1)*Inputs!$F$172</f>
        <v>1.74184175574147</v>
      </c>
      <c r="BE93" s="13" t="n">
        <f aca="false">(1-BE86)*(BE65+BE66+BE67+BE68+BE69+BE70+BE71)/MAX(Time!BE31,1)*Inputs!$F$172</f>
        <v>1.80109228327155</v>
      </c>
      <c r="BF93" s="13" t="n">
        <f aca="false">(1-BF86)*(BF65+BF66+BF67+BF68+BF69+BF70+BF71)/MAX(Time!BF31,1)*Inputs!$F$172</f>
        <v>1.78806552958507</v>
      </c>
      <c r="BG93" s="13" t="n">
        <f aca="false">(1-BG86)*(BG65+BG66+BG67+BG68+BG69+BG70+BG71)/MAX(Time!BG31,1)*Inputs!$F$172</f>
        <v>1.83270208949904</v>
      </c>
      <c r="BH93" s="13" t="n">
        <f aca="false">(1-BH86)*(BH65+BH66+BH67+BH68+BH69+BH70+BH71)/MAX(Time!BH31,1)*Inputs!$F$172</f>
        <v>1.82297793933527</v>
      </c>
      <c r="BI93" s="13" t="n">
        <f aca="false">(1-BI86)*(BI65+BI66+BI67+BI68+BI69+BI70+BI71)/MAX(Time!BI31,1)*Inputs!$F$172</f>
        <v>1.86542040348184</v>
      </c>
      <c r="BJ93" s="13" t="n">
        <f aca="false">(1-BJ86)*(BJ65+BJ66+BJ67+BJ68+BJ69+BJ70+BJ71)/MAX(Time!BJ31,1)*Inputs!$F$172</f>
        <v>1.85382004671252</v>
      </c>
      <c r="BK93" s="13" t="n">
        <f aca="false">(1-BK86)*(BK65+BK66+BK67+BK68+BK69+BK70+BK71)/MAX(Time!BK31,1)*Inputs!$F$172</f>
        <v>1.88194496848769</v>
      </c>
      <c r="BL93" s="13" t="n">
        <f aca="false">(1-BL86)*(BL65+BL66+BL67+BL68+BL69+BL70+BL71)/MAX(Time!BL31,1)*Inputs!$F$172</f>
        <v>1.88153453925744</v>
      </c>
      <c r="BM93" s="13" t="n">
        <f aca="false">(1-BM86)*(BM65+BM66+BM67+BM68+BM69+BM70+BM71)/MAX(Time!BM31,1)*Inputs!$F$172</f>
        <v>1.95360294172753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0</v>
      </c>
      <c r="P95" s="13" t="n">
        <f aca="false">P88+P89-P90-P91-P92-P93-P94</f>
        <v>15.0558470459528</v>
      </c>
      <c r="Q95" s="13" t="n">
        <f aca="false">Q88+Q89-Q90-Q91-Q92-Q93-Q94</f>
        <v>15.2717212070512</v>
      </c>
      <c r="R95" s="13" t="n">
        <f aca="false">R88+R89-R90-R91-R92-R93-R94</f>
        <v>15.0786746023541</v>
      </c>
      <c r="S95" s="13" t="n">
        <f aca="false">S88+S89-S90-S91-S92-S93-S94</f>
        <v>15.3720570674794</v>
      </c>
      <c r="T95" s="13" t="n">
        <f aca="false">T88+T89-T90-T91-T92-T93-T94</f>
        <v>15.1791855559765</v>
      </c>
      <c r="U95" s="13" t="n">
        <f aca="false">U88+U89-U90-U91-U92-U93-U94</f>
        <v>15.3967702214758</v>
      </c>
      <c r="V95" s="13" t="n">
        <f aca="false">V88+V89-V90-V91-V92-V93-V94</f>
        <v>15.2815511726484</v>
      </c>
      <c r="W95" s="13" t="n">
        <f aca="false">W88+W89-W90-W91-W92-W93-W94</f>
        <v>15.5785877231396</v>
      </c>
      <c r="X95" s="13" t="n">
        <f aca="false">X88+X89-X90-X91-X92-X93-X94</f>
        <v>15.3854423774152</v>
      </c>
      <c r="Y95" s="13" t="n">
        <f aca="false">Y88+Y89-Y90-Y91-Y92-Y93-Y94</f>
        <v>15.6892380630745</v>
      </c>
      <c r="Z95" s="13" t="n">
        <f aca="false">Z88+Z89-Z90-Z91-Z92-Z93-Z94</f>
        <v>15.4940505724447</v>
      </c>
      <c r="AA95" s="13" t="n">
        <f aca="false">AA88+AA89-AA90-AA91-AA92-AA93-AA94</f>
        <v>15.7980260748429</v>
      </c>
      <c r="AB95" s="13" t="n">
        <f aca="false">AB88+AB89-AB90-AB91-AB92-AB93-AB94</f>
        <v>15.602817735743</v>
      </c>
      <c r="AC95" s="13" t="n">
        <f aca="false">AC88+AC89-AC90-AC91-AC92-AC93-AC94</f>
        <v>15.8288265227014</v>
      </c>
      <c r="AD95" s="13" t="n">
        <f aca="false">AD88+AD89-AD90-AD91-AD92-AD93-AD94</f>
        <v>15.7132012349477</v>
      </c>
      <c r="AE95" s="13" t="n">
        <f aca="false">AE88+AE89-AE90-AE91-AE92-AE93-AE94</f>
        <v>15.7856183981126</v>
      </c>
      <c r="AF95" s="13" t="n">
        <f aca="false">AF88+AF89-AF90-AF91-AF92-AF93-AF94</f>
        <v>15.8255604278208</v>
      </c>
      <c r="AG95" s="13" t="n">
        <f aca="false">AG88+AG89-AG90-AG91-AG92-AG93-AG94</f>
        <v>16.1406158464022</v>
      </c>
      <c r="AH95" s="13" t="n">
        <f aca="false">AH88+AH89-AH90-AH91-AH92-AH93-AH94</f>
        <v>15.9431323336356</v>
      </c>
      <c r="AI95" s="13" t="n">
        <f aca="false">AI88+AI89-AI90-AI91-AI92-AI93-AI94</f>
        <v>16.2585811389265</v>
      </c>
      <c r="AJ95" s="13" t="n">
        <f aca="false">AJ88+AJ89-AJ90-AJ91-AJ92-AJ93-AJ94</f>
        <v>16.0608480515959</v>
      </c>
      <c r="AK95" s="13" t="n">
        <f aca="false">AK88+AK89-AK90-AK91-AK92-AK93-AK94</f>
        <v>16.2959448913484</v>
      </c>
      <c r="AL95" s="13" t="n">
        <f aca="false">AL88+AL89-AL90-AL91-AL92-AL93-AL94</f>
        <v>16.1808767559133</v>
      </c>
      <c r="AM95" s="13" t="n">
        <f aca="false">AM88+AM89-AM90-AM91-AM92-AM93-AM94</f>
        <v>16.5018627056425</v>
      </c>
      <c r="AN95" s="13" t="n">
        <f aca="false">AN88+AN89-AN90-AN91-AN92-AN93-AN94</f>
        <v>16.3031834556342</v>
      </c>
      <c r="AO95" s="13" t="n">
        <f aca="false">AO88+AO89-AO90-AO91-AO92-AO93-AO94</f>
        <v>16.6286602277412</v>
      </c>
      <c r="AP95" s="13" t="n">
        <f aca="false">AP88+AP89-AP90-AP91-AP92-AP93-AP94</f>
        <v>16.4287140544597</v>
      </c>
      <c r="AQ95" s="13" t="n">
        <f aca="false">AQ88+AQ89-AQ90-AQ91-AQ92-AQ93-AQ94</f>
        <v>16.7565910377998</v>
      </c>
      <c r="AR95" s="13" t="n">
        <f aca="false">AR88+AR89-AR90-AR91-AR92-AR93-AR94</f>
        <v>16.5561297403509</v>
      </c>
      <c r="AS95" s="13" t="n">
        <f aca="false">AS88+AS89-AS90-AS91-AS92-AS93-AS94</f>
        <v>16.8010321614236</v>
      </c>
      <c r="AT95" s="13" t="n">
        <f aca="false">AT88+AT89-AT90-AT91-AT92-AT93-AT94</f>
        <v>16.6861209989777</v>
      </c>
      <c r="AU95" s="13" t="n">
        <f aca="false">AU88+AU89-AU90-AU91-AU92-AU93-AU94</f>
        <v>16.7684018235705</v>
      </c>
      <c r="AV95" s="13" t="n">
        <f aca="false">AV88+AV89-AV90-AV91-AV92-AV93-AV94</f>
        <v>16.8189771807793</v>
      </c>
      <c r="AW95" s="13" t="n">
        <f aca="false">AW88+AW89-AW90-AW91-AW92-AW93-AW94</f>
        <v>17.1564136834931</v>
      </c>
      <c r="AX95" s="13" t="n">
        <f aca="false">AX88+AX89-AX90-AX91-AX92-AX93-AX94</f>
        <v>16.953825830438</v>
      </c>
      <c r="AY95" s="13" t="n">
        <f aca="false">AY88+AY89-AY90-AY91-AY92-AY93-AY94</f>
        <v>17.2951669073749</v>
      </c>
      <c r="AZ95" s="13" t="n">
        <f aca="false">AZ88+AZ89-AZ90-AZ91-AZ92-AZ93-AZ94</f>
        <v>17.0917570756227</v>
      </c>
      <c r="BA95" s="13" t="n">
        <f aca="false">BA88+BA89-BA90-BA91-BA92-BA93-BA94</f>
        <v>17.347240629559</v>
      </c>
      <c r="BB95" s="13" t="n">
        <f aca="false">BB88+BB89-BB90-BB91-BB92-BB93-BB94</f>
        <v>17.2325624651382</v>
      </c>
      <c r="BC95" s="13" t="n">
        <f aca="false">BC88+BC89-BC90-BC91-BC92-BC93-BC94</f>
        <v>17.5818560102746</v>
      </c>
      <c r="BD95" s="13" t="n">
        <f aca="false">BD88+BD89-BD90-BD91-BD92-BD93-BD94</f>
        <v>17.3766090918213</v>
      </c>
      <c r="BE95" s="13" t="n">
        <f aca="false">BE88+BE89-BE90-BE91-BE92-BE93-BE94</f>
        <v>17.7271757900089</v>
      </c>
      <c r="BF95" s="13" t="n">
        <f aca="false">BF88+BF89-BF90-BF91-BF92-BF93-BF94</f>
        <v>17.5217539087976</v>
      </c>
      <c r="BG95" s="13" t="n">
        <f aca="false">BG88+BG89-BG90-BG91-BG92-BG93-BG94</f>
        <v>17.8776830280644</v>
      </c>
      <c r="BH95" s="13" t="n">
        <f aca="false">BH88+BH89-BH90-BH91-BH92-BH93-BH94</f>
        <v>17.6710860393552</v>
      </c>
      <c r="BI95" s="13" t="n">
        <f aca="false">BI88+BI89-BI90-BI91-BI92-BI93-BI94</f>
        <v>17.9379890994758</v>
      </c>
      <c r="BJ95" s="13" t="n">
        <f aca="false">BJ88+BJ89-BJ90-BJ91-BJ92-BJ93-BJ94</f>
        <v>17.8242308350501</v>
      </c>
      <c r="BK95" s="13" t="n">
        <f aca="false">BK88+BK89-BK90-BK91-BK92-BK93-BK94</f>
        <v>17.9182075475277</v>
      </c>
      <c r="BL95" s="13" t="n">
        <f aca="false">BL88+BL89-BL90-BL91-BL92-BL93-BL94</f>
        <v>17.981374133856</v>
      </c>
      <c r="BM95" s="13" t="n">
        <f aca="false">BM88+BM89-BM90-BM91-BM92-BM93-BM94</f>
        <v>18.3445252782858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0</v>
      </c>
      <c r="P96" s="13" t="n">
        <f aca="false">P95-O95</f>
        <v>15.0558470459528</v>
      </c>
      <c r="Q96" s="13" t="n">
        <f aca="false">Q95-P95</f>
        <v>0.215874161098427</v>
      </c>
      <c r="R96" s="13" t="n">
        <f aca="false">R95-Q95</f>
        <v>-0.193046604697125</v>
      </c>
      <c r="S96" s="13" t="n">
        <f aca="false">S95-R95</f>
        <v>0.293382465125317</v>
      </c>
      <c r="T96" s="13" t="n">
        <f aca="false">T95-S95</f>
        <v>-0.192871511502885</v>
      </c>
      <c r="U96" s="13" t="n">
        <f aca="false">U95-T95</f>
        <v>0.217584665499288</v>
      </c>
      <c r="V96" s="13" t="n">
        <f aca="false">V95-U95</f>
        <v>-0.115219048827461</v>
      </c>
      <c r="W96" s="13" t="n">
        <f aca="false">W95-V95</f>
        <v>0.297036550491288</v>
      </c>
      <c r="X96" s="13" t="n">
        <f aca="false">X95-W95</f>
        <v>-0.193145345724462</v>
      </c>
      <c r="Y96" s="13" t="n">
        <f aca="false">Y95-X95</f>
        <v>0.303795685659312</v>
      </c>
      <c r="Z96" s="13" t="n">
        <f aca="false">Z95-Y95</f>
        <v>-0.195187490629834</v>
      </c>
      <c r="AA96" s="13" t="n">
        <f aca="false">AA95-Z95</f>
        <v>0.303975502398245</v>
      </c>
      <c r="AB96" s="13" t="n">
        <f aca="false">AB95-AA95</f>
        <v>-0.195208339099855</v>
      </c>
      <c r="AC96" s="13" t="n">
        <f aca="false">AC95-AB95</f>
        <v>0.226008786958307</v>
      </c>
      <c r="AD96" s="13" t="n">
        <f aca="false">AD95-AC95</f>
        <v>-0.1156252877537</v>
      </c>
      <c r="AE96" s="13" t="n">
        <f aca="false">AE95-AD95</f>
        <v>0.0724171631649284</v>
      </c>
      <c r="AF96" s="13" t="n">
        <f aca="false">AF95-AE95</f>
        <v>0.0399420297082536</v>
      </c>
      <c r="AG96" s="13" t="n">
        <f aca="false">AG95-AF95</f>
        <v>0.315055418581323</v>
      </c>
      <c r="AH96" s="13" t="n">
        <f aca="false">AH95-AG95</f>
        <v>-0.197483512766553</v>
      </c>
      <c r="AI96" s="13" t="n">
        <f aca="false">AI95-AH95</f>
        <v>0.315448805290849</v>
      </c>
      <c r="AJ96" s="13" t="n">
        <f aca="false">AJ95-AI95</f>
        <v>-0.197733087330512</v>
      </c>
      <c r="AK96" s="13" t="n">
        <f aca="false">AK95-AJ95</f>
        <v>0.235096839752455</v>
      </c>
      <c r="AL96" s="13" t="n">
        <f aca="false">AL95-AK95</f>
        <v>-0.115068135435106</v>
      </c>
      <c r="AM96" s="13" t="n">
        <f aca="false">AM95-AL95</f>
        <v>0.320985949729216</v>
      </c>
      <c r="AN96" s="13" t="n">
        <f aca="false">AN95-AM95</f>
        <v>-0.198679250008347</v>
      </c>
      <c r="AO96" s="13" t="n">
        <f aca="false">AO95-AN95</f>
        <v>0.325476772107031</v>
      </c>
      <c r="AP96" s="13" t="n">
        <f aca="false">AP95-AO95</f>
        <v>-0.199946173281493</v>
      </c>
      <c r="AQ96" s="13" t="n">
        <f aca="false">AQ95-AP95</f>
        <v>0.327876983340101</v>
      </c>
      <c r="AR96" s="13" t="n">
        <f aca="false">AR95-AQ95</f>
        <v>-0.200461297448854</v>
      </c>
      <c r="AS96" s="13" t="n">
        <f aca="false">AS95-AR95</f>
        <v>0.244902421072624</v>
      </c>
      <c r="AT96" s="13" t="n">
        <f aca="false">AT95-AS95</f>
        <v>-0.114911162445825</v>
      </c>
      <c r="AU96" s="13" t="n">
        <f aca="false">AU95-AT95</f>
        <v>0.0822808245927966</v>
      </c>
      <c r="AV96" s="13" t="n">
        <f aca="false">AV95-AU95</f>
        <v>0.0505753572087642</v>
      </c>
      <c r="AW96" s="13" t="n">
        <f aca="false">AW95-AV95</f>
        <v>0.337436502713789</v>
      </c>
      <c r="AX96" s="13" t="n">
        <f aca="false">AX95-AW95</f>
        <v>-0.2025878530551</v>
      </c>
      <c r="AY96" s="13" t="n">
        <f aca="false">AY95-AX95</f>
        <v>0.341341076936917</v>
      </c>
      <c r="AZ96" s="13" t="n">
        <f aca="false">AZ95-AY95</f>
        <v>-0.203409831752175</v>
      </c>
      <c r="BA96" s="13" t="n">
        <f aca="false">BA95-AZ95</f>
        <v>0.255483553936251</v>
      </c>
      <c r="BB96" s="13" t="n">
        <f aca="false">BB95-BA95</f>
        <v>-0.114678164420837</v>
      </c>
      <c r="BC96" s="13" t="n">
        <f aca="false">BC95-BB95</f>
        <v>0.34929354513644</v>
      </c>
      <c r="BD96" s="13" t="n">
        <f aca="false">BD95-BC95</f>
        <v>-0.205246918453305</v>
      </c>
      <c r="BE96" s="13" t="n">
        <f aca="false">BE95-BD95</f>
        <v>0.350566698187595</v>
      </c>
      <c r="BF96" s="13" t="n">
        <f aca="false">BF95-BE95</f>
        <v>-0.205421881211247</v>
      </c>
      <c r="BG96" s="13" t="n">
        <f aca="false">BG95-BF95</f>
        <v>0.355929119266726</v>
      </c>
      <c r="BH96" s="13" t="n">
        <f aca="false">BH95-BG95</f>
        <v>-0.206596988709137</v>
      </c>
      <c r="BI96" s="13" t="n">
        <f aca="false">BI95-BH95</f>
        <v>0.266903060120537</v>
      </c>
      <c r="BJ96" s="13" t="n">
        <f aca="false">BJ95-BI95</f>
        <v>-0.113758264425687</v>
      </c>
      <c r="BK96" s="13" t="n">
        <f aca="false">BK95-BJ95</f>
        <v>0.0939767124776516</v>
      </c>
      <c r="BL96" s="13" t="n">
        <f aca="false">BL95-BK95</f>
        <v>0.063166586328304</v>
      </c>
      <c r="BM96" s="13" t="n">
        <f aca="false">BM95-BL95</f>
        <v>0.363151144429725</v>
      </c>
      <c r="BN96" s="13" t="n">
        <f aca="false">BN95-BM95</f>
        <v>-18.3445252782858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0</v>
      </c>
      <c r="BN97" s="13" t="n">
        <f aca="false">Time!BN37*Inputs!$F$67*Inputs!$F$36</f>
        <v>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0</v>
      </c>
      <c r="P7" s="10" t="n">
        <f aca="false">MAX(0,MIN(Time!P33,Inputs!$F$228*12)-MIN(Time!P32,Inputs!$F$228*12))</f>
        <v>2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6</v>
      </c>
      <c r="Z7" s="10" t="n">
        <f aca="false">MAX(0,MIN(Time!Z33,Inputs!$F$228*12)-MIN(Time!Z32,Inputs!$F$228*12))</f>
        <v>4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0</v>
      </c>
      <c r="Z8" s="10" t="n">
        <f aca="false">MAX(0,MIN(Time!Z33,Inputs!$F$229*12)-MIN(MAX(Time!Z32,Inputs!$F$228*12),Inputs!$F$229*12))</f>
        <v>2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6</v>
      </c>
      <c r="AF8" s="10" t="n">
        <f aca="false">MAX(0,MIN(Time!AF33,Inputs!$F$229*12)-MIN(MAX(Time!AF32,Inputs!$F$228*12),Inputs!$F$229*12))</f>
        <v>4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0</v>
      </c>
      <c r="AF9" s="10" t="n">
        <f aca="false">Time!AF30-AF7-AF8</f>
        <v>2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6</v>
      </c>
      <c r="BN9" s="10" t="n">
        <f aca="false">Time!BN30-BN7-BN8</f>
        <v>4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876.457393195604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0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7.88811653876043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23.6643496162813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23.6643496162813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23.6643496162813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23.6643496162813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23.6643496162813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23.6643496162813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23.6643496162813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23.6643496162813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23.6643496162813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22.7878922230857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21.0349774366945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21.0349774366945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21.0349774366945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21.0349774366945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21.0349774366945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21.0349774366945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21.0349774366945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21.0349774366945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21.0349774366945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21.0349774366945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21.0349774366945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21.0349774366945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21.0349774366945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21.0349774366945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21.0349774366945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21.0349774366945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21.0349774366945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21.0349774366945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21.0349774366945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21.0349774366945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21.0349774366945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21.0349774366945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21.0349774366945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21.0349774366945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21.0349774366945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21.0349774366945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21.0349774366945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21.0349774366945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21.0349774366945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14.3154707555282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0.876457393195604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0.876457393195604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0.876457393195604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0.876457393195604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0.876457393195604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0.876457393195604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0.876457393195604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0.876457393195604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0.876457393195604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0.584304928797069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236.643496162813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0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7.88811653876043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23.6643496162813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23.6643496162813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23.6643496162813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23.6643496162813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23.6643496162813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23.6643496162813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23.6643496162813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23.6643496162813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23.6643496162813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15.7762330775209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639.813897032791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0</v>
      </c>
      <c r="Z12" s="13" t="n">
        <f aca="false">Z10-Z11</f>
        <v>7.01165914556484</v>
      </c>
      <c r="AA12" s="13" t="n">
        <f aca="false">AA10-AA11</f>
        <v>21.0349774366945</v>
      </c>
      <c r="AB12" s="13" t="n">
        <f aca="false">AB10-AB11</f>
        <v>21.0349774366945</v>
      </c>
      <c r="AC12" s="13" t="n">
        <f aca="false">AC10-AC11</f>
        <v>21.0349774366945</v>
      </c>
      <c r="AD12" s="13" t="n">
        <f aca="false">AD10-AD11</f>
        <v>21.0349774366945</v>
      </c>
      <c r="AE12" s="13" t="n">
        <f aca="false">AE10-AE11</f>
        <v>21.0349774366945</v>
      </c>
      <c r="AF12" s="13" t="n">
        <f aca="false">AF10-AF11</f>
        <v>21.0349774366945</v>
      </c>
      <c r="AG12" s="13" t="n">
        <f aca="false">AG10-AG11</f>
        <v>21.0349774366945</v>
      </c>
      <c r="AH12" s="13" t="n">
        <f aca="false">AH10-AH11</f>
        <v>21.0349774366945</v>
      </c>
      <c r="AI12" s="13" t="n">
        <f aca="false">AI10-AI11</f>
        <v>21.0349774366945</v>
      </c>
      <c r="AJ12" s="13" t="n">
        <f aca="false">AJ10-AJ11</f>
        <v>21.0349774366945</v>
      </c>
      <c r="AK12" s="13" t="n">
        <f aca="false">AK10-AK11</f>
        <v>21.0349774366945</v>
      </c>
      <c r="AL12" s="13" t="n">
        <f aca="false">AL10-AL11</f>
        <v>21.0349774366945</v>
      </c>
      <c r="AM12" s="13" t="n">
        <f aca="false">AM10-AM11</f>
        <v>21.0349774366945</v>
      </c>
      <c r="AN12" s="13" t="n">
        <f aca="false">AN10-AN11</f>
        <v>21.0349774366945</v>
      </c>
      <c r="AO12" s="13" t="n">
        <f aca="false">AO10-AO11</f>
        <v>21.0349774366945</v>
      </c>
      <c r="AP12" s="13" t="n">
        <f aca="false">AP10-AP11</f>
        <v>21.0349774366945</v>
      </c>
      <c r="AQ12" s="13" t="n">
        <f aca="false">AQ10-AQ11</f>
        <v>21.0349774366945</v>
      </c>
      <c r="AR12" s="13" t="n">
        <f aca="false">AR10-AR11</f>
        <v>21.0349774366945</v>
      </c>
      <c r="AS12" s="13" t="n">
        <f aca="false">AS10-AS11</f>
        <v>21.0349774366945</v>
      </c>
      <c r="AT12" s="13" t="n">
        <f aca="false">AT10-AT11</f>
        <v>21.0349774366945</v>
      </c>
      <c r="AU12" s="13" t="n">
        <f aca="false">AU10-AU11</f>
        <v>21.0349774366945</v>
      </c>
      <c r="AV12" s="13" t="n">
        <f aca="false">AV10-AV11</f>
        <v>21.0349774366945</v>
      </c>
      <c r="AW12" s="13" t="n">
        <f aca="false">AW10-AW11</f>
        <v>21.0349774366945</v>
      </c>
      <c r="AX12" s="13" t="n">
        <f aca="false">AX10-AX11</f>
        <v>21.0349774366945</v>
      </c>
      <c r="AY12" s="13" t="n">
        <f aca="false">AY10-AY11</f>
        <v>21.0349774366945</v>
      </c>
      <c r="AZ12" s="13" t="n">
        <f aca="false">AZ10-AZ11</f>
        <v>21.0349774366945</v>
      </c>
      <c r="BA12" s="13" t="n">
        <f aca="false">BA10-BA11</f>
        <v>21.0349774366945</v>
      </c>
      <c r="BB12" s="13" t="n">
        <f aca="false">BB10-BB11</f>
        <v>21.0349774366945</v>
      </c>
      <c r="BC12" s="13" t="n">
        <f aca="false">BC10-BC11</f>
        <v>21.0349774366945</v>
      </c>
      <c r="BD12" s="13" t="n">
        <f aca="false">BD10-BD11</f>
        <v>14.3154707555282</v>
      </c>
      <c r="BE12" s="13" t="n">
        <f aca="false">BE10-BE11</f>
        <v>0.876457393195604</v>
      </c>
      <c r="BF12" s="13" t="n">
        <f aca="false">BF10-BF11</f>
        <v>0.876457393195604</v>
      </c>
      <c r="BG12" s="13" t="n">
        <f aca="false">BG10-BG11</f>
        <v>0.876457393195604</v>
      </c>
      <c r="BH12" s="13" t="n">
        <f aca="false">BH10-BH11</f>
        <v>0.876457393195604</v>
      </c>
      <c r="BI12" s="13" t="n">
        <f aca="false">BI10-BI11</f>
        <v>0.876457393195604</v>
      </c>
      <c r="BJ12" s="13" t="n">
        <f aca="false">BJ10-BJ11</f>
        <v>0.876457393195604</v>
      </c>
      <c r="BK12" s="13" t="n">
        <f aca="false">BK10-BK11</f>
        <v>0.876457393195604</v>
      </c>
      <c r="BL12" s="13" t="n">
        <f aca="false">BL10-BL11</f>
        <v>0.876457393195604</v>
      </c>
      <c r="BM12" s="13" t="n">
        <f aca="false">BM10-BM11</f>
        <v>0.876457393195604</v>
      </c>
      <c r="BN12" s="13" t="n">
        <f aca="false">BN10-BN11</f>
        <v>0.584304928797069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285.122376559517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0</v>
      </c>
      <c r="P13" s="13" t="n">
        <f aca="false">IF(Time!P20&gt;=Time!$F$12,Waterfall!P33*Inputs!$F$104/100*Time!P31/Inputs!$F$248,0)</f>
        <v>3.45438227917857</v>
      </c>
      <c r="Q13" s="13" t="n">
        <f aca="false">IF(Time!Q20&gt;=Time!$F$12,Waterfall!Q33*Inputs!$F$104/100*Time!Q31/Inputs!$F$248,0)</f>
        <v>10.4126229317157</v>
      </c>
      <c r="R13" s="13" t="n">
        <f aca="false">IF(Time!R20&gt;=Time!$F$12,Waterfall!R33*Inputs!$F$104/100*Time!R31/Inputs!$F$248,0)</f>
        <v>10.5120066389733</v>
      </c>
      <c r="S13" s="13" t="n">
        <f aca="false">IF(Time!S20&gt;=Time!$F$12,Waterfall!S33*Inputs!$F$104/100*Time!S31/Inputs!$F$248,0)</f>
        <v>10.3185151938829</v>
      </c>
      <c r="T13" s="13" t="n">
        <f aca="false">IF(Time!T20&gt;=Time!$F$12,Waterfall!T33*Inputs!$F$104/100*Time!T31/Inputs!$F$248,0)</f>
        <v>10.4955149653593</v>
      </c>
      <c r="U13" s="13" t="n">
        <f aca="false">IF(Time!U20&gt;=Time!$F$12,Waterfall!U33*Inputs!$F$104/100*Time!U31/Inputs!$F$248,0)</f>
        <v>10.3589112675818</v>
      </c>
      <c r="V13" s="13" t="n">
        <f aca="false">IF(Time!V20&gt;=Time!$F$12,Waterfall!V33*Inputs!$F$104/100*Time!V31/Inputs!$F$248,0)</f>
        <v>10.4959850140566</v>
      </c>
      <c r="W13" s="13" t="n">
        <f aca="false">IF(Time!W20&gt;=Time!$F$12,Waterfall!W33*Inputs!$F$104/100*Time!W31/Inputs!$F$248,0)</f>
        <v>10.3170983230733</v>
      </c>
      <c r="X13" s="13" t="n">
        <f aca="false">IF(Time!X20&gt;=Time!$F$12,Waterfall!X33*Inputs!$F$104/100*Time!X31/Inputs!$F$248,0)</f>
        <v>10.4048454512177</v>
      </c>
      <c r="Y13" s="13" t="n">
        <f aca="false">IF(Time!Y20&gt;=Time!$F$12,Waterfall!Y33*Inputs!$F$104/100*Time!Y31/Inputs!$F$248,0)</f>
        <v>10.1133956065035</v>
      </c>
      <c r="Z13" s="13" t="n">
        <f aca="false">IF(Time!Z20&gt;=Time!$F$12,Waterfall!Z33*Inputs!$F$104/100*Time!Z31/Inputs!$F$248,0)</f>
        <v>10.2780409527403</v>
      </c>
      <c r="AA13" s="13" t="n">
        <f aca="false">IF(Time!AA20&gt;=Time!$F$12,Waterfall!AA33*Inputs!$F$104/100*Time!AA31/Inputs!$F$248,0)</f>
        <v>10.0759914734989</v>
      </c>
      <c r="AB13" s="13" t="n">
        <f aca="false">IF(Time!AB20&gt;=Time!$F$12,Waterfall!AB33*Inputs!$F$104/100*Time!AB31/Inputs!$F$248,0)</f>
        <v>10.4870609573484</v>
      </c>
      <c r="AC13" s="13" t="n">
        <f aca="false">IF(Time!AC20&gt;=Time!$F$12,Waterfall!AC33*Inputs!$F$104/100*Time!AC31/Inputs!$F$248,0)</f>
        <v>10.5913492139629</v>
      </c>
      <c r="AD13" s="13" t="n">
        <f aca="false">IF(Time!AD20&gt;=Time!$F$12,Waterfall!AD33*Inputs!$F$104/100*Time!AD31/Inputs!$F$248,0)</f>
        <v>10.9585504855809</v>
      </c>
      <c r="AE13" s="13" t="n">
        <f aca="false">IF(Time!AE20&gt;=Time!$F$12,Waterfall!AE33*Inputs!$F$104/100*Time!AE31/Inputs!$F$248,0)</f>
        <v>11.0175540929296</v>
      </c>
      <c r="AF13" s="13" t="n">
        <f aca="false">IF(Time!AF20&gt;=Time!$F$12,Waterfall!AF33*Inputs!$F$104/100*Time!AF31/Inputs!$F$248,0)</f>
        <v>11.3989995120288</v>
      </c>
      <c r="AG13" s="13" t="n">
        <f aca="false">IF(Time!AG20&gt;=Time!$F$12,Waterfall!AG33*Inputs!$F$104/100*Time!AG31/Inputs!$F$248,0)</f>
        <v>11.3696360353827</v>
      </c>
      <c r="AH13" s="13" t="n">
        <f aca="false">IF(Time!AH20&gt;=Time!$F$12,Waterfall!AH33*Inputs!$F$104/100*Time!AH31/Inputs!$F$248,0)</f>
        <v>11.7128883627642</v>
      </c>
      <c r="AI13" s="13" t="n">
        <f aca="false">IF(Time!AI20&gt;=Time!$F$12,Waterfall!AI33*Inputs!$F$104/100*Time!AI31/Inputs!$F$248,0)</f>
        <v>11.6344213378817</v>
      </c>
      <c r="AJ13" s="13" t="n">
        <f aca="false">IF(Time!AJ20&gt;=Time!$F$12,Waterfall!AJ33*Inputs!$F$104/100*Time!AJ31/Inputs!$F$248,0)</f>
        <v>11.9068784121604</v>
      </c>
      <c r="AK13" s="13" t="n">
        <f aca="false">IF(Time!AK20&gt;=Time!$F$12,Waterfall!AK33*Inputs!$F$104/100*Time!AK31/Inputs!$F$248,0)</f>
        <v>11.7930830217101</v>
      </c>
      <c r="AL13" s="13" t="n">
        <f aca="false">IF(Time!AL20&gt;=Time!$F$12,Waterfall!AL33*Inputs!$F$104/100*Time!AL31/Inputs!$F$248,0)</f>
        <v>11.852662553665</v>
      </c>
      <c r="AM13" s="13" t="n">
        <f aca="false">IF(Time!AM20&gt;=Time!$F$12,Waterfall!AM33*Inputs!$F$104/100*Time!AM31/Inputs!$F$248,0)</f>
        <v>10.7306205867096</v>
      </c>
      <c r="AN13" s="13" t="n">
        <f aca="false">IF(Time!AN20&gt;=Time!$F$12,Waterfall!AN33*Inputs!$F$104/100*Time!AN31/Inputs!$F$248,0)</f>
        <v>9.86061924661185</v>
      </c>
      <c r="AO13" s="13" t="n">
        <f aca="false">IF(Time!AO20&gt;=Time!$F$12,Waterfall!AO33*Inputs!$F$104/100*Time!AO31/Inputs!$F$248,0)</f>
        <v>8.58919722859565</v>
      </c>
      <c r="AP13" s="13" t="n">
        <f aca="false">IF(Time!AP20&gt;=Time!$F$12,Waterfall!AP33*Inputs!$F$104/100*Time!AP31/Inputs!$F$248,0)</f>
        <v>6.71678574226098</v>
      </c>
      <c r="AQ13" s="13" t="n">
        <f aca="false">IF(Time!AQ20&gt;=Time!$F$12,Waterfall!AQ33*Inputs!$F$104/100*Time!AQ31/Inputs!$F$248,0)</f>
        <v>4.50514789694132</v>
      </c>
      <c r="AR13" s="13" t="n">
        <f aca="false">IF(Time!AR20&gt;=Time!$F$12,Waterfall!AR33*Inputs!$F$104/100*Time!AR31/Inputs!$F$248,0)</f>
        <v>2.35384053952823</v>
      </c>
      <c r="AS13" s="13" t="n">
        <f aca="false">IF(Time!AS20&gt;=Time!$F$12,Waterfall!AS33*Inputs!$F$104/100*Time!AS31/Inputs!$F$248,0)</f>
        <v>0.405771235672667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1</v>
      </c>
      <c r="P14" s="6" t="n">
        <f aca="false">IF(Waterfall!P33&gt;0,MIN(1,Inputs!$F$183*(Waterfall!$F$32+MAX(0,Waterfall!O43))/Waterfall!P33),1)</f>
        <v>0.635395362469034</v>
      </c>
      <c r="Q14" s="6" t="n">
        <f aca="false">IF(Waterfall!Q33&gt;0,MIN(1,Inputs!$F$183*(Waterfall!$F$32+MAX(0,Waterfall!P43))/Waterfall!Q33),1)</f>
        <v>0.752758432647818</v>
      </c>
      <c r="R14" s="6" t="n">
        <f aca="false">IF(Waterfall!R33&gt;0,MIN(1,Inputs!$F$183*(Waterfall!$F$32+MAX(0,Waterfall!Q43))/Waterfall!R33),1)</f>
        <v>0.836217512416345</v>
      </c>
      <c r="S14" s="6" t="n">
        <f aca="false">IF(Waterfall!S33&gt;0,MIN(1,Inputs!$F$183*(Waterfall!$F$32+MAX(0,Waterfall!R43))/Waterfall!S33),1)</f>
        <v>0.922181784087699</v>
      </c>
      <c r="T14" s="6" t="n">
        <f aca="false">IF(Waterfall!T33&gt;0,MIN(1,Inputs!$F$183*(Waterfall!$F$32+MAX(0,Waterfall!S43))/Waterfall!T33),1)</f>
        <v>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278.76380850676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0</v>
      </c>
      <c r="P15" s="13" t="n">
        <f aca="false">P13*P14</f>
        <v>2.19489848038527</v>
      </c>
      <c r="Q15" s="13" t="n">
        <f aca="false">Q13*Q14</f>
        <v>7.83818971783107</v>
      </c>
      <c r="R15" s="13" t="n">
        <f aca="false">R13*R14</f>
        <v>8.79032404214632</v>
      </c>
      <c r="S15" s="13" t="n">
        <f aca="false">S13*S14</f>
        <v>9.51554675063098</v>
      </c>
      <c r="T15" s="13" t="n">
        <f aca="false">T13*T14</f>
        <v>10.4955149653593</v>
      </c>
      <c r="U15" s="13" t="n">
        <f aca="false">U13*U14</f>
        <v>10.3589112675818</v>
      </c>
      <c r="V15" s="13" t="n">
        <f aca="false">V13*V14</f>
        <v>10.4959850140566</v>
      </c>
      <c r="W15" s="13" t="n">
        <f aca="false">W13*W14</f>
        <v>10.3170983230733</v>
      </c>
      <c r="X15" s="13" t="n">
        <f aca="false">X13*X14</f>
        <v>10.4048454512177</v>
      </c>
      <c r="Y15" s="13" t="n">
        <f aca="false">Y13*Y14</f>
        <v>10.1133956065035</v>
      </c>
      <c r="Z15" s="13" t="n">
        <f aca="false">Z13*Z14</f>
        <v>10.2780409527403</v>
      </c>
      <c r="AA15" s="13" t="n">
        <f aca="false">AA13*AA14</f>
        <v>10.0759914734989</v>
      </c>
      <c r="AB15" s="13" t="n">
        <f aca="false">AB13*AB14</f>
        <v>10.4870609573484</v>
      </c>
      <c r="AC15" s="13" t="n">
        <f aca="false">AC13*AC14</f>
        <v>10.5913492139629</v>
      </c>
      <c r="AD15" s="13" t="n">
        <f aca="false">AD13*AD14</f>
        <v>10.9585504855809</v>
      </c>
      <c r="AE15" s="13" t="n">
        <f aca="false">AE13*AE14</f>
        <v>11.0175540929296</v>
      </c>
      <c r="AF15" s="13" t="n">
        <f aca="false">AF13*AF14</f>
        <v>11.3989995120288</v>
      </c>
      <c r="AG15" s="13" t="n">
        <f aca="false">AG13*AG14</f>
        <v>11.3696360353827</v>
      </c>
      <c r="AH15" s="13" t="n">
        <f aca="false">AH13*AH14</f>
        <v>11.7128883627642</v>
      </c>
      <c r="AI15" s="13" t="n">
        <f aca="false">AI13*AI14</f>
        <v>11.6344213378817</v>
      </c>
      <c r="AJ15" s="13" t="n">
        <f aca="false">AJ13*AJ14</f>
        <v>11.9068784121604</v>
      </c>
      <c r="AK15" s="13" t="n">
        <f aca="false">AK13*AK14</f>
        <v>11.7930830217101</v>
      </c>
      <c r="AL15" s="13" t="n">
        <f aca="false">AL13*AL14</f>
        <v>11.852662553665</v>
      </c>
      <c r="AM15" s="13" t="n">
        <f aca="false">AM13*AM14</f>
        <v>10.7306205867096</v>
      </c>
      <c r="AN15" s="13" t="n">
        <f aca="false">AN13*AN14</f>
        <v>9.86061924661185</v>
      </c>
      <c r="AO15" s="13" t="n">
        <f aca="false">AO13*AO14</f>
        <v>8.58919722859565</v>
      </c>
      <c r="AP15" s="13" t="n">
        <f aca="false">AP13*AP14</f>
        <v>6.71678574226098</v>
      </c>
      <c r="AQ15" s="13" t="n">
        <f aca="false">AQ13*AQ14</f>
        <v>4.50514789694132</v>
      </c>
      <c r="AR15" s="13" t="n">
        <f aca="false">AR13*AR14</f>
        <v>2.35384053952823</v>
      </c>
      <c r="AS15" s="13" t="n">
        <f aca="false">AS13*AS14</f>
        <v>0.405771235672667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315.15966870259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0</v>
      </c>
      <c r="Q16" s="13" t="n">
        <f aca="false">Debt!Q112+Debt!Q110+Debt!Q104-Debt!Q103</f>
        <v>22.4001807785758</v>
      </c>
      <c r="R16" s="13" t="n">
        <f aca="false">Debt!R112+Debt!R110+Debt!R104-Debt!R103</f>
        <v>22.0587791123852</v>
      </c>
      <c r="S16" s="13" t="n">
        <f aca="false">Debt!S112+Debt!S110+Debt!S104-Debt!S103</f>
        <v>21.2095928780123</v>
      </c>
      <c r="T16" s="13" t="n">
        <f aca="false">Debt!T112+Debt!T110+Debt!T104-Debt!T103</f>
        <v>20.807182234581</v>
      </c>
      <c r="U16" s="13" t="n">
        <f aca="false">Debt!U112+Debt!U110+Debt!U104-Debt!U103</f>
        <v>19.9894919729728</v>
      </c>
      <c r="V16" s="13" t="n">
        <f aca="false">Debt!V112+Debt!V110+Debt!V104-Debt!V103</f>
        <v>19.4475582054411</v>
      </c>
      <c r="W16" s="13" t="n">
        <f aca="false">Debt!W112+Debt!W110+Debt!W104-Debt!W103</f>
        <v>18.5049241155856</v>
      </c>
      <c r="X16" s="13" t="n">
        <f aca="false">Debt!X112+Debt!X110+Debt!X104-Debt!X103</f>
        <v>17.9538900908398</v>
      </c>
      <c r="Y16" s="13" t="n">
        <f aca="false">Debt!Y112+Debt!Y110+Debt!Y104-Debt!Y103</f>
        <v>17.5567814153101</v>
      </c>
      <c r="Z16" s="13" t="n">
        <f aca="false">Debt!Z112+Debt!Z110+Debt!Z104-Debt!Z103</f>
        <v>16.9955974399418</v>
      </c>
      <c r="AA16" s="13" t="n">
        <f aca="false">Debt!AA112+Debt!AA110+Debt!AA104-Debt!AA103</f>
        <v>16.0217493536458</v>
      </c>
      <c r="AB16" s="13" t="n">
        <f aca="false">Debt!AB112+Debt!AB110+Debt!AB104-Debt!AB103</f>
        <v>15.1442228449405</v>
      </c>
      <c r="AC16" s="13" t="n">
        <f aca="false">Debt!AC112+Debt!AC110+Debt!AC104-Debt!AC103</f>
        <v>13.9122092620998</v>
      </c>
      <c r="AD16" s="13" t="n">
        <f aca="false">Debt!AD112+Debt!AD110+Debt!AD104-Debt!AD103</f>
        <v>12.9018413057305</v>
      </c>
      <c r="AE16" s="13" t="n">
        <f aca="false">Debt!AE112+Debt!AE110+Debt!AE104-Debt!AE103</f>
        <v>11.5749318416118</v>
      </c>
      <c r="AF16" s="13" t="n">
        <f aca="false">Debt!AF112+Debt!AF110+Debt!AF104-Debt!AF103</f>
        <v>10.4377762291912</v>
      </c>
      <c r="AG16" s="13" t="n">
        <f aca="false">Debt!AG112+Debt!AG110+Debt!AG104-Debt!AG103</f>
        <v>9.24861901230396</v>
      </c>
      <c r="AH16" s="13" t="n">
        <f aca="false">Debt!AH112+Debt!AH110+Debt!AH104-Debt!AH103</f>
        <v>7.99421285823143</v>
      </c>
      <c r="AI16" s="13" t="n">
        <f aca="false">Debt!AI112+Debt!AI110+Debt!AI104-Debt!AI103</f>
        <v>6.51789252959128</v>
      </c>
      <c r="AJ16" s="13" t="n">
        <f aca="false">Debt!AJ112+Debt!AJ110+Debt!AJ104-Debt!AJ103</f>
        <v>5.17472417864407</v>
      </c>
      <c r="AK16" s="13" t="n">
        <f aca="false">Debt!AK112+Debt!AK110+Debt!AK104-Debt!AK103</f>
        <v>3.70607433433069</v>
      </c>
      <c r="AL16" s="13" t="n">
        <f aca="false">Debt!AL112+Debt!AL110+Debt!AL104-Debt!AL103</f>
        <v>2.32240463708052</v>
      </c>
      <c r="AM16" s="13" t="n">
        <f aca="false">Debt!AM112+Debt!AM110+Debt!AM104-Debt!AM103</f>
        <v>1.68815405182471</v>
      </c>
      <c r="AN16" s="13" t="n">
        <f aca="false">Debt!AN112+Debt!AN110+Debt!AN104-Debt!AN103</f>
        <v>1.05998621057513</v>
      </c>
      <c r="AO16" s="13" t="n">
        <f aca="false">Debt!AO112+Debt!AO110+Debt!AO104-Debt!AO103</f>
        <v>0.530891809143661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</v>
      </c>
      <c r="Z17" s="13" t="n">
        <f aca="false">IF(Time!Z30&gt;0,(Time!Z30-Z7)/Time!Z30,0)</f>
        <v>0.333333333333333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1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1168.38053254955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0</v>
      </c>
      <c r="Z18" s="13" t="n">
        <f aca="false">(Operations!Z84-Z16-Z15)*Z17-Z12</f>
        <v>1.19363760919268</v>
      </c>
      <c r="AA18" s="13" t="n">
        <f aca="false">(Operations!AA84-AA16-AA15)*AA17-AA12</f>
        <v>4.90684395355441</v>
      </c>
      <c r="AB18" s="13" t="n">
        <f aca="false">(Operations!AB84-AB16-AB15)*AB17-AB12</f>
        <v>5.47383137841685</v>
      </c>
      <c r="AC18" s="13" t="n">
        <f aca="false">(Operations!AC84-AC16-AC15)*AC17-AC12</f>
        <v>6.68707514617911</v>
      </c>
      <c r="AD18" s="13" t="n">
        <f aca="false">(Operations!AD84-AD16-AD15)*AD17-AD12</f>
        <v>7.54669844211077</v>
      </c>
      <c r="AE18" s="13" t="n">
        <f aca="false">(Operations!AE84-AE16-AE15)*AE17-AE12</f>
        <v>-3.7884621090458</v>
      </c>
      <c r="AF18" s="13" t="n">
        <f aca="false">(Operations!AF84-AF16-AF15)*AF17-AF12</f>
        <v>9.91579519505391</v>
      </c>
      <c r="AG18" s="13" t="n">
        <f aca="false">(Operations!AG84-AG16-AG15)*AG17-AG12</f>
        <v>11.0577172688452</v>
      </c>
      <c r="AH18" s="13" t="n">
        <f aca="false">(Operations!AH84-AH16-AH15)*AH17-AH12</f>
        <v>12.1112574892161</v>
      </c>
      <c r="AI18" s="13" t="n">
        <f aca="false">(Operations!AI84-AI16-AI15)*AI17-AI12</f>
        <v>13.8287465679598</v>
      </c>
      <c r="AJ18" s="13" t="n">
        <f aca="false">(Operations!AJ84-AJ16-AJ15)*AJ17-AJ12</f>
        <v>15.0085084966867</v>
      </c>
      <c r="AK18" s="13" t="n">
        <f aca="false">(Operations!AK84-AK16-AK15)*AK17-AK12</f>
        <v>16.681767198061</v>
      </c>
      <c r="AL18" s="13" t="n">
        <f aca="false">(Operations!AL84-AL16-AL15)*AL17-AL12</f>
        <v>18.2034959330813</v>
      </c>
      <c r="AM18" s="13" t="n">
        <f aca="false">(Operations!AM84-AM16-AM15)*AM17-AM12</f>
        <v>17.2238380518919</v>
      </c>
      <c r="AN18" s="13" t="n">
        <f aca="false">(Operations!AN84-AN16-AN15)*AN17-AN12</f>
        <v>21.7924721602358</v>
      </c>
      <c r="AO18" s="13" t="n">
        <f aca="false">(Operations!AO84-AO16-AO15)*AO17-AO12</f>
        <v>23.5862046266821</v>
      </c>
      <c r="AP18" s="13" t="n">
        <f aca="false">(Operations!AP84-AP16-AP15)*AP17-AP12</f>
        <v>26.1449561066503</v>
      </c>
      <c r="AQ18" s="13" t="n">
        <f aca="false">(Operations!AQ84-AQ16-AQ15)*AQ17-AQ12</f>
        <v>28.533054020171</v>
      </c>
      <c r="AR18" s="13" t="n">
        <f aca="false">(Operations!AR84-AR16-AR15)*AR17-AR12</f>
        <v>30.8026551738055</v>
      </c>
      <c r="AS18" s="13" t="n">
        <f aca="false">(Operations!AS84-AS16-AS15)*AS17-AS12</f>
        <v>32.8471450617921</v>
      </c>
      <c r="AT18" s="13" t="n">
        <f aca="false">(Operations!AT84-AT16-AT15)*AT17-AT12</f>
        <v>33.5145529236479</v>
      </c>
      <c r="AU18" s="13" t="n">
        <f aca="false">(Operations!AU84-AU16-AU15)*AU17-AU12</f>
        <v>18.6311830820217</v>
      </c>
      <c r="AV18" s="13" t="n">
        <f aca="false">(Operations!AV84-AV16-AV15)*AV17-AV12</f>
        <v>33.9260673294663</v>
      </c>
      <c r="AW18" s="13" t="n">
        <f aca="false">(Operations!AW84-AW16-AW15)*AW17-AW12</f>
        <v>33.8216638215293</v>
      </c>
      <c r="AX18" s="13" t="n">
        <f aca="false">(Operations!AX84-AX16-AX15)*AX17-AX12</f>
        <v>33.9913617328417</v>
      </c>
      <c r="AY18" s="13" t="n">
        <f aca="false">(Operations!AY84-AY16-AY15)*AY17-AY12</f>
        <v>34.1827657738101</v>
      </c>
      <c r="AZ18" s="13" t="n">
        <f aca="false">(Operations!AZ84-AZ16-AZ15)*AZ17-AZ12</f>
        <v>34.3110869419898</v>
      </c>
      <c r="BA18" s="13" t="n">
        <f aca="false">(Operations!BA84-BA16-BA15)*BA17-BA12</f>
        <v>34.4134437802673</v>
      </c>
      <c r="BB18" s="13" t="n">
        <f aca="false">(Operations!BB84-BB16-BB15)*BB17-BB12</f>
        <v>34.651120702875</v>
      </c>
      <c r="BC18" s="13" t="n">
        <f aca="false">(Operations!BC84-BC16-BC15)*BC17-BC12</f>
        <v>31.3971209979017</v>
      </c>
      <c r="BD18" s="13" t="n">
        <f aca="false">(Operations!BD84-BD16-BD15)*BD17-BD12</f>
        <v>41.7672175450975</v>
      </c>
      <c r="BE18" s="13" t="n">
        <f aca="false">(Operations!BE84-BE16-BE15)*BE17-BE12</f>
        <v>55.1877214549539</v>
      </c>
      <c r="BF18" s="13" t="n">
        <f aca="false">(Operations!BF84-BF16-BF15)*BF17-BF12</f>
        <v>55.3729643108694</v>
      </c>
      <c r="BG18" s="13" t="n">
        <f aca="false">(Operations!BG84-BG16-BG15)*BG17-BG12</f>
        <v>55.5806018884078</v>
      </c>
      <c r="BH18" s="13" t="n">
        <f aca="false">(Operations!BH84-BH16-BH15)*BH17-BH12</f>
        <v>55.7198011908242</v>
      </c>
      <c r="BI18" s="13" t="n">
        <f aca="false">(Operations!BI84-BI16-BI15)*BI17-BI12</f>
        <v>55.8284412736374</v>
      </c>
      <c r="BJ18" s="13" t="n">
        <f aca="false">(Operations!BJ84-BJ16-BJ15)*BJ17-BJ12</f>
        <v>56.1444088242133</v>
      </c>
      <c r="BK18" s="13" t="n">
        <f aca="false">(Operations!BK84-BK16-BK15)*BK17-BK12</f>
        <v>38.5479644968282</v>
      </c>
      <c r="BL18" s="13" t="n">
        <f aca="false">(Operations!BL84-BL16-BL15)*BL17-BL12</f>
        <v>56.6345664038139</v>
      </c>
      <c r="BM18" s="13" t="n">
        <f aca="false">(Operations!BM84-BM16-BM15)*BM17-BM12</f>
        <v>56.4951487224042</v>
      </c>
      <c r="BN18" s="13" t="n">
        <f aca="false">(Operations!BN84-BN16-BN15)*BN17-BN12</f>
        <v>18.5040915816047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3.7884621090458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3.7884621090458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236.643496162813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0</v>
      </c>
      <c r="Z20" s="13" t="n">
        <f aca="false">MIN(Y21,MAX(0,Z18-Z19))</f>
        <v>1.19363760919268</v>
      </c>
      <c r="AA20" s="13" t="n">
        <f aca="false">MIN(Z21,MAX(0,AA18-AA19))</f>
        <v>4.90684395355441</v>
      </c>
      <c r="AB20" s="13" t="n">
        <f aca="false">MIN(AA21,MAX(0,AB18-AB19))</f>
        <v>5.47383137841685</v>
      </c>
      <c r="AC20" s="13" t="n">
        <f aca="false">MIN(AB21,MAX(0,AC18-AC19))</f>
        <v>6.68707514617911</v>
      </c>
      <c r="AD20" s="13" t="n">
        <f aca="false">MIN(AC21,MAX(0,AD18-AD19))</f>
        <v>7.54669844211077</v>
      </c>
      <c r="AE20" s="13" t="n">
        <f aca="false">MIN(AD21,MAX(0,AE18-AE19))</f>
        <v>0</v>
      </c>
      <c r="AF20" s="13" t="n">
        <f aca="false">MIN(AE21,MAX(0,AF18-AF19))</f>
        <v>6.12733308600811</v>
      </c>
      <c r="AG20" s="13" t="n">
        <f aca="false">MIN(AF21,MAX(0,AG18-AG19))</f>
        <v>11.0577172688452</v>
      </c>
      <c r="AH20" s="13" t="n">
        <f aca="false">MIN(AG21,MAX(0,AH18-AH19))</f>
        <v>12.1112574892161</v>
      </c>
      <c r="AI20" s="13" t="n">
        <f aca="false">MIN(AH21,MAX(0,AI18-AI19))</f>
        <v>13.8287465679598</v>
      </c>
      <c r="AJ20" s="13" t="n">
        <f aca="false">MIN(AI21,MAX(0,AJ18-AJ19))</f>
        <v>15.0085084966867</v>
      </c>
      <c r="AK20" s="13" t="n">
        <f aca="false">MIN(AJ21,MAX(0,AK18-AK19))</f>
        <v>16.681767198061</v>
      </c>
      <c r="AL20" s="13" t="n">
        <f aca="false">MIN(AK21,MAX(0,AL18-AL19))</f>
        <v>18.2034959330813</v>
      </c>
      <c r="AM20" s="13" t="n">
        <f aca="false">MIN(AL21,MAX(0,AM18-AM19))</f>
        <v>17.2238380518919</v>
      </c>
      <c r="AN20" s="13" t="n">
        <f aca="false">MIN(AM21,MAX(0,AN18-AN19))</f>
        <v>21.7924721602358</v>
      </c>
      <c r="AO20" s="13" t="n">
        <f aca="false">MIN(AN21,MAX(0,AO18-AO19))</f>
        <v>23.5862046266821</v>
      </c>
      <c r="AP20" s="13" t="n">
        <f aca="false">MIN(AO21,MAX(0,AP18-AP19))</f>
        <v>26.1449561066503</v>
      </c>
      <c r="AQ20" s="13" t="n">
        <f aca="false">MIN(AP21,MAX(0,AQ18-AQ19))</f>
        <v>28.533054020171</v>
      </c>
      <c r="AR20" s="13" t="n">
        <f aca="false">MIN(AQ21,MAX(0,AR18-AR19))</f>
        <v>0.536058627869799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0</v>
      </c>
      <c r="P21" s="13" t="n">
        <f aca="false">O21+P11-P20</f>
        <v>7.88811653876043</v>
      </c>
      <c r="Q21" s="13" t="n">
        <f aca="false">P21+Q11-Q20</f>
        <v>31.5524661550417</v>
      </c>
      <c r="R21" s="13" t="n">
        <f aca="false">Q21+R11-R20</f>
        <v>55.216815771323</v>
      </c>
      <c r="S21" s="13" t="n">
        <f aca="false">R21+S11-S20</f>
        <v>78.8811653876043</v>
      </c>
      <c r="T21" s="13" t="n">
        <f aca="false">S21+T11-T20</f>
        <v>102.545515003886</v>
      </c>
      <c r="U21" s="13" t="n">
        <f aca="false">T21+U11-U20</f>
        <v>126.209864620167</v>
      </c>
      <c r="V21" s="13" t="n">
        <f aca="false">U21+V11-V20</f>
        <v>149.874214236448</v>
      </c>
      <c r="W21" s="13" t="n">
        <f aca="false">V21+W11-W20</f>
        <v>173.53856385273</v>
      </c>
      <c r="X21" s="13" t="n">
        <f aca="false">W21+X11-X20</f>
        <v>197.202913469011</v>
      </c>
      <c r="Y21" s="13" t="n">
        <f aca="false">X21+Y11-Y20</f>
        <v>220.867263085292</v>
      </c>
      <c r="Z21" s="13" t="n">
        <f aca="false">Y21+Z11-Z20</f>
        <v>235.44985855362</v>
      </c>
      <c r="AA21" s="13" t="n">
        <f aca="false">Z21+AA11-AA20</f>
        <v>230.543014600066</v>
      </c>
      <c r="AB21" s="13" t="n">
        <f aca="false">AA21+AB11-AB20</f>
        <v>225.069183221649</v>
      </c>
      <c r="AC21" s="13" t="n">
        <f aca="false">AB21+AC11-AC20</f>
        <v>218.38210807547</v>
      </c>
      <c r="AD21" s="13" t="n">
        <f aca="false">AC21+AD11-AD20</f>
        <v>210.835409633359</v>
      </c>
      <c r="AE21" s="13" t="n">
        <f aca="false">AD21+AE11-AE20</f>
        <v>210.835409633359</v>
      </c>
      <c r="AF21" s="13" t="n">
        <f aca="false">AE21+AF11-AF20</f>
        <v>204.708076547351</v>
      </c>
      <c r="AG21" s="13" t="n">
        <f aca="false">AF21+AG11-AG20</f>
        <v>193.650359278506</v>
      </c>
      <c r="AH21" s="13" t="n">
        <f aca="false">AG21+AH11-AH20</f>
        <v>181.53910178929</v>
      </c>
      <c r="AI21" s="13" t="n">
        <f aca="false">AH21+AI11-AI20</f>
        <v>167.71035522133</v>
      </c>
      <c r="AJ21" s="13" t="n">
        <f aca="false">AI21+AJ11-AJ20</f>
        <v>152.701846724643</v>
      </c>
      <c r="AK21" s="13" t="n">
        <f aca="false">AJ21+AK11-AK20</f>
        <v>136.020079526582</v>
      </c>
      <c r="AL21" s="13" t="n">
        <f aca="false">AK21+AL11-AL20</f>
        <v>117.816583593501</v>
      </c>
      <c r="AM21" s="13" t="n">
        <f aca="false">AL21+AM11-AM20</f>
        <v>100.592745541609</v>
      </c>
      <c r="AN21" s="13" t="n">
        <f aca="false">AM21+AN11-AN20</f>
        <v>78.8002733813733</v>
      </c>
      <c r="AO21" s="13" t="n">
        <f aca="false">AN21+AO11-AO20</f>
        <v>55.2140687546911</v>
      </c>
      <c r="AP21" s="13" t="n">
        <f aca="false">AO21+AP11-AP20</f>
        <v>29.0691126480408</v>
      </c>
      <c r="AQ21" s="13" t="n">
        <f aca="false">AP21+AQ11-AQ20</f>
        <v>0.536058627869799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3.7884621090458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931.737036386733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0</v>
      </c>
      <c r="AP23" s="13" t="n">
        <f aca="false">MAX(0,AP18-AP19-AP20)</f>
        <v>0</v>
      </c>
      <c r="AQ23" s="13" t="n">
        <f aca="false">MAX(0,AQ18-AQ19-AQ20)</f>
        <v>0</v>
      </c>
      <c r="AR23" s="13" t="n">
        <f aca="false">MAX(0,AR18-AR19-AR20)</f>
        <v>30.2665965459357</v>
      </c>
      <c r="AS23" s="13" t="n">
        <f aca="false">MAX(0,AS18-AS19-AS20)</f>
        <v>32.8471450617921</v>
      </c>
      <c r="AT23" s="13" t="n">
        <f aca="false">MAX(0,AT18-AT19-AT20)</f>
        <v>33.5145529236479</v>
      </c>
      <c r="AU23" s="13" t="n">
        <f aca="false">MAX(0,AU18-AU19-AU20)</f>
        <v>18.6311830820217</v>
      </c>
      <c r="AV23" s="13" t="n">
        <f aca="false">MAX(0,AV18-AV19-AV20)</f>
        <v>33.9260673294663</v>
      </c>
      <c r="AW23" s="13" t="n">
        <f aca="false">MAX(0,AW18-AW19-AW20)</f>
        <v>33.8216638215293</v>
      </c>
      <c r="AX23" s="13" t="n">
        <f aca="false">MAX(0,AX18-AX19-AX20)</f>
        <v>33.9913617328417</v>
      </c>
      <c r="AY23" s="13" t="n">
        <f aca="false">MAX(0,AY18-AY19-AY20)</f>
        <v>34.1827657738101</v>
      </c>
      <c r="AZ23" s="13" t="n">
        <f aca="false">MAX(0,AZ18-AZ19-AZ20)</f>
        <v>34.3110869419898</v>
      </c>
      <c r="BA23" s="13" t="n">
        <f aca="false">MAX(0,BA18-BA19-BA20)</f>
        <v>34.4134437802673</v>
      </c>
      <c r="BB23" s="13" t="n">
        <f aca="false">MAX(0,BB18-BB19-BB20)</f>
        <v>34.651120702875</v>
      </c>
      <c r="BC23" s="13" t="n">
        <f aca="false">MAX(0,BC18-BC19-BC20)</f>
        <v>31.3971209979017</v>
      </c>
      <c r="BD23" s="13" t="n">
        <f aca="false">MAX(0,BD18-BD19-BD20)</f>
        <v>41.7672175450975</v>
      </c>
      <c r="BE23" s="13" t="n">
        <f aca="false">MAX(0,BE18-BE19-BE20)</f>
        <v>55.1877214549539</v>
      </c>
      <c r="BF23" s="13" t="n">
        <f aca="false">MAX(0,BF18-BF19-BF20)</f>
        <v>55.3729643108694</v>
      </c>
      <c r="BG23" s="13" t="n">
        <f aca="false">MAX(0,BG18-BG19-BG20)</f>
        <v>55.5806018884078</v>
      </c>
      <c r="BH23" s="13" t="n">
        <f aca="false">MAX(0,BH18-BH19-BH20)</f>
        <v>55.7198011908242</v>
      </c>
      <c r="BI23" s="13" t="n">
        <f aca="false">MAX(0,BI18-BI19-BI20)</f>
        <v>55.8284412736374</v>
      </c>
      <c r="BJ23" s="13" t="n">
        <f aca="false">MAX(0,BJ18-BJ19-BJ20)</f>
        <v>56.1444088242133</v>
      </c>
      <c r="BK23" s="13" t="n">
        <f aca="false">MAX(0,BK18-BK19-BK20)</f>
        <v>38.5479644968282</v>
      </c>
      <c r="BL23" s="13" t="n">
        <f aca="false">MAX(0,BL18-BL19-BL20)</f>
        <v>56.6345664038139</v>
      </c>
      <c r="BM23" s="13" t="n">
        <f aca="false">MAX(0,BM18-BM19-BM20)</f>
        <v>56.4951487224042</v>
      </c>
      <c r="BN23" s="13" t="n">
        <f aca="false">MAX(0,BN18-BN19-BN20)</f>
        <v>18.5040915816047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0.15</v>
      </c>
      <c r="AF24" s="6" t="n">
        <f aca="false">IF(AF8+AF9&gt;0,(AF8*Inputs!$F$175+AF9*Inputs!$F$174)/(AF8+AF9)/100,0)</f>
        <v>0.2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0.3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279.52111091602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0</v>
      </c>
      <c r="AP25" s="13" t="n">
        <f aca="false">AP23*AP24</f>
        <v>0</v>
      </c>
      <c r="AQ25" s="13" t="n">
        <f aca="false">AQ23*AQ24</f>
        <v>0</v>
      </c>
      <c r="AR25" s="13" t="n">
        <f aca="false">AR23*AR24</f>
        <v>9.0799789637807</v>
      </c>
      <c r="AS25" s="13" t="n">
        <f aca="false">AS23*AS24</f>
        <v>9.85414351853763</v>
      </c>
      <c r="AT25" s="13" t="n">
        <f aca="false">AT23*AT24</f>
        <v>10.0543658770944</v>
      </c>
      <c r="AU25" s="13" t="n">
        <f aca="false">AU23*AU24</f>
        <v>5.58935492460651</v>
      </c>
      <c r="AV25" s="13" t="n">
        <f aca="false">AV23*AV24</f>
        <v>10.1778201988399</v>
      </c>
      <c r="AW25" s="13" t="n">
        <f aca="false">AW23*AW24</f>
        <v>10.1464991464588</v>
      </c>
      <c r="AX25" s="13" t="n">
        <f aca="false">AX23*AX24</f>
        <v>10.1974085198525</v>
      </c>
      <c r="AY25" s="13" t="n">
        <f aca="false">AY23*AY24</f>
        <v>10.254829732143</v>
      </c>
      <c r="AZ25" s="13" t="n">
        <f aca="false">AZ23*AZ24</f>
        <v>10.2933260825969</v>
      </c>
      <c r="BA25" s="13" t="n">
        <f aca="false">BA23*BA24</f>
        <v>10.3240331340802</v>
      </c>
      <c r="BB25" s="13" t="n">
        <f aca="false">BB23*BB24</f>
        <v>10.3953362108625</v>
      </c>
      <c r="BC25" s="13" t="n">
        <f aca="false">BC23*BC24</f>
        <v>9.4191362993705</v>
      </c>
      <c r="BD25" s="13" t="n">
        <f aca="false">BD23*BD24</f>
        <v>12.5301652635293</v>
      </c>
      <c r="BE25" s="13" t="n">
        <f aca="false">BE23*BE24</f>
        <v>16.5563164364862</v>
      </c>
      <c r="BF25" s="13" t="n">
        <f aca="false">BF23*BF24</f>
        <v>16.6118892932608</v>
      </c>
      <c r="BG25" s="13" t="n">
        <f aca="false">BG23*BG24</f>
        <v>16.6741805665223</v>
      </c>
      <c r="BH25" s="13" t="n">
        <f aca="false">BH23*BH24</f>
        <v>16.7159403572473</v>
      </c>
      <c r="BI25" s="13" t="n">
        <f aca="false">BI23*BI24</f>
        <v>16.7485323820912</v>
      </c>
      <c r="BJ25" s="13" t="n">
        <f aca="false">BJ23*BJ24</f>
        <v>16.843322647264</v>
      </c>
      <c r="BK25" s="13" t="n">
        <f aca="false">BK23*BK24</f>
        <v>11.5643893490485</v>
      </c>
      <c r="BL25" s="13" t="n">
        <f aca="false">BL23*BL24</f>
        <v>16.9903699211442</v>
      </c>
      <c r="BM25" s="13" t="n">
        <f aca="false">BM23*BM24</f>
        <v>16.9485446167213</v>
      </c>
      <c r="BN25" s="13" t="n">
        <f aca="false">BN23*BN24</f>
        <v>5.55122747448142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15.7219188964976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</v>
      </c>
      <c r="Z26" s="13" t="n">
        <f aca="false">IF(Time!Z30&gt;0,Inputs!$F$176/100*Operations!Z55*(Z8+Z9)/Time!Z30,0)</f>
        <v>0.118597771671728</v>
      </c>
      <c r="AA26" s="13" t="n">
        <f aca="false">IF(Time!AA30&gt;0,Inputs!$F$176/100*Operations!AA55*(AA8+AA9)/Time!AA30,0)</f>
        <v>0.357162155194092</v>
      </c>
      <c r="AB26" s="13" t="n">
        <f aca="false">IF(Time!AB30&gt;0,Inputs!$F$176/100*Operations!AB55*(AB8+AB9)/Time!AB30,0)</f>
        <v>0.358956600187885</v>
      </c>
      <c r="AC26" s="13" t="n">
        <f aca="false">IF(Time!AC30&gt;0,Inputs!$F$176/100*Operations!AC55*(AC8+AC9)/Time!AC30,0)</f>
        <v>0.360910873094833</v>
      </c>
      <c r="AD26" s="13" t="n">
        <f aca="false">IF(Time!AD30&gt;0,Inputs!$F$176/100*Operations!AD55*(AD8+AD9)/Time!AD30,0)</f>
        <v>0.361810322371713</v>
      </c>
      <c r="AE26" s="13" t="n">
        <f aca="false">IF(Time!AE30&gt;0,Inputs!$F$176/100*Operations!AE55*(AE8+AE9)/Time!AE30,0)</f>
        <v>0.357285847425819</v>
      </c>
      <c r="AF26" s="13" t="n">
        <f aca="false">IF(Time!AF30&gt;0,Inputs!$F$176/100*Operations!AF55*(AF8+AF9)/Time!AF30,0)</f>
        <v>0.364428527304582</v>
      </c>
      <c r="AG26" s="13" t="n">
        <f aca="false">IF(Time!AG30&gt;0,Inputs!$F$176/100*Operations!AG55*(AG8+AG9)/Time!AG30,0)</f>
        <v>0.367807136828651</v>
      </c>
      <c r="AH26" s="13" t="n">
        <f aca="false">IF(Time!AH30&gt;0,Inputs!$F$176/100*Operations!AH55*(AH8+AH9)/Time!AH30,0)</f>
        <v>0.369431194794716</v>
      </c>
      <c r="AI26" s="13" t="n">
        <f aca="false">IF(Time!AI30&gt;0,Inputs!$F$176/100*Operations!AI55*(AI8+AI9)/Time!AI30,0)</f>
        <v>0.370923290384181</v>
      </c>
      <c r="AJ26" s="13" t="n">
        <f aca="false">IF(Time!AJ30&gt;0,Inputs!$F$176/100*Operations!AJ55*(AJ8+AJ9)/Time!AJ30,0)</f>
        <v>0.372876973170103</v>
      </c>
      <c r="AK26" s="13" t="n">
        <f aca="false">IF(Time!AK30&gt;0,Inputs!$F$176/100*Operations!AK55*(AK8+AK9)/Time!AK30,0)</f>
        <v>0.375004046052006</v>
      </c>
      <c r="AL26" s="13" t="n">
        <f aca="false">IF(Time!AL30&gt;0,Inputs!$F$176/100*Operations!AL55*(AL8+AL9)/Time!AL30,0)</f>
        <v>0.376309434569326</v>
      </c>
      <c r="AM26" s="13" t="n">
        <f aca="false">IF(Time!AM30&gt;0,Inputs!$F$176/100*Operations!AM55*(AM8+AM9)/Time!AM30,0)</f>
        <v>0.377075756434062</v>
      </c>
      <c r="AN26" s="13" t="n">
        <f aca="false">IF(Time!AN30&gt;0,Inputs!$F$176/100*Operations!AN55*(AN8+AN9)/Time!AN30,0)</f>
        <v>0.379500039032261</v>
      </c>
      <c r="AO26" s="13" t="n">
        <f aca="false">IF(Time!AO30&gt;0,Inputs!$F$176/100*Operations!AO55*(AO8+AO9)/Time!AO30,0)</f>
        <v>0.382514702085066</v>
      </c>
      <c r="AP26" s="13" t="n">
        <f aca="false">IF(Time!AP30&gt;0,Inputs!$F$176/100*Operations!AP55*(AP8+AP9)/Time!AP30,0)</f>
        <v>0.384284146534225</v>
      </c>
      <c r="AQ26" s="13" t="n">
        <f aca="false">IF(Time!AQ30&gt;0,Inputs!$F$176/100*Operations!AQ55*(AQ8+AQ9)/Time!AQ30,0)</f>
        <v>0.385910594788791</v>
      </c>
      <c r="AR26" s="13" t="n">
        <f aca="false">IF(Time!AR30&gt;0,Inputs!$F$176/100*Operations!AR55*(AR8+AR9)/Time!AR30,0)</f>
        <v>0.388037637272362</v>
      </c>
      <c r="AS26" s="13" t="n">
        <f aca="false">IF(Time!AS30&gt;0,Inputs!$F$176/100*Operations!AS55*(AS8+AS9)/Time!AS30,0)</f>
        <v>0.390352776921065</v>
      </c>
      <c r="AT26" s="13" t="n">
        <f aca="false">IF(Time!AT30&gt;0,Inputs!$F$176/100*Operations!AT55*(AT8+AT9)/Time!AT30,0)</f>
        <v>0.391427904793904</v>
      </c>
      <c r="AU26" s="13" t="n">
        <f aca="false">IF(Time!AU30&gt;0,Inputs!$F$176/100*Operations!AU55*(AU8+AU9)/Time!AU30,0)</f>
        <v>0.38661649296821</v>
      </c>
      <c r="AV26" s="13" t="n">
        <f aca="false">IF(Time!AV30&gt;0,Inputs!$F$176/100*Operations!AV55*(AV8+AV9)/Time!AV30,0)</f>
        <v>0.394542046299487</v>
      </c>
      <c r="AW26" s="13" t="n">
        <f aca="false">IF(Time!AW30&gt;0,Inputs!$F$176/100*Operations!AW55*(AW8+AW9)/Time!AW30,0)</f>
        <v>0.398532538072703</v>
      </c>
      <c r="AX26" s="13" t="n">
        <f aca="false">IF(Time!AX30&gt;0,Inputs!$F$176/100*Operations!AX55*(AX8+AX9)/Time!AX30,0)</f>
        <v>0.400460380771801</v>
      </c>
      <c r="AY26" s="13" t="n">
        <f aca="false">IF(Time!AY30&gt;0,Inputs!$F$176/100*Operations!AY55*(AY8+AY9)/Time!AY30,0)</f>
        <v>0.402233277980589</v>
      </c>
      <c r="AZ26" s="13" t="n">
        <f aca="false">IF(Time!AZ30&gt;0,Inputs!$F$176/100*Operations!AZ55*(AZ8+AZ9)/Time!AZ30,0)</f>
        <v>0.404549053644741</v>
      </c>
      <c r="BA26" s="13" t="n">
        <f aca="false">IF(Time!BA30&gt;0,Inputs!$F$176/100*Operations!BA55*(BA8+BA9)/Time!BA30,0)</f>
        <v>0.407068874499829</v>
      </c>
      <c r="BB26" s="13" t="n">
        <f aca="false">IF(Time!BB30&gt;0,Inputs!$F$176/100*Operations!BB55*(BB8+BB9)/Time!BB30,0)</f>
        <v>0.408622883019584</v>
      </c>
      <c r="BC26" s="13" t="n">
        <f aca="false">IF(Time!BC30&gt;0,Inputs!$F$176/100*Operations!BC55*(BC8+BC9)/Time!BC30,0)</f>
        <v>0.409543364355078</v>
      </c>
      <c r="BD26" s="13" t="n">
        <f aca="false">IF(Time!BD30&gt;0,Inputs!$F$176/100*Operations!BD55*(BD8+BD9)/Time!BD30,0)</f>
        <v>0.412413215392352</v>
      </c>
      <c r="BE26" s="13" t="n">
        <f aca="false">IF(Time!BE30&gt;0,Inputs!$F$176/100*Operations!BE55*(BE8+BE9)/Time!BE30,0)</f>
        <v>0.415977323665417</v>
      </c>
      <c r="BF26" s="13" t="n">
        <f aca="false">IF(Time!BF30&gt;0,Inputs!$F$176/100*Operations!BF55*(BF8+BF9)/Time!BF30,0)</f>
        <v>0.418077740600214</v>
      </c>
      <c r="BG26" s="13" t="n">
        <f aca="false">IF(Time!BG30&gt;0,Inputs!$F$176/100*Operations!BG55*(BG8+BG9)/Time!BG30,0)</f>
        <v>0.420010272015969</v>
      </c>
      <c r="BH26" s="13" t="n">
        <f aca="false">IF(Time!BH30&gt;0,Inputs!$F$176/100*Operations!BH55*(BH8+BH9)/Time!BH30,0)</f>
        <v>0.422531516768161</v>
      </c>
      <c r="BI26" s="13" t="n">
        <f aca="false">IF(Time!BI30&gt;0,Inputs!$F$176/100*Operations!BI55*(BI8+BI9)/Time!BI30,0)</f>
        <v>0.425274099768932</v>
      </c>
      <c r="BJ26" s="13" t="n">
        <f aca="false">IF(Time!BJ30&gt;0,Inputs!$F$176/100*Operations!BJ55*(BJ8+BJ9)/Time!BJ30,0)</f>
        <v>0.426559195539071</v>
      </c>
      <c r="BK26" s="13" t="n">
        <f aca="false">IF(Time!BK30&gt;0,Inputs!$F$176/100*Operations!BK55*(BK8+BK9)/Time!BK30,0)</f>
        <v>0.421409408021346</v>
      </c>
      <c r="BL26" s="13" t="n">
        <f aca="false">IF(Time!BL30&gt;0,Inputs!$F$176/100*Operations!BL55*(BL8+BL9)/Time!BL30,0)</f>
        <v>0.430263211743351</v>
      </c>
      <c r="BM26" s="13" t="n">
        <f aca="false">IF(Time!BM30&gt;0,Inputs!$F$176/100*Operations!BM55*(BM8+BM9)/Time!BM30,0)</f>
        <v>0.434976123208277</v>
      </c>
      <c r="BN26" s="13" t="n">
        <f aca="false">IF(Time!BN30&gt;0,Inputs!$F$176/100*Operations!BN55*(BN8+BN9)/Time!BN30,0)</f>
        <v>0.291650147251098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285.941900327944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</v>
      </c>
      <c r="Z27" s="13" t="n">
        <f aca="false">MAX(Z25,Z26)</f>
        <v>0.118597771671728</v>
      </c>
      <c r="AA27" s="13" t="n">
        <f aca="false">MAX(AA25,AA26)</f>
        <v>0.357162155194092</v>
      </c>
      <c r="AB27" s="13" t="n">
        <f aca="false">MAX(AB25,AB26)</f>
        <v>0.358956600187885</v>
      </c>
      <c r="AC27" s="13" t="n">
        <f aca="false">MAX(AC25,AC26)</f>
        <v>0.360910873094833</v>
      </c>
      <c r="AD27" s="13" t="n">
        <f aca="false">MAX(AD25,AD26)</f>
        <v>0.361810322371713</v>
      </c>
      <c r="AE27" s="13" t="n">
        <f aca="false">MAX(AE25,AE26)</f>
        <v>0.357285847425819</v>
      </c>
      <c r="AF27" s="13" t="n">
        <f aca="false">MAX(AF25,AF26)</f>
        <v>0.364428527304582</v>
      </c>
      <c r="AG27" s="13" t="n">
        <f aca="false">MAX(AG25,AG26)</f>
        <v>0.367807136828651</v>
      </c>
      <c r="AH27" s="13" t="n">
        <f aca="false">MAX(AH25,AH26)</f>
        <v>0.369431194794716</v>
      </c>
      <c r="AI27" s="13" t="n">
        <f aca="false">MAX(AI25,AI26)</f>
        <v>0.370923290384181</v>
      </c>
      <c r="AJ27" s="13" t="n">
        <f aca="false">MAX(AJ25,AJ26)</f>
        <v>0.372876973170103</v>
      </c>
      <c r="AK27" s="13" t="n">
        <f aca="false">MAX(AK25,AK26)</f>
        <v>0.375004046052006</v>
      </c>
      <c r="AL27" s="13" t="n">
        <f aca="false">MAX(AL25,AL26)</f>
        <v>0.376309434569326</v>
      </c>
      <c r="AM27" s="13" t="n">
        <f aca="false">MAX(AM25,AM26)</f>
        <v>0.377075756434062</v>
      </c>
      <c r="AN27" s="13" t="n">
        <f aca="false">MAX(AN25,AN26)</f>
        <v>0.379500039032261</v>
      </c>
      <c r="AO27" s="13" t="n">
        <f aca="false">MAX(AO25,AO26)</f>
        <v>0.382514702085066</v>
      </c>
      <c r="AP27" s="13" t="n">
        <f aca="false">MAX(AP25,AP26)</f>
        <v>0.384284146534225</v>
      </c>
      <c r="AQ27" s="13" t="n">
        <f aca="false">MAX(AQ25,AQ26)</f>
        <v>0.385910594788791</v>
      </c>
      <c r="AR27" s="13" t="n">
        <f aca="false">MAX(AR25,AR26)</f>
        <v>9.0799789637807</v>
      </c>
      <c r="AS27" s="13" t="n">
        <f aca="false">MAX(AS25,AS26)</f>
        <v>9.85414351853763</v>
      </c>
      <c r="AT27" s="13" t="n">
        <f aca="false">MAX(AT25,AT26)</f>
        <v>10.0543658770944</v>
      </c>
      <c r="AU27" s="13" t="n">
        <f aca="false">MAX(AU25,AU26)</f>
        <v>5.58935492460651</v>
      </c>
      <c r="AV27" s="13" t="n">
        <f aca="false">MAX(AV25,AV26)</f>
        <v>10.1778201988399</v>
      </c>
      <c r="AW27" s="13" t="n">
        <f aca="false">MAX(AW25,AW26)</f>
        <v>10.1464991464588</v>
      </c>
      <c r="AX27" s="13" t="n">
        <f aca="false">MAX(AX25,AX26)</f>
        <v>10.1974085198525</v>
      </c>
      <c r="AY27" s="13" t="n">
        <f aca="false">MAX(AY25,AY26)</f>
        <v>10.254829732143</v>
      </c>
      <c r="AZ27" s="13" t="n">
        <f aca="false">MAX(AZ25,AZ26)</f>
        <v>10.2933260825969</v>
      </c>
      <c r="BA27" s="13" t="n">
        <f aca="false">MAX(BA25,BA26)</f>
        <v>10.3240331340802</v>
      </c>
      <c r="BB27" s="13" t="n">
        <f aca="false">MAX(BB25,BB26)</f>
        <v>10.3953362108625</v>
      </c>
      <c r="BC27" s="13" t="n">
        <f aca="false">MAX(BC25,BC26)</f>
        <v>9.4191362993705</v>
      </c>
      <c r="BD27" s="13" t="n">
        <f aca="false">MAX(BD25,BD26)</f>
        <v>12.5301652635293</v>
      </c>
      <c r="BE27" s="13" t="n">
        <f aca="false">MAX(BE25,BE26)</f>
        <v>16.5563164364862</v>
      </c>
      <c r="BF27" s="13" t="n">
        <f aca="false">MAX(BF25,BF26)</f>
        <v>16.6118892932608</v>
      </c>
      <c r="BG27" s="13" t="n">
        <f aca="false">MAX(BG25,BG26)</f>
        <v>16.6741805665223</v>
      </c>
      <c r="BH27" s="13" t="n">
        <f aca="false">MAX(BH25,BH26)</f>
        <v>16.7159403572473</v>
      </c>
      <c r="BI27" s="13" t="n">
        <f aca="false">MAX(BI25,BI26)</f>
        <v>16.7485323820912</v>
      </c>
      <c r="BJ27" s="13" t="n">
        <f aca="false">MAX(BJ25,BJ26)</f>
        <v>16.843322647264</v>
      </c>
      <c r="BK27" s="13" t="n">
        <f aca="false">MAX(BK25,BK26)</f>
        <v>11.5643893490485</v>
      </c>
      <c r="BL27" s="13" t="n">
        <f aca="false">MAX(BL25,BL26)</f>
        <v>16.9903699211442</v>
      </c>
      <c r="BM27" s="13" t="n">
        <f aca="false">MAX(BM25,BM26)</f>
        <v>16.9485446167213</v>
      </c>
      <c r="BN27" s="13" t="n">
        <f aca="false">MAX(BN25,BN26)</f>
        <v>5.55122747448142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6.35856805275685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0</v>
      </c>
      <c r="P28" s="13" t="n">
        <f aca="false">P13-P15</f>
        <v>1.25948379879329</v>
      </c>
      <c r="Q28" s="13" t="n">
        <f aca="false">Q13-Q15</f>
        <v>2.57443321388467</v>
      </c>
      <c r="R28" s="13" t="n">
        <f aca="false">R13-R15</f>
        <v>1.72168259682694</v>
      </c>
      <c r="S28" s="13" t="n">
        <f aca="false">S13-S15</f>
        <v>0.802968443251936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0.740572531284416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0.975894364106692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0.026134911139682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0.0485588000285709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0.0601226889174598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0.0588657444730153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0.0715454633128597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0.0652376148433857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-0.445478114360217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1.49688076921121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2.12745836282294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3.43432015662568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5.32094715105007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7.66638864364994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10.3940085395791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13.312589450703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16.3511655703919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19.3591236850786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22.2359115770793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24.8744228506793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27.2287897621722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29.2132302859515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30.7343168736937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31.7970480116135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32.3157442712718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33.4452203983301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31.8148883978607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30.7327793818237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29.2279071492451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27.2364026257248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24.9111525239396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22.2102289558029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19.3229939341148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16.3384123477266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13.2722496145638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10.3665723680561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7.61583185466907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5.23429678561636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3.44434431644154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2.02689443260237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1.42258955355705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1.30637999719264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1.33823434069202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1.39529295162897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1.39191765405411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1.3885059730702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49.6256348742888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-0.388059208958852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0.0580151010218565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82.0763212966303</v>
      </c>
      <c r="K22" s="13" t="n">
        <f aca="false">J22+Construction!K14*$F$9/$F$10*(K21+(K19-K20)*J22)</f>
        <v>83.486577034267</v>
      </c>
      <c r="L22" s="13" t="n">
        <f aca="false">K22+Construction!L14*$F$9/$F$10*(L21+(L19-L20)*K22)</f>
        <v>85.3893711159045</v>
      </c>
      <c r="M22" s="13" t="n">
        <f aca="false">L22+Construction!M14*$F$9/$F$10*(M21+(M19-M20)*L22)</f>
        <v>88.2809559407349</v>
      </c>
      <c r="N22" s="13" t="n">
        <f aca="false">M22+Construction!N14*$F$9/$F$10*(N21+(N19-N20)*M22)</f>
        <v>92.6237368297944</v>
      </c>
      <c r="O22" s="13" t="n">
        <f aca="false">N22+Construction!O14*$F$9/$F$10*(O21+(O19-O20)*N22)</f>
        <v>98.7784232116479</v>
      </c>
      <c r="P22" s="13" t="n">
        <f aca="false">O22+Construction!P14*$F$9/$F$10*(P21+(P19-P20)*O22)</f>
        <v>106.990621844458</v>
      </c>
      <c r="Q22" s="13" t="n">
        <f aca="false">P22+Construction!Q14*$F$9/$F$10*(Q21+(Q19-Q20)*P22)</f>
        <v>117.482276119788</v>
      </c>
      <c r="R22" s="13" t="n">
        <f aca="false">Q22+Construction!R14*$F$9/$F$10*(R21+(R19-R20)*Q22)</f>
        <v>130.304179771482</v>
      </c>
      <c r="S22" s="13" t="n">
        <f aca="false">R22+Construction!S14*$F$9/$F$10*(S21+(S19-S20)*R22)</f>
        <v>145.469145636866</v>
      </c>
      <c r="T22" s="13" t="n">
        <f aca="false">S22+Construction!T14*$F$9/$F$10*(T21+(T19-T20)*S22)</f>
        <v>162.855301012601</v>
      </c>
      <c r="U22" s="13" t="n">
        <f aca="false">T22+Construction!U14*$F$9/$F$10*(U21+(U19-U20)*T22)</f>
        <v>182.340682242891</v>
      </c>
      <c r="V22" s="13" t="n">
        <f aca="false">U22+Construction!V14*$F$9/$F$10*(V21+(V19-V20)*U22)</f>
        <v>203.685581985834</v>
      </c>
      <c r="W22" s="13" t="n">
        <f aca="false">V22+Construction!W14*$F$9/$F$10*(W21+(W19-W20)*V22)</f>
        <v>226.5916579018</v>
      </c>
      <c r="X22" s="13" t="n">
        <f aca="false">W22+Construction!X14*$F$9/$F$10*(X21+(X19-X20)*W22)</f>
        <v>250.762269411052</v>
      </c>
      <c r="Y22" s="13" t="n">
        <f aca="false">X22+Construction!Y14*$F$9/$F$10*(Y21+(Y19-Y20)*X22)</f>
        <v>275.799491952618</v>
      </c>
      <c r="Z22" s="13" t="n">
        <f aca="false">Y22+Construction!Z14*$F$9/$F$10*(Z21+(Z19-Z20)*Y22)</f>
        <v>301.354219893633</v>
      </c>
      <c r="AA22" s="13" t="n">
        <f aca="false">Z22+Construction!AA14*$F$9/$F$10*(AA21+(AA19-AA20)*Z22)</f>
        <v>327.87805615321</v>
      </c>
      <c r="AB22" s="13" t="n">
        <f aca="false">AA22+Construction!AB14*$F$9/$F$10*(AB21+(AB19-AB20)*AA22)</f>
        <v>353.185066454755</v>
      </c>
      <c r="AC22" s="13" t="n">
        <f aca="false">AB22+Construction!AC14*$F$9/$F$10*(AC21+(AC19-AC20)*AB22)</f>
        <v>377.847184131379</v>
      </c>
      <c r="AD22" s="13" t="n">
        <f aca="false">AC22+Construction!AD14*$F$9/$F$10*(AD21+(AD19-AD20)*AC22)</f>
        <v>401.414633823456</v>
      </c>
      <c r="AE22" s="13" t="n">
        <f aca="false">AD22+Construction!AE14*$F$9/$F$10*(AE21+(AE19-AE20)*AD22)</f>
        <v>423.606467000291</v>
      </c>
      <c r="AF22" s="13" t="n">
        <f aca="false">AE22+Construction!AF14*$F$9/$F$10*(AF21+(AF19-AF20)*AE22)</f>
        <v>444.066102163592</v>
      </c>
      <c r="AG22" s="13" t="n">
        <f aca="false">AF22+Construction!AG14*$F$9/$F$10*(AG21+(AG19-AG20)*AF22)</f>
        <v>462.617673482799</v>
      </c>
      <c r="AH22" s="13" t="n">
        <f aca="false">AG22+Construction!AH14*$F$9/$F$10*(AH21+(AH19-AH20)*AG22)</f>
        <v>479.049116555146</v>
      </c>
      <c r="AI22" s="13" t="n">
        <f aca="false">AH22+Construction!AI14*$F$9/$F$10*(AI21+(AI19-AI20)*AH22)</f>
        <v>493.219402090932</v>
      </c>
      <c r="AJ22" s="13" t="n">
        <f aca="false">AI22+Construction!AJ14*$F$9/$F$10*(AJ21+(AJ19-AJ20)*AI22)</f>
        <v>505.176088552962</v>
      </c>
      <c r="AK22" s="13" t="n">
        <f aca="false">AJ22+Construction!AK14*$F$9/$F$10*(AK21+(AK19-AK20)*AJ22)</f>
        <v>514.911174229624</v>
      </c>
      <c r="AL22" s="13" t="n">
        <f aca="false">AK22+Construction!AL14*$F$9/$F$10*(AL21+(AL19-AL20)*AK22)</f>
        <v>522.658295551982</v>
      </c>
      <c r="AM22" s="13" t="n">
        <f aca="false">AL22+Construction!AM14*$F$9/$F$10*(AM21+(AM19-AM20)*AL22)</f>
        <v>528.638436549447</v>
      </c>
      <c r="AN22" s="13" t="n">
        <f aca="false">AM22+Construction!AN14*$F$9/$F$10*(AN21+(AN19-AN20)*AM22)</f>
        <v>533.086672345034</v>
      </c>
      <c r="AO22" s="13" t="n">
        <f aca="false">AN22+Construction!AO14*$F$9/$F$10*(AO21+(AO19-AO20)*AN22)</f>
        <v>536.6728915022</v>
      </c>
      <c r="AP22" s="13" t="n">
        <f aca="false">AO22+Construction!AP14*$F$9/$F$10*(AP21+(AP19-AP20)*AO22)</f>
        <v>539.747791025878</v>
      </c>
      <c r="AQ22" s="13" t="n">
        <f aca="false">AP22+Construction!AQ14*$F$9/$F$10*(AQ21+(AQ19-AQ20)*AP22)</f>
        <v>542.812828178164</v>
      </c>
      <c r="AR22" s="13" t="n">
        <f aca="false">AQ22+Construction!AR14*$F$9/$F$10*(AR21+(AR19-AR20)*AQ22)</f>
        <v>545.846541678481</v>
      </c>
      <c r="AS22" s="13" t="n">
        <f aca="false">AR22+Construction!AS14*$F$9/$F$10*(AS21+(AS19-AS20)*AR22)</f>
        <v>549.002482743453</v>
      </c>
      <c r="AT22" s="13" t="n">
        <f aca="false">AS22+Construction!AT14*$F$9/$F$10*(AT21+(AT19-AT20)*AS22)</f>
        <v>552.167987300271</v>
      </c>
      <c r="AU22" s="13" t="n">
        <f aca="false">AT22+Construction!AU14*$F$9/$F$10*(AU21+(AU19-AU20)*AT22)</f>
        <v>555.274632611731</v>
      </c>
      <c r="AV22" s="13" t="n">
        <f aca="false">AU22+Construction!AV14*$F$9/$F$10*(AV21+(AV19-AV20)*AU22)</f>
        <v>595.067136587704</v>
      </c>
      <c r="AW22" s="13" t="n">
        <f aca="false">AV22+Construction!AW14*$F$9/$F$10*(AW21+(AW19-AW20)*AV22)</f>
        <v>596.985106622238</v>
      </c>
      <c r="AX22" s="13" t="n">
        <f aca="false">AW22+Construction!AX14*$F$9/$F$10*(AX21+(AX19-AX20)*AW22)</f>
        <v>599.322704234936</v>
      </c>
      <c r="AY22" s="13" t="n">
        <f aca="false">AX22+Construction!AY14*$F$9/$F$10*(AY21+(AY19-AY20)*AX22)</f>
        <v>599.322704234936</v>
      </c>
      <c r="AZ22" s="13" t="n">
        <f aca="false">AY22+Construction!AZ14*$F$9/$F$10*(AZ21+(AZ19-AZ20)*AY22)</f>
        <v>599.322704234936</v>
      </c>
      <c r="BA22" s="13" t="n">
        <f aca="false">AZ22+Construction!BA14*$F$9/$F$10*(BA21+(BA19-BA20)*AZ22)</f>
        <v>599.322704234936</v>
      </c>
      <c r="BB22" s="13" t="n">
        <f aca="false">BA22+Construction!BB14*$F$9/$F$10*(BB21+(BB19-BB20)*BA22)</f>
        <v>599.322704234936</v>
      </c>
      <c r="BC22" s="13" t="n">
        <f aca="false">BB22+Construction!BC14*$F$9/$F$10*(BC21+(BC19-BC20)*BB22)</f>
        <v>599.322704234936</v>
      </c>
      <c r="BD22" s="13" t="n">
        <f aca="false">BC22+Construction!BD14*$F$9/$F$10*(BD21+(BD19-BD20)*BC22)</f>
        <v>599.322704234936</v>
      </c>
      <c r="BE22" s="13" t="n">
        <f aca="false">BD22+Construction!BE14*$F$9/$F$10*(BE21+(BE19-BE20)*BD22)</f>
        <v>599.322704234936</v>
      </c>
      <c r="BF22" s="13" t="n">
        <f aca="false">BE22+Construction!BF14*$F$9/$F$10*(BF21+(BF19-BF20)*BE22)</f>
        <v>599.322704234936</v>
      </c>
      <c r="BG22" s="13" t="n">
        <f aca="false">BF22+Construction!BG14*$F$9/$F$10*(BG21+(BG19-BG20)*BF22)</f>
        <v>599.322704234936</v>
      </c>
      <c r="BH22" s="13" t="n">
        <f aca="false">BG22+Construction!BH14*$F$9/$F$10*(BH21+(BH19-BH20)*BG22)</f>
        <v>599.322704234936</v>
      </c>
      <c r="BI22" s="13" t="n">
        <f aca="false">BH22+Construction!BI14*$F$9/$F$10*(BI21+(BI19-BI20)*BH22)</f>
        <v>599.322704234936</v>
      </c>
      <c r="BJ22" s="13" t="n">
        <f aca="false">BI22+Construction!BJ14*$F$9/$F$10*(BJ21+(BJ19-BJ20)*BI22)</f>
        <v>599.322704234936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0.00932246850411913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0.00982579649361803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0.0103476404375495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0.0108543948707758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0.0113797913072085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0.0119090948981582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0.0123889146307161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0.0129218890161516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0.01343954689068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0.0139763430638164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0.014497712896278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0.0150398393301528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0.015583993190123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0.0161125630625409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0.0166607286584316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0.0171931953749219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0.017745402282973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0.0183006411680649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0.0188220289880693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0.0193813528649341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0.0199246877926284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0.0204881954335813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0.0210355945274096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0.0216038902858452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0.0221743577826383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0.0227285328159614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0.0233032981264983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0.0238616482286695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0.0244407437320131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0.0250225516120317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0.0255500744501565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0.0261361442955021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0.0267054876648769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0.0272959965210412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0.0278696522115434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0.0284646337004867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0.0290619010636373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0.0296421223728453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0.0302439135590654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0.0650363072344174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0.0657740802213635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0.0657740802213635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0.0657740802213635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0.0657740802213635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0.0657740802213635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0.0657740802213635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0.0657740802213635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0.0657740802213635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0.0657740802213635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0.0657740802213635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0.0657740802213635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0.0657740802213635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0.0657740802213635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888.150681571343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657.739998413269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27.1068234157473</v>
      </c>
      <c r="L28" s="13" t="n">
        <f aca="false">K61</f>
        <v>27.6640094661166</v>
      </c>
      <c r="M28" s="13" t="n">
        <f aca="false">L61</f>
        <v>28.3738905069508</v>
      </c>
      <c r="N28" s="13" t="n">
        <f aca="false">M61</f>
        <v>29.3763882429777</v>
      </c>
      <c r="O28" s="13" t="n">
        <f aca="false">N61</f>
        <v>30.8192118706294</v>
      </c>
      <c r="P28" s="13" t="n">
        <f aca="false">O61</f>
        <v>32.8066481887035</v>
      </c>
      <c r="Q28" s="13" t="n">
        <f aca="false">P61</f>
        <v>35.3981534452974</v>
      </c>
      <c r="R28" s="13" t="n">
        <f aca="false">Q61</f>
        <v>38.6876581970017</v>
      </c>
      <c r="S28" s="13" t="n">
        <f aca="false">R61</f>
        <v>42.6721567507348</v>
      </c>
      <c r="T28" s="13" t="n">
        <f aca="false">S61</f>
        <v>47.364673276461</v>
      </c>
      <c r="U28" s="13" t="n">
        <f aca="false">T61</f>
        <v>52.7194363807967</v>
      </c>
      <c r="V28" s="13" t="n">
        <f aca="false">U61</f>
        <v>58.7094977384069</v>
      </c>
      <c r="W28" s="13" t="n">
        <f aca="false">V61</f>
        <v>65.2579548477734</v>
      </c>
      <c r="X28" s="13" t="n">
        <f aca="false">W61</f>
        <v>72.270612530297</v>
      </c>
      <c r="Y28" s="13" t="n">
        <f aca="false">X61</f>
        <v>79.667852077354</v>
      </c>
      <c r="Z28" s="13" t="n">
        <f aca="false">Y61</f>
        <v>87.3208920429734</v>
      </c>
      <c r="AA28" s="13" t="n">
        <f aca="false">Z61</f>
        <v>95.1344433078039</v>
      </c>
      <c r="AB28" s="13" t="n">
        <f aca="false">AA61</f>
        <v>103.239534923946</v>
      </c>
      <c r="AC28" s="13" t="n">
        <f aca="false">AB61</f>
        <v>110.970559298719</v>
      </c>
      <c r="AD28" s="13" t="n">
        <f aca="false">AC61</f>
        <v>118.518223766444</v>
      </c>
      <c r="AE28" s="13" t="n">
        <f aca="false">AD61</f>
        <v>125.733227659973</v>
      </c>
      <c r="AF28" s="13" t="n">
        <f aca="false">AE61</f>
        <v>132.540921521638</v>
      </c>
      <c r="AG28" s="13" t="n">
        <f aca="false">AF61</f>
        <v>138.824663934111</v>
      </c>
      <c r="AH28" s="13" t="n">
        <f aca="false">AG61</f>
        <v>144.541555009429</v>
      </c>
      <c r="AI28" s="13" t="n">
        <f aca="false">AH61</f>
        <v>149.622986259961</v>
      </c>
      <c r="AJ28" s="13" t="n">
        <f aca="false">AI61</f>
        <v>154.021729200764</v>
      </c>
      <c r="AK28" s="13" t="n">
        <f aca="false">AJ61</f>
        <v>157.761878600062</v>
      </c>
      <c r="AL28" s="13" t="n">
        <f aca="false">AK61</f>
        <v>160.8311740102</v>
      </c>
      <c r="AM28" s="13" t="n">
        <f aca="false">AL61</f>
        <v>163.309607626704</v>
      </c>
      <c r="AN28" s="13" t="n">
        <f aca="false">AM61</f>
        <v>165.258669845498</v>
      </c>
      <c r="AO28" s="13" t="n">
        <f aca="false">AN61</f>
        <v>166.733696514642</v>
      </c>
      <c r="AP28" s="13" t="n">
        <f aca="false">AO61</f>
        <v>167.965717761569</v>
      </c>
      <c r="AQ28" s="13" t="n">
        <f aca="false">AP61</f>
        <v>169.03988642914</v>
      </c>
      <c r="AR28" s="13" t="n">
        <f aca="false">AQ61</f>
        <v>170.116735827749</v>
      </c>
      <c r="AS28" s="13" t="n">
        <f aca="false">AR61</f>
        <v>171.179697685596</v>
      </c>
      <c r="AT28" s="13" t="n">
        <f aca="false">AS61</f>
        <v>172.285009969566</v>
      </c>
      <c r="AU28" s="13" t="n">
        <f aca="false">AT61</f>
        <v>173.39380036131</v>
      </c>
      <c r="AV28" s="13" t="n">
        <f aca="false">AU61</f>
        <v>174.480391140118</v>
      </c>
      <c r="AW28" s="13" t="n">
        <f aca="false">AV61</f>
        <v>186.578486708572</v>
      </c>
      <c r="AX28" s="13" t="n">
        <f aca="false">AW61</f>
        <v>196.424144165811</v>
      </c>
      <c r="AY28" s="13" t="n">
        <f aca="false">AX61</f>
        <v>197.321999523981</v>
      </c>
      <c r="AZ28" s="13" t="n">
        <f aca="false">AY61</f>
        <v>197.321999523981</v>
      </c>
      <c r="BA28" s="13" t="n">
        <f aca="false">AZ61</f>
        <v>197.321999523981</v>
      </c>
      <c r="BB28" s="13" t="n">
        <f aca="false">BA61</f>
        <v>197.321999523981</v>
      </c>
      <c r="BC28" s="13" t="n">
        <f aca="false">BB61</f>
        <v>197.321999523981</v>
      </c>
      <c r="BD28" s="13" t="n">
        <f aca="false">BC61</f>
        <v>197.321999523981</v>
      </c>
      <c r="BE28" s="13" t="n">
        <f aca="false">BD61</f>
        <v>197.321999523981</v>
      </c>
      <c r="BF28" s="13" t="n">
        <f aca="false">BE61</f>
        <v>197.321999523981</v>
      </c>
      <c r="BG28" s="13" t="n">
        <f aca="false">BF61</f>
        <v>197.321999523981</v>
      </c>
      <c r="BH28" s="13" t="n">
        <f aca="false">BG61</f>
        <v>197.321999523981</v>
      </c>
      <c r="BI28" s="13" t="n">
        <f aca="false">BH61</f>
        <v>197.321999523981</v>
      </c>
      <c r="BJ28" s="13" t="n">
        <f aca="false">BI61</f>
        <v>197.321999523981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19.878337171548</v>
      </c>
      <c r="L29" s="13" t="n">
        <f aca="false">K62</f>
        <v>20.2869402751521</v>
      </c>
      <c r="M29" s="13" t="n">
        <f aca="false">L62</f>
        <v>20.8075197050972</v>
      </c>
      <c r="N29" s="13" t="n">
        <f aca="false">M62</f>
        <v>21.5426847115169</v>
      </c>
      <c r="O29" s="13" t="n">
        <f aca="false">N62</f>
        <v>22.6007553717949</v>
      </c>
      <c r="P29" s="13" t="n">
        <f aca="false">O62</f>
        <v>24.0582086717159</v>
      </c>
      <c r="Q29" s="13" t="n">
        <f aca="false">P62</f>
        <v>25.9586458598847</v>
      </c>
      <c r="R29" s="13" t="n">
        <f aca="false">Q62</f>
        <v>28.3709493444679</v>
      </c>
      <c r="S29" s="13" t="n">
        <f aca="false">R62</f>
        <v>31.2929149505388</v>
      </c>
      <c r="T29" s="13" t="n">
        <f aca="false">S62</f>
        <v>34.7340937360714</v>
      </c>
      <c r="U29" s="13" t="n">
        <f aca="false">T62</f>
        <v>38.6609200125843</v>
      </c>
      <c r="V29" s="13" t="n">
        <f aca="false">U62</f>
        <v>43.0536316748318</v>
      </c>
      <c r="W29" s="13" t="n">
        <f aca="false">V62</f>
        <v>47.8558335550338</v>
      </c>
      <c r="X29" s="13" t="n">
        <f aca="false">W62</f>
        <v>52.9984491888844</v>
      </c>
      <c r="Y29" s="13" t="n">
        <f aca="false">X62</f>
        <v>58.4230915233929</v>
      </c>
      <c r="Z29" s="13" t="n">
        <f aca="false">Y62</f>
        <v>64.0353208315138</v>
      </c>
      <c r="AA29" s="13" t="n">
        <f aca="false">Z62</f>
        <v>69.7652584257228</v>
      </c>
      <c r="AB29" s="13" t="n">
        <f aca="false">AA62</f>
        <v>75.7089922775603</v>
      </c>
      <c r="AC29" s="13" t="n">
        <f aca="false">AB62</f>
        <v>81.3784101523941</v>
      </c>
      <c r="AD29" s="13" t="n">
        <f aca="false">AC62</f>
        <v>86.9133640953919</v>
      </c>
      <c r="AE29" s="13" t="n">
        <f aca="false">AD62</f>
        <v>92.2043669506465</v>
      </c>
      <c r="AF29" s="13" t="n">
        <f aca="false">AE62</f>
        <v>97.1966757825344</v>
      </c>
      <c r="AG29" s="13" t="n">
        <f aca="false">AF62</f>
        <v>101.804753551681</v>
      </c>
      <c r="AH29" s="13" t="n">
        <f aca="false">AG62</f>
        <v>105.997140340248</v>
      </c>
      <c r="AI29" s="13" t="n">
        <f aca="false">AH62</f>
        <v>109.723523257305</v>
      </c>
      <c r="AJ29" s="13" t="n">
        <f aca="false">AI62</f>
        <v>112.94926808056</v>
      </c>
      <c r="AK29" s="13" t="n">
        <f aca="false">AJ62</f>
        <v>115.692044306712</v>
      </c>
      <c r="AL29" s="13" t="n">
        <f aca="false">AK62</f>
        <v>117.942860940813</v>
      </c>
      <c r="AM29" s="13" t="n">
        <f aca="false">AL62</f>
        <v>119.76037892625</v>
      </c>
      <c r="AN29" s="13" t="n">
        <f aca="false">AM62</f>
        <v>121.189691220032</v>
      </c>
      <c r="AO29" s="13" t="n">
        <f aca="false">AN62</f>
        <v>122.271377444071</v>
      </c>
      <c r="AP29" s="13" t="n">
        <f aca="false">AO62</f>
        <v>123.174859691817</v>
      </c>
      <c r="AQ29" s="13" t="n">
        <f aca="false">AP62</f>
        <v>123.962583381369</v>
      </c>
      <c r="AR29" s="13" t="n">
        <f aca="false">AQ62</f>
        <v>124.752272940349</v>
      </c>
      <c r="AS29" s="13" t="n">
        <f aca="false">AR62</f>
        <v>125.53177830277</v>
      </c>
      <c r="AT29" s="13" t="n">
        <f aca="false">AS62</f>
        <v>126.342340644348</v>
      </c>
      <c r="AU29" s="13" t="n">
        <f aca="false">AT62</f>
        <v>127.155453598294</v>
      </c>
      <c r="AV29" s="13" t="n">
        <f aca="false">AU62</f>
        <v>127.952286836087</v>
      </c>
      <c r="AW29" s="13" t="n">
        <f aca="false">AV62</f>
        <v>136.824223586286</v>
      </c>
      <c r="AX29" s="13" t="n">
        <f aca="false">AW62</f>
        <v>144.044372388261</v>
      </c>
      <c r="AY29" s="13" t="n">
        <f aca="false">AX62</f>
        <v>144.702799650919</v>
      </c>
      <c r="AZ29" s="13" t="n">
        <f aca="false">AY62</f>
        <v>144.702799650919</v>
      </c>
      <c r="BA29" s="13" t="n">
        <f aca="false">AZ62</f>
        <v>144.702799650919</v>
      </c>
      <c r="BB29" s="13" t="n">
        <f aca="false">BA62</f>
        <v>144.702799650919</v>
      </c>
      <c r="BC29" s="13" t="n">
        <f aca="false">BB62</f>
        <v>144.702799650919</v>
      </c>
      <c r="BD29" s="13" t="n">
        <f aca="false">BC62</f>
        <v>144.702799650919</v>
      </c>
      <c r="BE29" s="13" t="n">
        <f aca="false">BD62</f>
        <v>144.702799650919</v>
      </c>
      <c r="BF29" s="13" t="n">
        <f aca="false">BE62</f>
        <v>144.702799650919</v>
      </c>
      <c r="BG29" s="13" t="n">
        <f aca="false">BF62</f>
        <v>144.702799650919</v>
      </c>
      <c r="BH29" s="13" t="n">
        <f aca="false">BG62</f>
        <v>144.702799650919</v>
      </c>
      <c r="BI29" s="13" t="n">
        <f aca="false">BH62</f>
        <v>144.702799650919</v>
      </c>
      <c r="BJ29" s="13" t="n">
        <f aca="false">BI62</f>
        <v>144.702799650919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9.03560780524911</v>
      </c>
      <c r="L30" s="13" t="n">
        <f aca="false">K63</f>
        <v>9.22133648870552</v>
      </c>
      <c r="M30" s="13" t="n">
        <f aca="false">L63</f>
        <v>9.45796350231693</v>
      </c>
      <c r="N30" s="13" t="n">
        <f aca="false">M63</f>
        <v>9.79212941432589</v>
      </c>
      <c r="O30" s="13" t="n">
        <f aca="false">N63</f>
        <v>10.2730706235431</v>
      </c>
      <c r="P30" s="13" t="n">
        <f aca="false">O63</f>
        <v>10.9355493962345</v>
      </c>
      <c r="Q30" s="13" t="n">
        <f aca="false">P63</f>
        <v>11.7993844817658</v>
      </c>
      <c r="R30" s="13" t="n">
        <f aca="false">Q63</f>
        <v>12.8958860656672</v>
      </c>
      <c r="S30" s="13" t="n">
        <f aca="false">R63</f>
        <v>14.2240522502449</v>
      </c>
      <c r="T30" s="13" t="n">
        <f aca="false">S63</f>
        <v>15.788224425487</v>
      </c>
      <c r="U30" s="13" t="n">
        <f aca="false">T63</f>
        <v>17.5731454602656</v>
      </c>
      <c r="V30" s="13" t="n">
        <f aca="false">U63</f>
        <v>19.569832579469</v>
      </c>
      <c r="W30" s="13" t="n">
        <f aca="false">V63</f>
        <v>21.7526516159244</v>
      </c>
      <c r="X30" s="13" t="n">
        <f aca="false">W63</f>
        <v>24.0902041767657</v>
      </c>
      <c r="Y30" s="13" t="n">
        <f aca="false">X63</f>
        <v>26.5559506924513</v>
      </c>
      <c r="Z30" s="13" t="n">
        <f aca="false">Y63</f>
        <v>29.1069640143245</v>
      </c>
      <c r="AA30" s="13" t="n">
        <f aca="false">Z63</f>
        <v>31.7114811026013</v>
      </c>
      <c r="AB30" s="13" t="n">
        <f aca="false">AA63</f>
        <v>34.413178307982</v>
      </c>
      <c r="AC30" s="13" t="n">
        <f aca="false">AB63</f>
        <v>36.9901864329064</v>
      </c>
      <c r="AD30" s="13" t="n">
        <f aca="false">AC63</f>
        <v>39.5060745888145</v>
      </c>
      <c r="AE30" s="13" t="n">
        <f aca="false">AD63</f>
        <v>41.9110758866575</v>
      </c>
      <c r="AF30" s="13" t="n">
        <f aca="false">AE63</f>
        <v>44.1803071738793</v>
      </c>
      <c r="AG30" s="13" t="n">
        <f aca="false">AF63</f>
        <v>46.2748879780369</v>
      </c>
      <c r="AH30" s="13" t="n">
        <f aca="false">AG63</f>
        <v>48.1805183364765</v>
      </c>
      <c r="AI30" s="13" t="n">
        <f aca="false">AH63</f>
        <v>49.8743287533203</v>
      </c>
      <c r="AJ30" s="13" t="n">
        <f aca="false">AI63</f>
        <v>51.3405764002545</v>
      </c>
      <c r="AK30" s="13" t="n">
        <f aca="false">AJ63</f>
        <v>52.5872928666872</v>
      </c>
      <c r="AL30" s="13" t="n">
        <f aca="false">AK63</f>
        <v>53.6103913367332</v>
      </c>
      <c r="AM30" s="13" t="n">
        <f aca="false">AL63</f>
        <v>54.436535875568</v>
      </c>
      <c r="AN30" s="13" t="n">
        <f aca="false">AM63</f>
        <v>55.0862232818327</v>
      </c>
      <c r="AO30" s="13" t="n">
        <f aca="false">AN63</f>
        <v>55.5778988382139</v>
      </c>
      <c r="AP30" s="13" t="n">
        <f aca="false">AO63</f>
        <v>55.9885725871897</v>
      </c>
      <c r="AQ30" s="13" t="n">
        <f aca="false">AP63</f>
        <v>56.3466288097133</v>
      </c>
      <c r="AR30" s="13" t="n">
        <f aca="false">AQ63</f>
        <v>56.7055786092496</v>
      </c>
      <c r="AS30" s="13" t="n">
        <f aca="false">AR63</f>
        <v>57.0598992285319</v>
      </c>
      <c r="AT30" s="13" t="n">
        <f aca="false">AS63</f>
        <v>57.4283366565219</v>
      </c>
      <c r="AU30" s="13" t="n">
        <f aca="false">AT63</f>
        <v>57.79793345377</v>
      </c>
      <c r="AV30" s="13" t="n">
        <f aca="false">AU63</f>
        <v>58.1601303800395</v>
      </c>
      <c r="AW30" s="13" t="n">
        <f aca="false">AV63</f>
        <v>62.1928289028573</v>
      </c>
      <c r="AX30" s="13" t="n">
        <f aca="false">AW63</f>
        <v>65.4747147219369</v>
      </c>
      <c r="AY30" s="13" t="n">
        <f aca="false">AX63</f>
        <v>65.7739998413268</v>
      </c>
      <c r="AZ30" s="13" t="n">
        <f aca="false">AY63</f>
        <v>65.7739998413268</v>
      </c>
      <c r="BA30" s="13" t="n">
        <f aca="false">AZ63</f>
        <v>65.7739998413268</v>
      </c>
      <c r="BB30" s="13" t="n">
        <f aca="false">BA63</f>
        <v>65.7739998413268</v>
      </c>
      <c r="BC30" s="13" t="n">
        <f aca="false">BB63</f>
        <v>65.7739998413268</v>
      </c>
      <c r="BD30" s="13" t="n">
        <f aca="false">BC63</f>
        <v>65.7739998413268</v>
      </c>
      <c r="BE30" s="13" t="n">
        <f aca="false">BD63</f>
        <v>65.7739998413268</v>
      </c>
      <c r="BF30" s="13" t="n">
        <f aca="false">BE63</f>
        <v>65.7739998413268</v>
      </c>
      <c r="BG30" s="13" t="n">
        <f aca="false">BF63</f>
        <v>65.7739998413268</v>
      </c>
      <c r="BH30" s="13" t="n">
        <f aca="false">BG63</f>
        <v>65.7739998413268</v>
      </c>
      <c r="BI30" s="13" t="n">
        <f aca="false">BH63</f>
        <v>65.7739998413268</v>
      </c>
      <c r="BJ30" s="13" t="n">
        <f aca="false">BI63</f>
        <v>65.7739998413268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34.3353096599466</v>
      </c>
      <c r="L31" s="13" t="n">
        <f aca="false">K64</f>
        <v>35.041078657081</v>
      </c>
      <c r="M31" s="13" t="n">
        <f aca="false">L64</f>
        <v>35.9402613088043</v>
      </c>
      <c r="N31" s="13" t="n">
        <f aca="false">M64</f>
        <v>37.2100917744384</v>
      </c>
      <c r="O31" s="13" t="n">
        <f aca="false">N64</f>
        <v>39.0376683694639</v>
      </c>
      <c r="P31" s="13" t="n">
        <f aca="false">O64</f>
        <v>41.555087705691</v>
      </c>
      <c r="Q31" s="13" t="n">
        <f aca="false">P64</f>
        <v>44.83766103071</v>
      </c>
      <c r="R31" s="13" t="n">
        <f aca="false">Q64</f>
        <v>49.0043670495354</v>
      </c>
      <c r="S31" s="13" t="n">
        <f aca="false">R64</f>
        <v>54.0513985509307</v>
      </c>
      <c r="T31" s="13" t="n">
        <f aca="false">S64</f>
        <v>59.9952528168505</v>
      </c>
      <c r="U31" s="13" t="n">
        <f aca="false">T64</f>
        <v>66.7779527490092</v>
      </c>
      <c r="V31" s="13" t="n">
        <f aca="false">U64</f>
        <v>74.3653638019821</v>
      </c>
      <c r="W31" s="13" t="n">
        <f aca="false">V64</f>
        <v>82.6600761405129</v>
      </c>
      <c r="X31" s="13" t="n">
        <f aca="false">W64</f>
        <v>91.5427758717095</v>
      </c>
      <c r="Y31" s="13" t="n">
        <f aca="false">X64</f>
        <v>100.912612631315</v>
      </c>
      <c r="Z31" s="13" t="n">
        <f aca="false">Y64</f>
        <v>110.606463254433</v>
      </c>
      <c r="AA31" s="13" t="n">
        <f aca="false">Z64</f>
        <v>120.503628189885</v>
      </c>
      <c r="AB31" s="13" t="n">
        <f aca="false">AA64</f>
        <v>130.770077570332</v>
      </c>
      <c r="AC31" s="13" t="n">
        <f aca="false">AB64</f>
        <v>140.562708445044</v>
      </c>
      <c r="AD31" s="13" t="n">
        <f aca="false">AC64</f>
        <v>150.123083437495</v>
      </c>
      <c r="AE31" s="13" t="n">
        <f aca="false">AD64</f>
        <v>159.262088369299</v>
      </c>
      <c r="AF31" s="13" t="n">
        <f aca="false">AE64</f>
        <v>167.885167260741</v>
      </c>
      <c r="AG31" s="13" t="n">
        <f aca="false">AF64</f>
        <v>175.84457431654</v>
      </c>
      <c r="AH31" s="13" t="n">
        <f aca="false">AG64</f>
        <v>183.085969678611</v>
      </c>
      <c r="AI31" s="13" t="n">
        <f aca="false">AH64</f>
        <v>189.522449262617</v>
      </c>
      <c r="AJ31" s="13" t="n">
        <f aca="false">AI64</f>
        <v>195.094190320967</v>
      </c>
      <c r="AK31" s="13" t="n">
        <f aca="false">AJ64</f>
        <v>199.831712893411</v>
      </c>
      <c r="AL31" s="13" t="n">
        <f aca="false">AK64</f>
        <v>203.719487079586</v>
      </c>
      <c r="AM31" s="13" t="n">
        <f aca="false">AL64</f>
        <v>206.858836327158</v>
      </c>
      <c r="AN31" s="13" t="n">
        <f aca="false">AM64</f>
        <v>209.327648470964</v>
      </c>
      <c r="AO31" s="13" t="n">
        <f aca="false">AN64</f>
        <v>211.196015585213</v>
      </c>
      <c r="AP31" s="13" t="n">
        <f aca="false">AO64</f>
        <v>212.756575831321</v>
      </c>
      <c r="AQ31" s="13" t="n">
        <f aca="false">AP64</f>
        <v>214.117189476911</v>
      </c>
      <c r="AR31" s="13" t="n">
        <f aca="false">AQ64</f>
        <v>215.481198715148</v>
      </c>
      <c r="AS31" s="13" t="n">
        <f aca="false">AR64</f>
        <v>216.827617068421</v>
      </c>
      <c r="AT31" s="13" t="n">
        <f aca="false">AS64</f>
        <v>218.227679294783</v>
      </c>
      <c r="AU31" s="13" t="n">
        <f aca="false">AT64</f>
        <v>219.632147124326</v>
      </c>
      <c r="AV31" s="13" t="n">
        <f aca="false">AU64</f>
        <v>221.00849544415</v>
      </c>
      <c r="AW31" s="13" t="n">
        <f aca="false">AV64</f>
        <v>236.332749830858</v>
      </c>
      <c r="AX31" s="13" t="n">
        <f aca="false">AW64</f>
        <v>248.80391594336</v>
      </c>
      <c r="AY31" s="13" t="n">
        <f aca="false">AX64</f>
        <v>249.941199397042</v>
      </c>
      <c r="AZ31" s="13" t="n">
        <f aca="false">AY64</f>
        <v>249.941199397042</v>
      </c>
      <c r="BA31" s="13" t="n">
        <f aca="false">AZ64</f>
        <v>249.941199397042</v>
      </c>
      <c r="BB31" s="13" t="n">
        <f aca="false">BA64</f>
        <v>249.941199397042</v>
      </c>
      <c r="BC31" s="13" t="n">
        <f aca="false">BB64</f>
        <v>249.941199397042</v>
      </c>
      <c r="BD31" s="13" t="n">
        <f aca="false">BC64</f>
        <v>249.941199397042</v>
      </c>
      <c r="BE31" s="13" t="n">
        <f aca="false">BD64</f>
        <v>249.941199397042</v>
      </c>
      <c r="BF31" s="13" t="n">
        <f aca="false">BE64</f>
        <v>249.941199397042</v>
      </c>
      <c r="BG31" s="13" t="n">
        <f aca="false">BF64</f>
        <v>249.941199397042</v>
      </c>
      <c r="BH31" s="13" t="n">
        <f aca="false">BG64</f>
        <v>249.941199397042</v>
      </c>
      <c r="BI31" s="13" t="n">
        <f aca="false">BH64</f>
        <v>249.941199397042</v>
      </c>
      <c r="BJ31" s="13" t="n">
        <f aca="false">BI64</f>
        <v>249.941199397042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</v>
      </c>
      <c r="AT32" s="13" t="n">
        <f aca="false">AS65</f>
        <v>0</v>
      </c>
      <c r="AU32" s="13" t="n">
        <f aca="false">AT65</f>
        <v>0</v>
      </c>
      <c r="AV32" s="13" t="n">
        <f aca="false">AU65</f>
        <v>0</v>
      </c>
      <c r="AW32" s="13" t="n">
        <f aca="false">AV65</f>
        <v>0</v>
      </c>
      <c r="AX32" s="13" t="n">
        <f aca="false">AW65</f>
        <v>0</v>
      </c>
      <c r="AY32" s="13" t="n">
        <f aca="false">AX65</f>
        <v>1.99840144432528E-013</v>
      </c>
      <c r="AZ32" s="13" t="n">
        <f aca="false">AY65</f>
        <v>1.99840144432528E-013</v>
      </c>
      <c r="BA32" s="13" t="n">
        <f aca="false">AZ65</f>
        <v>1.99840144432528E-013</v>
      </c>
      <c r="BB32" s="13" t="n">
        <f aca="false">BA65</f>
        <v>1.99840144432528E-013</v>
      </c>
      <c r="BC32" s="13" t="n">
        <f aca="false">BB65</f>
        <v>1.99840144432528E-013</v>
      </c>
      <c r="BD32" s="13" t="n">
        <f aca="false">BC65</f>
        <v>1.99840144432528E-013</v>
      </c>
      <c r="BE32" s="13" t="n">
        <f aca="false">BD65</f>
        <v>1.99840144432528E-013</v>
      </c>
      <c r="BF32" s="13" t="n">
        <f aca="false">BE65</f>
        <v>1.99840144432528E-013</v>
      </c>
      <c r="BG32" s="13" t="n">
        <f aca="false">BF65</f>
        <v>1.99840144432528E-013</v>
      </c>
      <c r="BH32" s="13" t="n">
        <f aca="false">BG65</f>
        <v>1.99840144432528E-013</v>
      </c>
      <c r="BI32" s="13" t="n">
        <f aca="false">BH65</f>
        <v>1.99840144432528E-013</v>
      </c>
      <c r="BJ32" s="13" t="n">
        <f aca="false">BI65</f>
        <v>1.99840144432528E-013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16.3997626582507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0.0874195055157851</v>
      </c>
      <c r="L33" s="13" t="n">
        <f aca="false">Construction!L14*L28*(Construction!L17+Inputs!$F$79)/100*Construction!L11/Inputs!$F$247*1</f>
        <v>0.0921903115458334</v>
      </c>
      <c r="M33" s="13" t="n">
        <f aca="false">Construction!M14*M28*(Construction!M17+Inputs!$F$79)/100*Construction!M11/Inputs!$F$247*1</f>
        <v>0.0915057968849163</v>
      </c>
      <c r="N33" s="13" t="n">
        <f aca="false">Construction!N14*N28*(Construction!N17+Inputs!$F$79)/100*Construction!N11/Inputs!$F$247*1</f>
        <v>0.097896813819723</v>
      </c>
      <c r="O33" s="13" t="n">
        <f aca="false">Construction!O14*O28*(Construction!O17+Inputs!$F$79)/100*Construction!O11/Inputs!$F$247*1</f>
        <v>0.109870490318794</v>
      </c>
      <c r="P33" s="13" t="n">
        <f aca="false">Construction!P14*P28*(Construction!P17+Inputs!$F$79)/100*Construction!P11/Inputs!$F$247*1</f>
        <v>0.105637407167625</v>
      </c>
      <c r="Q33" s="13" t="n">
        <f aca="false">Construction!Q14*Q28*(Construction!Q17+Inputs!$F$79)/100*Construction!Q11/Inputs!$F$247*1</f>
        <v>0.126194417032485</v>
      </c>
      <c r="R33" s="13" t="n">
        <f aca="false">Construction!R14*R28*(Construction!R17+Inputs!$F$79)/100*Construction!R11/Inputs!$F$247*1</f>
        <v>0.133472420779656</v>
      </c>
      <c r="S33" s="13" t="n">
        <f aca="false">Construction!S14*S28*(Construction!S17+Inputs!$F$79)/100*Construction!S11/Inputs!$F$247*1</f>
        <v>0.15212623881637</v>
      </c>
      <c r="T33" s="13" t="n">
        <f aca="false">Construction!T14*T28*(Construction!T17+Inputs!$F$79)/100*Construction!T11/Inputs!$F$247*1</f>
        <v>0.16340812280379</v>
      </c>
      <c r="U33" s="13" t="n">
        <f aca="false">Construction!U14*U28*(Construction!U17+Inputs!$F$79)/100*Construction!U11/Inputs!$F$247*1</f>
        <v>0.194754384563393</v>
      </c>
      <c r="V33" s="13" t="n">
        <f aca="false">Construction!V14*V28*(Construction!V17+Inputs!$F$79)/100*Construction!V11/Inputs!$F$247*1</f>
        <v>0.216882669561965</v>
      </c>
      <c r="W33" s="13" t="n">
        <f aca="false">Construction!W14*W28*(Construction!W17+Inputs!$F$79)/100*Construction!W11/Inputs!$F$247*1</f>
        <v>0.23329718858079</v>
      </c>
      <c r="X33" s="13" t="n">
        <f aca="false">Construction!X14*X28*(Construction!X17+Inputs!$F$79)/100*Construction!X11/Inputs!$F$247*1</f>
        <v>0.266979687789005</v>
      </c>
      <c r="Y33" s="13" t="n">
        <f aca="false">Construction!Y14*Y28*(Construction!Y17+Inputs!$F$79)/100*Construction!Y11/Inputs!$F$247*1</f>
        <v>0.28481257117654</v>
      </c>
      <c r="Z33" s="13" t="n">
        <f aca="false">Construction!Z14*Z28*(Construction!Z17+Inputs!$F$79)/100*Construction!Z11/Inputs!$F$247*1</f>
        <v>0.322577928688751</v>
      </c>
      <c r="AA33" s="13" t="n">
        <f aca="false">Construction!AA14*AA28*(Construction!AA17+Inputs!$F$79)/100*Construction!AA11/Inputs!$F$247*1</f>
        <v>0.357996195414116</v>
      </c>
      <c r="AB33" s="13" t="n">
        <f aca="false">Construction!AB14*AB28*(Construction!AB17+Inputs!$F$79)/100*Construction!AB11/Inputs!$F$247*1</f>
        <v>0.36343184058088</v>
      </c>
      <c r="AC33" s="13" t="n">
        <f aca="false">Construction!AC14*AC28*(Construction!AC17+Inputs!$F$79)/100*Construction!AC11/Inputs!$F$247*1</f>
        <v>0.417588379672153</v>
      </c>
      <c r="AD33" s="13" t="n">
        <f aca="false">Construction!AD14*AD28*(Construction!AD17+Inputs!$F$79)/100*Construction!AD11/Inputs!$F$247*1</f>
        <v>0.431603864882799</v>
      </c>
      <c r="AE33" s="13" t="n">
        <f aca="false">Construction!AE14*AE28*(Construction!AE17+Inputs!$F$79)/100*Construction!AE11/Inputs!$F$247*1</f>
        <v>0.473141120863791</v>
      </c>
      <c r="AF33" s="13" t="n">
        <f aca="false">Construction!AF14*AF28*(Construction!AF17+Inputs!$F$79)/100*Construction!AF11/Inputs!$F$247*1</f>
        <v>0.482669855874631</v>
      </c>
      <c r="AG33" s="13" t="n">
        <f aca="false">Construction!AG14*AG28*(Construction!AG17+Inputs!$F$79)/100*Construction!AG11/Inputs!$F$247*1</f>
        <v>0.527186661289785</v>
      </c>
      <c r="AH33" s="13" t="n">
        <f aca="false">Construction!AH14*AH28*(Construction!AH17+Inputs!$F$79)/100*Construction!AH11/Inputs!$F$247*1</f>
        <v>0.548896555148309</v>
      </c>
      <c r="AI33" s="13" t="n">
        <f aca="false">Construction!AI14*AI28*(Construction!AI17+Inputs!$F$79)/100*Construction!AI11/Inputs!$F$247*1</f>
        <v>0.549864474505356</v>
      </c>
      <c r="AJ33" s="13" t="n">
        <f aca="false">Construction!AJ14*AJ28*(Construction!AJ17+Inputs!$F$79)/100*Construction!AJ11/Inputs!$F$247*1</f>
        <v>0.584897516639899</v>
      </c>
      <c r="AK33" s="13" t="n">
        <f aca="false">Construction!AK14*AK28*(Construction!AK17+Inputs!$F$79)/100*Construction!AK11/Inputs!$F$247*1</f>
        <v>0.579774903855226</v>
      </c>
      <c r="AL33" s="13" t="n">
        <f aca="false">Construction!AL14*AL28*(Construction!AL17+Inputs!$F$79)/100*Construction!AL11/Inputs!$F$247*1</f>
        <v>0.610756383303733</v>
      </c>
      <c r="AM33" s="13" t="n">
        <f aca="false">Construction!AM14*AM28*(Construction!AM17+Inputs!$F$79)/100*Construction!AM11/Inputs!$F$247*1</f>
        <v>0.624387066492765</v>
      </c>
      <c r="AN33" s="13" t="n">
        <f aca="false">Construction!AN14*AN28*(Construction!AN17+Inputs!$F$79)/100*Construction!AN11/Inputs!$F$247*1</f>
        <v>0.570693273199787</v>
      </c>
      <c r="AO33" s="13" t="n">
        <f aca="false">Construction!AO14*AO28*(Construction!AO17+Inputs!$F$79)/100*Construction!AO11/Inputs!$F$247*1</f>
        <v>0.637478499674313</v>
      </c>
      <c r="AP33" s="13" t="n">
        <f aca="false">Construction!AP14*AP28*(Construction!AP17+Inputs!$F$79)/100*Construction!AP11/Inputs!$F$247*1</f>
        <v>0.621473155717806</v>
      </c>
      <c r="AQ33" s="13" t="n">
        <f aca="false">Construction!AQ14*AQ28*(Construction!AQ17+Inputs!$F$79)/100*Construction!AQ11/Inputs!$F$247*1</f>
        <v>0.646295832447412</v>
      </c>
      <c r="AR33" s="13" t="n">
        <f aca="false">Construction!AR14*AR28*(Construction!AR17+Inputs!$F$79)/100*Construction!AR11/Inputs!$F$247*1</f>
        <v>0.62943192256267</v>
      </c>
      <c r="AS33" s="13" t="n">
        <f aca="false">Construction!AS14*AS28*(Construction!AS17+Inputs!$F$79)/100*Construction!AS11/Inputs!$F$247*1</f>
        <v>0.654477044151261</v>
      </c>
      <c r="AT33" s="13" t="n">
        <f aca="false">Construction!AT14*AT28*(Construction!AT17+Inputs!$F$79)/100*Construction!AT11/Inputs!$F$247*1</f>
        <v>0.658703021450306</v>
      </c>
      <c r="AU33" s="13" t="n">
        <f aca="false">Construction!AU14*AU28*(Construction!AU17+Inputs!$F$79)/100*Construction!AU11/Inputs!$F$247*1</f>
        <v>0.641557061336847</v>
      </c>
      <c r="AV33" s="13" t="n">
        <f aca="false">Construction!AV14*AV28*(Construction!AV17+Inputs!$F$79)/100*Construction!AV11/Inputs!$F$247*1</f>
        <v>0.667096695459053</v>
      </c>
      <c r="AW33" s="13" t="n">
        <f aca="false">Construction!AW14*AW28*(Construction!AW17+Inputs!$F$79)/100*Construction!AW11/Inputs!$F$247*1</f>
        <v>0.690340400821715</v>
      </c>
      <c r="AX33" s="13" t="n">
        <f aca="false">Construction!AX14*AX28*(Construction!AX17+Inputs!$F$79)/100*Construction!AX11/Inputs!$F$247*1</f>
        <v>0.750994977860616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18.3431889681115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0.102207783623709</v>
      </c>
      <c r="L34" s="13" t="n">
        <f aca="false">Construction!L14*L29*(Construction!L17+Inputs!$F$80)/100*Construction!L11/Inputs!$F$247*1</f>
        <v>0.107785640734121</v>
      </c>
      <c r="M34" s="13" t="n">
        <f aca="false">Construction!M14*M29*(Construction!M17+Inputs!$F$80)/100*Construction!M11/Inputs!$F$247*1</f>
        <v>0.106985330483708</v>
      </c>
      <c r="N34" s="13" t="n">
        <f aca="false">Construction!N14*N29*(Construction!N17+Inputs!$F$80)/100*Construction!N11/Inputs!$F$247*1</f>
        <v>0.114457480688107</v>
      </c>
      <c r="O34" s="13" t="n">
        <f aca="false">Construction!O14*O29*(Construction!O17+Inputs!$F$80)/100*Construction!O11/Inputs!$F$247*1</f>
        <v>0.125333744511809</v>
      </c>
      <c r="P34" s="13" t="n">
        <f aca="false">Construction!P14*P29*(Construction!P17+Inputs!$F$80)/100*Construction!P11/Inputs!$F$247*1</f>
        <v>0.120504894102328</v>
      </c>
      <c r="Q34" s="13" t="n">
        <f aca="false">Construction!Q14*Q29*(Construction!Q17+Inputs!$F$80)/100*Construction!Q11/Inputs!$F$247*1</f>
        <v>0.143955112762983</v>
      </c>
      <c r="R34" s="13" t="n">
        <f aca="false">Construction!R14*R29*(Construction!R17+Inputs!$F$80)/100*Construction!R11/Inputs!$F$247*1</f>
        <v>0.152257428148644</v>
      </c>
      <c r="S34" s="13" t="n">
        <f aca="false">Construction!S14*S29*(Construction!S17+Inputs!$F$80)/100*Construction!S11/Inputs!$F$247*1</f>
        <v>0.173536598353488</v>
      </c>
      <c r="T34" s="13" t="n">
        <f aca="false">Construction!T14*T29*(Construction!T17+Inputs!$F$80)/100*Construction!T11/Inputs!$F$247*1</f>
        <v>0.18640630305025</v>
      </c>
      <c r="U34" s="13" t="n">
        <f aca="false">Construction!U14*U29*(Construction!U17+Inputs!$F$80)/100*Construction!U11/Inputs!$F$247*1</f>
        <v>0.219389981926968</v>
      </c>
      <c r="V34" s="13" t="n">
        <f aca="false">Construction!V14*V29*(Construction!V17+Inputs!$F$80)/100*Construction!V11/Inputs!$F$247*1</f>
        <v>0.244317400412538</v>
      </c>
      <c r="W34" s="13" t="n">
        <f aca="false">Construction!W14*W29*(Construction!W17+Inputs!$F$80)/100*Construction!W11/Inputs!$F$247*1</f>
        <v>0.262808285939727</v>
      </c>
      <c r="X34" s="13" t="n">
        <f aca="false">Construction!X14*X29*(Construction!X17+Inputs!$F$80)/100*Construction!X11/Inputs!$F$247*1</f>
        <v>0.300751477355478</v>
      </c>
      <c r="Y34" s="13" t="n">
        <f aca="false">Construction!Y14*Y29*(Construction!Y17+Inputs!$F$80)/100*Construction!Y11/Inputs!$F$247*1</f>
        <v>0.320840144282633</v>
      </c>
      <c r="Z34" s="13" t="n">
        <f aca="false">Construction!Z14*Z29*(Construction!Z17+Inputs!$F$80)/100*Construction!Z11/Inputs!$F$247*1</f>
        <v>0.363382658129721</v>
      </c>
      <c r="AA34" s="13" t="n">
        <f aca="false">Construction!AA14*AA29*(Construction!AA17+Inputs!$F$80)/100*Construction!AA11/Inputs!$F$247*1</f>
        <v>0.40070451346352</v>
      </c>
      <c r="AB34" s="13" t="n">
        <f aca="false">Construction!AB14*AB29*(Construction!AB17+Inputs!$F$80)/100*Construction!AB11/Inputs!$F$247*1</f>
        <v>0.406788621562458</v>
      </c>
      <c r="AC34" s="13" t="n">
        <f aca="false">Construction!AC14*AC29*(Construction!AC17+Inputs!$F$80)/100*Construction!AC11/Inputs!$F$247*1</f>
        <v>0.467405940755848</v>
      </c>
      <c r="AD34" s="13" t="n">
        <f aca="false">Construction!AD14*AD29*(Construction!AD17+Inputs!$F$80)/100*Construction!AD11/Inputs!$F$247*1</f>
        <v>0.483093448763554</v>
      </c>
      <c r="AE34" s="13" t="n">
        <f aca="false">Construction!AE14*AE29*(Construction!AE17+Inputs!$F$80)/100*Construction!AE11/Inputs!$F$247*1</f>
        <v>0.5295860265107</v>
      </c>
      <c r="AF34" s="13" t="n">
        <f aca="false">Construction!AF14*AF29*(Construction!AF17+Inputs!$F$80)/100*Construction!AF11/Inputs!$F$247*1</f>
        <v>0.540251522891254</v>
      </c>
      <c r="AG34" s="13" t="n">
        <f aca="false">Construction!AG14*AG29*(Construction!AG17+Inputs!$F$80)/100*Construction!AG11/Inputs!$F$247*1</f>
        <v>0.588233521841255</v>
      </c>
      <c r="AH34" s="13" t="n">
        <f aca="false">Construction!AH14*AH29*(Construction!AH17+Inputs!$F$80)/100*Construction!AH11/Inputs!$F$247*1</f>
        <v>0.612457365615973</v>
      </c>
      <c r="AI34" s="13" t="n">
        <f aca="false">Construction!AI14*AI29*(Construction!AI17+Inputs!$F$80)/100*Construction!AI11/Inputs!$F$247*1</f>
        <v>0.613537367547095</v>
      </c>
      <c r="AJ34" s="13" t="n">
        <f aca="false">Construction!AJ14*AJ29*(Construction!AJ17+Inputs!$F$80)/100*Construction!AJ11/Inputs!$F$247*1</f>
        <v>0.652627145928813</v>
      </c>
      <c r="AK34" s="13" t="n">
        <f aca="false">Construction!AK14*AK29*(Construction!AK17+Inputs!$F$80)/100*Construction!AK11/Inputs!$F$247*1</f>
        <v>0.646911347748363</v>
      </c>
      <c r="AL34" s="13" t="n">
        <f aca="false">Construction!AL14*AL29*(Construction!AL17+Inputs!$F$80)/100*Construction!AL11/Inputs!$F$247*1</f>
        <v>0.681480402897181</v>
      </c>
      <c r="AM34" s="13" t="n">
        <f aca="false">Construction!AM14*AM29*(Construction!AM17+Inputs!$F$80)/100*Construction!AM11/Inputs!$F$247*1</f>
        <v>0.695075932579183</v>
      </c>
      <c r="AN34" s="13" t="n">
        <f aca="false">Construction!AN14*AN29*(Construction!AN17+Inputs!$F$80)/100*Construction!AN11/Inputs!$F$247*1</f>
        <v>0.635303292417901</v>
      </c>
      <c r="AO34" s="13" t="n">
        <f aca="false">Construction!AO14*AO29*(Construction!AO17+Inputs!$F$80)/100*Construction!AO11/Inputs!$F$247*1</f>
        <v>0.709649488976781</v>
      </c>
      <c r="AP34" s="13" t="n">
        <f aca="false">Construction!AP14*AP29*(Construction!AP17+Inputs!$F$80)/100*Construction!AP11/Inputs!$F$247*1</f>
        <v>0.691832128602374</v>
      </c>
      <c r="AQ34" s="13" t="n">
        <f aca="false">Construction!AQ14*AQ29*(Construction!AQ17+Inputs!$F$80)/100*Construction!AQ11/Inputs!$F$247*1</f>
        <v>0.719465060325092</v>
      </c>
      <c r="AR34" s="13" t="n">
        <f aca="false">Construction!AR14*AR29*(Construction!AR17+Inputs!$F$80)/100*Construction!AR11/Inputs!$F$247*1</f>
        <v>0.700691933014961</v>
      </c>
      <c r="AS34" s="13" t="n">
        <f aca="false">Construction!AS14*AS29*(Construction!AS17+Inputs!$F$80)/100*Construction!AS11/Inputs!$F$247*1</f>
        <v>0.728572493293912</v>
      </c>
      <c r="AT34" s="13" t="n">
        <f aca="false">Construction!AT14*AT29*(Construction!AT17+Inputs!$F$80)/100*Construction!AT11/Inputs!$F$247*1</f>
        <v>0.733276907061947</v>
      </c>
      <c r="AU34" s="13" t="n">
        <f aca="false">Construction!AU14*AU29*(Construction!AU17+Inputs!$F$80)/100*Construction!AU11/Inputs!$F$247*1</f>
        <v>0.714189797710418</v>
      </c>
      <c r="AV34" s="13" t="n">
        <f aca="false">Construction!AV14*AV29*(Construction!AV17+Inputs!$F$80)/100*Construction!AV11/Inputs!$F$247*1</f>
        <v>0.742620855875889</v>
      </c>
      <c r="AW34" s="13" t="n">
        <f aca="false">Construction!AW14*AW29*(Construction!AW17+Inputs!$F$80)/100*Construction!AW11/Inputs!$F$247*1</f>
        <v>0.76849605580964</v>
      </c>
      <c r="AX34" s="13" t="n">
        <f aca="false">Construction!AX14*AX29*(Construction!AX17+Inputs!$F$80)/100*Construction!AX11/Inputs!$F$247*1</f>
        <v>0.836017532411203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8.02572342660894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0.0445756651725623</v>
      </c>
      <c r="L35" s="13" t="n">
        <f aca="false">Construction!L14*L30*(Construction!L17+Inputs!$F$81)/100*Construction!L11/Inputs!$F$247*1</f>
        <v>0.0470083242335344</v>
      </c>
      <c r="M35" s="13" t="n">
        <f aca="false">Construction!M14*M30*(Construction!M17+Inputs!$F$81)/100*Construction!M11/Inputs!$F$247*1</f>
        <v>0.0466592866114302</v>
      </c>
      <c r="N35" s="13" t="n">
        <f aca="false">Construction!N14*N30*(Construction!N17+Inputs!$F$81)/100*Construction!N11/Inputs!$F$247*1</f>
        <v>0.0499180997254746</v>
      </c>
      <c r="O35" s="13" t="n">
        <f aca="false">Construction!O14*O30*(Construction!O17+Inputs!$F$81)/100*Construction!O11/Inputs!$F$247*1</f>
        <v>0.0547583200542136</v>
      </c>
      <c r="P35" s="13" t="n">
        <f aca="false">Construction!P14*P30*(Construction!P17+Inputs!$F$81)/100*Construction!P11/Inputs!$F$247*1</f>
        <v>0.0526485950376489</v>
      </c>
      <c r="Q35" s="13" t="n">
        <f aca="false">Construction!Q14*Q30*(Construction!Q17+Inputs!$F$81)/100*Construction!Q11/Inputs!$F$247*1</f>
        <v>0.0628939968946122</v>
      </c>
      <c r="R35" s="13" t="n">
        <f aca="false">Construction!R14*R30*(Construction!R17+Inputs!$F$81)/100*Construction!R11/Inputs!$F$247*1</f>
        <v>0.0665212789554001</v>
      </c>
      <c r="S35" s="13" t="n">
        <f aca="false">Construction!S14*S30*(Construction!S17+Inputs!$F$81)/100*Construction!S11/Inputs!$F$247*1</f>
        <v>0.0758181496194305</v>
      </c>
      <c r="T35" s="13" t="n">
        <f aca="false">Construction!T14*T30*(Construction!T17+Inputs!$F$81)/100*Construction!T11/Inputs!$F$247*1</f>
        <v>0.081440924328137</v>
      </c>
      <c r="U35" s="13" t="n">
        <f aca="false">Construction!U14*U30*(Construction!U17+Inputs!$F$81)/100*Construction!U11/Inputs!$F$247*1</f>
        <v>0.095939611354461</v>
      </c>
      <c r="V35" s="13" t="n">
        <f aca="false">Construction!V14*V30*(Construction!V17+Inputs!$F$81)/100*Construction!V11/Inputs!$F$247*1</f>
        <v>0.10684041375469</v>
      </c>
      <c r="W35" s="13" t="n">
        <f aca="false">Construction!W14*W30*(Construction!W17+Inputs!$F$81)/100*Construction!W11/Inputs!$F$247*1</f>
        <v>0.114926509370801</v>
      </c>
      <c r="X35" s="13" t="n">
        <f aca="false">Construction!X14*X30*(Construction!X17+Inputs!$F$81)/100*Construction!X11/Inputs!$F$247*1</f>
        <v>0.131519131358376</v>
      </c>
      <c r="Y35" s="13" t="n">
        <f aca="false">Construction!Y14*Y30*(Construction!Y17+Inputs!$F$81)/100*Construction!Y11/Inputs!$F$247*1</f>
        <v>0.140303939491784</v>
      </c>
      <c r="Z35" s="13" t="n">
        <f aca="false">Construction!Z14*Z30*(Construction!Z17+Inputs!$F$81)/100*Construction!Z11/Inputs!$F$247*1</f>
        <v>0.158907852982648</v>
      </c>
      <c r="AA35" s="13" t="n">
        <f aca="false">Construction!AA14*AA30*(Construction!AA17+Inputs!$F$81)/100*Construction!AA11/Inputs!$F$247*1</f>
        <v>0.175311638028881</v>
      </c>
      <c r="AB35" s="13" t="n">
        <f aca="false">Construction!AB14*AB30*(Construction!AB17+Inputs!$F$81)/100*Construction!AB11/Inputs!$F$247*1</f>
        <v>0.177973487149447</v>
      </c>
      <c r="AC35" s="13" t="n">
        <f aca="false">Construction!AC14*AC30*(Construction!AC17+Inputs!$F$81)/100*Construction!AC11/Inputs!$F$247*1</f>
        <v>0.204494080663251</v>
      </c>
      <c r="AD35" s="13" t="n">
        <f aca="false">Construction!AD14*AD30*(Construction!AD17+Inputs!$F$81)/100*Construction!AD11/Inputs!$F$247*1</f>
        <v>0.211357499050158</v>
      </c>
      <c r="AE35" s="13" t="n">
        <f aca="false">Construction!AE14*AE30*(Construction!AE17+Inputs!$F$81)/100*Construction!AE11/Inputs!$F$247*1</f>
        <v>0.231698397860072</v>
      </c>
      <c r="AF35" s="13" t="n">
        <f aca="false">Construction!AF14*AF30*(Construction!AF17+Inputs!$F$81)/100*Construction!AF11/Inputs!$F$247*1</f>
        <v>0.236364643380254</v>
      </c>
      <c r="AG35" s="13" t="n">
        <f aca="false">Construction!AG14*AG30*(Construction!AG17+Inputs!$F$81)/100*Construction!AG11/Inputs!$F$247*1</f>
        <v>0.25741691851338</v>
      </c>
      <c r="AH35" s="13" t="n">
        <f aca="false">Construction!AH14*AH30*(Construction!AH17+Inputs!$F$81)/100*Construction!AH11/Inputs!$F$247*1</f>
        <v>0.268017516723966</v>
      </c>
      <c r="AI35" s="13" t="n">
        <f aca="false">Construction!AI14*AI30*(Construction!AI17+Inputs!$F$81)/100*Construction!AI11/Inputs!$F$247*1</f>
        <v>0.268490136455374</v>
      </c>
      <c r="AJ35" s="13" t="n">
        <f aca="false">Construction!AJ14*AJ30*(Construction!AJ17+Inputs!$F$81)/100*Construction!AJ11/Inputs!$F$247*1</f>
        <v>0.285596217497638</v>
      </c>
      <c r="AK35" s="13" t="n">
        <f aca="false">Construction!AK14*AK30*(Construction!AK17+Inputs!$F$81)/100*Construction!AK11/Inputs!$F$247*1</f>
        <v>0.283094926598999</v>
      </c>
      <c r="AL35" s="13" t="n">
        <f aca="false">Construction!AL14*AL30*(Construction!AL17+Inputs!$F$81)/100*Construction!AL11/Inputs!$F$247*1</f>
        <v>0.29822269358595</v>
      </c>
      <c r="AM35" s="13" t="n">
        <f aca="false">Construction!AM14*AM30*(Construction!AM17+Inputs!$F$81)/100*Construction!AM11/Inputs!$F$247*1</f>
        <v>0.304224629244598</v>
      </c>
      <c r="AN35" s="13" t="n">
        <f aca="false">Construction!AN14*AN30*(Construction!AN17+Inputs!$F$81)/100*Construction!AN11/Inputs!$F$247*1</f>
        <v>0.27806301374374</v>
      </c>
      <c r="AO35" s="13" t="n">
        <f aca="false">Construction!AO14*AO30*(Construction!AO17+Inputs!$F$81)/100*Construction!AO11/Inputs!$F$247*1</f>
        <v>0.310603262979451</v>
      </c>
      <c r="AP35" s="13" t="n">
        <f aca="false">Construction!AP14*AP30*(Construction!AP17+Inputs!$F$81)/100*Construction!AP11/Inputs!$F$247*1</f>
        <v>0.302804863409051</v>
      </c>
      <c r="AQ35" s="13" t="n">
        <f aca="false">Construction!AQ14*AQ30*(Construction!AQ17+Inputs!$F$81)/100*Construction!AQ11/Inputs!$F$247*1</f>
        <v>0.314899395839617</v>
      </c>
      <c r="AR35" s="13" t="n">
        <f aca="false">Construction!AR14*AR30*(Construction!AR17+Inputs!$F$81)/100*Construction!AR11/Inputs!$F$247*1</f>
        <v>0.306682670978358</v>
      </c>
      <c r="AS35" s="13" t="n">
        <f aca="false">Construction!AS14*AS30*(Construction!AS17+Inputs!$F$81)/100*Construction!AS11/Inputs!$F$247*1</f>
        <v>0.318885586827454</v>
      </c>
      <c r="AT35" s="13" t="n">
        <f aca="false">Construction!AT14*AT30*(Construction!AT17+Inputs!$F$81)/100*Construction!AT11/Inputs!$F$247*1</f>
        <v>0.320944640331268</v>
      </c>
      <c r="AU35" s="13" t="n">
        <f aca="false">Construction!AU14*AU30*(Construction!AU17+Inputs!$F$81)/100*Construction!AU11/Inputs!$F$247*1</f>
        <v>0.312590490095806</v>
      </c>
      <c r="AV35" s="13" t="n">
        <f aca="false">Construction!AV14*AV30*(Construction!AV17+Inputs!$F$81)/100*Construction!AV11/Inputs!$F$247*1</f>
        <v>0.32503435086556</v>
      </c>
      <c r="AW35" s="13" t="n">
        <f aca="false">Construction!AW14*AW30*(Construction!AW17+Inputs!$F$81)/100*Construction!AW11/Inputs!$F$247*1</f>
        <v>0.33635954964962</v>
      </c>
      <c r="AX35" s="13" t="n">
        <f aca="false">Construction!AX14*AX30*(Construction!AX17+Inputs!$F$81)/100*Construction!AX11/Inputs!$F$247*1</f>
        <v>0.365912718191847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37.57598206924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0.210462731434117</v>
      </c>
      <c r="L36" s="13" t="n">
        <f aca="false">Construction!L14*L31*(Construction!L17+Inputs!$F$82)/100*Construction!L11/Inputs!$F$247*(1/(1-Inputs!$F$93/100))</f>
        <v>0.221948461790313</v>
      </c>
      <c r="M36" s="13" t="n">
        <f aca="false">Construction!M14*M31*(Construction!M17+Inputs!$F$82)/100*Construction!M11/Inputs!$F$247*(1/(1-Inputs!$F$93/100))</f>
        <v>0.220300490615078</v>
      </c>
      <c r="N36" s="13" t="n">
        <f aca="false">Construction!N14*N31*(Construction!N17+Inputs!$F$82)/100*Construction!N11/Inputs!$F$247*(1/(1-Inputs!$F$93/100))</f>
        <v>0.235686883763896</v>
      </c>
      <c r="O36" s="13" t="n">
        <f aca="false">Construction!O14*O31*(Construction!O17+Inputs!$F$82)/100*Construction!O11/Inputs!$F$247*(1/(1-Inputs!$F$93/100))</f>
        <v>0.257347394661537</v>
      </c>
      <c r="P36" s="13" t="n">
        <f aca="false">Construction!P14*P31*(Construction!P17+Inputs!$F$82)/100*Construction!P11/Inputs!$F$247*(1/(1-Inputs!$F$93/100))</f>
        <v>0.247432330869812</v>
      </c>
      <c r="Q36" s="13" t="n">
        <f aca="false">Construction!Q14*Q31*(Construction!Q17+Inputs!$F$82)/100*Construction!Q11/Inputs!$F$247*(1/(1-Inputs!$F$93/100))</f>
        <v>0.295582593195968</v>
      </c>
      <c r="R36" s="13" t="n">
        <f aca="false">Construction!R14*R31*(Construction!R17+Inputs!$F$82)/100*Construction!R11/Inputs!$F$247*(1/(1-Inputs!$F$93/100))</f>
        <v>0.312629712010462</v>
      </c>
      <c r="S36" s="13" t="n">
        <f aca="false">Construction!S14*S31*(Construction!S17+Inputs!$F$82)/100*Construction!S11/Inputs!$F$247*(1/(1-Inputs!$F$93/100))</f>
        <v>0.356322167175719</v>
      </c>
      <c r="T36" s="13" t="n">
        <f aca="false">Construction!T14*T31*(Construction!T17+Inputs!$F$82)/100*Construction!T11/Inputs!$F$247*(1/(1-Inputs!$F$93/100))</f>
        <v>0.3827474925075</v>
      </c>
      <c r="U36" s="13" t="n">
        <f aca="false">Construction!U14*U31*(Construction!U17+Inputs!$F$82)/100*Construction!U11/Inputs!$F$247*(1/(1-Inputs!$F$93/100))</f>
        <v>0.44980309901061</v>
      </c>
      <c r="V36" s="13" t="n">
        <f aca="false">Construction!V14*V31*(Construction!V17+Inputs!$F$82)/100*Construction!V11/Inputs!$F$247*(1/(1-Inputs!$F$93/100))</f>
        <v>0.500910401115573</v>
      </c>
      <c r="W36" s="13" t="n">
        <f aca="false">Construction!W14*W31*(Construction!W17+Inputs!$F$82)/100*Construction!W11/Inputs!$F$247*(1/(1-Inputs!$F$93/100))</f>
        <v>0.538821237064084</v>
      </c>
      <c r="X36" s="13" t="n">
        <f aca="false">Construction!X14*X31*(Construction!X17+Inputs!$F$82)/100*Construction!X11/Inputs!$F$247*(1/(1-Inputs!$F$93/100))</f>
        <v>0.616614055748206</v>
      </c>
      <c r="Y36" s="13" t="n">
        <f aca="false">Construction!Y14*Y31*(Construction!Y17+Inputs!$F$82)/100*Construction!Y11/Inputs!$F$247*(1/(1-Inputs!$F$93/100))</f>
        <v>0.657800734189313</v>
      </c>
      <c r="Z36" s="13" t="n">
        <f aca="false">Construction!Z14*Z31*(Construction!Z17+Inputs!$F$82)/100*Construction!Z11/Inputs!$F$247*(1/(1-Inputs!$F$93/100))</f>
        <v>0.745023288291588</v>
      </c>
      <c r="AA36" s="13" t="n">
        <f aca="false">Construction!AA14*AA31*(Construction!AA17+Inputs!$F$82)/100*Construction!AA11/Inputs!$F$247*(1/(1-Inputs!$F$93/100))</f>
        <v>0.820912370804673</v>
      </c>
      <c r="AB36" s="13" t="n">
        <f aca="false">Construction!AB14*AB31*(Construction!AB17+Inputs!$F$82)/100*Construction!AB11/Inputs!$F$247*(1/(1-Inputs!$F$93/100))</f>
        <v>0.833376716565495</v>
      </c>
      <c r="AC36" s="13" t="n">
        <f aca="false">Construction!AC14*AC31*(Construction!AC17+Inputs!$F$82)/100*Construction!AC11/Inputs!$F$247*(1/(1-Inputs!$F$93/100))</f>
        <v>0.95756175950587</v>
      </c>
      <c r="AD36" s="13" t="n">
        <f aca="false">Construction!AD14*AD31*(Construction!AD17+Inputs!$F$82)/100*Construction!AD11/Inputs!$F$247*(1/(1-Inputs!$F$93/100))</f>
        <v>0.98970032784719</v>
      </c>
      <c r="AE36" s="13" t="n">
        <f aca="false">Construction!AE14*AE31*(Construction!AE17+Inputs!$F$82)/100*Construction!AE11/Inputs!$F$247*(1/(1-Inputs!$F$93/100))</f>
        <v>1.08494839953307</v>
      </c>
      <c r="AF36" s="13" t="n">
        <f aca="false">Construction!AF14*AF31*(Construction!AF17+Inputs!$F$82)/100*Construction!AF11/Inputs!$F$247*(1/(1-Inputs!$F$93/100))</f>
        <v>1.10679851008933</v>
      </c>
      <c r="AG36" s="13" t="n">
        <f aca="false">Construction!AG14*AG31*(Construction!AG17+Inputs!$F$82)/100*Construction!AG11/Inputs!$F$247*(1/(1-Inputs!$F$93/100))</f>
        <v>1.20464388010183</v>
      </c>
      <c r="AH36" s="13" t="n">
        <f aca="false">Construction!AH14*AH31*(Construction!AH17+Inputs!$F$82)/100*Construction!AH11/Inputs!$F$247*(1/(1-Inputs!$F$93/100))</f>
        <v>1.25425190832915</v>
      </c>
      <c r="AI36" s="13" t="n">
        <f aca="false">Construction!AI14*AI31*(Construction!AI17+Inputs!$F$82)/100*Construction!AI11/Inputs!$F$247*(1/(1-Inputs!$F$93/100))</f>
        <v>1.25646364511142</v>
      </c>
      <c r="AJ36" s="13" t="n">
        <f aca="false">Construction!AJ14*AJ31*(Construction!AJ17+Inputs!$F$82)/100*Construction!AJ11/Inputs!$F$247*(1/(1-Inputs!$F$93/100))</f>
        <v>1.33651563221117</v>
      </c>
      <c r="AK36" s="13" t="n">
        <f aca="false">Construction!AK14*AK31*(Construction!AK17+Inputs!$F$82)/100*Construction!AK11/Inputs!$F$247*(1/(1-Inputs!$F$93/100))</f>
        <v>1.3248102447378</v>
      </c>
      <c r="AL36" s="13" t="n">
        <f aca="false">Construction!AL14*AL31*(Construction!AL17+Inputs!$F$82)/100*Construction!AL11/Inputs!$F$247*(1/(1-Inputs!$F$93/100))</f>
        <v>1.39560423926497</v>
      </c>
      <c r="AM36" s="13" t="n">
        <f aca="false">Construction!AM14*AM31*(Construction!AM17+Inputs!$F$82)/100*Construction!AM11/Inputs!$F$247*(1/(1-Inputs!$F$93/100))</f>
        <v>1.42304833422717</v>
      </c>
      <c r="AN36" s="13" t="n">
        <f aca="false">Construction!AN14*AN31*(Construction!AN17+Inputs!$F$82)/100*Construction!AN11/Inputs!$F$247*(1/(1-Inputs!$F$93/100))</f>
        <v>1.30067414167205</v>
      </c>
      <c r="AO36" s="13" t="n">
        <f aca="false">Construction!AO14*AO31*(Construction!AO17+Inputs!$F$82)/100*Construction!AO11/Inputs!$F$247*(1/(1-Inputs!$F$93/100))</f>
        <v>1.45288518252432</v>
      </c>
      <c r="AP36" s="13" t="n">
        <f aca="false">Construction!AP14*AP31*(Construction!AP17+Inputs!$F$82)/100*Construction!AP11/Inputs!$F$247*(1/(1-Inputs!$F$93/100))</f>
        <v>1.41640720391407</v>
      </c>
      <c r="AQ36" s="13" t="n">
        <f aca="false">Construction!AQ14*AQ31*(Construction!AQ17+Inputs!$F$82)/100*Construction!AQ11/Inputs!$F$247*(1/(1-Inputs!$F$93/100))</f>
        <v>1.47298087538607</v>
      </c>
      <c r="AR36" s="13" t="n">
        <f aca="false">Construction!AR14*AR31*(Construction!AR17+Inputs!$F$82)/100*Construction!AR11/Inputs!$F$247*(1/(1-Inputs!$F$93/100))</f>
        <v>1.43454612848326</v>
      </c>
      <c r="AS36" s="13" t="n">
        <f aca="false">Construction!AS14*AS31*(Construction!AS17+Inputs!$F$82)/100*Construction!AS11/Inputs!$F$247*(1/(1-Inputs!$F$93/100))</f>
        <v>1.49162677680187</v>
      </c>
      <c r="AT36" s="13" t="n">
        <f aca="false">Construction!AT14*AT31*(Construction!AT17+Inputs!$F$82)/100*Construction!AT11/Inputs!$F$247*(1/(1-Inputs!$F$93/100))</f>
        <v>1.5012582542597</v>
      </c>
      <c r="AU36" s="13" t="n">
        <f aca="false">Construction!AU14*AU31*(Construction!AU17+Inputs!$F$82)/100*Construction!AU11/Inputs!$F$247*(1/(1-Inputs!$F$93/100))</f>
        <v>1.46218068317028</v>
      </c>
      <c r="AV36" s="13" t="n">
        <f aca="false">Construction!AV14*AV31*(Construction!AV17+Inputs!$F$82)/100*Construction!AV11/Inputs!$F$247*(1/(1-Inputs!$F$93/100))</f>
        <v>1.52038838115885</v>
      </c>
      <c r="AW36" s="13" t="n">
        <f aca="false">Construction!AW14*AW31*(Construction!AW17+Inputs!$F$82)/100*Construction!AW11/Inputs!$F$247*(1/(1-Inputs!$F$93/100))</f>
        <v>1.57336339933691</v>
      </c>
      <c r="AX36" s="13" t="n">
        <f aca="false">Construction!AX14*AX31*(Construction!AX17+Inputs!$F$82)/100*Construction!AX11/Inputs!$F$247*(1/(1-Inputs!$F$93/100))</f>
        <v>1.71160200075974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4.84253832419524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0.0292085305463381</v>
      </c>
      <c r="L38" s="13" t="n">
        <f aca="false">Construction!L14*(Inputs!$F$95/100*Inputs!$F$96/100)*L31*Construction!L11/Inputs!$F$248</f>
        <v>0.0308025481839025</v>
      </c>
      <c r="M38" s="13" t="n">
        <f aca="false">Construction!M14*(Inputs!$F$95/100*Inputs!$F$96/100)*M31*Construction!M11/Inputs!$F$248</f>
        <v>0.0305738387298185</v>
      </c>
      <c r="N38" s="13" t="n">
        <f aca="false">Construction!N14*(Inputs!$F$95/100*Inputs!$F$96/100)*N31*Construction!N11/Inputs!$F$248</f>
        <v>0.0327091998515851</v>
      </c>
      <c r="O38" s="13" t="n">
        <f aca="false">Construction!O14*(Inputs!$F$95/100*Inputs!$F$96/100)*O31*Construction!O11/Inputs!$F$248</f>
        <v>0.0343157147845</v>
      </c>
      <c r="P38" s="13" t="n">
        <f aca="false">Construction!P14*(Inputs!$F$95/100*Inputs!$F$96/100)*P31*Construction!P11/Inputs!$F$248</f>
        <v>0.0329936011427651</v>
      </c>
      <c r="Q38" s="13" t="n">
        <f aca="false">Construction!Q14*(Inputs!$F$95/100*Inputs!$F$96/100)*Q31*Construction!Q11/Inputs!$F$248</f>
        <v>0.0394141466895981</v>
      </c>
      <c r="R38" s="13" t="n">
        <f aca="false">Construction!R14*(Inputs!$F$95/100*Inputs!$F$96/100)*R31*Construction!R11/Inputs!$F$248</f>
        <v>0.0416872766270705</v>
      </c>
      <c r="S38" s="13" t="n">
        <f aca="false">Construction!S14*(Inputs!$F$95/100*Inputs!$F$96/100)*S31*Construction!S11/Inputs!$F$248</f>
        <v>0.0475134006166195</v>
      </c>
      <c r="T38" s="13" t="n">
        <f aca="false">Construction!T14*(Inputs!$F$95/100*Inputs!$F$96/100)*T31*Construction!T11/Inputs!$F$248</f>
        <v>0.0510370575332386</v>
      </c>
      <c r="U38" s="13" t="n">
        <f aca="false">Construction!U14*(Inputs!$F$95/100*Inputs!$F$96/100)*U31*Construction!U11/Inputs!$F$248</f>
        <v>0.0587005647658071</v>
      </c>
      <c r="V38" s="13" t="n">
        <f aca="false">Construction!V14*(Inputs!$F$95/100*Inputs!$F$96/100)*V31*Construction!V11/Inputs!$F$248</f>
        <v>0.0653702108927835</v>
      </c>
      <c r="W38" s="13" t="n">
        <f aca="false">Construction!W14*(Inputs!$F$95/100*Inputs!$F$96/100)*W31*Construction!W11/Inputs!$F$248</f>
        <v>0.0703176812099432</v>
      </c>
      <c r="X38" s="13" t="n">
        <f aca="false">Construction!X14*(Inputs!$F$95/100*Inputs!$F$96/100)*X31*Construction!X11/Inputs!$F$248</f>
        <v>0.0804698620231178</v>
      </c>
      <c r="Y38" s="13" t="n">
        <f aca="false">Construction!Y14*(Inputs!$F$95/100*Inputs!$F$96/100)*Y31*Construction!Y11/Inputs!$F$248</f>
        <v>0.0858448389644474</v>
      </c>
      <c r="Z38" s="13" t="n">
        <f aca="false">Construction!Z14*(Inputs!$F$95/100*Inputs!$F$96/100)*Z31*Construction!Z11/Inputs!$F$248</f>
        <v>0.0972276266717392</v>
      </c>
      <c r="AA38" s="13" t="n">
        <f aca="false">Construction!AA14*(Inputs!$F$95/100*Inputs!$F$96/100)*AA31*Construction!AA11/Inputs!$F$248</f>
        <v>0.105927641382807</v>
      </c>
      <c r="AB38" s="13" t="n">
        <f aca="false">Construction!AB14*(Inputs!$F$95/100*Inputs!$F$96/100)*AB31*Construction!AB11/Inputs!$F$248</f>
        <v>0.107535996665027</v>
      </c>
      <c r="AC38" s="13" t="n">
        <f aca="false">Construction!AC14*(Inputs!$F$95/100*Inputs!$F$96/100)*AC31*Construction!AC11/Inputs!$F$248</f>
        <v>0.123560397272856</v>
      </c>
      <c r="AD38" s="13" t="n">
        <f aca="false">Construction!AD14*(Inputs!$F$95/100*Inputs!$F$96/100)*AD31*Construction!AD11/Inputs!$F$248</f>
        <v>0.127707444951623</v>
      </c>
      <c r="AE38" s="13" t="n">
        <f aca="false">Construction!AE14*(Inputs!$F$95/100*Inputs!$F$96/100)*AE31*Construction!AE11/Inputs!$F$248</f>
        <v>0.139997920693944</v>
      </c>
      <c r="AF38" s="13" t="n">
        <f aca="false">Construction!AF14*(Inputs!$F$95/100*Inputs!$F$96/100)*AF31*Construction!AF11/Inputs!$F$248</f>
        <v>0.14281738201222</v>
      </c>
      <c r="AG38" s="13" t="n">
        <f aca="false">Construction!AG14*(Inputs!$F$95/100*Inputs!$F$96/100)*AG31*Construction!AG11/Inputs!$F$248</f>
        <v>0.154574607313594</v>
      </c>
      <c r="AH38" s="13" t="n">
        <f aca="false">Construction!AH14*(Inputs!$F$95/100*Inputs!$F$96/100)*AH31*Construction!AH11/Inputs!$F$248</f>
        <v>0.160940091428444</v>
      </c>
      <c r="AI38" s="13" t="n">
        <f aca="false">Construction!AI14*(Inputs!$F$95/100*Inputs!$F$96/100)*AI31*Construction!AI11/Inputs!$F$248</f>
        <v>0.16122389176998</v>
      </c>
      <c r="AJ38" s="13" t="n">
        <f aca="false">Construction!AJ14*(Inputs!$F$95/100*Inputs!$F$96/100)*AJ31*Construction!AJ11/Inputs!$F$248</f>
        <v>0.171495810861595</v>
      </c>
      <c r="AK38" s="13" t="n">
        <f aca="false">Construction!AK14*(Inputs!$F$95/100*Inputs!$F$96/100)*AK31*Construction!AK11/Inputs!$F$248</f>
        <v>0.169993826995628</v>
      </c>
      <c r="AL38" s="13" t="n">
        <f aca="false">Construction!AL14*(Inputs!$F$95/100*Inputs!$F$96/100)*AL31*Construction!AL11/Inputs!$F$248</f>
        <v>0.179077801176672</v>
      </c>
      <c r="AM38" s="13" t="n">
        <f aca="false">Construction!AM14*(Inputs!$F$95/100*Inputs!$F$96/100)*AM31*Construction!AM11/Inputs!$F$248</f>
        <v>0.181837418179641</v>
      </c>
      <c r="AN38" s="13" t="n">
        <f aca="false">Construction!AN14*(Inputs!$F$95/100*Inputs!$F$96/100)*AN31*Construction!AN11/Inputs!$F$248</f>
        <v>0.166200417881878</v>
      </c>
      <c r="AO38" s="13" t="n">
        <f aca="false">Construction!AO14*(Inputs!$F$95/100*Inputs!$F$96/100)*AO31*Construction!AO11/Inputs!$F$248</f>
        <v>0.185649976987714</v>
      </c>
      <c r="AP38" s="13" t="n">
        <f aca="false">Construction!AP14*(Inputs!$F$95/100*Inputs!$F$96/100)*AP31*Construction!AP11/Inputs!$F$248</f>
        <v>0.180988813138699</v>
      </c>
      <c r="AQ38" s="13" t="n">
        <f aca="false">Construction!AQ14*(Inputs!$F$95/100*Inputs!$F$96/100)*AQ31*Construction!AQ11/Inputs!$F$248</f>
        <v>0.188217808886758</v>
      </c>
      <c r="AR38" s="13" t="n">
        <f aca="false">Construction!AR14*(Inputs!$F$95/100*Inputs!$F$96/100)*AR31*Construction!AR11/Inputs!$F$248</f>
        <v>0.18330660877001</v>
      </c>
      <c r="AS38" s="13" t="n">
        <f aca="false">Construction!AS14*(Inputs!$F$95/100*Inputs!$F$96/100)*AS31*Construction!AS11/Inputs!$F$248</f>
        <v>0.190600386127131</v>
      </c>
      <c r="AT38" s="13" t="n">
        <f aca="false">Construction!AT14*(Inputs!$F$95/100*Inputs!$F$96/100)*AT31*Construction!AT11/Inputs!$F$248</f>
        <v>0.191831098360907</v>
      </c>
      <c r="AU38" s="13" t="n">
        <f aca="false">Construction!AU14*(Inputs!$F$95/100*Inputs!$F$96/100)*AU31*Construction!AU11/Inputs!$F$248</f>
        <v>0.186837758033159</v>
      </c>
      <c r="AV38" s="13" t="n">
        <f aca="false">Construction!AV14*(Inputs!$F$95/100*Inputs!$F$96/100)*AV31*Construction!AV11/Inputs!$F$248</f>
        <v>0.194275550036317</v>
      </c>
      <c r="AW38" s="13" t="n">
        <f aca="false">Construction!AW14*(Inputs!$F$95/100*Inputs!$F$96/100)*AW31*Construction!AW11/Inputs!$F$248</f>
        <v>0.201044709102688</v>
      </c>
      <c r="AX38" s="13" t="n">
        <f aca="false">Construction!AX14*(Inputs!$F$95/100*Inputs!$F$96/100)*AX31*Construction!AX11/Inputs!$F$248</f>
        <v>0.218708866932677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10.4210921457421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0.571031596066888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0.47669705708978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0.490974514154305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0.473148565308248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0.486019048527659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0.481843650544016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0.430018755745772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0.468592617602998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0.444264285905167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0.447542325555887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0.419963823118748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0.418466428610157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0.401131745676544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0.369852694007089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0.361887135127591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0.329496976265803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0.318333019762305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0.295721325878855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0.254700396618786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0.249893072508182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0.220694351996524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0.207171277184452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0.181423007894339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0.169285872777122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0.152741719346915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0.133583736591069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0.125306973031101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0.110790316431931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0.105601070256742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0.0984287128551721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0.0838087936566379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0.088519716658748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0.0822138979801753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0.0818458165822931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0.0761898523848358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0.0756534009367819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0.0724547295307033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0.0670122510994571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0.0661014996991577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0.0300878045013754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0.0025983102717883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0.957566666666667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0.0237666666666667</v>
      </c>
      <c r="AT41" s="13" t="n">
        <f aca="false">Construction!AT14*(Inputs!$F$99-AT32)*Inputs!$F$100/100*Construction!AT11/Inputs!$F$247</f>
        <v>0.0237666666666667</v>
      </c>
      <c r="AU41" s="13" t="n">
        <f aca="false">Construction!AU14*(Inputs!$F$99-AU32)*Inputs!$F$100/100*Construction!AU11/Inputs!$F$247</f>
        <v>0.023</v>
      </c>
      <c r="AV41" s="13" t="n">
        <f aca="false">Construction!AV14*(Inputs!$F$99-AV32)*Inputs!$F$100/100*Construction!AV11/Inputs!$F$247</f>
        <v>0.0237666666666667</v>
      </c>
      <c r="AW41" s="13" t="n">
        <f aca="false">Construction!AW14*(Inputs!$F$99-AW32)*Inputs!$F$100/100*Construction!AW11/Inputs!$F$247</f>
        <v>0.023</v>
      </c>
      <c r="AX41" s="13" t="n">
        <f aca="false">Construction!AX14*(Inputs!$F$99-AX32)*Inputs!$F$100/100*Construction!AX11/Inputs!$F$247</f>
        <v>0.0237666666666667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10.3396727750566</v>
      </c>
      <c r="J42" s="13" t="n">
        <f aca="false">IF(Construction!J8=1,Inputs!$F$75*$F$25*Inputs!$F$89/100+Inputs!$F$76*$F$25*Inputs!$F$90/100+Inputs!$F$77*$F$25*Inputs!$F$91/100+Inputs!$F$78*$F$25*Inputs!$F$92/100,0)</f>
        <v>10.3396727750566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0.87125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0.02125</v>
      </c>
      <c r="AT43" s="13" t="n">
        <f aca="false">Construction!AT14*Inputs!$F$107/12</f>
        <v>0.02125</v>
      </c>
      <c r="AU43" s="13" t="n">
        <f aca="false">Construction!AU14*Inputs!$F$107/12</f>
        <v>0.02125</v>
      </c>
      <c r="AV43" s="13" t="n">
        <f aca="false">Construction!AV14*Inputs!$F$107/12</f>
        <v>0.02125</v>
      </c>
      <c r="AW43" s="13" t="n">
        <f aca="false">Construction!AW14*Inputs!$F$107/12</f>
        <v>0.02125</v>
      </c>
      <c r="AX43" s="13" t="n">
        <f aca="false">Construction!AX14*Inputs!$F$107/12</f>
        <v>0.02125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39.5901571901212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0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39.5901571901212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119.06732103779</v>
      </c>
      <c r="K45" s="13" t="n">
        <f aca="false">Construction!K14*(Construction!K32+Construction!K38)+K33+K34+K35+K36+K37+K38+K39+K40+K41+K42+K43+K44</f>
        <v>2.4474520425935</v>
      </c>
      <c r="L45" s="13" t="n">
        <f aca="false">Construction!L14*(Construction!L32+Construction!L38)+L33+L34+L35+L36+L37+L38+L39+L40+L41+L42+L43+L44</f>
        <v>3.11816816346495</v>
      </c>
      <c r="M45" s="13" t="n">
        <f aca="false">Construction!M14*(Construction!M32+Construction!M38)+M33+M34+M35+M36+M37+M38+M39+M40+M41+M42+M43+M44</f>
        <v>4.40349346525888</v>
      </c>
      <c r="N45" s="13" t="n">
        <f aca="false">Construction!N14*(Construction!N32+Construction!N38)+N33+N34+N35+N36+N37+N38+N39+N40+N41+N42+N43+N44</f>
        <v>6.33763467742651</v>
      </c>
      <c r="O45" s="13" t="n">
        <f aca="false">Construction!O14*(Construction!O32+Construction!O38)+O33+O34+O35+O36+O37+O38+O39+O40+O41+O42+O43+O44</f>
        <v>8.72985795852481</v>
      </c>
      <c r="P45" s="13" t="n">
        <f aca="false">Construction!P14*(Construction!P32+Construction!P38)+P33+P34+P35+P36+P37+P38+P39+P40+P41+P42+P43+P44</f>
        <v>11.3832441236451</v>
      </c>
      <c r="Q45" s="13" t="n">
        <f aca="false">Construction!Q14*(Construction!Q32+Construction!Q38)+Q33+Q34+Q35+Q36+Q37+Q38+Q39+Q40+Q41+Q42+Q43+Q44</f>
        <v>14.4492223348816</v>
      </c>
      <c r="R45" s="13" t="n">
        <f aca="false">Construction!R14*(Construction!R32+Construction!R38)+R33+R34+R35+R36+R37+R38+R39+R40+R41+R42+R43+R44</f>
        <v>17.5019979728183</v>
      </c>
      <c r="S45" s="13" t="n">
        <f aca="false">Construction!S14*(Construction!S32+Construction!S38)+S33+S34+S35+S36+S37+S38+S39+S40+S41+S42+S43+S44</f>
        <v>20.6119825652161</v>
      </c>
      <c r="T45" s="13" t="n">
        <f aca="false">Construction!T14*(Construction!T32+Construction!T38)+T33+T34+T35+T36+T37+T38+T39+T40+T41+T42+T43+T44</f>
        <v>23.520915300421</v>
      </c>
      <c r="U45" s="13" t="n">
        <f aca="false">Construction!U14*(Construction!U32+Construction!U38)+U33+U34+U35+U36+U37+U38+U39+U40+U41+U42+U43+U44</f>
        <v>26.3114769209107</v>
      </c>
      <c r="V45" s="13" t="n">
        <f aca="false">Construction!V14*(Construction!V32+Construction!V38)+V33+V34+V35+V36+V37+V38+V39+V40+V41+V42+V43+V44</f>
        <v>28.7642426035863</v>
      </c>
      <c r="W45" s="13" t="n">
        <f aca="false">Construction!W14*(Construction!W32+Construction!W38)+W33+W34+W35+W36+W37+W38+W39+W40+W41+W42+W43+W44</f>
        <v>30.8032538821239</v>
      </c>
      <c r="X45" s="13" t="n">
        <f aca="false">Construction!X14*(Construction!X32+Construction!X38)+X33+X34+X35+X36+X37+X38+X39+X40+X41+X42+X43+X44</f>
        <v>32.4925382230955</v>
      </c>
      <c r="Y45" s="13" t="n">
        <f aca="false">Construction!Y14*(Construction!Y32+Construction!Y38)+Y33+Y34+Y35+Y36+Y37+Y38+Y39+Y40+Y41+Y42+Y43+Y44</f>
        <v>33.616147215984</v>
      </c>
      <c r="Z45" s="13" t="n">
        <f aca="false">Construction!Z14*(Construction!Z32+Construction!Z38)+Z33+Z34+Z35+Z36+Z37+Z38+Z39+Z40+Z41+Z42+Z43+Z44</f>
        <v>34.3211966457986</v>
      </c>
      <c r="AA45" s="13" t="n">
        <f aca="false">Construction!AA14*(Construction!AA32+Construction!AA38)+AA33+AA34+AA35+AA36+AA37+AA38+AA39+AA40+AA41+AA42+AA43+AA44</f>
        <v>35.6017940833029</v>
      </c>
      <c r="AB45" s="13" t="n">
        <f aca="false">Construction!AB14*(Construction!AB32+Construction!AB38)+AB33+AB34+AB35+AB36+AB37+AB38+AB39+AB40+AB41+AB42+AB43+AB44</f>
        <v>33.9586954570028</v>
      </c>
      <c r="AC45" s="13" t="n">
        <f aca="false">Construction!AC14*(Construction!AC32+Construction!AC38)+AC33+AC34+AC35+AC36+AC37+AC38+AC39+AC40+AC41+AC42+AC43+AC44</f>
        <v>33.1532830122019</v>
      </c>
      <c r="AD45" s="13" t="n">
        <f aca="false">Construction!AD14*(Construction!AD32+Construction!AD38)+AD33+AD34+AD35+AD36+AD37+AD38+AD39+AD40+AD41+AD42+AD43+AD44</f>
        <v>31.6920640867369</v>
      </c>
      <c r="AE45" s="13" t="n">
        <f aca="false">Construction!AE14*(Construction!AE32+Construction!AE38)+AE33+AE34+AE35+AE36+AE37+AE38+AE39+AE40+AE41+AE42+AE43+AE44</f>
        <v>29.9029457683709</v>
      </c>
      <c r="AF45" s="13" t="n">
        <f aca="false">Construction!AF14*(Construction!AF32+Construction!AF38)+AF33+AF34+AF35+AF36+AF37+AF38+AF39+AF40+AF41+AF42+AF43+AF44</f>
        <v>27.6014774460817</v>
      </c>
      <c r="AG45" s="13" t="n">
        <f aca="false">Construction!AG14*(Construction!AG32+Construction!AG38)+AG33+AG34+AG35+AG36+AG37+AG38+AG39+AG40+AG41+AG42+AG43+AG44</f>
        <v>25.1115704176399</v>
      </c>
      <c r="AH45" s="13" t="n">
        <f aca="false">Construction!AH14*(Construction!AH32+Construction!AH38)+AH33+AH34+AH35+AH36+AH37+AH38+AH39+AH40+AH41+AH42+AH43+AH44</f>
        <v>22.3202990907075</v>
      </c>
      <c r="AI45" s="13" t="n">
        <f aca="false">Construction!AI14*(Construction!AI32+Construction!AI38)+AI33+AI34+AI35+AI36+AI37+AI38+AI39+AI40+AI41+AI42+AI43+AI44</f>
        <v>19.3215755997069</v>
      </c>
      <c r="AJ45" s="13" t="n">
        <f aca="false">Construction!AJ14*(Construction!AJ32+Construction!AJ38)+AJ33+AJ34+AJ35+AJ36+AJ37+AJ38+AJ39+AJ40+AJ41+AJ42+AJ43+AJ44</f>
        <v>16.428688910734</v>
      </c>
      <c r="AK45" s="13" t="n">
        <f aca="false">Construction!AK14*(Construction!AK32+Construction!AK38)+AK33+AK34+AK35+AK36+AK37+AK38+AK39+AK40+AK41+AK42+AK43+AK44</f>
        <v>13.481947934424</v>
      </c>
      <c r="AL45" s="13" t="n">
        <f aca="false">Construction!AL14*(Construction!AL32+Construction!AL38)+AL33+AL34+AL35+AL36+AL37+AL38+AL39+AL40+AL41+AL42+AL43+AL44</f>
        <v>10.8865744451543</v>
      </c>
      <c r="AM45" s="13" t="n">
        <f aca="false">Construction!AM14*(Construction!AM32+Construction!AM38)+AM33+AM34+AM35+AM36+AM37+AM38+AM39+AM40+AM41+AM42+AM43+AM44</f>
        <v>8.56129887919489</v>
      </c>
      <c r="AN45" s="13" t="n">
        <f aca="false">Construction!AN14*(Construction!AN32+Construction!AN38)+AN33+AN34+AN35+AN36+AN37+AN38+AN39+AN40+AN41+AN42+AN43+AN44</f>
        <v>6.47908724901354</v>
      </c>
      <c r="AO45" s="13" t="n">
        <f aca="false">Construction!AO14*(Construction!AO32+Construction!AO38)+AO33+AO34+AO35+AO36+AO37+AO38+AO39+AO40+AO41+AO42+AO43+AO44</f>
        <v>5.4116805604037</v>
      </c>
      <c r="AP45" s="13" t="n">
        <f aca="false">Construction!AP14*(Construction!AP32+Construction!AP38)+AP33+AP34+AP35+AP36+AP37+AP38+AP39+AP40+AP41+AP42+AP43+AP44</f>
        <v>4.71830961631922</v>
      </c>
      <c r="AQ45" s="13" t="n">
        <f aca="false">Construction!AQ14*(Construction!AQ32+Construction!AQ38)+AQ33+AQ34+AQ35+AQ36+AQ37+AQ38+AQ39+AQ40+AQ41+AQ42+AQ43+AQ44</f>
        <v>4.73008478665988</v>
      </c>
      <c r="AR45" s="13" t="n">
        <f aca="false">Construction!AR14*(Construction!AR32+Construction!AR38)+AR33+AR34+AR35+AR36+AR37+AR38+AR39+AR40+AR41+AR42+AR43+AR44</f>
        <v>4.66908345688611</v>
      </c>
      <c r="AS45" s="13" t="n">
        <f aca="false">Construction!AS14*(Construction!AS32+Construction!AS38)+AS33+AS34+AS35+AS36+AS37+AS38+AS39+AS40+AS41+AS42+AS43+AS44</f>
        <v>4.85510863976738</v>
      </c>
      <c r="AT45" s="13" t="n">
        <f aca="false">Construction!AT14*(Construction!AT32+Construction!AT38)+AT33+AT34+AT35+AT36+AT37+AT38+AT39+AT40+AT41+AT42+AT43+AT44</f>
        <v>4.87038630504894</v>
      </c>
      <c r="AU45" s="13" t="n">
        <f aca="false">Construction!AU14*(Construction!AU32+Construction!AU38)+AU33+AU34+AU35+AU36+AU37+AU38+AU39+AU40+AU41+AU42+AU43+AU44</f>
        <v>4.77287401451617</v>
      </c>
      <c r="AV45" s="13" t="n">
        <f aca="false">Construction!AV14*(Construction!AV32+Construction!AV38)+AV33+AV34+AV35+AV36+AV37+AV38+AV39+AV40+AV41+AV42+AV43+AV44</f>
        <v>53.1411522073836</v>
      </c>
      <c r="AW45" s="13" t="n">
        <f aca="false">Construction!AW14*(Construction!AW32+Construction!AW38)+AW33+AW34+AW35+AW36+AW37+AW38+AW39+AW40+AW41+AW42+AW43+AW44</f>
        <v>43.2472680147445</v>
      </c>
      <c r="AX45" s="13" t="n">
        <f aca="false">Construction!AX14*(Construction!AX32+Construction!AX38)+AX33+AX34+AX35+AX36+AX37+AX38+AX39+AX40+AX41+AX42+AX43+AX44</f>
        <v>3.94384950744973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657.739998413269</v>
      </c>
      <c r="K46" s="13" t="n">
        <f aca="false">$F$25-K28-K29-K30-K31</f>
        <v>567.383920360777</v>
      </c>
      <c r="L46" s="13" t="n">
        <f aca="false">$F$25-L28-L29-L30-L31</f>
        <v>565.526633526213</v>
      </c>
      <c r="M46" s="13" t="n">
        <f aca="false">$F$25-M28-M29-M30-M31</f>
        <v>563.160363390099</v>
      </c>
      <c r="N46" s="13" t="n">
        <f aca="false">$F$25-N28-N29-N30-N31</f>
        <v>559.81870427001</v>
      </c>
      <c r="O46" s="13" t="n">
        <f aca="false">$F$25-O28-O29-O30-O31</f>
        <v>555.009292177837</v>
      </c>
      <c r="P46" s="13" t="n">
        <f aca="false">$F$25-P28-P29-P30-P31</f>
        <v>548.384504450924</v>
      </c>
      <c r="Q46" s="13" t="n">
        <f aca="false">$F$25-Q28-Q29-Q30-Q31</f>
        <v>539.746153595611</v>
      </c>
      <c r="R46" s="13" t="n">
        <f aca="false">$F$25-R28-R29-R30-R31</f>
        <v>528.781137756596</v>
      </c>
      <c r="S46" s="13" t="n">
        <f aca="false">$F$25-S28-S29-S30-S31</f>
        <v>515.499475910819</v>
      </c>
      <c r="T46" s="13" t="n">
        <f aca="false">$F$25-T28-T29-T30-T31</f>
        <v>499.857754158399</v>
      </c>
      <c r="U46" s="13" t="n">
        <f aca="false">$F$25-U28-U29-U30-U31</f>
        <v>482.008543810613</v>
      </c>
      <c r="V46" s="13" t="n">
        <f aca="false">$F$25-V28-V29-V30-V31</f>
        <v>462.041672618579</v>
      </c>
      <c r="W46" s="13" t="n">
        <f aca="false">$F$25-W28-W29-W30-W31</f>
        <v>440.213482254024</v>
      </c>
      <c r="X46" s="13" t="n">
        <f aca="false">$F$25-X28-X29-X30-X31</f>
        <v>416.837956645612</v>
      </c>
      <c r="Y46" s="13" t="n">
        <f aca="false">$F$25-Y28-Y29-Y30-Y31</f>
        <v>392.180491488755</v>
      </c>
      <c r="Z46" s="13" t="n">
        <f aca="false">$F$25-Z28-Z29-Z30-Z31</f>
        <v>366.670358270024</v>
      </c>
      <c r="AA46" s="13" t="n">
        <f aca="false">$F$25-AA28-AA29-AA30-AA31</f>
        <v>340.625187387256</v>
      </c>
      <c r="AB46" s="13" t="n">
        <f aca="false">$F$25-AB28-AB29-AB30-AB31</f>
        <v>313.608215333449</v>
      </c>
      <c r="AC46" s="13" t="n">
        <f aca="false">$F$25-AC28-AC29-AC30-AC31</f>
        <v>287.838134084204</v>
      </c>
      <c r="AD46" s="13" t="n">
        <f aca="false">$F$25-AD28-AD29-AD30-AD31</f>
        <v>262.679252525123</v>
      </c>
      <c r="AE46" s="13" t="n">
        <f aca="false">$F$25-AE28-AE29-AE30-AE31</f>
        <v>238.629239546693</v>
      </c>
      <c r="AF46" s="13" t="n">
        <f aca="false">$F$25-AF28-AF29-AF30-AF31</f>
        <v>215.936926674476</v>
      </c>
      <c r="AG46" s="13" t="n">
        <f aca="false">$F$25-AG28-AG29-AG30-AG31</f>
        <v>194.9911186329</v>
      </c>
      <c r="AH46" s="13" t="n">
        <f aca="false">$F$25-AH28-AH29-AH30-AH31</f>
        <v>175.934815048504</v>
      </c>
      <c r="AI46" s="13" t="n">
        <f aca="false">$F$25-AI28-AI29-AI30-AI31</f>
        <v>158.996710880066</v>
      </c>
      <c r="AJ46" s="13" t="n">
        <f aca="false">$F$25-AJ28-AJ29-AJ30-AJ31</f>
        <v>144.334234410724</v>
      </c>
      <c r="AK46" s="13" t="n">
        <f aca="false">$F$25-AK28-AK29-AK30-AK31</f>
        <v>131.867069746397</v>
      </c>
      <c r="AL46" s="13" t="n">
        <f aca="false">$F$25-AL28-AL29-AL30-AL31</f>
        <v>121.636085045936</v>
      </c>
      <c r="AM46" s="13" t="n">
        <f aca="false">$F$25-AM28-AM29-AM30-AM31</f>
        <v>113.374639657588</v>
      </c>
      <c r="AN46" s="13" t="n">
        <f aca="false">$F$25-AN28-AN29-AN30-AN31</f>
        <v>106.877765594942</v>
      </c>
      <c r="AO46" s="13" t="n">
        <f aca="false">$F$25-AO28-AO29-AO30-AO31</f>
        <v>101.961010031129</v>
      </c>
      <c r="AP46" s="13" t="n">
        <f aca="false">$F$25-AP28-AP29-AP30-AP31</f>
        <v>97.8542725413712</v>
      </c>
      <c r="AQ46" s="13" t="n">
        <f aca="false">$F$25-AQ28-AQ29-AQ30-AQ31</f>
        <v>94.2737103161352</v>
      </c>
      <c r="AR46" s="13" t="n">
        <f aca="false">$F$25-AR28-AR29-AR30-AR31</f>
        <v>90.6842123207726</v>
      </c>
      <c r="AS46" s="13" t="n">
        <f aca="false">$F$25-AS28-AS29-AS30-AS31</f>
        <v>87.1410061279492</v>
      </c>
      <c r="AT46" s="13" t="n">
        <f aca="false">$F$25-AT28-AT29-AT30-AT31</f>
        <v>83.4566318480498</v>
      </c>
      <c r="AU46" s="13" t="n">
        <f aca="false">$F$25-AU28-AU29-AU30-AU31</f>
        <v>79.7606638755688</v>
      </c>
      <c r="AV46" s="13" t="n">
        <f aca="false">$F$25-AV28-AV29-AV30-AV31</f>
        <v>76.1386946128737</v>
      </c>
      <c r="AW46" s="13" t="n">
        <f aca="false">$F$25-AW28-AW29-AW30-AW31</f>
        <v>35.811709384696</v>
      </c>
      <c r="AX46" s="13" t="n">
        <f aca="false">$F$25-AX28-AX29-AX30-AX31</f>
        <v>2.99285119389964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657.739998413269</v>
      </c>
      <c r="J47" s="13" t="n">
        <f aca="false">MIN($F$26*J45/(1-Inputs!$F$94/100*Inputs!$F$75*$F$26),J46)</f>
        <v>90.3560780524911</v>
      </c>
      <c r="K47" s="13" t="n">
        <f aca="false">MIN($F$26*K45/(1-Inputs!$F$94/100*Inputs!$F$75*$F$26),K46)</f>
        <v>1.85728683456412</v>
      </c>
      <c r="L47" s="13" t="n">
        <f aca="false">MIN($F$26*L45/(1-Inputs!$F$94/100*Inputs!$F$75*$F$26),L46)</f>
        <v>2.36627013611409</v>
      </c>
      <c r="M47" s="13" t="n">
        <f aca="false">MIN($F$26*M45/(1-Inputs!$F$94/100*Inputs!$F$75*$F$26),M46)</f>
        <v>3.34165912008958</v>
      </c>
      <c r="N47" s="13" t="n">
        <f aca="false">MIN($F$26*N45/(1-Inputs!$F$94/100*Inputs!$F$75*$F$26),N46)</f>
        <v>4.80941209217243</v>
      </c>
      <c r="O47" s="13" t="n">
        <f aca="false">MIN($F$26*O45/(1-Inputs!$F$94/100*Inputs!$F$75*$F$26),O46)</f>
        <v>6.62478772691356</v>
      </c>
      <c r="P47" s="13" t="n">
        <f aca="false">MIN($F$26*P45/(1-Inputs!$F$94/100*Inputs!$F$75*$F$26),P46)</f>
        <v>8.63835085531311</v>
      </c>
      <c r="Q47" s="13" t="n">
        <f aca="false">MIN($F$26*Q45/(1-Inputs!$F$94/100*Inputs!$F$75*$F$26),Q46)</f>
        <v>10.9650158390143</v>
      </c>
      <c r="R47" s="13" t="n">
        <f aca="false">MIN($F$26*R45/(1-Inputs!$F$94/100*Inputs!$F$75*$F$26),R46)</f>
        <v>13.2816618457771</v>
      </c>
      <c r="S47" s="13" t="n">
        <f aca="false">MIN($F$26*S45/(1-Inputs!$F$94/100*Inputs!$F$75*$F$26),S46)</f>
        <v>15.6417217524206</v>
      </c>
      <c r="T47" s="13" t="n">
        <f aca="false">MIN($F$26*T45/(1-Inputs!$F$94/100*Inputs!$F$75*$F$26),T46)</f>
        <v>17.8492103477859</v>
      </c>
      <c r="U47" s="13" t="n">
        <f aca="false">MIN($F$26*U45/(1-Inputs!$F$94/100*Inputs!$F$75*$F$26),U46)</f>
        <v>19.9668711920341</v>
      </c>
      <c r="V47" s="13" t="n">
        <f aca="false">MIN($F$26*V45/(1-Inputs!$F$94/100*Inputs!$F$75*$F$26),V46)</f>
        <v>21.8281903645547</v>
      </c>
      <c r="W47" s="13" t="n">
        <f aca="false">MIN($F$26*W45/(1-Inputs!$F$94/100*Inputs!$F$75*$F$26),W46)</f>
        <v>23.3755256084121</v>
      </c>
      <c r="X47" s="13" t="n">
        <f aca="false">MIN($F$26*X45/(1-Inputs!$F$94/100*Inputs!$F$75*$F$26),X46)</f>
        <v>24.6574651568566</v>
      </c>
      <c r="Y47" s="13" t="n">
        <f aca="false">MIN($F$26*Y45/(1-Inputs!$F$94/100*Inputs!$F$75*$F$26),Y46)</f>
        <v>25.5101332187314</v>
      </c>
      <c r="Z47" s="13" t="n">
        <f aca="false">MIN($F$26*Z45/(1-Inputs!$F$94/100*Inputs!$F$75*$F$26),Z46)</f>
        <v>26.0451708827683</v>
      </c>
      <c r="AA47" s="13" t="n">
        <f aca="false">MIN($F$26*AA45/(1-Inputs!$F$94/100*Inputs!$F$75*$F$26),AA46)</f>
        <v>27.0169720538069</v>
      </c>
      <c r="AB47" s="13" t="n">
        <f aca="false">MIN($F$26*AB45/(1-Inputs!$F$94/100*Inputs!$F$75*$F$26),AB46)</f>
        <v>25.7700812492444</v>
      </c>
      <c r="AC47" s="13" t="n">
        <f aca="false">MIN($F$26*AC45/(1-Inputs!$F$94/100*Inputs!$F$75*$F$26),AC46)</f>
        <v>25.158881559081</v>
      </c>
      <c r="AD47" s="13" t="n">
        <f aca="false">MIN($F$26*AD45/(1-Inputs!$F$94/100*Inputs!$F$75*$F$26),AD46)</f>
        <v>24.0500129784301</v>
      </c>
      <c r="AE47" s="13" t="n">
        <f aca="false">MIN($F$26*AE45/(1-Inputs!$F$94/100*Inputs!$F$75*$F$26),AE46)</f>
        <v>22.6923128722177</v>
      </c>
      <c r="AF47" s="13" t="n">
        <f aca="false">MIN($F$26*AF45/(1-Inputs!$F$94/100*Inputs!$F$75*$F$26),AF46)</f>
        <v>20.9458080415758</v>
      </c>
      <c r="AG47" s="13" t="n">
        <f aca="false">MIN($F$26*AG45/(1-Inputs!$F$94/100*Inputs!$F$75*$F$26),AG46)</f>
        <v>19.0563035843962</v>
      </c>
      <c r="AH47" s="13" t="n">
        <f aca="false">MIN($F$26*AH45/(1-Inputs!$F$94/100*Inputs!$F$75*$F$26),AH46)</f>
        <v>16.9381041684378</v>
      </c>
      <c r="AI47" s="13" t="n">
        <f aca="false">MIN($F$26*AI45/(1-Inputs!$F$94/100*Inputs!$F$75*$F$26),AI46)</f>
        <v>14.6624764693423</v>
      </c>
      <c r="AJ47" s="13" t="n">
        <f aca="false">MIN($F$26*AJ45/(1-Inputs!$F$94/100*Inputs!$F$75*$F$26),AJ46)</f>
        <v>12.4671646643266</v>
      </c>
      <c r="AK47" s="13" t="n">
        <f aca="false">MIN($F$26*AK45/(1-Inputs!$F$94/100*Inputs!$F$75*$F$26),AK46)</f>
        <v>10.2309847004604</v>
      </c>
      <c r="AL47" s="13" t="n">
        <f aca="false">MIN($F$26*AL45/(1-Inputs!$F$94/100*Inputs!$F$75*$F$26),AL46)</f>
        <v>8.26144538834813</v>
      </c>
      <c r="AM47" s="13" t="n">
        <f aca="false">MIN($F$26*AM45/(1-Inputs!$F$94/100*Inputs!$F$75*$F$26),AM46)</f>
        <v>6.49687406264663</v>
      </c>
      <c r="AN47" s="13" t="n">
        <f aca="false">MIN($F$26*AN45/(1-Inputs!$F$94/100*Inputs!$F$75*$F$26),AN46)</f>
        <v>4.91675556381219</v>
      </c>
      <c r="AO47" s="13" t="n">
        <f aca="false">MIN($F$26*AO45/(1-Inputs!$F$94/100*Inputs!$F$75*$F$26),AO46)</f>
        <v>4.10673748975834</v>
      </c>
      <c r="AP47" s="13" t="n">
        <f aca="false">MIN($F$26*AP45/(1-Inputs!$F$94/100*Inputs!$F$75*$F$26),AP46)</f>
        <v>3.580562225236</v>
      </c>
      <c r="AQ47" s="13" t="n">
        <f aca="false">MIN($F$26*AQ45/(1-Inputs!$F$94/100*Inputs!$F$75*$F$26),AQ46)</f>
        <v>3.58949799536258</v>
      </c>
      <c r="AR47" s="13" t="n">
        <f aca="false">MIN($F$26*AR45/(1-Inputs!$F$94/100*Inputs!$F$75*$F$26),AR46)</f>
        <v>3.54320619282345</v>
      </c>
      <c r="AS47" s="13" t="n">
        <f aca="false">MIN($F$26*AS45/(1-Inputs!$F$94/100*Inputs!$F$75*$F$26),AS46)</f>
        <v>3.68437427989929</v>
      </c>
      <c r="AT47" s="13" t="n">
        <f aca="false">MIN($F$26*AT45/(1-Inputs!$F$94/100*Inputs!$F$75*$F$26),AT46)</f>
        <v>3.695967972481</v>
      </c>
      <c r="AU47" s="13" t="n">
        <f aca="false">MIN($F$26*AU45/(1-Inputs!$F$94/100*Inputs!$F$75*$F$26),AU46)</f>
        <v>3.62196926269513</v>
      </c>
      <c r="AV47" s="13" t="n">
        <f aca="false">MIN($F$26*AV45/(1-Inputs!$F$94/100*Inputs!$F$75*$F$26),AV46)</f>
        <v>40.3269852281777</v>
      </c>
      <c r="AW47" s="13" t="n">
        <f aca="false">MIN($F$26*AW45/(1-Inputs!$F$94/100*Inputs!$F$75*$F$26),AW46)</f>
        <v>32.8188581907963</v>
      </c>
      <c r="AX47" s="13" t="n">
        <f aca="false">MIN($F$26*AX45/(1-Inputs!$F$94/100*Inputs!$F$75*$F$26),AX46)</f>
        <v>2.99285119389964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21.4094369483519</v>
      </c>
      <c r="J48" s="13" t="n">
        <f aca="false">Inputs!$F$94/100*Inputs!$F$75*J47</f>
        <v>2.94109034060858</v>
      </c>
      <c r="K48" s="13" t="n">
        <f aca="false">Inputs!$F$94/100*Inputs!$F$75*K47</f>
        <v>0.0604546864650621</v>
      </c>
      <c r="L48" s="13" t="n">
        <f aca="false">Inputs!$F$94/100*Inputs!$F$75*L47</f>
        <v>0.0770220929305135</v>
      </c>
      <c r="M48" s="13" t="n">
        <f aca="false">Inputs!$F$94/100*Inputs!$F$75*M47</f>
        <v>0.108771004358916</v>
      </c>
      <c r="N48" s="13" t="n">
        <f aca="false">Inputs!$F$94/100*Inputs!$F$75*N47</f>
        <v>0.156546363600212</v>
      </c>
      <c r="O48" s="13" t="n">
        <f aca="false">Inputs!$F$94/100*Inputs!$F$75*O47</f>
        <v>0.215636840511036</v>
      </c>
      <c r="P48" s="13" t="n">
        <f aca="false">Inputs!$F$94/100*Inputs!$F$75*P47</f>
        <v>0.281178320340442</v>
      </c>
      <c r="Q48" s="13" t="n">
        <f aca="false">Inputs!$F$94/100*Inputs!$F$75*Q47</f>
        <v>0.356911265559914</v>
      </c>
      <c r="R48" s="13" t="n">
        <f aca="false">Inputs!$F$94/100*Inputs!$F$75*R47</f>
        <v>0.432318093080044</v>
      </c>
      <c r="S48" s="13" t="n">
        <f aca="false">Inputs!$F$94/100*Inputs!$F$75*S47</f>
        <v>0.50913804304129</v>
      </c>
      <c r="T48" s="13" t="n">
        <f aca="false">Inputs!$F$94/100*Inputs!$F$75*T47</f>
        <v>0.580991796820431</v>
      </c>
      <c r="U48" s="13" t="n">
        <f aca="false">Inputs!$F$94/100*Inputs!$F$75*U47</f>
        <v>0.649921657300708</v>
      </c>
      <c r="V48" s="13" t="n">
        <f aca="false">Inputs!$F$94/100*Inputs!$F$75*V47</f>
        <v>0.710507596366256</v>
      </c>
      <c r="W48" s="13" t="n">
        <f aca="false">Inputs!$F$94/100*Inputs!$F$75*W47</f>
        <v>0.760873358553814</v>
      </c>
      <c r="X48" s="13" t="n">
        <f aca="false">Inputs!$F$94/100*Inputs!$F$75*X47</f>
        <v>0.802600490855682</v>
      </c>
      <c r="Y48" s="13" t="n">
        <f aca="false">Inputs!$F$94/100*Inputs!$F$75*Y47</f>
        <v>0.830354836269707</v>
      </c>
      <c r="Z48" s="13" t="n">
        <f aca="false">Inputs!$F$94/100*Inputs!$F$75*Z47</f>
        <v>0.847770312234107</v>
      </c>
      <c r="AA48" s="13" t="n">
        <f aca="false">Inputs!$F$94/100*Inputs!$F$75*AA47</f>
        <v>0.879402440351415</v>
      </c>
      <c r="AB48" s="13" t="n">
        <f aca="false">Inputs!$F$94/100*Inputs!$F$75*AB47</f>
        <v>0.838816144662904</v>
      </c>
      <c r="AC48" s="13" t="n">
        <f aca="false">Inputs!$F$94/100*Inputs!$F$75*AC47</f>
        <v>0.818921594748087</v>
      </c>
      <c r="AD48" s="13" t="n">
        <f aca="false">Inputs!$F$94/100*Inputs!$F$75*AD47</f>
        <v>0.782827922447899</v>
      </c>
      <c r="AE48" s="13" t="n">
        <f aca="false">Inputs!$F$94/100*Inputs!$F$75*AE47</f>
        <v>0.738634783990687</v>
      </c>
      <c r="AF48" s="13" t="n">
        <f aca="false">Inputs!$F$94/100*Inputs!$F$75*AF47</f>
        <v>0.681786051753291</v>
      </c>
      <c r="AG48" s="13" t="n">
        <f aca="false">Inputs!$F$94/100*Inputs!$F$75*AG47</f>
        <v>0.620282681672096</v>
      </c>
      <c r="AH48" s="13" t="n">
        <f aca="false">Inputs!$F$94/100*Inputs!$F$75*AH47</f>
        <v>0.55133529068265</v>
      </c>
      <c r="AI48" s="13" t="n">
        <f aca="false">Inputs!$F$94/100*Inputs!$F$75*AI47</f>
        <v>0.477263609077093</v>
      </c>
      <c r="AJ48" s="13" t="n">
        <f aca="false">Inputs!$F$94/100*Inputs!$F$75*AJ47</f>
        <v>0.405806209823832</v>
      </c>
      <c r="AK48" s="13" t="n">
        <f aca="false">Inputs!$F$94/100*Inputs!$F$75*AK47</f>
        <v>0.333018551999986</v>
      </c>
      <c r="AL48" s="13" t="n">
        <f aca="false">Inputs!$F$94/100*Inputs!$F$75*AL47</f>
        <v>0.268910047390732</v>
      </c>
      <c r="AM48" s="13" t="n">
        <f aca="false">Inputs!$F$94/100*Inputs!$F$75*AM47</f>
        <v>0.211473250739148</v>
      </c>
      <c r="AN48" s="13" t="n">
        <f aca="false">Inputs!$F$94/100*Inputs!$F$75*AN47</f>
        <v>0.160040393602087</v>
      </c>
      <c r="AO48" s="13" t="n">
        <f aca="false">Inputs!$F$94/100*Inputs!$F$75*AO47</f>
        <v>0.133674305291634</v>
      </c>
      <c r="AP48" s="13" t="n">
        <f aca="false">Inputs!$F$94/100*Inputs!$F$75*AP47</f>
        <v>0.116547300431432</v>
      </c>
      <c r="AQ48" s="13" t="n">
        <f aca="false">Inputs!$F$94/100*Inputs!$F$75*AQ47</f>
        <v>0.116838159749052</v>
      </c>
      <c r="AR48" s="13" t="n">
        <f aca="false">Inputs!$F$94/100*Inputs!$F$75*AR47</f>
        <v>0.115331361576403</v>
      </c>
      <c r="AS48" s="13" t="n">
        <f aca="false">Inputs!$F$94/100*Inputs!$F$75*AS47</f>
        <v>0.119926382810722</v>
      </c>
      <c r="AT48" s="13" t="n">
        <f aca="false">Inputs!$F$94/100*Inputs!$F$75*AT47</f>
        <v>0.120303757504257</v>
      </c>
      <c r="AU48" s="13" t="n">
        <f aca="false">Inputs!$F$94/100*Inputs!$F$75*AU47</f>
        <v>0.117895099500726</v>
      </c>
      <c r="AV48" s="13" t="n">
        <f aca="false">Inputs!$F$94/100*Inputs!$F$75*AV47</f>
        <v>1.31264336917719</v>
      </c>
      <c r="AW48" s="13" t="n">
        <f aca="false">Inputs!$F$94/100*Inputs!$F$75*AW47</f>
        <v>1.06825383411042</v>
      </c>
      <c r="AX48" s="13" t="n">
        <f aca="false">Inputs!$F$94/100*Inputs!$F$75*AX47</f>
        <v>0.0974173063614333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888.150681571343</v>
      </c>
      <c r="J49" s="13" t="n">
        <f aca="false">J45+J48</f>
        <v>122.008411378399</v>
      </c>
      <c r="K49" s="13" t="n">
        <f aca="false">K45+K48</f>
        <v>2.50790672905856</v>
      </c>
      <c r="L49" s="13" t="n">
        <f aca="false">L45+L48</f>
        <v>3.19519025639546</v>
      </c>
      <c r="M49" s="13" t="n">
        <f aca="false">M45+M48</f>
        <v>4.5122644696178</v>
      </c>
      <c r="N49" s="13" t="n">
        <f aca="false">N45+N48</f>
        <v>6.49418104102673</v>
      </c>
      <c r="O49" s="13" t="n">
        <f aca="false">O45+O48</f>
        <v>8.94549479903585</v>
      </c>
      <c r="P49" s="13" t="n">
        <f aca="false">P45+P48</f>
        <v>11.6644224439855</v>
      </c>
      <c r="Q49" s="13" t="n">
        <f aca="false">Q45+Q48</f>
        <v>14.8061336004416</v>
      </c>
      <c r="R49" s="13" t="n">
        <f aca="false">R45+R48</f>
        <v>17.9343160658983</v>
      </c>
      <c r="S49" s="13" t="n">
        <f aca="false">S45+S48</f>
        <v>21.1211206082574</v>
      </c>
      <c r="T49" s="13" t="n">
        <f aca="false">T45+T48</f>
        <v>24.1019070972414</v>
      </c>
      <c r="U49" s="13" t="n">
        <f aca="false">U45+U48</f>
        <v>26.9613985782114</v>
      </c>
      <c r="V49" s="13" t="n">
        <f aca="false">V45+V48</f>
        <v>29.4747501999526</v>
      </c>
      <c r="W49" s="13" t="n">
        <f aca="false">W45+W48</f>
        <v>31.5641272406777</v>
      </c>
      <c r="X49" s="13" t="n">
        <f aca="false">X45+X48</f>
        <v>33.2951387139512</v>
      </c>
      <c r="Y49" s="13" t="n">
        <f aca="false">Y45+Y48</f>
        <v>34.4465020522538</v>
      </c>
      <c r="Z49" s="13" t="n">
        <f aca="false">Z45+Z48</f>
        <v>35.1689669580327</v>
      </c>
      <c r="AA49" s="13" t="n">
        <f aca="false">AA45+AA48</f>
        <v>36.4811965236543</v>
      </c>
      <c r="AB49" s="13" t="n">
        <f aca="false">AB45+AB48</f>
        <v>34.7975116016657</v>
      </c>
      <c r="AC49" s="13" t="n">
        <f aca="false">AC45+AC48</f>
        <v>33.97220460695</v>
      </c>
      <c r="AD49" s="13" t="n">
        <f aca="false">AD45+AD48</f>
        <v>32.4748920091848</v>
      </c>
      <c r="AE49" s="13" t="n">
        <f aca="false">AE45+AE48</f>
        <v>30.6415805523616</v>
      </c>
      <c r="AF49" s="13" t="n">
        <f aca="false">AF45+AF48</f>
        <v>28.283263497835</v>
      </c>
      <c r="AG49" s="13" t="n">
        <f aca="false">AG45+AG48</f>
        <v>25.7318530993119</v>
      </c>
      <c r="AH49" s="13" t="n">
        <f aca="false">AH45+AH48</f>
        <v>22.8716343813902</v>
      </c>
      <c r="AI49" s="13" t="n">
        <f aca="false">AI45+AI48</f>
        <v>19.798839208784</v>
      </c>
      <c r="AJ49" s="13" t="n">
        <f aca="false">AJ45+AJ48</f>
        <v>16.8344951205578</v>
      </c>
      <c r="AK49" s="13" t="n">
        <f aca="false">AK45+AK48</f>
        <v>13.814966486424</v>
      </c>
      <c r="AL49" s="13" t="n">
        <f aca="false">AL45+AL48</f>
        <v>11.155484492545</v>
      </c>
      <c r="AM49" s="13" t="n">
        <f aca="false">AM45+AM48</f>
        <v>8.77277212993404</v>
      </c>
      <c r="AN49" s="13" t="n">
        <f aca="false">AN45+AN48</f>
        <v>6.63912764261562</v>
      </c>
      <c r="AO49" s="13" t="n">
        <f aca="false">AO45+AO48</f>
        <v>5.54535486569533</v>
      </c>
      <c r="AP49" s="13" t="n">
        <f aca="false">AP45+AP48</f>
        <v>4.83485691675066</v>
      </c>
      <c r="AQ49" s="13" t="n">
        <f aca="false">AQ45+AQ48</f>
        <v>4.84692294640893</v>
      </c>
      <c r="AR49" s="13" t="n">
        <f aca="false">AR45+AR48</f>
        <v>4.78441481846251</v>
      </c>
      <c r="AS49" s="13" t="n">
        <f aca="false">AS45+AS48</f>
        <v>4.9750350225781</v>
      </c>
      <c r="AT49" s="13" t="n">
        <f aca="false">AT45+AT48</f>
        <v>4.99069006255319</v>
      </c>
      <c r="AU49" s="13" t="n">
        <f aca="false">AU45+AU48</f>
        <v>4.89076911401689</v>
      </c>
      <c r="AV49" s="13" t="n">
        <f aca="false">AV45+AV48</f>
        <v>54.4537955765608</v>
      </c>
      <c r="AW49" s="13" t="n">
        <f aca="false">AW45+AW48</f>
        <v>44.3155218488549</v>
      </c>
      <c r="AX49" s="13" t="n">
        <f aca="false">AX45+AX48</f>
        <v>4.04126681381116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888.150681571343</v>
      </c>
      <c r="J50" s="13" t="n">
        <f aca="false">J47/$F$26</f>
        <v>122.008411378399</v>
      </c>
      <c r="K50" s="13" t="n">
        <f aca="false">K47/$F$26</f>
        <v>2.50790672905856</v>
      </c>
      <c r="L50" s="13" t="n">
        <f aca="false">L47/$F$26</f>
        <v>3.19519025639546</v>
      </c>
      <c r="M50" s="13" t="n">
        <f aca="false">M47/$F$26</f>
        <v>4.5122644696178</v>
      </c>
      <c r="N50" s="13" t="n">
        <f aca="false">N47/$F$26</f>
        <v>6.49418104102673</v>
      </c>
      <c r="O50" s="13" t="n">
        <f aca="false">O47/$F$26</f>
        <v>8.94549479903585</v>
      </c>
      <c r="P50" s="13" t="n">
        <f aca="false">P47/$F$26</f>
        <v>11.6644224439855</v>
      </c>
      <c r="Q50" s="13" t="n">
        <f aca="false">Q47/$F$26</f>
        <v>14.8061336004416</v>
      </c>
      <c r="R50" s="13" t="n">
        <f aca="false">R47/$F$26</f>
        <v>17.9343160658983</v>
      </c>
      <c r="S50" s="13" t="n">
        <f aca="false">S47/$F$26</f>
        <v>21.1211206082574</v>
      </c>
      <c r="T50" s="13" t="n">
        <f aca="false">T47/$F$26</f>
        <v>24.1019070972414</v>
      </c>
      <c r="U50" s="13" t="n">
        <f aca="false">U47/$F$26</f>
        <v>26.9613985782114</v>
      </c>
      <c r="V50" s="13" t="n">
        <f aca="false">V47/$F$26</f>
        <v>29.4747501999526</v>
      </c>
      <c r="W50" s="13" t="n">
        <f aca="false">W47/$F$26</f>
        <v>31.5641272406777</v>
      </c>
      <c r="X50" s="13" t="n">
        <f aca="false">X47/$F$26</f>
        <v>33.2951387139512</v>
      </c>
      <c r="Y50" s="13" t="n">
        <f aca="false">Y47/$F$26</f>
        <v>34.4465020522538</v>
      </c>
      <c r="Z50" s="13" t="n">
        <f aca="false">Z47/$F$26</f>
        <v>35.1689669580327</v>
      </c>
      <c r="AA50" s="13" t="n">
        <f aca="false">AA47/$F$26</f>
        <v>36.4811965236543</v>
      </c>
      <c r="AB50" s="13" t="n">
        <f aca="false">AB47/$F$26</f>
        <v>34.7975116016657</v>
      </c>
      <c r="AC50" s="13" t="n">
        <f aca="false">AC47/$F$26</f>
        <v>33.97220460695</v>
      </c>
      <c r="AD50" s="13" t="n">
        <f aca="false">AD47/$F$26</f>
        <v>32.4748920091848</v>
      </c>
      <c r="AE50" s="13" t="n">
        <f aca="false">AE47/$F$26</f>
        <v>30.6415805523616</v>
      </c>
      <c r="AF50" s="13" t="n">
        <f aca="false">AF47/$F$26</f>
        <v>28.283263497835</v>
      </c>
      <c r="AG50" s="13" t="n">
        <f aca="false">AG47/$F$26</f>
        <v>25.7318530993119</v>
      </c>
      <c r="AH50" s="13" t="n">
        <f aca="false">AH47/$F$26</f>
        <v>22.8716343813902</v>
      </c>
      <c r="AI50" s="13" t="n">
        <f aca="false">AI47/$F$26</f>
        <v>19.798839208784</v>
      </c>
      <c r="AJ50" s="13" t="n">
        <f aca="false">AJ47/$F$26</f>
        <v>16.8344951205578</v>
      </c>
      <c r="AK50" s="13" t="n">
        <f aca="false">AK47/$F$26</f>
        <v>13.814966486424</v>
      </c>
      <c r="AL50" s="13" t="n">
        <f aca="false">AL47/$F$26</f>
        <v>11.155484492545</v>
      </c>
      <c r="AM50" s="13" t="n">
        <f aca="false">AM47/$F$26</f>
        <v>8.77277212993404</v>
      </c>
      <c r="AN50" s="13" t="n">
        <f aca="false">AN47/$F$26</f>
        <v>6.63912764261562</v>
      </c>
      <c r="AO50" s="13" t="n">
        <f aca="false">AO47/$F$26</f>
        <v>5.54535486569533</v>
      </c>
      <c r="AP50" s="13" t="n">
        <f aca="false">AP47/$F$26</f>
        <v>4.83485691675066</v>
      </c>
      <c r="AQ50" s="13" t="n">
        <f aca="false">AQ47/$F$26</f>
        <v>4.84692294640893</v>
      </c>
      <c r="AR50" s="13" t="n">
        <f aca="false">AR47/$F$26</f>
        <v>4.78441481846251</v>
      </c>
      <c r="AS50" s="13" t="n">
        <f aca="false">AS47/$F$26</f>
        <v>4.9750350225781</v>
      </c>
      <c r="AT50" s="13" t="n">
        <f aca="false">AT47/$F$26</f>
        <v>4.99069006255319</v>
      </c>
      <c r="AU50" s="13" t="n">
        <f aca="false">AU47/$F$26</f>
        <v>4.89076911401689</v>
      </c>
      <c r="AV50" s="13" t="n">
        <f aca="false">AV47/$F$26</f>
        <v>54.4537955765608</v>
      </c>
      <c r="AW50" s="13" t="n">
        <f aca="false">AW47/$F$26</f>
        <v>44.3155218488549</v>
      </c>
      <c r="AX50" s="13" t="n">
        <f aca="false">AX47/$F$26</f>
        <v>4.04126681381089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2.66453525910038E-013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1.99840144432528E-013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1.99840144432528E-013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6.66133814775094E-014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6.66133814775094E-014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197.321999523981</v>
      </c>
      <c r="J57" s="13" t="n">
        <f aca="false">Inputs!$F$75*J47</f>
        <v>27.1068234157473</v>
      </c>
      <c r="K57" s="13" t="n">
        <f aca="false">Inputs!$F$75*K47</f>
        <v>0.557186050369236</v>
      </c>
      <c r="L57" s="13" t="n">
        <f aca="false">Inputs!$F$75*L47</f>
        <v>0.709881040834226</v>
      </c>
      <c r="M57" s="13" t="n">
        <f aca="false">Inputs!$F$75*M47</f>
        <v>1.00249773602688</v>
      </c>
      <c r="N57" s="13" t="n">
        <f aca="false">Inputs!$F$75*N47</f>
        <v>1.44282362765173</v>
      </c>
      <c r="O57" s="13" t="n">
        <f aca="false">Inputs!$F$75*O47</f>
        <v>1.98743631807407</v>
      </c>
      <c r="P57" s="13" t="n">
        <f aca="false">Inputs!$F$75*P47</f>
        <v>2.59150525659393</v>
      </c>
      <c r="Q57" s="13" t="n">
        <f aca="false">Inputs!$F$75*Q47</f>
        <v>3.28950475170428</v>
      </c>
      <c r="R57" s="13" t="n">
        <f aca="false">Inputs!$F$75*R47</f>
        <v>3.98449855373312</v>
      </c>
      <c r="S57" s="13" t="n">
        <f aca="false">Inputs!$F$75*S47</f>
        <v>4.69251652572618</v>
      </c>
      <c r="T57" s="13" t="n">
        <f aca="false">Inputs!$F$75*T47</f>
        <v>5.35476310433577</v>
      </c>
      <c r="U57" s="13" t="n">
        <f aca="false">Inputs!$F$75*U47</f>
        <v>5.99006135761022</v>
      </c>
      <c r="V57" s="13" t="n">
        <f aca="false">Inputs!$F$75*V47</f>
        <v>6.54845710936642</v>
      </c>
      <c r="W57" s="13" t="n">
        <f aca="false">Inputs!$F$75*W47</f>
        <v>7.01265768252363</v>
      </c>
      <c r="X57" s="13" t="n">
        <f aca="false">Inputs!$F$75*X47</f>
        <v>7.39723954705698</v>
      </c>
      <c r="Y57" s="13" t="n">
        <f aca="false">Inputs!$F$75*Y47</f>
        <v>7.65303996561942</v>
      </c>
      <c r="Z57" s="13" t="n">
        <f aca="false">Inputs!$F$75*Z47</f>
        <v>7.81355126483048</v>
      </c>
      <c r="AA57" s="13" t="n">
        <f aca="false">Inputs!$F$75*AA47</f>
        <v>8.10509161614207</v>
      </c>
      <c r="AB57" s="13" t="n">
        <f aca="false">Inputs!$F$75*AB47</f>
        <v>7.73102437477331</v>
      </c>
      <c r="AC57" s="13" t="n">
        <f aca="false">Inputs!$F$75*AC47</f>
        <v>7.54766446772431</v>
      </c>
      <c r="AD57" s="13" t="n">
        <f aca="false">Inputs!$F$75*AD47</f>
        <v>7.21500389352902</v>
      </c>
      <c r="AE57" s="13" t="n">
        <f aca="false">Inputs!$F$75*AE47</f>
        <v>6.80769386166532</v>
      </c>
      <c r="AF57" s="13" t="n">
        <f aca="false">Inputs!$F$75*AF47</f>
        <v>6.28374241247273</v>
      </c>
      <c r="AG57" s="13" t="n">
        <f aca="false">Inputs!$F$75*AG47</f>
        <v>5.71689107531886</v>
      </c>
      <c r="AH57" s="13" t="n">
        <f aca="false">Inputs!$F$75*AH47</f>
        <v>5.08143125053134</v>
      </c>
      <c r="AI57" s="13" t="n">
        <f aca="false">Inputs!$F$75*AI47</f>
        <v>4.3987429408027</v>
      </c>
      <c r="AJ57" s="13" t="n">
        <f aca="false">Inputs!$F$75*AJ47</f>
        <v>3.74014939929799</v>
      </c>
      <c r="AK57" s="13" t="n">
        <f aca="false">Inputs!$F$75*AK47</f>
        <v>3.06929541013812</v>
      </c>
      <c r="AL57" s="13" t="n">
        <f aca="false">Inputs!$F$75*AL47</f>
        <v>2.47843361650444</v>
      </c>
      <c r="AM57" s="13" t="n">
        <f aca="false">Inputs!$F$75*AM47</f>
        <v>1.94906221879399</v>
      </c>
      <c r="AN57" s="13" t="n">
        <f aca="false">Inputs!$F$75*AN47</f>
        <v>1.47502666914366</v>
      </c>
      <c r="AO57" s="13" t="n">
        <f aca="false">Inputs!$F$75*AO47</f>
        <v>1.2320212469275</v>
      </c>
      <c r="AP57" s="13" t="n">
        <f aca="false">Inputs!$F$75*AP47</f>
        <v>1.0741686675708</v>
      </c>
      <c r="AQ57" s="13" t="n">
        <f aca="false">Inputs!$F$75*AQ47</f>
        <v>1.07684939860877</v>
      </c>
      <c r="AR57" s="13" t="n">
        <f aca="false">Inputs!$F$75*AR47</f>
        <v>1.06296185784704</v>
      </c>
      <c r="AS57" s="13" t="n">
        <f aca="false">Inputs!$F$75*AS47</f>
        <v>1.10531228396979</v>
      </c>
      <c r="AT57" s="13" t="n">
        <f aca="false">Inputs!$F$75*AT47</f>
        <v>1.1087903917443</v>
      </c>
      <c r="AU57" s="13" t="n">
        <f aca="false">Inputs!$F$75*AU47</f>
        <v>1.08659077880854</v>
      </c>
      <c r="AV57" s="13" t="n">
        <f aca="false">Inputs!$F$75*AV47</f>
        <v>12.0980955684533</v>
      </c>
      <c r="AW57" s="13" t="n">
        <f aca="false">Inputs!$F$75*AW47</f>
        <v>9.84565745723889</v>
      </c>
      <c r="AX57" s="13" t="n">
        <f aca="false">Inputs!$F$75*AX47</f>
        <v>0.897855358169892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144.702799650919</v>
      </c>
      <c r="J58" s="13" t="n">
        <f aca="false">Inputs!$F$76*J47</f>
        <v>19.878337171548</v>
      </c>
      <c r="K58" s="13" t="n">
        <f aca="false">Inputs!$F$76*K47</f>
        <v>0.408603103604106</v>
      </c>
      <c r="L58" s="13" t="n">
        <f aca="false">Inputs!$F$76*L47</f>
        <v>0.520579429945099</v>
      </c>
      <c r="M58" s="13" t="n">
        <f aca="false">Inputs!$F$76*M47</f>
        <v>0.735165006419708</v>
      </c>
      <c r="N58" s="13" t="n">
        <f aca="false">Inputs!$F$76*N47</f>
        <v>1.05807066027793</v>
      </c>
      <c r="O58" s="13" t="n">
        <f aca="false">Inputs!$F$76*O47</f>
        <v>1.45745329992098</v>
      </c>
      <c r="P58" s="13" t="n">
        <f aca="false">Inputs!$F$76*P47</f>
        <v>1.90043718816888</v>
      </c>
      <c r="Q58" s="13" t="n">
        <f aca="false">Inputs!$F$76*Q47</f>
        <v>2.41230348458314</v>
      </c>
      <c r="R58" s="13" t="n">
        <f aca="false">Inputs!$F$76*R47</f>
        <v>2.92196560607096</v>
      </c>
      <c r="S58" s="13" t="n">
        <f aca="false">Inputs!$F$76*S47</f>
        <v>3.44117878553253</v>
      </c>
      <c r="T58" s="13" t="n">
        <f aca="false">Inputs!$F$76*T47</f>
        <v>3.92682627651289</v>
      </c>
      <c r="U58" s="13" t="n">
        <f aca="false">Inputs!$F$76*U47</f>
        <v>4.39271166224749</v>
      </c>
      <c r="V58" s="13" t="n">
        <f aca="false">Inputs!$F$76*V47</f>
        <v>4.80220188020204</v>
      </c>
      <c r="W58" s="13" t="n">
        <f aca="false">Inputs!$F$76*W47</f>
        <v>5.14261563385066</v>
      </c>
      <c r="X58" s="13" t="n">
        <f aca="false">Inputs!$F$76*X47</f>
        <v>5.42464233450845</v>
      </c>
      <c r="Y58" s="13" t="n">
        <f aca="false">Inputs!$F$76*Y47</f>
        <v>5.61222930812091</v>
      </c>
      <c r="Z58" s="13" t="n">
        <f aca="false">Inputs!$F$76*Z47</f>
        <v>5.72993759420902</v>
      </c>
      <c r="AA58" s="13" t="n">
        <f aca="false">Inputs!$F$76*AA47</f>
        <v>5.94373385183752</v>
      </c>
      <c r="AB58" s="13" t="n">
        <f aca="false">Inputs!$F$76*AB47</f>
        <v>5.66941787483376</v>
      </c>
      <c r="AC58" s="13" t="n">
        <f aca="false">Inputs!$F$76*AC47</f>
        <v>5.53495394299783</v>
      </c>
      <c r="AD58" s="13" t="n">
        <f aca="false">Inputs!$F$76*AD47</f>
        <v>5.29100285525462</v>
      </c>
      <c r="AE58" s="13" t="n">
        <f aca="false">Inputs!$F$76*AE47</f>
        <v>4.9923088318879</v>
      </c>
      <c r="AF58" s="13" t="n">
        <f aca="false">Inputs!$F$76*AF47</f>
        <v>4.60807776914667</v>
      </c>
      <c r="AG58" s="13" t="n">
        <f aca="false">Inputs!$F$76*AG47</f>
        <v>4.19238678856716</v>
      </c>
      <c r="AH58" s="13" t="n">
        <f aca="false">Inputs!$F$76*AH47</f>
        <v>3.72638291705632</v>
      </c>
      <c r="AI58" s="13" t="n">
        <f aca="false">Inputs!$F$76*AI47</f>
        <v>3.22574482325531</v>
      </c>
      <c r="AJ58" s="13" t="n">
        <f aca="false">Inputs!$F$76*AJ47</f>
        <v>2.74277622615186</v>
      </c>
      <c r="AK58" s="13" t="n">
        <f aca="false">Inputs!$F$76*AK47</f>
        <v>2.25081663410129</v>
      </c>
      <c r="AL58" s="13" t="n">
        <f aca="false">Inputs!$F$76*AL47</f>
        <v>1.81751798543659</v>
      </c>
      <c r="AM58" s="13" t="n">
        <f aca="false">Inputs!$F$76*AM47</f>
        <v>1.42931229378226</v>
      </c>
      <c r="AN58" s="13" t="n">
        <f aca="false">Inputs!$F$76*AN47</f>
        <v>1.08168622403868</v>
      </c>
      <c r="AO58" s="13" t="n">
        <f aca="false">Inputs!$F$76*AO47</f>
        <v>0.903482247746836</v>
      </c>
      <c r="AP58" s="13" t="n">
        <f aca="false">Inputs!$F$76*AP47</f>
        <v>0.78772368955192</v>
      </c>
      <c r="AQ58" s="13" t="n">
        <f aca="false">Inputs!$F$76*AQ47</f>
        <v>0.789689558979768</v>
      </c>
      <c r="AR58" s="13" t="n">
        <f aca="false">Inputs!$F$76*AR47</f>
        <v>0.779505362421159</v>
      </c>
      <c r="AS58" s="13" t="n">
        <f aca="false">Inputs!$F$76*AS47</f>
        <v>0.810562341577843</v>
      </c>
      <c r="AT58" s="13" t="n">
        <f aca="false">Inputs!$F$76*AT47</f>
        <v>0.81311295394582</v>
      </c>
      <c r="AU58" s="13" t="n">
        <f aca="false">Inputs!$F$76*AU47</f>
        <v>0.796833237792929</v>
      </c>
      <c r="AV58" s="13" t="n">
        <f aca="false">Inputs!$F$76*AV47</f>
        <v>8.8719367501991</v>
      </c>
      <c r="AW58" s="13" t="n">
        <f aca="false">Inputs!$F$76*AW47</f>
        <v>7.22014880197519</v>
      </c>
      <c r="AX58" s="13" t="n">
        <f aca="false">Inputs!$F$76*AX47</f>
        <v>0.658427262657921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65.7739998413269</v>
      </c>
      <c r="J59" s="13" t="n">
        <f aca="false">Inputs!$F$77*J47</f>
        <v>9.03560780524911</v>
      </c>
      <c r="K59" s="13" t="n">
        <f aca="false">Inputs!$F$77*K47</f>
        <v>0.185728683456412</v>
      </c>
      <c r="L59" s="13" t="n">
        <f aca="false">Inputs!$F$77*L47</f>
        <v>0.236627013611409</v>
      </c>
      <c r="M59" s="13" t="n">
        <f aca="false">Inputs!$F$77*M47</f>
        <v>0.334165912008958</v>
      </c>
      <c r="N59" s="13" t="n">
        <f aca="false">Inputs!$F$77*N47</f>
        <v>0.480941209217243</v>
      </c>
      <c r="O59" s="13" t="n">
        <f aca="false">Inputs!$F$77*O47</f>
        <v>0.662478772691356</v>
      </c>
      <c r="P59" s="13" t="n">
        <f aca="false">Inputs!$F$77*P47</f>
        <v>0.863835085531311</v>
      </c>
      <c r="Q59" s="13" t="n">
        <f aca="false">Inputs!$F$77*Q47</f>
        <v>1.09650158390143</v>
      </c>
      <c r="R59" s="13" t="n">
        <f aca="false">Inputs!$F$77*R47</f>
        <v>1.32816618457771</v>
      </c>
      <c r="S59" s="13" t="n">
        <f aca="false">Inputs!$F$77*S47</f>
        <v>1.56417217524206</v>
      </c>
      <c r="T59" s="13" t="n">
        <f aca="false">Inputs!$F$77*T47</f>
        <v>1.78492103477859</v>
      </c>
      <c r="U59" s="13" t="n">
        <f aca="false">Inputs!$F$77*U47</f>
        <v>1.99668711920341</v>
      </c>
      <c r="V59" s="13" t="n">
        <f aca="false">Inputs!$F$77*V47</f>
        <v>2.18281903645547</v>
      </c>
      <c r="W59" s="13" t="n">
        <f aca="false">Inputs!$F$77*W47</f>
        <v>2.33755256084121</v>
      </c>
      <c r="X59" s="13" t="n">
        <f aca="false">Inputs!$F$77*X47</f>
        <v>2.46574651568566</v>
      </c>
      <c r="Y59" s="13" t="n">
        <f aca="false">Inputs!$F$77*Y47</f>
        <v>2.55101332187314</v>
      </c>
      <c r="Z59" s="13" t="n">
        <f aca="false">Inputs!$F$77*Z47</f>
        <v>2.60451708827683</v>
      </c>
      <c r="AA59" s="13" t="n">
        <f aca="false">Inputs!$F$77*AA47</f>
        <v>2.70169720538069</v>
      </c>
      <c r="AB59" s="13" t="n">
        <f aca="false">Inputs!$F$77*AB47</f>
        <v>2.57700812492444</v>
      </c>
      <c r="AC59" s="13" t="n">
        <f aca="false">Inputs!$F$77*AC47</f>
        <v>2.5158881559081</v>
      </c>
      <c r="AD59" s="13" t="n">
        <f aca="false">Inputs!$F$77*AD47</f>
        <v>2.40500129784301</v>
      </c>
      <c r="AE59" s="13" t="n">
        <f aca="false">Inputs!$F$77*AE47</f>
        <v>2.26923128722177</v>
      </c>
      <c r="AF59" s="13" t="n">
        <f aca="false">Inputs!$F$77*AF47</f>
        <v>2.09458080415758</v>
      </c>
      <c r="AG59" s="13" t="n">
        <f aca="false">Inputs!$F$77*AG47</f>
        <v>1.90563035843962</v>
      </c>
      <c r="AH59" s="13" t="n">
        <f aca="false">Inputs!$F$77*AH47</f>
        <v>1.69381041684378</v>
      </c>
      <c r="AI59" s="13" t="n">
        <f aca="false">Inputs!$F$77*AI47</f>
        <v>1.46624764693423</v>
      </c>
      <c r="AJ59" s="13" t="n">
        <f aca="false">Inputs!$F$77*AJ47</f>
        <v>1.24671646643266</v>
      </c>
      <c r="AK59" s="13" t="n">
        <f aca="false">Inputs!$F$77*AK47</f>
        <v>1.02309847004604</v>
      </c>
      <c r="AL59" s="13" t="n">
        <f aca="false">Inputs!$F$77*AL47</f>
        <v>0.826144538834813</v>
      </c>
      <c r="AM59" s="13" t="n">
        <f aca="false">Inputs!$F$77*AM47</f>
        <v>0.649687406264663</v>
      </c>
      <c r="AN59" s="13" t="n">
        <f aca="false">Inputs!$F$77*AN47</f>
        <v>0.491675556381219</v>
      </c>
      <c r="AO59" s="13" t="n">
        <f aca="false">Inputs!$F$77*AO47</f>
        <v>0.410673748975834</v>
      </c>
      <c r="AP59" s="13" t="n">
        <f aca="false">Inputs!$F$77*AP47</f>
        <v>0.3580562225236</v>
      </c>
      <c r="AQ59" s="13" t="n">
        <f aca="false">Inputs!$F$77*AQ47</f>
        <v>0.358949799536258</v>
      </c>
      <c r="AR59" s="13" t="n">
        <f aca="false">Inputs!$F$77*AR47</f>
        <v>0.354320619282345</v>
      </c>
      <c r="AS59" s="13" t="n">
        <f aca="false">Inputs!$F$77*AS47</f>
        <v>0.368437427989929</v>
      </c>
      <c r="AT59" s="13" t="n">
        <f aca="false">Inputs!$F$77*AT47</f>
        <v>0.3695967972481</v>
      </c>
      <c r="AU59" s="13" t="n">
        <f aca="false">Inputs!$F$77*AU47</f>
        <v>0.362196926269513</v>
      </c>
      <c r="AV59" s="13" t="n">
        <f aca="false">Inputs!$F$77*AV47</f>
        <v>4.03269852281777</v>
      </c>
      <c r="AW59" s="13" t="n">
        <f aca="false">Inputs!$F$77*AW47</f>
        <v>3.28188581907963</v>
      </c>
      <c r="AX59" s="13" t="n">
        <f aca="false">Inputs!$F$77*AX47</f>
        <v>0.299285119389964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249.941199397042</v>
      </c>
      <c r="J60" s="13" t="n">
        <f aca="false">Inputs!$F$78*J47</f>
        <v>34.3353096599466</v>
      </c>
      <c r="K60" s="13" t="n">
        <f aca="false">Inputs!$F$78*K47</f>
        <v>0.705768997134365</v>
      </c>
      <c r="L60" s="13" t="n">
        <f aca="false">Inputs!$F$78*L47</f>
        <v>0.899182651723353</v>
      </c>
      <c r="M60" s="13" t="n">
        <f aca="false">Inputs!$F$78*M47</f>
        <v>1.26983046563404</v>
      </c>
      <c r="N60" s="13" t="n">
        <f aca="false">Inputs!$F$78*N47</f>
        <v>1.82757659502552</v>
      </c>
      <c r="O60" s="13" t="n">
        <f aca="false">Inputs!$F$78*O47</f>
        <v>2.51741933622715</v>
      </c>
      <c r="P60" s="13" t="n">
        <f aca="false">Inputs!$F$78*P47</f>
        <v>3.28257332501898</v>
      </c>
      <c r="Q60" s="13" t="n">
        <f aca="false">Inputs!$F$78*Q47</f>
        <v>4.16670601882542</v>
      </c>
      <c r="R60" s="13" t="n">
        <f aca="false">Inputs!$F$78*R47</f>
        <v>5.04703150139529</v>
      </c>
      <c r="S60" s="13" t="n">
        <f aca="false">Inputs!$F$78*S47</f>
        <v>5.94385426591983</v>
      </c>
      <c r="T60" s="13" t="n">
        <f aca="false">Inputs!$F$78*T47</f>
        <v>6.78269993215864</v>
      </c>
      <c r="U60" s="13" t="n">
        <f aca="false">Inputs!$F$78*U47</f>
        <v>7.58741105297294</v>
      </c>
      <c r="V60" s="13" t="n">
        <f aca="false">Inputs!$F$78*V47</f>
        <v>8.29471233853079</v>
      </c>
      <c r="W60" s="13" t="n">
        <f aca="false">Inputs!$F$78*W47</f>
        <v>8.8826997311966</v>
      </c>
      <c r="X60" s="13" t="n">
        <f aca="false">Inputs!$F$78*X47</f>
        <v>9.36983675960551</v>
      </c>
      <c r="Y60" s="13" t="n">
        <f aca="false">Inputs!$F$78*Y47</f>
        <v>9.69385062311793</v>
      </c>
      <c r="Z60" s="13" t="n">
        <f aca="false">Inputs!$F$78*Z47</f>
        <v>9.89716493545194</v>
      </c>
      <c r="AA60" s="13" t="n">
        <f aca="false">Inputs!$F$78*AA47</f>
        <v>10.2664493804466</v>
      </c>
      <c r="AB60" s="13" t="n">
        <f aca="false">Inputs!$F$78*AB47</f>
        <v>9.79263087471286</v>
      </c>
      <c r="AC60" s="13" t="n">
        <f aca="false">Inputs!$F$78*AC47</f>
        <v>9.56037499245079</v>
      </c>
      <c r="AD60" s="13" t="n">
        <f aca="false">Inputs!$F$78*AD47</f>
        <v>9.13900493180343</v>
      </c>
      <c r="AE60" s="13" t="n">
        <f aca="false">Inputs!$F$78*AE47</f>
        <v>8.62307889144274</v>
      </c>
      <c r="AF60" s="13" t="n">
        <f aca="false">Inputs!$F$78*AF47</f>
        <v>7.95940705579879</v>
      </c>
      <c r="AG60" s="13" t="n">
        <f aca="false">Inputs!$F$78*AG47</f>
        <v>7.24139536207055</v>
      </c>
      <c r="AH60" s="13" t="n">
        <f aca="false">Inputs!$F$78*AH47</f>
        <v>6.43647958400637</v>
      </c>
      <c r="AI60" s="13" t="n">
        <f aca="false">Inputs!$F$78*AI47</f>
        <v>5.57174105835009</v>
      </c>
      <c r="AJ60" s="13" t="n">
        <f aca="false">Inputs!$F$78*AJ47</f>
        <v>4.73752257244412</v>
      </c>
      <c r="AK60" s="13" t="n">
        <f aca="false">Inputs!$F$78*AK47</f>
        <v>3.88777418617495</v>
      </c>
      <c r="AL60" s="13" t="n">
        <f aca="false">Inputs!$F$78*AL47</f>
        <v>3.13934924757229</v>
      </c>
      <c r="AM60" s="13" t="n">
        <f aca="false">Inputs!$F$78*AM47</f>
        <v>2.46881214380572</v>
      </c>
      <c r="AN60" s="13" t="n">
        <f aca="false">Inputs!$F$78*AN47</f>
        <v>1.86836711424863</v>
      </c>
      <c r="AO60" s="13" t="n">
        <f aca="false">Inputs!$F$78*AO47</f>
        <v>1.56056024610817</v>
      </c>
      <c r="AP60" s="13" t="n">
        <f aca="false">Inputs!$F$78*AP47</f>
        <v>1.36061364558968</v>
      </c>
      <c r="AQ60" s="13" t="n">
        <f aca="false">Inputs!$F$78*AQ47</f>
        <v>1.36400923823778</v>
      </c>
      <c r="AR60" s="13" t="n">
        <f aca="false">Inputs!$F$78*AR47</f>
        <v>1.34641835327291</v>
      </c>
      <c r="AS60" s="13" t="n">
        <f aca="false">Inputs!$F$78*AS47</f>
        <v>1.40006222636173</v>
      </c>
      <c r="AT60" s="13" t="n">
        <f aca="false">Inputs!$F$78*AT47</f>
        <v>1.40446782954278</v>
      </c>
      <c r="AU60" s="13" t="n">
        <f aca="false">Inputs!$F$78*AU47</f>
        <v>1.37634831982415</v>
      </c>
      <c r="AV60" s="13" t="n">
        <f aca="false">Inputs!$F$78*AV47</f>
        <v>15.3242543867075</v>
      </c>
      <c r="AW60" s="13" t="n">
        <f aca="false">Inputs!$F$78*AW47</f>
        <v>12.4711661125026</v>
      </c>
      <c r="AX60" s="13" t="n">
        <f aca="false">Inputs!$F$78*AX47</f>
        <v>1.13728345368186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27.1068234157473</v>
      </c>
      <c r="K61" s="13" t="n">
        <f aca="false">K28+K57</f>
        <v>27.6640094661166</v>
      </c>
      <c r="L61" s="13" t="n">
        <f aca="false">L28+L57</f>
        <v>28.3738905069508</v>
      </c>
      <c r="M61" s="13" t="n">
        <f aca="false">M28+M57</f>
        <v>29.3763882429777</v>
      </c>
      <c r="N61" s="13" t="n">
        <f aca="false">N28+N57</f>
        <v>30.8192118706294</v>
      </c>
      <c r="O61" s="13" t="n">
        <f aca="false">O28+O57</f>
        <v>32.8066481887035</v>
      </c>
      <c r="P61" s="13" t="n">
        <f aca="false">P28+P57</f>
        <v>35.3981534452974</v>
      </c>
      <c r="Q61" s="13" t="n">
        <f aca="false">Q28+Q57</f>
        <v>38.6876581970017</v>
      </c>
      <c r="R61" s="13" t="n">
        <f aca="false">R28+R57</f>
        <v>42.6721567507348</v>
      </c>
      <c r="S61" s="13" t="n">
        <f aca="false">S28+S57</f>
        <v>47.364673276461</v>
      </c>
      <c r="T61" s="13" t="n">
        <f aca="false">T28+T57</f>
        <v>52.7194363807967</v>
      </c>
      <c r="U61" s="13" t="n">
        <f aca="false">U28+U57</f>
        <v>58.7094977384069</v>
      </c>
      <c r="V61" s="13" t="n">
        <f aca="false">V28+V57</f>
        <v>65.2579548477734</v>
      </c>
      <c r="W61" s="13" t="n">
        <f aca="false">W28+W57</f>
        <v>72.270612530297</v>
      </c>
      <c r="X61" s="13" t="n">
        <f aca="false">X28+X57</f>
        <v>79.667852077354</v>
      </c>
      <c r="Y61" s="13" t="n">
        <f aca="false">Y28+Y57</f>
        <v>87.3208920429734</v>
      </c>
      <c r="Z61" s="13" t="n">
        <f aca="false">Z28+Z57</f>
        <v>95.1344433078039</v>
      </c>
      <c r="AA61" s="13" t="n">
        <f aca="false">AA28+AA57</f>
        <v>103.239534923946</v>
      </c>
      <c r="AB61" s="13" t="n">
        <f aca="false">AB28+AB57</f>
        <v>110.970559298719</v>
      </c>
      <c r="AC61" s="13" t="n">
        <f aca="false">AC28+AC57</f>
        <v>118.518223766444</v>
      </c>
      <c r="AD61" s="13" t="n">
        <f aca="false">AD28+AD57</f>
        <v>125.733227659973</v>
      </c>
      <c r="AE61" s="13" t="n">
        <f aca="false">AE28+AE57</f>
        <v>132.540921521638</v>
      </c>
      <c r="AF61" s="13" t="n">
        <f aca="false">AF28+AF57</f>
        <v>138.824663934111</v>
      </c>
      <c r="AG61" s="13" t="n">
        <f aca="false">AG28+AG57</f>
        <v>144.541555009429</v>
      </c>
      <c r="AH61" s="13" t="n">
        <f aca="false">AH28+AH57</f>
        <v>149.622986259961</v>
      </c>
      <c r="AI61" s="13" t="n">
        <f aca="false">AI28+AI57</f>
        <v>154.021729200764</v>
      </c>
      <c r="AJ61" s="13" t="n">
        <f aca="false">AJ28+AJ57</f>
        <v>157.761878600062</v>
      </c>
      <c r="AK61" s="13" t="n">
        <f aca="false">AK28+AK57</f>
        <v>160.8311740102</v>
      </c>
      <c r="AL61" s="13" t="n">
        <f aca="false">AL28+AL57</f>
        <v>163.309607626704</v>
      </c>
      <c r="AM61" s="13" t="n">
        <f aca="false">AM28+AM57</f>
        <v>165.258669845498</v>
      </c>
      <c r="AN61" s="13" t="n">
        <f aca="false">AN28+AN57</f>
        <v>166.733696514642</v>
      </c>
      <c r="AO61" s="13" t="n">
        <f aca="false">AO28+AO57</f>
        <v>167.965717761569</v>
      </c>
      <c r="AP61" s="13" t="n">
        <f aca="false">AP28+AP57</f>
        <v>169.03988642914</v>
      </c>
      <c r="AQ61" s="13" t="n">
        <f aca="false">AQ28+AQ57</f>
        <v>170.116735827749</v>
      </c>
      <c r="AR61" s="13" t="n">
        <f aca="false">AR28+AR57</f>
        <v>171.179697685596</v>
      </c>
      <c r="AS61" s="13" t="n">
        <f aca="false">AS28+AS57</f>
        <v>172.285009969566</v>
      </c>
      <c r="AT61" s="13" t="n">
        <f aca="false">AT28+AT57</f>
        <v>173.39380036131</v>
      </c>
      <c r="AU61" s="13" t="n">
        <f aca="false">AU28+AU57</f>
        <v>174.480391140118</v>
      </c>
      <c r="AV61" s="13" t="n">
        <f aca="false">AV28+AV57</f>
        <v>186.578486708572</v>
      </c>
      <c r="AW61" s="13" t="n">
        <f aca="false">AW28+AW57</f>
        <v>196.424144165811</v>
      </c>
      <c r="AX61" s="13" t="n">
        <f aca="false">AX28+AX57</f>
        <v>197.321999523981</v>
      </c>
      <c r="AY61" s="13" t="n">
        <f aca="false">AY28+AY57</f>
        <v>197.321999523981</v>
      </c>
      <c r="AZ61" s="13" t="n">
        <f aca="false">AZ28+AZ57</f>
        <v>197.321999523981</v>
      </c>
      <c r="BA61" s="13" t="n">
        <f aca="false">BA28+BA57</f>
        <v>197.321999523981</v>
      </c>
      <c r="BB61" s="13" t="n">
        <f aca="false">BB28+BB57</f>
        <v>197.321999523981</v>
      </c>
      <c r="BC61" s="13" t="n">
        <f aca="false">BC28+BC57</f>
        <v>197.321999523981</v>
      </c>
      <c r="BD61" s="13" t="n">
        <f aca="false">BD28+BD57</f>
        <v>197.321999523981</v>
      </c>
      <c r="BE61" s="13" t="n">
        <f aca="false">BE28+BE57</f>
        <v>197.321999523981</v>
      </c>
      <c r="BF61" s="13" t="n">
        <f aca="false">BF28+BF57</f>
        <v>197.321999523981</v>
      </c>
      <c r="BG61" s="13" t="n">
        <f aca="false">BG28+BG57</f>
        <v>197.321999523981</v>
      </c>
      <c r="BH61" s="13" t="n">
        <f aca="false">BH28+BH57</f>
        <v>197.321999523981</v>
      </c>
      <c r="BI61" s="13" t="n">
        <f aca="false">BI28+BI57</f>
        <v>197.321999523981</v>
      </c>
      <c r="BJ61" s="13" t="n">
        <f aca="false">BJ28+BJ57</f>
        <v>197.321999523981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19.878337171548</v>
      </c>
      <c r="K62" s="13" t="n">
        <f aca="false">K29+K58</f>
        <v>20.2869402751521</v>
      </c>
      <c r="L62" s="13" t="n">
        <f aca="false">L29+L58</f>
        <v>20.8075197050972</v>
      </c>
      <c r="M62" s="13" t="n">
        <f aca="false">M29+M58</f>
        <v>21.5426847115169</v>
      </c>
      <c r="N62" s="13" t="n">
        <f aca="false">N29+N58</f>
        <v>22.6007553717949</v>
      </c>
      <c r="O62" s="13" t="n">
        <f aca="false">O29+O58</f>
        <v>24.0582086717159</v>
      </c>
      <c r="P62" s="13" t="n">
        <f aca="false">P29+P58</f>
        <v>25.9586458598847</v>
      </c>
      <c r="Q62" s="13" t="n">
        <f aca="false">Q29+Q58</f>
        <v>28.3709493444679</v>
      </c>
      <c r="R62" s="13" t="n">
        <f aca="false">R29+R58</f>
        <v>31.2929149505388</v>
      </c>
      <c r="S62" s="13" t="n">
        <f aca="false">S29+S58</f>
        <v>34.7340937360714</v>
      </c>
      <c r="T62" s="13" t="n">
        <f aca="false">T29+T58</f>
        <v>38.6609200125843</v>
      </c>
      <c r="U62" s="13" t="n">
        <f aca="false">U29+U58</f>
        <v>43.0536316748318</v>
      </c>
      <c r="V62" s="13" t="n">
        <f aca="false">V29+V58</f>
        <v>47.8558335550338</v>
      </c>
      <c r="W62" s="13" t="n">
        <f aca="false">W29+W58</f>
        <v>52.9984491888844</v>
      </c>
      <c r="X62" s="13" t="n">
        <f aca="false">X29+X58</f>
        <v>58.4230915233929</v>
      </c>
      <c r="Y62" s="13" t="n">
        <f aca="false">Y29+Y58</f>
        <v>64.0353208315138</v>
      </c>
      <c r="Z62" s="13" t="n">
        <f aca="false">Z29+Z58</f>
        <v>69.7652584257228</v>
      </c>
      <c r="AA62" s="13" t="n">
        <f aca="false">AA29+AA58</f>
        <v>75.7089922775603</v>
      </c>
      <c r="AB62" s="13" t="n">
        <f aca="false">AB29+AB58</f>
        <v>81.3784101523941</v>
      </c>
      <c r="AC62" s="13" t="n">
        <f aca="false">AC29+AC58</f>
        <v>86.9133640953919</v>
      </c>
      <c r="AD62" s="13" t="n">
        <f aca="false">AD29+AD58</f>
        <v>92.2043669506465</v>
      </c>
      <c r="AE62" s="13" t="n">
        <f aca="false">AE29+AE58</f>
        <v>97.1966757825344</v>
      </c>
      <c r="AF62" s="13" t="n">
        <f aca="false">AF29+AF58</f>
        <v>101.804753551681</v>
      </c>
      <c r="AG62" s="13" t="n">
        <f aca="false">AG29+AG58</f>
        <v>105.997140340248</v>
      </c>
      <c r="AH62" s="13" t="n">
        <f aca="false">AH29+AH58</f>
        <v>109.723523257305</v>
      </c>
      <c r="AI62" s="13" t="n">
        <f aca="false">AI29+AI58</f>
        <v>112.94926808056</v>
      </c>
      <c r="AJ62" s="13" t="n">
        <f aca="false">AJ29+AJ58</f>
        <v>115.692044306712</v>
      </c>
      <c r="AK62" s="13" t="n">
        <f aca="false">AK29+AK58</f>
        <v>117.942860940813</v>
      </c>
      <c r="AL62" s="13" t="n">
        <f aca="false">AL29+AL58</f>
        <v>119.76037892625</v>
      </c>
      <c r="AM62" s="13" t="n">
        <f aca="false">AM29+AM58</f>
        <v>121.189691220032</v>
      </c>
      <c r="AN62" s="13" t="n">
        <f aca="false">AN29+AN58</f>
        <v>122.271377444071</v>
      </c>
      <c r="AO62" s="13" t="n">
        <f aca="false">AO29+AO58</f>
        <v>123.174859691817</v>
      </c>
      <c r="AP62" s="13" t="n">
        <f aca="false">AP29+AP58</f>
        <v>123.962583381369</v>
      </c>
      <c r="AQ62" s="13" t="n">
        <f aca="false">AQ29+AQ58</f>
        <v>124.752272940349</v>
      </c>
      <c r="AR62" s="13" t="n">
        <f aca="false">AR29+AR58</f>
        <v>125.53177830277</v>
      </c>
      <c r="AS62" s="13" t="n">
        <f aca="false">AS29+AS58</f>
        <v>126.342340644348</v>
      </c>
      <c r="AT62" s="13" t="n">
        <f aca="false">AT29+AT58</f>
        <v>127.155453598294</v>
      </c>
      <c r="AU62" s="13" t="n">
        <f aca="false">AU29+AU58</f>
        <v>127.952286836087</v>
      </c>
      <c r="AV62" s="13" t="n">
        <f aca="false">AV29+AV58</f>
        <v>136.824223586286</v>
      </c>
      <c r="AW62" s="13" t="n">
        <f aca="false">AW29+AW58</f>
        <v>144.044372388261</v>
      </c>
      <c r="AX62" s="13" t="n">
        <f aca="false">AX29+AX58</f>
        <v>144.702799650919</v>
      </c>
      <c r="AY62" s="13" t="n">
        <f aca="false">AY29+AY58</f>
        <v>144.702799650919</v>
      </c>
      <c r="AZ62" s="13" t="n">
        <f aca="false">AZ29+AZ58</f>
        <v>144.702799650919</v>
      </c>
      <c r="BA62" s="13" t="n">
        <f aca="false">BA29+BA58</f>
        <v>144.702799650919</v>
      </c>
      <c r="BB62" s="13" t="n">
        <f aca="false">BB29+BB58</f>
        <v>144.702799650919</v>
      </c>
      <c r="BC62" s="13" t="n">
        <f aca="false">BC29+BC58</f>
        <v>144.702799650919</v>
      </c>
      <c r="BD62" s="13" t="n">
        <f aca="false">BD29+BD58</f>
        <v>144.702799650919</v>
      </c>
      <c r="BE62" s="13" t="n">
        <f aca="false">BE29+BE58</f>
        <v>144.702799650919</v>
      </c>
      <c r="BF62" s="13" t="n">
        <f aca="false">BF29+BF58</f>
        <v>144.702799650919</v>
      </c>
      <c r="BG62" s="13" t="n">
        <f aca="false">BG29+BG58</f>
        <v>144.702799650919</v>
      </c>
      <c r="BH62" s="13" t="n">
        <f aca="false">BH29+BH58</f>
        <v>144.702799650919</v>
      </c>
      <c r="BI62" s="13" t="n">
        <f aca="false">BI29+BI58</f>
        <v>144.702799650919</v>
      </c>
      <c r="BJ62" s="13" t="n">
        <f aca="false">BJ29+BJ58</f>
        <v>144.702799650919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9.03560780524911</v>
      </c>
      <c r="K63" s="13" t="n">
        <f aca="false">K30+K59</f>
        <v>9.22133648870552</v>
      </c>
      <c r="L63" s="13" t="n">
        <f aca="false">L30+L59</f>
        <v>9.45796350231693</v>
      </c>
      <c r="M63" s="13" t="n">
        <f aca="false">M30+M59</f>
        <v>9.79212941432589</v>
      </c>
      <c r="N63" s="13" t="n">
        <f aca="false">N30+N59</f>
        <v>10.2730706235431</v>
      </c>
      <c r="O63" s="13" t="n">
        <f aca="false">O30+O59</f>
        <v>10.9355493962345</v>
      </c>
      <c r="P63" s="13" t="n">
        <f aca="false">P30+P59</f>
        <v>11.7993844817658</v>
      </c>
      <c r="Q63" s="13" t="n">
        <f aca="false">Q30+Q59</f>
        <v>12.8958860656672</v>
      </c>
      <c r="R63" s="13" t="n">
        <f aca="false">R30+R59</f>
        <v>14.2240522502449</v>
      </c>
      <c r="S63" s="13" t="n">
        <f aca="false">S30+S59</f>
        <v>15.788224425487</v>
      </c>
      <c r="T63" s="13" t="n">
        <f aca="false">T30+T59</f>
        <v>17.5731454602656</v>
      </c>
      <c r="U63" s="13" t="n">
        <f aca="false">U30+U59</f>
        <v>19.569832579469</v>
      </c>
      <c r="V63" s="13" t="n">
        <f aca="false">V30+V59</f>
        <v>21.7526516159244</v>
      </c>
      <c r="W63" s="13" t="n">
        <f aca="false">W30+W59</f>
        <v>24.0902041767657</v>
      </c>
      <c r="X63" s="13" t="n">
        <f aca="false">X30+X59</f>
        <v>26.5559506924513</v>
      </c>
      <c r="Y63" s="13" t="n">
        <f aca="false">Y30+Y59</f>
        <v>29.1069640143245</v>
      </c>
      <c r="Z63" s="13" t="n">
        <f aca="false">Z30+Z59</f>
        <v>31.7114811026013</v>
      </c>
      <c r="AA63" s="13" t="n">
        <f aca="false">AA30+AA59</f>
        <v>34.413178307982</v>
      </c>
      <c r="AB63" s="13" t="n">
        <f aca="false">AB30+AB59</f>
        <v>36.9901864329064</v>
      </c>
      <c r="AC63" s="13" t="n">
        <f aca="false">AC30+AC59</f>
        <v>39.5060745888145</v>
      </c>
      <c r="AD63" s="13" t="n">
        <f aca="false">AD30+AD59</f>
        <v>41.9110758866575</v>
      </c>
      <c r="AE63" s="13" t="n">
        <f aca="false">AE30+AE59</f>
        <v>44.1803071738793</v>
      </c>
      <c r="AF63" s="13" t="n">
        <f aca="false">AF30+AF59</f>
        <v>46.2748879780369</v>
      </c>
      <c r="AG63" s="13" t="n">
        <f aca="false">AG30+AG59</f>
        <v>48.1805183364765</v>
      </c>
      <c r="AH63" s="13" t="n">
        <f aca="false">AH30+AH59</f>
        <v>49.8743287533203</v>
      </c>
      <c r="AI63" s="13" t="n">
        <f aca="false">AI30+AI59</f>
        <v>51.3405764002545</v>
      </c>
      <c r="AJ63" s="13" t="n">
        <f aca="false">AJ30+AJ59</f>
        <v>52.5872928666872</v>
      </c>
      <c r="AK63" s="13" t="n">
        <f aca="false">AK30+AK59</f>
        <v>53.6103913367332</v>
      </c>
      <c r="AL63" s="13" t="n">
        <f aca="false">AL30+AL59</f>
        <v>54.436535875568</v>
      </c>
      <c r="AM63" s="13" t="n">
        <f aca="false">AM30+AM59</f>
        <v>55.0862232818327</v>
      </c>
      <c r="AN63" s="13" t="n">
        <f aca="false">AN30+AN59</f>
        <v>55.5778988382139</v>
      </c>
      <c r="AO63" s="13" t="n">
        <f aca="false">AO30+AO59</f>
        <v>55.9885725871897</v>
      </c>
      <c r="AP63" s="13" t="n">
        <f aca="false">AP30+AP59</f>
        <v>56.3466288097133</v>
      </c>
      <c r="AQ63" s="13" t="n">
        <f aca="false">AQ30+AQ59</f>
        <v>56.7055786092496</v>
      </c>
      <c r="AR63" s="13" t="n">
        <f aca="false">AR30+AR59</f>
        <v>57.0598992285319</v>
      </c>
      <c r="AS63" s="13" t="n">
        <f aca="false">AS30+AS59</f>
        <v>57.4283366565219</v>
      </c>
      <c r="AT63" s="13" t="n">
        <f aca="false">AT30+AT59</f>
        <v>57.79793345377</v>
      </c>
      <c r="AU63" s="13" t="n">
        <f aca="false">AU30+AU59</f>
        <v>58.1601303800395</v>
      </c>
      <c r="AV63" s="13" t="n">
        <f aca="false">AV30+AV59</f>
        <v>62.1928289028573</v>
      </c>
      <c r="AW63" s="13" t="n">
        <f aca="false">AW30+AW59</f>
        <v>65.4747147219369</v>
      </c>
      <c r="AX63" s="13" t="n">
        <f aca="false">AX30+AX59</f>
        <v>65.7739998413268</v>
      </c>
      <c r="AY63" s="13" t="n">
        <f aca="false">AY30+AY59</f>
        <v>65.7739998413268</v>
      </c>
      <c r="AZ63" s="13" t="n">
        <f aca="false">AZ30+AZ59</f>
        <v>65.7739998413268</v>
      </c>
      <c r="BA63" s="13" t="n">
        <f aca="false">BA30+BA59</f>
        <v>65.7739998413268</v>
      </c>
      <c r="BB63" s="13" t="n">
        <f aca="false">BB30+BB59</f>
        <v>65.7739998413268</v>
      </c>
      <c r="BC63" s="13" t="n">
        <f aca="false">BC30+BC59</f>
        <v>65.7739998413268</v>
      </c>
      <c r="BD63" s="13" t="n">
        <f aca="false">BD30+BD59</f>
        <v>65.7739998413268</v>
      </c>
      <c r="BE63" s="13" t="n">
        <f aca="false">BE30+BE59</f>
        <v>65.7739998413268</v>
      </c>
      <c r="BF63" s="13" t="n">
        <f aca="false">BF30+BF59</f>
        <v>65.7739998413268</v>
      </c>
      <c r="BG63" s="13" t="n">
        <f aca="false">BG30+BG59</f>
        <v>65.7739998413268</v>
      </c>
      <c r="BH63" s="13" t="n">
        <f aca="false">BH30+BH59</f>
        <v>65.7739998413268</v>
      </c>
      <c r="BI63" s="13" t="n">
        <f aca="false">BI30+BI59</f>
        <v>65.7739998413268</v>
      </c>
      <c r="BJ63" s="13" t="n">
        <f aca="false">BJ30+BJ59</f>
        <v>65.7739998413268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34.3353096599466</v>
      </c>
      <c r="K64" s="13" t="n">
        <f aca="false">K31+K60</f>
        <v>35.041078657081</v>
      </c>
      <c r="L64" s="13" t="n">
        <f aca="false">L31+L60</f>
        <v>35.9402613088043</v>
      </c>
      <c r="M64" s="13" t="n">
        <f aca="false">M31+M60</f>
        <v>37.2100917744384</v>
      </c>
      <c r="N64" s="13" t="n">
        <f aca="false">N31+N60</f>
        <v>39.0376683694639</v>
      </c>
      <c r="O64" s="13" t="n">
        <f aca="false">O31+O60</f>
        <v>41.555087705691</v>
      </c>
      <c r="P64" s="13" t="n">
        <f aca="false">P31+P60</f>
        <v>44.83766103071</v>
      </c>
      <c r="Q64" s="13" t="n">
        <f aca="false">Q31+Q60</f>
        <v>49.0043670495354</v>
      </c>
      <c r="R64" s="13" t="n">
        <f aca="false">R31+R60</f>
        <v>54.0513985509307</v>
      </c>
      <c r="S64" s="13" t="n">
        <f aca="false">S31+S60</f>
        <v>59.9952528168505</v>
      </c>
      <c r="T64" s="13" t="n">
        <f aca="false">T31+T60</f>
        <v>66.7779527490092</v>
      </c>
      <c r="U64" s="13" t="n">
        <f aca="false">U31+U60</f>
        <v>74.3653638019821</v>
      </c>
      <c r="V64" s="13" t="n">
        <f aca="false">V31+V60</f>
        <v>82.6600761405129</v>
      </c>
      <c r="W64" s="13" t="n">
        <f aca="false">W31+W60</f>
        <v>91.5427758717095</v>
      </c>
      <c r="X64" s="13" t="n">
        <f aca="false">X31+X60</f>
        <v>100.912612631315</v>
      </c>
      <c r="Y64" s="13" t="n">
        <f aca="false">Y31+Y60</f>
        <v>110.606463254433</v>
      </c>
      <c r="Z64" s="13" t="n">
        <f aca="false">Z31+Z60</f>
        <v>120.503628189885</v>
      </c>
      <c r="AA64" s="13" t="n">
        <f aca="false">AA31+AA60</f>
        <v>130.770077570332</v>
      </c>
      <c r="AB64" s="13" t="n">
        <f aca="false">AB31+AB60</f>
        <v>140.562708445044</v>
      </c>
      <c r="AC64" s="13" t="n">
        <f aca="false">AC31+AC60</f>
        <v>150.123083437495</v>
      </c>
      <c r="AD64" s="13" t="n">
        <f aca="false">AD31+AD60</f>
        <v>159.262088369299</v>
      </c>
      <c r="AE64" s="13" t="n">
        <f aca="false">AE31+AE60</f>
        <v>167.885167260741</v>
      </c>
      <c r="AF64" s="13" t="n">
        <f aca="false">AF31+AF60</f>
        <v>175.84457431654</v>
      </c>
      <c r="AG64" s="13" t="n">
        <f aca="false">AG31+AG60</f>
        <v>183.085969678611</v>
      </c>
      <c r="AH64" s="13" t="n">
        <f aca="false">AH31+AH60</f>
        <v>189.522449262617</v>
      </c>
      <c r="AI64" s="13" t="n">
        <f aca="false">AI31+AI60</f>
        <v>195.094190320967</v>
      </c>
      <c r="AJ64" s="13" t="n">
        <f aca="false">AJ31+AJ60</f>
        <v>199.831712893411</v>
      </c>
      <c r="AK64" s="13" t="n">
        <f aca="false">AK31+AK60</f>
        <v>203.719487079586</v>
      </c>
      <c r="AL64" s="13" t="n">
        <f aca="false">AL31+AL60</f>
        <v>206.858836327158</v>
      </c>
      <c r="AM64" s="13" t="n">
        <f aca="false">AM31+AM60</f>
        <v>209.327648470964</v>
      </c>
      <c r="AN64" s="13" t="n">
        <f aca="false">AN31+AN60</f>
        <v>211.196015585213</v>
      </c>
      <c r="AO64" s="13" t="n">
        <f aca="false">AO31+AO60</f>
        <v>212.756575831321</v>
      </c>
      <c r="AP64" s="13" t="n">
        <f aca="false">AP31+AP60</f>
        <v>214.117189476911</v>
      </c>
      <c r="AQ64" s="13" t="n">
        <f aca="false">AQ31+AQ60</f>
        <v>215.481198715148</v>
      </c>
      <c r="AR64" s="13" t="n">
        <f aca="false">AR31+AR60</f>
        <v>216.827617068421</v>
      </c>
      <c r="AS64" s="13" t="n">
        <f aca="false">AS31+AS60</f>
        <v>218.227679294783</v>
      </c>
      <c r="AT64" s="13" t="n">
        <f aca="false">AT31+AT60</f>
        <v>219.632147124326</v>
      </c>
      <c r="AU64" s="13" t="n">
        <f aca="false">AU31+AU60</f>
        <v>221.00849544415</v>
      </c>
      <c r="AV64" s="13" t="n">
        <f aca="false">AV31+AV60</f>
        <v>236.332749830858</v>
      </c>
      <c r="AW64" s="13" t="n">
        <f aca="false">AW31+AW60</f>
        <v>248.80391594336</v>
      </c>
      <c r="AX64" s="13" t="n">
        <f aca="false">AX31+AX60</f>
        <v>249.941199397042</v>
      </c>
      <c r="AY64" s="13" t="n">
        <f aca="false">AY31+AY60</f>
        <v>249.941199397042</v>
      </c>
      <c r="AZ64" s="13" t="n">
        <f aca="false">AZ31+AZ60</f>
        <v>249.941199397042</v>
      </c>
      <c r="BA64" s="13" t="n">
        <f aca="false">BA31+BA60</f>
        <v>249.941199397042</v>
      </c>
      <c r="BB64" s="13" t="n">
        <f aca="false">BB31+BB60</f>
        <v>249.941199397042</v>
      </c>
      <c r="BC64" s="13" t="n">
        <f aca="false">BC31+BC60</f>
        <v>249.941199397042</v>
      </c>
      <c r="BD64" s="13" t="n">
        <f aca="false">BD31+BD60</f>
        <v>249.941199397042</v>
      </c>
      <c r="BE64" s="13" t="n">
        <f aca="false">BE31+BE60</f>
        <v>249.941199397042</v>
      </c>
      <c r="BF64" s="13" t="n">
        <f aca="false">BF31+BF60</f>
        <v>249.941199397042</v>
      </c>
      <c r="BG64" s="13" t="n">
        <f aca="false">BG31+BG60</f>
        <v>249.941199397042</v>
      </c>
      <c r="BH64" s="13" t="n">
        <f aca="false">BH31+BH60</f>
        <v>249.941199397042</v>
      </c>
      <c r="BI64" s="13" t="n">
        <f aca="false">BI31+BI60</f>
        <v>249.941199397042</v>
      </c>
      <c r="BJ64" s="13" t="n">
        <f aca="false">BJ31+BJ60</f>
        <v>249.941199397042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</v>
      </c>
      <c r="AS65" s="13" t="n">
        <f aca="false">AS32+AS55</f>
        <v>0</v>
      </c>
      <c r="AT65" s="13" t="n">
        <f aca="false">AT32+AT55</f>
        <v>0</v>
      </c>
      <c r="AU65" s="13" t="n">
        <f aca="false">AU32+AU55</f>
        <v>0</v>
      </c>
      <c r="AV65" s="13" t="n">
        <f aca="false">AV32+AV55</f>
        <v>0</v>
      </c>
      <c r="AW65" s="13" t="n">
        <f aca="false">AW32+AW55</f>
        <v>0</v>
      </c>
      <c r="AX65" s="13" t="n">
        <f aca="false">AX32+AX55</f>
        <v>1.99840144432528E-013</v>
      </c>
      <c r="AY65" s="13" t="n">
        <f aca="false">AY32+AY55</f>
        <v>1.99840144432528E-013</v>
      </c>
      <c r="AZ65" s="13" t="n">
        <f aca="false">AZ32+AZ55</f>
        <v>1.99840144432528E-013</v>
      </c>
      <c r="BA65" s="13" t="n">
        <f aca="false">BA32+BA55</f>
        <v>1.99840144432528E-013</v>
      </c>
      <c r="BB65" s="13" t="n">
        <f aca="false">BB32+BB55</f>
        <v>1.99840144432528E-013</v>
      </c>
      <c r="BC65" s="13" t="n">
        <f aca="false">BC32+BC55</f>
        <v>1.99840144432528E-013</v>
      </c>
      <c r="BD65" s="13" t="n">
        <f aca="false">BD32+BD55</f>
        <v>1.99840144432528E-013</v>
      </c>
      <c r="BE65" s="13" t="n">
        <f aca="false">BE32+BE55</f>
        <v>1.99840144432528E-013</v>
      </c>
      <c r="BF65" s="13" t="n">
        <f aca="false">BF32+BF55</f>
        <v>1.99840144432528E-013</v>
      </c>
      <c r="BG65" s="13" t="n">
        <f aca="false">BG32+BG55</f>
        <v>1.99840144432528E-013</v>
      </c>
      <c r="BH65" s="13" t="n">
        <f aca="false">BH32+BH55</f>
        <v>1.99840144432528E-013</v>
      </c>
      <c r="BI65" s="13" t="n">
        <f aca="false">BI32+BI55</f>
        <v>1.99840144432528E-013</v>
      </c>
      <c r="BJ65" s="13" t="n">
        <f aca="false">BJ32+BJ55</f>
        <v>1.99840144432528E-013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230.410683158074</v>
      </c>
      <c r="J67" s="13" t="n">
        <f aca="false">J50-J47+J56</f>
        <v>31.6523333259076</v>
      </c>
      <c r="K67" s="13" t="n">
        <f aca="false">K50-K47+K56</f>
        <v>0.650619894494443</v>
      </c>
      <c r="L67" s="13" t="n">
        <f aca="false">L50-L47+L56</f>
        <v>0.828920120281372</v>
      </c>
      <c r="M67" s="13" t="n">
        <f aca="false">M50-M47+M56</f>
        <v>1.17060534952821</v>
      </c>
      <c r="N67" s="13" t="n">
        <f aca="false">N50-N47+N56</f>
        <v>1.6847689488543</v>
      </c>
      <c r="O67" s="13" t="n">
        <f aca="false">O50-O47+O56</f>
        <v>2.32070707212229</v>
      </c>
      <c r="P67" s="13" t="n">
        <f aca="false">P50-P47+P56</f>
        <v>3.02607158867241</v>
      </c>
      <c r="Q67" s="13" t="n">
        <f aca="false">Q50-Q47+Q56</f>
        <v>3.84111776142731</v>
      </c>
      <c r="R67" s="13" t="n">
        <f aca="false">R50-R47+R56</f>
        <v>4.65265422012123</v>
      </c>
      <c r="S67" s="13" t="n">
        <f aca="false">S50-S47+S56</f>
        <v>5.47939885583676</v>
      </c>
      <c r="T67" s="13" t="n">
        <f aca="false">T50-T47+T56</f>
        <v>6.25269674945551</v>
      </c>
      <c r="U67" s="13" t="n">
        <f aca="false">U50-U47+U56</f>
        <v>6.99452738617733</v>
      </c>
      <c r="V67" s="13" t="n">
        <f aca="false">V50-V47+V56</f>
        <v>7.64655983539785</v>
      </c>
      <c r="W67" s="13" t="n">
        <f aca="false">W50-W47+W56</f>
        <v>8.18860163226564</v>
      </c>
      <c r="X67" s="13" t="n">
        <f aca="false">X50-X47+X56</f>
        <v>8.63767355709461</v>
      </c>
      <c r="Y67" s="13" t="n">
        <f aca="false">Y50-Y47+Y56</f>
        <v>8.93636883352236</v>
      </c>
      <c r="Z67" s="13" t="n">
        <f aca="false">Z50-Z47+Z56</f>
        <v>9.12379607526444</v>
      </c>
      <c r="AA67" s="13" t="n">
        <f aca="false">AA50-AA47+AA56</f>
        <v>9.4642244698474</v>
      </c>
      <c r="AB67" s="13" t="n">
        <f aca="false">AB50-AB47+AB56</f>
        <v>9.02743035242129</v>
      </c>
      <c r="AC67" s="13" t="n">
        <f aca="false">AC50-AC47+AC56</f>
        <v>8.81332304786893</v>
      </c>
      <c r="AD67" s="13" t="n">
        <f aca="false">AD50-AD47+AD56</f>
        <v>8.42487903075477</v>
      </c>
      <c r="AE67" s="13" t="n">
        <f aca="false">AE50-AE47+AE56</f>
        <v>7.94926768014383</v>
      </c>
      <c r="AF67" s="13" t="n">
        <f aca="false">AF50-AF47+AF56</f>
        <v>7.3374554562592</v>
      </c>
      <c r="AG67" s="13" t="n">
        <f aca="false">AG50-AG47+AG56</f>
        <v>6.67554951491576</v>
      </c>
      <c r="AH67" s="13" t="n">
        <f aca="false">AH50-AH47+AH56</f>
        <v>5.93353021295238</v>
      </c>
      <c r="AI67" s="13" t="n">
        <f aca="false">AI50-AI47+AI56</f>
        <v>5.1363627394417</v>
      </c>
      <c r="AJ67" s="13" t="n">
        <f aca="false">AJ50-AJ47+AJ56</f>
        <v>4.36733045623116</v>
      </c>
      <c r="AK67" s="13" t="n">
        <f aca="false">AK50-AK47+AK56</f>
        <v>3.58398178596361</v>
      </c>
      <c r="AL67" s="13" t="n">
        <f aca="false">AL50-AL47+AL56</f>
        <v>2.89403910419691</v>
      </c>
      <c r="AM67" s="13" t="n">
        <f aca="false">AM50-AM47+AM56</f>
        <v>2.27589806728741</v>
      </c>
      <c r="AN67" s="13" t="n">
        <f aca="false">AN50-AN47+AN56</f>
        <v>1.72237207880343</v>
      </c>
      <c r="AO67" s="13" t="n">
        <f aca="false">AO50-AO47+AO56</f>
        <v>1.43861737593699</v>
      </c>
      <c r="AP67" s="13" t="n">
        <f aca="false">AP50-AP47+AP56</f>
        <v>1.25429469151466</v>
      </c>
      <c r="AQ67" s="13" t="n">
        <f aca="false">AQ50-AQ47+AQ56</f>
        <v>1.25742495104635</v>
      </c>
      <c r="AR67" s="13" t="n">
        <f aca="false">AR50-AR47+AR56</f>
        <v>1.24120862563906</v>
      </c>
      <c r="AS67" s="13" t="n">
        <f aca="false">AS50-AS47+AS56</f>
        <v>1.29066074267882</v>
      </c>
      <c r="AT67" s="13" t="n">
        <f aca="false">AT50-AT47+AT56</f>
        <v>1.29472209007219</v>
      </c>
      <c r="AU67" s="13" t="n">
        <f aca="false">AU50-AU47+AU56</f>
        <v>1.26879985132176</v>
      </c>
      <c r="AV67" s="13" t="n">
        <f aca="false">AV50-AV47+AV56</f>
        <v>14.126810348383</v>
      </c>
      <c r="AW67" s="13" t="n">
        <f aca="false">AW50-AW47+AW56</f>
        <v>11.4966636580586</v>
      </c>
      <c r="AX67" s="13" t="n">
        <f aca="false">AX50-AX47+AX56</f>
        <v>1.04841561991132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216.210683158074</v>
      </c>
      <c r="J68" s="13" t="n">
        <f aca="false">J67-IF(Construction!J8=1,Inputs!$F$68,0)</f>
        <v>17.4523333259077</v>
      </c>
      <c r="K68" s="13" t="n">
        <f aca="false">K67-IF(Construction!K8=1,Inputs!$F$68,0)</f>
        <v>0.650619894494443</v>
      </c>
      <c r="L68" s="13" t="n">
        <f aca="false">L67-IF(Construction!L8=1,Inputs!$F$68,0)</f>
        <v>0.828920120281372</v>
      </c>
      <c r="M68" s="13" t="n">
        <f aca="false">M67-IF(Construction!M8=1,Inputs!$F$68,0)</f>
        <v>1.17060534952821</v>
      </c>
      <c r="N68" s="13" t="n">
        <f aca="false">N67-IF(Construction!N8=1,Inputs!$F$68,0)</f>
        <v>1.6847689488543</v>
      </c>
      <c r="O68" s="13" t="n">
        <f aca="false">O67-IF(Construction!O8=1,Inputs!$F$68,0)</f>
        <v>2.32070707212229</v>
      </c>
      <c r="P68" s="13" t="n">
        <f aca="false">P67-IF(Construction!P8=1,Inputs!$F$68,0)</f>
        <v>3.02607158867241</v>
      </c>
      <c r="Q68" s="13" t="n">
        <f aca="false">Q67-IF(Construction!Q8=1,Inputs!$F$68,0)</f>
        <v>3.84111776142731</v>
      </c>
      <c r="R68" s="13" t="n">
        <f aca="false">R67-IF(Construction!R8=1,Inputs!$F$68,0)</f>
        <v>4.65265422012123</v>
      </c>
      <c r="S68" s="13" t="n">
        <f aca="false">S67-IF(Construction!S8=1,Inputs!$F$68,0)</f>
        <v>5.47939885583676</v>
      </c>
      <c r="T68" s="13" t="n">
        <f aca="false">T67-IF(Construction!T8=1,Inputs!$F$68,0)</f>
        <v>6.25269674945551</v>
      </c>
      <c r="U68" s="13" t="n">
        <f aca="false">U67-IF(Construction!U8=1,Inputs!$F$68,0)</f>
        <v>6.99452738617733</v>
      </c>
      <c r="V68" s="13" t="n">
        <f aca="false">V67-IF(Construction!V8=1,Inputs!$F$68,0)</f>
        <v>7.64655983539785</v>
      </c>
      <c r="W68" s="13" t="n">
        <f aca="false">W67-IF(Construction!W8=1,Inputs!$F$68,0)</f>
        <v>8.18860163226564</v>
      </c>
      <c r="X68" s="13" t="n">
        <f aca="false">X67-IF(Construction!X8=1,Inputs!$F$68,0)</f>
        <v>8.63767355709461</v>
      </c>
      <c r="Y68" s="13" t="n">
        <f aca="false">Y67-IF(Construction!Y8=1,Inputs!$F$68,0)</f>
        <v>8.93636883352236</v>
      </c>
      <c r="Z68" s="13" t="n">
        <f aca="false">Z67-IF(Construction!Z8=1,Inputs!$F$68,0)</f>
        <v>9.12379607526444</v>
      </c>
      <c r="AA68" s="13" t="n">
        <f aca="false">AA67-IF(Construction!AA8=1,Inputs!$F$68,0)</f>
        <v>9.4642244698474</v>
      </c>
      <c r="AB68" s="13" t="n">
        <f aca="false">AB67-IF(Construction!AB8=1,Inputs!$F$68,0)</f>
        <v>9.02743035242129</v>
      </c>
      <c r="AC68" s="13" t="n">
        <f aca="false">AC67-IF(Construction!AC8=1,Inputs!$F$68,0)</f>
        <v>8.81332304786893</v>
      </c>
      <c r="AD68" s="13" t="n">
        <f aca="false">AD67-IF(Construction!AD8=1,Inputs!$F$68,0)</f>
        <v>8.42487903075477</v>
      </c>
      <c r="AE68" s="13" t="n">
        <f aca="false">AE67-IF(Construction!AE8=1,Inputs!$F$68,0)</f>
        <v>7.94926768014383</v>
      </c>
      <c r="AF68" s="13" t="n">
        <f aca="false">AF67-IF(Construction!AF8=1,Inputs!$F$68,0)</f>
        <v>7.3374554562592</v>
      </c>
      <c r="AG68" s="13" t="n">
        <f aca="false">AG67-IF(Construction!AG8=1,Inputs!$F$68,0)</f>
        <v>6.67554951491576</v>
      </c>
      <c r="AH68" s="13" t="n">
        <f aca="false">AH67-IF(Construction!AH8=1,Inputs!$F$68,0)</f>
        <v>5.93353021295238</v>
      </c>
      <c r="AI68" s="13" t="n">
        <f aca="false">AI67-IF(Construction!AI8=1,Inputs!$F$68,0)</f>
        <v>5.1363627394417</v>
      </c>
      <c r="AJ68" s="13" t="n">
        <f aca="false">AJ67-IF(Construction!AJ8=1,Inputs!$F$68,0)</f>
        <v>4.36733045623116</v>
      </c>
      <c r="AK68" s="13" t="n">
        <f aca="false">AK67-IF(Construction!AK8=1,Inputs!$F$68,0)</f>
        <v>3.58398178596361</v>
      </c>
      <c r="AL68" s="13" t="n">
        <f aca="false">AL67-IF(Construction!AL8=1,Inputs!$F$68,0)</f>
        <v>2.89403910419691</v>
      </c>
      <c r="AM68" s="13" t="n">
        <f aca="false">AM67-IF(Construction!AM8=1,Inputs!$F$68,0)</f>
        <v>2.27589806728741</v>
      </c>
      <c r="AN68" s="13" t="n">
        <f aca="false">AN67-IF(Construction!AN8=1,Inputs!$F$68,0)</f>
        <v>1.72237207880343</v>
      </c>
      <c r="AO68" s="13" t="n">
        <f aca="false">AO67-IF(Construction!AO8=1,Inputs!$F$68,0)</f>
        <v>1.43861737593699</v>
      </c>
      <c r="AP68" s="13" t="n">
        <f aca="false">AP67-IF(Construction!AP8=1,Inputs!$F$68,0)</f>
        <v>1.25429469151466</v>
      </c>
      <c r="AQ68" s="13" t="n">
        <f aca="false">AQ67-IF(Construction!AQ8=1,Inputs!$F$68,0)</f>
        <v>1.25742495104635</v>
      </c>
      <c r="AR68" s="13" t="n">
        <f aca="false">AR67-IF(Construction!AR8=1,Inputs!$F$68,0)</f>
        <v>1.24120862563906</v>
      </c>
      <c r="AS68" s="13" t="n">
        <f aca="false">AS67-IF(Construction!AS8=1,Inputs!$F$68,0)</f>
        <v>1.29066074267882</v>
      </c>
      <c r="AT68" s="13" t="n">
        <f aca="false">AT67-IF(Construction!AT8=1,Inputs!$F$68,0)</f>
        <v>1.29472209007219</v>
      </c>
      <c r="AU68" s="13" t="n">
        <f aca="false">AU67-IF(Construction!AU8=1,Inputs!$F$68,0)</f>
        <v>1.26879985132176</v>
      </c>
      <c r="AV68" s="13" t="n">
        <f aca="false">AV67-IF(Construction!AV8=1,Inputs!$F$68,0)</f>
        <v>14.126810348383</v>
      </c>
      <c r="AW68" s="13" t="n">
        <f aca="false">AW67-IF(Construction!AW8=1,Inputs!$F$68,0)</f>
        <v>11.4966636580586</v>
      </c>
      <c r="AX68" s="13" t="n">
        <f aca="false">AX67-IF(Construction!AX8=1,Inputs!$F$68,0)</f>
        <v>1.04841561991132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46.0821366316148</v>
      </c>
      <c r="J69" s="13" t="n">
        <f aca="false">(1-Inputs!$F$53)*J67</f>
        <v>6.33046666518153</v>
      </c>
      <c r="K69" s="13" t="n">
        <f aca="false">(1-Inputs!$F$53)*K67</f>
        <v>0.130123978898889</v>
      </c>
      <c r="L69" s="13" t="n">
        <f aca="false">(1-Inputs!$F$53)*L67</f>
        <v>0.165784024056274</v>
      </c>
      <c r="M69" s="13" t="n">
        <f aca="false">(1-Inputs!$F$53)*M67</f>
        <v>0.234121069905643</v>
      </c>
      <c r="N69" s="13" t="n">
        <f aca="false">(1-Inputs!$F$53)*N67</f>
        <v>0.33695378977086</v>
      </c>
      <c r="O69" s="13" t="n">
        <f aca="false">(1-Inputs!$F$53)*O67</f>
        <v>0.464141414424458</v>
      </c>
      <c r="P69" s="13" t="n">
        <f aca="false">(1-Inputs!$F$53)*P67</f>
        <v>0.605214317734482</v>
      </c>
      <c r="Q69" s="13" t="n">
        <f aca="false">(1-Inputs!$F$53)*Q67</f>
        <v>0.768223552285462</v>
      </c>
      <c r="R69" s="13" t="n">
        <f aca="false">(1-Inputs!$F$53)*R67</f>
        <v>0.930530844024245</v>
      </c>
      <c r="S69" s="13" t="n">
        <f aca="false">(1-Inputs!$F$53)*S67</f>
        <v>1.09587977116735</v>
      </c>
      <c r="T69" s="13" t="n">
        <f aca="false">(1-Inputs!$F$53)*T67</f>
        <v>1.2505393498911</v>
      </c>
      <c r="U69" s="13" t="n">
        <f aca="false">(1-Inputs!$F$53)*U67</f>
        <v>1.39890547723547</v>
      </c>
      <c r="V69" s="13" t="n">
        <f aca="false">(1-Inputs!$F$53)*V67</f>
        <v>1.52931196707957</v>
      </c>
      <c r="W69" s="13" t="n">
        <f aca="false">(1-Inputs!$F$53)*W67</f>
        <v>1.63772032645313</v>
      </c>
      <c r="X69" s="13" t="n">
        <f aca="false">(1-Inputs!$F$53)*X67</f>
        <v>1.72753471141892</v>
      </c>
      <c r="Y69" s="13" t="n">
        <f aca="false">(1-Inputs!$F$53)*Y67</f>
        <v>1.78727376670447</v>
      </c>
      <c r="Z69" s="13" t="n">
        <f aca="false">(1-Inputs!$F$53)*Z67</f>
        <v>1.82475921505289</v>
      </c>
      <c r="AA69" s="13" t="n">
        <f aca="false">(1-Inputs!$F$53)*AA67</f>
        <v>1.89284489396948</v>
      </c>
      <c r="AB69" s="13" t="n">
        <f aca="false">(1-Inputs!$F$53)*AB67</f>
        <v>1.80548607048426</v>
      </c>
      <c r="AC69" s="13" t="n">
        <f aca="false">(1-Inputs!$F$53)*AC67</f>
        <v>1.76266460957379</v>
      </c>
      <c r="AD69" s="13" t="n">
        <f aca="false">(1-Inputs!$F$53)*AD67</f>
        <v>1.68497580615095</v>
      </c>
      <c r="AE69" s="13" t="n">
        <f aca="false">(1-Inputs!$F$53)*AE67</f>
        <v>1.58985353602877</v>
      </c>
      <c r="AF69" s="13" t="n">
        <f aca="false">(1-Inputs!$F$53)*AF67</f>
        <v>1.46749109125184</v>
      </c>
      <c r="AG69" s="13" t="n">
        <f aca="false">(1-Inputs!$F$53)*AG67</f>
        <v>1.33510990298315</v>
      </c>
      <c r="AH69" s="13" t="n">
        <f aca="false">(1-Inputs!$F$53)*AH67</f>
        <v>1.18670604259048</v>
      </c>
      <c r="AI69" s="13" t="n">
        <f aca="false">(1-Inputs!$F$53)*AI67</f>
        <v>1.02727254788834</v>
      </c>
      <c r="AJ69" s="13" t="n">
        <f aca="false">(1-Inputs!$F$53)*AJ67</f>
        <v>0.873466091246232</v>
      </c>
      <c r="AK69" s="13" t="n">
        <f aca="false">(1-Inputs!$F$53)*AK67</f>
        <v>0.716796357192722</v>
      </c>
      <c r="AL69" s="13" t="n">
        <f aca="false">(1-Inputs!$F$53)*AL67</f>
        <v>0.578807820839383</v>
      </c>
      <c r="AM69" s="13" t="n">
        <f aca="false">(1-Inputs!$F$53)*AM67</f>
        <v>0.455179613457482</v>
      </c>
      <c r="AN69" s="13" t="n">
        <f aca="false">(1-Inputs!$F$53)*AN67</f>
        <v>0.344474415760687</v>
      </c>
      <c r="AO69" s="13" t="n">
        <f aca="false">(1-Inputs!$F$53)*AO67</f>
        <v>0.287723475187398</v>
      </c>
      <c r="AP69" s="13" t="n">
        <f aca="false">(1-Inputs!$F$53)*AP67</f>
        <v>0.250858938302931</v>
      </c>
      <c r="AQ69" s="13" t="n">
        <f aca="false">(1-Inputs!$F$53)*AQ67</f>
        <v>0.25148499020927</v>
      </c>
      <c r="AR69" s="13" t="n">
        <f aca="false">(1-Inputs!$F$53)*AR67</f>
        <v>0.248241725127812</v>
      </c>
      <c r="AS69" s="13" t="n">
        <f aca="false">(1-Inputs!$F$53)*AS67</f>
        <v>0.258132148535763</v>
      </c>
      <c r="AT69" s="13" t="n">
        <f aca="false">(1-Inputs!$F$53)*AT67</f>
        <v>0.258944418014439</v>
      </c>
      <c r="AU69" s="13" t="n">
        <f aca="false">(1-Inputs!$F$53)*AU67</f>
        <v>0.253759970264352</v>
      </c>
      <c r="AV69" s="13" t="n">
        <f aca="false">(1-Inputs!$F$53)*AV67</f>
        <v>2.82536206967661</v>
      </c>
      <c r="AW69" s="13" t="n">
        <f aca="false">(1-Inputs!$F$53)*AW67</f>
        <v>2.29933273161172</v>
      </c>
      <c r="AX69" s="13" t="n">
        <f aca="false">(1-Inputs!$F$53)*AX67</f>
        <v>0.209683123982264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184.328546526459</v>
      </c>
      <c r="J70" s="13" t="n">
        <f aca="false">Inputs!$F$53*J67</f>
        <v>25.3218666607261</v>
      </c>
      <c r="K70" s="13" t="n">
        <f aca="false">Inputs!$F$53*K67</f>
        <v>0.520495915595554</v>
      </c>
      <c r="L70" s="13" t="n">
        <f aca="false">Inputs!$F$53*L67</f>
        <v>0.663136096225098</v>
      </c>
      <c r="M70" s="13" t="n">
        <f aca="false">Inputs!$F$53*M67</f>
        <v>0.93648427962257</v>
      </c>
      <c r="N70" s="13" t="n">
        <f aca="false">Inputs!$F$53*N67</f>
        <v>1.34781515908344</v>
      </c>
      <c r="O70" s="13" t="n">
        <f aca="false">Inputs!$F$53*O67</f>
        <v>1.85656565769783</v>
      </c>
      <c r="P70" s="13" t="n">
        <f aca="false">Inputs!$F$53*P67</f>
        <v>2.42085727093793</v>
      </c>
      <c r="Q70" s="13" t="n">
        <f aca="false">Inputs!$F$53*Q67</f>
        <v>3.07289420914185</v>
      </c>
      <c r="R70" s="13" t="n">
        <f aca="false">Inputs!$F$53*R67</f>
        <v>3.72212337609698</v>
      </c>
      <c r="S70" s="13" t="n">
        <f aca="false">Inputs!$F$53*S67</f>
        <v>4.38351908466941</v>
      </c>
      <c r="T70" s="13" t="n">
        <f aca="false">Inputs!$F$53*T67</f>
        <v>5.00215739956441</v>
      </c>
      <c r="U70" s="13" t="n">
        <f aca="false">Inputs!$F$53*U67</f>
        <v>5.59562190894186</v>
      </c>
      <c r="V70" s="13" t="n">
        <f aca="false">Inputs!$F$53*V67</f>
        <v>6.11724786831828</v>
      </c>
      <c r="W70" s="13" t="n">
        <f aca="false">Inputs!$F$53*W67</f>
        <v>6.55088130581251</v>
      </c>
      <c r="X70" s="13" t="n">
        <f aca="false">Inputs!$F$53*X67</f>
        <v>6.91013884567569</v>
      </c>
      <c r="Y70" s="13" t="n">
        <f aca="false">Inputs!$F$53*Y67</f>
        <v>7.14909506681789</v>
      </c>
      <c r="Z70" s="13" t="n">
        <f aca="false">Inputs!$F$53*Z67</f>
        <v>7.29903686021155</v>
      </c>
      <c r="AA70" s="13" t="n">
        <f aca="false">Inputs!$F$53*AA67</f>
        <v>7.57137957587792</v>
      </c>
      <c r="AB70" s="13" t="n">
        <f aca="false">Inputs!$F$53*AB67</f>
        <v>7.22194428193703</v>
      </c>
      <c r="AC70" s="13" t="n">
        <f aca="false">Inputs!$F$53*AC67</f>
        <v>7.05065843829515</v>
      </c>
      <c r="AD70" s="13" t="n">
        <f aca="false">Inputs!$F$53*AD67</f>
        <v>6.73990322460382</v>
      </c>
      <c r="AE70" s="13" t="n">
        <f aca="false">Inputs!$F$53*AE67</f>
        <v>6.35941414411506</v>
      </c>
      <c r="AF70" s="13" t="n">
        <f aca="false">Inputs!$F$53*AF67</f>
        <v>5.86996436500736</v>
      </c>
      <c r="AG70" s="13" t="n">
        <f aca="false">Inputs!$F$53*AG67</f>
        <v>5.3404396119326</v>
      </c>
      <c r="AH70" s="13" t="n">
        <f aca="false">Inputs!$F$53*AH67</f>
        <v>4.7468241703619</v>
      </c>
      <c r="AI70" s="13" t="n">
        <f aca="false">Inputs!$F$53*AI67</f>
        <v>4.10909019155336</v>
      </c>
      <c r="AJ70" s="13" t="n">
        <f aca="false">Inputs!$F$53*AJ67</f>
        <v>3.49386436498493</v>
      </c>
      <c r="AK70" s="13" t="n">
        <f aca="false">Inputs!$F$53*AK67</f>
        <v>2.86718542877089</v>
      </c>
      <c r="AL70" s="13" t="n">
        <f aca="false">Inputs!$F$53*AL67</f>
        <v>2.31523128335753</v>
      </c>
      <c r="AM70" s="13" t="n">
        <f aca="false">Inputs!$F$53*AM67</f>
        <v>1.82071845382993</v>
      </c>
      <c r="AN70" s="13" t="n">
        <f aca="false">Inputs!$F$53*AN67</f>
        <v>1.37789766304275</v>
      </c>
      <c r="AO70" s="13" t="n">
        <f aca="false">Inputs!$F$53*AO67</f>
        <v>1.15089390074959</v>
      </c>
      <c r="AP70" s="13" t="n">
        <f aca="false">Inputs!$F$53*AP67</f>
        <v>1.00343575321172</v>
      </c>
      <c r="AQ70" s="13" t="n">
        <f aca="false">Inputs!$F$53*AQ67</f>
        <v>1.00593996083708</v>
      </c>
      <c r="AR70" s="13" t="n">
        <f aca="false">Inputs!$F$53*AR67</f>
        <v>0.992966900511248</v>
      </c>
      <c r="AS70" s="13" t="n">
        <f aca="false">Inputs!$F$53*AS67</f>
        <v>1.03252859414305</v>
      </c>
      <c r="AT70" s="13" t="n">
        <f aca="false">Inputs!$F$53*AT67</f>
        <v>1.03577767205776</v>
      </c>
      <c r="AU70" s="13" t="n">
        <f aca="false">Inputs!$F$53*AU67</f>
        <v>1.01503988105741</v>
      </c>
      <c r="AV70" s="13" t="n">
        <f aca="false">Inputs!$F$53*AV67</f>
        <v>11.3014482787064</v>
      </c>
      <c r="AW70" s="13" t="n">
        <f aca="false">Inputs!$F$53*AW67</f>
        <v>9.19733092644687</v>
      </c>
      <c r="AX70" s="13" t="n">
        <f aca="false">Inputs!$F$53*AX67</f>
        <v>0.838732495929056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33.2468688143821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0.197718684885122</v>
      </c>
      <c r="L71" s="13" t="n">
        <f aca="false">IF(Construction!L8&lt;=Time!$F$11,K72*Inputs!$F$104/100*Construction!L11/Inputs!$F$248,0)</f>
        <v>0.210104217299326</v>
      </c>
      <c r="M71" s="13" t="n">
        <f aca="false">IF(Construction!M8&lt;=Time!$F$11,L72*Inputs!$F$104/100*Construction!M11/Inputs!$F$248,0)</f>
        <v>0.21014511366571</v>
      </c>
      <c r="N71" s="13" t="n">
        <f aca="false">IF(Construction!N8&lt;=Time!$F$11,M72*Inputs!$F$104/100*Construction!N11/Inputs!$F$248,0)</f>
        <v>0.22640152219402</v>
      </c>
      <c r="O71" s="13" t="n">
        <f aca="false">IF(Construction!O8&lt;=Time!$F$11,N72*Inputs!$F$104/100*Construction!O11/Inputs!$F$248,0)</f>
        <v>0.239103078704601</v>
      </c>
      <c r="P71" s="13" t="n">
        <f aca="false">IF(Construction!P8&lt;=Time!$F$11,O72*Inputs!$F$104/100*Construction!P11/Inputs!$F$248,0)</f>
        <v>0.231236615851946</v>
      </c>
      <c r="Q71" s="13" t="n">
        <f aca="false">IF(Construction!Q8&lt;=Time!$F$11,P72*Inputs!$F$104/100*Construction!Q11/Inputs!$F$248,0)</f>
        <v>0.277410368910907</v>
      </c>
      <c r="R71" s="13" t="n">
        <f aca="false">IF(Construction!R8&lt;=Time!$F$11,Q72*Inputs!$F$104/100*Construction!R11/Inputs!$F$248,0)</f>
        <v>0.294621559791903</v>
      </c>
      <c r="S71" s="13" t="n">
        <f aca="false">IF(Construction!S8&lt;=Time!$F$11,R72*Inputs!$F$104/100*Construction!S11/Inputs!$F$248,0)</f>
        <v>0.336851357454901</v>
      </c>
      <c r="T71" s="13" t="n">
        <f aca="false">IF(Construction!T8&lt;=Time!$F$11,S72*Inputs!$F$104/100*Construction!T11/Inputs!$F$248,0)</f>
        <v>0.362842871647623</v>
      </c>
      <c r="U71" s="13" t="n">
        <f aca="false">IF(Construction!U8&lt;=Time!$F$11,T72*Inputs!$F$104/100*Construction!U11/Inputs!$F$248,0)</f>
        <v>0.418225101977574</v>
      </c>
      <c r="V71" s="13" t="n">
        <f aca="false">IF(Construction!V8&lt;=Time!$F$11,U72*Inputs!$F$104/100*Construction!V11/Inputs!$F$248,0)</f>
        <v>0.466747785394445</v>
      </c>
      <c r="W71" s="13" t="n">
        <f aca="false">IF(Construction!W8&lt;=Time!$F$11,V72*Inputs!$F$104/100*Construction!W11/Inputs!$F$248,0)</f>
        <v>0.50310068635216</v>
      </c>
      <c r="X71" s="13" t="n">
        <f aca="false">IF(Construction!X8&lt;=Time!$F$11,W72*Inputs!$F$104/100*Construction!X11/Inputs!$F$248,0)</f>
        <v>0.576785714619401</v>
      </c>
      <c r="Y71" s="13" t="n">
        <f aca="false">IF(Construction!Y8&lt;=Time!$F$11,X72*Inputs!$F$104/100*Construction!Y11/Inputs!$F$248,0)</f>
        <v>0.616639271761777</v>
      </c>
      <c r="Z71" s="13" t="n">
        <f aca="false">IF(Construction!Z8&lt;=Time!$F$11,Y72*Inputs!$F$104/100*Construction!Z11/Inputs!$F$248,0)</f>
        <v>0.699851688474705</v>
      </c>
      <c r="AA71" s="13" t="n">
        <f aca="false">IF(Construction!AA8&lt;=Time!$F$11,Z72*Inputs!$F$104/100*Construction!AA11/Inputs!$F$248,0)</f>
        <v>0.764390665942873</v>
      </c>
      <c r="AB71" s="13" t="n">
        <f aca="false">IF(Construction!AB8&lt;=Time!$F$11,AA72*Inputs!$F$104/100*Construction!AB11/Inputs!$F$248,0)</f>
        <v>0.777993076138578</v>
      </c>
      <c r="AC71" s="13" t="n">
        <f aca="false">IF(Construction!AC8&lt;=Time!$F$11,AB72*Inputs!$F$104/100*Construction!AC11/Inputs!$F$248,0)</f>
        <v>0.896195210824228</v>
      </c>
      <c r="AD71" s="13" t="n">
        <f aca="false">IF(Construction!AD8&lt;=Time!$F$11,AC72*Inputs!$F$104/100*Construction!AD11/Inputs!$F$248,0)</f>
        <v>0.929336462962881</v>
      </c>
      <c r="AE71" s="13" t="n">
        <f aca="false">IF(Construction!AE8&lt;=Time!$F$11,AD72*Inputs!$F$104/100*Construction!AE11/Inputs!$F$248,0)</f>
        <v>1.02219355295174</v>
      </c>
      <c r="AF71" s="13" t="n">
        <f aca="false">IF(Construction!AF8&lt;=Time!$F$11,AE72*Inputs!$F$104/100*Construction!AF11/Inputs!$F$248,0)</f>
        <v>1.04685677815796</v>
      </c>
      <c r="AG71" s="13" t="n">
        <f aca="false">IF(Construction!AG8&lt;=Time!$F$11,AF72*Inputs!$F$104/100*Construction!AG11/Inputs!$F$248,0)</f>
        <v>1.13756032811471</v>
      </c>
      <c r="AH71" s="13" t="n">
        <f aca="false">IF(Construction!AH8&lt;=Time!$F$11,AG72*Inputs!$F$104/100*Construction!AH11/Inputs!$F$248,0)</f>
        <v>1.18982802626111</v>
      </c>
      <c r="AI71" s="13" t="n">
        <f aca="false">IF(Construction!AI8&lt;=Time!$F$11,AH72*Inputs!$F$104/100*Construction!AI11/Inputs!$F$248,0)</f>
        <v>1.19780115856216</v>
      </c>
      <c r="AJ71" s="13" t="n">
        <f aca="false">IF(Construction!AJ8&lt;=Time!$F$11,AI72*Inputs!$F$104/100*Construction!AJ11/Inputs!$F$248,0)</f>
        <v>1.2805464803574</v>
      </c>
      <c r="AK71" s="13" t="n">
        <f aca="false">IF(Construction!AK8&lt;=Time!$F$11,AJ72*Inputs!$F$104/100*Construction!AK11/Inputs!$F$248,0)</f>
        <v>1.27651817570478</v>
      </c>
      <c r="AL71" s="13" t="n">
        <f aca="false">IF(Construction!AL8&lt;=Time!$F$11,AK72*Inputs!$F$104/100*Construction!AL11/Inputs!$F$248,0)</f>
        <v>1.35250222571278</v>
      </c>
      <c r="AM71" s="13" t="n">
        <f aca="false">IF(Construction!AM8&lt;=Time!$F$11,AL72*Inputs!$F$104/100*Construction!AM11/Inputs!$F$248,0)</f>
        <v>1.38209530840925</v>
      </c>
      <c r="AN71" s="13" t="n">
        <f aca="false">IF(Construction!AN8&lt;=Time!$F$11,AM72*Inputs!$F$104/100*Construction!AN11/Inputs!$F$248,0)</f>
        <v>1.27168520325027</v>
      </c>
      <c r="AO71" s="13" t="n">
        <f aca="false">IF(Construction!AO8&lt;=Time!$F$11,AN72*Inputs!$F$104/100*Construction!AO11/Inputs!$F$248,0)</f>
        <v>1.42931533052166</v>
      </c>
      <c r="AP71" s="13" t="n">
        <f aca="false">IF(Construction!AP8&lt;=Time!$F$11,AO72*Inputs!$F$104/100*Construction!AP11/Inputs!$F$248,0)</f>
        <v>1.40335522357887</v>
      </c>
      <c r="AQ71" s="13" t="n">
        <f aca="false">IF(Construction!AQ8&lt;=Time!$F$11,AP72*Inputs!$F$104/100*Construction!AQ11/Inputs!$F$248,0)</f>
        <v>1.46955290754287</v>
      </c>
      <c r="AR71" s="13" t="n">
        <f aca="false">IF(Construction!AR8&lt;=Time!$F$11,AQ72*Inputs!$F$104/100*Construction!AR11/Inputs!$F$248,0)</f>
        <v>1.44147716593158</v>
      </c>
      <c r="AS71" s="13" t="n">
        <f aca="false">IF(Construction!AS8&lt;=Time!$F$11,AR72*Inputs!$F$104/100*Construction!AS11/Inputs!$F$248,0)</f>
        <v>1.50916870007178</v>
      </c>
      <c r="AT71" s="13" t="n">
        <f aca="false">IF(Construction!AT8&lt;=Time!$F$11,AS72*Inputs!$F$104/100*Construction!AT11/Inputs!$F$248,0)</f>
        <v>1.52967636728127</v>
      </c>
      <c r="AU71" s="13" t="n">
        <f aca="false">IF(Construction!AU8&lt;=Time!$F$11,AT72*Inputs!$F$104/100*Construction!AU11/Inputs!$F$248,0)</f>
        <v>1.50036359576717</v>
      </c>
      <c r="AV71" s="13" t="n">
        <f aca="false">IF(Construction!AV8&lt;=Time!$F$11,AU72*Inputs!$F$104/100*Construction!AV11/Inputs!$F$248,0)</f>
        <v>1.57067123135004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25.3218666607261</v>
      </c>
      <c r="K72" s="13" t="n">
        <f aca="false">J72+K71+K70</f>
        <v>26.0400812612068</v>
      </c>
      <c r="L72" s="13" t="n">
        <f aca="false">K72+L71+L70</f>
        <v>26.9133215747312</v>
      </c>
      <c r="M72" s="13" t="n">
        <f aca="false">L72+M71+M70</f>
        <v>28.0599509680195</v>
      </c>
      <c r="N72" s="13" t="n">
        <f aca="false">M72+N71+N70</f>
        <v>29.634167649297</v>
      </c>
      <c r="O72" s="13" t="n">
        <f aca="false">N72+O71+O70</f>
        <v>31.7298363856994</v>
      </c>
      <c r="P72" s="13" t="n">
        <f aca="false">O72+P71+P70</f>
        <v>34.3819302724893</v>
      </c>
      <c r="Q72" s="13" t="n">
        <f aca="false">P72+Q71+Q70</f>
        <v>37.732234850542</v>
      </c>
      <c r="R72" s="13" t="n">
        <f aca="false">Q72+R71+R70</f>
        <v>41.7489797864309</v>
      </c>
      <c r="S72" s="13" t="n">
        <f aca="false">R72+S71+S70</f>
        <v>46.4693502285552</v>
      </c>
      <c r="T72" s="13" t="n">
        <f aca="false">S72+T71+T70</f>
        <v>51.8343504997673</v>
      </c>
      <c r="U72" s="13" t="n">
        <f aca="false">T72+U71+U70</f>
        <v>57.8481975106867</v>
      </c>
      <c r="V72" s="13" t="n">
        <f aca="false">U72+V71+V70</f>
        <v>64.4321931643994</v>
      </c>
      <c r="W72" s="13" t="n">
        <f aca="false">V72+W71+W70</f>
        <v>71.4861751565641</v>
      </c>
      <c r="X72" s="13" t="n">
        <f aca="false">W72+X71+X70</f>
        <v>78.9730997168592</v>
      </c>
      <c r="Y72" s="13" t="n">
        <f aca="false">X72+Y71+Y70</f>
        <v>86.7388340554388</v>
      </c>
      <c r="Z72" s="13" t="n">
        <f aca="false">Y72+Z71+Z70</f>
        <v>94.7377226041251</v>
      </c>
      <c r="AA72" s="13" t="n">
        <f aca="false">Z72+AA71+AA70</f>
        <v>103.073492845946</v>
      </c>
      <c r="AB72" s="13" t="n">
        <f aca="false">AA72+AB71+AB70</f>
        <v>111.073430204022</v>
      </c>
      <c r="AC72" s="13" t="n">
        <f aca="false">AB72+AC71+AC70</f>
        <v>119.020283853141</v>
      </c>
      <c r="AD72" s="13" t="n">
        <f aca="false">AC72+AD71+AD70</f>
        <v>126.689523540708</v>
      </c>
      <c r="AE72" s="13" t="n">
        <f aca="false">AD72+AE71+AE70</f>
        <v>134.071131237774</v>
      </c>
      <c r="AF72" s="13" t="n">
        <f aca="false">AE72+AF71+AF70</f>
        <v>140.98795238094</v>
      </c>
      <c r="AG72" s="13" t="n">
        <f aca="false">AF72+AG71+AG70</f>
        <v>147.465952320987</v>
      </c>
      <c r="AH72" s="13" t="n">
        <f aca="false">AG72+AH71+AH70</f>
        <v>153.40260451761</v>
      </c>
      <c r="AI72" s="13" t="n">
        <f aca="false">AH72+AI71+AI70</f>
        <v>158.709495867726</v>
      </c>
      <c r="AJ72" s="13" t="n">
        <f aca="false">AI72+AJ71+AJ70</f>
        <v>163.483906713068</v>
      </c>
      <c r="AK72" s="13" t="n">
        <f aca="false">AJ72+AK71+AK70</f>
        <v>167.627610317544</v>
      </c>
      <c r="AL72" s="13" t="n">
        <f aca="false">AK72+AL71+AL70</f>
        <v>171.295343826614</v>
      </c>
      <c r="AM72" s="13" t="n">
        <f aca="false">AL72+AM71+AM70</f>
        <v>174.498157588853</v>
      </c>
      <c r="AN72" s="13" t="n">
        <f aca="false">AM72+AN71+AN70</f>
        <v>177.147740455146</v>
      </c>
      <c r="AO72" s="13" t="n">
        <f aca="false">AN72+AO71+AO70</f>
        <v>179.727949686417</v>
      </c>
      <c r="AP72" s="13" t="n">
        <f aca="false">AO72+AP71+AP70</f>
        <v>182.134740663208</v>
      </c>
      <c r="AQ72" s="13" t="n">
        <f aca="false">AP72+AQ71+AQ70</f>
        <v>184.610233531588</v>
      </c>
      <c r="AR72" s="13" t="n">
        <f aca="false">AQ72+AR71+AR70</f>
        <v>187.044677598031</v>
      </c>
      <c r="AS72" s="13" t="n">
        <f aca="false">AR72+AS71+AS70</f>
        <v>189.586374892245</v>
      </c>
      <c r="AT72" s="13" t="n">
        <f aca="false">AS72+AT71+AT70</f>
        <v>192.151828931584</v>
      </c>
      <c r="AU72" s="13" t="n">
        <f aca="false">AT72+AU71+AU70</f>
        <v>194.667232408409</v>
      </c>
      <c r="AV72" s="13" t="n">
        <f aca="false">AU72+AV71+AV70</f>
        <v>207.539351918466</v>
      </c>
      <c r="AW72" s="13" t="n">
        <f aca="false">AV72+AW71+AW70</f>
        <v>216.736682844912</v>
      </c>
      <c r="AX72" s="13" t="n">
        <f aca="false">AW72+AX71+AX70</f>
        <v>217.575415340841</v>
      </c>
      <c r="AY72" s="13" t="n">
        <f aca="false">AX72+AY71+AY70</f>
        <v>217.575415340841</v>
      </c>
      <c r="AZ72" s="13" t="n">
        <f aca="false">AY72+AZ71+AZ70</f>
        <v>217.575415340841</v>
      </c>
      <c r="BA72" s="13" t="n">
        <f aca="false">AZ72+BA71+BA70</f>
        <v>217.575415340841</v>
      </c>
      <c r="BB72" s="13" t="n">
        <f aca="false">BA72+BB71+BB70</f>
        <v>217.575415340841</v>
      </c>
      <c r="BC72" s="13" t="n">
        <f aca="false">BB72+BC71+BC70</f>
        <v>217.575415340841</v>
      </c>
      <c r="BD72" s="13" t="n">
        <f aca="false">BC72+BD71+BD70</f>
        <v>217.575415340841</v>
      </c>
      <c r="BE72" s="13" t="n">
        <f aca="false">BD72+BE71+BE70</f>
        <v>217.575415340841</v>
      </c>
      <c r="BF72" s="13" t="n">
        <f aca="false">BE72+BF71+BF70</f>
        <v>217.575415340841</v>
      </c>
      <c r="BG72" s="13" t="n">
        <f aca="false">BF72+BG71+BG70</f>
        <v>217.575415340841</v>
      </c>
      <c r="BH72" s="13" t="n">
        <f aca="false">BG72+BH71+BH70</f>
        <v>217.575415340841</v>
      </c>
      <c r="BI72" s="13" t="n">
        <f aca="false">BH72+BI71+BI70</f>
        <v>217.575415340841</v>
      </c>
      <c r="BJ72" s="13" t="n">
        <f aca="false">BI72+BJ71+BJ70</f>
        <v>217.575415340841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657.739998413269</v>
      </c>
      <c r="J73" s="13" t="n">
        <f aca="false">J47+J55</f>
        <v>90.3560780524911</v>
      </c>
      <c r="K73" s="13" t="n">
        <f aca="false">K47+K55</f>
        <v>1.85728683456412</v>
      </c>
      <c r="L73" s="13" t="n">
        <f aca="false">L47+L55</f>
        <v>2.36627013611409</v>
      </c>
      <c r="M73" s="13" t="n">
        <f aca="false">M47+M55</f>
        <v>3.34165912008958</v>
      </c>
      <c r="N73" s="13" t="n">
        <f aca="false">N47+N55</f>
        <v>4.80941209217243</v>
      </c>
      <c r="O73" s="13" t="n">
        <f aca="false">O47+O55</f>
        <v>6.62478772691356</v>
      </c>
      <c r="P73" s="13" t="n">
        <f aca="false">P47+P55</f>
        <v>8.63835085531311</v>
      </c>
      <c r="Q73" s="13" t="n">
        <f aca="false">Q47+Q55</f>
        <v>10.9650158390143</v>
      </c>
      <c r="R73" s="13" t="n">
        <f aca="false">R47+R55</f>
        <v>13.2816618457771</v>
      </c>
      <c r="S73" s="13" t="n">
        <f aca="false">S47+S55</f>
        <v>15.6417217524206</v>
      </c>
      <c r="T73" s="13" t="n">
        <f aca="false">T47+T55</f>
        <v>17.8492103477859</v>
      </c>
      <c r="U73" s="13" t="n">
        <f aca="false">U47+U55</f>
        <v>19.9668711920341</v>
      </c>
      <c r="V73" s="13" t="n">
        <f aca="false">V47+V55</f>
        <v>21.8281903645547</v>
      </c>
      <c r="W73" s="13" t="n">
        <f aca="false">W47+W55</f>
        <v>23.3755256084121</v>
      </c>
      <c r="X73" s="13" t="n">
        <f aca="false">X47+X55</f>
        <v>24.6574651568566</v>
      </c>
      <c r="Y73" s="13" t="n">
        <f aca="false">Y47+Y55</f>
        <v>25.5101332187314</v>
      </c>
      <c r="Z73" s="13" t="n">
        <f aca="false">Z47+Z55</f>
        <v>26.0451708827683</v>
      </c>
      <c r="AA73" s="13" t="n">
        <f aca="false">AA47+AA55</f>
        <v>27.0169720538069</v>
      </c>
      <c r="AB73" s="13" t="n">
        <f aca="false">AB47+AB55</f>
        <v>25.7700812492444</v>
      </c>
      <c r="AC73" s="13" t="n">
        <f aca="false">AC47+AC55</f>
        <v>25.158881559081</v>
      </c>
      <c r="AD73" s="13" t="n">
        <f aca="false">AD47+AD55</f>
        <v>24.0500129784301</v>
      </c>
      <c r="AE73" s="13" t="n">
        <f aca="false">AE47+AE55</f>
        <v>22.6923128722177</v>
      </c>
      <c r="AF73" s="13" t="n">
        <f aca="false">AF47+AF55</f>
        <v>20.9458080415758</v>
      </c>
      <c r="AG73" s="13" t="n">
        <f aca="false">AG47+AG55</f>
        <v>19.0563035843962</v>
      </c>
      <c r="AH73" s="13" t="n">
        <f aca="false">AH47+AH55</f>
        <v>16.9381041684378</v>
      </c>
      <c r="AI73" s="13" t="n">
        <f aca="false">AI47+AI55</f>
        <v>14.6624764693423</v>
      </c>
      <c r="AJ73" s="13" t="n">
        <f aca="false">AJ47+AJ55</f>
        <v>12.4671646643266</v>
      </c>
      <c r="AK73" s="13" t="n">
        <f aca="false">AK47+AK55</f>
        <v>10.2309847004604</v>
      </c>
      <c r="AL73" s="13" t="n">
        <f aca="false">AL47+AL55</f>
        <v>8.26144538834813</v>
      </c>
      <c r="AM73" s="13" t="n">
        <f aca="false">AM47+AM55</f>
        <v>6.49687406264663</v>
      </c>
      <c r="AN73" s="13" t="n">
        <f aca="false">AN47+AN55</f>
        <v>4.91675556381219</v>
      </c>
      <c r="AO73" s="13" t="n">
        <f aca="false">AO47+AO55</f>
        <v>4.10673748975834</v>
      </c>
      <c r="AP73" s="13" t="n">
        <f aca="false">AP47+AP55</f>
        <v>3.580562225236</v>
      </c>
      <c r="AQ73" s="13" t="n">
        <f aca="false">AQ47+AQ55</f>
        <v>3.58949799536258</v>
      </c>
      <c r="AR73" s="13" t="n">
        <f aca="false">AR47+AR55</f>
        <v>3.54320619282345</v>
      </c>
      <c r="AS73" s="13" t="n">
        <f aca="false">AS47+AS55</f>
        <v>3.68437427989929</v>
      </c>
      <c r="AT73" s="13" t="n">
        <f aca="false">AT47+AT55</f>
        <v>3.695967972481</v>
      </c>
      <c r="AU73" s="13" t="n">
        <f aca="false">AU47+AU55</f>
        <v>3.62196926269513</v>
      </c>
      <c r="AV73" s="13" t="n">
        <f aca="false">AV47+AV55</f>
        <v>40.3269852281777</v>
      </c>
      <c r="AW73" s="13" t="n">
        <f aca="false">AW47+AW55</f>
        <v>32.8188581907963</v>
      </c>
      <c r="AX73" s="13" t="n">
        <f aca="false">AX47+AX55</f>
        <v>2.99285119389984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129.950824381222</v>
      </c>
      <c r="J74" s="13" t="n">
        <f aca="false">J33+J34+J35+J36+J37+J38+J39+J40+J41+J42+J43+J48+Construction!J14*Construction!J38</f>
        <v>13.8968113783987</v>
      </c>
      <c r="K74" s="13" t="n">
        <f aca="false">K33+K34+K35+K36+K37+K38+K39+K40+K41+K42+K43+K48+Construction!K14*Construction!K38</f>
        <v>1.10035531049397</v>
      </c>
      <c r="L74" s="13" t="n">
        <f aca="false">L33+L34+L35+L36+L37+L38+L39+L40+L41+L42+L43+L48+Construction!L14*Construction!L38</f>
        <v>1.15379374692177</v>
      </c>
      <c r="M74" s="13" t="n">
        <f aca="false">M33+M34+M35+M36+M37+M38+M39+M40+M41+M42+M43+M48+Construction!M14*Construction!M38</f>
        <v>1.16854819287138</v>
      </c>
      <c r="N74" s="13" t="n">
        <f aca="false">N33+N34+N35+N36+N37+N38+N39+N40+N41+N42+N43+N48+Construction!N14*Construction!N38</f>
        <v>1.26129720064395</v>
      </c>
      <c r="O74" s="13" t="n">
        <f aca="false">O33+O34+O35+O36+O37+O38+O39+O40+O41+O42+O43+O48+Construction!O14*Construction!O38</f>
        <v>1.35037852228943</v>
      </c>
      <c r="P74" s="13" t="n">
        <f aca="false">P33+P34+P35+P36+P37+P38+P39+P40+P41+P42+P43+P48+Construction!P14*Construction!P38</f>
        <v>1.35954110542092</v>
      </c>
      <c r="Q74" s="13" t="n">
        <f aca="false">Q33+Q34+Q35+Q36+Q37+Q38+Q39+Q40+Q41+Q42+Q43+Q48+Construction!Q14*Construction!Q38</f>
        <v>1.57010520733151</v>
      </c>
      <c r="R74" s="13" t="n">
        <f aca="false">R33+R34+R35+R36+R37+R38+R39+R40+R41+R42+R43+R48+Construction!R14*Construction!R38</f>
        <v>1.67005410187916</v>
      </c>
      <c r="S74" s="13" t="n">
        <f aca="false">S33+S34+S35+S36+S37+S38+S39+S40+S41+S42+S43+S48+Construction!S14*Construction!S38</f>
        <v>1.84779502242003</v>
      </c>
      <c r="T74" s="13" t="n">
        <f aca="false">T33+T34+T35+T36+T37+T38+T39+T40+T41+T42+T43+T48+Construction!T14*Construction!T38</f>
        <v>1.94690529322224</v>
      </c>
      <c r="U74" s="13" t="n">
        <f aca="false">U33+U34+U35+U36+U37+U38+U39+U40+U41+U42+U43+U48+Construction!U14*Construction!U38</f>
        <v>2.14857609055588</v>
      </c>
      <c r="V74" s="13" t="n">
        <f aca="false">V33+V34+V35+V36+V37+V38+V39+V40+V41+V42+V43+V48+Construction!V14*Construction!V38</f>
        <v>2.31329975593342</v>
      </c>
      <c r="W74" s="13" t="n">
        <f aca="false">W33+W34+W35+W36+W37+W38+W39+W40+W41+W42+W43+W48+Construction!W14*Construction!W38</f>
        <v>2.43621105120406</v>
      </c>
      <c r="X74" s="13" t="n">
        <f aca="false">X33+X34+X35+X36+X37+X38+X39+X40+X41+X42+X43+X48+Construction!X14*Construction!X38</f>
        <v>2.63981045175024</v>
      </c>
      <c r="Y74" s="13" t="n">
        <f aca="false">Y33+Y34+Y35+Y36+Y37+Y38+Y39+Y40+Y41+Y42+Y43+Y48+Construction!Y14*Construction!Y38</f>
        <v>2.74857591368914</v>
      </c>
      <c r="Z74" s="13" t="n">
        <f aca="false">Z33+Z34+Z35+Z36+Z37+Z38+Z39+Z40+Z41+Z42+Z43+Z48+Construction!Z14*Construction!Z38</f>
        <v>2.94232125583174</v>
      </c>
      <c r="AA74" s="13" t="n">
        <f aca="false">AA33+AA34+AA35+AA36+AA37+AA38+AA39+AA40+AA41+AA42+AA43+AA48+Construction!AA14*Construction!AA38</f>
        <v>3.11155082145335</v>
      </c>
      <c r="AB74" s="13" t="n">
        <f aca="false">AB33+AB34+AB35+AB36+AB37+AB38+AB39+AB40+AB41+AB42+AB43+AB48+Construction!AB14*Construction!AB38</f>
        <v>3.09958546310106</v>
      </c>
      <c r="AC74" s="13" t="n">
        <f aca="false">AC33+AC34+AC35+AC36+AC37+AC38+AC39+AC40+AC41+AC42+AC43+AC48+Construction!AC14*Construction!AC38</f>
        <v>3.31687634474899</v>
      </c>
      <c r="AD74" s="13" t="n">
        <f aca="false">AD33+AD34+AD35+AD36+AD37+AD38+AD39+AD40+AD41+AD42+AD43+AD48+Construction!AD14*Construction!AD38</f>
        <v>3.34697581971116</v>
      </c>
      <c r="AE74" s="13" t="n">
        <f aca="false">AE33+AE34+AE35+AE36+AE37+AE38+AE39+AE40+AE41+AE42+AE43+AE48+Construction!AE14*Construction!AE38</f>
        <v>3.48013010834242</v>
      </c>
      <c r="AF74" s="13" t="n">
        <f aca="false">AF33+AF34+AF35+AF36+AF37+AF38+AF39+AF40+AF41+AF42+AF43+AF48+Construction!AF14*Construction!AF38</f>
        <v>3.47044101017945</v>
      </c>
      <c r="AG74" s="13" t="n">
        <f aca="false">AG33+AG34+AG35+AG36+AG37+AG38+AG39+AG40+AG41+AG42+AG43+AG48+Construction!AG14*Construction!AG38</f>
        <v>3.57685129529281</v>
      </c>
      <c r="AH74" s="13" t="n">
        <f aca="false">AH33+AH34+AH35+AH36+AH37+AH38+AH39+AH40+AH41+AH42+AH43+AH48+Construction!AH14*Construction!AH38</f>
        <v>3.59830879555286</v>
      </c>
      <c r="AI74" s="13" t="n">
        <f aca="false">AI33+AI34+AI35+AI36+AI37+AI38+AI39+AI40+AI41+AI42+AI43+AI48+Construction!AI14*Construction!AI38</f>
        <v>3.53457724476489</v>
      </c>
      <c r="AJ74" s="13" t="n">
        <f aca="false">AJ33+AJ34+AJ35+AJ36+AJ37+AJ38+AJ39+AJ40+AJ41+AJ42+AJ43+AJ48+Construction!AJ14*Construction!AJ38</f>
        <v>3.59846672744775</v>
      </c>
      <c r="AK74" s="13" t="n">
        <f aca="false">AK33+AK34+AK35+AK36+AK37+AK38+AK39+AK40+AK41+AK42+AK43+AK48+Construction!AK14*Construction!AK38</f>
        <v>3.51008514785942</v>
      </c>
      <c r="AL74" s="13" t="n">
        <f aca="false">AL33+AL34+AL35+AL36+AL37+AL38+AL39+AL40+AL41+AL42+AL43+AL48+Construction!AL14*Construction!AL38</f>
        <v>3.56036821579863</v>
      </c>
      <c r="AM74" s="13" t="n">
        <f aca="false">AM33+AM34+AM35+AM36+AM37+AM38+AM39+AM40+AM41+AM42+AM43+AM48+Construction!AM14*Construction!AM38</f>
        <v>3.53988828955126</v>
      </c>
      <c r="AN74" s="13" t="n">
        <f aca="false">AN33+AN34+AN35+AN36+AN37+AN38+AN39+AN40+AN41+AN42+AN43+AN48+Construction!AN14*Construction!AN38</f>
        <v>3.29541136586921</v>
      </c>
      <c r="AO74" s="13" t="n">
        <f aca="false">AO33+AO34+AO35+AO36+AO37+AO38+AO39+AO40+AO41+AO42+AO43+AO48+Construction!AO14*Construction!AO38</f>
        <v>3.50395835622165</v>
      </c>
      <c r="AP74" s="13" t="n">
        <f aca="false">AP33+AP34+AP35+AP36+AP37+AP38+AP39+AP40+AP41+AP42+AP43+AP48+Construction!AP14*Construction!AP38</f>
        <v>3.42730549818607</v>
      </c>
      <c r="AQ74" s="13" t="n">
        <f aca="false">AQ33+AQ34+AQ35+AQ36+AQ37+AQ38+AQ39+AQ40+AQ41+AQ42+AQ43+AQ48+Construction!AQ14*Construction!AQ38</f>
        <v>3.50615715693525</v>
      </c>
      <c r="AR74" s="13" t="n">
        <f aca="false">AR33+AR34+AR35+AR36+AR37+AR38+AR39+AR40+AR41+AR42+AR43+AR48+Construction!AR14*Construction!AR38</f>
        <v>3.44364902898883</v>
      </c>
      <c r="AS74" s="13" t="n">
        <f aca="false">AS33+AS34+AS35+AS36+AS37+AS38+AS39+AS40+AS41+AS42+AS43+AS48+Construction!AS14*Construction!AS38</f>
        <v>3.63426923310442</v>
      </c>
      <c r="AT74" s="13" t="n">
        <f aca="false">AT33+AT34+AT35+AT36+AT37+AT38+AT39+AT40+AT41+AT42+AT43+AT48+Construction!AT14*Construction!AT38</f>
        <v>3.64992427307951</v>
      </c>
      <c r="AU74" s="13" t="n">
        <f aca="false">AU33+AU34+AU35+AU36+AU37+AU38+AU39+AU40+AU41+AU42+AU43+AU48+Construction!AU14*Construction!AU38</f>
        <v>3.55000332454321</v>
      </c>
      <c r="AV74" s="13" t="n">
        <f aca="false">AV33+AV34+AV35+AV36+AV37+AV38+AV39+AV40+AV41+AV42+AV43+AV48+Construction!AV14*Construction!AV38</f>
        <v>4.87502978708708</v>
      </c>
      <c r="AW74" s="13" t="n">
        <f aca="false">AW33+AW34+AW35+AW36+AW37+AW38+AW39+AW40+AW41+AW42+AW43+AW48+Construction!AW14*Construction!AW38</f>
        <v>4.72536465873374</v>
      </c>
      <c r="AX74" s="13" t="n">
        <f aca="false">AX33+AX34+AX35+AX36+AX37+AX38+AX39+AX40+AX41+AX42+AX43+AX48+Construction!AX14*Construction!AX38</f>
        <v>4.04126681381116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888.150681571343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876.457393195604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0</v>
      </c>
      <c r="Q21" s="13" t="n">
        <f aca="false">Time!Q35*P33</f>
        <v>197.321999523981</v>
      </c>
      <c r="R21" s="13" t="n">
        <f aca="false">Time!R35*Q33</f>
        <v>192.165006600517</v>
      </c>
      <c r="S21" s="13" t="n">
        <f aca="false">Time!S35*R33</f>
        <v>186.753986850549</v>
      </c>
      <c r="T21" s="13" t="n">
        <f aca="false">Time!T35*S33</f>
        <v>181.183513102351</v>
      </c>
      <c r="U21" s="13" t="n">
        <f aca="false">Time!U35*T33</f>
        <v>175.356799557908</v>
      </c>
      <c r="V21" s="13" t="n">
        <f aca="false">Time!V35*U33</f>
        <v>169.344261861088</v>
      </c>
      <c r="W21" s="13" t="n">
        <f aca="false">Time!W35*V33</f>
        <v>162.938929324529</v>
      </c>
      <c r="X21" s="13" t="n">
        <f aca="false">Time!X35*W33</f>
        <v>156.337789703477</v>
      </c>
      <c r="Y21" s="13" t="n">
        <f aca="false">Time!Y35*X33</f>
        <v>149.919882755734</v>
      </c>
      <c r="Z21" s="13" t="n">
        <f aca="false">Time!Z35*Y33</f>
        <v>143.498955865245</v>
      </c>
      <c r="AA21" s="13" t="n">
        <f aca="false">Time!AA35*Z33</f>
        <v>136.812023104971</v>
      </c>
      <c r="AB21" s="13" t="n">
        <f aca="false">Time!AB35*AA33</f>
        <v>129.929948881728</v>
      </c>
      <c r="AC21" s="13" t="n">
        <f aca="false">Time!AC35*AB33</f>
        <v>122.719088460937</v>
      </c>
      <c r="AD21" s="13" t="n">
        <f aca="false">Time!AD35*AC33</f>
        <v>115.269343366148</v>
      </c>
      <c r="AE21" s="13" t="n">
        <f aca="false">Time!AE35*AD33</f>
        <v>107.134765362186</v>
      </c>
      <c r="AF21" s="13" t="n">
        <f aca="false">Time!AF35*AE33</f>
        <v>98.650558808184</v>
      </c>
      <c r="AG21" s="13" t="n">
        <f aca="false">Time!AG35*AF33</f>
        <v>89.8687111270897</v>
      </c>
      <c r="AH21" s="13" t="n">
        <f aca="false">Time!AH35*AG33</f>
        <v>80.9229659239743</v>
      </c>
      <c r="AI21" s="13" t="n">
        <f aca="false">Time!AI35*AH33</f>
        <v>71.5281305317405</v>
      </c>
      <c r="AJ21" s="13" t="n">
        <f aca="false">Time!AJ35*AI33</f>
        <v>61.8574390842377</v>
      </c>
      <c r="AK21" s="13" t="n">
        <f aca="false">Time!AK35*AJ33</f>
        <v>51.7198692506544</v>
      </c>
      <c r="AL21" s="13" t="n">
        <f aca="false">Time!AL35*AK33</f>
        <v>41.2541642328254</v>
      </c>
      <c r="AM21" s="13" t="n">
        <f aca="false">Time!AM35*AL33</f>
        <v>30.1569715769977</v>
      </c>
      <c r="AN21" s="13" t="n">
        <f aca="false">Time!AN35*AM33</f>
        <v>18.8291241402997</v>
      </c>
      <c r="AO21" s="13" t="n">
        <f aca="false">Time!AO35*AN33</f>
        <v>9.48378448133992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65.2883138932964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0</v>
      </c>
      <c r="Q23" s="13" t="n">
        <f aca="false">Q21*Q10</f>
        <v>4.42472659265913</v>
      </c>
      <c r="R23" s="13" t="n">
        <f aca="false">R21*R10</f>
        <v>4.38050808379578</v>
      </c>
      <c r="S23" s="13" t="n">
        <f aca="false">S21*S10</f>
        <v>4.19714022614371</v>
      </c>
      <c r="T23" s="13" t="n">
        <f aca="false">T21*T10</f>
        <v>4.13943932934504</v>
      </c>
      <c r="U23" s="13" t="n">
        <f aca="false">U21*U10</f>
        <v>3.96277140867613</v>
      </c>
      <c r="V23" s="13" t="n">
        <f aca="false">V21*V10</f>
        <v>3.868951902653</v>
      </c>
      <c r="W23" s="13" t="n">
        <f aca="false">W21*W10</f>
        <v>3.66191665412769</v>
      </c>
      <c r="X23" s="13" t="n">
        <f aca="false">X21*X10</f>
        <v>3.57179736875877</v>
      </c>
      <c r="Y23" s="13" t="n">
        <f aca="false">Y21*Y10</f>
        <v>3.36932443169949</v>
      </c>
      <c r="Z23" s="13" t="n">
        <f aca="false">Z21*Z10</f>
        <v>3.27847281166796</v>
      </c>
      <c r="AA23" s="13" t="n">
        <f aca="false">AA21*AA10</f>
        <v>3.07473620926497</v>
      </c>
      <c r="AB23" s="13" t="n">
        <f aca="false">AB21*AB10</f>
        <v>2.96846623211788</v>
      </c>
      <c r="AC23" s="13" t="n">
        <f aca="false">AC21*AC10</f>
        <v>2.77324686740306</v>
      </c>
      <c r="AD23" s="13" t="n">
        <f aca="false">AD21*AD10</f>
        <v>2.63352026477193</v>
      </c>
      <c r="AE23" s="13" t="n">
        <f aca="false">AE21*AE10</f>
        <v>2.407764572544</v>
      </c>
      <c r="AF23" s="13" t="n">
        <f aca="false">AF21*AF10</f>
        <v>2.25383643357098</v>
      </c>
      <c r="AG23" s="13" t="n">
        <f aca="false">AG21*AG10</f>
        <v>2.01972439198874</v>
      </c>
      <c r="AH23" s="13" t="n">
        <f aca="false">AH21*AH10</f>
        <v>1.84882002814307</v>
      </c>
      <c r="AI23" s="13" t="n">
        <f aca="false">AI21*AI10</f>
        <v>1.60753512692543</v>
      </c>
      <c r="AJ23" s="13" t="n">
        <f aca="false">AJ21*AJ10</f>
        <v>1.41323629161122</v>
      </c>
      <c r="AK23" s="13" t="n">
        <f aca="false">AK21*AK10</f>
        <v>1.16878284528271</v>
      </c>
      <c r="AL23" s="13" t="n">
        <f aca="false">AL21*AL10</f>
        <v>0.942520138839285</v>
      </c>
      <c r="AM23" s="13" t="n">
        <f aca="false">AM21*AM10</f>
        <v>0.677752805383377</v>
      </c>
      <c r="AN23" s="13" t="n">
        <f aca="false">AN21*AN10</f>
        <v>0.430182722858713</v>
      </c>
      <c r="AO23" s="13" t="n">
        <f aca="false">AO21*AO10</f>
        <v>0.21314015306438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197.321999523981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0</v>
      </c>
      <c r="Q24" s="13" t="n">
        <f aca="false">Time!Q35*(Q21-Q22)*Q19</f>
        <v>5.1569929234636</v>
      </c>
      <c r="R24" s="13" t="n">
        <f aca="false">Time!R35*(R21-R22)*R19</f>
        <v>5.41101974996786</v>
      </c>
      <c r="S24" s="13" t="n">
        <f aca="false">Time!S35*(S21-S22)*S19</f>
        <v>5.57047374819846</v>
      </c>
      <c r="T24" s="13" t="n">
        <f aca="false">Time!T35*(T21-T22)*T19</f>
        <v>5.82671354444233</v>
      </c>
      <c r="U24" s="13" t="n">
        <f aca="false">Time!U35*(U21-U22)*U19</f>
        <v>6.01253769682008</v>
      </c>
      <c r="V24" s="13" t="n">
        <f aca="false">Time!V35*(V21-V22)*V19</f>
        <v>6.40533253655919</v>
      </c>
      <c r="W24" s="13" t="n">
        <f aca="false">Time!W35*(W21-W22)*W19</f>
        <v>6.60113962105192</v>
      </c>
      <c r="X24" s="13" t="n">
        <f aca="false">Time!X35*(X21-X22)*X19</f>
        <v>6.41790694774327</v>
      </c>
      <c r="Y24" s="13" t="n">
        <f aca="false">Time!Y35*(Y21-Y22)*Y19</f>
        <v>6.42092689048887</v>
      </c>
      <c r="Z24" s="13" t="n">
        <f aca="false">Time!Z35*(Z21-Z22)*Z19</f>
        <v>6.68693276027392</v>
      </c>
      <c r="AA24" s="13" t="n">
        <f aca="false">Time!AA35*(AA21-AA22)*AA19</f>
        <v>6.88207422324284</v>
      </c>
      <c r="AB24" s="13" t="n">
        <f aca="false">Time!AB35*(AB21-AB22)*AB19</f>
        <v>7.21086042079169</v>
      </c>
      <c r="AC24" s="13" t="n">
        <f aca="false">Time!AC35*(AC21-AC22)*AC19</f>
        <v>7.44974509478864</v>
      </c>
      <c r="AD24" s="13" t="n">
        <f aca="false">Time!AD35*(AD21-AD22)*AD19</f>
        <v>8.13457800396188</v>
      </c>
      <c r="AE24" s="13" t="n">
        <f aca="false">Time!AE35*(AE21-AE22)*AE19</f>
        <v>8.48420655400198</v>
      </c>
      <c r="AF24" s="13" t="n">
        <f aca="false">Time!AF35*(AF21-AF22)*AF19</f>
        <v>8.78184768109435</v>
      </c>
      <c r="AG24" s="13" t="n">
        <f aca="false">Time!AG35*(AG21-AG22)*AG19</f>
        <v>8.94574520311545</v>
      </c>
      <c r="AH24" s="13" t="n">
        <f aca="false">Time!AH35*(AH21-AH22)*AH19</f>
        <v>9.39483539223373</v>
      </c>
      <c r="AI24" s="13" t="n">
        <f aca="false">Time!AI35*(AI21-AI22)*AI19</f>
        <v>9.67069144750282</v>
      </c>
      <c r="AJ24" s="13" t="n">
        <f aca="false">Time!AJ35*(AJ21-AJ22)*AJ19</f>
        <v>10.1375698335833</v>
      </c>
      <c r="AK24" s="13" t="n">
        <f aca="false">Time!AK35*(AK21-AK22)*AK19</f>
        <v>10.465705017829</v>
      </c>
      <c r="AL24" s="13" t="n">
        <f aca="false">Time!AL35*(AL21-AL22)*AL19</f>
        <v>11.0971926558277</v>
      </c>
      <c r="AM24" s="13" t="n">
        <f aca="false">Time!AM35*(AM21-AM22)*AM19</f>
        <v>11.3278474366981</v>
      </c>
      <c r="AN24" s="13" t="n">
        <f aca="false">Time!AN35*(AN21-AN22)*AN19</f>
        <v>9.34533965895973</v>
      </c>
      <c r="AO24" s="13" t="n">
        <f aca="false">Time!AO35*(AO21-AO22)*AO19</f>
        <v>9.48378448133992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197.321999523981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0</v>
      </c>
      <c r="Q27" s="13" t="n">
        <f aca="false">Q24-Q25+Q26</f>
        <v>5.1569929234636</v>
      </c>
      <c r="R27" s="13" t="n">
        <f aca="false">R24-R25+R26</f>
        <v>5.41101974996786</v>
      </c>
      <c r="S27" s="13" t="n">
        <f aca="false">S24-S25+S26</f>
        <v>5.57047374819846</v>
      </c>
      <c r="T27" s="13" t="n">
        <f aca="false">T24-T25+T26</f>
        <v>5.82671354444233</v>
      </c>
      <c r="U27" s="13" t="n">
        <f aca="false">U24-U25+U26</f>
        <v>6.01253769682008</v>
      </c>
      <c r="V27" s="13" t="n">
        <f aca="false">V24-V25+V26</f>
        <v>6.40533253655919</v>
      </c>
      <c r="W27" s="13" t="n">
        <f aca="false">W24-W25+W26</f>
        <v>6.60113962105192</v>
      </c>
      <c r="X27" s="13" t="n">
        <f aca="false">X24-X25+X26</f>
        <v>6.41790694774327</v>
      </c>
      <c r="Y27" s="13" t="n">
        <f aca="false">Y24-Y25+Y26</f>
        <v>6.42092689048887</v>
      </c>
      <c r="Z27" s="13" t="n">
        <f aca="false">Z24-Z25+Z26</f>
        <v>6.68693276027392</v>
      </c>
      <c r="AA27" s="13" t="n">
        <f aca="false">AA24-AA25+AA26</f>
        <v>6.88207422324284</v>
      </c>
      <c r="AB27" s="13" t="n">
        <f aca="false">AB24-AB25+AB26</f>
        <v>7.21086042079169</v>
      </c>
      <c r="AC27" s="13" t="n">
        <f aca="false">AC24-AC25+AC26</f>
        <v>7.44974509478864</v>
      </c>
      <c r="AD27" s="13" t="n">
        <f aca="false">AD24-AD25+AD26</f>
        <v>8.13457800396188</v>
      </c>
      <c r="AE27" s="13" t="n">
        <f aca="false">AE24-AE25+AE26</f>
        <v>8.48420655400198</v>
      </c>
      <c r="AF27" s="13" t="n">
        <f aca="false">AF24-AF25+AF26</f>
        <v>8.78184768109435</v>
      </c>
      <c r="AG27" s="13" t="n">
        <f aca="false">AG24-AG25+AG26</f>
        <v>8.94574520311545</v>
      </c>
      <c r="AH27" s="13" t="n">
        <f aca="false">AH24-AH25+AH26</f>
        <v>9.39483539223373</v>
      </c>
      <c r="AI27" s="13" t="n">
        <f aca="false">AI24-AI25+AI26</f>
        <v>9.67069144750282</v>
      </c>
      <c r="AJ27" s="13" t="n">
        <f aca="false">AJ24-AJ25+AJ26</f>
        <v>10.1375698335833</v>
      </c>
      <c r="AK27" s="13" t="n">
        <f aca="false">AK24-AK25+AK26</f>
        <v>10.465705017829</v>
      </c>
      <c r="AL27" s="13" t="n">
        <f aca="false">AL24-AL25+AL26</f>
        <v>11.0971926558277</v>
      </c>
      <c r="AM27" s="13" t="n">
        <f aca="false">AM24-AM25+AM26</f>
        <v>11.3278474366981</v>
      </c>
      <c r="AN27" s="13" t="n">
        <f aca="false">AN24-AN25+AN26</f>
        <v>9.34533965895973</v>
      </c>
      <c r="AO27" s="13" t="n">
        <f aca="false">AO24-AO25+AO26</f>
        <v>9.48378448133992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0</v>
      </c>
      <c r="Q31" s="13" t="n">
        <f aca="false">Q21-Q27-Q28-Q29</f>
        <v>192.165006600517</v>
      </c>
      <c r="R31" s="13" t="n">
        <f aca="false">R21-R27-R28-R29</f>
        <v>186.753986850549</v>
      </c>
      <c r="S31" s="13" t="n">
        <f aca="false">S21-S27-S28-S29</f>
        <v>181.183513102351</v>
      </c>
      <c r="T31" s="13" t="n">
        <f aca="false">T21-T27-T28-T29</f>
        <v>175.356799557908</v>
      </c>
      <c r="U31" s="13" t="n">
        <f aca="false">U21-U27-U28-U29</f>
        <v>169.344261861088</v>
      </c>
      <c r="V31" s="13" t="n">
        <f aca="false">V21-V27-V28-V29</f>
        <v>162.938929324529</v>
      </c>
      <c r="W31" s="13" t="n">
        <f aca="false">W21-W27-W28-W29</f>
        <v>156.337789703477</v>
      </c>
      <c r="X31" s="13" t="n">
        <f aca="false">X21-X27-X28-X29</f>
        <v>149.919882755734</v>
      </c>
      <c r="Y31" s="13" t="n">
        <f aca="false">Y21-Y27-Y28-Y29</f>
        <v>143.498955865245</v>
      </c>
      <c r="Z31" s="13" t="n">
        <f aca="false">Z21-Z27-Z28-Z29</f>
        <v>136.812023104971</v>
      </c>
      <c r="AA31" s="13" t="n">
        <f aca="false">AA21-AA27-AA28-AA29</f>
        <v>129.929948881728</v>
      </c>
      <c r="AB31" s="13" t="n">
        <f aca="false">AB21-AB27-AB28-AB29</f>
        <v>122.719088460937</v>
      </c>
      <c r="AC31" s="13" t="n">
        <f aca="false">AC21-AC27-AC28-AC29</f>
        <v>115.269343366148</v>
      </c>
      <c r="AD31" s="13" t="n">
        <f aca="false">AD21-AD27-AD28-AD29</f>
        <v>107.134765362186</v>
      </c>
      <c r="AE31" s="13" t="n">
        <f aca="false">AE21-AE27-AE28-AE29</f>
        <v>98.650558808184</v>
      </c>
      <c r="AF31" s="13" t="n">
        <f aca="false">AF21-AF27-AF28-AF29</f>
        <v>89.8687111270897</v>
      </c>
      <c r="AG31" s="13" t="n">
        <f aca="false">AG21-AG27-AG28-AG29</f>
        <v>80.9229659239743</v>
      </c>
      <c r="AH31" s="13" t="n">
        <f aca="false">AH21-AH27-AH28-AH29</f>
        <v>71.5281305317405</v>
      </c>
      <c r="AI31" s="13" t="n">
        <f aca="false">AI21-AI27-AI28-AI29</f>
        <v>61.8574390842377</v>
      </c>
      <c r="AJ31" s="13" t="n">
        <f aca="false">AJ21-AJ27-AJ28-AJ29</f>
        <v>51.7198692506544</v>
      </c>
      <c r="AK31" s="13" t="n">
        <f aca="false">AK21-AK27-AK28-AK29</f>
        <v>41.2541642328254</v>
      </c>
      <c r="AL31" s="13" t="n">
        <f aca="false">AL21-AL27-AL28-AL29</f>
        <v>30.1569715769977</v>
      </c>
      <c r="AM31" s="13" t="n">
        <f aca="false">AM21-AM27-AM28-AM29</f>
        <v>18.8291241402997</v>
      </c>
      <c r="AN31" s="13" t="n">
        <f aca="false">AN21-AN27-AN28-AN29</f>
        <v>9.48378448133992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0</v>
      </c>
      <c r="P33" s="13" t="n">
        <f aca="false">IF(Time!P34=1,INDEX(Funding!$J$61:$BJ$61,1,Time!$F$14),Time!P35*(P31-P32))</f>
        <v>197.321999523981</v>
      </c>
      <c r="Q33" s="13" t="n">
        <f aca="false">IF(Time!Q34=1,INDEX(Funding!$J$61:$BJ$61,1,Time!$F$14),Time!Q35*(Q31-Q32))</f>
        <v>192.165006600517</v>
      </c>
      <c r="R33" s="13" t="n">
        <f aca="false">IF(Time!R34=1,INDEX(Funding!$J$61:$BJ$61,1,Time!$F$14),Time!R35*(R31-R32))</f>
        <v>186.753986850549</v>
      </c>
      <c r="S33" s="13" t="n">
        <f aca="false">IF(Time!S34=1,INDEX(Funding!$J$61:$BJ$61,1,Time!$F$14),Time!S35*(S31-S32))</f>
        <v>181.183513102351</v>
      </c>
      <c r="T33" s="13" t="n">
        <f aca="false">IF(Time!T34=1,INDEX(Funding!$J$61:$BJ$61,1,Time!$F$14),Time!T35*(T31-T32))</f>
        <v>175.356799557908</v>
      </c>
      <c r="U33" s="13" t="n">
        <f aca="false">IF(Time!U34=1,INDEX(Funding!$J$61:$BJ$61,1,Time!$F$14),Time!U35*(U31-U32))</f>
        <v>169.344261861088</v>
      </c>
      <c r="V33" s="13" t="n">
        <f aca="false">IF(Time!V34=1,INDEX(Funding!$J$61:$BJ$61,1,Time!$F$14),Time!V35*(V31-V32))</f>
        <v>162.938929324529</v>
      </c>
      <c r="W33" s="13" t="n">
        <f aca="false">IF(Time!W34=1,INDEX(Funding!$J$61:$BJ$61,1,Time!$F$14),Time!W35*(W31-W32))</f>
        <v>156.337789703477</v>
      </c>
      <c r="X33" s="13" t="n">
        <f aca="false">IF(Time!X34=1,INDEX(Funding!$J$61:$BJ$61,1,Time!$F$14),Time!X35*(X31-X32))</f>
        <v>149.919882755734</v>
      </c>
      <c r="Y33" s="13" t="n">
        <f aca="false">IF(Time!Y34=1,INDEX(Funding!$J$61:$BJ$61,1,Time!$F$14),Time!Y35*(Y31-Y32))</f>
        <v>143.498955865245</v>
      </c>
      <c r="Z33" s="13" t="n">
        <f aca="false">IF(Time!Z34=1,INDEX(Funding!$J$61:$BJ$61,1,Time!$F$14),Time!Z35*(Z31-Z32))</f>
        <v>136.812023104971</v>
      </c>
      <c r="AA33" s="13" t="n">
        <f aca="false">IF(Time!AA34=1,INDEX(Funding!$J$61:$BJ$61,1,Time!$F$14),Time!AA35*(AA31-AA32))</f>
        <v>129.929948881728</v>
      </c>
      <c r="AB33" s="13" t="n">
        <f aca="false">IF(Time!AB34=1,INDEX(Funding!$J$61:$BJ$61,1,Time!$F$14),Time!AB35*(AB31-AB32))</f>
        <v>122.719088460937</v>
      </c>
      <c r="AC33" s="13" t="n">
        <f aca="false">IF(Time!AC34=1,INDEX(Funding!$J$61:$BJ$61,1,Time!$F$14),Time!AC35*(AC31-AC32))</f>
        <v>115.269343366148</v>
      </c>
      <c r="AD33" s="13" t="n">
        <f aca="false">IF(Time!AD34=1,INDEX(Funding!$J$61:$BJ$61,1,Time!$F$14),Time!AD35*(AD31-AD32))</f>
        <v>107.134765362186</v>
      </c>
      <c r="AE33" s="13" t="n">
        <f aca="false">IF(Time!AE34=1,INDEX(Funding!$J$61:$BJ$61,1,Time!$F$14),Time!AE35*(AE31-AE32))</f>
        <v>98.650558808184</v>
      </c>
      <c r="AF33" s="13" t="n">
        <f aca="false">IF(Time!AF34=1,INDEX(Funding!$J$61:$BJ$61,1,Time!$F$14),Time!AF35*(AF31-AF32))</f>
        <v>89.8687111270897</v>
      </c>
      <c r="AG33" s="13" t="n">
        <f aca="false">IF(Time!AG34=1,INDEX(Funding!$J$61:$BJ$61,1,Time!$F$14),Time!AG35*(AG31-AG32))</f>
        <v>80.9229659239743</v>
      </c>
      <c r="AH33" s="13" t="n">
        <f aca="false">IF(Time!AH34=1,INDEX(Funding!$J$61:$BJ$61,1,Time!$F$14),Time!AH35*(AH31-AH32))</f>
        <v>71.5281305317405</v>
      </c>
      <c r="AI33" s="13" t="n">
        <f aca="false">IF(Time!AI34=1,INDEX(Funding!$J$61:$BJ$61,1,Time!$F$14),Time!AI35*(AI31-AI32))</f>
        <v>61.8574390842377</v>
      </c>
      <c r="AJ33" s="13" t="n">
        <f aca="false">IF(Time!AJ34=1,INDEX(Funding!$J$61:$BJ$61,1,Time!$F$14),Time!AJ35*(AJ31-AJ32))</f>
        <v>51.7198692506544</v>
      </c>
      <c r="AK33" s="13" t="n">
        <f aca="false">IF(Time!AK34=1,INDEX(Funding!$J$61:$BJ$61,1,Time!$F$14),Time!AK35*(AK31-AK32))</f>
        <v>41.2541642328254</v>
      </c>
      <c r="AL33" s="13" t="n">
        <f aca="false">IF(Time!AL34=1,INDEX(Funding!$J$61:$BJ$61,1,Time!$F$14),Time!AL35*(AL31-AL32))</f>
        <v>30.1569715769977</v>
      </c>
      <c r="AM33" s="13" t="n">
        <f aca="false">IF(Time!AM34=1,INDEX(Funding!$J$61:$BJ$61,1,Time!$F$14),Time!AM35*(AM31-AM32))</f>
        <v>18.8291241402997</v>
      </c>
      <c r="AN33" s="13" t="n">
        <f aca="false">IF(Time!AN34=1,INDEX(Funding!$J$61:$BJ$61,1,Time!$F$14),Time!AN35*(AN31-AN32))</f>
        <v>9.48378448133992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0</v>
      </c>
      <c r="Q35" s="13" t="n">
        <f aca="false">Time!Q35*P47</f>
        <v>144.702799650919</v>
      </c>
      <c r="R35" s="13" t="n">
        <f aca="false">Time!R35*Q47</f>
        <v>140.921004840379</v>
      </c>
      <c r="S35" s="13" t="n">
        <f aca="false">Time!S35*R47</f>
        <v>136.952923690403</v>
      </c>
      <c r="T35" s="13" t="n">
        <f aca="false">Time!T35*S47</f>
        <v>132.86790960839</v>
      </c>
      <c r="U35" s="13" t="n">
        <f aca="false">Time!U35*T47</f>
        <v>128.594986342466</v>
      </c>
      <c r="V35" s="13" t="n">
        <f aca="false">Time!V35*U47</f>
        <v>124.185792031465</v>
      </c>
      <c r="W35" s="13" t="n">
        <f aca="false">Time!W35*V47</f>
        <v>119.488548171321</v>
      </c>
      <c r="X35" s="13" t="n">
        <f aca="false">Time!X35*W47</f>
        <v>114.647712449217</v>
      </c>
      <c r="Y35" s="13" t="n">
        <f aca="false">Time!Y35*X47</f>
        <v>109.941247354205</v>
      </c>
      <c r="Z35" s="13" t="n">
        <f aca="false">Time!Z35*Y47</f>
        <v>105.232567634513</v>
      </c>
      <c r="AA35" s="13" t="n">
        <f aca="false">Time!AA35*Z47</f>
        <v>100.328816943645</v>
      </c>
      <c r="AB35" s="13" t="n">
        <f aca="false">Time!AB35*AA47</f>
        <v>95.2819625132674</v>
      </c>
      <c r="AC35" s="13" t="n">
        <f aca="false">Time!AC35*AB47</f>
        <v>89.9939982046868</v>
      </c>
      <c r="AD35" s="13" t="n">
        <f aca="false">Time!AD35*AC47</f>
        <v>84.5308518018418</v>
      </c>
      <c r="AE35" s="13" t="n">
        <f aca="false">Time!AE35*AD47</f>
        <v>78.5654945989364</v>
      </c>
      <c r="AF35" s="13" t="n">
        <f aca="false">Time!AF35*AE47</f>
        <v>72.3437431260017</v>
      </c>
      <c r="AG35" s="13" t="n">
        <f aca="false">Time!AG35*AF47</f>
        <v>65.9037214931991</v>
      </c>
      <c r="AH35" s="13" t="n">
        <f aca="false">Time!AH35*AG47</f>
        <v>59.3435083442478</v>
      </c>
      <c r="AI35" s="13" t="n">
        <f aca="false">Time!AI35*AH47</f>
        <v>52.4539623899431</v>
      </c>
      <c r="AJ35" s="13" t="n">
        <f aca="false">Time!AJ35*AI47</f>
        <v>45.3621219951077</v>
      </c>
      <c r="AK35" s="13" t="n">
        <f aca="false">Time!AK35*AJ47</f>
        <v>37.9279041171466</v>
      </c>
      <c r="AL35" s="13" t="n">
        <f aca="false">Time!AL35*AK47</f>
        <v>30.2530537707386</v>
      </c>
      <c r="AM35" s="13" t="n">
        <f aca="false">Time!AM35*AL47</f>
        <v>22.1151124897984</v>
      </c>
      <c r="AN35" s="13" t="n">
        <f aca="false">Time!AN35*AM47</f>
        <v>13.8080243695531</v>
      </c>
      <c r="AO35" s="13" t="n">
        <f aca="false">Time!AO35*AN47</f>
        <v>6.95477528631594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72.5208087308508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0</v>
      </c>
      <c r="Q37" s="13" t="n">
        <f aca="false">Q35*Q11</f>
        <v>4.91812659835774</v>
      </c>
      <c r="R37" s="13" t="n">
        <f aca="false">R35*R11</f>
        <v>4.86897729612936</v>
      </c>
      <c r="S37" s="13" t="n">
        <f aca="false">S35*S11</f>
        <v>4.66161122506969</v>
      </c>
      <c r="T37" s="13" t="n">
        <f aca="false">T35*T11</f>
        <v>4.59752493447166</v>
      </c>
      <c r="U37" s="13" t="n">
        <f aca="false">U35*U11</f>
        <v>4.40130629088906</v>
      </c>
      <c r="V37" s="13" t="n">
        <f aca="false">V35*V11</f>
        <v>4.29710437271542</v>
      </c>
      <c r="W37" s="13" t="n">
        <f aca="false">W35*W11</f>
        <v>4.06715784090811</v>
      </c>
      <c r="X37" s="13" t="n">
        <f aca="false">X35*X11</f>
        <v>3.96706562343723</v>
      </c>
      <c r="Y37" s="13" t="n">
        <f aca="false">Y35*Y11</f>
        <v>3.7421862852895</v>
      </c>
      <c r="Z37" s="13" t="n">
        <f aca="false">Z35*Z11</f>
        <v>3.64128069030445</v>
      </c>
      <c r="AA37" s="13" t="n">
        <f aca="false">AA35*AA11</f>
        <v>3.41499784495097</v>
      </c>
      <c r="AB37" s="13" t="n">
        <f aca="false">AB35*AB11</f>
        <v>3.29696764065353</v>
      </c>
      <c r="AC37" s="13" t="n">
        <f aca="false">AC35*AC11</f>
        <v>3.08014458188675</v>
      </c>
      <c r="AD37" s="13" t="n">
        <f aca="false">AD35*AD11</f>
        <v>2.92495531868106</v>
      </c>
      <c r="AE37" s="13" t="n">
        <f aca="false">AE35*AE11</f>
        <v>2.6742166699083</v>
      </c>
      <c r="AF37" s="13" t="n">
        <f aca="false">AF35*AF11</f>
        <v>2.50325427603327</v>
      </c>
      <c r="AG37" s="13" t="n">
        <f aca="false">AG35*AG11</f>
        <v>2.24323453350337</v>
      </c>
      <c r="AH37" s="13" t="n">
        <f aca="false">AH35*AH11</f>
        <v>2.05341726317396</v>
      </c>
      <c r="AI37" s="13" t="n">
        <f aca="false">AI35*AI11</f>
        <v>1.7854308859379</v>
      </c>
      <c r="AJ37" s="13" t="n">
        <f aca="false">AJ35*AJ11</f>
        <v>1.56963022574627</v>
      </c>
      <c r="AK37" s="13" t="n">
        <f aca="false">AK35*AK11</f>
        <v>1.29812466052503</v>
      </c>
      <c r="AL37" s="13" t="n">
        <f aca="false">AL35*AL11</f>
        <v>1.04682288947594</v>
      </c>
      <c r="AM37" s="13" t="n">
        <f aca="false">AM35*AM11</f>
        <v>0.752755427545117</v>
      </c>
      <c r="AN37" s="13" t="n">
        <f aca="false">AN35*AN11</f>
        <v>0.477788327685136</v>
      </c>
      <c r="AO37" s="13" t="n">
        <f aca="false">AO35*AO11</f>
        <v>0.236727027572027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144.702799650919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0</v>
      </c>
      <c r="Q38" s="13" t="n">
        <f aca="false">Time!Q35*(Q35-Q36)*Q19</f>
        <v>3.78179481053998</v>
      </c>
      <c r="R38" s="13" t="n">
        <f aca="false">Time!R35*(R35-R36)*R19</f>
        <v>3.96808114997643</v>
      </c>
      <c r="S38" s="13" t="n">
        <f aca="false">Time!S35*(S35-S36)*S19</f>
        <v>4.0850140820122</v>
      </c>
      <c r="T38" s="13" t="n">
        <f aca="false">Time!T35*(T35-T36)*T19</f>
        <v>4.27292326592438</v>
      </c>
      <c r="U38" s="13" t="n">
        <f aca="false">Time!U35*(U35-U36)*U19</f>
        <v>4.40919431100139</v>
      </c>
      <c r="V38" s="13" t="n">
        <f aca="false">Time!V35*(V35-V36)*V19</f>
        <v>4.69724386014341</v>
      </c>
      <c r="W38" s="13" t="n">
        <f aca="false">Time!W35*(W35-W36)*W19</f>
        <v>4.84083572210474</v>
      </c>
      <c r="X38" s="13" t="n">
        <f aca="false">Time!X35*(X35-X36)*X19</f>
        <v>4.70646509501173</v>
      </c>
      <c r="Y38" s="13" t="n">
        <f aca="false">Time!Y35*(Y35-Y36)*Y19</f>
        <v>4.70867971969184</v>
      </c>
      <c r="Z38" s="13" t="n">
        <f aca="false">Time!Z35*(Z35-Z36)*Z19</f>
        <v>4.90375069086754</v>
      </c>
      <c r="AA38" s="13" t="n">
        <f aca="false">Time!AA35*(AA35-AA36)*AA19</f>
        <v>5.04685443037808</v>
      </c>
      <c r="AB38" s="13" t="n">
        <f aca="false">Time!AB35*(AB35-AB36)*AB19</f>
        <v>5.28796430858057</v>
      </c>
      <c r="AC38" s="13" t="n">
        <f aca="false">Time!AC35*(AC35-AC36)*AC19</f>
        <v>5.463146402845</v>
      </c>
      <c r="AD38" s="13" t="n">
        <f aca="false">Time!AD35*(AD35-AD36)*AD19</f>
        <v>5.96535720290539</v>
      </c>
      <c r="AE38" s="13" t="n">
        <f aca="false">Time!AE35*(AE35-AE36)*AE19</f>
        <v>6.22175147293479</v>
      </c>
      <c r="AF38" s="13" t="n">
        <f aca="false">Time!AF35*(AF35-AF36)*AF19</f>
        <v>6.44002163280253</v>
      </c>
      <c r="AG38" s="13" t="n">
        <f aca="false">Time!AG35*(AG35-AG36)*AG19</f>
        <v>6.56021314895133</v>
      </c>
      <c r="AH38" s="13" t="n">
        <f aca="false">Time!AH35*(AH35-AH36)*AH19</f>
        <v>6.88954595430473</v>
      </c>
      <c r="AI38" s="13" t="n">
        <f aca="false">Time!AI35*(AI35-AI36)*AI19</f>
        <v>7.0918403948354</v>
      </c>
      <c r="AJ38" s="13" t="n">
        <f aca="false">Time!AJ35*(AJ35-AJ36)*AJ19</f>
        <v>7.43421787796106</v>
      </c>
      <c r="AK38" s="13" t="n">
        <f aca="false">Time!AK35*(AK35-AK36)*AK19</f>
        <v>7.67485034640795</v>
      </c>
      <c r="AL38" s="13" t="n">
        <f aca="false">Time!AL35*(AL35-AL36)*AL19</f>
        <v>8.1379412809403</v>
      </c>
      <c r="AM38" s="13" t="n">
        <f aca="false">Time!AM35*(AM35-AM36)*AM19</f>
        <v>8.30708812024527</v>
      </c>
      <c r="AN38" s="13" t="n">
        <f aca="false">Time!AN35*(AN35-AN36)*AN19</f>
        <v>6.85324908323714</v>
      </c>
      <c r="AO38" s="13" t="n">
        <f aca="false">Time!AO35*(AO35-AO36)*AO19</f>
        <v>6.95477528631594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144.702799650919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0</v>
      </c>
      <c r="Q41" s="13" t="n">
        <f aca="false">Q38-Q39+Q40</f>
        <v>3.78179481053998</v>
      </c>
      <c r="R41" s="13" t="n">
        <f aca="false">R38-R39+R40</f>
        <v>3.96808114997643</v>
      </c>
      <c r="S41" s="13" t="n">
        <f aca="false">S38-S39+S40</f>
        <v>4.0850140820122</v>
      </c>
      <c r="T41" s="13" t="n">
        <f aca="false">T38-T39+T40</f>
        <v>4.27292326592438</v>
      </c>
      <c r="U41" s="13" t="n">
        <f aca="false">U38-U39+U40</f>
        <v>4.40919431100139</v>
      </c>
      <c r="V41" s="13" t="n">
        <f aca="false">V38-V39+V40</f>
        <v>4.69724386014341</v>
      </c>
      <c r="W41" s="13" t="n">
        <f aca="false">W38-W39+W40</f>
        <v>4.84083572210474</v>
      </c>
      <c r="X41" s="13" t="n">
        <f aca="false">X38-X39+X40</f>
        <v>4.70646509501173</v>
      </c>
      <c r="Y41" s="13" t="n">
        <f aca="false">Y38-Y39+Y40</f>
        <v>4.70867971969184</v>
      </c>
      <c r="Z41" s="13" t="n">
        <f aca="false">Z38-Z39+Z40</f>
        <v>4.90375069086754</v>
      </c>
      <c r="AA41" s="13" t="n">
        <f aca="false">AA38-AA39+AA40</f>
        <v>5.04685443037808</v>
      </c>
      <c r="AB41" s="13" t="n">
        <f aca="false">AB38-AB39+AB40</f>
        <v>5.28796430858057</v>
      </c>
      <c r="AC41" s="13" t="n">
        <f aca="false">AC38-AC39+AC40</f>
        <v>5.463146402845</v>
      </c>
      <c r="AD41" s="13" t="n">
        <f aca="false">AD38-AD39+AD40</f>
        <v>5.96535720290539</v>
      </c>
      <c r="AE41" s="13" t="n">
        <f aca="false">AE38-AE39+AE40</f>
        <v>6.22175147293479</v>
      </c>
      <c r="AF41" s="13" t="n">
        <f aca="false">AF38-AF39+AF40</f>
        <v>6.44002163280253</v>
      </c>
      <c r="AG41" s="13" t="n">
        <f aca="false">AG38-AG39+AG40</f>
        <v>6.56021314895133</v>
      </c>
      <c r="AH41" s="13" t="n">
        <f aca="false">AH38-AH39+AH40</f>
        <v>6.88954595430473</v>
      </c>
      <c r="AI41" s="13" t="n">
        <f aca="false">AI38-AI39+AI40</f>
        <v>7.0918403948354</v>
      </c>
      <c r="AJ41" s="13" t="n">
        <f aca="false">AJ38-AJ39+AJ40</f>
        <v>7.43421787796106</v>
      </c>
      <c r="AK41" s="13" t="n">
        <f aca="false">AK38-AK39+AK40</f>
        <v>7.67485034640795</v>
      </c>
      <c r="AL41" s="13" t="n">
        <f aca="false">AL38-AL39+AL40</f>
        <v>8.1379412809403</v>
      </c>
      <c r="AM41" s="13" t="n">
        <f aca="false">AM38-AM39+AM40</f>
        <v>8.30708812024527</v>
      </c>
      <c r="AN41" s="13" t="n">
        <f aca="false">AN38-AN39+AN40</f>
        <v>6.85324908323714</v>
      </c>
      <c r="AO41" s="13" t="n">
        <f aca="false">AO38-AO39+AO40</f>
        <v>6.95477528631594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0</v>
      </c>
      <c r="Q45" s="13" t="n">
        <f aca="false">Q35-Q41-Q42-Q43</f>
        <v>140.921004840379</v>
      </c>
      <c r="R45" s="13" t="n">
        <f aca="false">R35-R41-R42-R43</f>
        <v>136.952923690403</v>
      </c>
      <c r="S45" s="13" t="n">
        <f aca="false">S35-S41-S42-S43</f>
        <v>132.86790960839</v>
      </c>
      <c r="T45" s="13" t="n">
        <f aca="false">T35-T41-T42-T43</f>
        <v>128.594986342466</v>
      </c>
      <c r="U45" s="13" t="n">
        <f aca="false">U35-U41-U42-U43</f>
        <v>124.185792031465</v>
      </c>
      <c r="V45" s="13" t="n">
        <f aca="false">V35-V41-V42-V43</f>
        <v>119.488548171321</v>
      </c>
      <c r="W45" s="13" t="n">
        <f aca="false">W35-W41-W42-W43</f>
        <v>114.647712449217</v>
      </c>
      <c r="X45" s="13" t="n">
        <f aca="false">X35-X41-X42-X43</f>
        <v>109.941247354205</v>
      </c>
      <c r="Y45" s="13" t="n">
        <f aca="false">Y35-Y41-Y42-Y43</f>
        <v>105.232567634513</v>
      </c>
      <c r="Z45" s="13" t="n">
        <f aca="false">Z35-Z41-Z42-Z43</f>
        <v>100.328816943645</v>
      </c>
      <c r="AA45" s="13" t="n">
        <f aca="false">AA35-AA41-AA42-AA43</f>
        <v>95.2819625132674</v>
      </c>
      <c r="AB45" s="13" t="n">
        <f aca="false">AB35-AB41-AB42-AB43</f>
        <v>89.9939982046868</v>
      </c>
      <c r="AC45" s="13" t="n">
        <f aca="false">AC35-AC41-AC42-AC43</f>
        <v>84.5308518018418</v>
      </c>
      <c r="AD45" s="13" t="n">
        <f aca="false">AD35-AD41-AD42-AD43</f>
        <v>78.5654945989364</v>
      </c>
      <c r="AE45" s="13" t="n">
        <f aca="false">AE35-AE41-AE42-AE43</f>
        <v>72.3437431260017</v>
      </c>
      <c r="AF45" s="13" t="n">
        <f aca="false">AF35-AF41-AF42-AF43</f>
        <v>65.9037214931991</v>
      </c>
      <c r="AG45" s="13" t="n">
        <f aca="false">AG35-AG41-AG42-AG43</f>
        <v>59.3435083442478</v>
      </c>
      <c r="AH45" s="13" t="n">
        <f aca="false">AH35-AH41-AH42-AH43</f>
        <v>52.4539623899431</v>
      </c>
      <c r="AI45" s="13" t="n">
        <f aca="false">AI35-AI41-AI42-AI43</f>
        <v>45.3621219951077</v>
      </c>
      <c r="AJ45" s="13" t="n">
        <f aca="false">AJ35-AJ41-AJ42-AJ43</f>
        <v>37.9279041171466</v>
      </c>
      <c r="AK45" s="13" t="n">
        <f aca="false">AK35-AK41-AK42-AK43</f>
        <v>30.2530537707386</v>
      </c>
      <c r="AL45" s="13" t="n">
        <f aca="false">AL35-AL41-AL42-AL43</f>
        <v>22.1151124897984</v>
      </c>
      <c r="AM45" s="13" t="n">
        <f aca="false">AM35-AM41-AM42-AM43</f>
        <v>13.8080243695531</v>
      </c>
      <c r="AN45" s="13" t="n">
        <f aca="false">AN35-AN41-AN42-AN43</f>
        <v>6.95477528631594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0</v>
      </c>
      <c r="P47" s="13" t="n">
        <f aca="false">IF(Time!P34=1,INDEX(Funding!$J$62:$BJ$62,1,Time!$F$14),Time!P35*(P45-P46))</f>
        <v>144.702799650919</v>
      </c>
      <c r="Q47" s="13" t="n">
        <f aca="false">IF(Time!Q34=1,INDEX(Funding!$J$62:$BJ$62,1,Time!$F$14),Time!Q35*(Q45-Q46))</f>
        <v>140.921004840379</v>
      </c>
      <c r="R47" s="13" t="n">
        <f aca="false">IF(Time!R34=1,INDEX(Funding!$J$62:$BJ$62,1,Time!$F$14),Time!R35*(R45-R46))</f>
        <v>136.952923690403</v>
      </c>
      <c r="S47" s="13" t="n">
        <f aca="false">IF(Time!S34=1,INDEX(Funding!$J$62:$BJ$62,1,Time!$F$14),Time!S35*(S45-S46))</f>
        <v>132.86790960839</v>
      </c>
      <c r="T47" s="13" t="n">
        <f aca="false">IF(Time!T34=1,INDEX(Funding!$J$62:$BJ$62,1,Time!$F$14),Time!T35*(T45-T46))</f>
        <v>128.594986342466</v>
      </c>
      <c r="U47" s="13" t="n">
        <f aca="false">IF(Time!U34=1,INDEX(Funding!$J$62:$BJ$62,1,Time!$F$14),Time!U35*(U45-U46))</f>
        <v>124.185792031465</v>
      </c>
      <c r="V47" s="13" t="n">
        <f aca="false">IF(Time!V34=1,INDEX(Funding!$J$62:$BJ$62,1,Time!$F$14),Time!V35*(V45-V46))</f>
        <v>119.488548171321</v>
      </c>
      <c r="W47" s="13" t="n">
        <f aca="false">IF(Time!W34=1,INDEX(Funding!$J$62:$BJ$62,1,Time!$F$14),Time!W35*(W45-W46))</f>
        <v>114.647712449217</v>
      </c>
      <c r="X47" s="13" t="n">
        <f aca="false">IF(Time!X34=1,INDEX(Funding!$J$62:$BJ$62,1,Time!$F$14),Time!X35*(X45-X46))</f>
        <v>109.941247354205</v>
      </c>
      <c r="Y47" s="13" t="n">
        <f aca="false">IF(Time!Y34=1,INDEX(Funding!$J$62:$BJ$62,1,Time!$F$14),Time!Y35*(Y45-Y46))</f>
        <v>105.232567634513</v>
      </c>
      <c r="Z47" s="13" t="n">
        <f aca="false">IF(Time!Z34=1,INDEX(Funding!$J$62:$BJ$62,1,Time!$F$14),Time!Z35*(Z45-Z46))</f>
        <v>100.328816943645</v>
      </c>
      <c r="AA47" s="13" t="n">
        <f aca="false">IF(Time!AA34=1,INDEX(Funding!$J$62:$BJ$62,1,Time!$F$14),Time!AA35*(AA45-AA46))</f>
        <v>95.2819625132674</v>
      </c>
      <c r="AB47" s="13" t="n">
        <f aca="false">IF(Time!AB34=1,INDEX(Funding!$J$62:$BJ$62,1,Time!$F$14),Time!AB35*(AB45-AB46))</f>
        <v>89.9939982046868</v>
      </c>
      <c r="AC47" s="13" t="n">
        <f aca="false">IF(Time!AC34=1,INDEX(Funding!$J$62:$BJ$62,1,Time!$F$14),Time!AC35*(AC45-AC46))</f>
        <v>84.5308518018418</v>
      </c>
      <c r="AD47" s="13" t="n">
        <f aca="false">IF(Time!AD34=1,INDEX(Funding!$J$62:$BJ$62,1,Time!$F$14),Time!AD35*(AD45-AD46))</f>
        <v>78.5654945989364</v>
      </c>
      <c r="AE47" s="13" t="n">
        <f aca="false">IF(Time!AE34=1,INDEX(Funding!$J$62:$BJ$62,1,Time!$F$14),Time!AE35*(AE45-AE46))</f>
        <v>72.3437431260017</v>
      </c>
      <c r="AF47" s="13" t="n">
        <f aca="false">IF(Time!AF34=1,INDEX(Funding!$J$62:$BJ$62,1,Time!$F$14),Time!AF35*(AF45-AF46))</f>
        <v>65.9037214931991</v>
      </c>
      <c r="AG47" s="13" t="n">
        <f aca="false">IF(Time!AG34=1,INDEX(Funding!$J$62:$BJ$62,1,Time!$F$14),Time!AG35*(AG45-AG46))</f>
        <v>59.3435083442478</v>
      </c>
      <c r="AH47" s="13" t="n">
        <f aca="false">IF(Time!AH34=1,INDEX(Funding!$J$62:$BJ$62,1,Time!$F$14),Time!AH35*(AH45-AH46))</f>
        <v>52.4539623899431</v>
      </c>
      <c r="AI47" s="13" t="n">
        <f aca="false">IF(Time!AI34=1,INDEX(Funding!$J$62:$BJ$62,1,Time!$F$14),Time!AI35*(AI45-AI46))</f>
        <v>45.3621219951077</v>
      </c>
      <c r="AJ47" s="13" t="n">
        <f aca="false">IF(Time!AJ34=1,INDEX(Funding!$J$62:$BJ$62,1,Time!$F$14),Time!AJ35*(AJ45-AJ46))</f>
        <v>37.9279041171466</v>
      </c>
      <c r="AK47" s="13" t="n">
        <f aca="false">IF(Time!AK34=1,INDEX(Funding!$J$62:$BJ$62,1,Time!$F$14),Time!AK35*(AK45-AK46))</f>
        <v>30.2530537707386</v>
      </c>
      <c r="AL47" s="13" t="n">
        <f aca="false">IF(Time!AL34=1,INDEX(Funding!$J$62:$BJ$62,1,Time!$F$14),Time!AL35*(AL45-AL46))</f>
        <v>22.1151124897984</v>
      </c>
      <c r="AM47" s="13" t="n">
        <f aca="false">IF(Time!AM34=1,INDEX(Funding!$J$62:$BJ$62,1,Time!$F$14),Time!AM35*(AM45-AM46))</f>
        <v>13.8080243695531</v>
      </c>
      <c r="AN47" s="13" t="n">
        <f aca="false">IF(Time!AN34=1,INDEX(Funding!$J$62:$BJ$62,1,Time!$F$14),Time!AN35*(AN45-AN46))</f>
        <v>6.95477528631594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0</v>
      </c>
      <c r="Q49" s="13" t="n">
        <f aca="false">Time!Q35*P61</f>
        <v>65.7739998413268</v>
      </c>
      <c r="R49" s="13" t="n">
        <f aca="false">Time!R35*Q61</f>
        <v>64.0550022001723</v>
      </c>
      <c r="S49" s="13" t="n">
        <f aca="false">Time!S35*R61</f>
        <v>62.251328950183</v>
      </c>
      <c r="T49" s="13" t="n">
        <f aca="false">Time!T35*S61</f>
        <v>60.3945043674502</v>
      </c>
      <c r="U49" s="13" t="n">
        <f aca="false">Time!U35*T61</f>
        <v>58.4522665193028</v>
      </c>
      <c r="V49" s="13" t="n">
        <f aca="false">Time!V35*U61</f>
        <v>56.4480872870294</v>
      </c>
      <c r="W49" s="13" t="n">
        <f aca="false">Time!W35*V61</f>
        <v>54.3129764415097</v>
      </c>
      <c r="X49" s="13" t="n">
        <f aca="false">Time!X35*W61</f>
        <v>52.1125965678257</v>
      </c>
      <c r="Y49" s="13" t="n">
        <f aca="false">Time!Y35*X61</f>
        <v>49.9732942519113</v>
      </c>
      <c r="Z49" s="13" t="n">
        <f aca="false">Time!Z35*Y61</f>
        <v>47.832985288415</v>
      </c>
      <c r="AA49" s="13" t="n">
        <f aca="false">Time!AA35*Z61</f>
        <v>45.604007701657</v>
      </c>
      <c r="AB49" s="13" t="n">
        <f aca="false">Time!AB35*AA61</f>
        <v>43.3099829605761</v>
      </c>
      <c r="AC49" s="13" t="n">
        <f aca="false">Time!AC35*AB61</f>
        <v>40.9063628203122</v>
      </c>
      <c r="AD49" s="13" t="n">
        <f aca="false">Time!AD35*AC61</f>
        <v>38.4231144553826</v>
      </c>
      <c r="AE49" s="13" t="n">
        <f aca="false">Time!AE35*AD61</f>
        <v>35.711588454062</v>
      </c>
      <c r="AF49" s="13" t="n">
        <f aca="false">Time!AF35*AE61</f>
        <v>32.883519602728</v>
      </c>
      <c r="AG49" s="13" t="n">
        <f aca="false">Time!AG35*AF61</f>
        <v>29.9562370423632</v>
      </c>
      <c r="AH49" s="13" t="n">
        <f aca="false">Time!AH35*AG61</f>
        <v>26.9743219746581</v>
      </c>
      <c r="AI49" s="13" t="n">
        <f aca="false">Time!AI35*AH61</f>
        <v>23.8427101772468</v>
      </c>
      <c r="AJ49" s="13" t="n">
        <f aca="false">Time!AJ35*AI61</f>
        <v>20.6191463614126</v>
      </c>
      <c r="AK49" s="13" t="n">
        <f aca="false">Time!AK35*AJ61</f>
        <v>17.2399564168848</v>
      </c>
      <c r="AL49" s="13" t="n">
        <f aca="false">Time!AL35*AK61</f>
        <v>13.7513880776085</v>
      </c>
      <c r="AM49" s="13" t="n">
        <f aca="false">Time!AM35*AL61</f>
        <v>10.0523238589992</v>
      </c>
      <c r="AN49" s="13" t="n">
        <f aca="false">Time!AN35*AM61</f>
        <v>6.27637471343322</v>
      </c>
      <c r="AO49" s="13" t="n">
        <f aca="false">Time!AO35*AN61</f>
        <v>3.16126149377997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31.7464786782639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0</v>
      </c>
      <c r="Q51" s="13" t="n">
        <f aca="false">Q49*Q12</f>
        <v>2.15283782647316</v>
      </c>
      <c r="R51" s="13" t="n">
        <f aca="false">R49*R12</f>
        <v>2.13132343987373</v>
      </c>
      <c r="S51" s="13" t="n">
        <f aca="false">S49*S12</f>
        <v>2.04066773113028</v>
      </c>
      <c r="T51" s="13" t="n">
        <f aca="false">T49*T12</f>
        <v>2.01261330554285</v>
      </c>
      <c r="U51" s="13" t="n">
        <f aca="false">U49*U12</f>
        <v>1.92671659840182</v>
      </c>
      <c r="V51" s="13" t="n">
        <f aca="false">V49*V12</f>
        <v>1.88110114879176</v>
      </c>
      <c r="W51" s="13" t="n">
        <f aca="false">W49*W12</f>
        <v>1.78043971550429</v>
      </c>
      <c r="X51" s="13" t="n">
        <f aca="false">X49*X12</f>
        <v>1.73662332918025</v>
      </c>
      <c r="Y51" s="13" t="n">
        <f aca="false">Y49*Y12</f>
        <v>1.63818011146015</v>
      </c>
      <c r="Z51" s="13" t="n">
        <f aca="false">Z49*Z12</f>
        <v>1.59400766085571</v>
      </c>
      <c r="AA51" s="13" t="n">
        <f aca="false">AA49*AA12</f>
        <v>1.49495004357999</v>
      </c>
      <c r="AB51" s="13" t="n">
        <f aca="false">AB49*AB12</f>
        <v>1.44328112105955</v>
      </c>
      <c r="AC51" s="13" t="n">
        <f aca="false">AC49*AC12</f>
        <v>1.34836462158598</v>
      </c>
      <c r="AD51" s="13" t="n">
        <f aca="false">AD49*AD12</f>
        <v>1.28042894305093</v>
      </c>
      <c r="AE51" s="13" t="n">
        <f aca="false">AE49*AE12</f>
        <v>1.17066554906688</v>
      </c>
      <c r="AF51" s="13" t="n">
        <f aca="false">AF49*AF12</f>
        <v>1.09582502213891</v>
      </c>
      <c r="AG51" s="13" t="n">
        <f aca="false">AG49*AG12</f>
        <v>0.981998734956492</v>
      </c>
      <c r="AH51" s="13" t="n">
        <f aca="false">AH49*AH12</f>
        <v>0.89890429407105</v>
      </c>
      <c r="AI51" s="13" t="n">
        <f aca="false">AI49*AI12</f>
        <v>0.781590531510348</v>
      </c>
      <c r="AJ51" s="13" t="n">
        <f aca="false">AJ49*AJ12</f>
        <v>0.687121597412762</v>
      </c>
      <c r="AK51" s="13" t="n">
        <f aca="false">AK49*AK12</f>
        <v>0.568267274514783</v>
      </c>
      <c r="AL51" s="13" t="n">
        <f aca="false">AL49*AL12</f>
        <v>0.458257368026259</v>
      </c>
      <c r="AM51" s="13" t="n">
        <f aca="false">AM49*AM12</f>
        <v>0.329526345346728</v>
      </c>
      <c r="AN51" s="13" t="n">
        <f aca="false">AN49*AN12</f>
        <v>0.209156700450321</v>
      </c>
      <c r="AO51" s="13" t="n">
        <f aca="false">AO49*AO12</f>
        <v>0.103629664278878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65.7739998413269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0</v>
      </c>
      <c r="Q52" s="13" t="n">
        <f aca="false">Time!Q35*(Q49-Q50)*Q19</f>
        <v>1.71899764115453</v>
      </c>
      <c r="R52" s="13" t="n">
        <f aca="false">Time!R35*(R49-R50)*R19</f>
        <v>1.80367324998929</v>
      </c>
      <c r="S52" s="13" t="n">
        <f aca="false">Time!S35*(S49-S50)*S19</f>
        <v>1.85682458273282</v>
      </c>
      <c r="T52" s="13" t="n">
        <f aca="false">Time!T35*(T49-T50)*T19</f>
        <v>1.94223784814744</v>
      </c>
      <c r="U52" s="13" t="n">
        <f aca="false">Time!U35*(U49-U50)*U19</f>
        <v>2.00417923227336</v>
      </c>
      <c r="V52" s="13" t="n">
        <f aca="false">Time!V35*(V49-V50)*V19</f>
        <v>2.13511084551973</v>
      </c>
      <c r="W52" s="13" t="n">
        <f aca="false">Time!W35*(W49-W50)*W19</f>
        <v>2.20037987368397</v>
      </c>
      <c r="X52" s="13" t="n">
        <f aca="false">Time!X35*(X49-X50)*X19</f>
        <v>2.13930231591442</v>
      </c>
      <c r="Y52" s="13" t="n">
        <f aca="false">Time!Y35*(Y49-Y50)*Y19</f>
        <v>2.14030896349629</v>
      </c>
      <c r="Z52" s="13" t="n">
        <f aca="false">Time!Z35*(Z49-Z50)*Z19</f>
        <v>2.22897758675797</v>
      </c>
      <c r="AA52" s="13" t="n">
        <f aca="false">Time!AA35*(AA49-AA50)*AA19</f>
        <v>2.29402474108095</v>
      </c>
      <c r="AB52" s="13" t="n">
        <f aca="false">Time!AB35*(AB49-AB50)*AB19</f>
        <v>2.4036201402639</v>
      </c>
      <c r="AC52" s="13" t="n">
        <f aca="false">Time!AC35*(AC49-AC50)*AC19</f>
        <v>2.48324836492955</v>
      </c>
      <c r="AD52" s="13" t="n">
        <f aca="false">Time!AD35*(AD49-AD50)*AD19</f>
        <v>2.71152600132063</v>
      </c>
      <c r="AE52" s="13" t="n">
        <f aca="false">Time!AE35*(AE49-AE50)*AE19</f>
        <v>2.82806885133399</v>
      </c>
      <c r="AF52" s="13" t="n">
        <f aca="false">Time!AF35*(AF49-AF50)*AF19</f>
        <v>2.92728256036478</v>
      </c>
      <c r="AG52" s="13" t="n">
        <f aca="false">Time!AG35*(AG49-AG50)*AG19</f>
        <v>2.98191506770515</v>
      </c>
      <c r="AH52" s="13" t="n">
        <f aca="false">Time!AH35*(AH49-AH50)*AH19</f>
        <v>3.13161179741124</v>
      </c>
      <c r="AI52" s="13" t="n">
        <f aca="false">Time!AI35*(AI49-AI50)*AI19</f>
        <v>3.22356381583427</v>
      </c>
      <c r="AJ52" s="13" t="n">
        <f aca="false">Time!AJ35*(AJ49-AJ50)*AJ19</f>
        <v>3.37918994452776</v>
      </c>
      <c r="AK52" s="13" t="n">
        <f aca="false">Time!AK35*(AK49-AK50)*AK19</f>
        <v>3.48856833927634</v>
      </c>
      <c r="AL52" s="13" t="n">
        <f aca="false">Time!AL35*(AL49-AL50)*AL19</f>
        <v>3.69906421860923</v>
      </c>
      <c r="AM52" s="13" t="n">
        <f aca="false">Time!AM35*(AM49-AM50)*AM19</f>
        <v>3.77594914556603</v>
      </c>
      <c r="AN52" s="13" t="n">
        <f aca="false">Time!AN35*(AN49-AN50)*AN19</f>
        <v>3.11511321965325</v>
      </c>
      <c r="AO52" s="13" t="n">
        <f aca="false">Time!AO35*(AO49-AO50)*AO19</f>
        <v>3.16126149377997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65.7739998413269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0</v>
      </c>
      <c r="Q55" s="13" t="n">
        <f aca="false">Q52-Q53+Q54</f>
        <v>1.71899764115453</v>
      </c>
      <c r="R55" s="13" t="n">
        <f aca="false">R52-R53+R54</f>
        <v>1.80367324998929</v>
      </c>
      <c r="S55" s="13" t="n">
        <f aca="false">S52-S53+S54</f>
        <v>1.85682458273282</v>
      </c>
      <c r="T55" s="13" t="n">
        <f aca="false">T52-T53+T54</f>
        <v>1.94223784814744</v>
      </c>
      <c r="U55" s="13" t="n">
        <f aca="false">U52-U53+U54</f>
        <v>2.00417923227336</v>
      </c>
      <c r="V55" s="13" t="n">
        <f aca="false">V52-V53+V54</f>
        <v>2.13511084551973</v>
      </c>
      <c r="W55" s="13" t="n">
        <f aca="false">W52-W53+W54</f>
        <v>2.20037987368397</v>
      </c>
      <c r="X55" s="13" t="n">
        <f aca="false">X52-X53+X54</f>
        <v>2.13930231591442</v>
      </c>
      <c r="Y55" s="13" t="n">
        <f aca="false">Y52-Y53+Y54</f>
        <v>2.14030896349629</v>
      </c>
      <c r="Z55" s="13" t="n">
        <f aca="false">Z52-Z53+Z54</f>
        <v>2.22897758675797</v>
      </c>
      <c r="AA55" s="13" t="n">
        <f aca="false">AA52-AA53+AA54</f>
        <v>2.29402474108095</v>
      </c>
      <c r="AB55" s="13" t="n">
        <f aca="false">AB52-AB53+AB54</f>
        <v>2.4036201402639</v>
      </c>
      <c r="AC55" s="13" t="n">
        <f aca="false">AC52-AC53+AC54</f>
        <v>2.48324836492955</v>
      </c>
      <c r="AD55" s="13" t="n">
        <f aca="false">AD52-AD53+AD54</f>
        <v>2.71152600132063</v>
      </c>
      <c r="AE55" s="13" t="n">
        <f aca="false">AE52-AE53+AE54</f>
        <v>2.82806885133399</v>
      </c>
      <c r="AF55" s="13" t="n">
        <f aca="false">AF52-AF53+AF54</f>
        <v>2.92728256036478</v>
      </c>
      <c r="AG55" s="13" t="n">
        <f aca="false">AG52-AG53+AG54</f>
        <v>2.98191506770515</v>
      </c>
      <c r="AH55" s="13" t="n">
        <f aca="false">AH52-AH53+AH54</f>
        <v>3.13161179741124</v>
      </c>
      <c r="AI55" s="13" t="n">
        <f aca="false">AI52-AI53+AI54</f>
        <v>3.22356381583427</v>
      </c>
      <c r="AJ55" s="13" t="n">
        <f aca="false">AJ52-AJ53+AJ54</f>
        <v>3.37918994452776</v>
      </c>
      <c r="AK55" s="13" t="n">
        <f aca="false">AK52-AK53+AK54</f>
        <v>3.48856833927634</v>
      </c>
      <c r="AL55" s="13" t="n">
        <f aca="false">AL52-AL53+AL54</f>
        <v>3.69906421860923</v>
      </c>
      <c r="AM55" s="13" t="n">
        <f aca="false">AM52-AM53+AM54</f>
        <v>3.77594914556603</v>
      </c>
      <c r="AN55" s="13" t="n">
        <f aca="false">AN52-AN53+AN54</f>
        <v>3.11511321965325</v>
      </c>
      <c r="AO55" s="13" t="n">
        <f aca="false">AO52-AO53+AO54</f>
        <v>3.16126149377997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0</v>
      </c>
      <c r="Q59" s="13" t="n">
        <f aca="false">Q49-Q55-Q56-Q57</f>
        <v>64.0550022001723</v>
      </c>
      <c r="R59" s="13" t="n">
        <f aca="false">R49-R55-R56-R57</f>
        <v>62.251328950183</v>
      </c>
      <c r="S59" s="13" t="n">
        <f aca="false">S49-S55-S56-S57</f>
        <v>60.3945043674502</v>
      </c>
      <c r="T59" s="13" t="n">
        <f aca="false">T49-T55-T56-T57</f>
        <v>58.4522665193028</v>
      </c>
      <c r="U59" s="13" t="n">
        <f aca="false">U49-U55-U56-U57</f>
        <v>56.4480872870294</v>
      </c>
      <c r="V59" s="13" t="n">
        <f aca="false">V49-V55-V56-V57</f>
        <v>54.3129764415097</v>
      </c>
      <c r="W59" s="13" t="n">
        <f aca="false">W49-W55-W56-W57</f>
        <v>52.1125965678257</v>
      </c>
      <c r="X59" s="13" t="n">
        <f aca="false">X49-X55-X56-X57</f>
        <v>49.9732942519113</v>
      </c>
      <c r="Y59" s="13" t="n">
        <f aca="false">Y49-Y55-Y56-Y57</f>
        <v>47.832985288415</v>
      </c>
      <c r="Z59" s="13" t="n">
        <f aca="false">Z49-Z55-Z56-Z57</f>
        <v>45.604007701657</v>
      </c>
      <c r="AA59" s="13" t="n">
        <f aca="false">AA49-AA55-AA56-AA57</f>
        <v>43.3099829605761</v>
      </c>
      <c r="AB59" s="13" t="n">
        <f aca="false">AB49-AB55-AB56-AB57</f>
        <v>40.9063628203122</v>
      </c>
      <c r="AC59" s="13" t="n">
        <f aca="false">AC49-AC55-AC56-AC57</f>
        <v>38.4231144553826</v>
      </c>
      <c r="AD59" s="13" t="n">
        <f aca="false">AD49-AD55-AD56-AD57</f>
        <v>35.711588454062</v>
      </c>
      <c r="AE59" s="13" t="n">
        <f aca="false">AE49-AE55-AE56-AE57</f>
        <v>32.883519602728</v>
      </c>
      <c r="AF59" s="13" t="n">
        <f aca="false">AF49-AF55-AF56-AF57</f>
        <v>29.9562370423632</v>
      </c>
      <c r="AG59" s="13" t="n">
        <f aca="false">AG49-AG55-AG56-AG57</f>
        <v>26.9743219746581</v>
      </c>
      <c r="AH59" s="13" t="n">
        <f aca="false">AH49-AH55-AH56-AH57</f>
        <v>23.8427101772468</v>
      </c>
      <c r="AI59" s="13" t="n">
        <f aca="false">AI49-AI55-AI56-AI57</f>
        <v>20.6191463614126</v>
      </c>
      <c r="AJ59" s="13" t="n">
        <f aca="false">AJ49-AJ55-AJ56-AJ57</f>
        <v>17.2399564168848</v>
      </c>
      <c r="AK59" s="13" t="n">
        <f aca="false">AK49-AK55-AK56-AK57</f>
        <v>13.7513880776085</v>
      </c>
      <c r="AL59" s="13" t="n">
        <f aca="false">AL49-AL55-AL56-AL57</f>
        <v>10.0523238589992</v>
      </c>
      <c r="AM59" s="13" t="n">
        <f aca="false">AM49-AM55-AM56-AM57</f>
        <v>6.27637471343322</v>
      </c>
      <c r="AN59" s="13" t="n">
        <f aca="false">AN49-AN55-AN56-AN57</f>
        <v>3.16126149377997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0</v>
      </c>
      <c r="P61" s="13" t="n">
        <f aca="false">IF(Time!P34=1,INDEX(Funding!$J$63:$BJ$63,1,Time!$F$14),Time!P35*(P59-P60))</f>
        <v>65.7739998413268</v>
      </c>
      <c r="Q61" s="13" t="n">
        <f aca="false">IF(Time!Q34=1,INDEX(Funding!$J$63:$BJ$63,1,Time!$F$14),Time!Q35*(Q59-Q60))</f>
        <v>64.0550022001723</v>
      </c>
      <c r="R61" s="13" t="n">
        <f aca="false">IF(Time!R34=1,INDEX(Funding!$J$63:$BJ$63,1,Time!$F$14),Time!R35*(R59-R60))</f>
        <v>62.251328950183</v>
      </c>
      <c r="S61" s="13" t="n">
        <f aca="false">IF(Time!S34=1,INDEX(Funding!$J$63:$BJ$63,1,Time!$F$14),Time!S35*(S59-S60))</f>
        <v>60.3945043674502</v>
      </c>
      <c r="T61" s="13" t="n">
        <f aca="false">IF(Time!T34=1,INDEX(Funding!$J$63:$BJ$63,1,Time!$F$14),Time!T35*(T59-T60))</f>
        <v>58.4522665193028</v>
      </c>
      <c r="U61" s="13" t="n">
        <f aca="false">IF(Time!U34=1,INDEX(Funding!$J$63:$BJ$63,1,Time!$F$14),Time!U35*(U59-U60))</f>
        <v>56.4480872870294</v>
      </c>
      <c r="V61" s="13" t="n">
        <f aca="false">IF(Time!V34=1,INDEX(Funding!$J$63:$BJ$63,1,Time!$F$14),Time!V35*(V59-V60))</f>
        <v>54.3129764415097</v>
      </c>
      <c r="W61" s="13" t="n">
        <f aca="false">IF(Time!W34=1,INDEX(Funding!$J$63:$BJ$63,1,Time!$F$14),Time!W35*(W59-W60))</f>
        <v>52.1125965678257</v>
      </c>
      <c r="X61" s="13" t="n">
        <f aca="false">IF(Time!X34=1,INDEX(Funding!$J$63:$BJ$63,1,Time!$F$14),Time!X35*(X59-X60))</f>
        <v>49.9732942519113</v>
      </c>
      <c r="Y61" s="13" t="n">
        <f aca="false">IF(Time!Y34=1,INDEX(Funding!$J$63:$BJ$63,1,Time!$F$14),Time!Y35*(Y59-Y60))</f>
        <v>47.832985288415</v>
      </c>
      <c r="Z61" s="13" t="n">
        <f aca="false">IF(Time!Z34=1,INDEX(Funding!$J$63:$BJ$63,1,Time!$F$14),Time!Z35*(Z59-Z60))</f>
        <v>45.604007701657</v>
      </c>
      <c r="AA61" s="13" t="n">
        <f aca="false">IF(Time!AA34=1,INDEX(Funding!$J$63:$BJ$63,1,Time!$F$14),Time!AA35*(AA59-AA60))</f>
        <v>43.3099829605761</v>
      </c>
      <c r="AB61" s="13" t="n">
        <f aca="false">IF(Time!AB34=1,INDEX(Funding!$J$63:$BJ$63,1,Time!$F$14),Time!AB35*(AB59-AB60))</f>
        <v>40.9063628203122</v>
      </c>
      <c r="AC61" s="13" t="n">
        <f aca="false">IF(Time!AC34=1,INDEX(Funding!$J$63:$BJ$63,1,Time!$F$14),Time!AC35*(AC59-AC60))</f>
        <v>38.4231144553826</v>
      </c>
      <c r="AD61" s="13" t="n">
        <f aca="false">IF(Time!AD34=1,INDEX(Funding!$J$63:$BJ$63,1,Time!$F$14),Time!AD35*(AD59-AD60))</f>
        <v>35.711588454062</v>
      </c>
      <c r="AE61" s="13" t="n">
        <f aca="false">IF(Time!AE34=1,INDEX(Funding!$J$63:$BJ$63,1,Time!$F$14),Time!AE35*(AE59-AE60))</f>
        <v>32.883519602728</v>
      </c>
      <c r="AF61" s="13" t="n">
        <f aca="false">IF(Time!AF34=1,INDEX(Funding!$J$63:$BJ$63,1,Time!$F$14),Time!AF35*(AF59-AF60))</f>
        <v>29.9562370423632</v>
      </c>
      <c r="AG61" s="13" t="n">
        <f aca="false">IF(Time!AG34=1,INDEX(Funding!$J$63:$BJ$63,1,Time!$F$14),Time!AG35*(AG59-AG60))</f>
        <v>26.9743219746581</v>
      </c>
      <c r="AH61" s="13" t="n">
        <f aca="false">IF(Time!AH34=1,INDEX(Funding!$J$63:$BJ$63,1,Time!$F$14),Time!AH35*(AH59-AH60))</f>
        <v>23.8427101772468</v>
      </c>
      <c r="AI61" s="13" t="n">
        <f aca="false">IF(Time!AI34=1,INDEX(Funding!$J$63:$BJ$63,1,Time!$F$14),Time!AI35*(AI59-AI60))</f>
        <v>20.6191463614126</v>
      </c>
      <c r="AJ61" s="13" t="n">
        <f aca="false">IF(Time!AJ34=1,INDEX(Funding!$J$63:$BJ$63,1,Time!$F$14),Time!AJ35*(AJ59-AJ60))</f>
        <v>17.2399564168848</v>
      </c>
      <c r="AK61" s="13" t="n">
        <f aca="false">IF(Time!AK34=1,INDEX(Funding!$J$63:$BJ$63,1,Time!$F$14),Time!AK35*(AK59-AK60))</f>
        <v>13.7513880776085</v>
      </c>
      <c r="AL61" s="13" t="n">
        <f aca="false">IF(Time!AL34=1,INDEX(Funding!$J$63:$BJ$63,1,Time!$F$14),Time!AL35*(AL59-AL60))</f>
        <v>10.0523238589992</v>
      </c>
      <c r="AM61" s="13" t="n">
        <f aca="false">IF(Time!AM34=1,INDEX(Funding!$J$63:$BJ$63,1,Time!$F$14),Time!AM35*(AM59-AM60))</f>
        <v>6.27637471343322</v>
      </c>
      <c r="AN61" s="13" t="n">
        <f aca="false">IF(Time!AN34=1,INDEX(Funding!$J$63:$BJ$63,1,Time!$F$14),Time!AN35*(AN59-AN60))</f>
        <v>3.16126149377997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0</v>
      </c>
      <c r="Q63" s="13" t="n">
        <f aca="false">Time!Q35*P75</f>
        <v>249.941199397042</v>
      </c>
      <c r="R63" s="13" t="n">
        <f aca="false">Time!R35*Q75</f>
        <v>243.409008360655</v>
      </c>
      <c r="S63" s="13" t="n">
        <f aca="false">Time!S35*R75</f>
        <v>236.555050010696</v>
      </c>
      <c r="T63" s="13" t="n">
        <f aca="false">Time!T35*S75</f>
        <v>229.499116596311</v>
      </c>
      <c r="U63" s="13" t="n">
        <f aca="false">Time!U35*T75</f>
        <v>222.118612773351</v>
      </c>
      <c r="V63" s="13" t="n">
        <f aca="false">Time!V35*U75</f>
        <v>214.502731690712</v>
      </c>
      <c r="W63" s="13" t="n">
        <f aca="false">Time!W35*V75</f>
        <v>206.389310477737</v>
      </c>
      <c r="X63" s="13" t="n">
        <f aca="false">Time!X35*W75</f>
        <v>198.027866957738</v>
      </c>
      <c r="Y63" s="13" t="n">
        <f aca="false">Time!Y35*X75</f>
        <v>189.898518157263</v>
      </c>
      <c r="Z63" s="13" t="n">
        <f aca="false">Time!Z35*Y75</f>
        <v>181.765344095977</v>
      </c>
      <c r="AA63" s="13" t="n">
        <f aca="false">Time!AA35*Z75</f>
        <v>173.295229266297</v>
      </c>
      <c r="AB63" s="13" t="n">
        <f aca="false">Time!AB35*AA75</f>
        <v>159.598247930778</v>
      </c>
      <c r="AC63" s="13" t="n">
        <f aca="false">Time!AC35*AB75</f>
        <v>144.86174532473</v>
      </c>
      <c r="AD63" s="13" t="n">
        <f aca="false">Time!AD35*AC75</f>
        <v>130.713690275245</v>
      </c>
      <c r="AE63" s="13" t="n">
        <f aca="false">Time!AE35*AD75</f>
        <v>115.57581598311</v>
      </c>
      <c r="AF63" s="13" t="n">
        <f aca="false">Time!AF35*AE75</f>
        <v>99.5574470734754</v>
      </c>
      <c r="AG63" s="13" t="n">
        <f aca="false">Time!AG35*AF75</f>
        <v>82.6176931882564</v>
      </c>
      <c r="AH63" s="13" t="n">
        <f aca="false">Time!AH35*AG75</f>
        <v>66.2565864936613</v>
      </c>
      <c r="AI63" s="13" t="n">
        <f aca="false">Time!AI35*AH75</f>
        <v>49.239704578839</v>
      </c>
      <c r="AJ63" s="13" t="n">
        <f aca="false">Time!AJ35*AI75</f>
        <v>32.6105886616076</v>
      </c>
      <c r="AK63" s="13" t="n">
        <f aca="false">Time!AK35*AJ75</f>
        <v>15.6891880212347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136.618818010277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0</v>
      </c>
      <c r="Q65" s="13" t="n">
        <f aca="false">Q63*Q13</f>
        <v>10.0671532291708</v>
      </c>
      <c r="R65" s="13" t="n">
        <f aca="false">R63*R13</f>
        <v>9.96654712504874</v>
      </c>
      <c r="S65" s="13" t="n">
        <f aca="false">S63*S13</f>
        <v>9.54119970540053</v>
      </c>
      <c r="T65" s="13" t="n">
        <f aca="false">T63*T13</f>
        <v>9.41003044493417</v>
      </c>
      <c r="U65" s="13" t="n">
        <f aca="false">U63*U13</f>
        <v>9.00841796076214</v>
      </c>
      <c r="V65" s="13" t="n">
        <f aca="false">V63*V13</f>
        <v>8.79514163569373</v>
      </c>
      <c r="W65" s="13" t="n">
        <f aca="false">W63*W13</f>
        <v>8.32449625674432</v>
      </c>
      <c r="X65" s="13" t="n">
        <f aca="false">X63*X13</f>
        <v>8.11963150296344</v>
      </c>
      <c r="Y65" s="13" t="n">
        <f aca="false">Y63*Y13</f>
        <v>8.18978387010823</v>
      </c>
      <c r="Z65" s="13" t="n">
        <f aca="false">Z63*Z13</f>
        <v>7.96895172782263</v>
      </c>
      <c r="AA65" s="13" t="n">
        <f aca="false">AA63*AA13</f>
        <v>7.47373116538215</v>
      </c>
      <c r="AB65" s="13" t="n">
        <f aca="false">AB63*AB13</f>
        <v>6.9971024450837</v>
      </c>
      <c r="AC65" s="13" t="n">
        <f aca="false">AC63*AC13</f>
        <v>6.28199218058822</v>
      </c>
      <c r="AD65" s="13" t="n">
        <f aca="false">AD63*AD13</f>
        <v>5.73074638154876</v>
      </c>
      <c r="AE65" s="13" t="n">
        <f aca="false">AE63*AE13</f>
        <v>4.98445676510863</v>
      </c>
      <c r="AF65" s="13" t="n">
        <f aca="false">AF63*AF13</f>
        <v>4.36479513638674</v>
      </c>
      <c r="AG65" s="13" t="n">
        <f aca="false">AG63*AG13</f>
        <v>3.79383507035036</v>
      </c>
      <c r="AH65" s="13" t="n">
        <f aca="false">AH63*AH13</f>
        <v>3.09295561543002</v>
      </c>
      <c r="AI65" s="13" t="n">
        <f aca="false">AI63*AI13</f>
        <v>2.26110547118791</v>
      </c>
      <c r="AJ65" s="13" t="n">
        <f aca="false">AJ63*AJ13</f>
        <v>1.52231059070704</v>
      </c>
      <c r="AK65" s="13" t="n">
        <f aca="false">AK63*AK13</f>
        <v>0.724433729854568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161.346865874348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0</v>
      </c>
      <c r="Q66" s="13" t="n">
        <f aca="false">Time!Q35*(Q63-Q64)*Q19</f>
        <v>6.53219103638723</v>
      </c>
      <c r="R66" s="13" t="n">
        <f aca="false">Time!R35*(R63-R64)*R19</f>
        <v>6.85395834995929</v>
      </c>
      <c r="S66" s="13" t="n">
        <f aca="false">Time!S35*(S63-S64)*S19</f>
        <v>7.05593341438472</v>
      </c>
      <c r="T66" s="13" t="n">
        <f aca="false">Time!T35*(T63-T64)*T19</f>
        <v>7.38050382296028</v>
      </c>
      <c r="U66" s="13" t="n">
        <f aca="false">Time!U35*(U63-U64)*U19</f>
        <v>7.61588108263877</v>
      </c>
      <c r="V66" s="13" t="n">
        <f aca="false">Time!V35*(V63-V64)*V19</f>
        <v>8.11342121297497</v>
      </c>
      <c r="W66" s="13" t="n">
        <f aca="false">Time!W35*(W63-W64)*W19</f>
        <v>8.3614435199991</v>
      </c>
      <c r="X66" s="13" t="n">
        <f aca="false">Time!X35*(X63-X64)*X19</f>
        <v>8.1293488004748</v>
      </c>
      <c r="Y66" s="13" t="n">
        <f aca="false">Time!Y35*(Y63-Y64)*Y19</f>
        <v>8.1331740612859</v>
      </c>
      <c r="Z66" s="13" t="n">
        <f aca="false">Time!Z35*(Z63-Z64)*Z19</f>
        <v>8.4701148296803</v>
      </c>
      <c r="AA66" s="13" t="n">
        <f aca="false">Time!AA35*(AA63-AA64)*AA19</f>
        <v>8.71729401610759</v>
      </c>
      <c r="AB66" s="13" t="n">
        <f aca="false">Time!AB35*(AB63-AB64)*AB19</f>
        <v>8.85739353502961</v>
      </c>
      <c r="AC66" s="13" t="n">
        <f aca="false">Time!AC35*(AC63-AC64)*AC19</f>
        <v>8.79393002498505</v>
      </c>
      <c r="AD66" s="13" t="n">
        <f aca="false">Time!AD35*(AD63-AD64)*AD19</f>
        <v>9.22448830433749</v>
      </c>
      <c r="AE66" s="13" t="n">
        <f aca="false">Time!AE35*(AE63-AE64)*AE19</f>
        <v>9.15266946385761</v>
      </c>
      <c r="AF66" s="13" t="n">
        <f aca="false">Time!AF35*(AF63-AF64)*AF19</f>
        <v>8.86257864405875</v>
      </c>
      <c r="AG66" s="13" t="n">
        <f aca="false">Time!AG35*(AG63-AG64)*AG19</f>
        <v>8.22396163539196</v>
      </c>
      <c r="AH66" s="13" t="n">
        <f aca="false">Time!AH35*(AH63-AH64)*AH19</f>
        <v>7.69212690923913</v>
      </c>
      <c r="AI66" s="13" t="n">
        <f aca="false">Time!AI35*(AI63-AI64)*AI19</f>
        <v>6.65726877535039</v>
      </c>
      <c r="AJ66" s="13" t="n">
        <f aca="false">Time!AJ35*(AJ63-AJ64)*AJ19</f>
        <v>5.34441976204518</v>
      </c>
      <c r="AK66" s="13" t="n">
        <f aca="false">Time!AK35*(AK63-AK64)*AK19</f>
        <v>3.17476467319997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161.346865874348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0</v>
      </c>
      <c r="Q69" s="13" t="n">
        <f aca="false">Q66-Q67+Q68</f>
        <v>6.53219103638723</v>
      </c>
      <c r="R69" s="13" t="n">
        <f aca="false">R66-R67+R68</f>
        <v>6.85395834995929</v>
      </c>
      <c r="S69" s="13" t="n">
        <f aca="false">S66-S67+S68</f>
        <v>7.05593341438472</v>
      </c>
      <c r="T69" s="13" t="n">
        <f aca="false">T66-T67+T68</f>
        <v>7.38050382296028</v>
      </c>
      <c r="U69" s="13" t="n">
        <f aca="false">U66-U67+U68</f>
        <v>7.61588108263877</v>
      </c>
      <c r="V69" s="13" t="n">
        <f aca="false">V66-V67+V68</f>
        <v>8.11342121297497</v>
      </c>
      <c r="W69" s="13" t="n">
        <f aca="false">W66-W67+W68</f>
        <v>8.3614435199991</v>
      </c>
      <c r="X69" s="13" t="n">
        <f aca="false">X66-X67+X68</f>
        <v>8.1293488004748</v>
      </c>
      <c r="Y69" s="13" t="n">
        <f aca="false">Y66-Y67+Y68</f>
        <v>8.1331740612859</v>
      </c>
      <c r="Z69" s="13" t="n">
        <f aca="false">Z66-Z67+Z68</f>
        <v>8.4701148296803</v>
      </c>
      <c r="AA69" s="13" t="n">
        <f aca="false">AA66-AA67+AA68</f>
        <v>8.71729401610759</v>
      </c>
      <c r="AB69" s="13" t="n">
        <f aca="false">AB66-AB67+AB68</f>
        <v>8.85739353502961</v>
      </c>
      <c r="AC69" s="13" t="n">
        <f aca="false">AC66-AC67+AC68</f>
        <v>8.79393002498505</v>
      </c>
      <c r="AD69" s="13" t="n">
        <f aca="false">AD66-AD67+AD68</f>
        <v>9.22448830433749</v>
      </c>
      <c r="AE69" s="13" t="n">
        <f aca="false">AE66-AE67+AE68</f>
        <v>9.15266946385761</v>
      </c>
      <c r="AF69" s="13" t="n">
        <f aca="false">AF66-AF67+AF68</f>
        <v>8.86257864405875</v>
      </c>
      <c r="AG69" s="13" t="n">
        <f aca="false">AG66-AG67+AG68</f>
        <v>8.22396163539196</v>
      </c>
      <c r="AH69" s="13" t="n">
        <f aca="false">AH66-AH67+AH68</f>
        <v>7.69212690923913</v>
      </c>
      <c r="AI69" s="13" t="n">
        <f aca="false">AI66-AI67+AI68</f>
        <v>6.65726877535039</v>
      </c>
      <c r="AJ69" s="13" t="n">
        <f aca="false">AJ66-AJ67+AJ68</f>
        <v>5.34441976204518</v>
      </c>
      <c r="AK69" s="13" t="n">
        <f aca="false">AK66-AK67+AK68</f>
        <v>3.17476467319997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0</v>
      </c>
      <c r="Q73" s="13" t="n">
        <f aca="false">Q63-Q69-Q70-Q71</f>
        <v>243.409008360655</v>
      </c>
      <c r="R73" s="13" t="n">
        <f aca="false">R63-R69-R70-R71</f>
        <v>236.555050010696</v>
      </c>
      <c r="S73" s="13" t="n">
        <f aca="false">S63-S69-S70-S71</f>
        <v>229.499116596311</v>
      </c>
      <c r="T73" s="13" t="n">
        <f aca="false">T63-T69-T70-T71</f>
        <v>222.118612773351</v>
      </c>
      <c r="U73" s="13" t="n">
        <f aca="false">U63-U69-U70-U71</f>
        <v>214.502731690712</v>
      </c>
      <c r="V73" s="13" t="n">
        <f aca="false">V63-V69-V70-V71</f>
        <v>206.389310477737</v>
      </c>
      <c r="W73" s="13" t="n">
        <f aca="false">W63-W69-W70-W71</f>
        <v>198.027866957738</v>
      </c>
      <c r="X73" s="13" t="n">
        <f aca="false">X63-X69-X70-X71</f>
        <v>189.898518157263</v>
      </c>
      <c r="Y73" s="13" t="n">
        <f aca="false">Y63-Y69-Y70-Y71</f>
        <v>181.765344095977</v>
      </c>
      <c r="Z73" s="13" t="n">
        <f aca="false">Z63-Z69-Z70-Z71</f>
        <v>173.295229266297</v>
      </c>
      <c r="AA73" s="13" t="n">
        <f aca="false">AA63-AA69-AA70-AA71</f>
        <v>164.577935250189</v>
      </c>
      <c r="AB73" s="13" t="n">
        <f aca="false">AB63-AB69-AB70-AB71</f>
        <v>150.740854395749</v>
      </c>
      <c r="AC73" s="13" t="n">
        <f aca="false">AC63-AC69-AC70-AC71</f>
        <v>136.067815299745</v>
      </c>
      <c r="AD73" s="13" t="n">
        <f aca="false">AD63-AD69-AD70-AD71</f>
        <v>121.489201970907</v>
      </c>
      <c r="AE73" s="13" t="n">
        <f aca="false">AE63-AE69-AE70-AE71</f>
        <v>106.423146519253</v>
      </c>
      <c r="AF73" s="13" t="n">
        <f aca="false">AF63-AF69-AF70-AF71</f>
        <v>90.6948684294166</v>
      </c>
      <c r="AG73" s="13" t="n">
        <f aca="false">AG63-AG69-AG70-AG71</f>
        <v>74.3937315528644</v>
      </c>
      <c r="AH73" s="13" t="n">
        <f aca="false">AH63-AH69-AH70-AH71</f>
        <v>58.5644595844221</v>
      </c>
      <c r="AI73" s="13" t="n">
        <f aca="false">AI63-AI69-AI70-AI71</f>
        <v>42.5824358034886</v>
      </c>
      <c r="AJ73" s="13" t="n">
        <f aca="false">AJ63-AJ69-AJ70-AJ71</f>
        <v>27.2661688995624</v>
      </c>
      <c r="AK73" s="13" t="n">
        <f aca="false">AK63-AK69-AK70-AK71</f>
        <v>12.5144233480348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88.5943335226939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4.97968731941094</v>
      </c>
      <c r="AB74" s="13" t="n">
        <f aca="false">Waterfall!AB28*AB73/(AB31+AB45+AB59+AB73+AB87+Inputs!$F$253)+Waterfall!AB29</f>
        <v>5.87910907101877</v>
      </c>
      <c r="AC74" s="13" t="n">
        <f aca="false">Waterfall!AC28*AC73/(AC31+AC45+AC59+AC73+AC87+Inputs!$F$253)+Waterfall!AC29</f>
        <v>5.3541250244998</v>
      </c>
      <c r="AD74" s="13" t="n">
        <f aca="false">Waterfall!AD28*AD73/(AD31+AD45+AD59+AD73+AD87+Inputs!$F$253)+Waterfall!AD29</f>
        <v>5.91338598779726</v>
      </c>
      <c r="AE74" s="13" t="n">
        <f aca="false">Waterfall!AE28*AE73/(AE31+AE45+AE59+AE73+AE87+Inputs!$F$253)+Waterfall!AE29</f>
        <v>6.86569944577716</v>
      </c>
      <c r="AF74" s="13" t="n">
        <f aca="false">Waterfall!AF28*AF73/(AF31+AF45+AF59+AF73+AF87+Inputs!$F$253)+Waterfall!AF29</f>
        <v>8.07717524116026</v>
      </c>
      <c r="AG74" s="13" t="n">
        <f aca="false">Waterfall!AG28*AG73/(AG31+AG45+AG59+AG73+AG87+Inputs!$F$253)+Waterfall!AG29</f>
        <v>8.13714505920316</v>
      </c>
      <c r="AH74" s="13" t="n">
        <f aca="false">Waterfall!AH28*AH73/(AH31+AH45+AH59+AH73+AH87+Inputs!$F$253)+Waterfall!AH29</f>
        <v>9.32475500558314</v>
      </c>
      <c r="AI74" s="13" t="n">
        <f aca="false">Waterfall!AI28*AI73/(AI31+AI45+AI59+AI73+AI87+Inputs!$F$253)+Waterfall!AI29</f>
        <v>9.97184714188098</v>
      </c>
      <c r="AJ74" s="13" t="n">
        <f aca="false">Waterfall!AJ28*AJ73/(AJ31+AJ45+AJ59+AJ73+AJ87+Inputs!$F$253)+Waterfall!AJ29</f>
        <v>11.5769808783277</v>
      </c>
      <c r="AK74" s="13" t="n">
        <f aca="false">Waterfall!AK28*AK73/(AK31+AK45+AK59+AK73+AK87+Inputs!$F$253)+Waterfall!AK29</f>
        <v>12.5144233480348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0</v>
      </c>
      <c r="P75" s="13" t="n">
        <f aca="false">IF(Time!P34=1,INDEX(Funding!$J$64:$BJ$64,1,Time!$F$14),Time!P35*(P73-P74))</f>
        <v>249.941199397042</v>
      </c>
      <c r="Q75" s="13" t="n">
        <f aca="false">IF(Time!Q34=1,INDEX(Funding!$J$64:$BJ$64,1,Time!$F$14),Time!Q35*(Q73-Q74))</f>
        <v>243.409008360655</v>
      </c>
      <c r="R75" s="13" t="n">
        <f aca="false">IF(Time!R34=1,INDEX(Funding!$J$64:$BJ$64,1,Time!$F$14),Time!R35*(R73-R74))</f>
        <v>236.555050010696</v>
      </c>
      <c r="S75" s="13" t="n">
        <f aca="false">IF(Time!S34=1,INDEX(Funding!$J$64:$BJ$64,1,Time!$F$14),Time!S35*(S73-S74))</f>
        <v>229.499116596311</v>
      </c>
      <c r="T75" s="13" t="n">
        <f aca="false">IF(Time!T34=1,INDEX(Funding!$J$64:$BJ$64,1,Time!$F$14),Time!T35*(T73-T74))</f>
        <v>222.118612773351</v>
      </c>
      <c r="U75" s="13" t="n">
        <f aca="false">IF(Time!U34=1,INDEX(Funding!$J$64:$BJ$64,1,Time!$F$14),Time!U35*(U73-U74))</f>
        <v>214.502731690712</v>
      </c>
      <c r="V75" s="13" t="n">
        <f aca="false">IF(Time!V34=1,INDEX(Funding!$J$64:$BJ$64,1,Time!$F$14),Time!V35*(V73-V74))</f>
        <v>206.389310477737</v>
      </c>
      <c r="W75" s="13" t="n">
        <f aca="false">IF(Time!W34=1,INDEX(Funding!$J$64:$BJ$64,1,Time!$F$14),Time!W35*(W73-W74))</f>
        <v>198.027866957738</v>
      </c>
      <c r="X75" s="13" t="n">
        <f aca="false">IF(Time!X34=1,INDEX(Funding!$J$64:$BJ$64,1,Time!$F$14),Time!X35*(X73-X74))</f>
        <v>189.898518157263</v>
      </c>
      <c r="Y75" s="13" t="n">
        <f aca="false">IF(Time!Y34=1,INDEX(Funding!$J$64:$BJ$64,1,Time!$F$14),Time!Y35*(Y73-Y74))</f>
        <v>181.765344095977</v>
      </c>
      <c r="Z75" s="13" t="n">
        <f aca="false">IF(Time!Z34=1,INDEX(Funding!$J$64:$BJ$64,1,Time!$F$14),Time!Z35*(Z73-Z74))</f>
        <v>173.295229266297</v>
      </c>
      <c r="AA75" s="13" t="n">
        <f aca="false">IF(Time!AA34=1,INDEX(Funding!$J$64:$BJ$64,1,Time!$F$14),Time!AA35*(AA73-AA74))</f>
        <v>159.598247930778</v>
      </c>
      <c r="AB75" s="13" t="n">
        <f aca="false">IF(Time!AB34=1,INDEX(Funding!$J$64:$BJ$64,1,Time!$F$14),Time!AB35*(AB73-AB74))</f>
        <v>144.86174532473</v>
      </c>
      <c r="AC75" s="13" t="n">
        <f aca="false">IF(Time!AC34=1,INDEX(Funding!$J$64:$BJ$64,1,Time!$F$14),Time!AC35*(AC73-AC74))</f>
        <v>130.713690275245</v>
      </c>
      <c r="AD75" s="13" t="n">
        <f aca="false">IF(Time!AD34=1,INDEX(Funding!$J$64:$BJ$64,1,Time!$F$14),Time!AD35*(AD73-AD74))</f>
        <v>115.57581598311</v>
      </c>
      <c r="AE75" s="13" t="n">
        <f aca="false">IF(Time!AE34=1,INDEX(Funding!$J$64:$BJ$64,1,Time!$F$14),Time!AE35*(AE73-AE74))</f>
        <v>99.5574470734754</v>
      </c>
      <c r="AF75" s="13" t="n">
        <f aca="false">IF(Time!AF34=1,INDEX(Funding!$J$64:$BJ$64,1,Time!$F$14),Time!AF35*(AF73-AF74))</f>
        <v>82.6176931882564</v>
      </c>
      <c r="AG75" s="13" t="n">
        <f aca="false">IF(Time!AG34=1,INDEX(Funding!$J$64:$BJ$64,1,Time!$F$14),Time!AG35*(AG73-AG74))</f>
        <v>66.2565864936613</v>
      </c>
      <c r="AH75" s="13" t="n">
        <f aca="false">IF(Time!AH34=1,INDEX(Funding!$J$64:$BJ$64,1,Time!$F$14),Time!AH35*(AH73-AH74))</f>
        <v>49.239704578839</v>
      </c>
      <c r="AI75" s="13" t="n">
        <f aca="false">IF(Time!AI34=1,INDEX(Funding!$J$64:$BJ$64,1,Time!$F$14),Time!AI35*(AI73-AI74))</f>
        <v>32.6105886616076</v>
      </c>
      <c r="AJ75" s="13" t="n">
        <f aca="false">IF(Time!AJ34=1,INDEX(Funding!$J$64:$BJ$64,1,Time!$F$14),Time!AJ35*(AJ73-AJ74))</f>
        <v>15.6891880212347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</v>
      </c>
      <c r="Q77" s="13" t="n">
        <f aca="false">Time!Q35*P89</f>
        <v>1.99840144432528E-013</v>
      </c>
      <c r="R77" s="13" t="n">
        <f aca="false">Time!R35*Q89</f>
        <v>1.94617340015643E-013</v>
      </c>
      <c r="S77" s="13" t="n">
        <f aca="false">Time!S35*R89</f>
        <v>1.89137266982887E-013</v>
      </c>
      <c r="T77" s="13" t="n">
        <f aca="false">Time!T35*S89</f>
        <v>1.83495705063369E-013</v>
      </c>
      <c r="U77" s="13" t="n">
        <f aca="false">Time!U35*T89</f>
        <v>1.77594633317201E-013</v>
      </c>
      <c r="V77" s="13" t="n">
        <f aca="false">Time!V35*U89</f>
        <v>1.71505366004701E-013</v>
      </c>
      <c r="W77" s="13" t="n">
        <f aca="false">Time!W35*V89</f>
        <v>1.65018291160881E-013</v>
      </c>
      <c r="X77" s="13" t="n">
        <f aca="false">Time!X35*W89</f>
        <v>1.58332910420402E-013</v>
      </c>
      <c r="Y77" s="13" t="n">
        <f aca="false">Time!Y35*X89</f>
        <v>1.51833100695762E-013</v>
      </c>
      <c r="Z77" s="13" t="n">
        <f aca="false">Time!Z35*Y89</f>
        <v>1.45330232489066E-013</v>
      </c>
      <c r="AA77" s="13" t="n">
        <f aca="false">Time!AA35*Z89</f>
        <v>1.38557963751432E-013</v>
      </c>
      <c r="AB77" s="13" t="n">
        <f aca="false">Time!AB35*AA89</f>
        <v>1.31588063233061E-013</v>
      </c>
      <c r="AC77" s="13" t="n">
        <f aca="false">Time!AC35*AB89</f>
        <v>1.24285180678403E-013</v>
      </c>
      <c r="AD77" s="13" t="n">
        <f aca="false">Time!AD35*AC89</f>
        <v>1.16740364898513E-013</v>
      </c>
      <c r="AE77" s="13" t="n">
        <f aca="false">Time!AE35*AD89</f>
        <v>1.08501976644132E-013</v>
      </c>
      <c r="AF77" s="13" t="n">
        <f aca="false">Time!AF35*AE89</f>
        <v>9.99094980191564E-014</v>
      </c>
      <c r="AG77" s="13" t="n">
        <f aca="false">Time!AG35*AF89</f>
        <v>9.10155798893582E-014</v>
      </c>
      <c r="AH77" s="13" t="n">
        <f aca="false">Time!AH35*AG89</f>
        <v>8.19556726425237E-014</v>
      </c>
      <c r="AI77" s="13" t="n">
        <f aca="false">Time!AI35*AH89</f>
        <v>7.24409440961224E-014</v>
      </c>
      <c r="AJ77" s="13" t="n">
        <f aca="false">Time!AJ35*AI89</f>
        <v>6.26468391291467E-014</v>
      </c>
      <c r="AK77" s="13" t="n">
        <f aca="false">Time!AK35*AJ89</f>
        <v>5.23798976597445E-014</v>
      </c>
      <c r="AL77" s="13" t="n">
        <f aca="false">Time!AL35*AK89</f>
        <v>4.1780633475332E-014</v>
      </c>
      <c r="AM77" s="13" t="n">
        <f aca="false">Time!AM35*AL89</f>
        <v>3.05418228587455E-014</v>
      </c>
      <c r="AN77" s="13" t="n">
        <f aca="false">Time!AN35*AM89</f>
        <v>1.90694139366766E-014</v>
      </c>
      <c r="AO77" s="13" t="n">
        <f aca="false">Time!AO35*AN89</f>
        <v>9.60481276841922E-015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1.18493695905764E-013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</v>
      </c>
      <c r="Q79" s="13" t="n">
        <f aca="false">Q77*Q14</f>
        <v>7.8142899558505E-015</v>
      </c>
      <c r="R79" s="13" t="n">
        <f aca="false">R77*R14</f>
        <v>7.73619784271367E-015</v>
      </c>
      <c r="S79" s="13" t="n">
        <f aca="false">S77*S14</f>
        <v>7.40592187173758E-015</v>
      </c>
      <c r="T79" s="13" t="n">
        <f aca="false">T77*T14</f>
        <v>7.30410770528243E-015</v>
      </c>
      <c r="U79" s="13" t="n">
        <f aca="false">U77*U14</f>
        <v>6.99237429938706E-015</v>
      </c>
      <c r="V79" s="13" t="n">
        <f aca="false">V77*V14</f>
        <v>6.82682826227246E-015</v>
      </c>
      <c r="W79" s="13" t="n">
        <f aca="false">W77*W14</f>
        <v>6.4615112147925E-015</v>
      </c>
      <c r="X79" s="13" t="n">
        <f aca="false">X77*X14</f>
        <v>6.30249427692092E-015</v>
      </c>
      <c r="Y79" s="13" t="n">
        <f aca="false">Y77*Y14</f>
        <v>6.19968853174655E-015</v>
      </c>
      <c r="Z79" s="13" t="n">
        <f aca="false">Z77*Z14</f>
        <v>6.03251800298986E-015</v>
      </c>
      <c r="AA79" s="13" t="n">
        <f aca="false">AA77*AA14</f>
        <v>5.65763469833352E-015</v>
      </c>
      <c r="AB79" s="13" t="n">
        <f aca="false">AB77*AB14</f>
        <v>5.4620937903731E-015</v>
      </c>
      <c r="AC79" s="13" t="n">
        <f aca="false">AC77*AC14</f>
        <v>5.10288253567453E-015</v>
      </c>
      <c r="AD79" s="13" t="n">
        <f aca="false">AD77*AD14</f>
        <v>4.84578013028959E-015</v>
      </c>
      <c r="AE79" s="13" t="n">
        <f aca="false">AE77*AE14</f>
        <v>4.43038084047527E-015</v>
      </c>
      <c r="AF79" s="13" t="n">
        <f aca="false">AF77*AF14</f>
        <v>4.14714705362894E-015</v>
      </c>
      <c r="AG79" s="13" t="n">
        <f aca="false">AG77*AG14</f>
        <v>3.86890712467386E-015</v>
      </c>
      <c r="AH79" s="13" t="n">
        <f aca="false">AH77*AH14</f>
        <v>3.5415292341344E-015</v>
      </c>
      <c r="AI79" s="13" t="n">
        <f aca="false">AI77*AI14</f>
        <v>3.07933306662762E-015</v>
      </c>
      <c r="AJ79" s="13" t="n">
        <f aca="false">AJ77*AJ14</f>
        <v>2.70714161751471E-015</v>
      </c>
      <c r="AK79" s="13" t="n">
        <f aca="false">AK77*AK14</f>
        <v>2.23887590566667E-015</v>
      </c>
      <c r="AL79" s="13" t="n">
        <f aca="false">AL77*AL14</f>
        <v>1.80545568235344E-015</v>
      </c>
      <c r="AM79" s="13" t="n">
        <f aca="false">AM77*AM14</f>
        <v>1.29827746197268E-015</v>
      </c>
      <c r="AN79" s="13" t="n">
        <f aca="false">AN77*AN14</f>
        <v>8.24041640523474E-016</v>
      </c>
      <c r="AO79" s="13" t="n">
        <f aca="false">AO77*AO14</f>
        <v>4.08283159828995E-016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1.99840144432528E-013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</v>
      </c>
      <c r="Q80" s="13" t="n">
        <f aca="false">Time!Q35*(Q77-Q78)*Q19</f>
        <v>5.22280441688534E-015</v>
      </c>
      <c r="R80" s="13" t="n">
        <f aca="false">Time!R35*(R77-R78)*R19</f>
        <v>5.48007303275591E-015</v>
      </c>
      <c r="S80" s="13" t="n">
        <f aca="false">Time!S35*(S77-S78)*S19</f>
        <v>5.64156191951774E-015</v>
      </c>
      <c r="T80" s="13" t="n">
        <f aca="false">Time!T35*(T77-T78)*T19</f>
        <v>5.90107174616793E-015</v>
      </c>
      <c r="U80" s="13" t="n">
        <f aca="false">Time!U35*(U77-U78)*U19</f>
        <v>6.08926731250015E-015</v>
      </c>
      <c r="V80" s="13" t="n">
        <f aca="false">Time!V35*(V77-V78)*V19</f>
        <v>6.48707484382043E-015</v>
      </c>
      <c r="W80" s="13" t="n">
        <f aca="false">Time!W35*(W77-W78)*W19</f>
        <v>6.68538074047836E-015</v>
      </c>
      <c r="X80" s="13" t="n">
        <f aca="false">Time!X35*(X77-X78)*X19</f>
        <v>6.49980972464082E-015</v>
      </c>
      <c r="Y80" s="13" t="n">
        <f aca="false">Time!Y35*(Y77-Y78)*Y19</f>
        <v>6.50286820669511E-015</v>
      </c>
      <c r="Z80" s="13" t="n">
        <f aca="false">Time!Z35*(Z77-Z78)*Z19</f>
        <v>6.7722687376343E-015</v>
      </c>
      <c r="AA80" s="13" t="n">
        <f aca="false">Time!AA35*(AA77-AA78)*AA19</f>
        <v>6.96990051837117E-015</v>
      </c>
      <c r="AB80" s="13" t="n">
        <f aca="false">Time!AB35*(AB77-AB78)*AB19</f>
        <v>7.3028825546575E-015</v>
      </c>
      <c r="AC80" s="13" t="n">
        <f aca="false">Time!AC35*(AC77-AC78)*AC19</f>
        <v>7.54481577989053E-015</v>
      </c>
      <c r="AD80" s="13" t="n">
        <f aca="false">Time!AD35*(AD77-AD78)*AD19</f>
        <v>8.23838825438139E-015</v>
      </c>
      <c r="AE80" s="13" t="n">
        <f aca="false">Time!AE35*(AE77-AE78)*AE19</f>
        <v>8.59247862497514E-015</v>
      </c>
      <c r="AF80" s="13" t="n">
        <f aca="false">Time!AF35*(AF77-AF78)*AF19</f>
        <v>8.89391812979818E-015</v>
      </c>
      <c r="AG80" s="13" t="n">
        <f aca="false">Time!AG35*(AG77-AG78)*AG19</f>
        <v>9.05990724683451E-015</v>
      </c>
      <c r="AH80" s="13" t="n">
        <f aca="false">Time!AH35*(AH77-AH78)*AH19</f>
        <v>9.51472854640137E-015</v>
      </c>
      <c r="AI80" s="13" t="n">
        <f aca="false">Time!AI35*(AI77-AI78)*AI19</f>
        <v>9.79410496697562E-015</v>
      </c>
      <c r="AJ80" s="13" t="n">
        <f aca="false">Time!AJ35*(AJ77-AJ78)*AJ19</f>
        <v>1.02669414694022E-014</v>
      </c>
      <c r="AK80" s="13" t="n">
        <f aca="false">Time!AK35*(AK77-AK78)*AK19</f>
        <v>1.05992641844125E-014</v>
      </c>
      <c r="AL80" s="13" t="n">
        <f aca="false">Time!AL35*(AL77-AL78)*AL19</f>
        <v>1.12388106165865E-014</v>
      </c>
      <c r="AM80" s="13" t="n">
        <f aca="false">Time!AM35*(AM77-AM78)*AM19</f>
        <v>1.14724089220689E-014</v>
      </c>
      <c r="AN80" s="13" t="n">
        <f aca="false">Time!AN35*(AN77-AN78)*AN19</f>
        <v>9.46460116825737E-015</v>
      </c>
      <c r="AO80" s="13" t="n">
        <f aca="false">Time!AO35*(AO77-AO78)*AO19</f>
        <v>9.60481276841922E-015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1.99840144432528E-013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</v>
      </c>
      <c r="Q83" s="13" t="n">
        <f aca="false">Q80-Q81+Q82</f>
        <v>5.22280441688534E-015</v>
      </c>
      <c r="R83" s="13" t="n">
        <f aca="false">R80-R81+R82</f>
        <v>5.48007303275591E-015</v>
      </c>
      <c r="S83" s="13" t="n">
        <f aca="false">S80-S81+S82</f>
        <v>5.64156191951774E-015</v>
      </c>
      <c r="T83" s="13" t="n">
        <f aca="false">T80-T81+T82</f>
        <v>5.90107174616793E-015</v>
      </c>
      <c r="U83" s="13" t="n">
        <f aca="false">U80-U81+U82</f>
        <v>6.08926731250015E-015</v>
      </c>
      <c r="V83" s="13" t="n">
        <f aca="false">V80-V81+V82</f>
        <v>6.48707484382043E-015</v>
      </c>
      <c r="W83" s="13" t="n">
        <f aca="false">W80-W81+W82</f>
        <v>6.68538074047836E-015</v>
      </c>
      <c r="X83" s="13" t="n">
        <f aca="false">X80-X81+X82</f>
        <v>6.49980972464082E-015</v>
      </c>
      <c r="Y83" s="13" t="n">
        <f aca="false">Y80-Y81+Y82</f>
        <v>6.50286820669511E-015</v>
      </c>
      <c r="Z83" s="13" t="n">
        <f aca="false">Z80-Z81+Z82</f>
        <v>6.7722687376343E-015</v>
      </c>
      <c r="AA83" s="13" t="n">
        <f aca="false">AA80-AA81+AA82</f>
        <v>6.96990051837117E-015</v>
      </c>
      <c r="AB83" s="13" t="n">
        <f aca="false">AB80-AB81+AB82</f>
        <v>7.3028825546575E-015</v>
      </c>
      <c r="AC83" s="13" t="n">
        <f aca="false">AC80-AC81+AC82</f>
        <v>7.54481577989053E-015</v>
      </c>
      <c r="AD83" s="13" t="n">
        <f aca="false">AD80-AD81+AD82</f>
        <v>8.23838825438139E-015</v>
      </c>
      <c r="AE83" s="13" t="n">
        <f aca="false">AE80-AE81+AE82</f>
        <v>8.59247862497514E-015</v>
      </c>
      <c r="AF83" s="13" t="n">
        <f aca="false">AF80-AF81+AF82</f>
        <v>8.89391812979818E-015</v>
      </c>
      <c r="AG83" s="13" t="n">
        <f aca="false">AG80-AG81+AG82</f>
        <v>9.05990724683451E-015</v>
      </c>
      <c r="AH83" s="13" t="n">
        <f aca="false">AH80-AH81+AH82</f>
        <v>9.51472854640137E-015</v>
      </c>
      <c r="AI83" s="13" t="n">
        <f aca="false">AI80-AI81+AI82</f>
        <v>9.79410496697562E-015</v>
      </c>
      <c r="AJ83" s="13" t="n">
        <f aca="false">AJ80-AJ81+AJ82</f>
        <v>1.02669414694022E-014</v>
      </c>
      <c r="AK83" s="13" t="n">
        <f aca="false">AK80-AK81+AK82</f>
        <v>1.05992641844125E-014</v>
      </c>
      <c r="AL83" s="13" t="n">
        <f aca="false">AL80-AL81+AL82</f>
        <v>1.12388106165865E-014</v>
      </c>
      <c r="AM83" s="13" t="n">
        <f aca="false">AM80-AM81+AM82</f>
        <v>1.14724089220689E-014</v>
      </c>
      <c r="AN83" s="13" t="n">
        <f aca="false">AN80-AN81+AN82</f>
        <v>9.46460116825737E-015</v>
      </c>
      <c r="AO83" s="13" t="n">
        <f aca="false">AO80-AO81+AO82</f>
        <v>9.60481276841922E-015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</v>
      </c>
      <c r="Q87" s="13" t="n">
        <f aca="false">Q77-Q83-Q84-Q85</f>
        <v>1.94617340015643E-013</v>
      </c>
      <c r="R87" s="13" t="n">
        <f aca="false">R77-R83-R84-R85</f>
        <v>1.89137266982887E-013</v>
      </c>
      <c r="S87" s="13" t="n">
        <f aca="false">S77-S83-S84-S85</f>
        <v>1.83495705063369E-013</v>
      </c>
      <c r="T87" s="13" t="n">
        <f aca="false">T77-T83-T84-T85</f>
        <v>1.77594633317201E-013</v>
      </c>
      <c r="U87" s="13" t="n">
        <f aca="false">U77-U83-U84-U85</f>
        <v>1.71505366004701E-013</v>
      </c>
      <c r="V87" s="13" t="n">
        <f aca="false">V77-V83-V84-V85</f>
        <v>1.65018291160881E-013</v>
      </c>
      <c r="W87" s="13" t="n">
        <f aca="false">W77-W83-W84-W85</f>
        <v>1.58332910420402E-013</v>
      </c>
      <c r="X87" s="13" t="n">
        <f aca="false">X77-X83-X84-X85</f>
        <v>1.51833100695762E-013</v>
      </c>
      <c r="Y87" s="13" t="n">
        <f aca="false">Y77-Y83-Y84-Y85</f>
        <v>1.45330232489066E-013</v>
      </c>
      <c r="Z87" s="13" t="n">
        <f aca="false">Z77-Z83-Z84-Z85</f>
        <v>1.38557963751432E-013</v>
      </c>
      <c r="AA87" s="13" t="n">
        <f aca="false">AA77-AA83-AA84-AA85</f>
        <v>1.31588063233061E-013</v>
      </c>
      <c r="AB87" s="13" t="n">
        <f aca="false">AB77-AB83-AB84-AB85</f>
        <v>1.24285180678403E-013</v>
      </c>
      <c r="AC87" s="13" t="n">
        <f aca="false">AC77-AC83-AC84-AC85</f>
        <v>1.16740364898513E-013</v>
      </c>
      <c r="AD87" s="13" t="n">
        <f aca="false">AD77-AD83-AD84-AD85</f>
        <v>1.08501976644132E-013</v>
      </c>
      <c r="AE87" s="13" t="n">
        <f aca="false">AE77-AE83-AE84-AE85</f>
        <v>9.99094980191564E-014</v>
      </c>
      <c r="AF87" s="13" t="n">
        <f aca="false">AF77-AF83-AF84-AF85</f>
        <v>9.10155798893582E-014</v>
      </c>
      <c r="AG87" s="13" t="n">
        <f aca="false">AG77-AG83-AG84-AG85</f>
        <v>8.19556726425237E-014</v>
      </c>
      <c r="AH87" s="13" t="n">
        <f aca="false">AH77-AH83-AH84-AH85</f>
        <v>7.24409440961224E-014</v>
      </c>
      <c r="AI87" s="13" t="n">
        <f aca="false">AI77-AI83-AI84-AI85</f>
        <v>6.26468391291467E-014</v>
      </c>
      <c r="AJ87" s="13" t="n">
        <f aca="false">AJ77-AJ83-AJ84-AJ85</f>
        <v>5.23798976597445E-014</v>
      </c>
      <c r="AK87" s="13" t="n">
        <f aca="false">AK77-AK83-AK84-AK85</f>
        <v>4.1780633475332E-014</v>
      </c>
      <c r="AL87" s="13" t="n">
        <f aca="false">AL77-AL83-AL84-AL85</f>
        <v>3.05418228587455E-014</v>
      </c>
      <c r="AM87" s="13" t="n">
        <f aca="false">AM77-AM83-AM84-AM85</f>
        <v>1.90694139366766E-014</v>
      </c>
      <c r="AN87" s="13" t="n">
        <f aca="false">AN77-AN83-AN84-AN85</f>
        <v>9.60481276841922E-015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</v>
      </c>
      <c r="P89" s="13" t="n">
        <f aca="false">IF(Time!P34=1,INDEX(Funding!$J$65:$BJ$65,1,Time!$F$14),Time!P35*(P87-P88))</f>
        <v>1.99840144432528E-013</v>
      </c>
      <c r="Q89" s="13" t="n">
        <f aca="false">IF(Time!Q34=1,INDEX(Funding!$J$65:$BJ$65,1,Time!$F$14),Time!Q35*(Q87-Q88))</f>
        <v>1.94617340015643E-013</v>
      </c>
      <c r="R89" s="13" t="n">
        <f aca="false">IF(Time!R34=1,INDEX(Funding!$J$65:$BJ$65,1,Time!$F$14),Time!R35*(R87-R88))</f>
        <v>1.89137266982887E-013</v>
      </c>
      <c r="S89" s="13" t="n">
        <f aca="false">IF(Time!S34=1,INDEX(Funding!$J$65:$BJ$65,1,Time!$F$14),Time!S35*(S87-S88))</f>
        <v>1.83495705063369E-013</v>
      </c>
      <c r="T89" s="13" t="n">
        <f aca="false">IF(Time!T34=1,INDEX(Funding!$J$65:$BJ$65,1,Time!$F$14),Time!T35*(T87-T88))</f>
        <v>1.77594633317201E-013</v>
      </c>
      <c r="U89" s="13" t="n">
        <f aca="false">IF(Time!U34=1,INDEX(Funding!$J$65:$BJ$65,1,Time!$F$14),Time!U35*(U87-U88))</f>
        <v>1.71505366004701E-013</v>
      </c>
      <c r="V89" s="13" t="n">
        <f aca="false">IF(Time!V34=1,INDEX(Funding!$J$65:$BJ$65,1,Time!$F$14),Time!V35*(V87-V88))</f>
        <v>1.65018291160881E-013</v>
      </c>
      <c r="W89" s="13" t="n">
        <f aca="false">IF(Time!W34=1,INDEX(Funding!$J$65:$BJ$65,1,Time!$F$14),Time!W35*(W87-W88))</f>
        <v>1.58332910420402E-013</v>
      </c>
      <c r="X89" s="13" t="n">
        <f aca="false">IF(Time!X34=1,INDEX(Funding!$J$65:$BJ$65,1,Time!$F$14),Time!X35*(X87-X88))</f>
        <v>1.51833100695762E-013</v>
      </c>
      <c r="Y89" s="13" t="n">
        <f aca="false">IF(Time!Y34=1,INDEX(Funding!$J$65:$BJ$65,1,Time!$F$14),Time!Y35*(Y87-Y88))</f>
        <v>1.45330232489066E-013</v>
      </c>
      <c r="Z89" s="13" t="n">
        <f aca="false">IF(Time!Z34=1,INDEX(Funding!$J$65:$BJ$65,1,Time!$F$14),Time!Z35*(Z87-Z88))</f>
        <v>1.38557963751432E-013</v>
      </c>
      <c r="AA89" s="13" t="n">
        <f aca="false">IF(Time!AA34=1,INDEX(Funding!$J$65:$BJ$65,1,Time!$F$14),Time!AA35*(AA87-AA88))</f>
        <v>1.31588063233061E-013</v>
      </c>
      <c r="AB89" s="13" t="n">
        <f aca="false">IF(Time!AB34=1,INDEX(Funding!$J$65:$BJ$65,1,Time!$F$14),Time!AB35*(AB87-AB88))</f>
        <v>1.24285180678403E-013</v>
      </c>
      <c r="AC89" s="13" t="n">
        <f aca="false">IF(Time!AC34=1,INDEX(Funding!$J$65:$BJ$65,1,Time!$F$14),Time!AC35*(AC87-AC88))</f>
        <v>1.16740364898513E-013</v>
      </c>
      <c r="AD89" s="13" t="n">
        <f aca="false">IF(Time!AD34=1,INDEX(Funding!$J$65:$BJ$65,1,Time!$F$14),Time!AD35*(AD87-AD88))</f>
        <v>1.08501976644132E-013</v>
      </c>
      <c r="AE89" s="13" t="n">
        <f aca="false">IF(Time!AE34=1,INDEX(Funding!$J$65:$BJ$65,1,Time!$F$14),Time!AE35*(AE87-AE88))</f>
        <v>9.99094980191564E-014</v>
      </c>
      <c r="AF89" s="13" t="n">
        <f aca="false">IF(Time!AF34=1,INDEX(Funding!$J$65:$BJ$65,1,Time!$F$14),Time!AF35*(AF87-AF88))</f>
        <v>9.10155798893582E-014</v>
      </c>
      <c r="AG89" s="13" t="n">
        <f aca="false">IF(Time!AG34=1,INDEX(Funding!$J$65:$BJ$65,1,Time!$F$14),Time!AG35*(AG87-AG88))</f>
        <v>8.19556726425237E-014</v>
      </c>
      <c r="AH89" s="13" t="n">
        <f aca="false">IF(Time!AH34=1,INDEX(Funding!$J$65:$BJ$65,1,Time!$F$14),Time!AH35*(AH87-AH88))</f>
        <v>7.24409440961224E-014</v>
      </c>
      <c r="AI89" s="13" t="n">
        <f aca="false">IF(Time!AI34=1,INDEX(Funding!$J$65:$BJ$65,1,Time!$F$14),Time!AI35*(AI87-AI88))</f>
        <v>6.26468391291467E-014</v>
      </c>
      <c r="AJ89" s="13" t="n">
        <f aca="false">IF(Time!AJ34=1,INDEX(Funding!$J$65:$BJ$65,1,Time!$F$14),Time!AJ35*(AJ87-AJ88))</f>
        <v>5.23798976597445E-014</v>
      </c>
      <c r="AK89" s="13" t="n">
        <f aca="false">IF(Time!AK34=1,INDEX(Funding!$J$65:$BJ$65,1,Time!$F$14),Time!AK35*(AK87-AK88))</f>
        <v>4.1780633475332E-014</v>
      </c>
      <c r="AL89" s="13" t="n">
        <f aca="false">IF(Time!AL34=1,INDEX(Funding!$J$65:$BJ$65,1,Time!$F$14),Time!AL35*(AL87-AL88))</f>
        <v>3.05418228587455E-014</v>
      </c>
      <c r="AM89" s="13" t="n">
        <f aca="false">IF(Time!AM34=1,INDEX(Funding!$J$65:$BJ$65,1,Time!$F$14),Time!AM35*(AM87-AM88))</f>
        <v>1.90694139366766E-014</v>
      </c>
      <c r="AN89" s="13" t="n">
        <f aca="false">IF(Time!AN34=1,INDEX(Funding!$J$65:$BJ$65,1,Time!$F$14),Time!AN35*(AN87-AN88))</f>
        <v>9.60481276841922E-015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-7.79804687742323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16.7832962673254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0</v>
      </c>
      <c r="Q108" s="13" t="n">
        <f aca="false">(Inputs!$F$95/100*Inputs!$F$96/100)*Q63*Time!Q25/Inputs!$F$248</f>
        <v>1.2828146462752</v>
      </c>
      <c r="R108" s="13" t="n">
        <f aca="false">(Inputs!$F$95/100*Inputs!$F$96/100)*R63*Time!R25/Inputs!$F$248</f>
        <v>1.26999483704666</v>
      </c>
      <c r="S108" s="13" t="n">
        <f aca="false">(Inputs!$F$95/100*Inputs!$F$96/100)*S63*Time!S25/Inputs!$F$248</f>
        <v>1.21411069297955</v>
      </c>
      <c r="T108" s="13" t="n">
        <f aca="false">(Inputs!$F$95/100*Inputs!$F$96/100)*T63*Time!T25/Inputs!$F$248</f>
        <v>1.19741950040004</v>
      </c>
      <c r="U108" s="13" t="n">
        <f aca="false">(Inputs!$F$95/100*Inputs!$F$96/100)*U63*Time!U25/Inputs!$F$248</f>
        <v>1.14631460515386</v>
      </c>
      <c r="V108" s="13" t="n">
        <f aca="false">(Inputs!$F$95/100*Inputs!$F$96/100)*V63*Time!V25/Inputs!$F$248</f>
        <v>1.11917534858025</v>
      </c>
      <c r="W108" s="13" t="n">
        <f aca="false">(Inputs!$F$95/100*Inputs!$F$96/100)*W63*Time!W25/Inputs!$F$248</f>
        <v>1.05928606789991</v>
      </c>
      <c r="X108" s="13" t="n">
        <f aca="false">(Inputs!$F$95/100*Inputs!$F$96/100)*X63*Time!X25/Inputs!$F$248</f>
        <v>1.03321717762826</v>
      </c>
      <c r="Y108" s="13" t="n">
        <f aca="false">(Inputs!$F$95/100*Inputs!$F$96/100)*Y63*Time!Y25/Inputs!$F$248</f>
        <v>0.974647641068242</v>
      </c>
      <c r="Z108" s="13" t="n">
        <f aca="false">(Inputs!$F$95/100*Inputs!$F$96/100)*Z63*Time!Z25/Inputs!$F$248</f>
        <v>0.948366907661311</v>
      </c>
      <c r="AA108" s="13" t="n">
        <f aca="false">(Inputs!$F$95/100*Inputs!$F$96/100)*AA63*Time!AA25/Inputs!$F$248</f>
        <v>0.889431829441142</v>
      </c>
      <c r="AB108" s="13" t="n">
        <f aca="false">(Inputs!$F$95/100*Inputs!$F$96/100)*AB63*Time!AB25/Inputs!$F$248</f>
        <v>0.832709324272257</v>
      </c>
      <c r="AC108" s="13" t="n">
        <f aca="false">(Inputs!$F$95/100*Inputs!$F$96/100)*AC63*Time!AC25/Inputs!$F$248</f>
        <v>0.747605670323818</v>
      </c>
      <c r="AD108" s="13" t="n">
        <f aca="false">(Inputs!$F$95/100*Inputs!$F$96/100)*AD63*Time!AD25/Inputs!$F$248</f>
        <v>0.682003155507333</v>
      </c>
      <c r="AE108" s="13" t="n">
        <f aca="false">(Inputs!$F$95/100*Inputs!$F$96/100)*AE63*Time!AE25/Inputs!$F$248</f>
        <v>0.593188917457423</v>
      </c>
      <c r="AF108" s="13" t="n">
        <f aca="false">(Inputs!$F$95/100*Inputs!$F$96/100)*AF63*Time!AF25/Inputs!$F$248</f>
        <v>0.51944438960747</v>
      </c>
      <c r="AG108" s="13" t="n">
        <f aca="false">(Inputs!$F$95/100*Inputs!$F$96/100)*AG63*Time!AG25/Inputs!$F$248</f>
        <v>0.424032480915671</v>
      </c>
      <c r="AH108" s="13" t="n">
        <f aca="false">(Inputs!$F$95/100*Inputs!$F$96/100)*AH63*Time!AH25/Inputs!$F$248</f>
        <v>0.345696009091859</v>
      </c>
      <c r="AI108" s="13" t="n">
        <f aca="false">(Inputs!$F$95/100*Inputs!$F$96/100)*AI63*Time!AI25/Inputs!$F$248</f>
        <v>0.252721097459638</v>
      </c>
      <c r="AJ108" s="13" t="n">
        <f aca="false">(Inputs!$F$95/100*Inputs!$F$96/100)*AJ63*Time!AJ25/Inputs!$F$248</f>
        <v>0.170146863142919</v>
      </c>
      <c r="AK108" s="13" t="n">
        <f aca="false">(Inputs!$F$95/100*Inputs!$F$96/100)*AK63*Time!AK25/Inputs!$F$248</f>
        <v>0.0809691054126024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306.174419312688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0</v>
      </c>
      <c r="Q111" s="13" t="n">
        <f aca="false">Q23+Q37+Q51+Q65+Q79+Q92</f>
        <v>21.5628442466608</v>
      </c>
      <c r="R111" s="13" t="n">
        <f aca="false">R23+R37+R51+R65+R79+R92</f>
        <v>21.3473559448476</v>
      </c>
      <c r="S111" s="13" t="n">
        <f aca="false">S23+S37+S51+S65+S79+S92</f>
        <v>20.4406188877442</v>
      </c>
      <c r="T111" s="13" t="n">
        <f aca="false">T23+T37+T51+T65+T79+T92</f>
        <v>20.1596080142937</v>
      </c>
      <c r="U111" s="13" t="n">
        <f aca="false">U23+U37+U51+U65+U79+U92</f>
        <v>19.2992122587292</v>
      </c>
      <c r="V111" s="13" t="n">
        <f aca="false">V23+V37+V51+V65+V79+V92</f>
        <v>18.8422990598539</v>
      </c>
      <c r="W111" s="13" t="n">
        <f aca="false">W23+W37+W51+W65+W79+W92</f>
        <v>17.8340104672844</v>
      </c>
      <c r="X111" s="13" t="n">
        <f aca="false">X23+X37+X51+X65+X79+X92</f>
        <v>17.3951178243397</v>
      </c>
      <c r="Y111" s="13" t="n">
        <f aca="false">Y23+Y37+Y51+Y65+Y79+Y92</f>
        <v>16.9394746985574</v>
      </c>
      <c r="Z111" s="13" t="n">
        <f aca="false">Z23+Z37+Z51+Z65+Z79+Z92</f>
        <v>16.4827128906508</v>
      </c>
      <c r="AA111" s="13" t="n">
        <f aca="false">AA23+AA37+AA51+AA65+AA79+AA92</f>
        <v>15.4584152631781</v>
      </c>
      <c r="AB111" s="13" t="n">
        <f aca="false">AB23+AB37+AB51+AB65+AB79+AB92</f>
        <v>14.7058174389147</v>
      </c>
      <c r="AC111" s="13" t="n">
        <f aca="false">AC23+AC37+AC51+AC65+AC79+AC92</f>
        <v>13.483748251464</v>
      </c>
      <c r="AD111" s="13" t="n">
        <f aca="false">AD23+AD37+AD51+AD65+AD79+AD92</f>
        <v>12.5696509080527</v>
      </c>
      <c r="AE111" s="13" t="n">
        <f aca="false">AE23+AE37+AE51+AE65+AE79+AE92</f>
        <v>11.2371035566278</v>
      </c>
      <c r="AF111" s="13" t="n">
        <f aca="false">AF23+AF37+AF51+AF65+AF79+AF92</f>
        <v>10.2177108681299</v>
      </c>
      <c r="AG111" s="13" t="n">
        <f aca="false">AG23+AG37+AG51+AG65+AG79+AG92</f>
        <v>9.03879273079896</v>
      </c>
      <c r="AH111" s="13" t="n">
        <f aca="false">AH23+AH37+AH51+AH65+AH79+AH92</f>
        <v>7.8940972008181</v>
      </c>
      <c r="AI111" s="13" t="n">
        <f aca="false">AI23+AI37+AI51+AI65+AI79+AI92</f>
        <v>6.43566201556159</v>
      </c>
      <c r="AJ111" s="13" t="n">
        <f aca="false">AJ23+AJ37+AJ51+AJ65+AJ79+AJ92</f>
        <v>5.1922987054773</v>
      </c>
      <c r="AK111" s="13" t="n">
        <f aca="false">AK23+AK37+AK51+AK65+AK79+AK92</f>
        <v>3.75960851017709</v>
      </c>
      <c r="AL111" s="13" t="n">
        <f aca="false">AL23+AL37+AL51+AL65+AL79+AL92</f>
        <v>2.44760039634148</v>
      </c>
      <c r="AM111" s="13" t="n">
        <f aca="false">AM23+AM37+AM51+AM65+AM79+AM92</f>
        <v>1.76003457827522</v>
      </c>
      <c r="AN111" s="13" t="n">
        <f aca="false">AN23+AN37+AN51+AN65+AN79+AN92</f>
        <v>1.11712775099417</v>
      </c>
      <c r="AO111" s="13" t="n">
        <f aca="false">AO23+AO37+AO51+AO65+AO79+AO92</f>
        <v>0.553496844915286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315.15966870259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0</v>
      </c>
      <c r="Q112" s="13" t="n">
        <f aca="false">Q111+Q107+Q108+Q109</f>
        <v>22.4001807785758</v>
      </c>
      <c r="R112" s="13" t="n">
        <f aca="false">R111+R107+R108+R109</f>
        <v>22.0587791123852</v>
      </c>
      <c r="S112" s="13" t="n">
        <f aca="false">S111+S107+S108+S109</f>
        <v>21.2095928780123</v>
      </c>
      <c r="T112" s="13" t="n">
        <f aca="false">T111+T107+T108+T109</f>
        <v>20.807182234581</v>
      </c>
      <c r="U112" s="13" t="n">
        <f aca="false">U111+U107+U108+U109</f>
        <v>19.9894919729728</v>
      </c>
      <c r="V112" s="13" t="n">
        <f aca="false">V111+V107+V108+V109</f>
        <v>19.4475582054411</v>
      </c>
      <c r="W112" s="13" t="n">
        <f aca="false">W111+W107+W108+W109</f>
        <v>18.5049241155856</v>
      </c>
      <c r="X112" s="13" t="n">
        <f aca="false">X111+X107+X108+X109</f>
        <v>17.9538900908398</v>
      </c>
      <c r="Y112" s="13" t="n">
        <f aca="false">Y111+Y107+Y108+Y109</f>
        <v>17.5567814153101</v>
      </c>
      <c r="Z112" s="13" t="n">
        <f aca="false">Z111+Z107+Z108+Z109</f>
        <v>16.9955974399418</v>
      </c>
      <c r="AA112" s="13" t="n">
        <f aca="false">AA111+AA107+AA108+AA109</f>
        <v>16.0217493536458</v>
      </c>
      <c r="AB112" s="13" t="n">
        <f aca="false">AB111+AB107+AB108+AB109</f>
        <v>15.1442228449405</v>
      </c>
      <c r="AC112" s="13" t="n">
        <f aca="false">AC111+AC107+AC108+AC109</f>
        <v>13.9122092620998</v>
      </c>
      <c r="AD112" s="13" t="n">
        <f aca="false">AD111+AD107+AD108+AD109</f>
        <v>12.9018413057305</v>
      </c>
      <c r="AE112" s="13" t="n">
        <f aca="false">AE111+AE107+AE108+AE109</f>
        <v>11.5749318416118</v>
      </c>
      <c r="AF112" s="13" t="n">
        <f aca="false">AF111+AF107+AF108+AF109</f>
        <v>10.4377762291912</v>
      </c>
      <c r="AG112" s="13" t="n">
        <f aca="false">AG111+AG107+AG108+AG109</f>
        <v>9.24861901230396</v>
      </c>
      <c r="AH112" s="13" t="n">
        <f aca="false">AH111+AH107+AH108+AH109</f>
        <v>7.99421285823143</v>
      </c>
      <c r="AI112" s="13" t="n">
        <f aca="false">AI111+AI107+AI108+AI109</f>
        <v>6.51789252959128</v>
      </c>
      <c r="AJ112" s="13" t="n">
        <f aca="false">AJ111+AJ107+AJ108+AJ109</f>
        <v>5.17472417864407</v>
      </c>
      <c r="AK112" s="13" t="n">
        <f aca="false">AK111+AK107+AK108+AK109</f>
        <v>3.70607433433069</v>
      </c>
      <c r="AL112" s="13" t="n">
        <f aca="false">AL111+AL107+AL108+AL109</f>
        <v>2.32240463708052</v>
      </c>
      <c r="AM112" s="13" t="n">
        <f aca="false">AM111+AM107+AM108+AM109</f>
        <v>1.68815405182471</v>
      </c>
      <c r="AN112" s="13" t="n">
        <f aca="false">AN111+AN107+AN108+AN109</f>
        <v>1.05998621057513</v>
      </c>
      <c r="AO112" s="13" t="n">
        <f aca="false">AO111+AO107+AO108+AO109</f>
        <v>0.530891809143661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569.145664890575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0</v>
      </c>
      <c r="Q113" s="13" t="n">
        <f aca="false">Q27+Q41+Q55+Q69+Q83+Q93</f>
        <v>17.1899764115454</v>
      </c>
      <c r="R113" s="13" t="n">
        <f aca="false">R27+R41+R55+R69+R83+R93</f>
        <v>18.0367324998929</v>
      </c>
      <c r="S113" s="13" t="n">
        <f aca="false">S27+S41+S55+S69+S83+S93</f>
        <v>18.5682458273282</v>
      </c>
      <c r="T113" s="13" t="n">
        <f aca="false">T27+T41+T55+T69+T83+T93</f>
        <v>19.4223784814744</v>
      </c>
      <c r="U113" s="13" t="n">
        <f aca="false">U27+U41+U55+U69+U83+U93</f>
        <v>20.0417923227336</v>
      </c>
      <c r="V113" s="13" t="n">
        <f aca="false">V27+V41+V55+V69+V83+V93</f>
        <v>21.3511084551973</v>
      </c>
      <c r="W113" s="13" t="n">
        <f aca="false">W27+W41+W55+W69+W83+W93</f>
        <v>22.0037987368397</v>
      </c>
      <c r="X113" s="13" t="n">
        <f aca="false">X27+X41+X55+X69+X83+X93</f>
        <v>21.3930231591442</v>
      </c>
      <c r="Y113" s="13" t="n">
        <f aca="false">Y27+Y41+Y55+Y69+Y83+Y93</f>
        <v>21.4030896349629</v>
      </c>
      <c r="Z113" s="13" t="n">
        <f aca="false">Z27+Z41+Z55+Z69+Z83+Z93</f>
        <v>22.2897758675797</v>
      </c>
      <c r="AA113" s="13" t="n">
        <f aca="false">AA27+AA41+AA55+AA69+AA83+AA93</f>
        <v>22.9402474108095</v>
      </c>
      <c r="AB113" s="13" t="n">
        <f aca="false">AB27+AB41+AB55+AB69+AB83+AB93</f>
        <v>23.7598384046658</v>
      </c>
      <c r="AC113" s="13" t="n">
        <f aca="false">AC27+AC41+AC55+AC69+AC83+AC93</f>
        <v>24.1900698875482</v>
      </c>
      <c r="AD113" s="13" t="n">
        <f aca="false">AD27+AD41+AD55+AD69+AD83+AD93</f>
        <v>26.0359495125254</v>
      </c>
      <c r="AE113" s="13" t="n">
        <f aca="false">AE27+AE41+AE55+AE69+AE83+AE93</f>
        <v>26.6866963421284</v>
      </c>
      <c r="AF113" s="13" t="n">
        <f aca="false">AF27+AF41+AF55+AF69+AF83+AF93</f>
        <v>27.0117305183204</v>
      </c>
      <c r="AG113" s="13" t="n">
        <f aca="false">AG27+AG41+AG55+AG69+AG83+AG93</f>
        <v>26.7118350551639</v>
      </c>
      <c r="AH113" s="13" t="n">
        <f aca="false">AH27+AH41+AH55+AH69+AH83+AH93</f>
        <v>27.1081200531888</v>
      </c>
      <c r="AI113" s="13" t="n">
        <f aca="false">AI27+AI41+AI55+AI69+AI83+AI93</f>
        <v>26.6433644335229</v>
      </c>
      <c r="AJ113" s="13" t="n">
        <f aca="false">AJ27+AJ41+AJ55+AJ69+AJ83+AJ93</f>
        <v>26.2953974181173</v>
      </c>
      <c r="AK113" s="13" t="n">
        <f aca="false">AK27+AK41+AK55+AK69+AK83+AK93</f>
        <v>24.8038883767133</v>
      </c>
      <c r="AL113" s="13" t="n">
        <f aca="false">AL27+AL41+AL55+AL69+AL83+AL93</f>
        <v>22.9341981553772</v>
      </c>
      <c r="AM113" s="13" t="n">
        <f aca="false">AM27+AM41+AM55+AM69+AM83+AM93</f>
        <v>23.4108847025094</v>
      </c>
      <c r="AN113" s="13" t="n">
        <f aca="false">AN27+AN41+AN55+AN69+AN83+AN93</f>
        <v>19.3137019618501</v>
      </c>
      <c r="AO113" s="13" t="n">
        <f aca="false">AO27+AO41+AO55+AO69+AO83+AO93</f>
        <v>19.5998212614359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884.305333593165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0</v>
      </c>
      <c r="Q114" s="13" t="n">
        <f aca="false">Q112+Q113</f>
        <v>39.5901571901212</v>
      </c>
      <c r="R114" s="13" t="n">
        <f aca="false">R112+R113</f>
        <v>40.0955116122781</v>
      </c>
      <c r="S114" s="13" t="n">
        <f aca="false">S112+S113</f>
        <v>39.7778387053405</v>
      </c>
      <c r="T114" s="13" t="n">
        <f aca="false">T112+T113</f>
        <v>40.2295607160554</v>
      </c>
      <c r="U114" s="13" t="n">
        <f aca="false">U112+U113</f>
        <v>40.0312842957064</v>
      </c>
      <c r="V114" s="13" t="n">
        <f aca="false">V112+V113</f>
        <v>40.7986666606384</v>
      </c>
      <c r="W114" s="13" t="n">
        <f aca="false">W112+W113</f>
        <v>40.5087228524253</v>
      </c>
      <c r="X114" s="13" t="n">
        <f aca="false">X112+X113</f>
        <v>39.3469132499841</v>
      </c>
      <c r="Y114" s="13" t="n">
        <f aca="false">Y112+Y113</f>
        <v>38.959871050273</v>
      </c>
      <c r="Z114" s="13" t="n">
        <f aca="false">Z112+Z113</f>
        <v>39.2853733075215</v>
      </c>
      <c r="AA114" s="13" t="n">
        <f aca="false">AA112+AA113</f>
        <v>38.9619967644553</v>
      </c>
      <c r="AB114" s="13" t="n">
        <f aca="false">AB112+AB113</f>
        <v>38.9040612496062</v>
      </c>
      <c r="AC114" s="13" t="n">
        <f aca="false">AC112+AC113</f>
        <v>38.102279149648</v>
      </c>
      <c r="AD114" s="13" t="n">
        <f aca="false">AD112+AD113</f>
        <v>38.9377908182559</v>
      </c>
      <c r="AE114" s="13" t="n">
        <f aca="false">AE112+AE113</f>
        <v>38.2616281837401</v>
      </c>
      <c r="AF114" s="13" t="n">
        <f aca="false">AF112+AF113</f>
        <v>37.4495067475116</v>
      </c>
      <c r="AG114" s="13" t="n">
        <f aca="false">AG112+AG113</f>
        <v>35.9604540674679</v>
      </c>
      <c r="AH114" s="13" t="n">
        <f aca="false">AH112+AH113</f>
        <v>35.1023329114203</v>
      </c>
      <c r="AI114" s="13" t="n">
        <f aca="false">AI112+AI113</f>
        <v>33.1612569631142</v>
      </c>
      <c r="AJ114" s="13" t="n">
        <f aca="false">AJ112+AJ113</f>
        <v>31.4701215967613</v>
      </c>
      <c r="AK114" s="13" t="n">
        <f aca="false">AK112+AK113</f>
        <v>28.509962711044</v>
      </c>
      <c r="AL114" s="13" t="n">
        <f aca="false">AL112+AL113</f>
        <v>25.2566027924577</v>
      </c>
      <c r="AM114" s="13" t="n">
        <f aca="false">AM112+AM113</f>
        <v>25.0990387543341</v>
      </c>
      <c r="AN114" s="13" t="n">
        <f aca="false">AN112+AN113</f>
        <v>20.3736881724253</v>
      </c>
      <c r="AO114" s="13" t="n">
        <f aca="false">AO112+AO113</f>
        <v>20.1307130705795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0</v>
      </c>
      <c r="Q115" s="13" t="n">
        <f aca="false">Q21+Q35+Q49+Q63+Q77+Q91</f>
        <v>657.739998413269</v>
      </c>
      <c r="R115" s="13" t="n">
        <f aca="false">R21+R35+R49+R63+R77+R91</f>
        <v>640.550022001723</v>
      </c>
      <c r="S115" s="13" t="n">
        <f aca="false">S21+S35+S49+S63+S77+S91</f>
        <v>622.513289501831</v>
      </c>
      <c r="T115" s="13" t="n">
        <f aca="false">T21+T35+T49+T63+T77+T91</f>
        <v>603.945043674502</v>
      </c>
      <c r="U115" s="13" t="n">
        <f aca="false">U21+U35+U49+U63+U77+U91</f>
        <v>584.522665193028</v>
      </c>
      <c r="V115" s="13" t="n">
        <f aca="false">V21+V35+V49+V63+V77+V91</f>
        <v>564.480872870294</v>
      </c>
      <c r="W115" s="13" t="n">
        <f aca="false">W21+W35+W49+W63+W77+W91</f>
        <v>543.129764415097</v>
      </c>
      <c r="X115" s="13" t="n">
        <f aca="false">X21+X35+X49+X63+X77+X91</f>
        <v>521.125965678257</v>
      </c>
      <c r="Y115" s="13" t="n">
        <f aca="false">Y21+Y35+Y49+Y63+Y77+Y91</f>
        <v>499.732942519113</v>
      </c>
      <c r="Z115" s="13" t="n">
        <f aca="false">Z21+Z35+Z49+Z63+Z77+Z91</f>
        <v>478.32985288415</v>
      </c>
      <c r="AA115" s="13" t="n">
        <f aca="false">AA21+AA35+AA49+AA63+AA77+AA91</f>
        <v>456.04007701657</v>
      </c>
      <c r="AB115" s="13" t="n">
        <f aca="false">AB21+AB35+AB49+AB63+AB77+AB91</f>
        <v>428.12014228635</v>
      </c>
      <c r="AC115" s="13" t="n">
        <f aca="false">AC21+AC35+AC49+AC63+AC77+AC91</f>
        <v>398.481194810665</v>
      </c>
      <c r="AD115" s="13" t="n">
        <f aca="false">AD21+AD35+AD49+AD63+AD77+AD91</f>
        <v>368.936999898617</v>
      </c>
      <c r="AE115" s="13" t="n">
        <f aca="false">AE21+AE35+AE49+AE63+AE77+AE91</f>
        <v>336.987664398295</v>
      </c>
      <c r="AF115" s="13" t="n">
        <f aca="false">AF21+AF35+AF49+AF63+AF77+AF91</f>
        <v>303.435268610389</v>
      </c>
      <c r="AG115" s="13" t="n">
        <f aca="false">AG21+AG35+AG49+AG63+AG77+AG91</f>
        <v>268.346362850909</v>
      </c>
      <c r="AH115" s="13" t="n">
        <f aca="false">AH21+AH35+AH49+AH63+AH77+AH91</f>
        <v>233.497382736541</v>
      </c>
      <c r="AI115" s="13" t="n">
        <f aca="false">AI21+AI35+AI49+AI63+AI77+AI91</f>
        <v>197.064507677769</v>
      </c>
      <c r="AJ115" s="13" t="n">
        <f aca="false">AJ21+AJ35+AJ49+AJ63+AJ77+AJ91</f>
        <v>160.449296102366</v>
      </c>
      <c r="AK115" s="13" t="n">
        <f aca="false">AK21+AK35+AK49+AK63+AK77+AK91</f>
        <v>122.576917805921</v>
      </c>
      <c r="AL115" s="13" t="n">
        <f aca="false">AL21+AL35+AL49+AL63+AL77+AL91</f>
        <v>85.2586060811726</v>
      </c>
      <c r="AM115" s="13" t="n">
        <f aca="false">AM21+AM35+AM49+AM63+AM77+AM91</f>
        <v>62.3244079257954</v>
      </c>
      <c r="AN115" s="13" t="n">
        <f aca="false">AN21+AN35+AN49+AN63+AN77+AN91</f>
        <v>38.913523223286</v>
      </c>
      <c r="AO115" s="13" t="n">
        <f aca="false">AO21+AO35+AO49+AO63+AO77+AO91</f>
        <v>19.5998212614359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0</v>
      </c>
      <c r="P116" s="13" t="n">
        <f aca="false">P33+P47+P61+P75+P89+P95</f>
        <v>657.739998413269</v>
      </c>
      <c r="Q116" s="13" t="n">
        <f aca="false">Q33+Q47+Q61+Q75+Q89+Q95</f>
        <v>640.550022001723</v>
      </c>
      <c r="R116" s="13" t="n">
        <f aca="false">R33+R47+R61+R75+R89+R95</f>
        <v>622.513289501831</v>
      </c>
      <c r="S116" s="13" t="n">
        <f aca="false">S33+S47+S61+S75+S89+S95</f>
        <v>603.945043674502</v>
      </c>
      <c r="T116" s="13" t="n">
        <f aca="false">T33+T47+T61+T75+T89+T95</f>
        <v>584.522665193028</v>
      </c>
      <c r="U116" s="13" t="n">
        <f aca="false">U33+U47+U61+U75+U89+U95</f>
        <v>564.480872870294</v>
      </c>
      <c r="V116" s="13" t="n">
        <f aca="false">V33+V47+V61+V75+V89+V95</f>
        <v>543.129764415097</v>
      </c>
      <c r="W116" s="13" t="n">
        <f aca="false">W33+W47+W61+W75+W89+W95</f>
        <v>521.125965678257</v>
      </c>
      <c r="X116" s="13" t="n">
        <f aca="false">X33+X47+X61+X75+X89+X95</f>
        <v>499.732942519113</v>
      </c>
      <c r="Y116" s="13" t="n">
        <f aca="false">Y33+Y47+Y61+Y75+Y89+Y95</f>
        <v>478.32985288415</v>
      </c>
      <c r="Z116" s="13" t="n">
        <f aca="false">Z33+Z47+Z61+Z75+Z89+Z95</f>
        <v>456.04007701657</v>
      </c>
      <c r="AA116" s="13" t="n">
        <f aca="false">AA33+AA47+AA61+AA75+AA89+AA95</f>
        <v>428.12014228635</v>
      </c>
      <c r="AB116" s="13" t="n">
        <f aca="false">AB33+AB47+AB61+AB75+AB89+AB95</f>
        <v>398.481194810665</v>
      </c>
      <c r="AC116" s="13" t="n">
        <f aca="false">AC33+AC47+AC61+AC75+AC89+AC95</f>
        <v>368.936999898617</v>
      </c>
      <c r="AD116" s="13" t="n">
        <f aca="false">AD33+AD47+AD61+AD75+AD89+AD95</f>
        <v>336.987664398295</v>
      </c>
      <c r="AE116" s="13" t="n">
        <f aca="false">AE33+AE47+AE61+AE75+AE89+AE95</f>
        <v>303.435268610389</v>
      </c>
      <c r="AF116" s="13" t="n">
        <f aca="false">AF33+AF47+AF61+AF75+AF89+AF95</f>
        <v>268.346362850909</v>
      </c>
      <c r="AG116" s="13" t="n">
        <f aca="false">AG33+AG47+AG61+AG75+AG89+AG95</f>
        <v>233.497382736541</v>
      </c>
      <c r="AH116" s="13" t="n">
        <f aca="false">AH33+AH47+AH61+AH75+AH89+AH95</f>
        <v>197.064507677769</v>
      </c>
      <c r="AI116" s="13" t="n">
        <f aca="false">AI33+AI47+AI61+AI75+AI89+AI95</f>
        <v>160.449296102366</v>
      </c>
      <c r="AJ116" s="13" t="n">
        <f aca="false">AJ33+AJ47+AJ61+AJ75+AJ89+AJ95</f>
        <v>122.576917805921</v>
      </c>
      <c r="AK116" s="13" t="n">
        <f aca="false">AK33+AK47+AK61+AK75+AK89+AK95</f>
        <v>85.2586060811726</v>
      </c>
      <c r="AL116" s="13" t="n">
        <f aca="false">AL33+AL47+AL61+AL75+AL89+AL95</f>
        <v>62.3244079257954</v>
      </c>
      <c r="AM116" s="13" t="n">
        <f aca="false">AM33+AM47+AM61+AM75+AM89+AM95</f>
        <v>38.913523223286</v>
      </c>
      <c r="AN116" s="13" t="n">
        <f aca="false">AN33+AN47+AN61+AN75+AN89+AN95</f>
        <v>19.5998212614359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0</v>
      </c>
      <c r="P118" s="13" t="n">
        <f aca="false">IF(Time!P34=1,P75,P73)</f>
        <v>249.941199397042</v>
      </c>
      <c r="Q118" s="13" t="n">
        <f aca="false">IF(Time!Q34=1,Q75,Q73)</f>
        <v>243.409008360655</v>
      </c>
      <c r="R118" s="13" t="n">
        <f aca="false">IF(Time!R34=1,R75,R73)</f>
        <v>236.555050010696</v>
      </c>
      <c r="S118" s="13" t="n">
        <f aca="false">IF(Time!S34=1,S75,S73)</f>
        <v>229.499116596311</v>
      </c>
      <c r="T118" s="13" t="n">
        <f aca="false">IF(Time!T34=1,T75,T73)</f>
        <v>222.118612773351</v>
      </c>
      <c r="U118" s="13" t="n">
        <f aca="false">IF(Time!U34=1,U75,U73)</f>
        <v>214.502731690712</v>
      </c>
      <c r="V118" s="13" t="n">
        <f aca="false">IF(Time!V34=1,V75,V73)</f>
        <v>206.389310477737</v>
      </c>
      <c r="W118" s="13" t="n">
        <f aca="false">IF(Time!W34=1,W75,W73)</f>
        <v>198.027866957738</v>
      </c>
      <c r="X118" s="13" t="n">
        <f aca="false">IF(Time!X34=1,X75,X73)</f>
        <v>189.898518157263</v>
      </c>
      <c r="Y118" s="13" t="n">
        <f aca="false">IF(Time!Y34=1,Y75,Y73)</f>
        <v>181.765344095977</v>
      </c>
      <c r="Z118" s="13" t="n">
        <f aca="false">IF(Time!Z34=1,Z75,Z73)</f>
        <v>173.295229266297</v>
      </c>
      <c r="AA118" s="13" t="n">
        <f aca="false">IF(Time!AA34=1,AA75,AA73)</f>
        <v>164.577935250189</v>
      </c>
      <c r="AB118" s="13" t="n">
        <f aca="false">IF(Time!AB34=1,AB75,AB73)</f>
        <v>150.740854395749</v>
      </c>
      <c r="AC118" s="13" t="n">
        <f aca="false">IF(Time!AC34=1,AC75,AC73)</f>
        <v>136.067815299745</v>
      </c>
      <c r="AD118" s="13" t="n">
        <f aca="false">IF(Time!AD34=1,AD75,AD73)</f>
        <v>121.489201970907</v>
      </c>
      <c r="AE118" s="13" t="n">
        <f aca="false">IF(Time!AE34=1,AE75,AE73)</f>
        <v>106.423146519253</v>
      </c>
      <c r="AF118" s="13" t="n">
        <f aca="false">IF(Time!AF34=1,AF75,AF73)</f>
        <v>90.6948684294166</v>
      </c>
      <c r="AG118" s="13" t="n">
        <f aca="false">IF(Time!AG34=1,AG75,AG73)</f>
        <v>74.3937315528644</v>
      </c>
      <c r="AH118" s="13" t="n">
        <f aca="false">IF(Time!AH34=1,AH75,AH73)</f>
        <v>58.5644595844221</v>
      </c>
      <c r="AI118" s="13" t="n">
        <f aca="false">IF(Time!AI34=1,AI75,AI73)</f>
        <v>42.5824358034886</v>
      </c>
      <c r="AJ118" s="13" t="n">
        <f aca="false">IF(Time!AJ34=1,AJ75,AJ73)</f>
        <v>27.2661688995624</v>
      </c>
      <c r="AK118" s="13" t="n">
        <f aca="false">IF(Time!AK34=1,AK75,AK73)</f>
        <v>12.5144233480348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0</v>
      </c>
      <c r="P119" s="13" t="n">
        <f aca="false">IF(AND(Time!P20&gt;=Time!$F$12,Time!Q20&gt;0),(IF(Time!P34=1,P33,P31)-P30)*Q19+IF(Time!Q46&gt;0,Time!Q45*P30/Time!Q46,0)+IF(Time!P34=1,P33,P31)*Q10,0)</f>
        <v>9.58171951612273</v>
      </c>
      <c r="Q119" s="13" t="n">
        <f aca="false">IF(AND(Time!Q20&gt;=Time!$F$12,Time!R20&gt;0),(IF(Time!Q34=1,Q33,Q31)-Q30)*R19+IF(Time!R46&gt;0,Time!R45*Q30/Time!R46,0)+IF(Time!Q34=1,Q33,Q31)*R10,0)</f>
        <v>9.79152783376365</v>
      </c>
      <c r="R119" s="13" t="n">
        <f aca="false">IF(AND(Time!R20&gt;=Time!$F$12,Time!S20&gt;0),(IF(Time!R34=1,R33,R31)-R30)*S19+IF(Time!S46&gt;0,Time!S45*R30/Time!S46,0)+IF(Time!R34=1,R33,R31)*S10,0)</f>
        <v>9.76761397434217</v>
      </c>
      <c r="S119" s="13" t="n">
        <f aca="false">IF(AND(Time!S20&gt;=Time!$F$12,Time!T20&gt;0),(IF(Time!S34=1,S33,S31)-S30)*T19+IF(Time!T46&gt;0,Time!T45*S30/Time!T46,0)+IF(Time!S34=1,S33,S31)*T10,0)</f>
        <v>9.96615287378737</v>
      </c>
      <c r="T119" s="13" t="n">
        <f aca="false">IF(AND(Time!T20&gt;=Time!$F$12,Time!U20&gt;0),(IF(Time!T34=1,T33,T31)-T30)*U19+IF(Time!U46&gt;0,Time!U45*T30/Time!U46,0)+IF(Time!T34=1,T33,T31)*U10,0)</f>
        <v>9.97530910549621</v>
      </c>
      <c r="U119" s="13" t="n">
        <f aca="false">IF(AND(Time!U20&gt;=Time!$F$12,Time!V20&gt;0),(IF(Time!U34=1,U33,U31)-U30)*V19+IF(Time!V46&gt;0,Time!V45*U30/Time!V46,0)+IF(Time!U34=1,U33,U31)*V10,0)</f>
        <v>10.2742844392122</v>
      </c>
      <c r="V119" s="13" t="n">
        <f aca="false">IF(AND(Time!V20&gt;=Time!$F$12,Time!W20&gt;0),(IF(Time!V34=1,V33,V31)-V30)*W19+IF(Time!W46&gt;0,Time!W45*V30/Time!W46,0)+IF(Time!V34=1,V33,V31)*W10,0)</f>
        <v>10.2630562751796</v>
      </c>
      <c r="W119" s="13" t="n">
        <f aca="false">IF(AND(Time!W20&gt;=Time!$F$12,Time!X20&gt;0),(IF(Time!W34=1,W33,W31)-W30)*X19+IF(Time!X46&gt;0,Time!X45*W30/Time!X46,0)+IF(Time!W34=1,W33,W31)*X10,0)</f>
        <v>9.98970431650204</v>
      </c>
      <c r="X119" s="13" t="n">
        <f aca="false">IF(AND(Time!X20&gt;=Time!$F$12,Time!Y20&gt;0),(IF(Time!X34=1,X33,X31)-X30)*Y19+IF(Time!Y46&gt;0,Time!Y45*X30/Time!Y46,0)+IF(Time!X34=1,X33,X31)*Y10,0)</f>
        <v>9.79025132218836</v>
      </c>
      <c r="Y119" s="13" t="n">
        <f aca="false">IF(AND(Time!Y20&gt;=Time!$F$12,Time!Z20&gt;0),(IF(Time!Y34=1,Y33,Y31)-Y30)*Z19+IF(Time!Z46&gt;0,Time!Z45*Y30/Time!Z46,0)+IF(Time!Y34=1,Y33,Y31)*Z10,0)</f>
        <v>9.96540557194188</v>
      </c>
      <c r="Z119" s="13" t="n">
        <f aca="false">IF(AND(Time!Z20&gt;=Time!$F$12,Time!AA20&gt;0),(IF(Time!Z34=1,Z33,Z31)-Z30)*AA19+IF(Time!AA46&gt;0,Time!AA45*Z30/Time!AA46,0)+IF(Time!Z34=1,Z33,Z31)*AA10,0)</f>
        <v>9.95681043250781</v>
      </c>
      <c r="AA119" s="13" t="n">
        <f aca="false">IF(AND(Time!AA20&gt;=Time!$F$12,Time!AB20&gt;0),(IF(Time!AA34=1,AA33,AA31)-AA30)*AB19+IF(Time!AB46&gt;0,Time!AB45*AA30/Time!AB46,0)+IF(Time!AA34=1,AA33,AA31)*AB10,0)</f>
        <v>10.1793266529096</v>
      </c>
      <c r="AB119" s="13" t="n">
        <f aca="false">IF(AND(Time!AB20&gt;=Time!$F$12,Time!AC20&gt;0),(IF(Time!AB34=1,AB33,AB31)-AB30)*AC19+IF(Time!AC46&gt;0,Time!AC45*AB30/Time!AC46,0)+IF(Time!AB34=1,AB33,AB31)*AC10,0)</f>
        <v>10.2229919621917</v>
      </c>
      <c r="AC119" s="13" t="n">
        <f aca="false">IF(AND(Time!AC20&gt;=Time!$F$12,Time!AD20&gt;0),(IF(Time!AC34=1,AC33,AC31)-AC30)*AD19+IF(Time!AD46&gt;0,Time!AD45*AC30/Time!AD46,0)+IF(Time!AC34=1,AC33,AC31)*AD10,0)</f>
        <v>10.7680982687338</v>
      </c>
      <c r="AD119" s="13" t="n">
        <f aca="false">IF(AND(Time!AD20&gt;=Time!$F$12,Time!AE20&gt;0),(IF(Time!AD34=1,AD33,AD31)-AD30)*AE19+IF(Time!AE46&gt;0,Time!AE45*AD30/Time!AE46,0)+IF(Time!AD34=1,AD33,AD31)*AE10,0)</f>
        <v>10.891971126546</v>
      </c>
      <c r="AE119" s="13" t="n">
        <f aca="false">IF(AND(Time!AE20&gt;=Time!$F$12,Time!AF20&gt;0),(IF(Time!AE34=1,AE33,AE31)-AE30)*AF19+IF(Time!AF46&gt;0,Time!AF45*AE30/Time!AF46,0)+IF(Time!AE34=1,AE33,AE31)*AF10,0)</f>
        <v>11.0356841146653</v>
      </c>
      <c r="AF119" s="13" t="n">
        <f aca="false">IF(AND(Time!AF20&gt;=Time!$F$12,Time!AG20&gt;0),(IF(Time!AF34=1,AF33,AF31)-AF30)*AG19+IF(Time!AG46&gt;0,Time!AG45*AF30/Time!AG46,0)+IF(Time!AF34=1,AF33,AF31)*AG10,0)</f>
        <v>10.9654695951042</v>
      </c>
      <c r="AG119" s="13" t="n">
        <f aca="false">IF(AND(Time!AG20&gt;=Time!$F$12,Time!AH20&gt;0),(IF(Time!AG34=1,AG33,AG31)-AG30)*AH19+IF(Time!AH46&gt;0,Time!AH45*AG30/Time!AH46,0)+IF(Time!AG34=1,AG33,AG31)*AH10,0)</f>
        <v>11.2436554203768</v>
      </c>
      <c r="AH119" s="13" t="n">
        <f aca="false">IF(AND(Time!AH20&gt;=Time!$F$12,Time!AI20&gt;0),(IF(Time!AH34=1,AH33,AH31)-AH30)*AI19+IF(Time!AI46&gt;0,Time!AI45*AH30/Time!AI46,0)+IF(Time!AH34=1,AH33,AH31)*AI10,0)</f>
        <v>11.2782265744282</v>
      </c>
      <c r="AI119" s="13" t="n">
        <f aca="false">IF(AND(Time!AI20&gt;=Time!$F$12,Time!AJ20&gt;0),(IF(Time!AI34=1,AI33,AI31)-AI30)*AJ19+IF(Time!AJ46&gt;0,Time!AJ45*AI30/Time!AJ46,0)+IF(Time!AI34=1,AI33,AI31)*AJ10,0)</f>
        <v>11.5508061251945</v>
      </c>
      <c r="AJ119" s="13" t="n">
        <f aca="false">IF(AND(Time!AJ20&gt;=Time!$F$12,Time!AK20&gt;0),(IF(Time!AJ34=1,AJ33,AJ31)-AJ30)*AK19+IF(Time!AK46&gt;0,Time!AK45*AJ30/Time!AK46,0)+IF(Time!AJ34=1,AJ33,AJ31)*AK10,0)</f>
        <v>11.6344878631117</v>
      </c>
      <c r="AK119" s="13" t="n">
        <f aca="false">IF(AND(Time!AK20&gt;=Time!$F$12,Time!AL20&gt;0),(IF(Time!AK34=1,AK33,AK31)-AK30)*AL19+IF(Time!AL46&gt;0,Time!AL45*AK30/Time!AL46,0)+IF(Time!AK34=1,AK33,AK31)*AL10,0)</f>
        <v>12.039712794667</v>
      </c>
      <c r="AL119" s="13" t="n">
        <f aca="false">IF(AND(Time!AL20&gt;=Time!$F$12,Time!AM20&gt;0),(IF(Time!AL34=1,AL33,AL31)-AL30)*AM19+IF(Time!AM46&gt;0,Time!AM45*AL30/Time!AM46,0)+IF(Time!AL34=1,AL33,AL31)*AM10,0)</f>
        <v>12.0056002420815</v>
      </c>
      <c r="AM119" s="13" t="n">
        <f aca="false">IF(AND(Time!AM20&gt;=Time!$F$12,Time!AN20&gt;0),(IF(Time!AM34=1,AM33,AM31)-AM30)*AN19+IF(Time!AN46&gt;0,Time!AN45*AM30/Time!AN46,0)+IF(Time!AM34=1,AM33,AM31)*AN10,0)</f>
        <v>9.77552238181845</v>
      </c>
      <c r="AN119" s="13" t="n">
        <f aca="false">IF(AND(Time!AN20&gt;=Time!$F$12,Time!AO20&gt;0),(IF(Time!AN34=1,AN33,AN31)-AN30)*AO19+IF(Time!AO46&gt;0,Time!AO45*AN30/Time!AO46,0)+IF(Time!AN34=1,AN33,AN31)*AO10,0)</f>
        <v>9.6969246344043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0</v>
      </c>
      <c r="P120" s="13" t="n">
        <f aca="false">IF(AND(Time!P20&gt;=Time!$F$12,Time!Q20&gt;0),(IF(Time!P34=1,P47,P45)-P44)*Q19+IF(Time!Q46&gt;0,Time!Q45*P44/Time!Q46,0)+IF(Time!P34=1,P47,P45)*Q11,0)</f>
        <v>8.69992140889771</v>
      </c>
      <c r="Q120" s="13" t="n">
        <f aca="false">IF(AND(Time!Q20&gt;=Time!$F$12,Time!R20&gt;0),(IF(Time!Q34=1,Q47,Q45)-Q44)*R19+IF(Time!R46&gt;0,Time!R45*Q44/Time!R46,0)+IF(Time!Q34=1,Q47,Q45)*R11,0)</f>
        <v>8.8370584461058</v>
      </c>
      <c r="R120" s="13" t="n">
        <f aca="false">IF(AND(Time!R20&gt;=Time!$F$12,Time!S20&gt;0),(IF(Time!R34=1,R47,R45)-R44)*S19+IF(Time!S46&gt;0,Time!S45*R44/Time!S46,0)+IF(Time!R34=1,R47,R45)*S11,0)</f>
        <v>8.74662530708189</v>
      </c>
      <c r="S120" s="13" t="n">
        <f aca="false">IF(AND(Time!S20&gt;=Time!$F$12,Time!T20&gt;0),(IF(Time!S34=1,S47,S45)-S44)*T19+IF(Time!T46&gt;0,Time!T45*S44/Time!T46,0)+IF(Time!S34=1,S47,S45)*T11,0)</f>
        <v>8.87044820039604</v>
      </c>
      <c r="T120" s="13" t="n">
        <f aca="false">IF(AND(Time!T20&gt;=Time!$F$12,Time!U20&gt;0),(IF(Time!T34=1,T47,T45)-T44)*U19+IF(Time!U46&gt;0,Time!U45*T44/Time!U46,0)+IF(Time!T34=1,T47,T45)*U11,0)</f>
        <v>8.81050060189045</v>
      </c>
      <c r="U120" s="13" t="n">
        <f aca="false">IF(AND(Time!U20&gt;=Time!$F$12,Time!V20&gt;0),(IF(Time!U34=1,U47,U45)-U44)*V19+IF(Time!V46&gt;0,Time!V45*U44/Time!V46,0)+IF(Time!U34=1,U47,U45)*V11,0)</f>
        <v>8.99434823285882</v>
      </c>
      <c r="V120" s="13" t="n">
        <f aca="false">IF(AND(Time!V20&gt;=Time!$F$12,Time!W20&gt;0),(IF(Time!V34=1,V47,V45)-V44)*W19+IF(Time!W46&gt;0,Time!W45*V44/Time!W46,0)+IF(Time!V34=1,V47,V45)*W11,0)</f>
        <v>8.90799356301285</v>
      </c>
      <c r="W120" s="13" t="n">
        <f aca="false">IF(AND(Time!W20&gt;=Time!$F$12,Time!X20&gt;0),(IF(Time!W34=1,W47,W45)-W44)*X19+IF(Time!X46&gt;0,Time!X45*W44/Time!X46,0)+IF(Time!W34=1,W47,W45)*X11,0)</f>
        <v>8.67353071844896</v>
      </c>
      <c r="X120" s="13" t="n">
        <f aca="false">IF(AND(Time!X20&gt;=Time!$F$12,Time!Y20&gt;0),(IF(Time!X34=1,X47,X45)-X44)*Y19+IF(Time!Y46&gt;0,Time!Y45*X44/Time!Y46,0)+IF(Time!X34=1,X47,X45)*Y11,0)</f>
        <v>8.45086600498134</v>
      </c>
      <c r="Y120" s="13" t="n">
        <f aca="false">IF(AND(Time!Y20&gt;=Time!$F$12,Time!Z20&gt;0),(IF(Time!Y34=1,Y47,Y45)-Y44)*Z19+IF(Time!Z46&gt;0,Time!Z45*Y44/Time!Z46,0)+IF(Time!Y34=1,Y47,Y45)*Z11,0)</f>
        <v>8.54503138117199</v>
      </c>
      <c r="Z120" s="13" t="n">
        <f aca="false">IF(AND(Time!Z20&gt;=Time!$F$12,Time!AA20&gt;0),(IF(Time!Z34=1,Z47,Z45)-Z44)*AA19+IF(Time!AA46&gt;0,Time!AA45*Z44/Time!AA46,0)+IF(Time!Z34=1,Z47,Z45)*AA11,0)</f>
        <v>8.46185227532905</v>
      </c>
      <c r="AA120" s="13" t="n">
        <f aca="false">IF(AND(Time!AA20&gt;=Time!$F$12,Time!AB20&gt;0),(IF(Time!AA34=1,AA47,AA45)-AA44)*AB19+IF(Time!AB46&gt;0,Time!AB45*AA44/Time!AB46,0)+IF(Time!AA34=1,AA47,AA45)*AB11,0)</f>
        <v>8.5849319492341</v>
      </c>
      <c r="AB120" s="13" t="n">
        <f aca="false">IF(AND(Time!AB20&gt;=Time!$F$12,Time!AC20&gt;0),(IF(Time!AB34=1,AB47,AB45)-AB44)*AC19+IF(Time!AC46&gt;0,Time!AC45*AB44/Time!AC46,0)+IF(Time!AB34=1,AB47,AB45)*AC11,0)</f>
        <v>8.54329098473175</v>
      </c>
      <c r="AC120" s="13" t="n">
        <f aca="false">IF(AND(Time!AC20&gt;=Time!$F$12,Time!AD20&gt;0),(IF(Time!AC34=1,AC47,AC45)-AC44)*AD19+IF(Time!AD46&gt;0,Time!AD45*AC44/Time!AD46,0)+IF(Time!AC34=1,AC47,AC45)*AD11,0)</f>
        <v>8.89031252158645</v>
      </c>
      <c r="AD120" s="13" t="n">
        <f aca="false">IF(AND(Time!AD20&gt;=Time!$F$12,Time!AE20&gt;0),(IF(Time!AD34=1,AD47,AD45)-AD44)*AE19+IF(Time!AE46&gt;0,Time!AE45*AD44/Time!AE46,0)+IF(Time!AD34=1,AD47,AD45)*AE11,0)</f>
        <v>8.89596814284308</v>
      </c>
      <c r="AE120" s="13" t="n">
        <f aca="false">IF(AND(Time!AE20&gt;=Time!$F$12,Time!AF20&gt;0),(IF(Time!AE34=1,AE47,AE45)-AE44)*AF19+IF(Time!AF46&gt;0,Time!AF45*AE44/Time!AF46,0)+IF(Time!AE34=1,AE47,AE45)*AF11,0)</f>
        <v>8.9432759088358</v>
      </c>
      <c r="AF120" s="13" t="n">
        <f aca="false">IF(AND(Time!AF20&gt;=Time!$F$12,Time!AG20&gt;0),(IF(Time!AF34=1,AF47,AF45)-AF44)*AG19+IF(Time!AG46&gt;0,Time!AG45*AF44/Time!AG46,0)+IF(Time!AF34=1,AF47,AF45)*AG11,0)</f>
        <v>8.8034476824547</v>
      </c>
      <c r="AG120" s="13" t="n">
        <f aca="false">IF(AND(Time!AG20&gt;=Time!$F$12,Time!AH20&gt;0),(IF(Time!AG34=1,AG47,AG45)-AG44)*AH19+IF(Time!AH46&gt;0,Time!AH45*AG44/Time!AH46,0)+IF(Time!AG34=1,AG47,AG45)*AH11,0)</f>
        <v>8.9429632174787</v>
      </c>
      <c r="AH120" s="13" t="n">
        <f aca="false">IF(AND(Time!AH20&gt;=Time!$F$12,Time!AI20&gt;0),(IF(Time!AH34=1,AH47,AH45)-AH44)*AI19+IF(Time!AI46&gt;0,Time!AI45*AH44/Time!AI46,0)+IF(Time!AH34=1,AH47,AH45)*AI11,0)</f>
        <v>8.8772712807733</v>
      </c>
      <c r="AI120" s="13" t="n">
        <f aca="false">IF(AND(Time!AI20&gt;=Time!$F$12,Time!AJ20&gt;0),(IF(Time!AI34=1,AI47,AI45)-AI44)*AJ19+IF(Time!AJ46&gt;0,Time!AJ45*AI44/Time!AJ46,0)+IF(Time!AI34=1,AI47,AI45)*AJ11,0)</f>
        <v>9.00384810370733</v>
      </c>
      <c r="AJ120" s="13" t="n">
        <f aca="false">IF(AND(Time!AJ20&gt;=Time!$F$12,Time!AK20&gt;0),(IF(Time!AJ34=1,AJ47,AJ45)-AJ44)*AK19+IF(Time!AK46&gt;0,Time!AK45*AJ44/Time!AK46,0)+IF(Time!AJ34=1,AJ47,AJ45)*AK11,0)</f>
        <v>8.97297500693298</v>
      </c>
      <c r="AK120" s="13" t="n">
        <f aca="false">IF(AND(Time!AK20&gt;=Time!$F$12,Time!AL20&gt;0),(IF(Time!AK34=1,AK47,AK45)-AK44)*AL19+IF(Time!AL46&gt;0,Time!AL45*AK44/Time!AL46,0)+IF(Time!AK34=1,AK47,AK45)*AL11,0)</f>
        <v>9.18476417041624</v>
      </c>
      <c r="AL120" s="13" t="n">
        <f aca="false">IF(AND(Time!AL20&gt;=Time!$F$12,Time!AM20&gt;0),(IF(Time!AL34=1,AL47,AL45)-AL44)*AM19+IF(Time!AM46&gt;0,Time!AM45*AL44/Time!AM46,0)+IF(Time!AL34=1,AL47,AL45)*AM11,0)</f>
        <v>9.05984354779038</v>
      </c>
      <c r="AM120" s="13" t="n">
        <f aca="false">IF(AND(Time!AM20&gt;=Time!$F$12,Time!AN20&gt;0),(IF(Time!AM34=1,AM47,AM45)-AM44)*AN19+IF(Time!AN46&gt;0,Time!AN45*AM44/Time!AN46,0)+IF(Time!AM34=1,AM47,AM45)*AN11,0)</f>
        <v>7.33103741092228</v>
      </c>
      <c r="AN120" s="13" t="n">
        <f aca="false">IF(AND(Time!AN20&gt;=Time!$F$12,Time!AO20&gt;0),(IF(Time!AN34=1,AN47,AN45)-AN44)*AO19+IF(Time!AO46&gt;0,Time!AO45*AN44/Time!AO46,0)+IF(Time!AN34=1,AN47,AN45)*AO11,0)</f>
        <v>7.19150231388797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0</v>
      </c>
      <c r="P121" s="13" t="n">
        <f aca="false">IF(AND(Time!P20&gt;=Time!$F$12,Time!Q20&gt;0),(IF(Time!P34=1,P61,P59)-P58)*Q19+IF(Time!Q46&gt;0,Time!Q45*P58/Time!Q46,0)+IF(Time!P34=1,P61,P59)*Q12,0)</f>
        <v>3.8718354676277</v>
      </c>
      <c r="Q121" s="13" t="n">
        <f aca="false">IF(AND(Time!Q20&gt;=Time!$F$12,Time!R20&gt;0),(IF(Time!Q34=1,Q61,Q59)-Q58)*R19+IF(Time!R46&gt;0,Time!R45*Q58/Time!R46,0)+IF(Time!Q34=1,Q61,Q59)*R12,0)</f>
        <v>3.93499668986302</v>
      </c>
      <c r="R121" s="13" t="n">
        <f aca="false">IF(AND(Time!R20&gt;=Time!$F$12,Time!S20&gt;0),(IF(Time!R34=1,R61,R59)-R58)*S19+IF(Time!S46&gt;0,Time!S45*R58/Time!S46,0)+IF(Time!R34=1,R61,R59)*S12,0)</f>
        <v>3.8974923138631</v>
      </c>
      <c r="S121" s="13" t="n">
        <f aca="false">IF(AND(Time!S20&gt;=Time!$F$12,Time!T20&gt;0),(IF(Time!S34=1,S61,S59)-S58)*T19+IF(Time!T46&gt;0,Time!T45*S58/Time!T46,0)+IF(Time!S34=1,S61,S59)*T12,0)</f>
        <v>3.95485115369029</v>
      </c>
      <c r="T121" s="13" t="n">
        <f aca="false">IF(AND(Time!T20&gt;=Time!$F$12,Time!U20&gt;0),(IF(Time!T34=1,T61,T59)-T58)*U19+IF(Time!U46&gt;0,Time!U45*T58/Time!U46,0)+IF(Time!T34=1,T61,T59)*U12,0)</f>
        <v>3.93089583067518</v>
      </c>
      <c r="U121" s="13" t="n">
        <f aca="false">IF(AND(Time!U20&gt;=Time!$F$12,Time!V20&gt;0),(IF(Time!U34=1,U61,U59)-U58)*V19+IF(Time!V46&gt;0,Time!V45*U58/Time!V46,0)+IF(Time!U34=1,U61,U59)*V12,0)</f>
        <v>4.01621199431149</v>
      </c>
      <c r="V121" s="13" t="n">
        <f aca="false">IF(AND(Time!V20&gt;=Time!$F$12,Time!W20&gt;0),(IF(Time!V34=1,V61,V59)-V58)*W19+IF(Time!W46&gt;0,Time!W45*V58/Time!W46,0)+IF(Time!V34=1,V61,V59)*W12,0)</f>
        <v>3.98081958918826</v>
      </c>
      <c r="W121" s="13" t="n">
        <f aca="false">IF(AND(Time!W20&gt;=Time!$F$12,Time!X20&gt;0),(IF(Time!W34=1,W61,W59)-W58)*X19+IF(Time!X46&gt;0,Time!X45*W58/Time!X46,0)+IF(Time!W34=1,W61,W59)*X12,0)</f>
        <v>3.87592564509468</v>
      </c>
      <c r="X121" s="13" t="n">
        <f aca="false">IF(AND(Time!X20&gt;=Time!$F$12,Time!Y20&gt;0),(IF(Time!X34=1,X61,X59)-X58)*Y19+IF(Time!Y46&gt;0,Time!Y45*X58/Time!Y46,0)+IF(Time!X34=1,X61,X59)*Y12,0)</f>
        <v>3.77848907495644</v>
      </c>
      <c r="Y121" s="13" t="n">
        <f aca="false">IF(AND(Time!Y20&gt;=Time!$F$12,Time!Z20&gt;0),(IF(Time!Y34=1,Y61,Y59)-Y58)*Z19+IF(Time!Z46&gt;0,Time!Z45*Y58/Time!Z46,0)+IF(Time!Y34=1,Y61,Y59)*Z12,0)</f>
        <v>3.82298524761369</v>
      </c>
      <c r="Z121" s="13" t="n">
        <f aca="false">IF(AND(Time!Z20&gt;=Time!$F$12,Time!AA20&gt;0),(IF(Time!Z34=1,Z61,Z59)-Z58)*AA19+IF(Time!AA46&gt;0,Time!AA45*Z58/Time!AA46,0)+IF(Time!Z34=1,Z61,Z59)*AA12,0)</f>
        <v>3.78897478466093</v>
      </c>
      <c r="AA121" s="13" t="n">
        <f aca="false">IF(AND(Time!AA20&gt;=Time!$F$12,Time!AB20&gt;0),(IF(Time!AA34=1,AA61,AA59)-AA58)*AB19+IF(Time!AB46&gt;0,Time!AB45*AA58/Time!AB46,0)+IF(Time!AA34=1,AA61,AA59)*AB12,0)</f>
        <v>3.84690126132345</v>
      </c>
      <c r="AB121" s="13" t="n">
        <f aca="false">IF(AND(Time!AB20&gt;=Time!$F$12,Time!AC20&gt;0),(IF(Time!AB34=1,AB61,AB59)-AB58)*AC19+IF(Time!AC46&gt;0,Time!AC45*AB58/Time!AC46,0)+IF(Time!AB34=1,AB61,AB59)*AC12,0)</f>
        <v>3.83161298651552</v>
      </c>
      <c r="AC121" s="13" t="n">
        <f aca="false">IF(AND(Time!AC20&gt;=Time!$F$12,Time!AD20&gt;0),(IF(Time!AC34=1,AC61,AC59)-AC58)*AD19+IF(Time!AD46&gt;0,Time!AD45*AC58/Time!AD46,0)+IF(Time!AC34=1,AC61,AC59)*AD12,0)</f>
        <v>3.99195494437156</v>
      </c>
      <c r="AD121" s="13" t="n">
        <f aca="false">IF(AND(Time!AD20&gt;=Time!$F$12,Time!AE20&gt;0),(IF(Time!AD34=1,AD61,AD59)-AD58)*AE19+IF(Time!AE46&gt;0,Time!AE45*AD58/Time!AE46,0)+IF(Time!AD34=1,AD61,AD59)*AE12,0)</f>
        <v>3.99873440040087</v>
      </c>
      <c r="AE121" s="13" t="n">
        <f aca="false">IF(AND(Time!AE20&gt;=Time!$F$12,Time!AF20&gt;0),(IF(Time!AE34=1,AE61,AE59)-AE58)*AF19+IF(Time!AF46&gt;0,Time!AF45*AE58/Time!AF46,0)+IF(Time!AE34=1,AE61,AE59)*AF12,0)</f>
        <v>4.02310758250369</v>
      </c>
      <c r="AF121" s="13" t="n">
        <f aca="false">IF(AND(Time!AF20&gt;=Time!$F$12,Time!AG20&gt;0),(IF(Time!AF34=1,AF61,AF59)-AF58)*AG19+IF(Time!AG46&gt;0,Time!AG45*AF58/Time!AG46,0)+IF(Time!AF34=1,AF61,AF59)*AG12,0)</f>
        <v>3.96391380266164</v>
      </c>
      <c r="AG121" s="13" t="n">
        <f aca="false">IF(AND(Time!AG20&gt;=Time!$F$12,Time!AH20&gt;0),(IF(Time!AG34=1,AG61,AG59)-AG58)*AH19+IF(Time!AH46&gt;0,Time!AH45*AG58/Time!AH46,0)+IF(Time!AG34=1,AG61,AG59)*AH12,0)</f>
        <v>4.03051609148229</v>
      </c>
      <c r="AH121" s="13" t="n">
        <f aca="false">IF(AND(Time!AH20&gt;=Time!$F$12,Time!AI20&gt;0),(IF(Time!AH34=1,AH61,AH59)-AH58)*AI19+IF(Time!AI46&gt;0,Time!AI45*AH58/Time!AI46,0)+IF(Time!AH34=1,AH61,AH59)*AI12,0)</f>
        <v>4.00515434734462</v>
      </c>
      <c r="AI121" s="13" t="n">
        <f aca="false">IF(AND(Time!AI20&gt;=Time!$F$12,Time!AJ20&gt;0),(IF(Time!AI34=1,AI61,AI59)-AI58)*AJ19+IF(Time!AJ46&gt;0,Time!AJ45*AI58/Time!AJ46,0)+IF(Time!AI34=1,AI61,AI59)*AJ12,0)</f>
        <v>4.06631154194052</v>
      </c>
      <c r="AJ121" s="13" t="n">
        <f aca="false">IF(AND(Time!AJ20&gt;=Time!$F$12,Time!AK20&gt;0),(IF(Time!AJ34=1,AJ61,AJ59)-AJ58)*AK19+IF(Time!AK46&gt;0,Time!AK45*AJ58/Time!AK46,0)+IF(Time!AJ34=1,AJ61,AJ59)*AK12,0)</f>
        <v>4.05683561379112</v>
      </c>
      <c r="AK121" s="13" t="n">
        <f aca="false">IF(AND(Time!AK20&gt;=Time!$F$12,Time!AL20&gt;0),(IF(Time!AK34=1,AK61,AK59)-AK58)*AL19+IF(Time!AL46&gt;0,Time!AL45*AK58/Time!AL46,0)+IF(Time!AK34=1,AK61,AK59)*AL12,0)</f>
        <v>4.15732158663549</v>
      </c>
      <c r="AL121" s="13" t="n">
        <f aca="false">IF(AND(Time!AL20&gt;=Time!$F$12,Time!AM20&gt;0),(IF(Time!AL34=1,AL61,AL59)-AL58)*AM19+IF(Time!AM46&gt;0,Time!AM45*AL58/Time!AM46,0)+IF(Time!AL34=1,AL61,AL59)*AM12,0)</f>
        <v>4.10547549091276</v>
      </c>
      <c r="AM121" s="13" t="n">
        <f aca="false">IF(AND(Time!AM20&gt;=Time!$F$12,Time!AN20&gt;0),(IF(Time!AM34=1,AM61,AM59)-AM58)*AN19+IF(Time!AN46&gt;0,Time!AN45*AM58/Time!AN46,0)+IF(Time!AM34=1,AM61,AM59)*AN12,0)</f>
        <v>3.32426992010357</v>
      </c>
      <c r="AN121" s="13" t="n">
        <f aca="false">IF(AND(Time!AN20&gt;=Time!$F$12,Time!AO20&gt;0),(IF(Time!AN34=1,AN61,AN59)-AN58)*AO19+IF(Time!AO46&gt;0,Time!AO45*AN58/Time!AO46,0)+IF(Time!AN34=1,AN61,AN59)*AO12,0)</f>
        <v>3.26489115805885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0</v>
      </c>
      <c r="P122" s="13" t="n">
        <f aca="false">IF(AND(Time!P20&gt;=Time!$F$12,Time!Q20&gt;0),(IF(Time!P34=1,P75,P73)-P72)*Q19+IF(Time!Q46&gt;0,Time!Q45*P72/Time!Q46,0)+IF(Time!P34=1,P75,P73)*Q13,0)</f>
        <v>16.599344265558</v>
      </c>
      <c r="Q122" s="13" t="n">
        <f aca="false">IF(AND(Time!Q20&gt;=Time!$F$12,Time!R20&gt;0),(IF(Time!Q34=1,Q75,Q73)-Q72)*R19+IF(Time!R46&gt;0,Time!R45*Q72/Time!R46,0)+IF(Time!Q34=1,Q75,Q73)*R13,0)</f>
        <v>16.820505475008</v>
      </c>
      <c r="R122" s="13" t="n">
        <f aca="false">IF(AND(Time!R20&gt;=Time!$F$12,Time!S20&gt;0),(IF(Time!R34=1,R75,R73)-R72)*S19+IF(Time!S46&gt;0,Time!S45*R72/Time!S46,0)+IF(Time!R34=1,R75,R73)*S13,0)</f>
        <v>16.5971331197852</v>
      </c>
      <c r="S122" s="13" t="n">
        <f aca="false">IF(AND(Time!S20&gt;=Time!$F$12,Time!T20&gt;0),(IF(Time!S34=1,S75,S73)-S72)*T19+IF(Time!T46&gt;0,Time!T45*S72/Time!T46,0)+IF(Time!S34=1,S75,S73)*T13,0)</f>
        <v>16.7905342678945</v>
      </c>
      <c r="T122" s="13" t="n">
        <f aca="false">IF(AND(Time!T20&gt;=Time!$F$12,Time!U20&gt;0),(IF(Time!T34=1,T75,T73)-T72)*U19+IF(Time!U46&gt;0,Time!U45*T72/Time!U46,0)+IF(Time!T34=1,T75,T73)*U13,0)</f>
        <v>16.6242990434009</v>
      </c>
      <c r="U122" s="13" t="n">
        <f aca="false">IF(AND(Time!U20&gt;=Time!$F$12,Time!V20&gt;0),(IF(Time!U34=1,U75,U73)-U72)*V19+IF(Time!V46&gt;0,Time!V45*U72/Time!V46,0)+IF(Time!U34=1,U75,U73)*V13,0)</f>
        <v>16.9085628486687</v>
      </c>
      <c r="V122" s="13" t="n">
        <f aca="false">IF(AND(Time!V20&gt;=Time!$F$12,Time!W20&gt;0),(IF(Time!V34=1,V75,V73)-V72)*W19+IF(Time!W46&gt;0,Time!W45*V72/Time!W46,0)+IF(Time!V34=1,V75,V73)*W13,0)</f>
        <v>16.6859397767434</v>
      </c>
      <c r="W122" s="13" t="n">
        <f aca="false">IF(AND(Time!W20&gt;=Time!$F$12,Time!X20&gt;0),(IF(Time!W34=1,W75,W73)-W72)*X19+IF(Time!X46&gt;0,Time!X45*W72/Time!X46,0)+IF(Time!W34=1,W75,W73)*X13,0)</f>
        <v>16.2489803034382</v>
      </c>
      <c r="X122" s="13" t="n">
        <f aca="false">IF(AND(Time!X20&gt;=Time!$F$12,Time!Y20&gt;0),(IF(Time!X34=1,X75,X73)-X72)*Y19+IF(Time!Y46&gt;0,Time!Y45*X72/Time!Y46,0)+IF(Time!X34=1,X75,X73)*Y13,0)</f>
        <v>16.3229579313941</v>
      </c>
      <c r="Y122" s="13" t="n">
        <f aca="false">IF(AND(Time!Y20&gt;=Time!$F$12,Time!Z20&gt;0),(IF(Time!Y34=1,Y75,Y73)-Y72)*Z19+IF(Time!Z46&gt;0,Time!Z45*Y72/Time!Z46,0)+IF(Time!Y34=1,Y75,Y73)*Z13,0)</f>
        <v>16.4390665575029</v>
      </c>
      <c r="Z122" s="13" t="n">
        <f aca="false">IF(AND(Time!Z20&gt;=Time!$F$12,Time!AA20&gt;0),(IF(Time!Z34=1,Z75,Z73)-Z72)*AA19+IF(Time!AA46&gt;0,Time!AA45*Z72/Time!AA46,0)+IF(Time!Z34=1,Z75,Z73)*AA13,0)</f>
        <v>16.1910251814897</v>
      </c>
      <c r="AA122" s="13" t="n">
        <f aca="false">IF(AND(Time!AA20&gt;=Time!$F$12,Time!AB20&gt;0),(IF(Time!AA34=1,AA75,AA73)-AA72)*AB19+IF(Time!AB46&gt;0,Time!AB45*AA72/Time!AB46,0)+IF(Time!AA34=1,AA75,AA73)*AB13,0)</f>
        <v>16.3491783065889</v>
      </c>
      <c r="AB122" s="13" t="n">
        <f aca="false">IF(AND(Time!AB20&gt;=Time!$F$12,Time!AC20&gt;0),(IF(Time!AB34=1,AB75,AB73)-AB72)*AC19+IF(Time!AC46&gt;0,Time!AC45*AB72/Time!AC46,0)+IF(Time!AB34=1,AB75,AB73)*AC13,0)</f>
        <v>15.6877675950795</v>
      </c>
      <c r="AC122" s="13" t="n">
        <f aca="false">IF(AND(Time!AC20&gt;=Time!$F$12,Time!AD20&gt;0),(IF(Time!AC34=1,AC75,AC73)-AC72)*AD19+IF(Time!AD46&gt;0,Time!AD45*AC72/Time!AD46,0)+IF(Time!AC34=1,AC75,AC73)*AD13,0)</f>
        <v>15.567811655524</v>
      </c>
      <c r="AD122" s="13" t="n">
        <f aca="false">IF(AND(Time!AD20&gt;=Time!$F$12,Time!AE20&gt;0),(IF(Time!AD34=1,AD75,AD73)-AD72)*AE19+IF(Time!AE46&gt;0,Time!AE45*AD72/Time!AE46,0)+IF(Time!AD34=1,AD75,AD73)*AE13,0)</f>
        <v>14.8604460986032</v>
      </c>
      <c r="AE122" s="13" t="n">
        <f aca="false">IF(AND(Time!AE20&gt;=Time!$F$12,Time!AF20&gt;0),(IF(Time!AE34=1,AE75,AE73)-AE72)*AF19+IF(Time!AF46&gt;0,Time!AF45*AE72/Time!AF46,0)+IF(Time!AE34=1,AE75,AE73)*AF13,0)</f>
        <v>14.1395624263282</v>
      </c>
      <c r="AF122" s="13" t="n">
        <f aca="false">IF(AND(Time!AF20&gt;=Time!$F$12,Time!AG20&gt;0),(IF(Time!AF34=1,AF75,AF73)-AF72)*AG19+IF(Time!AG46&gt;0,Time!AG45*AF72/Time!AG46,0)+IF(Time!AF34=1,AF75,AF73)*AG13,0)</f>
        <v>13.1927248144675</v>
      </c>
      <c r="AG122" s="13" t="n">
        <f aca="false">IF(AND(Time!AG20&gt;=Time!$F$12,Time!AH20&gt;0),(IF(Time!AG34=1,AG75,AG73)-AG72)*AH19+IF(Time!AH46&gt;0,Time!AH45*AG72/Time!AH46,0)+IF(Time!AG34=1,AG75,AG73)*AH13,0)</f>
        <v>12.1096267794069</v>
      </c>
      <c r="AH122" s="13" t="n">
        <f aca="false">IF(AND(Time!AH20&gt;=Time!$F$12,Time!AI20&gt;0),(IF(Time!AH34=1,AH75,AH73)-AH72)*AI19+IF(Time!AI46&gt;0,Time!AI45*AH72/Time!AI46,0)+IF(Time!AH34=1,AH75,AH73)*AI13,0)</f>
        <v>10.6072888248928</v>
      </c>
      <c r="AI122" s="13" t="n">
        <f aca="false">IF(AND(Time!AI20&gt;=Time!$F$12,Time!AJ20&gt;0),(IF(Time!AI34=1,AI75,AI73)-AI72)*AJ19+IF(Time!AJ46&gt;0,Time!AJ45*AI72/Time!AJ46,0)+IF(Time!AI34=1,AI75,AI73)*AJ13,0)</f>
        <v>8.96647734452529</v>
      </c>
      <c r="AJ122" s="13" t="n">
        <f aca="false">IF(AND(Time!AJ20&gt;=Time!$F$12,Time!AK20&gt;0),(IF(Time!AJ34=1,AJ75,AJ73)-AJ72)*AK19+IF(Time!AK46&gt;0,Time!AK45*AJ72/Time!AK46,0)+IF(Time!AJ34=1,AJ75,AJ73)*AK13,0)</f>
        <v>6.77639926850862</v>
      </c>
      <c r="AK122" s="13" t="n">
        <f aca="false">IF(AND(Time!AK20&gt;=Time!$F$12,Time!AL20&gt;0),(IF(Time!AK34=1,AK75,AK73)-AK72)*AL19+IF(Time!AL46&gt;0,Time!AL45*AK72/Time!AL46,0)+IF(Time!AK34=1,AK75,AK73)*AL13,0)</f>
        <v>3.95051785096975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</v>
      </c>
      <c r="P123" s="13" t="n">
        <f aca="false">IF(AND(Time!P20&gt;=Time!$F$12,Time!Q20&gt;0),(IF(Time!P34=1,P89,P87)-P86)*Q19+IF(Time!Q46&gt;0,Time!Q45*P86/Time!Q46,0)+IF(Time!P34=1,P89,P87)*Q14,0)</f>
        <v>1.30370943727358E-014</v>
      </c>
      <c r="Q123" s="13" t="n">
        <f aca="false">IF(AND(Time!Q20&gt;=Time!$F$12,Time!R20&gt;0),(IF(Time!Q34=1,Q89,Q87)-Q86)*R19+IF(Time!R46&gt;0,Time!R45*Q86/Time!R46,0)+IF(Time!Q34=1,Q89,Q87)*R14,0)</f>
        <v>1.32162708754696E-014</v>
      </c>
      <c r="R123" s="13" t="n">
        <f aca="false">IF(AND(Time!R20&gt;=Time!$F$12,Time!S20&gt;0),(IF(Time!R34=1,R89,R87)-R86)*S19+IF(Time!S46&gt;0,Time!S45*R86/Time!S46,0)+IF(Time!R34=1,R89,R87)*S14,0)</f>
        <v>1.30474837912553E-014</v>
      </c>
      <c r="S123" s="13" t="n">
        <f aca="false">IF(AND(Time!S20&gt;=Time!$F$12,Time!T20&gt;0),(IF(Time!S34=1,S89,S87)-S86)*T19+IF(Time!T46&gt;0,Time!T45*S86/Time!T46,0)+IF(Time!S34=1,S89,S87)*T14,0)</f>
        <v>1.32051794514504E-014</v>
      </c>
      <c r="T123" s="13" t="n">
        <f aca="false">IF(AND(Time!T20&gt;=Time!$F$12,Time!U20&gt;0),(IF(Time!T34=1,T89,T87)-T86)*U19+IF(Time!U46&gt;0,Time!U45*T86/Time!U46,0)+IF(Time!T34=1,T89,T87)*U14,0)</f>
        <v>1.30816416118872E-014</v>
      </c>
      <c r="U123" s="13" t="n">
        <f aca="false">IF(AND(Time!U20&gt;=Time!$F$12,Time!V20&gt;0),(IF(Time!U34=1,U89,U87)-U86)*V19+IF(Time!V46&gt;0,Time!V45*U86/Time!V46,0)+IF(Time!U34=1,U89,U87)*V14,0)</f>
        <v>1.33139031060929E-014</v>
      </c>
      <c r="V123" s="13" t="n">
        <f aca="false">IF(AND(Time!V20&gt;=Time!$F$12,Time!W20&gt;0),(IF(Time!V34=1,V89,V87)-V86)*W19+IF(Time!W46&gt;0,Time!W45*V86/Time!W46,0)+IF(Time!V34=1,V89,V87)*W14,0)</f>
        <v>1.31468919552709E-014</v>
      </c>
      <c r="W123" s="13" t="n">
        <f aca="false">IF(AND(Time!W20&gt;=Time!$F$12,Time!X20&gt;0),(IF(Time!W34=1,W89,W87)-W86)*X19+IF(Time!X46&gt;0,Time!X45*W86/Time!X46,0)+IF(Time!W34=1,W89,W87)*X14,0)</f>
        <v>1.28023040015617E-014</v>
      </c>
      <c r="X123" s="13" t="n">
        <f aca="false">IF(AND(Time!X20&gt;=Time!$F$12,Time!Y20&gt;0),(IF(Time!X34=1,X89,X87)-X86)*Y19+IF(Time!Y46&gt;0,Time!Y45*X86/Time!Y46,0)+IF(Time!X34=1,X89,X87)*Y14,0)</f>
        <v>1.27025567384417E-014</v>
      </c>
      <c r="Y123" s="13" t="n">
        <f aca="false">IF(AND(Time!Y20&gt;=Time!$F$12,Time!Z20&gt;0),(IF(Time!Y34=1,Y89,Y87)-Y86)*Z19+IF(Time!Z46&gt;0,Time!Z45*Y86/Time!Z46,0)+IF(Time!Y34=1,Y89,Y87)*Z14,0)</f>
        <v>1.28047867406242E-014</v>
      </c>
      <c r="Z123" s="13" t="n">
        <f aca="false">IF(AND(Time!Z20&gt;=Time!$F$12,Time!AA20&gt;0),(IF(Time!Z34=1,Z89,Z87)-Z86)*AA19+IF(Time!AA46&gt;0,Time!AA45*Z86/Time!AA46,0)+IF(Time!Z34=1,Z89,Z87)*AA14,0)</f>
        <v>1.26275352167047E-014</v>
      </c>
      <c r="AA123" s="13" t="n">
        <f aca="false">IF(AND(Time!AA20&gt;=Time!$F$12,Time!AB20&gt;0),(IF(Time!AA34=1,AA89,AA87)-AA86)*AB19+IF(Time!AB46&gt;0,Time!AB45*AA86/Time!AB46,0)+IF(Time!AA34=1,AA89,AA87)*AB14,0)</f>
        <v>1.27649763450306E-014</v>
      </c>
      <c r="AB123" s="13" t="n">
        <f aca="false">IF(AND(Time!AB20&gt;=Time!$F$12,Time!AC20&gt;0),(IF(Time!AB34=1,AB89,AB87)-AB86)*AC19+IF(Time!AC46&gt;0,Time!AC45*AB86/Time!AC46,0)+IF(Time!AB34=1,AB89,AB87)*AC14,0)</f>
        <v>1.26476983155651E-014</v>
      </c>
      <c r="AC123" s="13" t="n">
        <f aca="false">IF(AND(Time!AC20&gt;=Time!$F$12,Time!AD20&gt;0),(IF(Time!AC34=1,AC89,AC87)-AC86)*AD19+IF(Time!AD46&gt;0,Time!AD45*AC86/Time!AD46,0)+IF(Time!AC34=1,AC89,AC87)*AD14,0)</f>
        <v>1.3084168384671E-014</v>
      </c>
      <c r="AD123" s="13" t="n">
        <f aca="false">IF(AND(Time!AD20&gt;=Time!$F$12,Time!AE20&gt;0),(IF(Time!AD34=1,AD89,AD87)-AD86)*AE19+IF(Time!AE46&gt;0,Time!AE45*AD86/Time!AE46,0)+IF(Time!AD34=1,AD89,AD87)*AE14,0)</f>
        <v>1.30228594654504E-014</v>
      </c>
      <c r="AE123" s="13" t="n">
        <f aca="false">IF(AND(Time!AE20&gt;=Time!$F$12,Time!AF20&gt;0),(IF(Time!AE34=1,AE89,AE87)-AE86)*AF19+IF(Time!AF46&gt;0,Time!AF45*AE86/Time!AF46,0)+IF(Time!AE34=1,AE89,AE87)*AF14,0)</f>
        <v>1.30410651834271E-014</v>
      </c>
      <c r="AF123" s="13" t="n">
        <f aca="false">IF(AND(Time!AF20&gt;=Time!$F$12,Time!AG20&gt;0),(IF(Time!AF34=1,AF89,AF87)-AF86)*AG19+IF(Time!AG46&gt;0,Time!AG45*AF86/Time!AG46,0)+IF(Time!AF34=1,AF89,AF87)*AG14,0)</f>
        <v>1.29288143715084E-014</v>
      </c>
      <c r="AG123" s="13" t="n">
        <f aca="false">IF(AND(Time!AG20&gt;=Time!$F$12,Time!AH20&gt;0),(IF(Time!AG34=1,AG89,AG87)-AG86)*AH19+IF(Time!AH46&gt;0,Time!AH45*AG86/Time!AH46,0)+IF(Time!AG34=1,AG89,AG87)*AH14,0)</f>
        <v>1.30562577805358E-014</v>
      </c>
      <c r="AH123" s="13" t="n">
        <f aca="false">IF(AND(Time!AH20&gt;=Time!$F$12,Time!AI20&gt;0),(IF(Time!AH34=1,AH89,AH87)-AH86)*AI19+IF(Time!AI46&gt;0,Time!AI45*AH86/Time!AI46,0)+IF(Time!AH34=1,AH89,AH87)*AI14,0)</f>
        <v>1.28734380336032E-014</v>
      </c>
      <c r="AI123" s="13" t="n">
        <f aca="false">IF(AND(Time!AI20&gt;=Time!$F$12,Time!AJ20&gt;0),(IF(Time!AI34=1,AI89,AI87)-AI86)*AJ19+IF(Time!AJ46&gt;0,Time!AJ45*AI86/Time!AJ46,0)+IF(Time!AI34=1,AI89,AI87)*AJ14,0)</f>
        <v>1.29740830869169E-014</v>
      </c>
      <c r="AJ123" s="13" t="n">
        <f aca="false">IF(AND(Time!AJ20&gt;=Time!$F$12,Time!AK20&gt;0),(IF(Time!AJ34=1,AJ89,AJ87)-AJ86)*AK19+IF(Time!AK46&gt;0,Time!AK45*AJ86/Time!AK46,0)+IF(Time!AJ34=1,AJ89,AJ87)*AK14,0)</f>
        <v>1.28381400900792E-014</v>
      </c>
      <c r="AK123" s="13" t="n">
        <f aca="false">IF(AND(Time!AK20&gt;=Time!$F$12,Time!AL20&gt;0),(IF(Time!AK34=1,AK89,AK87)-AK86)*AL19+IF(Time!AL46&gt;0,Time!AL45*AK86/Time!AL46,0)+IF(Time!AK34=1,AK89,AK87)*AL14,0)</f>
        <v>1.304426629894E-014</v>
      </c>
      <c r="AL123" s="13" t="n">
        <f aca="false">IF(AND(Time!AL20&gt;=Time!$F$12,Time!AM20&gt;0),(IF(Time!AL34=1,AL89,AL87)-AL86)*AM19+IF(Time!AM46&gt;0,Time!AM45*AL86/Time!AM46,0)+IF(Time!AL34=1,AL89,AL87)*AM14,0)</f>
        <v>1.27706863840416E-014</v>
      </c>
      <c r="AM123" s="13" t="n">
        <f aca="false">IF(AND(Time!AM20&gt;=Time!$F$12,Time!AN20&gt;0),(IF(Time!AM34=1,AM89,AM87)-AM86)*AN19+IF(Time!AN46&gt;0,Time!AN45*AM86/Time!AN46,0)+IF(Time!AM34=1,AM89,AM87)*AN14,0)</f>
        <v>1.02886428087808E-014</v>
      </c>
      <c r="AN123" s="13" t="n">
        <f aca="false">IF(AND(Time!AN20&gt;=Time!$F$12,Time!AO20&gt;0),(IF(Time!AN34=1,AN89,AN87)-AN86)*AO19+IF(Time!AO46&gt;0,Time!AO45*AN86/Time!AO46,0)+IF(Time!AN34=1,AN89,AN87)*AO14,0)</f>
        <v>1.00130959282482E-014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0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39.5901571901212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40.0955116122781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39.7778387053405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40.2295607160554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40.0312842957064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40.7986666606384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40.5087228524253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39.3469132499841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38.959871050273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39.2853733075215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38.9619967644553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39.4247252652081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38.7444655741052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39.5783031185693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39.0152983044463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38.3975174153793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37.1768380015028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36.4693329991737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34.8980305271939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33.6218970424988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31.446910313157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29.272415075822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25.0990387543341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20.3736881724253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20.1307130705795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0.0340393028052795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0.0344153818914667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0.0340529784512764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0.0344292842056293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0.0341784137027273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0.0344292842056293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0.0340529784512764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0.0344292842056293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0.0351143982043628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0.0355082965513083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0.0351143982043628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0.0355082965513083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0.0352456976533446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0.0355082965513083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0.0351143982043628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0.0355082965513083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0.0361758179574492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0.0365873088969873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0.0361758179574492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0.0365873088969873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0.0363129816039619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0.0365873088969873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0.0361758179574492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0.0365873088969873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0.0361758179574492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0</v>
      </c>
      <c r="Q128" s="13" t="n">
        <f aca="false">IF(Time!Q53=1,(Waterfall!Q7+R128)/(1+Q127),0)</f>
        <v>842.828491809481</v>
      </c>
      <c r="R128" s="13" t="n">
        <f aca="false">IF(Time!R53=1,(Waterfall!R7+S128)/(1+R127),0)</f>
        <v>821.348351129121</v>
      </c>
      <c r="S128" s="13" t="n">
        <f aca="false">IF(Time!S53=1,(Waterfall!S7+T128)/(1+S127),0)</f>
        <v>798.856403335074</v>
      </c>
      <c r="T128" s="13" t="n">
        <f aca="false">IF(Time!T53=1,(Waterfall!T7+U128)/(1+T127),0)</f>
        <v>775.63652418339</v>
      </c>
      <c r="U128" s="13" t="n">
        <f aca="false">IF(Time!U53=1,(Waterfall!U7+V128)/(1+U127),0)</f>
        <v>751.33888500034</v>
      </c>
      <c r="V128" s="13" t="n">
        <f aca="false">IF(Time!V53=1,(Waterfall!V7+W128)/(1+V127),0)</f>
        <v>726.346143658043</v>
      </c>
      <c r="W128" s="13" t="n">
        <f aca="false">IF(Time!W53=1,(Waterfall!W7+X128)/(1+W127),0)</f>
        <v>700.184365583691</v>
      </c>
      <c r="X128" s="13" t="n">
        <f aca="false">IF(Time!X53=1,(Waterfall!X7+Y128)/(1+X127),0)</f>
        <v>672.625279306</v>
      </c>
      <c r="Y128" s="13" t="n">
        <f aca="false">IF(Time!Y53=1,(Waterfall!Y7+Z128)/(1+Y127),0)</f>
        <v>643.832989408882</v>
      </c>
      <c r="Z128" s="13" t="n">
        <f aca="false">IF(Time!Z53=1,(Waterfall!Z7+AA128)/(1+Z127),0)</f>
        <v>616.979803159592</v>
      </c>
      <c r="AA128" s="13" t="n">
        <f aca="false">IF(Time!AA53=1,(Waterfall!AA7+AB128)/(1+AA127),0)</f>
        <v>588.91591125621</v>
      </c>
      <c r="AB128" s="13" t="n">
        <f aca="false">IF(Time!AB53=1,(Waterfall!AB7+AC128)/(1+AB127),0)</f>
        <v>560.211239168915</v>
      </c>
      <c r="AC128" s="13" t="n">
        <f aca="false">IF(Time!AC53=1,(Waterfall!AC7+AD128)/(1+AC127),0)</f>
        <v>530.12136628016</v>
      </c>
      <c r="AD128" s="13" t="n">
        <f aca="false">IF(Time!AD53=1,(Waterfall!AD7+AE128)/(1+AD127),0)</f>
        <v>499.161496932537</v>
      </c>
      <c r="AE128" s="13" t="n">
        <f aca="false">IF(Time!AE53=1,(Waterfall!AE7+AF128)/(1+AE127),0)</f>
        <v>466.684313412885</v>
      </c>
      <c r="AF128" s="13" t="n">
        <f aca="false">IF(Time!AF53=1,(Waterfall!AF7+AG128)/(1+AF127),0)</f>
        <v>431.696406043567</v>
      </c>
      <c r="AG128" s="13" t="n">
        <f aca="false">IF(Time!AG53=1,(Waterfall!AG7+AH128)/(1+AG127),0)</f>
        <v>394.642032233541</v>
      </c>
      <c r="AH128" s="13" t="n">
        <f aca="false">IF(Time!AH53=1,(Waterfall!AH7+AI128)/(1+AH127),0)</f>
        <v>357.391291366434</v>
      </c>
      <c r="AI128" s="13" t="n">
        <f aca="false">IF(Time!AI53=1,(Waterfall!AI7+AJ128)/(1+AI127),0)</f>
        <v>318.286736490144</v>
      </c>
      <c r="AJ128" s="13" t="n">
        <f aca="false">IF(Time!AJ53=1,(Waterfall!AJ7+AK128)/(1+AJ127),0)</f>
        <v>277.972201765501</v>
      </c>
      <c r="AK128" s="13" t="n">
        <f aca="false">IF(Time!AK53=1,(Waterfall!AK7+AL128)/(1+AK127),0)</f>
        <v>235.693359952197</v>
      </c>
      <c r="AL128" s="13" t="n">
        <f aca="false">IF(Time!AL53=1,(Waterfall!AL7+AM128)/(1+AL127),0)</f>
        <v>192.147135505596</v>
      </c>
      <c r="AM128" s="13" t="n">
        <f aca="false">IF(Time!AM53=1,(Waterfall!AM7+AN128)/(1+AM127),0)</f>
        <v>146.525830858895</v>
      </c>
      <c r="AN128" s="13" t="n">
        <f aca="false">IF(Time!AN53=1,(Waterfall!AN7+AO128)/(1+AN127),0)</f>
        <v>98.8419061355255</v>
      </c>
      <c r="AO128" s="13" t="n">
        <f aca="false">IF(Time!AO53=1,(Waterfall!AO7+AP128)/(1+AO127),0)</f>
        <v>48.8910312221796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1.28140069608465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624.317401340357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666.113011178507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0</v>
      </c>
      <c r="Q132" s="13" t="n">
        <f aca="false">IF(Time!Q53=1,(Waterfall!Q7)/$F$129,0)</f>
        <v>39.152027214652</v>
      </c>
      <c r="R132" s="13" t="n">
        <f aca="false">IF(Time!R53=1,(Waterfall!R7)/$F$129,0)</f>
        <v>39.6120941085618</v>
      </c>
      <c r="S132" s="13" t="n">
        <f aca="false">IF(Time!S53=1,(Waterfall!S7)/$F$129,0)</f>
        <v>39.3501573662221</v>
      </c>
      <c r="T132" s="13" t="n">
        <f aca="false">IF(Time!T53=1,(Waterfall!T7)/$F$129,0)</f>
        <v>39.8019524027609</v>
      </c>
      <c r="U132" s="13" t="n">
        <f aca="false">IF(Time!U53=1,(Waterfall!U7)/$F$129,0)</f>
        <v>39.5444709368545</v>
      </c>
      <c r="V132" s="13" t="n">
        <f aca="false">IF(Time!V53=1,(Waterfall!V7)/$F$129,0)</f>
        <v>39.9323615496442</v>
      </c>
      <c r="W132" s="13" t="n">
        <f aca="false">IF(Time!W53=1,(Waterfall!W7)/$F$129,0)</f>
        <v>40.1142667924985</v>
      </c>
      <c r="X132" s="13" t="n">
        <f aca="false">IF(Time!X53=1,(Waterfall!X7)/$F$129,0)</f>
        <v>40.5418047305346</v>
      </c>
      <c r="Y132" s="13" t="n">
        <f aca="false">IF(Time!Y53=1,(Waterfall!Y7)/$F$129,0)</f>
        <v>38.5991629063626</v>
      </c>
      <c r="Z132" s="13" t="n">
        <f aca="false">IF(Time!Z53=1,(Waterfall!Z7)/$F$129,0)</f>
        <v>38.9977888047285</v>
      </c>
      <c r="AA132" s="13" t="n">
        <f aca="false">IF(Time!AA53=1,(Waterfall!AA7)/$F$129,0)</f>
        <v>38.5391548911469</v>
      </c>
      <c r="AB132" s="13" t="n">
        <f aca="false">IF(Time!AB53=1,(Waterfall!AB7)/$F$129,0)</f>
        <v>39.0057691191069</v>
      </c>
      <c r="AC132" s="13" t="n">
        <f aca="false">IF(Time!AC53=1,(Waterfall!AC7)/$F$129,0)</f>
        <v>38.7422660958443</v>
      </c>
      <c r="AD132" s="13" t="n">
        <f aca="false">IF(Time!AD53=1,(Waterfall!AD7)/$F$129,0)</f>
        <v>39.1770959178649</v>
      </c>
      <c r="AE132" s="13" t="n">
        <f aca="false">IF(Time!AE53=1,(Waterfall!AE7)/$F$129,0)</f>
        <v>40.093037519962</v>
      </c>
      <c r="AF132" s="13" t="n">
        <f aca="false">IF(Time!AF53=1,(Waterfall!AF7)/$F$129,0)</f>
        <v>40.8796233496778</v>
      </c>
      <c r="AG132" s="13" t="n">
        <f aca="false">IF(Time!AG53=1,(Waterfall!AG7)/$F$129,0)</f>
        <v>40.2116522497511</v>
      </c>
      <c r="AH132" s="13" t="n">
        <f aca="false">IF(Time!AH53=1,(Waterfall!AH7)/$F$129,0)</f>
        <v>40.7214859567702</v>
      </c>
      <c r="AI132" s="13" t="n">
        <f aca="false">IF(Time!AI53=1,(Waterfall!AI7)/$F$129,0)</f>
        <v>40.447002971471</v>
      </c>
      <c r="AJ132" s="13" t="n">
        <f aca="false">IF(Time!AJ53=1,(Waterfall!AJ7)/$F$129,0)</f>
        <v>40.93106612501</v>
      </c>
      <c r="AK132" s="13" t="n">
        <f aca="false">IF(Time!AK53=1,(Waterfall!AK7)/$F$129,0)</f>
        <v>40.6624978821444</v>
      </c>
      <c r="AL132" s="13" t="n">
        <f aca="false">IF(Time!AL53=1,(Waterfall!AL7)/$F$129,0)</f>
        <v>41.0889828669466</v>
      </c>
      <c r="AM132" s="13" t="n">
        <f aca="false">IF(Time!AM53=1,(Waterfall!AM7)/$F$129,0)</f>
        <v>41.3489837085935</v>
      </c>
      <c r="AN132" s="13" t="n">
        <f aca="false">IF(Time!AN53=1,(Waterfall!AN7)/$F$129,0)</f>
        <v>41.8036562870374</v>
      </c>
      <c r="AO132" s="13" t="n">
        <f aca="false">IF(Time!AO53=1,(Waterfall!AO7)/$F$129,0)</f>
        <v>39.5346314562002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0</v>
      </c>
      <c r="Q133" s="13" t="n">
        <f aca="false">IF(Time!Q53=1,IF(Time!Q20=Time!$F$13,Funding!$F$25,P133-P134),0)</f>
        <v>657.739998413269</v>
      </c>
      <c r="R133" s="13" t="n">
        <f aca="false">IF(Time!R53=1,IF(Time!R20=Time!$F$13,Funding!$F$25,Q133-Q134),0)</f>
        <v>640.97698217175</v>
      </c>
      <c r="S133" s="13" t="n">
        <f aca="false">IF(Time!S53=1,IF(Time!S20=Time!$F$13,Funding!$F$25,R133-R134),0)</f>
        <v>623.424355688269</v>
      </c>
      <c r="T133" s="13" t="n">
        <f aca="false">IF(Time!T53=1,IF(Time!T20=Time!$F$13,Funding!$F$25,S133-S134),0)</f>
        <v>605.3036544723</v>
      </c>
      <c r="U133" s="13" t="n">
        <f aca="false">IF(Time!U53=1,IF(Time!U20=Time!$F$13,Funding!$F$25,T133-T134),0)</f>
        <v>586.341873620072</v>
      </c>
      <c r="V133" s="13" t="n">
        <f aca="false">IF(Time!V53=1,IF(Time!V20=Time!$F$13,Funding!$F$25,U133-U134),0)</f>
        <v>566.837637811036</v>
      </c>
      <c r="W133" s="13" t="n">
        <f aca="false">IF(Time!W53=1,IF(Time!W20=Time!$F$13,Funding!$F$25,V133-V134),0)</f>
        <v>546.421090392036</v>
      </c>
      <c r="X133" s="13" t="n">
        <f aca="false">IF(Time!X53=1,IF(Time!X20=Time!$F$13,Funding!$F$25,W133-W134),0)</f>
        <v>524.91408921598</v>
      </c>
      <c r="Y133" s="13" t="n">
        <f aca="false">IF(Time!Y53=1,IF(Time!Y20=Time!$F$13,Funding!$F$25,X133-X134),0)</f>
        <v>502.444700846602</v>
      </c>
      <c r="Z133" s="13" t="n">
        <f aca="false">IF(Time!Z53=1,IF(Time!Z20=Time!$F$13,Funding!$F$25,Y133-Y134),0)</f>
        <v>481.488581241439</v>
      </c>
      <c r="AA133" s="13" t="n">
        <f aca="false">IF(Time!AA53=1,IF(Time!AA20=Time!$F$13,Funding!$F$25,Z133-Z134),0)</f>
        <v>459.5876317655</v>
      </c>
      <c r="AB133" s="13" t="n">
        <f aca="false">IF(Time!AB53=1,IF(Time!AB20=Time!$F$13,Funding!$F$25,AA133-AA134),0)</f>
        <v>437.186619985967</v>
      </c>
      <c r="AC133" s="13" t="n">
        <f aca="false">IF(Time!AC53=1,IF(Time!AC20=Time!$F$13,Funding!$F$25,AB133-AB134),0)</f>
        <v>413.704603017586</v>
      </c>
      <c r="AD133" s="13" t="n">
        <f aca="false">IF(Time!AD53=1,IF(Time!AD20=Time!$F$13,Funding!$F$25,AC133-AC134),0)</f>
        <v>389.543644277496</v>
      </c>
      <c r="AE133" s="13" t="n">
        <f aca="false">IF(Time!AE53=1,IF(Time!AE20=Time!$F$13,Funding!$F$25,AD133-AD134),0)</f>
        <v>364.198579600314</v>
      </c>
      <c r="AF133" s="13" t="n">
        <f aca="false">IF(Time!AF53=1,IF(Time!AF20=Time!$F$13,Funding!$F$25,AE133-AE134),0)</f>
        <v>336.894156029901</v>
      </c>
      <c r="AG133" s="13" t="n">
        <f aca="false">IF(Time!AG53=1,IF(Time!AG20=Time!$F$13,Funding!$F$25,AF133-AF134),0)</f>
        <v>307.977070278936</v>
      </c>
      <c r="AH133" s="13" t="n">
        <f aca="false">IF(Time!AH53=1,IF(Time!AH20=Time!$F$13,Funding!$F$25,AG133-AG134),0)</f>
        <v>278.906740458664</v>
      </c>
      <c r="AI133" s="13" t="n">
        <f aca="false">IF(Time!AI53=1,IF(Time!AI20=Time!$F$13,Funding!$F$25,AH133-AH134),0)</f>
        <v>248.389701568507</v>
      </c>
      <c r="AJ133" s="13" t="n">
        <f aca="false">IF(Time!AJ53=1,IF(Time!AJ20=Time!$F$13,Funding!$F$25,AI133-AI134),0)</f>
        <v>216.928399223483</v>
      </c>
      <c r="AK133" s="13" t="n">
        <f aca="false">IF(Time!AK53=1,IF(Time!AK20=Time!$F$13,Funding!$F$25,AJ133-AJ134),0)</f>
        <v>183.934159449391</v>
      </c>
      <c r="AL133" s="13" t="n">
        <f aca="false">IF(Time!AL53=1,IF(Time!AL20=Time!$F$13,Funding!$F$25,AK133-AK134),0)</f>
        <v>149.950859315673</v>
      </c>
      <c r="AM133" s="13" t="n">
        <f aca="false">IF(Time!AM53=1,IF(Time!AM20=Time!$F$13,Funding!$F$25,AL133-AL134),0)</f>
        <v>114.348174857878</v>
      </c>
      <c r="AN133" s="13" t="n">
        <f aca="false">IF(Time!AN53=1,IF(Time!AN20=Time!$F$13,Funding!$F$25,AM133-AM134),0)</f>
        <v>77.1358299067093</v>
      </c>
      <c r="AO133" s="13" t="n">
        <f aca="false">IF(Time!AO53=1,IF(Time!AO20=Time!$F$13,Funding!$F$25,AN133-AN134),0)</f>
        <v>38.1543660554942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0</v>
      </c>
      <c r="Q134" s="13" t="n">
        <f aca="false">Q132-Q133*Q127</f>
        <v>16.7630162415187</v>
      </c>
      <c r="R134" s="13" t="n">
        <f aca="false">R132-R133*R127</f>
        <v>17.5526264834812</v>
      </c>
      <c r="S134" s="13" t="n">
        <f aca="false">S132-S133*S127</f>
        <v>18.1207012159686</v>
      </c>
      <c r="T134" s="13" t="n">
        <f aca="false">T132-T133*T127</f>
        <v>18.9617808522281</v>
      </c>
      <c r="U134" s="13" t="n">
        <f aca="false">U132-U133*U127</f>
        <v>19.5042358090354</v>
      </c>
      <c r="V134" s="13" t="n">
        <f aca="false">V132-V133*V127</f>
        <v>20.4165474190005</v>
      </c>
      <c r="W134" s="13" t="n">
        <f aca="false">W132-W133*W127</f>
        <v>21.5070011760555</v>
      </c>
      <c r="X134" s="13" t="n">
        <f aca="false">X132-X133*X127</f>
        <v>22.4693883693786</v>
      </c>
      <c r="Y134" s="13" t="n">
        <f aca="false">Y132-Y133*Y127</f>
        <v>20.9561196051631</v>
      </c>
      <c r="Z134" s="13" t="n">
        <f aca="false">Z132-Z133*Z127</f>
        <v>21.9009494759388</v>
      </c>
      <c r="AA134" s="13" t="n">
        <f aca="false">AA132-AA133*AA127</f>
        <v>22.4010117795331</v>
      </c>
      <c r="AB134" s="13" t="n">
        <f aca="false">AB132-AB133*AB127</f>
        <v>23.482016968381</v>
      </c>
      <c r="AC134" s="13" t="n">
        <f aca="false">AC132-AC133*AC127</f>
        <v>24.1609587400895</v>
      </c>
      <c r="AD134" s="13" t="n">
        <f aca="false">AD132-AD133*AD127</f>
        <v>25.3450646771822</v>
      </c>
      <c r="AE134" s="13" t="n">
        <f aca="false">AE132-AE133*AE127</f>
        <v>27.3044235704133</v>
      </c>
      <c r="AF134" s="13" t="n">
        <f aca="false">AF132-AF133*AF127</f>
        <v>28.9170857509653</v>
      </c>
      <c r="AG134" s="13" t="n">
        <f aca="false">AG132-AG133*AG127</f>
        <v>29.0703298202718</v>
      </c>
      <c r="AH134" s="13" t="n">
        <f aca="false">AH132-AH133*AH127</f>
        <v>30.5170388901572</v>
      </c>
      <c r="AI134" s="13" t="n">
        <f aca="false">AI132-AI133*AI127</f>
        <v>31.4613023450236</v>
      </c>
      <c r="AJ134" s="13" t="n">
        <f aca="false">AJ132-AJ133*AJ127</f>
        <v>32.9942397740915</v>
      </c>
      <c r="AK134" s="13" t="n">
        <f aca="false">AK132-AK133*AK127</f>
        <v>33.9833001337184</v>
      </c>
      <c r="AL134" s="13" t="n">
        <f aca="false">AL132-AL133*AL127</f>
        <v>35.6026844577954</v>
      </c>
      <c r="AM134" s="13" t="n">
        <f aca="false">AM132-AM133*AM127</f>
        <v>37.2123449511684</v>
      </c>
      <c r="AN134" s="13" t="n">
        <f aca="false">AN132-AN133*AN127</f>
        <v>38.9814638512152</v>
      </c>
      <c r="AO134" s="13" t="n">
        <f aca="false">AO132-AO133*AO127</f>
        <v>38.1543660554947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52.263650417766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</v>
      </c>
      <c r="Q7" s="13" t="n">
        <f aca="false">SUM(Operations!R79:W79)/Inputs!$F$225</f>
        <v>0.420822342824714</v>
      </c>
      <c r="R7" s="13" t="n">
        <f aca="false">SUM(Operations!S79:X79)/Inputs!$F$225</f>
        <v>0.420822342824714</v>
      </c>
      <c r="S7" s="13" t="n">
        <f aca="false">SUM(Operations!T79:Y79)/Inputs!$F$225</f>
        <v>0.420822342824714</v>
      </c>
      <c r="T7" s="13" t="n">
        <f aca="false">SUM(Operations!U79:Z79)/Inputs!$F$225</f>
        <v>0.420822342824714</v>
      </c>
      <c r="U7" s="13" t="n">
        <f aca="false">SUM(Operations!V79:AA79)/Inputs!$F$225</f>
        <v>0.420822342824714</v>
      </c>
      <c r="V7" s="13" t="n">
        <f aca="false">SUM(Operations!W79:AB79)/Inputs!$F$225</f>
        <v>0.420822342824714</v>
      </c>
      <c r="W7" s="13" t="n">
        <f aca="false">SUM(Operations!X79:AC79)/Inputs!$F$225</f>
        <v>0</v>
      </c>
      <c r="X7" s="13" t="n">
        <f aca="false">SUM(Operations!Y79:AD79)/Inputs!$F$225</f>
        <v>0</v>
      </c>
      <c r="Y7" s="13" t="n">
        <f aca="false">SUM(Operations!Z79:AE79)/Inputs!$F$225</f>
        <v>1.99432465577136</v>
      </c>
      <c r="Z7" s="13" t="n">
        <f aca="false">SUM(Operations!AA79:AF79)/Inputs!$F$225</f>
        <v>1.99432465577136</v>
      </c>
      <c r="AA7" s="13" t="n">
        <f aca="false">SUM(Operations!AB79:AG79)/Inputs!$F$225</f>
        <v>1.99432465577136</v>
      </c>
      <c r="AB7" s="13" t="n">
        <f aca="false">SUM(Operations!AC79:AH79)/Inputs!$F$225</f>
        <v>1.99432465577136</v>
      </c>
      <c r="AC7" s="13" t="n">
        <f aca="false">SUM(Operations!AD79:AI79)/Inputs!$F$225</f>
        <v>1.99432465577136</v>
      </c>
      <c r="AD7" s="13" t="n">
        <f aca="false">SUM(Operations!AE79:AJ79)/Inputs!$F$225</f>
        <v>1.99432465577136</v>
      </c>
      <c r="AE7" s="13" t="n">
        <f aca="false">SUM(Operations!AF79:AK79)/Inputs!$F$225</f>
        <v>0</v>
      </c>
      <c r="AF7" s="13" t="n">
        <f aca="false">SUM(Operations!AG79:AL79)/Inputs!$F$225</f>
        <v>0</v>
      </c>
      <c r="AG7" s="13" t="n">
        <f aca="false">SUM(Operations!AH79:AM79)/Inputs!$F$225</f>
        <v>0.500848014271228</v>
      </c>
      <c r="AH7" s="13" t="n">
        <f aca="false">SUM(Operations!AI79:AN79)/Inputs!$F$225</f>
        <v>0.500848014271228</v>
      </c>
      <c r="AI7" s="13" t="n">
        <f aca="false">SUM(Operations!AJ79:AO79)/Inputs!$F$225</f>
        <v>0.500848014271228</v>
      </c>
      <c r="AJ7" s="13" t="n">
        <f aca="false">SUM(Operations!AK79:AP79)/Inputs!$F$225</f>
        <v>0.500848014271228</v>
      </c>
      <c r="AK7" s="13" t="n">
        <f aca="false">SUM(Operations!AL79:AQ79)/Inputs!$F$225</f>
        <v>0.500848014271228</v>
      </c>
      <c r="AL7" s="13" t="n">
        <f aca="false">SUM(Operations!AM79:AR79)/Inputs!$F$225</f>
        <v>0.500848014271228</v>
      </c>
      <c r="AM7" s="13" t="n">
        <f aca="false">SUM(Operations!AN79:AS79)/Inputs!$F$225</f>
        <v>0</v>
      </c>
      <c r="AN7" s="13" t="n">
        <f aca="false">SUM(Operations!AO79:AT79)/Inputs!$F$225</f>
        <v>0</v>
      </c>
      <c r="AO7" s="13" t="n">
        <f aca="false">SUM(Operations!AP79:AU79)/Inputs!$F$225</f>
        <v>2.37357535949866</v>
      </c>
      <c r="AP7" s="13" t="n">
        <f aca="false">SUM(Operations!AQ79:AV79)/Inputs!$F$225</f>
        <v>2.37357535949866</v>
      </c>
      <c r="AQ7" s="13" t="n">
        <f aca="false">SUM(Operations!AR79:AW79)/Inputs!$F$225</f>
        <v>2.37357535949866</v>
      </c>
      <c r="AR7" s="13" t="n">
        <f aca="false">SUM(Operations!AS79:AX79)/Inputs!$F$225</f>
        <v>2.37357535949866</v>
      </c>
      <c r="AS7" s="13" t="n">
        <f aca="false">SUM(Operations!AT79:AY79)/Inputs!$F$225</f>
        <v>2.37357535949866</v>
      </c>
      <c r="AT7" s="13" t="n">
        <f aca="false">SUM(Operations!AU79:AZ79)/Inputs!$F$225</f>
        <v>2.37357535949866</v>
      </c>
      <c r="AU7" s="13" t="n">
        <f aca="false">SUM(Operations!AV79:BA79)/Inputs!$F$225</f>
        <v>0</v>
      </c>
      <c r="AV7" s="13" t="n">
        <f aca="false">SUM(Operations!AW79:BB79)/Inputs!$F$225</f>
        <v>0</v>
      </c>
      <c r="AW7" s="13" t="n">
        <f aca="false">SUM(Operations!AX79:BC79)/Inputs!$F$225</f>
        <v>0.596091765745239</v>
      </c>
      <c r="AX7" s="13" t="n">
        <f aca="false">SUM(Operations!AY79:BD79)/Inputs!$F$225</f>
        <v>0.596091765745239</v>
      </c>
      <c r="AY7" s="13" t="n">
        <f aca="false">SUM(Operations!AZ79:BE79)/Inputs!$F$225</f>
        <v>0.596091765745239</v>
      </c>
      <c r="AZ7" s="13" t="n">
        <f aca="false">SUM(Operations!BA79:BF79)/Inputs!$F$225</f>
        <v>0.596091765745239</v>
      </c>
      <c r="BA7" s="13" t="n">
        <f aca="false">SUM(Operations!BB79:BG79)/Inputs!$F$225</f>
        <v>0.596091765745239</v>
      </c>
      <c r="BB7" s="13" t="n">
        <f aca="false">SUM(Operations!BC79:BH79)/Inputs!$F$225</f>
        <v>0.596091765745239</v>
      </c>
      <c r="BC7" s="13" t="n">
        <f aca="false">SUM(Operations!BD79:BI79)/Inputs!$F$225</f>
        <v>0</v>
      </c>
      <c r="BD7" s="13" t="n">
        <f aca="false">SUM(Operations!BE79:BJ79)/Inputs!$F$225</f>
        <v>0</v>
      </c>
      <c r="BE7" s="13" t="n">
        <f aca="false">SUM(Operations!BF79:BK79)/Inputs!$F$225</f>
        <v>2.8249462648498</v>
      </c>
      <c r="BF7" s="13" t="n">
        <f aca="false">SUM(Operations!BG79:BL79)/Inputs!$F$225</f>
        <v>2.8249462648498</v>
      </c>
      <c r="BG7" s="13" t="n">
        <f aca="false">SUM(Operations!BH79:BM79)/Inputs!$F$225</f>
        <v>2.8249462648498</v>
      </c>
      <c r="BH7" s="13" t="n">
        <f aca="false">SUM(Operations!BI79:BN79)/Inputs!$F$225</f>
        <v>2.8249462648498</v>
      </c>
      <c r="BI7" s="13" t="n">
        <f aca="false">SUM(Operations!BJ79:BO79)/Inputs!$F$225</f>
        <v>2.8249462648498</v>
      </c>
      <c r="BJ7" s="13" t="n">
        <f aca="false">SUM(Operations!BK79:BP79)/Inputs!$F$225</f>
        <v>2.8249462648498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</v>
      </c>
      <c r="Q8" s="13" t="n">
        <f aca="false">P8+Q7-Operations!Q79</f>
        <v>0.420822342824714</v>
      </c>
      <c r="R8" s="13" t="n">
        <f aca="false">Q8+R7-Operations!R79</f>
        <v>0.841644685649428</v>
      </c>
      <c r="S8" s="13" t="n">
        <f aca="false">R8+S7-Operations!S79</f>
        <v>1.26246702847414</v>
      </c>
      <c r="T8" s="13" t="n">
        <f aca="false">S8+T7-Operations!T79</f>
        <v>1.68328937129886</v>
      </c>
      <c r="U8" s="13" t="n">
        <f aca="false">T8+U7-Operations!U79</f>
        <v>2.10411171412357</v>
      </c>
      <c r="V8" s="13" t="n">
        <f aca="false">U8+V7-Operations!V79</f>
        <v>2.52493405694828</v>
      </c>
      <c r="W8" s="13" t="n">
        <f aca="false">V8+W7-Operations!W79</f>
        <v>0</v>
      </c>
      <c r="X8" s="13" t="n">
        <f aca="false">W8+X7-Operations!X79</f>
        <v>0</v>
      </c>
      <c r="Y8" s="13" t="n">
        <f aca="false">X8+Y7-Operations!Y79</f>
        <v>1.99432465577136</v>
      </c>
      <c r="Z8" s="13" t="n">
        <f aca="false">Y8+Z7-Operations!Z79</f>
        <v>3.98864931154273</v>
      </c>
      <c r="AA8" s="13" t="n">
        <f aca="false">Z8+AA7-Operations!AA79</f>
        <v>5.98297396731409</v>
      </c>
      <c r="AB8" s="13" t="n">
        <f aca="false">AA8+AB7-Operations!AB79</f>
        <v>7.97729862308545</v>
      </c>
      <c r="AC8" s="13" t="n">
        <f aca="false">AB8+AC7-Operations!AC79</f>
        <v>9.97162327885681</v>
      </c>
      <c r="AD8" s="13" t="n">
        <f aca="false">AC8+AD7-Operations!AD79</f>
        <v>11.9659479346282</v>
      </c>
      <c r="AE8" s="13" t="n">
        <f aca="false">AD8+AE7-Operations!AE79</f>
        <v>0</v>
      </c>
      <c r="AF8" s="13" t="n">
        <f aca="false">AE8+AF7-Operations!AF79</f>
        <v>0</v>
      </c>
      <c r="AG8" s="13" t="n">
        <f aca="false">AF8+AG7-Operations!AG79</f>
        <v>0.500848014271228</v>
      </c>
      <c r="AH8" s="13" t="n">
        <f aca="false">AG8+AH7-Operations!AH79</f>
        <v>1.00169602854246</v>
      </c>
      <c r="AI8" s="13" t="n">
        <f aca="false">AH8+AI7-Operations!AI79</f>
        <v>1.50254404281368</v>
      </c>
      <c r="AJ8" s="13" t="n">
        <f aca="false">AI8+AJ7-Operations!AJ79</f>
        <v>2.00339205708491</v>
      </c>
      <c r="AK8" s="13" t="n">
        <f aca="false">AJ8+AK7-Operations!AK79</f>
        <v>2.50424007135614</v>
      </c>
      <c r="AL8" s="13" t="n">
        <f aca="false">AK8+AL7-Operations!AL79</f>
        <v>3.00508808562737</v>
      </c>
      <c r="AM8" s="13" t="n">
        <f aca="false">AL8+AM7-Operations!AM79</f>
        <v>0</v>
      </c>
      <c r="AN8" s="13" t="n">
        <f aca="false">AM8+AN7-Operations!AN79</f>
        <v>0</v>
      </c>
      <c r="AO8" s="13" t="n">
        <f aca="false">AN8+AO7-Operations!AO79</f>
        <v>2.37357535949866</v>
      </c>
      <c r="AP8" s="13" t="n">
        <f aca="false">AO8+AP7-Operations!AP79</f>
        <v>4.74715071899731</v>
      </c>
      <c r="AQ8" s="13" t="n">
        <f aca="false">AP8+AQ7-Operations!AQ79</f>
        <v>7.12072607849597</v>
      </c>
      <c r="AR8" s="13" t="n">
        <f aca="false">AQ8+AR7-Operations!AR79</f>
        <v>9.49430143799463</v>
      </c>
      <c r="AS8" s="13" t="n">
        <f aca="false">AR8+AS7-Operations!AS79</f>
        <v>11.8678767974933</v>
      </c>
      <c r="AT8" s="13" t="n">
        <f aca="false">AS8+AT7-Operations!AT79</f>
        <v>14.2414521569919</v>
      </c>
      <c r="AU8" s="13" t="n">
        <f aca="false">AT8+AU7-Operations!AU79</f>
        <v>0</v>
      </c>
      <c r="AV8" s="13" t="n">
        <f aca="false">AU8+AV7-Operations!AV79</f>
        <v>0</v>
      </c>
      <c r="AW8" s="13" t="n">
        <f aca="false">AV8+AW7-Operations!AW79</f>
        <v>0.596091765745239</v>
      </c>
      <c r="AX8" s="13" t="n">
        <f aca="false">AW8+AX7-Operations!AX79</f>
        <v>1.19218353149048</v>
      </c>
      <c r="AY8" s="13" t="n">
        <f aca="false">AX8+AY7-Operations!AY79</f>
        <v>1.78827529723572</v>
      </c>
      <c r="AZ8" s="13" t="n">
        <f aca="false">AY8+AZ7-Operations!AZ79</f>
        <v>2.38436706298096</v>
      </c>
      <c r="BA8" s="13" t="n">
        <f aca="false">AZ8+BA7-Operations!BA79</f>
        <v>2.9804588287262</v>
      </c>
      <c r="BB8" s="13" t="n">
        <f aca="false">BA8+BB7-Operations!BB79</f>
        <v>3.57655059447143</v>
      </c>
      <c r="BC8" s="13" t="n">
        <f aca="false">BB8+BC7-Operations!BC79</f>
        <v>0</v>
      </c>
      <c r="BD8" s="13" t="n">
        <f aca="false">BC8+BD7-Operations!BD79</f>
        <v>0</v>
      </c>
      <c r="BE8" s="13" t="n">
        <f aca="false">BD8+BE7-Operations!BE79</f>
        <v>2.8249462648498</v>
      </c>
      <c r="BF8" s="13" t="n">
        <f aca="false">BE8+BF7-Operations!BF79</f>
        <v>5.6498925296996</v>
      </c>
      <c r="BG8" s="13" t="n">
        <f aca="false">BF8+BG7-Operations!BG79</f>
        <v>8.4748387945494</v>
      </c>
      <c r="BH8" s="13" t="n">
        <f aca="false">BG8+BH7-Operations!BH79</f>
        <v>11.2997850593992</v>
      </c>
      <c r="BI8" s="13" t="n">
        <f aca="false">BH8+BI7-Operations!BI79</f>
        <v>14.124731324249</v>
      </c>
      <c r="BJ8" s="13" t="n">
        <f aca="false">BI8+BJ7-Operations!BJ79</f>
        <v>16.9496775890988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0</v>
      </c>
      <c r="P9" s="13" t="n">
        <f aca="false">IF(Time!P34=1,SUM(Funding!$J$44:$BJ$44),O13)</f>
        <v>39.5901571901212</v>
      </c>
      <c r="Q9" s="13" t="n">
        <f aca="false">IF(Time!Q34=1,SUM(Funding!$J$44:$BJ$44),P13)</f>
        <v>39.5901571901212</v>
      </c>
      <c r="R9" s="13" t="n">
        <f aca="false">IF(Time!R34=1,SUM(Funding!$J$44:$BJ$44),Q13)</f>
        <v>40.0955116122781</v>
      </c>
      <c r="S9" s="13" t="n">
        <f aca="false">IF(Time!S34=1,SUM(Funding!$J$44:$BJ$44),R13)</f>
        <v>39.7778387053405</v>
      </c>
      <c r="T9" s="13" t="n">
        <f aca="false">IF(Time!T34=1,SUM(Funding!$J$44:$BJ$44),S13)</f>
        <v>40.2295607160554</v>
      </c>
      <c r="U9" s="13" t="n">
        <f aca="false">IF(Time!U34=1,SUM(Funding!$J$44:$BJ$44),T13)</f>
        <v>40.0312842957064</v>
      </c>
      <c r="V9" s="13" t="n">
        <f aca="false">IF(Time!V34=1,SUM(Funding!$J$44:$BJ$44),U13)</f>
        <v>40.7986666606384</v>
      </c>
      <c r="W9" s="13" t="n">
        <f aca="false">IF(Time!W34=1,SUM(Funding!$J$44:$BJ$44),V13)</f>
        <v>40.5087228524253</v>
      </c>
      <c r="X9" s="13" t="n">
        <f aca="false">IF(Time!X34=1,SUM(Funding!$J$44:$BJ$44),W13)</f>
        <v>39.3469132499841</v>
      </c>
      <c r="Y9" s="13" t="n">
        <f aca="false">IF(Time!Y34=1,SUM(Funding!$J$44:$BJ$44),X13)</f>
        <v>38.959871050273</v>
      </c>
      <c r="Z9" s="13" t="n">
        <f aca="false">IF(Time!Z34=1,SUM(Funding!$J$44:$BJ$44),Y13)</f>
        <v>39.2853733075215</v>
      </c>
      <c r="AA9" s="13" t="n">
        <f aca="false">IF(Time!AA34=1,SUM(Funding!$J$44:$BJ$44),Z13)</f>
        <v>38.9619967644553</v>
      </c>
      <c r="AB9" s="13" t="n">
        <f aca="false">IF(Time!AB34=1,SUM(Funding!$J$44:$BJ$44),AA13)</f>
        <v>39.4247252652081</v>
      </c>
      <c r="AC9" s="13" t="n">
        <f aca="false">IF(Time!AC34=1,SUM(Funding!$J$44:$BJ$44),AB13)</f>
        <v>38.7444655741052</v>
      </c>
      <c r="AD9" s="13" t="n">
        <f aca="false">IF(Time!AD34=1,SUM(Funding!$J$44:$BJ$44),AC13)</f>
        <v>39.5783031185693</v>
      </c>
      <c r="AE9" s="13" t="n">
        <f aca="false">IF(Time!AE34=1,SUM(Funding!$J$44:$BJ$44),AD13)</f>
        <v>39.0152983044463</v>
      </c>
      <c r="AF9" s="13" t="n">
        <f aca="false">IF(Time!AF34=1,SUM(Funding!$J$44:$BJ$44),AE13)</f>
        <v>38.3975174153793</v>
      </c>
      <c r="AG9" s="13" t="n">
        <f aca="false">IF(Time!AG34=1,SUM(Funding!$J$44:$BJ$44),AF13)</f>
        <v>37.1768380015028</v>
      </c>
      <c r="AH9" s="13" t="n">
        <f aca="false">IF(Time!AH34=1,SUM(Funding!$J$44:$BJ$44),AG13)</f>
        <v>36.4693329991737</v>
      </c>
      <c r="AI9" s="13" t="n">
        <f aca="false">IF(Time!AI34=1,SUM(Funding!$J$44:$BJ$44),AH13)</f>
        <v>34.8980305271939</v>
      </c>
      <c r="AJ9" s="13" t="n">
        <f aca="false">IF(Time!AJ34=1,SUM(Funding!$J$44:$BJ$44),AI13)</f>
        <v>33.6218970424988</v>
      </c>
      <c r="AK9" s="13" t="n">
        <f aca="false">IF(Time!AK34=1,SUM(Funding!$J$44:$BJ$44),AJ13)</f>
        <v>31.446910313157</v>
      </c>
      <c r="AL9" s="13" t="n">
        <f aca="false">IF(Time!AL34=1,SUM(Funding!$J$44:$BJ$44),AK13)</f>
        <v>29.272415075822</v>
      </c>
      <c r="AM9" s="13" t="n">
        <f aca="false">IF(Time!AM34=1,SUM(Funding!$J$44:$BJ$44),AL13)</f>
        <v>25.0990387543341</v>
      </c>
      <c r="AN9" s="13" t="n">
        <f aca="false">IF(Time!AN34=1,SUM(Funding!$J$44:$BJ$44),AM13)</f>
        <v>20.3736881724253</v>
      </c>
      <c r="AO9" s="13" t="n">
        <f aca="false">IF(Time!AO34=1,SUM(Funding!$J$44:$BJ$44),AN13)</f>
        <v>20.1307130705795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3.34652710026946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</v>
      </c>
      <c r="P11" s="13" t="n">
        <f aca="false">MIN(Waterfall!P13,MAX(0,Debt!P125-(P9-P10)))</f>
        <v>0</v>
      </c>
      <c r="Q11" s="13" t="n">
        <f aca="false">MIN(Waterfall!Q13,MAX(0,Debt!Q125-(Q9-Q10)))</f>
        <v>0.505354422156948</v>
      </c>
      <c r="R11" s="13" t="n">
        <f aca="false">MIN(Waterfall!R13,MAX(0,Debt!R125-(R9-R10)))</f>
        <v>0</v>
      </c>
      <c r="S11" s="13" t="n">
        <f aca="false">MIN(Waterfall!S13,MAX(0,Debt!S125-(S9-S10)))</f>
        <v>0.451722010714931</v>
      </c>
      <c r="T11" s="13" t="n">
        <f aca="false">MIN(Waterfall!T13,MAX(0,Debt!T125-(T9-T10)))</f>
        <v>0</v>
      </c>
      <c r="U11" s="13" t="n">
        <f aca="false">MIN(Waterfall!U13,MAX(0,Debt!U125-(U9-U10)))</f>
        <v>0.767382364932026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0.325502257248544</v>
      </c>
      <c r="Z11" s="13" t="n">
        <f aca="false">MIN(Waterfall!Z13,MAX(0,Debt!Z125-(Z9-Z10)))</f>
        <v>0</v>
      </c>
      <c r="AA11" s="13" t="n">
        <f aca="false">MIN(Waterfall!AA13,MAX(0,Debt!AA125-(AA9-AA10)))</f>
        <v>0.462728500752817</v>
      </c>
      <c r="AB11" s="13" t="n">
        <f aca="false">MIN(Waterfall!AB13,MAX(0,Debt!AB125-(AB9-AB10)))</f>
        <v>0</v>
      </c>
      <c r="AC11" s="13" t="n">
        <f aca="false">MIN(Waterfall!AC13,MAX(0,Debt!AC125-(AC9-AC10)))</f>
        <v>0.833837544464195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42.9366842903906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</v>
      </c>
      <c r="Q12" s="13" t="n">
        <f aca="false">MAX(0,Q9-Q10-Debt!Q125)</f>
        <v>0</v>
      </c>
      <c r="R12" s="13" t="n">
        <f aca="false">MAX(0,R9-R10-Debt!R125)</f>
        <v>0.317672906937638</v>
      </c>
      <c r="S12" s="13" t="n">
        <f aca="false">MAX(0,S9-S10-Debt!S125)</f>
        <v>0</v>
      </c>
      <c r="T12" s="13" t="n">
        <f aca="false">MAX(0,T9-T10-Debt!T125)</f>
        <v>0.198276420349032</v>
      </c>
      <c r="U12" s="13" t="n">
        <f aca="false">MAX(0,U9-U10-Debt!U125)</f>
        <v>0</v>
      </c>
      <c r="V12" s="13" t="n">
        <f aca="false">MAX(0,V9-V10-Debt!V125)</f>
        <v>0.289943808213103</v>
      </c>
      <c r="W12" s="13" t="n">
        <f aca="false">MAX(0,W9-W10-Debt!W125)</f>
        <v>1.16180960244122</v>
      </c>
      <c r="X12" s="13" t="n">
        <f aca="false">MAX(0,X9-X10-Debt!X125)</f>
        <v>0.387042199711061</v>
      </c>
      <c r="Y12" s="13" t="n">
        <f aca="false">MAX(0,Y9-Y10-Debt!Y125)</f>
        <v>0</v>
      </c>
      <c r="Z12" s="13" t="n">
        <f aca="false">MAX(0,Z9-Z10-Debt!Z125)</f>
        <v>0.323376543066296</v>
      </c>
      <c r="AA12" s="13" t="n">
        <f aca="false">MAX(0,AA9-AA10-Debt!AA125)</f>
        <v>0</v>
      </c>
      <c r="AB12" s="13" t="n">
        <f aca="false">MAX(0,AB9-AB10-Debt!AB125)</f>
        <v>0.680259691102918</v>
      </c>
      <c r="AC12" s="13" t="n">
        <f aca="false">MAX(0,AC9-AC10-Debt!AC125)</f>
        <v>0</v>
      </c>
      <c r="AD12" s="13" t="n">
        <f aca="false">MAX(0,AD9-AD10-Debt!AD125)</f>
        <v>0.563004814123076</v>
      </c>
      <c r="AE12" s="13" t="n">
        <f aca="false">MAX(0,AE9-AE10-Debt!AE125)</f>
        <v>0.617780889066964</v>
      </c>
      <c r="AF12" s="13" t="n">
        <f aca="false">MAX(0,AF9-AF10-Debt!AF125)</f>
        <v>1.22067941387655</v>
      </c>
      <c r="AG12" s="13" t="n">
        <f aca="false">MAX(0,AG9-AG10-Debt!AG125)</f>
        <v>0.707505002329043</v>
      </c>
      <c r="AH12" s="13" t="n">
        <f aca="false">MAX(0,AH9-AH10-Debt!AH125)</f>
        <v>1.57130247197977</v>
      </c>
      <c r="AI12" s="13" t="n">
        <f aca="false">MAX(0,AI9-AI10-Debt!AI125)</f>
        <v>1.27613348469514</v>
      </c>
      <c r="AJ12" s="13" t="n">
        <f aca="false">MAX(0,AJ9-AJ10-Debt!AJ125)</f>
        <v>2.17498672934183</v>
      </c>
      <c r="AK12" s="13" t="n">
        <f aca="false">MAX(0,AK9-AK10-Debt!AK125)</f>
        <v>2.17449523733498</v>
      </c>
      <c r="AL12" s="13" t="n">
        <f aca="false">MAX(0,AL9-AL10-Debt!AL125)</f>
        <v>4.17337632148789</v>
      </c>
      <c r="AM12" s="13" t="n">
        <f aca="false">MAX(0,AM9-AM10-Debt!AM125)</f>
        <v>4.72535058190885</v>
      </c>
      <c r="AN12" s="13" t="n">
        <f aca="false">MAX(0,AN9-AN10-Debt!AN125)</f>
        <v>0.242975101845747</v>
      </c>
      <c r="AO12" s="13" t="n">
        <f aca="false">MAX(0,AO9-AO10-Debt!AO125)</f>
        <v>20.1307130705795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0</v>
      </c>
      <c r="P13" s="13" t="n">
        <f aca="false">(1-Time!P37)*(P9-P10+P11-P12)</f>
        <v>39.5901571901212</v>
      </c>
      <c r="Q13" s="13" t="n">
        <f aca="false">(1-Time!Q37)*(Q9-Q10+Q11-Q12)</f>
        <v>40.0955116122781</v>
      </c>
      <c r="R13" s="13" t="n">
        <f aca="false">(1-Time!R37)*(R9-R10+R11-R12)</f>
        <v>39.7778387053405</v>
      </c>
      <c r="S13" s="13" t="n">
        <f aca="false">(1-Time!S37)*(S9-S10+S11-S12)</f>
        <v>40.2295607160554</v>
      </c>
      <c r="T13" s="13" t="n">
        <f aca="false">(1-Time!T37)*(T9-T10+T11-T12)</f>
        <v>40.0312842957064</v>
      </c>
      <c r="U13" s="13" t="n">
        <f aca="false">(1-Time!U37)*(U9-U10+U11-U12)</f>
        <v>40.7986666606384</v>
      </c>
      <c r="V13" s="13" t="n">
        <f aca="false">(1-Time!V37)*(V9-V10+V11-V12)</f>
        <v>40.5087228524253</v>
      </c>
      <c r="W13" s="13" t="n">
        <f aca="false">(1-Time!W37)*(W9-W10+W11-W12)</f>
        <v>39.3469132499841</v>
      </c>
      <c r="X13" s="13" t="n">
        <f aca="false">(1-Time!X37)*(X9-X10+X11-X12)</f>
        <v>38.959871050273</v>
      </c>
      <c r="Y13" s="13" t="n">
        <f aca="false">(1-Time!Y37)*(Y9-Y10+Y11-Y12)</f>
        <v>39.2853733075215</v>
      </c>
      <c r="Z13" s="13" t="n">
        <f aca="false">(1-Time!Z37)*(Z9-Z10+Z11-Z12)</f>
        <v>38.9619967644553</v>
      </c>
      <c r="AA13" s="13" t="n">
        <f aca="false">(1-Time!AA37)*(AA9-AA10+AA11-AA12)</f>
        <v>39.4247252652081</v>
      </c>
      <c r="AB13" s="13" t="n">
        <f aca="false">(1-Time!AB37)*(AB9-AB10+AB11-AB12)</f>
        <v>38.7444655741052</v>
      </c>
      <c r="AC13" s="13" t="n">
        <f aca="false">(1-Time!AC37)*(AC9-AC10+AC11-AC12)</f>
        <v>39.5783031185693</v>
      </c>
      <c r="AD13" s="13" t="n">
        <f aca="false">(1-Time!AD37)*(AD9-AD10+AD11-AD12)</f>
        <v>39.0152983044463</v>
      </c>
      <c r="AE13" s="13" t="n">
        <f aca="false">(1-Time!AE37)*(AE9-AE10+AE11-AE12)</f>
        <v>38.3975174153793</v>
      </c>
      <c r="AF13" s="13" t="n">
        <f aca="false">(1-Time!AF37)*(AF9-AF10+AF11-AF12)</f>
        <v>37.1768380015028</v>
      </c>
      <c r="AG13" s="13" t="n">
        <f aca="false">(1-Time!AG37)*(AG9-AG10+AG11-AG12)</f>
        <v>36.4693329991737</v>
      </c>
      <c r="AH13" s="13" t="n">
        <f aca="false">(1-Time!AH37)*(AH9-AH10+AH11-AH12)</f>
        <v>34.8980305271939</v>
      </c>
      <c r="AI13" s="13" t="n">
        <f aca="false">(1-Time!AI37)*(AI9-AI10+AI11-AI12)</f>
        <v>33.6218970424988</v>
      </c>
      <c r="AJ13" s="13" t="n">
        <f aca="false">(1-Time!AJ37)*(AJ9-AJ10+AJ11-AJ12)</f>
        <v>31.446910313157</v>
      </c>
      <c r="AK13" s="13" t="n">
        <f aca="false">(1-Time!AK37)*(AK9-AK10+AK11-AK12)</f>
        <v>29.272415075822</v>
      </c>
      <c r="AL13" s="13" t="n">
        <f aca="false">(1-Time!AL37)*(AL9-AL10+AL11-AL12)</f>
        <v>25.0990387543341</v>
      </c>
      <c r="AM13" s="13" t="n">
        <f aca="false">(1-Time!AM37)*(AM9-AM10+AM11-AM12)</f>
        <v>20.3736881724253</v>
      </c>
      <c r="AN13" s="13" t="n">
        <f aca="false">(1-Time!AN37)*(AN9-AN10+AN11-AN12)</f>
        <v>20.1307130705795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19.2778097774822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</v>
      </c>
      <c r="BB14" s="13" t="n">
        <f aca="false">MIN(Waterfall!BB14,Operations!BB81)</f>
        <v>0.500383418214804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1.69201454158971</v>
      </c>
      <c r="BN14" s="13" t="n">
        <f aca="false">MIN(Waterfall!BN14,Operations!BN81)</f>
        <v>1.14035029696979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19.2778097774822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0</v>
      </c>
      <c r="BN15" s="13" t="n">
        <f aca="false">Time!BN37*(BM16+BN14)</f>
        <v>19.2778097774822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</v>
      </c>
      <c r="BB16" s="13" t="n">
        <f aca="false">BA16+BB14-BB15</f>
        <v>0.500383418214804</v>
      </c>
      <c r="BC16" s="13" t="n">
        <f aca="false">BB16+BC14-BC15</f>
        <v>2.01795649155704</v>
      </c>
      <c r="BD16" s="13" t="n">
        <f aca="false">BC16+BD14-BD15</f>
        <v>3.55213205180363</v>
      </c>
      <c r="BE16" s="13" t="n">
        <f aca="false">BD16+BE14-BE15</f>
        <v>5.1030917327594</v>
      </c>
      <c r="BF16" s="13" t="n">
        <f aca="false">BE16+BF14-BF15</f>
        <v>6.67101915533141</v>
      </c>
      <c r="BG16" s="13" t="n">
        <f aca="false">BF16+BG14-BG15</f>
        <v>8.2560999492682</v>
      </c>
      <c r="BH16" s="13" t="n">
        <f aca="false">BG16+BH14-BH15</f>
        <v>9.8585217751368</v>
      </c>
      <c r="BI16" s="13" t="n">
        <f aca="false">BH16+BI14-BI15</f>
        <v>11.4784743465402</v>
      </c>
      <c r="BJ16" s="13" t="n">
        <f aca="false">BI16+BJ14-BJ15</f>
        <v>13.1161494525779</v>
      </c>
      <c r="BK16" s="13" t="n">
        <f aca="false">BJ16+BK14-BK15</f>
        <v>14.7717409805522</v>
      </c>
      <c r="BL16" s="13" t="n">
        <f aca="false">BK16+BL14-BL15</f>
        <v>16.4454449389227</v>
      </c>
      <c r="BM16" s="13" t="n">
        <f aca="false">BL16+BM14-BM15</f>
        <v>18.1374594805124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2344.04366403942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0</v>
      </c>
      <c r="P7" s="13" t="n">
        <f aca="false">Operations!P84-Tax!P27-Operations!P96-Reserves!P7+Operations!P79+Operations!P97</f>
        <v>1.86721444482732</v>
      </c>
      <c r="Q7" s="13" t="n">
        <f aca="false">Operations!Q84-Tax!Q27-Operations!Q96-Reserves!Q7+Operations!Q79+Operations!Q97</f>
        <v>50.1694349259804</v>
      </c>
      <c r="R7" s="13" t="n">
        <f aca="false">Operations!R84-Tax!R27-Operations!R96-Reserves!R7+Operations!R79+Operations!R97</f>
        <v>50.7589649640819</v>
      </c>
      <c r="S7" s="13" t="n">
        <f aca="false">Operations!S84-Tax!S27-Operations!S96-Reserves!S7+Operations!S79+Operations!S97</f>
        <v>50.4233190401177</v>
      </c>
      <c r="T7" s="13" t="n">
        <f aca="false">Operations!T84-Tax!T27-Operations!T96-Reserves!T7+Operations!T79+Operations!T97</f>
        <v>51.0022495144261</v>
      </c>
      <c r="U7" s="13" t="n">
        <f aca="false">Operations!U84-Tax!U27-Operations!U96-Reserves!U7+Operations!U79+Operations!U97</f>
        <v>50.6723125847848</v>
      </c>
      <c r="V7" s="13" t="n">
        <f aca="false">Operations!V84-Tax!V27-Operations!V96-Reserves!V7+Operations!V79+Operations!V97</f>
        <v>51.1693558860182</v>
      </c>
      <c r="W7" s="13" t="n">
        <f aca="false">Operations!W84-Tax!W27-Operations!W96-Reserves!W7+Operations!W79+Operations!W97</f>
        <v>51.4024493908331</v>
      </c>
      <c r="X7" s="13" t="n">
        <f aca="false">Operations!X84-Tax!X27-Operations!X96-Reserves!X7+Operations!X79+Operations!X97</f>
        <v>51.9502968022351</v>
      </c>
      <c r="Y7" s="13" t="n">
        <f aca="false">Operations!Y84-Tax!Y27-Operations!Y96-Reserves!Y7+Operations!Y79+Operations!Y97</f>
        <v>49.460994216498</v>
      </c>
      <c r="Z7" s="13" t="n">
        <f aca="false">Operations!Z84-Tax!Z27-Operations!Z96-Reserves!Z7+Operations!Z79+Operations!Z97</f>
        <v>49.9717937201414</v>
      </c>
      <c r="AA7" s="13" t="n">
        <f aca="false">Operations!AA84-Tax!AA27-Operations!AA96-Reserves!AA7+Operations!AA79+Operations!AA97</f>
        <v>49.3840999040299</v>
      </c>
      <c r="AB7" s="13" t="n">
        <f aca="false">Operations!AB84-Tax!AB27-Operations!AB96-Reserves!AB7+Operations!AB79+Operations!AB97</f>
        <v>49.9820197005408</v>
      </c>
      <c r="AC7" s="13" t="n">
        <f aca="false">Operations!AC84-Tax!AC27-Operations!AC96-Reserves!AC7+Operations!AC79+Operations!AC97</f>
        <v>49.6443667431118</v>
      </c>
      <c r="AD7" s="13" t="n">
        <f aca="false">Operations!AD84-Tax!AD27-Operations!AD96-Reserves!AD7+Operations!AD79+Operations!AD97</f>
        <v>50.2015579797273</v>
      </c>
      <c r="AE7" s="13" t="n">
        <f aca="false">Operations!AE84-Tax!AE27-Operations!AE96-Reserves!AE7+Operations!AE79+Operations!AE97</f>
        <v>51.3752461862275</v>
      </c>
      <c r="AF7" s="13" t="n">
        <f aca="false">Operations!AF84-Tax!AF27-Operations!AF96-Reserves!AF7+Operations!AF79+Operations!AF97</f>
        <v>52.3831778159556</v>
      </c>
      <c r="AG7" s="13" t="n">
        <f aca="false">Operations!AG84-Tax!AG27-Operations!AG96-Reserves!AG7+Operations!AG79+Operations!AG97</f>
        <v>51.5272391835451</v>
      </c>
      <c r="AH7" s="13" t="n">
        <f aca="false">Operations!AH84-Tax!AH27-Operations!AH96-Reserves!AH7+Operations!AH79+Operations!AH97</f>
        <v>52.1805404506068</v>
      </c>
      <c r="AI7" s="13" t="n">
        <f aca="false">Operations!AI84-Tax!AI27-Operations!AI96-Reserves!AI7+Operations!AI79+Operations!AI97</f>
        <v>51.828817762181</v>
      </c>
      <c r="AJ7" s="13" t="n">
        <f aca="false">Operations!AJ84-Tax!AJ27-Operations!AJ96-Reserves!AJ7+Operations!AJ79+Operations!AJ97</f>
        <v>52.4490966240749</v>
      </c>
      <c r="AK7" s="13" t="n">
        <f aca="false">Operations!AK84-Tax!AK27-Operations!AK96-Reserves!AK7+Operations!AK79+Operations!AK97</f>
        <v>52.1049530907206</v>
      </c>
      <c r="AL7" s="13" t="n">
        <f aca="false">Operations!AL84-Tax!AL27-Operations!AL96-Reserves!AL7+Operations!AL79+Operations!AL97</f>
        <v>52.6514512471158</v>
      </c>
      <c r="AM7" s="13" t="n">
        <f aca="false">Operations!AM84-Tax!AM27-Operations!AM96-Reserves!AM7+Operations!AM79+Operations!AM97</f>
        <v>52.9846165065847</v>
      </c>
      <c r="AN7" s="13" t="n">
        <f aca="false">Operations!AN84-Tax!AN27-Operations!AN96-Reserves!AN7+Operations!AN79+Operations!AN97</f>
        <v>53.5672342650934</v>
      </c>
      <c r="AO7" s="13" t="n">
        <f aca="false">Operations!AO84-Tax!AO27-Operations!AO96-Reserves!AO7+Operations!AO79+Operations!AO97</f>
        <v>50.6597042674252</v>
      </c>
      <c r="AP7" s="13" t="n">
        <f aca="false">Operations!AP84-Tax!AP27-Operations!AP96-Reserves!AP7+Operations!AP79+Operations!AP97</f>
        <v>51.3388059528544</v>
      </c>
      <c r="AQ7" s="13" t="n">
        <f aca="false">Operations!AQ84-Tax!AQ27-Operations!AQ96-Reserves!AQ7+Operations!AQ79+Operations!AQ97</f>
        <v>50.9858164161793</v>
      </c>
      <c r="AR7" s="13" t="n">
        <f aca="false">Operations!AR84-Tax!AR27-Operations!AR96-Reserves!AR7+Operations!AR79+Operations!AR97</f>
        <v>42.9383801241977</v>
      </c>
      <c r="AS7" s="13" t="n">
        <f aca="false">Operations!AS84-Tax!AS27-Operations!AS96-Reserves!AS7+Operations!AS79+Operations!AS97</f>
        <v>41.8152724350504</v>
      </c>
      <c r="AT7" s="13" t="n">
        <f aca="false">Operations!AT84-Tax!AT27-Operations!AT96-Reserves!AT7+Operations!AT79+Operations!AT97</f>
        <v>42.2365002861952</v>
      </c>
      <c r="AU7" s="13" t="n">
        <f aca="false">Operations!AU84-Tax!AU27-Operations!AU96-Reserves!AU7+Operations!AU79+Operations!AU97</f>
        <v>48.2359769265088</v>
      </c>
      <c r="AV7" s="13" t="n">
        <f aca="false">Operations!AV84-Tax!AV27-Operations!AV96-Reserves!AV7+Operations!AV79+Operations!AV97</f>
        <v>44.7326492101122</v>
      </c>
      <c r="AW7" s="13" t="n">
        <f aca="false">Operations!AW84-Tax!AW27-Operations!AW96-Reserves!AW7+Operations!AW79+Operations!AW97</f>
        <v>43.776613843306</v>
      </c>
      <c r="AX7" s="13" t="n">
        <f aca="false">Operations!AX84-Tax!AX27-Operations!AX96-Reserves!AX7+Operations!AX79+Operations!AX97</f>
        <v>44.4354267369936</v>
      </c>
      <c r="AY7" s="13" t="n">
        <f aca="false">Operations!AY84-Tax!AY27-Operations!AY96-Reserves!AY7+Operations!AY79+Operations!AY97</f>
        <v>44.0254806356794</v>
      </c>
      <c r="AZ7" s="13" t="n">
        <f aca="false">Operations!AZ84-Tax!AZ27-Operations!AZ96-Reserves!AZ7+Operations!AZ79+Operations!AZ97</f>
        <v>44.6600563620943</v>
      </c>
      <c r="BA7" s="13" t="n">
        <f aca="false">Operations!BA84-Tax!BA27-Operations!BA96-Reserves!BA7+Operations!BA79+Operations!BA97</f>
        <v>44.2728127632001</v>
      </c>
      <c r="BB7" s="13" t="n">
        <f aca="false">Operations!BB84-Tax!BB27-Operations!BB96-Reserves!BB7+Operations!BB79+Operations!BB97</f>
        <v>44.8093483273826</v>
      </c>
      <c r="BC7" s="13" t="n">
        <f aca="false">Operations!BC84-Tax!BC27-Operations!BC96-Reserves!BC7+Operations!BC79+Operations!BC97</f>
        <v>46.2402191845607</v>
      </c>
      <c r="BD7" s="13" t="n">
        <f aca="false">Operations!BD84-Tax!BD27-Operations!BD96-Reserves!BD7+Operations!BD79+Operations!BD97</f>
        <v>43.7577699555498</v>
      </c>
      <c r="BE7" s="13" t="n">
        <f aca="false">Operations!BE84-Tax!BE27-Operations!BE96-Reserves!BE7+Operations!BE79+Operations!BE97</f>
        <v>36.3323494486259</v>
      </c>
      <c r="BF7" s="13" t="n">
        <f aca="false">Operations!BF84-Tax!BF27-Operations!BF96-Reserves!BF7+Operations!BF79+Operations!BF97</f>
        <v>37.0180080271656</v>
      </c>
      <c r="BG7" s="13" t="n">
        <f aca="false">Operations!BG84-Tax!BG27-Operations!BG96-Reserves!BG7+Operations!BG79+Operations!BG97</f>
        <v>36.6020033309645</v>
      </c>
      <c r="BH7" s="13" t="n">
        <f aca="false">Operations!BH84-Tax!BH27-Operations!BH96-Reserves!BH7+Operations!BH79+Operations!BH97</f>
        <v>37.2619689506319</v>
      </c>
      <c r="BI7" s="13" t="n">
        <f aca="false">Operations!BI84-Tax!BI27-Operations!BI96-Reserves!BI7+Operations!BI79+Operations!BI97</f>
        <v>36.8645169597715</v>
      </c>
      <c r="BJ7" s="13" t="n">
        <f aca="false">Operations!BJ84-Tax!BJ27-Operations!BJ96-Reserves!BJ7+Operations!BJ79+Operations!BJ97</f>
        <v>37.4663555697208</v>
      </c>
      <c r="BK7" s="13" t="n">
        <f aca="false">Operations!BK84-Tax!BK27-Operations!BK96-Reserves!BK7+Operations!BK79+Operations!BK97</f>
        <v>44.7157334175965</v>
      </c>
      <c r="BL7" s="13" t="n">
        <f aca="false">Operations!BL84-Tax!BL27-Operations!BL96-Reserves!BL7+Operations!BL79+Operations!BL97</f>
        <v>40.457487289537</v>
      </c>
      <c r="BM7" s="13" t="n">
        <f aca="false">Operations!BM84-Tax!BM27-Operations!BM96-Reserves!BM7+Operations!BM79+Operations!BM97</f>
        <v>40.0599103544488</v>
      </c>
      <c r="BN7" s="13" t="n">
        <f aca="false">Operations!BN84-Tax!BN27-Operations!BN96-Reserves!BN7+Operations!BN79+Operations!BN97</f>
        <v>37.2316943142061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0</v>
      </c>
      <c r="Q8" s="13" t="n">
        <f aca="false">IF(Time!Q34=1,INDEX(Funding!$J$54:$BJ$54,1,Time!$F$14),0)+P30+P42</f>
        <v>1.86721444482732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0</v>
      </c>
      <c r="P9" s="13" t="n">
        <f aca="false">P7+P8</f>
        <v>1.86721444482732</v>
      </c>
      <c r="Q9" s="13" t="n">
        <f aca="false">Q7+Q8</f>
        <v>52.0366493708077</v>
      </c>
      <c r="R9" s="13" t="n">
        <f aca="false">R7+R8</f>
        <v>50.7589649640819</v>
      </c>
      <c r="S9" s="13" t="n">
        <f aca="false">S7+S8</f>
        <v>50.4233190401177</v>
      </c>
      <c r="T9" s="13" t="n">
        <f aca="false">T7+T8</f>
        <v>51.0022495144261</v>
      </c>
      <c r="U9" s="13" t="n">
        <f aca="false">U7+U8</f>
        <v>50.6723125847848</v>
      </c>
      <c r="V9" s="13" t="n">
        <f aca="false">V7+V8</f>
        <v>51.1693558860182</v>
      </c>
      <c r="W9" s="13" t="n">
        <f aca="false">W7+W8</f>
        <v>51.4024493908331</v>
      </c>
      <c r="X9" s="13" t="n">
        <f aca="false">X7+X8</f>
        <v>51.9502968022351</v>
      </c>
      <c r="Y9" s="13" t="n">
        <f aca="false">Y7+Y8</f>
        <v>49.460994216498</v>
      </c>
      <c r="Z9" s="13" t="n">
        <f aca="false">Z7+Z8</f>
        <v>49.9717937201414</v>
      </c>
      <c r="AA9" s="13" t="n">
        <f aca="false">AA7+AA8</f>
        <v>49.3840999040299</v>
      </c>
      <c r="AB9" s="13" t="n">
        <f aca="false">AB7+AB8</f>
        <v>49.9820197005408</v>
      </c>
      <c r="AC9" s="13" t="n">
        <f aca="false">AC7+AC8</f>
        <v>49.6443667431118</v>
      </c>
      <c r="AD9" s="13" t="n">
        <f aca="false">AD7+AD8</f>
        <v>50.2015579797273</v>
      </c>
      <c r="AE9" s="13" t="n">
        <f aca="false">AE7+AE8</f>
        <v>51.3752461862275</v>
      </c>
      <c r="AF9" s="13" t="n">
        <f aca="false">AF7+AF8</f>
        <v>52.3831778159556</v>
      </c>
      <c r="AG9" s="13" t="n">
        <f aca="false">AG7+AG8</f>
        <v>51.5272391835451</v>
      </c>
      <c r="AH9" s="13" t="n">
        <f aca="false">AH7+AH8</f>
        <v>52.1805404506068</v>
      </c>
      <c r="AI9" s="13" t="n">
        <f aca="false">AI7+AI8</f>
        <v>51.828817762181</v>
      </c>
      <c r="AJ9" s="13" t="n">
        <f aca="false">AJ7+AJ8</f>
        <v>52.4490966240749</v>
      </c>
      <c r="AK9" s="13" t="n">
        <f aca="false">AK7+AK8</f>
        <v>52.1049530907206</v>
      </c>
      <c r="AL9" s="13" t="n">
        <f aca="false">AL7+AL8</f>
        <v>52.6514512471158</v>
      </c>
      <c r="AM9" s="13" t="n">
        <f aca="false">AM7+AM8</f>
        <v>52.9846165065847</v>
      </c>
      <c r="AN9" s="13" t="n">
        <f aca="false">AN7+AN8</f>
        <v>53.5672342650934</v>
      </c>
      <c r="AO9" s="13" t="n">
        <f aca="false">AO7+AO8</f>
        <v>50.6597042674252</v>
      </c>
      <c r="AP9" s="13" t="n">
        <f aca="false">AP7+AP8</f>
        <v>51.3388059528544</v>
      </c>
      <c r="AQ9" s="13" t="n">
        <f aca="false">AQ7+AQ8</f>
        <v>50.9858164161793</v>
      </c>
      <c r="AR9" s="13" t="n">
        <f aca="false">AR7+AR8</f>
        <v>42.9383801241977</v>
      </c>
      <c r="AS9" s="13" t="n">
        <f aca="false">AS7+AS8</f>
        <v>41.8152724350504</v>
      </c>
      <c r="AT9" s="13" t="n">
        <f aca="false">AT7+AT8</f>
        <v>42.2365002861952</v>
      </c>
      <c r="AU9" s="13" t="n">
        <f aca="false">AU7+AU8</f>
        <v>48.2359769265088</v>
      </c>
      <c r="AV9" s="13" t="n">
        <f aca="false">AV7+AV8</f>
        <v>44.7326492101122</v>
      </c>
      <c r="AW9" s="13" t="n">
        <f aca="false">AW7+AW8</f>
        <v>43.776613843306</v>
      </c>
      <c r="AX9" s="13" t="n">
        <f aca="false">AX7+AX8</f>
        <v>44.4354267369936</v>
      </c>
      <c r="AY9" s="13" t="n">
        <f aca="false">AY7+AY8</f>
        <v>44.0254806356794</v>
      </c>
      <c r="AZ9" s="13" t="n">
        <f aca="false">AZ7+AZ8</f>
        <v>44.6600563620943</v>
      </c>
      <c r="BA9" s="13" t="n">
        <f aca="false">BA7+BA8</f>
        <v>44.2728127632001</v>
      </c>
      <c r="BB9" s="13" t="n">
        <f aca="false">BB7+BB8</f>
        <v>44.8093483273826</v>
      </c>
      <c r="BC9" s="13" t="n">
        <f aca="false">BC7+BC8</f>
        <v>46.2402191845607</v>
      </c>
      <c r="BD9" s="13" t="n">
        <f aca="false">BD7+BD8</f>
        <v>43.7577699555498</v>
      </c>
      <c r="BE9" s="13" t="n">
        <f aca="false">BE7+BE8</f>
        <v>36.3323494486259</v>
      </c>
      <c r="BF9" s="13" t="n">
        <f aca="false">BF7+BF8</f>
        <v>37.0180080271656</v>
      </c>
      <c r="BG9" s="13" t="n">
        <f aca="false">BG7+BG8</f>
        <v>36.6020033309645</v>
      </c>
      <c r="BH9" s="13" t="n">
        <f aca="false">BH7+BH8</f>
        <v>37.2619689506319</v>
      </c>
      <c r="BI9" s="13" t="n">
        <f aca="false">BI7+BI8</f>
        <v>36.8645169597715</v>
      </c>
      <c r="BJ9" s="13" t="n">
        <f aca="false">BJ7+BJ8</f>
        <v>37.4663555697208</v>
      </c>
      <c r="BK9" s="13" t="n">
        <f aca="false">BK7+BK8</f>
        <v>44.7157334175965</v>
      </c>
      <c r="BL9" s="13" t="n">
        <f aca="false">BL7+BL8</f>
        <v>40.457487289537</v>
      </c>
      <c r="BM9" s="13" t="n">
        <f aca="false">BM7+BM8</f>
        <v>40.0599103544488</v>
      </c>
      <c r="BN9" s="13" t="n">
        <f aca="false">BN7+BN8</f>
        <v>37.2316943142061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884.305333593165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0</v>
      </c>
      <c r="Q10" s="13" t="n">
        <f aca="false">Debt!Q114+Debt!Q110</f>
        <v>39.5901571901212</v>
      </c>
      <c r="R10" s="13" t="n">
        <f aca="false">Debt!R114+Debt!R110</f>
        <v>40.0955116122781</v>
      </c>
      <c r="S10" s="13" t="n">
        <f aca="false">Debt!S114+Debt!S110</f>
        <v>39.7778387053405</v>
      </c>
      <c r="T10" s="13" t="n">
        <f aca="false">Debt!T114+Debt!T110</f>
        <v>40.2295607160554</v>
      </c>
      <c r="U10" s="13" t="n">
        <f aca="false">Debt!U114+Debt!U110</f>
        <v>40.0312842957064</v>
      </c>
      <c r="V10" s="13" t="n">
        <f aca="false">Debt!V114+Debt!V110</f>
        <v>40.7986666606384</v>
      </c>
      <c r="W10" s="13" t="n">
        <f aca="false">Debt!W114+Debt!W110</f>
        <v>40.5087228524253</v>
      </c>
      <c r="X10" s="13" t="n">
        <f aca="false">Debt!X114+Debt!X110</f>
        <v>39.3469132499841</v>
      </c>
      <c r="Y10" s="13" t="n">
        <f aca="false">Debt!Y114+Debt!Y110</f>
        <v>38.959871050273</v>
      </c>
      <c r="Z10" s="13" t="n">
        <f aca="false">Debt!Z114+Debt!Z110</f>
        <v>39.2853733075215</v>
      </c>
      <c r="AA10" s="13" t="n">
        <f aca="false">Debt!AA114+Debt!AA110</f>
        <v>38.9619967644553</v>
      </c>
      <c r="AB10" s="13" t="n">
        <f aca="false">Debt!AB114+Debt!AB110</f>
        <v>38.9040612496062</v>
      </c>
      <c r="AC10" s="13" t="n">
        <f aca="false">Debt!AC114+Debt!AC110</f>
        <v>38.102279149648</v>
      </c>
      <c r="AD10" s="13" t="n">
        <f aca="false">Debt!AD114+Debt!AD110</f>
        <v>38.9377908182559</v>
      </c>
      <c r="AE10" s="13" t="n">
        <f aca="false">Debt!AE114+Debt!AE110</f>
        <v>38.2616281837401</v>
      </c>
      <c r="AF10" s="13" t="n">
        <f aca="false">Debt!AF114+Debt!AF110</f>
        <v>37.4495067475116</v>
      </c>
      <c r="AG10" s="13" t="n">
        <f aca="false">Debt!AG114+Debt!AG110</f>
        <v>35.9604540674679</v>
      </c>
      <c r="AH10" s="13" t="n">
        <f aca="false">Debt!AH114+Debt!AH110</f>
        <v>35.1023329114203</v>
      </c>
      <c r="AI10" s="13" t="n">
        <f aca="false">Debt!AI114+Debt!AI110</f>
        <v>33.1612569631142</v>
      </c>
      <c r="AJ10" s="13" t="n">
        <f aca="false">Debt!AJ114+Debt!AJ110</f>
        <v>31.4701215967613</v>
      </c>
      <c r="AK10" s="13" t="n">
        <f aca="false">Debt!AK114+Debt!AK110</f>
        <v>28.509962711044</v>
      </c>
      <c r="AL10" s="13" t="n">
        <f aca="false">Debt!AL114+Debt!AL110</f>
        <v>25.2566027924577</v>
      </c>
      <c r="AM10" s="13" t="n">
        <f aca="false">Debt!AM114+Debt!AM110</f>
        <v>25.0990387543341</v>
      </c>
      <c r="AN10" s="13" t="n">
        <f aca="false">Debt!AN114+Debt!AN110</f>
        <v>20.3736881724253</v>
      </c>
      <c r="AO10" s="13" t="n">
        <f aca="false">Debt!AO114+Debt!AO110</f>
        <v>20.1307130705795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0</v>
      </c>
      <c r="P13" s="13" t="n">
        <f aca="false">MAX(0,P9-P10)</f>
        <v>1.86721444482732</v>
      </c>
      <c r="Q13" s="13" t="n">
        <f aca="false">MAX(0,Q9-Q10)</f>
        <v>12.4464921806866</v>
      </c>
      <c r="R13" s="13" t="n">
        <f aca="false">MAX(0,R9-R10)</f>
        <v>10.6634533518038</v>
      </c>
      <c r="S13" s="13" t="n">
        <f aca="false">MAX(0,S9-S10)</f>
        <v>10.6454803347772</v>
      </c>
      <c r="T13" s="13" t="n">
        <f aca="false">MAX(0,T9-T10)</f>
        <v>10.7726887983707</v>
      </c>
      <c r="U13" s="13" t="n">
        <f aca="false">MAX(0,U9-U10)</f>
        <v>10.6410282890784</v>
      </c>
      <c r="V13" s="13" t="n">
        <f aca="false">MAX(0,V9-V10)</f>
        <v>10.3706892253798</v>
      </c>
      <c r="W13" s="13" t="n">
        <f aca="false">MAX(0,W9-W10)</f>
        <v>10.8937265384078</v>
      </c>
      <c r="X13" s="13" t="n">
        <f aca="false">MAX(0,X9-X10)</f>
        <v>12.6033835522511</v>
      </c>
      <c r="Y13" s="13" t="n">
        <f aca="false">MAX(0,Y9-Y10)</f>
        <v>10.501123166225</v>
      </c>
      <c r="Z13" s="13" t="n">
        <f aca="false">MAX(0,Z9-Z10)</f>
        <v>10.6864204126199</v>
      </c>
      <c r="AA13" s="13" t="n">
        <f aca="false">MAX(0,AA9-AA10)</f>
        <v>10.4221031395747</v>
      </c>
      <c r="AB13" s="13" t="n">
        <f aca="false">MAX(0,AB9-AB10)</f>
        <v>11.0779584509346</v>
      </c>
      <c r="AC13" s="13" t="n">
        <f aca="false">MAX(0,AC9-AC10)</f>
        <v>11.5420875934638</v>
      </c>
      <c r="AD13" s="13" t="n">
        <f aca="false">MAX(0,AD9-AD10)</f>
        <v>11.2637671614714</v>
      </c>
      <c r="AE13" s="13" t="n">
        <f aca="false">MAX(0,AE9-AE10)</f>
        <v>13.1136180024874</v>
      </c>
      <c r="AF13" s="13" t="n">
        <f aca="false">MAX(0,AF9-AF10)</f>
        <v>14.933671068444</v>
      </c>
      <c r="AG13" s="13" t="n">
        <f aca="false">MAX(0,AG9-AG10)</f>
        <v>15.5667851160773</v>
      </c>
      <c r="AH13" s="13" t="n">
        <f aca="false">MAX(0,AH9-AH10)</f>
        <v>17.0782075391865</v>
      </c>
      <c r="AI13" s="13" t="n">
        <f aca="false">MAX(0,AI9-AI10)</f>
        <v>18.6675607990668</v>
      </c>
      <c r="AJ13" s="13" t="n">
        <f aca="false">MAX(0,AJ9-AJ10)</f>
        <v>20.9789750273135</v>
      </c>
      <c r="AK13" s="13" t="n">
        <f aca="false">MAX(0,AK9-AK10)</f>
        <v>23.5949903796766</v>
      </c>
      <c r="AL13" s="13" t="n">
        <f aca="false">MAX(0,AL9-AL10)</f>
        <v>27.3948484546581</v>
      </c>
      <c r="AM13" s="13" t="n">
        <f aca="false">MAX(0,AM9-AM10)</f>
        <v>27.8855777522506</v>
      </c>
      <c r="AN13" s="13" t="n">
        <f aca="false">MAX(0,AN9-AN10)</f>
        <v>33.1935460926681</v>
      </c>
      <c r="AO13" s="13" t="n">
        <f aca="false">MAX(0,AO9-AO10)</f>
        <v>30.5289911968457</v>
      </c>
      <c r="AP13" s="13" t="n">
        <f aca="false">MAX(0,AP9-AP10)</f>
        <v>51.3388059528544</v>
      </c>
      <c r="AQ13" s="13" t="n">
        <f aca="false">MAX(0,AQ9-AQ10)</f>
        <v>50.9858164161793</v>
      </c>
      <c r="AR13" s="13" t="n">
        <f aca="false">MAX(0,AR9-AR10)</f>
        <v>42.9383801241977</v>
      </c>
      <c r="AS13" s="13" t="n">
        <f aca="false">MAX(0,AS9-AS10)</f>
        <v>41.8152724350504</v>
      </c>
      <c r="AT13" s="13" t="n">
        <f aca="false">MAX(0,AT9-AT10)</f>
        <v>42.2365002861952</v>
      </c>
      <c r="AU13" s="13" t="n">
        <f aca="false">MAX(0,AU9-AU10)</f>
        <v>48.2359769265088</v>
      </c>
      <c r="AV13" s="13" t="n">
        <f aca="false">MAX(0,AV9-AV10)</f>
        <v>44.7326492101122</v>
      </c>
      <c r="AW13" s="13" t="n">
        <f aca="false">MAX(0,AW9-AW10)</f>
        <v>43.776613843306</v>
      </c>
      <c r="AX13" s="13" t="n">
        <f aca="false">MAX(0,AX9-AX10)</f>
        <v>44.4354267369936</v>
      </c>
      <c r="AY13" s="13" t="n">
        <f aca="false">MAX(0,AY9-AY10)</f>
        <v>44.0254806356794</v>
      </c>
      <c r="AZ13" s="13" t="n">
        <f aca="false">MAX(0,AZ9-AZ10)</f>
        <v>44.6600563620943</v>
      </c>
      <c r="BA13" s="13" t="n">
        <f aca="false">MAX(0,BA9-BA10)</f>
        <v>44.2728127632001</v>
      </c>
      <c r="BB13" s="13" t="n">
        <f aca="false">MAX(0,BB9-BB10)</f>
        <v>44.8093483273826</v>
      </c>
      <c r="BC13" s="13" t="n">
        <f aca="false">MAX(0,BC9-BC10)</f>
        <v>46.2402191845607</v>
      </c>
      <c r="BD13" s="13" t="n">
        <f aca="false">MAX(0,BD9-BD10)</f>
        <v>43.7577699555498</v>
      </c>
      <c r="BE13" s="13" t="n">
        <f aca="false">MAX(0,BE9-BE10)</f>
        <v>36.3323494486259</v>
      </c>
      <c r="BF13" s="13" t="n">
        <f aca="false">MAX(0,BF9-BF10)</f>
        <v>37.0180080271656</v>
      </c>
      <c r="BG13" s="13" t="n">
        <f aca="false">MAX(0,BG9-BG10)</f>
        <v>36.6020033309645</v>
      </c>
      <c r="BH13" s="13" t="n">
        <f aca="false">MAX(0,BH9-BH10)</f>
        <v>37.2619689506319</v>
      </c>
      <c r="BI13" s="13" t="n">
        <f aca="false">MAX(0,BI9-BI10)</f>
        <v>36.8645169597715</v>
      </c>
      <c r="BJ13" s="13" t="n">
        <f aca="false">MAX(0,BJ9-BJ10)</f>
        <v>37.4663555697208</v>
      </c>
      <c r="BK13" s="13" t="n">
        <f aca="false">MAX(0,BK9-BK10)</f>
        <v>44.7157334175965</v>
      </c>
      <c r="BL13" s="13" t="n">
        <f aca="false">MAX(0,BL9-BL10)</f>
        <v>40.457487289537</v>
      </c>
      <c r="BM13" s="13" t="n">
        <f aca="false">MAX(0,BM9-BM10)</f>
        <v>40.0599103544488</v>
      </c>
      <c r="BN13" s="13" t="n">
        <f aca="false">MAX(0,BN9-BN10)</f>
        <v>37.2316943142061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0</v>
      </c>
      <c r="P14" s="13" t="n">
        <f aca="false">P13-Reserves!P11+Reserves!P12</f>
        <v>1.86721444482732</v>
      </c>
      <c r="Q14" s="13" t="n">
        <f aca="false">Q13-Reserves!Q11+Reserves!Q12</f>
        <v>11.9411377585296</v>
      </c>
      <c r="R14" s="13" t="n">
        <f aca="false">R13-Reserves!R11+Reserves!R12</f>
        <v>10.9811262587414</v>
      </c>
      <c r="S14" s="13" t="n">
        <f aca="false">S13-Reserves!S11+Reserves!S12</f>
        <v>10.1937583240623</v>
      </c>
      <c r="T14" s="13" t="n">
        <f aca="false">T13-Reserves!T11+Reserves!T12</f>
        <v>10.9709652187198</v>
      </c>
      <c r="U14" s="13" t="n">
        <f aca="false">U13-Reserves!U11+Reserves!U12</f>
        <v>9.87364592414637</v>
      </c>
      <c r="V14" s="13" t="n">
        <f aca="false">V13-Reserves!V11+Reserves!V12</f>
        <v>10.6606330335929</v>
      </c>
      <c r="W14" s="13" t="n">
        <f aca="false">W13-Reserves!W11+Reserves!W12</f>
        <v>12.055536140849</v>
      </c>
      <c r="X14" s="13" t="n">
        <f aca="false">X13-Reserves!X11+Reserves!X12</f>
        <v>12.9904257519621</v>
      </c>
      <c r="Y14" s="13" t="n">
        <f aca="false">Y13-Reserves!Y11+Reserves!Y12</f>
        <v>10.1756209089765</v>
      </c>
      <c r="Z14" s="13" t="n">
        <f aca="false">Z13-Reserves!Z11+Reserves!Z12</f>
        <v>11.0097969556862</v>
      </c>
      <c r="AA14" s="13" t="n">
        <f aca="false">AA13-Reserves!AA11+Reserves!AA12</f>
        <v>9.95937463882187</v>
      </c>
      <c r="AB14" s="13" t="n">
        <f aca="false">AB13-Reserves!AB11+Reserves!AB12</f>
        <v>11.7582181420375</v>
      </c>
      <c r="AC14" s="13" t="n">
        <f aca="false">AC13-Reserves!AC11+Reserves!AC12</f>
        <v>10.7082500489996</v>
      </c>
      <c r="AD14" s="13" t="n">
        <f aca="false">AD13-Reserves!AD11+Reserves!AD12</f>
        <v>11.8267719755945</v>
      </c>
      <c r="AE14" s="13" t="n">
        <f aca="false">AE13-Reserves!AE11+Reserves!AE12</f>
        <v>13.7313988915543</v>
      </c>
      <c r="AF14" s="13" t="n">
        <f aca="false">AF13-Reserves!AF11+Reserves!AF12</f>
        <v>16.1543504823205</v>
      </c>
      <c r="AG14" s="13" t="n">
        <f aca="false">AG13-Reserves!AG11+Reserves!AG12</f>
        <v>16.2742901184063</v>
      </c>
      <c r="AH14" s="13" t="n">
        <f aca="false">AH13-Reserves!AH11+Reserves!AH12</f>
        <v>18.6495100111663</v>
      </c>
      <c r="AI14" s="13" t="n">
        <f aca="false">AI13-Reserves!AI11+Reserves!AI12</f>
        <v>19.943694283762</v>
      </c>
      <c r="AJ14" s="13" t="n">
        <f aca="false">AJ13-Reserves!AJ11+Reserves!AJ12</f>
        <v>23.1539617566554</v>
      </c>
      <c r="AK14" s="13" t="n">
        <f aca="false">AK13-Reserves!AK11+Reserves!AK12</f>
        <v>25.7694856170116</v>
      </c>
      <c r="AL14" s="13" t="n">
        <f aca="false">AL13-Reserves!AL11+Reserves!AL12</f>
        <v>31.568224776146</v>
      </c>
      <c r="AM14" s="13" t="n">
        <f aca="false">AM13-Reserves!AM11+Reserves!AM12</f>
        <v>32.6109283341595</v>
      </c>
      <c r="AN14" s="13" t="n">
        <f aca="false">AN13-Reserves!AN11+Reserves!AN12</f>
        <v>33.4365211945138</v>
      </c>
      <c r="AO14" s="13" t="n">
        <f aca="false">AO13-Reserves!AO11+Reserves!AO12</f>
        <v>50.6597042674252</v>
      </c>
      <c r="AP14" s="13" t="n">
        <f aca="false">AP13-Reserves!AP11+Reserves!AP12</f>
        <v>51.3388059528544</v>
      </c>
      <c r="AQ14" s="13" t="n">
        <f aca="false">AQ13-Reserves!AQ11+Reserves!AQ12</f>
        <v>50.9858164161793</v>
      </c>
      <c r="AR14" s="13" t="n">
        <f aca="false">AR13-Reserves!AR11+Reserves!AR12</f>
        <v>42.9383801241977</v>
      </c>
      <c r="AS14" s="13" t="n">
        <f aca="false">AS13-Reserves!AS11+Reserves!AS12</f>
        <v>41.8152724350504</v>
      </c>
      <c r="AT14" s="13" t="n">
        <f aca="false">AT13-Reserves!AT11+Reserves!AT12</f>
        <v>42.2365002861952</v>
      </c>
      <c r="AU14" s="13" t="n">
        <f aca="false">AU13-Reserves!AU11+Reserves!AU12</f>
        <v>48.2359769265088</v>
      </c>
      <c r="AV14" s="13" t="n">
        <f aca="false">AV13-Reserves!AV11+Reserves!AV12</f>
        <v>44.7326492101122</v>
      </c>
      <c r="AW14" s="13" t="n">
        <f aca="false">AW13-Reserves!AW11+Reserves!AW12</f>
        <v>43.776613843306</v>
      </c>
      <c r="AX14" s="13" t="n">
        <f aca="false">AX13-Reserves!AX11+Reserves!AX12</f>
        <v>44.4354267369936</v>
      </c>
      <c r="AY14" s="13" t="n">
        <f aca="false">AY13-Reserves!AY11+Reserves!AY12</f>
        <v>44.0254806356794</v>
      </c>
      <c r="AZ14" s="13" t="n">
        <f aca="false">AZ13-Reserves!AZ11+Reserves!AZ12</f>
        <v>44.6600563620943</v>
      </c>
      <c r="BA14" s="13" t="n">
        <f aca="false">BA13-Reserves!BA11+Reserves!BA12</f>
        <v>44.2728127632001</v>
      </c>
      <c r="BB14" s="13" t="n">
        <f aca="false">BB13-Reserves!BB11+Reserves!BB12</f>
        <v>44.8093483273826</v>
      </c>
      <c r="BC14" s="13" t="n">
        <f aca="false">BC13-Reserves!BC11+Reserves!BC12</f>
        <v>46.2402191845607</v>
      </c>
      <c r="BD14" s="13" t="n">
        <f aca="false">BD13-Reserves!BD11+Reserves!BD12</f>
        <v>43.7577699555498</v>
      </c>
      <c r="BE14" s="13" t="n">
        <f aca="false">BE13-Reserves!BE11+Reserves!BE12</f>
        <v>36.3323494486259</v>
      </c>
      <c r="BF14" s="13" t="n">
        <f aca="false">BF13-Reserves!BF11+Reserves!BF12</f>
        <v>37.0180080271656</v>
      </c>
      <c r="BG14" s="13" t="n">
        <f aca="false">BG13-Reserves!BG11+Reserves!BG12</f>
        <v>36.6020033309645</v>
      </c>
      <c r="BH14" s="13" t="n">
        <f aca="false">BH13-Reserves!BH11+Reserves!BH12</f>
        <v>37.2619689506319</v>
      </c>
      <c r="BI14" s="13" t="n">
        <f aca="false">BI13-Reserves!BI11+Reserves!BI12</f>
        <v>36.8645169597715</v>
      </c>
      <c r="BJ14" s="13" t="n">
        <f aca="false">BJ13-Reserves!BJ11+Reserves!BJ12</f>
        <v>37.4663555697208</v>
      </c>
      <c r="BK14" s="13" t="n">
        <f aca="false">BK13-Reserves!BK11+Reserves!BK12</f>
        <v>44.7157334175965</v>
      </c>
      <c r="BL14" s="13" t="n">
        <f aca="false">BL13-Reserves!BL11+Reserves!BL12</f>
        <v>40.457487289537</v>
      </c>
      <c r="BM14" s="13" t="n">
        <f aca="false">BM13-Reserves!BM11+Reserves!BM12</f>
        <v>40.0599103544488</v>
      </c>
      <c r="BN14" s="13" t="n">
        <f aca="false">BN13-Reserves!BN11+Reserves!BN12</f>
        <v>37.2316943142061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0</v>
      </c>
      <c r="P15" s="13" t="n">
        <f aca="false">P14-Reserves!P14+Reserves!P15</f>
        <v>1.86721444482732</v>
      </c>
      <c r="Q15" s="13" t="n">
        <f aca="false">Q14-Reserves!Q14+Reserves!Q15</f>
        <v>11.9411377585296</v>
      </c>
      <c r="R15" s="13" t="n">
        <f aca="false">R14-Reserves!R14+Reserves!R15</f>
        <v>10.9811262587414</v>
      </c>
      <c r="S15" s="13" t="n">
        <f aca="false">S14-Reserves!S14+Reserves!S15</f>
        <v>10.1937583240623</v>
      </c>
      <c r="T15" s="13" t="n">
        <f aca="false">T14-Reserves!T14+Reserves!T15</f>
        <v>10.9709652187198</v>
      </c>
      <c r="U15" s="13" t="n">
        <f aca="false">U14-Reserves!U14+Reserves!U15</f>
        <v>9.87364592414637</v>
      </c>
      <c r="V15" s="13" t="n">
        <f aca="false">V14-Reserves!V14+Reserves!V15</f>
        <v>10.6606330335929</v>
      </c>
      <c r="W15" s="13" t="n">
        <f aca="false">W14-Reserves!W14+Reserves!W15</f>
        <v>12.055536140849</v>
      </c>
      <c r="X15" s="13" t="n">
        <f aca="false">X14-Reserves!X14+Reserves!X15</f>
        <v>12.9904257519621</v>
      </c>
      <c r="Y15" s="13" t="n">
        <f aca="false">Y14-Reserves!Y14+Reserves!Y15</f>
        <v>10.1756209089765</v>
      </c>
      <c r="Z15" s="13" t="n">
        <f aca="false">Z14-Reserves!Z14+Reserves!Z15</f>
        <v>11.0097969556862</v>
      </c>
      <c r="AA15" s="13" t="n">
        <f aca="false">AA14-Reserves!AA14+Reserves!AA15</f>
        <v>9.95937463882187</v>
      </c>
      <c r="AB15" s="13" t="n">
        <f aca="false">AB14-Reserves!AB14+Reserves!AB15</f>
        <v>11.7582181420375</v>
      </c>
      <c r="AC15" s="13" t="n">
        <f aca="false">AC14-Reserves!AC14+Reserves!AC15</f>
        <v>10.7082500489996</v>
      </c>
      <c r="AD15" s="13" t="n">
        <f aca="false">AD14-Reserves!AD14+Reserves!AD15</f>
        <v>11.8267719755945</v>
      </c>
      <c r="AE15" s="13" t="n">
        <f aca="false">AE14-Reserves!AE14+Reserves!AE15</f>
        <v>13.7313988915543</v>
      </c>
      <c r="AF15" s="13" t="n">
        <f aca="false">AF14-Reserves!AF14+Reserves!AF15</f>
        <v>16.1543504823205</v>
      </c>
      <c r="AG15" s="13" t="n">
        <f aca="false">AG14-Reserves!AG14+Reserves!AG15</f>
        <v>16.2742901184063</v>
      </c>
      <c r="AH15" s="13" t="n">
        <f aca="false">AH14-Reserves!AH14+Reserves!AH15</f>
        <v>18.6495100111663</v>
      </c>
      <c r="AI15" s="13" t="n">
        <f aca="false">AI14-Reserves!AI14+Reserves!AI15</f>
        <v>19.943694283762</v>
      </c>
      <c r="AJ15" s="13" t="n">
        <f aca="false">AJ14-Reserves!AJ14+Reserves!AJ15</f>
        <v>23.1539617566554</v>
      </c>
      <c r="AK15" s="13" t="n">
        <f aca="false">AK14-Reserves!AK14+Reserves!AK15</f>
        <v>25.7694856170116</v>
      </c>
      <c r="AL15" s="13" t="n">
        <f aca="false">AL14-Reserves!AL14+Reserves!AL15</f>
        <v>31.568224776146</v>
      </c>
      <c r="AM15" s="13" t="n">
        <f aca="false">AM14-Reserves!AM14+Reserves!AM15</f>
        <v>32.6109283341595</v>
      </c>
      <c r="AN15" s="13" t="n">
        <f aca="false">AN14-Reserves!AN14+Reserves!AN15</f>
        <v>33.4365211945138</v>
      </c>
      <c r="AO15" s="13" t="n">
        <f aca="false">AO14-Reserves!AO14+Reserves!AO15</f>
        <v>50.6597042674252</v>
      </c>
      <c r="AP15" s="13" t="n">
        <f aca="false">AP14-Reserves!AP14+Reserves!AP15</f>
        <v>51.3388059528544</v>
      </c>
      <c r="AQ15" s="13" t="n">
        <f aca="false">AQ14-Reserves!AQ14+Reserves!AQ15</f>
        <v>50.9858164161793</v>
      </c>
      <c r="AR15" s="13" t="n">
        <f aca="false">AR14-Reserves!AR14+Reserves!AR15</f>
        <v>42.9383801241977</v>
      </c>
      <c r="AS15" s="13" t="n">
        <f aca="false">AS14-Reserves!AS14+Reserves!AS15</f>
        <v>41.8152724350504</v>
      </c>
      <c r="AT15" s="13" t="n">
        <f aca="false">AT14-Reserves!AT14+Reserves!AT15</f>
        <v>42.2365002861952</v>
      </c>
      <c r="AU15" s="13" t="n">
        <f aca="false">AU14-Reserves!AU14+Reserves!AU15</f>
        <v>48.2359769265088</v>
      </c>
      <c r="AV15" s="13" t="n">
        <f aca="false">AV14-Reserves!AV14+Reserves!AV15</f>
        <v>44.7326492101122</v>
      </c>
      <c r="AW15" s="13" t="n">
        <f aca="false">AW14-Reserves!AW14+Reserves!AW15</f>
        <v>43.776613843306</v>
      </c>
      <c r="AX15" s="13" t="n">
        <f aca="false">AX14-Reserves!AX14+Reserves!AX15</f>
        <v>44.4354267369936</v>
      </c>
      <c r="AY15" s="13" t="n">
        <f aca="false">AY14-Reserves!AY14+Reserves!AY15</f>
        <v>44.0254806356794</v>
      </c>
      <c r="AZ15" s="13" t="n">
        <f aca="false">AZ14-Reserves!AZ14+Reserves!AZ15</f>
        <v>44.6600563620943</v>
      </c>
      <c r="BA15" s="13" t="n">
        <f aca="false">BA14-Reserves!BA14+Reserves!BA15</f>
        <v>44.2728127632001</v>
      </c>
      <c r="BB15" s="13" t="n">
        <f aca="false">BB14-Reserves!BB14+Reserves!BB15</f>
        <v>44.3089649091678</v>
      </c>
      <c r="BC15" s="13" t="n">
        <f aca="false">BC14-Reserves!BC14+Reserves!BC15</f>
        <v>44.7226461112184</v>
      </c>
      <c r="BD15" s="13" t="n">
        <f aca="false">BD14-Reserves!BD14+Reserves!BD15</f>
        <v>42.2235943953032</v>
      </c>
      <c r="BE15" s="13" t="n">
        <f aca="false">BE14-Reserves!BE14+Reserves!BE15</f>
        <v>34.7813897676701</v>
      </c>
      <c r="BF15" s="13" t="n">
        <f aca="false">BF14-Reserves!BF14+Reserves!BF15</f>
        <v>35.4500806045936</v>
      </c>
      <c r="BG15" s="13" t="n">
        <f aca="false">BG14-Reserves!BG14+Reserves!BG15</f>
        <v>35.0169225370277</v>
      </c>
      <c r="BH15" s="13" t="n">
        <f aca="false">BH14-Reserves!BH14+Reserves!BH15</f>
        <v>35.6595471247633</v>
      </c>
      <c r="BI15" s="13" t="n">
        <f aca="false">BI14-Reserves!BI14+Reserves!BI15</f>
        <v>35.2445643883681</v>
      </c>
      <c r="BJ15" s="13" t="n">
        <f aca="false">BJ14-Reserves!BJ14+Reserves!BJ15</f>
        <v>35.8286804636831</v>
      </c>
      <c r="BK15" s="13" t="n">
        <f aca="false">BK14-Reserves!BK14+Reserves!BK15</f>
        <v>43.0601418896222</v>
      </c>
      <c r="BL15" s="13" t="n">
        <f aca="false">BL14-Reserves!BL14+Reserves!BL15</f>
        <v>38.7837833311665</v>
      </c>
      <c r="BM15" s="13" t="n">
        <f aca="false">BM14-Reserves!BM14+Reserves!BM15</f>
        <v>38.3678958128591</v>
      </c>
      <c r="BN15" s="13" t="n">
        <f aca="false">BN14-Reserves!BN14+Reserves!BN15</f>
        <v>55.3691537947186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0</v>
      </c>
      <c r="Q17" s="6" t="n">
        <f aca="false">IF(Debt!Q114&gt;Inputs!$F$253,Q7/Debt!Q114,0)</f>
        <v>1.26721989723494</v>
      </c>
      <c r="R17" s="6" t="n">
        <f aca="false">IF(Debt!R114&gt;Inputs!$F$253,R7/Debt!R114,0)</f>
        <v>1.26595129786393</v>
      </c>
      <c r="S17" s="6" t="n">
        <f aca="false">IF(Debt!S114&gt;Inputs!$F$253,S7/Debt!S114,0)</f>
        <v>1.26762339738051</v>
      </c>
      <c r="T17" s="6" t="n">
        <f aca="false">IF(Debt!T114&gt;Inputs!$F$253,T7/Debt!T114,0)</f>
        <v>1.26778042331622</v>
      </c>
      <c r="U17" s="6" t="n">
        <f aca="false">IF(Debt!U114&gt;Inputs!$F$253,U7/Debt!U114,0)</f>
        <v>1.26581780915332</v>
      </c>
      <c r="V17" s="6" t="n">
        <f aca="false">IF(Debt!V114&gt;Inputs!$F$253,V7/Debt!V114,0)</f>
        <v>1.25419186640688</v>
      </c>
      <c r="W17" s="6" t="n">
        <f aca="false">IF(Debt!W114&gt;Inputs!$F$253,W7/Debt!W114,0)</f>
        <v>1.26892298180059</v>
      </c>
      <c r="X17" s="6" t="n">
        <f aca="false">IF(Debt!X114&gt;Inputs!$F$253,X7/Debt!X114,0)</f>
        <v>1.32031441633496</v>
      </c>
      <c r="Y17" s="6" t="n">
        <f aca="false">IF(Debt!Y114&gt;Inputs!$F$253,Y7/Debt!Y114,0)</f>
        <v>1.26953690767289</v>
      </c>
      <c r="Z17" s="6" t="n">
        <f aca="false">IF(Debt!Z114&gt;Inputs!$F$253,Z7/Debt!Z114,0)</f>
        <v>1.27202033512493</v>
      </c>
      <c r="AA17" s="6" t="n">
        <f aca="false">IF(Debt!AA114&gt;Inputs!$F$253,AA7/Debt!AA114,0)</f>
        <v>1.26749407127621</v>
      </c>
      <c r="AB17" s="6" t="n">
        <f aca="false">IF(Debt!AB114&gt;Inputs!$F$253,AB7/Debt!AB114,0)</f>
        <v>1.2847506942748</v>
      </c>
      <c r="AC17" s="6" t="n">
        <f aca="false">IF(Debt!AC114&gt;Inputs!$F$253,AC7/Debt!AC114,0)</f>
        <v>1.30292381062382</v>
      </c>
      <c r="AD17" s="6" t="n">
        <f aca="false">IF(Debt!AD114&gt;Inputs!$F$253,AD7/Debt!AD114,0)</f>
        <v>1.28927596878944</v>
      </c>
      <c r="AE17" s="6" t="n">
        <f aca="false">IF(Debt!AE114&gt;Inputs!$F$253,AE7/Debt!AE114,0)</f>
        <v>1.34273549310325</v>
      </c>
      <c r="AF17" s="6" t="n">
        <f aca="false">IF(Debt!AF114&gt;Inputs!$F$253,AF7/Debt!AF114,0)</f>
        <v>1.39876816453494</v>
      </c>
      <c r="AG17" s="6" t="n">
        <f aca="false">IF(Debt!AG114&gt;Inputs!$F$253,AG7/Debt!AG114,0)</f>
        <v>1.43288622237281</v>
      </c>
      <c r="AH17" s="6" t="n">
        <f aca="false">IF(Debt!AH114&gt;Inputs!$F$253,AH7/Debt!AH114,0)</f>
        <v>1.48652628252039</v>
      </c>
      <c r="AI17" s="6" t="n">
        <f aca="false">IF(Debt!AI114&gt;Inputs!$F$253,AI7/Debt!AI114,0)</f>
        <v>1.56293284720272</v>
      </c>
      <c r="AJ17" s="6" t="n">
        <f aca="false">IF(Debt!AJ114&gt;Inputs!$F$253,AJ7/Debt!AJ114,0)</f>
        <v>1.66663152103844</v>
      </c>
      <c r="AK17" s="6" t="n">
        <f aca="false">IF(Debt!AK114&gt;Inputs!$F$253,AK7/Debt!AK114,0)</f>
        <v>1.8276050943601</v>
      </c>
      <c r="AL17" s="6" t="n">
        <f aca="false">IF(Debt!AL114&gt;Inputs!$F$253,AL7/Debt!AL114,0)</f>
        <v>2.08466085798518</v>
      </c>
      <c r="AM17" s="6" t="n">
        <f aca="false">IF(Debt!AM114&gt;Inputs!$F$253,AM7/Debt!AM114,0)</f>
        <v>2.11102174171652</v>
      </c>
      <c r="AN17" s="6" t="n">
        <f aca="false">IF(Debt!AN114&gt;Inputs!$F$253,AN7/Debt!AN114,0)</f>
        <v>2.62923599358872</v>
      </c>
      <c r="AO17" s="6" t="n">
        <f aca="false">IF(Debt!AO114&gt;Inputs!$F$253,AO7/Debt!AO114,0)</f>
        <v>2.51653799295679</v>
      </c>
      <c r="AP17" s="6" t="n">
        <f aca="false">IF(Debt!AP114&gt;Inputs!$F$253,AP7/Debt!AP114,0)</f>
        <v>0</v>
      </c>
      <c r="AQ17" s="6" t="n">
        <f aca="false">IF(Debt!AQ114&gt;Inputs!$F$253,AQ7/Debt!AQ114,0)</f>
        <v>0</v>
      </c>
      <c r="AR17" s="6" t="n">
        <f aca="false">IF(Debt!AR114&gt;Inputs!$F$253,AR7/Debt!AR114,0)</f>
        <v>0</v>
      </c>
      <c r="AS17" s="6" t="n">
        <f aca="false">IF(Debt!AS114&gt;Inputs!$F$253,AS7/Debt!AS114,0)</f>
        <v>0</v>
      </c>
      <c r="AT17" s="6" t="n">
        <f aca="false">IF(Debt!AT114&gt;Inputs!$F$253,AT7/Debt!AT114,0)</f>
        <v>0</v>
      </c>
      <c r="AU17" s="6" t="n">
        <f aca="false">IF(Debt!AU114&gt;Inputs!$F$253,AU7/Debt!AU114,0)</f>
        <v>0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0</v>
      </c>
      <c r="Q18" s="6" t="n">
        <f aca="false">IF(Debt!Q114&gt;Inputs!$F$253,IF(Debt!P114&gt;Inputs!$F$253,(Q7+P7)/(Debt!Q114+Debt!P114),Q17),0)</f>
        <v>1.26721989723494</v>
      </c>
      <c r="R18" s="6" t="n">
        <f aca="false">IF(Debt!R114&gt;Inputs!$F$253,IF(Debt!Q114&gt;Inputs!$F$253,(R7+Q7)/(Debt!R114+Debt!Q114),R17),0)</f>
        <v>1.26658157491706</v>
      </c>
      <c r="S18" s="6" t="n">
        <f aca="false">IF(Debt!S114&gt;Inputs!$F$253,IF(Debt!R114&gt;Inputs!$F$253,(S7+R7)/(Debt!S114+Debt!R114),S17),0)</f>
        <v>1.26678402247865</v>
      </c>
      <c r="T18" s="6" t="n">
        <f aca="false">IF(Debt!T114&gt;Inputs!$F$253,IF(Debt!S114&gt;Inputs!$F$253,(T7+S7)/(Debt!T114+Debt!S114),T17),0)</f>
        <v>1.26770235363281</v>
      </c>
      <c r="U18" s="6" t="n">
        <f aca="false">IF(Debt!U114&gt;Inputs!$F$253,IF(Debt!T114&gt;Inputs!$F$253,(U7+T7)/(Debt!U114+Debt!T114),U17),0)</f>
        <v>1.26680154045614</v>
      </c>
      <c r="V18" s="6" t="n">
        <f aca="false">IF(Debt!V114&gt;Inputs!$F$253,IF(Debt!U114&gt;Inputs!$F$253,(V7+U7)/(Debt!V114+Debt!U114),V17),0)</f>
        <v>1.25994965066608</v>
      </c>
      <c r="W18" s="6" t="n">
        <f aca="false">IF(Debt!W114&gt;Inputs!$F$253,IF(Debt!V114&gt;Inputs!$F$253,(W7+V7)/(Debt!W114+Debt!V114),W17),0)</f>
        <v>1.26153115837486</v>
      </c>
      <c r="X18" s="6" t="n">
        <f aca="false">IF(Debt!X114&gt;Inputs!$F$253,IF(Debt!W114&gt;Inputs!$F$253,(X7+W7)/(Debt!X114+Debt!W114),X17),0)</f>
        <v>1.29424485531022</v>
      </c>
      <c r="Y18" s="6" t="n">
        <f aca="false">IF(Debt!Y114&gt;Inputs!$F$253,IF(Debt!X114&gt;Inputs!$F$253,(Y7+X7)/(Debt!Y114+Debt!X114),Y17),0)</f>
        <v>1.29505114946216</v>
      </c>
      <c r="Z18" s="6" t="n">
        <f aca="false">IF(Debt!Z114&gt;Inputs!$F$253,IF(Debt!Y114&gt;Inputs!$F$253,(Z7+Y7)/(Debt!Z114+Debt!Y114),Z17),0)</f>
        <v>1.27078378696039</v>
      </c>
      <c r="AA18" s="6" t="n">
        <f aca="false">IF(Debt!AA114&gt;Inputs!$F$253,IF(Debt!Z114&gt;Inputs!$F$253,(AA7+Z7)/(Debt!AA114+Debt!Z114),AA17),0)</f>
        <v>1.26976655615106</v>
      </c>
      <c r="AB18" s="6" t="n">
        <f aca="false">IF(Debt!AB114&gt;Inputs!$F$253,IF(Debt!AA114&gt;Inputs!$F$253,(AB7+AA7)/(Debt!AB114+Debt!AA114),AB17),0)</f>
        <v>1.27611596296074</v>
      </c>
      <c r="AC18" s="6" t="n">
        <f aca="false">IF(Debt!AC114&gt;Inputs!$F$253,IF(Debt!AB114&gt;Inputs!$F$253,(AC7+AB7)/(Debt!AC114+Debt!AB114),AC17),0)</f>
        <v>1.2937426441397</v>
      </c>
      <c r="AD18" s="6" t="n">
        <f aca="false">IF(Debt!AD114&gt;Inputs!$F$253,IF(Debt!AC114&gt;Inputs!$F$253,(AD7+AC7)/(Debt!AD114+Debt!AC114),AD17),0)</f>
        <v>1.29602588321164</v>
      </c>
      <c r="AE18" s="6" t="n">
        <f aca="false">IF(Debt!AE114&gt;Inputs!$F$253,IF(Debt!AD114&gt;Inputs!$F$253,(AE7+AD7)/(Debt!AE114+Debt!AD114),AE17),0)</f>
        <v>1.31577161433467</v>
      </c>
      <c r="AF18" s="6" t="n">
        <f aca="false">IF(Debt!AF114&gt;Inputs!$F$253,IF(Debt!AE114&gt;Inputs!$F$253,(AF7+AE7)/(Debt!AF114+Debt!AE114),AF17),0)</f>
        <v>1.37045130939325</v>
      </c>
      <c r="AG18" s="6" t="n">
        <f aca="false">IF(Debt!AG114&gt;Inputs!$F$253,IF(Debt!AF114&gt;Inputs!$F$253,(AG7+AF7)/(Debt!AG114+Debt!AF114),AG17),0)</f>
        <v>1.41548116694128</v>
      </c>
      <c r="AH18" s="6" t="n">
        <f aca="false">IF(Debt!AH114&gt;Inputs!$F$253,IF(Debt!AG114&gt;Inputs!$F$253,(AH7+AG7)/(Debt!AH114+Debt!AG114),AH17),0)</f>
        <v>1.45938238624053</v>
      </c>
      <c r="AI18" s="6" t="n">
        <f aca="false">IF(Debt!AI114&gt;Inputs!$F$253,IF(Debt!AH114&gt;Inputs!$F$253,(AI7+AH7)/(Debt!AI114+Debt!AH114),AI17),0)</f>
        <v>1.52364325409713</v>
      </c>
      <c r="AJ18" s="6" t="n">
        <f aca="false">IF(Debt!AJ114&gt;Inputs!$F$253,IF(Debt!AI114&gt;Inputs!$F$253,(AJ7+AI7)/(Debt!AJ114+Debt!AI114),AJ17),0)</f>
        <v>1.61342550181954</v>
      </c>
      <c r="AK18" s="6" t="n">
        <f aca="false">IF(Debt!AK114&gt;Inputs!$F$253,IF(Debt!AJ114&gt;Inputs!$F$253,(AK7+AJ7)/(Debt!AK114+Debt!AJ114),AK17),0)</f>
        <v>1.74314609459776</v>
      </c>
      <c r="AL18" s="6" t="n">
        <f aca="false">IF(Debt!AL114&gt;Inputs!$F$253,IF(Debt!AK114&gt;Inputs!$F$253,(AL7+AK7)/(Debt!AL114+Debt!AK114),AL17),0)</f>
        <v>1.948355885425</v>
      </c>
      <c r="AM18" s="6" t="n">
        <f aca="false">IF(Debt!AM114&gt;Inputs!$F$253,IF(Debt!AL114&gt;Inputs!$F$253,(AM7+AL7)/(Debt!AM114+Debt!AL114),AM17),0)</f>
        <v>2.0978000579248</v>
      </c>
      <c r="AN18" s="6" t="n">
        <f aca="false">IF(Debt!AN114&gt;Inputs!$F$253,IF(Debt!AM114&gt;Inputs!$F$253,(AN7+AM7)/(Debt!AN114+Debt!AM114),AN17),0)</f>
        <v>2.34320345343036</v>
      </c>
      <c r="AO18" s="6" t="n">
        <f aca="false">IF(Debt!AO114&gt;Inputs!$F$253,IF(Debt!AN114&gt;Inputs!$F$253,(AO7+AN7)/(Debt!AO114+Debt!AN114),AO17),0)</f>
        <v>2.5732250158992</v>
      </c>
      <c r="AP18" s="6" t="n">
        <f aca="false">IF(Debt!AP114&gt;Inputs!$F$253,IF(Debt!AO114&gt;Inputs!$F$253,(AP7+AO7)/(Debt!AP114+Debt!AO114),AP17),0)</f>
        <v>0</v>
      </c>
      <c r="AQ18" s="6" t="n">
        <f aca="false">IF(Debt!AQ114&gt;Inputs!$F$253,IF(Debt!AP114&gt;Inputs!$F$253,(AQ7+AP7)/(Debt!AQ114+Debt!AP114),AQ17),0)</f>
        <v>0</v>
      </c>
      <c r="AR18" s="6" t="n">
        <f aca="false">IF(Debt!AR114&gt;Inputs!$F$253,IF(Debt!AQ114&gt;Inputs!$F$253,(AR7+AQ7)/(Debt!AR114+Debt!AQ114),AR17),0)</f>
        <v>0</v>
      </c>
      <c r="AS18" s="6" t="n">
        <f aca="false">IF(Debt!AS114&gt;Inputs!$F$253,IF(Debt!AR114&gt;Inputs!$F$253,(AS7+AR7)/(Debt!AS114+Debt!AR114),AS17),0)</f>
        <v>0</v>
      </c>
      <c r="AT18" s="6" t="n">
        <f aca="false">IF(Debt!AT114&gt;Inputs!$F$253,IF(Debt!AS114&gt;Inputs!$F$253,(AT7+AS7)/(Debt!AT114+Debt!AS114),AT17),0)</f>
        <v>0</v>
      </c>
      <c r="AU18" s="6" t="n">
        <f aca="false">IF(Debt!AU114&gt;Inputs!$F$253,IF(Debt!AT114&gt;Inputs!$F$253,(AU7+AT7)/(Debt!AU114+Debt!AT114),AU17),0)</f>
        <v>0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0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0</v>
      </c>
      <c r="R20" s="10" t="n">
        <f aca="false">IF(AND(Debt!R114&gt;Inputs!$F$253,R18&lt;Inputs!$F$109),1,0)</f>
        <v>0</v>
      </c>
      <c r="S20" s="10" t="n">
        <f aca="false">IF(AND(Debt!S114&gt;Inputs!$F$253,S18&lt;Inputs!$F$109),1,0)</f>
        <v>0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0</v>
      </c>
      <c r="W23" s="10" t="n">
        <f aca="false">MAX(V23,IF(AND(W22=1,Time!W51=1,W18&gt;=Inputs!$F$110,Time!V51=1,V18&gt;=Inputs!$F$110,Reserves!W13&gt;=Debt!W125-Inputs!$F$254),1,0))</f>
        <v>0</v>
      </c>
      <c r="X23" s="10" t="n">
        <f aca="false">MAX(W23,IF(AND(X22=1,Time!X51=1,X18&gt;=Inputs!$F$110,Time!W51=1,W18&gt;=Inputs!$F$110,Reserves!X13&gt;=Debt!X125-Inputs!$F$254),1,0))</f>
        <v>0</v>
      </c>
      <c r="Y23" s="10" t="n">
        <f aca="false">MAX(X23,IF(AND(Y22=1,Time!Y51=1,Y18&gt;=Inputs!$F$110,Time!X51=1,X18&gt;=Inputs!$F$110,Reserves!Y13&gt;=Debt!Y125-Inputs!$F$254),1,0))</f>
        <v>0</v>
      </c>
      <c r="Z23" s="10" t="n">
        <f aca="false">MAX(Y23,IF(AND(Z22=1,Time!Z51=1,Z18&gt;=Inputs!$F$110,Time!Y51=1,Y18&gt;=Inputs!$F$110,Reserves!Z13&gt;=Debt!Z125-Inputs!$F$254),1,0))</f>
        <v>0</v>
      </c>
      <c r="AA23" s="10" t="n">
        <f aca="false">MAX(Z23,IF(AND(AA22=1,Time!AA51=1,AA18&gt;=Inputs!$F$110,Time!Z51=1,Z18&gt;=Inputs!$F$110,Reserves!AA13&gt;=Debt!AA125-Inputs!$F$254),1,0))</f>
        <v>0</v>
      </c>
      <c r="AB23" s="10" t="n">
        <f aca="false">MAX(AA23,IF(AND(AB22=1,Time!AB51=1,AB18&gt;=Inputs!$F$110,Time!AA51=1,AA18&gt;=Inputs!$F$110,Reserves!AB13&gt;=Debt!AB125-Inputs!$F$254),1,0))</f>
        <v>0</v>
      </c>
      <c r="AC23" s="10" t="n">
        <f aca="false">MAX(AB23,IF(AND(AC22=1,Time!AC51=1,AC18&gt;=Inputs!$F$110,Time!AB51=1,AB18&gt;=Inputs!$F$110,Reserves!AC13&gt;=Debt!AC125-Inputs!$F$254),1,0))</f>
        <v>0</v>
      </c>
      <c r="AD23" s="10" t="n">
        <f aca="false">MAX(AC23,IF(AND(AD22=1,Time!AD51=1,AD18&gt;=Inputs!$F$110,Time!AC51=1,AC18&gt;=Inputs!$F$110,Reserves!AD13&gt;=Debt!AD125-Inputs!$F$254),1,0))</f>
        <v>0</v>
      </c>
      <c r="AE23" s="10" t="n">
        <f aca="false">MAX(AD23,IF(AND(AE22=1,Time!AE51=1,AE18&gt;=Inputs!$F$110,Time!AD51=1,AD18&gt;=Inputs!$F$110,Reserves!AE13&gt;=Debt!AE125-Inputs!$F$254),1,0))</f>
        <v>0</v>
      </c>
      <c r="AF23" s="10" t="n">
        <f aca="false">MAX(AE23,IF(AND(AF22=1,Time!AF51=1,AF18&gt;=Inputs!$F$110,Time!AE51=1,AE18&gt;=Inputs!$F$110,Reserves!AF13&gt;=Debt!AF125-Inputs!$F$254),1,0))</f>
        <v>0</v>
      </c>
      <c r="AG23" s="10" t="n">
        <f aca="false">MAX(AF23,IF(AND(AG22=1,Time!AG51=1,AG18&gt;=Inputs!$F$110,Time!AF51=1,AF18&gt;=Inputs!$F$110,Reserves!AG13&gt;=Debt!AG125-Inputs!$F$254),1,0))</f>
        <v>0</v>
      </c>
      <c r="AH23" s="10" t="n">
        <f aca="false">MAX(AG23,IF(AND(AH22=1,Time!AH51=1,AH18&gt;=Inputs!$F$110,Time!AG51=1,AG18&gt;=Inputs!$F$110,Reserves!AH13&gt;=Debt!AH125-Inputs!$F$254),1,0))</f>
        <v>0</v>
      </c>
      <c r="AI23" s="10" t="n">
        <f aca="false">MAX(AH23,IF(AND(AI22=1,Time!AI51=1,AI18&gt;=Inputs!$F$110,Time!AH51=1,AH18&gt;=Inputs!$F$110,Reserves!AI13&gt;=Debt!AI125-Inputs!$F$254),1,0))</f>
        <v>0</v>
      </c>
      <c r="AJ23" s="10" t="n">
        <f aca="false">MAX(AI23,IF(AND(AJ22=1,Time!AJ51=1,AJ18&gt;=Inputs!$F$110,Time!AI51=1,AI18&gt;=Inputs!$F$110,Reserves!AJ13&gt;=Debt!AJ125-Inputs!$F$254),1,0))</f>
        <v>0</v>
      </c>
      <c r="AK23" s="10" t="n">
        <f aca="false">MAX(AJ23,IF(AND(AK22=1,Time!AK51=1,AK18&gt;=Inputs!$F$110,Time!AJ51=1,AJ18&gt;=Inputs!$F$110,Reserves!AK13&gt;=Debt!AK125-Inputs!$F$254),1,0))</f>
        <v>0</v>
      </c>
      <c r="AL23" s="10" t="n">
        <f aca="false">MAX(AK23,IF(AND(AL22=1,Time!AL51=1,AL18&gt;=Inputs!$F$110,Time!AK51=1,AK18&gt;=Inputs!$F$110,Reserves!AL13&gt;=Debt!AL125-Inputs!$F$254),1,0))</f>
        <v>0</v>
      </c>
      <c r="AM23" s="10" t="n">
        <f aca="false">MAX(AL23,IF(AND(AM22=1,Time!AM51=1,AM18&gt;=Inputs!$F$110,Time!AL51=1,AL18&gt;=Inputs!$F$110,Reserves!AM13&gt;=Debt!AM125-Inputs!$F$254),1,0))</f>
        <v>0</v>
      </c>
      <c r="AN23" s="10" t="n">
        <f aca="false">MAX(AM23,IF(AND(AN22=1,Time!AN51=1,AN18&gt;=Inputs!$F$110,Time!AM51=1,AM18&gt;=Inputs!$F$110,Reserves!AN13&gt;=Debt!AN125-Inputs!$F$254),1,0))</f>
        <v>0</v>
      </c>
      <c r="AO23" s="10" t="n">
        <f aca="false">MAX(AN23,IF(AND(AO22=1,Time!AO51=1,AO18&gt;=Inputs!$F$110,Time!AN51=1,AN18&gt;=Inputs!$F$110,Reserves!AO13&gt;=Debt!AO125-Inputs!$F$254),1,0))</f>
        <v>0</v>
      </c>
      <c r="AP23" s="10" t="n">
        <f aca="false">MAX(AO23,IF(AND(AP22=1,Time!AP51=1,AP18&gt;=Inputs!$F$110,Time!AO51=1,AO18&gt;=Inputs!$F$110,Reserves!AP13&gt;=Debt!AP125-Inputs!$F$254),1,0))</f>
        <v>0</v>
      </c>
      <c r="AQ23" s="10" t="n">
        <f aca="false">MAX(AP23,IF(AND(AQ22=1,Time!AQ51=1,AQ18&gt;=Inputs!$F$110,Time!AP51=1,AP18&gt;=Inputs!$F$110,Reserves!AQ13&gt;=Debt!AQ125-Inputs!$F$254),1,0))</f>
        <v>0</v>
      </c>
      <c r="AR23" s="10" t="n">
        <f aca="false">MAX(AQ23,IF(AND(AR22=1,Time!AR51=1,AR18&gt;=Inputs!$F$110,Time!AQ51=1,AQ18&gt;=Inputs!$F$110,Reserves!AR13&gt;=Debt!AR125-Inputs!$F$254),1,0))</f>
        <v>0</v>
      </c>
      <c r="AS23" s="10" t="n">
        <f aca="false">MAX(AR23,IF(AND(AS22=1,Time!AS51=1,AS18&gt;=Inputs!$F$110,Time!AR51=1,AR18&gt;=Inputs!$F$110,Reserves!AS13&gt;=Debt!AS125-Inputs!$F$254),1,0))</f>
        <v>0</v>
      </c>
      <c r="AT23" s="10" t="n">
        <f aca="false">MAX(AS23,IF(AND(AT22=1,Time!AT51=1,AT18&gt;=Inputs!$F$110,Time!AS51=1,AS18&gt;=Inputs!$F$110,Reserves!AT13&gt;=Debt!AT125-Inputs!$F$254),1,0))</f>
        <v>0</v>
      </c>
      <c r="AU23" s="10" t="n">
        <f aca="false">MAX(AT23,IF(AND(AU22=1,Time!AU51=1,AU18&gt;=Inputs!$F$110,Time!AT51=1,AT18&gt;=Inputs!$F$110,Reserves!AU13&gt;=Debt!AU125-Inputs!$F$254),1,0))</f>
        <v>0</v>
      </c>
      <c r="AV23" s="10" t="n">
        <f aca="false">MAX(AU23,IF(AND(AV22=1,Time!AV51=1,AV18&gt;=Inputs!$F$110,Time!AU51=1,AU18&gt;=Inputs!$F$110,Reserves!AV13&gt;=Debt!AV125-Inputs!$F$254),1,0))</f>
        <v>0</v>
      </c>
      <c r="AW23" s="10" t="n">
        <f aca="false">MAX(AV23,IF(AND(AW22=1,Time!AW51=1,AW18&gt;=Inputs!$F$110,Time!AV51=1,AV18&gt;=Inputs!$F$110,Reserves!AW13&gt;=Debt!AW125-Inputs!$F$254),1,0))</f>
        <v>0</v>
      </c>
      <c r="AX23" s="10" t="n">
        <f aca="false">MAX(AW23,IF(AND(AX22=1,Time!AX51=1,AX18&gt;=Inputs!$F$110,Time!AW51=1,AW18&gt;=Inputs!$F$110,Reserves!AX13&gt;=Debt!AX125-Inputs!$F$254),1,0))</f>
        <v>0</v>
      </c>
      <c r="AY23" s="10" t="n">
        <f aca="false">MAX(AX23,IF(AND(AY22=1,Time!AY51=1,AY18&gt;=Inputs!$F$110,Time!AX51=1,AX18&gt;=Inputs!$F$110,Reserves!AY13&gt;=Debt!AY125-Inputs!$F$254),1,0))</f>
        <v>0</v>
      </c>
      <c r="AZ23" s="10" t="n">
        <f aca="false">MAX(AY23,IF(AND(AZ22=1,Time!AZ51=1,AZ18&gt;=Inputs!$F$110,Time!AY51=1,AY18&gt;=Inputs!$F$110,Reserves!AZ13&gt;=Debt!AZ125-Inputs!$F$254),1,0))</f>
        <v>0</v>
      </c>
      <c r="BA23" s="10" t="n">
        <f aca="false">MAX(AZ23,IF(AND(BA22=1,Time!BA51=1,BA18&gt;=Inputs!$F$110,Time!AZ51=1,AZ18&gt;=Inputs!$F$110,Reserves!BA13&gt;=Debt!BA125-Inputs!$F$254),1,0))</f>
        <v>0</v>
      </c>
      <c r="BB23" s="10" t="n">
        <f aca="false">MAX(BA23,IF(AND(BB22=1,Time!BB51=1,BB18&gt;=Inputs!$F$110,Time!BA51=1,BA18&gt;=Inputs!$F$110,Reserves!BB13&gt;=Debt!BB125-Inputs!$F$254),1,0))</f>
        <v>0</v>
      </c>
      <c r="BC23" s="10" t="n">
        <f aca="false">MAX(BB23,IF(AND(BC22=1,Time!BC51=1,BC18&gt;=Inputs!$F$110,Time!BB51=1,BB18&gt;=Inputs!$F$110,Reserves!BC13&gt;=Debt!BC125-Inputs!$F$254),1,0))</f>
        <v>0</v>
      </c>
      <c r="BD23" s="10" t="n">
        <f aca="false">MAX(BC23,IF(AND(BD22=1,Time!BD51=1,BD18&gt;=Inputs!$F$110,Time!BC51=1,BC18&gt;=Inputs!$F$110,Reserves!BD13&gt;=Debt!BD125-Inputs!$F$254),1,0))</f>
        <v>0</v>
      </c>
      <c r="BE23" s="10" t="n">
        <f aca="false">MAX(BD23,IF(AND(BE22=1,Time!BE51=1,BE18&gt;=Inputs!$F$110,Time!BD51=1,BD18&gt;=Inputs!$F$110,Reserves!BE13&gt;=Debt!BE125-Inputs!$F$254),1,0))</f>
        <v>0</v>
      </c>
      <c r="BF23" s="10" t="n">
        <f aca="false">MAX(BE23,IF(AND(BF22=1,Time!BF51=1,BF18&gt;=Inputs!$F$110,Time!BE51=1,BE18&gt;=Inputs!$F$110,Reserves!BF13&gt;=Debt!BF125-Inputs!$F$254),1,0))</f>
        <v>0</v>
      </c>
      <c r="BG23" s="10" t="n">
        <f aca="false">MAX(BF23,IF(AND(BG22=1,Time!BG51=1,BG18&gt;=Inputs!$F$110,Time!BF51=1,BF18&gt;=Inputs!$F$110,Reserves!BG13&gt;=Debt!BG125-Inputs!$F$254),1,0))</f>
        <v>0</v>
      </c>
      <c r="BH23" s="10" t="n">
        <f aca="false">MAX(BG23,IF(AND(BH22=1,Time!BH51=1,BH18&gt;=Inputs!$F$110,Time!BG51=1,BG18&gt;=Inputs!$F$110,Reserves!BH13&gt;=Debt!BH125-Inputs!$F$254),1,0))</f>
        <v>0</v>
      </c>
      <c r="BI23" s="10" t="n">
        <f aca="false">MAX(BH23,IF(AND(BI22=1,Time!BI51=1,BI18&gt;=Inputs!$F$110,Time!BH51=1,BH18&gt;=Inputs!$F$110,Reserves!BI13&gt;=Debt!BI125-Inputs!$F$254),1,0))</f>
        <v>0</v>
      </c>
      <c r="BJ23" s="10" t="n">
        <f aca="false">MAX(BI23,IF(AND(BJ22=1,Time!BJ51=1,BJ18&gt;=Inputs!$F$110,Time!BI51=1,BI18&gt;=Inputs!$F$110,Reserves!BJ13&gt;=Debt!BJ125-Inputs!$F$254),1,0))</f>
        <v>0</v>
      </c>
      <c r="BK23" s="10" t="n">
        <f aca="false">MAX(BJ23,IF(AND(BK22=1,Time!BK51=1,BK18&gt;=Inputs!$F$110,Time!BJ51=1,BJ18&gt;=Inputs!$F$110,Reserves!BK13&gt;=Debt!BK125-Inputs!$F$254),1,0))</f>
        <v>0</v>
      </c>
      <c r="BL23" s="10" t="n">
        <f aca="false">MAX(BK23,IF(AND(BL22=1,Time!BL51=1,BL18&gt;=Inputs!$F$110,Time!BK51=1,BK18&gt;=Inputs!$F$110,Reserves!BL13&gt;=Debt!BL125-Inputs!$F$254),1,0))</f>
        <v>0</v>
      </c>
      <c r="BM23" s="10" t="n">
        <f aca="false">MAX(BL23,IF(AND(BM22=1,Time!BM51=1,BM18&gt;=Inputs!$F$110,Time!BL51=1,BL18&gt;=Inputs!$F$110,Reserves!BM13&gt;=Debt!BM125-Inputs!$F$254),1,0))</f>
        <v>0</v>
      </c>
      <c r="BN23" s="10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0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0</v>
      </c>
      <c r="R25" s="10" t="n">
        <f aca="false">IF(AND(R24=0,R19=1,Debt!R114&gt;Inputs!$F$253),1,0)</f>
        <v>0</v>
      </c>
      <c r="S25" s="10" t="n">
        <f aca="false">IF(AND(S24=0,S19=1,Debt!S114&gt;Inputs!$F$253),1,0)</f>
        <v>0</v>
      </c>
      <c r="T25" s="10" t="n">
        <f aca="false">IF(AND(T24=0,T19=1,Debt!T114&gt;Inputs!$F$253),1,0)</f>
        <v>0</v>
      </c>
      <c r="U25" s="10" t="n">
        <f aca="false">IF(AND(U24=0,U19=1,Debt!U114&gt;Inputs!$F$253),1,0)</f>
        <v>0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0</v>
      </c>
      <c r="R26" s="10" t="n">
        <f aca="false">IF(R25=1,Q26+1,0)</f>
        <v>0</v>
      </c>
      <c r="S26" s="10" t="n">
        <f aca="false">IF(S25=1,R26+1,0)</f>
        <v>0</v>
      </c>
      <c r="T26" s="10" t="n">
        <f aca="false">IF(T25=1,S26+1,0)</f>
        <v>0</v>
      </c>
      <c r="U26" s="10" t="n">
        <f aca="false">IF(U25=1,T26+1,0)</f>
        <v>0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88.5943335226939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4.97968731941094</v>
      </c>
      <c r="AB29" s="13" t="n">
        <f aca="false">IF(AND(AB24=1,Time!AB52=1,Inputs!$F$52=1),MIN(Inputs!$F$111*AB15,Debt!AB73),0)</f>
        <v>5.87910907101877</v>
      </c>
      <c r="AC29" s="13" t="n">
        <f aca="false">IF(AND(AC24=1,Time!AC52=1,Inputs!$F$52=1),MIN(Inputs!$F$111*AC15,Debt!AC73),0)</f>
        <v>5.3541250244998</v>
      </c>
      <c r="AD29" s="13" t="n">
        <f aca="false">IF(AND(AD24=1,Time!AD52=1,Inputs!$F$52=1),MIN(Inputs!$F$111*AD15,Debt!AD73),0)</f>
        <v>5.91338598779726</v>
      </c>
      <c r="AE29" s="13" t="n">
        <f aca="false">IF(AND(AE24=1,Time!AE52=1,Inputs!$F$52=1),MIN(Inputs!$F$111*AE15,Debt!AE73),0)</f>
        <v>6.86569944577716</v>
      </c>
      <c r="AF29" s="13" t="n">
        <f aca="false">IF(AND(AF24=1,Time!AF52=1,Inputs!$F$52=1),MIN(Inputs!$F$111*AF15,Debt!AF73),0)</f>
        <v>8.07717524116026</v>
      </c>
      <c r="AG29" s="13" t="n">
        <f aca="false">IF(AND(AG24=1,Time!AG52=1,Inputs!$F$52=1),MIN(Inputs!$F$111*AG15,Debt!AG73),0)</f>
        <v>8.13714505920316</v>
      </c>
      <c r="AH29" s="13" t="n">
        <f aca="false">IF(AND(AH24=1,Time!AH52=1,Inputs!$F$52=1),MIN(Inputs!$F$111*AH15,Debt!AH73),0)</f>
        <v>9.32475500558314</v>
      </c>
      <c r="AI29" s="13" t="n">
        <f aca="false">IF(AND(AI24=1,Time!AI52=1,Inputs!$F$52=1),MIN(Inputs!$F$111*AI15,Debt!AI73),0)</f>
        <v>9.97184714188098</v>
      </c>
      <c r="AJ29" s="13" t="n">
        <f aca="false">IF(AND(AJ24=1,Time!AJ52=1,Inputs!$F$52=1),MIN(Inputs!$F$111*AJ15,Debt!AJ73),0)</f>
        <v>11.5769808783277</v>
      </c>
      <c r="AK29" s="13" t="n">
        <f aca="false">IF(AND(AK24=1,Time!AK52=1,Inputs!$F$52=1),MIN(Inputs!$F$111*AK15,Debt!AK73),0)</f>
        <v>12.5144233480348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0</v>
      </c>
      <c r="P30" s="13" t="n">
        <f aca="false">IF(P24=0,P15-P28,0)</f>
        <v>1.86721444482732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1410.73415411368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0</v>
      </c>
      <c r="Q31" s="13" t="n">
        <f aca="false">IF(Q24=1,Q15-Q29,0)</f>
        <v>11.9411377585296</v>
      </c>
      <c r="R31" s="13" t="n">
        <f aca="false">IF(R24=1,R15-R29,0)</f>
        <v>10.9811262587414</v>
      </c>
      <c r="S31" s="13" t="n">
        <f aca="false">IF(S24=1,S15-S29,0)</f>
        <v>10.1937583240623</v>
      </c>
      <c r="T31" s="13" t="n">
        <f aca="false">IF(T24=1,T15-T29,0)</f>
        <v>10.9709652187198</v>
      </c>
      <c r="U31" s="13" t="n">
        <f aca="false">IF(U24=1,U15-U29,0)</f>
        <v>9.87364592414637</v>
      </c>
      <c r="V31" s="13" t="n">
        <f aca="false">IF(V24=1,V15-V29,0)</f>
        <v>10.6606330335929</v>
      </c>
      <c r="W31" s="13" t="n">
        <f aca="false">IF(W24=1,W15-W29,0)</f>
        <v>12.055536140849</v>
      </c>
      <c r="X31" s="13" t="n">
        <f aca="false">IF(X24=1,X15-X29,0)</f>
        <v>12.9904257519621</v>
      </c>
      <c r="Y31" s="13" t="n">
        <f aca="false">IF(Y24=1,Y15-Y29,0)</f>
        <v>10.1756209089765</v>
      </c>
      <c r="Z31" s="13" t="n">
        <f aca="false">IF(Z24=1,Z15-Z29,0)</f>
        <v>11.0097969556862</v>
      </c>
      <c r="AA31" s="13" t="n">
        <f aca="false">IF(AA24=1,AA15-AA29,0)</f>
        <v>4.97968731941094</v>
      </c>
      <c r="AB31" s="13" t="n">
        <f aca="false">IF(AB24=1,AB15-AB29,0)</f>
        <v>5.87910907101877</v>
      </c>
      <c r="AC31" s="13" t="n">
        <f aca="false">IF(AC24=1,AC15-AC29,0)</f>
        <v>5.3541250244998</v>
      </c>
      <c r="AD31" s="13" t="n">
        <f aca="false">IF(AD24=1,AD15-AD29,0)</f>
        <v>5.91338598779726</v>
      </c>
      <c r="AE31" s="13" t="n">
        <f aca="false">IF(AE24=1,AE15-AE29,0)</f>
        <v>6.86569944577716</v>
      </c>
      <c r="AF31" s="13" t="n">
        <f aca="false">IF(AF24=1,AF15-AF29,0)</f>
        <v>8.07717524116026</v>
      </c>
      <c r="AG31" s="13" t="n">
        <f aca="false">IF(AG24=1,AG15-AG29,0)</f>
        <v>8.13714505920316</v>
      </c>
      <c r="AH31" s="13" t="n">
        <f aca="false">IF(AH24=1,AH15-AH29,0)</f>
        <v>9.32475500558314</v>
      </c>
      <c r="AI31" s="13" t="n">
        <f aca="false">IF(AI24=1,AI15-AI29,0)</f>
        <v>9.97184714188098</v>
      </c>
      <c r="AJ31" s="13" t="n">
        <f aca="false">IF(AJ24=1,AJ15-AJ29,0)</f>
        <v>11.5769808783277</v>
      </c>
      <c r="AK31" s="13" t="n">
        <f aca="false">IF(AK24=1,AK15-AK29,0)</f>
        <v>13.2550622689768</v>
      </c>
      <c r="AL31" s="13" t="n">
        <f aca="false">IF(AL24=1,AL15-AL29,0)</f>
        <v>31.568224776146</v>
      </c>
      <c r="AM31" s="13" t="n">
        <f aca="false">IF(AM24=1,AM15-AM29,0)</f>
        <v>32.6109283341595</v>
      </c>
      <c r="AN31" s="13" t="n">
        <f aca="false">IF(AN24=1,AN15-AN29,0)</f>
        <v>33.4365211945138</v>
      </c>
      <c r="AO31" s="13" t="n">
        <f aca="false">IF(AO24=1,AO15-AO29,0)</f>
        <v>50.6597042674252</v>
      </c>
      <c r="AP31" s="13" t="n">
        <f aca="false">IF(AP24=1,AP15-AP29,0)</f>
        <v>51.3388059528544</v>
      </c>
      <c r="AQ31" s="13" t="n">
        <f aca="false">IF(AQ24=1,AQ15-AQ29,0)</f>
        <v>50.9858164161793</v>
      </c>
      <c r="AR31" s="13" t="n">
        <f aca="false">IF(AR24=1,AR15-AR29,0)</f>
        <v>42.9383801241977</v>
      </c>
      <c r="AS31" s="13" t="n">
        <f aca="false">IF(AS24=1,AS15-AS29,0)</f>
        <v>41.8152724350504</v>
      </c>
      <c r="AT31" s="13" t="n">
        <f aca="false">IF(AT24=1,AT15-AT29,0)</f>
        <v>42.2365002861952</v>
      </c>
      <c r="AU31" s="13" t="n">
        <f aca="false">IF(AU24=1,AU15-AU29,0)</f>
        <v>48.2359769265088</v>
      </c>
      <c r="AV31" s="13" t="n">
        <f aca="false">IF(AV24=1,AV15-AV29,0)</f>
        <v>44.7326492101122</v>
      </c>
      <c r="AW31" s="13" t="n">
        <f aca="false">IF(AW24=1,AW15-AW29,0)</f>
        <v>43.776613843306</v>
      </c>
      <c r="AX31" s="13" t="n">
        <f aca="false">IF(AX24=1,AX15-AX29,0)</f>
        <v>44.4354267369936</v>
      </c>
      <c r="AY31" s="13" t="n">
        <f aca="false">IF(AY24=1,AY15-AY29,0)</f>
        <v>44.0254806356794</v>
      </c>
      <c r="AZ31" s="13" t="n">
        <f aca="false">IF(AZ24=1,AZ15-AZ29,0)</f>
        <v>44.6600563620943</v>
      </c>
      <c r="BA31" s="13" t="n">
        <f aca="false">IF(BA24=1,BA15-BA29,0)</f>
        <v>44.2728127632001</v>
      </c>
      <c r="BB31" s="13" t="n">
        <f aca="false">IF(BB24=1,BB15-BB29,0)</f>
        <v>44.3089649091678</v>
      </c>
      <c r="BC31" s="13" t="n">
        <f aca="false">IF(BC24=1,BC15-BC29,0)</f>
        <v>44.7226461112184</v>
      </c>
      <c r="BD31" s="13" t="n">
        <f aca="false">IF(BD24=1,BD15-BD29,0)</f>
        <v>42.2235943953032</v>
      </c>
      <c r="BE31" s="13" t="n">
        <f aca="false">IF(BE24=1,BE15-BE29,0)</f>
        <v>34.7813897676701</v>
      </c>
      <c r="BF31" s="13" t="n">
        <f aca="false">IF(BF24=1,BF15-BF29,0)</f>
        <v>35.4500806045936</v>
      </c>
      <c r="BG31" s="13" t="n">
        <f aca="false">IF(BG24=1,BG15-BG29,0)</f>
        <v>35.0169225370277</v>
      </c>
      <c r="BH31" s="13" t="n">
        <f aca="false">IF(BH24=1,BH15-BH29,0)</f>
        <v>35.6595471247633</v>
      </c>
      <c r="BI31" s="13" t="n">
        <f aca="false">IF(BI24=1,BI15-BI29,0)</f>
        <v>35.2445643883681</v>
      </c>
      <c r="BJ31" s="13" t="n">
        <f aca="false">IF(BJ24=1,BJ15-BJ29,0)</f>
        <v>35.8286804636831</v>
      </c>
      <c r="BK31" s="13" t="n">
        <f aca="false">IF(BK24=1,BK15-BK29,0)</f>
        <v>43.0601418896222</v>
      </c>
      <c r="BL31" s="13" t="n">
        <f aca="false">IF(BL24=1,BL15-BL29,0)</f>
        <v>38.7837833311665</v>
      </c>
      <c r="BM31" s="13" t="n">
        <f aca="false">IF(BM24=1,BM15-BM29,0)</f>
        <v>38.3678958128591</v>
      </c>
      <c r="BN31" s="13" t="n">
        <f aca="false">IF(BN24=1,BN15-BN29,0)</f>
        <v>55.3691537947186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46.0821366316148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0</v>
      </c>
      <c r="P33" s="13" t="n">
        <f aca="false">IF(Time!P20&lt;Time!$F$12,0,IF(Time!P34=1,INDEX(Funding!$J$72:$BJ$72,1,Time!$F$14),O36))</f>
        <v>217.575415340841</v>
      </c>
      <c r="Q33" s="13" t="n">
        <f aca="false">IF(Time!Q20&lt;Time!$F$12,0,IF(Time!Q34=1,INDEX(Funding!$J$72:$BJ$72,1,Time!$F$14),P36))</f>
        <v>221.02979762002</v>
      </c>
      <c r="R33" s="13" t="n">
        <f aca="false">IF(Time!R20&lt;Time!$F$12,0,IF(Time!R34=1,INDEX(Funding!$J$72:$BJ$72,1,Time!$F$14),Q36))</f>
        <v>219.501282793206</v>
      </c>
      <c r="S33" s="13" t="n">
        <f aca="false">IF(Time!S20&lt;Time!$F$12,0,IF(Time!S34=1,INDEX(Funding!$J$72:$BJ$72,1,Time!$F$14),R36))</f>
        <v>219.032163173438</v>
      </c>
      <c r="T33" s="13" t="n">
        <f aca="false">IF(Time!T20&lt;Time!$F$12,0,IF(Time!T34=1,INDEX(Funding!$J$72:$BJ$72,1,Time!$F$14),S36))</f>
        <v>219.156920043259</v>
      </c>
      <c r="U33" s="13" t="n">
        <f aca="false">IF(Time!U20&lt;Time!$F$12,0,IF(Time!U34=1,INDEX(Funding!$J$72:$BJ$72,1,Time!$F$14),T36))</f>
        <v>218.681469789898</v>
      </c>
      <c r="V33" s="13" t="n">
        <f aca="false">IF(Time!V20&lt;Time!$F$12,0,IF(Time!V34=1,INDEX(Funding!$J$72:$BJ$72,1,Time!$F$14),U36))</f>
        <v>219.166735133334</v>
      </c>
      <c r="W33" s="13" t="n">
        <f aca="false">IF(Time!W20&lt;Time!$F$12,0,IF(Time!W34=1,INDEX(Funding!$J$72:$BJ$72,1,Time!$F$14),V36))</f>
        <v>219.002087113797</v>
      </c>
      <c r="X33" s="13" t="n">
        <f aca="false">IF(Time!X20&lt;Time!$F$12,0,IF(Time!X34=1,INDEX(Funding!$J$72:$BJ$72,1,Time!$F$14),W36))</f>
        <v>217.263649296022</v>
      </c>
      <c r="Y33" s="13" t="n">
        <f aca="false">IF(Time!Y20&lt;Time!$F$12,0,IF(Time!Y34=1,INDEX(Funding!$J$72:$BJ$72,1,Time!$F$14),X36))</f>
        <v>214.678068995277</v>
      </c>
      <c r="Z33" s="13" t="n">
        <f aca="false">IF(Time!Z20&lt;Time!$F$12,0,IF(Time!Z34=1,INDEX(Funding!$J$72:$BJ$72,1,Time!$F$14),Y36))</f>
        <v>214.615843692804</v>
      </c>
      <c r="AA33" s="13" t="n">
        <f aca="false">IF(Time!AA20&lt;Time!$F$12,0,IF(Time!AA34=1,INDEX(Funding!$J$72:$BJ$72,1,Time!$F$14),Z36))</f>
        <v>213.884087689858</v>
      </c>
      <c r="AB33" s="13" t="n">
        <f aca="false">IF(Time!AB20&lt;Time!$F$12,0,IF(Time!AB34=1,INDEX(Funding!$J$72:$BJ$72,1,Time!$F$14),AA36))</f>
        <v>218.980391843946</v>
      </c>
      <c r="AC33" s="13" t="n">
        <f aca="false">IF(Time!AC20&lt;Time!$F$12,0,IF(Time!AC34=1,INDEX(Funding!$J$72:$BJ$72,1,Time!$F$14),AB36))</f>
        <v>223.588343730276</v>
      </c>
      <c r="AD33" s="13" t="n">
        <f aca="false">IF(Time!AD20&lt;Time!$F$12,0,IF(Time!AD34=1,INDEX(Funding!$J$72:$BJ$72,1,Time!$F$14),AC36))</f>
        <v>228.825567919739</v>
      </c>
      <c r="AE33" s="13" t="n">
        <f aca="false">IF(Time!AE20&lt;Time!$F$12,0,IF(Time!AE34=1,INDEX(Funding!$J$72:$BJ$72,1,Time!$F$14),AD36))</f>
        <v>233.870732417523</v>
      </c>
      <c r="AF33" s="13" t="n">
        <f aca="false">IF(Time!AF20&lt;Time!$F$12,0,IF(Time!AF34=1,INDEX(Funding!$J$72:$BJ$72,1,Time!$F$14),AE36))</f>
        <v>238.022587064675</v>
      </c>
      <c r="AG33" s="13" t="n">
        <f aca="false">IF(Time!AG20&lt;Time!$F$12,0,IF(Time!AG34=1,INDEX(Funding!$J$72:$BJ$72,1,Time!$F$14),AF36))</f>
        <v>241.344411335544</v>
      </c>
      <c r="AH33" s="13" t="n">
        <f aca="false">IF(Time!AH20&lt;Time!$F$12,0,IF(Time!AH34=1,INDEX(Funding!$J$72:$BJ$72,1,Time!$F$14),AG36))</f>
        <v>244.576902311723</v>
      </c>
      <c r="AI33" s="13" t="n">
        <f aca="false">IF(Time!AI20&lt;Time!$F$12,0,IF(Time!AI34=1,INDEX(Funding!$J$72:$BJ$72,1,Time!$F$14),AH36))</f>
        <v>246.965035668904</v>
      </c>
      <c r="AJ33" s="13" t="n">
        <f aca="false">IF(Time!AJ20&lt;Time!$F$12,0,IF(Time!AJ34=1,INDEX(Funding!$J$72:$BJ$72,1,Time!$F$14),AI36))</f>
        <v>248.627609864905</v>
      </c>
      <c r="AK33" s="13" t="n">
        <f aca="false">IF(Time!AK20&lt;Time!$F$12,0,IF(Time!AK34=1,INDEX(Funding!$J$72:$BJ$72,1,Time!$F$14),AJ36))</f>
        <v>248.957507398738</v>
      </c>
      <c r="AL33" s="13" t="n">
        <f aca="false">IF(Time!AL20&lt;Time!$F$12,0,IF(Time!AL34=1,INDEX(Funding!$J$72:$BJ$72,1,Time!$F$14),AK36))</f>
        <v>247.495528151471</v>
      </c>
      <c r="AM33" s="13" t="n">
        <f aca="false">IF(Time!AM20&lt;Time!$F$12,0,IF(Time!AM34=1,INDEX(Funding!$J$72:$BJ$72,1,Time!$F$14),AL36))</f>
        <v>227.77996592899</v>
      </c>
      <c r="AN33" s="13" t="n">
        <f aca="false">IF(Time!AN20&lt;Time!$F$12,0,IF(Time!AN34=1,INDEX(Funding!$J$72:$BJ$72,1,Time!$F$14),AM36))</f>
        <v>205.89965818154</v>
      </c>
      <c r="AO33" s="13" t="n">
        <f aca="false">IF(Time!AO20&lt;Time!$F$12,0,IF(Time!AO34=1,INDEX(Funding!$J$72:$BJ$72,1,Time!$F$14),AN36))</f>
        <v>182.323756233638</v>
      </c>
      <c r="AP33" s="13" t="n">
        <f aca="false">IF(Time!AP20&lt;Time!$F$12,0,IF(Time!AP34=1,INDEX(Funding!$J$72:$BJ$72,1,Time!$F$14),AO36))</f>
        <v>140.253249194809</v>
      </c>
      <c r="AQ33" s="13" t="n">
        <f aca="false">IF(Time!AQ20&lt;Time!$F$12,0,IF(Time!AQ34=1,INDEX(Funding!$J$72:$BJ$72,1,Time!$F$14),AP36))</f>
        <v>95.6312289842154</v>
      </c>
      <c r="AR33" s="13" t="n">
        <f aca="false">IF(Time!AR20&lt;Time!$F$12,0,IF(Time!AR34=1,INDEX(Funding!$J$72:$BJ$72,1,Time!$F$14),AQ36))</f>
        <v>49.1505604649774</v>
      </c>
      <c r="AS33" s="13" t="n">
        <f aca="false">IF(Time!AS20&lt;Time!$F$12,0,IF(Time!AS34=1,INDEX(Funding!$J$72:$BJ$72,1,Time!$F$14),AR36))</f>
        <v>8.5660208803079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245.984552358203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0</v>
      </c>
      <c r="Q34" s="13" t="n">
        <f aca="false">Q24*MIN(Q31,Tax!Q13)</f>
        <v>10.4126229317157</v>
      </c>
      <c r="R34" s="13" t="n">
        <f aca="false">R24*MIN(R31,Tax!R13)</f>
        <v>10.5120066389733</v>
      </c>
      <c r="S34" s="13" t="n">
        <f aca="false">S24*MIN(S31,Tax!S13)</f>
        <v>10.1937583240623</v>
      </c>
      <c r="T34" s="13" t="n">
        <f aca="false">T24*MIN(T31,Tax!T13)</f>
        <v>10.4955149653593</v>
      </c>
      <c r="U34" s="13" t="n">
        <f aca="false">U24*MIN(U31,Tax!U13)</f>
        <v>9.87364592414637</v>
      </c>
      <c r="V34" s="13" t="n">
        <f aca="false">V24*MIN(V31,Tax!V13)</f>
        <v>10.4959850140566</v>
      </c>
      <c r="W34" s="13" t="n">
        <f aca="false">W24*MIN(W31,Tax!W13)</f>
        <v>10.3170983230733</v>
      </c>
      <c r="X34" s="13" t="n">
        <f aca="false">X24*MIN(X31,Tax!X13)</f>
        <v>10.4048454512177</v>
      </c>
      <c r="Y34" s="13" t="n">
        <f aca="false">Y24*MIN(Y31,Tax!Y13)</f>
        <v>10.1133956065035</v>
      </c>
      <c r="Z34" s="13" t="n">
        <f aca="false">Z24*MIN(Z31,Tax!Z13)</f>
        <v>10.2780409527403</v>
      </c>
      <c r="AA34" s="13" t="n">
        <f aca="false">AA24*MIN(AA31,Tax!AA13)</f>
        <v>4.97968731941094</v>
      </c>
      <c r="AB34" s="13" t="n">
        <f aca="false">AB24*MIN(AB31,Tax!AB13)</f>
        <v>5.87910907101877</v>
      </c>
      <c r="AC34" s="13" t="n">
        <f aca="false">AC24*MIN(AC31,Tax!AC13)</f>
        <v>5.3541250244998</v>
      </c>
      <c r="AD34" s="13" t="n">
        <f aca="false">AD24*MIN(AD31,Tax!AD13)</f>
        <v>5.91338598779726</v>
      </c>
      <c r="AE34" s="13" t="n">
        <f aca="false">AE24*MIN(AE31,Tax!AE13)</f>
        <v>6.86569944577716</v>
      </c>
      <c r="AF34" s="13" t="n">
        <f aca="false">AF24*MIN(AF31,Tax!AF13)</f>
        <v>8.07717524116026</v>
      </c>
      <c r="AG34" s="13" t="n">
        <f aca="false">AG24*MIN(AG31,Tax!AG13)</f>
        <v>8.13714505920316</v>
      </c>
      <c r="AH34" s="13" t="n">
        <f aca="false">AH24*MIN(AH31,Tax!AH13)</f>
        <v>9.32475500558314</v>
      </c>
      <c r="AI34" s="13" t="n">
        <f aca="false">AI24*MIN(AI31,Tax!AI13)</f>
        <v>9.97184714188098</v>
      </c>
      <c r="AJ34" s="13" t="n">
        <f aca="false">AJ24*MIN(AJ31,Tax!AJ13)</f>
        <v>11.5769808783277</v>
      </c>
      <c r="AK34" s="13" t="n">
        <f aca="false">AK24*MIN(AK31,Tax!AK13)</f>
        <v>11.7930830217101</v>
      </c>
      <c r="AL34" s="13" t="n">
        <f aca="false">AL24*MIN(AL31,Tax!AL13)</f>
        <v>11.852662553665</v>
      </c>
      <c r="AM34" s="13" t="n">
        <f aca="false">AM24*MIN(AM31,Tax!AM13)</f>
        <v>10.7306205867096</v>
      </c>
      <c r="AN34" s="13" t="n">
        <f aca="false">AN24*MIN(AN31,Tax!AN13)</f>
        <v>9.86061924661185</v>
      </c>
      <c r="AO34" s="13" t="n">
        <f aca="false">AO24*MIN(AO31,Tax!AO13)</f>
        <v>8.58919722859565</v>
      </c>
      <c r="AP34" s="13" t="n">
        <f aca="false">AP24*MIN(AP31,Tax!AP13)</f>
        <v>6.71678574226098</v>
      </c>
      <c r="AQ34" s="13" t="n">
        <f aca="false">AQ24*MIN(AQ31,Tax!AQ13)</f>
        <v>4.50514789694132</v>
      </c>
      <c r="AR34" s="13" t="n">
        <f aca="false">AR24*MIN(AR31,Tax!AR13)</f>
        <v>2.35384053952823</v>
      </c>
      <c r="AS34" s="13" t="n">
        <f aca="false">AS24*MIN(AS31,Tax!AS13)</f>
        <v>0.405771235672667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256.713239542156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0</v>
      </c>
      <c r="Q35" s="13" t="n">
        <f aca="false">Q24*MIN(Q31-Q34,Q33+Tax!Q13-Q34)</f>
        <v>1.52851482681389</v>
      </c>
      <c r="R35" s="13" t="n">
        <f aca="false">R24*MIN(R31-R34,R33+Tax!R13-R34)</f>
        <v>0.469119619768172</v>
      </c>
      <c r="S35" s="13" t="n">
        <f aca="false">S24*MIN(S31-S34,S33+Tax!S13-S34)</f>
        <v>0</v>
      </c>
      <c r="T35" s="13" t="n">
        <f aca="false">T24*MIN(T31-T34,T33+Tax!T13-T34)</f>
        <v>0.475450253360417</v>
      </c>
      <c r="U35" s="13" t="n">
        <f aca="false">U24*MIN(U31-U34,U33+Tax!U13-U34)</f>
        <v>0</v>
      </c>
      <c r="V35" s="13" t="n">
        <f aca="false">V24*MIN(V31-V34,V33+Tax!V13-V34)</f>
        <v>0.164648019536262</v>
      </c>
      <c r="W35" s="13" t="n">
        <f aca="false">W24*MIN(W31-W34,W33+Tax!W13-W34)</f>
        <v>1.73843781777573</v>
      </c>
      <c r="X35" s="13" t="n">
        <f aca="false">X24*MIN(X31-X34,X33+Tax!X13-X34)</f>
        <v>2.58558030074444</v>
      </c>
      <c r="Y35" s="13" t="n">
        <f aca="false">Y24*MIN(Y31-Y34,Y33+Tax!Y13-Y34)</f>
        <v>0.0622253024729211</v>
      </c>
      <c r="Z35" s="13" t="n">
        <f aca="false">Z24*MIN(Z31-Z34,Z33+Tax!Z13-Z34)</f>
        <v>0.731756002945847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</v>
      </c>
      <c r="AF35" s="13" t="n">
        <f aca="false">AF24*MIN(AF31-AF34,AF33+Tax!AF13-AF34)</f>
        <v>0</v>
      </c>
      <c r="AG35" s="13" t="n">
        <f aca="false">AG24*MIN(AG31-AG34,AG33+Tax!AG13-AG34)</f>
        <v>0</v>
      </c>
      <c r="AH35" s="13" t="n">
        <f aca="false">AH24*MIN(AH31-AH34,AH33+Tax!AH13-AH34)</f>
        <v>0</v>
      </c>
      <c r="AI35" s="13" t="n">
        <f aca="false">AI24*MIN(AI31-AI34,AI33+Tax!AI13-AI34)</f>
        <v>0</v>
      </c>
      <c r="AJ35" s="13" t="n">
        <f aca="false">AJ24*MIN(AJ31-AJ34,AJ33+Tax!AJ13-AJ34)</f>
        <v>0</v>
      </c>
      <c r="AK35" s="13" t="n">
        <f aca="false">AK24*MIN(AK31-AK34,AK33+Tax!AK13-AK34)</f>
        <v>1.46197924726673</v>
      </c>
      <c r="AL35" s="13" t="n">
        <f aca="false">AL24*MIN(AL31-AL34,AL33+Tax!AL13-AL34)</f>
        <v>19.715562222481</v>
      </c>
      <c r="AM35" s="13" t="n">
        <f aca="false">AM24*MIN(AM31-AM34,AM33+Tax!AM13-AM34)</f>
        <v>21.8803077474499</v>
      </c>
      <c r="AN35" s="13" t="n">
        <f aca="false">AN24*MIN(AN31-AN34,AN33+Tax!AN13-AN34)</f>
        <v>23.575901947902</v>
      </c>
      <c r="AO35" s="13" t="n">
        <f aca="false">AO24*MIN(AO31-AO34,AO33+Tax!AO13-AO34)</f>
        <v>42.0705070388295</v>
      </c>
      <c r="AP35" s="13" t="n">
        <f aca="false">AP24*MIN(AP31-AP34,AP33+Tax!AP13-AP34)</f>
        <v>44.6220202105934</v>
      </c>
      <c r="AQ35" s="13" t="n">
        <f aca="false">AQ24*MIN(AQ31-AQ34,AQ33+Tax!AQ13-AQ34)</f>
        <v>46.480668519238</v>
      </c>
      <c r="AR35" s="13" t="n">
        <f aca="false">AR24*MIN(AR31-AR34,AR33+Tax!AR13-AR34)</f>
        <v>40.5845395846695</v>
      </c>
      <c r="AS35" s="13" t="n">
        <f aca="false">AS24*MIN(AS31-AS34,AS33+Tax!AS13-AS34)</f>
        <v>8.5660208803079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0</v>
      </c>
      <c r="P36" s="13" t="n">
        <f aca="false">P33+Tax!P13-P34-P35</f>
        <v>221.02979762002</v>
      </c>
      <c r="Q36" s="13" t="n">
        <f aca="false">Q33+Tax!Q13-Q34-Q35</f>
        <v>219.501282793206</v>
      </c>
      <c r="R36" s="13" t="n">
        <f aca="false">R33+Tax!R13-R34-R35</f>
        <v>219.032163173438</v>
      </c>
      <c r="S36" s="13" t="n">
        <f aca="false">S33+Tax!S13-S34-S35</f>
        <v>219.156920043259</v>
      </c>
      <c r="T36" s="13" t="n">
        <f aca="false">T33+Tax!T13-T34-T35</f>
        <v>218.681469789898</v>
      </c>
      <c r="U36" s="13" t="n">
        <f aca="false">U33+Tax!U13-U34-U35</f>
        <v>219.166735133334</v>
      </c>
      <c r="V36" s="13" t="n">
        <f aca="false">V33+Tax!V13-V34-V35</f>
        <v>219.002087113797</v>
      </c>
      <c r="W36" s="13" t="n">
        <f aca="false">W33+Tax!W13-W34-W35</f>
        <v>217.263649296022</v>
      </c>
      <c r="X36" s="13" t="n">
        <f aca="false">X33+Tax!X13-X34-X35</f>
        <v>214.678068995277</v>
      </c>
      <c r="Y36" s="13" t="n">
        <f aca="false">Y33+Tax!Y13-Y34-Y35</f>
        <v>214.615843692804</v>
      </c>
      <c r="Z36" s="13" t="n">
        <f aca="false">Z33+Tax!Z13-Z34-Z35</f>
        <v>213.884087689858</v>
      </c>
      <c r="AA36" s="13" t="n">
        <f aca="false">AA33+Tax!AA13-AA34-AA35</f>
        <v>218.980391843946</v>
      </c>
      <c r="AB36" s="13" t="n">
        <f aca="false">AB33+Tax!AB13-AB34-AB35</f>
        <v>223.588343730276</v>
      </c>
      <c r="AC36" s="13" t="n">
        <f aca="false">AC33+Tax!AC13-AC34-AC35</f>
        <v>228.825567919739</v>
      </c>
      <c r="AD36" s="13" t="n">
        <f aca="false">AD33+Tax!AD13-AD34-AD35</f>
        <v>233.870732417523</v>
      </c>
      <c r="AE36" s="13" t="n">
        <f aca="false">AE33+Tax!AE13-AE34-AE35</f>
        <v>238.022587064675</v>
      </c>
      <c r="AF36" s="13" t="n">
        <f aca="false">AF33+Tax!AF13-AF34-AF35</f>
        <v>241.344411335544</v>
      </c>
      <c r="AG36" s="13" t="n">
        <f aca="false">AG33+Tax!AG13-AG34-AG35</f>
        <v>244.576902311723</v>
      </c>
      <c r="AH36" s="13" t="n">
        <f aca="false">AH33+Tax!AH13-AH34-AH35</f>
        <v>246.965035668904</v>
      </c>
      <c r="AI36" s="13" t="n">
        <f aca="false">AI33+Tax!AI13-AI34-AI35</f>
        <v>248.627609864905</v>
      </c>
      <c r="AJ36" s="13" t="n">
        <f aca="false">AJ33+Tax!AJ13-AJ34-AJ35</f>
        <v>248.957507398738</v>
      </c>
      <c r="AK36" s="13" t="n">
        <f aca="false">AK33+Tax!AK13-AK34-AK35</f>
        <v>247.495528151471</v>
      </c>
      <c r="AL36" s="13" t="n">
        <f aca="false">AL33+Tax!AL13-AL34-AL35</f>
        <v>227.77996592899</v>
      </c>
      <c r="AM36" s="13" t="n">
        <f aca="false">AM33+Tax!AM13-AM34-AM35</f>
        <v>205.89965818154</v>
      </c>
      <c r="AN36" s="13" t="n">
        <f aca="false">AN33+Tax!AN13-AN34-AN35</f>
        <v>182.323756233638</v>
      </c>
      <c r="AO36" s="13" t="n">
        <f aca="false">AO33+Tax!AO13-AO34-AO35</f>
        <v>140.253249194809</v>
      </c>
      <c r="AP36" s="13" t="n">
        <f aca="false">AP33+Tax!AP13-AP34-AP35</f>
        <v>95.6312289842154</v>
      </c>
      <c r="AQ36" s="13" t="n">
        <f aca="false">AQ33+Tax!AQ13-AQ34-AQ35</f>
        <v>49.1505604649774</v>
      </c>
      <c r="AR36" s="13" t="n">
        <f aca="false">AR33+Tax!AR13-AR34-AR35</f>
        <v>8.5660208803079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0</v>
      </c>
      <c r="P37" s="13" t="n">
        <f aca="false">MAX(0,O43+Financials!P14)</f>
        <v>9.37854471002205</v>
      </c>
      <c r="Q37" s="13" t="n">
        <f aca="false">MAX(0,P43+Financials!Q14)</f>
        <v>15.1014689248956</v>
      </c>
      <c r="R37" s="13" t="n">
        <f aca="false">MAX(0,Q43+Financials!R14)</f>
        <v>21.2470203710082</v>
      </c>
      <c r="S37" s="13" t="n">
        <f aca="false">MAX(0,R43+Financials!S14)</f>
        <v>28.5860326424422</v>
      </c>
      <c r="T37" s="13" t="n">
        <f aca="false">MAX(0,S43+Financials!T14)</f>
        <v>36.2431322835115</v>
      </c>
      <c r="U37" s="13" t="n">
        <f aca="false">MAX(0,T43+Financials!U14)</f>
        <v>44.9350451313272</v>
      </c>
      <c r="V37" s="13" t="n">
        <f aca="false">MAX(0,U43+Financials!V14)</f>
        <v>54.1960575871065</v>
      </c>
      <c r="W37" s="13" t="n">
        <f aca="false">MAX(0,V43+Financials!W14)</f>
        <v>62.2781835280853</v>
      </c>
      <c r="X37" s="13" t="n">
        <f aca="false">MAX(0,W43+Financials!X14)</f>
        <v>73.4061959378</v>
      </c>
      <c r="Y37" s="13" t="n">
        <f aca="false">MAX(0,X43+Financials!Y14)</f>
        <v>85.2247299691766</v>
      </c>
      <c r="Z37" s="13" t="n">
        <f aca="false">MAX(0,Y43+Financials!Z14)</f>
        <v>94.9900299306117</v>
      </c>
      <c r="AA37" s="13" t="n">
        <f aca="false">MAX(0,Z43+Financials!AA14)</f>
        <v>100.521739243853</v>
      </c>
      <c r="AB37" s="13" t="n">
        <f aca="false">MAX(0,AA43+Financials!AB14)</f>
        <v>106.448545309505</v>
      </c>
      <c r="AC37" s="13" t="n">
        <f aca="false">MAX(0,AB43+Financials!AC14)</f>
        <v>113.222667739683</v>
      </c>
      <c r="AD37" s="13" t="n">
        <f aca="false">MAX(0,AC43+Financials!AD14)</f>
        <v>120.597627027737</v>
      </c>
      <c r="AE37" s="13" t="n">
        <f aca="false">MAX(0,AD43+Financials!AE14)</f>
        <v>118.905959772213</v>
      </c>
      <c r="AF37" s="13" t="n">
        <f aca="false">MAX(0,AE43+Financials!AF14)</f>
        <v>129.073207215107</v>
      </c>
      <c r="AG37" s="13" t="n">
        <f aca="false">MAX(0,AF43+Financials!AG14)</f>
        <v>138.899882867418</v>
      </c>
      <c r="AH37" s="13" t="n">
        <f aca="false">MAX(0,AG43+Financials!AH14)</f>
        <v>149.462412616022</v>
      </c>
      <c r="AI37" s="13" t="n">
        <f aca="false">MAX(0,AH43+Financials!AI14)</f>
        <v>161.225692624158</v>
      </c>
      <c r="AJ37" s="13" t="n">
        <f aca="false">MAX(0,AI43+Financials!AJ14)</f>
        <v>173.812852299616</v>
      </c>
      <c r="AK37" s="13" t="n">
        <f aca="false">MAX(0,AJ43+Financials!AK14)</f>
        <v>187.569165993154</v>
      </c>
      <c r="AL37" s="13" t="n">
        <f aca="false">MAX(0,AK43+Financials!AL14)</f>
        <v>202.38938441269</v>
      </c>
      <c r="AM37" s="13" t="n">
        <f aca="false">MAX(0,AL43+Financials!AM14)</f>
        <v>216.523075993528</v>
      </c>
      <c r="AN37" s="13" t="n">
        <f aca="false">MAX(0,AM43+Financials!AN14)</f>
        <v>233.852387167608</v>
      </c>
      <c r="AO37" s="13" t="n">
        <f aca="false">MAX(0,AN43+Financials!AO14)</f>
        <v>252.434296405148</v>
      </c>
      <c r="AP37" s="13" t="n">
        <f aca="false">MAX(0,AO43+Financials!AP14)</f>
        <v>272.805562234217</v>
      </c>
      <c r="AQ37" s="13" t="n">
        <f aca="false">MAX(0,AP43+Financials!AQ14)</f>
        <v>294.846870154496</v>
      </c>
      <c r="AR37" s="13" t="n">
        <f aca="false">MAX(0,AQ43+Financials!AR14)</f>
        <v>318.862809477107</v>
      </c>
      <c r="AS37" s="13" t="n">
        <f aca="false">MAX(0,AR43+Financials!AS14)</f>
        <v>344.309891721309</v>
      </c>
      <c r="AT37" s="13" t="n">
        <f aca="false">MAX(0,AS43+Financials!AT14)</f>
        <v>337.380679149741</v>
      </c>
      <c r="AU37" s="13" t="n">
        <f aca="false">MAX(0,AT43+Financials!AU14)</f>
        <v>310.640087721908</v>
      </c>
      <c r="AV37" s="13" t="n">
        <f aca="false">MAX(0,AU43+Financials!AV14)</f>
        <v>288.606438626974</v>
      </c>
      <c r="AW37" s="13" t="n">
        <f aca="false">MAX(0,AV43+Financials!AW14)</f>
        <v>270.00303479288</v>
      </c>
      <c r="AX37" s="13" t="n">
        <f aca="false">MAX(0,AW43+Financials!AX14)</f>
        <v>252.474454863511</v>
      </c>
      <c r="AY37" s="13" t="n">
        <f aca="false">MAX(0,AX43+Financials!AY14)</f>
        <v>234.421044869132</v>
      </c>
      <c r="AZ37" s="13" t="n">
        <f aca="false">MAX(0,AY43+Financials!AZ14)</f>
        <v>216.867405793793</v>
      </c>
      <c r="BA37" s="13" t="n">
        <f aca="false">MAX(0,AZ43+Financials!BA14)</f>
        <v>198.750840778834</v>
      </c>
      <c r="BB37" s="13" t="n">
        <f aca="false">MAX(0,BA43+Financials!BB14)</f>
        <v>181.187893208594</v>
      </c>
      <c r="BC37" s="13" t="n">
        <f aca="false">MAX(0,BB43+Financials!BC14)</f>
        <v>161.310993698905</v>
      </c>
      <c r="BD37" s="13" t="n">
        <f aca="false">MAX(0,BC43+Financials!BD14)</f>
        <v>143.575825893386</v>
      </c>
      <c r="BE37" s="13" t="n">
        <f aca="false">MAX(0,BD43+Financials!BE14)</f>
        <v>128.326753187049</v>
      </c>
      <c r="BF37" s="13" t="n">
        <f aca="false">MAX(0,BE43+Financials!BF14)</f>
        <v>120.649555107486</v>
      </c>
      <c r="BG37" s="13" t="n">
        <f aca="false">MAX(0,BF43+Financials!BG14)</f>
        <v>112.449012495276</v>
      </c>
      <c r="BH37" s="13" t="n">
        <f aca="false">MAX(0,BG43+Financials!BH14)</f>
        <v>104.779067462324</v>
      </c>
      <c r="BI37" s="13" t="n">
        <f aca="false">MAX(0,BH43+Financials!BI14)</f>
        <v>96.5425458996051</v>
      </c>
      <c r="BJ37" s="13" t="n">
        <f aca="false">MAX(0,BI43+Financials!BJ14)</f>
        <v>88.9421843586848</v>
      </c>
      <c r="BK37" s="13" t="n">
        <f aca="false">MAX(0,BJ43+Financials!BK14)</f>
        <v>68.44019571328</v>
      </c>
      <c r="BL37" s="13" t="n">
        <f aca="false">MAX(0,BK43+Financials!BL14)</f>
        <v>53.367366976826</v>
      </c>
      <c r="BM37" s="13" t="n">
        <f aca="false">MAX(0,BL43+Financials!BM14)</f>
        <v>42.4733044218409</v>
      </c>
      <c r="BN37" s="13" t="n">
        <f aca="false">MAX(0,BM43+Financials!BN14)</f>
        <v>9.28701716310404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0</v>
      </c>
      <c r="AQ38" s="13" t="n">
        <f aca="false">AQ24*MIN(AQ31-AQ34-AQ35,AQ37)</f>
        <v>0</v>
      </c>
      <c r="AR38" s="13" t="n">
        <f aca="false">AR24*MIN(AR31-AR34-AR35,AR37)</f>
        <v>0</v>
      </c>
      <c r="AS38" s="13" t="n">
        <f aca="false">AS24*MIN(AS31-AS34-AS35,AS37)</f>
        <v>32.8434803190698</v>
      </c>
      <c r="AT38" s="13" t="n">
        <f aca="false">AT24*MIN(AT31-AT34-AT35,AT37)</f>
        <v>42.2365002861952</v>
      </c>
      <c r="AU38" s="13" t="n">
        <f aca="false">AU24*MIN(AU31-AU34-AU35,AU37)</f>
        <v>48.2359769265088</v>
      </c>
      <c r="AV38" s="13" t="n">
        <f aca="false">AV24*MIN(AV31-AV34-AV35,AV37)</f>
        <v>44.7326492101122</v>
      </c>
      <c r="AW38" s="13" t="n">
        <f aca="false">AW24*MIN(AW31-AW34-AW35,AW37)</f>
        <v>43.776613843306</v>
      </c>
      <c r="AX38" s="13" t="n">
        <f aca="false">AX24*MIN(AX31-AX34-AX35,AX37)</f>
        <v>44.4354267369936</v>
      </c>
      <c r="AY38" s="13" t="n">
        <f aca="false">AY24*MIN(AY31-AY34-AY35,AY37)</f>
        <v>44.0254806356794</v>
      </c>
      <c r="AZ38" s="13" t="n">
        <f aca="false">AZ24*MIN(AZ31-AZ34-AZ35,AZ37)</f>
        <v>44.6600563620943</v>
      </c>
      <c r="BA38" s="13" t="n">
        <f aca="false">BA24*MIN(BA31-BA34-BA35,BA37)</f>
        <v>44.2728127632001</v>
      </c>
      <c r="BB38" s="13" t="n">
        <f aca="false">BB24*MIN(BB31-BB34-BB35,BB37)</f>
        <v>44.3089649091678</v>
      </c>
      <c r="BC38" s="13" t="n">
        <f aca="false">BC24*MIN(BC31-BC34-BC35,BC37)</f>
        <v>44.7226461112184</v>
      </c>
      <c r="BD38" s="13" t="n">
        <f aca="false">BD24*MIN(BD31-BD34-BD35,BD37)</f>
        <v>42.2235943953032</v>
      </c>
      <c r="BE38" s="13" t="n">
        <f aca="false">BE24*MIN(BE31-BE34-BE35,BE37)</f>
        <v>34.7813897676701</v>
      </c>
      <c r="BF38" s="13" t="n">
        <f aca="false">BF24*MIN(BF31-BF34-BF35,BF37)</f>
        <v>35.4500806045936</v>
      </c>
      <c r="BG38" s="13" t="n">
        <f aca="false">BG24*MIN(BG31-BG34-BG35,BG37)</f>
        <v>35.0169225370277</v>
      </c>
      <c r="BH38" s="13" t="n">
        <f aca="false">BH24*MIN(BH31-BH34-BH35,BH37)</f>
        <v>35.6595471247633</v>
      </c>
      <c r="BI38" s="13" t="n">
        <f aca="false">BI24*MIN(BI31-BI34-BI35,BI37)</f>
        <v>35.2445643883681</v>
      </c>
      <c r="BJ38" s="13" t="n">
        <f aca="false">BJ24*MIN(BJ31-BJ34-BJ35,BJ37)</f>
        <v>35.8286804636831</v>
      </c>
      <c r="BK38" s="13" t="n">
        <f aca="false">BK24*MIN(BK31-BK34-BK35,BK37)</f>
        <v>43.0601418896222</v>
      </c>
      <c r="BL38" s="13" t="n">
        <f aca="false">BL24*MIN(BL31-BL34-BL35,BL37)</f>
        <v>38.7837833311665</v>
      </c>
      <c r="BM38" s="13" t="n">
        <f aca="false">BM24*MIN(BM31-BM34-BM35,BM37)</f>
        <v>38.3678958128591</v>
      </c>
      <c r="BN38" s="13" t="n">
        <f aca="false">BN24*MIN(BN31-BN34-BN35,BN37)</f>
        <v>9.28701716310404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0</v>
      </c>
      <c r="BN39" s="13" t="n">
        <f aca="false">BN24*(BN31-BN34-BN35-BN38)</f>
        <v>46.0821366316145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46.0821366316145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0</v>
      </c>
      <c r="BN40" s="13" t="n">
        <f aca="false">Time!BN37*(BN39+BN30+Reserves!BN9-Reserves!BN10+Reserves!BN11-Reserves!BN12)</f>
        <v>46.0821366316145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908.036362213321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0</v>
      </c>
      <c r="AQ41" s="13" t="n">
        <f aca="false">AQ38+AQ40</f>
        <v>0</v>
      </c>
      <c r="AR41" s="13" t="n">
        <f aca="false">AR38+AR40</f>
        <v>0</v>
      </c>
      <c r="AS41" s="13" t="n">
        <f aca="false">AS38+AS40</f>
        <v>32.8434803190698</v>
      </c>
      <c r="AT41" s="13" t="n">
        <f aca="false">AT38+AT40</f>
        <v>42.2365002861952</v>
      </c>
      <c r="AU41" s="13" t="n">
        <f aca="false">AU38+AU40</f>
        <v>48.2359769265088</v>
      </c>
      <c r="AV41" s="13" t="n">
        <f aca="false">AV38+AV40</f>
        <v>44.7326492101122</v>
      </c>
      <c r="AW41" s="13" t="n">
        <f aca="false">AW38+AW40</f>
        <v>43.776613843306</v>
      </c>
      <c r="AX41" s="13" t="n">
        <f aca="false">AX38+AX40</f>
        <v>44.4354267369936</v>
      </c>
      <c r="AY41" s="13" t="n">
        <f aca="false">AY38+AY40</f>
        <v>44.0254806356794</v>
      </c>
      <c r="AZ41" s="13" t="n">
        <f aca="false">AZ38+AZ40</f>
        <v>44.6600563620943</v>
      </c>
      <c r="BA41" s="13" t="n">
        <f aca="false">BA38+BA40</f>
        <v>44.2728127632001</v>
      </c>
      <c r="BB41" s="13" t="n">
        <f aca="false">BB38+BB40</f>
        <v>44.3089649091678</v>
      </c>
      <c r="BC41" s="13" t="n">
        <f aca="false">BC38+BC40</f>
        <v>44.7226461112184</v>
      </c>
      <c r="BD41" s="13" t="n">
        <f aca="false">BD38+BD40</f>
        <v>42.2235943953032</v>
      </c>
      <c r="BE41" s="13" t="n">
        <f aca="false">BE38+BE40</f>
        <v>34.7813897676701</v>
      </c>
      <c r="BF41" s="13" t="n">
        <f aca="false">BF38+BF40</f>
        <v>35.4500806045936</v>
      </c>
      <c r="BG41" s="13" t="n">
        <f aca="false">BG38+BG40</f>
        <v>35.0169225370277</v>
      </c>
      <c r="BH41" s="13" t="n">
        <f aca="false">BH38+BH40</f>
        <v>35.6595471247633</v>
      </c>
      <c r="BI41" s="13" t="n">
        <f aca="false">BI38+BI40</f>
        <v>35.2445643883681</v>
      </c>
      <c r="BJ41" s="13" t="n">
        <f aca="false">BJ38+BJ40</f>
        <v>35.8286804636831</v>
      </c>
      <c r="BK41" s="13" t="n">
        <f aca="false">BK38+BK40</f>
        <v>43.0601418896222</v>
      </c>
      <c r="BL41" s="13" t="n">
        <f aca="false">BL38+BL40</f>
        <v>38.7837833311665</v>
      </c>
      <c r="BM41" s="13" t="n">
        <f aca="false">BM38+BM40</f>
        <v>38.3678958128591</v>
      </c>
      <c r="BN41" s="13" t="n">
        <f aca="false">BN38+BN40</f>
        <v>55.3691537947186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0</v>
      </c>
      <c r="P43" s="13" t="n">
        <f aca="false">IF(Time!P20&lt;Time!$F$12,0,O43+Financials!P14-P41)</f>
        <v>9.37854471002205</v>
      </c>
      <c r="Q43" s="13" t="n">
        <f aca="false">IF(Time!Q20&lt;Time!$F$12,0,P43+Financials!Q14-Q41)</f>
        <v>15.1014689248956</v>
      </c>
      <c r="R43" s="13" t="n">
        <f aca="false">IF(Time!R20&lt;Time!$F$12,0,Q43+Financials!R14-R41)</f>
        <v>21.2470203710082</v>
      </c>
      <c r="S43" s="13" t="n">
        <f aca="false">IF(Time!S20&lt;Time!$F$12,0,R43+Financials!S14-S41)</f>
        <v>28.5860326424422</v>
      </c>
      <c r="T43" s="13" t="n">
        <f aca="false">IF(Time!T20&lt;Time!$F$12,0,S43+Financials!T14-T41)</f>
        <v>36.2431322835115</v>
      </c>
      <c r="U43" s="13" t="n">
        <f aca="false">IF(Time!U20&lt;Time!$F$12,0,T43+Financials!U14-U41)</f>
        <v>44.9350451313272</v>
      </c>
      <c r="V43" s="13" t="n">
        <f aca="false">IF(Time!V20&lt;Time!$F$12,0,U43+Financials!V14-V41)</f>
        <v>54.1960575871065</v>
      </c>
      <c r="W43" s="13" t="n">
        <f aca="false">IF(Time!W20&lt;Time!$F$12,0,V43+Financials!W14-W41)</f>
        <v>62.2781835280853</v>
      </c>
      <c r="X43" s="13" t="n">
        <f aca="false">IF(Time!X20&lt;Time!$F$12,0,W43+Financials!X14-X41)</f>
        <v>73.4061959378</v>
      </c>
      <c r="Y43" s="13" t="n">
        <f aca="false">IF(Time!Y20&lt;Time!$F$12,0,X43+Financials!Y14-Y41)</f>
        <v>85.2247299691766</v>
      </c>
      <c r="Z43" s="13" t="n">
        <f aca="false">IF(Time!Z20&lt;Time!$F$12,0,Y43+Financials!Z14-Z41)</f>
        <v>94.9900299306117</v>
      </c>
      <c r="AA43" s="13" t="n">
        <f aca="false">IF(Time!AA20&lt;Time!$F$12,0,Z43+Financials!AA14-AA41)</f>
        <v>100.521739243853</v>
      </c>
      <c r="AB43" s="13" t="n">
        <f aca="false">IF(Time!AB20&lt;Time!$F$12,0,AA43+Financials!AB14-AB41)</f>
        <v>106.448545309505</v>
      </c>
      <c r="AC43" s="13" t="n">
        <f aca="false">IF(Time!AC20&lt;Time!$F$12,0,AB43+Financials!AC14-AC41)</f>
        <v>113.222667739683</v>
      </c>
      <c r="AD43" s="13" t="n">
        <f aca="false">IF(Time!AD20&lt;Time!$F$12,0,AC43+Financials!AD14-AD41)</f>
        <v>120.597627027737</v>
      </c>
      <c r="AE43" s="13" t="n">
        <f aca="false">IF(Time!AE20&lt;Time!$F$12,0,AD43+Financials!AE14-AE41)</f>
        <v>118.905959772213</v>
      </c>
      <c r="AF43" s="13" t="n">
        <f aca="false">IF(Time!AF20&lt;Time!$F$12,0,AE43+Financials!AF14-AF41)</f>
        <v>129.073207215107</v>
      </c>
      <c r="AG43" s="13" t="n">
        <f aca="false">IF(Time!AG20&lt;Time!$F$12,0,AF43+Financials!AG14-AG41)</f>
        <v>138.899882867418</v>
      </c>
      <c r="AH43" s="13" t="n">
        <f aca="false">IF(Time!AH20&lt;Time!$F$12,0,AG43+Financials!AH14-AH41)</f>
        <v>149.462412616022</v>
      </c>
      <c r="AI43" s="13" t="n">
        <f aca="false">IF(Time!AI20&lt;Time!$F$12,0,AH43+Financials!AI14-AI41)</f>
        <v>161.225692624158</v>
      </c>
      <c r="AJ43" s="13" t="n">
        <f aca="false">IF(Time!AJ20&lt;Time!$F$12,0,AI43+Financials!AJ14-AJ41)</f>
        <v>173.812852299616</v>
      </c>
      <c r="AK43" s="13" t="n">
        <f aca="false">IF(Time!AK20&lt;Time!$F$12,0,AJ43+Financials!AK14-AK41)</f>
        <v>187.569165993154</v>
      </c>
      <c r="AL43" s="13" t="n">
        <f aca="false">IF(Time!AL20&lt;Time!$F$12,0,AK43+Financials!AL14-AL41)</f>
        <v>202.38938441269</v>
      </c>
      <c r="AM43" s="13" t="n">
        <f aca="false">IF(Time!AM20&lt;Time!$F$12,0,AL43+Financials!AM14-AM41)</f>
        <v>216.523075993528</v>
      </c>
      <c r="AN43" s="13" t="n">
        <f aca="false">IF(Time!AN20&lt;Time!$F$12,0,AM43+Financials!AN14-AN41)</f>
        <v>233.852387167608</v>
      </c>
      <c r="AO43" s="13" t="n">
        <f aca="false">IF(Time!AO20&lt;Time!$F$12,0,AN43+Financials!AO14-AO41)</f>
        <v>252.434296405148</v>
      </c>
      <c r="AP43" s="13" t="n">
        <f aca="false">IF(Time!AP20&lt;Time!$F$12,0,AO43+Financials!AP14-AP41)</f>
        <v>272.805562234217</v>
      </c>
      <c r="AQ43" s="13" t="n">
        <f aca="false">IF(Time!AQ20&lt;Time!$F$12,0,AP43+Financials!AQ14-AQ41)</f>
        <v>294.846870154496</v>
      </c>
      <c r="AR43" s="13" t="n">
        <f aca="false">IF(Time!AR20&lt;Time!$F$12,0,AQ43+Financials!AR14-AR41)</f>
        <v>318.862809477107</v>
      </c>
      <c r="AS43" s="13" t="n">
        <f aca="false">IF(Time!AS20&lt;Time!$F$12,0,AR43+Financials!AS14-AS41)</f>
        <v>311.46641140224</v>
      </c>
      <c r="AT43" s="13" t="n">
        <f aca="false">IF(Time!AT20&lt;Time!$F$12,0,AS43+Financials!AT14-AT41)</f>
        <v>295.144178863546</v>
      </c>
      <c r="AU43" s="13" t="n">
        <f aca="false">IF(Time!AU20&lt;Time!$F$12,0,AT43+Financials!AU14-AU41)</f>
        <v>262.4041107954</v>
      </c>
      <c r="AV43" s="13" t="n">
        <f aca="false">IF(Time!AV20&lt;Time!$F$12,0,AU43+Financials!AV14-AV41)</f>
        <v>243.873789416862</v>
      </c>
      <c r="AW43" s="13" t="n">
        <f aca="false">IF(Time!AW20&lt;Time!$F$12,0,AV43+Financials!AW14-AW41)</f>
        <v>226.226420949574</v>
      </c>
      <c r="AX43" s="13" t="n">
        <f aca="false">IF(Time!AX20&lt;Time!$F$12,0,AW43+Financials!AX14-AX41)</f>
        <v>208.039028126517</v>
      </c>
      <c r="AY43" s="13" t="n">
        <f aca="false">IF(Time!AY20&lt;Time!$F$12,0,AX43+Financials!AY14-AY41)</f>
        <v>190.395564233452</v>
      </c>
      <c r="AZ43" s="13" t="n">
        <f aca="false">IF(Time!AZ20&lt;Time!$F$12,0,AY43+Financials!AZ14-AZ41)</f>
        <v>172.207349431699</v>
      </c>
      <c r="BA43" s="13" t="n">
        <f aca="false">IF(Time!BA20&lt;Time!$F$12,0,AZ43+Financials!BA14-BA41)</f>
        <v>154.478028015633</v>
      </c>
      <c r="BB43" s="13" t="n">
        <f aca="false">IF(Time!BB20&lt;Time!$F$12,0,BA43+Financials!BB14-BB41)</f>
        <v>136.878928299426</v>
      </c>
      <c r="BC43" s="13" t="n">
        <f aca="false">IF(Time!BC20&lt;Time!$F$12,0,BB43+Financials!BC14-BC41)</f>
        <v>116.588347587686</v>
      </c>
      <c r="BD43" s="13" t="n">
        <f aca="false">IF(Time!BD20&lt;Time!$F$12,0,BC43+Financials!BD14-BD41)</f>
        <v>101.352231498083</v>
      </c>
      <c r="BE43" s="13" t="n">
        <f aca="false">IF(Time!BE20&lt;Time!$F$12,0,BD43+Financials!BE14-BE41)</f>
        <v>93.5453634193787</v>
      </c>
      <c r="BF43" s="13" t="n">
        <f aca="false">IF(Time!BF20&lt;Time!$F$12,0,BE43+Financials!BF14-BF41)</f>
        <v>85.1994745028921</v>
      </c>
      <c r="BG43" s="13" t="n">
        <f aca="false">IF(Time!BG20&lt;Time!$F$12,0,BF43+Financials!BG14-BG41)</f>
        <v>77.4320899582483</v>
      </c>
      <c r="BH43" s="13" t="n">
        <f aca="false">IF(Time!BH20&lt;Time!$F$12,0,BG43+Financials!BH14-BH41)</f>
        <v>69.1195203375604</v>
      </c>
      <c r="BI43" s="13" t="n">
        <f aca="false">IF(Time!BI20&lt;Time!$F$12,0,BH43+Financials!BI14-BI41)</f>
        <v>61.297981511237</v>
      </c>
      <c r="BJ43" s="13" t="n">
        <f aca="false">IF(Time!BJ20&lt;Time!$F$12,0,BI43+Financials!BJ14-BJ41)</f>
        <v>53.1135038950017</v>
      </c>
      <c r="BK43" s="13" t="n">
        <f aca="false">IF(Time!BK20&lt;Time!$F$12,0,BJ43+Financials!BK14-BK41)</f>
        <v>25.3800538236577</v>
      </c>
      <c r="BL43" s="13" t="n">
        <f aca="false">IF(Time!BL20&lt;Time!$F$12,0,BK43+Financials!BL14-BL41)</f>
        <v>14.5835836456595</v>
      </c>
      <c r="BM43" s="13" t="n">
        <f aca="false">IF(Time!BM20&lt;Time!$F$12,0,BL43+Financials!BM14-BM41)</f>
        <v>4.10540860898173</v>
      </c>
      <c r="BN43" s="13" t="n">
        <f aca="false">IF(Time!BN20&lt;Time!$F$12,0,BM43+Financials!BN14-BN41)</f>
        <v>-46.0821366316145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1410.73415411368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0</v>
      </c>
      <c r="Q44" s="13" t="n">
        <f aca="false">Q34+Q35+Q41</f>
        <v>11.9411377585296</v>
      </c>
      <c r="R44" s="13" t="n">
        <f aca="false">R34+R35+R41</f>
        <v>10.9811262587414</v>
      </c>
      <c r="S44" s="13" t="n">
        <f aca="false">S34+S35+S41</f>
        <v>10.1937583240623</v>
      </c>
      <c r="T44" s="13" t="n">
        <f aca="false">T34+T35+T41</f>
        <v>10.9709652187198</v>
      </c>
      <c r="U44" s="13" t="n">
        <f aca="false">U34+U35+U41</f>
        <v>9.87364592414637</v>
      </c>
      <c r="V44" s="13" t="n">
        <f aca="false">V34+V35+V41</f>
        <v>10.6606330335929</v>
      </c>
      <c r="W44" s="13" t="n">
        <f aca="false">W34+W35+W41</f>
        <v>12.055536140849</v>
      </c>
      <c r="X44" s="13" t="n">
        <f aca="false">X34+X35+X41</f>
        <v>12.9904257519621</v>
      </c>
      <c r="Y44" s="13" t="n">
        <f aca="false">Y34+Y35+Y41</f>
        <v>10.1756209089765</v>
      </c>
      <c r="Z44" s="13" t="n">
        <f aca="false">Z34+Z35+Z41</f>
        <v>11.0097969556862</v>
      </c>
      <c r="AA44" s="13" t="n">
        <f aca="false">AA34+AA35+AA41</f>
        <v>4.97968731941094</v>
      </c>
      <c r="AB44" s="13" t="n">
        <f aca="false">AB34+AB35+AB41</f>
        <v>5.87910907101877</v>
      </c>
      <c r="AC44" s="13" t="n">
        <f aca="false">AC34+AC35+AC41</f>
        <v>5.3541250244998</v>
      </c>
      <c r="AD44" s="13" t="n">
        <f aca="false">AD34+AD35+AD41</f>
        <v>5.91338598779726</v>
      </c>
      <c r="AE44" s="13" t="n">
        <f aca="false">AE34+AE35+AE41</f>
        <v>6.86569944577716</v>
      </c>
      <c r="AF44" s="13" t="n">
        <f aca="false">AF34+AF35+AF41</f>
        <v>8.07717524116026</v>
      </c>
      <c r="AG44" s="13" t="n">
        <f aca="false">AG34+AG35+AG41</f>
        <v>8.13714505920316</v>
      </c>
      <c r="AH44" s="13" t="n">
        <f aca="false">AH34+AH35+AH41</f>
        <v>9.32475500558314</v>
      </c>
      <c r="AI44" s="13" t="n">
        <f aca="false">AI34+AI35+AI41</f>
        <v>9.97184714188098</v>
      </c>
      <c r="AJ44" s="13" t="n">
        <f aca="false">AJ34+AJ35+AJ41</f>
        <v>11.5769808783277</v>
      </c>
      <c r="AK44" s="13" t="n">
        <f aca="false">AK34+AK35+AK41</f>
        <v>13.2550622689768</v>
      </c>
      <c r="AL44" s="13" t="n">
        <f aca="false">AL34+AL35+AL41</f>
        <v>31.568224776146</v>
      </c>
      <c r="AM44" s="13" t="n">
        <f aca="false">AM34+AM35+AM41</f>
        <v>32.6109283341595</v>
      </c>
      <c r="AN44" s="13" t="n">
        <f aca="false">AN34+AN35+AN41</f>
        <v>33.4365211945138</v>
      </c>
      <c r="AO44" s="13" t="n">
        <f aca="false">AO34+AO35+AO41</f>
        <v>50.6597042674252</v>
      </c>
      <c r="AP44" s="13" t="n">
        <f aca="false">AP34+AP35+AP41</f>
        <v>51.3388059528544</v>
      </c>
      <c r="AQ44" s="13" t="n">
        <f aca="false">AQ34+AQ35+AQ41</f>
        <v>50.9858164161793</v>
      </c>
      <c r="AR44" s="13" t="n">
        <f aca="false">AR34+AR35+AR41</f>
        <v>42.9383801241977</v>
      </c>
      <c r="AS44" s="13" t="n">
        <f aca="false">AS34+AS35+AS41</f>
        <v>41.8152724350504</v>
      </c>
      <c r="AT44" s="13" t="n">
        <f aca="false">AT34+AT35+AT41</f>
        <v>42.2365002861952</v>
      </c>
      <c r="AU44" s="13" t="n">
        <f aca="false">AU34+AU35+AU41</f>
        <v>48.2359769265088</v>
      </c>
      <c r="AV44" s="13" t="n">
        <f aca="false">AV34+AV35+AV41</f>
        <v>44.7326492101122</v>
      </c>
      <c r="AW44" s="13" t="n">
        <f aca="false">AW34+AW35+AW41</f>
        <v>43.776613843306</v>
      </c>
      <c r="AX44" s="13" t="n">
        <f aca="false">AX34+AX35+AX41</f>
        <v>44.4354267369936</v>
      </c>
      <c r="AY44" s="13" t="n">
        <f aca="false">AY34+AY35+AY41</f>
        <v>44.0254806356794</v>
      </c>
      <c r="AZ44" s="13" t="n">
        <f aca="false">AZ34+AZ35+AZ41</f>
        <v>44.6600563620943</v>
      </c>
      <c r="BA44" s="13" t="n">
        <f aca="false">BA34+BA35+BA41</f>
        <v>44.2728127632001</v>
      </c>
      <c r="BB44" s="13" t="n">
        <f aca="false">BB34+BB35+BB41</f>
        <v>44.3089649091678</v>
      </c>
      <c r="BC44" s="13" t="n">
        <f aca="false">BC34+BC35+BC41</f>
        <v>44.7226461112184</v>
      </c>
      <c r="BD44" s="13" t="n">
        <f aca="false">BD34+BD35+BD41</f>
        <v>42.2235943953032</v>
      </c>
      <c r="BE44" s="13" t="n">
        <f aca="false">BE34+BE35+BE41</f>
        <v>34.7813897676701</v>
      </c>
      <c r="BF44" s="13" t="n">
        <f aca="false">BF34+BF35+BF41</f>
        <v>35.4500806045936</v>
      </c>
      <c r="BG44" s="13" t="n">
        <f aca="false">BG34+BG35+BG41</f>
        <v>35.0169225370277</v>
      </c>
      <c r="BH44" s="13" t="n">
        <f aca="false">BH34+BH35+BH41</f>
        <v>35.6595471247633</v>
      </c>
      <c r="BI44" s="13" t="n">
        <f aca="false">BI34+BI35+BI41</f>
        <v>35.2445643883681</v>
      </c>
      <c r="BJ44" s="13" t="n">
        <f aca="false">BJ34+BJ35+BJ41</f>
        <v>35.8286804636831</v>
      </c>
      <c r="BK44" s="13" t="n">
        <f aca="false">BK34+BK35+BK41</f>
        <v>43.0601418896222</v>
      </c>
      <c r="BL44" s="13" t="n">
        <f aca="false">BL34+BL35+BL41</f>
        <v>38.7837833311665</v>
      </c>
      <c r="BM44" s="13" t="n">
        <f aca="false">BM34+BM35+BM41</f>
        <v>38.3678958128591</v>
      </c>
      <c r="BN44" s="13" t="n">
        <f aca="false">BN34+BN35+BN41</f>
        <v>55.3691537947186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876.457393195604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0</v>
      </c>
      <c r="P8" s="13" t="n">
        <f aca="false">Funding!$F$76/Time!$F$9*Time!P30</f>
        <v>5.84304928797069</v>
      </c>
      <c r="Q8" s="13" t="n">
        <f aca="false">Funding!$F$76/Time!$F$9*Time!Q30</f>
        <v>17.5291478639121</v>
      </c>
      <c r="R8" s="13" t="n">
        <f aca="false">Funding!$F$76/Time!$F$9*Time!R30</f>
        <v>17.5291478639121</v>
      </c>
      <c r="S8" s="13" t="n">
        <f aca="false">Funding!$F$76/Time!$F$9*Time!S30</f>
        <v>17.5291478639121</v>
      </c>
      <c r="T8" s="13" t="n">
        <f aca="false">Funding!$F$76/Time!$F$9*Time!T30</f>
        <v>17.5291478639121</v>
      </c>
      <c r="U8" s="13" t="n">
        <f aca="false">Funding!$F$76/Time!$F$9*Time!U30</f>
        <v>17.5291478639121</v>
      </c>
      <c r="V8" s="13" t="n">
        <f aca="false">Funding!$F$76/Time!$F$9*Time!V30</f>
        <v>17.5291478639121</v>
      </c>
      <c r="W8" s="13" t="n">
        <f aca="false">Funding!$F$76/Time!$F$9*Time!W30</f>
        <v>17.5291478639121</v>
      </c>
      <c r="X8" s="13" t="n">
        <f aca="false">Funding!$F$76/Time!$F$9*Time!X30</f>
        <v>17.5291478639121</v>
      </c>
      <c r="Y8" s="13" t="n">
        <f aca="false">Funding!$F$76/Time!$F$9*Time!Y30</f>
        <v>17.5291478639121</v>
      </c>
      <c r="Z8" s="13" t="n">
        <f aca="false">Funding!$F$76/Time!$F$9*Time!Z30</f>
        <v>17.5291478639121</v>
      </c>
      <c r="AA8" s="13" t="n">
        <f aca="false">Funding!$F$76/Time!$F$9*Time!AA30</f>
        <v>17.5291478639121</v>
      </c>
      <c r="AB8" s="13" t="n">
        <f aca="false">Funding!$F$76/Time!$F$9*Time!AB30</f>
        <v>17.5291478639121</v>
      </c>
      <c r="AC8" s="13" t="n">
        <f aca="false">Funding!$F$76/Time!$F$9*Time!AC30</f>
        <v>17.5291478639121</v>
      </c>
      <c r="AD8" s="13" t="n">
        <f aca="false">Funding!$F$76/Time!$F$9*Time!AD30</f>
        <v>17.5291478639121</v>
      </c>
      <c r="AE8" s="13" t="n">
        <f aca="false">Funding!$F$76/Time!$F$9*Time!AE30</f>
        <v>17.5291478639121</v>
      </c>
      <c r="AF8" s="13" t="n">
        <f aca="false">Funding!$F$76/Time!$F$9*Time!AF30</f>
        <v>17.5291478639121</v>
      </c>
      <c r="AG8" s="13" t="n">
        <f aca="false">Funding!$F$76/Time!$F$9*Time!AG30</f>
        <v>17.5291478639121</v>
      </c>
      <c r="AH8" s="13" t="n">
        <f aca="false">Funding!$F$76/Time!$F$9*Time!AH30</f>
        <v>17.5291478639121</v>
      </c>
      <c r="AI8" s="13" t="n">
        <f aca="false">Funding!$F$76/Time!$F$9*Time!AI30</f>
        <v>17.5291478639121</v>
      </c>
      <c r="AJ8" s="13" t="n">
        <f aca="false">Funding!$F$76/Time!$F$9*Time!AJ30</f>
        <v>17.5291478639121</v>
      </c>
      <c r="AK8" s="13" t="n">
        <f aca="false">Funding!$F$76/Time!$F$9*Time!AK30</f>
        <v>17.5291478639121</v>
      </c>
      <c r="AL8" s="13" t="n">
        <f aca="false">Funding!$F$76/Time!$F$9*Time!AL30</f>
        <v>17.5291478639121</v>
      </c>
      <c r="AM8" s="13" t="n">
        <f aca="false">Funding!$F$76/Time!$F$9*Time!AM30</f>
        <v>17.5291478639121</v>
      </c>
      <c r="AN8" s="13" t="n">
        <f aca="false">Funding!$F$76/Time!$F$9*Time!AN30</f>
        <v>17.5291478639121</v>
      </c>
      <c r="AO8" s="13" t="n">
        <f aca="false">Funding!$F$76/Time!$F$9*Time!AO30</f>
        <v>17.5291478639121</v>
      </c>
      <c r="AP8" s="13" t="n">
        <f aca="false">Funding!$F$76/Time!$F$9*Time!AP30</f>
        <v>17.5291478639121</v>
      </c>
      <c r="AQ8" s="13" t="n">
        <f aca="false">Funding!$F$76/Time!$F$9*Time!AQ30</f>
        <v>17.5291478639121</v>
      </c>
      <c r="AR8" s="13" t="n">
        <f aca="false">Funding!$F$76/Time!$F$9*Time!AR30</f>
        <v>17.5291478639121</v>
      </c>
      <c r="AS8" s="13" t="n">
        <f aca="false">Funding!$F$76/Time!$F$9*Time!AS30</f>
        <v>17.5291478639121</v>
      </c>
      <c r="AT8" s="13" t="n">
        <f aca="false">Funding!$F$76/Time!$F$9*Time!AT30</f>
        <v>17.5291478639121</v>
      </c>
      <c r="AU8" s="13" t="n">
        <f aca="false">Funding!$F$76/Time!$F$9*Time!AU30</f>
        <v>17.5291478639121</v>
      </c>
      <c r="AV8" s="13" t="n">
        <f aca="false">Funding!$F$76/Time!$F$9*Time!AV30</f>
        <v>17.5291478639121</v>
      </c>
      <c r="AW8" s="13" t="n">
        <f aca="false">Funding!$F$76/Time!$F$9*Time!AW30</f>
        <v>17.5291478639121</v>
      </c>
      <c r="AX8" s="13" t="n">
        <f aca="false">Funding!$F$76/Time!$F$9*Time!AX30</f>
        <v>17.5291478639121</v>
      </c>
      <c r="AY8" s="13" t="n">
        <f aca="false">Funding!$F$76/Time!$F$9*Time!AY30</f>
        <v>17.5291478639121</v>
      </c>
      <c r="AZ8" s="13" t="n">
        <f aca="false">Funding!$F$76/Time!$F$9*Time!AZ30</f>
        <v>17.5291478639121</v>
      </c>
      <c r="BA8" s="13" t="n">
        <f aca="false">Funding!$F$76/Time!$F$9*Time!BA30</f>
        <v>17.5291478639121</v>
      </c>
      <c r="BB8" s="13" t="n">
        <f aca="false">Funding!$F$76/Time!$F$9*Time!BB30</f>
        <v>17.5291478639121</v>
      </c>
      <c r="BC8" s="13" t="n">
        <f aca="false">Funding!$F$76/Time!$F$9*Time!BC30</f>
        <v>17.5291478639121</v>
      </c>
      <c r="BD8" s="13" t="n">
        <f aca="false">Funding!$F$76/Time!$F$9*Time!BD30</f>
        <v>17.5291478639121</v>
      </c>
      <c r="BE8" s="13" t="n">
        <f aca="false">Funding!$F$76/Time!$F$9*Time!BE30</f>
        <v>17.5291478639121</v>
      </c>
      <c r="BF8" s="13" t="n">
        <f aca="false">Funding!$F$76/Time!$F$9*Time!BF30</f>
        <v>17.5291478639121</v>
      </c>
      <c r="BG8" s="13" t="n">
        <f aca="false">Funding!$F$76/Time!$F$9*Time!BG30</f>
        <v>17.5291478639121</v>
      </c>
      <c r="BH8" s="13" t="n">
        <f aca="false">Funding!$F$76/Time!$F$9*Time!BH30</f>
        <v>17.5291478639121</v>
      </c>
      <c r="BI8" s="13" t="n">
        <f aca="false">Funding!$F$76/Time!$F$9*Time!BI30</f>
        <v>17.5291478639121</v>
      </c>
      <c r="BJ8" s="13" t="n">
        <f aca="false">Funding!$F$76/Time!$F$9*Time!BJ30</f>
        <v>17.5291478639121</v>
      </c>
      <c r="BK8" s="13" t="n">
        <f aca="false">Funding!$F$76/Time!$F$9*Time!BK30</f>
        <v>17.5291478639121</v>
      </c>
      <c r="BL8" s="13" t="n">
        <f aca="false">Funding!$F$76/Time!$F$9*Time!BL30</f>
        <v>17.5291478639121</v>
      </c>
      <c r="BM8" s="13" t="n">
        <f aca="false">Funding!$F$76/Time!$F$9*Time!BM30</f>
        <v>17.5291478639121</v>
      </c>
      <c r="BN8" s="13" t="n">
        <f aca="false">Funding!$F$76/Time!$F$9*Time!BN30</f>
        <v>11.6860985759414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600.282045262107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0</v>
      </c>
      <c r="P9" s="13" t="n">
        <f aca="false">Debt!P112+Debt!P110+Debt!P104-Debt!P103+Tax!P13</f>
        <v>3.45438227917857</v>
      </c>
      <c r="Q9" s="13" t="n">
        <f aca="false">Debt!Q112+Debt!Q110+Debt!Q104-Debt!Q103+Tax!Q13</f>
        <v>32.8128037102916</v>
      </c>
      <c r="R9" s="13" t="n">
        <f aca="false">Debt!R112+Debt!R110+Debt!R104-Debt!R103+Tax!R13</f>
        <v>32.5707857513585</v>
      </c>
      <c r="S9" s="13" t="n">
        <f aca="false">Debt!S112+Debt!S110+Debt!S104-Debt!S103+Tax!S13</f>
        <v>31.5281080718952</v>
      </c>
      <c r="T9" s="13" t="n">
        <f aca="false">Debt!T112+Debt!T110+Debt!T104-Debt!T103+Tax!T13</f>
        <v>31.3026971999403</v>
      </c>
      <c r="U9" s="13" t="n">
        <f aca="false">Debt!U112+Debt!U110+Debt!U104-Debt!U103+Tax!U13</f>
        <v>30.3484032405545</v>
      </c>
      <c r="V9" s="13" t="n">
        <f aca="false">Debt!V112+Debt!V110+Debt!V104-Debt!V103+Tax!V13</f>
        <v>29.9435432194977</v>
      </c>
      <c r="W9" s="13" t="n">
        <f aca="false">Debt!W112+Debt!W110+Debt!W104-Debt!W103+Tax!W13</f>
        <v>28.8220224386588</v>
      </c>
      <c r="X9" s="13" t="n">
        <f aca="false">Debt!X112+Debt!X110+Debt!X104-Debt!X103+Tax!X13</f>
        <v>28.3587355420575</v>
      </c>
      <c r="Y9" s="13" t="n">
        <f aca="false">Debt!Y112+Debt!Y110+Debt!Y104-Debt!Y103+Tax!Y13</f>
        <v>27.6701770218136</v>
      </c>
      <c r="Z9" s="13" t="n">
        <f aca="false">Debt!Z112+Debt!Z110+Debt!Z104-Debt!Z103+Tax!Z13</f>
        <v>27.2736383926821</v>
      </c>
      <c r="AA9" s="13" t="n">
        <f aca="false">Debt!AA112+Debt!AA110+Debt!AA104-Debt!AA103+Tax!AA13</f>
        <v>26.0977408271447</v>
      </c>
      <c r="AB9" s="13" t="n">
        <f aca="false">Debt!AB112+Debt!AB110+Debt!AB104-Debt!AB103+Tax!AB13</f>
        <v>25.6312838022889</v>
      </c>
      <c r="AC9" s="13" t="n">
        <f aca="false">Debt!AC112+Debt!AC110+Debt!AC104-Debt!AC103+Tax!AC13</f>
        <v>24.5035584760627</v>
      </c>
      <c r="AD9" s="13" t="n">
        <f aca="false">Debt!AD112+Debt!AD110+Debt!AD104-Debt!AD103+Tax!AD13</f>
        <v>23.8603917913114</v>
      </c>
      <c r="AE9" s="13" t="n">
        <f aca="false">Debt!AE112+Debt!AE110+Debt!AE104-Debt!AE103+Tax!AE13</f>
        <v>22.5924859345414</v>
      </c>
      <c r="AF9" s="13" t="n">
        <f aca="false">Debt!AF112+Debt!AF110+Debt!AF104-Debt!AF103+Tax!AF13</f>
        <v>21.83677574122</v>
      </c>
      <c r="AG9" s="13" t="n">
        <f aca="false">Debt!AG112+Debt!AG110+Debt!AG104-Debt!AG103+Tax!AG13</f>
        <v>20.6182550476866</v>
      </c>
      <c r="AH9" s="13" t="n">
        <f aca="false">Debt!AH112+Debt!AH110+Debt!AH104-Debt!AH103+Tax!AH13</f>
        <v>19.7071012209956</v>
      </c>
      <c r="AI9" s="13" t="n">
        <f aca="false">Debt!AI112+Debt!AI110+Debt!AI104-Debt!AI103+Tax!AI13</f>
        <v>18.152313867473</v>
      </c>
      <c r="AJ9" s="13" t="n">
        <f aca="false">Debt!AJ112+Debt!AJ110+Debt!AJ104-Debt!AJ103+Tax!AJ13</f>
        <v>17.0816025908045</v>
      </c>
      <c r="AK9" s="13" t="n">
        <f aca="false">Debt!AK112+Debt!AK110+Debt!AK104-Debt!AK103+Tax!AK13</f>
        <v>15.4991573560408</v>
      </c>
      <c r="AL9" s="13" t="n">
        <f aca="false">Debt!AL112+Debt!AL110+Debt!AL104-Debt!AL103+Tax!AL13</f>
        <v>14.1750671907455</v>
      </c>
      <c r="AM9" s="13" t="n">
        <f aca="false">Debt!AM112+Debt!AM110+Debt!AM104-Debt!AM103+Tax!AM13</f>
        <v>12.4187746385343</v>
      </c>
      <c r="AN9" s="13" t="n">
        <f aca="false">Debt!AN112+Debt!AN110+Debt!AN104-Debt!AN103+Tax!AN13</f>
        <v>10.920605457187</v>
      </c>
      <c r="AO9" s="13" t="n">
        <f aca="false">Debt!AO112+Debt!AO110+Debt!AO104-Debt!AO103+Tax!AO13</f>
        <v>9.12008903773931</v>
      </c>
      <c r="AP9" s="13" t="n">
        <f aca="false">Debt!AP112+Debt!AP110+Debt!AP104-Debt!AP103+Tax!AP13</f>
        <v>6.71678574226098</v>
      </c>
      <c r="AQ9" s="13" t="n">
        <f aca="false">Debt!AQ112+Debt!AQ110+Debt!AQ104-Debt!AQ103+Tax!AQ13</f>
        <v>4.50514789694132</v>
      </c>
      <c r="AR9" s="13" t="n">
        <f aca="false">Debt!AR112+Debt!AR110+Debt!AR104-Debt!AR103+Tax!AR13</f>
        <v>2.35384053952823</v>
      </c>
      <c r="AS9" s="13" t="n">
        <f aca="false">Debt!AS112+Debt!AS110+Debt!AS104-Debt!AS103+Tax!AS13</f>
        <v>0.405771235672667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876.457393195604</v>
      </c>
      <c r="K10" s="13" t="n">
        <f aca="false">Funding!$F$76-SUM(Tax!$J$10:K$10)</f>
        <v>876.457393195604</v>
      </c>
      <c r="L10" s="13" t="n">
        <f aca="false">Funding!$F$76-SUM(Tax!$J$10:L$10)</f>
        <v>876.457393195604</v>
      </c>
      <c r="M10" s="13" t="n">
        <f aca="false">Funding!$F$76-SUM(Tax!$J$10:M$10)</f>
        <v>876.457393195604</v>
      </c>
      <c r="N10" s="13" t="n">
        <f aca="false">Funding!$F$76-SUM(Tax!$J$10:N$10)</f>
        <v>876.457393195604</v>
      </c>
      <c r="O10" s="13" t="n">
        <f aca="false">Funding!$F$76-SUM(Tax!$J$10:O$10)</f>
        <v>876.457393195604</v>
      </c>
      <c r="P10" s="13" t="n">
        <f aca="false">Funding!$F$76-SUM(Tax!$J$10:P$10)</f>
        <v>868.569276656843</v>
      </c>
      <c r="Q10" s="13" t="n">
        <f aca="false">Funding!$F$76-SUM(Tax!$J$10:Q$10)</f>
        <v>844.904927040562</v>
      </c>
      <c r="R10" s="13" t="n">
        <f aca="false">Funding!$F$76-SUM(Tax!$J$10:R$10)</f>
        <v>821.240577424281</v>
      </c>
      <c r="S10" s="13" t="n">
        <f aca="false">Funding!$F$76-SUM(Tax!$J$10:S$10)</f>
        <v>797.576227807999</v>
      </c>
      <c r="T10" s="13" t="n">
        <f aca="false">Funding!$F$76-SUM(Tax!$J$10:T$10)</f>
        <v>773.911878191718</v>
      </c>
      <c r="U10" s="13" t="n">
        <f aca="false">Funding!$F$76-SUM(Tax!$J$10:U$10)</f>
        <v>750.247528575437</v>
      </c>
      <c r="V10" s="13" t="n">
        <f aca="false">Funding!$F$76-SUM(Tax!$J$10:V$10)</f>
        <v>726.583178959156</v>
      </c>
      <c r="W10" s="13" t="n">
        <f aca="false">Funding!$F$76-SUM(Tax!$J$10:W$10)</f>
        <v>702.918829342874</v>
      </c>
      <c r="X10" s="13" t="n">
        <f aca="false">Funding!$F$76-SUM(Tax!$J$10:X$10)</f>
        <v>679.254479726593</v>
      </c>
      <c r="Y10" s="13" t="n">
        <f aca="false">Funding!$F$76-SUM(Tax!$J$10:Y$10)</f>
        <v>655.590130110312</v>
      </c>
      <c r="Z10" s="13" t="n">
        <f aca="false">Funding!$F$76-SUM(Tax!$J$10:Z$10)</f>
        <v>632.802237887226</v>
      </c>
      <c r="AA10" s="13" t="n">
        <f aca="false">Funding!$F$76-SUM(Tax!$J$10:AA$10)</f>
        <v>611.767260450532</v>
      </c>
      <c r="AB10" s="13" t="n">
        <f aca="false">Funding!$F$76-SUM(Tax!$J$10:AB$10)</f>
        <v>590.732283013837</v>
      </c>
      <c r="AC10" s="13" t="n">
        <f aca="false">Funding!$F$76-SUM(Tax!$J$10:AC$10)</f>
        <v>569.697305577143</v>
      </c>
      <c r="AD10" s="13" t="n">
        <f aca="false">Funding!$F$76-SUM(Tax!$J$10:AD$10)</f>
        <v>548.662328140448</v>
      </c>
      <c r="AE10" s="13" t="n">
        <f aca="false">Funding!$F$76-SUM(Tax!$J$10:AE$10)</f>
        <v>527.627350703754</v>
      </c>
      <c r="AF10" s="13" t="n">
        <f aca="false">Funding!$F$76-SUM(Tax!$J$10:AF$10)</f>
        <v>506.592373267059</v>
      </c>
      <c r="AG10" s="13" t="n">
        <f aca="false">Funding!$F$76-SUM(Tax!$J$10:AG$10)</f>
        <v>485.557395830364</v>
      </c>
      <c r="AH10" s="13" t="n">
        <f aca="false">Funding!$F$76-SUM(Tax!$J$10:AH$10)</f>
        <v>464.52241839367</v>
      </c>
      <c r="AI10" s="13" t="n">
        <f aca="false">Funding!$F$76-SUM(Tax!$J$10:AI$10)</f>
        <v>443.487440956976</v>
      </c>
      <c r="AJ10" s="13" t="n">
        <f aca="false">Funding!$F$76-SUM(Tax!$J$10:AJ$10)</f>
        <v>422.452463520281</v>
      </c>
      <c r="AK10" s="13" t="n">
        <f aca="false">Funding!$F$76-SUM(Tax!$J$10:AK$10)</f>
        <v>401.417486083587</v>
      </c>
      <c r="AL10" s="13" t="n">
        <f aca="false">Funding!$F$76-SUM(Tax!$J$10:AL$10)</f>
        <v>380.382508646892</v>
      </c>
      <c r="AM10" s="13" t="n">
        <f aca="false">Funding!$F$76-SUM(Tax!$J$10:AM$10)</f>
        <v>359.347531210198</v>
      </c>
      <c r="AN10" s="13" t="n">
        <f aca="false">Funding!$F$76-SUM(Tax!$J$10:AN$10)</f>
        <v>338.312553773503</v>
      </c>
      <c r="AO10" s="13" t="n">
        <f aca="false">Funding!$F$76-SUM(Tax!$J$10:AO$10)</f>
        <v>317.277576336808</v>
      </c>
      <c r="AP10" s="13" t="n">
        <f aca="false">Funding!$F$76-SUM(Tax!$J$10:AP$10)</f>
        <v>296.242598900114</v>
      </c>
      <c r="AQ10" s="13" t="n">
        <f aca="false">Funding!$F$76-SUM(Tax!$J$10:AQ$10)</f>
        <v>275.20762146342</v>
      </c>
      <c r="AR10" s="13" t="n">
        <f aca="false">Funding!$F$76-SUM(Tax!$J$10:AR$10)</f>
        <v>254.172644026725</v>
      </c>
      <c r="AS10" s="13" t="n">
        <f aca="false">Funding!$F$76-SUM(Tax!$J$10:AS$10)</f>
        <v>233.137666590031</v>
      </c>
      <c r="AT10" s="13" t="n">
        <f aca="false">Funding!$F$76-SUM(Tax!$J$10:AT$10)</f>
        <v>212.102689153336</v>
      </c>
      <c r="AU10" s="13" t="n">
        <f aca="false">Funding!$F$76-SUM(Tax!$J$10:AU$10)</f>
        <v>191.067711716642</v>
      </c>
      <c r="AV10" s="13" t="n">
        <f aca="false">Funding!$F$76-SUM(Tax!$J$10:AV$10)</f>
        <v>170.032734279947</v>
      </c>
      <c r="AW10" s="13" t="n">
        <f aca="false">Funding!$F$76-SUM(Tax!$J$10:AW$10)</f>
        <v>148.997756843253</v>
      </c>
      <c r="AX10" s="13" t="n">
        <f aca="false">Funding!$F$76-SUM(Tax!$J$10:AX$10)</f>
        <v>127.962779406558</v>
      </c>
      <c r="AY10" s="13" t="n">
        <f aca="false">Funding!$F$76-SUM(Tax!$J$10:AY$10)</f>
        <v>106.927801969864</v>
      </c>
      <c r="AZ10" s="13" t="n">
        <f aca="false">Funding!$F$76-SUM(Tax!$J$10:AZ$10)</f>
        <v>85.8928245331691</v>
      </c>
      <c r="BA10" s="13" t="n">
        <f aca="false">Funding!$F$76-SUM(Tax!$J$10:BA$10)</f>
        <v>64.8578470964746</v>
      </c>
      <c r="BB10" s="13" t="n">
        <f aca="false">Funding!$F$76-SUM(Tax!$J$10:BB$10)</f>
        <v>43.8228696597801</v>
      </c>
      <c r="BC10" s="13" t="n">
        <f aca="false">Funding!$F$76-SUM(Tax!$J$10:BC$10)</f>
        <v>22.7878922230856</v>
      </c>
      <c r="BD10" s="13" t="n">
        <f aca="false">Funding!$F$76-SUM(Tax!$J$10:BD$10)</f>
        <v>8.47242146755741</v>
      </c>
      <c r="BE10" s="13" t="n">
        <f aca="false">Funding!$F$76-SUM(Tax!$J$10:BE$10)</f>
        <v>7.59596407436186</v>
      </c>
      <c r="BF10" s="13" t="n">
        <f aca="false">Funding!$F$76-SUM(Tax!$J$10:BF$10)</f>
        <v>6.71950668116619</v>
      </c>
      <c r="BG10" s="13" t="n">
        <f aca="false">Funding!$F$76-SUM(Tax!$J$10:BG$10)</f>
        <v>5.84304928797064</v>
      </c>
      <c r="BH10" s="13" t="n">
        <f aca="false">Funding!$F$76-SUM(Tax!$J$10:BH$10)</f>
        <v>4.96659189477498</v>
      </c>
      <c r="BI10" s="13" t="n">
        <f aca="false">Funding!$F$76-SUM(Tax!$J$10:BI$10)</f>
        <v>4.09013450157943</v>
      </c>
      <c r="BJ10" s="13" t="n">
        <f aca="false">Funding!$F$76-SUM(Tax!$J$10:BJ$10)</f>
        <v>3.21367710838388</v>
      </c>
      <c r="BK10" s="13" t="n">
        <f aca="false">Funding!$F$76-SUM(Tax!$J$10:BK$10)</f>
        <v>2.33721971518821</v>
      </c>
      <c r="BL10" s="13" t="n">
        <f aca="false">Funding!$F$76-SUM(Tax!$J$10:BL$10)</f>
        <v>1.46076232199266</v>
      </c>
      <c r="BM10" s="13" t="n">
        <f aca="false">Funding!$F$76-SUM(Tax!$J$10:BM$10)</f>
        <v>0.584304928796996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876.457393195604</v>
      </c>
      <c r="K11" s="13" t="n">
        <f aca="false">Funding!$F$76-SUM($J$8:K$8)</f>
        <v>876.457393195604</v>
      </c>
      <c r="L11" s="13" t="n">
        <f aca="false">Funding!$F$76-SUM($J$8:L$8)</f>
        <v>876.457393195604</v>
      </c>
      <c r="M11" s="13" t="n">
        <f aca="false">Funding!$F$76-SUM($J$8:M$8)</f>
        <v>876.457393195604</v>
      </c>
      <c r="N11" s="13" t="n">
        <f aca="false">Funding!$F$76-SUM($J$8:N$8)</f>
        <v>876.457393195604</v>
      </c>
      <c r="O11" s="13" t="n">
        <f aca="false">Funding!$F$76-SUM($J$8:O$8)</f>
        <v>876.457393195604</v>
      </c>
      <c r="P11" s="13" t="n">
        <f aca="false">Funding!$F$76-SUM($J$8:P$8)</f>
        <v>870.614343907633</v>
      </c>
      <c r="Q11" s="13" t="n">
        <f aca="false">Funding!$F$76-SUM($J$8:Q$8)</f>
        <v>853.085196043721</v>
      </c>
      <c r="R11" s="13" t="n">
        <f aca="false">Funding!$F$76-SUM($J$8:R$8)</f>
        <v>835.556048179809</v>
      </c>
      <c r="S11" s="13" t="n">
        <f aca="false">Funding!$F$76-SUM($J$8:S$8)</f>
        <v>818.026900315897</v>
      </c>
      <c r="T11" s="13" t="n">
        <f aca="false">Funding!$F$76-SUM($J$8:T$8)</f>
        <v>800.497752451985</v>
      </c>
      <c r="U11" s="13" t="n">
        <f aca="false">Funding!$F$76-SUM($J$8:U$8)</f>
        <v>782.968604588073</v>
      </c>
      <c r="V11" s="13" t="n">
        <f aca="false">Funding!$F$76-SUM($J$8:V$8)</f>
        <v>765.439456724161</v>
      </c>
      <c r="W11" s="13" t="n">
        <f aca="false">Funding!$F$76-SUM($J$8:W$8)</f>
        <v>747.910308860249</v>
      </c>
      <c r="X11" s="13" t="n">
        <f aca="false">Funding!$F$76-SUM($J$8:X$8)</f>
        <v>730.381160996337</v>
      </c>
      <c r="Y11" s="13" t="n">
        <f aca="false">Funding!$F$76-SUM($J$8:Y$8)</f>
        <v>712.852013132424</v>
      </c>
      <c r="Z11" s="13" t="n">
        <f aca="false">Funding!$F$76-SUM($J$8:Z$8)</f>
        <v>695.322865268512</v>
      </c>
      <c r="AA11" s="13" t="n">
        <f aca="false">Funding!$F$76-SUM($J$8:AA$8)</f>
        <v>677.7937174046</v>
      </c>
      <c r="AB11" s="13" t="n">
        <f aca="false">Funding!$F$76-SUM($J$8:AB$8)</f>
        <v>660.264569540688</v>
      </c>
      <c r="AC11" s="13" t="n">
        <f aca="false">Funding!$F$76-SUM($J$8:AC$8)</f>
        <v>642.735421676776</v>
      </c>
      <c r="AD11" s="13" t="n">
        <f aca="false">Funding!$F$76-SUM($J$8:AD$8)</f>
        <v>625.206273812864</v>
      </c>
      <c r="AE11" s="13" t="n">
        <f aca="false">Funding!$F$76-SUM($J$8:AE$8)</f>
        <v>607.677125948952</v>
      </c>
      <c r="AF11" s="13" t="n">
        <f aca="false">Funding!$F$76-SUM($J$8:AF$8)</f>
        <v>590.14797808504</v>
      </c>
      <c r="AG11" s="13" t="n">
        <f aca="false">Funding!$F$76-SUM($J$8:AG$8)</f>
        <v>572.618830221128</v>
      </c>
      <c r="AH11" s="13" t="n">
        <f aca="false">Funding!$F$76-SUM($J$8:AH$8)</f>
        <v>555.089682357216</v>
      </c>
      <c r="AI11" s="13" t="n">
        <f aca="false">Funding!$F$76-SUM($J$8:AI$8)</f>
        <v>537.560534493304</v>
      </c>
      <c r="AJ11" s="13" t="n">
        <f aca="false">Funding!$F$76-SUM($J$8:AJ$8)</f>
        <v>520.031386629392</v>
      </c>
      <c r="AK11" s="13" t="n">
        <f aca="false">Funding!$F$76-SUM($J$8:AK$8)</f>
        <v>502.50223876548</v>
      </c>
      <c r="AL11" s="13" t="n">
        <f aca="false">Funding!$F$76-SUM($J$8:AL$8)</f>
        <v>484.973090901567</v>
      </c>
      <c r="AM11" s="13" t="n">
        <f aca="false">Funding!$F$76-SUM($J$8:AM$8)</f>
        <v>467.443943037655</v>
      </c>
      <c r="AN11" s="13" t="n">
        <f aca="false">Funding!$F$76-SUM($J$8:AN$8)</f>
        <v>449.914795173743</v>
      </c>
      <c r="AO11" s="13" t="n">
        <f aca="false">Funding!$F$76-SUM($J$8:AO$8)</f>
        <v>432.385647309831</v>
      </c>
      <c r="AP11" s="13" t="n">
        <f aca="false">Funding!$F$76-SUM($J$8:AP$8)</f>
        <v>414.856499445919</v>
      </c>
      <c r="AQ11" s="13" t="n">
        <f aca="false">Funding!$F$76-SUM($J$8:AQ$8)</f>
        <v>397.327351582007</v>
      </c>
      <c r="AR11" s="13" t="n">
        <f aca="false">Funding!$F$76-SUM($J$8:AR$8)</f>
        <v>379.798203718095</v>
      </c>
      <c r="AS11" s="13" t="n">
        <f aca="false">Funding!$F$76-SUM($J$8:AS$8)</f>
        <v>362.269055854183</v>
      </c>
      <c r="AT11" s="13" t="n">
        <f aca="false">Funding!$F$76-SUM($J$8:AT$8)</f>
        <v>344.739907990271</v>
      </c>
      <c r="AU11" s="13" t="n">
        <f aca="false">Funding!$F$76-SUM($J$8:AU$8)</f>
        <v>327.210760126359</v>
      </c>
      <c r="AV11" s="13" t="n">
        <f aca="false">Funding!$F$76-SUM($J$8:AV$8)</f>
        <v>309.681612262447</v>
      </c>
      <c r="AW11" s="13" t="n">
        <f aca="false">Funding!$F$76-SUM($J$8:AW$8)</f>
        <v>292.152464398535</v>
      </c>
      <c r="AX11" s="13" t="n">
        <f aca="false">Funding!$F$76-SUM($J$8:AX$8)</f>
        <v>274.623316534623</v>
      </c>
      <c r="AY11" s="13" t="n">
        <f aca="false">Funding!$F$76-SUM($J$8:AY$8)</f>
        <v>257.094168670711</v>
      </c>
      <c r="AZ11" s="13" t="n">
        <f aca="false">Funding!$F$76-SUM($J$8:AZ$8)</f>
        <v>239.565020806798</v>
      </c>
      <c r="BA11" s="13" t="n">
        <f aca="false">Funding!$F$76-SUM($J$8:BA$8)</f>
        <v>222.035872942886</v>
      </c>
      <c r="BB11" s="13" t="n">
        <f aca="false">Funding!$F$76-SUM($J$8:BB$8)</f>
        <v>204.506725078974</v>
      </c>
      <c r="BC11" s="13" t="n">
        <f aca="false">Funding!$F$76-SUM($J$8:BC$8)</f>
        <v>186.977577215062</v>
      </c>
      <c r="BD11" s="13" t="n">
        <f aca="false">Funding!$F$76-SUM($J$8:BD$8)</f>
        <v>169.44842935115</v>
      </c>
      <c r="BE11" s="13" t="n">
        <f aca="false">Funding!$F$76-SUM($J$8:BE$8)</f>
        <v>151.919281487238</v>
      </c>
      <c r="BF11" s="13" t="n">
        <f aca="false">Funding!$F$76-SUM($J$8:BF$8)</f>
        <v>134.390133623326</v>
      </c>
      <c r="BG11" s="13" t="n">
        <f aca="false">Funding!$F$76-SUM($J$8:BG$8)</f>
        <v>116.860985759414</v>
      </c>
      <c r="BH11" s="13" t="n">
        <f aca="false">Funding!$F$76-SUM($J$8:BH$8)</f>
        <v>99.3318378955017</v>
      </c>
      <c r="BI11" s="13" t="n">
        <f aca="false">Funding!$F$76-SUM($J$8:BI$8)</f>
        <v>81.8026900315897</v>
      </c>
      <c r="BJ11" s="13" t="n">
        <f aca="false">Funding!$F$76-SUM($J$8:BJ$8)</f>
        <v>64.2735421676777</v>
      </c>
      <c r="BK11" s="13" t="n">
        <f aca="false">Funding!$F$76-SUM($J$8:BK$8)</f>
        <v>46.7443943037656</v>
      </c>
      <c r="BL11" s="13" t="n">
        <f aca="false">Funding!$F$76-SUM($J$8:BL$8)</f>
        <v>29.2152464398534</v>
      </c>
      <c r="BM11" s="13" t="n">
        <f aca="false">Funding!$F$76-SUM($J$8:BM$8)</f>
        <v>11.6860985759414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0</v>
      </c>
      <c r="P12" s="13" t="n">
        <f aca="false">IF(Time!P20&gt;=Time!$F$12,Inputs!$F$184/100*(P11-P10-Tax!P21),0)</f>
        <v>-1.7529147863912</v>
      </c>
      <c r="Q12" s="13" t="n">
        <f aca="false">IF(Time!Q20&gt;=Time!$F$12,Inputs!$F$184/100*(Q11-Q10-Tax!Q21),0)</f>
        <v>-7.01165914556483</v>
      </c>
      <c r="R12" s="13" t="n">
        <f aca="false">IF(Time!R20&gt;=Time!$F$12,Inputs!$F$184/100*(R11-R10-Tax!R21),0)</f>
        <v>-12.2704035047385</v>
      </c>
      <c r="S12" s="13" t="n">
        <f aca="false">IF(Time!S20&gt;=Time!$F$12,Inputs!$F$184/100*(S11-S10-Tax!S21),0)</f>
        <v>-17.5291478639121</v>
      </c>
      <c r="T12" s="13" t="n">
        <f aca="false">IF(Time!T20&gt;=Time!$F$12,Inputs!$F$184/100*(T11-T10-Tax!T21),0)</f>
        <v>-22.7878922230857</v>
      </c>
      <c r="U12" s="13" t="n">
        <f aca="false">IF(Time!U20&gt;=Time!$F$12,Inputs!$F$184/100*(U11-U10-Tax!U21),0)</f>
        <v>-28.0466365822593</v>
      </c>
      <c r="V12" s="13" t="n">
        <f aca="false">IF(Time!V20&gt;=Time!$F$12,Inputs!$F$184/100*(V11-V10-Tax!V21),0)</f>
        <v>-33.3053809414329</v>
      </c>
      <c r="W12" s="13" t="n">
        <f aca="false">IF(Time!W20&gt;=Time!$F$12,Inputs!$F$184/100*(W11-W10-Tax!W21),0)</f>
        <v>-38.5641253006066</v>
      </c>
      <c r="X12" s="13" t="n">
        <f aca="false">IF(Time!X20&gt;=Time!$F$12,Inputs!$F$184/100*(X11-X10-Tax!X21),0)</f>
        <v>-43.8228696597802</v>
      </c>
      <c r="Y12" s="13" t="n">
        <f aca="false">IF(Time!Y20&gt;=Time!$F$12,Inputs!$F$184/100*(Y11-Y10-Tax!Y21),0)</f>
        <v>-49.0816140189538</v>
      </c>
      <c r="Z12" s="13" t="n">
        <f aca="false">IF(Time!Z20&gt;=Time!$F$12,Inputs!$F$184/100*(Z11-Z10-Tax!Z21),0)</f>
        <v>-51.8787693517002</v>
      </c>
      <c r="AA12" s="13" t="n">
        <f aca="false">IF(Time!AA20&gt;=Time!$F$12,Inputs!$F$184/100*(AA11-AA10-Tax!AA21),0)</f>
        <v>-49.3549672937991</v>
      </c>
      <c r="AB12" s="13" t="n">
        <f aca="false">IF(Time!AB20&gt;=Time!$F$12,Inputs!$F$184/100*(AB11-AB10-Tax!AB21),0)</f>
        <v>-46.6610690084393</v>
      </c>
      <c r="AC12" s="13" t="n">
        <f aca="false">IF(Time!AC20&gt;=Time!$F$12,Inputs!$F$184/100*(AC11-AC10-Tax!AC21),0)</f>
        <v>-43.6031975927509</v>
      </c>
      <c r="AD12" s="13" t="n">
        <f aca="false">IF(Time!AD20&gt;=Time!$F$12,Inputs!$F$184/100*(AD11-AD10-Tax!AD21),0)</f>
        <v>-40.2874391882829</v>
      </c>
      <c r="AE12" s="13" t="n">
        <f aca="false">IF(Time!AE20&gt;=Time!$F$12,Inputs!$F$184/100*(AE11-AE10-Tax!AE21),0)</f>
        <v>-39.2356903164482</v>
      </c>
      <c r="AF12" s="13" t="n">
        <f aca="false">IF(Time!AF20&gt;=Time!$F$12,Inputs!$F$184/100*(AF11-AF10-Tax!AF21),0)</f>
        <v>-36.3457415188111</v>
      </c>
      <c r="AG12" s="13" t="n">
        <f aca="false">IF(Time!AG20&gt;=Time!$F$12,Inputs!$F$184/100*(AG11-AG10-Tax!AG21),0)</f>
        <v>-31.9766774663227</v>
      </c>
      <c r="AH12" s="13" t="n">
        <f aca="false">IF(Time!AH20&gt;=Time!$F$12,Inputs!$F$184/100*(AH11-AH10-Tax!AH21),0)</f>
        <v>-27.2915513477232</v>
      </c>
      <c r="AI12" s="13" t="n">
        <f aca="false">IF(Time!AI20&gt;=Time!$F$12,Inputs!$F$184/100*(AI11-AI10-Tax!AI21),0)</f>
        <v>-22.0911785055006</v>
      </c>
      <c r="AJ12" s="13" t="n">
        <f aca="false">IF(Time!AJ20&gt;=Time!$F$12,Inputs!$F$184/100*(AJ11-AJ10-Tax!AJ21),0)</f>
        <v>-16.5368770846598</v>
      </c>
      <c r="AK12" s="13" t="n">
        <f aca="false">IF(Time!AK20&gt;=Time!$F$12,Inputs!$F$184/100*(AK11-AK10-Tax!AK21),0)</f>
        <v>-10.4805980534068</v>
      </c>
      <c r="AL12" s="13" t="n">
        <f aca="false">IF(Time!AL20&gt;=Time!$F$12,Inputs!$F$184/100*(AL11-AL10-Tax!AL21),0)</f>
        <v>-3.96780040164767</v>
      </c>
      <c r="AM12" s="13" t="n">
        <f aca="false">IF(Time!AM20&gt;=Time!$F$12,Inputs!$F$184/100*(AM11-AM10-Tax!AM21),0)</f>
        <v>2.25109988575463</v>
      </c>
      <c r="AN12" s="13" t="n">
        <f aca="false">IF(Time!AN20&gt;=Time!$F$12,Inputs!$F$184/100*(AN11-AN10-Tax!AN21),0)</f>
        <v>9.84059040566008</v>
      </c>
      <c r="AO12" s="13" t="n">
        <f aca="false">IF(Time!AO20&gt;=Time!$F$12,Inputs!$F$184/100*(AO11-AO10-Tax!AO21),0)</f>
        <v>17.9682006654995</v>
      </c>
      <c r="AP12" s="13" t="n">
        <f aca="false">IF(Time!AP20&gt;=Time!$F$12,Inputs!$F$184/100*(AP11-AP10-Tax!AP21),0)</f>
        <v>26.8634363693293</v>
      </c>
      <c r="AQ12" s="13" t="n">
        <f aca="false">IF(Time!AQ20&gt;=Time!$F$12,Inputs!$F$184/100*(AQ11-AQ10-Tax!AQ21),0)</f>
        <v>36.4751014472153</v>
      </c>
      <c r="AR12" s="13" t="n">
        <f aca="false">IF(Time!AR20&gt;=Time!$F$12,Inputs!$F$184/100*(AR11-AR10-Tax!AR21),0)</f>
        <v>37.687667907411</v>
      </c>
      <c r="AS12" s="13" t="n">
        <f aca="false">IF(Time!AS20&gt;=Time!$F$12,Inputs!$F$184/100*(AS11-AS10-Tax!AS21),0)</f>
        <v>38.7394167792457</v>
      </c>
      <c r="AT12" s="13" t="n">
        <f aca="false">IF(Time!AT20&gt;=Time!$F$12,Inputs!$F$184/100*(AT11-AT10-Tax!AT21),0)</f>
        <v>39.7911656510804</v>
      </c>
      <c r="AU12" s="13" t="n">
        <f aca="false">IF(Time!AU20&gt;=Time!$F$12,Inputs!$F$184/100*(AU11-AU10-Tax!AU21),0)</f>
        <v>40.8429145229151</v>
      </c>
      <c r="AV12" s="13" t="n">
        <f aca="false">IF(Time!AV20&gt;=Time!$F$12,Inputs!$F$184/100*(AV11-AV10-Tax!AV21),0)</f>
        <v>41.8946633947499</v>
      </c>
      <c r="AW12" s="13" t="n">
        <f aca="false">IF(Time!AW20&gt;=Time!$F$12,Inputs!$F$184/100*(AW11-AW10-Tax!AW21),0)</f>
        <v>42.9464122665846</v>
      </c>
      <c r="AX12" s="13" t="n">
        <f aca="false">IF(Time!AX20&gt;=Time!$F$12,Inputs!$F$184/100*(AX11-AX10-Tax!AX21),0)</f>
        <v>43.9981611384193</v>
      </c>
      <c r="AY12" s="13" t="n">
        <f aca="false">IF(Time!AY20&gt;=Time!$F$12,Inputs!$F$184/100*(AY11-AY10-Tax!AY21),0)</f>
        <v>45.0499100102541</v>
      </c>
      <c r="AZ12" s="13" t="n">
        <f aca="false">IF(Time!AZ20&gt;=Time!$F$12,Inputs!$F$184/100*(AZ11-AZ10-Tax!AZ21),0)</f>
        <v>46.1016588820888</v>
      </c>
      <c r="BA12" s="13" t="n">
        <f aca="false">IF(Time!BA20&gt;=Time!$F$12,Inputs!$F$184/100*(BA11-BA10-Tax!BA21),0)</f>
        <v>47.1534077539235</v>
      </c>
      <c r="BB12" s="13" t="n">
        <f aca="false">IF(Time!BB20&gt;=Time!$F$12,Inputs!$F$184/100*(BB11-BB10-Tax!BB21),0)</f>
        <v>48.2051566257583</v>
      </c>
      <c r="BC12" s="13" t="n">
        <f aca="false">IF(Time!BC20&gt;=Time!$F$12,Inputs!$F$184/100*(BC11-BC10-Tax!BC21),0)</f>
        <v>49.256905497593</v>
      </c>
      <c r="BD12" s="13" t="n">
        <f aca="false">IF(Time!BD20&gt;=Time!$F$12,Inputs!$F$184/100*(BD11-BD10-Tax!BD21),0)</f>
        <v>48.2928023650778</v>
      </c>
      <c r="BE12" s="13" t="n">
        <f aca="false">IF(Time!BE20&gt;=Time!$F$12,Inputs!$F$184/100*(BE11-BE10-Tax!BE21),0)</f>
        <v>43.2969952238628</v>
      </c>
      <c r="BF12" s="13" t="n">
        <f aca="false">IF(Time!BF20&gt;=Time!$F$12,Inputs!$F$184/100*(BF11-BF10-Tax!BF21),0)</f>
        <v>38.3011880826479</v>
      </c>
      <c r="BG12" s="13" t="n">
        <f aca="false">IF(Time!BG20&gt;=Time!$F$12,Inputs!$F$184/100*(BG11-BG10-Tax!BG21),0)</f>
        <v>33.305380941433</v>
      </c>
      <c r="BH12" s="13" t="n">
        <f aca="false">IF(Time!BH20&gt;=Time!$F$12,Inputs!$F$184/100*(BH11-BH10-Tax!BH21),0)</f>
        <v>28.309573800218</v>
      </c>
      <c r="BI12" s="13" t="n">
        <f aca="false">IF(Time!BI20&gt;=Time!$F$12,Inputs!$F$184/100*(BI11-BI10-Tax!BI21),0)</f>
        <v>23.3137666590031</v>
      </c>
      <c r="BJ12" s="13" t="n">
        <f aca="false">IF(Time!BJ20&gt;=Time!$F$12,Inputs!$F$184/100*(BJ11-BJ10-Tax!BJ21),0)</f>
        <v>18.3179595177881</v>
      </c>
      <c r="BK12" s="13" t="n">
        <f aca="false">IF(Time!BK20&gt;=Time!$F$12,Inputs!$F$184/100*(BK11-BK10-Tax!BK21),0)</f>
        <v>13.3221523765732</v>
      </c>
      <c r="BL12" s="13" t="n">
        <f aca="false">IF(Time!BL20&gt;=Time!$F$12,Inputs!$F$184/100*(BL11-BL10-Tax!BL21),0)</f>
        <v>8.32634523535823</v>
      </c>
      <c r="BM12" s="13" t="n">
        <f aca="false">IF(Time!BM20&gt;=Time!$F$12,Inputs!$F$184/100*(BM11-BM10-Tax!BM21),0)</f>
        <v>3.33053809414332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0</v>
      </c>
      <c r="P13" s="13" t="n">
        <f aca="false">P12-O12</f>
        <v>-1.7529147863912</v>
      </c>
      <c r="Q13" s="13" t="n">
        <f aca="false">Q12-P12</f>
        <v>-5.25874435917363</v>
      </c>
      <c r="R13" s="13" t="n">
        <f aca="false">R12-Q12</f>
        <v>-5.25874435917363</v>
      </c>
      <c r="S13" s="13" t="n">
        <f aca="false">S12-R12</f>
        <v>-5.2587443591736</v>
      </c>
      <c r="T13" s="13" t="n">
        <f aca="false">T12-S12</f>
        <v>-5.25874435917367</v>
      </c>
      <c r="U13" s="13" t="n">
        <f aca="false">U12-T12</f>
        <v>-5.25874435917359</v>
      </c>
      <c r="V13" s="13" t="n">
        <f aca="false">V12-U12</f>
        <v>-5.2587443591736</v>
      </c>
      <c r="W13" s="13" t="n">
        <f aca="false">W12-V12</f>
        <v>-5.25874435917366</v>
      </c>
      <c r="X13" s="13" t="n">
        <f aca="false">X12-W12</f>
        <v>-5.25874435917363</v>
      </c>
      <c r="Y13" s="13" t="n">
        <f aca="false">Y12-X12</f>
        <v>-5.2587443591736</v>
      </c>
      <c r="Z13" s="13" t="n">
        <f aca="false">Z12-Y12</f>
        <v>-2.79715533274636</v>
      </c>
      <c r="AA13" s="13" t="n">
        <f aca="false">AA12-Z12</f>
        <v>2.52380205790105</v>
      </c>
      <c r="AB13" s="13" t="n">
        <f aca="false">AB12-AA12</f>
        <v>2.69389828535979</v>
      </c>
      <c r="AC13" s="13" t="n">
        <f aca="false">AC12-AB12</f>
        <v>3.05787141568842</v>
      </c>
      <c r="AD13" s="13" t="n">
        <f aca="false">AD12-AC12</f>
        <v>3.31575840446799</v>
      </c>
      <c r="AE13" s="13" t="n">
        <f aca="false">AE12-AD12</f>
        <v>1.0517488718347</v>
      </c>
      <c r="AF13" s="13" t="n">
        <f aca="false">AF12-AE12</f>
        <v>2.88994879763715</v>
      </c>
      <c r="AG13" s="13" t="n">
        <f aca="false">AG12-AF12</f>
        <v>4.36906405248831</v>
      </c>
      <c r="AH13" s="13" t="n">
        <f aca="false">AH12-AG12</f>
        <v>4.68512611859952</v>
      </c>
      <c r="AI13" s="13" t="n">
        <f aca="false">AI12-AH12</f>
        <v>5.20037284222267</v>
      </c>
      <c r="AJ13" s="13" t="n">
        <f aca="false">AJ12-AI12</f>
        <v>5.55430142084076</v>
      </c>
      <c r="AK13" s="13" t="n">
        <f aca="false">AK12-AJ12</f>
        <v>6.05627903125303</v>
      </c>
      <c r="AL13" s="13" t="n">
        <f aca="false">AL12-AK12</f>
        <v>6.51279765175909</v>
      </c>
      <c r="AM13" s="13" t="n">
        <f aca="false">AM12-AL12</f>
        <v>6.2189002874023</v>
      </c>
      <c r="AN13" s="13" t="n">
        <f aca="false">AN12-AM12</f>
        <v>7.58949051990545</v>
      </c>
      <c r="AO13" s="13" t="n">
        <f aca="false">AO12-AN12</f>
        <v>8.1276102598394</v>
      </c>
      <c r="AP13" s="13" t="n">
        <f aca="false">AP12-AO12</f>
        <v>8.8952357038298</v>
      </c>
      <c r="AQ13" s="13" t="n">
        <f aca="false">AQ12-AP12</f>
        <v>9.61166507788604</v>
      </c>
      <c r="AR13" s="13" t="n">
        <f aca="false">AR12-AQ12</f>
        <v>1.21256646019566</v>
      </c>
      <c r="AS13" s="13" t="n">
        <f aca="false">AS12-AR12</f>
        <v>1.05174887183471</v>
      </c>
      <c r="AT13" s="13" t="n">
        <f aca="false">AT12-AS12</f>
        <v>1.05174887183473</v>
      </c>
      <c r="AU13" s="13" t="n">
        <f aca="false">AU12-AT12</f>
        <v>1.05174887183473</v>
      </c>
      <c r="AV13" s="13" t="n">
        <f aca="false">AV12-AU12</f>
        <v>1.05174887183476</v>
      </c>
      <c r="AW13" s="13" t="n">
        <f aca="false">AW12-AV12</f>
        <v>1.05174887183473</v>
      </c>
      <c r="AX13" s="13" t="n">
        <f aca="false">AX12-AW12</f>
        <v>1.0517488718347</v>
      </c>
      <c r="AY13" s="13" t="n">
        <f aca="false">AY12-AX12</f>
        <v>1.05174887183473</v>
      </c>
      <c r="AZ13" s="13" t="n">
        <f aca="false">AZ12-AY12</f>
        <v>1.05174887183473</v>
      </c>
      <c r="BA13" s="13" t="n">
        <f aca="false">BA12-AZ12</f>
        <v>1.0517488718347</v>
      </c>
      <c r="BB13" s="13" t="n">
        <f aca="false">BB12-BA12</f>
        <v>1.05174887183476</v>
      </c>
      <c r="BC13" s="13" t="n">
        <f aca="false">BC12-BB12</f>
        <v>1.05174887183473</v>
      </c>
      <c r="BD13" s="13" t="n">
        <f aca="false">BD12-BC12</f>
        <v>-0.964103132515163</v>
      </c>
      <c r="BE13" s="13" t="n">
        <f aca="false">BE12-BD12</f>
        <v>-4.99580714121498</v>
      </c>
      <c r="BF13" s="13" t="n">
        <f aca="false">BF12-BE12</f>
        <v>-4.99580714121492</v>
      </c>
      <c r="BG13" s="13" t="n">
        <f aca="false">BG12-BF12</f>
        <v>-4.99580714121495</v>
      </c>
      <c r="BH13" s="13" t="n">
        <f aca="false">BH12-BG12</f>
        <v>-4.99580714121495</v>
      </c>
      <c r="BI13" s="13" t="n">
        <f aca="false">BI12-BH12</f>
        <v>-4.99580714121495</v>
      </c>
      <c r="BJ13" s="13" t="n">
        <f aca="false">BJ12-BI12</f>
        <v>-4.99580714121495</v>
      </c>
      <c r="BK13" s="13" t="n">
        <f aca="false">BK12-BJ12</f>
        <v>-4.99580714121491</v>
      </c>
      <c r="BL13" s="13" t="n">
        <f aca="false">BL12-BK12</f>
        <v>-4.99580714121498</v>
      </c>
      <c r="BM13" s="13" t="n">
        <f aca="false">BM12-BL12</f>
        <v>-4.99580714121491</v>
      </c>
      <c r="BN13" s="13" t="n">
        <f aca="false">BN12-BM12</f>
        <v>-3.33053809414332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861.954225581707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0</v>
      </c>
      <c r="P14" s="13" t="n">
        <f aca="false">Operations!P84-P8-P9-Tax!P27-P13</f>
        <v>9.37854471002205</v>
      </c>
      <c r="Q14" s="13" t="n">
        <f aca="false">Operations!Q84-Q8-Q9-Tax!Q27-Q13</f>
        <v>5.72292421487357</v>
      </c>
      <c r="R14" s="13" t="n">
        <f aca="false">Operations!R84-R8-R9-Tax!R27-R13</f>
        <v>6.14555144611256</v>
      </c>
      <c r="S14" s="13" t="n">
        <f aca="false">Operations!S84-S8-S9-Tax!S27-S13</f>
        <v>7.33901227143404</v>
      </c>
      <c r="T14" s="13" t="n">
        <f aca="false">Operations!T84-T8-T9-Tax!T27-T13</f>
        <v>7.65709964106924</v>
      </c>
      <c r="U14" s="13" t="n">
        <f aca="false">Operations!U84-U8-U9-Tax!U27-U13</f>
        <v>8.69191284781577</v>
      </c>
      <c r="V14" s="13" t="n">
        <f aca="false">Operations!V84-V8-V9-Tax!V27-V13</f>
        <v>9.26101245577924</v>
      </c>
      <c r="W14" s="13" t="n">
        <f aca="false">Operations!W84-W8-W9-Tax!W27-W13</f>
        <v>8.08212594097883</v>
      </c>
      <c r="X14" s="13" t="n">
        <f aca="false">Operations!X84-X8-X9-Tax!X27-X13</f>
        <v>11.1280124097147</v>
      </c>
      <c r="Y14" s="13" t="n">
        <f aca="false">Operations!Y84-Y8-Y9-Tax!Y27-Y13</f>
        <v>11.8185340313766</v>
      </c>
      <c r="Z14" s="13" t="n">
        <f aca="false">Operations!Z84-Z8-Z9-Tax!Z27-Z13</f>
        <v>9.7652999614351</v>
      </c>
      <c r="AA14" s="13" t="n">
        <f aca="false">Operations!AA84-AA8-AA9-Tax!AA27-AA13</f>
        <v>5.5317093132417</v>
      </c>
      <c r="AB14" s="13" t="n">
        <f aca="false">Operations!AB84-AB8-AB9-Tax!AB27-AB13</f>
        <v>5.92680606565159</v>
      </c>
      <c r="AC14" s="13" t="n">
        <f aca="false">Operations!AC84-AC8-AC9-Tax!AC27-AC13</f>
        <v>6.77412243017827</v>
      </c>
      <c r="AD14" s="13" t="n">
        <f aca="false">Operations!AD84-AD8-AD9-Tax!AD27-AD13</f>
        <v>7.37495928805349</v>
      </c>
      <c r="AE14" s="13" t="n">
        <f aca="false">Operations!AE84-AE8-AE9-Tax!AE27-AE13</f>
        <v>-1.6916672555239</v>
      </c>
      <c r="AF14" s="13" t="n">
        <f aca="false">Operations!AF84-AF8-AF9-Tax!AF27-AF13</f>
        <v>10.1672474428946</v>
      </c>
      <c r="AG14" s="13" t="n">
        <f aca="false">Operations!AG84-AG8-AG9-Tax!AG27-AG13</f>
        <v>9.82667565231067</v>
      </c>
      <c r="AH14" s="13" t="n">
        <f aca="false">Operations!AH84-AH8-AH9-Tax!AH27-AH13</f>
        <v>10.5625297486043</v>
      </c>
      <c r="AI14" s="13" t="n">
        <f aca="false">Operations!AI84-AI8-AI9-Tax!AI27-AI13</f>
        <v>11.7632800081354</v>
      </c>
      <c r="AJ14" s="13" t="n">
        <f aca="false">Operations!AJ84-AJ8-AJ9-Tax!AJ27-AJ13</f>
        <v>12.5871596754583</v>
      </c>
      <c r="AK14" s="13" t="n">
        <f aca="false">Operations!AK84-AK8-AK9-Tax!AK27-AK13</f>
        <v>13.7563136935384</v>
      </c>
      <c r="AL14" s="13" t="n">
        <f aca="false">Operations!AL84-AL8-AL9-Tax!AL27-AL13</f>
        <v>14.8202184195353</v>
      </c>
      <c r="AM14" s="13" t="n">
        <f aca="false">Operations!AM84-AM8-AM9-Tax!AM27-AM13</f>
        <v>14.133691580838</v>
      </c>
      <c r="AN14" s="13" t="n">
        <f aca="false">Operations!AN84-AN8-AN9-Tax!AN27-AN13</f>
        <v>17.3293111740805</v>
      </c>
      <c r="AO14" s="13" t="n">
        <f aca="false">Operations!AO84-AO8-AO9-Tax!AO27-AO13</f>
        <v>18.5819092375401</v>
      </c>
      <c r="AP14" s="13" t="n">
        <f aca="false">Operations!AP84-AP8-AP9-Tax!AP27-AP13</f>
        <v>20.3712658290687</v>
      </c>
      <c r="AQ14" s="13" t="n">
        <f aca="false">Operations!AQ84-AQ8-AQ9-Tax!AQ27-AQ13</f>
        <v>22.0413079202786</v>
      </c>
      <c r="AR14" s="13" t="n">
        <f aca="false">Operations!AR84-AR8-AR9-Tax!AR27-AR13</f>
        <v>24.0159393226115</v>
      </c>
      <c r="AS14" s="13" t="n">
        <f aca="false">Operations!AS84-AS8-AS9-Tax!AS27-AS13</f>
        <v>25.4470822442022</v>
      </c>
      <c r="AT14" s="13" t="n">
        <f aca="false">Operations!AT84-AT8-AT9-Tax!AT27-AT13</f>
        <v>25.9142677475012</v>
      </c>
      <c r="AU14" s="13" t="n">
        <f aca="false">Operations!AU84-AU8-AU9-Tax!AU27-AU13</f>
        <v>15.4959088583629</v>
      </c>
      <c r="AV14" s="13" t="n">
        <f aca="false">Operations!AV84-AV8-AV9-Tax!AV27-AV13</f>
        <v>26.2023278315741</v>
      </c>
      <c r="AW14" s="13" t="n">
        <f aca="false">Operations!AW84-AW8-AW9-Tax!AW27-AW13</f>
        <v>26.1292453760182</v>
      </c>
      <c r="AX14" s="13" t="n">
        <f aca="false">Operations!AX84-AX8-AX9-Tax!AX27-AX13</f>
        <v>26.2480339139369</v>
      </c>
      <c r="AY14" s="13" t="n">
        <f aca="false">Operations!AY84-AY8-AY9-Tax!AY27-AY13</f>
        <v>26.3820167426148</v>
      </c>
      <c r="AZ14" s="13" t="n">
        <f aca="false">Operations!AZ84-AZ8-AZ9-Tax!AZ27-AZ13</f>
        <v>26.4718415603405</v>
      </c>
      <c r="BA14" s="13" t="n">
        <f aca="false">Operations!BA84-BA8-BA9-Tax!BA27-BA13</f>
        <v>26.5434913471349</v>
      </c>
      <c r="BB14" s="13" t="n">
        <f aca="false">Operations!BB84-BB8-BB9-Tax!BB27-BB13</f>
        <v>26.7098651929602</v>
      </c>
      <c r="BC14" s="13" t="n">
        <f aca="false">Operations!BC84-BC8-BC9-Tax!BC27-BC13</f>
        <v>24.4320653994789</v>
      </c>
      <c r="BD14" s="13" t="n">
        <f aca="false">Operations!BD84-BD8-BD9-Tax!BD27-BD13</f>
        <v>26.9874783056996</v>
      </c>
      <c r="BE14" s="13" t="n">
        <f aca="false">Operations!BE84-BE8-BE9-Tax!BE27-BE13</f>
        <v>26.9745216889662</v>
      </c>
      <c r="BF14" s="13" t="n">
        <f aca="false">Operations!BF84-BF8-BF9-Tax!BF27-BF13</f>
        <v>27.104191688107</v>
      </c>
      <c r="BG14" s="13" t="n">
        <f aca="false">Operations!BG84-BG8-BG9-Tax!BG27-BG13</f>
        <v>27.2495379923839</v>
      </c>
      <c r="BH14" s="13" t="n">
        <f aca="false">Operations!BH84-BH8-BH9-Tax!BH27-BH13</f>
        <v>27.3469775040754</v>
      </c>
      <c r="BI14" s="13" t="n">
        <f aca="false">Operations!BI84-BI8-BI9-Tax!BI27-BI13</f>
        <v>27.4230255620447</v>
      </c>
      <c r="BJ14" s="13" t="n">
        <f aca="false">Operations!BJ84-BJ8-BJ9-Tax!BJ27-BJ13</f>
        <v>27.6442028474478</v>
      </c>
      <c r="BK14" s="13" t="n">
        <f aca="false">Operations!BK84-BK8-BK9-Tax!BK27-BK13</f>
        <v>15.3266918182782</v>
      </c>
      <c r="BL14" s="13" t="n">
        <f aca="false">Operations!BL84-BL8-BL9-Tax!BL27-BL13</f>
        <v>27.9873131531682</v>
      </c>
      <c r="BM14" s="13" t="n">
        <f aca="false">Operations!BM84-BM8-BM9-Tax!BM27-BM13</f>
        <v>27.8897207761814</v>
      </c>
      <c r="BN14" s="13" t="n">
        <f aca="false">Operations!BN84-BN8-BN9-Tax!BN27-BN13</f>
        <v>5.18160855412231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139.562323412541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239.877783879763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434.070017871423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636.157632410052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753.799661593778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797.62059205288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870.614343907633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853.085196043721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835.556048179809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818.026900315897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800.497752451985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782.968604588073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765.439456724161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747.910308860249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730.381160996337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712.852013132424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695.322865268512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677.7937174046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660.264569540688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642.735421676776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625.206273812864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607.677125948952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590.14797808504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572.618830221128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555.089682357216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537.560534493304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520.031386629392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502.50223876548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484.973090901567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467.443943037655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449.914795173743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432.385647309831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414.856499445919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397.327351582007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379.798203718095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362.269055854183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344.739907990271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327.210760126359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309.681612262447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292.152464398535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274.623316534623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257.094168670711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239.565020806798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222.035872942886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204.506725078974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186.977577215062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169.44842935115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151.919281487238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134.390133623326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116.860985759414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99.3318378955017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81.8026900315897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64.2735421676777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46.7443943037656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29.2152464398534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11.6860985759414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0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41.4573716349485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40.5163339551028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40.6194833909899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41.4920277445295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41.7145736670052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42.902778374762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43.0336569093736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39.3469132499841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38.959871050273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41.2796979632929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42.950646075998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45.4076992325222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46.7217641971906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49.5499263974262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50.9812462390744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38.3975174153793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37.1768380015028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36.9701810134449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35.8997265557364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35.1244410853125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33.4503023702419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31.7766551471781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28.1041268399615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20.3736881724253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20.1307130705795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2.37357535949866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4.74715071899731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7.12072607849597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9.49430143799463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11.8678767974933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14.2414521569919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0.596091765745239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1.19218353149048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1.78827529723572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2.38436706298096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2.9804588287262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4.07693401268624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2.01795649155704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3.55213205180363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7.9280379976092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12.320911685031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16.7309387438176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21.158306834536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25.6032056707892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30.0658270416767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14.7717409805522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16.4454449389227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18.1374594805124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0</v>
      </c>
      <c r="P18" s="13" t="n">
        <f aca="false">Operations!P88+Operations!P89</f>
        <v>39.1809623256869</v>
      </c>
      <c r="Q18" s="13" t="n">
        <f aca="false">Operations!Q88+Operations!Q89</f>
        <v>40.0893437265458</v>
      </c>
      <c r="R18" s="13" t="n">
        <f aca="false">Operations!R88+Operations!R89</f>
        <v>39.4806540575721</v>
      </c>
      <c r="S18" s="13" t="n">
        <f aca="false">Operations!S88+Operations!S89</f>
        <v>40.4560693339611</v>
      </c>
      <c r="T18" s="13" t="n">
        <f aca="false">Operations!T88+Operations!T89</f>
        <v>39.9842158401186</v>
      </c>
      <c r="U18" s="13" t="n">
        <f aca="false">Operations!U88+Operations!U89</f>
        <v>41.0568815678258</v>
      </c>
      <c r="V18" s="13" t="n">
        <f aca="false">Operations!V88+Operations!V89</f>
        <v>40.455960140644</v>
      </c>
      <c r="W18" s="13" t="n">
        <f aca="false">Operations!W88+Operations!W89</f>
        <v>41.0732780709418</v>
      </c>
      <c r="X18" s="13" t="n">
        <f aca="false">Operations!X88+Operations!X89</f>
        <v>40.7869746077725</v>
      </c>
      <c r="Y18" s="13" t="n">
        <f aca="false">Operations!Y88+Operations!Y89</f>
        <v>42.4919435497691</v>
      </c>
      <c r="Z18" s="13" t="n">
        <f aca="false">Operations!Z88+Operations!Z89</f>
        <v>41.8473303472152</v>
      </c>
      <c r="AA18" s="13" t="n">
        <f aca="false">Operations!AA88+Operations!AA89</f>
        <v>42.8881777291116</v>
      </c>
      <c r="AB18" s="13" t="n">
        <f aca="false">Operations!AB88+Operations!AB89</f>
        <v>42.3913466997486</v>
      </c>
      <c r="AC18" s="13" t="n">
        <f aca="false">Operations!AC88+Operations!AC89</f>
        <v>43.5413549658211</v>
      </c>
      <c r="AD18" s="13" t="n">
        <f aca="false">Operations!AD88+Operations!AD89</f>
        <v>42.7357872806621</v>
      </c>
      <c r="AE18" s="13" t="n">
        <f aca="false">Operations!AE88+Operations!AE89</f>
        <v>42.8120519839187</v>
      </c>
      <c r="AF18" s="13" t="n">
        <f aca="false">Operations!AF88+Operations!AF89</f>
        <v>42.9218303605379</v>
      </c>
      <c r="AG18" s="13" t="n">
        <f aca="false">Operations!AG88+Operations!AG89</f>
        <v>45.0874766827812</v>
      </c>
      <c r="AH18" s="13" t="n">
        <f aca="false">Operations!AH88+Operations!AH89</f>
        <v>44.4040512974958</v>
      </c>
      <c r="AI18" s="13" t="n">
        <f aca="false">Operations!AI88+Operations!AI89</f>
        <v>45.5156087746249</v>
      </c>
      <c r="AJ18" s="13" t="n">
        <f aca="false">Operations!AJ88+Operations!AJ89</f>
        <v>44.9917806937183</v>
      </c>
      <c r="AK18" s="13" t="n">
        <f aca="false">Operations!AK88+Operations!AK89</f>
        <v>46.2253268415193</v>
      </c>
      <c r="AL18" s="13" t="n">
        <f aca="false">Operations!AL88+Operations!AL89</f>
        <v>45.5424130591919</v>
      </c>
      <c r="AM18" s="13" t="n">
        <f aca="false">Operations!AM88+Operations!AM89</f>
        <v>46.2363564111533</v>
      </c>
      <c r="AN18" s="13" t="n">
        <f aca="false">Operations!AN88+Operations!AN89</f>
        <v>45.9289230315007</v>
      </c>
      <c r="AO18" s="13" t="n">
        <f aca="false">Operations!AO88+Operations!AO89</f>
        <v>47.8914552156177</v>
      </c>
      <c r="AP18" s="13" t="n">
        <f aca="false">Operations!AP88+Operations!AP89</f>
        <v>47.1660981684924</v>
      </c>
      <c r="AQ18" s="13" t="n">
        <f aca="false">Operations!AQ88+Operations!AQ89</f>
        <v>48.3540689255078</v>
      </c>
      <c r="AR18" s="13" t="n">
        <f aca="false">Operations!AR88+Operations!AR89</f>
        <v>47.8010618533557</v>
      </c>
      <c r="AS18" s="13" t="n">
        <f aca="false">Operations!AS88+Operations!AS89</f>
        <v>49.1248359202865</v>
      </c>
      <c r="AT18" s="13" t="n">
        <f aca="false">Operations!AT88+Operations!AT89</f>
        <v>48.2032828475597</v>
      </c>
      <c r="AU18" s="13" t="n">
        <f aca="false">Operations!AU88+Operations!AU89</f>
        <v>48.2885721578429</v>
      </c>
      <c r="AV18" s="13" t="n">
        <f aca="false">Operations!AV88+Operations!AV89</f>
        <v>48.420800426802</v>
      </c>
      <c r="AW18" s="13" t="n">
        <f aca="false">Operations!AW88+Operations!AW89</f>
        <v>50.9206382937657</v>
      </c>
      <c r="AX18" s="13" t="n">
        <f aca="false">Operations!AX88+Operations!AX89</f>
        <v>50.1499809615046</v>
      </c>
      <c r="AY18" s="13" t="n">
        <f aca="false">Operations!AY88+Operations!AY89</f>
        <v>51.4205275569009</v>
      </c>
      <c r="AZ18" s="13" t="n">
        <f aca="false">Operations!AZ88+Operations!AZ89</f>
        <v>50.8359841433507</v>
      </c>
      <c r="BA18" s="13" t="n">
        <f aca="false">Operations!BA88+Operations!BA89</f>
        <v>52.2572101921656</v>
      </c>
      <c r="BB18" s="13" t="n">
        <f aca="false">Operations!BB88+Operations!BB89</f>
        <v>51.4787443521526</v>
      </c>
      <c r="BC18" s="13" t="n">
        <f aca="false">Operations!BC88+Operations!BC89</f>
        <v>52.2623539369825</v>
      </c>
      <c r="BD18" s="13" t="n">
        <f aca="false">Operations!BD88+Operations!BD89</f>
        <v>51.9301352601338</v>
      </c>
      <c r="BE18" s="13" t="n">
        <f aca="false">Operations!BE88+Operations!BE89</f>
        <v>54.1931322508396</v>
      </c>
      <c r="BF18" s="13" t="n">
        <f aca="false">Operations!BF88+Operations!BF89</f>
        <v>53.3735371105536</v>
      </c>
      <c r="BG18" s="13" t="n">
        <f aca="false">Operations!BG88+Operations!BG89</f>
        <v>54.7333183949341</v>
      </c>
      <c r="BH18" s="13" t="n">
        <f aca="false">Operations!BH88+Operations!BH89</f>
        <v>54.1146918610221</v>
      </c>
      <c r="BI18" s="13" t="n">
        <f aca="false">Operations!BI88+Operations!BI89</f>
        <v>55.6411704213176</v>
      </c>
      <c r="BJ18" s="13" t="n">
        <f aca="false">Operations!BJ88+Operations!BJ89</f>
        <v>54.5844727308456</v>
      </c>
      <c r="BK18" s="13" t="n">
        <f aca="false">Operations!BK88+Operations!BK89</f>
        <v>54.6803145932766</v>
      </c>
      <c r="BL18" s="13" t="n">
        <f aca="false">Operations!BL88+Operations!BL89</f>
        <v>54.8389143385784</v>
      </c>
      <c r="BM18" s="13" t="n">
        <f aca="false">Operations!BM88+Operations!BM89</f>
        <v>57.7284987644055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0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5.35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-0</v>
      </c>
      <c r="P20" s="13" t="n">
        <f aca="false">MAX(0,-P12)</f>
        <v>1.7529147863912</v>
      </c>
      <c r="Q20" s="13" t="n">
        <f aca="false">MAX(0,-Q12)</f>
        <v>7.01165914556483</v>
      </c>
      <c r="R20" s="13" t="n">
        <f aca="false">MAX(0,-R12)</f>
        <v>12.2704035047385</v>
      </c>
      <c r="S20" s="13" t="n">
        <f aca="false">MAX(0,-S12)</f>
        <v>17.5291478639121</v>
      </c>
      <c r="T20" s="13" t="n">
        <f aca="false">MAX(0,-T12)</f>
        <v>22.7878922230857</v>
      </c>
      <c r="U20" s="13" t="n">
        <f aca="false">MAX(0,-U12)</f>
        <v>28.0466365822593</v>
      </c>
      <c r="V20" s="13" t="n">
        <f aca="false">MAX(0,-V12)</f>
        <v>33.3053809414329</v>
      </c>
      <c r="W20" s="13" t="n">
        <f aca="false">MAX(0,-W12)</f>
        <v>38.5641253006066</v>
      </c>
      <c r="X20" s="13" t="n">
        <f aca="false">MAX(0,-X12)</f>
        <v>43.8228696597802</v>
      </c>
      <c r="Y20" s="13" t="n">
        <f aca="false">MAX(0,-Y12)</f>
        <v>49.0816140189538</v>
      </c>
      <c r="Z20" s="13" t="n">
        <f aca="false">MAX(0,-Z12)</f>
        <v>51.8787693517002</v>
      </c>
      <c r="AA20" s="13" t="n">
        <f aca="false">MAX(0,-AA12)</f>
        <v>49.3549672937991</v>
      </c>
      <c r="AB20" s="13" t="n">
        <f aca="false">MAX(0,-AB12)</f>
        <v>46.6610690084393</v>
      </c>
      <c r="AC20" s="13" t="n">
        <f aca="false">MAX(0,-AC12)</f>
        <v>43.6031975927509</v>
      </c>
      <c r="AD20" s="13" t="n">
        <f aca="false">MAX(0,-AD12)</f>
        <v>40.2874391882829</v>
      </c>
      <c r="AE20" s="13" t="n">
        <f aca="false">MAX(0,-AE12)</f>
        <v>39.2356903164482</v>
      </c>
      <c r="AF20" s="13" t="n">
        <f aca="false">MAX(0,-AF12)</f>
        <v>36.3457415188111</v>
      </c>
      <c r="AG20" s="13" t="n">
        <f aca="false">MAX(0,-AG12)</f>
        <v>31.9766774663227</v>
      </c>
      <c r="AH20" s="13" t="n">
        <f aca="false">MAX(0,-AH12)</f>
        <v>27.2915513477232</v>
      </c>
      <c r="AI20" s="13" t="n">
        <f aca="false">MAX(0,-AI12)</f>
        <v>22.0911785055006</v>
      </c>
      <c r="AJ20" s="13" t="n">
        <f aca="false">MAX(0,-AJ12)</f>
        <v>16.5368770846598</v>
      </c>
      <c r="AK20" s="13" t="n">
        <f aca="false">MAX(0,-AK12)</f>
        <v>10.4805980534068</v>
      </c>
      <c r="AL20" s="13" t="n">
        <f aca="false">MAX(0,-AL12)</f>
        <v>3.96780040164767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139.562323412541</v>
      </c>
      <c r="K21" s="13" t="n">
        <f aca="false">K16+K17+K18+K19+K20</f>
        <v>239.877783879763</v>
      </c>
      <c r="L21" s="13" t="n">
        <f aca="false">L16+L17+L18+L19+L20</f>
        <v>434.070017871423</v>
      </c>
      <c r="M21" s="13" t="n">
        <f aca="false">M16+M17+M18+M19+M20</f>
        <v>636.157632410052</v>
      </c>
      <c r="N21" s="13" t="n">
        <f aca="false">N16+N17+N18+N19+N20</f>
        <v>753.799661593778</v>
      </c>
      <c r="O21" s="13" t="n">
        <f aca="false">O16+O17+O18+O19+O20</f>
        <v>797.62059205288</v>
      </c>
      <c r="P21" s="13" t="n">
        <f aca="false">P16+P17+P18+P19+P20</f>
        <v>958.35559265466</v>
      </c>
      <c r="Q21" s="13" t="n">
        <f aca="false">Q16+Q17+Q18+Q19+Q20</f>
        <v>946.052532870934</v>
      </c>
      <c r="R21" s="13" t="n">
        <f aca="false">R16+R17+R18+R19+R20</f>
        <v>933.27658913311</v>
      </c>
      <c r="S21" s="13" t="n">
        <f aca="false">S16+S17+S18+S19+S20</f>
        <v>922.8541452583</v>
      </c>
      <c r="T21" s="13" t="n">
        <f aca="false">T16+T17+T18+T19+T20</f>
        <v>910.334434182194</v>
      </c>
      <c r="U21" s="13" t="n">
        <f aca="false">U16+U17+U18+U19+U20</f>
        <v>900.32490111292</v>
      </c>
      <c r="V21" s="13" t="n">
        <f aca="false">V16+V17+V18+V19+V20</f>
        <v>887.584454715611</v>
      </c>
      <c r="W21" s="13" t="n">
        <f aca="false">W16+W17+W18+W19+W20</f>
        <v>872.244625481781</v>
      </c>
      <c r="X21" s="13" t="n">
        <f aca="false">X16+X17+X18+X19+X20</f>
        <v>859.300876314162</v>
      </c>
      <c r="Y21" s="13" t="n">
        <f aca="false">Y16+Y17+Y18+Y19+Y20</f>
        <v>851.05526866444</v>
      </c>
      <c r="Z21" s="13" t="n">
        <f aca="false">Z16+Z17+Z18+Z19+Z20</f>
        <v>837.349611043426</v>
      </c>
      <c r="AA21" s="13" t="n">
        <f aca="false">AA16+AA17+AA18+AA19+AA20</f>
        <v>820.794561660033</v>
      </c>
      <c r="AB21" s="13" t="n">
        <f aca="false">AB16+AB17+AB18+AB19+AB20</f>
        <v>801.388749446067</v>
      </c>
      <c r="AC21" s="13" t="n">
        <f aca="false">AC16+AC17+AC18+AC19+AC20</f>
        <v>784.779900632774</v>
      </c>
      <c r="AD21" s="13" t="n">
        <f aca="false">AD16+AD17+AD18+AD19+AD20</f>
        <v>764.560746520884</v>
      </c>
      <c r="AE21" s="13" t="n">
        <f aca="false">AE16+AE17+AE18+AE19+AE20</f>
        <v>733.472385664698</v>
      </c>
      <c r="AF21" s="13" t="n">
        <f aca="false">AF16+AF17+AF18+AF19+AF20</f>
        <v>711.942387965892</v>
      </c>
      <c r="AG21" s="13" t="n">
        <f aca="false">AG16+AG17+AG18+AG19+AG20</f>
        <v>692.003165383677</v>
      </c>
      <c r="AH21" s="13" t="n">
        <f aca="false">AH16+AH17+AH18+AH19+AH20</f>
        <v>668.035011558171</v>
      </c>
      <c r="AI21" s="13" t="n">
        <f aca="false">AI16+AI17+AI18+AI19+AI20</f>
        <v>645.641762858742</v>
      </c>
      <c r="AJ21" s="13" t="n">
        <f aca="false">AJ16+AJ17+AJ18+AJ19+AJ20</f>
        <v>620.360346778012</v>
      </c>
      <c r="AK21" s="13" t="n">
        <f aca="false">AK16+AK17+AK18+AK19+AK20</f>
        <v>596.334818807584</v>
      </c>
      <c r="AL21" s="13" t="n">
        <f aca="false">AL16+AL17+AL18+AL19+AL20</f>
        <v>567.937431202368</v>
      </c>
      <c r="AM21" s="13" t="n">
        <f aca="false">AM16+AM17+AM18+AM19+AM20</f>
        <v>539.403987621234</v>
      </c>
      <c r="AN21" s="13" t="n">
        <f aca="false">AN16+AN17+AN18+AN19+AN20</f>
        <v>521.324431275824</v>
      </c>
      <c r="AO21" s="13" t="n">
        <f aca="false">AO16+AO17+AO18+AO19+AO20</f>
        <v>488.000677884948</v>
      </c>
      <c r="AP21" s="13" t="n">
        <f aca="false">AP16+AP17+AP18+AP19+AP20</f>
        <v>472.119748333409</v>
      </c>
      <c r="AQ21" s="13" t="n">
        <f aca="false">AQ16+AQ17+AQ18+AQ19+AQ20</f>
        <v>458.152146586011</v>
      </c>
      <c r="AR21" s="13" t="n">
        <f aca="false">AR16+AR17+AR18+AR19+AR20</f>
        <v>442.443567009445</v>
      </c>
      <c r="AS21" s="13" t="n">
        <f aca="false">AS16+AS17+AS18+AS19+AS20</f>
        <v>428.611768571963</v>
      </c>
      <c r="AT21" s="13" t="n">
        <f aca="false">AT16+AT17+AT18+AT19+AT20</f>
        <v>412.534642994823</v>
      </c>
      <c r="AU21" s="13" t="n">
        <f aca="false">AU16+AU17+AU18+AU19+AU20</f>
        <v>380.849332284202</v>
      </c>
      <c r="AV21" s="13" t="n">
        <f aca="false">AV16+AV17+AV18+AV19+AV20</f>
        <v>363.452412689249</v>
      </c>
      <c r="AW21" s="13" t="n">
        <f aca="false">AW16+AW17+AW18+AW19+AW20</f>
        <v>349.019194458046</v>
      </c>
      <c r="AX21" s="13" t="n">
        <f aca="false">AX16+AX17+AX18+AX19+AX20</f>
        <v>331.315481027618</v>
      </c>
      <c r="AY21" s="13" t="n">
        <f aca="false">AY16+AY17+AY18+AY19+AY20</f>
        <v>315.652971524847</v>
      </c>
      <c r="AZ21" s="13" t="n">
        <f aca="false">AZ16+AZ17+AZ18+AZ19+AZ20</f>
        <v>298.13537201313</v>
      </c>
      <c r="BA21" s="13" t="n">
        <f aca="false">BA16+BA17+BA18+BA19+BA20</f>
        <v>282.623541963778</v>
      </c>
      <c r="BB21" s="13" t="n">
        <f aca="false">BB16+BB17+BB18+BB19+BB20</f>
        <v>265.412403443813</v>
      </c>
      <c r="BC21" s="13" t="n">
        <f aca="false">BC16+BC17+BC18+BC19+BC20</f>
        <v>246.607887643602</v>
      </c>
      <c r="BD21" s="13" t="n">
        <f aca="false">BD16+BD17+BD18+BD19+BD20</f>
        <v>230.280696663088</v>
      </c>
      <c r="BE21" s="13" t="n">
        <f aca="false">BE16+BE17+BE18+BE19+BE20</f>
        <v>219.390451735687</v>
      </c>
      <c r="BF21" s="13" t="n">
        <f aca="false">BF16+BF17+BF18+BF19+BF20</f>
        <v>205.434582418911</v>
      </c>
      <c r="BG21" s="13" t="n">
        <f aca="false">BG16+BG17+BG18+BG19+BG20</f>
        <v>193.675242898166</v>
      </c>
      <c r="BH21" s="13" t="n">
        <f aca="false">BH16+BH17+BH18+BH19+BH20</f>
        <v>179.95483659106</v>
      </c>
      <c r="BI21" s="13" t="n">
        <f aca="false">BI16+BI17+BI18+BI19+BI20</f>
        <v>168.397066123697</v>
      </c>
      <c r="BJ21" s="13" t="n">
        <f aca="false">BJ16+BJ17+BJ18+BJ19+BJ20</f>
        <v>154.2738419402</v>
      </c>
      <c r="BK21" s="13" t="n">
        <f aca="false">BK16+BK17+BK18+BK19+BK20</f>
        <v>121.546449877594</v>
      </c>
      <c r="BL21" s="13" t="n">
        <f aca="false">BL16+BL17+BL18+BL19+BL20</f>
        <v>105.849605717355</v>
      </c>
      <c r="BM21" s="13" t="n">
        <f aca="false">BM16+BM17+BM18+BM19+BM20</f>
        <v>92.9020568208593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102.730706235431</v>
      </c>
      <c r="K22" s="13" t="n">
        <f aca="false">IF(Time!K20&lt;Time!$F$12,SUMIFS(Funding!$J$73:$BJ$73,Construction!$J$12:$BJ$12,"&lt;="&amp;Time!K20),Debt!K116)</f>
        <v>175.731454602656</v>
      </c>
      <c r="L22" s="13" t="n">
        <f aca="false">IF(Time!L20&lt;Time!$F$12,SUMIFS(Funding!$J$73:$BJ$73,Construction!$J$12:$BJ$12,"&lt;="&amp;Time!L20),Debt!L116)</f>
        <v>317.114811026013</v>
      </c>
      <c r="M22" s="13" t="n">
        <f aca="false">IF(Time!M20&lt;Time!$F$12,SUMIFS(Funding!$J$73:$BJ$73,Construction!$J$12:$BJ$12,"&lt;="&amp;Time!M20),Debt!M116)</f>
        <v>462.748879780369</v>
      </c>
      <c r="N22" s="13" t="n">
        <f aca="false">IF(Time!N20&lt;Time!$F$12,SUMIFS(Funding!$J$73:$BJ$73,Construction!$J$12:$BJ$12,"&lt;="&amp;Time!N20),Debt!N116)</f>
        <v>544.36535875568</v>
      </c>
      <c r="O22" s="13" t="n">
        <f aca="false">IF(Time!O20&lt;Time!$F$12,SUMIFS(Funding!$J$73:$BJ$73,Construction!$J$12:$BJ$12,"&lt;="&amp;Time!O20),Debt!O116)</f>
        <v>570.598992285319</v>
      </c>
      <c r="P22" s="13" t="n">
        <f aca="false">IF(Time!P20&lt;Time!$F$12,SUMIFS(Funding!$J$73:$BJ$73,Construction!$J$12:$BJ$12,"&lt;="&amp;Time!P20),Debt!P116)</f>
        <v>657.739998413269</v>
      </c>
      <c r="Q22" s="13" t="n">
        <f aca="false">IF(Time!Q20&lt;Time!$F$12,SUMIFS(Funding!$J$73:$BJ$73,Construction!$J$12:$BJ$12,"&lt;="&amp;Time!Q20),Debt!Q116)</f>
        <v>640.550022001723</v>
      </c>
      <c r="R22" s="13" t="n">
        <f aca="false">IF(Time!R20&lt;Time!$F$12,SUMIFS(Funding!$J$73:$BJ$73,Construction!$J$12:$BJ$12,"&lt;="&amp;Time!R20),Debt!R116)</f>
        <v>622.513289501831</v>
      </c>
      <c r="S22" s="13" t="n">
        <f aca="false">IF(Time!S20&lt;Time!$F$12,SUMIFS(Funding!$J$73:$BJ$73,Construction!$J$12:$BJ$12,"&lt;="&amp;Time!S20),Debt!S116)</f>
        <v>603.945043674502</v>
      </c>
      <c r="T22" s="13" t="n">
        <f aca="false">IF(Time!T20&lt;Time!$F$12,SUMIFS(Funding!$J$73:$BJ$73,Construction!$J$12:$BJ$12,"&lt;="&amp;Time!T20),Debt!T116)</f>
        <v>584.522665193028</v>
      </c>
      <c r="U22" s="13" t="n">
        <f aca="false">IF(Time!U20&lt;Time!$F$12,SUMIFS(Funding!$J$73:$BJ$73,Construction!$J$12:$BJ$12,"&lt;="&amp;Time!U20),Debt!U116)</f>
        <v>564.480872870294</v>
      </c>
      <c r="V22" s="13" t="n">
        <f aca="false">IF(Time!V20&lt;Time!$F$12,SUMIFS(Funding!$J$73:$BJ$73,Construction!$J$12:$BJ$12,"&lt;="&amp;Time!V20),Debt!V116)</f>
        <v>543.129764415097</v>
      </c>
      <c r="W22" s="13" t="n">
        <f aca="false">IF(Time!W20&lt;Time!$F$12,SUMIFS(Funding!$J$73:$BJ$73,Construction!$J$12:$BJ$12,"&lt;="&amp;Time!W20),Debt!W116)</f>
        <v>521.125965678257</v>
      </c>
      <c r="X22" s="13" t="n">
        <f aca="false">IF(Time!X20&lt;Time!$F$12,SUMIFS(Funding!$J$73:$BJ$73,Construction!$J$12:$BJ$12,"&lt;="&amp;Time!X20),Debt!X116)</f>
        <v>499.732942519113</v>
      </c>
      <c r="Y22" s="13" t="n">
        <f aca="false">IF(Time!Y20&lt;Time!$F$12,SUMIFS(Funding!$J$73:$BJ$73,Construction!$J$12:$BJ$12,"&lt;="&amp;Time!Y20),Debt!Y116)</f>
        <v>478.32985288415</v>
      </c>
      <c r="Z22" s="13" t="n">
        <f aca="false">IF(Time!Z20&lt;Time!$F$12,SUMIFS(Funding!$J$73:$BJ$73,Construction!$J$12:$BJ$12,"&lt;="&amp;Time!Z20),Debt!Z116)</f>
        <v>456.04007701657</v>
      </c>
      <c r="AA22" s="13" t="n">
        <f aca="false">IF(Time!AA20&lt;Time!$F$12,SUMIFS(Funding!$J$73:$BJ$73,Construction!$J$12:$BJ$12,"&lt;="&amp;Time!AA20),Debt!AA116)</f>
        <v>428.12014228635</v>
      </c>
      <c r="AB22" s="13" t="n">
        <f aca="false">IF(Time!AB20&lt;Time!$F$12,SUMIFS(Funding!$J$73:$BJ$73,Construction!$J$12:$BJ$12,"&lt;="&amp;Time!AB20),Debt!AB116)</f>
        <v>398.481194810665</v>
      </c>
      <c r="AC22" s="13" t="n">
        <f aca="false">IF(Time!AC20&lt;Time!$F$12,SUMIFS(Funding!$J$73:$BJ$73,Construction!$J$12:$BJ$12,"&lt;="&amp;Time!AC20),Debt!AC116)</f>
        <v>368.936999898617</v>
      </c>
      <c r="AD22" s="13" t="n">
        <f aca="false">IF(Time!AD20&lt;Time!$F$12,SUMIFS(Funding!$J$73:$BJ$73,Construction!$J$12:$BJ$12,"&lt;="&amp;Time!AD20),Debt!AD116)</f>
        <v>336.987664398295</v>
      </c>
      <c r="AE22" s="13" t="n">
        <f aca="false">IF(Time!AE20&lt;Time!$F$12,SUMIFS(Funding!$J$73:$BJ$73,Construction!$J$12:$BJ$12,"&lt;="&amp;Time!AE20),Debt!AE116)</f>
        <v>303.435268610389</v>
      </c>
      <c r="AF22" s="13" t="n">
        <f aca="false">IF(Time!AF20&lt;Time!$F$12,SUMIFS(Funding!$J$73:$BJ$73,Construction!$J$12:$BJ$12,"&lt;="&amp;Time!AF20),Debt!AF116)</f>
        <v>268.346362850909</v>
      </c>
      <c r="AG22" s="13" t="n">
        <f aca="false">IF(Time!AG20&lt;Time!$F$12,SUMIFS(Funding!$J$73:$BJ$73,Construction!$J$12:$BJ$12,"&lt;="&amp;Time!AG20),Debt!AG116)</f>
        <v>233.497382736541</v>
      </c>
      <c r="AH22" s="13" t="n">
        <f aca="false">IF(Time!AH20&lt;Time!$F$12,SUMIFS(Funding!$J$73:$BJ$73,Construction!$J$12:$BJ$12,"&lt;="&amp;Time!AH20),Debt!AH116)</f>
        <v>197.064507677769</v>
      </c>
      <c r="AI22" s="13" t="n">
        <f aca="false">IF(Time!AI20&lt;Time!$F$12,SUMIFS(Funding!$J$73:$BJ$73,Construction!$J$12:$BJ$12,"&lt;="&amp;Time!AI20),Debt!AI116)</f>
        <v>160.449296102366</v>
      </c>
      <c r="AJ22" s="13" t="n">
        <f aca="false">IF(Time!AJ20&lt;Time!$F$12,SUMIFS(Funding!$J$73:$BJ$73,Construction!$J$12:$BJ$12,"&lt;="&amp;Time!AJ20),Debt!AJ116)</f>
        <v>122.576917805921</v>
      </c>
      <c r="AK22" s="13" t="n">
        <f aca="false">IF(Time!AK20&lt;Time!$F$12,SUMIFS(Funding!$J$73:$BJ$73,Construction!$J$12:$BJ$12,"&lt;="&amp;Time!AK20),Debt!AK116)</f>
        <v>85.2586060811726</v>
      </c>
      <c r="AL22" s="13" t="n">
        <f aca="false">IF(Time!AL20&lt;Time!$F$12,SUMIFS(Funding!$J$73:$BJ$73,Construction!$J$12:$BJ$12,"&lt;="&amp;Time!AL20),Debt!AL116)</f>
        <v>62.3244079257954</v>
      </c>
      <c r="AM22" s="13" t="n">
        <f aca="false">IF(Time!AM20&lt;Time!$F$12,SUMIFS(Funding!$J$73:$BJ$73,Construction!$J$12:$BJ$12,"&lt;="&amp;Time!AM20),Debt!AM116)</f>
        <v>38.913523223286</v>
      </c>
      <c r="AN22" s="13" t="n">
        <f aca="false">IF(Time!AN20&lt;Time!$F$12,SUMIFS(Funding!$J$73:$BJ$73,Construction!$J$12:$BJ$12,"&lt;="&amp;Time!AN20),Debt!AN116)</f>
        <v>19.5998212614359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29.634167649297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51.8343504997673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94.7377226041251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140.98795238094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171.295343826614</v>
      </c>
      <c r="O23" s="13" t="n">
        <f aca="false">IF(Time!O20&lt;Time!$F$12,SUMIFS(Funding!$J$70:$BJ$70,Construction!$J$12:$BJ$12,"&lt;="&amp;Time!O20)+SUMIFS(Funding!$J$71:$BJ$71,Construction!$J$12:$BJ$12,"&lt;="&amp;Time!O20),Waterfall!O36)</f>
        <v>187.044677598031</v>
      </c>
      <c r="P23" s="13" t="n">
        <f aca="false">IF(Time!P20&lt;Time!$F$12,SUMIFS(Funding!$J$70:$BJ$70,Construction!$J$12:$BJ$12,"&lt;="&amp;Time!P20)+SUMIFS(Funding!$J$71:$BJ$71,Construction!$J$12:$BJ$12,"&lt;="&amp;Time!P20),Waterfall!P36)</f>
        <v>221.02979762002</v>
      </c>
      <c r="Q23" s="13" t="n">
        <f aca="false">IF(Time!Q20&lt;Time!$F$12,SUMIFS(Funding!$J$70:$BJ$70,Construction!$J$12:$BJ$12,"&lt;="&amp;Time!Q20)+SUMIFS(Funding!$J$71:$BJ$71,Construction!$J$12:$BJ$12,"&lt;="&amp;Time!Q20),Waterfall!Q36)</f>
        <v>219.501282793206</v>
      </c>
      <c r="R23" s="13" t="n">
        <f aca="false">IF(Time!R20&lt;Time!$F$12,SUMIFS(Funding!$J$70:$BJ$70,Construction!$J$12:$BJ$12,"&lt;="&amp;Time!R20)+SUMIFS(Funding!$J$71:$BJ$71,Construction!$J$12:$BJ$12,"&lt;="&amp;Time!R20),Waterfall!R36)</f>
        <v>219.032163173438</v>
      </c>
      <c r="S23" s="13" t="n">
        <f aca="false">IF(Time!S20&lt;Time!$F$12,SUMIFS(Funding!$J$70:$BJ$70,Construction!$J$12:$BJ$12,"&lt;="&amp;Time!S20)+SUMIFS(Funding!$J$71:$BJ$71,Construction!$J$12:$BJ$12,"&lt;="&amp;Time!S20),Waterfall!S36)</f>
        <v>219.156920043259</v>
      </c>
      <c r="T23" s="13" t="n">
        <f aca="false">IF(Time!T20&lt;Time!$F$12,SUMIFS(Funding!$J$70:$BJ$70,Construction!$J$12:$BJ$12,"&lt;="&amp;Time!T20)+SUMIFS(Funding!$J$71:$BJ$71,Construction!$J$12:$BJ$12,"&lt;="&amp;Time!T20),Waterfall!T36)</f>
        <v>218.681469789898</v>
      </c>
      <c r="U23" s="13" t="n">
        <f aca="false">IF(Time!U20&lt;Time!$F$12,SUMIFS(Funding!$J$70:$BJ$70,Construction!$J$12:$BJ$12,"&lt;="&amp;Time!U20)+SUMIFS(Funding!$J$71:$BJ$71,Construction!$J$12:$BJ$12,"&lt;="&amp;Time!U20),Waterfall!U36)</f>
        <v>219.166735133334</v>
      </c>
      <c r="V23" s="13" t="n">
        <f aca="false">IF(Time!V20&lt;Time!$F$12,SUMIFS(Funding!$J$70:$BJ$70,Construction!$J$12:$BJ$12,"&lt;="&amp;Time!V20)+SUMIFS(Funding!$J$71:$BJ$71,Construction!$J$12:$BJ$12,"&lt;="&amp;Time!V20),Waterfall!V36)</f>
        <v>219.002087113797</v>
      </c>
      <c r="W23" s="13" t="n">
        <f aca="false">IF(Time!W20&lt;Time!$F$12,SUMIFS(Funding!$J$70:$BJ$70,Construction!$J$12:$BJ$12,"&lt;="&amp;Time!W20)+SUMIFS(Funding!$J$71:$BJ$71,Construction!$J$12:$BJ$12,"&lt;="&amp;Time!W20),Waterfall!W36)</f>
        <v>217.263649296022</v>
      </c>
      <c r="X23" s="13" t="n">
        <f aca="false">IF(Time!X20&lt;Time!$F$12,SUMIFS(Funding!$J$70:$BJ$70,Construction!$J$12:$BJ$12,"&lt;="&amp;Time!X20)+SUMIFS(Funding!$J$71:$BJ$71,Construction!$J$12:$BJ$12,"&lt;="&amp;Time!X20),Waterfall!X36)</f>
        <v>214.678068995277</v>
      </c>
      <c r="Y23" s="13" t="n">
        <f aca="false">IF(Time!Y20&lt;Time!$F$12,SUMIFS(Funding!$J$70:$BJ$70,Construction!$J$12:$BJ$12,"&lt;="&amp;Time!Y20)+SUMIFS(Funding!$J$71:$BJ$71,Construction!$J$12:$BJ$12,"&lt;="&amp;Time!Y20),Waterfall!Y36)</f>
        <v>214.615843692804</v>
      </c>
      <c r="Z23" s="13" t="n">
        <f aca="false">IF(Time!Z20&lt;Time!$F$12,SUMIFS(Funding!$J$70:$BJ$70,Construction!$J$12:$BJ$12,"&lt;="&amp;Time!Z20)+SUMIFS(Funding!$J$71:$BJ$71,Construction!$J$12:$BJ$12,"&lt;="&amp;Time!Z20),Waterfall!Z36)</f>
        <v>213.884087689858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218.980391843946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223.588343730276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228.825567919739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233.870732417523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238.022587064675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241.344411335544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244.576902311723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246.965035668904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248.627609864905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248.957507398738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247.495528151471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227.77996592899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205.89965818154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182.323756233638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140.253249194809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95.6312289842154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49.1505604649774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8.5660208803079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0</v>
      </c>
      <c r="P24" s="13" t="n">
        <f aca="false">Operations!P90+Operations!P91+Operations!P92+Operations!P93+Operations!P94</f>
        <v>24.1251152797341</v>
      </c>
      <c r="Q24" s="13" t="n">
        <f aca="false">Operations!Q90+Operations!Q91+Operations!Q92+Operations!Q93+Operations!Q94</f>
        <v>24.8176225194946</v>
      </c>
      <c r="R24" s="13" t="n">
        <f aca="false">Operations!R90+Operations!R91+Operations!R92+Operations!R93+Operations!R94</f>
        <v>24.401979455218</v>
      </c>
      <c r="S24" s="13" t="n">
        <f aca="false">Operations!S90+Operations!S91+Operations!S92+Operations!S93+Operations!S94</f>
        <v>25.0840122664817</v>
      </c>
      <c r="T24" s="13" t="n">
        <f aca="false">Operations!T90+Operations!T91+Operations!T92+Operations!T93+Operations!T94</f>
        <v>24.805030284142</v>
      </c>
      <c r="U24" s="13" t="n">
        <f aca="false">Operations!U90+Operations!U91+Operations!U92+Operations!U93+Operations!U94</f>
        <v>25.66011134635</v>
      </c>
      <c r="V24" s="13" t="n">
        <f aca="false">Operations!V90+Operations!V91+Operations!V92+Operations!V93+Operations!V94</f>
        <v>25.1744089679956</v>
      </c>
      <c r="W24" s="13" t="n">
        <f aca="false">Operations!W90+Operations!W91+Operations!W92+Operations!W93+Operations!W94</f>
        <v>25.4946903478022</v>
      </c>
      <c r="X24" s="13" t="n">
        <f aca="false">Operations!X90+Operations!X91+Operations!X92+Operations!X93+Operations!X94</f>
        <v>25.4015322303574</v>
      </c>
      <c r="Y24" s="13" t="n">
        <f aca="false">Operations!Y90+Operations!Y91+Operations!Y92+Operations!Y93+Operations!Y94</f>
        <v>26.8027054866946</v>
      </c>
      <c r="Z24" s="13" t="n">
        <f aca="false">Operations!Z90+Operations!Z91+Operations!Z92+Operations!Z93+Operations!Z94</f>
        <v>26.3532797747705</v>
      </c>
      <c r="AA24" s="13" t="n">
        <f aca="false">Operations!AA90+Operations!AA91+Operations!AA92+Operations!AA93+Operations!AA94</f>
        <v>27.0901516542687</v>
      </c>
      <c r="AB24" s="13" t="n">
        <f aca="false">Operations!AB90+Operations!AB91+Operations!AB92+Operations!AB93+Operations!AB94</f>
        <v>26.7885289640055</v>
      </c>
      <c r="AC24" s="13" t="n">
        <f aca="false">Operations!AC90+Operations!AC91+Operations!AC92+Operations!AC93+Operations!AC94</f>
        <v>27.7125284431198</v>
      </c>
      <c r="AD24" s="13" t="n">
        <f aca="false">Operations!AD90+Operations!AD91+Operations!AD92+Operations!AD93+Operations!AD94</f>
        <v>27.0225860457145</v>
      </c>
      <c r="AE24" s="13" t="n">
        <f aca="false">Operations!AE90+Operations!AE91+Operations!AE92+Operations!AE93+Operations!AE94</f>
        <v>27.0264335858061</v>
      </c>
      <c r="AF24" s="13" t="n">
        <f aca="false">Operations!AF90+Operations!AF91+Operations!AF92+Operations!AF93+Operations!AF94</f>
        <v>27.096269932717</v>
      </c>
      <c r="AG24" s="13" t="n">
        <f aca="false">Operations!AG90+Operations!AG91+Operations!AG92+Operations!AG93+Operations!AG94</f>
        <v>28.9468608363791</v>
      </c>
      <c r="AH24" s="13" t="n">
        <f aca="false">Operations!AH90+Operations!AH91+Operations!AH92+Operations!AH93+Operations!AH94</f>
        <v>28.4609189638602</v>
      </c>
      <c r="AI24" s="13" t="n">
        <f aca="false">Operations!AI90+Operations!AI91+Operations!AI92+Operations!AI93+Operations!AI94</f>
        <v>29.2570276356984</v>
      </c>
      <c r="AJ24" s="13" t="n">
        <f aca="false">Operations!AJ90+Operations!AJ91+Operations!AJ92+Operations!AJ93+Operations!AJ94</f>
        <v>28.9309326421223</v>
      </c>
      <c r="AK24" s="13" t="n">
        <f aca="false">Operations!AK90+Operations!AK91+Operations!AK92+Operations!AK93+Operations!AK94</f>
        <v>29.9293819501709</v>
      </c>
      <c r="AL24" s="13" t="n">
        <f aca="false">Operations!AL90+Operations!AL91+Operations!AL92+Operations!AL93+Operations!AL94</f>
        <v>29.3615363032786</v>
      </c>
      <c r="AM24" s="13" t="n">
        <f aca="false">Operations!AM90+Operations!AM91+Operations!AM92+Operations!AM93+Operations!AM94</f>
        <v>29.7344937055108</v>
      </c>
      <c r="AN24" s="13" t="n">
        <f aca="false">Operations!AN90+Operations!AN91+Operations!AN92+Operations!AN93+Operations!AN94</f>
        <v>29.6257395758665</v>
      </c>
      <c r="AO24" s="13" t="n">
        <f aca="false">Operations!AO90+Operations!AO91+Operations!AO92+Operations!AO93+Operations!AO94</f>
        <v>31.2627949878765</v>
      </c>
      <c r="AP24" s="13" t="n">
        <f aca="false">Operations!AP90+Operations!AP91+Operations!AP92+Operations!AP93+Operations!AP94</f>
        <v>30.7373841140327</v>
      </c>
      <c r="AQ24" s="13" t="n">
        <f aca="false">Operations!AQ90+Operations!AQ91+Operations!AQ92+Operations!AQ93+Operations!AQ94</f>
        <v>31.597477887708</v>
      </c>
      <c r="AR24" s="13" t="n">
        <f aca="false">Operations!AR90+Operations!AR91+Operations!AR92+Operations!AR93+Operations!AR94</f>
        <v>31.2449321130047</v>
      </c>
      <c r="AS24" s="13" t="n">
        <f aca="false">Operations!AS90+Operations!AS91+Operations!AS92+Operations!AS93+Operations!AS94</f>
        <v>32.3238037588629</v>
      </c>
      <c r="AT24" s="13" t="n">
        <f aca="false">Operations!AT90+Operations!AT91+Operations!AT92+Operations!AT93+Operations!AT94</f>
        <v>31.517161848582</v>
      </c>
      <c r="AU24" s="13" t="n">
        <f aca="false">Operations!AU90+Operations!AU91+Operations!AU92+Operations!AU93+Operations!AU94</f>
        <v>31.5201703342723</v>
      </c>
      <c r="AV24" s="13" t="n">
        <f aca="false">Operations!AV90+Operations!AV91+Operations!AV92+Operations!AV93+Operations!AV94</f>
        <v>31.6018232460227</v>
      </c>
      <c r="AW24" s="13" t="n">
        <f aca="false">Operations!AW90+Operations!AW91+Operations!AW92+Operations!AW93+Operations!AW94</f>
        <v>33.7642246102726</v>
      </c>
      <c r="AX24" s="13" t="n">
        <f aca="false">Operations!AX90+Operations!AX91+Operations!AX92+Operations!AX93+Operations!AX94</f>
        <v>33.1961551310667</v>
      </c>
      <c r="AY24" s="13" t="n">
        <f aca="false">Operations!AY90+Operations!AY91+Operations!AY92+Operations!AY93+Operations!AY94</f>
        <v>34.125360649526</v>
      </c>
      <c r="AZ24" s="13" t="n">
        <f aca="false">Operations!AZ90+Operations!AZ91+Operations!AZ92+Operations!AZ93+Operations!AZ94</f>
        <v>33.744227067728</v>
      </c>
      <c r="BA24" s="13" t="n">
        <f aca="false">Operations!BA90+Operations!BA91+Operations!BA92+Operations!BA93+Operations!BA94</f>
        <v>34.9099695626066</v>
      </c>
      <c r="BB24" s="13" t="n">
        <f aca="false">Operations!BB90+Operations!BB91+Operations!BB92+Operations!BB93+Operations!BB94</f>
        <v>34.2461818870144</v>
      </c>
      <c r="BC24" s="13" t="n">
        <f aca="false">Operations!BC90+Operations!BC91+Operations!BC92+Operations!BC93+Operations!BC94</f>
        <v>34.6804979267079</v>
      </c>
      <c r="BD24" s="13" t="n">
        <f aca="false">Operations!BD90+Operations!BD91+Operations!BD92+Operations!BD93+Operations!BD94</f>
        <v>34.5535261683125</v>
      </c>
      <c r="BE24" s="13" t="n">
        <f aca="false">Operations!BE90+Operations!BE91+Operations!BE92+Operations!BE93+Operations!BE94</f>
        <v>36.4659564608307</v>
      </c>
      <c r="BF24" s="13" t="n">
        <f aca="false">Operations!BF90+Operations!BF91+Operations!BF92+Operations!BF93+Operations!BF94</f>
        <v>35.851783201756</v>
      </c>
      <c r="BG24" s="13" t="n">
        <f aca="false">Operations!BG90+Operations!BG91+Operations!BG92+Operations!BG93+Operations!BG94</f>
        <v>36.8556353668697</v>
      </c>
      <c r="BH24" s="13" t="n">
        <f aca="false">Operations!BH90+Operations!BH91+Operations!BH92+Operations!BH93+Operations!BH94</f>
        <v>36.4436058216668</v>
      </c>
      <c r="BI24" s="13" t="n">
        <f aca="false">Operations!BI90+Operations!BI91+Operations!BI92+Operations!BI93+Operations!BI94</f>
        <v>37.7031813218419</v>
      </c>
      <c r="BJ24" s="13" t="n">
        <f aca="false">Operations!BJ90+Operations!BJ91+Operations!BJ92+Operations!BJ93+Operations!BJ94</f>
        <v>36.7602418957956</v>
      </c>
      <c r="BK24" s="13" t="n">
        <f aca="false">Operations!BK90+Operations!BK91+Operations!BK92+Operations!BK93+Operations!BK94</f>
        <v>36.7621070457488</v>
      </c>
      <c r="BL24" s="13" t="n">
        <f aca="false">Operations!BL90+Operations!BL91+Operations!BL92+Operations!BL93+Operations!BL94</f>
        <v>36.8575402047224</v>
      </c>
      <c r="BM24" s="13" t="n">
        <f aca="false">Operations!BM90+Operations!BM91+Operations!BM92+Operations!BM93+Operations!BM94</f>
        <v>39.3839734861197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0</v>
      </c>
      <c r="AL25" s="13" t="n">
        <f aca="false">MAX(0,AL12)</f>
        <v>0</v>
      </c>
      <c r="AM25" s="13" t="n">
        <f aca="false">MAX(0,AM12)</f>
        <v>2.25109988575463</v>
      </c>
      <c r="AN25" s="13" t="n">
        <f aca="false">MAX(0,AN12)</f>
        <v>9.84059040566008</v>
      </c>
      <c r="AO25" s="13" t="n">
        <f aca="false">MAX(0,AO12)</f>
        <v>17.9682006654995</v>
      </c>
      <c r="AP25" s="13" t="n">
        <f aca="false">MAX(0,AP12)</f>
        <v>26.8634363693293</v>
      </c>
      <c r="AQ25" s="13" t="n">
        <f aca="false">MAX(0,AQ12)</f>
        <v>36.4751014472153</v>
      </c>
      <c r="AR25" s="13" t="n">
        <f aca="false">MAX(0,AR12)</f>
        <v>37.687667907411</v>
      </c>
      <c r="AS25" s="13" t="n">
        <f aca="false">MAX(0,AS12)</f>
        <v>38.7394167792457</v>
      </c>
      <c r="AT25" s="13" t="n">
        <f aca="false">MAX(0,AT12)</f>
        <v>39.7911656510804</v>
      </c>
      <c r="AU25" s="13" t="n">
        <f aca="false">MAX(0,AU12)</f>
        <v>40.8429145229151</v>
      </c>
      <c r="AV25" s="13" t="n">
        <f aca="false">MAX(0,AV12)</f>
        <v>41.8946633947499</v>
      </c>
      <c r="AW25" s="13" t="n">
        <f aca="false">MAX(0,AW12)</f>
        <v>42.9464122665846</v>
      </c>
      <c r="AX25" s="13" t="n">
        <f aca="false">MAX(0,AX12)</f>
        <v>43.9981611384193</v>
      </c>
      <c r="AY25" s="13" t="n">
        <f aca="false">MAX(0,AY12)</f>
        <v>45.0499100102541</v>
      </c>
      <c r="AZ25" s="13" t="n">
        <f aca="false">MAX(0,AZ12)</f>
        <v>46.1016588820888</v>
      </c>
      <c r="BA25" s="13" t="n">
        <f aca="false">MAX(0,BA12)</f>
        <v>47.1534077539235</v>
      </c>
      <c r="BB25" s="13" t="n">
        <f aca="false">MAX(0,BB12)</f>
        <v>48.2051566257583</v>
      </c>
      <c r="BC25" s="13" t="n">
        <f aca="false">MAX(0,BC12)</f>
        <v>49.256905497593</v>
      </c>
      <c r="BD25" s="13" t="n">
        <f aca="false">MAX(0,BD12)</f>
        <v>48.2928023650778</v>
      </c>
      <c r="BE25" s="13" t="n">
        <f aca="false">MAX(0,BE12)</f>
        <v>43.2969952238628</v>
      </c>
      <c r="BF25" s="13" t="n">
        <f aca="false">MAX(0,BF12)</f>
        <v>38.3011880826479</v>
      </c>
      <c r="BG25" s="13" t="n">
        <f aca="false">MAX(0,BG12)</f>
        <v>33.305380941433</v>
      </c>
      <c r="BH25" s="13" t="n">
        <f aca="false">MAX(0,BH12)</f>
        <v>28.309573800218</v>
      </c>
      <c r="BI25" s="13" t="n">
        <f aca="false">MAX(0,BI12)</f>
        <v>23.3137666590031</v>
      </c>
      <c r="BJ25" s="13" t="n">
        <f aca="false">MAX(0,BJ12)</f>
        <v>18.3179595177881</v>
      </c>
      <c r="BK25" s="13" t="n">
        <f aca="false">MAX(0,BK12)</f>
        <v>13.3221523765732</v>
      </c>
      <c r="BL25" s="13" t="n">
        <f aca="false">MAX(0,BL12)</f>
        <v>8.32634523535823</v>
      </c>
      <c r="BM25" s="13" t="n">
        <f aca="false">MAX(0,BM12)</f>
        <v>3.33053809414332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7.19744952781319</v>
      </c>
      <c r="K26" s="13" t="n">
        <f aca="false">SUMIFS(Funding!$J$69:$BJ$69,Construction!$J$12:$BJ$12,"&lt;="&amp;Time!K20)</f>
        <v>12.3119787773403</v>
      </c>
      <c r="L26" s="13" t="n">
        <f aca="false">SUMIFS(Funding!$J$69:$BJ$69,Construction!$J$12:$BJ$12,"&lt;="&amp;Time!L20)</f>
        <v>22.2174842412847</v>
      </c>
      <c r="M26" s="13" t="n">
        <f aca="false">SUMIFS(Funding!$J$69:$BJ$69,Construction!$J$12:$BJ$12,"&lt;="&amp;Time!M20)</f>
        <v>32.4208002487438</v>
      </c>
      <c r="N26" s="13" t="n">
        <f aca="false">SUMIFS(Funding!$J$69:$BJ$69,Construction!$J$12:$BJ$12,"&lt;="&amp;Time!N20)</f>
        <v>38.1389590114841</v>
      </c>
      <c r="O26" s="13" t="n">
        <f aca="false">SUMIFS(Funding!$J$69:$BJ$69,Construction!$J$12:$BJ$12,"&lt;="&amp;Time!O20)</f>
        <v>39.9769221695297</v>
      </c>
      <c r="P26" s="13" t="n">
        <f aca="false">SUMIFS(Funding!$J$69:$BJ$69,Construction!$J$12:$BJ$12,"&lt;="&amp;Time!P20)</f>
        <v>46.0821366316148</v>
      </c>
      <c r="Q26" s="13" t="n">
        <f aca="false">SUMIFS(Funding!$J$69:$BJ$69,Construction!$J$12:$BJ$12,"&lt;="&amp;Time!Q20)</f>
        <v>46.0821366316148</v>
      </c>
      <c r="R26" s="13" t="n">
        <f aca="false">SUMIFS(Funding!$J$69:$BJ$69,Construction!$J$12:$BJ$12,"&lt;="&amp;Time!R20)</f>
        <v>46.0821366316148</v>
      </c>
      <c r="S26" s="13" t="n">
        <f aca="false">SUMIFS(Funding!$J$69:$BJ$69,Construction!$J$12:$BJ$12,"&lt;="&amp;Time!S20)</f>
        <v>46.0821366316148</v>
      </c>
      <c r="T26" s="13" t="n">
        <f aca="false">SUMIFS(Funding!$J$69:$BJ$69,Construction!$J$12:$BJ$12,"&lt;="&amp;Time!T20)</f>
        <v>46.0821366316148</v>
      </c>
      <c r="U26" s="13" t="n">
        <f aca="false">SUMIFS(Funding!$J$69:$BJ$69,Construction!$J$12:$BJ$12,"&lt;="&amp;Time!U20)</f>
        <v>46.0821366316148</v>
      </c>
      <c r="V26" s="13" t="n">
        <f aca="false">SUMIFS(Funding!$J$69:$BJ$69,Construction!$J$12:$BJ$12,"&lt;="&amp;Time!V20)</f>
        <v>46.0821366316148</v>
      </c>
      <c r="W26" s="13" t="n">
        <f aca="false">SUMIFS(Funding!$J$69:$BJ$69,Construction!$J$12:$BJ$12,"&lt;="&amp;Time!W20)</f>
        <v>46.0821366316148</v>
      </c>
      <c r="X26" s="13" t="n">
        <f aca="false">SUMIFS(Funding!$J$69:$BJ$69,Construction!$J$12:$BJ$12,"&lt;="&amp;Time!X20)</f>
        <v>46.0821366316148</v>
      </c>
      <c r="Y26" s="13" t="n">
        <f aca="false">SUMIFS(Funding!$J$69:$BJ$69,Construction!$J$12:$BJ$12,"&lt;="&amp;Time!Y20)</f>
        <v>46.0821366316148</v>
      </c>
      <c r="Z26" s="13" t="n">
        <f aca="false">SUMIFS(Funding!$J$69:$BJ$69,Construction!$J$12:$BJ$12,"&lt;="&amp;Time!Z20)</f>
        <v>46.0821366316148</v>
      </c>
      <c r="AA26" s="13" t="n">
        <f aca="false">SUMIFS(Funding!$J$69:$BJ$69,Construction!$J$12:$BJ$12,"&lt;="&amp;Time!AA20)</f>
        <v>46.0821366316148</v>
      </c>
      <c r="AB26" s="13" t="n">
        <f aca="false">SUMIFS(Funding!$J$69:$BJ$69,Construction!$J$12:$BJ$12,"&lt;="&amp;Time!AB20)</f>
        <v>46.0821366316148</v>
      </c>
      <c r="AC26" s="13" t="n">
        <f aca="false">SUMIFS(Funding!$J$69:$BJ$69,Construction!$J$12:$BJ$12,"&lt;="&amp;Time!AC20)</f>
        <v>46.0821366316148</v>
      </c>
      <c r="AD26" s="13" t="n">
        <f aca="false">SUMIFS(Funding!$J$69:$BJ$69,Construction!$J$12:$BJ$12,"&lt;="&amp;Time!AD20)</f>
        <v>46.0821366316148</v>
      </c>
      <c r="AE26" s="13" t="n">
        <f aca="false">SUMIFS(Funding!$J$69:$BJ$69,Construction!$J$12:$BJ$12,"&lt;="&amp;Time!AE20)</f>
        <v>46.0821366316148</v>
      </c>
      <c r="AF26" s="13" t="n">
        <f aca="false">SUMIFS(Funding!$J$69:$BJ$69,Construction!$J$12:$BJ$12,"&lt;="&amp;Time!AF20)</f>
        <v>46.0821366316148</v>
      </c>
      <c r="AG26" s="13" t="n">
        <f aca="false">SUMIFS(Funding!$J$69:$BJ$69,Construction!$J$12:$BJ$12,"&lt;="&amp;Time!AG20)</f>
        <v>46.0821366316148</v>
      </c>
      <c r="AH26" s="13" t="n">
        <f aca="false">SUMIFS(Funding!$J$69:$BJ$69,Construction!$J$12:$BJ$12,"&lt;="&amp;Time!AH20)</f>
        <v>46.0821366316148</v>
      </c>
      <c r="AI26" s="13" t="n">
        <f aca="false">SUMIFS(Funding!$J$69:$BJ$69,Construction!$J$12:$BJ$12,"&lt;="&amp;Time!AI20)</f>
        <v>46.0821366316148</v>
      </c>
      <c r="AJ26" s="13" t="n">
        <f aca="false">SUMIFS(Funding!$J$69:$BJ$69,Construction!$J$12:$BJ$12,"&lt;="&amp;Time!AJ20)</f>
        <v>46.0821366316148</v>
      </c>
      <c r="AK26" s="13" t="n">
        <f aca="false">SUMIFS(Funding!$J$69:$BJ$69,Construction!$J$12:$BJ$12,"&lt;="&amp;Time!AK20)</f>
        <v>46.0821366316148</v>
      </c>
      <c r="AL26" s="13" t="n">
        <f aca="false">SUMIFS(Funding!$J$69:$BJ$69,Construction!$J$12:$BJ$12,"&lt;="&amp;Time!AL20)</f>
        <v>46.0821366316148</v>
      </c>
      <c r="AM26" s="13" t="n">
        <f aca="false">SUMIFS(Funding!$J$69:$BJ$69,Construction!$J$12:$BJ$12,"&lt;="&amp;Time!AM20)</f>
        <v>46.0821366316148</v>
      </c>
      <c r="AN26" s="13" t="n">
        <f aca="false">SUMIFS(Funding!$J$69:$BJ$69,Construction!$J$12:$BJ$12,"&lt;="&amp;Time!AN20)</f>
        <v>46.0821366316148</v>
      </c>
      <c r="AO26" s="13" t="n">
        <f aca="false">SUMIFS(Funding!$J$69:$BJ$69,Construction!$J$12:$BJ$12,"&lt;="&amp;Time!AO20)</f>
        <v>46.0821366316148</v>
      </c>
      <c r="AP26" s="13" t="n">
        <f aca="false">SUMIFS(Funding!$J$69:$BJ$69,Construction!$J$12:$BJ$12,"&lt;="&amp;Time!AP20)</f>
        <v>46.0821366316148</v>
      </c>
      <c r="AQ26" s="13" t="n">
        <f aca="false">SUMIFS(Funding!$J$69:$BJ$69,Construction!$J$12:$BJ$12,"&lt;="&amp;Time!AQ20)</f>
        <v>46.0821366316148</v>
      </c>
      <c r="AR26" s="13" t="n">
        <f aca="false">SUMIFS(Funding!$J$69:$BJ$69,Construction!$J$12:$BJ$12,"&lt;="&amp;Time!AR20)</f>
        <v>46.0821366316148</v>
      </c>
      <c r="AS26" s="13" t="n">
        <f aca="false">SUMIFS(Funding!$J$69:$BJ$69,Construction!$J$12:$BJ$12,"&lt;="&amp;Time!AS20)</f>
        <v>46.0821366316148</v>
      </c>
      <c r="AT26" s="13" t="n">
        <f aca="false">SUMIFS(Funding!$J$69:$BJ$69,Construction!$J$12:$BJ$12,"&lt;="&amp;Time!AT20)</f>
        <v>46.0821366316148</v>
      </c>
      <c r="AU26" s="13" t="n">
        <f aca="false">SUMIFS(Funding!$J$69:$BJ$69,Construction!$J$12:$BJ$12,"&lt;="&amp;Time!AU20)</f>
        <v>46.0821366316148</v>
      </c>
      <c r="AV26" s="13" t="n">
        <f aca="false">SUMIFS(Funding!$J$69:$BJ$69,Construction!$J$12:$BJ$12,"&lt;="&amp;Time!AV20)</f>
        <v>46.0821366316148</v>
      </c>
      <c r="AW26" s="13" t="n">
        <f aca="false">SUMIFS(Funding!$J$69:$BJ$69,Construction!$J$12:$BJ$12,"&lt;="&amp;Time!AW20)</f>
        <v>46.0821366316148</v>
      </c>
      <c r="AX26" s="13" t="n">
        <f aca="false">SUMIFS(Funding!$J$69:$BJ$69,Construction!$J$12:$BJ$12,"&lt;="&amp;Time!AX20)</f>
        <v>46.0821366316148</v>
      </c>
      <c r="AY26" s="13" t="n">
        <f aca="false">SUMIFS(Funding!$J$69:$BJ$69,Construction!$J$12:$BJ$12,"&lt;="&amp;Time!AY20)</f>
        <v>46.0821366316148</v>
      </c>
      <c r="AZ26" s="13" t="n">
        <f aca="false">SUMIFS(Funding!$J$69:$BJ$69,Construction!$J$12:$BJ$12,"&lt;="&amp;Time!AZ20)</f>
        <v>46.0821366316148</v>
      </c>
      <c r="BA26" s="13" t="n">
        <f aca="false">SUMIFS(Funding!$J$69:$BJ$69,Construction!$J$12:$BJ$12,"&lt;="&amp;Time!BA20)</f>
        <v>46.0821366316148</v>
      </c>
      <c r="BB26" s="13" t="n">
        <f aca="false">SUMIFS(Funding!$J$69:$BJ$69,Construction!$J$12:$BJ$12,"&lt;="&amp;Time!BB20)</f>
        <v>46.0821366316148</v>
      </c>
      <c r="BC26" s="13" t="n">
        <f aca="false">SUMIFS(Funding!$J$69:$BJ$69,Construction!$J$12:$BJ$12,"&lt;="&amp;Time!BC20)</f>
        <v>46.0821366316148</v>
      </c>
      <c r="BD26" s="13" t="n">
        <f aca="false">SUMIFS(Funding!$J$69:$BJ$69,Construction!$J$12:$BJ$12,"&lt;="&amp;Time!BD20)</f>
        <v>46.0821366316148</v>
      </c>
      <c r="BE26" s="13" t="n">
        <f aca="false">SUMIFS(Funding!$J$69:$BJ$69,Construction!$J$12:$BJ$12,"&lt;="&amp;Time!BE20)</f>
        <v>46.0821366316148</v>
      </c>
      <c r="BF26" s="13" t="n">
        <f aca="false">SUMIFS(Funding!$J$69:$BJ$69,Construction!$J$12:$BJ$12,"&lt;="&amp;Time!BF20)</f>
        <v>46.0821366316148</v>
      </c>
      <c r="BG26" s="13" t="n">
        <f aca="false">SUMIFS(Funding!$J$69:$BJ$69,Construction!$J$12:$BJ$12,"&lt;="&amp;Time!BG20)</f>
        <v>46.0821366316148</v>
      </c>
      <c r="BH26" s="13" t="n">
        <f aca="false">SUMIFS(Funding!$J$69:$BJ$69,Construction!$J$12:$BJ$12,"&lt;="&amp;Time!BH20)</f>
        <v>46.0821366316148</v>
      </c>
      <c r="BI26" s="13" t="n">
        <f aca="false">SUMIFS(Funding!$J$69:$BJ$69,Construction!$J$12:$BJ$12,"&lt;="&amp;Time!BI20)</f>
        <v>46.0821366316148</v>
      </c>
      <c r="BJ26" s="13" t="n">
        <f aca="false">SUMIFS(Funding!$J$69:$BJ$69,Construction!$J$12:$BJ$12,"&lt;="&amp;Time!BJ20)</f>
        <v>46.0821366316148</v>
      </c>
      <c r="BK26" s="13" t="n">
        <f aca="false">SUMIFS(Funding!$J$69:$BJ$69,Construction!$J$12:$BJ$12,"&lt;="&amp;Time!BK20)</f>
        <v>46.0821366316148</v>
      </c>
      <c r="BL26" s="13" t="n">
        <f aca="false">SUMIFS(Funding!$J$69:$BJ$69,Construction!$J$12:$BJ$12,"&lt;="&amp;Time!BL20)</f>
        <v>46.0821366316148</v>
      </c>
      <c r="BM26" s="13" t="n">
        <f aca="false">SUMIFS(Funding!$J$69:$BJ$69,Construction!$J$12:$BJ$12,"&lt;="&amp;Time!BM20)</f>
        <v>46.0821366316148</v>
      </c>
      <c r="BN26" s="13" t="n">
        <f aca="false">SUMIFS(Funding!$J$69:$BJ$69,Construction!$J$12:$BJ$12,"&lt;="&amp;Time!BN20)</f>
        <v>46.0821366316148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0</v>
      </c>
      <c r="P27" s="18" t="n">
        <f aca="false">Waterfall!P43</f>
        <v>9.37854471002205</v>
      </c>
      <c r="Q27" s="18" t="n">
        <f aca="false">Waterfall!Q43</f>
        <v>15.1014689248956</v>
      </c>
      <c r="R27" s="18" t="n">
        <f aca="false">Waterfall!R43</f>
        <v>21.2470203710082</v>
      </c>
      <c r="S27" s="18" t="n">
        <f aca="false">Waterfall!S43</f>
        <v>28.5860326424422</v>
      </c>
      <c r="T27" s="18" t="n">
        <f aca="false">Waterfall!T43</f>
        <v>36.2431322835115</v>
      </c>
      <c r="U27" s="18" t="n">
        <f aca="false">Waterfall!U43</f>
        <v>44.9350451313272</v>
      </c>
      <c r="V27" s="18" t="n">
        <f aca="false">Waterfall!V43</f>
        <v>54.1960575871065</v>
      </c>
      <c r="W27" s="18" t="n">
        <f aca="false">Waterfall!W43</f>
        <v>62.2781835280853</v>
      </c>
      <c r="X27" s="18" t="n">
        <f aca="false">Waterfall!X43</f>
        <v>73.4061959378</v>
      </c>
      <c r="Y27" s="18" t="n">
        <f aca="false">Waterfall!Y43</f>
        <v>85.2247299691766</v>
      </c>
      <c r="Z27" s="18" t="n">
        <f aca="false">Waterfall!Z43</f>
        <v>94.9900299306117</v>
      </c>
      <c r="AA27" s="18" t="n">
        <f aca="false">Waterfall!AA43</f>
        <v>100.521739243853</v>
      </c>
      <c r="AB27" s="18" t="n">
        <f aca="false">Waterfall!AB43</f>
        <v>106.448545309505</v>
      </c>
      <c r="AC27" s="18" t="n">
        <f aca="false">Waterfall!AC43</f>
        <v>113.222667739683</v>
      </c>
      <c r="AD27" s="18" t="n">
        <f aca="false">Waterfall!AD43</f>
        <v>120.597627027737</v>
      </c>
      <c r="AE27" s="18" t="n">
        <f aca="false">Waterfall!AE43</f>
        <v>118.905959772213</v>
      </c>
      <c r="AF27" s="18" t="n">
        <f aca="false">Waterfall!AF43</f>
        <v>129.073207215107</v>
      </c>
      <c r="AG27" s="18" t="n">
        <f aca="false">Waterfall!AG43</f>
        <v>138.899882867418</v>
      </c>
      <c r="AH27" s="18" t="n">
        <f aca="false">Waterfall!AH43</f>
        <v>149.462412616022</v>
      </c>
      <c r="AI27" s="18" t="n">
        <f aca="false">Waterfall!AI43</f>
        <v>161.225692624158</v>
      </c>
      <c r="AJ27" s="18" t="n">
        <f aca="false">Waterfall!AJ43</f>
        <v>173.812852299616</v>
      </c>
      <c r="AK27" s="18" t="n">
        <f aca="false">Waterfall!AK43</f>
        <v>187.569165993154</v>
      </c>
      <c r="AL27" s="18" t="n">
        <f aca="false">Waterfall!AL43</f>
        <v>202.38938441269</v>
      </c>
      <c r="AM27" s="18" t="n">
        <f aca="false">Waterfall!AM43</f>
        <v>216.523075993528</v>
      </c>
      <c r="AN27" s="18" t="n">
        <f aca="false">Waterfall!AN43</f>
        <v>233.852387167608</v>
      </c>
      <c r="AO27" s="18" t="n">
        <f aca="false">Waterfall!AO43</f>
        <v>252.434296405148</v>
      </c>
      <c r="AP27" s="18" t="n">
        <f aca="false">Waterfall!AP43</f>
        <v>272.805562234217</v>
      </c>
      <c r="AQ27" s="18" t="n">
        <f aca="false">Waterfall!AQ43</f>
        <v>294.846870154496</v>
      </c>
      <c r="AR27" s="18" t="n">
        <f aca="false">Waterfall!AR43</f>
        <v>318.862809477107</v>
      </c>
      <c r="AS27" s="18" t="n">
        <f aca="false">Waterfall!AS43</f>
        <v>311.46641140224</v>
      </c>
      <c r="AT27" s="18" t="n">
        <f aca="false">Waterfall!AT43</f>
        <v>295.144178863546</v>
      </c>
      <c r="AU27" s="18" t="n">
        <f aca="false">Waterfall!AU43</f>
        <v>262.4041107954</v>
      </c>
      <c r="AV27" s="18" t="n">
        <f aca="false">Waterfall!AV43</f>
        <v>243.873789416862</v>
      </c>
      <c r="AW27" s="18" t="n">
        <f aca="false">Waterfall!AW43</f>
        <v>226.226420949574</v>
      </c>
      <c r="AX27" s="18" t="n">
        <f aca="false">Waterfall!AX43</f>
        <v>208.039028126517</v>
      </c>
      <c r="AY27" s="18" t="n">
        <f aca="false">Waterfall!AY43</f>
        <v>190.395564233452</v>
      </c>
      <c r="AZ27" s="18" t="n">
        <f aca="false">Waterfall!AZ43</f>
        <v>172.207349431699</v>
      </c>
      <c r="BA27" s="18" t="n">
        <f aca="false">Waterfall!BA43</f>
        <v>154.478028015633</v>
      </c>
      <c r="BB27" s="18" t="n">
        <f aca="false">Waterfall!BB43</f>
        <v>136.878928299426</v>
      </c>
      <c r="BC27" s="18" t="n">
        <f aca="false">Waterfall!BC43</f>
        <v>116.588347587686</v>
      </c>
      <c r="BD27" s="18" t="n">
        <f aca="false">Waterfall!BD43</f>
        <v>101.352231498083</v>
      </c>
      <c r="BE27" s="18" t="n">
        <f aca="false">Waterfall!BE43</f>
        <v>93.5453634193787</v>
      </c>
      <c r="BF27" s="18" t="n">
        <f aca="false">Waterfall!BF43</f>
        <v>85.1994745028921</v>
      </c>
      <c r="BG27" s="18" t="n">
        <f aca="false">Waterfall!BG43</f>
        <v>77.4320899582483</v>
      </c>
      <c r="BH27" s="18" t="n">
        <f aca="false">Waterfall!BH43</f>
        <v>69.1195203375604</v>
      </c>
      <c r="BI27" s="18" t="n">
        <f aca="false">Waterfall!BI43</f>
        <v>61.297981511237</v>
      </c>
      <c r="BJ27" s="18" t="n">
        <f aca="false">Waterfall!BJ43</f>
        <v>53.1135038950017</v>
      </c>
      <c r="BK27" s="18" t="n">
        <f aca="false">Waterfall!BK43</f>
        <v>25.3800538236577</v>
      </c>
      <c r="BL27" s="18" t="n">
        <f aca="false">Waterfall!BL43</f>
        <v>14.5835836456595</v>
      </c>
      <c r="BM27" s="18" t="n">
        <f aca="false">Waterfall!BM43</f>
        <v>4.10540860898173</v>
      </c>
      <c r="BN27" s="18" t="n">
        <f aca="false">Waterfall!BN43</f>
        <v>-46.0821366316145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139.562323412541</v>
      </c>
      <c r="K28" s="13" t="n">
        <f aca="false">K22+K23+K24+K25+K26+K27</f>
        <v>239.877783879763</v>
      </c>
      <c r="L28" s="13" t="n">
        <f aca="false">L22+L23+L24+L25+L26+L27</f>
        <v>434.070017871423</v>
      </c>
      <c r="M28" s="13" t="n">
        <f aca="false">M22+M23+M24+M25+M26+M27</f>
        <v>636.157632410052</v>
      </c>
      <c r="N28" s="13" t="n">
        <f aca="false">N22+N23+N24+N25+N26+N27</f>
        <v>753.799661593778</v>
      </c>
      <c r="O28" s="13" t="n">
        <f aca="false">O22+O23+O24+O25+O26+O27</f>
        <v>797.62059205288</v>
      </c>
      <c r="P28" s="13" t="n">
        <f aca="false">P22+P23+P24+P25+P26+P27</f>
        <v>958.35559265466</v>
      </c>
      <c r="Q28" s="13" t="n">
        <f aca="false">Q22+Q23+Q24+Q25+Q26+Q27</f>
        <v>946.052532870934</v>
      </c>
      <c r="R28" s="13" t="n">
        <f aca="false">R22+R23+R24+R25+R26+R27</f>
        <v>933.27658913311</v>
      </c>
      <c r="S28" s="13" t="n">
        <f aca="false">S22+S23+S24+S25+S26+S27</f>
        <v>922.8541452583</v>
      </c>
      <c r="T28" s="13" t="n">
        <f aca="false">T22+T23+T24+T25+T26+T27</f>
        <v>910.334434182195</v>
      </c>
      <c r="U28" s="13" t="n">
        <f aca="false">U22+U23+U24+U25+U26+U27</f>
        <v>900.32490111292</v>
      </c>
      <c r="V28" s="13" t="n">
        <f aca="false">V22+V23+V24+V25+V26+V27</f>
        <v>887.584454715611</v>
      </c>
      <c r="W28" s="13" t="n">
        <f aca="false">W22+W23+W24+W25+W26+W27</f>
        <v>872.244625481781</v>
      </c>
      <c r="X28" s="13" t="n">
        <f aca="false">X22+X23+X24+X25+X26+X27</f>
        <v>859.300876314162</v>
      </c>
      <c r="Y28" s="13" t="n">
        <f aca="false">Y22+Y23+Y24+Y25+Y26+Y27</f>
        <v>851.05526866444</v>
      </c>
      <c r="Z28" s="13" t="n">
        <f aca="false">Z22+Z23+Z24+Z25+Z26+Z27</f>
        <v>837.349611043426</v>
      </c>
      <c r="AA28" s="13" t="n">
        <f aca="false">AA22+AA23+AA24+AA25+AA26+AA27</f>
        <v>820.794561660033</v>
      </c>
      <c r="AB28" s="13" t="n">
        <f aca="false">AB22+AB23+AB24+AB25+AB26+AB27</f>
        <v>801.388749446067</v>
      </c>
      <c r="AC28" s="13" t="n">
        <f aca="false">AC22+AC23+AC24+AC25+AC26+AC27</f>
        <v>784.779900632774</v>
      </c>
      <c r="AD28" s="13" t="n">
        <f aca="false">AD22+AD23+AD24+AD25+AD26+AD27</f>
        <v>764.560746520884</v>
      </c>
      <c r="AE28" s="13" t="n">
        <f aca="false">AE22+AE23+AE24+AE25+AE26+AE27</f>
        <v>733.472385664698</v>
      </c>
      <c r="AF28" s="13" t="n">
        <f aca="false">AF22+AF23+AF24+AF25+AF26+AF27</f>
        <v>711.942387965892</v>
      </c>
      <c r="AG28" s="13" t="n">
        <f aca="false">AG22+AG23+AG24+AG25+AG26+AG27</f>
        <v>692.003165383677</v>
      </c>
      <c r="AH28" s="13" t="n">
        <f aca="false">AH22+AH23+AH24+AH25+AH26+AH27</f>
        <v>668.035011558171</v>
      </c>
      <c r="AI28" s="13" t="n">
        <f aca="false">AI22+AI23+AI24+AI25+AI26+AI27</f>
        <v>645.641762858742</v>
      </c>
      <c r="AJ28" s="13" t="n">
        <f aca="false">AJ22+AJ23+AJ24+AJ25+AJ26+AJ27</f>
        <v>620.360346778012</v>
      </c>
      <c r="AK28" s="13" t="n">
        <f aca="false">AK22+AK23+AK24+AK25+AK26+AK27</f>
        <v>596.334818807584</v>
      </c>
      <c r="AL28" s="13" t="n">
        <f aca="false">AL22+AL23+AL24+AL25+AL26+AL27</f>
        <v>567.937431202369</v>
      </c>
      <c r="AM28" s="13" t="n">
        <f aca="false">AM22+AM23+AM24+AM25+AM26+AM27</f>
        <v>539.403987621234</v>
      </c>
      <c r="AN28" s="13" t="n">
        <f aca="false">AN22+AN23+AN24+AN25+AN26+AN27</f>
        <v>521.324431275824</v>
      </c>
      <c r="AO28" s="13" t="n">
        <f aca="false">AO22+AO23+AO24+AO25+AO26+AO27</f>
        <v>488.000677884948</v>
      </c>
      <c r="AP28" s="13" t="n">
        <f aca="false">AP22+AP23+AP24+AP25+AP26+AP27</f>
        <v>472.119748333409</v>
      </c>
      <c r="AQ28" s="13" t="n">
        <f aca="false">AQ22+AQ23+AQ24+AQ25+AQ26+AQ27</f>
        <v>458.152146586011</v>
      </c>
      <c r="AR28" s="13" t="n">
        <f aca="false">AR22+AR23+AR24+AR25+AR26+AR27</f>
        <v>442.443567009446</v>
      </c>
      <c r="AS28" s="13" t="n">
        <f aca="false">AS22+AS23+AS24+AS25+AS26+AS27</f>
        <v>428.611768571963</v>
      </c>
      <c r="AT28" s="13" t="n">
        <f aca="false">AT22+AT23+AT24+AT25+AT26+AT27</f>
        <v>412.534642994823</v>
      </c>
      <c r="AU28" s="13" t="n">
        <f aca="false">AU22+AU23+AU24+AU25+AU26+AU27</f>
        <v>380.849332284202</v>
      </c>
      <c r="AV28" s="13" t="n">
        <f aca="false">AV22+AV23+AV24+AV25+AV26+AV27</f>
        <v>363.452412689249</v>
      </c>
      <c r="AW28" s="13" t="n">
        <f aca="false">AW22+AW23+AW24+AW25+AW26+AW27</f>
        <v>349.019194458046</v>
      </c>
      <c r="AX28" s="13" t="n">
        <f aca="false">AX22+AX23+AX24+AX25+AX26+AX27</f>
        <v>331.315481027618</v>
      </c>
      <c r="AY28" s="13" t="n">
        <f aca="false">AY22+AY23+AY24+AY25+AY26+AY27</f>
        <v>315.652971524847</v>
      </c>
      <c r="AZ28" s="13" t="n">
        <f aca="false">AZ22+AZ23+AZ24+AZ25+AZ26+AZ27</f>
        <v>298.13537201313</v>
      </c>
      <c r="BA28" s="13" t="n">
        <f aca="false">BA22+BA23+BA24+BA25+BA26+BA27</f>
        <v>282.623541963778</v>
      </c>
      <c r="BB28" s="13" t="n">
        <f aca="false">BB22+BB23+BB24+BB25+BB26+BB27</f>
        <v>265.412403443813</v>
      </c>
      <c r="BC28" s="13" t="n">
        <f aca="false">BC22+BC23+BC24+BC25+BC26+BC27</f>
        <v>246.607887643602</v>
      </c>
      <c r="BD28" s="13" t="n">
        <f aca="false">BD22+BD23+BD24+BD25+BD26+BD27</f>
        <v>230.280696663088</v>
      </c>
      <c r="BE28" s="13" t="n">
        <f aca="false">BE22+BE23+BE24+BE25+BE26+BE27</f>
        <v>219.390451735687</v>
      </c>
      <c r="BF28" s="13" t="n">
        <f aca="false">BF22+BF23+BF24+BF25+BF26+BF27</f>
        <v>205.434582418911</v>
      </c>
      <c r="BG28" s="13" t="n">
        <f aca="false">BG22+BG23+BG24+BG25+BG26+BG27</f>
        <v>193.675242898166</v>
      </c>
      <c r="BH28" s="13" t="n">
        <f aca="false">BH22+BH23+BH24+BH25+BH26+BH27</f>
        <v>179.95483659106</v>
      </c>
      <c r="BI28" s="13" t="n">
        <f aca="false">BI22+BI23+BI24+BI25+BI26+BI27</f>
        <v>168.397066123697</v>
      </c>
      <c r="BJ28" s="13" t="n">
        <f aca="false">BJ22+BJ23+BJ24+BJ25+BJ26+BJ27</f>
        <v>154.2738419402</v>
      </c>
      <c r="BK28" s="13" t="n">
        <f aca="false">BK22+BK23+BK24+BK25+BK26+BK27</f>
        <v>121.546449877595</v>
      </c>
      <c r="BL28" s="13" t="n">
        <f aca="false">BL22+BL23+BL24+BL25+BL26+BL27</f>
        <v>105.849605717355</v>
      </c>
      <c r="BM28" s="13" t="n">
        <f aca="false">BM22+BM23+BM24+BM25+BM26+BM27</f>
        <v>92.9020568208596</v>
      </c>
      <c r="BN28" s="13" t="n">
        <f aca="false">BN22+BN23+BN24+BN25+BN26+BN27</f>
        <v>3.19744231092045E-013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-3.19744231092045E-013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</v>
      </c>
      <c r="Q7" s="16" t="n">
        <f aca="false">IF(Debt!Q115&gt;Inputs!$F$253,Debt!Q112/Debt!Q115,0)</f>
        <v>0.0340562849037826</v>
      </c>
      <c r="R7" s="16" t="n">
        <f aca="false">IF(Debt!R115&gt;Inputs!$F$253,Debt!R112/Debt!R115,0)</f>
        <v>0.0344372466703715</v>
      </c>
      <c r="S7" s="16" t="n">
        <f aca="false">IF(Debt!S115&gt;Inputs!$F$253,Debt!S112/Debt!S115,0)</f>
        <v>0.0340709077793108</v>
      </c>
      <c r="T7" s="16" t="n">
        <f aca="false">IF(Debt!T115&gt;Inputs!$F$253,Debt!T112/Debt!T115,0)</f>
        <v>0.0344521119140023</v>
      </c>
      <c r="U7" s="16" t="n">
        <f aca="false">IF(Debt!U115&gt;Inputs!$F$253,Debt!U112/Debt!U115,0)</f>
        <v>0.0341979758242079</v>
      </c>
      <c r="V7" s="16" t="n">
        <f aca="false">IF(Debt!V115&gt;Inputs!$F$253,Debt!V112/Debt!V115,0)</f>
        <v>0.0344521119140023</v>
      </c>
      <c r="W7" s="16" t="n">
        <f aca="false">IF(Debt!W115&gt;Inputs!$F$253,Debt!W112/Debt!W115,0)</f>
        <v>0.0340709077793108</v>
      </c>
      <c r="X7" s="16" t="n">
        <f aca="false">IF(Debt!X115&gt;Inputs!$F$253,Debt!X112/Debt!X115,0)</f>
        <v>0.0344521119140023</v>
      </c>
      <c r="Y7" s="16" t="n">
        <f aca="false">IF(Debt!Y115&gt;Inputs!$F$253,Debt!Y112/Debt!Y115,0)</f>
        <v>0.0351323275323972</v>
      </c>
      <c r="Z7" s="16" t="n">
        <f aca="false">IF(Debt!Z115&gt;Inputs!$F$253,Debt!Z112/Debt!Z115,0)</f>
        <v>0.0355311242596813</v>
      </c>
      <c r="AA7" s="16" t="n">
        <f aca="false">IF(Debt!AA115&gt;Inputs!$F$253,Debt!AA112/Debt!AA115,0)</f>
        <v>0.0351323275323972</v>
      </c>
      <c r="AB7" s="16" t="n">
        <f aca="false">IF(Debt!AB115&gt;Inputs!$F$253,Debt!AB112/Debt!AB115,0)</f>
        <v>0.0353737685969729</v>
      </c>
      <c r="AC7" s="16" t="n">
        <f aca="false">IF(Debt!AC115&gt;Inputs!$F$253,Debt!AC112/Debt!AC115,0)</f>
        <v>0.0349130886056243</v>
      </c>
      <c r="AD7" s="16" t="n">
        <f aca="false">IF(Debt!AD115&gt;Inputs!$F$253,Debt!AD112/Debt!AD115,0)</f>
        <v>0.0349703101322878</v>
      </c>
      <c r="AE7" s="16" t="n">
        <f aca="false">IF(Debt!AE115&gt;Inputs!$F$253,Debt!AE112/Debt!AE115,0)</f>
        <v>0.034348236046798</v>
      </c>
      <c r="AF7" s="16" t="n">
        <f aca="false">IF(Debt!AF115&gt;Inputs!$F$253,Debt!AF112/Debt!AF115,0)</f>
        <v>0.0343986916121911</v>
      </c>
      <c r="AG7" s="16" t="n">
        <f aca="false">IF(Debt!AG115&gt;Inputs!$F$253,Debt!AG112/Debt!AG115,0)</f>
        <v>0.0344652296161079</v>
      </c>
      <c r="AH7" s="16" t="n">
        <f aca="false">IF(Debt!AH115&gt;Inputs!$F$253,Debt!AH112/Debt!AH115,0)</f>
        <v>0.0342368413921428</v>
      </c>
      <c r="AI7" s="16" t="n">
        <f aca="false">IF(Debt!AI115&gt;Inputs!$F$253,Debt!AI112/Debt!AI115,0)</f>
        <v>0.0330749184944507</v>
      </c>
      <c r="AJ7" s="16" t="n">
        <f aca="false">IF(Debt!AJ115&gt;Inputs!$F$253,Debt!AJ112/Debt!AJ115,0)</f>
        <v>0.0322514607689063</v>
      </c>
      <c r="AK7" s="16" t="n">
        <f aca="false">IF(Debt!AK115&gt;Inputs!$F$253,Debt!AK112/Debt!AK115,0)</f>
        <v>0.0302346836636782</v>
      </c>
      <c r="AL7" s="16" t="n">
        <f aca="false">IF(Debt!AL115&gt;Inputs!$F$253,Debt!AL112/Debt!AL115,0)</f>
        <v>0.0272395332720947</v>
      </c>
      <c r="AM7" s="16" t="n">
        <f aca="false">IF(Debt!AM115&gt;Inputs!$F$253,Debt!AM112/Debt!AM115,0)</f>
        <v>0.0270865638039379</v>
      </c>
      <c r="AN7" s="16" t="n">
        <f aca="false">IF(Debt!AN115&gt;Inputs!$F$253,Debt!AN112/Debt!AN115,0)</f>
        <v>0.0272395332720947</v>
      </c>
      <c r="AO7" s="16" t="n">
        <f aca="false">IF(Debt!AO115&gt;Inputs!$F$253,Debt!AO112/Debt!AO115,0)</f>
        <v>0.0270865638039379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0.0270865638039379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0.0270865638039379</v>
      </c>
      <c r="K10" s="16" t="n">
        <f aca="false">IF(K7&gt;0,K7,$F$9)</f>
        <v>0.0270865638039379</v>
      </c>
      <c r="L10" s="16" t="n">
        <f aca="false">IF(L7&gt;0,L7,$F$9)</f>
        <v>0.0270865638039379</v>
      </c>
      <c r="M10" s="16" t="n">
        <f aca="false">IF(M7&gt;0,M7,$F$9)</f>
        <v>0.0270865638039379</v>
      </c>
      <c r="N10" s="16" t="n">
        <f aca="false">IF(N7&gt;0,N7,$F$9)</f>
        <v>0.0270865638039379</v>
      </c>
      <c r="O10" s="16" t="n">
        <f aca="false">IF(O7&gt;0,O7,$F$9)</f>
        <v>0.0270865638039379</v>
      </c>
      <c r="P10" s="16" t="n">
        <f aca="false">IF(P7&gt;0,P7,$F$9)</f>
        <v>0.0270865638039379</v>
      </c>
      <c r="Q10" s="16" t="n">
        <f aca="false">IF(Q7&gt;0,Q7,$F$9)</f>
        <v>0.0340562849037826</v>
      </c>
      <c r="R10" s="16" t="n">
        <f aca="false">IF(R7&gt;0,R7,$F$9)</f>
        <v>0.0344372466703715</v>
      </c>
      <c r="S10" s="16" t="n">
        <f aca="false">IF(S7&gt;0,S7,$F$9)</f>
        <v>0.0340709077793108</v>
      </c>
      <c r="T10" s="16" t="n">
        <f aca="false">IF(T7&gt;0,T7,$F$9)</f>
        <v>0.0344521119140023</v>
      </c>
      <c r="U10" s="16" t="n">
        <f aca="false">IF(U7&gt;0,U7,$F$9)</f>
        <v>0.0341979758242079</v>
      </c>
      <c r="V10" s="16" t="n">
        <f aca="false">IF(V7&gt;0,V7,$F$9)</f>
        <v>0.0344521119140023</v>
      </c>
      <c r="W10" s="16" t="n">
        <f aca="false">IF(W7&gt;0,W7,$F$9)</f>
        <v>0.0340709077793108</v>
      </c>
      <c r="X10" s="16" t="n">
        <f aca="false">IF(X7&gt;0,X7,$F$9)</f>
        <v>0.0344521119140023</v>
      </c>
      <c r="Y10" s="16" t="n">
        <f aca="false">IF(Y7&gt;0,Y7,$F$9)</f>
        <v>0.0351323275323972</v>
      </c>
      <c r="Z10" s="16" t="n">
        <f aca="false">IF(Z7&gt;0,Z7,$F$9)</f>
        <v>0.0355311242596813</v>
      </c>
      <c r="AA10" s="16" t="n">
        <f aca="false">IF(AA7&gt;0,AA7,$F$9)</f>
        <v>0.0351323275323972</v>
      </c>
      <c r="AB10" s="16" t="n">
        <f aca="false">IF(AB7&gt;0,AB7,$F$9)</f>
        <v>0.0353737685969729</v>
      </c>
      <c r="AC10" s="16" t="n">
        <f aca="false">IF(AC7&gt;0,AC7,$F$9)</f>
        <v>0.0349130886056243</v>
      </c>
      <c r="AD10" s="16" t="n">
        <f aca="false">IF(AD7&gt;0,AD7,$F$9)</f>
        <v>0.0349703101322878</v>
      </c>
      <c r="AE10" s="16" t="n">
        <f aca="false">IF(AE7&gt;0,AE7,$F$9)</f>
        <v>0.034348236046798</v>
      </c>
      <c r="AF10" s="16" t="n">
        <f aca="false">IF(AF7&gt;0,AF7,$F$9)</f>
        <v>0.0343986916121911</v>
      </c>
      <c r="AG10" s="16" t="n">
        <f aca="false">IF(AG7&gt;0,AG7,$F$9)</f>
        <v>0.0344652296161079</v>
      </c>
      <c r="AH10" s="16" t="n">
        <f aca="false">IF(AH7&gt;0,AH7,$F$9)</f>
        <v>0.0342368413921428</v>
      </c>
      <c r="AI10" s="16" t="n">
        <f aca="false">IF(AI7&gt;0,AI7,$F$9)</f>
        <v>0.0330749184944507</v>
      </c>
      <c r="AJ10" s="16" t="n">
        <f aca="false">IF(AJ7&gt;0,AJ7,$F$9)</f>
        <v>0.0322514607689063</v>
      </c>
      <c r="AK10" s="16" t="n">
        <f aca="false">IF(AK7&gt;0,AK7,$F$9)</f>
        <v>0.0302346836636782</v>
      </c>
      <c r="AL10" s="16" t="n">
        <f aca="false">IF(AL7&gt;0,AL7,$F$9)</f>
        <v>0.0272395332720947</v>
      </c>
      <c r="AM10" s="16" t="n">
        <f aca="false">IF(AM7&gt;0,AM7,$F$9)</f>
        <v>0.0270865638039379</v>
      </c>
      <c r="AN10" s="16" t="n">
        <f aca="false">IF(AN7&gt;0,AN7,$F$9)</f>
        <v>0.0272395332720947</v>
      </c>
      <c r="AO10" s="16" t="n">
        <f aca="false">IF(AO7&gt;0,AO7,$F$9)</f>
        <v>0.0270865638039379</v>
      </c>
      <c r="AP10" s="16" t="n">
        <f aca="false">IF(AP7&gt;0,AP7,$F$9)</f>
        <v>0.0270865638039379</v>
      </c>
      <c r="AQ10" s="16" t="n">
        <f aca="false">IF(AQ7&gt;0,AQ7,$F$9)</f>
        <v>0.0270865638039379</v>
      </c>
      <c r="AR10" s="16" t="n">
        <f aca="false">IF(AR7&gt;0,AR7,$F$9)</f>
        <v>0.0270865638039379</v>
      </c>
      <c r="AS10" s="16" t="n">
        <f aca="false">IF(AS7&gt;0,AS7,$F$9)</f>
        <v>0.0270865638039379</v>
      </c>
      <c r="AT10" s="16" t="n">
        <f aca="false">IF(AT7&gt;0,AT7,$F$9)</f>
        <v>0.0270865638039379</v>
      </c>
      <c r="AU10" s="16" t="n">
        <f aca="false">IF(AU7&gt;0,AU7,$F$9)</f>
        <v>0.0270865638039379</v>
      </c>
      <c r="AV10" s="16" t="n">
        <f aca="false">IF(AV7&gt;0,AV7,$F$9)</f>
        <v>0.0270865638039379</v>
      </c>
      <c r="AW10" s="16" t="n">
        <f aca="false">IF(AW7&gt;0,AW7,$F$9)</f>
        <v>0.0270865638039379</v>
      </c>
      <c r="AX10" s="16" t="n">
        <f aca="false">IF(AX7&gt;0,AX7,$F$9)</f>
        <v>0.0270865638039379</v>
      </c>
      <c r="AY10" s="16" t="n">
        <f aca="false">IF(AY7&gt;0,AY7,$F$9)</f>
        <v>0.0270865638039379</v>
      </c>
      <c r="AZ10" s="16" t="n">
        <f aca="false">IF(AZ7&gt;0,AZ7,$F$9)</f>
        <v>0.0270865638039379</v>
      </c>
      <c r="BA10" s="16" t="n">
        <f aca="false">IF(BA7&gt;0,BA7,$F$9)</f>
        <v>0.0270865638039379</v>
      </c>
      <c r="BB10" s="16" t="n">
        <f aca="false">IF(BB7&gt;0,BB7,$F$9)</f>
        <v>0.0270865638039379</v>
      </c>
      <c r="BC10" s="16" t="n">
        <f aca="false">IF(BC7&gt;0,BC7,$F$9)</f>
        <v>0.0270865638039379</v>
      </c>
      <c r="BD10" s="16" t="n">
        <f aca="false">IF(BD7&gt;0,BD7,$F$9)</f>
        <v>0.0270865638039379</v>
      </c>
      <c r="BE10" s="16" t="n">
        <f aca="false">IF(BE7&gt;0,BE7,$F$9)</f>
        <v>0.0270865638039379</v>
      </c>
      <c r="BF10" s="16" t="n">
        <f aca="false">IF(BF7&gt;0,BF7,$F$9)</f>
        <v>0.0270865638039379</v>
      </c>
      <c r="BG10" s="16" t="n">
        <f aca="false">IF(BG7&gt;0,BG7,$F$9)</f>
        <v>0.0270865638039379</v>
      </c>
      <c r="BH10" s="16" t="n">
        <f aca="false">IF(BH7&gt;0,BH7,$F$9)</f>
        <v>0.0270865638039379</v>
      </c>
      <c r="BI10" s="16" t="n">
        <f aca="false">IF(BI7&gt;0,BI7,$F$9)</f>
        <v>0.0270865638039379</v>
      </c>
      <c r="BJ10" s="16" t="n">
        <f aca="false">IF(BJ7&gt;0,BJ7,$F$9)</f>
        <v>0.0270865638039379</v>
      </c>
      <c r="BK10" s="16" t="n">
        <f aca="false">IF(BK7&gt;0,BK7,$F$9)</f>
        <v>0.0270865638039379</v>
      </c>
      <c r="BL10" s="16" t="n">
        <f aca="false">IF(BL7&gt;0,BL7,$F$9)</f>
        <v>0.0270865638039379</v>
      </c>
      <c r="BM10" s="16" t="n">
        <f aca="false">IF(BM7&gt;0,BM7,$F$9)</f>
        <v>0.0270865638039379</v>
      </c>
      <c r="BN10" s="16" t="n">
        <f aca="false">IF(BN7&gt;0,BN7,$F$9)</f>
        <v>0.0270865638039379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705.101797092773</v>
      </c>
      <c r="K11" s="13" t="n">
        <f aca="false">IF(Time!K20&lt;=$F$8,(Waterfall!K7+L11)/(1+K10),0)</f>
        <v>724.200581907998</v>
      </c>
      <c r="L11" s="13" t="n">
        <f aca="false">IF(Time!L20&lt;=$F$8,(Waterfall!L7+M11)/(1+L10),0)</f>
        <v>743.816687176698</v>
      </c>
      <c r="M11" s="13" t="n">
        <f aca="false">IF(Time!M20&lt;=$F$8,(Waterfall!M7+N11)/(1+M10),0)</f>
        <v>763.964125332343</v>
      </c>
      <c r="N11" s="13" t="n">
        <f aca="false">IF(Time!N20&lt;=$F$8,(Waterfall!N7+O11)/(1+N10),0)</f>
        <v>784.657288357077</v>
      </c>
      <c r="O11" s="13" t="n">
        <f aca="false">IF(Time!O20&lt;=$F$8,(Waterfall!O7+P11)/(1+O10),0)</f>
        <v>805.910958062386</v>
      </c>
      <c r="P11" s="13" t="n">
        <f aca="false">IF(Time!P20&lt;=$F$8,(Waterfall!P7+Q11)/(1+P10),0)</f>
        <v>827.740316648236</v>
      </c>
      <c r="Q11" s="13" t="n">
        <f aca="false">IF(Time!Q20&lt;=$F$8,(Waterfall!Q7+R11)/(1+Q10),0)</f>
        <v>848.293743103393</v>
      </c>
      <c r="R11" s="13" t="n">
        <f aca="false">IF(Time!R20&lt;=$F$8,(Waterfall!R7+S11)/(1+R10),0)</f>
        <v>827.014041574638</v>
      </c>
      <c r="S11" s="13" t="n">
        <f aca="false">IF(Time!S20&lt;=$F$8,(Waterfall!S7+T11)/(1+S10),0)</f>
        <v>804.735163160122</v>
      </c>
      <c r="T11" s="13" t="n">
        <f aca="false">IF(Time!T20&lt;=$F$8,(Waterfall!T7+U11)/(1+T10),0)</f>
        <v>781.729901650802</v>
      </c>
      <c r="U11" s="13" t="n">
        <f aca="false">IF(Time!U20&lt;=$F$8,(Waterfall!U7+V11)/(1+U10),0)</f>
        <v>757.659898194571</v>
      </c>
      <c r="V11" s="13" t="n">
        <f aca="false">IF(Time!V20&lt;=$F$8,(Waterfall!V7+W11)/(1+V10),0)</f>
        <v>732.898020491216</v>
      </c>
      <c r="W11" s="13" t="n">
        <f aca="false">IF(Time!W20&lt;=$F$8,(Waterfall!W7+X11)/(1+W10),0)</f>
        <v>706.978549228712</v>
      </c>
      <c r="X11" s="13" t="n">
        <f aca="false">IF(Time!X20&lt;=$F$8,(Waterfall!X7+Y11)/(1+X10),0)</f>
        <v>679.663500790601</v>
      </c>
      <c r="Y11" s="13" t="n">
        <f aca="false">IF(Time!Y20&lt;=$F$8,(Waterfall!Y7+Z11)/(1+Y10),0)</f>
        <v>651.129046981466</v>
      </c>
      <c r="Z11" s="13" t="n">
        <f aca="false">IF(Time!Z20&lt;=$F$8,(Waterfall!Z7+AA11)/(1+Z10),0)</f>
        <v>624.543731709379</v>
      </c>
      <c r="AA11" s="13" t="n">
        <f aca="false">IF(Time!AA20&lt;=$F$8,(Waterfall!AA7+AB11)/(1+AA10),0)</f>
        <v>596.762678926208</v>
      </c>
      <c r="AB11" s="13" t="n">
        <f aca="false">IF(Time!AB20&lt;=$F$8,(Waterfall!AB7+AC11)/(1+AB10),0)</f>
        <v>568.344240917324</v>
      </c>
      <c r="AC11" s="13" t="n">
        <f aca="false">IF(Time!AC20&lt;=$F$8,(Waterfall!AC7+AD11)/(1+AC10),0)</f>
        <v>538.466698878415</v>
      </c>
      <c r="AD11" s="13" t="n">
        <f aca="false">IF(Time!AD20&lt;=$F$8,(Waterfall!AD7+AE11)/(1+AD10),0)</f>
        <v>507.621867704424</v>
      </c>
      <c r="AE11" s="13" t="n">
        <f aca="false">IF(Time!AE20&lt;=$F$8,(Waterfall!AE7+AF11)/(1+AE10),0)</f>
        <v>475.172003868251</v>
      </c>
      <c r="AF11" s="13" t="n">
        <f aca="false">IF(Time!AF20&lt;=$F$8,(Waterfall!AF7+AG11)/(1+AF10),0)</f>
        <v>440.11807783372</v>
      </c>
      <c r="AG11" s="13" t="n">
        <f aca="false">IF(Time!AG20&lt;=$F$8,(Waterfall!AG7+AH11)/(1+AG10),0)</f>
        <v>402.874386050117</v>
      </c>
      <c r="AH11" s="13" t="n">
        <f aca="false">IF(Time!AH20&lt;=$F$8,(Waterfall!AH7+AI11)/(1+AH10),0)</f>
        <v>365.232305088238</v>
      </c>
      <c r="AI11" s="13" t="n">
        <f aca="false">IF(Time!AI20&lt;=$F$8,(Waterfall!AI7+AJ11)/(1+AI10),0)</f>
        <v>325.556165138224</v>
      </c>
      <c r="AJ11" s="13" t="n">
        <f aca="false">IF(Time!AJ20&lt;=$F$8,(Waterfall!AJ7+AK11)/(1+AJ10),0)</f>
        <v>284.495091003356</v>
      </c>
      <c r="AK11" s="13" t="n">
        <f aca="false">IF(Time!AK20&lt;=$F$8,(Waterfall!AK7+AL11)/(1+AK10),0)</f>
        <v>241.221376645722</v>
      </c>
      <c r="AL11" s="13" t="n">
        <f aca="false">IF(Time!AL20&lt;=$F$8,(Waterfall!AL7+AM11)/(1+AL10),0)</f>
        <v>196.409675570802</v>
      </c>
      <c r="AM11" s="13" t="n">
        <f aca="false">IF(Time!AM20&lt;=$F$8,(Waterfall!AM7+AN11)/(1+AM10),0)</f>
        <v>149.108332216358</v>
      </c>
      <c r="AN11" s="13" t="n">
        <f aca="false">IF(Time!AN20&lt;=$F$8,(Waterfall!AN7+AO11)/(1+AN10),0)</f>
        <v>100.16254806405</v>
      </c>
      <c r="AO11" s="13" t="n">
        <f aca="false">IF(Time!AO20&lt;=$F$8,(Waterfall!AO7+AP11)/(1+AO10),0)</f>
        <v>49.3236948595656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990.040807627998</v>
      </c>
      <c r="K12" s="13" t="n">
        <f aca="false">IF(Time!K20&lt;=Time!$F$15,(Waterfall!K7+L12)/(1+K10),0)</f>
        <v>1016.85761113232</v>
      </c>
      <c r="L12" s="13" t="n">
        <f aca="false">IF(Time!L20&lt;=Time!$F$15,(Waterfall!L7+M12)/(1+L10),0)</f>
        <v>1044.40078969577</v>
      </c>
      <c r="M12" s="13" t="n">
        <f aca="false">IF(Time!M20&lt;=Time!$F$15,(Waterfall!M7+N12)/(1+M10),0)</f>
        <v>1072.69001832275</v>
      </c>
      <c r="N12" s="13" t="n">
        <f aca="false">IF(Time!N20&lt;=Time!$F$15,(Waterfall!N7+O12)/(1+N10),0)</f>
        <v>1101.7455049459</v>
      </c>
      <c r="O12" s="13" t="n">
        <f aca="false">IF(Time!O20&lt;=Time!$F$15,(Waterfall!O7+P12)/(1+O10),0)</f>
        <v>1131.58800486131</v>
      </c>
      <c r="P12" s="13" t="n">
        <f aca="false">IF(Time!P20&lt;=Time!$F$15,(Waterfall!P7+Q12)/(1+P10),0)</f>
        <v>1162.23883555476</v>
      </c>
      <c r="Q12" s="13" t="n">
        <f aca="false">IF(Time!Q20&lt;=Time!$F$15,(Waterfall!Q7+R12)/(1+Q10),0)</f>
        <v>1191.8526774846</v>
      </c>
      <c r="R12" s="13" t="n">
        <f aca="false">IF(Time!R20&lt;=Time!$F$15,(Waterfall!R7+S12)/(1+R10),0)</f>
        <v>1182.27331690637</v>
      </c>
      <c r="S12" s="13" t="n">
        <f aca="false">IF(Time!S20&lt;=Time!$F$15,(Waterfall!S7+T12)/(1+S10),0)</f>
        <v>1172.2285897884</v>
      </c>
      <c r="T12" s="13" t="n">
        <f aca="false">IF(Time!T20&lt;=Time!$F$15,(Waterfall!T7+U12)/(1+T10),0)</f>
        <v>1161.74416292723</v>
      </c>
      <c r="U12" s="13" t="n">
        <f aca="false">IF(Time!U20&lt;=Time!$F$15,(Waterfall!U7+V12)/(1+U10),0)</f>
        <v>1150.76645332941</v>
      </c>
      <c r="V12" s="13" t="n">
        <f aca="false">IF(Time!V20&lt;=Time!$F$15,(Waterfall!V7+W12)/(1+V10),0)</f>
        <v>1139.4480240949</v>
      </c>
      <c r="W12" s="13" t="n">
        <f aca="false">IF(Time!W20&lt;=Time!$F$15,(Waterfall!W7+X12)/(1+W10),0)</f>
        <v>1127.53505905518</v>
      </c>
      <c r="X12" s="13" t="n">
        <f aca="false">IF(Time!X20&lt;=Time!$F$15,(Waterfall!X7+Y12)/(1+X10),0)</f>
        <v>1114.54875267936</v>
      </c>
      <c r="Y12" s="13" t="n">
        <f aca="false">IF(Time!Y20&lt;=Time!$F$15,(Waterfall!Y7+Z12)/(1+Y10),0)</f>
        <v>1100.99701423804</v>
      </c>
      <c r="Z12" s="13" t="n">
        <f aca="false">IF(Time!Z20&lt;=Time!$F$15,(Waterfall!Z7+AA12)/(1+Z10),0)</f>
        <v>1090.21660773795</v>
      </c>
      <c r="AA12" s="13" t="n">
        <f aca="false">IF(Time!AA20&lt;=Time!$F$15,(Waterfall!AA7+AB12)/(1+AA10),0)</f>
        <v>1078.98143577731</v>
      </c>
      <c r="AB12" s="13" t="n">
        <f aca="false">IF(Time!AB20&lt;=Time!$F$15,(Waterfall!AB7+AC12)/(1+AB10),0)</f>
        <v>1067.50446507639</v>
      </c>
      <c r="AC12" s="13" t="n">
        <f aca="false">IF(Time!AC20&lt;=Time!$F$15,(Waterfall!AC7+AD12)/(1+AC10),0)</f>
        <v>1055.28410129969</v>
      </c>
      <c r="AD12" s="13" t="n">
        <f aca="false">IF(Time!AD20&lt;=Time!$F$15,(Waterfall!AD7+AE12)/(1+AD10),0)</f>
        <v>1042.48296188936</v>
      </c>
      <c r="AE12" s="13" t="n">
        <f aca="false">IF(Time!AE20&lt;=Time!$F$15,(Waterfall!AE7+AF12)/(1+AE10),0)</f>
        <v>1028.73735639453</v>
      </c>
      <c r="AF12" s="13" t="n">
        <f aca="false">IF(Time!AF20&lt;=Time!$F$15,(Waterfall!AF7+AG12)/(1+AF10),0)</f>
        <v>1012.69742375591</v>
      </c>
      <c r="AG12" s="13" t="n">
        <f aca="false">IF(Time!AG20&lt;=Time!$F$15,(Waterfall!AG7+AH12)/(1+AG10),0)</f>
        <v>995.149712316189</v>
      </c>
      <c r="AH12" s="13" t="n">
        <f aca="false">IF(Time!AH20&lt;=Time!$F$15,(Waterfall!AH7+AI12)/(1+AH10),0)</f>
        <v>977.920536470025</v>
      </c>
      <c r="AI12" s="13" t="n">
        <f aca="false">IF(Time!AI20&lt;=Time!$F$15,(Waterfall!AI7+AJ12)/(1+AI10),0)</f>
        <v>959.220906320662</v>
      </c>
      <c r="AJ12" s="13" t="n">
        <f aca="false">IF(Time!AJ20&lt;=Time!$F$15,(Waterfall!AJ7+AK12)/(1+AJ10),0)</f>
        <v>939.11824185321</v>
      </c>
      <c r="AK12" s="13" t="n">
        <f aca="false">IF(Time!AK20&lt;=Time!$F$15,(Waterfall!AK7+AL12)/(1+AK10),0)</f>
        <v>916.957080363628</v>
      </c>
      <c r="AL12" s="13" t="n">
        <f aca="false">IF(Time!AL20&lt;=Time!$F$15,(Waterfall!AL7+AM12)/(1+AL10),0)</f>
        <v>892.576034530872</v>
      </c>
      <c r="AM12" s="13" t="n">
        <f aca="false">IF(Time!AM20&lt;=Time!$F$15,(Waterfall!AM7+AN12)/(1+AM10),0)</f>
        <v>864.237937874234</v>
      </c>
      <c r="AN12" s="13" t="n">
        <f aca="false">IF(Time!AN20&lt;=Time!$F$15,(Waterfall!AN7+AO12)/(1+AN10),0)</f>
        <v>834.662557413664</v>
      </c>
      <c r="AO12" s="13" t="n">
        <f aca="false">IF(Time!AO20&lt;=Time!$F$15,(Waterfall!AO7+AP12)/(1+AO10),0)</f>
        <v>803.831141652212</v>
      </c>
      <c r="AP12" s="13" t="n">
        <f aca="false">IF(Time!AP20&lt;=Time!$F$15,(Waterfall!AP7+AQ12)/(1+AP10),0)</f>
        <v>774.944460890741</v>
      </c>
      <c r="AQ12" s="13" t="n">
        <f aca="false">IF(Time!AQ20&lt;=Time!$F$15,(Waterfall!AQ7+AR12)/(1+AQ10),0)</f>
        <v>744.596237522312</v>
      </c>
      <c r="AR12" s="13" t="n">
        <f aca="false">IF(Time!AR20&lt;=Time!$F$15,(Waterfall!AR7+AS12)/(1+AR10),0)</f>
        <v>713.778974601953</v>
      </c>
      <c r="AS12" s="13" t="n">
        <f aca="false">IF(Time!AS20&lt;=Time!$F$15,(Waterfall!AS7+AT12)/(1+AS10),0)</f>
        <v>690.174414215221</v>
      </c>
      <c r="AT12" s="13" t="n">
        <f aca="false">IF(Time!AT20&lt;=Time!$F$15,(Waterfall!AT7+AU12)/(1+AT10),0)</f>
        <v>667.053595086656</v>
      </c>
      <c r="AU12" s="13" t="n">
        <f aca="false">IF(Time!AU20&lt;=Time!$F$15,(Waterfall!AU7+AV12)/(1+AU10),0)</f>
        <v>642.885284564422</v>
      </c>
      <c r="AV12" s="13" t="n">
        <f aca="false">IF(Time!AV20&lt;=Time!$F$15,(Waterfall!AV7+AW12)/(1+AV10),0)</f>
        <v>612.06286091688</v>
      </c>
      <c r="AW12" s="13" t="n">
        <f aca="false">IF(Time!AW20&lt;=Time!$F$15,(Waterfall!AW7+AX12)/(1+AW10),0)</f>
        <v>583.908891441014</v>
      </c>
      <c r="AX12" s="13" t="n">
        <f aca="false">IF(Time!AX20&lt;=Time!$F$15,(Waterfall!AX7+AY12)/(1+AX10),0)</f>
        <v>555.948363041412</v>
      </c>
      <c r="AY12" s="13" t="n">
        <f aca="false">IF(Time!AY20&lt;=Time!$F$15,(Waterfall!AY7+AZ12)/(1+AY10),0)</f>
        <v>526.571667111634</v>
      </c>
      <c r="AZ12" s="13" t="n">
        <f aca="false">IF(Time!AZ20&lt;=Time!$F$15,(Waterfall!AZ7+BA12)/(1+AZ10),0)</f>
        <v>496.80920353452</v>
      </c>
      <c r="BA12" s="13" t="n">
        <f aca="false">IF(Time!BA20&lt;=Time!$F$15,(Waterfall!BA7+BB12)/(1+BA10),0)</f>
        <v>465.606001362347</v>
      </c>
      <c r="BB12" s="13" t="n">
        <f aca="false">IF(Time!BB20&lt;=Time!$F$15,(Waterfall!BB7+BC12)/(1+BB10),0)</f>
        <v>433.944855262544</v>
      </c>
      <c r="BC12" s="13" t="n">
        <f aca="false">IF(Time!BC20&lt;=Time!$F$15,(Waterfall!BC7+BD12)/(1+BC10),0)</f>
        <v>400.889581944621</v>
      </c>
      <c r="BD12" s="13" t="n">
        <f aca="false">IF(Time!BD20&lt;=Time!$F$15,(Waterfall!BD7+BE12)/(1+BD10),0)</f>
        <v>365.508083999738</v>
      </c>
      <c r="BE12" s="13" t="n">
        <f aca="false">IF(Time!BE20&lt;=Time!$F$15,(Waterfall!BE7+BF12)/(1+BE10),0)</f>
        <v>331.650672082302</v>
      </c>
      <c r="BF12" s="13" t="n">
        <f aca="false">IF(Time!BF20&lt;=Time!$F$15,(Waterfall!BF7+BG12)/(1+BF10),0)</f>
        <v>304.301599723652</v>
      </c>
      <c r="BG12" s="13" t="n">
        <f aca="false">IF(Time!BG20&lt;=Time!$F$15,(Waterfall!BG7+BH12)/(1+BG10),0)</f>
        <v>275.526076393042</v>
      </c>
      <c r="BH12" s="13" t="n">
        <f aca="false">IF(Time!BH20&lt;=Time!$F$15,(Waterfall!BH7+BI12)/(1+BH10),0)</f>
        <v>246.387127709946</v>
      </c>
      <c r="BI12" s="13" t="n">
        <f aca="false">IF(Time!BI20&lt;=Time!$F$15,(Waterfall!BI7+BJ12)/(1+BI10),0)</f>
        <v>215.798939414499</v>
      </c>
      <c r="BJ12" s="13" t="n">
        <f aca="false">IF(Time!BJ20&lt;=Time!$F$15,(Waterfall!BJ7+BK12)/(1+BJ10),0)</f>
        <v>184.779674196</v>
      </c>
      <c r="BK12" s="13" t="n">
        <f aca="false">IF(Time!BK20&lt;=Time!$F$15,(Waterfall!BK7+BL12)/(1+BK10),0)</f>
        <v>152.31836506106</v>
      </c>
      <c r="BL12" s="13" t="n">
        <f aca="false">IF(Time!BL20&lt;=Time!$F$15,(Waterfall!BL7+BM12)/(1+BL10),0)</f>
        <v>111.728412757201</v>
      </c>
      <c r="BM12" s="13" t="n">
        <f aca="false">IF(Time!BM20&lt;=Time!$F$15,(Waterfall!BM7+BN12)/(1+BM10),0)</f>
        <v>74.2972642485251</v>
      </c>
      <c r="BN12" s="13" t="n">
        <f aca="false">IF(Time!BN20&lt;=Time!$F$15,(Waterfall!BN7+BO12)/(1+BN10),0)</f>
        <v>36.2498114826019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0</v>
      </c>
      <c r="Q13" s="6" t="n">
        <f aca="false">IF(Debt!Q115&gt;Inputs!$F$253,(Q11+Reserves!Q9)/Debt!Q115,0)</f>
        <v>1.34990102842376</v>
      </c>
      <c r="R13" s="6" t="n">
        <f aca="false">IF(Debt!R115&gt;Inputs!$F$253,(R11+Reserves!R9)/Debt!R115,0)</f>
        <v>1.35369529842055</v>
      </c>
      <c r="S13" s="6" t="n">
        <f aca="false">IF(Debt!S115&gt;Inputs!$F$253,(S11+Reserves!S9)/Debt!S115,0)</f>
        <v>1.35661843065437</v>
      </c>
      <c r="T13" s="6" t="n">
        <f aca="false">IF(Debt!T115&gt;Inputs!$F$253,(T11+Reserves!T9)/Debt!T115,0)</f>
        <v>1.36098386927049</v>
      </c>
      <c r="U13" s="6" t="n">
        <f aca="false">IF(Debt!U115&gt;Inputs!$F$253,(U11+Reserves!U9)/Debt!U115,0)</f>
        <v>1.36468819772259</v>
      </c>
      <c r="V13" s="6" t="n">
        <f aca="false">IF(Debt!V115&gt;Inputs!$F$253,(V11+Reserves!V9)/Debt!V115,0)</f>
        <v>1.37063401850577</v>
      </c>
      <c r="W13" s="6" t="n">
        <f aca="false">IF(Debt!W115&gt;Inputs!$F$253,(W11+Reserves!W9)/Debt!W115,0)</f>
        <v>1.37625908402592</v>
      </c>
      <c r="X13" s="6" t="n">
        <f aca="false">IF(Debt!X115&gt;Inputs!$F$253,(X11+Reserves!X9)/Debt!X115,0)</f>
        <v>1.37972479092416</v>
      </c>
      <c r="Y13" s="6" t="n">
        <f aca="false">IF(Debt!Y115&gt;Inputs!$F$253,(Y11+Reserves!Y9)/Debt!Y115,0)</f>
        <v>1.38091540364151</v>
      </c>
      <c r="Z13" s="6" t="n">
        <f aca="false">IF(Debt!Z115&gt;Inputs!$F$253,(Z11+Reserves!Z9)/Debt!Z115,0)</f>
        <v>1.3878061363184</v>
      </c>
      <c r="AA13" s="6" t="n">
        <f aca="false">IF(Debt!AA115&gt;Inputs!$F$253,(AA11+Reserves!AA9)/Debt!AA115,0)</f>
        <v>1.39401054365572</v>
      </c>
      <c r="AB13" s="6" t="n">
        <f aca="false">IF(Debt!AB115&gt;Inputs!$F$253,(AB11+Reserves!AB9)/Debt!AB115,0)</f>
        <v>1.41962245209202</v>
      </c>
      <c r="AC13" s="6" t="n">
        <f aca="false">IF(Debt!AC115&gt;Inputs!$F$253,(AC11+Reserves!AC9)/Debt!AC115,0)</f>
        <v>1.44852799070425</v>
      </c>
      <c r="AD13" s="6" t="n">
        <f aca="false">IF(Debt!AD115&gt;Inputs!$F$253,(AD11+Reserves!AD9)/Debt!AD115,0)</f>
        <v>1.48318051855293</v>
      </c>
      <c r="AE13" s="6" t="n">
        <f aca="false">IF(Debt!AE115&gt;Inputs!$F$253,(AE11+Reserves!AE9)/Debt!AE115,0)</f>
        <v>1.5258341966042</v>
      </c>
      <c r="AF13" s="6" t="n">
        <f aca="false">IF(Debt!AF115&gt;Inputs!$F$253,(AF11+Reserves!AF9)/Debt!AF115,0)</f>
        <v>1.57699399097708</v>
      </c>
      <c r="AG13" s="6" t="n">
        <f aca="false">IF(Debt!AG115&gt;Inputs!$F$253,(AG11+Reserves!AG9)/Debt!AG115,0)</f>
        <v>1.63986282272106</v>
      </c>
      <c r="AH13" s="6" t="n">
        <f aca="false">IF(Debt!AH115&gt;Inputs!$F$253,(AH11+Reserves!AH9)/Debt!AH115,0)</f>
        <v>1.72036891111819</v>
      </c>
      <c r="AI13" s="6" t="n">
        <f aca="false">IF(Debt!AI115&gt;Inputs!$F$253,(AI11+Reserves!AI9)/Debt!AI115,0)</f>
        <v>1.82911778438975</v>
      </c>
      <c r="AJ13" s="6" t="n">
        <f aca="false">IF(Debt!AJ115&gt;Inputs!$F$253,(AJ11+Reserves!AJ9)/Debt!AJ115,0)</f>
        <v>1.98266365620512</v>
      </c>
      <c r="AK13" s="6" t="n">
        <f aca="false">IF(Debt!AK115&gt;Inputs!$F$253,(AK11+Reserves!AK9)/Debt!AK115,0)</f>
        <v>2.22446682327746</v>
      </c>
      <c r="AL13" s="6" t="n">
        <f aca="false">IF(Debt!AL115&gt;Inputs!$F$253,(AL11+Reserves!AL9)/Debt!AL115,0)</f>
        <v>2.64703003039667</v>
      </c>
      <c r="AM13" s="6" t="n">
        <f aca="false">IF(Debt!AM115&gt;Inputs!$F$253,(AM11+Reserves!AM9)/Debt!AM115,0)</f>
        <v>2.79517089320939</v>
      </c>
      <c r="AN13" s="6" t="n">
        <f aca="false">IF(Debt!AN115&gt;Inputs!$F$253,(AN11+Reserves!AN9)/Debt!AN115,0)</f>
        <v>3.09754106676073</v>
      </c>
      <c r="AO13" s="6" t="n">
        <f aca="false">IF(Debt!AO115&gt;Inputs!$F$253,(AO11+Reserves!AO9)/Debt!AO115,0)</f>
        <v>3.54362455676073</v>
      </c>
      <c r="AP13" s="6" t="n">
        <f aca="false">IF(Debt!AP115&gt;Inputs!$F$253,(AP11+Reserves!AP9)/Debt!AP115,0)</f>
        <v>0</v>
      </c>
      <c r="AQ13" s="6" t="n">
        <f aca="false">IF(Debt!AQ115&gt;Inputs!$F$253,(AQ11+Reserves!AQ9)/Debt!AQ115,0)</f>
        <v>0</v>
      </c>
      <c r="AR13" s="6" t="n">
        <f aca="false">IF(Debt!AR115&gt;Inputs!$F$253,(AR11+Reserves!AR9)/Debt!AR115,0)</f>
        <v>0</v>
      </c>
      <c r="AS13" s="6" t="n">
        <f aca="false">IF(Debt!AS115&gt;Inputs!$F$253,(AS11+Reserves!AS9)/Debt!AS115,0)</f>
        <v>0</v>
      </c>
      <c r="AT13" s="6" t="n">
        <f aca="false">IF(Debt!AT115&gt;Inputs!$F$253,(AT11+Reserves!AT9)/Debt!AT115,0)</f>
        <v>0</v>
      </c>
      <c r="AU13" s="6" t="n">
        <f aca="false">IF(Debt!AU115&gt;Inputs!$F$253,(AU11+Reserves!AU9)/Debt!AU115,0)</f>
        <v>0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0</v>
      </c>
      <c r="Q14" s="6" t="n">
        <f aca="false">IF(Debt!Q115&gt;Inputs!$F$253,Q11/Debt!Q115,0)</f>
        <v>1.2897098323803</v>
      </c>
      <c r="R14" s="6" t="n">
        <f aca="false">IF(Debt!R115&gt;Inputs!$F$253,R11/Debt!R115,0)</f>
        <v>1.29109985663604</v>
      </c>
      <c r="S14" s="6" t="n">
        <f aca="false">IF(Debt!S115&gt;Inputs!$F$253,S11/Debt!S115,0)</f>
        <v>1.29271965230512</v>
      </c>
      <c r="T14" s="6" t="n">
        <f aca="false">IF(Debt!T115&gt;Inputs!$F$253,T11/Debt!T115,0)</f>
        <v>1.29437257551552</v>
      </c>
      <c r="U14" s="6" t="n">
        <f aca="false">IF(Debt!U115&gt;Inputs!$F$253,U11/Debt!U115,0)</f>
        <v>1.29620277075889</v>
      </c>
      <c r="V14" s="6" t="n">
        <f aca="false">IF(Debt!V115&gt;Inputs!$F$253,V11/Debt!V115,0)</f>
        <v>1.29835758077071</v>
      </c>
      <c r="W14" s="6" t="n">
        <f aca="false">IF(Debt!W115&gt;Inputs!$F$253,W11/Debt!W115,0)</f>
        <v>1.30167520829956</v>
      </c>
      <c r="X14" s="6" t="n">
        <f aca="false">IF(Debt!X115&gt;Inputs!$F$253,X11/Debt!X115,0)</f>
        <v>1.30422113952047</v>
      </c>
      <c r="Y14" s="6" t="n">
        <f aca="false">IF(Debt!Y115&gt;Inputs!$F$253,Y11/Debt!Y115,0)</f>
        <v>1.30295402120016</v>
      </c>
      <c r="Z14" s="6" t="n">
        <f aca="false">IF(Debt!Z115&gt;Inputs!$F$253,Z11/Debt!Z115,0)</f>
        <v>1.30567583842742</v>
      </c>
      <c r="AA14" s="6" t="n">
        <f aca="false">IF(Debt!AA115&gt;Inputs!$F$253,AA11/Debt!AA115,0)</f>
        <v>1.30857507706395</v>
      </c>
      <c r="AB14" s="6" t="n">
        <f aca="false">IF(Debt!AB115&gt;Inputs!$F$253,AB11/Debt!AB115,0)</f>
        <v>1.32753445769245</v>
      </c>
      <c r="AC14" s="6" t="n">
        <f aca="false">IF(Debt!AC115&gt;Inputs!$F$253,AC11/Debt!AC115,0)</f>
        <v>1.35129764187307</v>
      </c>
      <c r="AD14" s="6" t="n">
        <f aca="false">IF(Debt!AD115&gt;Inputs!$F$253,AD11/Debt!AD115,0)</f>
        <v>1.3759039289741</v>
      </c>
      <c r="AE14" s="6" t="n">
        <f aca="false">IF(Debt!AE115&gt;Inputs!$F$253,AE11/Debt!AE115,0)</f>
        <v>1.41005756016823</v>
      </c>
      <c r="AF14" s="6" t="n">
        <f aca="false">IF(Debt!AF115&gt;Inputs!$F$253,AF11/Debt!AF115,0)</f>
        <v>1.45045129344813</v>
      </c>
      <c r="AG14" s="6" t="n">
        <f aca="false">IF(Debt!AG115&gt;Inputs!$F$253,AG11/Debt!AG115,0)</f>
        <v>1.5013223274949</v>
      </c>
      <c r="AH14" s="6" t="n">
        <f aca="false">IF(Debt!AH115&gt;Inputs!$F$253,AH11/Debt!AH115,0)</f>
        <v>1.5641815801436</v>
      </c>
      <c r="AI14" s="6" t="n">
        <f aca="false">IF(Debt!AI115&gt;Inputs!$F$253,AI11/Debt!AI115,0)</f>
        <v>1.6520284092484</v>
      </c>
      <c r="AJ14" s="6" t="n">
        <f aca="false">IF(Debt!AJ115&gt;Inputs!$F$253,AJ11/Debt!AJ115,0)</f>
        <v>1.77311523275147</v>
      </c>
      <c r="AK14" s="6" t="n">
        <f aca="false">IF(Debt!AK115&gt;Inputs!$F$253,AK11/Debt!AK115,0)</f>
        <v>1.96791843818144</v>
      </c>
      <c r="AL14" s="6" t="n">
        <f aca="false">IF(Debt!AL115&gt;Inputs!$F$253,AL11/Debt!AL115,0)</f>
        <v>2.30369325278207</v>
      </c>
      <c r="AM14" s="6" t="n">
        <f aca="false">IF(Debt!AM115&gt;Inputs!$F$253,AM11/Debt!AM115,0)</f>
        <v>2.39245485322362</v>
      </c>
      <c r="AN14" s="6" t="n">
        <f aca="false">IF(Debt!AN115&gt;Inputs!$F$253,AN11/Debt!AN115,0)</f>
        <v>2.57397788139915</v>
      </c>
      <c r="AO14" s="6" t="n">
        <f aca="false">IF(Debt!AO115&gt;Inputs!$F$253,AO11/Debt!AO115,0)</f>
        <v>2.51653799295679</v>
      </c>
      <c r="AP14" s="6" t="n">
        <f aca="false">IF(Debt!AP115&gt;Inputs!$F$253,AP11/Debt!AP115,0)</f>
        <v>0</v>
      </c>
      <c r="AQ14" s="6" t="n">
        <f aca="false">IF(Debt!AQ115&gt;Inputs!$F$253,AQ11/Debt!AQ115,0)</f>
        <v>0</v>
      </c>
      <c r="AR14" s="6" t="n">
        <f aca="false">IF(Debt!AR115&gt;Inputs!$F$253,AR11/Debt!AR115,0)</f>
        <v>0</v>
      </c>
      <c r="AS14" s="6" t="n">
        <f aca="false">IF(Debt!AS115&gt;Inputs!$F$253,AS11/Debt!AS115,0)</f>
        <v>0</v>
      </c>
      <c r="AT14" s="6" t="n">
        <f aca="false">IF(Debt!AT115&gt;Inputs!$F$253,AT11/Debt!AT115,0)</f>
        <v>0</v>
      </c>
      <c r="AU14" s="6" t="n">
        <f aca="false">IF(Debt!AU115&gt;Inputs!$F$253,AU11/Debt!AU115,0)</f>
        <v>0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0</v>
      </c>
      <c r="Q15" s="6" t="n">
        <f aca="false">IF(Debt!Q115&gt;Inputs!$F$253,Q12/Debt!Q115,0)</f>
        <v>1.81204226648801</v>
      </c>
      <c r="R15" s="6" t="n">
        <f aca="false">IF(Debt!R115&gt;Inputs!$F$253,R12/Debt!R115,0)</f>
        <v>1.84571583217149</v>
      </c>
      <c r="S15" s="6" t="n">
        <f aca="false">IF(Debt!S115&gt;Inputs!$F$253,S12/Debt!S115,0)</f>
        <v>1.88305793556066</v>
      </c>
      <c r="T15" s="6" t="n">
        <f aca="false">IF(Debt!T115&gt;Inputs!$F$253,T12/Debt!T115,0)</f>
        <v>1.92359251076718</v>
      </c>
      <c r="U15" s="6" t="n">
        <f aca="false">IF(Debt!U115&gt;Inputs!$F$253,U12/Debt!U115,0)</f>
        <v>1.96872854014889</v>
      </c>
      <c r="V15" s="6" t="n">
        <f aca="false">IF(Debt!V115&gt;Inputs!$F$253,V12/Debt!V115,0)</f>
        <v>2.01857685327934</v>
      </c>
      <c r="W15" s="6" t="n">
        <f aca="false">IF(Debt!W115&gt;Inputs!$F$253,W12/Debt!W115,0)</f>
        <v>2.0759957066051</v>
      </c>
      <c r="X15" s="6" t="n">
        <f aca="false">IF(Debt!X115&gt;Inputs!$F$253,X12/Debt!X115,0)</f>
        <v>2.13873194982474</v>
      </c>
      <c r="Y15" s="6" t="n">
        <f aca="false">IF(Debt!Y115&gt;Inputs!$F$253,Y12/Debt!Y115,0)</f>
        <v>2.20317077495033</v>
      </c>
      <c r="Z15" s="6" t="n">
        <f aca="false">IF(Debt!Z115&gt;Inputs!$F$253,Z12/Debt!Z115,0)</f>
        <v>2.27921506710139</v>
      </c>
      <c r="AA15" s="6" t="n">
        <f aca="false">IF(Debt!AA115&gt;Inputs!$F$253,AA12/Debt!AA115,0)</f>
        <v>2.36597941750217</v>
      </c>
      <c r="AB15" s="6" t="n">
        <f aca="false">IF(Debt!AB115&gt;Inputs!$F$253,AB12/Debt!AB115,0)</f>
        <v>2.49346937842131</v>
      </c>
      <c r="AC15" s="6" t="n">
        <f aca="false">IF(Debt!AC115&gt;Inputs!$F$253,AC12/Debt!AC115,0)</f>
        <v>2.64826575266896</v>
      </c>
      <c r="AD15" s="6" t="n">
        <f aca="false">IF(Debt!AD115&gt;Inputs!$F$253,AD12/Debt!AD115,0)</f>
        <v>2.82563950532431</v>
      </c>
      <c r="AE15" s="6" t="n">
        <f aca="false">IF(Debt!AE115&gt;Inputs!$F$253,AE12/Debt!AE115,0)</f>
        <v>3.05274484818721</v>
      </c>
      <c r="AF15" s="6" t="n">
        <f aca="false">IF(Debt!AF115&gt;Inputs!$F$253,AF12/Debt!AF115,0)</f>
        <v>3.33744138706634</v>
      </c>
      <c r="AG15" s="6" t="n">
        <f aca="false">IF(Debt!AG115&gt;Inputs!$F$253,AG12/Debt!AG115,0)</f>
        <v>3.70845239616342</v>
      </c>
      <c r="AH15" s="6" t="n">
        <f aca="false">IF(Debt!AH115&gt;Inputs!$F$253,AH12/Debt!AH115,0)</f>
        <v>4.1881434601493</v>
      </c>
      <c r="AI15" s="6" t="n">
        <f aca="false">IF(Debt!AI115&gt;Inputs!$F$253,AI12/Debt!AI115,0)</f>
        <v>4.86754777724426</v>
      </c>
      <c r="AJ15" s="6" t="n">
        <f aca="false">IF(Debt!AJ115&gt;Inputs!$F$253,AJ12/Debt!AJ115,0)</f>
        <v>5.85305304956937</v>
      </c>
      <c r="AK15" s="6" t="n">
        <f aca="false">IF(Debt!AK115&gt;Inputs!$F$253,AK12/Debt!AK115,0)</f>
        <v>7.48066680723259</v>
      </c>
      <c r="AL15" s="6" t="n">
        <f aca="false">IF(Debt!AL115&gt;Inputs!$F$253,AL12/Debt!AL115,0)</f>
        <v>10.4690432503796</v>
      </c>
      <c r="AM15" s="6" t="n">
        <f aca="false">IF(Debt!AM115&gt;Inputs!$F$253,AM12/Debt!AM115,0)</f>
        <v>13.8667653113241</v>
      </c>
      <c r="AN15" s="6" t="n">
        <f aca="false">IF(Debt!AN115&gt;Inputs!$F$253,AN12/Debt!AN115,0)</f>
        <v>21.4491644106437</v>
      </c>
      <c r="AO15" s="6" t="n">
        <f aca="false">IF(Debt!AO115&gt;Inputs!$F$253,AO12/Debt!AO115,0)</f>
        <v>41.012166944288</v>
      </c>
      <c r="AP15" s="6" t="n">
        <f aca="false">IF(Debt!AP115&gt;Inputs!$F$253,AP12/Debt!AP115,0)</f>
        <v>0</v>
      </c>
      <c r="AQ15" s="6" t="n">
        <f aca="false">IF(Debt!AQ115&gt;Inputs!$F$253,AQ12/Debt!AQ115,0)</f>
        <v>0</v>
      </c>
      <c r="AR15" s="6" t="n">
        <f aca="false">IF(Debt!AR115&gt;Inputs!$F$253,AR12/Debt!AR115,0)</f>
        <v>0</v>
      </c>
      <c r="AS15" s="6" t="n">
        <f aca="false">IF(Debt!AS115&gt;Inputs!$F$253,AS12/Debt!AS115,0)</f>
        <v>0</v>
      </c>
      <c r="AT15" s="6" t="n">
        <f aca="false">IF(Debt!AT115&gt;Inputs!$F$253,AT12/Debt!AT115,0)</f>
        <v>0</v>
      </c>
      <c r="AU15" s="6" t="n">
        <f aca="false">IF(Debt!AU115&gt;Inputs!$F$253,AU12/Debt!AU115,0)</f>
        <v>0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1.25419186640688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1.44735674902182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1.34990102842376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1.81204226648801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1180.32347095561</v>
      </c>
      <c r="J8" s="13" t="n">
        <f aca="false">-Inputs!$F$68</f>
        <v>-14.2</v>
      </c>
      <c r="K8" s="13" t="n">
        <f aca="false">-Funding!J68</f>
        <v>-17.4523333259077</v>
      </c>
      <c r="L8" s="13" t="n">
        <f aca="false">-Funding!K68</f>
        <v>-0.650619894494443</v>
      </c>
      <c r="M8" s="13" t="n">
        <f aca="false">-Funding!L68</f>
        <v>-0.828920120281372</v>
      </c>
      <c r="N8" s="13" t="n">
        <f aca="false">-Funding!M68</f>
        <v>-1.17060534952821</v>
      </c>
      <c r="O8" s="13" t="n">
        <f aca="false">-Funding!N68</f>
        <v>-1.6847689488543</v>
      </c>
      <c r="P8" s="13" t="n">
        <f aca="false">-Funding!O68</f>
        <v>-2.32070707212229</v>
      </c>
      <c r="Q8" s="13" t="n">
        <f aca="false">-Funding!P68</f>
        <v>-3.02607158867241</v>
      </c>
      <c r="R8" s="13" t="n">
        <f aca="false">-Funding!Q68</f>
        <v>-3.84111776142731</v>
      </c>
      <c r="S8" s="13" t="n">
        <f aca="false">-Funding!R68</f>
        <v>-4.65265422012123</v>
      </c>
      <c r="T8" s="13" t="n">
        <f aca="false">-Funding!S68</f>
        <v>-5.47939885583676</v>
      </c>
      <c r="U8" s="13" t="n">
        <f aca="false">-Funding!T68</f>
        <v>-6.25269674945551</v>
      </c>
      <c r="V8" s="13" t="n">
        <f aca="false">-Funding!U68</f>
        <v>-6.99452738617733</v>
      </c>
      <c r="W8" s="13" t="n">
        <f aca="false">-Funding!V68</f>
        <v>-7.64655983539785</v>
      </c>
      <c r="X8" s="13" t="n">
        <f aca="false">-Funding!W68</f>
        <v>-8.18860163226564</v>
      </c>
      <c r="Y8" s="13" t="n">
        <f aca="false">-Funding!X68</f>
        <v>-8.63767355709461</v>
      </c>
      <c r="Z8" s="13" t="n">
        <f aca="false">-Funding!Y68</f>
        <v>-8.93636883352236</v>
      </c>
      <c r="AA8" s="13" t="n">
        <f aca="false">-Funding!Z68</f>
        <v>-9.12379607526444</v>
      </c>
      <c r="AB8" s="13" t="n">
        <f aca="false">-Funding!AA68</f>
        <v>-9.4642244698474</v>
      </c>
      <c r="AC8" s="13" t="n">
        <f aca="false">-Funding!AB68</f>
        <v>-9.02743035242129</v>
      </c>
      <c r="AD8" s="13" t="n">
        <f aca="false">-Funding!AC68</f>
        <v>-8.81332304786893</v>
      </c>
      <c r="AE8" s="13" t="n">
        <f aca="false">-Funding!AD68</f>
        <v>-8.42487903075477</v>
      </c>
      <c r="AF8" s="13" t="n">
        <f aca="false">-Funding!AE68</f>
        <v>-7.94926768014383</v>
      </c>
      <c r="AG8" s="13" t="n">
        <f aca="false">-Funding!AF68</f>
        <v>-7.3374554562592</v>
      </c>
      <c r="AH8" s="13" t="n">
        <f aca="false">-Funding!AG68</f>
        <v>-6.67554951491576</v>
      </c>
      <c r="AI8" s="13" t="n">
        <f aca="false">-Funding!AH68</f>
        <v>-5.93353021295238</v>
      </c>
      <c r="AJ8" s="13" t="n">
        <f aca="false">-Funding!AI68</f>
        <v>-5.1363627394417</v>
      </c>
      <c r="AK8" s="13" t="n">
        <f aca="false">-Funding!AJ68</f>
        <v>-4.36733045623116</v>
      </c>
      <c r="AL8" s="13" t="n">
        <f aca="false">-Funding!AK68</f>
        <v>-3.58398178596361</v>
      </c>
      <c r="AM8" s="13" t="n">
        <f aca="false">-Funding!AL68</f>
        <v>-2.89403910419691</v>
      </c>
      <c r="AN8" s="13" t="n">
        <f aca="false">-Funding!AM68</f>
        <v>-2.27589806728741</v>
      </c>
      <c r="AO8" s="13" t="n">
        <f aca="false">-Funding!AN68</f>
        <v>-1.72237207880343</v>
      </c>
      <c r="AP8" s="13" t="n">
        <f aca="false">-Funding!AO68</f>
        <v>-1.43861737593699</v>
      </c>
      <c r="AQ8" s="13" t="n">
        <f aca="false">-Funding!AP68</f>
        <v>-1.25429469151466</v>
      </c>
      <c r="AR8" s="13" t="n">
        <f aca="false">-Funding!AQ68</f>
        <v>-1.25742495104635</v>
      </c>
      <c r="AS8" s="13" t="n">
        <f aca="false">-Funding!AR68</f>
        <v>-1.24120862563906</v>
      </c>
      <c r="AT8" s="13" t="n">
        <f aca="false">-Funding!AS68</f>
        <v>-1.29066074267882</v>
      </c>
      <c r="AU8" s="13" t="n">
        <f aca="false">-Funding!AT68</f>
        <v>-1.29472209007219</v>
      </c>
      <c r="AV8" s="13" t="n">
        <f aca="false">-Funding!AU68</f>
        <v>-1.26879985132176</v>
      </c>
      <c r="AW8" s="13" t="n">
        <f aca="false">-Funding!AV68</f>
        <v>-14.126810348383</v>
      </c>
      <c r="AX8" s="13" t="n">
        <f aca="false">-Funding!AW68</f>
        <v>-11.4966636580586</v>
      </c>
      <c r="AY8" s="13" t="n">
        <f aca="false">-Funding!AX68</f>
        <v>-1.04841561991132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0</v>
      </c>
      <c r="BS8" s="18" t="n">
        <f aca="false">Waterfall!Q44</f>
        <v>11.9411377585296</v>
      </c>
      <c r="BT8" s="18" t="n">
        <f aca="false">Waterfall!R44</f>
        <v>10.9811262587414</v>
      </c>
      <c r="BU8" s="18" t="n">
        <f aca="false">Waterfall!S44</f>
        <v>10.1937583240623</v>
      </c>
      <c r="BV8" s="18" t="n">
        <f aca="false">Waterfall!T44</f>
        <v>10.9709652187198</v>
      </c>
      <c r="BW8" s="18" t="n">
        <f aca="false">Waterfall!U44</f>
        <v>9.87364592414637</v>
      </c>
      <c r="BX8" s="18" t="n">
        <f aca="false">Waterfall!V44</f>
        <v>10.6606330335929</v>
      </c>
      <c r="BY8" s="18" t="n">
        <f aca="false">Waterfall!W44</f>
        <v>12.055536140849</v>
      </c>
      <c r="BZ8" s="18" t="n">
        <f aca="false">Waterfall!X44</f>
        <v>12.9904257519621</v>
      </c>
      <c r="CA8" s="18" t="n">
        <f aca="false">Waterfall!Y44</f>
        <v>10.1756209089765</v>
      </c>
      <c r="CB8" s="18" t="n">
        <f aca="false">Waterfall!Z44</f>
        <v>11.0097969556862</v>
      </c>
      <c r="CC8" s="18" t="n">
        <f aca="false">Waterfall!AA44</f>
        <v>4.97968731941094</v>
      </c>
      <c r="CD8" s="18" t="n">
        <f aca="false">Waterfall!AB44</f>
        <v>5.87910907101877</v>
      </c>
      <c r="CE8" s="18" t="n">
        <f aca="false">Waterfall!AC44</f>
        <v>5.3541250244998</v>
      </c>
      <c r="CF8" s="18" t="n">
        <f aca="false">Waterfall!AD44</f>
        <v>5.91338598779726</v>
      </c>
      <c r="CG8" s="18" t="n">
        <f aca="false">Waterfall!AE44</f>
        <v>6.86569944577716</v>
      </c>
      <c r="CH8" s="18" t="n">
        <f aca="false">Waterfall!AF44</f>
        <v>8.07717524116026</v>
      </c>
      <c r="CI8" s="18" t="n">
        <f aca="false">Waterfall!AG44</f>
        <v>8.13714505920316</v>
      </c>
      <c r="CJ8" s="18" t="n">
        <f aca="false">Waterfall!AH44</f>
        <v>9.32475500558314</v>
      </c>
      <c r="CK8" s="18" t="n">
        <f aca="false">Waterfall!AI44</f>
        <v>9.97184714188098</v>
      </c>
      <c r="CL8" s="18" t="n">
        <f aca="false">Waterfall!AJ44</f>
        <v>11.5769808783277</v>
      </c>
      <c r="CM8" s="18" t="n">
        <f aca="false">Waterfall!AK44</f>
        <v>13.2550622689768</v>
      </c>
      <c r="CN8" s="18" t="n">
        <f aca="false">Waterfall!AL44</f>
        <v>31.568224776146</v>
      </c>
      <c r="CO8" s="18" t="n">
        <f aca="false">Waterfall!AM44</f>
        <v>32.6109283341595</v>
      </c>
      <c r="CP8" s="18" t="n">
        <f aca="false">Waterfall!AN44</f>
        <v>33.4365211945138</v>
      </c>
      <c r="CQ8" s="18" t="n">
        <f aca="false">Waterfall!AO44</f>
        <v>50.6597042674252</v>
      </c>
      <c r="CR8" s="18" t="n">
        <f aca="false">Waterfall!AP44</f>
        <v>51.3388059528544</v>
      </c>
      <c r="CS8" s="18" t="n">
        <f aca="false">Waterfall!AQ44</f>
        <v>50.9858164161793</v>
      </c>
      <c r="CT8" s="18" t="n">
        <f aca="false">Waterfall!AR44</f>
        <v>42.9383801241977</v>
      </c>
      <c r="CU8" s="18" t="n">
        <f aca="false">Waterfall!AS44</f>
        <v>41.8152724350504</v>
      </c>
      <c r="CV8" s="18" t="n">
        <f aca="false">Waterfall!AT44</f>
        <v>42.2365002861952</v>
      </c>
      <c r="CW8" s="18" t="n">
        <f aca="false">Waterfall!AU44</f>
        <v>48.2359769265088</v>
      </c>
      <c r="CX8" s="18" t="n">
        <f aca="false">Waterfall!AV44</f>
        <v>44.7326492101122</v>
      </c>
      <c r="CY8" s="18" t="n">
        <f aca="false">Waterfall!AW44</f>
        <v>43.776613843306</v>
      </c>
      <c r="CZ8" s="18" t="n">
        <f aca="false">Waterfall!AX44</f>
        <v>44.4354267369936</v>
      </c>
      <c r="DA8" s="18" t="n">
        <f aca="false">Waterfall!AY44</f>
        <v>44.0254806356794</v>
      </c>
      <c r="DB8" s="18" t="n">
        <f aca="false">Waterfall!AZ44</f>
        <v>44.6600563620943</v>
      </c>
      <c r="DC8" s="18" t="n">
        <f aca="false">Waterfall!BA44</f>
        <v>44.2728127632001</v>
      </c>
      <c r="DD8" s="18" t="n">
        <f aca="false">Waterfall!BB44</f>
        <v>44.3089649091678</v>
      </c>
      <c r="DE8" s="18" t="n">
        <f aca="false">Waterfall!BC44</f>
        <v>44.7226461112184</v>
      </c>
      <c r="DF8" s="18" t="n">
        <f aca="false">Waterfall!BD44</f>
        <v>42.2235943953032</v>
      </c>
      <c r="DG8" s="18" t="n">
        <f aca="false">Waterfall!BE44</f>
        <v>34.7813897676701</v>
      </c>
      <c r="DH8" s="18" t="n">
        <f aca="false">Waterfall!BF44</f>
        <v>35.4500806045936</v>
      </c>
      <c r="DI8" s="18" t="n">
        <f aca="false">Waterfall!BG44</f>
        <v>35.0169225370277</v>
      </c>
      <c r="DJ8" s="18" t="n">
        <f aca="false">Waterfall!BH44</f>
        <v>35.6595471247633</v>
      </c>
      <c r="DK8" s="18" t="n">
        <f aca="false">Waterfall!BI44</f>
        <v>35.2445643883681</v>
      </c>
      <c r="DL8" s="18" t="n">
        <f aca="false">Waterfall!BJ44</f>
        <v>35.8286804636831</v>
      </c>
      <c r="DM8" s="18" t="n">
        <f aca="false">Waterfall!BK44</f>
        <v>43.0601418896222</v>
      </c>
      <c r="DN8" s="18" t="n">
        <f aca="false">Waterfall!BL44</f>
        <v>38.7837833311665</v>
      </c>
      <c r="DO8" s="18" t="n">
        <f aca="false">Waterfall!BM44</f>
        <v>38.3678958128591</v>
      </c>
      <c r="DP8" s="18" t="n">
        <f aca="false">Waterfall!BN44</f>
        <v>55.3691537947186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1625.43396403942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-1.40755141856459</v>
      </c>
      <c r="M9" s="13" t="n">
        <f aca="false">-Construction!L32</f>
        <v>-2.04139650947368</v>
      </c>
      <c r="N9" s="13" t="n">
        <f aca="false">-Construction!M32</f>
        <v>-3.34371627674641</v>
      </c>
      <c r="O9" s="13" t="n">
        <f aca="false">-Construction!N32</f>
        <v>-5.23288384038278</v>
      </c>
      <c r="P9" s="13" t="n">
        <f aca="false">-Construction!O32</f>
        <v>-7.59511627674641</v>
      </c>
      <c r="Q9" s="13" t="n">
        <f aca="false">-Construction!P32</f>
        <v>-10.3048813385646</v>
      </c>
      <c r="R9" s="13" t="n">
        <f aca="false">-Construction!Q32</f>
        <v>-13.23602839311</v>
      </c>
      <c r="S9" s="13" t="n">
        <f aca="false">-Construction!R32</f>
        <v>-16.2642619640191</v>
      </c>
      <c r="T9" s="13" t="n">
        <f aca="false">-Construction!S32</f>
        <v>-19.2733255858373</v>
      </c>
      <c r="U9" s="13" t="n">
        <f aca="false">-Construction!T32</f>
        <v>-22.1550018040191</v>
      </c>
      <c r="V9" s="13" t="n">
        <f aca="false">-Construction!U32</f>
        <v>-24.8128224876555</v>
      </c>
      <c r="W9" s="13" t="n">
        <f aca="false">-Construction!V32</f>
        <v>-27.1614504440191</v>
      </c>
      <c r="X9" s="13" t="n">
        <f aca="false">-Construction!W32</f>
        <v>-29.1279161894737</v>
      </c>
      <c r="Y9" s="13" t="n">
        <f aca="false">-Construction!X32</f>
        <v>-30.655328262201</v>
      </c>
      <c r="Z9" s="13" t="n">
        <f aca="false">-Construction!Y32</f>
        <v>-31.6979261385646</v>
      </c>
      <c r="AA9" s="13" t="n">
        <f aca="false">-Construction!Z32</f>
        <v>-32.226645702201</v>
      </c>
      <c r="AB9" s="13" t="n">
        <f aca="false">-Construction!AA32</f>
        <v>-33.369645702201</v>
      </c>
      <c r="AC9" s="13" t="n">
        <f aca="false">-Construction!AB32</f>
        <v>-31.6979261385646</v>
      </c>
      <c r="AD9" s="13" t="n">
        <f aca="false">-Construction!AC32</f>
        <v>-30.655328262201</v>
      </c>
      <c r="AE9" s="13" t="n">
        <f aca="false">-Construction!AD32</f>
        <v>-29.1279161894737</v>
      </c>
      <c r="AF9" s="13" t="n">
        <f aca="false">-Construction!AE32</f>
        <v>-27.1614504440191</v>
      </c>
      <c r="AG9" s="13" t="n">
        <f aca="false">-Construction!AF32</f>
        <v>-24.8128224876555</v>
      </c>
      <c r="AH9" s="13" t="n">
        <f aca="false">-Construction!AG32</f>
        <v>-22.1550018040191</v>
      </c>
      <c r="AI9" s="13" t="n">
        <f aca="false">-Construction!AH32</f>
        <v>-19.2733255858373</v>
      </c>
      <c r="AJ9" s="13" t="n">
        <f aca="false">-Construction!AI32</f>
        <v>-16.2642619640191</v>
      </c>
      <c r="AK9" s="13" t="n">
        <f aca="false">-Construction!AJ32</f>
        <v>-13.23602839311</v>
      </c>
      <c r="AL9" s="13" t="n">
        <f aca="false">-Construction!AK32</f>
        <v>-10.3048813385646</v>
      </c>
      <c r="AM9" s="13" t="n">
        <f aca="false">-Construction!AL32</f>
        <v>-7.59511627674641</v>
      </c>
      <c r="AN9" s="13" t="n">
        <f aca="false">-Construction!AM32</f>
        <v>-5.23288384038278</v>
      </c>
      <c r="AO9" s="13" t="n">
        <f aca="false">-Construction!AN32</f>
        <v>-3.34371627674641</v>
      </c>
      <c r="AP9" s="13" t="n">
        <f aca="false">-Construction!AO32</f>
        <v>-2.04139650947368</v>
      </c>
      <c r="AQ9" s="13" t="n">
        <f aca="false">-Construction!AP32</f>
        <v>-1.40755141856459</v>
      </c>
      <c r="AR9" s="13" t="n">
        <f aca="false">-Construction!AQ32</f>
        <v>-1.34076578947368</v>
      </c>
      <c r="AS9" s="13" t="n">
        <f aca="false">-Construction!AR32</f>
        <v>-1.34076578947368</v>
      </c>
      <c r="AT9" s="13" t="n">
        <f aca="false">-Construction!AS32</f>
        <v>-1.34076578947368</v>
      </c>
      <c r="AU9" s="13" t="n">
        <f aca="false">-Construction!AT32</f>
        <v>-1.34076578947368</v>
      </c>
      <c r="AV9" s="13" t="n">
        <f aca="false">-Construction!AU32</f>
        <v>-1.34076578947368</v>
      </c>
      <c r="AW9" s="13" t="n">
        <f aca="false">-Construction!AV32</f>
        <v>-49.5787657894737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0</v>
      </c>
      <c r="BR9" s="18" t="n">
        <f aca="false">Waterfall!P7</f>
        <v>1.86721444482732</v>
      </c>
      <c r="BS9" s="18" t="n">
        <f aca="false">Waterfall!Q7</f>
        <v>50.1694349259804</v>
      </c>
      <c r="BT9" s="18" t="n">
        <f aca="false">Waterfall!R7</f>
        <v>50.7589649640819</v>
      </c>
      <c r="BU9" s="18" t="n">
        <f aca="false">Waterfall!S7</f>
        <v>50.4233190401177</v>
      </c>
      <c r="BV9" s="18" t="n">
        <f aca="false">Waterfall!T7</f>
        <v>51.0022495144261</v>
      </c>
      <c r="BW9" s="18" t="n">
        <f aca="false">Waterfall!U7</f>
        <v>50.6723125847848</v>
      </c>
      <c r="BX9" s="18" t="n">
        <f aca="false">Waterfall!V7</f>
        <v>51.1693558860182</v>
      </c>
      <c r="BY9" s="18" t="n">
        <f aca="false">Waterfall!W7</f>
        <v>51.4024493908331</v>
      </c>
      <c r="BZ9" s="18" t="n">
        <f aca="false">Waterfall!X7</f>
        <v>51.9502968022351</v>
      </c>
      <c r="CA9" s="18" t="n">
        <f aca="false">Waterfall!Y7</f>
        <v>49.460994216498</v>
      </c>
      <c r="CB9" s="18" t="n">
        <f aca="false">Waterfall!Z7</f>
        <v>49.9717937201414</v>
      </c>
      <c r="CC9" s="18" t="n">
        <f aca="false">Waterfall!AA7</f>
        <v>49.3840999040299</v>
      </c>
      <c r="CD9" s="18" t="n">
        <f aca="false">Waterfall!AB7</f>
        <v>49.9820197005408</v>
      </c>
      <c r="CE9" s="18" t="n">
        <f aca="false">Waterfall!AC7</f>
        <v>49.6443667431118</v>
      </c>
      <c r="CF9" s="18" t="n">
        <f aca="false">Waterfall!AD7</f>
        <v>50.2015579797273</v>
      </c>
      <c r="CG9" s="18" t="n">
        <f aca="false">Waterfall!AE7</f>
        <v>51.3752461862275</v>
      </c>
      <c r="CH9" s="18" t="n">
        <f aca="false">Waterfall!AF7</f>
        <v>52.3831778159556</v>
      </c>
      <c r="CI9" s="18" t="n">
        <f aca="false">Waterfall!AG7</f>
        <v>51.5272391835451</v>
      </c>
      <c r="CJ9" s="18" t="n">
        <f aca="false">Waterfall!AH7</f>
        <v>52.1805404506068</v>
      </c>
      <c r="CK9" s="18" t="n">
        <f aca="false">Waterfall!AI7</f>
        <v>51.828817762181</v>
      </c>
      <c r="CL9" s="18" t="n">
        <f aca="false">Waterfall!AJ7</f>
        <v>52.4490966240749</v>
      </c>
      <c r="CM9" s="18" t="n">
        <f aca="false">Waterfall!AK7</f>
        <v>52.1049530907206</v>
      </c>
      <c r="CN9" s="18" t="n">
        <f aca="false">Waterfall!AL7</f>
        <v>52.6514512471158</v>
      </c>
      <c r="CO9" s="18" t="n">
        <f aca="false">Waterfall!AM7</f>
        <v>52.9846165065847</v>
      </c>
      <c r="CP9" s="18" t="n">
        <f aca="false">Waterfall!AN7</f>
        <v>53.5672342650934</v>
      </c>
      <c r="CQ9" s="18" t="n">
        <f aca="false">Waterfall!AO7</f>
        <v>50.6597042674252</v>
      </c>
      <c r="CR9" s="18" t="n">
        <f aca="false">Waterfall!AP7</f>
        <v>51.3388059528544</v>
      </c>
      <c r="CS9" s="18" t="n">
        <f aca="false">Waterfall!AQ7</f>
        <v>50.9858164161793</v>
      </c>
      <c r="CT9" s="18" t="n">
        <f aca="false">Waterfall!AR7</f>
        <v>42.9383801241977</v>
      </c>
      <c r="CU9" s="18" t="n">
        <f aca="false">Waterfall!AS7</f>
        <v>41.8152724350504</v>
      </c>
      <c r="CV9" s="18" t="n">
        <f aca="false">Waterfall!AT7</f>
        <v>42.2365002861952</v>
      </c>
      <c r="CW9" s="18" t="n">
        <f aca="false">Waterfall!AU7</f>
        <v>48.2359769265088</v>
      </c>
      <c r="CX9" s="18" t="n">
        <f aca="false">Waterfall!AV7</f>
        <v>44.7326492101122</v>
      </c>
      <c r="CY9" s="18" t="n">
        <f aca="false">Waterfall!AW7</f>
        <v>43.776613843306</v>
      </c>
      <c r="CZ9" s="18" t="n">
        <f aca="false">Waterfall!AX7</f>
        <v>44.4354267369936</v>
      </c>
      <c r="DA9" s="18" t="n">
        <f aca="false">Waterfall!AY7</f>
        <v>44.0254806356794</v>
      </c>
      <c r="DB9" s="18" t="n">
        <f aca="false">Waterfall!AZ7</f>
        <v>44.6600563620943</v>
      </c>
      <c r="DC9" s="18" t="n">
        <f aca="false">Waterfall!BA7</f>
        <v>44.2728127632001</v>
      </c>
      <c r="DD9" s="18" t="n">
        <f aca="false">Waterfall!BB7</f>
        <v>44.8093483273826</v>
      </c>
      <c r="DE9" s="18" t="n">
        <f aca="false">Waterfall!BC7</f>
        <v>46.2402191845607</v>
      </c>
      <c r="DF9" s="18" t="n">
        <f aca="false">Waterfall!BD7</f>
        <v>43.7577699555498</v>
      </c>
      <c r="DG9" s="18" t="n">
        <f aca="false">Waterfall!BE7</f>
        <v>36.3323494486259</v>
      </c>
      <c r="DH9" s="18" t="n">
        <f aca="false">Waterfall!BF7</f>
        <v>37.0180080271656</v>
      </c>
      <c r="DI9" s="18" t="n">
        <f aca="false">Waterfall!BG7</f>
        <v>36.6020033309645</v>
      </c>
      <c r="DJ9" s="18" t="n">
        <f aca="false">Waterfall!BH7</f>
        <v>37.2619689506319</v>
      </c>
      <c r="DK9" s="18" t="n">
        <f aca="false">Waterfall!BI7</f>
        <v>36.8645169597715</v>
      </c>
      <c r="DL9" s="18" t="n">
        <f aca="false">Waterfall!BJ7</f>
        <v>37.4663555697208</v>
      </c>
      <c r="DM9" s="18" t="n">
        <f aca="false">Waterfall!BK7</f>
        <v>44.7157334175965</v>
      </c>
      <c r="DN9" s="18" t="n">
        <f aca="false">Waterfall!BL7</f>
        <v>40.457487289537</v>
      </c>
      <c r="DO9" s="18" t="n">
        <f aca="false">Waterfall!BM7</f>
        <v>40.0599103544488</v>
      </c>
      <c r="DP9" s="18" t="n">
        <f aca="false">Waterfall!BN7</f>
        <v>37.2316943142061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1911.37586436736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-1.40755141856459</v>
      </c>
      <c r="M10" s="13" t="n">
        <f aca="false">-Construction!L32</f>
        <v>-2.04139650947368</v>
      </c>
      <c r="N10" s="13" t="n">
        <f aca="false">-Construction!M32</f>
        <v>-3.34371627674641</v>
      </c>
      <c r="O10" s="13" t="n">
        <f aca="false">-Construction!N32</f>
        <v>-5.23288384038278</v>
      </c>
      <c r="P10" s="13" t="n">
        <f aca="false">-Construction!O32</f>
        <v>-7.59511627674641</v>
      </c>
      <c r="Q10" s="13" t="n">
        <f aca="false">-Construction!P32</f>
        <v>-10.3048813385646</v>
      </c>
      <c r="R10" s="13" t="n">
        <f aca="false">-Construction!Q32</f>
        <v>-13.23602839311</v>
      </c>
      <c r="S10" s="13" t="n">
        <f aca="false">-Construction!R32</f>
        <v>-16.2642619640191</v>
      </c>
      <c r="T10" s="13" t="n">
        <f aca="false">-Construction!S32</f>
        <v>-19.2733255858373</v>
      </c>
      <c r="U10" s="13" t="n">
        <f aca="false">-Construction!T32</f>
        <v>-22.1550018040191</v>
      </c>
      <c r="V10" s="13" t="n">
        <f aca="false">-Construction!U32</f>
        <v>-24.8128224876555</v>
      </c>
      <c r="W10" s="13" t="n">
        <f aca="false">-Construction!V32</f>
        <v>-27.1614504440191</v>
      </c>
      <c r="X10" s="13" t="n">
        <f aca="false">-Construction!W32</f>
        <v>-29.1279161894737</v>
      </c>
      <c r="Y10" s="13" t="n">
        <f aca="false">-Construction!X32</f>
        <v>-30.655328262201</v>
      </c>
      <c r="Z10" s="13" t="n">
        <f aca="false">-Construction!Y32</f>
        <v>-31.6979261385646</v>
      </c>
      <c r="AA10" s="13" t="n">
        <f aca="false">-Construction!Z32</f>
        <v>-32.226645702201</v>
      </c>
      <c r="AB10" s="13" t="n">
        <f aca="false">-Construction!AA32</f>
        <v>-33.369645702201</v>
      </c>
      <c r="AC10" s="13" t="n">
        <f aca="false">-Construction!AB32</f>
        <v>-31.6979261385646</v>
      </c>
      <c r="AD10" s="13" t="n">
        <f aca="false">-Construction!AC32</f>
        <v>-30.655328262201</v>
      </c>
      <c r="AE10" s="13" t="n">
        <f aca="false">-Construction!AD32</f>
        <v>-29.1279161894737</v>
      </c>
      <c r="AF10" s="13" t="n">
        <f aca="false">-Construction!AE32</f>
        <v>-27.1614504440191</v>
      </c>
      <c r="AG10" s="13" t="n">
        <f aca="false">-Construction!AF32</f>
        <v>-24.8128224876555</v>
      </c>
      <c r="AH10" s="13" t="n">
        <f aca="false">-Construction!AG32</f>
        <v>-22.1550018040191</v>
      </c>
      <c r="AI10" s="13" t="n">
        <f aca="false">-Construction!AH32</f>
        <v>-19.2733255858373</v>
      </c>
      <c r="AJ10" s="13" t="n">
        <f aca="false">-Construction!AI32</f>
        <v>-16.2642619640191</v>
      </c>
      <c r="AK10" s="13" t="n">
        <f aca="false">-Construction!AJ32</f>
        <v>-13.23602839311</v>
      </c>
      <c r="AL10" s="13" t="n">
        <f aca="false">-Construction!AK32</f>
        <v>-10.3048813385646</v>
      </c>
      <c r="AM10" s="13" t="n">
        <f aca="false">-Construction!AL32</f>
        <v>-7.59511627674641</v>
      </c>
      <c r="AN10" s="13" t="n">
        <f aca="false">-Construction!AM32</f>
        <v>-5.23288384038278</v>
      </c>
      <c r="AO10" s="13" t="n">
        <f aca="false">-Construction!AN32</f>
        <v>-3.34371627674641</v>
      </c>
      <c r="AP10" s="13" t="n">
        <f aca="false">-Construction!AO32</f>
        <v>-2.04139650947368</v>
      </c>
      <c r="AQ10" s="13" t="n">
        <f aca="false">-Construction!AP32</f>
        <v>-1.40755141856459</v>
      </c>
      <c r="AR10" s="13" t="n">
        <f aca="false">-Construction!AQ32</f>
        <v>-1.34076578947368</v>
      </c>
      <c r="AS10" s="13" t="n">
        <f aca="false">-Construction!AR32</f>
        <v>-1.34076578947368</v>
      </c>
      <c r="AT10" s="13" t="n">
        <f aca="false">-Construction!AS32</f>
        <v>-1.34076578947368</v>
      </c>
      <c r="AU10" s="13" t="n">
        <f aca="false">-Construction!AT32</f>
        <v>-1.34076578947368</v>
      </c>
      <c r="AV10" s="13" t="n">
        <f aca="false">-Construction!AU32</f>
        <v>-1.34076578947368</v>
      </c>
      <c r="AW10" s="13" t="n">
        <f aca="false">-Construction!AV32</f>
        <v>-49.5787657894737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0</v>
      </c>
      <c r="BR10" s="13" t="n">
        <f aca="false">Waterfall!P7+Tax!P27</f>
        <v>1.86721444482732</v>
      </c>
      <c r="BS10" s="13" t="n">
        <f aca="false">Waterfall!Q7+Tax!Q27</f>
        <v>50.1694349259804</v>
      </c>
      <c r="BT10" s="13" t="n">
        <f aca="false">Waterfall!R7+Tax!R27</f>
        <v>50.7589649640819</v>
      </c>
      <c r="BU10" s="13" t="n">
        <f aca="false">Waterfall!S7+Tax!S27</f>
        <v>50.4233190401177</v>
      </c>
      <c r="BV10" s="13" t="n">
        <f aca="false">Waterfall!T7+Tax!T27</f>
        <v>51.0022495144261</v>
      </c>
      <c r="BW10" s="13" t="n">
        <f aca="false">Waterfall!U7+Tax!U27</f>
        <v>50.6723125847848</v>
      </c>
      <c r="BX10" s="13" t="n">
        <f aca="false">Waterfall!V7+Tax!V27</f>
        <v>51.1693558860182</v>
      </c>
      <c r="BY10" s="13" t="n">
        <f aca="false">Waterfall!W7+Tax!W27</f>
        <v>51.4024493908331</v>
      </c>
      <c r="BZ10" s="13" t="n">
        <f aca="false">Waterfall!X7+Tax!X27</f>
        <v>51.9502968022351</v>
      </c>
      <c r="CA10" s="13" t="n">
        <f aca="false">Waterfall!Y7+Tax!Y27</f>
        <v>49.460994216498</v>
      </c>
      <c r="CB10" s="13" t="n">
        <f aca="false">Waterfall!Z7+Tax!Z27</f>
        <v>50.0903914918132</v>
      </c>
      <c r="CC10" s="13" t="n">
        <f aca="false">Waterfall!AA7+Tax!AA27</f>
        <v>49.741262059224</v>
      </c>
      <c r="CD10" s="13" t="n">
        <f aca="false">Waterfall!AB7+Tax!AB27</f>
        <v>50.3409763007287</v>
      </c>
      <c r="CE10" s="13" t="n">
        <f aca="false">Waterfall!AC7+Tax!AC27</f>
        <v>50.0052776162067</v>
      </c>
      <c r="CF10" s="13" t="n">
        <f aca="false">Waterfall!AD7+Tax!AD27</f>
        <v>50.563368302099</v>
      </c>
      <c r="CG10" s="13" t="n">
        <f aca="false">Waterfall!AE7+Tax!AE27</f>
        <v>51.7325320336533</v>
      </c>
      <c r="CH10" s="13" t="n">
        <f aca="false">Waterfall!AF7+Tax!AF27</f>
        <v>52.7476063432601</v>
      </c>
      <c r="CI10" s="13" t="n">
        <f aca="false">Waterfall!AG7+Tax!AG27</f>
        <v>51.8950463203738</v>
      </c>
      <c r="CJ10" s="13" t="n">
        <f aca="false">Waterfall!AH7+Tax!AH27</f>
        <v>52.5499716454015</v>
      </c>
      <c r="CK10" s="13" t="n">
        <f aca="false">Waterfall!AI7+Tax!AI27</f>
        <v>52.1997410525652</v>
      </c>
      <c r="CL10" s="13" t="n">
        <f aca="false">Waterfall!AJ7+Tax!AJ27</f>
        <v>52.821973597245</v>
      </c>
      <c r="CM10" s="13" t="n">
        <f aca="false">Waterfall!AK7+Tax!AK27</f>
        <v>52.4799571367726</v>
      </c>
      <c r="CN10" s="13" t="n">
        <f aca="false">Waterfall!AL7+Tax!AL27</f>
        <v>53.0277606816851</v>
      </c>
      <c r="CO10" s="13" t="n">
        <f aca="false">Waterfall!AM7+Tax!AM27</f>
        <v>53.3616922630188</v>
      </c>
      <c r="CP10" s="13" t="n">
        <f aca="false">Waterfall!AN7+Tax!AN27</f>
        <v>53.9467343041256</v>
      </c>
      <c r="CQ10" s="13" t="n">
        <f aca="false">Waterfall!AO7+Tax!AO27</f>
        <v>51.0422189695102</v>
      </c>
      <c r="CR10" s="13" t="n">
        <f aca="false">Waterfall!AP7+Tax!AP27</f>
        <v>51.7230900993886</v>
      </c>
      <c r="CS10" s="13" t="n">
        <f aca="false">Waterfall!AQ7+Tax!AQ27</f>
        <v>51.3717270109681</v>
      </c>
      <c r="CT10" s="13" t="n">
        <f aca="false">Waterfall!AR7+Tax!AR27</f>
        <v>52.0183590879784</v>
      </c>
      <c r="CU10" s="13" t="n">
        <f aca="false">Waterfall!AS7+Tax!AS27</f>
        <v>51.669415953588</v>
      </c>
      <c r="CV10" s="13" t="n">
        <f aca="false">Waterfall!AT7+Tax!AT27</f>
        <v>52.2908661632896</v>
      </c>
      <c r="CW10" s="13" t="n">
        <f aca="false">Waterfall!AU7+Tax!AU27</f>
        <v>53.8253318511153</v>
      </c>
      <c r="CX10" s="13" t="n">
        <f aca="false">Waterfall!AV7+Tax!AV27</f>
        <v>54.9104694089521</v>
      </c>
      <c r="CY10" s="13" t="n">
        <f aca="false">Waterfall!AW7+Tax!AW27</f>
        <v>53.9231129897648</v>
      </c>
      <c r="CZ10" s="13" t="n">
        <f aca="false">Waterfall!AX7+Tax!AX27</f>
        <v>54.6328352568461</v>
      </c>
      <c r="DA10" s="13" t="n">
        <f aca="false">Waterfall!AY7+Tax!AY27</f>
        <v>54.2803103678224</v>
      </c>
      <c r="DB10" s="13" t="n">
        <f aca="false">Waterfall!AZ7+Tax!AZ27</f>
        <v>54.9533824446912</v>
      </c>
      <c r="DC10" s="13" t="n">
        <f aca="false">Waterfall!BA7+Tax!BA27</f>
        <v>54.5968458972803</v>
      </c>
      <c r="DD10" s="13" t="n">
        <f aca="false">Waterfall!BB7+Tax!BB27</f>
        <v>55.2046845382451</v>
      </c>
      <c r="DE10" s="13" t="n">
        <f aca="false">Waterfall!BC7+Tax!BC27</f>
        <v>55.6593554839312</v>
      </c>
      <c r="DF10" s="13" t="n">
        <f aca="false">Waterfall!BD7+Tax!BD27</f>
        <v>56.287935219079</v>
      </c>
      <c r="DG10" s="13" t="n">
        <f aca="false">Waterfall!BE7+Tax!BE27</f>
        <v>52.8886658851121</v>
      </c>
      <c r="DH10" s="13" t="n">
        <f aca="false">Waterfall!BF7+Tax!BF27</f>
        <v>53.6298973204265</v>
      </c>
      <c r="DI10" s="13" t="n">
        <f aca="false">Waterfall!BG7+Tax!BG27</f>
        <v>53.2761838974868</v>
      </c>
      <c r="DJ10" s="13" t="n">
        <f aca="false">Waterfall!BH7+Tax!BH27</f>
        <v>53.9779093078791</v>
      </c>
      <c r="DK10" s="13" t="n">
        <f aca="false">Waterfall!BI7+Tax!BI27</f>
        <v>53.6130493418627</v>
      </c>
      <c r="DL10" s="13" t="n">
        <f aca="false">Waterfall!BJ7+Tax!BJ27</f>
        <v>54.3096782169848</v>
      </c>
      <c r="DM10" s="13" t="n">
        <f aca="false">Waterfall!BK7+Tax!BK27</f>
        <v>56.280122766645</v>
      </c>
      <c r="DN10" s="13" t="n">
        <f aca="false">Waterfall!BL7+Tax!BL27</f>
        <v>57.4478572106812</v>
      </c>
      <c r="DO10" s="13" t="n">
        <f aca="false">Waterfall!BM7+Tax!BM27</f>
        <v>57.0084549711701</v>
      </c>
      <c r="DP10" s="13" t="n">
        <f aca="false">Waterfall!BN7+Tax!BN27</f>
        <v>42.7829217886875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-31.6523333259076</v>
      </c>
      <c r="L11" s="13" t="n">
        <f aca="false">K11+L8</f>
        <v>-32.3029532204021</v>
      </c>
      <c r="M11" s="13" t="n">
        <f aca="false">L11+M8</f>
        <v>-33.1318733406835</v>
      </c>
      <c r="N11" s="13" t="n">
        <f aca="false">M11+N8</f>
        <v>-34.3024786902117</v>
      </c>
      <c r="O11" s="13" t="n">
        <f aca="false">N11+O8</f>
        <v>-35.987247639066</v>
      </c>
      <c r="P11" s="13" t="n">
        <f aca="false">O11+P8</f>
        <v>-38.3079547111883</v>
      </c>
      <c r="Q11" s="13" t="n">
        <f aca="false">P11+Q8</f>
        <v>-41.3340262998607</v>
      </c>
      <c r="R11" s="13" t="n">
        <f aca="false">Q11+R8</f>
        <v>-45.175144061288</v>
      </c>
      <c r="S11" s="13" t="n">
        <f aca="false">R11+S8</f>
        <v>-49.8277982814092</v>
      </c>
      <c r="T11" s="13" t="n">
        <f aca="false">S11+T8</f>
        <v>-55.307197137246</v>
      </c>
      <c r="U11" s="13" t="n">
        <f aca="false">T11+U8</f>
        <v>-61.5598938867015</v>
      </c>
      <c r="V11" s="13" t="n">
        <f aca="false">U11+V8</f>
        <v>-68.5544212728788</v>
      </c>
      <c r="W11" s="13" t="n">
        <f aca="false">V11+W8</f>
        <v>-76.2009811082767</v>
      </c>
      <c r="X11" s="13" t="n">
        <f aca="false">W11+X8</f>
        <v>-84.3895827405423</v>
      </c>
      <c r="Y11" s="13" t="n">
        <f aca="false">X11+Y8</f>
        <v>-93.0272562976369</v>
      </c>
      <c r="Z11" s="13" t="n">
        <f aca="false">Y11+Z8</f>
        <v>-101.963625131159</v>
      </c>
      <c r="AA11" s="13" t="n">
        <f aca="false">Z11+AA8</f>
        <v>-111.087421206424</v>
      </c>
      <c r="AB11" s="13" t="n">
        <f aca="false">AA11+AB8</f>
        <v>-120.551645676271</v>
      </c>
      <c r="AC11" s="13" t="n">
        <f aca="false">AB11+AC8</f>
        <v>-129.579076028692</v>
      </c>
      <c r="AD11" s="13" t="n">
        <f aca="false">AC11+AD8</f>
        <v>-138.392399076561</v>
      </c>
      <c r="AE11" s="13" t="n">
        <f aca="false">AD11+AE8</f>
        <v>-146.817278107316</v>
      </c>
      <c r="AF11" s="13" t="n">
        <f aca="false">AE11+AF8</f>
        <v>-154.76654578746</v>
      </c>
      <c r="AG11" s="13" t="n">
        <f aca="false">AF11+AG8</f>
        <v>-162.104001243719</v>
      </c>
      <c r="AH11" s="13" t="n">
        <f aca="false">AG11+AH8</f>
        <v>-168.779550758635</v>
      </c>
      <c r="AI11" s="13" t="n">
        <f aca="false">AH11+AI8</f>
        <v>-174.713080971587</v>
      </c>
      <c r="AJ11" s="13" t="n">
        <f aca="false">AI11+AJ8</f>
        <v>-179.849443711029</v>
      </c>
      <c r="AK11" s="13" t="n">
        <f aca="false">AJ11+AK8</f>
        <v>-184.21677416726</v>
      </c>
      <c r="AL11" s="13" t="n">
        <f aca="false">AK11+AL8</f>
        <v>-187.800755953224</v>
      </c>
      <c r="AM11" s="13" t="n">
        <f aca="false">AL11+AM8</f>
        <v>-190.694795057421</v>
      </c>
      <c r="AN11" s="13" t="n">
        <f aca="false">AM11+AN8</f>
        <v>-192.970693124708</v>
      </c>
      <c r="AO11" s="13" t="n">
        <f aca="false">AN11+AO8</f>
        <v>-194.693065203511</v>
      </c>
      <c r="AP11" s="13" t="n">
        <f aca="false">AO11+AP8</f>
        <v>-196.131682579448</v>
      </c>
      <c r="AQ11" s="13" t="n">
        <f aca="false">AP11+AQ8</f>
        <v>-197.385977270963</v>
      </c>
      <c r="AR11" s="13" t="n">
        <f aca="false">AQ11+AR8</f>
        <v>-198.643402222009</v>
      </c>
      <c r="AS11" s="13" t="n">
        <f aca="false">AR11+AS8</f>
        <v>-199.884610847649</v>
      </c>
      <c r="AT11" s="13" t="n">
        <f aca="false">AS11+AT8</f>
        <v>-201.175271590327</v>
      </c>
      <c r="AU11" s="13" t="n">
        <f aca="false">AT11+AU8</f>
        <v>-202.4699936804</v>
      </c>
      <c r="AV11" s="13" t="n">
        <f aca="false">AU11+AV8</f>
        <v>-203.738793531721</v>
      </c>
      <c r="AW11" s="13" t="n">
        <f aca="false">AV11+AW8</f>
        <v>-217.865603880104</v>
      </c>
      <c r="AX11" s="13" t="n">
        <f aca="false">AW11+AX8</f>
        <v>-229.362267538163</v>
      </c>
      <c r="AY11" s="13" t="n">
        <f aca="false">AX11+AY8</f>
        <v>-230.410683158074</v>
      </c>
      <c r="AZ11" s="13" t="n">
        <f aca="false">AY11+AZ8</f>
        <v>-230.410683158074</v>
      </c>
      <c r="BA11" s="13" t="n">
        <f aca="false">AZ11+BA8</f>
        <v>-230.410683158074</v>
      </c>
      <c r="BB11" s="13" t="n">
        <f aca="false">BA11+BB8</f>
        <v>-230.410683158074</v>
      </c>
      <c r="BC11" s="13" t="n">
        <f aca="false">BB11+BC8</f>
        <v>-230.410683158074</v>
      </c>
      <c r="BD11" s="13" t="n">
        <f aca="false">BC11+BD8</f>
        <v>-230.410683158074</v>
      </c>
      <c r="BE11" s="13" t="n">
        <f aca="false">BD11+BE8</f>
        <v>-230.410683158074</v>
      </c>
      <c r="BF11" s="13" t="n">
        <f aca="false">BE11+BF8</f>
        <v>-230.410683158074</v>
      </c>
      <c r="BG11" s="13" t="n">
        <f aca="false">BF11+BG8</f>
        <v>-230.410683158074</v>
      </c>
      <c r="BH11" s="13" t="n">
        <f aca="false">BG11+BH8</f>
        <v>-230.410683158074</v>
      </c>
      <c r="BI11" s="13" t="n">
        <f aca="false">BH11+BI8</f>
        <v>-230.410683158074</v>
      </c>
      <c r="BJ11" s="13" t="n">
        <f aca="false">BI11+BJ8</f>
        <v>-230.410683158074</v>
      </c>
      <c r="BK11" s="13" t="n">
        <f aca="false">BJ11+BK8</f>
        <v>-230.410683158074</v>
      </c>
      <c r="BL11" s="13" t="n">
        <f aca="false">BK11+BL8</f>
        <v>-230.410683158074</v>
      </c>
      <c r="BM11" s="13" t="n">
        <f aca="false">BL11+BM8</f>
        <v>-230.410683158074</v>
      </c>
      <c r="BN11" s="13" t="n">
        <f aca="false">BM11+BN8</f>
        <v>-230.410683158074</v>
      </c>
      <c r="BO11" s="13" t="n">
        <f aca="false">BN11+BO8</f>
        <v>-230.410683158074</v>
      </c>
      <c r="BP11" s="13" t="n">
        <f aca="false">BO11+BP8</f>
        <v>-230.410683158074</v>
      </c>
      <c r="BQ11" s="13" t="n">
        <f aca="false">BP11+BQ8</f>
        <v>-230.410683158074</v>
      </c>
      <c r="BR11" s="13" t="n">
        <f aca="false">BQ11+BR8</f>
        <v>-230.410683158074</v>
      </c>
      <c r="BS11" s="13" t="n">
        <f aca="false">BR11+BS8</f>
        <v>-218.469545399545</v>
      </c>
      <c r="BT11" s="13" t="n">
        <f aca="false">BS11+BT8</f>
        <v>-207.488419140803</v>
      </c>
      <c r="BU11" s="13" t="n">
        <f aca="false">BT11+BU8</f>
        <v>-197.294660816741</v>
      </c>
      <c r="BV11" s="13" t="n">
        <f aca="false">BU11+BV8</f>
        <v>-186.323695598021</v>
      </c>
      <c r="BW11" s="13" t="n">
        <f aca="false">BV11+BW8</f>
        <v>-176.450049673875</v>
      </c>
      <c r="BX11" s="13" t="n">
        <f aca="false">BW11+BX8</f>
        <v>-165.789416640282</v>
      </c>
      <c r="BY11" s="13" t="n">
        <f aca="false">BX11+BY8</f>
        <v>-153.733880499433</v>
      </c>
      <c r="BZ11" s="13" t="n">
        <f aca="false">BY11+BZ8</f>
        <v>-140.743454747471</v>
      </c>
      <c r="CA11" s="13" t="n">
        <f aca="false">BZ11+CA8</f>
        <v>-130.567833838494</v>
      </c>
      <c r="CB11" s="13" t="n">
        <f aca="false">CA11+CB8</f>
        <v>-119.558036882808</v>
      </c>
      <c r="CC11" s="13" t="n">
        <f aca="false">CB11+CC8</f>
        <v>-114.578349563397</v>
      </c>
      <c r="CD11" s="13" t="n">
        <f aca="false">CC11+CD8</f>
        <v>-108.699240492378</v>
      </c>
      <c r="CE11" s="13" t="n">
        <f aca="false">CD11+CE8</f>
        <v>-103.345115467879</v>
      </c>
      <c r="CF11" s="13" t="n">
        <f aca="false">CE11+CF8</f>
        <v>-97.4317294800813</v>
      </c>
      <c r="CG11" s="13" t="n">
        <f aca="false">CF11+CG8</f>
        <v>-90.5660300343042</v>
      </c>
      <c r="CH11" s="13" t="n">
        <f aca="false">CG11+CH8</f>
        <v>-82.4888547931439</v>
      </c>
      <c r="CI11" s="13" t="n">
        <f aca="false">CH11+CI8</f>
        <v>-74.3517097339407</v>
      </c>
      <c r="CJ11" s="13" t="n">
        <f aca="false">CI11+CJ8</f>
        <v>-65.0269547283576</v>
      </c>
      <c r="CK11" s="13" t="n">
        <f aca="false">CJ11+CK8</f>
        <v>-55.0551075864766</v>
      </c>
      <c r="CL11" s="13" t="n">
        <f aca="false">CK11+CL8</f>
        <v>-43.478126708149</v>
      </c>
      <c r="CM11" s="13" t="n">
        <f aca="false">CL11+CM8</f>
        <v>-30.2230644391721</v>
      </c>
      <c r="CN11" s="13" t="n">
        <f aca="false">CM11+CN8</f>
        <v>1.34516033697382</v>
      </c>
      <c r="CO11" s="13" t="n">
        <f aca="false">CN11+CO8</f>
        <v>33.9560886711333</v>
      </c>
      <c r="CP11" s="13" t="n">
        <f aca="false">CO11+CP8</f>
        <v>67.3926098656471</v>
      </c>
      <c r="CQ11" s="13" t="n">
        <f aca="false">CP11+CQ8</f>
        <v>118.052314133072</v>
      </c>
      <c r="CR11" s="13" t="n">
        <f aca="false">CQ11+CR8</f>
        <v>169.391120085927</v>
      </c>
      <c r="CS11" s="13" t="n">
        <f aca="false">CR11+CS8</f>
        <v>220.376936502106</v>
      </c>
      <c r="CT11" s="13" t="n">
        <f aca="false">CS11+CT8</f>
        <v>263.315316626304</v>
      </c>
      <c r="CU11" s="13" t="n">
        <f aca="false">CT11+CU8</f>
        <v>305.130589061354</v>
      </c>
      <c r="CV11" s="13" t="n">
        <f aca="false">CU11+CV8</f>
        <v>347.367089347549</v>
      </c>
      <c r="CW11" s="13" t="n">
        <f aca="false">CV11+CW8</f>
        <v>395.603066274058</v>
      </c>
      <c r="CX11" s="13" t="n">
        <f aca="false">CW11+CX8</f>
        <v>440.33571548417</v>
      </c>
      <c r="CY11" s="13" t="n">
        <f aca="false">CX11+CY8</f>
        <v>484.112329327476</v>
      </c>
      <c r="CZ11" s="13" t="n">
        <f aca="false">CY11+CZ8</f>
        <v>528.54775606447</v>
      </c>
      <c r="DA11" s="13" t="n">
        <f aca="false">CZ11+DA8</f>
        <v>572.573236700149</v>
      </c>
      <c r="DB11" s="13" t="n">
        <f aca="false">DA11+DB8</f>
        <v>617.233293062244</v>
      </c>
      <c r="DC11" s="13" t="n">
        <f aca="false">DB11+DC8</f>
        <v>661.506105825444</v>
      </c>
      <c r="DD11" s="13" t="n">
        <f aca="false">DC11+DD8</f>
        <v>705.815070734612</v>
      </c>
      <c r="DE11" s="13" t="n">
        <f aca="false">DD11+DE8</f>
        <v>750.53771684583</v>
      </c>
      <c r="DF11" s="13" t="n">
        <f aca="false">DE11+DF8</f>
        <v>792.761311241133</v>
      </c>
      <c r="DG11" s="13" t="n">
        <f aca="false">DF11+DG8</f>
        <v>827.542701008803</v>
      </c>
      <c r="DH11" s="13" t="n">
        <f aca="false">DG11+DH8</f>
        <v>862.992781613397</v>
      </c>
      <c r="DI11" s="13" t="n">
        <f aca="false">DH11+DI8</f>
        <v>898.009704150425</v>
      </c>
      <c r="DJ11" s="13" t="n">
        <f aca="false">DI11+DJ8</f>
        <v>933.669251275188</v>
      </c>
      <c r="DK11" s="13" t="n">
        <f aca="false">DJ11+DK8</f>
        <v>968.913815663556</v>
      </c>
      <c r="DL11" s="13" t="n">
        <f aca="false">DK11+DL8</f>
        <v>1004.74249612724</v>
      </c>
      <c r="DM11" s="13" t="n">
        <f aca="false">DL11+DM8</f>
        <v>1047.80263801686</v>
      </c>
      <c r="DN11" s="13" t="n">
        <f aca="false">DM11+DN8</f>
        <v>1086.58642134803</v>
      </c>
      <c r="DO11" s="13" t="n">
        <f aca="false">DN11+DO8</f>
        <v>1124.95431716089</v>
      </c>
      <c r="DP11" s="13" t="n">
        <f aca="false">DO11+DP8</f>
        <v>1180.32347095561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0.120686888761947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0.104405628455969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0.109446763015916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-66.214655582035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888.150681571343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657.739998413269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230.410683158074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84.407041052133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22.5895815874653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21.4094369483519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39.5901571901212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1.99840144432528E-013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6.66133814775094E-014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1.25419186640688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1.44735674902182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1.34990102842376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1.81204226648801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0.120686888761947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0.104405628455969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-66.214655582035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2026-10-03T21:37:12Z</dcterms:created>
  <dc:creator>openpyxl</dc:creator>
  <dc:description/>
  <dc:language>en-US</dc:language>
  <cp:lastModifiedBy/>
  <dcterms:modified xsi:type="dcterms:W3CDTF">2026-10-03T21:37:12Z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