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  <sheet name="AuditKey" sheetId="16" state="visible" r:id="rId18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<sst xmlns="http://schemas.openxmlformats.org/spreadsheetml/2006/main" count="3676" uniqueCount="2073">
  <si>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</si>
  <si>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</si>
  <si>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</si>
  <si>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</si>
  <si>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</si>
  <si>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</si>
  <si>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</si>
  <si>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</si>
  <si>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</si>
  <si>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</si>
  <si>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</si>
  <si>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</si>
  <si>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</si>
  <si>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</si>
  <si>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</si>
  <si>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</si>
  <si>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</si>
  <si>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</si>
  <si>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</si>
  <si>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</si>
  <si>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</si>
  <si>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</si>
  <si>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</si>
  <si>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</si>
  <si>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Master check (0 = all pass)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</si>
  <si>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</si>
  <si>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</si>
  <si>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</si>
  <si>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</si>
  <si>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</si>
  <si>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</si>
  <si>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Monte Carlo (Inputs F311): the draw table is pasted from case_p.py (seed 20180717, P-F42 parameters); the per-run results beside it are pasted from the mirror with a stamp (no native data table: one could not be generated and verified without macros).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</si>
  <si>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</si>
  <si>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</si>
  <si>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</si>
  <si>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</si>
  <si>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</si>
  <si>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</si>
  <si>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</si>
  <si>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</si>
  <si>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</si>
  <si>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</si>
  <si>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</si>
  <si>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</si>
  <si>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</si>
  <si>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</si>
  <si>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</si>
  <si>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</si>
  <si>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</si>
  <si>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</si>
  <si>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</si>
  <si>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</si>
  <si>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</si>
  <si>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</si>
  <si>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</si>
  <si>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</si>
  <si>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</si>
  <si>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</si>
  <si>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</si>
  <si>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</si>
  <si>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</si>
  <si>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</si>
  <si>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</si>
  <si>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</si>
  <si>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</si>
  <si>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</si>
  <si>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</si>
  <si>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</si>
  <si>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</si>
  <si>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</si>
  <si>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</si>
  <si>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</si>
  <si>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</si>
  <si>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</si>
  <si>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</si>
  <si>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</si>
  <si>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</si>
  <si>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</si>
  <si>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</si>
  <si>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</si>
  <si>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</si>
  <si>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</si>
  <si>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</si>
  <si>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</si>
  <si>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</si>
  <si>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</si>
  <si>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</si>
  <si>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</si>
  <si>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</si>
  <si>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</si>
  <si>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</si>
  <si>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</si>
  <si>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</si>
  <si>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</si>
  <si>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</si>
  <si>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</si>
  <si>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</si>
  <si>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</si>
  <si>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</si>
  <si>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</si>
  <si>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</si>
  <si>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</si>
  <si>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</si>
  <si>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</si>
  <si>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</si>
  <si>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</si>
  <si>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</si>
  <si>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</si>
  <si>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</si>
  <si>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</si>
  <si>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</si>
  <si>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</si>
  <si>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</si>
  <si>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</si>
  <si>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</si>
  <si>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</si>
  <si>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</si>
  <si>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</si>
  <si>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</si>
  <si>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</si>
  <si>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</si>
  <si>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</si>
  <si>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</si>
  <si>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</si>
  <si>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</si>
  <si>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</si>
  <si>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</si>
  <si>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</si>
  <si>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</si>
  <si>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</si>
  <si>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</si>
  <si>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</si>
  <si>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</si>
  <si>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</si>
  <si>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</si>
  <si>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</si>
  <si>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</si>
  <si>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</si>
  <si>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</si>
  <si>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</si>
  <si>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</si>
  <si>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</si>
  <si>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</si>
  <si>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</si>
  <si>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</si>
  <si>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</si>
  <si>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</si>
  <si>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</si>
  <si>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</si>
  <si>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</si>
  <si>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</si>
  <si>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</si>
  <si>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</si>
  <si>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</si>
  <si>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</si>
  <si>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</si>
  <si>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</si>
  <si>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</si>
  <si>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</si>
  <si>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</si>
  <si>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</si>
  <si>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</si>
  <si>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</si>
  <si>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</si>
  <si>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</si>
  <si>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</si>
  <si>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</si>
  <si>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</si>
  <si>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</si>
  <si>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</si>
  <si>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</si>
  <si>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</si>
  <si>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</si>
  <si>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</si>
  <si>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</si>
  <si>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</si>
  <si>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</si>
  <si>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</si>
  <si>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</si>
  <si>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</si>
  <si>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</si>
  <si>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</si>
  <si>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</si>
  <si>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</si>
  <si>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</si>
  <si>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</si>
  <si>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</si>
  <si>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</si>
  <si>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</si>
  <si>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</si>
  <si>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</si>
  <si>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</si>
  <si>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</si>
  <si>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</si>
  <si>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</si>
  <si>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</si>
  <si>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</si>
  <si>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</si>
  <si>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</si>
  <si>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</si>
  <si>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</si>
  <si>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</si>
  <si>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</si>
  <si>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</si>
  <si>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</si>
  <si>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</si>
  <si>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</si>
  <si>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</si>
  <si>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</si>
  <si>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</si>
  <si>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</si>
  <si>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</si>
  <si>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</si>
  <si>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</si>
  <si>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</si>
  <si>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</si>
  <si>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</si>
  <si>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</si>
  <si>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</si>
  <si>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</si>
  <si>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</si>
  <si>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</si>
  <si>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</si>
  <si>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</si>
  <si>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</si>
  <si>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</si>
  <si>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</si>
  <si>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</si>
  <si>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</si>
  <si>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</si>
  <si>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</si>
  <si>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</si>
  <si>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</si>
  <si>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</si>
  <si>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</si>
  <si>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</si>
  <si>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</si>
  <si>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</si>
  <si>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</si>
  <si>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</si>
  <si>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</si>
  <si>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</si>
  <si>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</si>
  <si>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</si>
  <si>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</si>
  <si>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</si>
  <si>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</si>
  <si>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</si>
  <si>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</si>
  <si>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</si>
  <si>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</si>
  <si>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</si>
  <si>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</si>
  <si>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</si>
  <si>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</si>
  <si>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</si>
  <si>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</si>
  <si>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</si>
  <si>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</si>
  <si>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</si>
  <si>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</si>
  <si>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</si>
  <si>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</si>
  <si>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</si>
  <si>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</si>
  <si>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</si>
  <si>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</si>
  <si>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</si>
  <si>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</si>
  <si>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</si>
  <si>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</si>
  <si>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</si>
  <si>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</si>
  <si>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</si>
  <si>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</si>
  <si>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</si>
  <si>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</si>
  <si>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</si>
  <si>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</si>
  <si>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</si>
  <si>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</si>
  <si>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</si>
  <si>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</si>
  <si>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</si>
  <si>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</si>
  <si>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</si>
  <si>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</si>
  <si>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</si>
  <si>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</si>
  <si>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</si>
  <si>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</si>
  <si>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</si>
  <si>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</si>
  <si>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</si>
  <si>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</si>
  <si>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</si>
  <si>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</si>
  <si>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</si>
  <si>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</si>
  <si>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</si>
  <si>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</si>
  <si>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</si>
  <si>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</si>
  <si>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</si>
  <si>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</si>
  <si>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</si>
  <si>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</si>
  <si>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</si>
  <si>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</si>
  <si>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</si>
  <si>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</si>
  <si>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</si>
  <si>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</si>
  <si>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</si>
  <si>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</si>
  <si>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</si>
  <si>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</si>
  <si>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</si>
  <si>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</si>
  <si>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</si>
  <si>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</si>
  <si>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</si>
  <si>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</si>
  <si>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</si>
  <si>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</si>
  <si>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</si>
  <si>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</si>
  <si>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</si>
  <si>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</si>
  <si>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</si>
  <si>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</si>
  <si>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</si>
  <si>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</si>
  <si>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</si>
  <si>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</si>
  <si>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</si>
  <si>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</si>
  <si>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</si>
  <si>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</si>
  <si>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</si>
  <si>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</si>
  <si>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</si>
  <si>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</si>
  <si>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</si>
  <si>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</si>
  <si>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</si>
  <si>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</si>
  <si>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</si>
  <si>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</si>
  <si>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</si>
  <si>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</si>
  <si>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</si>
  <si>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</si>
  <si>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</si>
  <si>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</si>
  <si>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</si>
  <si>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</si>
  <si>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</si>
  <si>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</si>
  <si>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</si>
  <si>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</si>
  <si>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</si>
  <si>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</si>
  <si>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</si>
  <si>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</si>
  <si>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</si>
  <si>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</si>
  <si>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</si>
  <si>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</si>
  <si>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</si>
  <si>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</si>
  <si>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</si>
  <si>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</si>
  <si>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</si>
  <si>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</si>
  <si>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</si>
  <si>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</si>
  <si>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</si>
  <si>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</si>
  <si>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</si>
  <si>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</si>
  <si>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</si>
  <si>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</si>
  <si>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</si>
  <si>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</si>
  <si>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</si>
  <si>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</si>
  <si>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</si>
  <si>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</si>
  <si>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</si>
  <si>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</si>
  <si>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</si>
  <si>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</si>
  <si>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</si>
  <si>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</si>
  <si>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</si>
  <si>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</si>
  <si>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</si>
  <si>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</si>
  <si>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</si>
  <si>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</si>
  <si>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</si>
  <si>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</si>
  <si>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</si>
  <si>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</si>
  <si>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</si>
  <si>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</si>
  <si>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</si>
  <si>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</si>
  <si>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</si>
  <si>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</si>
  <si>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</si>
  <si>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</si>
  <si>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</si>
  <si>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</si>
  <si>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</si>
  <si>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</si>
  <si>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</si>
  <si>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FC, A-loan, B-loan, commercial and standby (share of their amount; ECA in equal installments)</t>
  </si>
  <si>
    <t xml:space="preserve">COD re-sculpted repayment profile, tranches other than ECA (share of their amount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</si>
  <si>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</si>
  <si>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</si>
  <si>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</si>
  <si>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</si>
  <si>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</si>
  <si>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</si>
  <si>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</si>
  <si>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</si>
  <si>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</si>
  <si>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</si>
  <si>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Monte Carlo run number (0 = off; 1 to 1,000 reads that row of the draw table, Scenario 1 only)</t>
  </si>
  <si>
    <t xml:space="preserve">Per-run results pasted from case_p.py v1.4 (2026-10-03; P-F42), not live: min DSCR, min historic DSCR, equity IRR, historic DSCR &lt; 1.20x, &lt; 1.10x</t>
  </si>
  <si>
    <t xml:space="preserve">Monte Carlo active (run number above 0 and Scenario 1)</t>
  </si>
  <si>
    <t xml:space="preserve">Draw table: availability shocks OY1-OY26 (points), dispatch (%), heat-rate degradation (% a year), FX drift (factor)</t>
  </si>
  <si>
    <t xml:space="preserve">Min DSCR</t>
  </si>
  <si>
    <t xml:space="preserve">Min hist DSCR</t>
  </si>
  <si>
    <t xml:space="preserve">Equity IRR</t>
  </si>
  <si>
    <t xml:space="preserve">Lock-up (&lt;1.20x)</t>
  </si>
  <si>
    <t xml:space="preserve">Default (&lt;1.10x)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</si>
  <si>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</si>
  <si>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</si>
  <si>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</si>
  <si>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</si>
  <si>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</si>
  <si>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Run 6</t>
  </si>
  <si>
    <t xml:space="preserve">Run 7</t>
  </si>
  <si>
    <t xml:space="preserve">Run 8</t>
  </si>
  <si>
    <t xml:space="preserve">Run 9</t>
  </si>
  <si>
    <t xml:space="preserve">Run 10</t>
  </si>
  <si>
    <t xml:space="preserve">Run 11</t>
  </si>
  <si>
    <t xml:space="preserve">Run 12</t>
  </si>
  <si>
    <t xml:space="preserve">Run 13</t>
  </si>
  <si>
    <t xml:space="preserve">Run 14</t>
  </si>
  <si>
    <t xml:space="preserve">Run 15</t>
  </si>
  <si>
    <t xml:space="preserve">Run 16</t>
  </si>
  <si>
    <t xml:space="preserve">Run 17</t>
  </si>
  <si>
    <t xml:space="preserve">Run 18</t>
  </si>
  <si>
    <t xml:space="preserve">Run 19</t>
  </si>
  <si>
    <t xml:space="preserve">Run 20</t>
  </si>
  <si>
    <t xml:space="preserve">Run 21</t>
  </si>
  <si>
    <t xml:space="preserve">Run 22</t>
  </si>
  <si>
    <t xml:space="preserve">Run 23</t>
  </si>
  <si>
    <t xml:space="preserve">Run 24</t>
  </si>
  <si>
    <t xml:space="preserve">Run 25</t>
  </si>
  <si>
    <t xml:space="preserve">Run 26</t>
  </si>
  <si>
    <t xml:space="preserve">Run 27</t>
  </si>
  <si>
    <t xml:space="preserve">Run 28</t>
  </si>
  <si>
    <t xml:space="preserve">Run 29</t>
  </si>
  <si>
    <t xml:space="preserve">Run 30</t>
  </si>
  <si>
    <t xml:space="preserve">Run 31</t>
  </si>
  <si>
    <t xml:space="preserve">Run 32</t>
  </si>
  <si>
    <t xml:space="preserve">Run 33</t>
  </si>
  <si>
    <t xml:space="preserve">Run 34</t>
  </si>
  <si>
    <t xml:space="preserve">Run 35</t>
  </si>
  <si>
    <t xml:space="preserve">Run 36</t>
  </si>
  <si>
    <t xml:space="preserve">Run 37</t>
  </si>
  <si>
    <t xml:space="preserve">Run 38</t>
  </si>
  <si>
    <t xml:space="preserve">Run 39</t>
  </si>
  <si>
    <t xml:space="preserve">Run 40</t>
  </si>
  <si>
    <t xml:space="preserve">Run 41</t>
  </si>
  <si>
    <t xml:space="preserve">Run 42</t>
  </si>
  <si>
    <t xml:space="preserve">Run 43</t>
  </si>
  <si>
    <t xml:space="preserve">Run 44</t>
  </si>
  <si>
    <t xml:space="preserve">Run 45</t>
  </si>
  <si>
    <t xml:space="preserve">Run 46</t>
  </si>
  <si>
    <t xml:space="preserve">Run 47</t>
  </si>
  <si>
    <t xml:space="preserve">Run 48</t>
  </si>
  <si>
    <t xml:space="preserve">Run 49</t>
  </si>
  <si>
    <t xml:space="preserve">Run 50</t>
  </si>
  <si>
    <t xml:space="preserve">Run 51</t>
  </si>
  <si>
    <t xml:space="preserve">Run 52</t>
  </si>
  <si>
    <t xml:space="preserve">Run 53</t>
  </si>
  <si>
    <t xml:space="preserve">Run 54</t>
  </si>
  <si>
    <t xml:space="preserve">Run 55</t>
  </si>
  <si>
    <t xml:space="preserve">Run 56</t>
  </si>
  <si>
    <t xml:space="preserve">Run 57</t>
  </si>
  <si>
    <t xml:space="preserve">Run 58</t>
  </si>
  <si>
    <t xml:space="preserve">Run 59</t>
  </si>
  <si>
    <t xml:space="preserve">Run 60</t>
  </si>
  <si>
    <t xml:space="preserve">Run 61</t>
  </si>
  <si>
    <t xml:space="preserve">Run 62</t>
  </si>
  <si>
    <t xml:space="preserve">Run 63</t>
  </si>
  <si>
    <t xml:space="preserve">Run 64</t>
  </si>
  <si>
    <t xml:space="preserve">Run 65</t>
  </si>
  <si>
    <t xml:space="preserve">Run 66</t>
  </si>
  <si>
    <t xml:space="preserve">Run 67</t>
  </si>
  <si>
    <t xml:space="preserve">Run 68</t>
  </si>
  <si>
    <t xml:space="preserve">Run 69</t>
  </si>
  <si>
    <t xml:space="preserve">Run 70</t>
  </si>
  <si>
    <t xml:space="preserve">Run 71</t>
  </si>
  <si>
    <t xml:space="preserve">Run 72</t>
  </si>
  <si>
    <t xml:space="preserve">Run 73</t>
  </si>
  <si>
    <t xml:space="preserve">Run 74</t>
  </si>
  <si>
    <t xml:space="preserve">Run 75</t>
  </si>
  <si>
    <t xml:space="preserve">Run 76</t>
  </si>
  <si>
    <t xml:space="preserve">Run 77</t>
  </si>
  <si>
    <t xml:space="preserve">Run 78</t>
  </si>
  <si>
    <t xml:space="preserve">Run 79</t>
  </si>
  <si>
    <t xml:space="preserve">Run 80</t>
  </si>
  <si>
    <t xml:space="preserve">Run 81</t>
  </si>
  <si>
    <t xml:space="preserve">Run 82</t>
  </si>
  <si>
    <t xml:space="preserve">Run 83</t>
  </si>
  <si>
    <t xml:space="preserve">Run 84</t>
  </si>
  <si>
    <t xml:space="preserve">Run 85</t>
  </si>
  <si>
    <t xml:space="preserve">Run 86</t>
  </si>
  <si>
    <t xml:space="preserve">Run 87</t>
  </si>
  <si>
    <t xml:space="preserve">Run 88</t>
  </si>
  <si>
    <t xml:space="preserve">Run 89</t>
  </si>
  <si>
    <t xml:space="preserve">Run 90</t>
  </si>
  <si>
    <t xml:space="preserve">Run 91</t>
  </si>
  <si>
    <t xml:space="preserve">Run 92</t>
  </si>
  <si>
    <t xml:space="preserve">Run 93</t>
  </si>
  <si>
    <t xml:space="preserve">Run 94</t>
  </si>
  <si>
    <t xml:space="preserve">Run 95</t>
  </si>
  <si>
    <t xml:space="preserve">Run 96</t>
  </si>
  <si>
    <t xml:space="preserve">Run 97</t>
  </si>
  <si>
    <t xml:space="preserve">Run 98</t>
  </si>
  <si>
    <t xml:space="preserve">Run 99</t>
  </si>
  <si>
    <t xml:space="preserve">Run 100</t>
  </si>
  <si>
    <t xml:space="preserve">Run 101</t>
  </si>
  <si>
    <t xml:space="preserve">Run 102</t>
  </si>
  <si>
    <t xml:space="preserve">Run 103</t>
  </si>
  <si>
    <t xml:space="preserve">Run 104</t>
  </si>
  <si>
    <t xml:space="preserve">Run 105</t>
  </si>
  <si>
    <t xml:space="preserve">Run 106</t>
  </si>
  <si>
    <t xml:space="preserve">Run 107</t>
  </si>
  <si>
    <t xml:space="preserve">Run 108</t>
  </si>
  <si>
    <t xml:space="preserve">Run 109</t>
  </si>
  <si>
    <t xml:space="preserve">Run 110</t>
  </si>
  <si>
    <t xml:space="preserve">Run 111</t>
  </si>
  <si>
    <t xml:space="preserve">Run 112</t>
  </si>
  <si>
    <t xml:space="preserve">Run 113</t>
  </si>
  <si>
    <t xml:space="preserve">Run 114</t>
  </si>
  <si>
    <t xml:space="preserve">Run 115</t>
  </si>
  <si>
    <t xml:space="preserve">Run 116</t>
  </si>
  <si>
    <t xml:space="preserve">Run 117</t>
  </si>
  <si>
    <t xml:space="preserve">Run 118</t>
  </si>
  <si>
    <t xml:space="preserve">Run 119</t>
  </si>
  <si>
    <t xml:space="preserve">Run 120</t>
  </si>
  <si>
    <t xml:space="preserve">Run 121</t>
  </si>
  <si>
    <t xml:space="preserve">Run 122</t>
  </si>
  <si>
    <t xml:space="preserve">Run 123</t>
  </si>
  <si>
    <t xml:space="preserve">Run 124</t>
  </si>
  <si>
    <t xml:space="preserve">Run 125</t>
  </si>
  <si>
    <t xml:space="preserve">Run 126</t>
  </si>
  <si>
    <t xml:space="preserve">Run 127</t>
  </si>
  <si>
    <t xml:space="preserve">Run 128</t>
  </si>
  <si>
    <t xml:space="preserve">Run 129</t>
  </si>
  <si>
    <t xml:space="preserve">Run 130</t>
  </si>
  <si>
    <t xml:space="preserve">Run 131</t>
  </si>
  <si>
    <t xml:space="preserve">Run 132</t>
  </si>
  <si>
    <t xml:space="preserve">Run 133</t>
  </si>
  <si>
    <t xml:space="preserve">Run 134</t>
  </si>
  <si>
    <t xml:space="preserve">Run 135</t>
  </si>
  <si>
    <t xml:space="preserve">Run 136</t>
  </si>
  <si>
    <t xml:space="preserve">Run 137</t>
  </si>
  <si>
    <t xml:space="preserve">Run 138</t>
  </si>
  <si>
    <t xml:space="preserve">Run 139</t>
  </si>
  <si>
    <t xml:space="preserve">Run 140</t>
  </si>
  <si>
    <t xml:space="preserve">Run 141</t>
  </si>
  <si>
    <t xml:space="preserve">Run 142</t>
  </si>
  <si>
    <t xml:space="preserve">Run 143</t>
  </si>
  <si>
    <t xml:space="preserve">Run 144</t>
  </si>
  <si>
    <t xml:space="preserve">Run 145</t>
  </si>
  <si>
    <t xml:space="preserve">Run 146</t>
  </si>
  <si>
    <t xml:space="preserve">Run 147</t>
  </si>
  <si>
    <t xml:space="preserve">Run 148</t>
  </si>
  <si>
    <t xml:space="preserve">Run 149</t>
  </si>
  <si>
    <t xml:space="preserve">Run 150</t>
  </si>
  <si>
    <t xml:space="preserve">Run 151</t>
  </si>
  <si>
    <t xml:space="preserve">Run 152</t>
  </si>
  <si>
    <t xml:space="preserve">Run 153</t>
  </si>
  <si>
    <t xml:space="preserve">Run 154</t>
  </si>
  <si>
    <t xml:space="preserve">Run 155</t>
  </si>
  <si>
    <t xml:space="preserve">Run 156</t>
  </si>
  <si>
    <t xml:space="preserve">Run 157</t>
  </si>
  <si>
    <t xml:space="preserve">Run 158</t>
  </si>
  <si>
    <t xml:space="preserve">Run 159</t>
  </si>
  <si>
    <t xml:space="preserve">Run 160</t>
  </si>
  <si>
    <t xml:space="preserve">Run 161</t>
  </si>
  <si>
    <t xml:space="preserve">Run 162</t>
  </si>
  <si>
    <t xml:space="preserve">Run 163</t>
  </si>
  <si>
    <t xml:space="preserve">Run 164</t>
  </si>
  <si>
    <t xml:space="preserve">Run 165</t>
  </si>
  <si>
    <t xml:space="preserve">Run 166</t>
  </si>
  <si>
    <t xml:space="preserve">Run 167</t>
  </si>
  <si>
    <t xml:space="preserve">Run 168</t>
  </si>
  <si>
    <t xml:space="preserve">Run 169</t>
  </si>
  <si>
    <t xml:space="preserve">Run 170</t>
  </si>
  <si>
    <t xml:space="preserve">Run 171</t>
  </si>
  <si>
    <t xml:space="preserve">Run 172</t>
  </si>
  <si>
    <t xml:space="preserve">Run 173</t>
  </si>
  <si>
    <t xml:space="preserve">Run 174</t>
  </si>
  <si>
    <t xml:space="preserve">Run 175</t>
  </si>
  <si>
    <t xml:space="preserve">Run 176</t>
  </si>
  <si>
    <t xml:space="preserve">Run 177</t>
  </si>
  <si>
    <t xml:space="preserve">Run 178</t>
  </si>
  <si>
    <t xml:space="preserve">Run 179</t>
  </si>
  <si>
    <t xml:space="preserve">Run 180</t>
  </si>
  <si>
    <t xml:space="preserve">Run 181</t>
  </si>
  <si>
    <t xml:space="preserve">Run 182</t>
  </si>
  <si>
    <t xml:space="preserve">Run 183</t>
  </si>
  <si>
    <t xml:space="preserve">Run 184</t>
  </si>
  <si>
    <t xml:space="preserve">Run 185</t>
  </si>
  <si>
    <t xml:space="preserve">Run 186</t>
  </si>
  <si>
    <t xml:space="preserve">Run 187</t>
  </si>
  <si>
    <t xml:space="preserve">Run 188</t>
  </si>
  <si>
    <t xml:space="preserve">Run 189</t>
  </si>
  <si>
    <t xml:space="preserve">Run 190</t>
  </si>
  <si>
    <t xml:space="preserve">Run 191</t>
  </si>
  <si>
    <t xml:space="preserve">Run 192</t>
  </si>
  <si>
    <t xml:space="preserve">Run 193</t>
  </si>
  <si>
    <t xml:space="preserve">Run 194</t>
  </si>
  <si>
    <t xml:space="preserve">Run 195</t>
  </si>
  <si>
    <t xml:space="preserve">Run 196</t>
  </si>
  <si>
    <t xml:space="preserve">Run 197</t>
  </si>
  <si>
    <t xml:space="preserve">Run 198</t>
  </si>
  <si>
    <t xml:space="preserve">Run 199</t>
  </si>
  <si>
    <t xml:space="preserve">Run 200</t>
  </si>
  <si>
    <t xml:space="preserve">Run 201</t>
  </si>
  <si>
    <t xml:space="preserve">Run 202</t>
  </si>
  <si>
    <t xml:space="preserve">Run 203</t>
  </si>
  <si>
    <t xml:space="preserve">Run 204</t>
  </si>
  <si>
    <t xml:space="preserve">Run 205</t>
  </si>
  <si>
    <t xml:space="preserve">Run 206</t>
  </si>
  <si>
    <t xml:space="preserve">Run 207</t>
  </si>
  <si>
    <t xml:space="preserve">Run 208</t>
  </si>
  <si>
    <t xml:space="preserve">Run 209</t>
  </si>
  <si>
    <t xml:space="preserve">Run 210</t>
  </si>
  <si>
    <t xml:space="preserve">Run 211</t>
  </si>
  <si>
    <t xml:space="preserve">Run 212</t>
  </si>
  <si>
    <t xml:space="preserve">Run 213</t>
  </si>
  <si>
    <t xml:space="preserve">Run 214</t>
  </si>
  <si>
    <t xml:space="preserve">Run 215</t>
  </si>
  <si>
    <t xml:space="preserve">Run 216</t>
  </si>
  <si>
    <t xml:space="preserve">Run 217</t>
  </si>
  <si>
    <t xml:space="preserve">Run 218</t>
  </si>
  <si>
    <t xml:space="preserve">Run 219</t>
  </si>
  <si>
    <t xml:space="preserve">Run 220</t>
  </si>
  <si>
    <t xml:space="preserve">Run 221</t>
  </si>
  <si>
    <t xml:space="preserve">Run 222</t>
  </si>
  <si>
    <t xml:space="preserve">Run 223</t>
  </si>
  <si>
    <t xml:space="preserve">Run 224</t>
  </si>
  <si>
    <t xml:space="preserve">Run 225</t>
  </si>
  <si>
    <t xml:space="preserve">Run 226</t>
  </si>
  <si>
    <t xml:space="preserve">Run 227</t>
  </si>
  <si>
    <t xml:space="preserve">Run 228</t>
  </si>
  <si>
    <t xml:space="preserve">Run 229</t>
  </si>
  <si>
    <t xml:space="preserve">Run 230</t>
  </si>
  <si>
    <t xml:space="preserve">Run 231</t>
  </si>
  <si>
    <t xml:space="preserve">Run 232</t>
  </si>
  <si>
    <t xml:space="preserve">Run 233</t>
  </si>
  <si>
    <t xml:space="preserve">Run 234</t>
  </si>
  <si>
    <t xml:space="preserve">Run 235</t>
  </si>
  <si>
    <t xml:space="preserve">Run 236</t>
  </si>
  <si>
    <t xml:space="preserve">Run 237</t>
  </si>
  <si>
    <t xml:space="preserve">Run 238</t>
  </si>
  <si>
    <t xml:space="preserve">Run 239</t>
  </si>
  <si>
    <t xml:space="preserve">Run 240</t>
  </si>
  <si>
    <t xml:space="preserve">Run 241</t>
  </si>
  <si>
    <t xml:space="preserve">Run 242</t>
  </si>
  <si>
    <t xml:space="preserve">Run 243</t>
  </si>
  <si>
    <t xml:space="preserve">Run 244</t>
  </si>
  <si>
    <t xml:space="preserve">Run 245</t>
  </si>
  <si>
    <t xml:space="preserve">Run 246</t>
  </si>
  <si>
    <t xml:space="preserve">Run 247</t>
  </si>
  <si>
    <t xml:space="preserve">Run 248</t>
  </si>
  <si>
    <t xml:space="preserve">Run 249</t>
  </si>
  <si>
    <t xml:space="preserve">Run 250</t>
  </si>
  <si>
    <t xml:space="preserve">Run 251</t>
  </si>
  <si>
    <t xml:space="preserve">Run 252</t>
  </si>
  <si>
    <t xml:space="preserve">Run 253</t>
  </si>
  <si>
    <t xml:space="preserve">Run 254</t>
  </si>
  <si>
    <t xml:space="preserve">Run 255</t>
  </si>
  <si>
    <t xml:space="preserve">Run 256</t>
  </si>
  <si>
    <t xml:space="preserve">Run 257</t>
  </si>
  <si>
    <t xml:space="preserve">Run 258</t>
  </si>
  <si>
    <t xml:space="preserve">Run 259</t>
  </si>
  <si>
    <t xml:space="preserve">Run 260</t>
  </si>
  <si>
    <t xml:space="preserve">Run 261</t>
  </si>
  <si>
    <t xml:space="preserve">Run 262</t>
  </si>
  <si>
    <t xml:space="preserve">Run 263</t>
  </si>
  <si>
    <t xml:space="preserve">Run 264</t>
  </si>
  <si>
    <t xml:space="preserve">Run 265</t>
  </si>
  <si>
    <t xml:space="preserve">Run 266</t>
  </si>
  <si>
    <t xml:space="preserve">Run 267</t>
  </si>
  <si>
    <t xml:space="preserve">Run 268</t>
  </si>
  <si>
    <t xml:space="preserve">Run 269</t>
  </si>
  <si>
    <t xml:space="preserve">Run 270</t>
  </si>
  <si>
    <t xml:space="preserve">Run 271</t>
  </si>
  <si>
    <t xml:space="preserve">Run 272</t>
  </si>
  <si>
    <t xml:space="preserve">Run 273</t>
  </si>
  <si>
    <t xml:space="preserve">Run 274</t>
  </si>
  <si>
    <t xml:space="preserve">Run 275</t>
  </si>
  <si>
    <t xml:space="preserve">Run 276</t>
  </si>
  <si>
    <t xml:space="preserve">Run 277</t>
  </si>
  <si>
    <t xml:space="preserve">Run 278</t>
  </si>
  <si>
    <t xml:space="preserve">Run 279</t>
  </si>
  <si>
    <t xml:space="preserve">Run 280</t>
  </si>
  <si>
    <t xml:space="preserve">Run 281</t>
  </si>
  <si>
    <t xml:space="preserve">Run 282</t>
  </si>
  <si>
    <t xml:space="preserve">Run 283</t>
  </si>
  <si>
    <t xml:space="preserve">Run 284</t>
  </si>
  <si>
    <t xml:space="preserve">Run 285</t>
  </si>
  <si>
    <t xml:space="preserve">Run 286</t>
  </si>
  <si>
    <t xml:space="preserve">Run 287</t>
  </si>
  <si>
    <t xml:space="preserve">Run 288</t>
  </si>
  <si>
    <t xml:space="preserve">Run 289</t>
  </si>
  <si>
    <t xml:space="preserve">Run 290</t>
  </si>
  <si>
    <t xml:space="preserve">Run 291</t>
  </si>
  <si>
    <t xml:space="preserve">Run 292</t>
  </si>
  <si>
    <t xml:space="preserve">Run 293</t>
  </si>
  <si>
    <t xml:space="preserve">Run 294</t>
  </si>
  <si>
    <t xml:space="preserve">Run 295</t>
  </si>
  <si>
    <t xml:space="preserve">Run 296</t>
  </si>
  <si>
    <t xml:space="preserve">Run 297</t>
  </si>
  <si>
    <t xml:space="preserve">Run 298</t>
  </si>
  <si>
    <t xml:space="preserve">Run 299</t>
  </si>
  <si>
    <t xml:space="preserve">Run 300</t>
  </si>
  <si>
    <t xml:space="preserve">Run 301</t>
  </si>
  <si>
    <t xml:space="preserve">Run 302</t>
  </si>
  <si>
    <t xml:space="preserve">Run 303</t>
  </si>
  <si>
    <t xml:space="preserve">Run 304</t>
  </si>
  <si>
    <t xml:space="preserve">Run 305</t>
  </si>
  <si>
    <t xml:space="preserve">Run 306</t>
  </si>
  <si>
    <t xml:space="preserve">Run 307</t>
  </si>
  <si>
    <t xml:space="preserve">Run 308</t>
  </si>
  <si>
    <t xml:space="preserve">Run 309</t>
  </si>
  <si>
    <t xml:space="preserve">Run 310</t>
  </si>
  <si>
    <t xml:space="preserve">Run 311</t>
  </si>
  <si>
    <t xml:space="preserve">Run 312</t>
  </si>
  <si>
    <t xml:space="preserve">Run 313</t>
  </si>
  <si>
    <t xml:space="preserve">Run 314</t>
  </si>
  <si>
    <t xml:space="preserve">Run 315</t>
  </si>
  <si>
    <t xml:space="preserve">Run 316</t>
  </si>
  <si>
    <t xml:space="preserve">Run 317</t>
  </si>
  <si>
    <t xml:space="preserve">Run 318</t>
  </si>
  <si>
    <t xml:space="preserve">Run 319</t>
  </si>
  <si>
    <t xml:space="preserve">Run 320</t>
  </si>
  <si>
    <t xml:space="preserve">Run 321</t>
  </si>
  <si>
    <t xml:space="preserve">Run 322</t>
  </si>
  <si>
    <t xml:space="preserve">Run 323</t>
  </si>
  <si>
    <t xml:space="preserve">Run 324</t>
  </si>
  <si>
    <t xml:space="preserve">Run 325</t>
  </si>
  <si>
    <t xml:space="preserve">Run 326</t>
  </si>
  <si>
    <t xml:space="preserve">Run 327</t>
  </si>
  <si>
    <t xml:space="preserve">Run 328</t>
  </si>
  <si>
    <t xml:space="preserve">Run 329</t>
  </si>
  <si>
    <t xml:space="preserve">Run 330</t>
  </si>
  <si>
    <t xml:space="preserve">Run 331</t>
  </si>
  <si>
    <t xml:space="preserve">Run 332</t>
  </si>
  <si>
    <t xml:space="preserve">Run 333</t>
  </si>
  <si>
    <t xml:space="preserve">Run 334</t>
  </si>
  <si>
    <t xml:space="preserve">Run 335</t>
  </si>
  <si>
    <t xml:space="preserve">Run 336</t>
  </si>
  <si>
    <t xml:space="preserve">Run 337</t>
  </si>
  <si>
    <t xml:space="preserve">Run 338</t>
  </si>
  <si>
    <t xml:space="preserve">Run 339</t>
  </si>
  <si>
    <t xml:space="preserve">Run 340</t>
  </si>
  <si>
    <t xml:space="preserve">Run 341</t>
  </si>
  <si>
    <t xml:space="preserve">Run 342</t>
  </si>
  <si>
    <t xml:space="preserve">Run 343</t>
  </si>
  <si>
    <t xml:space="preserve">Run 344</t>
  </si>
  <si>
    <t xml:space="preserve">Run 345</t>
  </si>
  <si>
    <t xml:space="preserve">Run 346</t>
  </si>
  <si>
    <t xml:space="preserve">Run 347</t>
  </si>
  <si>
    <t xml:space="preserve">Run 348</t>
  </si>
  <si>
    <t xml:space="preserve">Run 349</t>
  </si>
  <si>
    <t xml:space="preserve">Run 350</t>
  </si>
  <si>
    <t xml:space="preserve">Run 351</t>
  </si>
  <si>
    <t xml:space="preserve">Run 352</t>
  </si>
  <si>
    <t xml:space="preserve">Run 353</t>
  </si>
  <si>
    <t xml:space="preserve">Run 354</t>
  </si>
  <si>
    <t xml:space="preserve">Run 355</t>
  </si>
  <si>
    <t xml:space="preserve">Run 356</t>
  </si>
  <si>
    <t xml:space="preserve">Run 357</t>
  </si>
  <si>
    <t xml:space="preserve">Run 358</t>
  </si>
  <si>
    <t xml:space="preserve">Run 359</t>
  </si>
  <si>
    <t xml:space="preserve">Run 360</t>
  </si>
  <si>
    <t xml:space="preserve">Run 361</t>
  </si>
  <si>
    <t xml:space="preserve">Run 362</t>
  </si>
  <si>
    <t xml:space="preserve">Run 363</t>
  </si>
  <si>
    <t xml:space="preserve">Run 364</t>
  </si>
  <si>
    <t xml:space="preserve">Run 365</t>
  </si>
  <si>
    <t xml:space="preserve">Run 366</t>
  </si>
  <si>
    <t xml:space="preserve">Run 367</t>
  </si>
  <si>
    <t xml:space="preserve">Run 368</t>
  </si>
  <si>
    <t xml:space="preserve">Run 369</t>
  </si>
  <si>
    <t xml:space="preserve">Run 370</t>
  </si>
  <si>
    <t xml:space="preserve">Run 371</t>
  </si>
  <si>
    <t xml:space="preserve">Run 372</t>
  </si>
  <si>
    <t xml:space="preserve">Run 373</t>
  </si>
  <si>
    <t xml:space="preserve">Run 374</t>
  </si>
  <si>
    <t xml:space="preserve">Run 375</t>
  </si>
  <si>
    <t xml:space="preserve">Run 376</t>
  </si>
  <si>
    <t xml:space="preserve">Run 377</t>
  </si>
  <si>
    <t xml:space="preserve">Run 378</t>
  </si>
  <si>
    <t xml:space="preserve">Run 379</t>
  </si>
  <si>
    <t xml:space="preserve">Run 380</t>
  </si>
  <si>
    <t xml:space="preserve">Run 381</t>
  </si>
  <si>
    <t xml:space="preserve">Run 382</t>
  </si>
  <si>
    <t xml:space="preserve">Run 383</t>
  </si>
  <si>
    <t xml:space="preserve">Run 384</t>
  </si>
  <si>
    <t xml:space="preserve">Run 385</t>
  </si>
  <si>
    <t xml:space="preserve">Run 386</t>
  </si>
  <si>
    <t xml:space="preserve">Run 387</t>
  </si>
  <si>
    <t xml:space="preserve">Run 388</t>
  </si>
  <si>
    <t xml:space="preserve">Run 389</t>
  </si>
  <si>
    <t xml:space="preserve">Run 390</t>
  </si>
  <si>
    <t xml:space="preserve">Run 391</t>
  </si>
  <si>
    <t xml:space="preserve">Run 392</t>
  </si>
  <si>
    <t xml:space="preserve">Run 393</t>
  </si>
  <si>
    <t xml:space="preserve">Run 394</t>
  </si>
  <si>
    <t xml:space="preserve">Run 395</t>
  </si>
  <si>
    <t xml:space="preserve">Run 396</t>
  </si>
  <si>
    <t xml:space="preserve">Run 397</t>
  </si>
  <si>
    <t xml:space="preserve">Run 398</t>
  </si>
  <si>
    <t xml:space="preserve">Run 399</t>
  </si>
  <si>
    <t xml:space="preserve">Run 400</t>
  </si>
  <si>
    <t xml:space="preserve">Run 401</t>
  </si>
  <si>
    <t xml:space="preserve">Run 402</t>
  </si>
  <si>
    <t xml:space="preserve">Run 403</t>
  </si>
  <si>
    <t xml:space="preserve">Run 404</t>
  </si>
  <si>
    <t xml:space="preserve">Run 405</t>
  </si>
  <si>
    <t xml:space="preserve">Run 406</t>
  </si>
  <si>
    <t xml:space="preserve">Run 407</t>
  </si>
  <si>
    <t xml:space="preserve">Run 408</t>
  </si>
  <si>
    <t xml:space="preserve">Run 409</t>
  </si>
  <si>
    <t xml:space="preserve">Run 410</t>
  </si>
  <si>
    <t xml:space="preserve">Run 411</t>
  </si>
  <si>
    <t xml:space="preserve">Run 412</t>
  </si>
  <si>
    <t xml:space="preserve">Run 413</t>
  </si>
  <si>
    <t xml:space="preserve">Run 414</t>
  </si>
  <si>
    <t xml:space="preserve">Run 415</t>
  </si>
  <si>
    <t xml:space="preserve">Run 416</t>
  </si>
  <si>
    <t xml:space="preserve">Run 417</t>
  </si>
  <si>
    <t xml:space="preserve">Run 418</t>
  </si>
  <si>
    <t xml:space="preserve">Run 419</t>
  </si>
  <si>
    <t xml:space="preserve">Run 420</t>
  </si>
  <si>
    <t xml:space="preserve">Run 421</t>
  </si>
  <si>
    <t xml:space="preserve">Run 422</t>
  </si>
  <si>
    <t xml:space="preserve">Run 423</t>
  </si>
  <si>
    <t xml:space="preserve">Run 424</t>
  </si>
  <si>
    <t xml:space="preserve">Run 425</t>
  </si>
  <si>
    <t xml:space="preserve">Run 426</t>
  </si>
  <si>
    <t xml:space="preserve">Run 427</t>
  </si>
  <si>
    <t xml:space="preserve">Run 428</t>
  </si>
  <si>
    <t xml:space="preserve">Run 429</t>
  </si>
  <si>
    <t xml:space="preserve">Run 430</t>
  </si>
  <si>
    <t xml:space="preserve">Run 431</t>
  </si>
  <si>
    <t xml:space="preserve">Run 432</t>
  </si>
  <si>
    <t xml:space="preserve">Run 433</t>
  </si>
  <si>
    <t xml:space="preserve">Run 434</t>
  </si>
  <si>
    <t xml:space="preserve">Run 435</t>
  </si>
  <si>
    <t xml:space="preserve">Run 436</t>
  </si>
  <si>
    <t xml:space="preserve">Run 437</t>
  </si>
  <si>
    <t xml:space="preserve">Run 438</t>
  </si>
  <si>
    <t xml:space="preserve">Run 439</t>
  </si>
  <si>
    <t xml:space="preserve">Run 440</t>
  </si>
  <si>
    <t xml:space="preserve">Run 441</t>
  </si>
  <si>
    <t xml:space="preserve">Run 442</t>
  </si>
  <si>
    <t xml:space="preserve">Run 443</t>
  </si>
  <si>
    <t xml:space="preserve">Run 444</t>
  </si>
  <si>
    <t xml:space="preserve">Run 445</t>
  </si>
  <si>
    <t xml:space="preserve">Run 446</t>
  </si>
  <si>
    <t xml:space="preserve">Run 447</t>
  </si>
  <si>
    <t xml:space="preserve">Run 448</t>
  </si>
  <si>
    <t xml:space="preserve">Run 449</t>
  </si>
  <si>
    <t xml:space="preserve">Run 450</t>
  </si>
  <si>
    <t xml:space="preserve">Run 451</t>
  </si>
  <si>
    <t xml:space="preserve">Run 452</t>
  </si>
  <si>
    <t xml:space="preserve">Run 453</t>
  </si>
  <si>
    <t xml:space="preserve">Run 454</t>
  </si>
  <si>
    <t xml:space="preserve">Run 455</t>
  </si>
  <si>
    <t xml:space="preserve">Run 456</t>
  </si>
  <si>
    <t xml:space="preserve">Run 457</t>
  </si>
  <si>
    <t xml:space="preserve">Run 458</t>
  </si>
  <si>
    <t xml:space="preserve">Run 459</t>
  </si>
  <si>
    <t xml:space="preserve">Run 460</t>
  </si>
  <si>
    <t xml:space="preserve">Run 461</t>
  </si>
  <si>
    <t xml:space="preserve">Run 462</t>
  </si>
  <si>
    <t xml:space="preserve">Run 463</t>
  </si>
  <si>
    <t xml:space="preserve">Run 464</t>
  </si>
  <si>
    <t xml:space="preserve">Run 465</t>
  </si>
  <si>
    <t xml:space="preserve">Run 466</t>
  </si>
  <si>
    <t xml:space="preserve">Run 467</t>
  </si>
  <si>
    <t xml:space="preserve">Run 468</t>
  </si>
  <si>
    <t xml:space="preserve">Run 469</t>
  </si>
  <si>
    <t xml:space="preserve">Run 470</t>
  </si>
  <si>
    <t xml:space="preserve">Run 471</t>
  </si>
  <si>
    <t xml:space="preserve">Run 472</t>
  </si>
  <si>
    <t xml:space="preserve">Run 473</t>
  </si>
  <si>
    <t xml:space="preserve">Run 474</t>
  </si>
  <si>
    <t xml:space="preserve">Run 475</t>
  </si>
  <si>
    <t xml:space="preserve">Run 476</t>
  </si>
  <si>
    <t xml:space="preserve">Run 477</t>
  </si>
  <si>
    <t xml:space="preserve">Run 478</t>
  </si>
  <si>
    <t xml:space="preserve">Run 479</t>
  </si>
  <si>
    <t xml:space="preserve">Run 480</t>
  </si>
  <si>
    <t xml:space="preserve">Run 481</t>
  </si>
  <si>
    <t xml:space="preserve">Run 482</t>
  </si>
  <si>
    <t xml:space="preserve">Run 483</t>
  </si>
  <si>
    <t xml:space="preserve">Run 484</t>
  </si>
  <si>
    <t xml:space="preserve">Run 485</t>
  </si>
  <si>
    <t xml:space="preserve">Run 486</t>
  </si>
  <si>
    <t xml:space="preserve">Run 487</t>
  </si>
  <si>
    <t xml:space="preserve">Run 488</t>
  </si>
  <si>
    <t xml:space="preserve">Run 489</t>
  </si>
  <si>
    <t xml:space="preserve">Run 490</t>
  </si>
  <si>
    <t xml:space="preserve">Run 491</t>
  </si>
  <si>
    <t xml:space="preserve">Run 492</t>
  </si>
  <si>
    <t xml:space="preserve">Run 493</t>
  </si>
  <si>
    <t xml:space="preserve">Run 494</t>
  </si>
  <si>
    <t xml:space="preserve">Run 495</t>
  </si>
  <si>
    <t xml:space="preserve">Run 496</t>
  </si>
  <si>
    <t xml:space="preserve">Run 497</t>
  </si>
  <si>
    <t xml:space="preserve">Run 498</t>
  </si>
  <si>
    <t xml:space="preserve">Run 499</t>
  </si>
  <si>
    <t xml:space="preserve">Run 500</t>
  </si>
  <si>
    <t xml:space="preserve">Run 501</t>
  </si>
  <si>
    <t xml:space="preserve">Run 502</t>
  </si>
  <si>
    <t xml:space="preserve">Run 503</t>
  </si>
  <si>
    <t xml:space="preserve">Run 504</t>
  </si>
  <si>
    <t xml:space="preserve">Run 505</t>
  </si>
  <si>
    <t xml:space="preserve">Run 506</t>
  </si>
  <si>
    <t xml:space="preserve">Run 507</t>
  </si>
  <si>
    <t xml:space="preserve">Run 508</t>
  </si>
  <si>
    <t xml:space="preserve">Run 509</t>
  </si>
  <si>
    <t xml:space="preserve">Run 510</t>
  </si>
  <si>
    <t xml:space="preserve">Run 511</t>
  </si>
  <si>
    <t xml:space="preserve">Run 512</t>
  </si>
  <si>
    <t xml:space="preserve">Run 513</t>
  </si>
  <si>
    <t xml:space="preserve">Run 514</t>
  </si>
  <si>
    <t xml:space="preserve">Run 515</t>
  </si>
  <si>
    <t xml:space="preserve">Run 516</t>
  </si>
  <si>
    <t xml:space="preserve">Run 517</t>
  </si>
  <si>
    <t xml:space="preserve">Run 518</t>
  </si>
  <si>
    <t xml:space="preserve">Run 519</t>
  </si>
  <si>
    <t xml:space="preserve">Run 520</t>
  </si>
  <si>
    <t xml:space="preserve">Run 521</t>
  </si>
  <si>
    <t xml:space="preserve">Run 522</t>
  </si>
  <si>
    <t xml:space="preserve">Run 523</t>
  </si>
  <si>
    <t xml:space="preserve">Run 524</t>
  </si>
  <si>
    <t xml:space="preserve">Run 525</t>
  </si>
  <si>
    <t xml:space="preserve">Run 526</t>
  </si>
  <si>
    <t xml:space="preserve">Run 527</t>
  </si>
  <si>
    <t xml:space="preserve">Run 528</t>
  </si>
  <si>
    <t xml:space="preserve">Run 529</t>
  </si>
  <si>
    <t xml:space="preserve">Run 530</t>
  </si>
  <si>
    <t xml:space="preserve">Run 531</t>
  </si>
  <si>
    <t xml:space="preserve">Run 532</t>
  </si>
  <si>
    <t xml:space="preserve">Run 533</t>
  </si>
  <si>
    <t xml:space="preserve">Run 534</t>
  </si>
  <si>
    <t xml:space="preserve">Run 535</t>
  </si>
  <si>
    <t xml:space="preserve">Run 536</t>
  </si>
  <si>
    <t xml:space="preserve">Run 537</t>
  </si>
  <si>
    <t xml:space="preserve">Run 538</t>
  </si>
  <si>
    <t xml:space="preserve">Run 539</t>
  </si>
  <si>
    <t xml:space="preserve">Run 540</t>
  </si>
  <si>
    <t xml:space="preserve">Run 541</t>
  </si>
  <si>
    <t xml:space="preserve">Run 542</t>
  </si>
  <si>
    <t xml:space="preserve">Run 543</t>
  </si>
  <si>
    <t xml:space="preserve">Run 544</t>
  </si>
  <si>
    <t xml:space="preserve">Run 545</t>
  </si>
  <si>
    <t xml:space="preserve">Run 546</t>
  </si>
  <si>
    <t xml:space="preserve">Run 547</t>
  </si>
  <si>
    <t xml:space="preserve">Run 548</t>
  </si>
  <si>
    <t xml:space="preserve">Run 549</t>
  </si>
  <si>
    <t xml:space="preserve">Run 550</t>
  </si>
  <si>
    <t xml:space="preserve">Run 551</t>
  </si>
  <si>
    <t xml:space="preserve">Run 552</t>
  </si>
  <si>
    <t xml:space="preserve">Run 553</t>
  </si>
  <si>
    <t xml:space="preserve">Run 554</t>
  </si>
  <si>
    <t xml:space="preserve">Run 555</t>
  </si>
  <si>
    <t xml:space="preserve">Run 556</t>
  </si>
  <si>
    <t xml:space="preserve">Run 557</t>
  </si>
  <si>
    <t xml:space="preserve">Run 558</t>
  </si>
  <si>
    <t xml:space="preserve">Run 559</t>
  </si>
  <si>
    <t xml:space="preserve">Run 560</t>
  </si>
  <si>
    <t xml:space="preserve">Run 561</t>
  </si>
  <si>
    <t xml:space="preserve">Run 562</t>
  </si>
  <si>
    <t xml:space="preserve">Run 563</t>
  </si>
  <si>
    <t xml:space="preserve">Run 564</t>
  </si>
  <si>
    <t xml:space="preserve">Run 565</t>
  </si>
  <si>
    <t xml:space="preserve">Run 566</t>
  </si>
  <si>
    <t xml:space="preserve">Run 567</t>
  </si>
  <si>
    <t xml:space="preserve">Run 568</t>
  </si>
  <si>
    <t xml:space="preserve">Run 569</t>
  </si>
  <si>
    <t xml:space="preserve">Run 570</t>
  </si>
  <si>
    <t xml:space="preserve">Run 571</t>
  </si>
  <si>
    <t xml:space="preserve">Run 572</t>
  </si>
  <si>
    <t xml:space="preserve">Run 573</t>
  </si>
  <si>
    <t xml:space="preserve">Run 574</t>
  </si>
  <si>
    <t xml:space="preserve">Run 575</t>
  </si>
  <si>
    <t xml:space="preserve">Run 576</t>
  </si>
  <si>
    <t xml:space="preserve">Run 577</t>
  </si>
  <si>
    <t xml:space="preserve">Run 578</t>
  </si>
  <si>
    <t xml:space="preserve">Run 579</t>
  </si>
  <si>
    <t xml:space="preserve">Run 580</t>
  </si>
  <si>
    <t xml:space="preserve">Run 581</t>
  </si>
  <si>
    <t xml:space="preserve">Run 582</t>
  </si>
  <si>
    <t xml:space="preserve">Run 583</t>
  </si>
  <si>
    <t xml:space="preserve">Run 584</t>
  </si>
  <si>
    <t xml:space="preserve">Run 585</t>
  </si>
  <si>
    <t xml:space="preserve">Run 586</t>
  </si>
  <si>
    <t xml:space="preserve">Run 587</t>
  </si>
  <si>
    <t xml:space="preserve">Run 588</t>
  </si>
  <si>
    <t xml:space="preserve">Run 589</t>
  </si>
  <si>
    <t xml:space="preserve">Run 590</t>
  </si>
  <si>
    <t xml:space="preserve">Run 591</t>
  </si>
  <si>
    <t xml:space="preserve">Run 592</t>
  </si>
  <si>
    <t xml:space="preserve">Run 593</t>
  </si>
  <si>
    <t xml:space="preserve">Run 594</t>
  </si>
  <si>
    <t xml:space="preserve">Run 595</t>
  </si>
  <si>
    <t xml:space="preserve">Run 596</t>
  </si>
  <si>
    <t xml:space="preserve">Run 597</t>
  </si>
  <si>
    <t xml:space="preserve">Run 598</t>
  </si>
  <si>
    <t xml:space="preserve">Run 599</t>
  </si>
  <si>
    <t xml:space="preserve">Run 600</t>
  </si>
  <si>
    <t xml:space="preserve">Run 601</t>
  </si>
  <si>
    <t xml:space="preserve">Run 602</t>
  </si>
  <si>
    <t xml:space="preserve">Run 603</t>
  </si>
  <si>
    <t xml:space="preserve">Run 604</t>
  </si>
  <si>
    <t xml:space="preserve">Run 605</t>
  </si>
  <si>
    <t xml:space="preserve">Run 606</t>
  </si>
  <si>
    <t xml:space="preserve">Run 607</t>
  </si>
  <si>
    <t xml:space="preserve">Run 608</t>
  </si>
  <si>
    <t xml:space="preserve">Run 609</t>
  </si>
  <si>
    <t xml:space="preserve">Run 610</t>
  </si>
  <si>
    <t xml:space="preserve">Run 611</t>
  </si>
  <si>
    <t xml:space="preserve">Run 612</t>
  </si>
  <si>
    <t xml:space="preserve">Run 613</t>
  </si>
  <si>
    <t xml:space="preserve">Run 614</t>
  </si>
  <si>
    <t xml:space="preserve">Run 615</t>
  </si>
  <si>
    <t xml:space="preserve">Run 616</t>
  </si>
  <si>
    <t xml:space="preserve">Run 617</t>
  </si>
  <si>
    <t xml:space="preserve">Run 618</t>
  </si>
  <si>
    <t xml:space="preserve">Run 619</t>
  </si>
  <si>
    <t xml:space="preserve">Run 620</t>
  </si>
  <si>
    <t xml:space="preserve">Run 621</t>
  </si>
  <si>
    <t xml:space="preserve">Run 622</t>
  </si>
  <si>
    <t xml:space="preserve">Run 623</t>
  </si>
  <si>
    <t xml:space="preserve">Run 624</t>
  </si>
  <si>
    <t xml:space="preserve">Run 625</t>
  </si>
  <si>
    <t xml:space="preserve">Run 626</t>
  </si>
  <si>
    <t xml:space="preserve">Run 627</t>
  </si>
  <si>
    <t xml:space="preserve">Run 628</t>
  </si>
  <si>
    <t xml:space="preserve">Run 629</t>
  </si>
  <si>
    <t xml:space="preserve">Run 630</t>
  </si>
  <si>
    <t xml:space="preserve">Run 631</t>
  </si>
  <si>
    <t xml:space="preserve">Run 632</t>
  </si>
  <si>
    <t xml:space="preserve">Run 633</t>
  </si>
  <si>
    <t xml:space="preserve">Run 634</t>
  </si>
  <si>
    <t xml:space="preserve">Run 635</t>
  </si>
  <si>
    <t xml:space="preserve">Run 636</t>
  </si>
  <si>
    <t xml:space="preserve">Run 637</t>
  </si>
  <si>
    <t xml:space="preserve">Run 638</t>
  </si>
  <si>
    <t xml:space="preserve">Run 639</t>
  </si>
  <si>
    <t xml:space="preserve">Run 640</t>
  </si>
  <si>
    <t xml:space="preserve">Run 641</t>
  </si>
  <si>
    <t xml:space="preserve">Run 642</t>
  </si>
  <si>
    <t xml:space="preserve">Run 643</t>
  </si>
  <si>
    <t xml:space="preserve">Run 644</t>
  </si>
  <si>
    <t xml:space="preserve">Run 645</t>
  </si>
  <si>
    <t xml:space="preserve">Run 646</t>
  </si>
  <si>
    <t xml:space="preserve">Run 647</t>
  </si>
  <si>
    <t xml:space="preserve">Run 648</t>
  </si>
  <si>
    <t xml:space="preserve">Run 649</t>
  </si>
  <si>
    <t xml:space="preserve">Run 650</t>
  </si>
  <si>
    <t xml:space="preserve">Run 651</t>
  </si>
  <si>
    <t xml:space="preserve">Run 652</t>
  </si>
  <si>
    <t xml:space="preserve">Run 653</t>
  </si>
  <si>
    <t xml:space="preserve">Run 654</t>
  </si>
  <si>
    <t xml:space="preserve">Run 655</t>
  </si>
  <si>
    <t xml:space="preserve">Run 656</t>
  </si>
  <si>
    <t xml:space="preserve">Run 657</t>
  </si>
  <si>
    <t xml:space="preserve">Run 658</t>
  </si>
  <si>
    <t xml:space="preserve">Run 659</t>
  </si>
  <si>
    <t xml:space="preserve">Run 660</t>
  </si>
  <si>
    <t xml:space="preserve">Run 661</t>
  </si>
  <si>
    <t xml:space="preserve">Run 662</t>
  </si>
  <si>
    <t xml:space="preserve">Run 663</t>
  </si>
  <si>
    <t xml:space="preserve">Run 664</t>
  </si>
  <si>
    <t xml:space="preserve">Run 665</t>
  </si>
  <si>
    <t xml:space="preserve">Run 666</t>
  </si>
  <si>
    <t xml:space="preserve">Run 667</t>
  </si>
  <si>
    <t xml:space="preserve">Run 668</t>
  </si>
  <si>
    <t xml:space="preserve">Run 669</t>
  </si>
  <si>
    <t xml:space="preserve">Run 670</t>
  </si>
  <si>
    <t xml:space="preserve">Run 671</t>
  </si>
  <si>
    <t xml:space="preserve">Run 672</t>
  </si>
  <si>
    <t xml:space="preserve">Run 673</t>
  </si>
  <si>
    <t xml:space="preserve">Run 674</t>
  </si>
  <si>
    <t xml:space="preserve">Run 675</t>
  </si>
  <si>
    <t xml:space="preserve">Run 676</t>
  </si>
  <si>
    <t xml:space="preserve">Run 677</t>
  </si>
  <si>
    <t xml:space="preserve">Run 678</t>
  </si>
  <si>
    <t xml:space="preserve">Run 679</t>
  </si>
  <si>
    <t xml:space="preserve">Run 680</t>
  </si>
  <si>
    <t xml:space="preserve">Run 681</t>
  </si>
  <si>
    <t xml:space="preserve">Run 682</t>
  </si>
  <si>
    <t xml:space="preserve">Run 683</t>
  </si>
  <si>
    <t xml:space="preserve">Run 684</t>
  </si>
  <si>
    <t xml:space="preserve">Run 685</t>
  </si>
  <si>
    <t xml:space="preserve">Run 686</t>
  </si>
  <si>
    <t xml:space="preserve">Run 687</t>
  </si>
  <si>
    <t xml:space="preserve">Run 688</t>
  </si>
  <si>
    <t xml:space="preserve">Run 689</t>
  </si>
  <si>
    <t xml:space="preserve">Run 690</t>
  </si>
  <si>
    <t xml:space="preserve">Run 691</t>
  </si>
  <si>
    <t xml:space="preserve">Run 692</t>
  </si>
  <si>
    <t xml:space="preserve">Run 693</t>
  </si>
  <si>
    <t xml:space="preserve">Run 694</t>
  </si>
  <si>
    <t xml:space="preserve">Run 695</t>
  </si>
  <si>
    <t xml:space="preserve">Run 696</t>
  </si>
  <si>
    <t xml:space="preserve">Run 697</t>
  </si>
  <si>
    <t xml:space="preserve">Run 698</t>
  </si>
  <si>
    <t xml:space="preserve">Run 699</t>
  </si>
  <si>
    <t xml:space="preserve">Run 700</t>
  </si>
  <si>
    <t xml:space="preserve">Run 701</t>
  </si>
  <si>
    <t xml:space="preserve">Run 702</t>
  </si>
  <si>
    <t xml:space="preserve">Run 703</t>
  </si>
  <si>
    <t xml:space="preserve">Run 704</t>
  </si>
  <si>
    <t xml:space="preserve">Run 705</t>
  </si>
  <si>
    <t xml:space="preserve">Run 706</t>
  </si>
  <si>
    <t xml:space="preserve">Run 707</t>
  </si>
  <si>
    <t xml:space="preserve">Run 708</t>
  </si>
  <si>
    <t xml:space="preserve">Run 709</t>
  </si>
  <si>
    <t xml:space="preserve">Run 710</t>
  </si>
  <si>
    <t xml:space="preserve">Run 711</t>
  </si>
  <si>
    <t xml:space="preserve">Run 712</t>
  </si>
  <si>
    <t xml:space="preserve">Run 713</t>
  </si>
  <si>
    <t xml:space="preserve">Run 714</t>
  </si>
  <si>
    <t xml:space="preserve">Run 715</t>
  </si>
  <si>
    <t xml:space="preserve">Run 716</t>
  </si>
  <si>
    <t xml:space="preserve">Run 717</t>
  </si>
  <si>
    <t xml:space="preserve">Run 718</t>
  </si>
  <si>
    <t xml:space="preserve">Run 719</t>
  </si>
  <si>
    <t xml:space="preserve">Run 720</t>
  </si>
  <si>
    <t xml:space="preserve">Run 721</t>
  </si>
  <si>
    <t xml:space="preserve">Run 722</t>
  </si>
  <si>
    <t xml:space="preserve">Run 723</t>
  </si>
  <si>
    <t xml:space="preserve">Run 724</t>
  </si>
  <si>
    <t xml:space="preserve">Run 725</t>
  </si>
  <si>
    <t xml:space="preserve">Run 726</t>
  </si>
  <si>
    <t xml:space="preserve">Run 727</t>
  </si>
  <si>
    <t xml:space="preserve">Run 728</t>
  </si>
  <si>
    <t xml:space="preserve">Run 729</t>
  </si>
  <si>
    <t xml:space="preserve">Run 730</t>
  </si>
  <si>
    <t xml:space="preserve">Run 731</t>
  </si>
  <si>
    <t xml:space="preserve">Run 732</t>
  </si>
  <si>
    <t xml:space="preserve">Run 733</t>
  </si>
  <si>
    <t xml:space="preserve">Run 734</t>
  </si>
  <si>
    <t xml:space="preserve">Run 735</t>
  </si>
  <si>
    <t xml:space="preserve">Run 736</t>
  </si>
  <si>
    <t xml:space="preserve">Run 737</t>
  </si>
  <si>
    <t xml:space="preserve">Run 738</t>
  </si>
  <si>
    <t xml:space="preserve">Run 739</t>
  </si>
  <si>
    <t xml:space="preserve">Run 740</t>
  </si>
  <si>
    <t xml:space="preserve">Run 741</t>
  </si>
  <si>
    <t xml:space="preserve">Run 742</t>
  </si>
  <si>
    <t xml:space="preserve">Run 743</t>
  </si>
  <si>
    <t xml:space="preserve">Run 744</t>
  </si>
  <si>
    <t xml:space="preserve">Run 745</t>
  </si>
  <si>
    <t xml:space="preserve">Run 746</t>
  </si>
  <si>
    <t xml:space="preserve">Run 747</t>
  </si>
  <si>
    <t xml:space="preserve">Run 748</t>
  </si>
  <si>
    <t xml:space="preserve">Run 749</t>
  </si>
  <si>
    <t xml:space="preserve">Run 750</t>
  </si>
  <si>
    <t xml:space="preserve">Run 751</t>
  </si>
  <si>
    <t xml:space="preserve">Run 752</t>
  </si>
  <si>
    <t xml:space="preserve">Run 753</t>
  </si>
  <si>
    <t xml:space="preserve">Run 754</t>
  </si>
  <si>
    <t xml:space="preserve">Run 755</t>
  </si>
  <si>
    <t xml:space="preserve">Run 756</t>
  </si>
  <si>
    <t xml:space="preserve">Run 757</t>
  </si>
  <si>
    <t xml:space="preserve">Run 758</t>
  </si>
  <si>
    <t xml:space="preserve">Run 759</t>
  </si>
  <si>
    <t xml:space="preserve">Run 760</t>
  </si>
  <si>
    <t xml:space="preserve">Run 761</t>
  </si>
  <si>
    <t xml:space="preserve">Run 762</t>
  </si>
  <si>
    <t xml:space="preserve">Run 763</t>
  </si>
  <si>
    <t xml:space="preserve">Run 764</t>
  </si>
  <si>
    <t xml:space="preserve">Run 765</t>
  </si>
  <si>
    <t xml:space="preserve">Run 766</t>
  </si>
  <si>
    <t xml:space="preserve">Run 767</t>
  </si>
  <si>
    <t xml:space="preserve">Run 768</t>
  </si>
  <si>
    <t xml:space="preserve">Run 769</t>
  </si>
  <si>
    <t xml:space="preserve">Run 770</t>
  </si>
  <si>
    <t xml:space="preserve">Run 771</t>
  </si>
  <si>
    <t xml:space="preserve">Run 772</t>
  </si>
  <si>
    <t xml:space="preserve">Run 773</t>
  </si>
  <si>
    <t xml:space="preserve">Run 774</t>
  </si>
  <si>
    <t xml:space="preserve">Run 775</t>
  </si>
  <si>
    <t xml:space="preserve">Run 776</t>
  </si>
  <si>
    <t xml:space="preserve">Run 777</t>
  </si>
  <si>
    <t xml:space="preserve">Run 778</t>
  </si>
  <si>
    <t xml:space="preserve">Run 779</t>
  </si>
  <si>
    <t xml:space="preserve">Run 780</t>
  </si>
  <si>
    <t xml:space="preserve">Run 781</t>
  </si>
  <si>
    <t xml:space="preserve">Run 782</t>
  </si>
  <si>
    <t xml:space="preserve">Run 783</t>
  </si>
  <si>
    <t xml:space="preserve">Run 784</t>
  </si>
  <si>
    <t xml:space="preserve">Run 785</t>
  </si>
  <si>
    <t xml:space="preserve">Run 786</t>
  </si>
  <si>
    <t xml:space="preserve">Run 787</t>
  </si>
  <si>
    <t xml:space="preserve">Run 788</t>
  </si>
  <si>
    <t xml:space="preserve">Run 789</t>
  </si>
  <si>
    <t xml:space="preserve">Run 790</t>
  </si>
  <si>
    <t xml:space="preserve">Run 791</t>
  </si>
  <si>
    <t xml:space="preserve">Run 792</t>
  </si>
  <si>
    <t xml:space="preserve">Run 793</t>
  </si>
  <si>
    <t xml:space="preserve">Run 794</t>
  </si>
  <si>
    <t xml:space="preserve">Run 795</t>
  </si>
  <si>
    <t xml:space="preserve">Run 796</t>
  </si>
  <si>
    <t xml:space="preserve">Run 797</t>
  </si>
  <si>
    <t xml:space="preserve">Run 798</t>
  </si>
  <si>
    <t xml:space="preserve">Run 799</t>
  </si>
  <si>
    <t xml:space="preserve">Run 800</t>
  </si>
  <si>
    <t xml:space="preserve">Run 801</t>
  </si>
  <si>
    <t xml:space="preserve">Run 802</t>
  </si>
  <si>
    <t xml:space="preserve">Run 803</t>
  </si>
  <si>
    <t xml:space="preserve">Run 804</t>
  </si>
  <si>
    <t xml:space="preserve">Run 805</t>
  </si>
  <si>
    <t xml:space="preserve">Run 806</t>
  </si>
  <si>
    <t xml:space="preserve">Run 807</t>
  </si>
  <si>
    <t xml:space="preserve">Run 808</t>
  </si>
  <si>
    <t xml:space="preserve">Run 809</t>
  </si>
  <si>
    <t xml:space="preserve">Run 810</t>
  </si>
  <si>
    <t xml:space="preserve">Run 811</t>
  </si>
  <si>
    <t xml:space="preserve">Run 812</t>
  </si>
  <si>
    <t xml:space="preserve">Run 813</t>
  </si>
  <si>
    <t xml:space="preserve">Run 814</t>
  </si>
  <si>
    <t xml:space="preserve">Run 815</t>
  </si>
  <si>
    <t xml:space="preserve">Run 816</t>
  </si>
  <si>
    <t xml:space="preserve">Run 817</t>
  </si>
  <si>
    <t xml:space="preserve">Run 818</t>
  </si>
  <si>
    <t xml:space="preserve">Run 819</t>
  </si>
  <si>
    <t xml:space="preserve">Run 820</t>
  </si>
  <si>
    <t xml:space="preserve">Run 821</t>
  </si>
  <si>
    <t xml:space="preserve">Run 822</t>
  </si>
  <si>
    <t xml:space="preserve">Run 823</t>
  </si>
  <si>
    <t xml:space="preserve">Run 824</t>
  </si>
  <si>
    <t xml:space="preserve">Run 825</t>
  </si>
  <si>
    <t xml:space="preserve">Run 826</t>
  </si>
  <si>
    <t xml:space="preserve">Run 827</t>
  </si>
  <si>
    <t xml:space="preserve">Run 828</t>
  </si>
  <si>
    <t xml:space="preserve">Run 829</t>
  </si>
  <si>
    <t xml:space="preserve">Run 830</t>
  </si>
  <si>
    <t xml:space="preserve">Run 831</t>
  </si>
  <si>
    <t xml:space="preserve">Run 832</t>
  </si>
  <si>
    <t xml:space="preserve">Run 833</t>
  </si>
  <si>
    <t xml:space="preserve">Run 834</t>
  </si>
  <si>
    <t xml:space="preserve">Run 835</t>
  </si>
  <si>
    <t xml:space="preserve">Run 836</t>
  </si>
  <si>
    <t xml:space="preserve">Run 837</t>
  </si>
  <si>
    <t xml:space="preserve">Run 838</t>
  </si>
  <si>
    <t xml:space="preserve">Run 839</t>
  </si>
  <si>
    <t xml:space="preserve">Run 840</t>
  </si>
  <si>
    <t xml:space="preserve">Run 841</t>
  </si>
  <si>
    <t xml:space="preserve">Run 842</t>
  </si>
  <si>
    <t xml:space="preserve">Run 843</t>
  </si>
  <si>
    <t xml:space="preserve">Run 844</t>
  </si>
  <si>
    <t xml:space="preserve">Run 845</t>
  </si>
  <si>
    <t xml:space="preserve">Run 846</t>
  </si>
  <si>
    <t xml:space="preserve">Run 847</t>
  </si>
  <si>
    <t xml:space="preserve">Run 848</t>
  </si>
  <si>
    <t xml:space="preserve">Run 849</t>
  </si>
  <si>
    <t xml:space="preserve">Run 850</t>
  </si>
  <si>
    <t xml:space="preserve">Run 851</t>
  </si>
  <si>
    <t xml:space="preserve">Run 852</t>
  </si>
  <si>
    <t xml:space="preserve">Run 853</t>
  </si>
  <si>
    <t xml:space="preserve">Run 854</t>
  </si>
  <si>
    <t xml:space="preserve">Run 855</t>
  </si>
  <si>
    <t xml:space="preserve">Run 856</t>
  </si>
  <si>
    <t xml:space="preserve">Run 857</t>
  </si>
  <si>
    <t xml:space="preserve">Run 858</t>
  </si>
  <si>
    <t xml:space="preserve">Run 859</t>
  </si>
  <si>
    <t xml:space="preserve">Run 860</t>
  </si>
  <si>
    <t xml:space="preserve">Run 861</t>
  </si>
  <si>
    <t xml:space="preserve">Run 862</t>
  </si>
  <si>
    <t xml:space="preserve">Run 863</t>
  </si>
  <si>
    <t xml:space="preserve">Run 864</t>
  </si>
  <si>
    <t xml:space="preserve">Run 865</t>
  </si>
  <si>
    <t xml:space="preserve">Run 866</t>
  </si>
  <si>
    <t xml:space="preserve">Run 867</t>
  </si>
  <si>
    <t xml:space="preserve">Run 868</t>
  </si>
  <si>
    <t xml:space="preserve">Run 869</t>
  </si>
  <si>
    <t xml:space="preserve">Run 870</t>
  </si>
  <si>
    <t xml:space="preserve">Run 871</t>
  </si>
  <si>
    <t xml:space="preserve">Run 872</t>
  </si>
  <si>
    <t xml:space="preserve">Run 873</t>
  </si>
  <si>
    <t xml:space="preserve">Run 874</t>
  </si>
  <si>
    <t xml:space="preserve">Run 875</t>
  </si>
  <si>
    <t xml:space="preserve">Run 876</t>
  </si>
  <si>
    <t xml:space="preserve">Run 877</t>
  </si>
  <si>
    <t xml:space="preserve">Run 878</t>
  </si>
  <si>
    <t xml:space="preserve">Run 879</t>
  </si>
  <si>
    <t xml:space="preserve">Run 880</t>
  </si>
  <si>
    <t xml:space="preserve">Run 881</t>
  </si>
  <si>
    <t xml:space="preserve">Run 882</t>
  </si>
  <si>
    <t xml:space="preserve">Run 883</t>
  </si>
  <si>
    <t xml:space="preserve">Run 884</t>
  </si>
  <si>
    <t xml:space="preserve">Run 885</t>
  </si>
  <si>
    <t xml:space="preserve">Run 886</t>
  </si>
  <si>
    <t xml:space="preserve">Run 887</t>
  </si>
  <si>
    <t xml:space="preserve">Run 888</t>
  </si>
  <si>
    <t xml:space="preserve">Run 889</t>
  </si>
  <si>
    <t xml:space="preserve">Run 890</t>
  </si>
  <si>
    <t xml:space="preserve">Run 891</t>
  </si>
  <si>
    <t xml:space="preserve">Run 892</t>
  </si>
  <si>
    <t xml:space="preserve">Run 893</t>
  </si>
  <si>
    <t xml:space="preserve">Run 894</t>
  </si>
  <si>
    <t xml:space="preserve">Run 895</t>
  </si>
  <si>
    <t xml:space="preserve">Run 896</t>
  </si>
  <si>
    <t xml:space="preserve">Run 897</t>
  </si>
  <si>
    <t xml:space="preserve">Run 898</t>
  </si>
  <si>
    <t xml:space="preserve">Run 899</t>
  </si>
  <si>
    <t xml:space="preserve">Run 900</t>
  </si>
  <si>
    <t xml:space="preserve">Run 901</t>
  </si>
  <si>
    <t xml:space="preserve">Run 902</t>
  </si>
  <si>
    <t xml:space="preserve">Run 903</t>
  </si>
  <si>
    <t xml:space="preserve">Run 904</t>
  </si>
  <si>
    <t xml:space="preserve">Run 905</t>
  </si>
  <si>
    <t xml:space="preserve">Run 906</t>
  </si>
  <si>
    <t xml:space="preserve">Run 907</t>
  </si>
  <si>
    <t xml:space="preserve">Run 908</t>
  </si>
  <si>
    <t xml:space="preserve">Run 909</t>
  </si>
  <si>
    <t xml:space="preserve">Run 910</t>
  </si>
  <si>
    <t xml:space="preserve">Run 911</t>
  </si>
  <si>
    <t xml:space="preserve">Run 912</t>
  </si>
  <si>
    <t xml:space="preserve">Run 913</t>
  </si>
  <si>
    <t xml:space="preserve">Run 914</t>
  </si>
  <si>
    <t xml:space="preserve">Run 915</t>
  </si>
  <si>
    <t xml:space="preserve">Run 916</t>
  </si>
  <si>
    <t xml:space="preserve">Run 917</t>
  </si>
  <si>
    <t xml:space="preserve">Run 918</t>
  </si>
  <si>
    <t xml:space="preserve">Run 919</t>
  </si>
  <si>
    <t xml:space="preserve">Run 920</t>
  </si>
  <si>
    <t xml:space="preserve">Run 921</t>
  </si>
  <si>
    <t xml:space="preserve">Run 922</t>
  </si>
  <si>
    <t xml:space="preserve">Run 923</t>
  </si>
  <si>
    <t xml:space="preserve">Run 924</t>
  </si>
  <si>
    <t xml:space="preserve">Run 925</t>
  </si>
  <si>
    <t xml:space="preserve">Run 926</t>
  </si>
  <si>
    <t xml:space="preserve">Run 927</t>
  </si>
  <si>
    <t xml:space="preserve">Run 928</t>
  </si>
  <si>
    <t xml:space="preserve">Run 929</t>
  </si>
  <si>
    <t xml:space="preserve">Run 930</t>
  </si>
  <si>
    <t xml:space="preserve">Run 931</t>
  </si>
  <si>
    <t xml:space="preserve">Run 932</t>
  </si>
  <si>
    <t xml:space="preserve">Run 933</t>
  </si>
  <si>
    <t xml:space="preserve">Run 934</t>
  </si>
  <si>
    <t xml:space="preserve">Run 935</t>
  </si>
  <si>
    <t xml:space="preserve">Run 936</t>
  </si>
  <si>
    <t xml:space="preserve">Run 937</t>
  </si>
  <si>
    <t xml:space="preserve">Run 938</t>
  </si>
  <si>
    <t xml:space="preserve">Run 939</t>
  </si>
  <si>
    <t xml:space="preserve">Run 940</t>
  </si>
  <si>
    <t xml:space="preserve">Run 941</t>
  </si>
  <si>
    <t xml:space="preserve">Run 942</t>
  </si>
  <si>
    <t xml:space="preserve">Run 943</t>
  </si>
  <si>
    <t xml:space="preserve">Run 944</t>
  </si>
  <si>
    <t xml:space="preserve">Run 945</t>
  </si>
  <si>
    <t xml:space="preserve">Run 946</t>
  </si>
  <si>
    <t xml:space="preserve">Run 947</t>
  </si>
  <si>
    <t xml:space="preserve">Run 948</t>
  </si>
  <si>
    <t xml:space="preserve">Run 949</t>
  </si>
  <si>
    <t xml:space="preserve">Run 950</t>
  </si>
  <si>
    <t xml:space="preserve">Run 951</t>
  </si>
  <si>
    <t xml:space="preserve">Run 952</t>
  </si>
  <si>
    <t xml:space="preserve">Run 953</t>
  </si>
  <si>
    <t xml:space="preserve">Run 954</t>
  </si>
  <si>
    <t xml:space="preserve">Run 955</t>
  </si>
  <si>
    <t xml:space="preserve">Run 956</t>
  </si>
  <si>
    <t xml:space="preserve">Run 957</t>
  </si>
  <si>
    <t xml:space="preserve">Run 958</t>
  </si>
  <si>
    <t xml:space="preserve">Run 959</t>
  </si>
  <si>
    <t xml:space="preserve">Run 960</t>
  </si>
  <si>
    <t xml:space="preserve">Run 961</t>
  </si>
  <si>
    <t xml:space="preserve">Run 962</t>
  </si>
  <si>
    <t xml:space="preserve">Run 963</t>
  </si>
  <si>
    <t xml:space="preserve">Run 964</t>
  </si>
  <si>
    <t xml:space="preserve">Run 965</t>
  </si>
  <si>
    <t xml:space="preserve">Run 966</t>
  </si>
  <si>
    <t xml:space="preserve">Run 967</t>
  </si>
  <si>
    <t xml:space="preserve">Run 968</t>
  </si>
  <si>
    <t xml:space="preserve">Run 969</t>
  </si>
  <si>
    <t xml:space="preserve">Run 970</t>
  </si>
  <si>
    <t xml:space="preserve">Run 971</t>
  </si>
  <si>
    <t xml:space="preserve">Run 972</t>
  </si>
  <si>
    <t xml:space="preserve">Run 973</t>
  </si>
  <si>
    <t xml:space="preserve">Run 974</t>
  </si>
  <si>
    <t xml:space="preserve">Run 975</t>
  </si>
  <si>
    <t xml:space="preserve">Run 976</t>
  </si>
  <si>
    <t xml:space="preserve">Run 977</t>
  </si>
  <si>
    <t xml:space="preserve">Run 978</t>
  </si>
  <si>
    <t xml:space="preserve">Run 979</t>
  </si>
  <si>
    <t xml:space="preserve">Run 980</t>
  </si>
  <si>
    <t xml:space="preserve">Run 981</t>
  </si>
  <si>
    <t xml:space="preserve">Run 982</t>
  </si>
  <si>
    <t xml:space="preserve">Run 983</t>
  </si>
  <si>
    <t xml:space="preserve">Run 984</t>
  </si>
  <si>
    <t xml:space="preserve">Run 985</t>
  </si>
  <si>
    <t xml:space="preserve">Run 986</t>
  </si>
  <si>
    <t xml:space="preserve">Run 987</t>
  </si>
  <si>
    <t xml:space="preserve">Run 988</t>
  </si>
  <si>
    <t xml:space="preserve">Run 989</t>
  </si>
  <si>
    <t xml:space="preserve">Run 990</t>
  </si>
  <si>
    <t xml:space="preserve">Run 991</t>
  </si>
  <si>
    <t xml:space="preserve">Run 992</t>
  </si>
  <si>
    <t xml:space="preserve">Run 993</t>
  </si>
  <si>
    <t xml:space="preserve">Run 994</t>
  </si>
  <si>
    <t xml:space="preserve">Run 995</t>
  </si>
  <si>
    <t xml:space="preserve">Run 996</t>
  </si>
  <si>
    <t xml:space="preserve">Run 997</t>
  </si>
  <si>
    <t xml:space="preserve">Run 998</t>
  </si>
  <si>
    <t xml:space="preserve">Run 999</t>
  </si>
  <si>
    <t xml:space="preserve">Run 1000</t>
  </si>
  <si>
    <t xml:space="preserve">ECA test limits (OECD Arrangement, 2018 commitments) and constants for the appended rows</t>
  </si>
  <si>
    <t xml:space="preserve">ECA limit: repayment term from COD</t>
  </si>
  <si>
    <t xml:space="preserve">ECA limit: weighted average life from COD</t>
  </si>
  <si>
    <t xml:space="preserve">ECA limit: largest installment</t>
  </si>
  <si>
    <t xml:space="preserve">% of principal</t>
  </si>
  <si>
    <t xml:space="preserve">ECA limit: months from COD to first repayment (and window for the minimum share)</t>
  </si>
  <si>
    <t xml:space="preserve">ECA limit: minimum share repaid within the window</t>
  </si>
  <si>
    <t xml:space="preserve">Days per year for life measures</t>
  </si>
  <si>
    <t xml:space="preserve">Monte Carlo: operating years with an availability shock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</si>
  <si>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</si>
  <si>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</si>
  <si>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</si>
  <si>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</si>
  <si>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</si>
  <si>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</si>
  <si>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</si>
  <si>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</si>
  <si>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</si>
  <si>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</si>
  <si>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expectations; Monte Carlo draw when active)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</si>
  <si>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</si>
  <si>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</si>
  <si>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</si>
  <si>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</si>
  <si>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</si>
  <si>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</si>
  <si>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</si>
  <si>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</si>
  <si>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</si>
  <si>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</si>
  <si>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</si>
  <si>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</si>
  <si>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</si>
  <si>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</si>
  <si>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</si>
  <si>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</si>
  <si>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</si>
  <si>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</si>
  <si>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</si>
  <si>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</si>
  <si>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</si>
  <si>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</si>
  <si>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</si>
  <si>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</si>
  <si>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</si>
  <si>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</si>
  <si>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</si>
  <si>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</si>
  <si>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</si>
  <si>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</si>
  <si>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</si>
  <si>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</si>
  <si>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</si>
  <si>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</si>
  <si>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</si>
  <si>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</si>
  <si>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</si>
  <si>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</si>
  <si>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</si>
  <si>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</si>
  <si>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</si>
  <si>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</si>
  <si>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</si>
  <si>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</si>
  <si>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</si>
  <si>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</si>
  <si>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</si>
  <si>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</si>
  <si>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</si>
  <si>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</si>
  <si>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</si>
  <si>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</si>
  <si>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</si>
  <si>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</si>
  <si>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</si>
  <si>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</si>
  <si>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</si>
  <si>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</si>
  <si>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</si>
  <si>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</si>
  <si>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</si>
  <si>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</si>
  <si>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</si>
  <si>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</si>
  <si>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</si>
  <si>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</si>
  <si>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</si>
  <si>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</si>
  <si>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</si>
  <si>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</si>
  <si>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</si>
  <si>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</si>
  <si>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</si>
  <si>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</si>
  <si>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</si>
  <si>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</si>
  <si>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</si>
  <si>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</si>
  <si>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</si>
  <si>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</si>
  <si>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</si>
  <si>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</si>
  <si>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</si>
  <si>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</si>
  <si>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</si>
  <si>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</si>
  <si>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</si>
  <si>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</si>
  <si>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</si>
  <si>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</si>
  <si>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</si>
  <si>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</si>
  <si>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</si>
  <si>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</si>
  <si>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</si>
  <si>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</si>
  <si>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</si>
  <si>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</si>
  <si>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</si>
  <si>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</si>
  <si>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</si>
  <si>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</si>
  <si>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</si>
  <si>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</si>
  <si>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</si>
  <si>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</si>
  <si>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</si>
  <si>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</si>
  <si>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</si>
  <si>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</si>
  <si>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</si>
  <si>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</si>
  <si>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</si>
  <si>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</si>
  <si>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</si>
  <si>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</si>
  <si>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</si>
  <si>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</si>
  <si>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</si>
  <si>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</si>
  <si>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</si>
  <si>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</si>
  <si>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</si>
  <si>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</si>
  <si>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</si>
  <si>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</si>
  <si>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</si>
  <si>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</si>
  <si>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</si>
  <si>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</si>
  <si>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</si>
  <si>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</si>
  <si>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</si>
  <si>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</si>
  <si>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</si>
  <si>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</si>
  <si>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</si>
  <si>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</si>
  <si>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</si>
  <si>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</si>
  <si>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</si>
  <si>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</si>
  <si>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</si>
  <si>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</si>
  <si>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</si>
  <si>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</si>
  <si>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</si>
  <si>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(month-weighted; plus the Monte Carlo shock for the operating year when active)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</si>
  <si>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</si>
  <si>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</si>
  <si>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</si>
  <si>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</si>
  <si>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</si>
  <si>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</si>
  <si>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</si>
  <si>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</si>
  <si>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</si>
  <si>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</si>
  <si>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</si>
  <si>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</si>
  <si>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</si>
  <si>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</si>
  <si>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</si>
  <si>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</si>
  <si>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</si>
  <si>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</si>
  <si>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</si>
  <si>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</si>
  <si>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</si>
  <si>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</si>
  <si>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</si>
  <si>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</si>
  <si>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</si>
  <si>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</si>
  <si>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</si>
  <si>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</si>
  <si>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</si>
  <si>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</si>
  <si>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</si>
  <si>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</si>
  <si>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</si>
  <si>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</si>
  <si>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</si>
  <si>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</si>
  <si>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</si>
  <si>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</si>
  <si>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</si>
  <si>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</si>
  <si>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</si>
  <si>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</si>
  <si>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</si>
  <si>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</si>
  <si>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</si>
  <si>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</si>
  <si>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</si>
  <si>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</si>
  <si>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</si>
  <si>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</si>
  <si>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</si>
  <si>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</si>
  <si>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</si>
  <si>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</si>
  <si>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</si>
  <si>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</si>
  <si>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</si>
  <si>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</si>
  <si>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</si>
  <si>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</si>
  <si>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</si>
  <si>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Fuel pass-through test: fuel charge less gas purchases (= heat-rate headroom margin)</t>
  </si>
  <si>
    <t xml:space="preserve">GTA pass-through test (0 in every period)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</si>
  <si>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</si>
  <si>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</si>
  <si>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</si>
  <si>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</si>
  <si>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</si>
  <si>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</si>
  <si>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</si>
  <si>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</si>
  <si>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</si>
  <si>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</si>
  <si>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</si>
  <si>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</si>
  <si>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</si>
  <si>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</si>
  <si>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</si>
  <si>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</si>
  <si>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</si>
  <si>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</si>
  <si>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</si>
  <si>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</si>
  <si>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</si>
  <si>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</si>
  <si>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</si>
  <si>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</si>
  <si>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</si>
  <si>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</si>
  <si>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</si>
  <si>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 (A, B, commercial, standby)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</si>
  <si>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</si>
  <si>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</si>
  <si>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</si>
  <si>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</si>
  <si>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</si>
  <si>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</si>
  <si>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</si>
  <si>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</si>
  <si>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</si>
  <si>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</si>
  <si>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</si>
  <si>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</si>
  <si>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</si>
  <si>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</si>
  <si>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</si>
  <si>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</si>
  <si>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</si>
  <si>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</si>
  <si>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</si>
  <si>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</si>
  <si>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</si>
  <si>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</si>
  <si>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</si>
  <si>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</si>
  <si>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</si>
  <si>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</si>
  <si>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</si>
  <si>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</si>
  <si>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</si>
  <si>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</si>
  <si>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</si>
  <si>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</si>
  <si>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</si>
  <si>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</si>
  <si>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</si>
  <si>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</si>
  <si>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</si>
  <si>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</si>
  <si>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</si>
  <si>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</si>
  <si>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</si>
  <si>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</si>
  <si>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</si>
  <si>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</si>
  <si>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</si>
  <si>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</si>
  <si>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</si>
  <si>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</si>
  <si>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</si>
  <si>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</si>
  <si>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</si>
  <si>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</si>
  <si>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</si>
  <si>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</si>
  <si>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</si>
  <si>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</si>
  <si>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</si>
  <si>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</si>
  <si>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</si>
  <si>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</si>
  <si>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</si>
  <si>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</si>
  <si>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</si>
  <si>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</si>
  <si>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</si>
  <si>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</si>
  <si>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</si>
  <si>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</si>
  <si>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</si>
  <si>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</si>
  <si>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</si>
  <si>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</si>
  <si>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</si>
  <si>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</si>
  <si>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</si>
  <si>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</si>
  <si>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</si>
  <si>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</si>
  <si>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</si>
  <si>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</si>
  <si>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</si>
  <si>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</si>
  <si>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</si>
  <si>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</si>
  <si>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</si>
  <si>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</si>
  <si>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</si>
  <si>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</si>
  <si>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</si>
  <si>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</si>
  <si>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</si>
  <si>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</si>
  <si>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</si>
  <si>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</si>
  <si>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</si>
  <si>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</si>
  <si>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</si>
  <si>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</si>
  <si>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</si>
  <si>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</si>
  <si>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</si>
  <si>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</si>
  <si>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</si>
  <si>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</si>
  <si>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</si>
  <si>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</si>
  <si>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</si>
  <si>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</si>
  <si>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</si>
  <si>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</si>
  <si>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</si>
  <si>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</si>
  <si>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</si>
  <si>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</si>
  <si>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</si>
  <si>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</si>
  <si>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</si>
  <si>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</si>
  <si>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</si>
  <si>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</si>
  <si>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</si>
  <si>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</si>
  <si>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</si>
  <si>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</si>
  <si>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</si>
  <si>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</si>
  <si>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</si>
  <si>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</si>
  <si>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</si>
  <si>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total debt service; ECA equal installments, other tranches sculpted)</t>
  </si>
  <si>
    <t xml:space="preserve">Sculpting rate on the other tranches' scheduled balance (A, B, commercial incl. PRI; plus swap)</t>
  </si>
  <si>
    <t xml:space="preserve">PV of CFADS to final maturity at the sculpting rate</t>
  </si>
  <si>
    <t xml:space="preserve">Sculpted DSCR = PV(CFADS) / (other tranches + PV of ECA debt service), at the sculpting rate</t>
  </si>
  <si>
    <t xml:space="preserve">Debt capacity at the target DSCR (debt x sculpted DSCR / target)</t>
  </si>
  <si>
    <t xml:space="preserve">Debt at the gearing cap (closed form)</t>
  </si>
  <si>
    <t xml:space="preserve">Sculpted debt service (all tranches)</t>
  </si>
  <si>
    <t xml:space="preserve">Sculpted balance of the other tranches, opening</t>
  </si>
  <si>
    <t xml:space="preserve">Sculpted principal of the other tranches</t>
  </si>
  <si>
    <t xml:space="preserve">Sculpted principal less contract principal, other tranches (FC base)</t>
  </si>
  <si>
    <t xml:space="preserve">ECA tests (ECA-covered tranche, contractual schedule): years from COD to period end</t>
  </si>
  <si>
    <t xml:space="preserve">ECA test: weighted average life from COD</t>
  </si>
  <si>
    <t xml:space="preserve">ECA test: largest installment as a share of principal</t>
  </si>
  <si>
    <t xml:space="preserve">ECA test: repayment term from COD (to the last installment)</t>
  </si>
  <si>
    <t xml:space="preserve">ECA test: months from COD to the first repayment</t>
  </si>
  <si>
    <t xml:space="preserve">ECA test: share of principal repaid within the window from COD</t>
  </si>
  <si>
    <t xml:space="preserve">ECA-covered tranche: contractual schedule (equal semiannual installments, first repayment period to final maturity)</t>
  </si>
  <si>
    <t xml:space="preserve">ECA installment, share of the ECA amount</t>
  </si>
  <si>
    <t xml:space="preserve">ECA remaining profile (this and later installments)</t>
  </si>
  <si>
    <t xml:space="preserve">ECA installment share of remaining balance</t>
  </si>
  <si>
    <t xml:space="preserve">Swap net cost per USD of total scheduled balance (sculpting)</t>
  </si>
  <si>
    <t xml:space="preserve">ECA scheduled debt service in the sculpting (installment, interest, swap share)</t>
  </si>
  <si>
    <t xml:space="preserve">PV of ECA scheduled debt service at the sculpting rate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</si>
  <si>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</si>
  <si>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</si>
  <si>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</si>
  <si>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</si>
  <si>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</si>
  <si>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</si>
  <si>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</si>
  <si>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</si>
  <si>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</si>
  <si>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</si>
  <si>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</si>
  <si>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</si>
  <si>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</si>
  <si>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</si>
  <si>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</si>
  <si>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</si>
  <si>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</si>
  <si>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</si>
  <si>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</si>
  <si>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</si>
  <si>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</si>
  <si>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</si>
  <si>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</si>
  <si>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</si>
  <si>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</si>
  <si>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</si>
  <si>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</si>
  <si>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</si>
  <si>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</si>
  <si>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</si>
  <si>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</si>
  <si>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</si>
  <si>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</si>
  <si>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</si>
  <si>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</si>
  <si>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</si>
  <si>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</si>
  <si>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</si>
  <si>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</si>
  <si>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</si>
  <si>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</si>
  <si>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</si>
  <si>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</si>
  <si>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</si>
  <si>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</si>
  <si>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</si>
  <si>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</si>
  <si>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</si>
  <si>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</si>
  <si>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</si>
  <si>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</si>
  <si>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</si>
  <si>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</si>
  <si>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</si>
  <si>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</si>
  <si>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</si>
  <si>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</si>
  <si>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</si>
  <si>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</si>
  <si>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</si>
  <si>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</si>
  <si>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</si>
  <si>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</si>
  <si>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</si>
  <si>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</si>
  <si>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</si>
  <si>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</si>
  <si>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</si>
  <si>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</si>
  <si>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</si>
  <si>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</si>
  <si>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</si>
  <si>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</si>
  <si>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</si>
  <si>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Cash flow statement (USD m; project accounts as in the cash row above)</t>
  </si>
  <si>
    <t xml:space="preserve">Tax paid</t>
  </si>
  <si>
    <t xml:space="preserve">Working capital: increase (negative) and spares release</t>
  </si>
  <si>
    <t xml:space="preserve">MMRA net: releases for outlays less contributions</t>
  </si>
  <si>
    <t xml:space="preserve">Senior debt service and fees</t>
  </si>
  <si>
    <t xml:space="preserve">Performance LDs received (Compensation Account)</t>
  </si>
  <si>
    <t xml:space="preserve">Performance LD prepayment of senior debt</t>
  </si>
  <si>
    <t xml:space="preserve">Bond issued, net of refinancing costs</t>
  </si>
  <si>
    <t xml:space="preserve">Senior debt prepaid from bond proceeds</t>
  </si>
  <si>
    <t xml:space="preserve">Cash sweeps (lock-up and soft mini-perm)</t>
  </si>
  <si>
    <t xml:space="preserve">Shareholder loan interest and principal paid</t>
  </si>
  <si>
    <t xml:space="preserve">DSRA initial funding from the construction budget (COD period)</t>
  </si>
  <si>
    <t xml:space="preserve">Construction: delay LDs and DSU received less applied to uses</t>
  </si>
  <si>
    <t xml:space="preserve">MMRA contributions less releases (held in the project accounts)</t>
  </si>
  <si>
    <t xml:space="preserve">Net cash flow</t>
  </si>
  <si>
    <t xml:space="preserve">Memo: DSRA top-ups less drawings and releases (transfers within the project accounts)</t>
  </si>
  <si>
    <t xml:space="preserve">Change in project-account cash</t>
  </si>
  <si>
    <t xml:space="preserve">Cash check: change in cash less net cash flow (0)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</si>
  <si>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</si>
  <si>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</si>
  <si>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</si>
  <si>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</si>
  <si>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</si>
  <si>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</si>
  <si>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</si>
  <si>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</si>
  <si>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</si>
  <si>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</si>
  <si>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</si>
  <si>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</si>
  <si>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</si>
  <si>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</si>
  <si>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Projected 12-month DSCR, next two periods (report only)</t>
  </si>
  <si>
    <t xml:space="preserve">Projected 12-month DSCR below the lock-up level (flag)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</si>
  <si>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</si>
  <si>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</si>
  <si>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</si>
  <si>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</si>
  <si>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</si>
  <si>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</si>
  <si>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</si>
  <si>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</si>
  <si>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</si>
  <si>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</si>
  <si>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</si>
  <si>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</si>
  <si>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</si>
  <si>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</si>
  <si>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</si>
  <si>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(FC-type, Monte Carlo off),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</si>
  <si>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</si>
  <si>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</si>
  <si>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</si>
  <si>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</si>
  <si>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</si>
  <si>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</si>
  <si>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</si>
  <si>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</si>
  <si>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</si>
  <si>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</si>
  <si>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</si>
  <si>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Time: operating months sum to the PPA term</t>
  </si>
  <si>
    <t xml:space="preserve">Construction flags sum to construction months</t>
  </si>
  <si>
    <t xml:space="preserve">Cash flow statement reconciles to project-account cash (max abs, USD m)</t>
  </si>
  <si>
    <t xml:space="preserve">ECA tests pass on the ECA-covered tranche's contractual schedule (number of failed tests)</t>
  </si>
  <si>
    <t xml:space="preserve">MMRA window equals the input number of periods</t>
  </si>
  <si>
    <t xml:space="preserve">Outputs: live dashboard equals the pasted row of the selected scenario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</si>
  <si>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</si>
  <si>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</si>
  <si>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</si>
  <si>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</si>
  <si>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</si>
  <si>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</si>
  <si>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</si>
  <si>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</si>
  <si>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</si>
  <si>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</si>
  <si>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</si>
  <si>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</si>
  <si>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</si>
  <si>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Project IRR, post-tax</t>
  </si>
  <si>
    <t xml:space="preserve">Equity NPV at 16.0% (at FC)</t>
  </si>
  <si>
    <t xml:space="preserve">All checks</t>
  </si>
  <si>
    <t xml:space="preserve">Fifteen-scenario results pasted from case_p.py (model version 1.4, run 2026-10-03); compare row below and Checks row 25</t>
  </si>
  <si>
    <t xml:space="preserve">Scenario</t>
  </si>
  <si>
    <t xml:space="preserve">1: FC base</t>
  </si>
  <si>
    <t xml:space="preserve">2: FC banking</t>
  </si>
  <si>
    <t xml:space="preserve">3: FC downside</t>
  </si>
  <si>
    <t xml:space="preserve">4: Sens: availability -3 points</t>
  </si>
  <si>
    <t xml:space="preserve">5: Sens: heat rate +2%</t>
  </si>
  <si>
    <t xml:space="preserve">6: Sens: fixed opex +10%</t>
  </si>
  <si>
    <t xml:space="preserve">7: Sens: capex +10% funded pro rata</t>
  </si>
  <si>
    <t xml:space="preserve">8: Sens: COD delay 6 months, no LDs</t>
  </si>
  <si>
    <t xml:space="preserve">9: Sens: base rate +200 bps (unhedged)</t>
  </si>
  <si>
    <t xml:space="preserve">10: Sens: KCR devaluation 40%, 90-day lag</t>
  </si>
  <si>
    <t xml:space="preserve">11: Sens: SEKA pays 120 days late for 12 months</t>
  </si>
  <si>
    <t xml:space="preserve">12: Sens: dispatch 50%</t>
  </si>
  <si>
    <t xml:space="preserve">13: Sens: gas price +30%</t>
  </si>
  <si>
    <t xml:space="preserve">14: COD re-forecast (2021 lenders case)</t>
  </si>
  <si>
    <t xml:space="preserve">15: Actual history</t>
  </si>
  <si>
    <t xml:space="preserve">Live dashboard (rows above) less the pasted row of the selected scenario (max abs; 0 = match)</t>
  </si>
  <si>
    <t xml:space="preserve">Audit exercise key (Chapter 44): sponsor model version 0.9 with ten seeded errors. Do not distribute with the exercise.</t>
  </si>
  <si>
    <t xml:space="preserve">Contract terms on the Inputs sheet come from sizing this erroneous model. Effects (P-F17) are from case_p.py: each error alone, re-sized.</t>
  </si>
  <si>
    <t xml:space="preserve">ID</t>
  </si>
  <si>
    <t xml:space="preserve">Seeded error</t>
  </si>
  <si>
    <t xml:space="preserve">Cells (sheet, row)</t>
  </si>
  <si>
    <t xml:space="preserve">Senior debt (USD m)</t>
  </si>
  <si>
    <t xml:space="preserve">Change vs correct</t>
  </si>
  <si>
    <t xml:space="preserve">Min DSCR base</t>
  </si>
  <si>
    <t xml:space="preserve">Min DSCR downside</t>
  </si>
  <si>
    <t xml:space="preserve">Binding</t>
  </si>
  <si>
    <t xml:space="preserve">correct</t>
  </si>
  <si>
    <t xml:space="preserve">correct model</t>
  </si>
  <si>
    <t xml:space="preserve">DSCR</t>
  </si>
  <si>
    <t xml:space="preserve">E1</t>
  </si>
  <si>
    <t xml:space="preserve">Capacity payment without the availability cap (A/90% not capped at 1)</t>
  </si>
  <si>
    <t xml:space="preserve">Operations row 47</t>
  </si>
  <si>
    <t xml:space="preserve">downside</t>
  </si>
  <si>
    <t xml:space="preserve">E2</t>
  </si>
  <si>
    <t xml:space="preserve">LTSA variable fee on one gas turbine instead of two</t>
  </si>
  <si>
    <t xml:space="preserve">Operations row 63</t>
  </si>
  <si>
    <t xml:space="preserve">gearing</t>
  </si>
  <si>
    <t xml:space="preserve">E3</t>
  </si>
  <si>
    <t xml:space="preserve">Tariff indexation reads the index at period end instead of the lagged (Sep/Mar) reading</t>
  </si>
  <si>
    <t xml:space="preserve">Operations row 20; Operations row 26</t>
  </si>
  <si>
    <t xml:space="preserve">E4</t>
  </si>
  <si>
    <t xml:space="preserve">Senior loan interest on 30/360 instead of ACT/360</t>
  </si>
  <si>
    <t xml:space="preserve">Funding row 19; Funding row 33; Funding row 34; Funding row 35; Funding row 36; Funding row 12 (col F); Funding row 13 (col F); Funding row 14 (col F); Funding row 15 (col F); Debt row 10; Debt row 11; Debt row 12; Debt row 13</t>
  </si>
  <si>
    <t xml:space="preserve">E5</t>
  </si>
  <si>
    <t xml:space="preserve">Full tax exemption applied to OY1-OY8 (15% band ignored)</t>
  </si>
  <si>
    <t xml:space="preserve">Tax row 7; Tax row 8; Tax row 11</t>
  </si>
  <si>
    <t xml:space="preserve">E6</t>
  </si>
  <si>
    <t xml:space="preserve">Deferred holiday depreciation lost (pool never credited)</t>
  </si>
  <si>
    <t xml:space="preserve">Tax row 21</t>
  </si>
  <si>
    <t xml:space="preserve">E7</t>
  </si>
  <si>
    <t xml:space="preserve">DSRA initial funding drawn 100% from senior debt instead of pro rata</t>
  </si>
  <si>
    <t xml:space="preserve">Funding row 26 (col F); Funding row 47; Funding row 50</t>
  </si>
  <si>
    <t xml:space="preserve">E8</t>
  </si>
  <si>
    <t xml:space="preserve">Sculpting on CFADS before tax</t>
  </si>
  <si>
    <t xml:space="preserve">Debt row 128; Debt row 132</t>
  </si>
  <si>
    <t xml:space="preserve">E9</t>
  </si>
  <si>
    <t xml:space="preserve">Fuel-charge revenue uses a typed 76.5% dispatch instead of the live dispatch</t>
  </si>
  <si>
    <t xml:space="preserve">Operations row 51</t>
  </si>
  <si>
    <t xml:space="preserve">E10</t>
  </si>
  <si>
    <t xml:space="preserve">Swap net settlement with legs reversed</t>
  </si>
  <si>
    <t xml:space="preserve">Funding row 21; Funding row 39; Funding row 17 (col F); Debt row 107; Debt row 125; Debt row 127</t>
  </si>
  <si>
    <t xml:space="preserve">ALL</t>
  </si>
  <si>
    <t xml:space="preserve">all ten errors together</t>
  </si>
  <si>
    <t xml:space="preserve">all of the above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</si>
</sst>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2" customFormat="false" ht="15" hidden="false" customHeight="false" outlineLevel="0" collapsed="false">
      <c r="D22" s="2" t="s">
        <v>24</v>
      </c>
      <c r="F22" s="3" t="n">
        <f aca="false">Checks!$F$19</f>
        <v>1</v>
      </c>
    </row>
    <row r="23" customFormat="false" ht="15" hidden="false" customHeight="false" outlineLevel="0" collapsed="false">
      <c r="D23" s="0" t="s">
        <v>25</v>
      </c>
    </row>
    <row r="24" customFormat="false" ht="15" hidden="false" customHeight="false" outlineLevel="0" collapsed="false">
      <c r="D24" s="0" t="s">
        <v>26</v>
      </c>
    </row>
    <row r="25" customFormat="false" ht="15" hidden="false" customHeight="false" outlineLevel="0" collapsed="false">
      <c r="D25" s="0" t="s">
        <v>27</v>
      </c>
    </row>
    <row r="26" customFormat="false" ht="15" hidden="false" customHeight="false" outlineLevel="0" collapsed="false">
      <c r="D26" s="0" t="s">
        <v>28</v>
      </c>
    </row>
    <row r="27" customFormat="false" ht="15" hidden="false" customHeight="false" outlineLevel="0" collapsed="false">
      <c r="D27" s="0" t="s">
        <v>29</v>
      </c>
    </row>
    <row r="28" customFormat="false" ht="15" hidden="false" customHeight="false" outlineLevel="0" collapsed="false">
      <c r="D28" s="0" t="s">
        <v>30</v>
      </c>
    </row>
    <row r="29" customFormat="false" ht="15" hidden="false" customHeight="false" outlineLevel="0" collapsed="false">
      <c r="D29" s="0" t="s">
        <v>31</v>
      </c>
    </row>
  </sheetData>
  <conditionalFormatting sqref="F22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91</v>
      </c>
    </row>
    <row r="8" customFormat="false" ht="15" hidden="false" customHeight="false" outlineLevel="0" collapsed="false">
      <c r="D8" s="0" t="s">
        <v>92</v>
      </c>
      <c r="E8" s="0" t="s">
        <v>93</v>
      </c>
      <c r="F8" s="5" t="n">
        <v>1</v>
      </c>
    </row>
    <row r="9" customFormat="false" ht="15" hidden="false" customHeight="false" outlineLevel="0" collapsed="false">
      <c r="B9" s="2" t="s">
        <v>94</v>
      </c>
    </row>
    <row r="10" customFormat="false" ht="15" hidden="false" customHeight="false" outlineLevel="0" collapsed="false">
      <c r="D10" s="0" t="s">
        <v>95</v>
      </c>
      <c r="E10" s="0" t="s">
        <v>96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 customFormat="false" ht="15" hidden="false" customHeight="false" outlineLevel="0" collapsed="false">
      <c r="D11" s="0" t="s">
        <v>97</v>
      </c>
      <c r="E11" s="0" t="s">
        <v>96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 customFormat="false" ht="15" hidden="false" customHeight="false" outlineLevel="0" collapsed="false">
      <c r="D12" s="0" t="s">
        <v>98</v>
      </c>
      <c r="E12" s="0" t="s">
        <v>99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 customFormat="false" ht="15" hidden="false" customHeight="false" outlineLevel="0" collapsed="false">
      <c r="D13" s="0" t="s">
        <v>100</v>
      </c>
      <c r="E13" s="0" t="s">
        <v>101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 customFormat="false" ht="15" hidden="false" customHeight="false" outlineLevel="0" collapsed="false">
      <c r="D14" s="0" t="s">
        <v>102</v>
      </c>
      <c r="E14" s="0" t="s">
        <v>103</v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 customFormat="false" ht="15" hidden="false" customHeight="false" outlineLevel="0" collapsed="false">
      <c r="D15" s="0" t="s">
        <v>104</v>
      </c>
      <c r="E15" s="0" t="s">
        <v>105</v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 customFormat="false" ht="15" hidden="false" customHeight="false" outlineLevel="0" collapsed="false">
      <c r="D16" s="0" t="s">
        <v>106</v>
      </c>
      <c r="E16" s="0" t="s">
        <v>101</v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 customFormat="false" ht="15" hidden="false" customHeight="false" outlineLevel="0" collapsed="false">
      <c r="D17" s="0" t="s">
        <v>107</v>
      </c>
      <c r="E17" s="0" t="s">
        <v>101</v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 customFormat="false" ht="15" hidden="false" customHeight="false" outlineLevel="0" collapsed="false">
      <c r="D18" s="0" t="s">
        <v>108</v>
      </c>
      <c r="E18" s="0" t="s">
        <v>101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 customFormat="false" ht="15" hidden="false" customHeight="false" outlineLevel="0" collapsed="false">
      <c r="D19" s="0" t="s">
        <v>109</v>
      </c>
      <c r="E19" s="0" t="s">
        <v>105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 customFormat="false" ht="15" hidden="false" customHeight="false" outlineLevel="0" collapsed="false">
      <c r="D20" s="0" t="s">
        <v>110</v>
      </c>
      <c r="E20" s="0" t="s">
        <v>111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 customFormat="false" ht="15" hidden="false" customHeight="false" outlineLevel="0" collapsed="false">
      <c r="D21" s="0" t="s">
        <v>112</v>
      </c>
      <c r="E21" s="0" t="s">
        <v>113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 customFormat="false" ht="15" hidden="false" customHeight="false" outlineLevel="0" collapsed="false">
      <c r="D22" s="0" t="s">
        <v>114</v>
      </c>
      <c r="E22" s="0" t="s">
        <v>115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 customFormat="false" ht="15" hidden="false" customHeight="false" outlineLevel="0" collapsed="false">
      <c r="D23" s="0" t="s">
        <v>116</v>
      </c>
      <c r="E23" s="0" t="s">
        <v>115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 customFormat="false" ht="15" hidden="false" customHeight="false" outlineLevel="0" collapsed="false">
      <c r="D24" s="0" t="s">
        <v>117</v>
      </c>
      <c r="E24" s="0" t="s">
        <v>96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 customFormat="false" ht="15" hidden="false" customHeight="false" outlineLevel="0" collapsed="false">
      <c r="D25" s="0" t="s">
        <v>118</v>
      </c>
      <c r="E25" s="0" t="s">
        <v>115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 customFormat="false" ht="15" hidden="false" customHeight="false" outlineLevel="0" collapsed="false">
      <c r="D26" s="0" t="s">
        <v>119</v>
      </c>
      <c r="E26" s="0" t="s">
        <v>115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 customFormat="false" ht="15" hidden="false" customHeight="false" outlineLevel="0" collapsed="false">
      <c r="D27" s="0" t="s">
        <v>120</v>
      </c>
      <c r="E27" s="0" t="s">
        <v>115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 customFormat="false" ht="15" hidden="false" customHeight="false" outlineLevel="0" collapsed="false">
      <c r="D28" s="0" t="s">
        <v>121</v>
      </c>
      <c r="E28" s="0" t="s">
        <v>96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 customFormat="false" ht="15" hidden="false" customHeight="false" outlineLevel="0" collapsed="false">
      <c r="D29" s="0" t="s">
        <v>122</v>
      </c>
      <c r="E29" s="0" t="s">
        <v>115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 customFormat="false" ht="15" hidden="false" customHeight="false" outlineLevel="0" collapsed="false">
      <c r="D30" s="0" t="s">
        <v>123</v>
      </c>
      <c r="E30" s="0" t="s">
        <v>111</v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 customFormat="false" ht="15" hidden="false" customHeight="false" outlineLevel="0" collapsed="false">
      <c r="D31" s="0" t="s">
        <v>124</v>
      </c>
      <c r="E31" s="0" t="s">
        <v>101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 customFormat="false" ht="15" hidden="false" customHeight="false" outlineLevel="0" collapsed="false">
      <c r="D32" s="0" t="s">
        <v>125</v>
      </c>
      <c r="E32" s="0" t="s">
        <v>115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 customFormat="false" ht="15" hidden="false" customHeight="false" outlineLevel="0" collapsed="false">
      <c r="D33" s="0" t="s">
        <v>126</v>
      </c>
      <c r="E33" s="0" t="s">
        <v>96</v>
      </c>
      <c r="F33" s="3" t="n">
        <f aca="false">INDEX($J$10:$X$10,1,Scenario)</f>
        <v>1</v>
      </c>
    </row>
    <row r="34" customFormat="false" ht="15" hidden="false" customHeight="false" outlineLevel="0" collapsed="false">
      <c r="D34" s="0" t="s">
        <v>127</v>
      </c>
      <c r="E34" s="0" t="s">
        <v>96</v>
      </c>
      <c r="F34" s="3" t="n">
        <f aca="false">INDEX($J$11:$X$11,1,Scenario)</f>
        <v>1</v>
      </c>
    </row>
    <row r="35" customFormat="false" ht="15" hidden="false" customHeight="false" outlineLevel="0" collapsed="false">
      <c r="D35" s="0" t="s">
        <v>128</v>
      </c>
      <c r="E35" s="0" t="s">
        <v>99</v>
      </c>
      <c r="F35" s="3" t="n">
        <f aca="false">INDEX($J$12:$X$12,1,Scenario)</f>
        <v>0</v>
      </c>
    </row>
    <row r="36" customFormat="false" ht="15" hidden="false" customHeight="false" outlineLevel="0" collapsed="false">
      <c r="D36" s="0" t="s">
        <v>129</v>
      </c>
      <c r="E36" s="0" t="s">
        <v>101</v>
      </c>
      <c r="F36" s="3" t="n">
        <f aca="false">INDEX($J$13:$X$13,1,Scenario)</f>
        <v>1</v>
      </c>
    </row>
    <row r="37" customFormat="false" ht="15" hidden="false" customHeight="false" outlineLevel="0" collapsed="false">
      <c r="D37" s="0" t="s">
        <v>130</v>
      </c>
      <c r="E37" s="0" t="s">
        <v>103</v>
      </c>
      <c r="F37" s="3" t="n">
        <f aca="false">INDEX($J$14:$X$14,1,Scenario)</f>
        <v>0</v>
      </c>
    </row>
    <row r="38" customFormat="false" ht="15" hidden="false" customHeight="false" outlineLevel="0" collapsed="false">
      <c r="D38" s="0" t="s">
        <v>131</v>
      </c>
      <c r="E38" s="0" t="s">
        <v>105</v>
      </c>
      <c r="F38" s="3" t="n">
        <f aca="false">INDEX($J$15:$X$15,1,Scenario)</f>
        <v>76.5</v>
      </c>
    </row>
    <row r="39" customFormat="false" ht="15" hidden="false" customHeight="false" outlineLevel="0" collapsed="false">
      <c r="D39" s="0" t="s">
        <v>132</v>
      </c>
      <c r="E39" s="0" t="s">
        <v>101</v>
      </c>
      <c r="F39" s="3" t="n">
        <f aca="false">INDEX($J$16:$X$16,1,Scenario)</f>
        <v>1</v>
      </c>
    </row>
    <row r="40" customFormat="false" ht="15" hidden="false" customHeight="false" outlineLevel="0" collapsed="false">
      <c r="D40" s="0" t="s">
        <v>133</v>
      </c>
      <c r="E40" s="0" t="s">
        <v>101</v>
      </c>
      <c r="F40" s="3" t="n">
        <f aca="false">INDEX($J$17:$X$17,1,Scenario)</f>
        <v>1</v>
      </c>
    </row>
    <row r="41" customFormat="false" ht="15" hidden="false" customHeight="false" outlineLevel="0" collapsed="false">
      <c r="D41" s="0" t="s">
        <v>134</v>
      </c>
      <c r="E41" s="0" t="s">
        <v>101</v>
      </c>
      <c r="F41" s="3" t="n">
        <f aca="false">INDEX($J$18:$X$18,1,Scenario)</f>
        <v>1</v>
      </c>
    </row>
    <row r="42" customFormat="false" ht="15" hidden="false" customHeight="false" outlineLevel="0" collapsed="false">
      <c r="D42" s="0" t="s">
        <v>135</v>
      </c>
      <c r="E42" s="0" t="s">
        <v>105</v>
      </c>
      <c r="F42" s="3" t="n">
        <f aca="false">INDEX($J$19:$X$19,1,Scenario)</f>
        <v>0</v>
      </c>
    </row>
    <row r="43" customFormat="false" ht="15" hidden="false" customHeight="false" outlineLevel="0" collapsed="false">
      <c r="D43" s="0" t="s">
        <v>136</v>
      </c>
      <c r="E43" s="0" t="s">
        <v>111</v>
      </c>
      <c r="F43" s="3" t="n">
        <f aca="false">INDEX($J$20:$X$20,1,Scenario)</f>
        <v>0</v>
      </c>
    </row>
    <row r="44" customFormat="false" ht="15" hidden="false" customHeight="false" outlineLevel="0" collapsed="false">
      <c r="D44" s="0" t="s">
        <v>137</v>
      </c>
      <c r="E44" s="0" t="s">
        <v>113</v>
      </c>
      <c r="F44" s="3" t="n">
        <f aca="false">INDEX($J$21:$X$21,1,Scenario)</f>
        <v>0</v>
      </c>
    </row>
    <row r="45" customFormat="false" ht="15" hidden="false" customHeight="false" outlineLevel="0" collapsed="false">
      <c r="D45" s="0" t="s">
        <v>138</v>
      </c>
      <c r="E45" s="0" t="s">
        <v>115</v>
      </c>
      <c r="F45" s="3" t="n">
        <f aca="false">INDEX($J$22:$X$22,1,Scenario)</f>
        <v>0</v>
      </c>
    </row>
    <row r="46" customFormat="false" ht="15" hidden="false" customHeight="false" outlineLevel="0" collapsed="false">
      <c r="D46" s="0" t="s">
        <v>139</v>
      </c>
      <c r="E46" s="0" t="s">
        <v>115</v>
      </c>
      <c r="F46" s="3" t="n">
        <f aca="false">INDEX($J$23:$X$23,1,Scenario)</f>
        <v>0</v>
      </c>
    </row>
    <row r="47" customFormat="false" ht="15" hidden="false" customHeight="false" outlineLevel="0" collapsed="false">
      <c r="D47" s="0" t="s">
        <v>140</v>
      </c>
      <c r="E47" s="0" t="s">
        <v>96</v>
      </c>
      <c r="F47" s="3" t="n">
        <f aca="false">INDEX($J$24:$X$24,1,Scenario)</f>
        <v>1</v>
      </c>
    </row>
    <row r="48" customFormat="false" ht="15" hidden="false" customHeight="false" outlineLevel="0" collapsed="false">
      <c r="D48" s="0" t="s">
        <v>141</v>
      </c>
      <c r="E48" s="0" t="s">
        <v>115</v>
      </c>
      <c r="F48" s="3" t="n">
        <f aca="false">INDEX($J$25:$X$25,1,Scenario)</f>
        <v>0</v>
      </c>
    </row>
    <row r="49" customFormat="false" ht="15" hidden="false" customHeight="false" outlineLevel="0" collapsed="false">
      <c r="D49" s="0" t="s">
        <v>142</v>
      </c>
      <c r="E49" s="0" t="s">
        <v>115</v>
      </c>
      <c r="F49" s="3" t="n">
        <f aca="false">INDEX($J$26:$X$26,1,Scenario)</f>
        <v>0</v>
      </c>
    </row>
    <row r="50" customFormat="false" ht="15" hidden="false" customHeight="false" outlineLevel="0" collapsed="false">
      <c r="D50" s="0" t="s">
        <v>143</v>
      </c>
      <c r="E50" s="0" t="s">
        <v>115</v>
      </c>
      <c r="F50" s="3" t="n">
        <f aca="false">INDEX($J$27:$X$27,1,Scenario)</f>
        <v>0</v>
      </c>
    </row>
    <row r="51" customFormat="false" ht="15" hidden="false" customHeight="false" outlineLevel="0" collapsed="false">
      <c r="D51" s="0" t="s">
        <v>144</v>
      </c>
      <c r="E51" s="0" t="s">
        <v>96</v>
      </c>
      <c r="F51" s="3" t="n">
        <f aca="false">INDEX($J$28:$X$28,1,Scenario)</f>
        <v>1</v>
      </c>
    </row>
    <row r="52" customFormat="false" ht="15" hidden="false" customHeight="false" outlineLevel="0" collapsed="false">
      <c r="D52" s="0" t="s">
        <v>145</v>
      </c>
      <c r="E52" s="0" t="s">
        <v>115</v>
      </c>
      <c r="F52" s="3" t="n">
        <f aca="false">INDEX($J$29:$X$29,1,Scenario)</f>
        <v>1</v>
      </c>
    </row>
    <row r="53" customFormat="false" ht="15" hidden="false" customHeight="false" outlineLevel="0" collapsed="false">
      <c r="D53" s="0" t="s">
        <v>146</v>
      </c>
      <c r="E53" s="0" t="s">
        <v>111</v>
      </c>
      <c r="F53" s="3" t="n">
        <f aca="false">INDEX($J$30:$X$30,1,Scenario)</f>
        <v>0.8</v>
      </c>
    </row>
    <row r="54" customFormat="false" ht="15" hidden="false" customHeight="false" outlineLevel="0" collapsed="false">
      <c r="D54" s="0" t="s">
        <v>147</v>
      </c>
      <c r="E54" s="0" t="s">
        <v>101</v>
      </c>
      <c r="F54" s="3" t="n">
        <f aca="false">INDEX($J$31:$X$31,1,Scenario)</f>
        <v>1</v>
      </c>
    </row>
    <row r="55" customFormat="false" ht="15" hidden="false" customHeight="false" outlineLevel="0" collapsed="false">
      <c r="D55" s="0" t="s">
        <v>148</v>
      </c>
      <c r="E55" s="0" t="s">
        <v>115</v>
      </c>
      <c r="F55" s="3" t="n">
        <f aca="false">INDEX($J$32:$X$32,1,Scenario)</f>
        <v>0</v>
      </c>
    </row>
    <row r="56" customFormat="false" ht="15" hidden="false" customHeight="false" outlineLevel="0" collapsed="false">
      <c r="B56" s="2" t="s">
        <v>149</v>
      </c>
    </row>
    <row r="57" customFormat="false" ht="15" hidden="false" customHeight="false" outlineLevel="0" collapsed="false">
      <c r="D57" s="0" t="s">
        <v>150</v>
      </c>
      <c r="E57" s="0" t="s">
        <v>151</v>
      </c>
      <c r="F57" s="7" t="n">
        <v>571.84</v>
      </c>
    </row>
    <row r="58" customFormat="false" ht="15" hidden="false" customHeight="false" outlineLevel="0" collapsed="false">
      <c r="D58" s="0" t="s">
        <v>152</v>
      </c>
      <c r="E58" s="0" t="s">
        <v>151</v>
      </c>
      <c r="F58" s="7" t="n">
        <v>489.17</v>
      </c>
    </row>
    <row r="59" customFormat="false" ht="15" hidden="false" customHeight="false" outlineLevel="0" collapsed="false">
      <c r="D59" s="0" t="s">
        <v>153</v>
      </c>
      <c r="E59" s="0" t="s">
        <v>151</v>
      </c>
      <c r="F59" s="7" t="n">
        <v>82.67</v>
      </c>
    </row>
    <row r="60" customFormat="false" ht="15" hidden="false" customHeight="false" outlineLevel="0" collapsed="false">
      <c r="D60" s="0" t="s">
        <v>154</v>
      </c>
      <c r="E60" s="0" t="s">
        <v>155</v>
      </c>
      <c r="F60" s="7" t="n">
        <v>519.4</v>
      </c>
    </row>
    <row r="61" customFormat="false" ht="15" hidden="false" customHeight="false" outlineLevel="0" collapsed="false">
      <c r="D61" s="0" t="s">
        <v>156</v>
      </c>
      <c r="E61" s="0" t="s">
        <v>151</v>
      </c>
      <c r="F61" s="7" t="n">
        <v>46.18</v>
      </c>
    </row>
    <row r="62" customFormat="false" ht="15" hidden="false" customHeight="false" outlineLevel="0" collapsed="false">
      <c r="D62" s="0" t="s">
        <v>157</v>
      </c>
      <c r="E62" s="0" t="s">
        <v>151</v>
      </c>
      <c r="F62" s="7" t="n">
        <v>7.62</v>
      </c>
    </row>
    <row r="63" customFormat="false" ht="15" hidden="false" customHeight="false" outlineLevel="0" collapsed="false">
      <c r="D63" s="0" t="s">
        <v>158</v>
      </c>
      <c r="E63" s="0" t="s">
        <v>151</v>
      </c>
      <c r="F63" s="7" t="n">
        <v>21.43</v>
      </c>
    </row>
    <row r="64" customFormat="false" ht="15" hidden="false" customHeight="false" outlineLevel="0" collapsed="false">
      <c r="D64" s="0" t="s">
        <v>159</v>
      </c>
      <c r="E64" s="0" t="s">
        <v>151</v>
      </c>
      <c r="F64" s="7" t="n">
        <v>11.2</v>
      </c>
    </row>
    <row r="65" customFormat="false" ht="15" hidden="false" customHeight="false" outlineLevel="0" collapsed="false">
      <c r="D65" s="0" t="s">
        <v>160</v>
      </c>
      <c r="E65" s="0" t="s">
        <v>151</v>
      </c>
      <c r="F65" s="7" t="n">
        <v>8.97</v>
      </c>
    </row>
    <row r="66" customFormat="false" ht="15" hidden="false" customHeight="false" outlineLevel="0" collapsed="false">
      <c r="D66" s="0" t="s">
        <v>161</v>
      </c>
      <c r="E66" s="0" t="s">
        <v>151</v>
      </c>
      <c r="F66" s="7" t="n">
        <v>38.4</v>
      </c>
    </row>
    <row r="67" customFormat="false" ht="15" hidden="false" customHeight="false" outlineLevel="0" collapsed="false">
      <c r="D67" s="0" t="s">
        <v>162</v>
      </c>
      <c r="E67" s="0" t="s">
        <v>151</v>
      </c>
      <c r="F67" s="7" t="n">
        <v>5.35</v>
      </c>
    </row>
    <row r="68" customFormat="false" ht="15" hidden="false" customHeight="false" outlineLevel="0" collapsed="false">
      <c r="D68" s="0" t="s">
        <v>163</v>
      </c>
      <c r="E68" s="0" t="s">
        <v>151</v>
      </c>
      <c r="F68" s="7" t="n">
        <v>14.2</v>
      </c>
    </row>
    <row r="69" customFormat="false" ht="15" hidden="false" customHeight="false" outlineLevel="0" collapsed="false">
      <c r="D69" s="0" t="s">
        <v>164</v>
      </c>
      <c r="E69" s="0" t="s">
        <v>151</v>
      </c>
      <c r="F69" s="7" t="n">
        <v>6.93</v>
      </c>
    </row>
    <row r="70" customFormat="false" ht="15" hidden="false" customHeight="false" outlineLevel="0" collapsed="false">
      <c r="D70" s="0" t="s">
        <v>165</v>
      </c>
      <c r="E70" s="0" t="s">
        <v>105</v>
      </c>
      <c r="F70" s="7" t="n">
        <v>18</v>
      </c>
    </row>
    <row r="71" customFormat="false" ht="15" hidden="false" customHeight="false" outlineLevel="0" collapsed="false">
      <c r="D71" s="0" t="s">
        <v>166</v>
      </c>
      <c r="E71" s="0" t="s">
        <v>105</v>
      </c>
      <c r="F71" s="7" t="n">
        <v>2.5</v>
      </c>
    </row>
    <row r="72" customFormat="false" ht="15" hidden="false" customHeight="false" outlineLevel="0" collapsed="false">
      <c r="D72" s="0" t="s">
        <v>167</v>
      </c>
      <c r="E72" s="0" t="s">
        <v>168</v>
      </c>
      <c r="F72" s="7" t="n">
        <v>7900</v>
      </c>
    </row>
    <row r="73" customFormat="false" ht="15" hidden="false" customHeight="false" outlineLevel="0" collapsed="false">
      <c r="D73" s="0" t="s">
        <v>169</v>
      </c>
      <c r="E73" s="0" t="s">
        <v>105</v>
      </c>
      <c r="F73" s="7" t="n">
        <v>13.5</v>
      </c>
    </row>
    <row r="74" customFormat="false" ht="15" hidden="false" customHeight="false" outlineLevel="0" collapsed="false">
      <c r="B74" s="2" t="s">
        <v>170</v>
      </c>
    </row>
    <row r="75" customFormat="false" ht="15" hidden="false" customHeight="false" outlineLevel="0" collapsed="false">
      <c r="D75" s="0" t="s">
        <v>171</v>
      </c>
      <c r="E75" s="0" t="s">
        <v>111</v>
      </c>
      <c r="F75" s="7" t="n">
        <v>0.3</v>
      </c>
    </row>
    <row r="76" customFormat="false" ht="15" hidden="false" customHeight="false" outlineLevel="0" collapsed="false">
      <c r="D76" s="0" t="s">
        <v>172</v>
      </c>
      <c r="E76" s="0" t="s">
        <v>111</v>
      </c>
      <c r="F76" s="7" t="n">
        <v>0.22</v>
      </c>
    </row>
    <row r="77" customFormat="false" ht="15" hidden="false" customHeight="false" outlineLevel="0" collapsed="false">
      <c r="D77" s="0" t="s">
        <v>173</v>
      </c>
      <c r="E77" s="0" t="s">
        <v>111</v>
      </c>
      <c r="F77" s="7" t="n">
        <v>0.1</v>
      </c>
    </row>
    <row r="78" customFormat="false" ht="15" hidden="false" customHeight="false" outlineLevel="0" collapsed="false">
      <c r="D78" s="0" t="s">
        <v>174</v>
      </c>
      <c r="E78" s="0" t="s">
        <v>111</v>
      </c>
      <c r="F78" s="7" t="n">
        <v>0.38</v>
      </c>
    </row>
    <row r="79" customFormat="false" ht="15" hidden="false" customHeight="false" outlineLevel="0" collapsed="false">
      <c r="D79" s="0" t="s">
        <v>175</v>
      </c>
      <c r="E79" s="0" t="s">
        <v>105</v>
      </c>
      <c r="F79" s="7" t="n">
        <v>1.35</v>
      </c>
    </row>
    <row r="80" customFormat="false" ht="15" hidden="false" customHeight="false" outlineLevel="0" collapsed="false">
      <c r="D80" s="0" t="s">
        <v>176</v>
      </c>
      <c r="E80" s="0" t="s">
        <v>105</v>
      </c>
      <c r="F80" s="7" t="n">
        <v>3.65</v>
      </c>
    </row>
    <row r="81" customFormat="false" ht="15" hidden="false" customHeight="false" outlineLevel="0" collapsed="false">
      <c r="D81" s="0" t="s">
        <v>177</v>
      </c>
      <c r="E81" s="0" t="s">
        <v>105</v>
      </c>
      <c r="F81" s="7" t="n">
        <v>3.4</v>
      </c>
    </row>
    <row r="82" customFormat="false" ht="15" hidden="false" customHeight="false" outlineLevel="0" collapsed="false">
      <c r="D82" s="0" t="s">
        <v>178</v>
      </c>
      <c r="E82" s="0" t="s">
        <v>105</v>
      </c>
      <c r="F82" s="7" t="n">
        <v>4.1</v>
      </c>
    </row>
    <row r="83" customFormat="false" ht="15" hidden="false" customHeight="false" outlineLevel="0" collapsed="false">
      <c r="D83" s="0" t="s">
        <v>179</v>
      </c>
      <c r="E83" s="0" t="s">
        <v>105</v>
      </c>
      <c r="F83" s="7" t="n">
        <v>4.6</v>
      </c>
    </row>
    <row r="84" customFormat="false" ht="15" hidden="false" customHeight="false" outlineLevel="0" collapsed="false">
      <c r="D84" s="0" t="s">
        <v>180</v>
      </c>
      <c r="E84" s="0" t="s">
        <v>105</v>
      </c>
      <c r="F84" s="7" t="n">
        <v>5.1</v>
      </c>
    </row>
    <row r="85" customFormat="false" ht="15" hidden="false" customHeight="false" outlineLevel="0" collapsed="false">
      <c r="D85" s="0" t="s">
        <v>181</v>
      </c>
      <c r="E85" s="0" t="s">
        <v>182</v>
      </c>
      <c r="F85" s="7" t="n">
        <v>0.45</v>
      </c>
    </row>
    <row r="86" customFormat="false" ht="15" hidden="false" customHeight="false" outlineLevel="0" collapsed="false">
      <c r="D86" s="0" t="s">
        <v>183</v>
      </c>
      <c r="E86" s="0" t="s">
        <v>182</v>
      </c>
      <c r="F86" s="7" t="n">
        <v>0.75</v>
      </c>
    </row>
    <row r="87" customFormat="false" ht="15" hidden="false" customHeight="false" outlineLevel="0" collapsed="false">
      <c r="D87" s="0" t="s">
        <v>184</v>
      </c>
      <c r="E87" s="0" t="s">
        <v>182</v>
      </c>
      <c r="F87" s="7" t="n">
        <v>0.85</v>
      </c>
    </row>
    <row r="88" customFormat="false" ht="15" hidden="false" customHeight="false" outlineLevel="0" collapsed="false">
      <c r="D88" s="0" t="s">
        <v>185</v>
      </c>
      <c r="E88" s="0" t="s">
        <v>105</v>
      </c>
      <c r="F88" s="7" t="n">
        <v>40</v>
      </c>
    </row>
    <row r="89" customFormat="false" ht="15" hidden="false" customHeight="false" outlineLevel="0" collapsed="false">
      <c r="D89" s="0" t="s">
        <v>186</v>
      </c>
      <c r="E89" s="0" t="s">
        <v>105</v>
      </c>
      <c r="F89" s="7" t="n">
        <v>1.1</v>
      </c>
    </row>
    <row r="90" customFormat="false" ht="15" hidden="false" customHeight="false" outlineLevel="0" collapsed="false">
      <c r="D90" s="0" t="s">
        <v>187</v>
      </c>
      <c r="E90" s="0" t="s">
        <v>105</v>
      </c>
      <c r="F90" s="7" t="n">
        <v>1.25</v>
      </c>
    </row>
    <row r="91" customFormat="false" ht="15" hidden="false" customHeight="false" outlineLevel="0" collapsed="false">
      <c r="D91" s="0" t="s">
        <v>188</v>
      </c>
      <c r="E91" s="0" t="s">
        <v>105</v>
      </c>
      <c r="F91" s="7" t="n">
        <v>1.5</v>
      </c>
    </row>
    <row r="92" customFormat="false" ht="15" hidden="false" customHeight="false" outlineLevel="0" collapsed="false">
      <c r="D92" s="0" t="s">
        <v>189</v>
      </c>
      <c r="E92" s="0" t="s">
        <v>105</v>
      </c>
      <c r="F92" s="7" t="n">
        <v>2.15</v>
      </c>
    </row>
    <row r="93" customFormat="false" ht="15" hidden="false" customHeight="false" outlineLevel="0" collapsed="false">
      <c r="D93" s="0" t="s">
        <v>190</v>
      </c>
      <c r="E93" s="0" t="s">
        <v>105</v>
      </c>
      <c r="F93" s="7" t="n">
        <v>10</v>
      </c>
    </row>
    <row r="94" customFormat="false" ht="15" hidden="false" customHeight="false" outlineLevel="0" collapsed="false">
      <c r="D94" s="0" t="s">
        <v>191</v>
      </c>
      <c r="E94" s="0" t="s">
        <v>105</v>
      </c>
      <c r="F94" s="7" t="n">
        <v>10.85</v>
      </c>
    </row>
    <row r="95" customFormat="false" ht="15" hidden="false" customHeight="false" outlineLevel="0" collapsed="false">
      <c r="D95" s="0" t="s">
        <v>192</v>
      </c>
      <c r="E95" s="0" t="s">
        <v>182</v>
      </c>
      <c r="F95" s="7" t="n">
        <v>1.15</v>
      </c>
    </row>
    <row r="96" customFormat="false" ht="15" hidden="false" customHeight="false" outlineLevel="0" collapsed="false">
      <c r="D96" s="0" t="s">
        <v>193</v>
      </c>
      <c r="E96" s="0" t="s">
        <v>105</v>
      </c>
      <c r="F96" s="7" t="n">
        <v>90</v>
      </c>
    </row>
    <row r="97" customFormat="false" ht="15" hidden="false" customHeight="false" outlineLevel="0" collapsed="false">
      <c r="D97" s="0" t="s">
        <v>194</v>
      </c>
      <c r="E97" s="0" t="s">
        <v>105</v>
      </c>
      <c r="F97" s="7" t="n">
        <v>2.947</v>
      </c>
    </row>
    <row r="98" customFormat="false" ht="15" hidden="false" customHeight="false" outlineLevel="0" collapsed="false">
      <c r="D98" s="0" t="s">
        <v>195</v>
      </c>
      <c r="E98" s="0" t="s">
        <v>105</v>
      </c>
      <c r="F98" s="7" t="n">
        <v>0.42826</v>
      </c>
    </row>
    <row r="99" customFormat="false" ht="15" hidden="false" customHeight="false" outlineLevel="0" collapsed="false">
      <c r="D99" s="0" t="s">
        <v>196</v>
      </c>
      <c r="E99" s="0" t="s">
        <v>151</v>
      </c>
      <c r="F99" s="7" t="n">
        <v>46</v>
      </c>
    </row>
    <row r="100" customFormat="false" ht="15" hidden="false" customHeight="false" outlineLevel="0" collapsed="false">
      <c r="D100" s="0" t="s">
        <v>197</v>
      </c>
      <c r="E100" s="0" t="s">
        <v>182</v>
      </c>
      <c r="F100" s="7" t="n">
        <v>0.6</v>
      </c>
    </row>
    <row r="101" customFormat="false" ht="15" hidden="false" customHeight="false" outlineLevel="0" collapsed="false">
      <c r="D101" s="0" t="s">
        <v>198</v>
      </c>
      <c r="E101" s="0" t="s">
        <v>105</v>
      </c>
      <c r="F101" s="7" t="n">
        <v>0.25</v>
      </c>
    </row>
    <row r="102" customFormat="false" ht="15" hidden="false" customHeight="false" outlineLevel="0" collapsed="false">
      <c r="D102" s="0" t="s">
        <v>199</v>
      </c>
      <c r="E102" s="0" t="s">
        <v>111</v>
      </c>
      <c r="F102" s="7" t="n">
        <v>0.6</v>
      </c>
    </row>
    <row r="103" customFormat="false" ht="15" hidden="false" customHeight="false" outlineLevel="0" collapsed="false">
      <c r="D103" s="0" t="s">
        <v>200</v>
      </c>
      <c r="E103" s="0" t="s">
        <v>151</v>
      </c>
      <c r="F103" s="7" t="n">
        <v>15.4</v>
      </c>
    </row>
    <row r="104" customFormat="false" ht="15" hidden="false" customHeight="false" outlineLevel="0" collapsed="false">
      <c r="D104" s="0" t="s">
        <v>201</v>
      </c>
      <c r="E104" s="0" t="s">
        <v>182</v>
      </c>
      <c r="F104" s="7" t="n">
        <v>9.5</v>
      </c>
    </row>
    <row r="105" customFormat="false" ht="15" hidden="false" customHeight="false" outlineLevel="0" collapsed="false">
      <c r="D105" s="0" t="s">
        <v>202</v>
      </c>
      <c r="E105" s="0" t="s">
        <v>111</v>
      </c>
      <c r="F105" s="7" t="n">
        <v>0.75</v>
      </c>
    </row>
    <row r="106" customFormat="false" ht="15" hidden="false" customHeight="false" outlineLevel="0" collapsed="false">
      <c r="D106" s="0" t="s">
        <v>203</v>
      </c>
      <c r="E106" s="0" t="s">
        <v>204</v>
      </c>
      <c r="F106" s="7" t="n">
        <v>1.35</v>
      </c>
    </row>
    <row r="107" customFormat="false" ht="15" hidden="false" customHeight="false" outlineLevel="0" collapsed="false">
      <c r="D107" s="0" t="s">
        <v>205</v>
      </c>
      <c r="E107" s="0" t="s">
        <v>206</v>
      </c>
      <c r="F107" s="7" t="n">
        <v>0.255</v>
      </c>
    </row>
    <row r="108" customFormat="false" ht="15" hidden="false" customHeight="false" outlineLevel="0" collapsed="false">
      <c r="D108" s="0" t="s">
        <v>207</v>
      </c>
      <c r="E108" s="0" t="s">
        <v>204</v>
      </c>
      <c r="F108" s="7" t="n">
        <v>1.2</v>
      </c>
    </row>
    <row r="109" customFormat="false" ht="15" hidden="false" customHeight="false" outlineLevel="0" collapsed="false">
      <c r="D109" s="0" t="s">
        <v>208</v>
      </c>
      <c r="E109" s="0" t="s">
        <v>204</v>
      </c>
      <c r="F109" s="7" t="n">
        <v>1.1</v>
      </c>
    </row>
    <row r="110" customFormat="false" ht="15" hidden="false" customHeight="false" outlineLevel="0" collapsed="false">
      <c r="D110" s="0" t="s">
        <v>209</v>
      </c>
      <c r="E110" s="0" t="s">
        <v>204</v>
      </c>
      <c r="F110" s="7" t="n">
        <v>1.25</v>
      </c>
    </row>
    <row r="111" customFormat="false" ht="15" hidden="false" customHeight="false" outlineLevel="0" collapsed="false">
      <c r="D111" s="0" t="s">
        <v>210</v>
      </c>
      <c r="E111" s="0" t="s">
        <v>111</v>
      </c>
      <c r="F111" s="7" t="n">
        <v>0.5</v>
      </c>
    </row>
    <row r="112" customFormat="false" ht="15" hidden="false" customHeight="false" outlineLevel="0" collapsed="false">
      <c r="B112" s="2" t="s">
        <v>211</v>
      </c>
    </row>
    <row r="113" customFormat="false" ht="15" hidden="false" customHeight="false" outlineLevel="0" collapsed="false">
      <c r="D113" s="0" t="s">
        <v>212</v>
      </c>
      <c r="E113" s="0" t="s">
        <v>151</v>
      </c>
      <c r="F113" s="7" t="n">
        <v>654.950564098343</v>
      </c>
    </row>
    <row r="114" customFormat="false" ht="15" hidden="false" customHeight="false" outlineLevel="0" collapsed="false">
      <c r="D114" s="0" t="s">
        <v>213</v>
      </c>
      <c r="E114" s="0" t="s">
        <v>151</v>
      </c>
      <c r="F114" s="7" t="n">
        <v>205.289091311762</v>
      </c>
    </row>
    <row r="115" customFormat="false" ht="15" hidden="false" customHeight="false" outlineLevel="0" collapsed="false">
      <c r="B115" s="2" t="s">
        <v>214</v>
      </c>
    </row>
    <row r="116" customFormat="false" ht="15" hidden="false" customHeight="false" outlineLevel="0" collapsed="false">
      <c r="D116" s="0" t="s">
        <v>215</v>
      </c>
      <c r="E116" s="0" t="s">
        <v>216</v>
      </c>
      <c r="F116" s="7" t="n">
        <v>588.4</v>
      </c>
    </row>
    <row r="117" customFormat="false" ht="15" hidden="false" customHeight="false" outlineLevel="0" collapsed="false">
      <c r="D117" s="0" t="s">
        <v>217</v>
      </c>
      <c r="E117" s="0" t="s">
        <v>216</v>
      </c>
      <c r="F117" s="7" t="n">
        <v>581.9</v>
      </c>
    </row>
    <row r="118" customFormat="false" ht="15" hidden="false" customHeight="false" outlineLevel="0" collapsed="false">
      <c r="D118" s="0" t="s">
        <v>218</v>
      </c>
      <c r="E118" s="0" t="s">
        <v>219</v>
      </c>
      <c r="F118" s="7" t="n">
        <v>6261</v>
      </c>
    </row>
    <row r="119" customFormat="false" ht="15" hidden="false" customHeight="false" outlineLevel="0" collapsed="false">
      <c r="D119" s="0" t="s">
        <v>220</v>
      </c>
      <c r="E119" s="0" t="s">
        <v>219</v>
      </c>
      <c r="F119" s="7" t="n">
        <v>6286</v>
      </c>
    </row>
    <row r="120" customFormat="false" ht="15" hidden="false" customHeight="false" outlineLevel="0" collapsed="false">
      <c r="D120" s="0" t="s">
        <v>221</v>
      </c>
      <c r="E120" s="0" t="s">
        <v>219</v>
      </c>
      <c r="F120" s="7" t="n">
        <v>6323</v>
      </c>
    </row>
    <row r="121" customFormat="false" ht="15" hidden="false" customHeight="false" outlineLevel="0" collapsed="false">
      <c r="D121" s="0" t="s">
        <v>222</v>
      </c>
      <c r="E121" s="0" t="s">
        <v>182</v>
      </c>
      <c r="F121" s="7" t="n">
        <v>0.1</v>
      </c>
    </row>
    <row r="122" customFormat="false" ht="15" hidden="false" customHeight="false" outlineLevel="0" collapsed="false">
      <c r="D122" s="0" t="s">
        <v>223</v>
      </c>
      <c r="E122" s="0" t="s">
        <v>105</v>
      </c>
      <c r="F122" s="7" t="n">
        <v>2.3</v>
      </c>
    </row>
    <row r="123" customFormat="false" ht="15" hidden="false" customHeight="false" outlineLevel="0" collapsed="false">
      <c r="D123" s="0" t="s">
        <v>224</v>
      </c>
      <c r="E123" s="0" t="s">
        <v>101</v>
      </c>
      <c r="F123" s="7" t="n">
        <v>1.108</v>
      </c>
    </row>
    <row r="124" customFormat="false" ht="15" hidden="false" customHeight="false" outlineLevel="0" collapsed="false">
      <c r="D124" s="0" t="s">
        <v>225</v>
      </c>
      <c r="E124" s="0" t="s">
        <v>226</v>
      </c>
      <c r="F124" s="7" t="n">
        <v>1055056</v>
      </c>
    </row>
    <row r="125" customFormat="false" ht="15" hidden="false" customHeight="false" outlineLevel="0" collapsed="false">
      <c r="D125" s="0" t="s">
        <v>227</v>
      </c>
      <c r="E125" s="0" t="s">
        <v>182</v>
      </c>
      <c r="F125" s="7" t="n">
        <v>0.15</v>
      </c>
    </row>
    <row r="126" customFormat="false" ht="15" hidden="false" customHeight="false" outlineLevel="0" collapsed="false">
      <c r="D126" s="0" t="s">
        <v>228</v>
      </c>
      <c r="E126" s="0" t="s">
        <v>105</v>
      </c>
      <c r="F126" s="7" t="n">
        <v>1</v>
      </c>
    </row>
    <row r="127" customFormat="false" ht="15" hidden="false" customHeight="false" outlineLevel="0" collapsed="false">
      <c r="D127" s="0" t="s">
        <v>229</v>
      </c>
      <c r="E127" s="0" t="s">
        <v>182</v>
      </c>
      <c r="F127" s="7" t="n">
        <v>0.12</v>
      </c>
    </row>
    <row r="128" customFormat="false" ht="15" hidden="false" customHeight="false" outlineLevel="0" collapsed="false">
      <c r="D128" s="0" t="s">
        <v>230</v>
      </c>
      <c r="E128" s="0" t="s">
        <v>105</v>
      </c>
      <c r="F128" s="7" t="n">
        <v>0.8</v>
      </c>
    </row>
    <row r="129" customFormat="false" ht="15" hidden="false" customHeight="false" outlineLevel="0" collapsed="false">
      <c r="D129" s="0" t="s">
        <v>231</v>
      </c>
      <c r="E129" s="0" t="s">
        <v>232</v>
      </c>
      <c r="F129" s="7" t="n">
        <v>8059</v>
      </c>
    </row>
    <row r="130" customFormat="false" ht="15" hidden="false" customHeight="false" outlineLevel="0" collapsed="false">
      <c r="D130" s="0" t="s">
        <v>233</v>
      </c>
      <c r="E130" s="0" t="s">
        <v>234</v>
      </c>
      <c r="F130" s="7" t="n">
        <v>38</v>
      </c>
    </row>
    <row r="131" customFormat="false" ht="15" hidden="false" customHeight="false" outlineLevel="0" collapsed="false">
      <c r="D131" s="0" t="s">
        <v>235</v>
      </c>
      <c r="E131" s="0" t="s">
        <v>105</v>
      </c>
      <c r="F131" s="7" t="n">
        <v>76.5</v>
      </c>
    </row>
    <row r="132" customFormat="false" ht="15" hidden="false" customHeight="false" outlineLevel="0" collapsed="false">
      <c r="D132" s="0" t="s">
        <v>236</v>
      </c>
      <c r="E132" s="0" t="s">
        <v>232</v>
      </c>
      <c r="F132" s="7" t="n">
        <v>10</v>
      </c>
    </row>
    <row r="133" customFormat="false" ht="15" hidden="false" customHeight="false" outlineLevel="0" collapsed="false">
      <c r="D133" s="0" t="s">
        <v>237</v>
      </c>
      <c r="E133" s="0" t="s">
        <v>105</v>
      </c>
      <c r="F133" s="7" t="n">
        <v>90</v>
      </c>
    </row>
    <row r="134" customFormat="false" ht="15" hidden="false" customHeight="false" outlineLevel="0" collapsed="false">
      <c r="D134" s="0" t="s">
        <v>238</v>
      </c>
      <c r="E134" s="0" t="s">
        <v>239</v>
      </c>
      <c r="F134" s="7" t="n">
        <v>14.36</v>
      </c>
    </row>
    <row r="135" customFormat="false" ht="15" hidden="false" customHeight="false" outlineLevel="0" collapsed="false">
      <c r="D135" s="0" t="s">
        <v>240</v>
      </c>
      <c r="E135" s="0" t="s">
        <v>111</v>
      </c>
      <c r="F135" s="7" t="n">
        <v>0.2</v>
      </c>
    </row>
    <row r="136" customFormat="false" ht="15" hidden="false" customHeight="false" outlineLevel="0" collapsed="false">
      <c r="D136" s="0" t="s">
        <v>241</v>
      </c>
      <c r="E136" s="0" t="s">
        <v>239</v>
      </c>
      <c r="F136" s="7" t="n">
        <v>2.31</v>
      </c>
    </row>
    <row r="137" customFormat="false" ht="15" hidden="false" customHeight="false" outlineLevel="0" collapsed="false">
      <c r="D137" s="0" t="s">
        <v>242</v>
      </c>
      <c r="E137" s="0" t="s">
        <v>111</v>
      </c>
      <c r="F137" s="7" t="n">
        <v>0.62</v>
      </c>
    </row>
    <row r="138" customFormat="false" ht="15" hidden="false" customHeight="false" outlineLevel="0" collapsed="false">
      <c r="D138" s="0" t="s">
        <v>243</v>
      </c>
      <c r="E138" s="0" t="s">
        <v>155</v>
      </c>
      <c r="F138" s="7" t="n">
        <v>462.35</v>
      </c>
    </row>
    <row r="139" customFormat="false" ht="15" hidden="false" customHeight="false" outlineLevel="0" collapsed="false">
      <c r="D139" s="0" t="s">
        <v>244</v>
      </c>
      <c r="E139" s="0" t="s">
        <v>245</v>
      </c>
      <c r="F139" s="7" t="n">
        <v>3.86</v>
      </c>
    </row>
    <row r="140" customFormat="false" ht="15" hidden="false" customHeight="false" outlineLevel="0" collapsed="false">
      <c r="D140" s="0" t="s">
        <v>246</v>
      </c>
      <c r="E140" s="0" t="s">
        <v>111</v>
      </c>
      <c r="F140" s="7" t="n">
        <v>0.7</v>
      </c>
    </row>
    <row r="141" customFormat="false" ht="15" hidden="false" customHeight="false" outlineLevel="0" collapsed="false">
      <c r="B141" s="2" t="s">
        <v>247</v>
      </c>
    </row>
    <row r="142" customFormat="false" ht="15" hidden="false" customHeight="false" outlineLevel="0" collapsed="false">
      <c r="D142" s="0" t="s">
        <v>248</v>
      </c>
      <c r="E142" s="0" t="s">
        <v>249</v>
      </c>
      <c r="F142" s="7" t="n">
        <v>5.86</v>
      </c>
    </row>
    <row r="143" customFormat="false" ht="15" hidden="false" customHeight="false" outlineLevel="0" collapsed="false">
      <c r="D143" s="0" t="s">
        <v>250</v>
      </c>
      <c r="E143" s="0" t="s">
        <v>182</v>
      </c>
      <c r="F143" s="7" t="n">
        <v>2</v>
      </c>
    </row>
    <row r="144" customFormat="false" ht="15" hidden="false" customHeight="false" outlineLevel="0" collapsed="false">
      <c r="D144" s="0" t="s">
        <v>251</v>
      </c>
      <c r="E144" s="0" t="s">
        <v>252</v>
      </c>
      <c r="F144" s="7" t="n">
        <v>72400</v>
      </c>
    </row>
    <row r="145" customFormat="false" ht="15" hidden="false" customHeight="false" outlineLevel="0" collapsed="false">
      <c r="D145" s="0" t="s">
        <v>253</v>
      </c>
      <c r="E145" s="0" t="s">
        <v>111</v>
      </c>
      <c r="F145" s="7" t="n">
        <v>0.8</v>
      </c>
    </row>
    <row r="146" customFormat="false" ht="15" hidden="false" customHeight="false" outlineLevel="0" collapsed="false">
      <c r="D146" s="0" t="s">
        <v>254</v>
      </c>
      <c r="E146" s="0" t="s">
        <v>252</v>
      </c>
      <c r="F146" s="7" t="n">
        <v>96500</v>
      </c>
    </row>
    <row r="147" customFormat="false" ht="15" hidden="false" customHeight="false" outlineLevel="0" collapsed="false">
      <c r="D147" s="0" t="s">
        <v>255</v>
      </c>
      <c r="E147" s="0" t="s">
        <v>249</v>
      </c>
      <c r="F147" s="7" t="n">
        <v>0.62</v>
      </c>
    </row>
    <row r="148" customFormat="false" ht="15" hidden="false" customHeight="false" outlineLevel="0" collapsed="false">
      <c r="D148" s="0" t="s">
        <v>256</v>
      </c>
      <c r="E148" s="0" t="s">
        <v>249</v>
      </c>
      <c r="F148" s="7" t="n">
        <v>0.19</v>
      </c>
    </row>
    <row r="149" customFormat="false" ht="15" hidden="false" customHeight="false" outlineLevel="0" collapsed="false">
      <c r="D149" s="0" t="s">
        <v>257</v>
      </c>
      <c r="E149" s="0" t="s">
        <v>182</v>
      </c>
      <c r="F149" s="7" t="n">
        <v>1.5</v>
      </c>
    </row>
    <row r="150" customFormat="false" ht="15" hidden="false" customHeight="false" outlineLevel="0" collapsed="false">
      <c r="B150" s="2" t="s">
        <v>258</v>
      </c>
    </row>
    <row r="151" customFormat="false" ht="15" hidden="false" customHeight="false" outlineLevel="0" collapsed="false">
      <c r="D151" s="0" t="s">
        <v>259</v>
      </c>
      <c r="E151" s="0" t="s">
        <v>206</v>
      </c>
      <c r="F151" s="7" t="n">
        <v>7.92</v>
      </c>
    </row>
    <row r="152" customFormat="false" ht="15" hidden="false" customHeight="false" outlineLevel="0" collapsed="false">
      <c r="D152" s="0" t="s">
        <v>260</v>
      </c>
      <c r="E152" s="0" t="s">
        <v>111</v>
      </c>
      <c r="F152" s="7" t="n">
        <v>0.65</v>
      </c>
    </row>
    <row r="153" customFormat="false" ht="15" hidden="false" customHeight="false" outlineLevel="0" collapsed="false">
      <c r="D153" s="0" t="s">
        <v>261</v>
      </c>
      <c r="E153" s="0" t="s">
        <v>155</v>
      </c>
      <c r="F153" s="7" t="n">
        <v>516.8</v>
      </c>
    </row>
    <row r="154" customFormat="false" ht="15" hidden="false" customHeight="false" outlineLevel="0" collapsed="false">
      <c r="D154" s="0" t="s">
        <v>262</v>
      </c>
      <c r="E154" s="0" t="s">
        <v>206</v>
      </c>
      <c r="F154" s="7" t="n">
        <v>0.6</v>
      </c>
    </row>
    <row r="155" customFormat="false" ht="15" hidden="false" customHeight="false" outlineLevel="0" collapsed="false">
      <c r="D155" s="0" t="s">
        <v>263</v>
      </c>
      <c r="E155" s="0" t="s">
        <v>206</v>
      </c>
      <c r="F155" s="7" t="n">
        <v>2.64</v>
      </c>
    </row>
    <row r="156" customFormat="false" ht="15" hidden="false" customHeight="false" outlineLevel="0" collapsed="false">
      <c r="D156" s="0" t="s">
        <v>264</v>
      </c>
      <c r="E156" s="0" t="s">
        <v>265</v>
      </c>
      <c r="F156" s="7" t="n">
        <v>486</v>
      </c>
    </row>
    <row r="157" customFormat="false" ht="15" hidden="false" customHeight="false" outlineLevel="0" collapsed="false">
      <c r="D157" s="0" t="s">
        <v>266</v>
      </c>
      <c r="E157" s="0" t="s">
        <v>206</v>
      </c>
      <c r="F157" s="7" t="n">
        <v>4.37</v>
      </c>
    </row>
    <row r="158" customFormat="false" ht="15" hidden="false" customHeight="false" outlineLevel="0" collapsed="false">
      <c r="D158" s="0" t="s">
        <v>267</v>
      </c>
      <c r="E158" s="0" t="s">
        <v>111</v>
      </c>
      <c r="F158" s="7" t="n">
        <v>0.18</v>
      </c>
    </row>
    <row r="159" customFormat="false" ht="15" hidden="false" customHeight="false" outlineLevel="0" collapsed="false">
      <c r="D159" s="0" t="s">
        <v>268</v>
      </c>
      <c r="E159" s="0" t="s">
        <v>206</v>
      </c>
      <c r="F159" s="7" t="n">
        <v>3.18</v>
      </c>
    </row>
    <row r="160" customFormat="false" ht="15" hidden="false" customHeight="false" outlineLevel="0" collapsed="false">
      <c r="D160" s="0" t="s">
        <v>269</v>
      </c>
      <c r="E160" s="0" t="s">
        <v>270</v>
      </c>
      <c r="F160" s="7" t="n">
        <v>368</v>
      </c>
    </row>
    <row r="161" customFormat="false" ht="15" hidden="false" customHeight="false" outlineLevel="0" collapsed="false">
      <c r="D161" s="0" t="s">
        <v>271</v>
      </c>
      <c r="E161" s="0" t="s">
        <v>272</v>
      </c>
      <c r="F161" s="7" t="n">
        <v>0.55</v>
      </c>
    </row>
    <row r="162" customFormat="false" ht="15" hidden="false" customHeight="false" outlineLevel="0" collapsed="false">
      <c r="D162" s="0" t="s">
        <v>273</v>
      </c>
      <c r="E162" s="0" t="s">
        <v>245</v>
      </c>
      <c r="F162" s="7" t="n">
        <v>1.08</v>
      </c>
    </row>
    <row r="163" customFormat="false" ht="15" hidden="false" customHeight="false" outlineLevel="0" collapsed="false">
      <c r="D163" s="0" t="s">
        <v>274</v>
      </c>
      <c r="E163" s="0" t="s">
        <v>206</v>
      </c>
      <c r="F163" s="7" t="n">
        <v>0.31125</v>
      </c>
    </row>
    <row r="164" customFormat="false" ht="15" hidden="false" customHeight="false" outlineLevel="0" collapsed="false">
      <c r="D164" s="0" t="s">
        <v>275</v>
      </c>
      <c r="E164" s="0" t="s">
        <v>151</v>
      </c>
      <c r="F164" s="7" t="n">
        <v>9.47</v>
      </c>
    </row>
    <row r="165" customFormat="false" ht="15" hidden="false" customHeight="false" outlineLevel="0" collapsed="false">
      <c r="D165" s="0" t="s">
        <v>276</v>
      </c>
      <c r="E165" s="0" t="s">
        <v>151</v>
      </c>
      <c r="F165" s="7" t="n">
        <v>2.18</v>
      </c>
    </row>
    <row r="166" customFormat="false" ht="15" hidden="false" customHeight="false" outlineLevel="0" collapsed="false">
      <c r="D166" s="0" t="s">
        <v>277</v>
      </c>
      <c r="E166" s="0" t="s">
        <v>206</v>
      </c>
      <c r="F166" s="7" t="n">
        <v>1.85</v>
      </c>
    </row>
    <row r="167" customFormat="false" ht="15" hidden="false" customHeight="false" outlineLevel="0" collapsed="false">
      <c r="B167" s="2" t="s">
        <v>278</v>
      </c>
    </row>
    <row r="168" customFormat="false" ht="15" hidden="false" customHeight="false" outlineLevel="0" collapsed="false">
      <c r="D168" s="0" t="s">
        <v>279</v>
      </c>
      <c r="E168" s="0" t="s">
        <v>113</v>
      </c>
      <c r="F168" s="7" t="n">
        <v>45</v>
      </c>
    </row>
    <row r="169" customFormat="false" ht="15" hidden="false" customHeight="false" outlineLevel="0" collapsed="false">
      <c r="D169" s="0" t="s">
        <v>280</v>
      </c>
      <c r="E169" s="0" t="s">
        <v>113</v>
      </c>
      <c r="F169" s="7" t="n">
        <v>45</v>
      </c>
    </row>
    <row r="170" customFormat="false" ht="15" hidden="false" customHeight="false" outlineLevel="0" collapsed="false">
      <c r="D170" s="0" t="s">
        <v>281</v>
      </c>
      <c r="E170" s="0" t="s">
        <v>113</v>
      </c>
      <c r="F170" s="7" t="n">
        <v>30</v>
      </c>
    </row>
    <row r="171" customFormat="false" ht="15" hidden="false" customHeight="false" outlineLevel="0" collapsed="false">
      <c r="D171" s="0" t="s">
        <v>282</v>
      </c>
      <c r="E171" s="0" t="s">
        <v>113</v>
      </c>
      <c r="F171" s="7" t="n">
        <v>30</v>
      </c>
    </row>
    <row r="172" customFormat="false" ht="15" hidden="false" customHeight="false" outlineLevel="0" collapsed="false">
      <c r="D172" s="0" t="s">
        <v>283</v>
      </c>
      <c r="E172" s="0" t="s">
        <v>113</v>
      </c>
      <c r="F172" s="7" t="n">
        <v>30</v>
      </c>
    </row>
    <row r="173" customFormat="false" ht="15" hidden="false" customHeight="false" outlineLevel="0" collapsed="false">
      <c r="B173" s="2" t="s">
        <v>284</v>
      </c>
    </row>
    <row r="174" customFormat="false" ht="15" hidden="false" customHeight="false" outlineLevel="0" collapsed="false">
      <c r="D174" s="0" t="s">
        <v>285</v>
      </c>
      <c r="E174" s="0" t="s">
        <v>105</v>
      </c>
      <c r="F174" s="7" t="n">
        <v>30</v>
      </c>
    </row>
    <row r="175" customFormat="false" ht="15" hidden="false" customHeight="false" outlineLevel="0" collapsed="false">
      <c r="D175" s="0" t="s">
        <v>286</v>
      </c>
      <c r="E175" s="0" t="s">
        <v>105</v>
      </c>
      <c r="F175" s="7" t="n">
        <v>15</v>
      </c>
    </row>
    <row r="176" customFormat="false" ht="15" hidden="false" customHeight="false" outlineLevel="0" collapsed="false">
      <c r="D176" s="0" t="s">
        <v>287</v>
      </c>
      <c r="E176" s="0" t="s">
        <v>105</v>
      </c>
      <c r="F176" s="7" t="n">
        <v>0.5</v>
      </c>
    </row>
    <row r="177" customFormat="false" ht="15" hidden="false" customHeight="false" outlineLevel="0" collapsed="false">
      <c r="D177" s="0" t="s">
        <v>288</v>
      </c>
      <c r="E177" s="0" t="s">
        <v>111</v>
      </c>
      <c r="F177" s="7" t="n">
        <v>0.92</v>
      </c>
    </row>
    <row r="178" customFormat="false" ht="15" hidden="false" customHeight="false" outlineLevel="0" collapsed="false">
      <c r="D178" s="0" t="s">
        <v>289</v>
      </c>
      <c r="E178" s="0" t="s">
        <v>99</v>
      </c>
      <c r="F178" s="7" t="n">
        <v>240</v>
      </c>
    </row>
    <row r="179" customFormat="false" ht="15" hidden="false" customHeight="false" outlineLevel="0" collapsed="false">
      <c r="D179" s="0" t="s">
        <v>290</v>
      </c>
      <c r="E179" s="0" t="s">
        <v>111</v>
      </c>
      <c r="F179" s="7" t="n">
        <v>0.05</v>
      </c>
    </row>
    <row r="180" customFormat="false" ht="15" hidden="false" customHeight="false" outlineLevel="0" collapsed="false">
      <c r="D180" s="0" t="s">
        <v>291</v>
      </c>
      <c r="E180" s="0" t="s">
        <v>99</v>
      </c>
      <c r="F180" s="7" t="n">
        <v>300</v>
      </c>
    </row>
    <row r="181" customFormat="false" ht="15" hidden="false" customHeight="false" outlineLevel="0" collapsed="false">
      <c r="D181" s="0" t="s">
        <v>292</v>
      </c>
      <c r="E181" s="0" t="s">
        <v>111</v>
      </c>
      <c r="F181" s="7" t="n">
        <v>0.03</v>
      </c>
    </row>
    <row r="182" customFormat="false" ht="15" hidden="false" customHeight="false" outlineLevel="0" collapsed="false">
      <c r="D182" s="0" t="s">
        <v>293</v>
      </c>
      <c r="E182" s="0" t="s">
        <v>99</v>
      </c>
      <c r="F182" s="7" t="n">
        <v>60</v>
      </c>
    </row>
    <row r="183" customFormat="false" ht="15" hidden="false" customHeight="false" outlineLevel="0" collapsed="false">
      <c r="D183" s="0" t="s">
        <v>294</v>
      </c>
      <c r="E183" s="0" t="s">
        <v>204</v>
      </c>
      <c r="F183" s="7" t="n">
        <v>3</v>
      </c>
    </row>
    <row r="184" customFormat="false" ht="15" hidden="false" customHeight="false" outlineLevel="0" collapsed="false">
      <c r="D184" s="0" t="s">
        <v>295</v>
      </c>
      <c r="E184" s="0" t="s">
        <v>105</v>
      </c>
      <c r="F184" s="7" t="n">
        <v>30</v>
      </c>
    </row>
    <row r="185" customFormat="false" ht="15" hidden="false" customHeight="false" outlineLevel="0" collapsed="false">
      <c r="B185" s="2" t="s">
        <v>296</v>
      </c>
    </row>
    <row r="186" customFormat="false" ht="15" hidden="false" customHeight="false" outlineLevel="0" collapsed="false">
      <c r="D186" s="0" t="s">
        <v>297</v>
      </c>
      <c r="E186" s="0" t="s">
        <v>298</v>
      </c>
      <c r="F186" s="8" t="n">
        <v>43136</v>
      </c>
    </row>
    <row r="187" customFormat="false" ht="15" hidden="false" customHeight="false" outlineLevel="0" collapsed="false">
      <c r="D187" s="0" t="s">
        <v>299</v>
      </c>
      <c r="E187" s="0" t="s">
        <v>298</v>
      </c>
      <c r="F187" s="8" t="n">
        <v>43298</v>
      </c>
    </row>
    <row r="188" customFormat="false" ht="15" hidden="false" customHeight="false" outlineLevel="0" collapsed="false">
      <c r="D188" s="0" t="s">
        <v>300</v>
      </c>
      <c r="E188" s="0" t="s">
        <v>298</v>
      </c>
      <c r="F188" s="8" t="n">
        <v>43313</v>
      </c>
    </row>
    <row r="189" customFormat="false" ht="15" hidden="false" customHeight="false" outlineLevel="0" collapsed="false">
      <c r="D189" s="0" t="s">
        <v>301</v>
      </c>
      <c r="E189" s="0" t="s">
        <v>298</v>
      </c>
      <c r="F189" s="8" t="n">
        <v>43282</v>
      </c>
    </row>
    <row r="190" customFormat="false" ht="15" hidden="false" customHeight="false" outlineLevel="0" collapsed="false">
      <c r="D190" s="0" t="s">
        <v>302</v>
      </c>
      <c r="E190" s="0" t="s">
        <v>298</v>
      </c>
      <c r="F190" s="8" t="n">
        <v>44317</v>
      </c>
    </row>
    <row r="191" customFormat="false" ht="15" hidden="false" customHeight="false" outlineLevel="0" collapsed="false">
      <c r="D191" s="0" t="s">
        <v>303</v>
      </c>
      <c r="E191" s="0" t="s">
        <v>298</v>
      </c>
      <c r="F191" s="8" t="n">
        <v>44531</v>
      </c>
    </row>
    <row r="192" customFormat="false" ht="15" hidden="false" customHeight="false" outlineLevel="0" collapsed="false">
      <c r="D192" s="0" t="s">
        <v>304</v>
      </c>
      <c r="E192" s="0" t="s">
        <v>298</v>
      </c>
      <c r="F192" s="8" t="n">
        <v>49125</v>
      </c>
    </row>
    <row r="193" customFormat="false" ht="15" hidden="false" customHeight="false" outlineLevel="0" collapsed="false">
      <c r="D193" s="0" t="s">
        <v>305</v>
      </c>
      <c r="E193" s="0" t="s">
        <v>298</v>
      </c>
      <c r="F193" s="8" t="n">
        <v>44562</v>
      </c>
    </row>
    <row r="194" customFormat="false" ht="15" hidden="false" customHeight="false" outlineLevel="0" collapsed="false">
      <c r="D194" s="0" t="s">
        <v>306</v>
      </c>
      <c r="E194" s="0" t="s">
        <v>298</v>
      </c>
      <c r="F194" s="8" t="n">
        <v>44562</v>
      </c>
    </row>
    <row r="195" customFormat="false" ht="15" hidden="false" customHeight="false" outlineLevel="0" collapsed="false">
      <c r="D195" s="0" t="s">
        <v>307</v>
      </c>
      <c r="E195" s="0" t="s">
        <v>298</v>
      </c>
      <c r="F195" s="8" t="n">
        <v>44743</v>
      </c>
    </row>
    <row r="196" customFormat="false" ht="15" hidden="false" customHeight="false" outlineLevel="0" collapsed="false">
      <c r="D196" s="0" t="s">
        <v>308</v>
      </c>
      <c r="E196" s="0" t="s">
        <v>298</v>
      </c>
      <c r="F196" s="8" t="n">
        <v>44927</v>
      </c>
    </row>
    <row r="197" customFormat="false" ht="15" hidden="false" customHeight="false" outlineLevel="0" collapsed="false">
      <c r="D197" s="0" t="s">
        <v>309</v>
      </c>
      <c r="E197" s="0" t="s">
        <v>298</v>
      </c>
      <c r="F197" s="8" t="n">
        <v>45372</v>
      </c>
    </row>
    <row r="198" customFormat="false" ht="15" hidden="false" customHeight="false" outlineLevel="0" collapsed="false">
      <c r="D198" s="0" t="s">
        <v>310</v>
      </c>
      <c r="E198" s="0" t="s">
        <v>298</v>
      </c>
      <c r="F198" s="8" t="n">
        <v>44742</v>
      </c>
    </row>
    <row r="199" customFormat="false" ht="15" hidden="false" customHeight="false" outlineLevel="0" collapsed="false">
      <c r="D199" s="0" t="s">
        <v>311</v>
      </c>
      <c r="E199" s="0" t="s">
        <v>298</v>
      </c>
      <c r="F199" s="8" t="n">
        <v>45107</v>
      </c>
    </row>
    <row r="200" customFormat="false" ht="15" hidden="false" customHeight="false" outlineLevel="0" collapsed="false">
      <c r="D200" s="0" t="s">
        <v>312</v>
      </c>
      <c r="E200" s="0" t="s">
        <v>298</v>
      </c>
      <c r="F200" s="8" t="n">
        <v>45291</v>
      </c>
    </row>
    <row r="201" customFormat="false" ht="15" hidden="false" customHeight="false" outlineLevel="0" collapsed="false">
      <c r="D201" s="0" t="s">
        <v>313</v>
      </c>
      <c r="E201" s="0" t="s">
        <v>298</v>
      </c>
      <c r="F201" s="8" t="n">
        <v>45108</v>
      </c>
    </row>
    <row r="202" customFormat="false" ht="15" hidden="false" customHeight="false" outlineLevel="0" collapsed="false">
      <c r="D202" s="0" t="s">
        <v>314</v>
      </c>
      <c r="E202" s="0" t="s">
        <v>298</v>
      </c>
      <c r="F202" s="8" t="n">
        <v>45657</v>
      </c>
    </row>
    <row r="203" customFormat="false" ht="15" hidden="false" customHeight="false" outlineLevel="0" collapsed="false">
      <c r="D203" s="0" t="s">
        <v>315</v>
      </c>
      <c r="E203" s="0" t="s">
        <v>298</v>
      </c>
      <c r="F203" s="8" t="n">
        <v>45473</v>
      </c>
    </row>
    <row r="204" customFormat="false" ht="15" hidden="false" customHeight="false" outlineLevel="0" collapsed="false">
      <c r="D204" s="0" t="s">
        <v>316</v>
      </c>
      <c r="E204" s="0" t="s">
        <v>298</v>
      </c>
      <c r="F204" s="8" t="n">
        <v>46022</v>
      </c>
    </row>
    <row r="205" customFormat="false" ht="15" hidden="false" customHeight="false" outlineLevel="0" collapsed="false">
      <c r="D205" s="0" t="s">
        <v>317</v>
      </c>
      <c r="E205" s="0" t="s">
        <v>298</v>
      </c>
      <c r="F205" s="8" t="n">
        <v>45838</v>
      </c>
    </row>
    <row r="206" customFormat="false" ht="15" hidden="false" customHeight="false" outlineLevel="0" collapsed="false">
      <c r="D206" s="0" t="s">
        <v>318</v>
      </c>
      <c r="E206" s="0" t="s">
        <v>298</v>
      </c>
      <c r="F206" s="8" t="n">
        <v>46388</v>
      </c>
    </row>
    <row r="207" customFormat="false" ht="15" hidden="false" customHeight="false" outlineLevel="0" collapsed="false">
      <c r="D207" s="0" t="s">
        <v>319</v>
      </c>
      <c r="E207" s="0" t="s">
        <v>298</v>
      </c>
      <c r="F207" s="8" t="n">
        <v>46023</v>
      </c>
    </row>
    <row r="208" customFormat="false" ht="15" hidden="false" customHeight="false" outlineLevel="0" collapsed="false">
      <c r="D208" s="0" t="s">
        <v>320</v>
      </c>
      <c r="E208" s="0" t="s">
        <v>298</v>
      </c>
      <c r="F208" s="8" t="n">
        <v>47484</v>
      </c>
    </row>
    <row r="209" customFormat="false" ht="15" hidden="false" customHeight="false" outlineLevel="0" collapsed="false">
      <c r="B209" s="2" t="s">
        <v>321</v>
      </c>
    </row>
    <row r="210" customFormat="false" ht="15" hidden="false" customHeight="false" outlineLevel="0" collapsed="false">
      <c r="D210" s="0" t="s">
        <v>322</v>
      </c>
      <c r="E210" s="0" t="s">
        <v>323</v>
      </c>
      <c r="F210" s="7" t="n">
        <v>25</v>
      </c>
    </row>
    <row r="211" customFormat="false" ht="15" hidden="false" customHeight="false" outlineLevel="0" collapsed="false">
      <c r="D211" s="0" t="s">
        <v>324</v>
      </c>
      <c r="E211" s="0" t="s">
        <v>99</v>
      </c>
      <c r="F211" s="7" t="n">
        <v>12</v>
      </c>
    </row>
    <row r="212" customFormat="false" ht="15" hidden="false" customHeight="false" outlineLevel="0" collapsed="false">
      <c r="D212" s="0" t="s">
        <v>325</v>
      </c>
      <c r="E212" s="0" t="s">
        <v>326</v>
      </c>
      <c r="F212" s="7" t="n">
        <v>0.5</v>
      </c>
    </row>
    <row r="213" customFormat="false" ht="15" hidden="false" customHeight="false" outlineLevel="0" collapsed="false">
      <c r="D213" s="0" t="s">
        <v>327</v>
      </c>
      <c r="E213" s="0" t="s">
        <v>105</v>
      </c>
      <c r="F213" s="7" t="n">
        <v>7.5</v>
      </c>
    </row>
    <row r="214" customFormat="false" ht="15" hidden="false" customHeight="false" outlineLevel="0" collapsed="false">
      <c r="D214" s="0" t="s">
        <v>328</v>
      </c>
      <c r="E214" s="0" t="s">
        <v>105</v>
      </c>
      <c r="F214" s="7" t="n">
        <v>2.2</v>
      </c>
    </row>
    <row r="215" customFormat="false" ht="15" hidden="false" customHeight="false" outlineLevel="0" collapsed="false">
      <c r="D215" s="0" t="s">
        <v>329</v>
      </c>
      <c r="E215" s="0" t="s">
        <v>232</v>
      </c>
      <c r="F215" s="7" t="n">
        <v>730</v>
      </c>
    </row>
    <row r="216" customFormat="false" ht="15" hidden="false" customHeight="false" outlineLevel="0" collapsed="false">
      <c r="D216" s="0" t="s">
        <v>330</v>
      </c>
      <c r="E216" s="0" t="s">
        <v>105</v>
      </c>
      <c r="F216" s="7" t="n">
        <v>92</v>
      </c>
    </row>
    <row r="217" customFormat="false" ht="15" hidden="false" customHeight="false" outlineLevel="0" collapsed="false">
      <c r="D217" s="0" t="s">
        <v>331</v>
      </c>
      <c r="E217" s="0" t="s">
        <v>103</v>
      </c>
      <c r="F217" s="7" t="n">
        <v>3</v>
      </c>
    </row>
    <row r="218" customFormat="false" ht="15" hidden="false" customHeight="false" outlineLevel="0" collapsed="false">
      <c r="D218" s="0" t="s">
        <v>332</v>
      </c>
      <c r="E218" s="0" t="s">
        <v>111</v>
      </c>
      <c r="F218" s="7" t="n">
        <v>0.5</v>
      </c>
    </row>
    <row r="219" customFormat="false" ht="15" hidden="false" customHeight="false" outlineLevel="0" collapsed="false">
      <c r="D219" s="0" t="s">
        <v>333</v>
      </c>
      <c r="E219" s="0" t="s">
        <v>111</v>
      </c>
      <c r="F219" s="7" t="n">
        <v>0.7</v>
      </c>
    </row>
    <row r="220" customFormat="false" ht="15" hidden="false" customHeight="false" outlineLevel="0" collapsed="false">
      <c r="D220" s="0" t="s">
        <v>334</v>
      </c>
      <c r="E220" s="0" t="s">
        <v>323</v>
      </c>
      <c r="F220" s="7" t="n">
        <v>8</v>
      </c>
    </row>
    <row r="221" customFormat="false" ht="15" hidden="false" customHeight="false" outlineLevel="0" collapsed="false">
      <c r="D221" s="0" t="s">
        <v>335</v>
      </c>
      <c r="E221" s="0" t="s">
        <v>336</v>
      </c>
      <c r="F221" s="7" t="n">
        <v>7</v>
      </c>
    </row>
    <row r="222" customFormat="false" ht="15" hidden="false" customHeight="false" outlineLevel="0" collapsed="false">
      <c r="D222" s="0" t="s">
        <v>337</v>
      </c>
      <c r="E222" s="0" t="s">
        <v>338</v>
      </c>
      <c r="F222" s="7" t="n">
        <v>24</v>
      </c>
    </row>
    <row r="223" customFormat="false" ht="15" hidden="false" customHeight="false" outlineLevel="0" collapsed="false">
      <c r="D223" s="0" t="s">
        <v>339</v>
      </c>
      <c r="E223" s="0" t="s">
        <v>323</v>
      </c>
      <c r="F223" s="7" t="n">
        <v>8</v>
      </c>
    </row>
    <row r="224" customFormat="false" ht="15" hidden="false" customHeight="false" outlineLevel="0" collapsed="false">
      <c r="D224" s="0" t="s">
        <v>340</v>
      </c>
      <c r="E224" s="0" t="s">
        <v>323</v>
      </c>
      <c r="F224" s="7" t="n">
        <v>4</v>
      </c>
    </row>
    <row r="225" customFormat="false" ht="15" hidden="false" customHeight="false" outlineLevel="0" collapsed="false">
      <c r="D225" s="0" t="s">
        <v>341</v>
      </c>
      <c r="E225" s="0" t="s">
        <v>326</v>
      </c>
      <c r="F225" s="7" t="n">
        <v>6</v>
      </c>
    </row>
    <row r="226" customFormat="false" ht="15" hidden="false" customHeight="false" outlineLevel="0" collapsed="false">
      <c r="D226" s="0" t="s">
        <v>342</v>
      </c>
      <c r="E226" s="0" t="s">
        <v>99</v>
      </c>
      <c r="F226" s="7" t="n">
        <v>6</v>
      </c>
    </row>
    <row r="227" customFormat="false" ht="15" hidden="false" customHeight="false" outlineLevel="0" collapsed="false">
      <c r="D227" s="0" t="s">
        <v>343</v>
      </c>
      <c r="E227" s="0" t="s">
        <v>338</v>
      </c>
      <c r="F227" s="7" t="n">
        <v>20</v>
      </c>
    </row>
    <row r="228" customFormat="false" ht="15" hidden="false" customHeight="false" outlineLevel="0" collapsed="false">
      <c r="D228" s="0" t="s">
        <v>344</v>
      </c>
      <c r="E228" s="0" t="s">
        <v>323</v>
      </c>
      <c r="F228" s="7" t="n">
        <v>5</v>
      </c>
    </row>
    <row r="229" customFormat="false" ht="15" hidden="false" customHeight="false" outlineLevel="0" collapsed="false">
      <c r="D229" s="0" t="s">
        <v>345</v>
      </c>
      <c r="E229" s="0" t="s">
        <v>338</v>
      </c>
      <c r="F229" s="7" t="n">
        <v>8</v>
      </c>
    </row>
    <row r="230" customFormat="false" ht="15" hidden="false" customHeight="false" outlineLevel="0" collapsed="false">
      <c r="D230" s="0" t="s">
        <v>346</v>
      </c>
      <c r="E230" s="0" t="s">
        <v>347</v>
      </c>
      <c r="F230" s="7" t="n">
        <v>2016</v>
      </c>
    </row>
    <row r="231" customFormat="false" ht="15" hidden="false" customHeight="false" outlineLevel="0" collapsed="false">
      <c r="D231" s="0" t="s">
        <v>348</v>
      </c>
      <c r="E231" s="0" t="s">
        <v>336</v>
      </c>
      <c r="F231" s="7" t="n">
        <v>11</v>
      </c>
    </row>
    <row r="232" customFormat="false" ht="15" hidden="false" customHeight="false" outlineLevel="0" collapsed="false">
      <c r="D232" s="0" t="s">
        <v>349</v>
      </c>
      <c r="E232" s="0" t="s">
        <v>93</v>
      </c>
      <c r="F232" s="7" t="n">
        <v>100</v>
      </c>
    </row>
    <row r="233" customFormat="false" ht="15" hidden="false" customHeight="false" outlineLevel="0" collapsed="false">
      <c r="D233" s="0" t="s">
        <v>350</v>
      </c>
      <c r="E233" s="0" t="s">
        <v>336</v>
      </c>
      <c r="F233" s="7" t="n">
        <v>9</v>
      </c>
    </row>
    <row r="234" customFormat="false" ht="15" hidden="false" customHeight="false" outlineLevel="0" collapsed="false">
      <c r="D234" s="0" t="s">
        <v>351</v>
      </c>
      <c r="E234" s="0" t="s">
        <v>336</v>
      </c>
      <c r="F234" s="7" t="n">
        <v>3</v>
      </c>
    </row>
    <row r="235" customFormat="false" ht="15" hidden="false" customHeight="false" outlineLevel="0" collapsed="false">
      <c r="D235" s="0" t="s">
        <v>352</v>
      </c>
      <c r="E235" s="0" t="s">
        <v>336</v>
      </c>
      <c r="F235" s="7" t="n">
        <v>6</v>
      </c>
    </row>
    <row r="236" customFormat="false" ht="15" hidden="false" customHeight="false" outlineLevel="0" collapsed="false">
      <c r="D236" s="0" t="s">
        <v>353</v>
      </c>
      <c r="E236" s="0" t="s">
        <v>99</v>
      </c>
      <c r="F236" s="7" t="n">
        <v>3</v>
      </c>
    </row>
    <row r="237" customFormat="false" ht="15" hidden="false" customHeight="false" outlineLevel="0" collapsed="false">
      <c r="D237" s="0" t="s">
        <v>354</v>
      </c>
      <c r="E237" s="0" t="s">
        <v>99</v>
      </c>
      <c r="F237" s="7" t="n">
        <v>33</v>
      </c>
    </row>
    <row r="238" customFormat="false" ht="15" hidden="false" customHeight="false" outlineLevel="0" collapsed="false">
      <c r="D238" s="0" t="s">
        <v>355</v>
      </c>
      <c r="E238" s="0" t="s">
        <v>356</v>
      </c>
      <c r="F238" s="7" t="n">
        <v>7.5</v>
      </c>
    </row>
    <row r="239" customFormat="false" ht="15" hidden="false" customHeight="false" outlineLevel="0" collapsed="false">
      <c r="D239" s="0" t="s">
        <v>357</v>
      </c>
      <c r="E239" s="0" t="s">
        <v>105</v>
      </c>
      <c r="F239" s="7" t="n">
        <v>2.75</v>
      </c>
    </row>
    <row r="240" customFormat="false" ht="15" hidden="false" customHeight="false" outlineLevel="0" collapsed="false">
      <c r="D240" s="0" t="s">
        <v>358</v>
      </c>
      <c r="E240" s="0" t="s">
        <v>336</v>
      </c>
      <c r="F240" s="7" t="n">
        <v>34</v>
      </c>
    </row>
    <row r="241" customFormat="false" ht="15" hidden="false" customHeight="false" outlineLevel="0" collapsed="false">
      <c r="D241" s="0" t="s">
        <v>359</v>
      </c>
      <c r="E241" s="0" t="s">
        <v>336</v>
      </c>
      <c r="F241" s="7" t="n">
        <v>40</v>
      </c>
    </row>
    <row r="242" customFormat="false" ht="15" hidden="false" customHeight="false" outlineLevel="0" collapsed="false">
      <c r="D242" s="0" t="s">
        <v>360</v>
      </c>
      <c r="E242" s="0" t="s">
        <v>336</v>
      </c>
      <c r="F242" s="7" t="n">
        <v>18</v>
      </c>
    </row>
    <row r="243" customFormat="false" ht="15" hidden="false" customHeight="false" outlineLevel="0" collapsed="false">
      <c r="D243" s="0" t="s">
        <v>361</v>
      </c>
      <c r="E243" s="0" t="s">
        <v>111</v>
      </c>
      <c r="F243" s="7" t="n">
        <v>0.85</v>
      </c>
    </row>
    <row r="244" customFormat="false" ht="15" hidden="false" customHeight="false" outlineLevel="0" collapsed="false">
      <c r="D244" s="0" t="s">
        <v>362</v>
      </c>
      <c r="E244" s="0" t="s">
        <v>111</v>
      </c>
      <c r="F244" s="7" t="n">
        <v>0.7</v>
      </c>
    </row>
    <row r="245" customFormat="false" ht="15" hidden="false" customHeight="false" outlineLevel="0" collapsed="false">
      <c r="D245" s="0" t="s">
        <v>363</v>
      </c>
      <c r="E245" s="0" t="s">
        <v>336</v>
      </c>
      <c r="F245" s="7" t="n">
        <v>40</v>
      </c>
    </row>
    <row r="246" customFormat="false" ht="15" hidden="false" customHeight="false" outlineLevel="0" collapsed="false">
      <c r="D246" s="0" t="s">
        <v>364</v>
      </c>
      <c r="E246" s="0" t="s">
        <v>99</v>
      </c>
      <c r="F246" s="7" t="n">
        <v>9</v>
      </c>
    </row>
    <row r="247" customFormat="false" ht="15" hidden="false" customHeight="false" outlineLevel="0" collapsed="false">
      <c r="D247" s="0" t="s">
        <v>365</v>
      </c>
      <c r="E247" s="0" t="s">
        <v>113</v>
      </c>
      <c r="F247" s="7" t="n">
        <v>360</v>
      </c>
    </row>
    <row r="248" customFormat="false" ht="15" hidden="false" customHeight="false" outlineLevel="0" collapsed="false">
      <c r="D248" s="0" t="s">
        <v>366</v>
      </c>
      <c r="E248" s="0" t="s">
        <v>113</v>
      </c>
      <c r="F248" s="7" t="n">
        <v>365</v>
      </c>
    </row>
    <row r="249" customFormat="false" ht="15" hidden="false" customHeight="false" outlineLevel="0" collapsed="false">
      <c r="D249" s="0" t="s">
        <v>367</v>
      </c>
      <c r="E249" s="0" t="s">
        <v>111</v>
      </c>
      <c r="F249" s="7" t="n">
        <v>0.75</v>
      </c>
    </row>
    <row r="250" customFormat="false" ht="15" hidden="false" customHeight="false" outlineLevel="0" collapsed="false">
      <c r="D250" s="0" t="s">
        <v>368</v>
      </c>
      <c r="E250" s="0" t="s">
        <v>369</v>
      </c>
      <c r="F250" s="7" t="n">
        <v>4</v>
      </c>
    </row>
    <row r="251" customFormat="false" ht="15" hidden="false" customHeight="false" outlineLevel="0" collapsed="false">
      <c r="D251" s="0" t="s">
        <v>370</v>
      </c>
      <c r="E251" s="0" t="s">
        <v>151</v>
      </c>
      <c r="F251" s="7" t="n">
        <v>224.1</v>
      </c>
    </row>
    <row r="252" customFormat="false" ht="15" hidden="false" customHeight="false" outlineLevel="0" collapsed="false">
      <c r="D252" s="0" t="s">
        <v>371</v>
      </c>
      <c r="E252" s="0" t="s">
        <v>105</v>
      </c>
      <c r="F252" s="7" t="n">
        <v>16</v>
      </c>
    </row>
    <row r="253" customFormat="false" ht="15" hidden="false" customHeight="false" outlineLevel="0" collapsed="false">
      <c r="D253" s="0" t="s">
        <v>372</v>
      </c>
      <c r="E253" s="0" t="s">
        <v>151</v>
      </c>
      <c r="F253" s="7" t="n">
        <v>1E-009</v>
      </c>
    </row>
    <row r="254" customFormat="false" ht="15" hidden="false" customHeight="false" outlineLevel="0" collapsed="false">
      <c r="D254" s="0" t="s">
        <v>373</v>
      </c>
      <c r="E254" s="0" t="s">
        <v>151</v>
      </c>
      <c r="F254" s="7" t="n">
        <v>1E-006</v>
      </c>
    </row>
    <row r="255" customFormat="false" ht="15" hidden="false" customHeight="false" outlineLevel="0" collapsed="false">
      <c r="D255" s="0" t="s">
        <v>374</v>
      </c>
      <c r="E255" s="0" t="s">
        <v>111</v>
      </c>
      <c r="F255" s="7" t="n">
        <v>0.1</v>
      </c>
    </row>
    <row r="256" customFormat="false" ht="15" hidden="false" customHeight="false" outlineLevel="0" collapsed="false">
      <c r="D256" s="0" t="s">
        <v>375</v>
      </c>
      <c r="E256" s="0" t="s">
        <v>347</v>
      </c>
      <c r="F256" s="7" t="n">
        <v>2018</v>
      </c>
    </row>
    <row r="257" customFormat="false" ht="15" hidden="false" customHeight="false" outlineLevel="0" collapsed="false">
      <c r="D257" s="0" t="s">
        <v>376</v>
      </c>
      <c r="E257" s="0" t="s">
        <v>369</v>
      </c>
      <c r="F257" s="7" t="n">
        <v>2</v>
      </c>
    </row>
    <row r="258" customFormat="false" ht="15" hidden="false" customHeight="false" outlineLevel="0" collapsed="false">
      <c r="D258" s="0" t="s">
        <v>377</v>
      </c>
      <c r="E258" s="0" t="s">
        <v>369</v>
      </c>
      <c r="F258" s="7" t="n">
        <v>2</v>
      </c>
    </row>
    <row r="259" customFormat="false" ht="15" hidden="false" customHeight="false" outlineLevel="0" collapsed="false">
      <c r="D259" s="0" t="s">
        <v>378</v>
      </c>
      <c r="E259" s="0" t="s">
        <v>111</v>
      </c>
      <c r="F259" s="7" t="n">
        <v>0.75</v>
      </c>
    </row>
    <row r="260" customFormat="false" ht="15" hidden="false" customHeight="false" outlineLevel="0" collapsed="false">
      <c r="D260" s="0" t="s">
        <v>379</v>
      </c>
      <c r="E260" s="0" t="s">
        <v>151</v>
      </c>
      <c r="F260" s="7" t="n">
        <v>0.001</v>
      </c>
    </row>
    <row r="261" customFormat="false" ht="15" hidden="false" customHeight="false" outlineLevel="0" collapsed="false">
      <c r="B261" s="2" t="s">
        <v>380</v>
      </c>
    </row>
    <row r="262" customFormat="false" ht="15" hidden="false" customHeight="false" outlineLevel="0" collapsed="false">
      <c r="D262" s="0" t="s">
        <v>381</v>
      </c>
      <c r="E262" s="0" t="s">
        <v>111</v>
      </c>
      <c r="F262" s="7" t="n">
        <v>0.8</v>
      </c>
    </row>
    <row r="263" customFormat="false" ht="15" hidden="false" customHeight="false" outlineLevel="0" collapsed="false">
      <c r="D263" s="0" t="s">
        <v>382</v>
      </c>
      <c r="E263" s="0" t="s">
        <v>105</v>
      </c>
      <c r="F263" s="7" t="n">
        <v>2</v>
      </c>
    </row>
    <row r="264" customFormat="false" ht="15" hidden="false" customHeight="false" outlineLevel="0" collapsed="false">
      <c r="D264" s="0" t="s">
        <v>383</v>
      </c>
      <c r="E264" s="0" t="s">
        <v>111</v>
      </c>
      <c r="F264" s="7" t="n">
        <v>0.6</v>
      </c>
    </row>
    <row r="265" customFormat="false" ht="15" hidden="false" customHeight="false" outlineLevel="0" collapsed="false">
      <c r="D265" s="0" t="s">
        <v>384</v>
      </c>
      <c r="E265" s="0" t="s">
        <v>151</v>
      </c>
      <c r="F265" s="7" t="n">
        <v>10.1393</v>
      </c>
    </row>
    <row r="266" customFormat="false" ht="15" hidden="false" customHeight="false" outlineLevel="0" collapsed="false">
      <c r="D266" s="0" t="s">
        <v>385</v>
      </c>
      <c r="E266" s="0" t="s">
        <v>151</v>
      </c>
      <c r="F266" s="7" t="n">
        <v>7.0804</v>
      </c>
    </row>
    <row r="267" customFormat="false" ht="15" hidden="false" customHeight="false" outlineLevel="0" collapsed="false">
      <c r="D267" s="0" t="s">
        <v>386</v>
      </c>
      <c r="E267" s="0" t="s">
        <v>151</v>
      </c>
      <c r="F267" s="7" t="n">
        <v>18.485</v>
      </c>
    </row>
    <row r="268" customFormat="false" ht="15" hidden="false" customHeight="false" outlineLevel="0" collapsed="false">
      <c r="D268" s="0" t="s">
        <v>387</v>
      </c>
      <c r="E268" s="0" t="s">
        <v>388</v>
      </c>
      <c r="F268" s="7" t="n">
        <v>0.25</v>
      </c>
    </row>
    <row r="269" customFormat="false" ht="15" hidden="false" customHeight="false" outlineLevel="0" collapsed="false">
      <c r="D269" s="0" t="s">
        <v>389</v>
      </c>
      <c r="E269" s="0" t="s">
        <v>105</v>
      </c>
      <c r="F269" s="7" t="n">
        <v>0.5</v>
      </c>
    </row>
    <row r="270" customFormat="false" ht="15" hidden="false" customHeight="false" outlineLevel="0" collapsed="false">
      <c r="D270" s="0" t="s">
        <v>390</v>
      </c>
      <c r="E270" s="0" t="s">
        <v>111</v>
      </c>
      <c r="F270" s="7" t="n">
        <v>0.6</v>
      </c>
    </row>
    <row r="271" customFormat="false" ht="15" hidden="false" customHeight="false" outlineLevel="0" collapsed="false">
      <c r="D271" s="0" t="s">
        <v>391</v>
      </c>
      <c r="E271" s="0" t="s">
        <v>105</v>
      </c>
      <c r="F271" s="7" t="n">
        <v>7.875</v>
      </c>
    </row>
    <row r="272" customFormat="false" ht="15" hidden="false" customHeight="false" outlineLevel="0" collapsed="false">
      <c r="D272" s="0" t="s">
        <v>392</v>
      </c>
      <c r="E272" s="0" t="s">
        <v>111</v>
      </c>
      <c r="F272" s="7" t="n">
        <v>0.99512</v>
      </c>
    </row>
    <row r="273" customFormat="false" ht="15" hidden="false" customHeight="false" outlineLevel="0" collapsed="false">
      <c r="D273" s="0" t="s">
        <v>393</v>
      </c>
      <c r="E273" s="0" t="s">
        <v>111</v>
      </c>
      <c r="F273" s="7" t="n">
        <v>0.01</v>
      </c>
    </row>
    <row r="274" customFormat="false" ht="15" hidden="false" customHeight="false" outlineLevel="0" collapsed="false">
      <c r="D274" s="0" t="s">
        <v>394</v>
      </c>
      <c r="E274" s="0" t="s">
        <v>151</v>
      </c>
      <c r="F274" s="7" t="n">
        <v>3.1</v>
      </c>
    </row>
    <row r="275" customFormat="false" ht="15" hidden="false" customHeight="false" outlineLevel="0" collapsed="false">
      <c r="D275" s="0" t="s">
        <v>395</v>
      </c>
      <c r="E275" s="0" t="s">
        <v>151</v>
      </c>
      <c r="F275" s="7" t="n">
        <v>95</v>
      </c>
    </row>
    <row r="276" customFormat="false" ht="15" hidden="false" customHeight="false" outlineLevel="0" collapsed="false">
      <c r="D276" s="0" t="s">
        <v>396</v>
      </c>
      <c r="E276" s="0" t="s">
        <v>182</v>
      </c>
      <c r="F276" s="7" t="n">
        <v>1.1</v>
      </c>
    </row>
    <row r="277" customFormat="false" ht="15" hidden="false" customHeight="false" outlineLevel="0" collapsed="false">
      <c r="D277" s="0" t="s">
        <v>397</v>
      </c>
      <c r="E277" s="0" t="s">
        <v>105</v>
      </c>
      <c r="F277" s="7" t="n">
        <v>0.75</v>
      </c>
    </row>
    <row r="278" customFormat="false" ht="15" hidden="false" customHeight="false" outlineLevel="0" collapsed="false">
      <c r="D278" s="0" t="s">
        <v>398</v>
      </c>
      <c r="E278" s="0" t="s">
        <v>105</v>
      </c>
      <c r="F278" s="7" t="n">
        <v>3.68</v>
      </c>
    </row>
    <row r="279" customFormat="false" ht="15" hidden="false" customHeight="false" outlineLevel="0" collapsed="false">
      <c r="D279" s="0" t="s">
        <v>399</v>
      </c>
      <c r="E279" s="0" t="s">
        <v>111</v>
      </c>
      <c r="F279" s="7" t="n">
        <v>0.48</v>
      </c>
    </row>
    <row r="280" customFormat="false" ht="15" hidden="false" customHeight="false" outlineLevel="0" collapsed="false">
      <c r="D280" s="0" t="s">
        <v>400</v>
      </c>
      <c r="E280" s="0" t="s">
        <v>111</v>
      </c>
      <c r="F280" s="7" t="n">
        <v>0.52</v>
      </c>
    </row>
    <row r="281" customFormat="false" ht="15" hidden="false" customHeight="false" outlineLevel="0" collapsed="false">
      <c r="B281" s="2" t="s">
        <v>401</v>
      </c>
    </row>
    <row r="282" customFormat="false" ht="15" hidden="false" customHeight="false" outlineLevel="0" collapsed="false">
      <c r="D282" s="0" t="s">
        <v>402</v>
      </c>
      <c r="E282" s="0" t="s">
        <v>347</v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 customFormat="false" ht="15" hidden="false" customHeight="false" outlineLevel="0" collapsed="false">
      <c r="D283" s="0" t="s">
        <v>403</v>
      </c>
      <c r="E283" s="0" t="s">
        <v>105</v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 customFormat="false" ht="15" hidden="false" customHeight="false" outlineLevel="0" collapsed="false">
      <c r="D284" s="0" t="s">
        <v>404</v>
      </c>
      <c r="E284" s="0" t="s">
        <v>105</v>
      </c>
      <c r="J284" s="6" t="n">
        <v>8.7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 customFormat="false" ht="15" hidden="false" customHeight="false" outlineLevel="0" collapsed="false">
      <c r="D285" s="0" t="s">
        <v>405</v>
      </c>
      <c r="E285" s="0" t="s">
        <v>105</v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 customFormat="false" ht="15" hidden="false" customHeight="false" outlineLevel="0" collapsed="false">
      <c r="D286" s="0" t="s">
        <v>406</v>
      </c>
      <c r="E286" s="0" t="s">
        <v>105</v>
      </c>
      <c r="J286" s="6" t="n">
        <v>8.7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 customFormat="false" ht="15" hidden="false" customHeight="false" outlineLevel="0" collapsed="false">
      <c r="D287" s="0" t="s">
        <v>407</v>
      </c>
      <c r="E287" s="0" t="s">
        <v>105</v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 customFormat="false" ht="15" hidden="false" customHeight="false" outlineLevel="0" collapsed="false">
      <c r="D288" s="0" t="s">
        <v>408</v>
      </c>
      <c r="E288" s="0" t="s">
        <v>105</v>
      </c>
      <c r="J288" s="6" t="n">
        <v>8.7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 customFormat="false" ht="15" hidden="false" customHeight="false" outlineLevel="0" collapsed="false">
      <c r="D289" s="0" t="s">
        <v>409</v>
      </c>
      <c r="E289" s="0" t="s">
        <v>105</v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 customFormat="false" ht="15" hidden="false" customHeight="false" outlineLevel="0" collapsed="false">
      <c r="B290" s="2" t="s">
        <v>410</v>
      </c>
    </row>
    <row r="291" customFormat="false" ht="15" hidden="false" customHeight="false" outlineLevel="0" collapsed="false">
      <c r="D291" s="0" t="s">
        <v>411</v>
      </c>
      <c r="E291" s="0" t="s">
        <v>105</v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 customFormat="false" ht="15" hidden="false" customHeight="false" outlineLevel="0" collapsed="false">
      <c r="D292" s="0" t="s">
        <v>412</v>
      </c>
      <c r="E292" s="0" t="s">
        <v>105</v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 customFormat="false" ht="15" hidden="false" customHeight="false" outlineLevel="0" collapsed="false">
      <c r="D293" s="0" t="s">
        <v>413</v>
      </c>
      <c r="E293" s="0" t="s">
        <v>105</v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 customFormat="false" ht="15" hidden="false" customHeight="false" outlineLevel="0" collapsed="false">
      <c r="D294" s="0" t="s">
        <v>414</v>
      </c>
      <c r="E294" s="0" t="s">
        <v>155</v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 customFormat="false" ht="15" hidden="false" customHeight="false" outlineLevel="0" collapsed="false">
      <c r="D295" s="0" t="s">
        <v>415</v>
      </c>
      <c r="E295" s="0" t="s">
        <v>151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 customFormat="false" ht="15" hidden="false" customHeight="false" outlineLevel="0" collapsed="false">
      <c r="D296" s="0" t="s">
        <v>416</v>
      </c>
      <c r="E296" s="0" t="s">
        <v>151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 customFormat="false" ht="15" hidden="false" customHeight="false" outlineLevel="0" collapsed="false">
      <c r="D297" s="0" t="s">
        <v>417</v>
      </c>
      <c r="E297" s="0" t="s">
        <v>111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 customFormat="false" ht="15" hidden="false" customHeight="false" outlineLevel="0" collapsed="false">
      <c r="D298" s="0" t="s">
        <v>418</v>
      </c>
      <c r="E298" s="0" t="s">
        <v>111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0.0182970986139281</v>
      </c>
      <c r="Q298" s="6" t="n">
        <v>0.0191004482956148</v>
      </c>
      <c r="R298" s="6" t="n">
        <v>0.0204643033332145</v>
      </c>
      <c r="S298" s="6" t="n">
        <v>0.0213635765416322</v>
      </c>
      <c r="T298" s="6" t="n">
        <v>0.023833839539545</v>
      </c>
      <c r="U298" s="6" t="n">
        <v>0.0243455688245799</v>
      </c>
      <c r="V298" s="6" t="n">
        <v>0.0251254970966024</v>
      </c>
      <c r="W298" s="6" t="n">
        <v>0.0265892726359127</v>
      </c>
      <c r="X298" s="6" t="n">
        <v>0.0276068949445476</v>
      </c>
      <c r="Y298" s="6" t="n">
        <v>0.0279564106773475</v>
      </c>
      <c r="Z298" s="6" t="n">
        <v>0.0298127745262109</v>
      </c>
      <c r="AA298" s="6" t="n">
        <v>0.0311814312275997</v>
      </c>
      <c r="AB298" s="6" t="n">
        <v>0.0342350394591605</v>
      </c>
      <c r="AC298" s="6" t="n">
        <v>0.0346909866633385</v>
      </c>
      <c r="AD298" s="6" t="n">
        <v>0.0372240330987492</v>
      </c>
      <c r="AE298" s="6" t="n">
        <v>0.0393162022590524</v>
      </c>
      <c r="AF298" s="6" t="n">
        <v>0.0444538284926945</v>
      </c>
      <c r="AG298" s="6" t="n">
        <v>0.0462352130320656</v>
      </c>
      <c r="AH298" s="6" t="n">
        <v>0.0490670598865618</v>
      </c>
      <c r="AI298" s="6" t="n">
        <v>0.0512134519091222</v>
      </c>
      <c r="AJ298" s="6" t="n">
        <v>0.0553609016027669</v>
      </c>
      <c r="AK298" s="6" t="n">
        <v>0.0571635779302507</v>
      </c>
      <c r="AL298" s="6" t="n">
        <v>0.0596970223757127</v>
      </c>
      <c r="AM298" s="6" t="n">
        <v>0.0625341836205768</v>
      </c>
      <c r="AN298" s="6" t="n">
        <v>0.0650417285886632</v>
      </c>
      <c r="AO298" s="6" t="n">
        <v>0.0680896548245498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 customFormat="false" ht="15" hidden="false" customHeight="false" outlineLevel="0" collapsed="false">
      <c r="D299" s="0" t="s">
        <v>419</v>
      </c>
      <c r="E299" s="0" t="s">
        <v>111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0.0191693352831817</v>
      </c>
      <c r="R299" s="6" t="n">
        <v>0.0215356871714391</v>
      </c>
      <c r="S299" s="6" t="n">
        <v>0.0228007314793007</v>
      </c>
      <c r="T299" s="6" t="n">
        <v>0.0245587149365676</v>
      </c>
      <c r="U299" s="6" t="n">
        <v>0.0256370863223741</v>
      </c>
      <c r="V299" s="6" t="n">
        <v>0.0274994325858127</v>
      </c>
      <c r="W299" s="6" t="n">
        <v>0.0298860271381469</v>
      </c>
      <c r="X299" s="6" t="n">
        <v>0.0319657862406089</v>
      </c>
      <c r="Y299" s="6" t="n">
        <v>0.0284181179058688</v>
      </c>
      <c r="Z299" s="6" t="n">
        <v>0.0304704935092369</v>
      </c>
      <c r="AA299" s="6" t="n">
        <v>0.0314057361909549</v>
      </c>
      <c r="AB299" s="6" t="n">
        <v>0.0336946453904792</v>
      </c>
      <c r="AC299" s="6" t="n">
        <v>0.035095023088361</v>
      </c>
      <c r="AD299" s="6" t="n">
        <v>0.037532638887578</v>
      </c>
      <c r="AE299" s="6" t="n">
        <v>0.0419522896652136</v>
      </c>
      <c r="AF299" s="6" t="n">
        <v>0.0451205068143207</v>
      </c>
      <c r="AG299" s="6" t="n">
        <v>0.0455258173841402</v>
      </c>
      <c r="AH299" s="6" t="n">
        <v>0.0487745966648033</v>
      </c>
      <c r="AI299" s="6" t="n">
        <v>0.0508839859967197</v>
      </c>
      <c r="AJ299" s="6" t="n">
        <v>0.0542618641799196</v>
      </c>
      <c r="AK299" s="6" t="n">
        <v>0.0564563260779864</v>
      </c>
      <c r="AL299" s="6" t="n">
        <v>0.0599945797025174</v>
      </c>
      <c r="AM299" s="6" t="n">
        <v>0.0637047616148286</v>
      </c>
      <c r="AN299" s="6" t="n">
        <v>0.0677363345795487</v>
      </c>
      <c r="AO299" s="6" t="n">
        <v>0.0659194811900928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 customFormat="false" ht="15" hidden="false" customHeight="false" outlineLevel="0" collapsed="false">
      <c r="D300" s="0" t="s">
        <v>420</v>
      </c>
      <c r="E300" s="0" t="s">
        <v>111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0.0068293531244392</v>
      </c>
      <c r="Y300" s="6" t="n">
        <v>0.0111488984060391</v>
      </c>
      <c r="Z300" s="6" t="n">
        <v>0.0133076445080749</v>
      </c>
      <c r="AA300" s="6" t="n">
        <v>0.0134970931504469</v>
      </c>
      <c r="AB300" s="6" t="n">
        <v>0.0155731831326994</v>
      </c>
      <c r="AC300" s="6" t="n">
        <v>0.0160618521985766</v>
      </c>
      <c r="AD300" s="6" t="n">
        <v>0.0179937411666669</v>
      </c>
      <c r="AE300" s="6" t="n">
        <v>0.0214445833613369</v>
      </c>
      <c r="AF300" s="6" t="n">
        <v>0.0240206256294558</v>
      </c>
      <c r="AG300" s="6" t="n">
        <v>0.0244029291634224</v>
      </c>
      <c r="AH300" s="6" t="n">
        <v>0.0269063399113753</v>
      </c>
      <c r="AI300" s="6" t="n">
        <v>0.0277009622669949</v>
      </c>
      <c r="AJ300" s="6" t="n">
        <v>0.0301452334488105</v>
      </c>
      <c r="AK300" s="6" t="n">
        <v>0.0310216319197811</v>
      </c>
      <c r="AL300" s="6" t="n">
        <v>0.0333759751982395</v>
      </c>
      <c r="AM300" s="6" t="n">
        <v>0.0356516619405533</v>
      </c>
      <c r="AN300" s="6" t="n">
        <v>0.0383179295838969</v>
      </c>
      <c r="AO300" s="6" t="n">
        <v>0.0347719160587027</v>
      </c>
      <c r="AP300" s="6" t="n">
        <v>0.0949241969488583</v>
      </c>
      <c r="AQ300" s="6" t="n">
        <v>0.0859493810530347</v>
      </c>
      <c r="AR300" s="6" t="n">
        <v>0.0904413102207277</v>
      </c>
      <c r="AS300" s="6" t="n">
        <v>0.0925145982753971</v>
      </c>
      <c r="AT300" s="6" t="n">
        <v>0.0969374640921163</v>
      </c>
      <c r="AU300" s="6" t="n">
        <v>0.117061495240357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 customFormat="false" ht="15" hidden="false" customHeight="false" outlineLevel="0" collapsed="false">
      <c r="D301" s="0" t="s">
        <v>421</v>
      </c>
      <c r="E301" s="0" t="s">
        <v>151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523.9604512431</v>
      </c>
      <c r="Q301" s="6" t="n">
        <v>511.203884496421</v>
      </c>
      <c r="R301" s="6" t="n">
        <v>498.152671326536</v>
      </c>
      <c r="S301" s="6" t="n">
        <v>484.601233886</v>
      </c>
      <c r="T301" s="6" t="n">
        <v>470.719967928213</v>
      </c>
      <c r="U301" s="6" t="n">
        <v>455.932677889872</v>
      </c>
      <c r="V301" s="6" t="n">
        <v>440.957699716561</v>
      </c>
      <c r="W301" s="6" t="n">
        <v>425.696665444708</v>
      </c>
      <c r="X301" s="6" t="n">
        <v>409.898758828387</v>
      </c>
      <c r="Y301" s="6" t="n">
        <v>393.727616521247</v>
      </c>
      <c r="Z301" s="6" t="n">
        <v>377.428281519356</v>
      </c>
      <c r="AA301" s="6" t="n">
        <v>360.448083649519</v>
      </c>
      <c r="AB301" s="6" t="n">
        <v>342.965900391682</v>
      </c>
      <c r="AC301" s="6" t="n">
        <v>324.363738170996</v>
      </c>
      <c r="AD301" s="6" t="n">
        <v>305.594347138318</v>
      </c>
      <c r="AE301" s="6" t="n">
        <v>285.895904798319</v>
      </c>
      <c r="AF301" s="6" t="n">
        <v>265.430112730203</v>
      </c>
      <c r="AG301" s="6" t="n">
        <v>243.079981590298</v>
      </c>
      <c r="AH301" s="6" t="n">
        <v>220.076487917434</v>
      </c>
      <c r="AI301" s="6" t="n">
        <v>196.034351215556</v>
      </c>
      <c r="AJ301" s="6" t="n">
        <v>171.204977340798</v>
      </c>
      <c r="AK301" s="6" t="n">
        <v>144.854433736947</v>
      </c>
      <c r="AL301" s="6" t="n">
        <v>117.8427183617</v>
      </c>
      <c r="AM301" s="6" t="n">
        <v>89.9018057000634</v>
      </c>
      <c r="AN301" s="6" t="n">
        <v>60.9203008381506</v>
      </c>
      <c r="AO301" s="6" t="n">
        <v>31.0190979011441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 customFormat="false" ht="15" hidden="false" customHeight="false" outlineLevel="0" collapsed="false">
      <c r="D302" s="0" t="s">
        <v>422</v>
      </c>
      <c r="E302" s="0" t="s">
        <v>105</v>
      </c>
      <c r="J302" s="6" t="n">
        <v>93.8</v>
      </c>
      <c r="K302" s="6" t="n">
        <v>92.9</v>
      </c>
      <c r="L302" s="6" t="n">
        <v>93.8</v>
      </c>
      <c r="M302" s="6" t="n">
        <v>90.6</v>
      </c>
      <c r="N302" s="6" t="n">
        <v>93.8</v>
      </c>
      <c r="O302" s="6" t="n">
        <v>92.9</v>
      </c>
      <c r="P302" s="6" t="n">
        <v>93.8</v>
      </c>
      <c r="Q302" s="6" t="n">
        <v>88.7</v>
      </c>
    </row>
    <row r="303" customFormat="false" ht="15" hidden="false" customHeight="false" outlineLevel="0" collapsed="false">
      <c r="D303" s="0" t="s">
        <v>423</v>
      </c>
      <c r="E303" s="0" t="s">
        <v>105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 customFormat="false" ht="15" hidden="false" customHeight="false" outlineLevel="0" collapsed="false">
      <c r="B304" s="2" t="s">
        <v>424</v>
      </c>
    </row>
    <row r="305" customFormat="false" ht="15" hidden="false" customHeight="false" outlineLevel="0" collapsed="false">
      <c r="D305" s="0" t="s">
        <v>425</v>
      </c>
      <c r="E305" s="0" t="s">
        <v>105</v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 customFormat="false" ht="15" hidden="false" customHeight="false" outlineLevel="0" collapsed="false">
      <c r="D306" s="0" t="s">
        <v>426</v>
      </c>
      <c r="E306" s="0" t="s">
        <v>105</v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 customFormat="false" ht="15" hidden="false" customHeight="false" outlineLevel="0" collapsed="false">
      <c r="D307" s="0" t="s">
        <v>427</v>
      </c>
      <c r="E307" s="0" t="s">
        <v>105</v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 customFormat="false" ht="15" hidden="false" customHeight="false" outlineLevel="0" collapsed="false">
      <c r="D308" s="0" t="s">
        <v>428</v>
      </c>
      <c r="E308" s="0" t="s">
        <v>151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1.90916666666667</v>
      </c>
      <c r="AK308" s="6" t="n">
        <v>1.90916666666667</v>
      </c>
      <c r="AL308" s="6" t="n">
        <v>1.90916666666667</v>
      </c>
      <c r="AM308" s="6" t="n">
        <v>2.45416666666667</v>
      </c>
      <c r="AN308" s="6" t="n">
        <v>2.45416666666667</v>
      </c>
      <c r="AO308" s="6" t="n">
        <v>2.45416666666667</v>
      </c>
      <c r="AP308" s="6" t="n">
        <v>0.545</v>
      </c>
      <c r="AQ308" s="6" t="n">
        <v>8.11214285714286</v>
      </c>
      <c r="AR308" s="6" t="n">
        <v>6.69214285714286</v>
      </c>
      <c r="AS308" s="6" t="n">
        <v>7.14714285714286</v>
      </c>
      <c r="AT308" s="6" t="n">
        <v>6.14714285714286</v>
      </c>
      <c r="AU308" s="6" t="n">
        <v>8.78714285714286</v>
      </c>
      <c r="AV308" s="6" t="n">
        <v>6.83214285714286</v>
      </c>
      <c r="AW308" s="6" t="n">
        <v>15.1021428571429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 customFormat="false" ht="15" hidden="false" customHeight="false" outlineLevel="0" collapsed="false">
      <c r="D309" s="0" t="s">
        <v>429</v>
      </c>
      <c r="E309" s="0" t="s">
        <v>151</v>
      </c>
      <c r="J309" s="6" t="n">
        <v>0</v>
      </c>
      <c r="K309" s="6" t="n">
        <v>73.199615259667</v>
      </c>
      <c r="L309" s="6" t="n">
        <v>74.682870451937</v>
      </c>
      <c r="M309" s="6" t="n">
        <v>76.5749850102281</v>
      </c>
      <c r="N309" s="6" t="n">
        <v>79.2597456420788</v>
      </c>
      <c r="O309" s="6" t="n">
        <v>83.1297315674343</v>
      </c>
      <c r="P309" s="6" t="n">
        <v>88.4924797773555</v>
      </c>
      <c r="Q309" s="6" t="n">
        <v>95.496006995497</v>
      </c>
      <c r="R309" s="6" t="n">
        <v>104.374378920569</v>
      </c>
      <c r="S309" s="6" t="n">
        <v>115.132706682536</v>
      </c>
      <c r="T309" s="6" t="n">
        <v>127.798270299367</v>
      </c>
      <c r="U309" s="6" t="n">
        <v>142.255587971127</v>
      </c>
      <c r="V309" s="6" t="n">
        <v>158.444428280125</v>
      </c>
      <c r="W309" s="6" t="n">
        <v>176.141876560709</v>
      </c>
      <c r="X309" s="6" t="n">
        <v>195.099554646625</v>
      </c>
      <c r="Y309" s="6" t="n">
        <v>215.090251967129</v>
      </c>
      <c r="Z309" s="6" t="n">
        <v>235.779535144673</v>
      </c>
      <c r="AA309" s="6" t="n">
        <v>256.895209323977</v>
      </c>
      <c r="AB309" s="6" t="n">
        <v>278.819961450623</v>
      </c>
      <c r="AC309" s="6" t="n">
        <v>299.754858335321</v>
      </c>
      <c r="AD309" s="6" t="n">
        <v>320.17785387302</v>
      </c>
      <c r="AE309" s="6" t="n">
        <v>339.714792705288</v>
      </c>
      <c r="AF309" s="6" t="n">
        <v>358.142639396184</v>
      </c>
      <c r="AG309" s="6" t="n">
        <v>375.168752734434</v>
      </c>
      <c r="AH309" s="6" t="n">
        <v>390.668906481436</v>
      </c>
      <c r="AI309" s="6" t="n">
        <v>404.454622935946</v>
      </c>
      <c r="AJ309" s="6" t="n">
        <v>416.41135207687</v>
      </c>
      <c r="AK309" s="6" t="n">
        <v>426.577499216572</v>
      </c>
      <c r="AL309" s="6" t="n">
        <v>434.946883258185</v>
      </c>
      <c r="AM309" s="6" t="n">
        <v>441.707493477216</v>
      </c>
      <c r="AN309" s="6" t="n">
        <v>447.052915662212</v>
      </c>
      <c r="AO309" s="6" t="n">
        <v>451.162283373874</v>
      </c>
      <c r="AP309" s="6" t="n">
        <v>454.57293619873</v>
      </c>
      <c r="AQ309" s="6" t="n">
        <v>487.239746550112</v>
      </c>
      <c r="AR309" s="6" t="n">
        <v>521.576068128734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 customFormat="false" ht="15" hidden="false" customHeight="false" outlineLevel="0" collapsed="false">
      <c r="D311" s="0" t="s">
        <v>430</v>
      </c>
      <c r="E311" s="0" t="s">
        <v>93</v>
      </c>
      <c r="F311" s="5" t="n">
        <v>0</v>
      </c>
      <c r="AN311" s="2" t="s">
        <v>431</v>
      </c>
    </row>
    <row r="312" customFormat="false" ht="15" hidden="false" customHeight="false" outlineLevel="0" collapsed="false">
      <c r="D312" s="0" t="s">
        <v>432</v>
      </c>
      <c r="E312" s="0" t="s">
        <v>115</v>
      </c>
      <c r="F312" s="9" t="n">
        <f aca="false">IF(AND(Inputs!$F$311&gt;0,Inputs!$F$8=1),1,0)</f>
        <v>0</v>
      </c>
      <c r="J312" s="2" t="s">
        <v>433</v>
      </c>
      <c r="AN312" s="2" t="s">
        <v>434</v>
      </c>
      <c r="AO312" s="2" t="s">
        <v>435</v>
      </c>
      <c r="AP312" s="2" t="s">
        <v>436</v>
      </c>
      <c r="AQ312" s="2" t="s">
        <v>437</v>
      </c>
      <c r="AR312" s="2" t="s">
        <v>438</v>
      </c>
    </row>
    <row r="313" customFormat="false" ht="15" hidden="false" customHeight="false" outlineLevel="0" collapsed="false">
      <c r="D313" s="0" t="s">
        <v>439</v>
      </c>
      <c r="J313" s="6" t="n">
        <v>-0.130337294565594</v>
      </c>
      <c r="K313" s="6" t="n">
        <v>-0.222004616292568</v>
      </c>
      <c r="L313" s="6" t="n">
        <v>0.959113805912367</v>
      </c>
      <c r="M313" s="6" t="n">
        <v>1.91950938962378</v>
      </c>
      <c r="N313" s="6" t="n">
        <v>1.44405342127601</v>
      </c>
      <c r="O313" s="6" t="n">
        <v>2.7529522959249</v>
      </c>
      <c r="P313" s="6" t="n">
        <v>0.765391849086382</v>
      </c>
      <c r="Q313" s="6" t="n">
        <v>-0.55913029748727</v>
      </c>
      <c r="R313" s="6" t="n">
        <v>0.19397755702959</v>
      </c>
      <c r="S313" s="6" t="n">
        <v>-1.3401783647228</v>
      </c>
      <c r="T313" s="6" t="n">
        <v>-0.109151997251559</v>
      </c>
      <c r="U313" s="6" t="n">
        <v>-2.04828069307109</v>
      </c>
      <c r="V313" s="6" t="n">
        <v>0.68019994531424</v>
      </c>
      <c r="W313" s="6" t="n">
        <v>-0.625780138624595</v>
      </c>
      <c r="X313" s="6" t="n">
        <v>0.526409822209443</v>
      </c>
      <c r="Y313" s="6" t="n">
        <v>0.556413427543826</v>
      </c>
      <c r="Z313" s="6" t="n">
        <v>-1.44629749964186</v>
      </c>
      <c r="AA313" s="6" t="n">
        <v>1.75813893096019</v>
      </c>
      <c r="AB313" s="6" t="n">
        <v>0.356943291116995</v>
      </c>
      <c r="AC313" s="6" t="n">
        <v>-0.969684733071931</v>
      </c>
      <c r="AD313" s="6" t="n">
        <v>0.424543681159418</v>
      </c>
      <c r="AE313" s="6" t="n">
        <v>1.17672805597358</v>
      </c>
      <c r="AF313" s="6" t="n">
        <v>-2.15520713062754</v>
      </c>
      <c r="AG313" s="6" t="n">
        <v>0.276574300212084</v>
      </c>
      <c r="AH313" s="6" t="n">
        <v>-0.343238060270816</v>
      </c>
      <c r="AI313" s="6" t="n">
        <v>-1.90836224549854</v>
      </c>
      <c r="AJ313" s="6" t="n">
        <v>62.958144351769</v>
      </c>
      <c r="AK313" s="6" t="n">
        <v>0.12390816977386</v>
      </c>
      <c r="AL313" s="6" t="n">
        <v>1.01002972015175</v>
      </c>
      <c r="AN313" s="6" t="n">
        <v>1.30792168462581</v>
      </c>
      <c r="AO313" s="6" t="n">
        <v>1.30792168462581</v>
      </c>
      <c r="AP313" s="6" t="n">
        <v>0.137645131707025</v>
      </c>
      <c r="AQ313" s="6" t="n">
        <v>0</v>
      </c>
      <c r="AR313" s="6" t="n">
        <v>0</v>
      </c>
    </row>
    <row r="314" customFormat="false" ht="15" hidden="false" customHeight="false" outlineLevel="0" collapsed="false">
      <c r="D314" s="0" t="s">
        <v>440</v>
      </c>
      <c r="J314" s="6" t="n">
        <v>0.0721583685170059</v>
      </c>
      <c r="K314" s="6" t="n">
        <v>1.72747823398447</v>
      </c>
      <c r="L314" s="6" t="n">
        <v>-2.12821923257601</v>
      </c>
      <c r="M314" s="6" t="n">
        <v>-0.435295515185473</v>
      </c>
      <c r="N314" s="6" t="n">
        <v>-0.901463804849722</v>
      </c>
      <c r="O314" s="6" t="n">
        <v>-1.69685337687044</v>
      </c>
      <c r="P314" s="6" t="n">
        <v>-0.706500184181448</v>
      </c>
      <c r="Q314" s="6" t="n">
        <v>-2.22734599282905</v>
      </c>
      <c r="R314" s="6" t="n">
        <v>-1.08095053457448</v>
      </c>
      <c r="S314" s="6" t="n">
        <v>2.94184655372802</v>
      </c>
      <c r="T314" s="6" t="n">
        <v>-1.24775638522025</v>
      </c>
      <c r="U314" s="6" t="n">
        <v>-3.7611897730323</v>
      </c>
      <c r="V314" s="6" t="n">
        <v>0.616019799665186</v>
      </c>
      <c r="W314" s="6" t="n">
        <v>0.717395920150504</v>
      </c>
      <c r="X314" s="6" t="n">
        <v>-1.18637398557162</v>
      </c>
      <c r="Y314" s="6" t="n">
        <v>0.74384780613528</v>
      </c>
      <c r="Z314" s="6" t="n">
        <v>0.927101569413128</v>
      </c>
      <c r="AA314" s="6" t="n">
        <v>-1.02340597298503</v>
      </c>
      <c r="AB314" s="6" t="n">
        <v>-0.946681570766009</v>
      </c>
      <c r="AC314" s="6" t="n">
        <v>1.10575000702904</v>
      </c>
      <c r="AD314" s="6" t="n">
        <v>1.15325551898382</v>
      </c>
      <c r="AE314" s="6" t="n">
        <v>-1.34547476566487</v>
      </c>
      <c r="AF314" s="6" t="n">
        <v>1.30008713945551</v>
      </c>
      <c r="AG314" s="6" t="n">
        <v>-3.51214679834833</v>
      </c>
      <c r="AH314" s="6" t="n">
        <v>0.155104805547251</v>
      </c>
      <c r="AI314" s="6" t="n">
        <v>-2.87570537898223</v>
      </c>
      <c r="AJ314" s="6" t="n">
        <v>72.5943876884351</v>
      </c>
      <c r="AK314" s="6" t="n">
        <v>0.147502574192949</v>
      </c>
      <c r="AL314" s="6" t="n">
        <v>1.03783682937732</v>
      </c>
      <c r="AN314" s="6" t="n">
        <v>1.30126800106163</v>
      </c>
      <c r="AO314" s="6" t="n">
        <v>1.30185903559312</v>
      </c>
      <c r="AP314" s="6" t="n">
        <v>0.134351892993638</v>
      </c>
      <c r="AQ314" s="6" t="n">
        <v>0</v>
      </c>
      <c r="AR314" s="6" t="n">
        <v>0</v>
      </c>
    </row>
    <row r="315" customFormat="false" ht="15" hidden="false" customHeight="false" outlineLevel="0" collapsed="false">
      <c r="D315" s="0" t="s">
        <v>441</v>
      </c>
      <c r="J315" s="6" t="n">
        <v>-0.412446086407107</v>
      </c>
      <c r="K315" s="6" t="n">
        <v>-2.86612114820404</v>
      </c>
      <c r="L315" s="6" t="n">
        <v>-2.72240662958931</v>
      </c>
      <c r="M315" s="6" t="n">
        <v>-0.0138933813204652</v>
      </c>
      <c r="N315" s="6" t="n">
        <v>3.14344267541921</v>
      </c>
      <c r="O315" s="6" t="n">
        <v>0.82639730839245</v>
      </c>
      <c r="P315" s="6" t="n">
        <v>-1.13774924986715</v>
      </c>
      <c r="Q315" s="6" t="n">
        <v>-1.01630136625174</v>
      </c>
      <c r="R315" s="6" t="n">
        <v>0.448780046165565</v>
      </c>
      <c r="S315" s="6" t="n">
        <v>1.06766911454383</v>
      </c>
      <c r="T315" s="6" t="n">
        <v>0.931784711851271</v>
      </c>
      <c r="U315" s="6" t="n">
        <v>2.24682301646385</v>
      </c>
      <c r="V315" s="6" t="n">
        <v>-1.73734575653161</v>
      </c>
      <c r="W315" s="6" t="n">
        <v>-1.7986327294683</v>
      </c>
      <c r="X315" s="6" t="n">
        <v>-0.721396263781315</v>
      </c>
      <c r="Y315" s="6" t="n">
        <v>3.96360412668716</v>
      </c>
      <c r="Z315" s="6" t="n">
        <v>0.49366395288416</v>
      </c>
      <c r="AA315" s="6" t="n">
        <v>-0.333762234571768</v>
      </c>
      <c r="AB315" s="6" t="n">
        <v>-1.56748255229997</v>
      </c>
      <c r="AC315" s="6" t="n">
        <v>1.77415615887271</v>
      </c>
      <c r="AD315" s="6" t="n">
        <v>0.422604345494057</v>
      </c>
      <c r="AE315" s="6" t="n">
        <v>-0.61823505109526</v>
      </c>
      <c r="AF315" s="6" t="n">
        <v>1.69403713703969</v>
      </c>
      <c r="AG315" s="6" t="n">
        <v>2.84261893908178</v>
      </c>
      <c r="AH315" s="6" t="n">
        <v>-1.32619908443001</v>
      </c>
      <c r="AI315" s="6" t="n">
        <v>3.15212054537956</v>
      </c>
      <c r="AJ315" s="6" t="n">
        <v>59.4945082202156</v>
      </c>
      <c r="AK315" s="6" t="n">
        <v>0.144228521710895</v>
      </c>
      <c r="AL315" s="6" t="n">
        <v>1.06838421908485</v>
      </c>
      <c r="AN315" s="6" t="n">
        <v>1.28092718633519</v>
      </c>
      <c r="AO315" s="6" t="n">
        <v>1.28115556429434</v>
      </c>
      <c r="AP315" s="6" t="n">
        <v>0.131507834324239</v>
      </c>
      <c r="AQ315" s="6" t="n">
        <v>0</v>
      </c>
      <c r="AR315" s="6" t="n">
        <v>0</v>
      </c>
    </row>
    <row r="316" customFormat="false" ht="15" hidden="false" customHeight="false" outlineLevel="0" collapsed="false">
      <c r="D316" s="0" t="s">
        <v>442</v>
      </c>
      <c r="J316" s="6" t="n">
        <v>-4.24081445526144</v>
      </c>
      <c r="K316" s="6" t="n">
        <v>-1.59534799735594</v>
      </c>
      <c r="L316" s="6" t="n">
        <v>0.789262660860718</v>
      </c>
      <c r="M316" s="6" t="n">
        <v>-1.43567319006156</v>
      </c>
      <c r="N316" s="6" t="n">
        <v>-1.14085287886703</v>
      </c>
      <c r="O316" s="6" t="n">
        <v>4.89001085485671</v>
      </c>
      <c r="P316" s="6" t="n">
        <v>-0.66988733260801</v>
      </c>
      <c r="Q316" s="6" t="n">
        <v>-1.78343232701582</v>
      </c>
      <c r="R316" s="6" t="n">
        <v>2.94265526213312</v>
      </c>
      <c r="S316" s="6" t="n">
        <v>-0.276145919212578</v>
      </c>
      <c r="T316" s="6" t="n">
        <v>-1.17266966819114</v>
      </c>
      <c r="U316" s="6" t="n">
        <v>2.22874637152972</v>
      </c>
      <c r="V316" s="6" t="n">
        <v>1.19608268400114</v>
      </c>
      <c r="W316" s="6" t="n">
        <v>-3.56173280375506</v>
      </c>
      <c r="X316" s="6" t="n">
        <v>-1.09069767695543</v>
      </c>
      <c r="Y316" s="6" t="n">
        <v>1.79986521495334</v>
      </c>
      <c r="Z316" s="6" t="n">
        <v>-0.820687189093459</v>
      </c>
      <c r="AA316" s="6" t="n">
        <v>1.07793197564414</v>
      </c>
      <c r="AB316" s="6" t="n">
        <v>5</v>
      </c>
      <c r="AC316" s="6" t="n">
        <v>1.29657494988051</v>
      </c>
      <c r="AD316" s="6" t="n">
        <v>-1.03417630673384</v>
      </c>
      <c r="AE316" s="6" t="n">
        <v>2.41250064687678</v>
      </c>
      <c r="AF316" s="6" t="n">
        <v>-2.41120513823534</v>
      </c>
      <c r="AG316" s="6" t="n">
        <v>1.90235202248877</v>
      </c>
      <c r="AH316" s="6" t="n">
        <v>2.51517626088845</v>
      </c>
      <c r="AI316" s="6" t="n">
        <v>0.015276981503591</v>
      </c>
      <c r="AJ316" s="6" t="n">
        <v>80.0955065364659</v>
      </c>
      <c r="AK316" s="6" t="n">
        <v>0.142013499254061</v>
      </c>
      <c r="AL316" s="6" t="n">
        <v>1.03445394879324</v>
      </c>
      <c r="AN316" s="6" t="n">
        <v>1.30581851580263</v>
      </c>
      <c r="AO316" s="6" t="n">
        <v>1.30624688451822</v>
      </c>
      <c r="AP316" s="6" t="n">
        <v>0.135739058143173</v>
      </c>
      <c r="AQ316" s="6" t="n">
        <v>0</v>
      </c>
      <c r="AR316" s="6" t="n">
        <v>0</v>
      </c>
    </row>
    <row r="317" customFormat="false" ht="15" hidden="false" customHeight="false" outlineLevel="0" collapsed="false">
      <c r="D317" s="0" t="s">
        <v>443</v>
      </c>
      <c r="J317" s="6" t="n">
        <v>-4.51156422105132</v>
      </c>
      <c r="K317" s="6" t="n">
        <v>0.282856284168636</v>
      </c>
      <c r="L317" s="6" t="n">
        <v>0.272891104922306</v>
      </c>
      <c r="M317" s="6" t="n">
        <v>-0.4028430178996</v>
      </c>
      <c r="N317" s="6" t="n">
        <v>-1.17310937878953</v>
      </c>
      <c r="O317" s="6" t="n">
        <v>0.27658869199258</v>
      </c>
      <c r="P317" s="6" t="n">
        <v>-1.39119090630677</v>
      </c>
      <c r="Q317" s="6" t="n">
        <v>-1.25226622981805</v>
      </c>
      <c r="R317" s="6" t="n">
        <v>1.18814237862063</v>
      </c>
      <c r="S317" s="6" t="n">
        <v>-2.41104919300324</v>
      </c>
      <c r="T317" s="6" t="n">
        <v>1.88900478132584</v>
      </c>
      <c r="U317" s="6" t="n">
        <v>0.824789890813011</v>
      </c>
      <c r="V317" s="6" t="n">
        <v>2.06100013789198</v>
      </c>
      <c r="W317" s="6" t="n">
        <v>-4.21741120439414</v>
      </c>
      <c r="X317" s="6" t="n">
        <v>1.76286085934293</v>
      </c>
      <c r="Y317" s="6" t="n">
        <v>2.01977129042488</v>
      </c>
      <c r="Z317" s="6" t="n">
        <v>0.334502198243244</v>
      </c>
      <c r="AA317" s="6" t="n">
        <v>-0.32125877384208</v>
      </c>
      <c r="AB317" s="6" t="n">
        <v>2.50584676662224</v>
      </c>
      <c r="AC317" s="6" t="n">
        <v>0.698743299549849</v>
      </c>
      <c r="AD317" s="6" t="n">
        <v>-0.202111079709181</v>
      </c>
      <c r="AE317" s="6" t="n">
        <v>-3.66935761601354</v>
      </c>
      <c r="AF317" s="6" t="n">
        <v>3.99663848509242</v>
      </c>
      <c r="AG317" s="6" t="n">
        <v>0.0474074533378775</v>
      </c>
      <c r="AH317" s="6" t="n">
        <v>2.28361946962137</v>
      </c>
      <c r="AI317" s="6" t="n">
        <v>-0.633213710592111</v>
      </c>
      <c r="AJ317" s="6" t="n">
        <v>61.5533506056207</v>
      </c>
      <c r="AK317" s="6" t="n">
        <v>0.23206572836406</v>
      </c>
      <c r="AL317" s="6" t="n">
        <v>1.06724337549415</v>
      </c>
      <c r="AN317" s="6" t="n">
        <v>1.27377497376302</v>
      </c>
      <c r="AO317" s="6" t="n">
        <v>1.27445781966742</v>
      </c>
      <c r="AP317" s="6" t="n">
        <v>0.129573167841252</v>
      </c>
      <c r="AQ317" s="6" t="n">
        <v>0</v>
      </c>
      <c r="AR317" s="6" t="n">
        <v>0</v>
      </c>
    </row>
    <row r="318" customFormat="false" ht="15" hidden="false" customHeight="false" outlineLevel="0" collapsed="false">
      <c r="D318" s="0" t="s">
        <v>444</v>
      </c>
      <c r="J318" s="6" t="n">
        <v>3.3046587695413</v>
      </c>
      <c r="K318" s="6" t="n">
        <v>2.30605759557745</v>
      </c>
      <c r="L318" s="6" t="n">
        <v>-2.39886390815646</v>
      </c>
      <c r="M318" s="6" t="n">
        <v>0.893316855092764</v>
      </c>
      <c r="N318" s="6" t="n">
        <v>2.70526586085443</v>
      </c>
      <c r="O318" s="6" t="n">
        <v>1.49165499293481</v>
      </c>
      <c r="P318" s="6" t="n">
        <v>1.99709245400014</v>
      </c>
      <c r="Q318" s="6" t="n">
        <v>-0.221305944621643</v>
      </c>
      <c r="R318" s="6" t="n">
        <v>0.25760644383677</v>
      </c>
      <c r="S318" s="6" t="n">
        <v>0.248838327291045</v>
      </c>
      <c r="T318" s="6" t="n">
        <v>-0.999497255708061</v>
      </c>
      <c r="U318" s="6" t="n">
        <v>-2.42303472175999</v>
      </c>
      <c r="V318" s="6" t="n">
        <v>-0.310946451682993</v>
      </c>
      <c r="W318" s="6" t="n">
        <v>-0.243884036539523</v>
      </c>
      <c r="X318" s="6" t="n">
        <v>2.10544859285166</v>
      </c>
      <c r="Y318" s="6" t="n">
        <v>2.45024750180598</v>
      </c>
      <c r="Z318" s="6" t="n">
        <v>0.678763270770267</v>
      </c>
      <c r="AA318" s="6" t="n">
        <v>-2.48485191612935</v>
      </c>
      <c r="AB318" s="6" t="n">
        <v>-3.23623431315669</v>
      </c>
      <c r="AC318" s="6" t="n">
        <v>2.4738607759507</v>
      </c>
      <c r="AD318" s="6" t="n">
        <v>1.73413967448588</v>
      </c>
      <c r="AE318" s="6" t="n">
        <v>3.29802500698352</v>
      </c>
      <c r="AF318" s="6" t="n">
        <v>-1.40263345073434</v>
      </c>
      <c r="AG318" s="6" t="n">
        <v>-2.26452850024792</v>
      </c>
      <c r="AH318" s="6" t="n">
        <v>1.59651335449194</v>
      </c>
      <c r="AI318" s="6" t="n">
        <v>0.415990436603964</v>
      </c>
      <c r="AJ318" s="6" t="n">
        <v>67.679243446282</v>
      </c>
      <c r="AK318" s="6" t="n">
        <v>0.0926521389946194</v>
      </c>
      <c r="AL318" s="6" t="n">
        <v>0.994904226094519</v>
      </c>
      <c r="AN318" s="6" t="n">
        <v>1.31434244777461</v>
      </c>
      <c r="AO318" s="6" t="n">
        <v>1.31434244777461</v>
      </c>
      <c r="AP318" s="6" t="n">
        <v>0.141562782647003</v>
      </c>
      <c r="AQ318" s="6" t="n">
        <v>0</v>
      </c>
      <c r="AR318" s="6" t="n">
        <v>0</v>
      </c>
    </row>
    <row r="319" customFormat="false" ht="15" hidden="false" customHeight="false" outlineLevel="0" collapsed="false">
      <c r="D319" s="0" t="s">
        <v>445</v>
      </c>
      <c r="J319" s="6" t="n">
        <v>-5.08186841748362</v>
      </c>
      <c r="K319" s="6" t="n">
        <v>-0.114620031540692</v>
      </c>
      <c r="L319" s="6" t="n">
        <v>-1.71611316738747</v>
      </c>
      <c r="M319" s="6" t="n">
        <v>0.943078798006863</v>
      </c>
      <c r="N319" s="6" t="n">
        <v>-1.66391230672613</v>
      </c>
      <c r="O319" s="6" t="n">
        <v>-4.00494435486044</v>
      </c>
      <c r="P319" s="6" t="n">
        <v>-0.184049533024758</v>
      </c>
      <c r="Q319" s="6" t="n">
        <v>1.09362165716626</v>
      </c>
      <c r="R319" s="6" t="n">
        <v>-3.3198979518494</v>
      </c>
      <c r="S319" s="6" t="n">
        <v>-3.50306185916819</v>
      </c>
      <c r="T319" s="6" t="n">
        <v>-1.77508759731063</v>
      </c>
      <c r="U319" s="6" t="n">
        <v>-4.03449025499024</v>
      </c>
      <c r="V319" s="6" t="n">
        <v>2.32439187103336</v>
      </c>
      <c r="W319" s="6" t="n">
        <v>-0.00272371166722518</v>
      </c>
      <c r="X319" s="6" t="n">
        <v>-0.108247652543549</v>
      </c>
      <c r="Y319" s="6" t="n">
        <v>-0.0578524201229137</v>
      </c>
      <c r="Z319" s="6" t="n">
        <v>4.29756035332222</v>
      </c>
      <c r="AA319" s="6" t="n">
        <v>0.233746093405175</v>
      </c>
      <c r="AB319" s="6" t="n">
        <v>0.8982726076353</v>
      </c>
      <c r="AC319" s="6" t="n">
        <v>-2.93417300479557</v>
      </c>
      <c r="AD319" s="6" t="n">
        <v>2.63579435181774</v>
      </c>
      <c r="AE319" s="6" t="n">
        <v>2.5339705533155</v>
      </c>
      <c r="AF319" s="6" t="n">
        <v>-4.92444607494885</v>
      </c>
      <c r="AG319" s="6" t="n">
        <v>0.645791010725589</v>
      </c>
      <c r="AH319" s="6" t="n">
        <v>-0.783187384152168</v>
      </c>
      <c r="AI319" s="6" t="n">
        <v>1.90844370767099</v>
      </c>
      <c r="AJ319" s="6" t="n">
        <v>69.8110766293043</v>
      </c>
      <c r="AK319" s="6" t="n">
        <v>0.0870925883242122</v>
      </c>
      <c r="AL319" s="6" t="n">
        <v>1.06622314788692</v>
      </c>
      <c r="AN319" s="6" t="n">
        <v>1.28432761402417</v>
      </c>
      <c r="AO319" s="6" t="n">
        <v>1.28779399249306</v>
      </c>
      <c r="AP319" s="6" t="n">
        <v>0.133252453571165</v>
      </c>
      <c r="AQ319" s="6" t="n">
        <v>0</v>
      </c>
      <c r="AR319" s="6" t="n">
        <v>0</v>
      </c>
    </row>
    <row r="320" customFormat="false" ht="15" hidden="false" customHeight="false" outlineLevel="0" collapsed="false">
      <c r="D320" s="0" t="s">
        <v>446</v>
      </c>
      <c r="J320" s="6" t="n">
        <v>0.789435892495764</v>
      </c>
      <c r="K320" s="6" t="n">
        <v>-4.1584985954493</v>
      </c>
      <c r="L320" s="6" t="n">
        <v>1.79045072174752</v>
      </c>
      <c r="M320" s="6" t="n">
        <v>2.91128655318384</v>
      </c>
      <c r="N320" s="6" t="n">
        <v>-1.40724716285046</v>
      </c>
      <c r="O320" s="6" t="n">
        <v>-0.820471761035931</v>
      </c>
      <c r="P320" s="6" t="n">
        <v>3.46442315721358</v>
      </c>
      <c r="Q320" s="6" t="n">
        <v>-0.821922728694236</v>
      </c>
      <c r="R320" s="6" t="n">
        <v>-1.96287110227337</v>
      </c>
      <c r="S320" s="6" t="n">
        <v>0.682826486942777</v>
      </c>
      <c r="T320" s="6" t="n">
        <v>-3.85756494022986</v>
      </c>
      <c r="U320" s="6" t="n">
        <v>0.52843663670002</v>
      </c>
      <c r="V320" s="6" t="n">
        <v>2.7076738824809</v>
      </c>
      <c r="W320" s="6" t="n">
        <v>0.826818113199569</v>
      </c>
      <c r="X320" s="6" t="n">
        <v>5</v>
      </c>
      <c r="Y320" s="6" t="n">
        <v>-0.943540440935804</v>
      </c>
      <c r="Z320" s="6" t="n">
        <v>1.26523645105552</v>
      </c>
      <c r="AA320" s="6" t="n">
        <v>-4.17979905009649</v>
      </c>
      <c r="AB320" s="6" t="n">
        <v>-1.09043772482006</v>
      </c>
      <c r="AC320" s="6" t="n">
        <v>1.18009333201635</v>
      </c>
      <c r="AD320" s="6" t="n">
        <v>2.13595171318405</v>
      </c>
      <c r="AE320" s="6" t="n">
        <v>-1.61416238427949</v>
      </c>
      <c r="AF320" s="6" t="n">
        <v>0.158946731620148</v>
      </c>
      <c r="AG320" s="6" t="n">
        <v>1.51090359684023</v>
      </c>
      <c r="AH320" s="6" t="n">
        <v>3.63268073723216</v>
      </c>
      <c r="AI320" s="6" t="n">
        <v>-0.535281266714727</v>
      </c>
      <c r="AJ320" s="6" t="n">
        <v>69.8476863675234</v>
      </c>
      <c r="AK320" s="6" t="n">
        <v>0.136947880532298</v>
      </c>
      <c r="AL320" s="6" t="n">
        <v>0.993858323948916</v>
      </c>
      <c r="AN320" s="6" t="n">
        <v>1.31303889997732</v>
      </c>
      <c r="AO320" s="6" t="n">
        <v>1.31303889997732</v>
      </c>
      <c r="AP320" s="6" t="n">
        <v>0.140915710687286</v>
      </c>
      <c r="AQ320" s="6" t="n">
        <v>0</v>
      </c>
      <c r="AR320" s="6" t="n">
        <v>0</v>
      </c>
    </row>
    <row r="321" customFormat="false" ht="15" hidden="false" customHeight="false" outlineLevel="0" collapsed="false">
      <c r="D321" s="0" t="s">
        <v>447</v>
      </c>
      <c r="J321" s="6" t="n">
        <v>3.80079907555908</v>
      </c>
      <c r="K321" s="6" t="n">
        <v>-2.45771989156384</v>
      </c>
      <c r="L321" s="6" t="n">
        <v>-2.3197116316946</v>
      </c>
      <c r="M321" s="6" t="n">
        <v>1.09256295053996</v>
      </c>
      <c r="N321" s="6" t="n">
        <v>-0.388638080449117</v>
      </c>
      <c r="O321" s="6" t="n">
        <v>2.85706104072307</v>
      </c>
      <c r="P321" s="6" t="n">
        <v>-1.29332012690205</v>
      </c>
      <c r="Q321" s="6" t="n">
        <v>0.339990067786251</v>
      </c>
      <c r="R321" s="6" t="n">
        <v>-0.631087840047629</v>
      </c>
      <c r="S321" s="6" t="n">
        <v>-6.28705274486835</v>
      </c>
      <c r="T321" s="6" t="n">
        <v>4.58304990579054</v>
      </c>
      <c r="U321" s="6" t="n">
        <v>1.47658976129791</v>
      </c>
      <c r="V321" s="6" t="n">
        <v>-0.717777168107443</v>
      </c>
      <c r="W321" s="6" t="n">
        <v>0.856515183061641</v>
      </c>
      <c r="X321" s="6" t="n">
        <v>0.541936477733673</v>
      </c>
      <c r="Y321" s="6" t="n">
        <v>-0.436188278761403</v>
      </c>
      <c r="Z321" s="6" t="n">
        <v>-0.867002495895244</v>
      </c>
      <c r="AA321" s="6" t="n">
        <v>1.20292434213879</v>
      </c>
      <c r="AB321" s="6" t="n">
        <v>0.414214782671373</v>
      </c>
      <c r="AC321" s="6" t="n">
        <v>0.771093877796255</v>
      </c>
      <c r="AD321" s="6" t="n">
        <v>1.88861027070329</v>
      </c>
      <c r="AE321" s="6" t="n">
        <v>2.7803660504867</v>
      </c>
      <c r="AF321" s="6" t="n">
        <v>1.47003711453103</v>
      </c>
      <c r="AG321" s="6" t="n">
        <v>1.72725411708515</v>
      </c>
      <c r="AH321" s="6" t="n">
        <v>-2.48446205098537</v>
      </c>
      <c r="AI321" s="6" t="n">
        <v>0.326709509276175</v>
      </c>
      <c r="AJ321" s="6" t="n">
        <v>70.7371869537143</v>
      </c>
      <c r="AK321" s="6" t="n">
        <v>0.128691545394884</v>
      </c>
      <c r="AL321" s="6" t="n">
        <v>1.04162851256647</v>
      </c>
      <c r="AN321" s="6" t="n">
        <v>1.2967166993409</v>
      </c>
      <c r="AO321" s="6" t="n">
        <v>1.29680066275591</v>
      </c>
      <c r="AP321" s="6" t="n">
        <v>0.134604964564527</v>
      </c>
      <c r="AQ321" s="6" t="n">
        <v>0</v>
      </c>
      <c r="AR321" s="6" t="n">
        <v>0</v>
      </c>
    </row>
    <row r="322" customFormat="false" ht="15" hidden="false" customHeight="false" outlineLevel="0" collapsed="false">
      <c r="D322" s="0" t="s">
        <v>448</v>
      </c>
      <c r="J322" s="6" t="n">
        <v>2.81285894706628</v>
      </c>
      <c r="K322" s="6" t="n">
        <v>0.102171345228743</v>
      </c>
      <c r="L322" s="6" t="n">
        <v>1.23359690696498</v>
      </c>
      <c r="M322" s="6" t="n">
        <v>-1.42229130071662</v>
      </c>
      <c r="N322" s="6" t="n">
        <v>1.06820567762551</v>
      </c>
      <c r="O322" s="6" t="n">
        <v>0.897609287597947</v>
      </c>
      <c r="P322" s="6" t="n">
        <v>-0.820600835676527</v>
      </c>
      <c r="Q322" s="6" t="n">
        <v>1.34729035510033</v>
      </c>
      <c r="R322" s="6" t="n">
        <v>-4.09063426012212</v>
      </c>
      <c r="S322" s="6" t="n">
        <v>-0.456693714285648</v>
      </c>
      <c r="T322" s="6" t="n">
        <v>1.92225312961588</v>
      </c>
      <c r="U322" s="6" t="n">
        <v>2.98537472750972</v>
      </c>
      <c r="V322" s="6" t="n">
        <v>0.926747093016897</v>
      </c>
      <c r="W322" s="6" t="n">
        <v>-1.27851849040899</v>
      </c>
      <c r="X322" s="6" t="n">
        <v>4.33341717738683</v>
      </c>
      <c r="Y322" s="6" t="n">
        <v>4.38658334152967</v>
      </c>
      <c r="Z322" s="6" t="n">
        <v>0.35377128121415</v>
      </c>
      <c r="AA322" s="6" t="n">
        <v>-1.6678114574966</v>
      </c>
      <c r="AB322" s="6" t="n">
        <v>-0.539363988399077</v>
      </c>
      <c r="AC322" s="6" t="n">
        <v>4.85595600765887</v>
      </c>
      <c r="AD322" s="6" t="n">
        <v>-1.77965852152714</v>
      </c>
      <c r="AE322" s="6" t="n">
        <v>3.14737268157676</v>
      </c>
      <c r="AF322" s="6" t="n">
        <v>0.432822730163809</v>
      </c>
      <c r="AG322" s="6" t="n">
        <v>-3.72170908631627</v>
      </c>
      <c r="AH322" s="6" t="n">
        <v>0.492074020071063</v>
      </c>
      <c r="AI322" s="6" t="n">
        <v>0.122061222985163</v>
      </c>
      <c r="AJ322" s="6" t="n">
        <v>61.7585528020887</v>
      </c>
      <c r="AK322" s="6" t="n">
        <v>0.157289363466299</v>
      </c>
      <c r="AL322" s="6" t="n">
        <v>1.06607360489203</v>
      </c>
      <c r="AN322" s="6" t="n">
        <v>1.28088022353803</v>
      </c>
      <c r="AO322" s="6" t="n">
        <v>1.28111588480506</v>
      </c>
      <c r="AP322" s="6" t="n">
        <v>0.131232367443028</v>
      </c>
      <c r="AQ322" s="6" t="n">
        <v>0</v>
      </c>
      <c r="AR322" s="6" t="n">
        <v>0</v>
      </c>
    </row>
    <row r="323" customFormat="false" ht="15" hidden="false" customHeight="false" outlineLevel="0" collapsed="false">
      <c r="D323" s="0" t="s">
        <v>449</v>
      </c>
      <c r="J323" s="6" t="n">
        <v>0.636598334543592</v>
      </c>
      <c r="K323" s="6" t="n">
        <v>-0.658712889904865</v>
      </c>
      <c r="L323" s="6" t="n">
        <v>-1.51607260206489</v>
      </c>
      <c r="M323" s="6" t="n">
        <v>-1.06760143889873</v>
      </c>
      <c r="N323" s="6" t="n">
        <v>-2.63083316379317</v>
      </c>
      <c r="O323" s="6" t="n">
        <v>-2.16859412006076</v>
      </c>
      <c r="P323" s="6" t="n">
        <v>-0.132542532307339</v>
      </c>
      <c r="Q323" s="6" t="n">
        <v>-1.11101975719602</v>
      </c>
      <c r="R323" s="6" t="n">
        <v>-1.70421384900394</v>
      </c>
      <c r="S323" s="6" t="n">
        <v>-0.81332366875609</v>
      </c>
      <c r="T323" s="6" t="n">
        <v>-1.59465572803516</v>
      </c>
      <c r="U323" s="6" t="n">
        <v>2.11360714207768</v>
      </c>
      <c r="V323" s="6" t="n">
        <v>1.06098827779321</v>
      </c>
      <c r="W323" s="6" t="n">
        <v>-0.892459497144584</v>
      </c>
      <c r="X323" s="6" t="n">
        <v>0.536187387025909</v>
      </c>
      <c r="Y323" s="6" t="n">
        <v>-0.621260525696562</v>
      </c>
      <c r="Z323" s="6" t="n">
        <v>0.459260889429899</v>
      </c>
      <c r="AA323" s="6" t="n">
        <v>2.32101130516622</v>
      </c>
      <c r="AB323" s="6" t="n">
        <v>0.0103935747366742</v>
      </c>
      <c r="AC323" s="6" t="n">
        <v>-2.01405758488629</v>
      </c>
      <c r="AD323" s="6" t="n">
        <v>-1.30534751315609</v>
      </c>
      <c r="AE323" s="6" t="n">
        <v>-1.25126779624919</v>
      </c>
      <c r="AF323" s="6" t="n">
        <v>3.31707712311771</v>
      </c>
      <c r="AG323" s="6" t="n">
        <v>0.382991188853905</v>
      </c>
      <c r="AH323" s="6" t="n">
        <v>-1.49078866345616</v>
      </c>
      <c r="AI323" s="6" t="n">
        <v>-1.19215751745642</v>
      </c>
      <c r="AJ323" s="6" t="n">
        <v>71.3693524119042</v>
      </c>
      <c r="AK323" s="6" t="n">
        <v>0.0751615849197065</v>
      </c>
      <c r="AL323" s="6" t="n">
        <v>1.04027279674157</v>
      </c>
      <c r="AN323" s="6" t="n">
        <v>1.30723705627731</v>
      </c>
      <c r="AO323" s="6" t="n">
        <v>1.30723705627731</v>
      </c>
      <c r="AP323" s="6" t="n">
        <v>0.136072703270225</v>
      </c>
      <c r="AQ323" s="6" t="n">
        <v>0</v>
      </c>
      <c r="AR323" s="6" t="n">
        <v>0</v>
      </c>
    </row>
    <row r="324" customFormat="false" ht="15" hidden="false" customHeight="false" outlineLevel="0" collapsed="false">
      <c r="D324" s="0" t="s">
        <v>450</v>
      </c>
      <c r="J324" s="6" t="n">
        <v>0.351862083840833</v>
      </c>
      <c r="K324" s="6" t="n">
        <v>-2.92241787283362</v>
      </c>
      <c r="L324" s="6" t="n">
        <v>3.17001627126093</v>
      </c>
      <c r="M324" s="6" t="n">
        <v>1.79921471614222</v>
      </c>
      <c r="N324" s="6" t="n">
        <v>0.549818886709319</v>
      </c>
      <c r="O324" s="6" t="n">
        <v>-3.29599268408951</v>
      </c>
      <c r="P324" s="6" t="n">
        <v>-0.579637515305851</v>
      </c>
      <c r="Q324" s="6" t="n">
        <v>-1.32360190710266</v>
      </c>
      <c r="R324" s="6" t="n">
        <v>2.39781456694394</v>
      </c>
      <c r="S324" s="6" t="n">
        <v>-1.16476681238359</v>
      </c>
      <c r="T324" s="6" t="n">
        <v>-0.746970969520655</v>
      </c>
      <c r="U324" s="6" t="n">
        <v>-0.480345901806149</v>
      </c>
      <c r="V324" s="6" t="n">
        <v>1.83834579776293</v>
      </c>
      <c r="W324" s="6" t="n">
        <v>-0.134390100566432</v>
      </c>
      <c r="X324" s="6" t="n">
        <v>-1.3556439050063</v>
      </c>
      <c r="Y324" s="6" t="n">
        <v>1.69973656733805</v>
      </c>
      <c r="Z324" s="6" t="n">
        <v>-1.53032913960859</v>
      </c>
      <c r="AA324" s="6" t="n">
        <v>-2.33573838412392</v>
      </c>
      <c r="AB324" s="6" t="n">
        <v>0.859486509881794</v>
      </c>
      <c r="AC324" s="6" t="n">
        <v>-1.19747386232271</v>
      </c>
      <c r="AD324" s="6" t="n">
        <v>0.737118128423464</v>
      </c>
      <c r="AE324" s="6" t="n">
        <v>-0.770093518728105</v>
      </c>
      <c r="AF324" s="6" t="n">
        <v>-1.63136066461679</v>
      </c>
      <c r="AG324" s="6" t="n">
        <v>-2.36795617943221</v>
      </c>
      <c r="AH324" s="6" t="n">
        <v>-1.20842146814221</v>
      </c>
      <c r="AI324" s="6" t="n">
        <v>0.625290654843218</v>
      </c>
      <c r="AJ324" s="6" t="n">
        <v>65.9466872579111</v>
      </c>
      <c r="AK324" s="6" t="n">
        <v>0.095412621916184</v>
      </c>
      <c r="AL324" s="6" t="n">
        <v>1.01700780251292</v>
      </c>
      <c r="AN324" s="6" t="n">
        <v>1.30800457812448</v>
      </c>
      <c r="AO324" s="6" t="n">
        <v>1.30800457812448</v>
      </c>
      <c r="AP324" s="6" t="n">
        <v>0.137757513972907</v>
      </c>
      <c r="AQ324" s="6" t="n">
        <v>0</v>
      </c>
      <c r="AR324" s="6" t="n">
        <v>0</v>
      </c>
    </row>
    <row r="325" customFormat="false" ht="15" hidden="false" customHeight="false" outlineLevel="0" collapsed="false">
      <c r="D325" s="0" t="s">
        <v>451</v>
      </c>
      <c r="J325" s="6" t="n">
        <v>0.245786268991835</v>
      </c>
      <c r="K325" s="6" t="n">
        <v>-0.694837583036049</v>
      </c>
      <c r="L325" s="6" t="n">
        <v>0.414495360614134</v>
      </c>
      <c r="M325" s="6" t="n">
        <v>0.692999712315452</v>
      </c>
      <c r="N325" s="6" t="n">
        <v>0.984226523889909</v>
      </c>
      <c r="O325" s="6" t="n">
        <v>-3.32019281014381</v>
      </c>
      <c r="P325" s="6" t="n">
        <v>1.68971908705066</v>
      </c>
      <c r="Q325" s="6" t="n">
        <v>1.82334206571021</v>
      </c>
      <c r="R325" s="6" t="n">
        <v>0.581372550418765</v>
      </c>
      <c r="S325" s="6" t="n">
        <v>0.932135511656401</v>
      </c>
      <c r="T325" s="6" t="n">
        <v>1.40452332882842</v>
      </c>
      <c r="U325" s="6" t="n">
        <v>0.309480387160974</v>
      </c>
      <c r="V325" s="6" t="n">
        <v>0.120269437928379</v>
      </c>
      <c r="W325" s="6" t="n">
        <v>-1.18455912587277</v>
      </c>
      <c r="X325" s="6" t="n">
        <v>1.09579026503959</v>
      </c>
      <c r="Y325" s="6" t="n">
        <v>-2.62277275599902</v>
      </c>
      <c r="Z325" s="6" t="n">
        <v>0.711090668437121</v>
      </c>
      <c r="AA325" s="6" t="n">
        <v>1.7090263252048</v>
      </c>
      <c r="AB325" s="6" t="n">
        <v>3.37385627410175</v>
      </c>
      <c r="AC325" s="6" t="n">
        <v>-1.78341826997666</v>
      </c>
      <c r="AD325" s="6" t="n">
        <v>4.49802774756317</v>
      </c>
      <c r="AE325" s="6" t="n">
        <v>-2.05528034807308</v>
      </c>
      <c r="AF325" s="6" t="n">
        <v>1.50740039102319</v>
      </c>
      <c r="AG325" s="6" t="n">
        <v>-4.5574392522566</v>
      </c>
      <c r="AH325" s="6" t="n">
        <v>3.96447406836782</v>
      </c>
      <c r="AI325" s="6" t="n">
        <v>-1.57138494859389</v>
      </c>
      <c r="AJ325" s="6" t="n">
        <v>64.3554069121424</v>
      </c>
      <c r="AK325" s="6" t="n">
        <v>0.0247928662834734</v>
      </c>
      <c r="AL325" s="6" t="n">
        <v>1.01603244564236</v>
      </c>
      <c r="AN325" s="6" t="n">
        <v>1.30783208452383</v>
      </c>
      <c r="AO325" s="6" t="n">
        <v>1.30783208452383</v>
      </c>
      <c r="AP325" s="6" t="n">
        <v>0.139074541152904</v>
      </c>
      <c r="AQ325" s="6" t="n">
        <v>0</v>
      </c>
      <c r="AR325" s="6" t="n">
        <v>0</v>
      </c>
    </row>
    <row r="326" customFormat="false" ht="15" hidden="false" customHeight="false" outlineLevel="0" collapsed="false">
      <c r="D326" s="0" t="s">
        <v>452</v>
      </c>
      <c r="J326" s="6" t="n">
        <v>2.44761923482936</v>
      </c>
      <c r="K326" s="6" t="n">
        <v>-1.70138997127217</v>
      </c>
      <c r="L326" s="6" t="n">
        <v>-1.0671828663207</v>
      </c>
      <c r="M326" s="6" t="n">
        <v>1.10971590179412</v>
      </c>
      <c r="N326" s="6" t="n">
        <v>-0.339747403789505</v>
      </c>
      <c r="O326" s="6" t="n">
        <v>-0.114073025243117</v>
      </c>
      <c r="P326" s="6" t="n">
        <v>-1.18509963619845</v>
      </c>
      <c r="Q326" s="6" t="n">
        <v>-3.46316275599958</v>
      </c>
      <c r="R326" s="6" t="n">
        <v>1.0036099311338</v>
      </c>
      <c r="S326" s="6" t="n">
        <v>-0.599722892652984</v>
      </c>
      <c r="T326" s="6" t="n">
        <v>0.411592809089468</v>
      </c>
      <c r="U326" s="6" t="n">
        <v>-2.14280222911504</v>
      </c>
      <c r="V326" s="6" t="n">
        <v>-0.150595851846249</v>
      </c>
      <c r="W326" s="6" t="n">
        <v>0.232448970802692</v>
      </c>
      <c r="X326" s="6" t="n">
        <v>-0.584010665156173</v>
      </c>
      <c r="Y326" s="6" t="n">
        <v>0.947025618531378</v>
      </c>
      <c r="Z326" s="6" t="n">
        <v>-1.78070120883209</v>
      </c>
      <c r="AA326" s="6" t="n">
        <v>3.2870650465493</v>
      </c>
      <c r="AB326" s="6" t="n">
        <v>1.43954187900454</v>
      </c>
      <c r="AC326" s="6" t="n">
        <v>0.0775389720918459</v>
      </c>
      <c r="AD326" s="6" t="n">
        <v>0.211099339331419</v>
      </c>
      <c r="AE326" s="6" t="n">
        <v>-0.665880862199294</v>
      </c>
      <c r="AF326" s="6" t="n">
        <v>-0.276031512505445</v>
      </c>
      <c r="AG326" s="6" t="n">
        <v>-0.533105757127113</v>
      </c>
      <c r="AH326" s="6" t="n">
        <v>-3.47708944611466</v>
      </c>
      <c r="AI326" s="6" t="n">
        <v>-0.834481113290532</v>
      </c>
      <c r="AJ326" s="6" t="n">
        <v>67.4225086134051</v>
      </c>
      <c r="AK326" s="6" t="n">
        <v>0.160062610475969</v>
      </c>
      <c r="AL326" s="6" t="n">
        <v>1.09060551264374</v>
      </c>
      <c r="AN326" s="6" t="n">
        <v>1.27556843502826</v>
      </c>
      <c r="AO326" s="6" t="n">
        <v>1.2762838652896</v>
      </c>
      <c r="AP326" s="6" t="n">
        <v>0.129773141163504</v>
      </c>
      <c r="AQ326" s="6" t="n">
        <v>0</v>
      </c>
      <c r="AR326" s="6" t="n">
        <v>0</v>
      </c>
    </row>
    <row r="327" customFormat="false" ht="15" hidden="false" customHeight="false" outlineLevel="0" collapsed="false">
      <c r="D327" s="0" t="s">
        <v>453</v>
      </c>
      <c r="J327" s="6" t="n">
        <v>1.98006283677129</v>
      </c>
      <c r="K327" s="6" t="n">
        <v>-1.76391087763157</v>
      </c>
      <c r="L327" s="6" t="n">
        <v>2.55875081402838</v>
      </c>
      <c r="M327" s="6" t="n">
        <v>2.16467784123065</v>
      </c>
      <c r="N327" s="6" t="n">
        <v>1.03459234733408</v>
      </c>
      <c r="O327" s="6" t="n">
        <v>-1.33896851464255</v>
      </c>
      <c r="P327" s="6" t="n">
        <v>-0.559374609116247</v>
      </c>
      <c r="Q327" s="6" t="n">
        <v>0.801686098322961</v>
      </c>
      <c r="R327" s="6" t="n">
        <v>-1.27329855180803</v>
      </c>
      <c r="S327" s="6" t="n">
        <v>-1.40366671091285</v>
      </c>
      <c r="T327" s="6" t="n">
        <v>-3.01563485667162</v>
      </c>
      <c r="U327" s="6" t="n">
        <v>1.9506658266543</v>
      </c>
      <c r="V327" s="6" t="n">
        <v>2.15386411286384</v>
      </c>
      <c r="W327" s="6" t="n">
        <v>-2.15525827305912</v>
      </c>
      <c r="X327" s="6" t="n">
        <v>-1.00624214363157</v>
      </c>
      <c r="Y327" s="6" t="n">
        <v>0.172194888539346</v>
      </c>
      <c r="Z327" s="6" t="n">
        <v>2.03407279032409</v>
      </c>
      <c r="AA327" s="6" t="n">
        <v>-0.461623974281047</v>
      </c>
      <c r="AB327" s="6" t="n">
        <v>3.60907087689094</v>
      </c>
      <c r="AC327" s="6" t="n">
        <v>0.573069154708641</v>
      </c>
      <c r="AD327" s="6" t="n">
        <v>0.304482301844951</v>
      </c>
      <c r="AE327" s="6" t="n">
        <v>-1.99664313891099</v>
      </c>
      <c r="AF327" s="6" t="n">
        <v>-2.07179343814627</v>
      </c>
      <c r="AG327" s="6" t="n">
        <v>-1.66081893241911</v>
      </c>
      <c r="AH327" s="6" t="n">
        <v>2.13967928057156</v>
      </c>
      <c r="AI327" s="6" t="n">
        <v>-0.308702503685884</v>
      </c>
      <c r="AJ327" s="6" t="n">
        <v>74.3201400726927</v>
      </c>
      <c r="AK327" s="6" t="n">
        <v>0.152833637064146</v>
      </c>
      <c r="AL327" s="6" t="n">
        <v>1.05204335002792</v>
      </c>
      <c r="AN327" s="6" t="n">
        <v>1.29398554687427</v>
      </c>
      <c r="AO327" s="6" t="n">
        <v>1.29480550940925</v>
      </c>
      <c r="AP327" s="6" t="n">
        <v>0.133373655006492</v>
      </c>
      <c r="AQ327" s="6" t="n">
        <v>0</v>
      </c>
      <c r="AR327" s="6" t="n">
        <v>0</v>
      </c>
    </row>
    <row r="328" customFormat="false" ht="15" hidden="false" customHeight="false" outlineLevel="0" collapsed="false">
      <c r="D328" s="0" t="s">
        <v>454</v>
      </c>
      <c r="J328" s="6" t="n">
        <v>0.408636141257307</v>
      </c>
      <c r="K328" s="6" t="n">
        <v>-2.41083316163725</v>
      </c>
      <c r="L328" s="6" t="n">
        <v>1.91320508312979</v>
      </c>
      <c r="M328" s="6" t="n">
        <v>-0.336064909669723</v>
      </c>
      <c r="N328" s="6" t="n">
        <v>-3.16641999522735</v>
      </c>
      <c r="O328" s="6" t="n">
        <v>-1.73351255607097</v>
      </c>
      <c r="P328" s="6" t="n">
        <v>-2.02636980693949</v>
      </c>
      <c r="Q328" s="6" t="n">
        <v>0.925344430463479</v>
      </c>
      <c r="R328" s="6" t="n">
        <v>-0.569403335543548</v>
      </c>
      <c r="S328" s="6" t="n">
        <v>-2.98924853326635</v>
      </c>
      <c r="T328" s="6" t="n">
        <v>-0.90575796138004</v>
      </c>
      <c r="U328" s="6" t="n">
        <v>0.270158213384904</v>
      </c>
      <c r="V328" s="6" t="n">
        <v>0.616035798938619</v>
      </c>
      <c r="W328" s="6" t="n">
        <v>-0.30806920164295</v>
      </c>
      <c r="X328" s="6" t="n">
        <v>-0.10826678838488</v>
      </c>
      <c r="Y328" s="6" t="n">
        <v>-2.70370754501213</v>
      </c>
      <c r="Z328" s="6" t="n">
        <v>-1.25118536590166</v>
      </c>
      <c r="AA328" s="6" t="n">
        <v>0.546022942984286</v>
      </c>
      <c r="AB328" s="6" t="n">
        <v>-1.44606507223087</v>
      </c>
      <c r="AC328" s="6" t="n">
        <v>0.506207633662705</v>
      </c>
      <c r="AD328" s="6" t="n">
        <v>0.655805952652568</v>
      </c>
      <c r="AE328" s="6" t="n">
        <v>3.10479902458929</v>
      </c>
      <c r="AF328" s="6" t="n">
        <v>-4.52926246431994</v>
      </c>
      <c r="AG328" s="6" t="n">
        <v>-1.17649569670177</v>
      </c>
      <c r="AH328" s="6" t="n">
        <v>-0.829885956708418</v>
      </c>
      <c r="AI328" s="6" t="n">
        <v>-2.3840287381525</v>
      </c>
      <c r="AJ328" s="6" t="n">
        <v>65.4033623259293</v>
      </c>
      <c r="AK328" s="6" t="n">
        <v>0.118437996028912</v>
      </c>
      <c r="AL328" s="6" t="n">
        <v>1.06171538340506</v>
      </c>
      <c r="AN328" s="6" t="n">
        <v>1.29185071854458</v>
      </c>
      <c r="AO328" s="6" t="n">
        <v>1.2922731100372</v>
      </c>
      <c r="AP328" s="6" t="n">
        <v>0.132906510562787</v>
      </c>
      <c r="AQ328" s="6" t="n">
        <v>0</v>
      </c>
      <c r="AR328" s="6" t="n">
        <v>0</v>
      </c>
    </row>
    <row r="329" customFormat="false" ht="15" hidden="false" customHeight="false" outlineLevel="0" collapsed="false">
      <c r="D329" s="0" t="s">
        <v>455</v>
      </c>
      <c r="J329" s="6" t="n">
        <v>-0.637101974428288</v>
      </c>
      <c r="K329" s="6" t="n">
        <v>-0.69289301408687</v>
      </c>
      <c r="L329" s="6" t="n">
        <v>-1.03863940468828</v>
      </c>
      <c r="M329" s="6" t="n">
        <v>-1.43028373818363</v>
      </c>
      <c r="N329" s="6" t="n">
        <v>2.34766391628351</v>
      </c>
      <c r="O329" s="6" t="n">
        <v>1.65071817830743</v>
      </c>
      <c r="P329" s="6" t="n">
        <v>-3.62510990728756</v>
      </c>
      <c r="Q329" s="6" t="n">
        <v>-1.096666720497</v>
      </c>
      <c r="R329" s="6" t="n">
        <v>2.58986336114774</v>
      </c>
      <c r="S329" s="6" t="n">
        <v>0.283398543417338</v>
      </c>
      <c r="T329" s="6" t="n">
        <v>0.345595519628717</v>
      </c>
      <c r="U329" s="6" t="n">
        <v>1.55445591932267</v>
      </c>
      <c r="V329" s="6" t="n">
        <v>-1.88938510618819</v>
      </c>
      <c r="W329" s="6" t="n">
        <v>-1.27292051553711</v>
      </c>
      <c r="X329" s="6" t="n">
        <v>1.89214101966155</v>
      </c>
      <c r="Y329" s="6" t="n">
        <v>0.951369670473285</v>
      </c>
      <c r="Z329" s="6" t="n">
        <v>-0.308405483463252</v>
      </c>
      <c r="AA329" s="6" t="n">
        <v>-0.598524682538111</v>
      </c>
      <c r="AB329" s="6" t="n">
        <v>-0.0567492419237187</v>
      </c>
      <c r="AC329" s="6" t="n">
        <v>5</v>
      </c>
      <c r="AD329" s="6" t="n">
        <v>0.393066102073235</v>
      </c>
      <c r="AE329" s="6" t="n">
        <v>-4.04300873618305</v>
      </c>
      <c r="AF329" s="6" t="n">
        <v>-1.53085075037804</v>
      </c>
      <c r="AG329" s="6" t="n">
        <v>0.911185890159677</v>
      </c>
      <c r="AH329" s="6" t="n">
        <v>4.57391806787145</v>
      </c>
      <c r="AI329" s="6" t="n">
        <v>0.806086317502939</v>
      </c>
      <c r="AJ329" s="6" t="n">
        <v>56.1588669497774</v>
      </c>
      <c r="AK329" s="6" t="n">
        <v>0.0519195747515752</v>
      </c>
      <c r="AL329" s="6" t="n">
        <v>1.00998681343252</v>
      </c>
      <c r="AN329" s="6" t="n">
        <v>1.30538756975323</v>
      </c>
      <c r="AO329" s="6" t="n">
        <v>1.30538756975323</v>
      </c>
      <c r="AP329" s="6" t="n">
        <v>0.138209904231886</v>
      </c>
      <c r="AQ329" s="6" t="n">
        <v>0</v>
      </c>
      <c r="AR329" s="6" t="n">
        <v>0</v>
      </c>
    </row>
    <row r="330" customFormat="false" ht="15" hidden="false" customHeight="false" outlineLevel="0" collapsed="false">
      <c r="D330" s="0" t="s">
        <v>456</v>
      </c>
      <c r="J330" s="6" t="n">
        <v>-2.30131862450848</v>
      </c>
      <c r="K330" s="6" t="n">
        <v>3.91015476873765</v>
      </c>
      <c r="L330" s="6" t="n">
        <v>-1.86692567323768</v>
      </c>
      <c r="M330" s="6" t="n">
        <v>-2.90343029372581</v>
      </c>
      <c r="N330" s="6" t="n">
        <v>-1.65479457878974</v>
      </c>
      <c r="O330" s="6" t="n">
        <v>1.31184438024676</v>
      </c>
      <c r="P330" s="6" t="n">
        <v>1.22094669562678</v>
      </c>
      <c r="Q330" s="6" t="n">
        <v>3.50716664731024</v>
      </c>
      <c r="R330" s="6" t="n">
        <v>0.837197075953137</v>
      </c>
      <c r="S330" s="6" t="n">
        <v>0.526601204466158</v>
      </c>
      <c r="T330" s="6" t="n">
        <v>2.04783800267047</v>
      </c>
      <c r="U330" s="6" t="n">
        <v>1.6653652247923</v>
      </c>
      <c r="V330" s="6" t="n">
        <v>-0.845900634016529</v>
      </c>
      <c r="W330" s="6" t="n">
        <v>-2.14906837964275</v>
      </c>
      <c r="X330" s="6" t="n">
        <v>-0.371767178222359</v>
      </c>
      <c r="Y330" s="6" t="n">
        <v>1.93193872265126</v>
      </c>
      <c r="Z330" s="6" t="n">
        <v>2.37417036191313</v>
      </c>
      <c r="AA330" s="6" t="n">
        <v>2.13448921940273</v>
      </c>
      <c r="AB330" s="6" t="n">
        <v>1.21652287394452</v>
      </c>
      <c r="AC330" s="6" t="n">
        <v>-0.833069513547859</v>
      </c>
      <c r="AD330" s="6" t="n">
        <v>1.01548269061538</v>
      </c>
      <c r="AE330" s="6" t="n">
        <v>1.02117994757179</v>
      </c>
      <c r="AF330" s="6" t="n">
        <v>1.21910785883726</v>
      </c>
      <c r="AG330" s="6" t="n">
        <v>-2.18753025165393</v>
      </c>
      <c r="AH330" s="6" t="n">
        <v>1.82959467706293</v>
      </c>
      <c r="AI330" s="6" t="n">
        <v>0.128005116834434</v>
      </c>
      <c r="AJ330" s="6" t="n">
        <v>77.6920453654364</v>
      </c>
      <c r="AK330" s="6" t="n">
        <v>0.132624116463536</v>
      </c>
      <c r="AL330" s="6" t="n">
        <v>1.09241801221343</v>
      </c>
      <c r="AN330" s="6" t="n">
        <v>1.27804269606963</v>
      </c>
      <c r="AO330" s="6" t="n">
        <v>1.27904128521848</v>
      </c>
      <c r="AP330" s="6" t="n">
        <v>0.130750416183486</v>
      </c>
      <c r="AQ330" s="6" t="n">
        <v>0</v>
      </c>
      <c r="AR330" s="6" t="n">
        <v>0</v>
      </c>
    </row>
    <row r="331" customFormat="false" ht="15" hidden="false" customHeight="false" outlineLevel="0" collapsed="false">
      <c r="D331" s="0" t="s">
        <v>457</v>
      </c>
      <c r="J331" s="6" t="n">
        <v>0.422189423439643</v>
      </c>
      <c r="K331" s="6" t="n">
        <v>-0.461525799613659</v>
      </c>
      <c r="L331" s="6" t="n">
        <v>3.1151420890395</v>
      </c>
      <c r="M331" s="6" t="n">
        <v>1.25336811525915</v>
      </c>
      <c r="N331" s="6" t="n">
        <v>-1.93233036867325</v>
      </c>
      <c r="O331" s="6" t="n">
        <v>-5.19097686786845</v>
      </c>
      <c r="P331" s="6" t="n">
        <v>-0.303296791224548</v>
      </c>
      <c r="Q331" s="6" t="n">
        <v>0.909412288464467</v>
      </c>
      <c r="R331" s="6" t="n">
        <v>-0.0874829066952216</v>
      </c>
      <c r="S331" s="6" t="n">
        <v>0.39553495596927</v>
      </c>
      <c r="T331" s="6" t="n">
        <v>2.92844156094788</v>
      </c>
      <c r="U331" s="6" t="n">
        <v>2.82100363172976</v>
      </c>
      <c r="V331" s="6" t="n">
        <v>2.35559013061771</v>
      </c>
      <c r="W331" s="6" t="n">
        <v>0.918361733869843</v>
      </c>
      <c r="X331" s="6" t="n">
        <v>2.01315117648504</v>
      </c>
      <c r="Y331" s="6" t="n">
        <v>0.918229166367267</v>
      </c>
      <c r="Z331" s="6" t="n">
        <v>2.00596295751709</v>
      </c>
      <c r="AA331" s="6" t="n">
        <v>1.77776830792267</v>
      </c>
      <c r="AB331" s="6" t="n">
        <v>-0.709264305731323</v>
      </c>
      <c r="AC331" s="6" t="n">
        <v>-1.68338318838981</v>
      </c>
      <c r="AD331" s="6" t="n">
        <v>-0.166000016891552</v>
      </c>
      <c r="AE331" s="6" t="n">
        <v>-0.145142599409783</v>
      </c>
      <c r="AF331" s="6" t="n">
        <v>0.69338015878679</v>
      </c>
      <c r="AG331" s="6" t="n">
        <v>1.86147091452843</v>
      </c>
      <c r="AH331" s="6" t="n">
        <v>0.0621166434842697</v>
      </c>
      <c r="AI331" s="6" t="n">
        <v>-5.00502688663866</v>
      </c>
      <c r="AJ331" s="6" t="n">
        <v>72.320615496752</v>
      </c>
      <c r="AK331" s="6" t="n">
        <v>0.147320349072979</v>
      </c>
      <c r="AL331" s="6" t="n">
        <v>1.00945862425532</v>
      </c>
      <c r="AN331" s="6" t="n">
        <v>1.28735553463015</v>
      </c>
      <c r="AO331" s="6" t="n">
        <v>1.295948673297</v>
      </c>
      <c r="AP331" s="6" t="n">
        <v>0.138368935101099</v>
      </c>
      <c r="AQ331" s="6" t="n">
        <v>0</v>
      </c>
      <c r="AR331" s="6" t="n">
        <v>0</v>
      </c>
    </row>
    <row r="332" customFormat="false" ht="15" hidden="false" customHeight="false" outlineLevel="0" collapsed="false">
      <c r="D332" s="0" t="s">
        <v>458</v>
      </c>
      <c r="J332" s="6" t="n">
        <v>-1.18917462847237</v>
      </c>
      <c r="K332" s="6" t="n">
        <v>0.120832421213769</v>
      </c>
      <c r="L332" s="6" t="n">
        <v>4.81744045069194</v>
      </c>
      <c r="M332" s="6" t="n">
        <v>-0.525453709517188</v>
      </c>
      <c r="N332" s="6" t="n">
        <v>-2.40689784375464</v>
      </c>
      <c r="O332" s="6" t="n">
        <v>-2.06545417993626</v>
      </c>
      <c r="P332" s="6" t="n">
        <v>-2.27059617379374</v>
      </c>
      <c r="Q332" s="6" t="n">
        <v>1.43649324051638</v>
      </c>
      <c r="R332" s="6" t="n">
        <v>1.43044369334812</v>
      </c>
      <c r="S332" s="6" t="n">
        <v>0.142765097574695</v>
      </c>
      <c r="T332" s="6" t="n">
        <v>1.08119364853823</v>
      </c>
      <c r="U332" s="6" t="n">
        <v>-0.696165548394995</v>
      </c>
      <c r="V332" s="6" t="n">
        <v>-0.909263269927559</v>
      </c>
      <c r="W332" s="6" t="n">
        <v>2.00197723797581</v>
      </c>
      <c r="X332" s="6" t="n">
        <v>1.69913278407779</v>
      </c>
      <c r="Y332" s="6" t="n">
        <v>1.11995392763904</v>
      </c>
      <c r="Z332" s="6" t="n">
        <v>-0.982981478833748</v>
      </c>
      <c r="AA332" s="6" t="n">
        <v>2.43258944605824</v>
      </c>
      <c r="AB332" s="6" t="n">
        <v>1.61309689429779</v>
      </c>
      <c r="AC332" s="6" t="n">
        <v>-0.356831918117049</v>
      </c>
      <c r="AD332" s="6" t="n">
        <v>0.356549761356428</v>
      </c>
      <c r="AE332" s="6" t="n">
        <v>-2.56891603187362</v>
      </c>
      <c r="AF332" s="6" t="n">
        <v>-1.31740276582988</v>
      </c>
      <c r="AG332" s="6" t="n">
        <v>-1.65448592894471</v>
      </c>
      <c r="AH332" s="6" t="n">
        <v>0.310276847421038</v>
      </c>
      <c r="AI332" s="6" t="n">
        <v>-1.89422014174363</v>
      </c>
      <c r="AJ332" s="6" t="n">
        <v>72.5654611794249</v>
      </c>
      <c r="AK332" s="6" t="n">
        <v>0.0777407997250342</v>
      </c>
      <c r="AL332" s="6" t="n">
        <v>1.04795528721168</v>
      </c>
      <c r="AN332" s="6" t="n">
        <v>1.305863311295</v>
      </c>
      <c r="AO332" s="6" t="n">
        <v>1.30589028137247</v>
      </c>
      <c r="AP332" s="6" t="n">
        <v>0.135639135010856</v>
      </c>
      <c r="AQ332" s="6" t="n">
        <v>0</v>
      </c>
      <c r="AR332" s="6" t="n">
        <v>0</v>
      </c>
    </row>
    <row r="333" customFormat="false" ht="15" hidden="false" customHeight="false" outlineLevel="0" collapsed="false">
      <c r="D333" s="0" t="s">
        <v>459</v>
      </c>
      <c r="J333" s="6" t="n">
        <v>2.69215335924307</v>
      </c>
      <c r="K333" s="6" t="n">
        <v>0.0249132935726247</v>
      </c>
      <c r="L333" s="6" t="n">
        <v>3.54108133766595</v>
      </c>
      <c r="M333" s="6" t="n">
        <v>2.62089519592135</v>
      </c>
      <c r="N333" s="6" t="n">
        <v>-1.1477571320483</v>
      </c>
      <c r="O333" s="6" t="n">
        <v>4.33338801715259</v>
      </c>
      <c r="P333" s="6" t="n">
        <v>1.68887440483589</v>
      </c>
      <c r="Q333" s="6" t="n">
        <v>1.76408387657071</v>
      </c>
      <c r="R333" s="6" t="n">
        <v>-1.04183147937791</v>
      </c>
      <c r="S333" s="6" t="n">
        <v>-3.0102247322362</v>
      </c>
      <c r="T333" s="6" t="n">
        <v>5</v>
      </c>
      <c r="U333" s="6" t="n">
        <v>-1.00223864836848</v>
      </c>
      <c r="V333" s="6" t="n">
        <v>0.0055855586084636</v>
      </c>
      <c r="W333" s="6" t="n">
        <v>-1.0691979358552</v>
      </c>
      <c r="X333" s="6" t="n">
        <v>3.70702453935623</v>
      </c>
      <c r="Y333" s="6" t="n">
        <v>2.70132546479284</v>
      </c>
      <c r="Z333" s="6" t="n">
        <v>-0.574557976613586</v>
      </c>
      <c r="AA333" s="6" t="n">
        <v>-0.074327906523782</v>
      </c>
      <c r="AB333" s="6" t="n">
        <v>-2.0953788487581</v>
      </c>
      <c r="AC333" s="6" t="n">
        <v>1.23105269033597</v>
      </c>
      <c r="AD333" s="6" t="n">
        <v>1.44143102101025</v>
      </c>
      <c r="AE333" s="6" t="n">
        <v>-1.36170358590426</v>
      </c>
      <c r="AF333" s="6" t="n">
        <v>-0.876796874683147</v>
      </c>
      <c r="AG333" s="6" t="n">
        <v>-4.02869966232725</v>
      </c>
      <c r="AH333" s="6" t="n">
        <v>1.87340991032139</v>
      </c>
      <c r="AI333" s="6" t="n">
        <v>0.732832102734601</v>
      </c>
      <c r="AJ333" s="6" t="n">
        <v>63.0644818500786</v>
      </c>
      <c r="AK333" s="6" t="n">
        <v>0.0568163123079028</v>
      </c>
      <c r="AL333" s="6" t="n">
        <v>1.08019123313548</v>
      </c>
      <c r="AN333" s="6" t="n">
        <v>1.28715309379228</v>
      </c>
      <c r="AO333" s="6" t="n">
        <v>1.28720013512271</v>
      </c>
      <c r="AP333" s="6" t="n">
        <v>0.132758759807974</v>
      </c>
      <c r="AQ333" s="6" t="n">
        <v>0</v>
      </c>
      <c r="AR333" s="6" t="n">
        <v>0</v>
      </c>
    </row>
    <row r="334" customFormat="false" ht="15" hidden="false" customHeight="false" outlineLevel="0" collapsed="false">
      <c r="D334" s="0" t="s">
        <v>460</v>
      </c>
      <c r="J334" s="6" t="n">
        <v>-3.50864065971087</v>
      </c>
      <c r="K334" s="6" t="n">
        <v>0.462529109467036</v>
      </c>
      <c r="L334" s="6" t="n">
        <v>-4.1903552584822</v>
      </c>
      <c r="M334" s="6" t="n">
        <v>0.621706121905915</v>
      </c>
      <c r="N334" s="6" t="n">
        <v>-0.048392783972915</v>
      </c>
      <c r="O334" s="6" t="n">
        <v>3.67960523314972</v>
      </c>
      <c r="P334" s="6" t="n">
        <v>0.684463777698258</v>
      </c>
      <c r="Q334" s="6" t="n">
        <v>1.64470304760633</v>
      </c>
      <c r="R334" s="6" t="n">
        <v>0.207795739085829</v>
      </c>
      <c r="S334" s="6" t="n">
        <v>0.795651654770429</v>
      </c>
      <c r="T334" s="6" t="n">
        <v>-0.130449204177914</v>
      </c>
      <c r="U334" s="6" t="n">
        <v>-1.84211737705388</v>
      </c>
      <c r="V334" s="6" t="n">
        <v>1.92451749614288</v>
      </c>
      <c r="W334" s="6" t="n">
        <v>1.79750745317822</v>
      </c>
      <c r="X334" s="6" t="n">
        <v>-1.02419573811309</v>
      </c>
      <c r="Y334" s="6" t="n">
        <v>-4.28800606054419</v>
      </c>
      <c r="Z334" s="6" t="n">
        <v>-0.784622470337103</v>
      </c>
      <c r="AA334" s="6" t="n">
        <v>-0.508388431484722</v>
      </c>
      <c r="AB334" s="6" t="n">
        <v>0.53494094317633</v>
      </c>
      <c r="AC334" s="6" t="n">
        <v>-4.95675699878906</v>
      </c>
      <c r="AD334" s="6" t="n">
        <v>-1.23929637530367</v>
      </c>
      <c r="AE334" s="6" t="n">
        <v>-0.58468763465209</v>
      </c>
      <c r="AF334" s="6" t="n">
        <v>1.41847164443708</v>
      </c>
      <c r="AG334" s="6" t="n">
        <v>-1.20843944530554</v>
      </c>
      <c r="AH334" s="6" t="n">
        <v>-3.61318612174202</v>
      </c>
      <c r="AI334" s="6" t="n">
        <v>-2.60061191550715</v>
      </c>
      <c r="AJ334" s="6" t="n">
        <v>81.1530088536354</v>
      </c>
      <c r="AK334" s="6" t="n">
        <v>0.0850937552321897</v>
      </c>
      <c r="AL334" s="6" t="n">
        <v>1.04463344940363</v>
      </c>
      <c r="AN334" s="6" t="n">
        <v>1.30751110137995</v>
      </c>
      <c r="AO334" s="6" t="n">
        <v>1.30758069115019</v>
      </c>
      <c r="AP334" s="6" t="n">
        <v>0.136169972912135</v>
      </c>
      <c r="AQ334" s="6" t="n">
        <v>0</v>
      </c>
      <c r="AR334" s="6" t="n">
        <v>0</v>
      </c>
    </row>
    <row r="335" customFormat="false" ht="15" hidden="false" customHeight="false" outlineLevel="0" collapsed="false">
      <c r="D335" s="0" t="s">
        <v>461</v>
      </c>
      <c r="J335" s="6" t="n">
        <v>0.260367143232822</v>
      </c>
      <c r="K335" s="6" t="n">
        <v>-1.00291224455313</v>
      </c>
      <c r="L335" s="6" t="n">
        <v>1.22814492205506</v>
      </c>
      <c r="M335" s="6" t="n">
        <v>2.5831087544219</v>
      </c>
      <c r="N335" s="6" t="n">
        <v>-1.94970153990465</v>
      </c>
      <c r="O335" s="6" t="n">
        <v>-1.99163707933437</v>
      </c>
      <c r="P335" s="6" t="n">
        <v>-0.513240694902673</v>
      </c>
      <c r="Q335" s="6" t="n">
        <v>1.7041304332804</v>
      </c>
      <c r="R335" s="6" t="n">
        <v>-1.36347618088536</v>
      </c>
      <c r="S335" s="6" t="n">
        <v>-1.4432274261004</v>
      </c>
      <c r="T335" s="6" t="n">
        <v>-0.791989944935717</v>
      </c>
      <c r="U335" s="6" t="n">
        <v>2.86789981371334</v>
      </c>
      <c r="V335" s="6" t="n">
        <v>-2.97659037340693</v>
      </c>
      <c r="W335" s="6" t="n">
        <v>3.82038826013247</v>
      </c>
      <c r="X335" s="6" t="n">
        <v>0.405207830170535</v>
      </c>
      <c r="Y335" s="6" t="n">
        <v>3.88017749039861</v>
      </c>
      <c r="Z335" s="6" t="n">
        <v>1.75839257372388</v>
      </c>
      <c r="AA335" s="6" t="n">
        <v>2.76472066232467</v>
      </c>
      <c r="AB335" s="6" t="n">
        <v>1.79276693341472</v>
      </c>
      <c r="AC335" s="6" t="n">
        <v>0.714503382266801</v>
      </c>
      <c r="AD335" s="6" t="n">
        <v>-0.124105755129411</v>
      </c>
      <c r="AE335" s="6" t="n">
        <v>2.89422315144085</v>
      </c>
      <c r="AF335" s="6" t="n">
        <v>1.40886133076742</v>
      </c>
      <c r="AG335" s="6" t="n">
        <v>2.75504588735441</v>
      </c>
      <c r="AH335" s="6" t="n">
        <v>-0.929188621954761</v>
      </c>
      <c r="AI335" s="6" t="n">
        <v>1.53100020812557</v>
      </c>
      <c r="AJ335" s="6" t="n">
        <v>81.197225558291</v>
      </c>
      <c r="AK335" s="6" t="n">
        <v>0.116006238110715</v>
      </c>
      <c r="AL335" s="6" t="n">
        <v>1.09472911707486</v>
      </c>
      <c r="AN335" s="6" t="n">
        <v>1.28475041751023</v>
      </c>
      <c r="AO335" s="6" t="n">
        <v>1.28538275078216</v>
      </c>
      <c r="AP335" s="6" t="n">
        <v>0.131689661129911</v>
      </c>
      <c r="AQ335" s="6" t="n">
        <v>0</v>
      </c>
      <c r="AR335" s="6" t="n">
        <v>0</v>
      </c>
    </row>
    <row r="336" customFormat="false" ht="15" hidden="false" customHeight="false" outlineLevel="0" collapsed="false">
      <c r="D336" s="0" t="s">
        <v>462</v>
      </c>
      <c r="J336" s="6" t="n">
        <v>0.73383694651266</v>
      </c>
      <c r="K336" s="6" t="n">
        <v>0.563379825662457</v>
      </c>
      <c r="L336" s="6" t="n">
        <v>-1.04388656544919</v>
      </c>
      <c r="M336" s="6" t="n">
        <v>-1.0175298552843</v>
      </c>
      <c r="N336" s="6" t="n">
        <v>-0.635493922401058</v>
      </c>
      <c r="O336" s="6" t="n">
        <v>4.68851674917889</v>
      </c>
      <c r="P336" s="6" t="n">
        <v>-0.480226703255507</v>
      </c>
      <c r="Q336" s="6" t="n">
        <v>2.2425303437259</v>
      </c>
      <c r="R336" s="6" t="n">
        <v>-3.03127734765056</v>
      </c>
      <c r="S336" s="6" t="n">
        <v>2.36242156938827</v>
      </c>
      <c r="T336" s="6" t="n">
        <v>-0.30568570324865</v>
      </c>
      <c r="U336" s="6" t="n">
        <v>-1.99749726921231</v>
      </c>
      <c r="V336" s="6" t="n">
        <v>1.11263551668348</v>
      </c>
      <c r="W336" s="6" t="n">
        <v>-0.489844509291252</v>
      </c>
      <c r="X336" s="6" t="n">
        <v>2.09866132517554</v>
      </c>
      <c r="Y336" s="6" t="n">
        <v>3.16785277830234</v>
      </c>
      <c r="Z336" s="6" t="n">
        <v>2.71607486732859</v>
      </c>
      <c r="AA336" s="6" t="n">
        <v>-0.0279057102199672</v>
      </c>
      <c r="AB336" s="6" t="n">
        <v>-0.526502004411662</v>
      </c>
      <c r="AC336" s="6" t="n">
        <v>2.57067945859376</v>
      </c>
      <c r="AD336" s="6" t="n">
        <v>1.38009129300257</v>
      </c>
      <c r="AE336" s="6" t="n">
        <v>2.25748157802963</v>
      </c>
      <c r="AF336" s="6" t="n">
        <v>-5.03512290693458</v>
      </c>
      <c r="AG336" s="6" t="n">
        <v>-0.707711820930958</v>
      </c>
      <c r="AH336" s="6" t="n">
        <v>0.0647481098411661</v>
      </c>
      <c r="AI336" s="6" t="n">
        <v>1.43707591024036</v>
      </c>
      <c r="AJ336" s="6" t="n">
        <v>67.5367286841341</v>
      </c>
      <c r="AK336" s="6" t="n">
        <v>0.114609603283313</v>
      </c>
      <c r="AL336" s="6" t="n">
        <v>1.07587838482537</v>
      </c>
      <c r="AN336" s="6" t="n">
        <v>1.28392983449504</v>
      </c>
      <c r="AO336" s="6" t="n">
        <v>1.28449499640712</v>
      </c>
      <c r="AP336" s="6" t="n">
        <v>0.131999816991155</v>
      </c>
      <c r="AQ336" s="6" t="n">
        <v>0</v>
      </c>
      <c r="AR336" s="6" t="n">
        <v>0</v>
      </c>
    </row>
    <row r="337" customFormat="false" ht="15" hidden="false" customHeight="false" outlineLevel="0" collapsed="false">
      <c r="D337" s="0" t="s">
        <v>463</v>
      </c>
      <c r="J337" s="6" t="n">
        <v>-4.67676052580554</v>
      </c>
      <c r="K337" s="6" t="n">
        <v>-1.46741506720971</v>
      </c>
      <c r="L337" s="6" t="n">
        <v>-2.87502510581237</v>
      </c>
      <c r="M337" s="6" t="n">
        <v>-2.85176561257481</v>
      </c>
      <c r="N337" s="6" t="n">
        <v>0.404171637716047</v>
      </c>
      <c r="O337" s="6" t="n">
        <v>-1.65874823791747</v>
      </c>
      <c r="P337" s="6" t="n">
        <v>0.587473158521171</v>
      </c>
      <c r="Q337" s="6" t="n">
        <v>0.87453817556114</v>
      </c>
      <c r="R337" s="6" t="n">
        <v>0.0743886972994413</v>
      </c>
      <c r="S337" s="6" t="n">
        <v>0.138404961821146</v>
      </c>
      <c r="T337" s="6" t="n">
        <v>3.09379081101379</v>
      </c>
      <c r="U337" s="6" t="n">
        <v>-0.173017543141919</v>
      </c>
      <c r="V337" s="6" t="n">
        <v>-1.19011875248177</v>
      </c>
      <c r="W337" s="6" t="n">
        <v>0.177747484393013</v>
      </c>
      <c r="X337" s="6" t="n">
        <v>-1.74463801385939</v>
      </c>
      <c r="Y337" s="6" t="n">
        <v>3.427539692972</v>
      </c>
      <c r="Z337" s="6" t="n">
        <v>-2.65388278621835</v>
      </c>
      <c r="AA337" s="6" t="n">
        <v>-1.85683574664733</v>
      </c>
      <c r="AB337" s="6" t="n">
        <v>1.19976984529103</v>
      </c>
      <c r="AC337" s="6" t="n">
        <v>-0.90177215149036</v>
      </c>
      <c r="AD337" s="6" t="n">
        <v>-1.32925033797943</v>
      </c>
      <c r="AE337" s="6" t="n">
        <v>1.76640098241484</v>
      </c>
      <c r="AF337" s="6" t="n">
        <v>-0.561344198809275</v>
      </c>
      <c r="AG337" s="6" t="n">
        <v>-0.809580873750325</v>
      </c>
      <c r="AH337" s="6" t="n">
        <v>0.849084907495501</v>
      </c>
      <c r="AI337" s="6" t="n">
        <v>3.1978001064157</v>
      </c>
      <c r="AJ337" s="6" t="n">
        <v>67.24373935209</v>
      </c>
      <c r="AK337" s="6" t="n">
        <v>0.177187213015878</v>
      </c>
      <c r="AL337" s="6" t="n">
        <v>1.06268898889585</v>
      </c>
      <c r="AN337" s="6" t="n">
        <v>1.28402012429477</v>
      </c>
      <c r="AO337" s="6" t="n">
        <v>1.28403035964855</v>
      </c>
      <c r="AP337" s="6" t="n">
        <v>0.131261819745179</v>
      </c>
      <c r="AQ337" s="6" t="n">
        <v>0</v>
      </c>
      <c r="AR337" s="6" t="n">
        <v>0</v>
      </c>
    </row>
    <row r="338" customFormat="false" ht="15" hidden="false" customHeight="false" outlineLevel="0" collapsed="false">
      <c r="D338" s="0" t="s">
        <v>464</v>
      </c>
      <c r="J338" s="6" t="n">
        <v>-2.58209294451289</v>
      </c>
      <c r="K338" s="6" t="n">
        <v>3.23686174608651</v>
      </c>
      <c r="L338" s="6" t="n">
        <v>0.492317509963304</v>
      </c>
      <c r="M338" s="6" t="n">
        <v>2.20203067341296</v>
      </c>
      <c r="N338" s="6" t="n">
        <v>0.304672478790617</v>
      </c>
      <c r="O338" s="6" t="n">
        <v>1.80931086293102</v>
      </c>
      <c r="P338" s="6" t="n">
        <v>0.744768018452917</v>
      </c>
      <c r="Q338" s="6" t="n">
        <v>-1.7018142269699</v>
      </c>
      <c r="R338" s="6" t="n">
        <v>0.213225665296555</v>
      </c>
      <c r="S338" s="6" t="n">
        <v>2.14105414246438</v>
      </c>
      <c r="T338" s="6" t="n">
        <v>-4.70445952614201</v>
      </c>
      <c r="U338" s="6" t="n">
        <v>0.811455875426758</v>
      </c>
      <c r="V338" s="6" t="n">
        <v>0.132649736448086</v>
      </c>
      <c r="W338" s="6" t="n">
        <v>0.101530616160456</v>
      </c>
      <c r="X338" s="6" t="n">
        <v>3.0831568518409</v>
      </c>
      <c r="Y338" s="6" t="n">
        <v>0.0701535611371971</v>
      </c>
      <c r="Z338" s="6" t="n">
        <v>1.47923951376675</v>
      </c>
      <c r="AA338" s="6" t="n">
        <v>-2.02659330506309</v>
      </c>
      <c r="AB338" s="6" t="n">
        <v>0.507478163801928</v>
      </c>
      <c r="AC338" s="6" t="n">
        <v>-0.43927660195171</v>
      </c>
      <c r="AD338" s="6" t="n">
        <v>-2.20528942957667</v>
      </c>
      <c r="AE338" s="6" t="n">
        <v>0.816833313197036</v>
      </c>
      <c r="AF338" s="6" t="n">
        <v>-1.71802145169205</v>
      </c>
      <c r="AG338" s="6" t="n">
        <v>-1.58139680119558</v>
      </c>
      <c r="AH338" s="6" t="n">
        <v>2.01219539024213</v>
      </c>
      <c r="AI338" s="6" t="n">
        <v>-2.82147921838438</v>
      </c>
      <c r="AJ338" s="6" t="n">
        <v>82.0486040741355</v>
      </c>
      <c r="AK338" s="6" t="n">
        <v>0.166211967971361</v>
      </c>
      <c r="AL338" s="6" t="n">
        <v>1.00485476875436</v>
      </c>
      <c r="AN338" s="6" t="n">
        <v>1.32031268346846</v>
      </c>
      <c r="AO338" s="6" t="n">
        <v>1.32086522363922</v>
      </c>
      <c r="AP338" s="6" t="n">
        <v>0.139729497655827</v>
      </c>
      <c r="AQ338" s="6" t="n">
        <v>0</v>
      </c>
      <c r="AR338" s="6" t="n">
        <v>0</v>
      </c>
    </row>
    <row r="339" customFormat="false" ht="15" hidden="false" customHeight="false" outlineLevel="0" collapsed="false">
      <c r="D339" s="0" t="s">
        <v>465</v>
      </c>
      <c r="J339" s="6" t="n">
        <v>1.22298190396385</v>
      </c>
      <c r="K339" s="6" t="n">
        <v>0.928290721842273</v>
      </c>
      <c r="L339" s="6" t="n">
        <v>3.10536146788129</v>
      </c>
      <c r="M339" s="6" t="n">
        <v>-0.527767261997252</v>
      </c>
      <c r="N339" s="6" t="n">
        <v>-1.19111931100772</v>
      </c>
      <c r="O339" s="6" t="n">
        <v>0.37450212337432</v>
      </c>
      <c r="P339" s="6" t="n">
        <v>-1.62880993826059</v>
      </c>
      <c r="Q339" s="6" t="n">
        <v>1.55007224978848</v>
      </c>
      <c r="R339" s="6" t="n">
        <v>-1.01386471869828</v>
      </c>
      <c r="S339" s="6" t="n">
        <v>-0.28447806314604</v>
      </c>
      <c r="T339" s="6" t="n">
        <v>0.669538345701628</v>
      </c>
      <c r="U339" s="6" t="n">
        <v>-0.341680708636063</v>
      </c>
      <c r="V339" s="6" t="n">
        <v>0.914036611377392</v>
      </c>
      <c r="W339" s="6" t="n">
        <v>2.52737685513438</v>
      </c>
      <c r="X339" s="6" t="n">
        <v>4.46974127972161</v>
      </c>
      <c r="Y339" s="6" t="n">
        <v>0.784561945375401</v>
      </c>
      <c r="Z339" s="6" t="n">
        <v>-1.41236483144719</v>
      </c>
      <c r="AA339" s="6" t="n">
        <v>-4.87503285581422</v>
      </c>
      <c r="AB339" s="6" t="n">
        <v>1.65779448440848</v>
      </c>
      <c r="AC339" s="6" t="n">
        <v>-1.07230165125886</v>
      </c>
      <c r="AD339" s="6" t="n">
        <v>1.02880196835334</v>
      </c>
      <c r="AE339" s="6" t="n">
        <v>0.00976448495678196</v>
      </c>
      <c r="AF339" s="6" t="n">
        <v>-3.26988683639293</v>
      </c>
      <c r="AG339" s="6" t="n">
        <v>-1.74202412715309</v>
      </c>
      <c r="AH339" s="6" t="n">
        <v>0.408376965746175</v>
      </c>
      <c r="AI339" s="6" t="n">
        <v>2.81969399020771</v>
      </c>
      <c r="AJ339" s="6" t="n">
        <v>77.0729699253785</v>
      </c>
      <c r="AK339" s="6" t="n">
        <v>0.169543301215578</v>
      </c>
      <c r="AL339" s="6" t="n">
        <v>1.07253535224787</v>
      </c>
      <c r="AN339" s="6" t="n">
        <v>1.28277678873392</v>
      </c>
      <c r="AO339" s="6" t="n">
        <v>1.28329753642844</v>
      </c>
      <c r="AP339" s="6" t="n">
        <v>0.131341377923824</v>
      </c>
      <c r="AQ339" s="6" t="n">
        <v>0</v>
      </c>
      <c r="AR339" s="6" t="n">
        <v>0</v>
      </c>
    </row>
    <row r="340" customFormat="false" ht="15" hidden="false" customHeight="false" outlineLevel="0" collapsed="false">
      <c r="D340" s="0" t="s">
        <v>466</v>
      </c>
      <c r="J340" s="6" t="n">
        <v>-0.00363419364911554</v>
      </c>
      <c r="K340" s="6" t="n">
        <v>-0.117755445007138</v>
      </c>
      <c r="L340" s="6" t="n">
        <v>0.169776500276844</v>
      </c>
      <c r="M340" s="6" t="n">
        <v>-3.01213871184798</v>
      </c>
      <c r="N340" s="6" t="n">
        <v>1.593714181406</v>
      </c>
      <c r="O340" s="6" t="n">
        <v>1.0679235277563</v>
      </c>
      <c r="P340" s="6" t="n">
        <v>2.34979725559911</v>
      </c>
      <c r="Q340" s="6" t="n">
        <v>0.802171530463053</v>
      </c>
      <c r="R340" s="6" t="n">
        <v>-0.798213482244688</v>
      </c>
      <c r="S340" s="6" t="n">
        <v>-2.01682335897582</v>
      </c>
      <c r="T340" s="6" t="n">
        <v>-2.08178261600408</v>
      </c>
      <c r="U340" s="6" t="n">
        <v>1.18061632358461</v>
      </c>
      <c r="V340" s="6" t="n">
        <v>2.12434096099051</v>
      </c>
      <c r="W340" s="6" t="n">
        <v>2.66635318926258</v>
      </c>
      <c r="X340" s="6" t="n">
        <v>-0.366208180303244</v>
      </c>
      <c r="Y340" s="6" t="n">
        <v>1.64349594811057</v>
      </c>
      <c r="Z340" s="6" t="n">
        <v>0.399455506144052</v>
      </c>
      <c r="AA340" s="6" t="n">
        <v>-1.22636365932579</v>
      </c>
      <c r="AB340" s="6" t="n">
        <v>1.07535243396091</v>
      </c>
      <c r="AC340" s="6" t="n">
        <v>-1.77693806681602</v>
      </c>
      <c r="AD340" s="6" t="n">
        <v>0.0987179365745147</v>
      </c>
      <c r="AE340" s="6" t="n">
        <v>-0.437245502904732</v>
      </c>
      <c r="AF340" s="6" t="n">
        <v>1.07782486900839</v>
      </c>
      <c r="AG340" s="6" t="n">
        <v>4.37217671020674</v>
      </c>
      <c r="AH340" s="6" t="n">
        <v>1.37810129374715</v>
      </c>
      <c r="AI340" s="6" t="n">
        <v>2.17594851759918</v>
      </c>
      <c r="AJ340" s="6" t="n">
        <v>81.7037734233829</v>
      </c>
      <c r="AK340" s="6" t="n">
        <v>0.136049723713997</v>
      </c>
      <c r="AL340" s="6" t="n">
        <v>1.0373926050447</v>
      </c>
      <c r="AN340" s="6" t="n">
        <v>1.30339232123569</v>
      </c>
      <c r="AO340" s="6" t="n">
        <v>1.30403261541963</v>
      </c>
      <c r="AP340" s="6" t="n">
        <v>0.135561775254623</v>
      </c>
      <c r="AQ340" s="6" t="n">
        <v>0</v>
      </c>
      <c r="AR340" s="6" t="n">
        <v>0</v>
      </c>
    </row>
    <row r="341" customFormat="false" ht="15" hidden="false" customHeight="false" outlineLevel="0" collapsed="false">
      <c r="D341" s="0" t="s">
        <v>467</v>
      </c>
      <c r="J341" s="6" t="n">
        <v>-0.120457488294482</v>
      </c>
      <c r="K341" s="6" t="n">
        <v>0.322190424924951</v>
      </c>
      <c r="L341" s="6" t="n">
        <v>2.27255471222876</v>
      </c>
      <c r="M341" s="6" t="n">
        <v>-2.65316304433259</v>
      </c>
      <c r="N341" s="6" t="n">
        <v>-0.0686317538438465</v>
      </c>
      <c r="O341" s="6" t="n">
        <v>-1.24746244810191</v>
      </c>
      <c r="P341" s="6" t="n">
        <v>0.304803780385932</v>
      </c>
      <c r="Q341" s="6" t="n">
        <v>-0.668419115367961</v>
      </c>
      <c r="R341" s="6" t="n">
        <v>-1.98885157187946</v>
      </c>
      <c r="S341" s="6" t="n">
        <v>-1.57427353434281</v>
      </c>
      <c r="T341" s="6" t="n">
        <v>-2.34893816806756</v>
      </c>
      <c r="U341" s="6" t="n">
        <v>-1.50434431421863</v>
      </c>
      <c r="V341" s="6" t="n">
        <v>1.17499903877472</v>
      </c>
      <c r="W341" s="6" t="n">
        <v>0.37216573511339</v>
      </c>
      <c r="X341" s="6" t="n">
        <v>1.70194389494402</v>
      </c>
      <c r="Y341" s="6" t="n">
        <v>-2.17025773003812</v>
      </c>
      <c r="Z341" s="6" t="n">
        <v>3.14113919711856</v>
      </c>
      <c r="AA341" s="6" t="n">
        <v>3.28310266210568</v>
      </c>
      <c r="AB341" s="6" t="n">
        <v>2.89982309974789</v>
      </c>
      <c r="AC341" s="6" t="n">
        <v>-0.462011218534807</v>
      </c>
      <c r="AD341" s="6" t="n">
        <v>-1.41677991543112</v>
      </c>
      <c r="AE341" s="6" t="n">
        <v>0.312077849826811</v>
      </c>
      <c r="AF341" s="6" t="n">
        <v>0.461283889833501</v>
      </c>
      <c r="AG341" s="6" t="n">
        <v>-1.30989727163697</v>
      </c>
      <c r="AH341" s="6" t="n">
        <v>-2.28344565104528</v>
      </c>
      <c r="AI341" s="6" t="n">
        <v>0.326305471276057</v>
      </c>
      <c r="AJ341" s="6" t="n">
        <v>81.0659776143159</v>
      </c>
      <c r="AK341" s="6" t="n">
        <v>0.0416482774544028</v>
      </c>
      <c r="AL341" s="6" t="n">
        <v>1.03838425107553</v>
      </c>
      <c r="AN341" s="6" t="n">
        <v>1.31359945261893</v>
      </c>
      <c r="AO341" s="6" t="n">
        <v>1.31359945261893</v>
      </c>
      <c r="AP341" s="6" t="n">
        <v>0.137772326231238</v>
      </c>
      <c r="AQ341" s="6" t="n">
        <v>0</v>
      </c>
      <c r="AR341" s="6" t="n">
        <v>0</v>
      </c>
    </row>
    <row r="342" customFormat="false" ht="15" hidden="false" customHeight="false" outlineLevel="0" collapsed="false">
      <c r="D342" s="0" t="s">
        <v>468</v>
      </c>
      <c r="J342" s="6" t="n">
        <v>3.13898248937265</v>
      </c>
      <c r="K342" s="6" t="n">
        <v>-0.137789058814752</v>
      </c>
      <c r="L342" s="6" t="n">
        <v>0.915820918627143</v>
      </c>
      <c r="M342" s="6" t="n">
        <v>0.290411133347896</v>
      </c>
      <c r="N342" s="6" t="n">
        <v>-0.0368295691761296</v>
      </c>
      <c r="O342" s="6" t="n">
        <v>-1.1753080696883</v>
      </c>
      <c r="P342" s="6" t="n">
        <v>0.24595709598628</v>
      </c>
      <c r="Q342" s="6" t="n">
        <v>-2.08259846956483</v>
      </c>
      <c r="R342" s="6" t="n">
        <v>-4.26264162244709</v>
      </c>
      <c r="S342" s="6" t="n">
        <v>-2.31820685144886</v>
      </c>
      <c r="T342" s="6" t="n">
        <v>-2.33661237344035</v>
      </c>
      <c r="U342" s="6" t="n">
        <v>2.44400773528277</v>
      </c>
      <c r="V342" s="6" t="n">
        <v>1.01150908064763</v>
      </c>
      <c r="W342" s="6" t="n">
        <v>-0.856556248893269</v>
      </c>
      <c r="X342" s="6" t="n">
        <v>0.77050289391051</v>
      </c>
      <c r="Y342" s="6" t="n">
        <v>5</v>
      </c>
      <c r="Z342" s="6" t="n">
        <v>1.99875559056207</v>
      </c>
      <c r="AA342" s="6" t="n">
        <v>-1.66666777540262</v>
      </c>
      <c r="AB342" s="6" t="n">
        <v>-2.8504397910061</v>
      </c>
      <c r="AC342" s="6" t="n">
        <v>-0.132577032873435</v>
      </c>
      <c r="AD342" s="6" t="n">
        <v>1.97598452408723</v>
      </c>
      <c r="AE342" s="6" t="n">
        <v>-2.85167510914437</v>
      </c>
      <c r="AF342" s="6" t="n">
        <v>0.446413305189135</v>
      </c>
      <c r="AG342" s="6" t="n">
        <v>-2.02465205081951</v>
      </c>
      <c r="AH342" s="6" t="n">
        <v>-0.674573070799879</v>
      </c>
      <c r="AI342" s="6" t="n">
        <v>-1.48141974006401</v>
      </c>
      <c r="AJ342" s="6" t="n">
        <v>72.4163924167273</v>
      </c>
      <c r="AK342" s="6" t="n">
        <v>0.0987450763701034</v>
      </c>
      <c r="AL342" s="6" t="n">
        <v>1.0620173890786</v>
      </c>
      <c r="AN342" s="6" t="n">
        <v>1.29493672301104</v>
      </c>
      <c r="AO342" s="6" t="n">
        <v>1.29571403497013</v>
      </c>
      <c r="AP342" s="6" t="n">
        <v>0.133409695214021</v>
      </c>
      <c r="AQ342" s="6" t="n">
        <v>0</v>
      </c>
      <c r="AR342" s="6" t="n">
        <v>0</v>
      </c>
    </row>
    <row r="343" customFormat="false" ht="15" hidden="false" customHeight="false" outlineLevel="0" collapsed="false">
      <c r="D343" s="0" t="s">
        <v>469</v>
      </c>
      <c r="J343" s="6" t="n">
        <v>-0.273941534882626</v>
      </c>
      <c r="K343" s="6" t="n">
        <v>1.46512765708136</v>
      </c>
      <c r="L343" s="6" t="n">
        <v>-1.50207642620707</v>
      </c>
      <c r="M343" s="6" t="n">
        <v>0.00960062954808487</v>
      </c>
      <c r="N343" s="6" t="n">
        <v>-0.854466474780303</v>
      </c>
      <c r="O343" s="6" t="n">
        <v>-1.06654045550546</v>
      </c>
      <c r="P343" s="6" t="n">
        <v>1.31165672474329</v>
      </c>
      <c r="Q343" s="6" t="n">
        <v>-0.0972983570169786</v>
      </c>
      <c r="R343" s="6" t="n">
        <v>-2.25392135423659</v>
      </c>
      <c r="S343" s="6" t="n">
        <v>-0.204164799523233</v>
      </c>
      <c r="T343" s="6" t="n">
        <v>-0.00895317119551632</v>
      </c>
      <c r="U343" s="6" t="n">
        <v>1.69604450802517</v>
      </c>
      <c r="V343" s="6" t="n">
        <v>-1.16132662547717</v>
      </c>
      <c r="W343" s="6" t="n">
        <v>2.4471937038745</v>
      </c>
      <c r="X343" s="6" t="n">
        <v>-0.547624575486225</v>
      </c>
      <c r="Y343" s="6" t="n">
        <v>-0.220175094149934</v>
      </c>
      <c r="Z343" s="6" t="n">
        <v>-0.209276405481815</v>
      </c>
      <c r="AA343" s="6" t="n">
        <v>2.37541578827294</v>
      </c>
      <c r="AB343" s="6" t="n">
        <v>2.1052199410234</v>
      </c>
      <c r="AC343" s="6" t="n">
        <v>0.523745504261071</v>
      </c>
      <c r="AD343" s="6" t="n">
        <v>-0.0936188735871454</v>
      </c>
      <c r="AE343" s="6" t="n">
        <v>-2.86508063770452</v>
      </c>
      <c r="AF343" s="6" t="n">
        <v>2.64823423601129</v>
      </c>
      <c r="AG343" s="6" t="n">
        <v>-0.736485427814856</v>
      </c>
      <c r="AH343" s="6" t="n">
        <v>-3.05790548513572</v>
      </c>
      <c r="AI343" s="6" t="n">
        <v>2.83184050705189</v>
      </c>
      <c r="AJ343" s="6" t="n">
        <v>76.2145687398052</v>
      </c>
      <c r="AK343" s="6" t="n">
        <v>0.13357318534567</v>
      </c>
      <c r="AL343" s="6" t="n">
        <v>1.05370297932606</v>
      </c>
      <c r="AN343" s="6" t="n">
        <v>1.29515823127512</v>
      </c>
      <c r="AO343" s="6" t="n">
        <v>1.29622000585177</v>
      </c>
      <c r="AP343" s="6" t="n">
        <v>0.133764918167827</v>
      </c>
      <c r="AQ343" s="6" t="n">
        <v>0</v>
      </c>
      <c r="AR343" s="6" t="n">
        <v>0</v>
      </c>
    </row>
    <row r="344" customFormat="false" ht="15" hidden="false" customHeight="false" outlineLevel="0" collapsed="false">
      <c r="D344" s="0" t="s">
        <v>470</v>
      </c>
      <c r="J344" s="6" t="n">
        <v>1.67651745839166</v>
      </c>
      <c r="K344" s="6" t="n">
        <v>2.92382218884686</v>
      </c>
      <c r="L344" s="6" t="n">
        <v>-1.74561836656228</v>
      </c>
      <c r="M344" s="6" t="n">
        <v>-1.07268335902768</v>
      </c>
      <c r="N344" s="6" t="n">
        <v>-4.20361238546654</v>
      </c>
      <c r="O344" s="6" t="n">
        <v>0.284303603802845</v>
      </c>
      <c r="P344" s="6" t="n">
        <v>0.532645723097089</v>
      </c>
      <c r="Q344" s="6" t="n">
        <v>1.54358016836042</v>
      </c>
      <c r="R344" s="6" t="n">
        <v>-2.1584422845687</v>
      </c>
      <c r="S344" s="6" t="n">
        <v>0.0123599456568116</v>
      </c>
      <c r="T344" s="6" t="n">
        <v>3.04928182583664</v>
      </c>
      <c r="U344" s="6" t="n">
        <v>0.678200808377093</v>
      </c>
      <c r="V344" s="6" t="n">
        <v>-0.374647755459664</v>
      </c>
      <c r="W344" s="6" t="n">
        <v>-0.172392552586948</v>
      </c>
      <c r="X344" s="6" t="n">
        <v>2.54015716700835</v>
      </c>
      <c r="Y344" s="6" t="n">
        <v>-0.482569552644128</v>
      </c>
      <c r="Z344" s="6" t="n">
        <v>-1.0761755874436</v>
      </c>
      <c r="AA344" s="6" t="n">
        <v>2.02526063452253</v>
      </c>
      <c r="AB344" s="6" t="n">
        <v>1.20364847553377</v>
      </c>
      <c r="AC344" s="6" t="n">
        <v>0.0947253540584825</v>
      </c>
      <c r="AD344" s="6" t="n">
        <v>-1.78576408908438</v>
      </c>
      <c r="AE344" s="6" t="n">
        <v>-0.00647665490008963</v>
      </c>
      <c r="AF344" s="6" t="n">
        <v>-1.56402792897451</v>
      </c>
      <c r="AG344" s="6" t="n">
        <v>-1.34305095649628</v>
      </c>
      <c r="AH344" s="6" t="n">
        <v>2.82118786021538</v>
      </c>
      <c r="AI344" s="6" t="n">
        <v>-3.81655540625393</v>
      </c>
      <c r="AJ344" s="6" t="n">
        <v>71.8571388247058</v>
      </c>
      <c r="AK344" s="6" t="n">
        <v>0.163669445092617</v>
      </c>
      <c r="AL344" s="6" t="n">
        <v>1.05209341755719</v>
      </c>
      <c r="AN344" s="6" t="n">
        <v>1.28939835623712</v>
      </c>
      <c r="AO344" s="6" t="n">
        <v>1.29019269590367</v>
      </c>
      <c r="AP344" s="6" t="n">
        <v>0.132840073084089</v>
      </c>
      <c r="AQ344" s="6" t="n">
        <v>0</v>
      </c>
      <c r="AR344" s="6" t="n">
        <v>0</v>
      </c>
    </row>
    <row r="345" customFormat="false" ht="15" hidden="false" customHeight="false" outlineLevel="0" collapsed="false">
      <c r="D345" s="0" t="s">
        <v>471</v>
      </c>
      <c r="J345" s="6" t="n">
        <v>1.40677497043955</v>
      </c>
      <c r="K345" s="6" t="n">
        <v>-2.07979152616443</v>
      </c>
      <c r="L345" s="6" t="n">
        <v>-0.800177745061093</v>
      </c>
      <c r="M345" s="6" t="n">
        <v>2.09097865297764</v>
      </c>
      <c r="N345" s="6" t="n">
        <v>-0.211307756813872</v>
      </c>
      <c r="O345" s="6" t="n">
        <v>1.33259748645327</v>
      </c>
      <c r="P345" s="6" t="n">
        <v>-1.84910520117736</v>
      </c>
      <c r="Q345" s="6" t="n">
        <v>-1.74733419551546</v>
      </c>
      <c r="R345" s="6" t="n">
        <v>-1.20750956612099</v>
      </c>
      <c r="S345" s="6" t="n">
        <v>-0.561939761192732</v>
      </c>
      <c r="T345" s="6" t="n">
        <v>1.63715633787027</v>
      </c>
      <c r="U345" s="6" t="n">
        <v>1.77581144402782</v>
      </c>
      <c r="V345" s="6" t="n">
        <v>0.299616556418877</v>
      </c>
      <c r="W345" s="6" t="n">
        <v>0.892699555230253</v>
      </c>
      <c r="X345" s="6" t="n">
        <v>-0.94894287540993</v>
      </c>
      <c r="Y345" s="6" t="n">
        <v>1.12556690386464</v>
      </c>
      <c r="Z345" s="6" t="n">
        <v>-2.16273693703864</v>
      </c>
      <c r="AA345" s="6" t="n">
        <v>1.89946776396264</v>
      </c>
      <c r="AB345" s="6" t="n">
        <v>-1.67602563814282</v>
      </c>
      <c r="AC345" s="6" t="n">
        <v>0.75077000096366</v>
      </c>
      <c r="AD345" s="6" t="n">
        <v>-1.74833269567971</v>
      </c>
      <c r="AE345" s="6" t="n">
        <v>2.12464548326373</v>
      </c>
      <c r="AF345" s="6" t="n">
        <v>-0.0075284638793388</v>
      </c>
      <c r="AG345" s="6" t="n">
        <v>1.09570415587565</v>
      </c>
      <c r="AH345" s="6" t="n">
        <v>-0.229449923131526</v>
      </c>
      <c r="AI345" s="6" t="n">
        <v>-0.260475407699266</v>
      </c>
      <c r="AJ345" s="6" t="n">
        <v>81.5097689718645</v>
      </c>
      <c r="AK345" s="6" t="n">
        <v>0.0964549997772096</v>
      </c>
      <c r="AL345" s="6" t="n">
        <v>1.04842943613564</v>
      </c>
      <c r="AN345" s="6" t="n">
        <v>1.30347645280813</v>
      </c>
      <c r="AO345" s="6" t="n">
        <v>1.3039708907482</v>
      </c>
      <c r="AP345" s="6" t="n">
        <v>0.135527738668393</v>
      </c>
      <c r="AQ345" s="6" t="n">
        <v>0</v>
      </c>
      <c r="AR345" s="6" t="n">
        <v>0</v>
      </c>
    </row>
    <row r="346" customFormat="false" ht="15" hidden="false" customHeight="false" outlineLevel="0" collapsed="false">
      <c r="D346" s="0" t="s">
        <v>472</v>
      </c>
      <c r="J346" s="6" t="n">
        <v>0.717705028467066</v>
      </c>
      <c r="K346" s="6" t="n">
        <v>1.00543187188846</v>
      </c>
      <c r="L346" s="6" t="n">
        <v>-1.48796518670726</v>
      </c>
      <c r="M346" s="6" t="n">
        <v>0.381946570800132</v>
      </c>
      <c r="N346" s="6" t="n">
        <v>-0.675790299102426</v>
      </c>
      <c r="O346" s="6" t="n">
        <v>0.781977681656551</v>
      </c>
      <c r="P346" s="6" t="n">
        <v>3.30611747990877</v>
      </c>
      <c r="Q346" s="6" t="n">
        <v>-1.40072191696328</v>
      </c>
      <c r="R346" s="6" t="n">
        <v>-1.79920354208557</v>
      </c>
      <c r="S346" s="6" t="n">
        <v>0.898704208611153</v>
      </c>
      <c r="T346" s="6" t="n">
        <v>3.68456565754771</v>
      </c>
      <c r="U346" s="6" t="n">
        <v>2.97746958057988</v>
      </c>
      <c r="V346" s="6" t="n">
        <v>1.08569002558351</v>
      </c>
      <c r="W346" s="6" t="n">
        <v>-0.611701645983349</v>
      </c>
      <c r="X346" s="6" t="n">
        <v>-1.30467468507068</v>
      </c>
      <c r="Y346" s="6" t="n">
        <v>2.98371921585217</v>
      </c>
      <c r="Z346" s="6" t="n">
        <v>-0.219916918931063</v>
      </c>
      <c r="AA346" s="6" t="n">
        <v>3.05566630406599</v>
      </c>
      <c r="AB346" s="6" t="n">
        <v>-0.927758355496203</v>
      </c>
      <c r="AC346" s="6" t="n">
        <v>-0.450354597259717</v>
      </c>
      <c r="AD346" s="6" t="n">
        <v>1.59214326494568</v>
      </c>
      <c r="AE346" s="6" t="n">
        <v>1.26635852434613</v>
      </c>
      <c r="AF346" s="6" t="n">
        <v>-2.31045576562466</v>
      </c>
      <c r="AG346" s="6" t="n">
        <v>3.57288198078852</v>
      </c>
      <c r="AH346" s="6" t="n">
        <v>0.710586487470969</v>
      </c>
      <c r="AI346" s="6" t="n">
        <v>2.88321895725127</v>
      </c>
      <c r="AJ346" s="6" t="n">
        <v>78.9136658963746</v>
      </c>
      <c r="AK346" s="6" t="n">
        <v>0.142848904028021</v>
      </c>
      <c r="AL346" s="6" t="n">
        <v>1.04741326083941</v>
      </c>
      <c r="AN346" s="6" t="n">
        <v>1.29541746507874</v>
      </c>
      <c r="AO346" s="6" t="n">
        <v>1.2965634698674</v>
      </c>
      <c r="AP346" s="6" t="n">
        <v>0.134139476055402</v>
      </c>
      <c r="AQ346" s="6" t="n">
        <v>0</v>
      </c>
      <c r="AR346" s="6" t="n">
        <v>0</v>
      </c>
    </row>
    <row r="347" customFormat="false" ht="15" hidden="false" customHeight="false" outlineLevel="0" collapsed="false">
      <c r="D347" s="0" t="s">
        <v>473</v>
      </c>
      <c r="J347" s="6" t="n">
        <v>-2.67847615295518</v>
      </c>
      <c r="K347" s="6" t="n">
        <v>2.69998870314171</v>
      </c>
      <c r="L347" s="6" t="n">
        <v>-1.32321330601921</v>
      </c>
      <c r="M347" s="6" t="n">
        <v>0.292786831894581</v>
      </c>
      <c r="N347" s="6" t="n">
        <v>0.764970696802114</v>
      </c>
      <c r="O347" s="6" t="n">
        <v>1.69942673291389</v>
      </c>
      <c r="P347" s="6" t="n">
        <v>-1.15409103932592</v>
      </c>
      <c r="Q347" s="6" t="n">
        <v>-0.762361765265122</v>
      </c>
      <c r="R347" s="6" t="n">
        <v>0.332976512178119</v>
      </c>
      <c r="S347" s="6" t="n">
        <v>1.969904039923</v>
      </c>
      <c r="T347" s="6" t="n">
        <v>4.14029879412255</v>
      </c>
      <c r="U347" s="6" t="n">
        <v>-0.951261230455245</v>
      </c>
      <c r="V347" s="6" t="n">
        <v>0.43094886278714</v>
      </c>
      <c r="W347" s="6" t="n">
        <v>-1.59100645967161</v>
      </c>
      <c r="X347" s="6" t="n">
        <v>-1.86824475402251</v>
      </c>
      <c r="Y347" s="6" t="n">
        <v>-3.37419606313589</v>
      </c>
      <c r="Z347" s="6" t="n">
        <v>0.0834180315126285</v>
      </c>
      <c r="AA347" s="6" t="n">
        <v>-1.13767953716497</v>
      </c>
      <c r="AB347" s="6" t="n">
        <v>2.41930214761284</v>
      </c>
      <c r="AC347" s="6" t="n">
        <v>-0.917903294511431</v>
      </c>
      <c r="AD347" s="6" t="n">
        <v>-0.598418405156544</v>
      </c>
      <c r="AE347" s="6" t="n">
        <v>1.92723290873451</v>
      </c>
      <c r="AF347" s="6" t="n">
        <v>0.36193671740895</v>
      </c>
      <c r="AG347" s="6" t="n">
        <v>-0.28806393016983</v>
      </c>
      <c r="AH347" s="6" t="n">
        <v>-1.23601302522033</v>
      </c>
      <c r="AI347" s="6" t="n">
        <v>-0.269206708457603</v>
      </c>
      <c r="AJ347" s="6" t="n">
        <v>81.0297313022388</v>
      </c>
      <c r="AK347" s="6" t="n">
        <v>0.10210476664884</v>
      </c>
      <c r="AL347" s="6" t="n">
        <v>0.999456753149567</v>
      </c>
      <c r="AN347" s="6" t="n">
        <v>1.32256856586295</v>
      </c>
      <c r="AO347" s="6" t="n">
        <v>1.32256856586295</v>
      </c>
      <c r="AP347" s="6" t="n">
        <v>0.142410165149024</v>
      </c>
      <c r="AQ347" s="6" t="n">
        <v>0</v>
      </c>
      <c r="AR347" s="6" t="n">
        <v>0</v>
      </c>
    </row>
    <row r="348" customFormat="false" ht="15" hidden="false" customHeight="false" outlineLevel="0" collapsed="false">
      <c r="D348" s="0" t="s">
        <v>474</v>
      </c>
      <c r="J348" s="6" t="n">
        <v>-0.0419438473284215</v>
      </c>
      <c r="K348" s="6" t="n">
        <v>1.94645244140208</v>
      </c>
      <c r="L348" s="6" t="n">
        <v>3.00620841725994</v>
      </c>
      <c r="M348" s="6" t="n">
        <v>-0.716396151400148</v>
      </c>
      <c r="N348" s="6" t="n">
        <v>-1.08105258061216</v>
      </c>
      <c r="O348" s="6" t="n">
        <v>2.62505305318166</v>
      </c>
      <c r="P348" s="6" t="n">
        <v>-2.96382145160913</v>
      </c>
      <c r="Q348" s="6" t="n">
        <v>-3.84438290034759</v>
      </c>
      <c r="R348" s="6" t="n">
        <v>-1.19662325200384</v>
      </c>
      <c r="S348" s="6" t="n">
        <v>1.32688078542162</v>
      </c>
      <c r="T348" s="6" t="n">
        <v>0.262810109236908</v>
      </c>
      <c r="U348" s="6" t="n">
        <v>0.848670953440486</v>
      </c>
      <c r="V348" s="6" t="n">
        <v>0.0621906135497494</v>
      </c>
      <c r="W348" s="6" t="n">
        <v>-1.15985309243628</v>
      </c>
      <c r="X348" s="6" t="n">
        <v>0.349534438406626</v>
      </c>
      <c r="Y348" s="6" t="n">
        <v>2.16054874153202</v>
      </c>
      <c r="Z348" s="6" t="n">
        <v>-0.942319172589736</v>
      </c>
      <c r="AA348" s="6" t="n">
        <v>-0.347833761601539</v>
      </c>
      <c r="AB348" s="6" t="n">
        <v>-2.35873883617829</v>
      </c>
      <c r="AC348" s="6" t="n">
        <v>-0.17208655683833</v>
      </c>
      <c r="AD348" s="6" t="n">
        <v>-1.17590652314367</v>
      </c>
      <c r="AE348" s="6" t="n">
        <v>4.78148172500432</v>
      </c>
      <c r="AF348" s="6" t="n">
        <v>-0.82491764728677</v>
      </c>
      <c r="AG348" s="6" t="n">
        <v>-0.648606375555714</v>
      </c>
      <c r="AH348" s="6" t="n">
        <v>-0.184019113169671</v>
      </c>
      <c r="AI348" s="6" t="n">
        <v>0.761830574784419</v>
      </c>
      <c r="AJ348" s="6" t="n">
        <v>77.6168138541627</v>
      </c>
      <c r="AK348" s="6" t="n">
        <v>0.131143228081378</v>
      </c>
      <c r="AL348" s="6" t="n">
        <v>1.09638715665809</v>
      </c>
      <c r="AN348" s="6" t="n">
        <v>1.27797769754058</v>
      </c>
      <c r="AO348" s="6" t="n">
        <v>1.27812334029824</v>
      </c>
      <c r="AP348" s="6" t="n">
        <v>0.130348071051795</v>
      </c>
      <c r="AQ348" s="6" t="n">
        <v>0</v>
      </c>
      <c r="AR348" s="6" t="n">
        <v>0</v>
      </c>
    </row>
    <row r="349" customFormat="false" ht="15" hidden="false" customHeight="false" outlineLevel="0" collapsed="false">
      <c r="D349" s="0" t="s">
        <v>475</v>
      </c>
      <c r="J349" s="6" t="n">
        <v>-1.47484379396913</v>
      </c>
      <c r="K349" s="6" t="n">
        <v>-2.55823409634166</v>
      </c>
      <c r="L349" s="6" t="n">
        <v>1.02559603173399</v>
      </c>
      <c r="M349" s="6" t="n">
        <v>1.87196443576058</v>
      </c>
      <c r="N349" s="6" t="n">
        <v>2.45045241566364</v>
      </c>
      <c r="O349" s="6" t="n">
        <v>0.733811974398116</v>
      </c>
      <c r="P349" s="6" t="n">
        <v>-2.16691168107362</v>
      </c>
      <c r="Q349" s="6" t="n">
        <v>0.394546897733609</v>
      </c>
      <c r="R349" s="6" t="n">
        <v>2.48077137181119</v>
      </c>
      <c r="S349" s="6" t="n">
        <v>3.51733824079695</v>
      </c>
      <c r="T349" s="6" t="n">
        <v>0.815459689836436</v>
      </c>
      <c r="U349" s="6" t="n">
        <v>2.95639759493276</v>
      </c>
      <c r="V349" s="6" t="n">
        <v>-4.46563131063728</v>
      </c>
      <c r="W349" s="6" t="n">
        <v>-1.68562251781851</v>
      </c>
      <c r="X349" s="6" t="n">
        <v>0.352356058205673</v>
      </c>
      <c r="Y349" s="6" t="n">
        <v>-1.98261519447099</v>
      </c>
      <c r="Z349" s="6" t="n">
        <v>0.717000970119536</v>
      </c>
      <c r="AA349" s="6" t="n">
        <v>0.39533425102077</v>
      </c>
      <c r="AB349" s="6" t="n">
        <v>-2.59825456990604</v>
      </c>
      <c r="AC349" s="6" t="n">
        <v>-0.20371648969981</v>
      </c>
      <c r="AD349" s="6" t="n">
        <v>0.723107488960077</v>
      </c>
      <c r="AE349" s="6" t="n">
        <v>0.263528951095875</v>
      </c>
      <c r="AF349" s="6" t="n">
        <v>0.871179822045004</v>
      </c>
      <c r="AG349" s="6" t="n">
        <v>1.78847513884509</v>
      </c>
      <c r="AH349" s="6" t="n">
        <v>-2.98013013754749</v>
      </c>
      <c r="AI349" s="6" t="n">
        <v>-0.398336346811406</v>
      </c>
      <c r="AJ349" s="6" t="n">
        <v>71.9484109349504</v>
      </c>
      <c r="AK349" s="6" t="n">
        <v>0.168606219247198</v>
      </c>
      <c r="AL349" s="6" t="n">
        <v>1.05635725937589</v>
      </c>
      <c r="AN349" s="6" t="n">
        <v>1.28789278070815</v>
      </c>
      <c r="AO349" s="6" t="n">
        <v>1.28798844310776</v>
      </c>
      <c r="AP349" s="6" t="n">
        <v>0.132403815302278</v>
      </c>
      <c r="AQ349" s="6" t="n">
        <v>0</v>
      </c>
      <c r="AR349" s="6" t="n">
        <v>0</v>
      </c>
    </row>
    <row r="350" customFormat="false" ht="15" hidden="false" customHeight="false" outlineLevel="0" collapsed="false">
      <c r="D350" s="0" t="s">
        <v>476</v>
      </c>
      <c r="J350" s="6" t="n">
        <v>-0.242836982628028</v>
      </c>
      <c r="K350" s="6" t="n">
        <v>-0.133207493033149</v>
      </c>
      <c r="L350" s="6" t="n">
        <v>-1.0732957864986</v>
      </c>
      <c r="M350" s="6" t="n">
        <v>1.15274610091565</v>
      </c>
      <c r="N350" s="6" t="n">
        <v>-3.11563963948379</v>
      </c>
      <c r="O350" s="6" t="n">
        <v>0.258644548554161</v>
      </c>
      <c r="P350" s="6" t="n">
        <v>4.99687238518472</v>
      </c>
      <c r="Q350" s="6" t="n">
        <v>0.45892443949057</v>
      </c>
      <c r="R350" s="6" t="n">
        <v>0.0583798121259688</v>
      </c>
      <c r="S350" s="6" t="n">
        <v>-1.58781200063618</v>
      </c>
      <c r="T350" s="6" t="n">
        <v>1.053928879504</v>
      </c>
      <c r="U350" s="6" t="n">
        <v>-1.37419353978077</v>
      </c>
      <c r="V350" s="6" t="n">
        <v>1.95122539007154</v>
      </c>
      <c r="W350" s="6" t="n">
        <v>1.09858086567141</v>
      </c>
      <c r="X350" s="6" t="n">
        <v>3.53030761544917</v>
      </c>
      <c r="Y350" s="6" t="n">
        <v>1.13369455097985</v>
      </c>
      <c r="Z350" s="6" t="n">
        <v>1.03130539587601</v>
      </c>
      <c r="AA350" s="6" t="n">
        <v>-1.74628077664614</v>
      </c>
      <c r="AB350" s="6" t="n">
        <v>0.802326211681044</v>
      </c>
      <c r="AC350" s="6" t="n">
        <v>3.28351135256276</v>
      </c>
      <c r="AD350" s="6" t="n">
        <v>0.254305055863909</v>
      </c>
      <c r="AE350" s="6" t="n">
        <v>-0.553112175953378</v>
      </c>
      <c r="AF350" s="6" t="n">
        <v>-2.16671283415174</v>
      </c>
      <c r="AG350" s="6" t="n">
        <v>0.474293651949041</v>
      </c>
      <c r="AH350" s="6" t="n">
        <v>5</v>
      </c>
      <c r="AI350" s="6" t="n">
        <v>0.700061804993366</v>
      </c>
      <c r="AJ350" s="6" t="n">
        <v>70.5103354093585</v>
      </c>
      <c r="AK350" s="6" t="n">
        <v>0.122876957398419</v>
      </c>
      <c r="AL350" s="6" t="n">
        <v>1.10101095444096</v>
      </c>
      <c r="AN350" s="6" t="n">
        <v>1.27373609597319</v>
      </c>
      <c r="AO350" s="6" t="n">
        <v>1.27599944273624</v>
      </c>
      <c r="AP350" s="6" t="n">
        <v>0.130681306158603</v>
      </c>
      <c r="AQ350" s="6" t="n">
        <v>0</v>
      </c>
      <c r="AR350" s="6" t="n">
        <v>0</v>
      </c>
    </row>
    <row r="351" customFormat="false" ht="15" hidden="false" customHeight="false" outlineLevel="0" collapsed="false">
      <c r="D351" s="0" t="s">
        <v>477</v>
      </c>
      <c r="J351" s="6" t="n">
        <v>-3.30131169152022</v>
      </c>
      <c r="K351" s="6" t="n">
        <v>-3.23324555124011</v>
      </c>
      <c r="L351" s="6" t="n">
        <v>-3.263606706755</v>
      </c>
      <c r="M351" s="6" t="n">
        <v>-0.17380367680874</v>
      </c>
      <c r="N351" s="6" t="n">
        <v>-1.8668658277708</v>
      </c>
      <c r="O351" s="6" t="n">
        <v>0.986640923381739</v>
      </c>
      <c r="P351" s="6" t="n">
        <v>-2.05424403207747</v>
      </c>
      <c r="Q351" s="6" t="n">
        <v>2.5719445088719</v>
      </c>
      <c r="R351" s="6" t="n">
        <v>-1.60487429840819</v>
      </c>
      <c r="S351" s="6" t="n">
        <v>-2.60408378065369</v>
      </c>
      <c r="T351" s="6" t="n">
        <v>0.242672681235082</v>
      </c>
      <c r="U351" s="6" t="n">
        <v>2.26702355141942</v>
      </c>
      <c r="V351" s="6" t="n">
        <v>0.867762591799975</v>
      </c>
      <c r="W351" s="6" t="n">
        <v>-1.28571593666564</v>
      </c>
      <c r="X351" s="6" t="n">
        <v>0.58063923598808</v>
      </c>
      <c r="Y351" s="6" t="n">
        <v>-1.05846602670814</v>
      </c>
      <c r="Z351" s="6" t="n">
        <v>-0.557733278773519</v>
      </c>
      <c r="AA351" s="6" t="n">
        <v>2.1140175368098</v>
      </c>
      <c r="AB351" s="6" t="n">
        <v>0.85176778199992</v>
      </c>
      <c r="AC351" s="6" t="n">
        <v>-1.34458223058605</v>
      </c>
      <c r="AD351" s="6" t="n">
        <v>-2.39242794467593</v>
      </c>
      <c r="AE351" s="6" t="n">
        <v>2.1381746133702</v>
      </c>
      <c r="AF351" s="6" t="n">
        <v>2.20102051121964</v>
      </c>
      <c r="AG351" s="6" t="n">
        <v>-2.04791730137667</v>
      </c>
      <c r="AH351" s="6" t="n">
        <v>-1.35540768808157</v>
      </c>
      <c r="AI351" s="6" t="n">
        <v>-1.86120260672735</v>
      </c>
      <c r="AJ351" s="6" t="n">
        <v>68.9879881261695</v>
      </c>
      <c r="AK351" s="6" t="n">
        <v>0.121496469616835</v>
      </c>
      <c r="AL351" s="6" t="n">
        <v>1.04992608891048</v>
      </c>
      <c r="AN351" s="6" t="n">
        <v>1.29403584246955</v>
      </c>
      <c r="AO351" s="6" t="n">
        <v>1.29441250396852</v>
      </c>
      <c r="AP351" s="6" t="n">
        <v>0.134183204599638</v>
      </c>
      <c r="AQ351" s="6" t="n">
        <v>0</v>
      </c>
      <c r="AR351" s="6" t="n">
        <v>0</v>
      </c>
    </row>
    <row r="352" customFormat="false" ht="15" hidden="false" customHeight="false" outlineLevel="0" collapsed="false">
      <c r="D352" s="0" t="s">
        <v>478</v>
      </c>
      <c r="J352" s="6" t="n">
        <v>-2.76587297627851</v>
      </c>
      <c r="K352" s="6" t="n">
        <v>-0.905707104557748</v>
      </c>
      <c r="L352" s="6" t="n">
        <v>-1.92589569105893</v>
      </c>
      <c r="M352" s="6" t="n">
        <v>-0.277542804819218</v>
      </c>
      <c r="N352" s="6" t="n">
        <v>1.46122221218904</v>
      </c>
      <c r="O352" s="6" t="n">
        <v>0.78882075125858</v>
      </c>
      <c r="P352" s="6" t="n">
        <v>-1.31319494704064</v>
      </c>
      <c r="Q352" s="6" t="n">
        <v>-2.55260143737544</v>
      </c>
      <c r="R352" s="6" t="n">
        <v>-0.163006010275753</v>
      </c>
      <c r="S352" s="6" t="n">
        <v>2.1206758566064</v>
      </c>
      <c r="T352" s="6" t="n">
        <v>-0.846493153590917</v>
      </c>
      <c r="U352" s="6" t="n">
        <v>-0.699670987226637</v>
      </c>
      <c r="V352" s="6" t="n">
        <v>-1.37230449450006</v>
      </c>
      <c r="W352" s="6" t="n">
        <v>-2.37481014225734</v>
      </c>
      <c r="X352" s="6" t="n">
        <v>-1.50501171872225</v>
      </c>
      <c r="Y352" s="6" t="n">
        <v>3.56883309107113</v>
      </c>
      <c r="Z352" s="6" t="n">
        <v>-1.74739181198101</v>
      </c>
      <c r="AA352" s="6" t="n">
        <v>0.609322128914048</v>
      </c>
      <c r="AB352" s="6" t="n">
        <v>0.646159020914454</v>
      </c>
      <c r="AC352" s="6" t="n">
        <v>0.666819806718203</v>
      </c>
      <c r="AD352" s="6" t="n">
        <v>-1.97001703675375</v>
      </c>
      <c r="AE352" s="6" t="n">
        <v>0.688267699771845</v>
      </c>
      <c r="AF352" s="6" t="n">
        <v>0.507291495477585</v>
      </c>
      <c r="AG352" s="6" t="n">
        <v>-1.45384736205927</v>
      </c>
      <c r="AH352" s="6" t="n">
        <v>-2.80301350570876</v>
      </c>
      <c r="AI352" s="6" t="n">
        <v>2.55292219442333</v>
      </c>
      <c r="AJ352" s="6" t="n">
        <v>66.1668982109331</v>
      </c>
      <c r="AK352" s="6" t="n">
        <v>0.118225139626258</v>
      </c>
      <c r="AL352" s="6" t="n">
        <v>1.03896347702765</v>
      </c>
      <c r="AN352" s="6" t="n">
        <v>1.29792200437846</v>
      </c>
      <c r="AO352" s="6" t="n">
        <v>1.29806686698046</v>
      </c>
      <c r="AP352" s="6" t="n">
        <v>0.134683813500592</v>
      </c>
      <c r="AQ352" s="6" t="n">
        <v>0</v>
      </c>
      <c r="AR352" s="6" t="n">
        <v>0</v>
      </c>
    </row>
    <row r="353" customFormat="false" ht="15" hidden="false" customHeight="false" outlineLevel="0" collapsed="false">
      <c r="D353" s="0" t="s">
        <v>479</v>
      </c>
      <c r="J353" s="6" t="n">
        <v>-2.66789807708505</v>
      </c>
      <c r="K353" s="6" t="n">
        <v>1.71595586066069</v>
      </c>
      <c r="L353" s="6" t="n">
        <v>0.348699888013757</v>
      </c>
      <c r="M353" s="6" t="n">
        <v>0.376016204234785</v>
      </c>
      <c r="N353" s="6" t="n">
        <v>-1.45797143470439</v>
      </c>
      <c r="O353" s="6" t="n">
        <v>-2.90350871132025</v>
      </c>
      <c r="P353" s="6" t="n">
        <v>-0.0735759891252031</v>
      </c>
      <c r="Q353" s="6" t="n">
        <v>0.70260970024662</v>
      </c>
      <c r="R353" s="6" t="n">
        <v>-3.13725534477212</v>
      </c>
      <c r="S353" s="6" t="n">
        <v>2.60546381572287</v>
      </c>
      <c r="T353" s="6" t="n">
        <v>-0.829937113218402</v>
      </c>
      <c r="U353" s="6" t="n">
        <v>1.50931326942426</v>
      </c>
      <c r="V353" s="6" t="n">
        <v>-1.24435995127267</v>
      </c>
      <c r="W353" s="6" t="n">
        <v>-2.56409156575714</v>
      </c>
      <c r="X353" s="6" t="n">
        <v>-1.17541883260271</v>
      </c>
      <c r="Y353" s="6" t="n">
        <v>1.70622317888001</v>
      </c>
      <c r="Z353" s="6" t="n">
        <v>3.4983517429849</v>
      </c>
      <c r="AA353" s="6" t="n">
        <v>1.83544461116555</v>
      </c>
      <c r="AB353" s="6" t="n">
        <v>-0.665317127984387</v>
      </c>
      <c r="AC353" s="6" t="n">
        <v>0.149774375969009</v>
      </c>
      <c r="AD353" s="6" t="n">
        <v>-0.745625300739628</v>
      </c>
      <c r="AE353" s="6" t="n">
        <v>0.647365380081263</v>
      </c>
      <c r="AF353" s="6" t="n">
        <v>4.18869744531411</v>
      </c>
      <c r="AG353" s="6" t="n">
        <v>-1.36913830970102</v>
      </c>
      <c r="AH353" s="6" t="n">
        <v>-1.23351527100379</v>
      </c>
      <c r="AI353" s="6" t="n">
        <v>1.00500450002165</v>
      </c>
      <c r="AJ353" s="6" t="n">
        <v>71.6397869963675</v>
      </c>
      <c r="AK353" s="6" t="n">
        <v>0.133067085932141</v>
      </c>
      <c r="AL353" s="6" t="n">
        <v>1.0931375523173</v>
      </c>
      <c r="AN353" s="6" t="n">
        <v>1.28066271749531</v>
      </c>
      <c r="AO353" s="6" t="n">
        <v>1.28111080814615</v>
      </c>
      <c r="AP353" s="6" t="n">
        <v>0.130971561958584</v>
      </c>
      <c r="AQ353" s="6" t="n">
        <v>0</v>
      </c>
      <c r="AR353" s="6" t="n">
        <v>0</v>
      </c>
    </row>
    <row r="354" customFormat="false" ht="15" hidden="false" customHeight="false" outlineLevel="0" collapsed="false">
      <c r="D354" s="0" t="s">
        <v>480</v>
      </c>
      <c r="J354" s="6" t="n">
        <v>4.35350714017074</v>
      </c>
      <c r="K354" s="6" t="n">
        <v>0.567801462953013</v>
      </c>
      <c r="L354" s="6" t="n">
        <v>-0.028153681274591</v>
      </c>
      <c r="M354" s="6" t="n">
        <v>0.707288695135032</v>
      </c>
      <c r="N354" s="6" t="n">
        <v>-3.19900986079278</v>
      </c>
      <c r="O354" s="6" t="n">
        <v>-1.95450747959607</v>
      </c>
      <c r="P354" s="6" t="n">
        <v>3.58958373141925</v>
      </c>
      <c r="Q354" s="6" t="n">
        <v>0.398762404501798</v>
      </c>
      <c r="R354" s="6" t="n">
        <v>-1.92319296822777</v>
      </c>
      <c r="S354" s="6" t="n">
        <v>2.7999228318484</v>
      </c>
      <c r="T354" s="6" t="n">
        <v>1.30525559635672</v>
      </c>
      <c r="U354" s="6" t="n">
        <v>-2.28959463776812</v>
      </c>
      <c r="V354" s="6" t="n">
        <v>0.589707080177242</v>
      </c>
      <c r="W354" s="6" t="n">
        <v>0.482144711162956</v>
      </c>
      <c r="X354" s="6" t="n">
        <v>0.580680640301606</v>
      </c>
      <c r="Y354" s="6" t="n">
        <v>-1.5356171194935</v>
      </c>
      <c r="Z354" s="6" t="n">
        <v>1.67093851439193</v>
      </c>
      <c r="AA354" s="6" t="n">
        <v>-2.5522258970145</v>
      </c>
      <c r="AB354" s="6" t="n">
        <v>-0.702185025358673</v>
      </c>
      <c r="AC354" s="6" t="n">
        <v>4.33847604035245</v>
      </c>
      <c r="AD354" s="6" t="n">
        <v>1.73491265954198</v>
      </c>
      <c r="AE354" s="6" t="n">
        <v>-2.8619772790739</v>
      </c>
      <c r="AF354" s="6" t="n">
        <v>-0.743521865275807</v>
      </c>
      <c r="AG354" s="6" t="n">
        <v>-1.20080195686562</v>
      </c>
      <c r="AH354" s="6" t="n">
        <v>1.10440473202836</v>
      </c>
      <c r="AI354" s="6" t="n">
        <v>-0.774228286963178</v>
      </c>
      <c r="AJ354" s="6" t="n">
        <v>73.4942334366672</v>
      </c>
      <c r="AK354" s="6" t="n">
        <v>0.168799363976126</v>
      </c>
      <c r="AL354" s="6" t="n">
        <v>1.05004380584877</v>
      </c>
      <c r="AN354" s="6" t="n">
        <v>1.29111527448948</v>
      </c>
      <c r="AO354" s="6" t="n">
        <v>1.29317982586778</v>
      </c>
      <c r="AP354" s="6" t="n">
        <v>0.133046495968978</v>
      </c>
      <c r="AQ354" s="6" t="n">
        <v>0</v>
      </c>
      <c r="AR354" s="6" t="n">
        <v>0</v>
      </c>
    </row>
    <row r="355" customFormat="false" ht="15" hidden="false" customHeight="false" outlineLevel="0" collapsed="false">
      <c r="D355" s="0" t="s">
        <v>481</v>
      </c>
      <c r="J355" s="6" t="n">
        <v>0.316464158923996</v>
      </c>
      <c r="K355" s="6" t="n">
        <v>-0.238289947159666</v>
      </c>
      <c r="L355" s="6" t="n">
        <v>-0.542318188099559</v>
      </c>
      <c r="M355" s="6" t="n">
        <v>2.42492162513576</v>
      </c>
      <c r="N355" s="6" t="n">
        <v>2.06909861344356</v>
      </c>
      <c r="O355" s="6" t="n">
        <v>1.16606619758216</v>
      </c>
      <c r="P355" s="6" t="n">
        <v>1.61823907805638</v>
      </c>
      <c r="Q355" s="6" t="n">
        <v>1.86756346966439</v>
      </c>
      <c r="R355" s="6" t="n">
        <v>3.26156177506839</v>
      </c>
      <c r="S355" s="6" t="n">
        <v>3.05574342794263</v>
      </c>
      <c r="T355" s="6" t="n">
        <v>0.73046992056586</v>
      </c>
      <c r="U355" s="6" t="n">
        <v>-1.16235814718565</v>
      </c>
      <c r="V355" s="6" t="n">
        <v>0.548793502751485</v>
      </c>
      <c r="W355" s="6" t="n">
        <v>-0.0154296783803937</v>
      </c>
      <c r="X355" s="6" t="n">
        <v>-4.97293061678883</v>
      </c>
      <c r="Y355" s="6" t="n">
        <v>-0.0953957453027152</v>
      </c>
      <c r="Z355" s="6" t="n">
        <v>-3.49811131962873</v>
      </c>
      <c r="AA355" s="6" t="n">
        <v>-2.67345217486841</v>
      </c>
      <c r="AB355" s="6" t="n">
        <v>1.41048443690077</v>
      </c>
      <c r="AC355" s="6" t="n">
        <v>-0.59371963066176</v>
      </c>
      <c r="AD355" s="6" t="n">
        <v>2.78621573672395</v>
      </c>
      <c r="AE355" s="6" t="n">
        <v>0.317407501839524</v>
      </c>
      <c r="AF355" s="6" t="n">
        <v>-1.54543046290444</v>
      </c>
      <c r="AG355" s="6" t="n">
        <v>0.167673888191784</v>
      </c>
      <c r="AH355" s="6" t="n">
        <v>-3.04279114647302</v>
      </c>
      <c r="AI355" s="6" t="n">
        <v>0.784928351766242</v>
      </c>
      <c r="AJ355" s="6" t="n">
        <v>78.3143838886654</v>
      </c>
      <c r="AK355" s="6" t="n">
        <v>0.144642678243281</v>
      </c>
      <c r="AL355" s="6" t="n">
        <v>1.07843858983181</v>
      </c>
      <c r="AN355" s="6" t="n">
        <v>1.28161008253026</v>
      </c>
      <c r="AO355" s="6" t="n">
        <v>1.2827730079425</v>
      </c>
      <c r="AP355" s="6" t="n">
        <v>0.13156141060753</v>
      </c>
      <c r="AQ355" s="6" t="n">
        <v>0</v>
      </c>
      <c r="AR355" s="6" t="n">
        <v>0</v>
      </c>
    </row>
    <row r="356" customFormat="false" ht="15" hidden="false" customHeight="false" outlineLevel="0" collapsed="false">
      <c r="D356" s="0" t="s">
        <v>482</v>
      </c>
      <c r="J356" s="6" t="n">
        <v>1.75798841850314</v>
      </c>
      <c r="K356" s="6" t="n">
        <v>-0.763056959139717</v>
      </c>
      <c r="L356" s="6" t="n">
        <v>-1.09233997162221</v>
      </c>
      <c r="M356" s="6" t="n">
        <v>-1.90193105119552</v>
      </c>
      <c r="N356" s="6" t="n">
        <v>1.29258498513895</v>
      </c>
      <c r="O356" s="6" t="n">
        <v>1.75029093704676</v>
      </c>
      <c r="P356" s="6" t="n">
        <v>1.65036674407749</v>
      </c>
      <c r="Q356" s="6" t="n">
        <v>1.69638629737023</v>
      </c>
      <c r="R356" s="6" t="n">
        <v>3.28342922751095</v>
      </c>
      <c r="S356" s="6" t="n">
        <v>5</v>
      </c>
      <c r="T356" s="6" t="n">
        <v>2.4928835287284</v>
      </c>
      <c r="U356" s="6" t="n">
        <v>2.6211354121088</v>
      </c>
      <c r="V356" s="6" t="n">
        <v>-1.61078142703456</v>
      </c>
      <c r="W356" s="6" t="n">
        <v>-1.92767309598636</v>
      </c>
      <c r="X356" s="6" t="n">
        <v>-3.82254413041002</v>
      </c>
      <c r="Y356" s="6" t="n">
        <v>4.09899067056182</v>
      </c>
      <c r="Z356" s="6" t="n">
        <v>-0.307477465916987</v>
      </c>
      <c r="AA356" s="6" t="n">
        <v>-0.87922628700359</v>
      </c>
      <c r="AB356" s="6" t="n">
        <v>0.122842327441387</v>
      </c>
      <c r="AC356" s="6" t="n">
        <v>0.386188992139442</v>
      </c>
      <c r="AD356" s="6" t="n">
        <v>-2.51338862007188</v>
      </c>
      <c r="AE356" s="6" t="n">
        <v>-0.583356971289303</v>
      </c>
      <c r="AF356" s="6" t="n">
        <v>-2.20985375787259</v>
      </c>
      <c r="AG356" s="6" t="n">
        <v>0.67231861950101</v>
      </c>
      <c r="AH356" s="6" t="n">
        <v>-2.32747634426736</v>
      </c>
      <c r="AI356" s="6" t="n">
        <v>0.464654408495246</v>
      </c>
      <c r="AJ356" s="6" t="n">
        <v>76.0361566644208</v>
      </c>
      <c r="AK356" s="6" t="n">
        <v>0.0876817731813248</v>
      </c>
      <c r="AL356" s="6" t="n">
        <v>1.00312126799872</v>
      </c>
      <c r="AN356" s="6" t="n">
        <v>1.31581875755057</v>
      </c>
      <c r="AO356" s="6" t="n">
        <v>1.31581875755057</v>
      </c>
      <c r="AP356" s="6" t="n">
        <v>0.14152949721177</v>
      </c>
      <c r="AQ356" s="6" t="n">
        <v>0</v>
      </c>
      <c r="AR356" s="6" t="n">
        <v>0</v>
      </c>
    </row>
    <row r="357" customFormat="false" ht="15" hidden="false" customHeight="false" outlineLevel="0" collapsed="false">
      <c r="D357" s="0" t="s">
        <v>483</v>
      </c>
      <c r="J357" s="6" t="n">
        <v>1.78269668095848</v>
      </c>
      <c r="K357" s="6" t="n">
        <v>2.37574086047186</v>
      </c>
      <c r="L357" s="6" t="n">
        <v>2.38352541323207</v>
      </c>
      <c r="M357" s="6" t="n">
        <v>-2.17537764976062</v>
      </c>
      <c r="N357" s="6" t="n">
        <v>-0.238889447072532</v>
      </c>
      <c r="O357" s="6" t="n">
        <v>-1.72748690713402</v>
      </c>
      <c r="P357" s="6" t="n">
        <v>-1.28618716547841</v>
      </c>
      <c r="Q357" s="6" t="n">
        <v>2.24211170363789</v>
      </c>
      <c r="R357" s="6" t="n">
        <v>-3.04372276333565</v>
      </c>
      <c r="S357" s="6" t="n">
        <v>1.67993944667323</v>
      </c>
      <c r="T357" s="6" t="n">
        <v>1.6723850304981</v>
      </c>
      <c r="U357" s="6" t="n">
        <v>0.0807094996974266</v>
      </c>
      <c r="V357" s="6" t="n">
        <v>0.286810722438469</v>
      </c>
      <c r="W357" s="6" t="n">
        <v>2.6016262635412</v>
      </c>
      <c r="X357" s="6" t="n">
        <v>2.92989245136731</v>
      </c>
      <c r="Y357" s="6" t="n">
        <v>0.857401178634898</v>
      </c>
      <c r="Z357" s="6" t="n">
        <v>3.41976609635765</v>
      </c>
      <c r="AA357" s="6" t="n">
        <v>-0.255368856842112</v>
      </c>
      <c r="AB357" s="6" t="n">
        <v>2.45617210102507</v>
      </c>
      <c r="AC357" s="6" t="n">
        <v>2.20475261623044</v>
      </c>
      <c r="AD357" s="6" t="n">
        <v>-0.352834382677005</v>
      </c>
      <c r="AE357" s="6" t="n">
        <v>2.17817735363387</v>
      </c>
      <c r="AF357" s="6" t="n">
        <v>2.19173041301769</v>
      </c>
      <c r="AG357" s="6" t="n">
        <v>2.42887128029426</v>
      </c>
      <c r="AH357" s="6" t="n">
        <v>-1.16653011929572</v>
      </c>
      <c r="AI357" s="6" t="n">
        <v>1.66660459838377</v>
      </c>
      <c r="AJ357" s="6" t="n">
        <v>68.2809770221598</v>
      </c>
      <c r="AK357" s="6" t="n">
        <v>0.14771301329562</v>
      </c>
      <c r="AL357" s="6" t="n">
        <v>1.05071259991721</v>
      </c>
      <c r="AN357" s="6" t="n">
        <v>1.29373470439763</v>
      </c>
      <c r="AO357" s="6" t="n">
        <v>1.29435294500535</v>
      </c>
      <c r="AP357" s="6" t="n">
        <v>0.133008337436758</v>
      </c>
      <c r="AQ357" s="6" t="n">
        <v>0</v>
      </c>
      <c r="AR357" s="6" t="n">
        <v>0</v>
      </c>
    </row>
    <row r="358" customFormat="false" ht="15" hidden="false" customHeight="false" outlineLevel="0" collapsed="false">
      <c r="D358" s="0" t="s">
        <v>484</v>
      </c>
      <c r="J358" s="6" t="n">
        <v>0.22097490452581</v>
      </c>
      <c r="K358" s="6" t="n">
        <v>3.92294446114462</v>
      </c>
      <c r="L358" s="6" t="n">
        <v>-2.72720867326664</v>
      </c>
      <c r="M358" s="6" t="n">
        <v>0.14072260082141</v>
      </c>
      <c r="N358" s="6" t="n">
        <v>0.0369309516595165</v>
      </c>
      <c r="O358" s="6" t="n">
        <v>-1.41150725001505</v>
      </c>
      <c r="P358" s="6" t="n">
        <v>1.66106772739307</v>
      </c>
      <c r="Q358" s="6" t="n">
        <v>0.992991500174142</v>
      </c>
      <c r="R358" s="6" t="n">
        <v>-0.353318104993007</v>
      </c>
      <c r="S358" s="6" t="n">
        <v>-2.53285692233433</v>
      </c>
      <c r="T358" s="6" t="n">
        <v>-1.74461371808107</v>
      </c>
      <c r="U358" s="6" t="n">
        <v>-1.06724649534154</v>
      </c>
      <c r="V358" s="6" t="n">
        <v>1.27784289051967</v>
      </c>
      <c r="W358" s="6" t="n">
        <v>0.595947486115329</v>
      </c>
      <c r="X358" s="6" t="n">
        <v>-2.1923095619142</v>
      </c>
      <c r="Y358" s="6" t="n">
        <v>-0.06511164015743</v>
      </c>
      <c r="Z358" s="6" t="n">
        <v>-0.287966764739208</v>
      </c>
      <c r="AA358" s="6" t="n">
        <v>1.77409866752921</v>
      </c>
      <c r="AB358" s="6" t="n">
        <v>0.0527825744819555</v>
      </c>
      <c r="AC358" s="6" t="n">
        <v>2.22197033701877</v>
      </c>
      <c r="AD358" s="6" t="n">
        <v>1.65618973375383</v>
      </c>
      <c r="AE358" s="6" t="n">
        <v>-0.480261188387678</v>
      </c>
      <c r="AF358" s="6" t="n">
        <v>1.47979366679682</v>
      </c>
      <c r="AG358" s="6" t="n">
        <v>-2.31599305901599</v>
      </c>
      <c r="AH358" s="6" t="n">
        <v>-0.738360239591142</v>
      </c>
      <c r="AI358" s="6" t="n">
        <v>0.937982339168331</v>
      </c>
      <c r="AJ358" s="6" t="n">
        <v>79.3815676073159</v>
      </c>
      <c r="AK358" s="6" t="n">
        <v>0.107359982994908</v>
      </c>
      <c r="AL358" s="6" t="n">
        <v>1.07097983652462</v>
      </c>
      <c r="AN358" s="6" t="n">
        <v>1.29246679796434</v>
      </c>
      <c r="AO358" s="6" t="n">
        <v>1.2935141849478</v>
      </c>
      <c r="AP358" s="6" t="n">
        <v>0.133330701781569</v>
      </c>
      <c r="AQ358" s="6" t="n">
        <v>0</v>
      </c>
      <c r="AR358" s="6" t="n">
        <v>0</v>
      </c>
    </row>
    <row r="359" customFormat="false" ht="15" hidden="false" customHeight="false" outlineLevel="0" collapsed="false">
      <c r="D359" s="0" t="s">
        <v>485</v>
      </c>
      <c r="J359" s="6" t="n">
        <v>-1.40268628454351</v>
      </c>
      <c r="K359" s="6" t="n">
        <v>-3.91827466738686</v>
      </c>
      <c r="L359" s="6" t="n">
        <v>-4.1540443248987</v>
      </c>
      <c r="M359" s="6" t="n">
        <v>0.340462486855676</v>
      </c>
      <c r="N359" s="6" t="n">
        <v>-1.29838087613637</v>
      </c>
      <c r="O359" s="6" t="n">
        <v>5</v>
      </c>
      <c r="P359" s="6" t="n">
        <v>-0.0330024130670088</v>
      </c>
      <c r="Q359" s="6" t="n">
        <v>3.81306992370024</v>
      </c>
      <c r="R359" s="6" t="n">
        <v>0.503164297606463</v>
      </c>
      <c r="S359" s="6" t="n">
        <v>-1.2760024468225</v>
      </c>
      <c r="T359" s="6" t="n">
        <v>1.35209643081382</v>
      </c>
      <c r="U359" s="6" t="n">
        <v>-4.1040153992331</v>
      </c>
      <c r="V359" s="6" t="n">
        <v>2.06506332676237</v>
      </c>
      <c r="W359" s="6" t="n">
        <v>1.15001159645653</v>
      </c>
      <c r="X359" s="6" t="n">
        <v>-0.122251586008812</v>
      </c>
      <c r="Y359" s="6" t="n">
        <v>2.40400476312289</v>
      </c>
      <c r="Z359" s="6" t="n">
        <v>-0.401707679397783</v>
      </c>
      <c r="AA359" s="6" t="n">
        <v>-5.08700285990386</v>
      </c>
      <c r="AB359" s="6" t="n">
        <v>-0.632383390364972</v>
      </c>
      <c r="AC359" s="6" t="n">
        <v>-1.50213355185122</v>
      </c>
      <c r="AD359" s="6" t="n">
        <v>-0.68932376469424</v>
      </c>
      <c r="AE359" s="6" t="n">
        <v>0.924313601197712</v>
      </c>
      <c r="AF359" s="6" t="n">
        <v>1.34110760802371</v>
      </c>
      <c r="AG359" s="6" t="n">
        <v>2.76891406499677</v>
      </c>
      <c r="AH359" s="6" t="n">
        <v>-1.22465554122776</v>
      </c>
      <c r="AI359" s="6" t="n">
        <v>-1.3205465659128</v>
      </c>
      <c r="AJ359" s="6" t="n">
        <v>71.9566006990981</v>
      </c>
      <c r="AK359" s="6" t="n">
        <v>0.155399628298345</v>
      </c>
      <c r="AL359" s="6" t="n">
        <v>1.03434212626234</v>
      </c>
      <c r="AN359" s="6" t="n">
        <v>1.30015591832998</v>
      </c>
      <c r="AO359" s="6" t="n">
        <v>1.30031646127862</v>
      </c>
      <c r="AP359" s="6" t="n">
        <v>0.134638556094862</v>
      </c>
      <c r="AQ359" s="6" t="n">
        <v>0</v>
      </c>
      <c r="AR359" s="6" t="n">
        <v>0</v>
      </c>
    </row>
    <row r="360" customFormat="false" ht="15" hidden="false" customHeight="false" outlineLevel="0" collapsed="false">
      <c r="D360" s="0" t="s">
        <v>486</v>
      </c>
      <c r="J360" s="6" t="n">
        <v>0.340924453891464</v>
      </c>
      <c r="K360" s="6" t="n">
        <v>0.32631831729464</v>
      </c>
      <c r="L360" s="6" t="n">
        <v>-1.08053882641759</v>
      </c>
      <c r="M360" s="6" t="n">
        <v>-2.09550032034923</v>
      </c>
      <c r="N360" s="6" t="n">
        <v>-4.89389061060183</v>
      </c>
      <c r="O360" s="6" t="n">
        <v>-3.07725715038159</v>
      </c>
      <c r="P360" s="6" t="n">
        <v>-0.421845102745866</v>
      </c>
      <c r="Q360" s="6" t="n">
        <v>1.21326495129961</v>
      </c>
      <c r="R360" s="6" t="n">
        <v>1.49801680036868</v>
      </c>
      <c r="S360" s="6" t="n">
        <v>-0.154300345623308</v>
      </c>
      <c r="T360" s="6" t="n">
        <v>-1.51756985720346</v>
      </c>
      <c r="U360" s="6" t="n">
        <v>-1.53148656754196</v>
      </c>
      <c r="V360" s="6" t="n">
        <v>1.98876882263733</v>
      </c>
      <c r="W360" s="6" t="n">
        <v>-1.61853095194672</v>
      </c>
      <c r="X360" s="6" t="n">
        <v>0.706258493705276</v>
      </c>
      <c r="Y360" s="6" t="n">
        <v>0.244126680789744</v>
      </c>
      <c r="Z360" s="6" t="n">
        <v>2.53152394616058</v>
      </c>
      <c r="AA360" s="6" t="n">
        <v>-2.92568054478597</v>
      </c>
      <c r="AB360" s="6" t="n">
        <v>-0.849402509307536</v>
      </c>
      <c r="AC360" s="6" t="n">
        <v>1.05955855786703</v>
      </c>
      <c r="AD360" s="6" t="n">
        <v>-1.71789451254353</v>
      </c>
      <c r="AE360" s="6" t="n">
        <v>0.369946315032535</v>
      </c>
      <c r="AF360" s="6" t="n">
        <v>-1.33425037321611</v>
      </c>
      <c r="AG360" s="6" t="n">
        <v>-0.982654869922405</v>
      </c>
      <c r="AH360" s="6" t="n">
        <v>0.161099753098319</v>
      </c>
      <c r="AI360" s="6" t="n">
        <v>0.223257754104269</v>
      </c>
      <c r="AJ360" s="6" t="n">
        <v>69.9410555220755</v>
      </c>
      <c r="AK360" s="6" t="n">
        <v>0.20076187982442</v>
      </c>
      <c r="AL360" s="6" t="n">
        <v>1.04094099709606</v>
      </c>
      <c r="AN360" s="6" t="n">
        <v>1.28446962796609</v>
      </c>
      <c r="AO360" s="6" t="n">
        <v>1.28607845609675</v>
      </c>
      <c r="AP360" s="6" t="n">
        <v>0.132568464110276</v>
      </c>
      <c r="AQ360" s="6" t="n">
        <v>0</v>
      </c>
      <c r="AR360" s="6" t="n">
        <v>0</v>
      </c>
    </row>
    <row r="361" customFormat="false" ht="15" hidden="false" customHeight="false" outlineLevel="0" collapsed="false">
      <c r="D361" s="0" t="s">
        <v>487</v>
      </c>
      <c r="J361" s="6" t="n">
        <v>-0.731431608976856</v>
      </c>
      <c r="K361" s="6" t="n">
        <v>-1.18089148996377</v>
      </c>
      <c r="L361" s="6" t="n">
        <v>-2.58635530279072</v>
      </c>
      <c r="M361" s="6" t="n">
        <v>0.00941880050206752</v>
      </c>
      <c r="N361" s="6" t="n">
        <v>-1.26958466688214</v>
      </c>
      <c r="O361" s="6" t="n">
        <v>0.782141760229345</v>
      </c>
      <c r="P361" s="6" t="n">
        <v>1.84420694121014</v>
      </c>
      <c r="Q361" s="6" t="n">
        <v>0.244216583852991</v>
      </c>
      <c r="R361" s="6" t="n">
        <v>0.225562889518646</v>
      </c>
      <c r="S361" s="6" t="n">
        <v>-1.94389362822046</v>
      </c>
      <c r="T361" s="6" t="n">
        <v>-0.242964884756497</v>
      </c>
      <c r="U361" s="6" t="n">
        <v>-2.01377379239567</v>
      </c>
      <c r="V361" s="6" t="n">
        <v>-2.54206491404754</v>
      </c>
      <c r="W361" s="6" t="n">
        <v>-0.642339998727014</v>
      </c>
      <c r="X361" s="6" t="n">
        <v>0.111533273829842</v>
      </c>
      <c r="Y361" s="6" t="n">
        <v>-2.89736981884971</v>
      </c>
      <c r="Z361" s="6" t="n">
        <v>1.77865327623342</v>
      </c>
      <c r="AA361" s="6" t="n">
        <v>0.204787242285494</v>
      </c>
      <c r="AB361" s="6" t="n">
        <v>-2.55853829543564</v>
      </c>
      <c r="AC361" s="6" t="n">
        <v>-2.61228722832549</v>
      </c>
      <c r="AD361" s="6" t="n">
        <v>2.29531212938967</v>
      </c>
      <c r="AE361" s="6" t="n">
        <v>-0.262402470402135</v>
      </c>
      <c r="AF361" s="6" t="n">
        <v>0.436189740568294</v>
      </c>
      <c r="AG361" s="6" t="n">
        <v>-1.20019479531006</v>
      </c>
      <c r="AH361" s="6" t="n">
        <v>-3.31927536685485</v>
      </c>
      <c r="AI361" s="6" t="n">
        <v>-1.64615377885401</v>
      </c>
      <c r="AJ361" s="6" t="n">
        <v>81.7827359110913</v>
      </c>
      <c r="AK361" s="6" t="n">
        <v>0.157601826790893</v>
      </c>
      <c r="AL361" s="6" t="n">
        <v>1.04631981935292</v>
      </c>
      <c r="AN361" s="6" t="n">
        <v>1.29596093595348</v>
      </c>
      <c r="AO361" s="6" t="n">
        <v>1.29682698852638</v>
      </c>
      <c r="AP361" s="6" t="n">
        <v>0.134170207679782</v>
      </c>
      <c r="AQ361" s="6" t="n">
        <v>0</v>
      </c>
      <c r="AR361" s="6" t="n">
        <v>0</v>
      </c>
    </row>
    <row r="362" customFormat="false" ht="15" hidden="false" customHeight="false" outlineLevel="0" collapsed="false">
      <c r="D362" s="0" t="s">
        <v>488</v>
      </c>
      <c r="J362" s="6" t="n">
        <v>-3.78750464263411</v>
      </c>
      <c r="K362" s="6" t="n">
        <v>-0.777333521663084</v>
      </c>
      <c r="L362" s="6" t="n">
        <v>-0.303995859621124</v>
      </c>
      <c r="M362" s="6" t="n">
        <v>1.982564856364</v>
      </c>
      <c r="N362" s="6" t="n">
        <v>2.30554647959173</v>
      </c>
      <c r="O362" s="6" t="n">
        <v>0.744368940165744</v>
      </c>
      <c r="P362" s="6" t="n">
        <v>0.490636454576457</v>
      </c>
      <c r="Q362" s="6" t="n">
        <v>2.82721945364422</v>
      </c>
      <c r="R362" s="6" t="n">
        <v>-0.418177618655262</v>
      </c>
      <c r="S362" s="6" t="n">
        <v>0.527588175824086</v>
      </c>
      <c r="T362" s="6" t="n">
        <v>-2.06174598594504</v>
      </c>
      <c r="U362" s="6" t="n">
        <v>-1.21399765104619</v>
      </c>
      <c r="V362" s="6" t="n">
        <v>-0.285969448717908</v>
      </c>
      <c r="W362" s="6" t="n">
        <v>-0.984576722132544</v>
      </c>
      <c r="X362" s="6" t="n">
        <v>-1.42531476157996</v>
      </c>
      <c r="Y362" s="6" t="n">
        <v>-1.64346640562561</v>
      </c>
      <c r="Z362" s="6" t="n">
        <v>2.78515749236334</v>
      </c>
      <c r="AA362" s="6" t="n">
        <v>-1.16051405262445</v>
      </c>
      <c r="AB362" s="6" t="n">
        <v>-2.12584119696563</v>
      </c>
      <c r="AC362" s="6" t="n">
        <v>-0.578644068173936</v>
      </c>
      <c r="AD362" s="6" t="n">
        <v>-2.56076865907851</v>
      </c>
      <c r="AE362" s="6" t="n">
        <v>-4.47552885993081</v>
      </c>
      <c r="AF362" s="6" t="n">
        <v>-0.630706241615086</v>
      </c>
      <c r="AG362" s="6" t="n">
        <v>0.958035522359982</v>
      </c>
      <c r="AH362" s="6" t="n">
        <v>-4.40474955836676</v>
      </c>
      <c r="AI362" s="6" t="n">
        <v>-3.16688687834103</v>
      </c>
      <c r="AJ362" s="6" t="n">
        <v>79.6770642878946</v>
      </c>
      <c r="AK362" s="6" t="n">
        <v>0.166106939726509</v>
      </c>
      <c r="AL362" s="6" t="n">
        <v>1.060059000912</v>
      </c>
      <c r="AN362" s="6" t="n">
        <v>1.28788695183596</v>
      </c>
      <c r="AO362" s="6" t="n">
        <v>1.28881518255553</v>
      </c>
      <c r="AP362" s="6" t="n">
        <v>0.132681540090819</v>
      </c>
      <c r="AQ362" s="6" t="n">
        <v>0</v>
      </c>
      <c r="AR362" s="6" t="n">
        <v>0</v>
      </c>
    </row>
    <row r="363" customFormat="false" ht="15" hidden="false" customHeight="false" outlineLevel="0" collapsed="false">
      <c r="D363" s="0" t="s">
        <v>489</v>
      </c>
      <c r="J363" s="6" t="n">
        <v>-2.27789611531699</v>
      </c>
      <c r="K363" s="6" t="n">
        <v>0.439918238380584</v>
      </c>
      <c r="L363" s="6" t="n">
        <v>2.36044118587316</v>
      </c>
      <c r="M363" s="6" t="n">
        <v>-0.574182345483572</v>
      </c>
      <c r="N363" s="6" t="n">
        <v>0.805140911841172</v>
      </c>
      <c r="O363" s="6" t="n">
        <v>1.43153679949722</v>
      </c>
      <c r="P363" s="6" t="n">
        <v>-0.889292788405094</v>
      </c>
      <c r="Q363" s="6" t="n">
        <v>-0.907635628585183</v>
      </c>
      <c r="R363" s="6" t="n">
        <v>1.741466553936</v>
      </c>
      <c r="S363" s="6" t="n">
        <v>-3.06963974590452</v>
      </c>
      <c r="T363" s="6" t="n">
        <v>2.29824014749624</v>
      </c>
      <c r="U363" s="6" t="n">
        <v>0.829743149754375</v>
      </c>
      <c r="V363" s="6" t="n">
        <v>1.01139406535527</v>
      </c>
      <c r="W363" s="6" t="n">
        <v>-2.73928313893057</v>
      </c>
      <c r="X363" s="6" t="n">
        <v>3.00681409469365</v>
      </c>
      <c r="Y363" s="6" t="n">
        <v>-1.03711321882754</v>
      </c>
      <c r="Z363" s="6" t="n">
        <v>0.838382585503737</v>
      </c>
      <c r="AA363" s="6" t="n">
        <v>0.119082069430137</v>
      </c>
      <c r="AB363" s="6" t="n">
        <v>-1.91027349467438</v>
      </c>
      <c r="AC363" s="6" t="n">
        <v>1.1584183950543</v>
      </c>
      <c r="AD363" s="6" t="n">
        <v>-0.71033379702476</v>
      </c>
      <c r="AE363" s="6" t="n">
        <v>-1.17664215797288</v>
      </c>
      <c r="AF363" s="6" t="n">
        <v>-0.713806057704802</v>
      </c>
      <c r="AG363" s="6" t="n">
        <v>0.624517991320551</v>
      </c>
      <c r="AH363" s="6" t="n">
        <v>2.63053206992729</v>
      </c>
      <c r="AI363" s="6" t="n">
        <v>1.76170678715721</v>
      </c>
      <c r="AJ363" s="6" t="n">
        <v>66.0457952462995</v>
      </c>
      <c r="AK363" s="6" t="n">
        <v>0.176648524880727</v>
      </c>
      <c r="AL363" s="6" t="n">
        <v>1.0366721011335</v>
      </c>
      <c r="AN363" s="6" t="n">
        <v>1.291940607567</v>
      </c>
      <c r="AO363" s="6" t="n">
        <v>1.29206882620649</v>
      </c>
      <c r="AP363" s="6" t="n">
        <v>0.133617957205196</v>
      </c>
      <c r="AQ363" s="6" t="n">
        <v>0</v>
      </c>
      <c r="AR363" s="6" t="n">
        <v>0</v>
      </c>
    </row>
    <row r="364" customFormat="false" ht="15" hidden="false" customHeight="false" outlineLevel="0" collapsed="false">
      <c r="D364" s="0" t="s">
        <v>490</v>
      </c>
      <c r="J364" s="6" t="n">
        <v>2.41328066531687</v>
      </c>
      <c r="K364" s="6" t="n">
        <v>1.15315395222984</v>
      </c>
      <c r="L364" s="6" t="n">
        <v>-0.772770552096138</v>
      </c>
      <c r="M364" s="6" t="n">
        <v>-1.1111838566183</v>
      </c>
      <c r="N364" s="6" t="n">
        <v>-0.162907886995469</v>
      </c>
      <c r="O364" s="6" t="n">
        <v>-0.942463990847992</v>
      </c>
      <c r="P364" s="6" t="n">
        <v>1.41964384392245</v>
      </c>
      <c r="Q364" s="6" t="n">
        <v>-1.53448605227663</v>
      </c>
      <c r="R364" s="6" t="n">
        <v>1.35456623223111</v>
      </c>
      <c r="S364" s="6" t="n">
        <v>0.0457601505067017</v>
      </c>
      <c r="T364" s="6" t="n">
        <v>1.24946441551964</v>
      </c>
      <c r="U364" s="6" t="n">
        <v>-1.81291894353443</v>
      </c>
      <c r="V364" s="6" t="n">
        <v>2.17830201326486</v>
      </c>
      <c r="W364" s="6" t="n">
        <v>-0.729650603693291</v>
      </c>
      <c r="X364" s="6" t="n">
        <v>2.16186170999399</v>
      </c>
      <c r="Y364" s="6" t="n">
        <v>-1.37147230465415</v>
      </c>
      <c r="Z364" s="6" t="n">
        <v>3.95246996144372</v>
      </c>
      <c r="AA364" s="6" t="n">
        <v>1.13907735227191</v>
      </c>
      <c r="AB364" s="6" t="n">
        <v>4.59085678138441</v>
      </c>
      <c r="AC364" s="6" t="n">
        <v>2.65476459518042</v>
      </c>
      <c r="AD364" s="6" t="n">
        <v>0.214280375919182</v>
      </c>
      <c r="AE364" s="6" t="n">
        <v>-0.863677775756831</v>
      </c>
      <c r="AF364" s="6" t="n">
        <v>-1.97862619774714</v>
      </c>
      <c r="AG364" s="6" t="n">
        <v>2.0831747263136</v>
      </c>
      <c r="AH364" s="6" t="n">
        <v>-1.66963509011933</v>
      </c>
      <c r="AI364" s="6" t="n">
        <v>0.82245065891259</v>
      </c>
      <c r="AJ364" s="6" t="n">
        <v>69.2842489870588</v>
      </c>
      <c r="AK364" s="6" t="n">
        <v>0.136422644533611</v>
      </c>
      <c r="AL364" s="6" t="n">
        <v>1.05452904814104</v>
      </c>
      <c r="AN364" s="6" t="n">
        <v>1.29143388322622</v>
      </c>
      <c r="AO364" s="6" t="n">
        <v>1.29232772374895</v>
      </c>
      <c r="AP364" s="6" t="n">
        <v>0.132890647527002</v>
      </c>
      <c r="AQ364" s="6" t="n">
        <v>0</v>
      </c>
      <c r="AR364" s="6" t="n">
        <v>0</v>
      </c>
    </row>
    <row r="365" customFormat="false" ht="15" hidden="false" customHeight="false" outlineLevel="0" collapsed="false">
      <c r="D365" s="0" t="s">
        <v>491</v>
      </c>
      <c r="J365" s="6" t="n">
        <v>-0.857081450937387</v>
      </c>
      <c r="K365" s="6" t="n">
        <v>1.71850076569541</v>
      </c>
      <c r="L365" s="6" t="n">
        <v>-0.386039850284234</v>
      </c>
      <c r="M365" s="6" t="n">
        <v>-2.76349253513591</v>
      </c>
      <c r="N365" s="6" t="n">
        <v>1.22557036776766</v>
      </c>
      <c r="O365" s="6" t="n">
        <v>1.08436490680093</v>
      </c>
      <c r="P365" s="6" t="n">
        <v>-1.0678170637678</v>
      </c>
      <c r="Q365" s="6" t="n">
        <v>-1.43650362879648</v>
      </c>
      <c r="R365" s="6" t="n">
        <v>2.75013565405225</v>
      </c>
      <c r="S365" s="6" t="n">
        <v>1.09423610835794</v>
      </c>
      <c r="T365" s="6" t="n">
        <v>1.41655078191543</v>
      </c>
      <c r="U365" s="6" t="n">
        <v>1.49217294717306</v>
      </c>
      <c r="V365" s="6" t="n">
        <v>-3.46748813804158</v>
      </c>
      <c r="W365" s="6" t="n">
        <v>1.09254152561313</v>
      </c>
      <c r="X365" s="6" t="n">
        <v>2.44742324918108</v>
      </c>
      <c r="Y365" s="6" t="n">
        <v>0.534314252820702</v>
      </c>
      <c r="Z365" s="6" t="n">
        <v>-1.90046072334085</v>
      </c>
      <c r="AA365" s="6" t="n">
        <v>-1.29497395170195</v>
      </c>
      <c r="AB365" s="6" t="n">
        <v>1.5786284957738</v>
      </c>
      <c r="AC365" s="6" t="n">
        <v>0.812650797494853</v>
      </c>
      <c r="AD365" s="6" t="n">
        <v>-0.364104882970948</v>
      </c>
      <c r="AE365" s="6" t="n">
        <v>0.553204524538203</v>
      </c>
      <c r="AF365" s="6" t="n">
        <v>2.68866885288112</v>
      </c>
      <c r="AG365" s="6" t="n">
        <v>0.0761602042903227</v>
      </c>
      <c r="AH365" s="6" t="n">
        <v>-2.87698291133245</v>
      </c>
      <c r="AI365" s="6" t="n">
        <v>-0.0296055076122124</v>
      </c>
      <c r="AJ365" s="6" t="n">
        <v>74.3001178903657</v>
      </c>
      <c r="AK365" s="6" t="n">
        <v>0.0657078497459125</v>
      </c>
      <c r="AL365" s="6" t="n">
        <v>1.08175895091285</v>
      </c>
      <c r="AN365" s="6" t="n">
        <v>1.2904169552585</v>
      </c>
      <c r="AO365" s="6" t="n">
        <v>1.29050813789218</v>
      </c>
      <c r="AP365" s="6" t="n">
        <v>0.132898876180352</v>
      </c>
      <c r="AQ365" s="6" t="n">
        <v>0</v>
      </c>
      <c r="AR365" s="6" t="n">
        <v>0</v>
      </c>
    </row>
    <row r="366" customFormat="false" ht="15" hidden="false" customHeight="false" outlineLevel="0" collapsed="false">
      <c r="D366" s="0" t="s">
        <v>492</v>
      </c>
      <c r="J366" s="6" t="n">
        <v>3.26876175181378</v>
      </c>
      <c r="K366" s="6" t="n">
        <v>0.337653285611779</v>
      </c>
      <c r="L366" s="6" t="n">
        <v>-0.0664224258857451</v>
      </c>
      <c r="M366" s="6" t="n">
        <v>0.540015389364068</v>
      </c>
      <c r="N366" s="6" t="n">
        <v>0.664979143638966</v>
      </c>
      <c r="O366" s="6" t="n">
        <v>-0.959328682618335</v>
      </c>
      <c r="P366" s="6" t="n">
        <v>-3.01108947905157</v>
      </c>
      <c r="Q366" s="6" t="n">
        <v>-2.5453527438177</v>
      </c>
      <c r="R366" s="6" t="n">
        <v>1.16323877736397</v>
      </c>
      <c r="S366" s="6" t="n">
        <v>0.815893223542785</v>
      </c>
      <c r="T366" s="6" t="n">
        <v>-2.21444290638606</v>
      </c>
      <c r="U366" s="6" t="n">
        <v>-2.03467159932551</v>
      </c>
      <c r="V366" s="6" t="n">
        <v>0.438047624448497</v>
      </c>
      <c r="W366" s="6" t="n">
        <v>-0.00750784075594435</v>
      </c>
      <c r="X366" s="6" t="n">
        <v>-1.99894298294568</v>
      </c>
      <c r="Y366" s="6" t="n">
        <v>-1.58205263757125</v>
      </c>
      <c r="Z366" s="6" t="n">
        <v>-2.99502291653135</v>
      </c>
      <c r="AA366" s="6" t="n">
        <v>0.0040415035838602</v>
      </c>
      <c r="AB366" s="6" t="n">
        <v>-0.363452996695286</v>
      </c>
      <c r="AC366" s="6" t="n">
        <v>-1.88485065665204</v>
      </c>
      <c r="AD366" s="6" t="n">
        <v>0.863874423013234</v>
      </c>
      <c r="AE366" s="6" t="n">
        <v>2.26776727596063</v>
      </c>
      <c r="AF366" s="6" t="n">
        <v>1.62021191452754</v>
      </c>
      <c r="AG366" s="6" t="n">
        <v>-1.16400789459864</v>
      </c>
      <c r="AH366" s="6" t="n">
        <v>0.891476302495407</v>
      </c>
      <c r="AI366" s="6" t="n">
        <v>-0.281756550741342</v>
      </c>
      <c r="AJ366" s="6" t="n">
        <v>73.7067618532111</v>
      </c>
      <c r="AK366" s="6" t="n">
        <v>0.0872140605084818</v>
      </c>
      <c r="AL366" s="6" t="n">
        <v>1.07255397825047</v>
      </c>
      <c r="AN366" s="6" t="n">
        <v>1.2938560427247</v>
      </c>
      <c r="AO366" s="6" t="n">
        <v>1.2939477644397</v>
      </c>
      <c r="AP366" s="6" t="n">
        <v>0.132912634968812</v>
      </c>
      <c r="AQ366" s="6" t="n">
        <v>0</v>
      </c>
      <c r="AR366" s="6" t="n">
        <v>0</v>
      </c>
    </row>
    <row r="367" customFormat="false" ht="15" hidden="false" customHeight="false" outlineLevel="0" collapsed="false">
      <c r="D367" s="0" t="s">
        <v>493</v>
      </c>
      <c r="J367" s="6" t="n">
        <v>-0.769302091647088</v>
      </c>
      <c r="K367" s="6" t="n">
        <v>-1.9852616795344</v>
      </c>
      <c r="L367" s="6" t="n">
        <v>2.503545202951</v>
      </c>
      <c r="M367" s="6" t="n">
        <v>-2.7183044978277</v>
      </c>
      <c r="N367" s="6" t="n">
        <v>-1.15128696704086</v>
      </c>
      <c r="O367" s="6" t="n">
        <v>4.20403116270231</v>
      </c>
      <c r="P367" s="6" t="n">
        <v>-4.2644764169954</v>
      </c>
      <c r="Q367" s="6" t="n">
        <v>0.348629347833563</v>
      </c>
      <c r="R367" s="6" t="n">
        <v>-1.27502499002734</v>
      </c>
      <c r="S367" s="6" t="n">
        <v>-3.20144470504569</v>
      </c>
      <c r="T367" s="6" t="n">
        <v>-2.15269732197066</v>
      </c>
      <c r="U367" s="6" t="n">
        <v>-0.239067268218187</v>
      </c>
      <c r="V367" s="6" t="n">
        <v>-1.54965942681345</v>
      </c>
      <c r="W367" s="6" t="n">
        <v>-0.448009139026937</v>
      </c>
      <c r="X367" s="6" t="n">
        <v>-1.95050635265168</v>
      </c>
      <c r="Y367" s="6" t="n">
        <v>-0.0890840417755487</v>
      </c>
      <c r="Z367" s="6" t="n">
        <v>-1.17473881049962</v>
      </c>
      <c r="AA367" s="6" t="n">
        <v>2.9627113887259</v>
      </c>
      <c r="AB367" s="6" t="n">
        <v>2.31433415138499</v>
      </c>
      <c r="AC367" s="6" t="n">
        <v>1.86263217288883</v>
      </c>
      <c r="AD367" s="6" t="n">
        <v>-0.752265787263138</v>
      </c>
      <c r="AE367" s="6" t="n">
        <v>-1.61490027838295</v>
      </c>
      <c r="AF367" s="6" t="n">
        <v>0.568654916340445</v>
      </c>
      <c r="AG367" s="6" t="n">
        <v>0.191523889136786</v>
      </c>
      <c r="AH367" s="6" t="n">
        <v>-1.47295068768084</v>
      </c>
      <c r="AI367" s="6" t="n">
        <v>-0.957444074210948</v>
      </c>
      <c r="AJ367" s="6" t="n">
        <v>84.4061049238808</v>
      </c>
      <c r="AK367" s="6" t="n">
        <v>0.14799929336879</v>
      </c>
      <c r="AL367" s="6" t="n">
        <v>0.994097117117544</v>
      </c>
      <c r="AN367" s="6" t="n">
        <v>1.32310523159282</v>
      </c>
      <c r="AO367" s="6" t="n">
        <v>1.32310523159282</v>
      </c>
      <c r="AP367" s="6" t="n">
        <v>0.142745402139174</v>
      </c>
      <c r="AQ367" s="6" t="n">
        <v>0</v>
      </c>
      <c r="AR367" s="6" t="n">
        <v>0</v>
      </c>
    </row>
    <row r="368" customFormat="false" ht="15" hidden="false" customHeight="false" outlineLevel="0" collapsed="false">
      <c r="D368" s="0" t="s">
        <v>494</v>
      </c>
      <c r="J368" s="6" t="n">
        <v>0.437712780321841</v>
      </c>
      <c r="K368" s="6" t="n">
        <v>-3.28042726178682</v>
      </c>
      <c r="L368" s="6" t="n">
        <v>-1.18385718408221</v>
      </c>
      <c r="M368" s="6" t="n">
        <v>1.64282315291647</v>
      </c>
      <c r="N368" s="6" t="n">
        <v>2.64084016755961</v>
      </c>
      <c r="O368" s="6" t="n">
        <v>1.83497108447304</v>
      </c>
      <c r="P368" s="6" t="n">
        <v>2.0899870487928</v>
      </c>
      <c r="Q368" s="6" t="n">
        <v>-3.68011671892086</v>
      </c>
      <c r="R368" s="6" t="n">
        <v>-3.71943423410646</v>
      </c>
      <c r="S368" s="6" t="n">
        <v>-3.88142753063081</v>
      </c>
      <c r="T368" s="6" t="n">
        <v>0.0731353167082282</v>
      </c>
      <c r="U368" s="6" t="n">
        <v>-2.51113799243458</v>
      </c>
      <c r="V368" s="6" t="n">
        <v>-4.00159985508611</v>
      </c>
      <c r="W368" s="6" t="n">
        <v>2.7007968571539</v>
      </c>
      <c r="X368" s="6" t="n">
        <v>3.62531616369052</v>
      </c>
      <c r="Y368" s="6" t="n">
        <v>2.77903105617685</v>
      </c>
      <c r="Z368" s="6" t="n">
        <v>-0.472104319825157</v>
      </c>
      <c r="AA368" s="6" t="n">
        <v>1.10598316632637</v>
      </c>
      <c r="AB368" s="6" t="n">
        <v>-0.178703724433301</v>
      </c>
      <c r="AC368" s="6" t="n">
        <v>-0.223233812284274</v>
      </c>
      <c r="AD368" s="6" t="n">
        <v>3.9067628514822</v>
      </c>
      <c r="AE368" s="6" t="n">
        <v>0.40839877747931</v>
      </c>
      <c r="AF368" s="6" t="n">
        <v>1.37351172430765</v>
      </c>
      <c r="AG368" s="6" t="n">
        <v>4.2262246201573</v>
      </c>
      <c r="AH368" s="6" t="n">
        <v>1.57331356579179</v>
      </c>
      <c r="AI368" s="6" t="n">
        <v>0.211707782807926</v>
      </c>
      <c r="AJ368" s="6" t="n">
        <v>74.2806848796784</v>
      </c>
      <c r="AK368" s="6" t="n">
        <v>0.114412061732023</v>
      </c>
      <c r="AL368" s="6" t="n">
        <v>1.13122603061099</v>
      </c>
      <c r="AN368" s="6" t="n">
        <v>1.2678524542522</v>
      </c>
      <c r="AO368" s="6" t="n">
        <v>1.26905562454583</v>
      </c>
      <c r="AP368" s="6" t="n">
        <v>0.129047558015466</v>
      </c>
      <c r="AQ368" s="6" t="n">
        <v>0</v>
      </c>
      <c r="AR368" s="6" t="n">
        <v>0</v>
      </c>
    </row>
    <row r="369" customFormat="false" ht="15" hidden="false" customHeight="false" outlineLevel="0" collapsed="false">
      <c r="D369" s="0" t="s">
        <v>495</v>
      </c>
      <c r="J369" s="6" t="n">
        <v>-1.36283190442843</v>
      </c>
      <c r="K369" s="6" t="n">
        <v>3.08990926003658</v>
      </c>
      <c r="L369" s="6" t="n">
        <v>2.35590175280868</v>
      </c>
      <c r="M369" s="6" t="n">
        <v>-1.1242975217363</v>
      </c>
      <c r="N369" s="6" t="n">
        <v>-1.40633191833119</v>
      </c>
      <c r="O369" s="6" t="n">
        <v>0.780017058120396</v>
      </c>
      <c r="P369" s="6" t="n">
        <v>-2.94850513972699</v>
      </c>
      <c r="Q369" s="6" t="n">
        <v>1.72648204197908</v>
      </c>
      <c r="R369" s="6" t="n">
        <v>1.38470290893668</v>
      </c>
      <c r="S369" s="6" t="n">
        <v>3.17077832572678</v>
      </c>
      <c r="T369" s="6" t="n">
        <v>2.28404949017707</v>
      </c>
      <c r="U369" s="6" t="n">
        <v>-3.75201035502315</v>
      </c>
      <c r="V369" s="6" t="n">
        <v>0.477985953498815</v>
      </c>
      <c r="W369" s="6" t="n">
        <v>-0.19275713893052</v>
      </c>
      <c r="X369" s="6" t="n">
        <v>-0.420586364297057</v>
      </c>
      <c r="Y369" s="6" t="n">
        <v>2.61596091998222</v>
      </c>
      <c r="Z369" s="6" t="n">
        <v>0.734486386523621</v>
      </c>
      <c r="AA369" s="6" t="n">
        <v>1.4586557069873</v>
      </c>
      <c r="AB369" s="6" t="n">
        <v>1.69947435240141</v>
      </c>
      <c r="AC369" s="6" t="n">
        <v>-7.01417466649237</v>
      </c>
      <c r="AD369" s="6" t="n">
        <v>-1.29294027017041</v>
      </c>
      <c r="AE369" s="6" t="n">
        <v>2.59939607959171</v>
      </c>
      <c r="AF369" s="6" t="n">
        <v>1.63223706630907</v>
      </c>
      <c r="AG369" s="6" t="n">
        <v>0.75458511518634</v>
      </c>
      <c r="AH369" s="6" t="n">
        <v>-0.904537066914626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1.04223037034575</v>
      </c>
      <c r="AN369" s="6" t="n">
        <v>1.29916566574609</v>
      </c>
      <c r="AO369" s="6" t="n">
        <v>1.30012034530977</v>
      </c>
      <c r="AP369" s="6" t="n">
        <v>0.134853797567931</v>
      </c>
      <c r="AQ369" s="6" t="n">
        <v>0</v>
      </c>
      <c r="AR369" s="6" t="n">
        <v>0</v>
      </c>
    </row>
    <row r="370" customFormat="false" ht="15" hidden="false" customHeight="false" outlineLevel="0" collapsed="false">
      <c r="D370" s="0" t="s">
        <v>496</v>
      </c>
      <c r="J370" s="6" t="n">
        <v>0.646746442181116</v>
      </c>
      <c r="K370" s="6" t="n">
        <v>1.06976160669302</v>
      </c>
      <c r="L370" s="6" t="n">
        <v>1.70866344758673</v>
      </c>
      <c r="M370" s="6" t="n">
        <v>-2.36004924222514</v>
      </c>
      <c r="N370" s="6" t="n">
        <v>2.72581553191843</v>
      </c>
      <c r="O370" s="6" t="n">
        <v>0.510830659901529</v>
      </c>
      <c r="P370" s="6" t="n">
        <v>-0.960538448788876</v>
      </c>
      <c r="Q370" s="6" t="n">
        <v>-2.42275983113155</v>
      </c>
      <c r="R370" s="6" t="n">
        <v>1.2713600309631</v>
      </c>
      <c r="S370" s="6" t="n">
        <v>1.04839634658179</v>
      </c>
      <c r="T370" s="6" t="n">
        <v>0.341269177793223</v>
      </c>
      <c r="U370" s="6" t="n">
        <v>-0.669984870740939</v>
      </c>
      <c r="V370" s="6" t="n">
        <v>-1.82849948133815</v>
      </c>
      <c r="W370" s="6" t="n">
        <v>-2.64770712440117</v>
      </c>
      <c r="X370" s="6" t="n">
        <v>0.728546938794575</v>
      </c>
      <c r="Y370" s="6" t="n">
        <v>-2.35108897011112</v>
      </c>
      <c r="Z370" s="6" t="n">
        <v>0.0538136021926781</v>
      </c>
      <c r="AA370" s="6" t="n">
        <v>-0.0446345256669642</v>
      </c>
      <c r="AB370" s="6" t="n">
        <v>1.36298176105531</v>
      </c>
      <c r="AC370" s="6" t="n">
        <v>2.41318194204919</v>
      </c>
      <c r="AD370" s="6" t="n">
        <v>0.46487189562559</v>
      </c>
      <c r="AE370" s="6" t="n">
        <v>3.06439842040959</v>
      </c>
      <c r="AF370" s="6" t="n">
        <v>1.97893027391841</v>
      </c>
      <c r="AG370" s="6" t="n">
        <v>-0.512275921099875</v>
      </c>
      <c r="AH370" s="6" t="n">
        <v>0.520206882225976</v>
      </c>
      <c r="AI370" s="6" t="n">
        <v>-1.14149532993533</v>
      </c>
      <c r="AJ370" s="6" t="n">
        <v>57.35178208912</v>
      </c>
      <c r="AK370" s="6" t="n">
        <v>0.112344330066534</v>
      </c>
      <c r="AL370" s="6" t="n">
        <v>1.10115916121475</v>
      </c>
      <c r="AN370" s="6" t="n">
        <v>1.27422322098332</v>
      </c>
      <c r="AO370" s="6" t="n">
        <v>1.27452264840793</v>
      </c>
      <c r="AP370" s="6" t="n">
        <v>0.129638693971754</v>
      </c>
      <c r="AQ370" s="6" t="n">
        <v>0</v>
      </c>
      <c r="AR370" s="6" t="n">
        <v>0</v>
      </c>
    </row>
    <row r="371" customFormat="false" ht="15" hidden="false" customHeight="false" outlineLevel="0" collapsed="false">
      <c r="D371" s="0" t="s">
        <v>497</v>
      </c>
      <c r="J371" s="6" t="n">
        <v>-3.49097013462551</v>
      </c>
      <c r="K371" s="6" t="n">
        <v>3.07091443485956</v>
      </c>
      <c r="L371" s="6" t="n">
        <v>0.725382630678359</v>
      </c>
      <c r="M371" s="6" t="n">
        <v>-3.65509662159499</v>
      </c>
      <c r="N371" s="6" t="n">
        <v>1.86425555891617</v>
      </c>
      <c r="O371" s="6" t="n">
        <v>1.40946690568919</v>
      </c>
      <c r="P371" s="6" t="n">
        <v>2.73075917500029</v>
      </c>
      <c r="Q371" s="6" t="n">
        <v>-1.79868354234524</v>
      </c>
      <c r="R371" s="6" t="n">
        <v>3.22523391129393</v>
      </c>
      <c r="S371" s="6" t="n">
        <v>4.6325193448585</v>
      </c>
      <c r="T371" s="6" t="n">
        <v>2.30011915096762</v>
      </c>
      <c r="U371" s="6" t="n">
        <v>1.63242106823814</v>
      </c>
      <c r="V371" s="6" t="n">
        <v>-1.22841752451554</v>
      </c>
      <c r="W371" s="6" t="n">
        <v>-1.51787774693934</v>
      </c>
      <c r="X371" s="6" t="n">
        <v>1.54729457177264</v>
      </c>
      <c r="Y371" s="6" t="n">
        <v>0.430988288683935</v>
      </c>
      <c r="Z371" s="6" t="n">
        <v>0.534787903444333</v>
      </c>
      <c r="AA371" s="6" t="n">
        <v>2.12484460791416</v>
      </c>
      <c r="AB371" s="6" t="n">
        <v>-0.805658360883278</v>
      </c>
      <c r="AC371" s="6" t="n">
        <v>-0.906875280368129</v>
      </c>
      <c r="AD371" s="6" t="n">
        <v>1.39129925603755</v>
      </c>
      <c r="AE371" s="6" t="n">
        <v>-0.990825502690674</v>
      </c>
      <c r="AF371" s="6" t="n">
        <v>-3.13647767977936</v>
      </c>
      <c r="AG371" s="6" t="n">
        <v>-1.55455035354622</v>
      </c>
      <c r="AH371" s="6" t="n">
        <v>1.57637247041572</v>
      </c>
      <c r="AI371" s="6" t="n">
        <v>-0.829341039025834</v>
      </c>
      <c r="AJ371" s="6" t="n">
        <v>77.772839800196</v>
      </c>
      <c r="AK371" s="6" t="n">
        <v>0.107728912901754</v>
      </c>
      <c r="AL371" s="6" t="n">
        <v>1.04158990596226</v>
      </c>
      <c r="AN371" s="6" t="n">
        <v>1.30243849387594</v>
      </c>
      <c r="AO371" s="6" t="n">
        <v>1.30296234915682</v>
      </c>
      <c r="AP371" s="6" t="n">
        <v>0.135212290547069</v>
      </c>
      <c r="AQ371" s="6" t="n">
        <v>0</v>
      </c>
      <c r="AR371" s="6" t="n">
        <v>0</v>
      </c>
    </row>
    <row r="372" customFormat="false" ht="15" hidden="false" customHeight="false" outlineLevel="0" collapsed="false">
      <c r="D372" s="0" t="s">
        <v>498</v>
      </c>
      <c r="J372" s="6" t="n">
        <v>-3.40100431274107</v>
      </c>
      <c r="K372" s="6" t="n">
        <v>2.76742404162269</v>
      </c>
      <c r="L372" s="6" t="n">
        <v>-2.44061551764951</v>
      </c>
      <c r="M372" s="6" t="n">
        <v>-0.860128875146005</v>
      </c>
      <c r="N372" s="6" t="n">
        <v>-1.22063783720824</v>
      </c>
      <c r="O372" s="6" t="n">
        <v>-0.538965583601695</v>
      </c>
      <c r="P372" s="6" t="n">
        <v>0.933780893503176</v>
      </c>
      <c r="Q372" s="6" t="n">
        <v>1.68010782695116</v>
      </c>
      <c r="R372" s="6" t="n">
        <v>0.754766724537138</v>
      </c>
      <c r="S372" s="6" t="n">
        <v>-0.832463491344321</v>
      </c>
      <c r="T372" s="6" t="n">
        <v>-0.187721873628251</v>
      </c>
      <c r="U372" s="6" t="n">
        <v>-0.613845996940477</v>
      </c>
      <c r="V372" s="6" t="n">
        <v>-2.12969031266461</v>
      </c>
      <c r="W372" s="6" t="n">
        <v>-1.30265740786503</v>
      </c>
      <c r="X372" s="6" t="n">
        <v>1.85216819779757</v>
      </c>
      <c r="Y372" s="6" t="n">
        <v>3.82047626975022</v>
      </c>
      <c r="Z372" s="6" t="n">
        <v>0.650088990600826</v>
      </c>
      <c r="AA372" s="6" t="n">
        <v>1.51362070213077</v>
      </c>
      <c r="AB372" s="6" t="n">
        <v>1.79314483949506</v>
      </c>
      <c r="AC372" s="6" t="n">
        <v>1.40744228124881</v>
      </c>
      <c r="AD372" s="6" t="n">
        <v>-1.75474872635891</v>
      </c>
      <c r="AE372" s="6" t="n">
        <v>2.41522850805049</v>
      </c>
      <c r="AF372" s="6" t="n">
        <v>2.35641957398649</v>
      </c>
      <c r="AG372" s="6" t="n">
        <v>-0.0643129616553016</v>
      </c>
      <c r="AH372" s="6" t="n">
        <v>0.674120989773114</v>
      </c>
      <c r="AI372" s="6" t="n">
        <v>-1.24589348927954</v>
      </c>
      <c r="AJ372" s="6" t="n">
        <v>78.3609626950063</v>
      </c>
      <c r="AK372" s="6" t="n">
        <v>0.152757952611731</v>
      </c>
      <c r="AL372" s="6" t="n">
        <v>1.05120392456758</v>
      </c>
      <c r="AN372" s="6" t="n">
        <v>1.29438541567725</v>
      </c>
      <c r="AO372" s="6" t="n">
        <v>1.29539623265</v>
      </c>
      <c r="AP372" s="6" t="n">
        <v>0.133852448757634</v>
      </c>
      <c r="AQ372" s="6" t="n">
        <v>0</v>
      </c>
      <c r="AR372" s="6" t="n">
        <v>0</v>
      </c>
    </row>
    <row r="373" customFormat="false" ht="15" hidden="false" customHeight="false" outlineLevel="0" collapsed="false">
      <c r="D373" s="0" t="s">
        <v>499</v>
      </c>
      <c r="J373" s="6" t="n">
        <v>2.28029568831677</v>
      </c>
      <c r="K373" s="6" t="n">
        <v>1.34649989448729</v>
      </c>
      <c r="L373" s="6" t="n">
        <v>1.04114642806375</v>
      </c>
      <c r="M373" s="6" t="n">
        <v>0.162969018539886</v>
      </c>
      <c r="N373" s="6" t="n">
        <v>0.465253875906539</v>
      </c>
      <c r="O373" s="6" t="n">
        <v>2.23843900637821</v>
      </c>
      <c r="P373" s="6" t="n">
        <v>-1.28856811965955</v>
      </c>
      <c r="Q373" s="6" t="n">
        <v>1.75784686714939</v>
      </c>
      <c r="R373" s="6" t="n">
        <v>1.46351771113976</v>
      </c>
      <c r="S373" s="6" t="n">
        <v>0.912356836442367</v>
      </c>
      <c r="T373" s="6" t="n">
        <v>-2.44381138595814</v>
      </c>
      <c r="U373" s="6" t="n">
        <v>2.63586520420064</v>
      </c>
      <c r="V373" s="6" t="n">
        <v>1.81007770593553</v>
      </c>
      <c r="W373" s="6" t="n">
        <v>2.20213179470643</v>
      </c>
      <c r="X373" s="6" t="n">
        <v>-0.596997775312468</v>
      </c>
      <c r="Y373" s="6" t="n">
        <v>3.94793993781064</v>
      </c>
      <c r="Z373" s="6" t="n">
        <v>-0.737432098101454</v>
      </c>
      <c r="AA373" s="6" t="n">
        <v>-2.21984229764126</v>
      </c>
      <c r="AB373" s="6" t="n">
        <v>-0.740562009748335</v>
      </c>
      <c r="AC373" s="6" t="n">
        <v>3.81144868892929</v>
      </c>
      <c r="AD373" s="6" t="n">
        <v>-3.31355780443632</v>
      </c>
      <c r="AE373" s="6" t="n">
        <v>-3.27271185730523</v>
      </c>
      <c r="AF373" s="6" t="n">
        <v>-0.898397670574696</v>
      </c>
      <c r="AG373" s="6" t="n">
        <v>2.82765413609999</v>
      </c>
      <c r="AH373" s="6" t="n">
        <v>3.8861104676977</v>
      </c>
      <c r="AI373" s="6" t="n">
        <v>0.487968519639042</v>
      </c>
      <c r="AJ373" s="6" t="n">
        <v>82.8969536720244</v>
      </c>
      <c r="AK373" s="6" t="n">
        <v>0.0619822431518507</v>
      </c>
      <c r="AL373" s="6" t="n">
        <v>1.04148804033027</v>
      </c>
      <c r="AN373" s="6" t="n">
        <v>1.31142176259774</v>
      </c>
      <c r="AO373" s="6" t="n">
        <v>1.31216254611131</v>
      </c>
      <c r="AP373" s="6" t="n">
        <v>0.137568610288154</v>
      </c>
      <c r="AQ373" s="6" t="n">
        <v>0</v>
      </c>
      <c r="AR373" s="6" t="n">
        <v>0</v>
      </c>
    </row>
    <row r="374" customFormat="false" ht="15" hidden="false" customHeight="false" outlineLevel="0" collapsed="false">
      <c r="D374" s="0" t="s">
        <v>500</v>
      </c>
      <c r="J374" s="6" t="n">
        <v>0.345436900561597</v>
      </c>
      <c r="K374" s="6" t="n">
        <v>1.61830934832345</v>
      </c>
      <c r="L374" s="6" t="n">
        <v>-2.86438650147845</v>
      </c>
      <c r="M374" s="6" t="n">
        <v>-1.06310633695024</v>
      </c>
      <c r="N374" s="6" t="n">
        <v>2.62088965859179</v>
      </c>
      <c r="O374" s="6" t="n">
        <v>0.801078969789162</v>
      </c>
      <c r="P374" s="6" t="n">
        <v>0.399266416160309</v>
      </c>
      <c r="Q374" s="6" t="n">
        <v>1.72580431794976</v>
      </c>
      <c r="R374" s="6" t="n">
        <v>0.838642394585534</v>
      </c>
      <c r="S374" s="6" t="n">
        <v>-3.26664091115625</v>
      </c>
      <c r="T374" s="6" t="n">
        <v>4.12874046232014</v>
      </c>
      <c r="U374" s="6" t="n">
        <v>-1.05160375115636</v>
      </c>
      <c r="V374" s="6" t="n">
        <v>1.64541212752814</v>
      </c>
      <c r="W374" s="6" t="n">
        <v>-3.04191010500684</v>
      </c>
      <c r="X374" s="6" t="n">
        <v>1.6972569925162</v>
      </c>
      <c r="Y374" s="6" t="n">
        <v>-0.392938067016453</v>
      </c>
      <c r="Z374" s="6" t="n">
        <v>2.12947171538943</v>
      </c>
      <c r="AA374" s="6" t="n">
        <v>-2.2815340827292</v>
      </c>
      <c r="AB374" s="6" t="n">
        <v>-2.44648382453676</v>
      </c>
      <c r="AC374" s="6" t="n">
        <v>2.51029953185993</v>
      </c>
      <c r="AD374" s="6" t="n">
        <v>0.807427953604183</v>
      </c>
      <c r="AE374" s="6" t="n">
        <v>0.0438094874395192</v>
      </c>
      <c r="AF374" s="6" t="n">
        <v>-0.920405240191618</v>
      </c>
      <c r="AG374" s="6" t="n">
        <v>-1.89955627912438</v>
      </c>
      <c r="AH374" s="6" t="n">
        <v>-0.668080654608976</v>
      </c>
      <c r="AI374" s="6" t="n">
        <v>-1.59680496456607</v>
      </c>
      <c r="AJ374" s="6" t="n">
        <v>75.2721862959497</v>
      </c>
      <c r="AK374" s="6" t="n">
        <v>0.0809404516732242</v>
      </c>
      <c r="AL374" s="6" t="n">
        <v>1.06804986569532</v>
      </c>
      <c r="AN374" s="6" t="n">
        <v>1.29386147924868</v>
      </c>
      <c r="AO374" s="6" t="n">
        <v>1.29431459079346</v>
      </c>
      <c r="AP374" s="6" t="n">
        <v>0.133882933744919</v>
      </c>
      <c r="AQ374" s="6" t="n">
        <v>0</v>
      </c>
      <c r="AR374" s="6" t="n">
        <v>0</v>
      </c>
    </row>
    <row r="375" customFormat="false" ht="15" hidden="false" customHeight="false" outlineLevel="0" collapsed="false">
      <c r="D375" s="0" t="s">
        <v>501</v>
      </c>
      <c r="J375" s="6" t="n">
        <v>0.586618353636381</v>
      </c>
      <c r="K375" s="6" t="n">
        <v>0.884835181557973</v>
      </c>
      <c r="L375" s="6" t="n">
        <v>2.11988003136911</v>
      </c>
      <c r="M375" s="6" t="n">
        <v>4.08857406811806</v>
      </c>
      <c r="N375" s="6" t="n">
        <v>-0.893355915093601</v>
      </c>
      <c r="O375" s="6" t="n">
        <v>3.05584305881197</v>
      </c>
      <c r="P375" s="6" t="n">
        <v>-2.56207565758093</v>
      </c>
      <c r="Q375" s="6" t="n">
        <v>1.03191993000853</v>
      </c>
      <c r="R375" s="6" t="n">
        <v>-1.99860958930585</v>
      </c>
      <c r="S375" s="6" t="n">
        <v>1.54187078796864</v>
      </c>
      <c r="T375" s="6" t="n">
        <v>2.19859691408634</v>
      </c>
      <c r="U375" s="6" t="n">
        <v>-0.848202423919878</v>
      </c>
      <c r="V375" s="6" t="n">
        <v>-3.88093014456531</v>
      </c>
      <c r="W375" s="6" t="n">
        <v>-0.0110950679084866</v>
      </c>
      <c r="X375" s="6" t="n">
        <v>1.76385066944723</v>
      </c>
      <c r="Y375" s="6" t="n">
        <v>-1.94528573937161</v>
      </c>
      <c r="Z375" s="6" t="n">
        <v>-0.505677621021978</v>
      </c>
      <c r="AA375" s="6" t="n">
        <v>0.12993003794013</v>
      </c>
      <c r="AB375" s="6" t="n">
        <v>-0.751117218728468</v>
      </c>
      <c r="AC375" s="6" t="n">
        <v>0.495890503068735</v>
      </c>
      <c r="AD375" s="6" t="n">
        <v>0.284074035673006</v>
      </c>
      <c r="AE375" s="6" t="n">
        <v>0.317909068053013</v>
      </c>
      <c r="AF375" s="6" t="n">
        <v>-0.0831070689187165</v>
      </c>
      <c r="AG375" s="6" t="n">
        <v>-1.85335192401639</v>
      </c>
      <c r="AH375" s="6" t="n">
        <v>0.821345504333478</v>
      </c>
      <c r="AI375" s="6" t="n">
        <v>2.35115623608953</v>
      </c>
      <c r="AJ375" s="6" t="n">
        <v>66.1991126526348</v>
      </c>
      <c r="AK375" s="6" t="n">
        <v>0.175986563325779</v>
      </c>
      <c r="AL375" s="6" t="n">
        <v>1.12176556733309</v>
      </c>
      <c r="AN375" s="6" t="n">
        <v>1.26247982836717</v>
      </c>
      <c r="AO375" s="6" t="n">
        <v>1.26325593058925</v>
      </c>
      <c r="AP375" s="6" t="n">
        <v>0.128151642382499</v>
      </c>
      <c r="AQ375" s="6" t="n">
        <v>0</v>
      </c>
      <c r="AR375" s="6" t="n">
        <v>0</v>
      </c>
    </row>
    <row r="376" customFormat="false" ht="15" hidden="false" customHeight="false" outlineLevel="0" collapsed="false">
      <c r="D376" s="0" t="s">
        <v>502</v>
      </c>
      <c r="J376" s="6" t="n">
        <v>-1.38612070491138</v>
      </c>
      <c r="K376" s="6" t="n">
        <v>1.39548781140885</v>
      </c>
      <c r="L376" s="6" t="n">
        <v>0.485327383353135</v>
      </c>
      <c r="M376" s="6" t="n">
        <v>-1.06752749194242</v>
      </c>
      <c r="N376" s="6" t="n">
        <v>-0.9599276880789</v>
      </c>
      <c r="O376" s="6" t="n">
        <v>3.06911066958556</v>
      </c>
      <c r="P376" s="6" t="n">
        <v>-2.141709034367</v>
      </c>
      <c r="Q376" s="6" t="n">
        <v>5</v>
      </c>
      <c r="R376" s="6" t="n">
        <v>0.166501042546143</v>
      </c>
      <c r="S376" s="6" t="n">
        <v>-3.08347239518257</v>
      </c>
      <c r="T376" s="6" t="n">
        <v>2.43460807402927</v>
      </c>
      <c r="U376" s="6" t="n">
        <v>-3.65241765151069</v>
      </c>
      <c r="V376" s="6" t="n">
        <v>-4.75278532829791</v>
      </c>
      <c r="W376" s="6" t="n">
        <v>-1.39811996105956</v>
      </c>
      <c r="X376" s="6" t="n">
        <v>-0.837512918257348</v>
      </c>
      <c r="Y376" s="6" t="n">
        <v>2.41619068027016</v>
      </c>
      <c r="Z376" s="6" t="n">
        <v>0.906763381897432</v>
      </c>
      <c r="AA376" s="6" t="n">
        <v>0.74403084475842</v>
      </c>
      <c r="AB376" s="6" t="n">
        <v>-1.39217445336666</v>
      </c>
      <c r="AC376" s="6" t="n">
        <v>-0.703970645242124</v>
      </c>
      <c r="AD376" s="6" t="n">
        <v>-1.35171167372946</v>
      </c>
      <c r="AE376" s="6" t="n">
        <v>1.82117001841186</v>
      </c>
      <c r="AF376" s="6" t="n">
        <v>-2.83616659901097</v>
      </c>
      <c r="AG376" s="6" t="n">
        <v>1.30698696811515</v>
      </c>
      <c r="AH376" s="6" t="n">
        <v>1.23283293801751</v>
      </c>
      <c r="AI376" s="6" t="n">
        <v>-0.0835278613294499</v>
      </c>
      <c r="AJ376" s="6" t="n">
        <v>74.3824768711322</v>
      </c>
      <c r="AK376" s="6" t="n">
        <v>0.160473729027912</v>
      </c>
      <c r="AL376" s="6" t="n">
        <v>1.04085661609405</v>
      </c>
      <c r="AN376" s="6" t="n">
        <v>1.29531825404853</v>
      </c>
      <c r="AO376" s="6" t="n">
        <v>1.29556054026076</v>
      </c>
      <c r="AP376" s="6" t="n">
        <v>0.134059207166748</v>
      </c>
      <c r="AQ376" s="6" t="n">
        <v>0</v>
      </c>
      <c r="AR376" s="6" t="n">
        <v>0</v>
      </c>
    </row>
    <row r="377" customFormat="false" ht="15" hidden="false" customHeight="false" outlineLevel="0" collapsed="false">
      <c r="D377" s="0" t="s">
        <v>503</v>
      </c>
      <c r="J377" s="6" t="n">
        <v>-2.49659252744551</v>
      </c>
      <c r="K377" s="6" t="n">
        <v>-1.10828950254907</v>
      </c>
      <c r="L377" s="6" t="n">
        <v>-0.544410595016294</v>
      </c>
      <c r="M377" s="6" t="n">
        <v>-1.78662611314666</v>
      </c>
      <c r="N377" s="6" t="n">
        <v>0.342411245845491</v>
      </c>
      <c r="O377" s="6" t="n">
        <v>-1.43074922703442</v>
      </c>
      <c r="P377" s="6" t="n">
        <v>-1.8264696313505</v>
      </c>
      <c r="Q377" s="6" t="n">
        <v>-1.32289535684927</v>
      </c>
      <c r="R377" s="6" t="n">
        <v>-4.47432404557208</v>
      </c>
      <c r="S377" s="6" t="n">
        <v>-2.89713072679773</v>
      </c>
      <c r="T377" s="6" t="n">
        <v>-0.432111976809608</v>
      </c>
      <c r="U377" s="6" t="n">
        <v>-0.244663921701957</v>
      </c>
      <c r="V377" s="6" t="n">
        <v>-0.818939199547675</v>
      </c>
      <c r="W377" s="6" t="n">
        <v>-2.57748241492813</v>
      </c>
      <c r="X377" s="6" t="n">
        <v>3.22609183797465</v>
      </c>
      <c r="Y377" s="6" t="n">
        <v>-1.71988954391291</v>
      </c>
      <c r="Z377" s="6" t="n">
        <v>1.67697190496903</v>
      </c>
      <c r="AA377" s="6" t="n">
        <v>1.90897433434813</v>
      </c>
      <c r="AB377" s="6" t="n">
        <v>-2.14230580281661</v>
      </c>
      <c r="AC377" s="6" t="n">
        <v>0.351099178563297</v>
      </c>
      <c r="AD377" s="6" t="n">
        <v>3.59022426770445</v>
      </c>
      <c r="AE377" s="6" t="n">
        <v>1.51516882211392</v>
      </c>
      <c r="AF377" s="6" t="n">
        <v>-1.5029155035548</v>
      </c>
      <c r="AG377" s="6" t="n">
        <v>2.64574047558221</v>
      </c>
      <c r="AH377" s="6" t="n">
        <v>3.51311657639968</v>
      </c>
      <c r="AI377" s="6" t="n">
        <v>2.78332615179751</v>
      </c>
      <c r="AJ377" s="6" t="n">
        <v>74.4672545060516</v>
      </c>
      <c r="AK377" s="6" t="n">
        <v>0.129193157832759</v>
      </c>
      <c r="AL377" s="6" t="n">
        <v>1.06339056071957</v>
      </c>
      <c r="AN377" s="6" t="n">
        <v>1.29277535445069</v>
      </c>
      <c r="AO377" s="6" t="n">
        <v>1.29329379076441</v>
      </c>
      <c r="AP377" s="6" t="n">
        <v>0.132757482883231</v>
      </c>
      <c r="AQ377" s="6" t="n">
        <v>0</v>
      </c>
      <c r="AR377" s="6" t="n">
        <v>0</v>
      </c>
    </row>
    <row r="378" customFormat="false" ht="15" hidden="false" customHeight="false" outlineLevel="0" collapsed="false">
      <c r="D378" s="0" t="s">
        <v>504</v>
      </c>
      <c r="J378" s="6" t="n">
        <v>0.175694096494897</v>
      </c>
      <c r="K378" s="6" t="n">
        <v>-0.565856170760443</v>
      </c>
      <c r="L378" s="6" t="n">
        <v>0.646098211638839</v>
      </c>
      <c r="M378" s="6" t="n">
        <v>1.87567688389208</v>
      </c>
      <c r="N378" s="6" t="n">
        <v>2.63168373913103</v>
      </c>
      <c r="O378" s="6" t="n">
        <v>1.31729309499138</v>
      </c>
      <c r="P378" s="6" t="n">
        <v>-1.01484907073203</v>
      </c>
      <c r="Q378" s="6" t="n">
        <v>3.02382106927123</v>
      </c>
      <c r="R378" s="6" t="n">
        <v>0.06527400531384</v>
      </c>
      <c r="S378" s="6" t="n">
        <v>-1.41182465601107</v>
      </c>
      <c r="T378" s="6" t="n">
        <v>-0.917817843929055</v>
      </c>
      <c r="U378" s="6" t="n">
        <v>1.35451583438646</v>
      </c>
      <c r="V378" s="6" t="n">
        <v>-1.51818861465576</v>
      </c>
      <c r="W378" s="6" t="n">
        <v>1.01678555522527</v>
      </c>
      <c r="X378" s="6" t="n">
        <v>1.50319348703632</v>
      </c>
      <c r="Y378" s="6" t="n">
        <v>3.38266884780884</v>
      </c>
      <c r="Z378" s="6" t="n">
        <v>-4.28580936954063</v>
      </c>
      <c r="AA378" s="6" t="n">
        <v>-0.872682120728211</v>
      </c>
      <c r="AB378" s="6" t="n">
        <v>-5.22298641727344</v>
      </c>
      <c r="AC378" s="6" t="n">
        <v>1.63227506411779</v>
      </c>
      <c r="AD378" s="6" t="n">
        <v>-1.49369840194427</v>
      </c>
      <c r="AE378" s="6" t="n">
        <v>-0.878651156569753</v>
      </c>
      <c r="AF378" s="6" t="n">
        <v>-0.1584514224836</v>
      </c>
      <c r="AG378" s="6" t="n">
        <v>-1.23159456056035</v>
      </c>
      <c r="AH378" s="6" t="n">
        <v>0.594996888980802</v>
      </c>
      <c r="AI378" s="6" t="n">
        <v>1.21075929123362</v>
      </c>
      <c r="AJ378" s="6" t="n">
        <v>74.1000758245103</v>
      </c>
      <c r="AK378" s="6" t="n">
        <v>0.122831331689042</v>
      </c>
      <c r="AL378" s="6" t="n">
        <v>1.09863859617832</v>
      </c>
      <c r="AN378" s="6" t="n">
        <v>1.27746458111799</v>
      </c>
      <c r="AO378" s="6" t="n">
        <v>1.27795328736889</v>
      </c>
      <c r="AP378" s="6" t="n">
        <v>0.130876031448688</v>
      </c>
      <c r="AQ378" s="6" t="n">
        <v>0</v>
      </c>
      <c r="AR378" s="6" t="n">
        <v>0</v>
      </c>
    </row>
    <row r="379" customFormat="false" ht="15" hidden="false" customHeight="false" outlineLevel="0" collapsed="false">
      <c r="D379" s="0" t="s">
        <v>505</v>
      </c>
      <c r="J379" s="6" t="n">
        <v>-2.02585160712113</v>
      </c>
      <c r="K379" s="6" t="n">
        <v>-0.502356311003579</v>
      </c>
      <c r="L379" s="6" t="n">
        <v>-2.3586255644524</v>
      </c>
      <c r="M379" s="6" t="n">
        <v>1.19554641904893</v>
      </c>
      <c r="N379" s="6" t="n">
        <v>0.707555690489991</v>
      </c>
      <c r="O379" s="6" t="n">
        <v>-0.434076904670896</v>
      </c>
      <c r="P379" s="6" t="n">
        <v>1.98373353283993</v>
      </c>
      <c r="Q379" s="6" t="n">
        <v>0.607478488106773</v>
      </c>
      <c r="R379" s="6" t="n">
        <v>-1.52586954588549</v>
      </c>
      <c r="S379" s="6" t="n">
        <v>0.0703009760867413</v>
      </c>
      <c r="T379" s="6" t="n">
        <v>0.707666501554217</v>
      </c>
      <c r="U379" s="6" t="n">
        <v>0.544402263081739</v>
      </c>
      <c r="V379" s="6" t="n">
        <v>0.265610790314851</v>
      </c>
      <c r="W379" s="6" t="n">
        <v>-2.41840522629707</v>
      </c>
      <c r="X379" s="6" t="n">
        <v>0.684590622450641</v>
      </c>
      <c r="Y379" s="6" t="n">
        <v>1.51364044575397</v>
      </c>
      <c r="Z379" s="6" t="n">
        <v>3.37890900276768</v>
      </c>
      <c r="AA379" s="6" t="n">
        <v>1.52844804678526</v>
      </c>
      <c r="AB379" s="6" t="n">
        <v>-0.260432659197308</v>
      </c>
      <c r="AC379" s="6" t="n">
        <v>-1.86211804271196</v>
      </c>
      <c r="AD379" s="6" t="n">
        <v>-0.113986760433503</v>
      </c>
      <c r="AE379" s="6" t="n">
        <v>-0.522113315101878</v>
      </c>
      <c r="AF379" s="6" t="n">
        <v>-1.65905757651352</v>
      </c>
      <c r="AG379" s="6" t="n">
        <v>2.38255830458465</v>
      </c>
      <c r="AH379" s="6" t="n">
        <v>-1.24561520197257</v>
      </c>
      <c r="AI379" s="6" t="n">
        <v>1.3659377595577</v>
      </c>
      <c r="AJ379" s="6" t="n">
        <v>73.8700159205028</v>
      </c>
      <c r="AK379" s="6" t="n">
        <v>0.059069389889541</v>
      </c>
      <c r="AL379" s="6" t="n">
        <v>1.06890996424549</v>
      </c>
      <c r="AN379" s="6" t="n">
        <v>1.29605541317836</v>
      </c>
      <c r="AO379" s="6" t="n">
        <v>1.29693080629804</v>
      </c>
      <c r="AP379" s="6" t="n">
        <v>0.134464860758596</v>
      </c>
      <c r="AQ379" s="6" t="n">
        <v>0</v>
      </c>
      <c r="AR379" s="6" t="n">
        <v>0</v>
      </c>
    </row>
    <row r="380" customFormat="false" ht="15" hidden="false" customHeight="false" outlineLevel="0" collapsed="false">
      <c r="D380" s="0" t="s">
        <v>506</v>
      </c>
      <c r="J380" s="6" t="n">
        <v>-1.37684978929402</v>
      </c>
      <c r="K380" s="6" t="n">
        <v>-1.9469646449099</v>
      </c>
      <c r="L380" s="6" t="n">
        <v>-0.390019351915841</v>
      </c>
      <c r="M380" s="6" t="n">
        <v>-2.97407614309793</v>
      </c>
      <c r="N380" s="6" t="n">
        <v>-0.590851759283343</v>
      </c>
      <c r="O380" s="6" t="n">
        <v>0.826516314443192</v>
      </c>
      <c r="P380" s="6" t="n">
        <v>-0.791753610884506</v>
      </c>
      <c r="Q380" s="6" t="n">
        <v>1.07072647869517</v>
      </c>
      <c r="R380" s="6" t="n">
        <v>-0.856812548233308</v>
      </c>
      <c r="S380" s="6" t="n">
        <v>-0.212218049209964</v>
      </c>
      <c r="T380" s="6" t="n">
        <v>-2.32182659318359</v>
      </c>
      <c r="U380" s="6" t="n">
        <v>1.68911365080268</v>
      </c>
      <c r="V380" s="6" t="n">
        <v>-2.38857503554999</v>
      </c>
      <c r="W380" s="6" t="n">
        <v>-2.45437242819358</v>
      </c>
      <c r="X380" s="6" t="n">
        <v>-2.83798539900341</v>
      </c>
      <c r="Y380" s="6" t="n">
        <v>0.9423323605367</v>
      </c>
      <c r="Z380" s="6" t="n">
        <v>-3.37317539786554</v>
      </c>
      <c r="AA380" s="6" t="n">
        <v>-0.120504596801095</v>
      </c>
      <c r="AB380" s="6" t="n">
        <v>1.77797236345459</v>
      </c>
      <c r="AC380" s="6" t="n">
        <v>1.37975704952955</v>
      </c>
      <c r="AD380" s="6" t="n">
        <v>3.19593143190312</v>
      </c>
      <c r="AE380" s="6" t="n">
        <v>-2.25928573112847</v>
      </c>
      <c r="AF380" s="6" t="n">
        <v>-1.24151371403598</v>
      </c>
      <c r="AG380" s="6" t="n">
        <v>0.693148269782896</v>
      </c>
      <c r="AH380" s="6" t="n">
        <v>-3.41510212865326</v>
      </c>
      <c r="AI380" s="6" t="n">
        <v>-2.80386229589906</v>
      </c>
      <c r="AJ380" s="6" t="n">
        <v>80.6254002627424</v>
      </c>
      <c r="AK380" s="6" t="n">
        <v>0.120108413921872</v>
      </c>
      <c r="AL380" s="6" t="n">
        <v>1.02391897823724</v>
      </c>
      <c r="AN380" s="6" t="n">
        <v>1.31383224349026</v>
      </c>
      <c r="AO380" s="6" t="n">
        <v>1.31431366186601</v>
      </c>
      <c r="AP380" s="6" t="n">
        <v>0.137812455922181</v>
      </c>
      <c r="AQ380" s="6" t="n">
        <v>0</v>
      </c>
      <c r="AR380" s="6" t="n">
        <v>0</v>
      </c>
    </row>
    <row r="381" customFormat="false" ht="15" hidden="false" customHeight="false" outlineLevel="0" collapsed="false">
      <c r="D381" s="0" t="s">
        <v>507</v>
      </c>
      <c r="J381" s="6" t="n">
        <v>-0.529770351944926</v>
      </c>
      <c r="K381" s="6" t="n">
        <v>-0.164672712464638</v>
      </c>
      <c r="L381" s="6" t="n">
        <v>0.00422896323906899</v>
      </c>
      <c r="M381" s="6" t="n">
        <v>1.51076225850664</v>
      </c>
      <c r="N381" s="6" t="n">
        <v>0.216860083854887</v>
      </c>
      <c r="O381" s="6" t="n">
        <v>-0.936403550270359</v>
      </c>
      <c r="P381" s="6" t="n">
        <v>-0.426011561348545</v>
      </c>
      <c r="Q381" s="6" t="n">
        <v>0.473382051229704</v>
      </c>
      <c r="R381" s="6" t="n">
        <v>-0.146156749024393</v>
      </c>
      <c r="S381" s="6" t="n">
        <v>-1.16343805491732</v>
      </c>
      <c r="T381" s="6" t="n">
        <v>-2.38269010515868</v>
      </c>
      <c r="U381" s="6" t="n">
        <v>-2.07016215876801</v>
      </c>
      <c r="V381" s="6" t="n">
        <v>-1.20005222771362</v>
      </c>
      <c r="W381" s="6" t="n">
        <v>3.48304405418556</v>
      </c>
      <c r="X381" s="6" t="n">
        <v>-3.25054763399522</v>
      </c>
      <c r="Y381" s="6" t="n">
        <v>3.65898757072148</v>
      </c>
      <c r="Z381" s="6" t="n">
        <v>-0.884629495656809</v>
      </c>
      <c r="AA381" s="6" t="n">
        <v>-2.25876355989011</v>
      </c>
      <c r="AB381" s="6" t="n">
        <v>-2.32552869346339</v>
      </c>
      <c r="AC381" s="6" t="n">
        <v>-0.752108605172942</v>
      </c>
      <c r="AD381" s="6" t="n">
        <v>0.0252163723990593</v>
      </c>
      <c r="AE381" s="6" t="n">
        <v>-0.00417211782975249</v>
      </c>
      <c r="AF381" s="6" t="n">
        <v>-1.43304297409902</v>
      </c>
      <c r="AG381" s="6" t="n">
        <v>-1.4169892987834</v>
      </c>
      <c r="AH381" s="6" t="n">
        <v>0.336769840383707</v>
      </c>
      <c r="AI381" s="6" t="n">
        <v>-1.56113446114179</v>
      </c>
      <c r="AJ381" s="6" t="n">
        <v>68.2031461065359</v>
      </c>
      <c r="AK381" s="6" t="n">
        <v>0.124790257526046</v>
      </c>
      <c r="AL381" s="6" t="n">
        <v>1.05562848059251</v>
      </c>
      <c r="AN381" s="6" t="n">
        <v>1.29286176659185</v>
      </c>
      <c r="AO381" s="6" t="n">
        <v>1.29345209603269</v>
      </c>
      <c r="AP381" s="6" t="n">
        <v>0.133359177170062</v>
      </c>
      <c r="AQ381" s="6" t="n">
        <v>0</v>
      </c>
      <c r="AR381" s="6" t="n">
        <v>0</v>
      </c>
    </row>
    <row r="382" customFormat="false" ht="15" hidden="false" customHeight="false" outlineLevel="0" collapsed="false">
      <c r="D382" s="0" t="s">
        <v>508</v>
      </c>
      <c r="J382" s="6" t="n">
        <v>1.8432528878283</v>
      </c>
      <c r="K382" s="6" t="n">
        <v>0.00365065238841705</v>
      </c>
      <c r="L382" s="6" t="n">
        <v>-0.409562157005281</v>
      </c>
      <c r="M382" s="6" t="n">
        <v>-2.73932701853915</v>
      </c>
      <c r="N382" s="6" t="n">
        <v>2.48300254018584</v>
      </c>
      <c r="O382" s="6" t="n">
        <v>-4.5708212148516</v>
      </c>
      <c r="P382" s="6" t="n">
        <v>-1.13430292409696</v>
      </c>
      <c r="Q382" s="6" t="n">
        <v>-3.14451370892555</v>
      </c>
      <c r="R382" s="6" t="n">
        <v>-0.215724883526931</v>
      </c>
      <c r="S382" s="6" t="n">
        <v>1.14888889709513</v>
      </c>
      <c r="T382" s="6" t="n">
        <v>0.525964079811073</v>
      </c>
      <c r="U382" s="6" t="n">
        <v>-0.741983274550135</v>
      </c>
      <c r="V382" s="6" t="n">
        <v>-2.34105153367452</v>
      </c>
      <c r="W382" s="6" t="n">
        <v>2.60913920651211</v>
      </c>
      <c r="X382" s="6" t="n">
        <v>0.217028434992598</v>
      </c>
      <c r="Y382" s="6" t="n">
        <v>-2.31114246107251</v>
      </c>
      <c r="Z382" s="6" t="n">
        <v>0.658733341200515</v>
      </c>
      <c r="AA382" s="6" t="n">
        <v>-3.37999020128238</v>
      </c>
      <c r="AB382" s="6" t="n">
        <v>-0.160408475527449</v>
      </c>
      <c r="AC382" s="6" t="n">
        <v>0.816776346821797</v>
      </c>
      <c r="AD382" s="6" t="n">
        <v>3.13527277898256</v>
      </c>
      <c r="AE382" s="6" t="n">
        <v>-1.19788724454461</v>
      </c>
      <c r="AF382" s="6" t="n">
        <v>1.35553395223488</v>
      </c>
      <c r="AG382" s="6" t="n">
        <v>1.67796624731959</v>
      </c>
      <c r="AH382" s="6" t="n">
        <v>-1.22272583252183</v>
      </c>
      <c r="AI382" s="6" t="n">
        <v>3.23118750946245</v>
      </c>
      <c r="AJ382" s="6" t="n">
        <v>75.1198597633993</v>
      </c>
      <c r="AK382" s="6" t="n">
        <v>0.15282973145711</v>
      </c>
      <c r="AL382" s="6" t="n">
        <v>1.05411785038454</v>
      </c>
      <c r="AN382" s="6" t="n">
        <v>1.27553645042259</v>
      </c>
      <c r="AO382" s="6" t="n">
        <v>1.28079545055661</v>
      </c>
      <c r="AP382" s="6" t="n">
        <v>0.132337840934217</v>
      </c>
      <c r="AQ382" s="6" t="n">
        <v>0</v>
      </c>
      <c r="AR382" s="6" t="n">
        <v>0</v>
      </c>
    </row>
    <row r="383" customFormat="false" ht="15" hidden="false" customHeight="false" outlineLevel="0" collapsed="false">
      <c r="D383" s="0" t="s">
        <v>509</v>
      </c>
      <c r="J383" s="6" t="n">
        <v>2.26435475152715</v>
      </c>
      <c r="K383" s="6" t="n">
        <v>0.483273169570655</v>
      </c>
      <c r="L383" s="6" t="n">
        <v>-2.44789382004279</v>
      </c>
      <c r="M383" s="6" t="n">
        <v>2.51598084672701</v>
      </c>
      <c r="N383" s="6" t="n">
        <v>-5.15595653241583</v>
      </c>
      <c r="O383" s="6" t="n">
        <v>-2.94852948519063</v>
      </c>
      <c r="P383" s="6" t="n">
        <v>-2.87806226514247</v>
      </c>
      <c r="Q383" s="6" t="n">
        <v>-0.294990326393112</v>
      </c>
      <c r="R383" s="6" t="n">
        <v>1.96474435182497</v>
      </c>
      <c r="S383" s="6" t="n">
        <v>-1.54694591388395</v>
      </c>
      <c r="T383" s="6" t="n">
        <v>3.61719531912274</v>
      </c>
      <c r="U383" s="6" t="n">
        <v>1.0089622215075</v>
      </c>
      <c r="V383" s="6" t="n">
        <v>-3.98493193389625</v>
      </c>
      <c r="W383" s="6" t="n">
        <v>-3.37275776637713</v>
      </c>
      <c r="X383" s="6" t="n">
        <v>-0.335559578434321</v>
      </c>
      <c r="Y383" s="6" t="n">
        <v>-1.38431521173339</v>
      </c>
      <c r="Z383" s="6" t="n">
        <v>-4.6515807507408</v>
      </c>
      <c r="AA383" s="6" t="n">
        <v>1.27607148539569</v>
      </c>
      <c r="AB383" s="6" t="n">
        <v>-2.61662434945942</v>
      </c>
      <c r="AC383" s="6" t="n">
        <v>-0.763680184339253</v>
      </c>
      <c r="AD383" s="6" t="n">
        <v>4.02889244191104</v>
      </c>
      <c r="AE383" s="6" t="n">
        <v>1.83467918286483</v>
      </c>
      <c r="AF383" s="6" t="n">
        <v>-3.15762352106586</v>
      </c>
      <c r="AG383" s="6" t="n">
        <v>1.60955053066846</v>
      </c>
      <c r="AH383" s="6" t="n">
        <v>3.22397057875256</v>
      </c>
      <c r="AI383" s="6" t="n">
        <v>-1.08312414570609</v>
      </c>
      <c r="AJ383" s="6" t="n">
        <v>70.6146242735345</v>
      </c>
      <c r="AK383" s="6" t="n">
        <v>0.100468468648133</v>
      </c>
      <c r="AL383" s="6" t="n">
        <v>1.10552946025424</v>
      </c>
      <c r="AN383" s="6" t="n">
        <v>1.27079220006221</v>
      </c>
      <c r="AO383" s="6" t="n">
        <v>1.27505729883173</v>
      </c>
      <c r="AP383" s="6" t="n">
        <v>0.13078123245662</v>
      </c>
      <c r="AQ383" s="6" t="n">
        <v>0</v>
      </c>
      <c r="AR383" s="6" t="n">
        <v>0</v>
      </c>
    </row>
    <row r="384" customFormat="false" ht="15" hidden="false" customHeight="false" outlineLevel="0" collapsed="false">
      <c r="D384" s="0" t="s">
        <v>510</v>
      </c>
      <c r="J384" s="6" t="n">
        <v>0.482820240899965</v>
      </c>
      <c r="K384" s="6" t="n">
        <v>-0.263338184526929</v>
      </c>
      <c r="L384" s="6" t="n">
        <v>3.74293678315091</v>
      </c>
      <c r="M384" s="6" t="n">
        <v>-2.46470374072929</v>
      </c>
      <c r="N384" s="6" t="n">
        <v>-0.555136906324986</v>
      </c>
      <c r="O384" s="6" t="n">
        <v>-1.93027141677034</v>
      </c>
      <c r="P384" s="6" t="n">
        <v>0.862516255910225</v>
      </c>
      <c r="Q384" s="6" t="n">
        <v>-1.4371434884615</v>
      </c>
      <c r="R384" s="6" t="n">
        <v>3.59395785388168</v>
      </c>
      <c r="S384" s="6" t="n">
        <v>1.85710211640422</v>
      </c>
      <c r="T384" s="6" t="n">
        <v>-2.55780272442438</v>
      </c>
      <c r="U384" s="6" t="n">
        <v>0.603785939541015</v>
      </c>
      <c r="V384" s="6" t="n">
        <v>-0.767173401407368</v>
      </c>
      <c r="W384" s="6" t="n">
        <v>-0.0632765857510042</v>
      </c>
      <c r="X384" s="6" t="n">
        <v>-1.85990681186404</v>
      </c>
      <c r="Y384" s="6" t="n">
        <v>-0.911092605941994</v>
      </c>
      <c r="Z384" s="6" t="n">
        <v>0.364098973479349</v>
      </c>
      <c r="AA384" s="6" t="n">
        <v>-0.614859150511594</v>
      </c>
      <c r="AB384" s="6" t="n">
        <v>-2.33432333311731</v>
      </c>
      <c r="AC384" s="6" t="n">
        <v>1.48393122705959</v>
      </c>
      <c r="AD384" s="6" t="n">
        <v>1.66405974571608</v>
      </c>
      <c r="AE384" s="6" t="n">
        <v>2.6871469107727</v>
      </c>
      <c r="AF384" s="6" t="n">
        <v>4.61676576216495</v>
      </c>
      <c r="AG384" s="6" t="n">
        <v>-0.553729625570612</v>
      </c>
      <c r="AH384" s="6" t="n">
        <v>-0.445472673790318</v>
      </c>
      <c r="AI384" s="6" t="n">
        <v>2.66082045497233</v>
      </c>
      <c r="AJ384" s="6" t="n">
        <v>78.9334110596435</v>
      </c>
      <c r="AK384" s="6" t="n">
        <v>0.124235185255816</v>
      </c>
      <c r="AL384" s="6" t="n">
        <v>1.0615482349986</v>
      </c>
      <c r="AN384" s="6" t="n">
        <v>1.29495607579009</v>
      </c>
      <c r="AO384" s="6" t="n">
        <v>1.29563674798551</v>
      </c>
      <c r="AP384" s="6" t="n">
        <v>0.133169647077098</v>
      </c>
      <c r="AQ384" s="6" t="n">
        <v>0</v>
      </c>
      <c r="AR384" s="6" t="n">
        <v>0</v>
      </c>
    </row>
    <row r="385" customFormat="false" ht="15" hidden="false" customHeight="false" outlineLevel="0" collapsed="false">
      <c r="D385" s="0" t="s">
        <v>511</v>
      </c>
      <c r="J385" s="6" t="n">
        <v>-0.090360490853452</v>
      </c>
      <c r="K385" s="6" t="n">
        <v>-0.886682285773997</v>
      </c>
      <c r="L385" s="6" t="n">
        <v>0.481953524449392</v>
      </c>
      <c r="M385" s="6" t="n">
        <v>2.80664574857956</v>
      </c>
      <c r="N385" s="6" t="n">
        <v>-0.945935839800834</v>
      </c>
      <c r="O385" s="6" t="n">
        <v>2.49140956446073</v>
      </c>
      <c r="P385" s="6" t="n">
        <v>0.135971149198491</v>
      </c>
      <c r="Q385" s="6" t="n">
        <v>-0.327678451792641</v>
      </c>
      <c r="R385" s="6" t="n">
        <v>-1.81706773515254</v>
      </c>
      <c r="S385" s="6" t="n">
        <v>-1.79717849922289</v>
      </c>
      <c r="T385" s="6" t="n">
        <v>-0.913259606000848</v>
      </c>
      <c r="U385" s="6" t="n">
        <v>0.713322777378527</v>
      </c>
      <c r="V385" s="6" t="n">
        <v>-0.916160011844707</v>
      </c>
      <c r="W385" s="6" t="n">
        <v>-0.675202374692378</v>
      </c>
      <c r="X385" s="6" t="n">
        <v>-0.861489898343624</v>
      </c>
      <c r="Y385" s="6" t="n">
        <v>1.90604218308003</v>
      </c>
      <c r="Z385" s="6" t="n">
        <v>0.0307038712436711</v>
      </c>
      <c r="AA385" s="6" t="n">
        <v>0.970786472320578</v>
      </c>
      <c r="AB385" s="6" t="n">
        <v>-0.356075788833429</v>
      </c>
      <c r="AC385" s="6" t="n">
        <v>0.615042172837207</v>
      </c>
      <c r="AD385" s="6" t="n">
        <v>-1.81917688430374</v>
      </c>
      <c r="AE385" s="6" t="n">
        <v>1.09065752645235</v>
      </c>
      <c r="AF385" s="6" t="n">
        <v>-0.514462769055354</v>
      </c>
      <c r="AG385" s="6" t="n">
        <v>3.06586167771731</v>
      </c>
      <c r="AH385" s="6" t="n">
        <v>-3.22636419825903</v>
      </c>
      <c r="AI385" s="6" t="n">
        <v>1.24004982085007</v>
      </c>
      <c r="AJ385" s="6" t="n">
        <v>75.9339571293059</v>
      </c>
      <c r="AK385" s="6" t="n">
        <v>0.127160202328089</v>
      </c>
      <c r="AL385" s="6" t="n">
        <v>1.03355446221621</v>
      </c>
      <c r="AN385" s="6" t="n">
        <v>1.3035620196689</v>
      </c>
      <c r="AO385" s="6" t="n">
        <v>1.30356232781801</v>
      </c>
      <c r="AP385" s="6" t="n">
        <v>0.136021227411091</v>
      </c>
      <c r="AQ385" s="6" t="n">
        <v>0</v>
      </c>
      <c r="AR385" s="6" t="n">
        <v>0</v>
      </c>
    </row>
    <row r="386" customFormat="false" ht="15" hidden="false" customHeight="false" outlineLevel="0" collapsed="false">
      <c r="D386" s="0" t="s">
        <v>512</v>
      </c>
      <c r="J386" s="6" t="n">
        <v>1.16693588307268</v>
      </c>
      <c r="K386" s="6" t="n">
        <v>2.21453287848289</v>
      </c>
      <c r="L386" s="6" t="n">
        <v>-2.72490820574154</v>
      </c>
      <c r="M386" s="6" t="n">
        <v>-3.29474416804034</v>
      </c>
      <c r="N386" s="6" t="n">
        <v>2.20860876507948</v>
      </c>
      <c r="O386" s="6" t="n">
        <v>1.44084243515548</v>
      </c>
      <c r="P386" s="6" t="n">
        <v>0.933909456670604</v>
      </c>
      <c r="Q386" s="6" t="n">
        <v>-2.51063010712359</v>
      </c>
      <c r="R386" s="6" t="n">
        <v>-2.45816494069007</v>
      </c>
      <c r="S386" s="6" t="n">
        <v>0.516099788180433</v>
      </c>
      <c r="T386" s="6" t="n">
        <v>0.417212005063203</v>
      </c>
      <c r="U386" s="6" t="n">
        <v>2.30387859907532</v>
      </c>
      <c r="V386" s="6" t="n">
        <v>-0.683889171581722</v>
      </c>
      <c r="W386" s="6" t="n">
        <v>2.04285328279498</v>
      </c>
      <c r="X386" s="6" t="n">
        <v>0.707536833886981</v>
      </c>
      <c r="Y386" s="6" t="n">
        <v>3.61015636384622</v>
      </c>
      <c r="Z386" s="6" t="n">
        <v>3.70914720028535</v>
      </c>
      <c r="AA386" s="6" t="n">
        <v>-2.26841316663349</v>
      </c>
      <c r="AB386" s="6" t="n">
        <v>3.25645656327493</v>
      </c>
      <c r="AC386" s="6" t="n">
        <v>0.73493145753445</v>
      </c>
      <c r="AD386" s="6" t="n">
        <v>2.31916264112559</v>
      </c>
      <c r="AE386" s="6" t="n">
        <v>-1.48049190819813</v>
      </c>
      <c r="AF386" s="6" t="n">
        <v>-1.11013911809529</v>
      </c>
      <c r="AG386" s="6" t="n">
        <v>-0.928747217778756</v>
      </c>
      <c r="AH386" s="6" t="n">
        <v>0.00566857386544561</v>
      </c>
      <c r="AI386" s="6" t="n">
        <v>4.0025598538784</v>
      </c>
      <c r="AJ386" s="6" t="n">
        <v>62.453499027872</v>
      </c>
      <c r="AK386" s="6" t="n">
        <v>0.167259906666733</v>
      </c>
      <c r="AL386" s="6" t="n">
        <v>1.03907433533655</v>
      </c>
      <c r="AN386" s="6" t="n">
        <v>1.28939175892679</v>
      </c>
      <c r="AO386" s="6" t="n">
        <v>1.28981164478346</v>
      </c>
      <c r="AP386" s="6" t="n">
        <v>0.132607700729484</v>
      </c>
      <c r="AQ386" s="6" t="n">
        <v>0</v>
      </c>
      <c r="AR386" s="6" t="n">
        <v>0</v>
      </c>
    </row>
    <row r="387" customFormat="false" ht="15" hidden="false" customHeight="false" outlineLevel="0" collapsed="false">
      <c r="D387" s="0" t="s">
        <v>513</v>
      </c>
      <c r="J387" s="6" t="n">
        <v>-4.44766798221792</v>
      </c>
      <c r="K387" s="6" t="n">
        <v>1.00708400129402</v>
      </c>
      <c r="L387" s="6" t="n">
        <v>-0.944343800128196</v>
      </c>
      <c r="M387" s="6" t="n">
        <v>3.07890734364848</v>
      </c>
      <c r="N387" s="6" t="n">
        <v>0.210366669746462</v>
      </c>
      <c r="O387" s="6" t="n">
        <v>-2.15252407601354</v>
      </c>
      <c r="P387" s="6" t="n">
        <v>-0.145946425488575</v>
      </c>
      <c r="Q387" s="6" t="n">
        <v>-2.37455954188042</v>
      </c>
      <c r="R387" s="6" t="n">
        <v>-1.28667020802826</v>
      </c>
      <c r="S387" s="6" t="n">
        <v>-2.4338043598991</v>
      </c>
      <c r="T387" s="6" t="n">
        <v>-1.69500324909596</v>
      </c>
      <c r="U387" s="6" t="n">
        <v>-1.38666236269513</v>
      </c>
      <c r="V387" s="6" t="n">
        <v>1.99712316676731</v>
      </c>
      <c r="W387" s="6" t="n">
        <v>3.62085040981034</v>
      </c>
      <c r="X387" s="6" t="n">
        <v>-0.101963304074392</v>
      </c>
      <c r="Y387" s="6" t="n">
        <v>-4.03701640718472</v>
      </c>
      <c r="Z387" s="6" t="n">
        <v>-1.76074384676689</v>
      </c>
      <c r="AA387" s="6" t="n">
        <v>1.15353277346265</v>
      </c>
      <c r="AB387" s="6" t="n">
        <v>1.45260720886776</v>
      </c>
      <c r="AC387" s="6" t="n">
        <v>-1.78901254265239</v>
      </c>
      <c r="AD387" s="6" t="n">
        <v>-1.72706987209469</v>
      </c>
      <c r="AE387" s="6" t="n">
        <v>-0.0141015406183554</v>
      </c>
      <c r="AF387" s="6" t="n">
        <v>2.9284040580871</v>
      </c>
      <c r="AG387" s="6" t="n">
        <v>-0.964477202849017</v>
      </c>
      <c r="AH387" s="6" t="n">
        <v>1.43932014267275</v>
      </c>
      <c r="AI387" s="6" t="n">
        <v>3.04698474730312</v>
      </c>
      <c r="AJ387" s="6" t="n">
        <v>68.6543204704205</v>
      </c>
      <c r="AK387" s="6" t="n">
        <v>0.0999048475957026</v>
      </c>
      <c r="AL387" s="6" t="n">
        <v>1.03472053029676</v>
      </c>
      <c r="AN387" s="6" t="n">
        <v>1.30216108503482</v>
      </c>
      <c r="AO387" s="6" t="n">
        <v>1.30216108503482</v>
      </c>
      <c r="AP387" s="6" t="n">
        <v>0.135294161328185</v>
      </c>
      <c r="AQ387" s="6" t="n">
        <v>0</v>
      </c>
      <c r="AR387" s="6" t="n">
        <v>0</v>
      </c>
    </row>
    <row r="388" customFormat="false" ht="15" hidden="false" customHeight="false" outlineLevel="0" collapsed="false">
      <c r="D388" s="0" t="s">
        <v>514</v>
      </c>
      <c r="J388" s="6" t="n">
        <v>-1.72599339446295</v>
      </c>
      <c r="K388" s="6" t="n">
        <v>-1.10759714365091</v>
      </c>
      <c r="L388" s="6" t="n">
        <v>-0.626126796329967</v>
      </c>
      <c r="M388" s="6" t="n">
        <v>-0.364508257739791</v>
      </c>
      <c r="N388" s="6" t="n">
        <v>-4.16698607783069</v>
      </c>
      <c r="O388" s="6" t="n">
        <v>-1.06716374917068</v>
      </c>
      <c r="P388" s="6" t="n">
        <v>-0.409053433190328</v>
      </c>
      <c r="Q388" s="6" t="n">
        <v>-0.243277512403819</v>
      </c>
      <c r="R388" s="6" t="n">
        <v>4.44303217009155</v>
      </c>
      <c r="S388" s="6" t="n">
        <v>-0.409239272835183</v>
      </c>
      <c r="T388" s="6" t="n">
        <v>-0.454667488854476</v>
      </c>
      <c r="U388" s="6" t="n">
        <v>-3.60898273293806</v>
      </c>
      <c r="V388" s="6" t="n">
        <v>1.08382677440085</v>
      </c>
      <c r="W388" s="6" t="n">
        <v>0.2013853147187</v>
      </c>
      <c r="X388" s="6" t="n">
        <v>1.71928418278162</v>
      </c>
      <c r="Y388" s="6" t="n">
        <v>0.879219423969831</v>
      </c>
      <c r="Z388" s="6" t="n">
        <v>2.79315955476245</v>
      </c>
      <c r="AA388" s="6" t="n">
        <v>-0.779164227375715</v>
      </c>
      <c r="AB388" s="6" t="n">
        <v>-1.00691133183157</v>
      </c>
      <c r="AC388" s="6" t="n">
        <v>-3.99610724175219</v>
      </c>
      <c r="AD388" s="6" t="n">
        <v>1.53814375775334</v>
      </c>
      <c r="AE388" s="6" t="n">
        <v>-3.71236285050384</v>
      </c>
      <c r="AF388" s="6" t="n">
        <v>-0.885037239573976</v>
      </c>
      <c r="AG388" s="6" t="n">
        <v>-0.418916276521335</v>
      </c>
      <c r="AH388" s="6" t="n">
        <v>0.213276608285305</v>
      </c>
      <c r="AI388" s="6" t="n">
        <v>-1.2932340986259</v>
      </c>
      <c r="AJ388" s="6" t="n">
        <v>73.0009918272237</v>
      </c>
      <c r="AK388" s="6" t="n">
        <v>0.217030716356894</v>
      </c>
      <c r="AL388" s="6" t="n">
        <v>1.01175796763182</v>
      </c>
      <c r="AN388" s="6" t="n">
        <v>1.30743356419463</v>
      </c>
      <c r="AO388" s="6" t="n">
        <v>1.30776998210396</v>
      </c>
      <c r="AP388" s="6" t="n">
        <v>0.136513259238463</v>
      </c>
      <c r="AQ388" s="6" t="n">
        <v>0</v>
      </c>
      <c r="AR388" s="6" t="n">
        <v>0</v>
      </c>
    </row>
    <row r="389" customFormat="false" ht="15" hidden="false" customHeight="false" outlineLevel="0" collapsed="false">
      <c r="D389" s="0" t="s">
        <v>515</v>
      </c>
      <c r="J389" s="6" t="n">
        <v>-2.06340277692306</v>
      </c>
      <c r="K389" s="6" t="n">
        <v>-0.226449591422393</v>
      </c>
      <c r="L389" s="6" t="n">
        <v>-0.874282167737711</v>
      </c>
      <c r="M389" s="6" t="n">
        <v>1.04577919612225</v>
      </c>
      <c r="N389" s="6" t="n">
        <v>0.199736968666285</v>
      </c>
      <c r="O389" s="6" t="n">
        <v>-0.0730316092385515</v>
      </c>
      <c r="P389" s="6" t="n">
        <v>2.32955494723387</v>
      </c>
      <c r="Q389" s="6" t="n">
        <v>-0.353055302791599</v>
      </c>
      <c r="R389" s="6" t="n">
        <v>-0.868600611590231</v>
      </c>
      <c r="S389" s="6" t="n">
        <v>-0.734351874820499</v>
      </c>
      <c r="T389" s="6" t="n">
        <v>0.331158180765404</v>
      </c>
      <c r="U389" s="6" t="n">
        <v>0.0683818388930643</v>
      </c>
      <c r="V389" s="6" t="n">
        <v>-0.841623765295368</v>
      </c>
      <c r="W389" s="6" t="n">
        <v>0.0324634029375231</v>
      </c>
      <c r="X389" s="6" t="n">
        <v>-1.58124034568259</v>
      </c>
      <c r="Y389" s="6" t="n">
        <v>-0.174828477733057</v>
      </c>
      <c r="Z389" s="6" t="n">
        <v>-0.816440580672677</v>
      </c>
      <c r="AA389" s="6" t="n">
        <v>-0.40100566991164</v>
      </c>
      <c r="AB389" s="6" t="n">
        <v>1.60072792024144</v>
      </c>
      <c r="AC389" s="6" t="n">
        <v>-2.29192165714925</v>
      </c>
      <c r="AD389" s="6" t="n">
        <v>1.36624066281794</v>
      </c>
      <c r="AE389" s="6" t="n">
        <v>2.71824087065734</v>
      </c>
      <c r="AF389" s="6" t="n">
        <v>0.942346066576494</v>
      </c>
      <c r="AG389" s="6" t="n">
        <v>1.90673944420964</v>
      </c>
      <c r="AH389" s="6" t="n">
        <v>3.48776694714137</v>
      </c>
      <c r="AI389" s="6" t="n">
        <v>-0.925702161537045</v>
      </c>
      <c r="AJ389" s="6" t="n">
        <v>78.1641855524479</v>
      </c>
      <c r="AK389" s="6" t="n">
        <v>0.113520429431784</v>
      </c>
      <c r="AL389" s="6" t="n">
        <v>0.973896375274327</v>
      </c>
      <c r="AN389" s="6" t="n">
        <v>1.32511071074963</v>
      </c>
      <c r="AO389" s="6" t="n">
        <v>1.32511071074963</v>
      </c>
      <c r="AP389" s="6" t="n">
        <v>0.148044203246549</v>
      </c>
      <c r="AQ389" s="6" t="n">
        <v>0</v>
      </c>
      <c r="AR389" s="6" t="n">
        <v>0</v>
      </c>
    </row>
    <row r="390" customFormat="false" ht="15" hidden="false" customHeight="false" outlineLevel="0" collapsed="false">
      <c r="D390" s="0" t="s">
        <v>516</v>
      </c>
      <c r="J390" s="6" t="n">
        <v>0.757565100907854</v>
      </c>
      <c r="K390" s="6" t="n">
        <v>0.479755700191832</v>
      </c>
      <c r="L390" s="6" t="n">
        <v>0.28241421695151</v>
      </c>
      <c r="M390" s="6" t="n">
        <v>1.04795811205089</v>
      </c>
      <c r="N390" s="6" t="n">
        <v>2.37153850912755</v>
      </c>
      <c r="O390" s="6" t="n">
        <v>-1.41163377504281</v>
      </c>
      <c r="P390" s="6" t="n">
        <v>1.16563116297172</v>
      </c>
      <c r="Q390" s="6" t="n">
        <v>1.63280302829319</v>
      </c>
      <c r="R390" s="6" t="n">
        <v>-4.24952625569792</v>
      </c>
      <c r="S390" s="6" t="n">
        <v>-3.22059339135049</v>
      </c>
      <c r="T390" s="6" t="n">
        <v>1.29432810206319</v>
      </c>
      <c r="U390" s="6" t="n">
        <v>-3.71630030454195</v>
      </c>
      <c r="V390" s="6" t="n">
        <v>-0.240405930069072</v>
      </c>
      <c r="W390" s="6" t="n">
        <v>1.43882568252108</v>
      </c>
      <c r="X390" s="6" t="n">
        <v>-1.3549701824027</v>
      </c>
      <c r="Y390" s="6" t="n">
        <v>4.03218795306321</v>
      </c>
      <c r="Z390" s="6" t="n">
        <v>2.24713394080388</v>
      </c>
      <c r="AA390" s="6" t="n">
        <v>3.04139466242472</v>
      </c>
      <c r="AB390" s="6" t="n">
        <v>-2.00538113337676</v>
      </c>
      <c r="AC390" s="6" t="n">
        <v>-0.0745450105587473</v>
      </c>
      <c r="AD390" s="6" t="n">
        <v>-3.18468521875774</v>
      </c>
      <c r="AE390" s="6" t="n">
        <v>-1.38994264901725</v>
      </c>
      <c r="AF390" s="6" t="n">
        <v>1.21676939809537</v>
      </c>
      <c r="AG390" s="6" t="n">
        <v>0.305647211030734</v>
      </c>
      <c r="AH390" s="6" t="n">
        <v>1.53065850832218</v>
      </c>
      <c r="AI390" s="6" t="n">
        <v>2.03712386138966</v>
      </c>
      <c r="AJ390" s="6" t="n">
        <v>75.7639843923131</v>
      </c>
      <c r="AK390" s="6" t="n">
        <v>0.181185202522316</v>
      </c>
      <c r="AL390" s="6" t="n">
        <v>1.03756183367253</v>
      </c>
      <c r="AN390" s="6" t="n">
        <v>1.29735217306118</v>
      </c>
      <c r="AO390" s="6" t="n">
        <v>1.29826256736584</v>
      </c>
      <c r="AP390" s="6" t="n">
        <v>0.134021121979572</v>
      </c>
      <c r="AQ390" s="6" t="n">
        <v>0</v>
      </c>
      <c r="AR390" s="6" t="n">
        <v>0</v>
      </c>
    </row>
    <row r="391" customFormat="false" ht="15" hidden="false" customHeight="false" outlineLevel="0" collapsed="false">
      <c r="D391" s="0" t="s">
        <v>517</v>
      </c>
      <c r="J391" s="6" t="n">
        <v>0.739136335567971</v>
      </c>
      <c r="K391" s="6" t="n">
        <v>-2.92107074891647</v>
      </c>
      <c r="L391" s="6" t="n">
        <v>-0.933601800730354</v>
      </c>
      <c r="M391" s="6" t="n">
        <v>0.549977734366908</v>
      </c>
      <c r="N391" s="6" t="n">
        <v>0.366759534887883</v>
      </c>
      <c r="O391" s="6" t="n">
        <v>2.10169873908514</v>
      </c>
      <c r="P391" s="6" t="n">
        <v>-0.722328642467229</v>
      </c>
      <c r="Q391" s="6" t="n">
        <v>1.42763673269339</v>
      </c>
      <c r="R391" s="6" t="n">
        <v>-2.28280667777799</v>
      </c>
      <c r="S391" s="6" t="n">
        <v>-0.548569486626457</v>
      </c>
      <c r="T391" s="6" t="n">
        <v>2.84570207152972</v>
      </c>
      <c r="U391" s="6" t="n">
        <v>-3.04610509124355</v>
      </c>
      <c r="V391" s="6" t="n">
        <v>-0.744903733164128</v>
      </c>
      <c r="W391" s="6" t="n">
        <v>2.31001316724824</v>
      </c>
      <c r="X391" s="6" t="n">
        <v>3.14859383210173</v>
      </c>
      <c r="Y391" s="6" t="n">
        <v>2.69008292936304</v>
      </c>
      <c r="Z391" s="6" t="n">
        <v>-1.01868870636186</v>
      </c>
      <c r="AA391" s="6" t="n">
        <v>-0.837793111921469</v>
      </c>
      <c r="AB391" s="6" t="n">
        <v>1.25718003084775</v>
      </c>
      <c r="AC391" s="6" t="n">
        <v>0.833917006475726</v>
      </c>
      <c r="AD391" s="6" t="n">
        <v>-1.56718957514751</v>
      </c>
      <c r="AE391" s="6" t="n">
        <v>-1.45265692977282</v>
      </c>
      <c r="AF391" s="6" t="n">
        <v>0.717044743134862</v>
      </c>
      <c r="AG391" s="6" t="n">
        <v>-1.44296750277404</v>
      </c>
      <c r="AH391" s="6" t="n">
        <v>-3.40154518774762</v>
      </c>
      <c r="AI391" s="6" t="n">
        <v>-2.26986926301466</v>
      </c>
      <c r="AJ391" s="6" t="n">
        <v>60.3817028514814</v>
      </c>
      <c r="AK391" s="6" t="n">
        <v>0.146310866879437</v>
      </c>
      <c r="AL391" s="6" t="n">
        <v>1.07790494538846</v>
      </c>
      <c r="AN391" s="6" t="n">
        <v>1.27596136257694</v>
      </c>
      <c r="AO391" s="6" t="n">
        <v>1.27598992303534</v>
      </c>
      <c r="AP391" s="6" t="n">
        <v>0.130859704848158</v>
      </c>
      <c r="AQ391" s="6" t="n">
        <v>0</v>
      </c>
      <c r="AR391" s="6" t="n">
        <v>0</v>
      </c>
    </row>
    <row r="392" customFormat="false" ht="15" hidden="false" customHeight="false" outlineLevel="0" collapsed="false">
      <c r="D392" s="0" t="s">
        <v>518</v>
      </c>
      <c r="J392" s="6" t="n">
        <v>-2.14729850993479</v>
      </c>
      <c r="K392" s="6" t="n">
        <v>-0.503990045788927</v>
      </c>
      <c r="L392" s="6" t="n">
        <v>-1.33187107614808</v>
      </c>
      <c r="M392" s="6" t="n">
        <v>-1.35033153990876</v>
      </c>
      <c r="N392" s="6" t="n">
        <v>-0.266181423962787</v>
      </c>
      <c r="O392" s="6" t="n">
        <v>-4.16120534382033</v>
      </c>
      <c r="P392" s="6" t="n">
        <v>2.32267697065098</v>
      </c>
      <c r="Q392" s="6" t="n">
        <v>0.822749468418111</v>
      </c>
      <c r="R392" s="6" t="n">
        <v>-1.31086615921259</v>
      </c>
      <c r="S392" s="6" t="n">
        <v>0.104270360973417</v>
      </c>
      <c r="T392" s="6" t="n">
        <v>-1.69533724367966</v>
      </c>
      <c r="U392" s="6" t="n">
        <v>0.289853906093599</v>
      </c>
      <c r="V392" s="6" t="n">
        <v>-0.492137211632152</v>
      </c>
      <c r="W392" s="6" t="n">
        <v>0.978286849331565</v>
      </c>
      <c r="X392" s="6" t="n">
        <v>1.0261668799983</v>
      </c>
      <c r="Y392" s="6" t="n">
        <v>0.479381585317554</v>
      </c>
      <c r="Z392" s="6" t="n">
        <v>2.10295809161918</v>
      </c>
      <c r="AA392" s="6" t="n">
        <v>0.787080657711065</v>
      </c>
      <c r="AB392" s="6" t="n">
        <v>-0.0259198145260927</v>
      </c>
      <c r="AC392" s="6" t="n">
        <v>3.07155453709439</v>
      </c>
      <c r="AD392" s="6" t="n">
        <v>-2.4515451506925</v>
      </c>
      <c r="AE392" s="6" t="n">
        <v>0.794555157665183</v>
      </c>
      <c r="AF392" s="6" t="n">
        <v>-2.00628369653255</v>
      </c>
      <c r="AG392" s="6" t="n">
        <v>-3.1305108674068</v>
      </c>
      <c r="AH392" s="6" t="n">
        <v>-1.49415417664144</v>
      </c>
      <c r="AI392" s="6" t="n">
        <v>-1.62316927563424</v>
      </c>
      <c r="AJ392" s="6" t="n">
        <v>73.4413240270865</v>
      </c>
      <c r="AK392" s="6" t="n">
        <v>0.152453567247501</v>
      </c>
      <c r="AL392" s="6" t="n">
        <v>1.02550910048554</v>
      </c>
      <c r="AN392" s="6" t="n">
        <v>1.29409597469913</v>
      </c>
      <c r="AO392" s="6" t="n">
        <v>1.29845154111908</v>
      </c>
      <c r="AP392" s="6" t="n">
        <v>0.136169943831097</v>
      </c>
      <c r="AQ392" s="6" t="n">
        <v>0</v>
      </c>
      <c r="AR392" s="6" t="n">
        <v>0</v>
      </c>
    </row>
    <row r="393" customFormat="false" ht="15" hidden="false" customHeight="false" outlineLevel="0" collapsed="false">
      <c r="D393" s="0" t="s">
        <v>519</v>
      </c>
      <c r="J393" s="6" t="n">
        <v>0.444075870396455</v>
      </c>
      <c r="K393" s="6" t="n">
        <v>1.87852276123115</v>
      </c>
      <c r="L393" s="6" t="n">
        <v>1.88998322265027</v>
      </c>
      <c r="M393" s="6" t="n">
        <v>-3.34884665526839</v>
      </c>
      <c r="N393" s="6" t="n">
        <v>-1.59950254851888</v>
      </c>
      <c r="O393" s="6" t="n">
        <v>1.26470770307306</v>
      </c>
      <c r="P393" s="6" t="n">
        <v>0.676561187687526</v>
      </c>
      <c r="Q393" s="6" t="n">
        <v>1.55391667198075</v>
      </c>
      <c r="R393" s="6" t="n">
        <v>2.08053969896064</v>
      </c>
      <c r="S393" s="6" t="n">
        <v>4.19571796124343</v>
      </c>
      <c r="T393" s="6" t="n">
        <v>-1.7463678821077</v>
      </c>
      <c r="U393" s="6" t="n">
        <v>2.23513212676701</v>
      </c>
      <c r="V393" s="6" t="n">
        <v>-1.28219448966958</v>
      </c>
      <c r="W393" s="6" t="n">
        <v>-0.545331059766009</v>
      </c>
      <c r="X393" s="6" t="n">
        <v>-0.281465239050997</v>
      </c>
      <c r="Y393" s="6" t="n">
        <v>-0.981020954282951</v>
      </c>
      <c r="Z393" s="6" t="n">
        <v>-1.37359292645724</v>
      </c>
      <c r="AA393" s="6" t="n">
        <v>-2.66983635213184</v>
      </c>
      <c r="AB393" s="6" t="n">
        <v>-0.239877199936961</v>
      </c>
      <c r="AC393" s="6" t="n">
        <v>-4.49451858064159</v>
      </c>
      <c r="AD393" s="6" t="n">
        <v>0.503173343523737</v>
      </c>
      <c r="AE393" s="6" t="n">
        <v>-0.0840283825409704</v>
      </c>
      <c r="AF393" s="6" t="n">
        <v>-1.76312673805351</v>
      </c>
      <c r="AG393" s="6" t="n">
        <v>2.32508169329625</v>
      </c>
      <c r="AH393" s="6" t="n">
        <v>-0.59347267122988</v>
      </c>
      <c r="AI393" s="6" t="n">
        <v>1.27059063240983</v>
      </c>
      <c r="AJ393" s="6" t="n">
        <v>78.5518704187728</v>
      </c>
      <c r="AK393" s="6" t="n">
        <v>0.0756578185023778</v>
      </c>
      <c r="AL393" s="6" t="n">
        <v>1.06359919170436</v>
      </c>
      <c r="AN393" s="6" t="n">
        <v>1.29743646961923</v>
      </c>
      <c r="AO393" s="6" t="n">
        <v>1.29760039813198</v>
      </c>
      <c r="AP393" s="6" t="n">
        <v>0.134041377040434</v>
      </c>
      <c r="AQ393" s="6" t="n">
        <v>0</v>
      </c>
      <c r="AR393" s="6" t="n">
        <v>0</v>
      </c>
    </row>
    <row r="394" customFormat="false" ht="15" hidden="false" customHeight="false" outlineLevel="0" collapsed="false">
      <c r="D394" s="0" t="s">
        <v>520</v>
      </c>
      <c r="J394" s="6" t="n">
        <v>-1.39957068399794</v>
      </c>
      <c r="K394" s="6" t="n">
        <v>0.0979174513819161</v>
      </c>
      <c r="L394" s="6" t="n">
        <v>2.70732010893579</v>
      </c>
      <c r="M394" s="6" t="n">
        <v>-1.52910794866832</v>
      </c>
      <c r="N394" s="6" t="n">
        <v>-1.12641657121296</v>
      </c>
      <c r="O394" s="6" t="n">
        <v>0.632726717012279</v>
      </c>
      <c r="P394" s="6" t="n">
        <v>1.11080041190119</v>
      </c>
      <c r="Q394" s="6" t="n">
        <v>0.328081136782205</v>
      </c>
      <c r="R394" s="6" t="n">
        <v>-1.99052137110977</v>
      </c>
      <c r="S394" s="6" t="n">
        <v>1.54084843752997</v>
      </c>
      <c r="T394" s="6" t="n">
        <v>1.09506876815244</v>
      </c>
      <c r="U394" s="6" t="n">
        <v>3.44805219808744</v>
      </c>
      <c r="V394" s="6" t="n">
        <v>-0.194117101873889</v>
      </c>
      <c r="W394" s="6" t="n">
        <v>-4.194691453181</v>
      </c>
      <c r="X394" s="6" t="n">
        <v>-1.7594272143946</v>
      </c>
      <c r="Y394" s="6" t="n">
        <v>0.271088022005448</v>
      </c>
      <c r="Z394" s="6" t="n">
        <v>-0.39981860379306</v>
      </c>
      <c r="AA394" s="6" t="n">
        <v>-0.0366359138534987</v>
      </c>
      <c r="AB394" s="6" t="n">
        <v>0.0181358543975157</v>
      </c>
      <c r="AC394" s="6" t="n">
        <v>-2.06149725716019</v>
      </c>
      <c r="AD394" s="6" t="n">
        <v>0.544945514553112</v>
      </c>
      <c r="AE394" s="6" t="n">
        <v>-0.424211190016777</v>
      </c>
      <c r="AF394" s="6" t="n">
        <v>-1.45126656383763</v>
      </c>
      <c r="AG394" s="6" t="n">
        <v>-1.85244025038152</v>
      </c>
      <c r="AH394" s="6" t="n">
        <v>0.790593347468349</v>
      </c>
      <c r="AI394" s="6" t="n">
        <v>1.20577625409386</v>
      </c>
      <c r="AJ394" s="6" t="n">
        <v>76.864598497781</v>
      </c>
      <c r="AK394" s="6" t="n">
        <v>0.120070881125314</v>
      </c>
      <c r="AL394" s="6" t="n">
        <v>1.02819642029183</v>
      </c>
      <c r="AN394" s="6" t="n">
        <v>1.30917148999109</v>
      </c>
      <c r="AO394" s="6" t="n">
        <v>1.30926620610717</v>
      </c>
      <c r="AP394" s="6" t="n">
        <v>0.136830983678453</v>
      </c>
      <c r="AQ394" s="6" t="n">
        <v>0</v>
      </c>
      <c r="AR394" s="6" t="n">
        <v>0</v>
      </c>
    </row>
    <row r="395" customFormat="false" ht="15" hidden="false" customHeight="false" outlineLevel="0" collapsed="false">
      <c r="D395" s="0" t="s">
        <v>521</v>
      </c>
      <c r="J395" s="6" t="n">
        <v>-0.668577596093574</v>
      </c>
      <c r="K395" s="6" t="n">
        <v>0.702037763022789</v>
      </c>
      <c r="L395" s="6" t="n">
        <v>2.19738936953162</v>
      </c>
      <c r="M395" s="6" t="n">
        <v>-0.479332821018674</v>
      </c>
      <c r="N395" s="6" t="n">
        <v>-3.03302711147277</v>
      </c>
      <c r="O395" s="6" t="n">
        <v>1.83870795753927</v>
      </c>
      <c r="P395" s="6" t="n">
        <v>-2.22170821993125</v>
      </c>
      <c r="Q395" s="6" t="n">
        <v>-0.518472929397152</v>
      </c>
      <c r="R395" s="6" t="n">
        <v>-0.909941955335934</v>
      </c>
      <c r="S395" s="6" t="n">
        <v>-2.50914906123387</v>
      </c>
      <c r="T395" s="6" t="n">
        <v>-2.95638685166629</v>
      </c>
      <c r="U395" s="6" t="n">
        <v>0.587428893098547</v>
      </c>
      <c r="V395" s="6" t="n">
        <v>-0.0736723989628867</v>
      </c>
      <c r="W395" s="6" t="n">
        <v>1.23075048944916</v>
      </c>
      <c r="X395" s="6" t="n">
        <v>1.47104103575228</v>
      </c>
      <c r="Y395" s="6" t="n">
        <v>-1.13836536976359</v>
      </c>
      <c r="Z395" s="6" t="n">
        <v>1.0482072315847</v>
      </c>
      <c r="AA395" s="6" t="n">
        <v>-0.952527460297011</v>
      </c>
      <c r="AB395" s="6" t="n">
        <v>-4.51066448412144</v>
      </c>
      <c r="AC395" s="6" t="n">
        <v>1.42730014666464</v>
      </c>
      <c r="AD395" s="6" t="n">
        <v>-3.63043632062632</v>
      </c>
      <c r="AE395" s="6" t="n">
        <v>-0.160719589913078</v>
      </c>
      <c r="AF395" s="6" t="n">
        <v>-0.864899528527089</v>
      </c>
      <c r="AG395" s="6" t="n">
        <v>-2.06924455578348</v>
      </c>
      <c r="AH395" s="6" t="n">
        <v>1.56356603318277</v>
      </c>
      <c r="AI395" s="6" t="n">
        <v>-4.08965314672505</v>
      </c>
      <c r="AJ395" s="6" t="n">
        <v>80.2140219413329</v>
      </c>
      <c r="AK395" s="6" t="n">
        <v>0.0848555705401211</v>
      </c>
      <c r="AL395" s="6" t="n">
        <v>0.990479964556396</v>
      </c>
      <c r="AN395" s="6" t="n">
        <v>1.32177638566227</v>
      </c>
      <c r="AO395" s="6" t="n">
        <v>1.32177638566227</v>
      </c>
      <c r="AP395" s="6" t="n">
        <v>0.144743740600437</v>
      </c>
      <c r="AQ395" s="6" t="n">
        <v>0</v>
      </c>
      <c r="AR395" s="6" t="n">
        <v>0</v>
      </c>
    </row>
    <row r="396" customFormat="false" ht="15" hidden="false" customHeight="false" outlineLevel="0" collapsed="false">
      <c r="D396" s="0" t="s">
        <v>522</v>
      </c>
      <c r="J396" s="6" t="n">
        <v>-2.56681725660618</v>
      </c>
      <c r="K396" s="6" t="n">
        <v>1.08660608477983</v>
      </c>
      <c r="L396" s="6" t="n">
        <v>-3.88718678666249</v>
      </c>
      <c r="M396" s="6" t="n">
        <v>-2.2387194923572</v>
      </c>
      <c r="N396" s="6" t="n">
        <v>-0.41445522335956</v>
      </c>
      <c r="O396" s="6" t="n">
        <v>0.116811595381857</v>
      </c>
      <c r="P396" s="6" t="n">
        <v>3.47972352136045</v>
      </c>
      <c r="Q396" s="6" t="n">
        <v>3.01221768389877</v>
      </c>
      <c r="R396" s="6" t="n">
        <v>-2.73328161985819</v>
      </c>
      <c r="S396" s="6" t="n">
        <v>-1.0106724730666</v>
      </c>
      <c r="T396" s="6" t="n">
        <v>3.11434215546177</v>
      </c>
      <c r="U396" s="6" t="n">
        <v>-1.34843547720139</v>
      </c>
      <c r="V396" s="6" t="n">
        <v>-3.93803261119728</v>
      </c>
      <c r="W396" s="6" t="n">
        <v>0.569177224463894</v>
      </c>
      <c r="X396" s="6" t="n">
        <v>0.195467050962742</v>
      </c>
      <c r="Y396" s="6" t="n">
        <v>0.556847647607663</v>
      </c>
      <c r="Z396" s="6" t="n">
        <v>0.682949290592316</v>
      </c>
      <c r="AA396" s="6" t="n">
        <v>-0.18110655376153</v>
      </c>
      <c r="AB396" s="6" t="n">
        <v>-0.689917931603598</v>
      </c>
      <c r="AC396" s="6" t="n">
        <v>-1.1211016160535</v>
      </c>
      <c r="AD396" s="6" t="n">
        <v>3.38258107865089</v>
      </c>
      <c r="AE396" s="6" t="n">
        <v>1.20313536120771</v>
      </c>
      <c r="AF396" s="6" t="n">
        <v>3.52608725667323</v>
      </c>
      <c r="AG396" s="6" t="n">
        <v>1.36580875585845</v>
      </c>
      <c r="AH396" s="6" t="n">
        <v>1.72350945104374</v>
      </c>
      <c r="AI396" s="6" t="n">
        <v>0.666235055901708</v>
      </c>
      <c r="AJ396" s="6" t="n">
        <v>83.9371976078657</v>
      </c>
      <c r="AK396" s="6" t="n">
        <v>0.167630506144784</v>
      </c>
      <c r="AL396" s="6" t="n">
        <v>1.01323359388745</v>
      </c>
      <c r="AN396" s="6" t="n">
        <v>1.31623648816186</v>
      </c>
      <c r="AO396" s="6" t="n">
        <v>1.31688139279996</v>
      </c>
      <c r="AP396" s="6" t="n">
        <v>0.138548299466292</v>
      </c>
      <c r="AQ396" s="6" t="n">
        <v>0</v>
      </c>
      <c r="AR396" s="6" t="n">
        <v>0</v>
      </c>
    </row>
    <row r="397" customFormat="false" ht="15" hidden="false" customHeight="false" outlineLevel="0" collapsed="false">
      <c r="D397" s="0" t="s">
        <v>523</v>
      </c>
      <c r="J397" s="6" t="n">
        <v>1.84099666667779</v>
      </c>
      <c r="K397" s="6" t="n">
        <v>0.559662066041681</v>
      </c>
      <c r="L397" s="6" t="n">
        <v>3.20040428174278</v>
      </c>
      <c r="M397" s="6" t="n">
        <v>-3.5693344652283</v>
      </c>
      <c r="N397" s="6" t="n">
        <v>1.47113445451737</v>
      </c>
      <c r="O397" s="6" t="n">
        <v>2.40376200462554</v>
      </c>
      <c r="P397" s="6" t="n">
        <v>-0.47529128823694</v>
      </c>
      <c r="Q397" s="6" t="n">
        <v>1.40580577197373</v>
      </c>
      <c r="R397" s="6" t="n">
        <v>-1.00684112841446</v>
      </c>
      <c r="S397" s="6" t="n">
        <v>2.42362108189845</v>
      </c>
      <c r="T397" s="6" t="n">
        <v>0.969763251712972</v>
      </c>
      <c r="U397" s="6" t="n">
        <v>-3.97530279613232</v>
      </c>
      <c r="V397" s="6" t="n">
        <v>1.59926818213847</v>
      </c>
      <c r="W397" s="6" t="n">
        <v>-0.578848934661651</v>
      </c>
      <c r="X397" s="6" t="n">
        <v>2.21505831963481</v>
      </c>
      <c r="Y397" s="6" t="n">
        <v>-0.761460276926118</v>
      </c>
      <c r="Z397" s="6" t="n">
        <v>2.51552551388379</v>
      </c>
      <c r="AA397" s="6" t="n">
        <v>-1.09070919819837</v>
      </c>
      <c r="AB397" s="6" t="n">
        <v>0.394267405321874</v>
      </c>
      <c r="AC397" s="6" t="n">
        <v>0.595473783143058</v>
      </c>
      <c r="AD397" s="6" t="n">
        <v>0.801905316765667</v>
      </c>
      <c r="AE397" s="6" t="n">
        <v>-1.18996847383347</v>
      </c>
      <c r="AF397" s="6" t="n">
        <v>0.336400887686307</v>
      </c>
      <c r="AG397" s="6" t="n">
        <v>0.957699064269571</v>
      </c>
      <c r="AH397" s="6" t="n">
        <v>-0.191708667217484</v>
      </c>
      <c r="AI397" s="6" t="n">
        <v>-0.0612562873466219</v>
      </c>
      <c r="AJ397" s="6" t="n">
        <v>68.7114367438786</v>
      </c>
      <c r="AK397" s="6" t="n">
        <v>0.188842776512921</v>
      </c>
      <c r="AL397" s="6" t="n">
        <v>1.1014143832195</v>
      </c>
      <c r="AN397" s="6" t="n">
        <v>1.26589046715586</v>
      </c>
      <c r="AO397" s="6" t="n">
        <v>1.26679464127347</v>
      </c>
      <c r="AP397" s="6" t="n">
        <v>0.128224988510268</v>
      </c>
      <c r="AQ397" s="6" t="n">
        <v>0</v>
      </c>
      <c r="AR397" s="6" t="n">
        <v>0</v>
      </c>
    </row>
    <row r="398" customFormat="false" ht="15" hidden="false" customHeight="false" outlineLevel="0" collapsed="false">
      <c r="D398" s="0" t="s">
        <v>524</v>
      </c>
      <c r="J398" s="6" t="n">
        <v>3.19784921464</v>
      </c>
      <c r="K398" s="6" t="n">
        <v>-0.582360317378996</v>
      </c>
      <c r="L398" s="6" t="n">
        <v>-2.10853801679749</v>
      </c>
      <c r="M398" s="6" t="n">
        <v>1.56669085867952</v>
      </c>
      <c r="N398" s="6" t="n">
        <v>-1.76043228053106</v>
      </c>
      <c r="O398" s="6" t="n">
        <v>-0.957139380922658</v>
      </c>
      <c r="P398" s="6" t="n">
        <v>-1.21821414672508</v>
      </c>
      <c r="Q398" s="6" t="n">
        <v>-4.60450156379598</v>
      </c>
      <c r="R398" s="6" t="n">
        <v>-4.14984697687668</v>
      </c>
      <c r="S398" s="6" t="n">
        <v>-1.41591654399534</v>
      </c>
      <c r="T398" s="6" t="n">
        <v>-0.241241735633964</v>
      </c>
      <c r="U398" s="6" t="n">
        <v>0.87320025677164</v>
      </c>
      <c r="V398" s="6" t="n">
        <v>1.86078531701511</v>
      </c>
      <c r="W398" s="6" t="n">
        <v>-4.54743152180396</v>
      </c>
      <c r="X398" s="6" t="n">
        <v>1.67420746592404</v>
      </c>
      <c r="Y398" s="6" t="n">
        <v>-2.11200399758982</v>
      </c>
      <c r="Z398" s="6" t="n">
        <v>3.7240839954552</v>
      </c>
      <c r="AA398" s="6" t="n">
        <v>0.776826834963075</v>
      </c>
      <c r="AB398" s="6" t="n">
        <v>2.7470244690426</v>
      </c>
      <c r="AC398" s="6" t="n">
        <v>-5.55459102691113</v>
      </c>
      <c r="AD398" s="6" t="n">
        <v>0.660583793872608</v>
      </c>
      <c r="AE398" s="6" t="n">
        <v>-1.32059428572287</v>
      </c>
      <c r="AF398" s="6" t="n">
        <v>3.7583937724259</v>
      </c>
      <c r="AG398" s="6" t="n">
        <v>-0.469501632613162</v>
      </c>
      <c r="AH398" s="6" t="n">
        <v>-1.09635792254766</v>
      </c>
      <c r="AI398" s="6" t="n">
        <v>-0.46781536224288</v>
      </c>
      <c r="AJ398" s="6" t="n">
        <v>79.3442351154632</v>
      </c>
      <c r="AK398" s="6" t="n">
        <v>0.104083720966912</v>
      </c>
      <c r="AL398" s="6" t="n">
        <v>1.02803654595941</v>
      </c>
      <c r="AN398" s="6" t="n">
        <v>1.31486672569431</v>
      </c>
      <c r="AO398" s="6" t="n">
        <v>1.31505933837159</v>
      </c>
      <c r="AP398" s="6" t="n">
        <v>0.136894576969679</v>
      </c>
      <c r="AQ398" s="6" t="n">
        <v>0</v>
      </c>
      <c r="AR398" s="6" t="n">
        <v>0</v>
      </c>
    </row>
    <row r="399" customFormat="false" ht="15" hidden="false" customHeight="false" outlineLevel="0" collapsed="false">
      <c r="D399" s="0" t="s">
        <v>525</v>
      </c>
      <c r="J399" s="6" t="n">
        <v>-1.16076469943123</v>
      </c>
      <c r="K399" s="6" t="n">
        <v>1.76489432621524</v>
      </c>
      <c r="L399" s="6" t="n">
        <v>0.101905821894419</v>
      </c>
      <c r="M399" s="6" t="n">
        <v>-1.27615877571255</v>
      </c>
      <c r="N399" s="6" t="n">
        <v>0.15386404858703</v>
      </c>
      <c r="O399" s="6" t="n">
        <v>-2.11056359484552</v>
      </c>
      <c r="P399" s="6" t="n">
        <v>-1.06112707989823</v>
      </c>
      <c r="Q399" s="6" t="n">
        <v>0.244148001913819</v>
      </c>
      <c r="R399" s="6" t="n">
        <v>-1.87998159625168</v>
      </c>
      <c r="S399" s="6" t="n">
        <v>1.13880221449287</v>
      </c>
      <c r="T399" s="6" t="n">
        <v>0.647845698808045</v>
      </c>
      <c r="U399" s="6" t="n">
        <v>-1.85026183369255</v>
      </c>
      <c r="V399" s="6" t="n">
        <v>-1.34388042364519</v>
      </c>
      <c r="W399" s="6" t="n">
        <v>-0.280882105439764</v>
      </c>
      <c r="X399" s="6" t="n">
        <v>0.9597773937169</v>
      </c>
      <c r="Y399" s="6" t="n">
        <v>-2.97551928788441</v>
      </c>
      <c r="Z399" s="6" t="n">
        <v>2.01074878376334</v>
      </c>
      <c r="AA399" s="6" t="n">
        <v>-0.916113237634141</v>
      </c>
      <c r="AB399" s="6" t="n">
        <v>1.80321666972316</v>
      </c>
      <c r="AC399" s="6" t="n">
        <v>-1.00771656832685</v>
      </c>
      <c r="AD399" s="6" t="n">
        <v>-1.18792028113995</v>
      </c>
      <c r="AE399" s="6" t="n">
        <v>1.33134197042521</v>
      </c>
      <c r="AF399" s="6" t="n">
        <v>-0.150126100577848</v>
      </c>
      <c r="AG399" s="6" t="n">
        <v>-2.55957481706971</v>
      </c>
      <c r="AH399" s="6" t="n">
        <v>1.09881292526062</v>
      </c>
      <c r="AI399" s="6" t="n">
        <v>-0.861713728909382</v>
      </c>
      <c r="AJ399" s="6" t="n">
        <v>68.3375211203025</v>
      </c>
      <c r="AK399" s="6" t="n">
        <v>0.174323201719912</v>
      </c>
      <c r="AL399" s="6" t="n">
        <v>1.00266133895667</v>
      </c>
      <c r="AN399" s="6" t="n">
        <v>1.31309319403915</v>
      </c>
      <c r="AO399" s="6" t="n">
        <v>1.31309319403915</v>
      </c>
      <c r="AP399" s="6" t="n">
        <v>0.138346784875878</v>
      </c>
      <c r="AQ399" s="6" t="n">
        <v>0</v>
      </c>
      <c r="AR399" s="6" t="n">
        <v>0</v>
      </c>
    </row>
    <row r="400" customFormat="false" ht="15" hidden="false" customHeight="false" outlineLevel="0" collapsed="false">
      <c r="D400" s="0" t="s">
        <v>526</v>
      </c>
      <c r="J400" s="6" t="n">
        <v>-1.23008921712016</v>
      </c>
      <c r="K400" s="6" t="n">
        <v>-2.1624307410151</v>
      </c>
      <c r="L400" s="6" t="n">
        <v>-0.276764005162011</v>
      </c>
      <c r="M400" s="6" t="n">
        <v>2.18220325951443</v>
      </c>
      <c r="N400" s="6" t="n">
        <v>-5.15261769029005</v>
      </c>
      <c r="O400" s="6" t="n">
        <v>-0.392053982205204</v>
      </c>
      <c r="P400" s="6" t="n">
        <v>0.0945356050972821</v>
      </c>
      <c r="Q400" s="6" t="n">
        <v>1.40312704274307</v>
      </c>
      <c r="R400" s="6" t="n">
        <v>-0.843912765970259</v>
      </c>
      <c r="S400" s="6" t="n">
        <v>1.49542834100596</v>
      </c>
      <c r="T400" s="6" t="n">
        <v>1.28559623489685</v>
      </c>
      <c r="U400" s="6" t="n">
        <v>-3.59634254719485</v>
      </c>
      <c r="V400" s="6" t="n">
        <v>-0.112304980384657</v>
      </c>
      <c r="W400" s="6" t="n">
        <v>-0.241803823294446</v>
      </c>
      <c r="X400" s="6" t="n">
        <v>-2.52320191346988</v>
      </c>
      <c r="Y400" s="6" t="n">
        <v>-0.845717445447501</v>
      </c>
      <c r="Z400" s="6" t="n">
        <v>1.6684014080103</v>
      </c>
      <c r="AA400" s="6" t="n">
        <v>3.71107353988625</v>
      </c>
      <c r="AB400" s="6" t="n">
        <v>3.35998951244301</v>
      </c>
      <c r="AC400" s="6" t="n">
        <v>3.07086039666947</v>
      </c>
      <c r="AD400" s="6" t="n">
        <v>0.622328332372942</v>
      </c>
      <c r="AE400" s="6" t="n">
        <v>-0.518632127984013</v>
      </c>
      <c r="AF400" s="6" t="n">
        <v>-1.88576325164903</v>
      </c>
      <c r="AG400" s="6" t="n">
        <v>0.841785009269862</v>
      </c>
      <c r="AH400" s="6" t="n">
        <v>0.748088748690169</v>
      </c>
      <c r="AI400" s="6" t="n">
        <v>1.5179935282669</v>
      </c>
      <c r="AJ400" s="6" t="n">
        <v>81.7502819546753</v>
      </c>
      <c r="AK400" s="6" t="n">
        <v>0.106161325500578</v>
      </c>
      <c r="AL400" s="6" t="n">
        <v>1.06957848976888</v>
      </c>
      <c r="AN400" s="6" t="n">
        <v>1.29237441031626</v>
      </c>
      <c r="AO400" s="6" t="n">
        <v>1.29330544997138</v>
      </c>
      <c r="AP400" s="6" t="n">
        <v>0.133441330169436</v>
      </c>
      <c r="AQ400" s="6" t="n">
        <v>0</v>
      </c>
      <c r="AR400" s="6" t="n">
        <v>0</v>
      </c>
    </row>
    <row r="401" customFormat="false" ht="15" hidden="false" customHeight="false" outlineLevel="0" collapsed="false">
      <c r="D401" s="0" t="s">
        <v>527</v>
      </c>
      <c r="J401" s="6" t="n">
        <v>0.0729590316077662</v>
      </c>
      <c r="K401" s="6" t="n">
        <v>0.93550393140536</v>
      </c>
      <c r="L401" s="6" t="n">
        <v>4.85555666867644</v>
      </c>
      <c r="M401" s="6" t="n">
        <v>-2.38264710384445</v>
      </c>
      <c r="N401" s="6" t="n">
        <v>-1.1658600968041</v>
      </c>
      <c r="O401" s="6" t="n">
        <v>0.925498315160493</v>
      </c>
      <c r="P401" s="6" t="n">
        <v>0.771280260608464</v>
      </c>
      <c r="Q401" s="6" t="n">
        <v>1.4824771855735</v>
      </c>
      <c r="R401" s="6" t="n">
        <v>-2.93836660999648</v>
      </c>
      <c r="S401" s="6" t="n">
        <v>1.14264124066208</v>
      </c>
      <c r="T401" s="6" t="n">
        <v>2.57668763434146</v>
      </c>
      <c r="U401" s="6" t="n">
        <v>0.659257618434503</v>
      </c>
      <c r="V401" s="6" t="n">
        <v>0.671628979933134</v>
      </c>
      <c r="W401" s="6" t="n">
        <v>-1.64413099377388</v>
      </c>
      <c r="X401" s="6" t="n">
        <v>-0.274182337047739</v>
      </c>
      <c r="Y401" s="6" t="n">
        <v>0.142465922749158</v>
      </c>
      <c r="Z401" s="6" t="n">
        <v>0.379929331108607</v>
      </c>
      <c r="AA401" s="6" t="n">
        <v>-0.0856240876507198</v>
      </c>
      <c r="AB401" s="6" t="n">
        <v>-3.42811900840824</v>
      </c>
      <c r="AC401" s="6" t="n">
        <v>1.26408992588005</v>
      </c>
      <c r="AD401" s="6" t="n">
        <v>2.95326664682639</v>
      </c>
      <c r="AE401" s="6" t="n">
        <v>-0.0440946138509483</v>
      </c>
      <c r="AF401" s="6" t="n">
        <v>0.343465010466846</v>
      </c>
      <c r="AG401" s="6" t="n">
        <v>2.25846957402674</v>
      </c>
      <c r="AH401" s="6" t="n">
        <v>-0.572136766477739</v>
      </c>
      <c r="AI401" s="6" t="n">
        <v>-1.74418375402984</v>
      </c>
      <c r="AJ401" s="6" t="n">
        <v>75.066376211241</v>
      </c>
      <c r="AK401" s="6" t="n">
        <v>0.0962553104476168</v>
      </c>
      <c r="AL401" s="6" t="n">
        <v>1.10429539627003</v>
      </c>
      <c r="AN401" s="6" t="n">
        <v>1.27889930786562</v>
      </c>
      <c r="AO401" s="6" t="n">
        <v>1.2797004017784</v>
      </c>
      <c r="AP401" s="6" t="n">
        <v>0.131140864223196</v>
      </c>
      <c r="AQ401" s="6" t="n">
        <v>0</v>
      </c>
      <c r="AR401" s="6" t="n">
        <v>0</v>
      </c>
    </row>
    <row r="402" customFormat="false" ht="15" hidden="false" customHeight="false" outlineLevel="0" collapsed="false">
      <c r="D402" s="0" t="s">
        <v>528</v>
      </c>
      <c r="J402" s="6" t="n">
        <v>-1.71356848913792</v>
      </c>
      <c r="K402" s="6" t="n">
        <v>0.123438680924328</v>
      </c>
      <c r="L402" s="6" t="n">
        <v>1.08919528612812</v>
      </c>
      <c r="M402" s="6" t="n">
        <v>-2.54163306181515</v>
      </c>
      <c r="N402" s="6" t="n">
        <v>0.859909507149738</v>
      </c>
      <c r="O402" s="6" t="n">
        <v>-1.53444769491978</v>
      </c>
      <c r="P402" s="6" t="n">
        <v>0.591482688302879</v>
      </c>
      <c r="Q402" s="6" t="n">
        <v>0.195614234558956</v>
      </c>
      <c r="R402" s="6" t="n">
        <v>-2.30381452287234</v>
      </c>
      <c r="S402" s="6" t="n">
        <v>1.25477970698626</v>
      </c>
      <c r="T402" s="6" t="n">
        <v>-0.452550502442026</v>
      </c>
      <c r="U402" s="6" t="n">
        <v>-0.0707348477594231</v>
      </c>
      <c r="V402" s="6" t="n">
        <v>0.611142248724263</v>
      </c>
      <c r="W402" s="6" t="n">
        <v>1.8016780635437</v>
      </c>
      <c r="X402" s="6" t="n">
        <v>-2.95151076502054</v>
      </c>
      <c r="Y402" s="6" t="n">
        <v>-3.14557653906651</v>
      </c>
      <c r="Z402" s="6" t="n">
        <v>0.6880241819908</v>
      </c>
      <c r="AA402" s="6" t="n">
        <v>1.48227893410748</v>
      </c>
      <c r="AB402" s="6" t="n">
        <v>-2.53882304458655</v>
      </c>
      <c r="AC402" s="6" t="n">
        <v>0.662417398815002</v>
      </c>
      <c r="AD402" s="6" t="n">
        <v>-1.58376102845174</v>
      </c>
      <c r="AE402" s="6" t="n">
        <v>-1.63644786348259</v>
      </c>
      <c r="AF402" s="6" t="n">
        <v>-0.788094454710054</v>
      </c>
      <c r="AG402" s="6" t="n">
        <v>-1.90185536730729</v>
      </c>
      <c r="AH402" s="6" t="n">
        <v>1.40462699111217</v>
      </c>
      <c r="AI402" s="6" t="n">
        <v>-0.74513662530561</v>
      </c>
      <c r="AJ402" s="6" t="n">
        <v>66.7573591072471</v>
      </c>
      <c r="AK402" s="6" t="n">
        <v>0.189241639245496</v>
      </c>
      <c r="AL402" s="6" t="n">
        <v>1.0393104580365</v>
      </c>
      <c r="AN402" s="6" t="n">
        <v>1.29242321457939</v>
      </c>
      <c r="AO402" s="6" t="n">
        <v>1.29311849076999</v>
      </c>
      <c r="AP402" s="6" t="n">
        <v>0.132825812556415</v>
      </c>
      <c r="AQ402" s="6" t="n">
        <v>0</v>
      </c>
      <c r="AR402" s="6" t="n">
        <v>0</v>
      </c>
    </row>
    <row r="403" customFormat="false" ht="15" hidden="false" customHeight="false" outlineLevel="0" collapsed="false">
      <c r="D403" s="0" t="s">
        <v>529</v>
      </c>
      <c r="J403" s="6" t="n">
        <v>2.91009380876924</v>
      </c>
      <c r="K403" s="6" t="n">
        <v>5</v>
      </c>
      <c r="L403" s="6" t="n">
        <v>-2.97731990623455</v>
      </c>
      <c r="M403" s="6" t="n">
        <v>-1.49102823747571</v>
      </c>
      <c r="N403" s="6" t="n">
        <v>-1.86768147156086</v>
      </c>
      <c r="O403" s="6" t="n">
        <v>1.22472658742415</v>
      </c>
      <c r="P403" s="6" t="n">
        <v>-1.03803248991648</v>
      </c>
      <c r="Q403" s="6" t="n">
        <v>1.0987525881613</v>
      </c>
      <c r="R403" s="6" t="n">
        <v>4.68786859374239</v>
      </c>
      <c r="S403" s="6" t="n">
        <v>-0.283121108591955</v>
      </c>
      <c r="T403" s="6" t="n">
        <v>2.69308400435193</v>
      </c>
      <c r="U403" s="6" t="n">
        <v>0.341902069030195</v>
      </c>
      <c r="V403" s="6" t="n">
        <v>1.71921300350903</v>
      </c>
      <c r="W403" s="6" t="n">
        <v>1.28588971983819</v>
      </c>
      <c r="X403" s="6" t="n">
        <v>-0.205898737351799</v>
      </c>
      <c r="Y403" s="6" t="n">
        <v>2.44411132466446</v>
      </c>
      <c r="Z403" s="6" t="n">
        <v>0.704327513202232</v>
      </c>
      <c r="AA403" s="6" t="n">
        <v>1.48114039085059</v>
      </c>
      <c r="AB403" s="6" t="n">
        <v>0.131765633704032</v>
      </c>
      <c r="AC403" s="6" t="n">
        <v>0.0235458624629265</v>
      </c>
      <c r="AD403" s="6" t="n">
        <v>-1.39862652690071</v>
      </c>
      <c r="AE403" s="6" t="n">
        <v>0.961631128225714</v>
      </c>
      <c r="AF403" s="6" t="n">
        <v>0.937768676067721</v>
      </c>
      <c r="AG403" s="6" t="n">
        <v>0.154998193255216</v>
      </c>
      <c r="AH403" s="6" t="n">
        <v>0.741118520611599</v>
      </c>
      <c r="AI403" s="6" t="n">
        <v>2.51659080926764</v>
      </c>
      <c r="AJ403" s="6" t="n">
        <v>66.6942570175594</v>
      </c>
      <c r="AK403" s="6" t="n">
        <v>0.11327421873477</v>
      </c>
      <c r="AL403" s="6" t="n">
        <v>1.05360198611979</v>
      </c>
      <c r="AN403" s="6" t="n">
        <v>1.29191627177975</v>
      </c>
      <c r="AO403" s="6" t="n">
        <v>1.29208347089155</v>
      </c>
      <c r="AP403" s="6" t="n">
        <v>0.133685711545262</v>
      </c>
      <c r="AQ403" s="6" t="n">
        <v>0</v>
      </c>
      <c r="AR403" s="6" t="n">
        <v>0</v>
      </c>
    </row>
    <row r="404" customFormat="false" ht="15" hidden="false" customHeight="false" outlineLevel="0" collapsed="false">
      <c r="D404" s="0" t="s">
        <v>530</v>
      </c>
      <c r="J404" s="6" t="n">
        <v>0.482830558103977</v>
      </c>
      <c r="K404" s="6" t="n">
        <v>-0.0875636941587046</v>
      </c>
      <c r="L404" s="6" t="n">
        <v>1.12598254970886</v>
      </c>
      <c r="M404" s="6" t="n">
        <v>0.935096305822008</v>
      </c>
      <c r="N404" s="6" t="n">
        <v>-0.682245860009917</v>
      </c>
      <c r="O404" s="6" t="n">
        <v>0.548432058886293</v>
      </c>
      <c r="P404" s="6" t="n">
        <v>-0.0940678985528461</v>
      </c>
      <c r="Q404" s="6" t="n">
        <v>3.28254938762688</v>
      </c>
      <c r="R404" s="6" t="n">
        <v>-1.95261360720784</v>
      </c>
      <c r="S404" s="6" t="n">
        <v>-2.90099562980401</v>
      </c>
      <c r="T404" s="6" t="n">
        <v>-0.93856315610882</v>
      </c>
      <c r="U404" s="6" t="n">
        <v>0.783251431370251</v>
      </c>
      <c r="V404" s="6" t="n">
        <v>0.784363825531049</v>
      </c>
      <c r="W404" s="6" t="n">
        <v>1.39982795319053</v>
      </c>
      <c r="X404" s="6" t="n">
        <v>-0.143772330984634</v>
      </c>
      <c r="Y404" s="6" t="n">
        <v>0.58371648860164</v>
      </c>
      <c r="Z404" s="6" t="n">
        <v>1.11684130037338</v>
      </c>
      <c r="AA404" s="6" t="n">
        <v>-1.58056481499019</v>
      </c>
      <c r="AB404" s="6" t="n">
        <v>-1.29997546404892</v>
      </c>
      <c r="AC404" s="6" t="n">
        <v>1.18868670185086</v>
      </c>
      <c r="AD404" s="6" t="n">
        <v>-2.16903154353944</v>
      </c>
      <c r="AE404" s="6" t="n">
        <v>-0.675314626235826</v>
      </c>
      <c r="AF404" s="6" t="n">
        <v>0.0919294067597477</v>
      </c>
      <c r="AG404" s="6" t="n">
        <v>-0.633315432831492</v>
      </c>
      <c r="AH404" s="6" t="n">
        <v>-0.556347236631806</v>
      </c>
      <c r="AI404" s="6" t="n">
        <v>-1.25419507945946</v>
      </c>
      <c r="AJ404" s="6" t="n">
        <v>63.6952057809439</v>
      </c>
      <c r="AK404" s="6" t="n">
        <v>0.154431318884189</v>
      </c>
      <c r="AL404" s="6" t="n">
        <v>1.05168350085712</v>
      </c>
      <c r="AN404" s="6" t="n">
        <v>1.28745386677187</v>
      </c>
      <c r="AO404" s="6" t="n">
        <v>1.28787704823773</v>
      </c>
      <c r="AP404" s="6" t="n">
        <v>0.132706421930033</v>
      </c>
      <c r="AQ404" s="6" t="n">
        <v>0</v>
      </c>
      <c r="AR404" s="6" t="n">
        <v>0</v>
      </c>
    </row>
    <row r="405" customFormat="false" ht="15" hidden="false" customHeight="false" outlineLevel="0" collapsed="false">
      <c r="D405" s="0" t="s">
        <v>531</v>
      </c>
      <c r="J405" s="6" t="n">
        <v>1.29488677031085</v>
      </c>
      <c r="K405" s="6" t="n">
        <v>-1.58539566840277</v>
      </c>
      <c r="L405" s="6" t="n">
        <v>1.30257256285636</v>
      </c>
      <c r="M405" s="6" t="n">
        <v>-0.0981224977001251</v>
      </c>
      <c r="N405" s="6" t="n">
        <v>0.52397326181575</v>
      </c>
      <c r="O405" s="6" t="n">
        <v>2.85607539307</v>
      </c>
      <c r="P405" s="6" t="n">
        <v>1.33821923872677</v>
      </c>
      <c r="Q405" s="6" t="n">
        <v>2.87465443054302</v>
      </c>
      <c r="R405" s="6" t="n">
        <v>-2.00818790495506</v>
      </c>
      <c r="S405" s="6" t="n">
        <v>-0.0491198084872069</v>
      </c>
      <c r="T405" s="6" t="n">
        <v>-0.201962978961818</v>
      </c>
      <c r="U405" s="6" t="n">
        <v>0.030330920616268</v>
      </c>
      <c r="V405" s="6" t="n">
        <v>3.40721899953063</v>
      </c>
      <c r="W405" s="6" t="n">
        <v>-2.7558227326589</v>
      </c>
      <c r="X405" s="6" t="n">
        <v>3.42611701803344</v>
      </c>
      <c r="Y405" s="6" t="n">
        <v>1.35246906885928</v>
      </c>
      <c r="Z405" s="6" t="n">
        <v>0.469526195555463</v>
      </c>
      <c r="AA405" s="6" t="n">
        <v>0.575435103051428</v>
      </c>
      <c r="AB405" s="6" t="n">
        <v>2.28362460893125</v>
      </c>
      <c r="AC405" s="6" t="n">
        <v>-1.37888702629369</v>
      </c>
      <c r="AD405" s="6" t="n">
        <v>-0.599836253525642</v>
      </c>
      <c r="AE405" s="6" t="n">
        <v>1.02992550643907</v>
      </c>
      <c r="AF405" s="6" t="n">
        <v>1.61103550853846</v>
      </c>
      <c r="AG405" s="6" t="n">
        <v>2.99586200346788</v>
      </c>
      <c r="AH405" s="6" t="n">
        <v>-3.47580032597224</v>
      </c>
      <c r="AI405" s="6" t="n">
        <v>-3.79782658798913</v>
      </c>
      <c r="AJ405" s="6" t="n">
        <v>74.9489232199343</v>
      </c>
      <c r="AK405" s="6" t="n">
        <v>0.113971827209368</v>
      </c>
      <c r="AL405" s="6" t="n">
        <v>0.966667988785289</v>
      </c>
      <c r="AN405" s="6" t="n">
        <v>1.32109051640831</v>
      </c>
      <c r="AO405" s="6" t="n">
        <v>1.32109051640831</v>
      </c>
      <c r="AP405" s="6" t="n">
        <v>0.149604039065636</v>
      </c>
      <c r="AQ405" s="6" t="n">
        <v>0</v>
      </c>
      <c r="AR405" s="6" t="n">
        <v>0</v>
      </c>
    </row>
    <row r="406" customFormat="false" ht="15" hidden="false" customHeight="false" outlineLevel="0" collapsed="false">
      <c r="D406" s="0" t="s">
        <v>532</v>
      </c>
      <c r="J406" s="6" t="n">
        <v>-3.54549818297847</v>
      </c>
      <c r="K406" s="6" t="n">
        <v>-2.01009572732405</v>
      </c>
      <c r="L406" s="6" t="n">
        <v>-0.9107521609636</v>
      </c>
      <c r="M406" s="6" t="n">
        <v>0.652058686326704</v>
      </c>
      <c r="N406" s="6" t="n">
        <v>-0.234894691307013</v>
      </c>
      <c r="O406" s="6" t="n">
        <v>-1.0374879577738</v>
      </c>
      <c r="P406" s="6" t="n">
        <v>0.628006282245443</v>
      </c>
      <c r="Q406" s="6" t="n">
        <v>-0.74171079239622</v>
      </c>
      <c r="R406" s="6" t="n">
        <v>2.47046803137993</v>
      </c>
      <c r="S406" s="6" t="n">
        <v>-1.17640077448239</v>
      </c>
      <c r="T406" s="6" t="n">
        <v>3.12750614281331</v>
      </c>
      <c r="U406" s="6" t="n">
        <v>-3.74584384808585</v>
      </c>
      <c r="V406" s="6" t="n">
        <v>1.71461921091781</v>
      </c>
      <c r="W406" s="6" t="n">
        <v>0.765782959537093</v>
      </c>
      <c r="X406" s="6" t="n">
        <v>-3.0771402063932</v>
      </c>
      <c r="Y406" s="6" t="n">
        <v>0.116550228379397</v>
      </c>
      <c r="Z406" s="6" t="n">
        <v>-0.331546076071218</v>
      </c>
      <c r="AA406" s="6" t="n">
        <v>-3.60612342150086</v>
      </c>
      <c r="AB406" s="6" t="n">
        <v>2.40900843797621</v>
      </c>
      <c r="AC406" s="6" t="n">
        <v>1.07497815249206</v>
      </c>
      <c r="AD406" s="6" t="n">
        <v>0.996579342472976</v>
      </c>
      <c r="AE406" s="6" t="n">
        <v>-1.18131239365393</v>
      </c>
      <c r="AF406" s="6" t="n">
        <v>-3.05434210403351</v>
      </c>
      <c r="AG406" s="6" t="n">
        <v>2.31834138205249</v>
      </c>
      <c r="AH406" s="6" t="n">
        <v>-1.40115191541114</v>
      </c>
      <c r="AI406" s="6" t="n">
        <v>1.19920498253825</v>
      </c>
      <c r="AJ406" s="6" t="n">
        <v>69.6588041358657</v>
      </c>
      <c r="AK406" s="6" t="n">
        <v>0.11357959639599</v>
      </c>
      <c r="AL406" s="6" t="n">
        <v>1.04593566491753</v>
      </c>
      <c r="AN406" s="6" t="n">
        <v>1.29861881567489</v>
      </c>
      <c r="AO406" s="6" t="n">
        <v>1.29931943562266</v>
      </c>
      <c r="AP406" s="6" t="n">
        <v>0.134528814472476</v>
      </c>
      <c r="AQ406" s="6" t="n">
        <v>0</v>
      </c>
      <c r="AR406" s="6" t="n">
        <v>0</v>
      </c>
    </row>
    <row r="407" customFormat="false" ht="15" hidden="false" customHeight="false" outlineLevel="0" collapsed="false">
      <c r="D407" s="0" t="s">
        <v>533</v>
      </c>
      <c r="J407" s="6" t="n">
        <v>-2.90975644587521</v>
      </c>
      <c r="K407" s="6" t="n">
        <v>-0.532311940042195</v>
      </c>
      <c r="L407" s="6" t="n">
        <v>3.41679455440057</v>
      </c>
      <c r="M407" s="6" t="n">
        <v>1.53773176378735</v>
      </c>
      <c r="N407" s="6" t="n">
        <v>-1.76289596238712</v>
      </c>
      <c r="O407" s="6" t="n">
        <v>-3.25171831659269</v>
      </c>
      <c r="P407" s="6" t="n">
        <v>0.327966421201905</v>
      </c>
      <c r="Q407" s="6" t="n">
        <v>-0.852299393711097</v>
      </c>
      <c r="R407" s="6" t="n">
        <v>-3.40824869358831</v>
      </c>
      <c r="S407" s="6" t="n">
        <v>0.961350934678917</v>
      </c>
      <c r="T407" s="6" t="n">
        <v>2.04498975966282</v>
      </c>
      <c r="U407" s="6" t="n">
        <v>-2.74920060276904</v>
      </c>
      <c r="V407" s="6" t="n">
        <v>-2.85391941898339</v>
      </c>
      <c r="W407" s="6" t="n">
        <v>-0.351299201708364</v>
      </c>
      <c r="X407" s="6" t="n">
        <v>-0.951155136123381</v>
      </c>
      <c r="Y407" s="6" t="n">
        <v>0.665536464608885</v>
      </c>
      <c r="Z407" s="6" t="n">
        <v>-0.702329701686476</v>
      </c>
      <c r="AA407" s="6" t="n">
        <v>0.377556590519802</v>
      </c>
      <c r="AB407" s="6" t="n">
        <v>-0.467847560100228</v>
      </c>
      <c r="AC407" s="6" t="n">
        <v>-0.719841504628961</v>
      </c>
      <c r="AD407" s="6" t="n">
        <v>0.911103896362073</v>
      </c>
      <c r="AE407" s="6" t="n">
        <v>-0.559549493555208</v>
      </c>
      <c r="AF407" s="6" t="n">
        <v>3.09598870420536</v>
      </c>
      <c r="AG407" s="6" t="n">
        <v>-1.72748949869754</v>
      </c>
      <c r="AH407" s="6" t="n">
        <v>2.69687903992804</v>
      </c>
      <c r="AI407" s="6" t="n">
        <v>2.90878879714417</v>
      </c>
      <c r="AJ407" s="6" t="n">
        <v>74.8674150571271</v>
      </c>
      <c r="AK407" s="6" t="n">
        <v>0.0853968601005861</v>
      </c>
      <c r="AL407" s="6" t="n">
        <v>1.05338301589426</v>
      </c>
      <c r="AN407" s="6" t="n">
        <v>1.30080622183584</v>
      </c>
      <c r="AO407" s="6" t="n">
        <v>1.30131963111939</v>
      </c>
      <c r="AP407" s="6" t="n">
        <v>0.134819275928668</v>
      </c>
      <c r="AQ407" s="6" t="n">
        <v>0</v>
      </c>
      <c r="AR407" s="6" t="n">
        <v>0</v>
      </c>
    </row>
    <row r="408" customFormat="false" ht="15" hidden="false" customHeight="false" outlineLevel="0" collapsed="false">
      <c r="D408" s="0" t="s">
        <v>534</v>
      </c>
      <c r="J408" s="6" t="n">
        <v>1.4246061247188</v>
      </c>
      <c r="K408" s="6" t="n">
        <v>0.501226664943392</v>
      </c>
      <c r="L408" s="6" t="n">
        <v>2.48977316206757</v>
      </c>
      <c r="M408" s="6" t="n">
        <v>0.797880809200059</v>
      </c>
      <c r="N408" s="6" t="n">
        <v>-1.58516871661634</v>
      </c>
      <c r="O408" s="6" t="n">
        <v>-0.520098249944792</v>
      </c>
      <c r="P408" s="6" t="n">
        <v>-0.961144492015104</v>
      </c>
      <c r="Q408" s="6" t="n">
        <v>-0.428702918861385</v>
      </c>
      <c r="R408" s="6" t="n">
        <v>1.04132143319594</v>
      </c>
      <c r="S408" s="6" t="n">
        <v>-2.55715957463053</v>
      </c>
      <c r="T408" s="6" t="n">
        <v>-0.650955114707299</v>
      </c>
      <c r="U408" s="6" t="n">
        <v>-1.78514214840569</v>
      </c>
      <c r="V408" s="6" t="n">
        <v>-2.76506456074303</v>
      </c>
      <c r="W408" s="6" t="n">
        <v>0.0858699685172674</v>
      </c>
      <c r="X408" s="6" t="n">
        <v>1.93304506511821</v>
      </c>
      <c r="Y408" s="6" t="n">
        <v>-1.53100904242021</v>
      </c>
      <c r="Z408" s="6" t="n">
        <v>-0.193669073375633</v>
      </c>
      <c r="AA408" s="6" t="n">
        <v>0.744437492485207</v>
      </c>
      <c r="AB408" s="6" t="n">
        <v>0.137572996314465</v>
      </c>
      <c r="AC408" s="6" t="n">
        <v>-2.95494396590755</v>
      </c>
      <c r="AD408" s="6" t="n">
        <v>1.48803502346639</v>
      </c>
      <c r="AE408" s="6" t="n">
        <v>-0.443729600733353</v>
      </c>
      <c r="AF408" s="6" t="n">
        <v>4.19882251814344</v>
      </c>
      <c r="AG408" s="6" t="n">
        <v>1.05204330802715</v>
      </c>
      <c r="AH408" s="6" t="n">
        <v>-2.56264976077608</v>
      </c>
      <c r="AI408" s="6" t="n">
        <v>-0.108133096115581</v>
      </c>
      <c r="AJ408" s="6" t="n">
        <v>71.6021983574331</v>
      </c>
      <c r="AK408" s="6" t="n">
        <v>0.131047617203405</v>
      </c>
      <c r="AL408" s="6" t="n">
        <v>1.01460769267153</v>
      </c>
      <c r="AN408" s="6" t="n">
        <v>1.31048562132203</v>
      </c>
      <c r="AO408" s="6" t="n">
        <v>1.31048562132203</v>
      </c>
      <c r="AP408" s="6" t="n">
        <v>0.137837317443069</v>
      </c>
      <c r="AQ408" s="6" t="n">
        <v>0</v>
      </c>
      <c r="AR408" s="6" t="n">
        <v>0</v>
      </c>
    </row>
    <row r="409" customFormat="false" ht="15" hidden="false" customHeight="false" outlineLevel="0" collapsed="false">
      <c r="D409" s="0" t="s">
        <v>535</v>
      </c>
      <c r="J409" s="6" t="n">
        <v>2.22150483082263</v>
      </c>
      <c r="K409" s="6" t="n">
        <v>-3.55834048314153</v>
      </c>
      <c r="L409" s="6" t="n">
        <v>1.25372080934086</v>
      </c>
      <c r="M409" s="6" t="n">
        <v>0.507965847869354</v>
      </c>
      <c r="N409" s="6" t="n">
        <v>-0.182032642224865</v>
      </c>
      <c r="O409" s="6" t="n">
        <v>-2.51731100099579</v>
      </c>
      <c r="P409" s="6" t="n">
        <v>1.22316563153811</v>
      </c>
      <c r="Q409" s="6" t="n">
        <v>-0.238877865088305</v>
      </c>
      <c r="R409" s="6" t="n">
        <v>1.67788907888124</v>
      </c>
      <c r="S409" s="6" t="n">
        <v>2.00155762579724</v>
      </c>
      <c r="T409" s="6" t="n">
        <v>0.500833423044711</v>
      </c>
      <c r="U409" s="6" t="n">
        <v>-1.64216512948982</v>
      </c>
      <c r="V409" s="6" t="n">
        <v>2.76733192445088</v>
      </c>
      <c r="W409" s="6" t="n">
        <v>4.43128709737245</v>
      </c>
      <c r="X409" s="6" t="n">
        <v>1.99193941383761</v>
      </c>
      <c r="Y409" s="6" t="n">
        <v>1.98229684024706</v>
      </c>
      <c r="Z409" s="6" t="n">
        <v>-3.68017131868069</v>
      </c>
      <c r="AA409" s="6" t="n">
        <v>2.88714598986719</v>
      </c>
      <c r="AB409" s="6" t="n">
        <v>-1.98214625186387</v>
      </c>
      <c r="AC409" s="6" t="n">
        <v>-2.06988666286655</v>
      </c>
      <c r="AD409" s="6" t="n">
        <v>2.11317326503878</v>
      </c>
      <c r="AE409" s="6" t="n">
        <v>1.92669280071594</v>
      </c>
      <c r="AF409" s="6" t="n">
        <v>0.548379935844925</v>
      </c>
      <c r="AG409" s="6" t="n">
        <v>0.910922609117248</v>
      </c>
      <c r="AH409" s="6" t="n">
        <v>0.284705283102546</v>
      </c>
      <c r="AI409" s="6" t="n">
        <v>0.118748039514543</v>
      </c>
      <c r="AJ409" s="6" t="n">
        <v>73.1205370197971</v>
      </c>
      <c r="AK409" s="6" t="n">
        <v>0.0653218414782131</v>
      </c>
      <c r="AL409" s="6" t="n">
        <v>1.0248297606652</v>
      </c>
      <c r="AN409" s="6" t="n">
        <v>1.3113653674447</v>
      </c>
      <c r="AO409" s="6" t="n">
        <v>1.3113653674447</v>
      </c>
      <c r="AP409" s="6" t="n">
        <v>0.138250107852125</v>
      </c>
      <c r="AQ409" s="6" t="n">
        <v>0</v>
      </c>
      <c r="AR409" s="6" t="n">
        <v>0</v>
      </c>
    </row>
    <row r="410" customFormat="false" ht="15" hidden="false" customHeight="false" outlineLevel="0" collapsed="false">
      <c r="D410" s="0" t="s">
        <v>536</v>
      </c>
      <c r="J410" s="6" t="n">
        <v>-1.21717435498565</v>
      </c>
      <c r="K410" s="6" t="n">
        <v>-4.27141161906032</v>
      </c>
      <c r="L410" s="6" t="n">
        <v>-1.79146490170859</v>
      </c>
      <c r="M410" s="6" t="n">
        <v>-0.916696158752144</v>
      </c>
      <c r="N410" s="6" t="n">
        <v>-0.861500667161499</v>
      </c>
      <c r="O410" s="6" t="n">
        <v>1.31358748968933</v>
      </c>
      <c r="P410" s="6" t="n">
        <v>0.412433987625443</v>
      </c>
      <c r="Q410" s="6" t="n">
        <v>0.788927480633628</v>
      </c>
      <c r="R410" s="6" t="n">
        <v>0.916122781849641</v>
      </c>
      <c r="S410" s="6" t="n">
        <v>0.0678828860409317</v>
      </c>
      <c r="T410" s="6" t="n">
        <v>-2.37458396240873</v>
      </c>
      <c r="U410" s="6" t="n">
        <v>-1.71246436200885</v>
      </c>
      <c r="V410" s="6" t="n">
        <v>-2.28868764176535</v>
      </c>
      <c r="W410" s="6" t="n">
        <v>2.57676361215221</v>
      </c>
      <c r="X410" s="6" t="n">
        <v>1.89100151395632</v>
      </c>
      <c r="Y410" s="6" t="n">
        <v>-1.90352611666913</v>
      </c>
      <c r="Z410" s="6" t="n">
        <v>1.58771499111048</v>
      </c>
      <c r="AA410" s="6" t="n">
        <v>2.76413922814797</v>
      </c>
      <c r="AB410" s="6" t="n">
        <v>1.06593898845239</v>
      </c>
      <c r="AC410" s="6" t="n">
        <v>2.79740619381527</v>
      </c>
      <c r="AD410" s="6" t="n">
        <v>-0.866952638359272</v>
      </c>
      <c r="AE410" s="6" t="n">
        <v>3.18282067274824</v>
      </c>
      <c r="AF410" s="6" t="n">
        <v>-2.47393837899545</v>
      </c>
      <c r="AG410" s="6" t="n">
        <v>-0.445449948010094</v>
      </c>
      <c r="AH410" s="6" t="n">
        <v>-1.33049009638965</v>
      </c>
      <c r="AI410" s="6" t="n">
        <v>0.724356626879811</v>
      </c>
      <c r="AJ410" s="6" t="n">
        <v>69.7256963644756</v>
      </c>
      <c r="AK410" s="6" t="n">
        <v>0.136907712665366</v>
      </c>
      <c r="AL410" s="6" t="n">
        <v>1.04712761397274</v>
      </c>
      <c r="AN410" s="6" t="n">
        <v>1.29293259405041</v>
      </c>
      <c r="AO410" s="6" t="n">
        <v>1.29317385511412</v>
      </c>
      <c r="AP410" s="6" t="n">
        <v>0.133656781284371</v>
      </c>
      <c r="AQ410" s="6" t="n">
        <v>0</v>
      </c>
      <c r="AR410" s="6" t="n">
        <v>0</v>
      </c>
    </row>
    <row r="411" customFormat="false" ht="15" hidden="false" customHeight="false" outlineLevel="0" collapsed="false">
      <c r="D411" s="0" t="s">
        <v>537</v>
      </c>
      <c r="J411" s="6" t="n">
        <v>-1.01536525174918</v>
      </c>
      <c r="K411" s="6" t="n">
        <v>-3.27254796814646</v>
      </c>
      <c r="L411" s="6" t="n">
        <v>0.996224983085497</v>
      </c>
      <c r="M411" s="6" t="n">
        <v>-0.712706443403917</v>
      </c>
      <c r="N411" s="6" t="n">
        <v>2.33021312333358</v>
      </c>
      <c r="O411" s="6" t="n">
        <v>-3.81014558840065</v>
      </c>
      <c r="P411" s="6" t="n">
        <v>0.968226876354512</v>
      </c>
      <c r="Q411" s="6" t="n">
        <v>3.56804071960198</v>
      </c>
      <c r="R411" s="6" t="n">
        <v>0.442512213260922</v>
      </c>
      <c r="S411" s="6" t="n">
        <v>-0.562642918845192</v>
      </c>
      <c r="T411" s="6" t="n">
        <v>-3.47351974804203</v>
      </c>
      <c r="U411" s="6" t="n">
        <v>2.33414107159915</v>
      </c>
      <c r="V411" s="6" t="n">
        <v>2.51440833271445</v>
      </c>
      <c r="W411" s="6" t="n">
        <v>-1.88629381442697</v>
      </c>
      <c r="X411" s="6" t="n">
        <v>-0.693994871036882</v>
      </c>
      <c r="Y411" s="6" t="n">
        <v>-1.22829759811867</v>
      </c>
      <c r="Z411" s="6" t="n">
        <v>-1.27437587012722</v>
      </c>
      <c r="AA411" s="6" t="n">
        <v>2.9129620199151</v>
      </c>
      <c r="AB411" s="6" t="n">
        <v>-0.954946071461947</v>
      </c>
      <c r="AC411" s="6" t="n">
        <v>1.79334190609484</v>
      </c>
      <c r="AD411" s="6" t="n">
        <v>1.31389510677804</v>
      </c>
      <c r="AE411" s="6" t="n">
        <v>2.04581244577384</v>
      </c>
      <c r="AF411" s="6" t="n">
        <v>-0.0249224413808613</v>
      </c>
      <c r="AG411" s="6" t="n">
        <v>0.808692471143168</v>
      </c>
      <c r="AH411" s="6" t="n">
        <v>-0.550587791373102</v>
      </c>
      <c r="AI411" s="6" t="n">
        <v>1.06203966934662</v>
      </c>
      <c r="AJ411" s="6" t="n">
        <v>74.2015166848578</v>
      </c>
      <c r="AK411" s="6" t="n">
        <v>0.14543202758494</v>
      </c>
      <c r="AL411" s="6" t="n">
        <v>1.04134773069482</v>
      </c>
      <c r="AN411" s="6" t="n">
        <v>1.29247644388996</v>
      </c>
      <c r="AO411" s="6" t="n">
        <v>1.29504116706854</v>
      </c>
      <c r="AP411" s="6" t="n">
        <v>0.134525186235275</v>
      </c>
      <c r="AQ411" s="6" t="n">
        <v>0</v>
      </c>
      <c r="AR411" s="6" t="n">
        <v>0</v>
      </c>
    </row>
    <row r="412" customFormat="false" ht="15" hidden="false" customHeight="false" outlineLevel="0" collapsed="false">
      <c r="D412" s="0" t="s">
        <v>538</v>
      </c>
      <c r="J412" s="6" t="n">
        <v>-0.479852705597187</v>
      </c>
      <c r="K412" s="6" t="n">
        <v>0.372632045766253</v>
      </c>
      <c r="L412" s="6" t="n">
        <v>-0.773873669752526</v>
      </c>
      <c r="M412" s="6" t="n">
        <v>-1.35113989956078</v>
      </c>
      <c r="N412" s="6" t="n">
        <v>-2.09668859884344</v>
      </c>
      <c r="O412" s="6" t="n">
        <v>1.36674284553742</v>
      </c>
      <c r="P412" s="6" t="n">
        <v>-0.662865576273546</v>
      </c>
      <c r="Q412" s="6" t="n">
        <v>-1.18228423058807</v>
      </c>
      <c r="R412" s="6" t="n">
        <v>-5.04332333146114</v>
      </c>
      <c r="S412" s="6" t="n">
        <v>-0.88213587569803</v>
      </c>
      <c r="T412" s="6" t="n">
        <v>2.70443050718749</v>
      </c>
      <c r="U412" s="6" t="n">
        <v>-0.654931837229101</v>
      </c>
      <c r="V412" s="6" t="n">
        <v>-1.77247239867097</v>
      </c>
      <c r="W412" s="6" t="n">
        <v>2.94217268470891</v>
      </c>
      <c r="X412" s="6" t="n">
        <v>2.47592710507484</v>
      </c>
      <c r="Y412" s="6" t="n">
        <v>-3.89857383793133</v>
      </c>
      <c r="Z412" s="6" t="n">
        <v>-1.3074271157735</v>
      </c>
      <c r="AA412" s="6" t="n">
        <v>-2.23625528275502</v>
      </c>
      <c r="AB412" s="6" t="n">
        <v>4.31098272903212</v>
      </c>
      <c r="AC412" s="6" t="n">
        <v>-1.27429420449948</v>
      </c>
      <c r="AD412" s="6" t="n">
        <v>0.00737452065665055</v>
      </c>
      <c r="AE412" s="6" t="n">
        <v>3.18445943405205</v>
      </c>
      <c r="AF412" s="6" t="n">
        <v>0.565950066625518</v>
      </c>
      <c r="AG412" s="6" t="n">
        <v>-0.787236567240437</v>
      </c>
      <c r="AH412" s="6" t="n">
        <v>2.05873151374692</v>
      </c>
      <c r="AI412" s="6" t="n">
        <v>3.02798644552932</v>
      </c>
      <c r="AJ412" s="6" t="n">
        <v>71.7842287386717</v>
      </c>
      <c r="AK412" s="6" t="n">
        <v>0.161180464164386</v>
      </c>
      <c r="AL412" s="6" t="n">
        <v>1.07322369741165</v>
      </c>
      <c r="AN412" s="6" t="n">
        <v>1.28040046406655</v>
      </c>
      <c r="AO412" s="6" t="n">
        <v>1.28084800605689</v>
      </c>
      <c r="AP412" s="6" t="n">
        <v>0.130804992553532</v>
      </c>
      <c r="AQ412" s="6" t="n">
        <v>0</v>
      </c>
      <c r="AR412" s="6" t="n">
        <v>0</v>
      </c>
    </row>
    <row r="413" customFormat="false" ht="15" hidden="false" customHeight="false" outlineLevel="0" collapsed="false">
      <c r="D413" s="0" t="s">
        <v>539</v>
      </c>
      <c r="J413" s="6" t="n">
        <v>-2.02964016266613</v>
      </c>
      <c r="K413" s="6" t="n">
        <v>2.66283184617182</v>
      </c>
      <c r="L413" s="6" t="n">
        <v>5</v>
      </c>
      <c r="M413" s="6" t="n">
        <v>-0.266607891607067</v>
      </c>
      <c r="N413" s="6" t="n">
        <v>0.455848332257612</v>
      </c>
      <c r="O413" s="6" t="n">
        <v>-0.968616611344438</v>
      </c>
      <c r="P413" s="6" t="n">
        <v>-0.246155565440264</v>
      </c>
      <c r="Q413" s="6" t="n">
        <v>-1.10645384051865</v>
      </c>
      <c r="R413" s="6" t="n">
        <v>-3.07890491369772</v>
      </c>
      <c r="S413" s="6" t="n">
        <v>-0.97682289656661</v>
      </c>
      <c r="T413" s="6" t="n">
        <v>-1.04740360898984</v>
      </c>
      <c r="U413" s="6" t="n">
        <v>-0.206435730595248</v>
      </c>
      <c r="V413" s="6" t="n">
        <v>-3.25964883940287</v>
      </c>
      <c r="W413" s="6" t="n">
        <v>-0.341764027622375</v>
      </c>
      <c r="X413" s="6" t="n">
        <v>0.398582708883838</v>
      </c>
      <c r="Y413" s="6" t="n">
        <v>2.47996775008814</v>
      </c>
      <c r="Z413" s="6" t="n">
        <v>1.72036777684209</v>
      </c>
      <c r="AA413" s="6" t="n">
        <v>3.20427782291194</v>
      </c>
      <c r="AB413" s="6" t="n">
        <v>0.580624113444333</v>
      </c>
      <c r="AC413" s="6" t="n">
        <v>-1.30167520972821</v>
      </c>
      <c r="AD413" s="6" t="n">
        <v>0.580186308443793</v>
      </c>
      <c r="AE413" s="6" t="n">
        <v>0.218404032289378</v>
      </c>
      <c r="AF413" s="6" t="n">
        <v>-0.652342398310127</v>
      </c>
      <c r="AG413" s="6" t="n">
        <v>0.315243062639714</v>
      </c>
      <c r="AH413" s="6" t="n">
        <v>3.55011711461026</v>
      </c>
      <c r="AI413" s="6" t="n">
        <v>2.7185931139299</v>
      </c>
      <c r="AJ413" s="6" t="n">
        <v>79.0585458302759</v>
      </c>
      <c r="AK413" s="6" t="n">
        <v>0.101790424228107</v>
      </c>
      <c r="AL413" s="6" t="n">
        <v>1.02456129771396</v>
      </c>
      <c r="AN413" s="6" t="n">
        <v>1.31605932368298</v>
      </c>
      <c r="AO413" s="6" t="n">
        <v>1.31656496783148</v>
      </c>
      <c r="AP413" s="6" t="n">
        <v>0.138151908609634</v>
      </c>
      <c r="AQ413" s="6" t="n">
        <v>0</v>
      </c>
      <c r="AR413" s="6" t="n">
        <v>0</v>
      </c>
    </row>
    <row r="414" customFormat="false" ht="15" hidden="false" customHeight="false" outlineLevel="0" collapsed="false">
      <c r="D414" s="0" t="s">
        <v>540</v>
      </c>
      <c r="J414" s="6" t="n">
        <v>0.891219588749183</v>
      </c>
      <c r="K414" s="6" t="n">
        <v>1.163459365868</v>
      </c>
      <c r="L414" s="6" t="n">
        <v>0.857013757744215</v>
      </c>
      <c r="M414" s="6" t="n">
        <v>1.74678238361958</v>
      </c>
      <c r="N414" s="6" t="n">
        <v>-0.234552299528605</v>
      </c>
      <c r="O414" s="6" t="n">
        <v>3.50783649267125</v>
      </c>
      <c r="P414" s="6" t="n">
        <v>0.210419101019419</v>
      </c>
      <c r="Q414" s="6" t="n">
        <v>-2.28580061498464</v>
      </c>
      <c r="R414" s="6" t="n">
        <v>-0.658077440370784</v>
      </c>
      <c r="S414" s="6" t="n">
        <v>0.964212358404207</v>
      </c>
      <c r="T414" s="6" t="n">
        <v>-0.263443520665832</v>
      </c>
      <c r="U414" s="6" t="n">
        <v>1.11617950732262</v>
      </c>
      <c r="V414" s="6" t="n">
        <v>-0.337584965813193</v>
      </c>
      <c r="W414" s="6" t="n">
        <v>2.44136435685244</v>
      </c>
      <c r="X414" s="6" t="n">
        <v>0.418877535415658</v>
      </c>
      <c r="Y414" s="6" t="n">
        <v>1.57340660433766</v>
      </c>
      <c r="Z414" s="6" t="n">
        <v>1.20188427563799</v>
      </c>
      <c r="AA414" s="6" t="n">
        <v>-2.15862562254862</v>
      </c>
      <c r="AB414" s="6" t="n">
        <v>2.48177780169966</v>
      </c>
      <c r="AC414" s="6" t="n">
        <v>-3.44920027730186</v>
      </c>
      <c r="AD414" s="6" t="n">
        <v>0.228431521732512</v>
      </c>
      <c r="AE414" s="6" t="n">
        <v>0.285427876879904</v>
      </c>
      <c r="AF414" s="6" t="n">
        <v>3.10011972688064</v>
      </c>
      <c r="AG414" s="6" t="n">
        <v>-2.15088092886353</v>
      </c>
      <c r="AH414" s="6" t="n">
        <v>0.361278803610361</v>
      </c>
      <c r="AI414" s="6" t="n">
        <v>0.993456349485108</v>
      </c>
      <c r="AJ414" s="6" t="n">
        <v>66.093688675202</v>
      </c>
      <c r="AK414" s="6" t="n">
        <v>0.118680140020894</v>
      </c>
      <c r="AL414" s="6" t="n">
        <v>1.03582066426695</v>
      </c>
      <c r="AN414" s="6" t="n">
        <v>1.29863504218531</v>
      </c>
      <c r="AO414" s="6" t="n">
        <v>1.29865833398338</v>
      </c>
      <c r="AP414" s="6" t="n">
        <v>0.134580819723335</v>
      </c>
      <c r="AQ414" s="6" t="n">
        <v>0</v>
      </c>
      <c r="AR414" s="6" t="n">
        <v>0</v>
      </c>
    </row>
    <row r="415" customFormat="false" ht="15" hidden="false" customHeight="false" outlineLevel="0" collapsed="false">
      <c r="D415" s="0" t="s">
        <v>541</v>
      </c>
      <c r="J415" s="6" t="n">
        <v>-0.82386715693992</v>
      </c>
      <c r="K415" s="6" t="n">
        <v>0.788671297190268</v>
      </c>
      <c r="L415" s="6" t="n">
        <v>-1.49067942832981</v>
      </c>
      <c r="M415" s="6" t="n">
        <v>-4.37818487309122</v>
      </c>
      <c r="N415" s="6" t="n">
        <v>0.520464496191173</v>
      </c>
      <c r="O415" s="6" t="n">
        <v>0.753750146098537</v>
      </c>
      <c r="P415" s="6" t="n">
        <v>0.203853927236103</v>
      </c>
      <c r="Q415" s="6" t="n">
        <v>0.98035901214047</v>
      </c>
      <c r="R415" s="6" t="n">
        <v>-3.04459630504638</v>
      </c>
      <c r="S415" s="6" t="n">
        <v>-1.95586559258536</v>
      </c>
      <c r="T415" s="6" t="n">
        <v>4.32877386252157</v>
      </c>
      <c r="U415" s="6" t="n">
        <v>-2.1277821734989</v>
      </c>
      <c r="V415" s="6" t="n">
        <v>-0.671630072415821</v>
      </c>
      <c r="W415" s="6" t="n">
        <v>1.00362194876084</v>
      </c>
      <c r="X415" s="6" t="n">
        <v>3.13377773880512</v>
      </c>
      <c r="Y415" s="6" t="n">
        <v>-1.30598676929533</v>
      </c>
      <c r="Z415" s="6" t="n">
        <v>2.38084703313392</v>
      </c>
      <c r="AA415" s="6" t="n">
        <v>1.89353655898507</v>
      </c>
      <c r="AB415" s="6" t="n">
        <v>-2.08591547987642</v>
      </c>
      <c r="AC415" s="6" t="n">
        <v>-2.16789706309061</v>
      </c>
      <c r="AD415" s="6" t="n">
        <v>-2.52348606654659</v>
      </c>
      <c r="AE415" s="6" t="n">
        <v>-3.49102753101155</v>
      </c>
      <c r="AF415" s="6" t="n">
        <v>1.11093178982501</v>
      </c>
      <c r="AG415" s="6" t="n">
        <v>-4.70994189731085</v>
      </c>
      <c r="AH415" s="6" t="n">
        <v>-0.753160061379383</v>
      </c>
      <c r="AI415" s="6" t="n">
        <v>1.33309781141766</v>
      </c>
      <c r="AJ415" s="6" t="n">
        <v>66.8981049371469</v>
      </c>
      <c r="AK415" s="6" t="n">
        <v>0.177503116863189</v>
      </c>
      <c r="AL415" s="6" t="n">
        <v>1.04020172877244</v>
      </c>
      <c r="AN415" s="6" t="n">
        <v>1.29094418878848</v>
      </c>
      <c r="AO415" s="6" t="n">
        <v>1.29135761786883</v>
      </c>
      <c r="AP415" s="6" t="n">
        <v>0.132651307412602</v>
      </c>
      <c r="AQ415" s="6" t="n">
        <v>0</v>
      </c>
      <c r="AR415" s="6" t="n">
        <v>0</v>
      </c>
    </row>
    <row r="416" customFormat="false" ht="15" hidden="false" customHeight="false" outlineLevel="0" collapsed="false">
      <c r="D416" s="0" t="s">
        <v>542</v>
      </c>
      <c r="J416" s="6" t="n">
        <v>-0.474745450896346</v>
      </c>
      <c r="K416" s="6" t="n">
        <v>-1.69533765144403</v>
      </c>
      <c r="L416" s="6" t="n">
        <v>2.29870003067373</v>
      </c>
      <c r="M416" s="6" t="n">
        <v>0.469238595492611</v>
      </c>
      <c r="N416" s="6" t="n">
        <v>0.095962017529919</v>
      </c>
      <c r="O416" s="6" t="n">
        <v>2.00985548034727</v>
      </c>
      <c r="P416" s="6" t="n">
        <v>0.341850919496783</v>
      </c>
      <c r="Q416" s="6" t="n">
        <v>-3.47918335697265</v>
      </c>
      <c r="R416" s="6" t="n">
        <v>1.01928267053914</v>
      </c>
      <c r="S416" s="6" t="n">
        <v>1.06994504052292</v>
      </c>
      <c r="T416" s="6" t="n">
        <v>1.50222445139085</v>
      </c>
      <c r="U416" s="6" t="n">
        <v>0.0988378237571203</v>
      </c>
      <c r="V416" s="6" t="n">
        <v>-0.253686156621459</v>
      </c>
      <c r="W416" s="6" t="n">
        <v>2.2044671799792</v>
      </c>
      <c r="X416" s="6" t="n">
        <v>-5.38657358342945</v>
      </c>
      <c r="Y416" s="6" t="n">
        <v>-1.95223615772874</v>
      </c>
      <c r="Z416" s="6" t="n">
        <v>2.79783244613382</v>
      </c>
      <c r="AA416" s="6" t="n">
        <v>0.817122763644596</v>
      </c>
      <c r="AB416" s="6" t="n">
        <v>0.763873396407375</v>
      </c>
      <c r="AC416" s="6" t="n">
        <v>0.0743338760380339</v>
      </c>
      <c r="AD416" s="6" t="n">
        <v>0.815190951407165</v>
      </c>
      <c r="AE416" s="6" t="n">
        <v>-0.397608566170828</v>
      </c>
      <c r="AF416" s="6" t="n">
        <v>2.44719412499318</v>
      </c>
      <c r="AG416" s="6" t="n">
        <v>0.477938099582819</v>
      </c>
      <c r="AH416" s="6" t="n">
        <v>-1.70244681985124</v>
      </c>
      <c r="AI416" s="6" t="n">
        <v>0.0493340558326134</v>
      </c>
      <c r="AJ416" s="6" t="n">
        <v>71.3776314508517</v>
      </c>
      <c r="AK416" s="6" t="n">
        <v>0.0657841989429751</v>
      </c>
      <c r="AL416" s="6" t="n">
        <v>1.0070464470229</v>
      </c>
      <c r="AN416" s="6" t="n">
        <v>1.31380031309122</v>
      </c>
      <c r="AO416" s="6" t="n">
        <v>1.31380031309122</v>
      </c>
      <c r="AP416" s="6" t="n">
        <v>0.140128032626451</v>
      </c>
      <c r="AQ416" s="6" t="n">
        <v>0</v>
      </c>
      <c r="AR416" s="6" t="n">
        <v>0</v>
      </c>
    </row>
    <row r="417" customFormat="false" ht="15" hidden="false" customHeight="false" outlineLevel="0" collapsed="false">
      <c r="D417" s="0" t="s">
        <v>543</v>
      </c>
      <c r="J417" s="6" t="n">
        <v>-0.187150042437907</v>
      </c>
      <c r="K417" s="6" t="n">
        <v>3.23532461178581</v>
      </c>
      <c r="L417" s="6" t="n">
        <v>1.61482375874754</v>
      </c>
      <c r="M417" s="6" t="n">
        <v>-0.386853013926998</v>
      </c>
      <c r="N417" s="6" t="n">
        <v>0.412630875278032</v>
      </c>
      <c r="O417" s="6" t="n">
        <v>1.64025373565012</v>
      </c>
      <c r="P417" s="6" t="n">
        <v>-1.33027825783619</v>
      </c>
      <c r="Q417" s="6" t="n">
        <v>1.57316161784868</v>
      </c>
      <c r="R417" s="6" t="n">
        <v>-3.32901768225988</v>
      </c>
      <c r="S417" s="6" t="n">
        <v>-0.725176513460888</v>
      </c>
      <c r="T417" s="6" t="n">
        <v>-2.92445555104348</v>
      </c>
      <c r="U417" s="6" t="n">
        <v>-1.91860145431179</v>
      </c>
      <c r="V417" s="6" t="n">
        <v>-3.38530485201903</v>
      </c>
      <c r="W417" s="6" t="n">
        <v>-2.79217944626732</v>
      </c>
      <c r="X417" s="6" t="n">
        <v>1.48773989611364</v>
      </c>
      <c r="Y417" s="6" t="n">
        <v>-0.291643786112517</v>
      </c>
      <c r="Z417" s="6" t="n">
        <v>-0.948932310755061</v>
      </c>
      <c r="AA417" s="6" t="n">
        <v>-0.658406501226832</v>
      </c>
      <c r="AB417" s="6" t="n">
        <v>1.38411968408702</v>
      </c>
      <c r="AC417" s="6" t="n">
        <v>-0.64333459924741</v>
      </c>
      <c r="AD417" s="6" t="n">
        <v>-0.300600052446631</v>
      </c>
      <c r="AE417" s="6" t="n">
        <v>-1.1960654756858</v>
      </c>
      <c r="AF417" s="6" t="n">
        <v>1.59894233398951</v>
      </c>
      <c r="AG417" s="6" t="n">
        <v>1.53053573963367</v>
      </c>
      <c r="AH417" s="6" t="n">
        <v>0.233155633846633</v>
      </c>
      <c r="AI417" s="6" t="n">
        <v>2.18783184555971</v>
      </c>
      <c r="AJ417" s="6" t="n">
        <v>71.0451862481333</v>
      </c>
      <c r="AK417" s="6" t="n">
        <v>0.108388530129849</v>
      </c>
      <c r="AL417" s="6" t="n">
        <v>0.999739382984843</v>
      </c>
      <c r="AN417" s="6" t="n">
        <v>1.31417991761336</v>
      </c>
      <c r="AO417" s="6" t="n">
        <v>1.31417991761336</v>
      </c>
      <c r="AP417" s="6" t="n">
        <v>0.140957625900288</v>
      </c>
      <c r="AQ417" s="6" t="n">
        <v>0</v>
      </c>
      <c r="AR417" s="6" t="n">
        <v>0</v>
      </c>
    </row>
    <row r="418" customFormat="false" ht="15" hidden="false" customHeight="false" outlineLevel="0" collapsed="false">
      <c r="D418" s="0" t="s">
        <v>544</v>
      </c>
      <c r="J418" s="6" t="n">
        <v>-1.46898855092083</v>
      </c>
      <c r="K418" s="6" t="n">
        <v>-0.913158749003198</v>
      </c>
      <c r="L418" s="6" t="n">
        <v>-2.47372695641364</v>
      </c>
      <c r="M418" s="6" t="n">
        <v>0.43056059013648</v>
      </c>
      <c r="N418" s="6" t="n">
        <v>3.37186311658984</v>
      </c>
      <c r="O418" s="6" t="n">
        <v>-0.365066819749759</v>
      </c>
      <c r="P418" s="6" t="n">
        <v>-2.83324084943592</v>
      </c>
      <c r="Q418" s="6" t="n">
        <v>0.982355851376364</v>
      </c>
      <c r="R418" s="6" t="n">
        <v>-0.754759007822788</v>
      </c>
      <c r="S418" s="6" t="n">
        <v>-0.475867479022079</v>
      </c>
      <c r="T418" s="6" t="n">
        <v>5</v>
      </c>
      <c r="U418" s="6" t="n">
        <v>-2.18300123725485</v>
      </c>
      <c r="V418" s="6" t="n">
        <v>0.999793830197828</v>
      </c>
      <c r="W418" s="6" t="n">
        <v>0.432262482652651</v>
      </c>
      <c r="X418" s="6" t="n">
        <v>-2.36314560827389</v>
      </c>
      <c r="Y418" s="6" t="n">
        <v>0.748712593092784</v>
      </c>
      <c r="Z418" s="6" t="n">
        <v>0.383914682473162</v>
      </c>
      <c r="AA418" s="6" t="n">
        <v>-4.59130365035195</v>
      </c>
      <c r="AB418" s="6" t="n">
        <v>0.97988584526408</v>
      </c>
      <c r="AC418" s="6" t="n">
        <v>2.21171135431652</v>
      </c>
      <c r="AD418" s="6" t="n">
        <v>0.790930569180242</v>
      </c>
      <c r="AE418" s="6" t="n">
        <v>-2.39608619522459</v>
      </c>
      <c r="AF418" s="6" t="n">
        <v>-1.14782309023423</v>
      </c>
      <c r="AG418" s="6" t="n">
        <v>2.41183528999124</v>
      </c>
      <c r="AH418" s="6" t="n">
        <v>-0.874465258746729</v>
      </c>
      <c r="AI418" s="6" t="n">
        <v>4.485712533833</v>
      </c>
      <c r="AJ418" s="6" t="n">
        <v>80.3927853822977</v>
      </c>
      <c r="AK418" s="6" t="n">
        <v>0.116052012502815</v>
      </c>
      <c r="AL418" s="6" t="n">
        <v>1.07430743334967</v>
      </c>
      <c r="AN418" s="6" t="n">
        <v>1.29153577557271</v>
      </c>
      <c r="AO418" s="6" t="n">
        <v>1.2918511790699</v>
      </c>
      <c r="AP418" s="6" t="n">
        <v>0.133033969121491</v>
      </c>
      <c r="AQ418" s="6" t="n">
        <v>0</v>
      </c>
      <c r="AR418" s="6" t="n">
        <v>0</v>
      </c>
    </row>
    <row r="419" customFormat="false" ht="15" hidden="false" customHeight="false" outlineLevel="0" collapsed="false">
      <c r="D419" s="0" t="s">
        <v>545</v>
      </c>
      <c r="J419" s="6" t="n">
        <v>0.52652191012801</v>
      </c>
      <c r="K419" s="6" t="n">
        <v>-3.11842814947656</v>
      </c>
      <c r="L419" s="6" t="n">
        <v>0.225186878069508</v>
      </c>
      <c r="M419" s="6" t="n">
        <v>1.18734229562366</v>
      </c>
      <c r="N419" s="6" t="n">
        <v>1.57502438255434</v>
      </c>
      <c r="O419" s="6" t="n">
        <v>0.0404618663289229</v>
      </c>
      <c r="P419" s="6" t="n">
        <v>1.19823938411649</v>
      </c>
      <c r="Q419" s="6" t="n">
        <v>0.560990449506871</v>
      </c>
      <c r="R419" s="6" t="n">
        <v>-3.90380875719116</v>
      </c>
      <c r="S419" s="6" t="n">
        <v>-0.784227159076194</v>
      </c>
      <c r="T419" s="6" t="n">
        <v>0.404676848043671</v>
      </c>
      <c r="U419" s="6" t="n">
        <v>-3.26068634744169</v>
      </c>
      <c r="V419" s="6" t="n">
        <v>-1.33494675627323</v>
      </c>
      <c r="W419" s="6" t="n">
        <v>0.477102356148127</v>
      </c>
      <c r="X419" s="6" t="n">
        <v>0.825231986588169</v>
      </c>
      <c r="Y419" s="6" t="n">
        <v>-1.39630490754389</v>
      </c>
      <c r="Z419" s="6" t="n">
        <v>-0.0761187964271481</v>
      </c>
      <c r="AA419" s="6" t="n">
        <v>-0.631099430339933</v>
      </c>
      <c r="AB419" s="6" t="n">
        <v>1.46763333600329</v>
      </c>
      <c r="AC419" s="6" t="n">
        <v>2.06498157595502</v>
      </c>
      <c r="AD419" s="6" t="n">
        <v>1.97332030560719</v>
      </c>
      <c r="AE419" s="6" t="n">
        <v>-0.181730864728497</v>
      </c>
      <c r="AF419" s="6" t="n">
        <v>-0.100891260718009</v>
      </c>
      <c r="AG419" s="6" t="n">
        <v>1.15797544540867</v>
      </c>
      <c r="AH419" s="6" t="n">
        <v>-1.8024975644365</v>
      </c>
      <c r="AI419" s="6" t="n">
        <v>-2.96896713628165</v>
      </c>
      <c r="AJ419" s="6" t="n">
        <v>78.0996623408436</v>
      </c>
      <c r="AK419" s="6" t="n">
        <v>0.147829691410153</v>
      </c>
      <c r="AL419" s="6" t="n">
        <v>1.05644876735687</v>
      </c>
      <c r="AN419" s="6" t="n">
        <v>1.29174891515574</v>
      </c>
      <c r="AO419" s="6" t="n">
        <v>1.29275632549531</v>
      </c>
      <c r="AP419" s="6" t="n">
        <v>0.133099524878543</v>
      </c>
      <c r="AQ419" s="6" t="n">
        <v>0</v>
      </c>
      <c r="AR419" s="6" t="n">
        <v>0</v>
      </c>
    </row>
    <row r="420" customFormat="false" ht="15" hidden="false" customHeight="false" outlineLevel="0" collapsed="false">
      <c r="D420" s="0" t="s">
        <v>546</v>
      </c>
      <c r="J420" s="6" t="n">
        <v>1.51777544992026</v>
      </c>
      <c r="K420" s="6" t="n">
        <v>-1.34870916139322</v>
      </c>
      <c r="L420" s="6" t="n">
        <v>4.24017225285474</v>
      </c>
      <c r="M420" s="6" t="n">
        <v>-0.737665300206239</v>
      </c>
      <c r="N420" s="6" t="n">
        <v>-2.50689669069809</v>
      </c>
      <c r="O420" s="6" t="n">
        <v>-0.553923997094402</v>
      </c>
      <c r="P420" s="6" t="n">
        <v>-2.24820037415746</v>
      </c>
      <c r="Q420" s="6" t="n">
        <v>-0.282774974332135</v>
      </c>
      <c r="R420" s="6" t="n">
        <v>-2.69455792362466</v>
      </c>
      <c r="S420" s="6" t="n">
        <v>1.64930404051237</v>
      </c>
      <c r="T420" s="6" t="n">
        <v>1.19579865147119</v>
      </c>
      <c r="U420" s="6" t="n">
        <v>-0.344081019335809</v>
      </c>
      <c r="V420" s="6" t="n">
        <v>-6.68961702800774</v>
      </c>
      <c r="W420" s="6" t="n">
        <v>2.2659508077682</v>
      </c>
      <c r="X420" s="6" t="n">
        <v>-1.24185864032268</v>
      </c>
      <c r="Y420" s="6" t="n">
        <v>-2.13628270258499</v>
      </c>
      <c r="Z420" s="6" t="n">
        <v>2.93011085742641</v>
      </c>
      <c r="AA420" s="6" t="n">
        <v>-1.96734883015623</v>
      </c>
      <c r="AB420" s="6" t="n">
        <v>0.671089846583341</v>
      </c>
      <c r="AC420" s="6" t="n">
        <v>0.894020296650754</v>
      </c>
      <c r="AD420" s="6" t="n">
        <v>0.857802030034371</v>
      </c>
      <c r="AE420" s="6" t="n">
        <v>-0.887542590741596</v>
      </c>
      <c r="AF420" s="6" t="n">
        <v>1.36020069534547</v>
      </c>
      <c r="AG420" s="6" t="n">
        <v>1.28344673036727</v>
      </c>
      <c r="AH420" s="6" t="n">
        <v>0.0458730677246308</v>
      </c>
      <c r="AI420" s="6" t="n">
        <v>5</v>
      </c>
      <c r="AJ420" s="6" t="n">
        <v>62.7823463104572</v>
      </c>
      <c r="AK420" s="6" t="n">
        <v>0.126541430791789</v>
      </c>
      <c r="AL420" s="6" t="n">
        <v>1.01994444352948</v>
      </c>
      <c r="AN420" s="6" t="n">
        <v>1.30485621135564</v>
      </c>
      <c r="AO420" s="6" t="n">
        <v>1.30485621135564</v>
      </c>
      <c r="AP420" s="6" t="n">
        <v>0.136256334009706</v>
      </c>
      <c r="AQ420" s="6" t="n">
        <v>0</v>
      </c>
      <c r="AR420" s="6" t="n">
        <v>0</v>
      </c>
    </row>
    <row r="421" customFormat="false" ht="15" hidden="false" customHeight="false" outlineLevel="0" collapsed="false">
      <c r="D421" s="0" t="s">
        <v>547</v>
      </c>
      <c r="J421" s="6" t="n">
        <v>1.02881655788362</v>
      </c>
      <c r="K421" s="6" t="n">
        <v>2.99822459137329</v>
      </c>
      <c r="L421" s="6" t="n">
        <v>0.0422979227192749</v>
      </c>
      <c r="M421" s="6" t="n">
        <v>0.0227758160221634</v>
      </c>
      <c r="N421" s="6" t="n">
        <v>-2.05774443021861</v>
      </c>
      <c r="O421" s="6" t="n">
        <v>1.64043986884643</v>
      </c>
      <c r="P421" s="6" t="n">
        <v>-0.988280290588336</v>
      </c>
      <c r="Q421" s="6" t="n">
        <v>1.94289202858713</v>
      </c>
      <c r="R421" s="6" t="n">
        <v>-1.4222596425724</v>
      </c>
      <c r="S421" s="6" t="n">
        <v>3.74502712158931</v>
      </c>
      <c r="T421" s="6" t="n">
        <v>-0.880478802351519</v>
      </c>
      <c r="U421" s="6" t="n">
        <v>1.36955024317973</v>
      </c>
      <c r="V421" s="6" t="n">
        <v>-2.0360036891259</v>
      </c>
      <c r="W421" s="6" t="n">
        <v>-1.49370607166788</v>
      </c>
      <c r="X421" s="6" t="n">
        <v>1.46431565255054</v>
      </c>
      <c r="Y421" s="6" t="n">
        <v>0.516349684407522</v>
      </c>
      <c r="Z421" s="6" t="n">
        <v>2.28092667846317</v>
      </c>
      <c r="AA421" s="6" t="n">
        <v>-1.57044929199907</v>
      </c>
      <c r="AB421" s="6" t="n">
        <v>0.742070749212189</v>
      </c>
      <c r="AC421" s="6" t="n">
        <v>-0.322620870091152</v>
      </c>
      <c r="AD421" s="6" t="n">
        <v>1.0849761407631</v>
      </c>
      <c r="AE421" s="6" t="n">
        <v>1.3162539257193</v>
      </c>
      <c r="AF421" s="6" t="n">
        <v>-4.04318515828156</v>
      </c>
      <c r="AG421" s="6" t="n">
        <v>-0.526756437783561</v>
      </c>
      <c r="AH421" s="6" t="n">
        <v>-3.05778649593003</v>
      </c>
      <c r="AI421" s="6" t="n">
        <v>0.195580468468258</v>
      </c>
      <c r="AJ421" s="6" t="n">
        <v>81.626949438161</v>
      </c>
      <c r="AK421" s="6" t="n">
        <v>0.14584996676402</v>
      </c>
      <c r="AL421" s="6" t="n">
        <v>1.00682120982885</v>
      </c>
      <c r="AN421" s="6" t="n">
        <v>1.3172881586206</v>
      </c>
      <c r="AO421" s="6" t="n">
        <v>1.3172881586206</v>
      </c>
      <c r="AP421" s="6" t="n">
        <v>0.140169426680792</v>
      </c>
      <c r="AQ421" s="6" t="n">
        <v>0</v>
      </c>
      <c r="AR421" s="6" t="n">
        <v>0</v>
      </c>
    </row>
    <row r="422" customFormat="false" ht="15" hidden="false" customHeight="false" outlineLevel="0" collapsed="false">
      <c r="D422" s="0" t="s">
        <v>548</v>
      </c>
      <c r="J422" s="6" t="n">
        <v>3.22195572797444</v>
      </c>
      <c r="K422" s="6" t="n">
        <v>-0.220676621330531</v>
      </c>
      <c r="L422" s="6" t="n">
        <v>1.06699841748288</v>
      </c>
      <c r="M422" s="6" t="n">
        <v>1.38037946377086</v>
      </c>
      <c r="N422" s="6" t="n">
        <v>-2.47203671389359</v>
      </c>
      <c r="O422" s="6" t="n">
        <v>0.486736618766622</v>
      </c>
      <c r="P422" s="6" t="n">
        <v>-0.529499803837967</v>
      </c>
      <c r="Q422" s="6" t="n">
        <v>1.6084423849395</v>
      </c>
      <c r="R422" s="6" t="n">
        <v>-1.20751503457636</v>
      </c>
      <c r="S422" s="6" t="n">
        <v>-1.66469574538446</v>
      </c>
      <c r="T422" s="6" t="n">
        <v>1.0346317973384</v>
      </c>
      <c r="U422" s="6" t="n">
        <v>-2.62438637124683</v>
      </c>
      <c r="V422" s="6" t="n">
        <v>1.42113375273026</v>
      </c>
      <c r="W422" s="6" t="n">
        <v>1.22011981440001</v>
      </c>
      <c r="X422" s="6" t="n">
        <v>1.76665488570917</v>
      </c>
      <c r="Y422" s="6" t="n">
        <v>1.48243652291343</v>
      </c>
      <c r="Z422" s="6" t="n">
        <v>0.455002894657467</v>
      </c>
      <c r="AA422" s="6" t="n">
        <v>5</v>
      </c>
      <c r="AB422" s="6" t="n">
        <v>0.223446329786455</v>
      </c>
      <c r="AC422" s="6" t="n">
        <v>2.10647257786475</v>
      </c>
      <c r="AD422" s="6" t="n">
        <v>-3.36508594829745</v>
      </c>
      <c r="AE422" s="6" t="n">
        <v>3.22936747227119</v>
      </c>
      <c r="AF422" s="6" t="n">
        <v>-0.708650721899285</v>
      </c>
      <c r="AG422" s="6" t="n">
        <v>-1.24778805659163</v>
      </c>
      <c r="AH422" s="6" t="n">
        <v>1.2187112214481</v>
      </c>
      <c r="AI422" s="6" t="n">
        <v>-1.3373904828113</v>
      </c>
      <c r="AJ422" s="6" t="n">
        <v>77.2360937769279</v>
      </c>
      <c r="AK422" s="6" t="n">
        <v>0.150576980356651</v>
      </c>
      <c r="AL422" s="6" t="n">
        <v>1.07305158732333</v>
      </c>
      <c r="AN422" s="6" t="n">
        <v>1.28439928119554</v>
      </c>
      <c r="AO422" s="6" t="n">
        <v>1.28506684021464</v>
      </c>
      <c r="AP422" s="6" t="n">
        <v>0.131860895375633</v>
      </c>
      <c r="AQ422" s="6" t="n">
        <v>0</v>
      </c>
      <c r="AR422" s="6" t="n">
        <v>0</v>
      </c>
    </row>
    <row r="423" customFormat="false" ht="15" hidden="false" customHeight="false" outlineLevel="0" collapsed="false">
      <c r="D423" s="0" t="s">
        <v>549</v>
      </c>
      <c r="J423" s="6" t="n">
        <v>3.7944426411756</v>
      </c>
      <c r="K423" s="6" t="n">
        <v>1.50953742182744</v>
      </c>
      <c r="L423" s="6" t="n">
        <v>-3.98671974941756</v>
      </c>
      <c r="M423" s="6" t="n">
        <v>-2.12533027808671</v>
      </c>
      <c r="N423" s="6" t="n">
        <v>0.228460361281446</v>
      </c>
      <c r="O423" s="6" t="n">
        <v>1.01380427832798</v>
      </c>
      <c r="P423" s="6" t="n">
        <v>0.454463487546988</v>
      </c>
      <c r="Q423" s="6" t="n">
        <v>0.17415151935098</v>
      </c>
      <c r="R423" s="6" t="n">
        <v>1.35071843645171</v>
      </c>
      <c r="S423" s="6" t="n">
        <v>-2.29493790271719</v>
      </c>
      <c r="T423" s="6" t="n">
        <v>-4.37104323514837</v>
      </c>
      <c r="U423" s="6" t="n">
        <v>-0.0712958334444673</v>
      </c>
      <c r="V423" s="6" t="n">
        <v>-2.43853884301744</v>
      </c>
      <c r="W423" s="6" t="n">
        <v>-0.0218073336071429</v>
      </c>
      <c r="X423" s="6" t="n">
        <v>1.13703192165559</v>
      </c>
      <c r="Y423" s="6" t="n">
        <v>3.35515439333523</v>
      </c>
      <c r="Z423" s="6" t="n">
        <v>-1.12601379983898</v>
      </c>
      <c r="AA423" s="6" t="n">
        <v>1.42412605826415</v>
      </c>
      <c r="AB423" s="6" t="n">
        <v>1.94303310455736</v>
      </c>
      <c r="AC423" s="6" t="n">
        <v>-0.670402927212395</v>
      </c>
      <c r="AD423" s="6" t="n">
        <v>-0.0445325699642754</v>
      </c>
      <c r="AE423" s="6" t="n">
        <v>-1.78652141291156</v>
      </c>
      <c r="AF423" s="6" t="n">
        <v>-2.13207289969267</v>
      </c>
      <c r="AG423" s="6" t="n">
        <v>-1.47699764362071</v>
      </c>
      <c r="AH423" s="6" t="n">
        <v>0.902887114932357</v>
      </c>
      <c r="AI423" s="6" t="n">
        <v>-3.00332886122286</v>
      </c>
      <c r="AJ423" s="6" t="n">
        <v>74.9667692790139</v>
      </c>
      <c r="AK423" s="6" t="n">
        <v>0.105094954000276</v>
      </c>
      <c r="AL423" s="6" t="n">
        <v>1.04363768344271</v>
      </c>
      <c r="AN423" s="6" t="n">
        <v>1.30149401457602</v>
      </c>
      <c r="AO423" s="6" t="n">
        <v>1.30157376853369</v>
      </c>
      <c r="AP423" s="6" t="n">
        <v>0.135198410928433</v>
      </c>
      <c r="AQ423" s="6" t="n">
        <v>0</v>
      </c>
      <c r="AR423" s="6" t="n">
        <v>0</v>
      </c>
    </row>
    <row r="424" customFormat="false" ht="15" hidden="false" customHeight="false" outlineLevel="0" collapsed="false">
      <c r="D424" s="0" t="s">
        <v>550</v>
      </c>
      <c r="J424" s="6" t="n">
        <v>1.21134466738178</v>
      </c>
      <c r="K424" s="6" t="n">
        <v>-0.789462026765201</v>
      </c>
      <c r="L424" s="6" t="n">
        <v>3.79717594321454</v>
      </c>
      <c r="M424" s="6" t="n">
        <v>-2.58993921629669</v>
      </c>
      <c r="N424" s="6" t="n">
        <v>1.44308392211084</v>
      </c>
      <c r="O424" s="6" t="n">
        <v>-0.80556607149309</v>
      </c>
      <c r="P424" s="6" t="n">
        <v>0.45934194575625</v>
      </c>
      <c r="Q424" s="6" t="n">
        <v>1.19428906697526</v>
      </c>
      <c r="R424" s="6" t="n">
        <v>-1.06205699011002</v>
      </c>
      <c r="S424" s="6" t="n">
        <v>-2.47191794553344</v>
      </c>
      <c r="T424" s="6" t="n">
        <v>3.54250244764087</v>
      </c>
      <c r="U424" s="6" t="n">
        <v>-0.472672953424967</v>
      </c>
      <c r="V424" s="6" t="n">
        <v>-0.453939677928347</v>
      </c>
      <c r="W424" s="6" t="n">
        <v>3.31595871718637</v>
      </c>
      <c r="X424" s="6" t="n">
        <v>-0.700181533532661</v>
      </c>
      <c r="Y424" s="6" t="n">
        <v>0.841940264879783</v>
      </c>
      <c r="Z424" s="6" t="n">
        <v>-0.649262250698781</v>
      </c>
      <c r="AA424" s="6" t="n">
        <v>-0.872877710716258</v>
      </c>
      <c r="AB424" s="6" t="n">
        <v>1.337619805706</v>
      </c>
      <c r="AC424" s="6" t="n">
        <v>-2.66932535694883</v>
      </c>
      <c r="AD424" s="6" t="n">
        <v>1.19083070044313</v>
      </c>
      <c r="AE424" s="6" t="n">
        <v>-0.769898234642993</v>
      </c>
      <c r="AF424" s="6" t="n">
        <v>0.298576420482583</v>
      </c>
      <c r="AG424" s="6" t="n">
        <v>2.05786898157779</v>
      </c>
      <c r="AH424" s="6" t="n">
        <v>-1.35201867457742</v>
      </c>
      <c r="AI424" s="6" t="n">
        <v>-2.28219788956738</v>
      </c>
      <c r="AJ424" s="6" t="n">
        <v>72.1804659458659</v>
      </c>
      <c r="AK424" s="6" t="n">
        <v>0.137876862542191</v>
      </c>
      <c r="AL424" s="6" t="n">
        <v>1.05714071224056</v>
      </c>
      <c r="AN424" s="6" t="n">
        <v>1.29164716872974</v>
      </c>
      <c r="AO424" s="6" t="n">
        <v>1.29256128369308</v>
      </c>
      <c r="AP424" s="6" t="n">
        <v>0.13291875363691</v>
      </c>
      <c r="AQ424" s="6" t="n">
        <v>0</v>
      </c>
      <c r="AR424" s="6" t="n">
        <v>0</v>
      </c>
    </row>
    <row r="425" customFormat="false" ht="15" hidden="false" customHeight="false" outlineLevel="0" collapsed="false">
      <c r="D425" s="0" t="s">
        <v>551</v>
      </c>
      <c r="J425" s="6" t="n">
        <v>-0.751394941023593</v>
      </c>
      <c r="K425" s="6" t="n">
        <v>4.54914627971892</v>
      </c>
      <c r="L425" s="6" t="n">
        <v>-3.76190209335142</v>
      </c>
      <c r="M425" s="6" t="n">
        <v>-1.68873598310449</v>
      </c>
      <c r="N425" s="6" t="n">
        <v>-0.344275001103494</v>
      </c>
      <c r="O425" s="6" t="n">
        <v>-2.64083492472143</v>
      </c>
      <c r="P425" s="6" t="n">
        <v>0.154973620228969</v>
      </c>
      <c r="Q425" s="6" t="n">
        <v>-1.72373455122748</v>
      </c>
      <c r="R425" s="6" t="n">
        <v>-1.73911468046967</v>
      </c>
      <c r="S425" s="6" t="n">
        <v>-2.13690420568602</v>
      </c>
      <c r="T425" s="6" t="n">
        <v>-3.25998702462895</v>
      </c>
      <c r="U425" s="6" t="n">
        <v>0.886485701759794</v>
      </c>
      <c r="V425" s="6" t="n">
        <v>-0.432932426481275</v>
      </c>
      <c r="W425" s="6" t="n">
        <v>-2.07341688123407</v>
      </c>
      <c r="X425" s="6" t="n">
        <v>3.3458395052422</v>
      </c>
      <c r="Y425" s="6" t="n">
        <v>1.56837780951935</v>
      </c>
      <c r="Z425" s="6" t="n">
        <v>-1.06289572061532</v>
      </c>
      <c r="AA425" s="6" t="n">
        <v>-2.79127075249815</v>
      </c>
      <c r="AB425" s="6" t="n">
        <v>2.43588860539913</v>
      </c>
      <c r="AC425" s="6" t="n">
        <v>0.0222963401242335</v>
      </c>
      <c r="AD425" s="6" t="n">
        <v>-0.608707225152113</v>
      </c>
      <c r="AE425" s="6" t="n">
        <v>0.81710547005858</v>
      </c>
      <c r="AF425" s="6" t="n">
        <v>-2.80232258372205</v>
      </c>
      <c r="AG425" s="6" t="n">
        <v>-1.49094303414618</v>
      </c>
      <c r="AH425" s="6" t="n">
        <v>-2.34432738788653</v>
      </c>
      <c r="AI425" s="6" t="n">
        <v>0.828937278824058</v>
      </c>
      <c r="AJ425" s="6" t="n">
        <v>79.4009619197448</v>
      </c>
      <c r="AK425" s="6" t="n">
        <v>0.0991731770000961</v>
      </c>
      <c r="AL425" s="6" t="n">
        <v>1.09938718970634</v>
      </c>
      <c r="AN425" s="6" t="n">
        <v>1.28533070813917</v>
      </c>
      <c r="AO425" s="6" t="n">
        <v>1.28534913474995</v>
      </c>
      <c r="AP425" s="6" t="n">
        <v>0.13152938094562</v>
      </c>
      <c r="AQ425" s="6" t="n">
        <v>0</v>
      </c>
      <c r="AR425" s="6" t="n">
        <v>0</v>
      </c>
    </row>
    <row r="426" customFormat="false" ht="15" hidden="false" customHeight="false" outlineLevel="0" collapsed="false">
      <c r="D426" s="0" t="s">
        <v>552</v>
      </c>
      <c r="J426" s="6" t="n">
        <v>-0.0465786376646736</v>
      </c>
      <c r="K426" s="6" t="n">
        <v>1.6171750529782</v>
      </c>
      <c r="L426" s="6" t="n">
        <v>0.948337021692617</v>
      </c>
      <c r="M426" s="6" t="n">
        <v>-2.00767947727451</v>
      </c>
      <c r="N426" s="6" t="n">
        <v>0.60935678003703</v>
      </c>
      <c r="O426" s="6" t="n">
        <v>3.34686535778329</v>
      </c>
      <c r="P426" s="6" t="n">
        <v>-1.08689595825758</v>
      </c>
      <c r="Q426" s="6" t="n">
        <v>1.44671434090169</v>
      </c>
      <c r="R426" s="6" t="n">
        <v>0.293141382065362</v>
      </c>
      <c r="S426" s="6" t="n">
        <v>-2.47102041778662</v>
      </c>
      <c r="T426" s="6" t="n">
        <v>-1.95624746512062</v>
      </c>
      <c r="U426" s="6" t="n">
        <v>0.844505132549509</v>
      </c>
      <c r="V426" s="6" t="n">
        <v>-0.180499299701048</v>
      </c>
      <c r="W426" s="6" t="n">
        <v>-0.725811988293301</v>
      </c>
      <c r="X426" s="6" t="n">
        <v>4.32886786684887</v>
      </c>
      <c r="Y426" s="6" t="n">
        <v>3.04532509712326</v>
      </c>
      <c r="Z426" s="6" t="n">
        <v>-1.34063921540831</v>
      </c>
      <c r="AA426" s="6" t="n">
        <v>-1.97843894078869</v>
      </c>
      <c r="AB426" s="6" t="n">
        <v>-2.30943862036343</v>
      </c>
      <c r="AC426" s="6" t="n">
        <v>-5.72851872987068</v>
      </c>
      <c r="AD426" s="6" t="n">
        <v>-1.16014457121286</v>
      </c>
      <c r="AE426" s="6" t="n">
        <v>0.503329605700608</v>
      </c>
      <c r="AF426" s="6" t="n">
        <v>-0.633915860310019</v>
      </c>
      <c r="AG426" s="6" t="n">
        <v>-0.760974219252684</v>
      </c>
      <c r="AH426" s="6" t="n">
        <v>-0.184891475494835</v>
      </c>
      <c r="AI426" s="6" t="n">
        <v>2.12254949656628</v>
      </c>
      <c r="AJ426" s="6" t="n">
        <v>75.2890922133184</v>
      </c>
      <c r="AK426" s="6" t="n">
        <v>0.0761999394257292</v>
      </c>
      <c r="AL426" s="6" t="n">
        <v>1.05824924753431</v>
      </c>
      <c r="AN426" s="6" t="n">
        <v>1.29775093477763</v>
      </c>
      <c r="AO426" s="6" t="n">
        <v>1.29816311835319</v>
      </c>
      <c r="AP426" s="6" t="n">
        <v>0.134560410368459</v>
      </c>
      <c r="AQ426" s="6" t="n">
        <v>0</v>
      </c>
      <c r="AR426" s="6" t="n">
        <v>0</v>
      </c>
    </row>
    <row r="427" customFormat="false" ht="15" hidden="false" customHeight="false" outlineLevel="0" collapsed="false">
      <c r="D427" s="0" t="s">
        <v>553</v>
      </c>
      <c r="J427" s="6" t="n">
        <v>3.0868807000361</v>
      </c>
      <c r="K427" s="6" t="n">
        <v>-4.00153690475189</v>
      </c>
      <c r="L427" s="6" t="n">
        <v>-3.073266432089</v>
      </c>
      <c r="M427" s="6" t="n">
        <v>2.02779095503955</v>
      </c>
      <c r="N427" s="6" t="n">
        <v>-0.582893717372782</v>
      </c>
      <c r="O427" s="6" t="n">
        <v>0.686858197508613</v>
      </c>
      <c r="P427" s="6" t="n">
        <v>0.295765450814915</v>
      </c>
      <c r="Q427" s="6" t="n">
        <v>2.8533060058819</v>
      </c>
      <c r="R427" s="6" t="n">
        <v>0.224110291363711</v>
      </c>
      <c r="S427" s="6" t="n">
        <v>-2.7657993874591</v>
      </c>
      <c r="T427" s="6" t="n">
        <v>-1.56102936978369</v>
      </c>
      <c r="U427" s="6" t="n">
        <v>1.7100574510007</v>
      </c>
      <c r="V427" s="6" t="n">
        <v>-2.58802370903964</v>
      </c>
      <c r="W427" s="6" t="n">
        <v>-1.50704571381057</v>
      </c>
      <c r="X427" s="6" t="n">
        <v>4.31041003611142</v>
      </c>
      <c r="Y427" s="6" t="n">
        <v>-0.3020156485998</v>
      </c>
      <c r="Z427" s="6" t="n">
        <v>0.201225263338853</v>
      </c>
      <c r="AA427" s="6" t="n">
        <v>2.53522585287568</v>
      </c>
      <c r="AB427" s="6" t="n">
        <v>1.99637119562482</v>
      </c>
      <c r="AC427" s="6" t="n">
        <v>-1.71503712537221</v>
      </c>
      <c r="AD427" s="6" t="n">
        <v>1.58102301776638</v>
      </c>
      <c r="AE427" s="6" t="n">
        <v>0.394097027913967</v>
      </c>
      <c r="AF427" s="6" t="n">
        <v>2.12835381984817</v>
      </c>
      <c r="AG427" s="6" t="n">
        <v>-0.984697985152471</v>
      </c>
      <c r="AH427" s="6" t="n">
        <v>0.890611216277063</v>
      </c>
      <c r="AI427" s="6" t="n">
        <v>1.50484780328117</v>
      </c>
      <c r="AJ427" s="6" t="n">
        <v>76.5644609644869</v>
      </c>
      <c r="AK427" s="6" t="n">
        <v>0.114783802917351</v>
      </c>
      <c r="AL427" s="6" t="n">
        <v>1.03429880888211</v>
      </c>
      <c r="AN427" s="6" t="n">
        <v>1.30648720546028</v>
      </c>
      <c r="AO427" s="6" t="n">
        <v>1.30648962772243</v>
      </c>
      <c r="AP427" s="6" t="n">
        <v>0.136234658103068</v>
      </c>
      <c r="AQ427" s="6" t="n">
        <v>0</v>
      </c>
      <c r="AR427" s="6" t="n">
        <v>0</v>
      </c>
    </row>
    <row r="428" customFormat="false" ht="15" hidden="false" customHeight="false" outlineLevel="0" collapsed="false">
      <c r="D428" s="0" t="s">
        <v>554</v>
      </c>
      <c r="J428" s="6" t="n">
        <v>2.66694592939704</v>
      </c>
      <c r="K428" s="6" t="n">
        <v>-1.92038798589254</v>
      </c>
      <c r="L428" s="6" t="n">
        <v>0.783742897178817</v>
      </c>
      <c r="M428" s="6" t="n">
        <v>-1.59094704888042</v>
      </c>
      <c r="N428" s="6" t="n">
        <v>-1.65114010254922</v>
      </c>
      <c r="O428" s="6" t="n">
        <v>-4.17359975095525</v>
      </c>
      <c r="P428" s="6" t="n">
        <v>-2.44645353271936</v>
      </c>
      <c r="Q428" s="6" t="n">
        <v>-2.07952847957454</v>
      </c>
      <c r="R428" s="6" t="n">
        <v>-3.40528787890448</v>
      </c>
      <c r="S428" s="6" t="n">
        <v>1.46752017389226</v>
      </c>
      <c r="T428" s="6" t="n">
        <v>-2.28926460847972</v>
      </c>
      <c r="U428" s="6" t="n">
        <v>-1.11039354942458</v>
      </c>
      <c r="V428" s="6" t="n">
        <v>-2.59292071808094</v>
      </c>
      <c r="W428" s="6" t="n">
        <v>-0.945962309106946</v>
      </c>
      <c r="X428" s="6" t="n">
        <v>0.317745904279702</v>
      </c>
      <c r="Y428" s="6" t="n">
        <v>-2.92912133532992</v>
      </c>
      <c r="Z428" s="6" t="n">
        <v>2.27597551551259</v>
      </c>
      <c r="AA428" s="6" t="n">
        <v>0.181388277641118</v>
      </c>
      <c r="AB428" s="6" t="n">
        <v>0.101552056648502</v>
      </c>
      <c r="AC428" s="6" t="n">
        <v>-0.828473076284667</v>
      </c>
      <c r="AD428" s="6" t="n">
        <v>1.87910073462145</v>
      </c>
      <c r="AE428" s="6" t="n">
        <v>2.57164526586162</v>
      </c>
      <c r="AF428" s="6" t="n">
        <v>-0.188485600457558</v>
      </c>
      <c r="AG428" s="6" t="n">
        <v>-1.57907371871978</v>
      </c>
      <c r="AH428" s="6" t="n">
        <v>-0.247166628239582</v>
      </c>
      <c r="AI428" s="6" t="n">
        <v>1.9759237148316</v>
      </c>
      <c r="AJ428" s="6" t="n">
        <v>76.7780806767693</v>
      </c>
      <c r="AK428" s="6" t="n">
        <v>0.163221597077333</v>
      </c>
      <c r="AL428" s="6" t="n">
        <v>1.046241495704</v>
      </c>
      <c r="AN428" s="6" t="n">
        <v>1.28411186769471</v>
      </c>
      <c r="AO428" s="6" t="n">
        <v>1.28646881069867</v>
      </c>
      <c r="AP428" s="6" t="n">
        <v>0.13323972759624</v>
      </c>
      <c r="AQ428" s="6" t="n">
        <v>0</v>
      </c>
      <c r="AR428" s="6" t="n">
        <v>0</v>
      </c>
    </row>
    <row r="429" customFormat="false" ht="15" hidden="false" customHeight="false" outlineLevel="0" collapsed="false">
      <c r="D429" s="0" t="s">
        <v>555</v>
      </c>
      <c r="J429" s="6" t="n">
        <v>2.79809509601099</v>
      </c>
      <c r="K429" s="6" t="n">
        <v>-2.28947888616045</v>
      </c>
      <c r="L429" s="6" t="n">
        <v>-0.612228486730714</v>
      </c>
      <c r="M429" s="6" t="n">
        <v>-1.19019037195166</v>
      </c>
      <c r="N429" s="6" t="n">
        <v>1.63517101934906</v>
      </c>
      <c r="O429" s="6" t="n">
        <v>-1.7014142627134</v>
      </c>
      <c r="P429" s="6" t="n">
        <v>-4.20298562564957</v>
      </c>
      <c r="Q429" s="6" t="n">
        <v>-0.961837398356986</v>
      </c>
      <c r="R429" s="6" t="n">
        <v>-2.09772556406057</v>
      </c>
      <c r="S429" s="6" t="n">
        <v>0.443411441080319</v>
      </c>
      <c r="T429" s="6" t="n">
        <v>-0.910896026528287</v>
      </c>
      <c r="U429" s="6" t="n">
        <v>-0.58024157901948</v>
      </c>
      <c r="V429" s="6" t="n">
        <v>0.280262747946591</v>
      </c>
      <c r="W429" s="6" t="n">
        <v>-1.38883561928434</v>
      </c>
      <c r="X429" s="6" t="n">
        <v>-1.99713423136741</v>
      </c>
      <c r="Y429" s="6" t="n">
        <v>1.72633237978974</v>
      </c>
      <c r="Z429" s="6" t="n">
        <v>-0.388976186022846</v>
      </c>
      <c r="AA429" s="6" t="n">
        <v>-1.05706683813481</v>
      </c>
      <c r="AB429" s="6" t="n">
        <v>-1.35401626985492</v>
      </c>
      <c r="AC429" s="6" t="n">
        <v>0.676386092072723</v>
      </c>
      <c r="AD429" s="6" t="n">
        <v>0.682768343210812</v>
      </c>
      <c r="AE429" s="6" t="n">
        <v>-2.81260922981122</v>
      </c>
      <c r="AF429" s="6" t="n">
        <v>-2.1505795663296</v>
      </c>
      <c r="AG429" s="6" t="n">
        <v>-0.141227874980977</v>
      </c>
      <c r="AH429" s="6" t="n">
        <v>-1.43494596646484</v>
      </c>
      <c r="AI429" s="6" t="n">
        <v>1.15053579599498</v>
      </c>
      <c r="AJ429" s="6" t="n">
        <v>64.2046845650164</v>
      </c>
      <c r="AK429" s="6" t="n">
        <v>0.119328075523918</v>
      </c>
      <c r="AL429" s="6" t="n">
        <v>1.08956572991235</v>
      </c>
      <c r="AN429" s="6" t="n">
        <v>1.28132011405568</v>
      </c>
      <c r="AO429" s="6" t="n">
        <v>1.28221089687113</v>
      </c>
      <c r="AP429" s="6" t="n">
        <v>0.130951905533585</v>
      </c>
      <c r="AQ429" s="6" t="n">
        <v>0</v>
      </c>
      <c r="AR429" s="6" t="n">
        <v>0</v>
      </c>
    </row>
    <row r="430" customFormat="false" ht="15" hidden="false" customHeight="false" outlineLevel="0" collapsed="false">
      <c r="D430" s="0" t="s">
        <v>556</v>
      </c>
      <c r="J430" s="6" t="n">
        <v>-4.83495866467938</v>
      </c>
      <c r="K430" s="6" t="n">
        <v>0.535025782523489</v>
      </c>
      <c r="L430" s="6" t="n">
        <v>-1.76058157012019</v>
      </c>
      <c r="M430" s="6" t="n">
        <v>1.60461283743465</v>
      </c>
      <c r="N430" s="6" t="n">
        <v>1.54112356583635</v>
      </c>
      <c r="O430" s="6" t="n">
        <v>-2.40272007948056</v>
      </c>
      <c r="P430" s="6" t="n">
        <v>2.03704868390835</v>
      </c>
      <c r="Q430" s="6" t="n">
        <v>1.14294583264095</v>
      </c>
      <c r="R430" s="6" t="n">
        <v>3.82117295436168</v>
      </c>
      <c r="S430" s="6" t="n">
        <v>-0.247266408814046</v>
      </c>
      <c r="T430" s="6" t="n">
        <v>0.600531586320235</v>
      </c>
      <c r="U430" s="6" t="n">
        <v>-2.35545257386869</v>
      </c>
      <c r="V430" s="6" t="n">
        <v>1.59060564618868</v>
      </c>
      <c r="W430" s="6" t="n">
        <v>1.77034804412298</v>
      </c>
      <c r="X430" s="6" t="n">
        <v>2.75155995340318</v>
      </c>
      <c r="Y430" s="6" t="n">
        <v>0.23850091463974</v>
      </c>
      <c r="Z430" s="6" t="n">
        <v>-0.556864131350336</v>
      </c>
      <c r="AA430" s="6" t="n">
        <v>-0.204125251685463</v>
      </c>
      <c r="AB430" s="6" t="n">
        <v>-2.38892086626292</v>
      </c>
      <c r="AC430" s="6" t="n">
        <v>1.84888416732668</v>
      </c>
      <c r="AD430" s="6" t="n">
        <v>-0.0635421232817546</v>
      </c>
      <c r="AE430" s="6" t="n">
        <v>-2.70773581853306</v>
      </c>
      <c r="AF430" s="6" t="n">
        <v>1.08225252046559</v>
      </c>
      <c r="AG430" s="6" t="n">
        <v>-1.55656981497284</v>
      </c>
      <c r="AH430" s="6" t="n">
        <v>-1.25094912669927</v>
      </c>
      <c r="AI430" s="6" t="n">
        <v>2.66371665795205</v>
      </c>
      <c r="AJ430" s="6" t="n">
        <v>79.6774117376441</v>
      </c>
      <c r="AK430" s="6" t="n">
        <v>0.121857201855032</v>
      </c>
      <c r="AL430" s="6" t="n">
        <v>1.09701835876811</v>
      </c>
      <c r="AN430" s="6" t="n">
        <v>1.28195035045275</v>
      </c>
      <c r="AO430" s="6" t="n">
        <v>1.28198151028619</v>
      </c>
      <c r="AP430" s="6" t="n">
        <v>0.131032229227284</v>
      </c>
      <c r="AQ430" s="6" t="n">
        <v>0</v>
      </c>
      <c r="AR430" s="6" t="n">
        <v>0</v>
      </c>
    </row>
    <row r="431" customFormat="false" ht="15" hidden="false" customHeight="false" outlineLevel="0" collapsed="false">
      <c r="D431" s="0" t="s">
        <v>557</v>
      </c>
      <c r="J431" s="6" t="n">
        <v>2.39148280221626</v>
      </c>
      <c r="K431" s="6" t="n">
        <v>1.92332711934865</v>
      </c>
      <c r="L431" s="6" t="n">
        <v>1.61931758071355</v>
      </c>
      <c r="M431" s="6" t="n">
        <v>-1.97403920803692</v>
      </c>
      <c r="N431" s="6" t="n">
        <v>0.595199350991565</v>
      </c>
      <c r="O431" s="6" t="n">
        <v>-1.91443465445832</v>
      </c>
      <c r="P431" s="6" t="n">
        <v>-0.452621294589623</v>
      </c>
      <c r="Q431" s="6" t="n">
        <v>0.264104648332958</v>
      </c>
      <c r="R431" s="6" t="n">
        <v>-1.31736464127597</v>
      </c>
      <c r="S431" s="6" t="n">
        <v>1.01729081850061</v>
      </c>
      <c r="T431" s="6" t="n">
        <v>0.724835808890125</v>
      </c>
      <c r="U431" s="6" t="n">
        <v>0.550317835751948</v>
      </c>
      <c r="V431" s="6" t="n">
        <v>0.956649498250434</v>
      </c>
      <c r="W431" s="6" t="n">
        <v>-1.98299304075712</v>
      </c>
      <c r="X431" s="6" t="n">
        <v>1.49193904729347</v>
      </c>
      <c r="Y431" s="6" t="n">
        <v>1.7351840646338</v>
      </c>
      <c r="Z431" s="6" t="n">
        <v>0.759737092628712</v>
      </c>
      <c r="AA431" s="6" t="n">
        <v>-0.185666087038556</v>
      </c>
      <c r="AB431" s="6" t="n">
        <v>-0.945683337044569</v>
      </c>
      <c r="AC431" s="6" t="n">
        <v>-1.01362965134981</v>
      </c>
      <c r="AD431" s="6" t="n">
        <v>-2.37139288795975</v>
      </c>
      <c r="AE431" s="6" t="n">
        <v>3.10753876473074</v>
      </c>
      <c r="AF431" s="6" t="n">
        <v>2.81738997349762</v>
      </c>
      <c r="AG431" s="6" t="n">
        <v>3.53775941327148</v>
      </c>
      <c r="AH431" s="6" t="n">
        <v>-1.71454753864448</v>
      </c>
      <c r="AI431" s="6" t="n">
        <v>3.67566026840696</v>
      </c>
      <c r="AJ431" s="6" t="n">
        <v>78.7976249998381</v>
      </c>
      <c r="AK431" s="6" t="n">
        <v>0.180280224536934</v>
      </c>
      <c r="AL431" s="6" t="n">
        <v>1.03914386752761</v>
      </c>
      <c r="AN431" s="6" t="n">
        <v>1.29910928142322</v>
      </c>
      <c r="AO431" s="6" t="n">
        <v>1.30010178057185</v>
      </c>
      <c r="AP431" s="6" t="n">
        <v>0.134053465071841</v>
      </c>
      <c r="AQ431" s="6" t="n">
        <v>0</v>
      </c>
      <c r="AR431" s="6" t="n">
        <v>0</v>
      </c>
    </row>
    <row r="432" customFormat="false" ht="15" hidden="false" customHeight="false" outlineLevel="0" collapsed="false">
      <c r="D432" s="0" t="s">
        <v>558</v>
      </c>
      <c r="J432" s="6" t="n">
        <v>1.92217490876942</v>
      </c>
      <c r="K432" s="6" t="n">
        <v>-3.45751305284772</v>
      </c>
      <c r="L432" s="6" t="n">
        <v>-0.274974128822119</v>
      </c>
      <c r="M432" s="6" t="n">
        <v>2.89809597820714</v>
      </c>
      <c r="N432" s="6" t="n">
        <v>-3.45075017669284</v>
      </c>
      <c r="O432" s="6" t="n">
        <v>0.0845634494379482</v>
      </c>
      <c r="P432" s="6" t="n">
        <v>1.64699629078525</v>
      </c>
      <c r="Q432" s="6" t="n">
        <v>1.92771937029257</v>
      </c>
      <c r="R432" s="6" t="n">
        <v>0.606397449773199</v>
      </c>
      <c r="S432" s="6" t="n">
        <v>0.459272579691086</v>
      </c>
      <c r="T432" s="6" t="n">
        <v>1.0361116092744</v>
      </c>
      <c r="U432" s="6" t="n">
        <v>-2.581423954017</v>
      </c>
      <c r="V432" s="6" t="n">
        <v>0.0717915114737192</v>
      </c>
      <c r="W432" s="6" t="n">
        <v>1.54766153613731</v>
      </c>
      <c r="X432" s="6" t="n">
        <v>-1.60396431935343</v>
      </c>
      <c r="Y432" s="6" t="n">
        <v>3.90768953240552</v>
      </c>
      <c r="Z432" s="6" t="n">
        <v>1.30331140912855</v>
      </c>
      <c r="AA432" s="6" t="n">
        <v>0.947229972426022</v>
      </c>
      <c r="AB432" s="6" t="n">
        <v>-0.320029795704197</v>
      </c>
      <c r="AC432" s="6" t="n">
        <v>-0.65355198390845</v>
      </c>
      <c r="AD432" s="6" t="n">
        <v>-1.88238358653379</v>
      </c>
      <c r="AE432" s="6" t="n">
        <v>0.492626940922987</v>
      </c>
      <c r="AF432" s="6" t="n">
        <v>-1.10595687503336</v>
      </c>
      <c r="AG432" s="6" t="n">
        <v>-1.59328409920029</v>
      </c>
      <c r="AH432" s="6" t="n">
        <v>-2.53542835478101</v>
      </c>
      <c r="AI432" s="6" t="n">
        <v>0.400284559566613</v>
      </c>
      <c r="AJ432" s="6" t="n">
        <v>67.8904643287839</v>
      </c>
      <c r="AK432" s="6" t="n">
        <v>0.161650741622077</v>
      </c>
      <c r="AL432" s="6" t="n">
        <v>1.05308072770737</v>
      </c>
      <c r="AN432" s="6" t="n">
        <v>1.2872901442964</v>
      </c>
      <c r="AO432" s="6" t="n">
        <v>1.28844137777744</v>
      </c>
      <c r="AP432" s="6" t="n">
        <v>0.132552871218259</v>
      </c>
      <c r="AQ432" s="6" t="n">
        <v>0</v>
      </c>
      <c r="AR432" s="6" t="n">
        <v>0</v>
      </c>
    </row>
    <row r="433" customFormat="false" ht="15" hidden="false" customHeight="false" outlineLevel="0" collapsed="false">
      <c r="D433" s="0" t="s">
        <v>559</v>
      </c>
      <c r="J433" s="6" t="n">
        <v>0.980161474126845</v>
      </c>
      <c r="K433" s="6" t="n">
        <v>1.16155807957968</v>
      </c>
      <c r="L433" s="6" t="n">
        <v>-1.06695903137708</v>
      </c>
      <c r="M433" s="6" t="n">
        <v>3.58315645802559</v>
      </c>
      <c r="N433" s="6" t="n">
        <v>-2.99215834121887</v>
      </c>
      <c r="O433" s="6" t="n">
        <v>-0.444914637983805</v>
      </c>
      <c r="P433" s="6" t="n">
        <v>-1.09709154323125</v>
      </c>
      <c r="Q433" s="6" t="n">
        <v>0.0771008735449486</v>
      </c>
      <c r="R433" s="6" t="n">
        <v>-0.694210138817205</v>
      </c>
      <c r="S433" s="6" t="n">
        <v>3.13519816033817</v>
      </c>
      <c r="T433" s="6" t="n">
        <v>0.621481297193579</v>
      </c>
      <c r="U433" s="6" t="n">
        <v>2.09067944387384</v>
      </c>
      <c r="V433" s="6" t="n">
        <v>-0.226741966690942</v>
      </c>
      <c r="W433" s="6" t="n">
        <v>-2.56914951276115</v>
      </c>
      <c r="X433" s="6" t="n">
        <v>0.967397142735698</v>
      </c>
      <c r="Y433" s="6" t="n">
        <v>-1.23310761675091</v>
      </c>
      <c r="Z433" s="6" t="n">
        <v>-1.73054681051703</v>
      </c>
      <c r="AA433" s="6" t="n">
        <v>0.934237919827648</v>
      </c>
      <c r="AB433" s="6" t="n">
        <v>-0.241507287482854</v>
      </c>
      <c r="AC433" s="6" t="n">
        <v>-1.07161570925442</v>
      </c>
      <c r="AD433" s="6" t="n">
        <v>3.0646928249535</v>
      </c>
      <c r="AE433" s="6" t="n">
        <v>3.01153223446421</v>
      </c>
      <c r="AF433" s="6" t="n">
        <v>-0.123319758233958</v>
      </c>
      <c r="AG433" s="6" t="n">
        <v>-2.87316587169546</v>
      </c>
      <c r="AH433" s="6" t="n">
        <v>-1.00587729317244</v>
      </c>
      <c r="AI433" s="6" t="n">
        <v>-2.26323521787619</v>
      </c>
      <c r="AJ433" s="6" t="n">
        <v>78.2396169464597</v>
      </c>
      <c r="AK433" s="6" t="n">
        <v>0.12762450097458</v>
      </c>
      <c r="AL433" s="6" t="n">
        <v>1.02743918555409</v>
      </c>
      <c r="AN433" s="6" t="n">
        <v>1.31105532235002</v>
      </c>
      <c r="AO433" s="6" t="n">
        <v>1.31122348235384</v>
      </c>
      <c r="AP433" s="6" t="n">
        <v>0.136867264826952</v>
      </c>
      <c r="AQ433" s="6" t="n">
        <v>0</v>
      </c>
      <c r="AR433" s="6" t="n">
        <v>0</v>
      </c>
    </row>
    <row r="434" customFormat="false" ht="15" hidden="false" customHeight="false" outlineLevel="0" collapsed="false">
      <c r="D434" s="0" t="s">
        <v>560</v>
      </c>
      <c r="J434" s="6" t="n">
        <v>-1.28272519886403</v>
      </c>
      <c r="K434" s="6" t="n">
        <v>2.53512894304381</v>
      </c>
      <c r="L434" s="6" t="n">
        <v>-2.29497545236208</v>
      </c>
      <c r="M434" s="6" t="n">
        <v>-0.075698323941603</v>
      </c>
      <c r="N434" s="6" t="n">
        <v>-1.22375440721089</v>
      </c>
      <c r="O434" s="6" t="n">
        <v>-0.13482715379042</v>
      </c>
      <c r="P434" s="6" t="n">
        <v>-0.58236568809979</v>
      </c>
      <c r="Q434" s="6" t="n">
        <v>5</v>
      </c>
      <c r="R434" s="6" t="n">
        <v>0.443858055268626</v>
      </c>
      <c r="S434" s="6" t="n">
        <v>-1.33168017022545</v>
      </c>
      <c r="T434" s="6" t="n">
        <v>-4.86687218393862</v>
      </c>
      <c r="U434" s="6" t="n">
        <v>-2.32518075324818</v>
      </c>
      <c r="V434" s="6" t="n">
        <v>0.708802027691435</v>
      </c>
      <c r="W434" s="6" t="n">
        <v>-2.91021680367315</v>
      </c>
      <c r="X434" s="6" t="n">
        <v>2.30083379440363</v>
      </c>
      <c r="Y434" s="6" t="n">
        <v>-2.88824057675568</v>
      </c>
      <c r="Z434" s="6" t="n">
        <v>-1.73341455163821</v>
      </c>
      <c r="AA434" s="6" t="n">
        <v>-1.7907076763089</v>
      </c>
      <c r="AB434" s="6" t="n">
        <v>3.3385483238865</v>
      </c>
      <c r="AC434" s="6" t="n">
        <v>2.30014603488737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-2.64254663619195</v>
      </c>
      <c r="AH434" s="6" t="n">
        <v>-0.549647055887973</v>
      </c>
      <c r="AI434" s="6" t="n">
        <v>-0.922230234543095</v>
      </c>
      <c r="AJ434" s="6" t="n">
        <v>62.640022468716</v>
      </c>
      <c r="AK434" s="6" t="n">
        <v>0.0639710031034723</v>
      </c>
      <c r="AL434" s="6" t="n">
        <v>1.11748562205683</v>
      </c>
      <c r="AN434" s="6" t="n">
        <v>1.27742634742823</v>
      </c>
      <c r="AO434" s="6" t="n">
        <v>1.27792360036706</v>
      </c>
      <c r="AP434" s="6" t="n">
        <v>0.130786010457238</v>
      </c>
      <c r="AQ434" s="6" t="n">
        <v>0</v>
      </c>
      <c r="AR434" s="6" t="n">
        <v>0</v>
      </c>
    </row>
    <row r="435" customFormat="false" ht="15" hidden="false" customHeight="false" outlineLevel="0" collapsed="false">
      <c r="D435" s="0" t="s">
        <v>561</v>
      </c>
      <c r="J435" s="6" t="n">
        <v>-1.6026626959203</v>
      </c>
      <c r="K435" s="6" t="n">
        <v>0.34342774280674</v>
      </c>
      <c r="L435" s="6" t="n">
        <v>-1.67257899161932</v>
      </c>
      <c r="M435" s="6" t="n">
        <v>2.37536496231157</v>
      </c>
      <c r="N435" s="6" t="n">
        <v>3.30861800171584</v>
      </c>
      <c r="O435" s="6" t="n">
        <v>1.09722319847114</v>
      </c>
      <c r="P435" s="6" t="n">
        <v>-0.427618476914305</v>
      </c>
      <c r="Q435" s="6" t="n">
        <v>3.7296095032498</v>
      </c>
      <c r="R435" s="6" t="n">
        <v>-1.71635223808357</v>
      </c>
      <c r="S435" s="6" t="n">
        <v>1.35926566224385</v>
      </c>
      <c r="T435" s="6" t="n">
        <v>0.838064178415535</v>
      </c>
      <c r="U435" s="6" t="n">
        <v>1.18223967452271</v>
      </c>
      <c r="V435" s="6" t="n">
        <v>-0.371536019266506</v>
      </c>
      <c r="W435" s="6" t="n">
        <v>-1.05212458495276</v>
      </c>
      <c r="X435" s="6" t="n">
        <v>0.21392442960096</v>
      </c>
      <c r="Y435" s="6" t="n">
        <v>-0.513093208718436</v>
      </c>
      <c r="Z435" s="6" t="n">
        <v>-0.935901531319005</v>
      </c>
      <c r="AA435" s="6" t="n">
        <v>-0.666340774301844</v>
      </c>
      <c r="AB435" s="6" t="n">
        <v>2.50598885300412</v>
      </c>
      <c r="AC435" s="6" t="n">
        <v>0.019331391369361</v>
      </c>
      <c r="AD435" s="6" t="n">
        <v>-1.09018403210599</v>
      </c>
      <c r="AE435" s="6" t="n">
        <v>-2.36522253973537</v>
      </c>
      <c r="AF435" s="6" t="n">
        <v>1.89104115475798</v>
      </c>
      <c r="AG435" s="6" t="n">
        <v>-2.13242585798358</v>
      </c>
      <c r="AH435" s="6" t="n">
        <v>-0.278145460578068</v>
      </c>
      <c r="AI435" s="6" t="n">
        <v>-1.09639912525082</v>
      </c>
      <c r="AJ435" s="6" t="n">
        <v>76.6592295571321</v>
      </c>
      <c r="AK435" s="6" t="n">
        <v>0.131174644121719</v>
      </c>
      <c r="AL435" s="6" t="n">
        <v>1.07374202356202</v>
      </c>
      <c r="AN435" s="6" t="n">
        <v>1.28578113016337</v>
      </c>
      <c r="AO435" s="6" t="n">
        <v>1.28648167678965</v>
      </c>
      <c r="AP435" s="6" t="n">
        <v>0.132303491193398</v>
      </c>
      <c r="AQ435" s="6" t="n">
        <v>0</v>
      </c>
      <c r="AR435" s="6" t="n">
        <v>0</v>
      </c>
    </row>
    <row r="436" customFormat="false" ht="15" hidden="false" customHeight="false" outlineLevel="0" collapsed="false">
      <c r="D436" s="0" t="s">
        <v>562</v>
      </c>
      <c r="J436" s="6" t="n">
        <v>0.794874666006423</v>
      </c>
      <c r="K436" s="6" t="n">
        <v>0.147407149201931</v>
      </c>
      <c r="L436" s="6" t="n">
        <v>-1.13896391476959</v>
      </c>
      <c r="M436" s="6" t="n">
        <v>-0.0660336824423523</v>
      </c>
      <c r="N436" s="6" t="n">
        <v>-1.28775646561661</v>
      </c>
      <c r="O436" s="6" t="n">
        <v>-0.568027390748168</v>
      </c>
      <c r="P436" s="6" t="n">
        <v>-0.215696176135083</v>
      </c>
      <c r="Q436" s="6" t="n">
        <v>-3.19798501697291</v>
      </c>
      <c r="R436" s="6" t="n">
        <v>-2.87976606311426</v>
      </c>
      <c r="S436" s="6" t="n">
        <v>4.45113589953727</v>
      </c>
      <c r="T436" s="6" t="n">
        <v>1.22555365961484</v>
      </c>
      <c r="U436" s="6" t="n">
        <v>2.52525025612996</v>
      </c>
      <c r="V436" s="6" t="n">
        <v>1.16823935065956</v>
      </c>
      <c r="W436" s="6" t="n">
        <v>-1.60598049594489</v>
      </c>
      <c r="X436" s="6" t="n">
        <v>0.206570804455074</v>
      </c>
      <c r="Y436" s="6" t="n">
        <v>3.46912641893994</v>
      </c>
      <c r="Z436" s="6" t="n">
        <v>-4.2971387072051</v>
      </c>
      <c r="AA436" s="6" t="n">
        <v>-0.170638679969672</v>
      </c>
      <c r="AB436" s="6" t="n">
        <v>0.265044005059577</v>
      </c>
      <c r="AC436" s="6" t="n">
        <v>2.61485401562918</v>
      </c>
      <c r="AD436" s="6" t="n">
        <v>-1.580448345701</v>
      </c>
      <c r="AE436" s="6" t="n">
        <v>0.226413632536375</v>
      </c>
      <c r="AF436" s="6" t="n">
        <v>-0.331906318333542</v>
      </c>
      <c r="AG436" s="6" t="n">
        <v>-3.74312500968935</v>
      </c>
      <c r="AH436" s="6" t="n">
        <v>-2.61925893728852</v>
      </c>
      <c r="AI436" s="6" t="n">
        <v>-2.25594498561007</v>
      </c>
      <c r="AJ436" s="6" t="n">
        <v>73.9616472552159</v>
      </c>
      <c r="AK436" s="6" t="n">
        <v>0.0747598833993912</v>
      </c>
      <c r="AL436" s="6" t="n">
        <v>1.01200236707695</v>
      </c>
      <c r="AN436" s="6" t="n">
        <v>1.31277972817193</v>
      </c>
      <c r="AO436" s="6" t="n">
        <v>1.31277972817193</v>
      </c>
      <c r="AP436" s="6" t="n">
        <v>0.13960108522617</v>
      </c>
      <c r="AQ436" s="6" t="n">
        <v>0</v>
      </c>
      <c r="AR436" s="6" t="n">
        <v>0</v>
      </c>
    </row>
    <row r="437" customFormat="false" ht="15" hidden="false" customHeight="false" outlineLevel="0" collapsed="false">
      <c r="D437" s="0" t="s">
        <v>563</v>
      </c>
      <c r="J437" s="6" t="n">
        <v>0.0494106883627968</v>
      </c>
      <c r="K437" s="6" t="n">
        <v>-0.841163123636778</v>
      </c>
      <c r="L437" s="6" t="n">
        <v>1.8705597734604</v>
      </c>
      <c r="M437" s="6" t="n">
        <v>3.03769229373524</v>
      </c>
      <c r="N437" s="6" t="n">
        <v>0.168384439701745</v>
      </c>
      <c r="O437" s="6" t="n">
        <v>-2.61759062284516</v>
      </c>
      <c r="P437" s="6" t="n">
        <v>-1.72343869492649</v>
      </c>
      <c r="Q437" s="6" t="n">
        <v>-0.157667260077451</v>
      </c>
      <c r="R437" s="6" t="n">
        <v>2.21456466413161</v>
      </c>
      <c r="S437" s="6" t="n">
        <v>-2.43495316351058</v>
      </c>
      <c r="T437" s="6" t="n">
        <v>-2.74285093817853</v>
      </c>
      <c r="U437" s="6" t="n">
        <v>2.08077793078514</v>
      </c>
      <c r="V437" s="6" t="n">
        <v>0.563717152409932</v>
      </c>
      <c r="W437" s="6" t="n">
        <v>-2.10518815881757</v>
      </c>
      <c r="X437" s="6" t="n">
        <v>3.37146886642527</v>
      </c>
      <c r="Y437" s="6" t="n">
        <v>0.166528000188359</v>
      </c>
      <c r="Z437" s="6" t="n">
        <v>2.23131404526754</v>
      </c>
      <c r="AA437" s="6" t="n">
        <v>2.07456092236784</v>
      </c>
      <c r="AB437" s="6" t="n">
        <v>3.31536756182987</v>
      </c>
      <c r="AC437" s="6" t="n">
        <v>-7.81246990007064</v>
      </c>
      <c r="AD437" s="6" t="n">
        <v>-1.51768957304004</v>
      </c>
      <c r="AE437" s="6" t="n">
        <v>-1.62337289237899</v>
      </c>
      <c r="AF437" s="6" t="n">
        <v>-1.69875966300839</v>
      </c>
      <c r="AG437" s="6" t="n">
        <v>0.916610376475888</v>
      </c>
      <c r="AH437" s="6" t="n">
        <v>2.07746349888177</v>
      </c>
      <c r="AI437" s="6" t="n">
        <v>-0.474928239193557</v>
      </c>
      <c r="AJ437" s="6" t="n">
        <v>79.1291441079421</v>
      </c>
      <c r="AK437" s="6" t="n">
        <v>0.0491545303160127</v>
      </c>
      <c r="AL437" s="6" t="n">
        <v>1.12529108719335</v>
      </c>
      <c r="AN437" s="6" t="n">
        <v>1.28547615593666</v>
      </c>
      <c r="AO437" s="6" t="n">
        <v>1.28630254030269</v>
      </c>
      <c r="AP437" s="6" t="n">
        <v>0.131706110727751</v>
      </c>
      <c r="AQ437" s="6" t="n">
        <v>0</v>
      </c>
      <c r="AR437" s="6" t="n">
        <v>0</v>
      </c>
    </row>
    <row r="438" customFormat="false" ht="15" hidden="false" customHeight="false" outlineLevel="0" collapsed="false">
      <c r="D438" s="0" t="s">
        <v>564</v>
      </c>
      <c r="J438" s="6" t="n">
        <v>1.90842828669756</v>
      </c>
      <c r="K438" s="6" t="n">
        <v>3.17880046669687</v>
      </c>
      <c r="L438" s="6" t="n">
        <v>0.249443352580349</v>
      </c>
      <c r="M438" s="6" t="n">
        <v>2.17692642196399</v>
      </c>
      <c r="N438" s="6" t="n">
        <v>-1.01312282972445</v>
      </c>
      <c r="O438" s="6" t="n">
        <v>-1.35341264750079</v>
      </c>
      <c r="P438" s="6" t="n">
        <v>-0.531431070876504</v>
      </c>
      <c r="Q438" s="6" t="n">
        <v>0.0104363965239837</v>
      </c>
      <c r="R438" s="6" t="n">
        <v>0.597197143120384</v>
      </c>
      <c r="S438" s="6" t="n">
        <v>-0.968709513052303</v>
      </c>
      <c r="T438" s="6" t="n">
        <v>0.967632267673718</v>
      </c>
      <c r="U438" s="6" t="n">
        <v>2.07577587948663</v>
      </c>
      <c r="V438" s="6" t="n">
        <v>-3.21876155259029</v>
      </c>
      <c r="W438" s="6" t="n">
        <v>-0.398252866266562</v>
      </c>
      <c r="X438" s="6" t="n">
        <v>1.37160490662388</v>
      </c>
      <c r="Y438" s="6" t="n">
        <v>2.37859696092109</v>
      </c>
      <c r="Z438" s="6" t="n">
        <v>-3.53478685806543</v>
      </c>
      <c r="AA438" s="6" t="n">
        <v>0.896278657565778</v>
      </c>
      <c r="AB438" s="6" t="n">
        <v>1.17343816733275</v>
      </c>
      <c r="AC438" s="6" t="n">
        <v>-1.35128620456521</v>
      </c>
      <c r="AD438" s="6" t="n">
        <v>-1.89947043335858</v>
      </c>
      <c r="AE438" s="6" t="n">
        <v>-2.99663710626509</v>
      </c>
      <c r="AF438" s="6" t="n">
        <v>-2.18971863578276</v>
      </c>
      <c r="AG438" s="6" t="n">
        <v>2.83332418332437</v>
      </c>
      <c r="AH438" s="6" t="n">
        <v>-0.606908110776885</v>
      </c>
      <c r="AI438" s="6" t="n">
        <v>0.452040049110538</v>
      </c>
      <c r="AJ438" s="6" t="n">
        <v>63.9093435614346</v>
      </c>
      <c r="AK438" s="6" t="n">
        <v>0.15617248250281</v>
      </c>
      <c r="AL438" s="6" t="n">
        <v>1.02898219587292</v>
      </c>
      <c r="AN438" s="6" t="n">
        <v>1.30028495786119</v>
      </c>
      <c r="AO438" s="6" t="n">
        <v>1.30069769996455</v>
      </c>
      <c r="AP438" s="6" t="n">
        <v>0.134785085624982</v>
      </c>
      <c r="AQ438" s="6" t="n">
        <v>0</v>
      </c>
      <c r="AR438" s="6" t="n">
        <v>0</v>
      </c>
    </row>
    <row r="439" customFormat="false" ht="15" hidden="false" customHeight="false" outlineLevel="0" collapsed="false">
      <c r="D439" s="0" t="s">
        <v>565</v>
      </c>
      <c r="J439" s="6" t="n">
        <v>-1.06876417036986</v>
      </c>
      <c r="K439" s="6" t="n">
        <v>-0.151495604925588</v>
      </c>
      <c r="L439" s="6" t="n">
        <v>-0.526584944522466</v>
      </c>
      <c r="M439" s="6" t="n">
        <v>1.32296458369277</v>
      </c>
      <c r="N439" s="6" t="n">
        <v>-0.373819379610365</v>
      </c>
      <c r="O439" s="6" t="n">
        <v>2.14163139931417</v>
      </c>
      <c r="P439" s="6" t="n">
        <v>-0.630682958706324</v>
      </c>
      <c r="Q439" s="6" t="n">
        <v>-0.382846075021065</v>
      </c>
      <c r="R439" s="6" t="n">
        <v>1.56020392419659</v>
      </c>
      <c r="S439" s="6" t="n">
        <v>-1.66361129084973</v>
      </c>
      <c r="T439" s="6" t="n">
        <v>0.330259553285334</v>
      </c>
      <c r="U439" s="6" t="n">
        <v>-3.02409076673069</v>
      </c>
      <c r="V439" s="6" t="n">
        <v>1.06165847642219</v>
      </c>
      <c r="W439" s="6" t="n">
        <v>0.677256384728602</v>
      </c>
      <c r="X439" s="6" t="n">
        <v>-0.979168042212376</v>
      </c>
      <c r="Y439" s="6" t="n">
        <v>1.75992896398535</v>
      </c>
      <c r="Z439" s="6" t="n">
        <v>3.1408329663247</v>
      </c>
      <c r="AA439" s="6" t="n">
        <v>-2.21012141195721</v>
      </c>
      <c r="AB439" s="6" t="n">
        <v>-2.61124038722635</v>
      </c>
      <c r="AC439" s="6" t="n">
        <v>-0.881480800134534</v>
      </c>
      <c r="AD439" s="6" t="n">
        <v>-1.22219462239354</v>
      </c>
      <c r="AE439" s="6" t="n">
        <v>-1.18073301578333</v>
      </c>
      <c r="AF439" s="6" t="n">
        <v>0.645610314092178</v>
      </c>
      <c r="AG439" s="6" t="n">
        <v>3.2752199138031</v>
      </c>
      <c r="AH439" s="6" t="n">
        <v>-0.472994533059612</v>
      </c>
      <c r="AI439" s="6" t="n">
        <v>3.25134662499765</v>
      </c>
      <c r="AJ439" s="6" t="n">
        <v>82.7504133154425</v>
      </c>
      <c r="AK439" s="6" t="n">
        <v>0.123004697704672</v>
      </c>
      <c r="AL439" s="6" t="n">
        <v>1.04987702326568</v>
      </c>
      <c r="AN439" s="6" t="n">
        <v>1.29908154873265</v>
      </c>
      <c r="AO439" s="6" t="n">
        <v>1.29924109548337</v>
      </c>
      <c r="AP439" s="6" t="n">
        <v>0.13483725931958</v>
      </c>
      <c r="AQ439" s="6" t="n">
        <v>0</v>
      </c>
      <c r="AR439" s="6" t="n">
        <v>0</v>
      </c>
    </row>
    <row r="440" customFormat="false" ht="15" hidden="false" customHeight="false" outlineLevel="0" collapsed="false">
      <c r="D440" s="0" t="s">
        <v>566</v>
      </c>
      <c r="J440" s="6" t="n">
        <v>3.82633986435071</v>
      </c>
      <c r="K440" s="6" t="n">
        <v>0.133643296692824</v>
      </c>
      <c r="L440" s="6" t="n">
        <v>-1.06702216495474</v>
      </c>
      <c r="M440" s="6" t="n">
        <v>-3.34116982103894</v>
      </c>
      <c r="N440" s="6" t="n">
        <v>-1.08098420320591</v>
      </c>
      <c r="O440" s="6" t="n">
        <v>-0.266249200490035</v>
      </c>
      <c r="P440" s="6" t="n">
        <v>1.20278837720189</v>
      </c>
      <c r="Q440" s="6" t="n">
        <v>-2.95496428781023</v>
      </c>
      <c r="R440" s="6" t="n">
        <v>3.9971342818789</v>
      </c>
      <c r="S440" s="6" t="n">
        <v>3.73946409963968</v>
      </c>
      <c r="T440" s="6" t="n">
        <v>-0.739684312675208</v>
      </c>
      <c r="U440" s="6" t="n">
        <v>-3.15411584017016</v>
      </c>
      <c r="V440" s="6" t="n">
        <v>-0.849172238530388</v>
      </c>
      <c r="W440" s="6" t="n">
        <v>3.90689106359889</v>
      </c>
      <c r="X440" s="6" t="n">
        <v>-1.51929869197962</v>
      </c>
      <c r="Y440" s="6" t="n">
        <v>1.83011259849618</v>
      </c>
      <c r="Z440" s="6" t="n">
        <v>-0.0950925884644745</v>
      </c>
      <c r="AA440" s="6" t="n">
        <v>0.724494256151915</v>
      </c>
      <c r="AB440" s="6" t="n">
        <v>1.18580324905416</v>
      </c>
      <c r="AC440" s="6" t="n">
        <v>1.47065037683167</v>
      </c>
      <c r="AD440" s="6" t="n">
        <v>2.63274779078369</v>
      </c>
      <c r="AE440" s="6" t="n">
        <v>2.2324691131137</v>
      </c>
      <c r="AF440" s="6" t="n">
        <v>-5.12928521170057</v>
      </c>
      <c r="AG440" s="6" t="n">
        <v>-1.09272600673614</v>
      </c>
      <c r="AH440" s="6" t="n">
        <v>-0.680831799647271</v>
      </c>
      <c r="AI440" s="6" t="n">
        <v>-1.5857792878957</v>
      </c>
      <c r="AJ440" s="6" t="n">
        <v>70.5802689504639</v>
      </c>
      <c r="AK440" s="6" t="n">
        <v>0.0745724641981638</v>
      </c>
      <c r="AL440" s="6" t="n">
        <v>1.02778773309645</v>
      </c>
      <c r="AN440" s="6" t="n">
        <v>1.3117559544492</v>
      </c>
      <c r="AO440" s="6" t="n">
        <v>1.3117559544492</v>
      </c>
      <c r="AP440" s="6" t="n">
        <v>0.136683681439477</v>
      </c>
      <c r="AQ440" s="6" t="n">
        <v>0</v>
      </c>
      <c r="AR440" s="6" t="n">
        <v>0</v>
      </c>
    </row>
    <row r="441" customFormat="false" ht="15" hidden="false" customHeight="false" outlineLevel="0" collapsed="false">
      <c r="D441" s="0" t="s">
        <v>567</v>
      </c>
      <c r="J441" s="6" t="n">
        <v>1.11859710963788</v>
      </c>
      <c r="K441" s="6" t="n">
        <v>-2.4619817790426</v>
      </c>
      <c r="L441" s="6" t="n">
        <v>-0.376695536152805</v>
      </c>
      <c r="M441" s="6" t="n">
        <v>3.10907207245604</v>
      </c>
      <c r="N441" s="6" t="n">
        <v>4.29214618801594</v>
      </c>
      <c r="O441" s="6" t="n">
        <v>-0.921660306458611</v>
      </c>
      <c r="P441" s="6" t="n">
        <v>5</v>
      </c>
      <c r="Q441" s="6" t="n">
        <v>-1.43020686880353</v>
      </c>
      <c r="R441" s="6" t="n">
        <v>-0.130100411605976</v>
      </c>
      <c r="S441" s="6" t="n">
        <v>0.177230281037303</v>
      </c>
      <c r="T441" s="6" t="n">
        <v>1.65603297773289</v>
      </c>
      <c r="U441" s="6" t="n">
        <v>-0.0551003404792334</v>
      </c>
      <c r="V441" s="6" t="n">
        <v>1.57440600654801</v>
      </c>
      <c r="W441" s="6" t="n">
        <v>-2.80302166428551</v>
      </c>
      <c r="X441" s="6" t="n">
        <v>-1.96311919339616</v>
      </c>
      <c r="Y441" s="6" t="n">
        <v>0.558811945779886</v>
      </c>
      <c r="Z441" s="6" t="n">
        <v>-1.89628009386721</v>
      </c>
      <c r="AA441" s="6" t="n">
        <v>-4.11017283929176</v>
      </c>
      <c r="AB441" s="6" t="n">
        <v>-2.25153693839292</v>
      </c>
      <c r="AC441" s="6" t="n">
        <v>-0.507282525228578</v>
      </c>
      <c r="AD441" s="6" t="n">
        <v>-1.6936725105124</v>
      </c>
      <c r="AE441" s="6" t="n">
        <v>-2.57655357869469</v>
      </c>
      <c r="AF441" s="6" t="n">
        <v>-1.30832363384214</v>
      </c>
      <c r="AG441" s="6" t="n">
        <v>1.93934652261386</v>
      </c>
      <c r="AH441" s="6" t="n">
        <v>-0.647000890532684</v>
      </c>
      <c r="AI441" s="6" t="n">
        <v>0.180470323144798</v>
      </c>
      <c r="AJ441" s="6" t="n">
        <v>73.7440355095244</v>
      </c>
      <c r="AK441" s="6" t="n">
        <v>0.0882784212067716</v>
      </c>
      <c r="AL441" s="6" t="n">
        <v>1.07783562105951</v>
      </c>
      <c r="AN441" s="6" t="n">
        <v>1.28790201450029</v>
      </c>
      <c r="AO441" s="6" t="n">
        <v>1.29022868633206</v>
      </c>
      <c r="AP441" s="6" t="n">
        <v>0.132848095308761</v>
      </c>
      <c r="AQ441" s="6" t="n">
        <v>0</v>
      </c>
      <c r="AR441" s="6" t="n">
        <v>0</v>
      </c>
    </row>
    <row r="442" customFormat="false" ht="15" hidden="false" customHeight="false" outlineLevel="0" collapsed="false">
      <c r="D442" s="0" t="s">
        <v>568</v>
      </c>
      <c r="J442" s="6" t="n">
        <v>-0.507545810892106</v>
      </c>
      <c r="K442" s="6" t="n">
        <v>2.06635207859726</v>
      </c>
      <c r="L442" s="6" t="n">
        <v>-3.39501648343509</v>
      </c>
      <c r="M442" s="6" t="n">
        <v>-0.692576021192843</v>
      </c>
      <c r="N442" s="6" t="n">
        <v>0.79538192607896</v>
      </c>
      <c r="O442" s="6" t="n">
        <v>-0.439107397126064</v>
      </c>
      <c r="P442" s="6" t="n">
        <v>0.73468533177719</v>
      </c>
      <c r="Q442" s="6" t="n">
        <v>1.42416632175357</v>
      </c>
      <c r="R442" s="6" t="n">
        <v>-4.73881808580349</v>
      </c>
      <c r="S442" s="6" t="n">
        <v>1.90300309855792</v>
      </c>
      <c r="T442" s="6" t="n">
        <v>4.83070803153196</v>
      </c>
      <c r="U442" s="6" t="n">
        <v>0.375810701001069</v>
      </c>
      <c r="V442" s="6" t="n">
        <v>-0.542562180555621</v>
      </c>
      <c r="W442" s="6" t="n">
        <v>-0.196239402864217</v>
      </c>
      <c r="X442" s="6" t="n">
        <v>4.51266427144417</v>
      </c>
      <c r="Y442" s="6" t="n">
        <v>-0.643621446892665</v>
      </c>
      <c r="Z442" s="6" t="n">
        <v>2.90464456039904</v>
      </c>
      <c r="AA442" s="6" t="n">
        <v>-3.37965899074126</v>
      </c>
      <c r="AB442" s="6" t="n">
        <v>-3.44724100440278</v>
      </c>
      <c r="AC442" s="6" t="n">
        <v>2.08779689192687</v>
      </c>
      <c r="AD442" s="6" t="n">
        <v>5</v>
      </c>
      <c r="AE442" s="6" t="n">
        <v>-1.24660811351142</v>
      </c>
      <c r="AF442" s="6" t="n">
        <v>-1.30436988926221</v>
      </c>
      <c r="AG442" s="6" t="n">
        <v>3.50254343662582</v>
      </c>
      <c r="AH442" s="6" t="n">
        <v>0.865470383166348</v>
      </c>
      <c r="AI442" s="6" t="n">
        <v>4.15190236339236</v>
      </c>
      <c r="AJ442" s="6" t="n">
        <v>71.1779756741251</v>
      </c>
      <c r="AK442" s="6" t="n">
        <v>0.0766516908313896</v>
      </c>
      <c r="AL442" s="6" t="n">
        <v>1.02020254895987</v>
      </c>
      <c r="AN442" s="6" t="n">
        <v>1.31159823883434</v>
      </c>
      <c r="AO442" s="6" t="n">
        <v>1.31159823883434</v>
      </c>
      <c r="AP442" s="6" t="n">
        <v>0.138536387298731</v>
      </c>
      <c r="AQ442" s="6" t="n">
        <v>0</v>
      </c>
      <c r="AR442" s="6" t="n">
        <v>0</v>
      </c>
    </row>
    <row r="443" customFormat="false" ht="15" hidden="false" customHeight="false" outlineLevel="0" collapsed="false">
      <c r="D443" s="0" t="s">
        <v>569</v>
      </c>
      <c r="J443" s="6" t="n">
        <v>3.49326452625677</v>
      </c>
      <c r="K443" s="6" t="n">
        <v>0.818813854808094</v>
      </c>
      <c r="L443" s="6" t="n">
        <v>0.870030777919369</v>
      </c>
      <c r="M443" s="6" t="n">
        <v>-4.23206817964563</v>
      </c>
      <c r="N443" s="6" t="n">
        <v>-2.57031062650016</v>
      </c>
      <c r="O443" s="6" t="n">
        <v>1.16755502594926</v>
      </c>
      <c r="P443" s="6" t="n">
        <v>-1.77473866412115</v>
      </c>
      <c r="Q443" s="6" t="n">
        <v>1.43914506959729</v>
      </c>
      <c r="R443" s="6" t="n">
        <v>-3.14270014665263</v>
      </c>
      <c r="S443" s="6" t="n">
        <v>1.24044795850811</v>
      </c>
      <c r="T443" s="6" t="n">
        <v>-0.71272416896001</v>
      </c>
      <c r="U443" s="6" t="n">
        <v>1.70551452870336</v>
      </c>
      <c r="V443" s="6" t="n">
        <v>0.663301793240204</v>
      </c>
      <c r="W443" s="6" t="n">
        <v>-0.388072167424618</v>
      </c>
      <c r="X443" s="6" t="n">
        <v>0.159910810066992</v>
      </c>
      <c r="Y443" s="6" t="n">
        <v>-0.138022314123863</v>
      </c>
      <c r="Z443" s="6" t="n">
        <v>-2.2192598626535</v>
      </c>
      <c r="AA443" s="6" t="n">
        <v>-2.36013412610471</v>
      </c>
      <c r="AB443" s="6" t="n">
        <v>-4.38932800831196</v>
      </c>
      <c r="AC443" s="6" t="n">
        <v>-1.03737260208253</v>
      </c>
      <c r="AD443" s="6" t="n">
        <v>-2.26168468256874</v>
      </c>
      <c r="AE443" s="6" t="n">
        <v>-3.126032095923</v>
      </c>
      <c r="AF443" s="6" t="n">
        <v>0.181915614989966</v>
      </c>
      <c r="AG443" s="6" t="n">
        <v>2.6693227440125</v>
      </c>
      <c r="AH443" s="6" t="n">
        <v>-0.246729546657927</v>
      </c>
      <c r="AI443" s="6" t="n">
        <v>-0.40285152865495</v>
      </c>
      <c r="AJ443" s="6" t="n">
        <v>71.5361106719347</v>
      </c>
      <c r="AK443" s="6" t="n">
        <v>0.162742534742032</v>
      </c>
      <c r="AL443" s="6" t="n">
        <v>1.02799710697799</v>
      </c>
      <c r="AN443" s="6" t="n">
        <v>1.30087792319628</v>
      </c>
      <c r="AO443" s="6" t="n">
        <v>1.3013523052647</v>
      </c>
      <c r="AP443" s="6" t="n">
        <v>0.134799693403415</v>
      </c>
      <c r="AQ443" s="6" t="n">
        <v>0</v>
      </c>
      <c r="AR443" s="6" t="n">
        <v>0</v>
      </c>
    </row>
    <row r="444" customFormat="false" ht="15" hidden="false" customHeight="false" outlineLevel="0" collapsed="false">
      <c r="D444" s="0" t="s">
        <v>570</v>
      </c>
      <c r="J444" s="6" t="n">
        <v>0.492042621909752</v>
      </c>
      <c r="K444" s="6" t="n">
        <v>0.696922823924163</v>
      </c>
      <c r="L444" s="6" t="n">
        <v>2.87157844832529</v>
      </c>
      <c r="M444" s="6" t="n">
        <v>0.607515213410371</v>
      </c>
      <c r="N444" s="6" t="n">
        <v>-0.0123686125264081</v>
      </c>
      <c r="O444" s="6" t="n">
        <v>-1.5352547188056</v>
      </c>
      <c r="P444" s="6" t="n">
        <v>0.876557287958062</v>
      </c>
      <c r="Q444" s="6" t="n">
        <v>1.58213437659217</v>
      </c>
      <c r="R444" s="6" t="n">
        <v>1.21698840926092</v>
      </c>
      <c r="S444" s="6" t="n">
        <v>4.12341430851166</v>
      </c>
      <c r="T444" s="6" t="n">
        <v>0.951222057316861</v>
      </c>
      <c r="U444" s="6" t="n">
        <v>-3.65219644348066</v>
      </c>
      <c r="V444" s="6" t="n">
        <v>-2.07616305447015</v>
      </c>
      <c r="W444" s="6" t="n">
        <v>1.04795375294006</v>
      </c>
      <c r="X444" s="6" t="n">
        <v>2.88855528480321</v>
      </c>
      <c r="Y444" s="6" t="n">
        <v>1.71771263012609</v>
      </c>
      <c r="Z444" s="6" t="n">
        <v>-0.920365698897249</v>
      </c>
      <c r="AA444" s="6" t="n">
        <v>-1.45284069109884</v>
      </c>
      <c r="AB444" s="6" t="n">
        <v>3.12681526377566</v>
      </c>
      <c r="AC444" s="6" t="n">
        <v>1.3278399112693</v>
      </c>
      <c r="AD444" s="6" t="n">
        <v>1.53155196140172</v>
      </c>
      <c r="AE444" s="6" t="n">
        <v>1.12532141681393</v>
      </c>
      <c r="AF444" s="6" t="n">
        <v>-0.769258992229947</v>
      </c>
      <c r="AG444" s="6" t="n">
        <v>-2.97600853853617</v>
      </c>
      <c r="AH444" s="6" t="n">
        <v>1.33729082913353</v>
      </c>
      <c r="AI444" s="6" t="n">
        <v>-0.159452767261505</v>
      </c>
      <c r="AJ444" s="6" t="n">
        <v>71.1614228510695</v>
      </c>
      <c r="AK444" s="6" t="n">
        <v>0.0845756391426754</v>
      </c>
      <c r="AL444" s="6" t="n">
        <v>1.06237483881647</v>
      </c>
      <c r="AN444" s="6" t="n">
        <v>1.29599987018889</v>
      </c>
      <c r="AO444" s="6" t="n">
        <v>1.29694131677878</v>
      </c>
      <c r="AP444" s="6" t="n">
        <v>0.13372406189067</v>
      </c>
      <c r="AQ444" s="6" t="n">
        <v>0</v>
      </c>
      <c r="AR444" s="6" t="n">
        <v>0</v>
      </c>
    </row>
    <row r="445" customFormat="false" ht="15" hidden="false" customHeight="false" outlineLevel="0" collapsed="false">
      <c r="D445" s="0" t="s">
        <v>571</v>
      </c>
      <c r="J445" s="6" t="n">
        <v>-0.229104946140441</v>
      </c>
      <c r="K445" s="6" t="n">
        <v>-2.2440142897333</v>
      </c>
      <c r="L445" s="6" t="n">
        <v>0.424524482613122</v>
      </c>
      <c r="M445" s="6" t="n">
        <v>2.09628568731494</v>
      </c>
      <c r="N445" s="6" t="n">
        <v>-0.0539247885925399</v>
      </c>
      <c r="O445" s="6" t="n">
        <v>-3.77822026446096</v>
      </c>
      <c r="P445" s="6" t="n">
        <v>5</v>
      </c>
      <c r="Q445" s="6" t="n">
        <v>1.62188354142868</v>
      </c>
      <c r="R445" s="6" t="n">
        <v>-2.25898475689537</v>
      </c>
      <c r="S445" s="6" t="n">
        <v>-1.83135220621923</v>
      </c>
      <c r="T445" s="6" t="n">
        <v>2.48699898135877</v>
      </c>
      <c r="U445" s="6" t="n">
        <v>-0.326365181728327</v>
      </c>
      <c r="V445" s="6" t="n">
        <v>-0.46681376914653</v>
      </c>
      <c r="W445" s="6" t="n">
        <v>2.83230457495006</v>
      </c>
      <c r="X445" s="6" t="n">
        <v>0.949170509774361</v>
      </c>
      <c r="Y445" s="6" t="n">
        <v>2.27264377800837</v>
      </c>
      <c r="Z445" s="6" t="n">
        <v>3.11339705310103</v>
      </c>
      <c r="AA445" s="6" t="n">
        <v>0.000787484155277375</v>
      </c>
      <c r="AB445" s="6" t="n">
        <v>0.0172883004002656</v>
      </c>
      <c r="AC445" s="6" t="n">
        <v>3.7824803610952</v>
      </c>
      <c r="AD445" s="6" t="n">
        <v>0.659981865231795</v>
      </c>
      <c r="AE445" s="6" t="n">
        <v>-2.33859080944731</v>
      </c>
      <c r="AF445" s="6" t="n">
        <v>-5.57751482383857</v>
      </c>
      <c r="AG445" s="6" t="n">
        <v>1.73640962533052</v>
      </c>
      <c r="AH445" s="6" t="n">
        <v>-2.40551415931136</v>
      </c>
      <c r="AI445" s="6" t="n">
        <v>-2.86872767583824</v>
      </c>
      <c r="AJ445" s="6" t="n">
        <v>71.5261093248022</v>
      </c>
      <c r="AK445" s="6" t="n">
        <v>0.142637937724105</v>
      </c>
      <c r="AL445" s="6" t="n">
        <v>1.04009574030417</v>
      </c>
      <c r="AN445" s="6" t="n">
        <v>1.29261190723272</v>
      </c>
      <c r="AO445" s="6" t="n">
        <v>1.29405819758898</v>
      </c>
      <c r="AP445" s="6" t="n">
        <v>0.134633026560507</v>
      </c>
      <c r="AQ445" s="6" t="n">
        <v>0</v>
      </c>
      <c r="AR445" s="6" t="n">
        <v>0</v>
      </c>
    </row>
    <row r="446" customFormat="false" ht="15" hidden="false" customHeight="false" outlineLevel="0" collapsed="false">
      <c r="D446" s="0" t="s">
        <v>572</v>
      </c>
      <c r="J446" s="6" t="n">
        <v>3.83369842411703</v>
      </c>
      <c r="K446" s="6" t="n">
        <v>0.304205190556006</v>
      </c>
      <c r="L446" s="6" t="n">
        <v>-2.08136850256126</v>
      </c>
      <c r="M446" s="6" t="n">
        <v>4.91035492523428</v>
      </c>
      <c r="N446" s="6" t="n">
        <v>-2.61693544360341</v>
      </c>
      <c r="O446" s="6" t="n">
        <v>-2.46425861981415</v>
      </c>
      <c r="P446" s="6" t="n">
        <v>-0.240485001971133</v>
      </c>
      <c r="Q446" s="6" t="n">
        <v>0.0372860584531827</v>
      </c>
      <c r="R446" s="6" t="n">
        <v>1.85971484691899</v>
      </c>
      <c r="S446" s="6" t="n">
        <v>-2.16298685357794</v>
      </c>
      <c r="T446" s="6" t="n">
        <v>0.12117964812059</v>
      </c>
      <c r="U446" s="6" t="n">
        <v>0.638340668667095</v>
      </c>
      <c r="V446" s="6" t="n">
        <v>0.623004315786457</v>
      </c>
      <c r="W446" s="6" t="n">
        <v>1.45505205374714</v>
      </c>
      <c r="X446" s="6" t="n">
        <v>-2.87846560731312</v>
      </c>
      <c r="Y446" s="6" t="n">
        <v>1.25665821307077</v>
      </c>
      <c r="Z446" s="6" t="n">
        <v>-0.700264478028388</v>
      </c>
      <c r="AA446" s="6" t="n">
        <v>-1.66481480993538</v>
      </c>
      <c r="AB446" s="6" t="n">
        <v>2.68917654139406</v>
      </c>
      <c r="AC446" s="6" t="n">
        <v>-1.27715615782672</v>
      </c>
      <c r="AD446" s="6" t="n">
        <v>-2.84122583381628</v>
      </c>
      <c r="AE446" s="6" t="n">
        <v>0.960080962742785</v>
      </c>
      <c r="AF446" s="6" t="n">
        <v>0.448412063946644</v>
      </c>
      <c r="AG446" s="6" t="n">
        <v>-1.23858060885188</v>
      </c>
      <c r="AH446" s="6" t="n">
        <v>0.807951765402068</v>
      </c>
      <c r="AI446" s="6" t="n">
        <v>3.24773146167767</v>
      </c>
      <c r="AJ446" s="6" t="n">
        <v>81.1200896100686</v>
      </c>
      <c r="AK446" s="6" t="n">
        <v>0.139364421587454</v>
      </c>
      <c r="AL446" s="6" t="n">
        <v>1.06465113957557</v>
      </c>
      <c r="AN446" s="6" t="n">
        <v>1.29339677092876</v>
      </c>
      <c r="AO446" s="6" t="n">
        <v>1.29418860695103</v>
      </c>
      <c r="AP446" s="6" t="n">
        <v>0.133109269047667</v>
      </c>
      <c r="AQ446" s="6" t="n">
        <v>0</v>
      </c>
      <c r="AR446" s="6" t="n">
        <v>0</v>
      </c>
    </row>
    <row r="447" customFormat="false" ht="15" hidden="false" customHeight="false" outlineLevel="0" collapsed="false">
      <c r="D447" s="0" t="s">
        <v>573</v>
      </c>
      <c r="J447" s="6" t="n">
        <v>-0.115769502034167</v>
      </c>
      <c r="K447" s="6" t="n">
        <v>-3.11414557989644</v>
      </c>
      <c r="L447" s="6" t="n">
        <v>2.44080196264265</v>
      </c>
      <c r="M447" s="6" t="n">
        <v>-0.980086806255706</v>
      </c>
      <c r="N447" s="6" t="n">
        <v>4.33954207546549</v>
      </c>
      <c r="O447" s="6" t="n">
        <v>-1.08682198457347</v>
      </c>
      <c r="P447" s="6" t="n">
        <v>-3.52467162498255</v>
      </c>
      <c r="Q447" s="6" t="n">
        <v>-2.00550011118546</v>
      </c>
      <c r="R447" s="6" t="n">
        <v>-0.324173718234689</v>
      </c>
      <c r="S447" s="6" t="n">
        <v>-1.32863053037627</v>
      </c>
      <c r="T447" s="6" t="n">
        <v>1.9454093305391</v>
      </c>
      <c r="U447" s="6" t="n">
        <v>0.737654270214851</v>
      </c>
      <c r="V447" s="6" t="n">
        <v>-1.22287229386508</v>
      </c>
      <c r="W447" s="6" t="n">
        <v>-2.76370576748588</v>
      </c>
      <c r="X447" s="6" t="n">
        <v>0.337548578163676</v>
      </c>
      <c r="Y447" s="6" t="n">
        <v>2.24106175935369</v>
      </c>
      <c r="Z447" s="6" t="n">
        <v>3.78202898888009</v>
      </c>
      <c r="AA447" s="6" t="n">
        <v>-0.455896566917558</v>
      </c>
      <c r="AB447" s="6" t="n">
        <v>0.449071459696484</v>
      </c>
      <c r="AC447" s="6" t="n">
        <v>-0.0297489710475758</v>
      </c>
      <c r="AD447" s="6" t="n">
        <v>-0.636155555745064</v>
      </c>
      <c r="AE447" s="6" t="n">
        <v>1.2426971902034</v>
      </c>
      <c r="AF447" s="6" t="n">
        <v>4.88010465975225</v>
      </c>
      <c r="AG447" s="6" t="n">
        <v>-1.99521307298785</v>
      </c>
      <c r="AH447" s="6" t="n">
        <v>1.49750898428303</v>
      </c>
      <c r="AI447" s="6" t="n">
        <v>-3.12492017485517</v>
      </c>
      <c r="AJ447" s="6" t="n">
        <v>74.6465491158376</v>
      </c>
      <c r="AK447" s="6" t="n">
        <v>0.133912317950457</v>
      </c>
      <c r="AL447" s="6" t="n">
        <v>1.13751958788382</v>
      </c>
      <c r="AN447" s="6" t="n">
        <v>1.27030871318446</v>
      </c>
      <c r="AO447" s="6" t="n">
        <v>1.27095048648326</v>
      </c>
      <c r="AP447" s="6" t="n">
        <v>0.128791292479068</v>
      </c>
      <c r="AQ447" s="6" t="n">
        <v>0</v>
      </c>
      <c r="AR447" s="6" t="n">
        <v>0</v>
      </c>
    </row>
    <row r="448" customFormat="false" ht="15" hidden="false" customHeight="false" outlineLevel="0" collapsed="false">
      <c r="D448" s="0" t="s">
        <v>574</v>
      </c>
      <c r="J448" s="6" t="n">
        <v>-2.10161237814792</v>
      </c>
      <c r="K448" s="6" t="n">
        <v>0.626173382319527</v>
      </c>
      <c r="L448" s="6" t="n">
        <v>3.99258955799813</v>
      </c>
      <c r="M448" s="6" t="n">
        <v>2.2180613919165</v>
      </c>
      <c r="N448" s="6" t="n">
        <v>-0.265858385066522</v>
      </c>
      <c r="O448" s="6" t="n">
        <v>-1.8213927766015</v>
      </c>
      <c r="P448" s="6" t="n">
        <v>1.14119159649531</v>
      </c>
      <c r="Q448" s="6" t="n">
        <v>0.103069738646374</v>
      </c>
      <c r="R448" s="6" t="n">
        <v>-4.16795977054916</v>
      </c>
      <c r="S448" s="6" t="n">
        <v>-1.94853422002449</v>
      </c>
      <c r="T448" s="6" t="n">
        <v>-0.9615398903212</v>
      </c>
      <c r="U448" s="6" t="n">
        <v>-2.01702364633725</v>
      </c>
      <c r="V448" s="6" t="n">
        <v>0.0718103035829679</v>
      </c>
      <c r="W448" s="6" t="n">
        <v>0.378663015318348</v>
      </c>
      <c r="X448" s="6" t="n">
        <v>0.68047820395962</v>
      </c>
      <c r="Y448" s="6" t="n">
        <v>-0.334172714185291</v>
      </c>
      <c r="Z448" s="6" t="n">
        <v>1.22982120823919</v>
      </c>
      <c r="AA448" s="6" t="n">
        <v>2.87798315148436</v>
      </c>
      <c r="AB448" s="6" t="n">
        <v>1.80617600991607</v>
      </c>
      <c r="AC448" s="6" t="n">
        <v>-3.69057332553062</v>
      </c>
      <c r="AD448" s="6" t="n">
        <v>-1.41826812741366</v>
      </c>
      <c r="AE448" s="6" t="n">
        <v>-3.05951530133059</v>
      </c>
      <c r="AF448" s="6" t="n">
        <v>0.304775786021333</v>
      </c>
      <c r="AG448" s="6" t="n">
        <v>-0.447796638882632</v>
      </c>
      <c r="AH448" s="6" t="n">
        <v>-2.7618994800079</v>
      </c>
      <c r="AI448" s="6" t="n">
        <v>-2.65392106218924</v>
      </c>
      <c r="AJ448" s="6" t="n">
        <v>77.3750301018187</v>
      </c>
      <c r="AK448" s="6" t="n">
        <v>0.112614315927884</v>
      </c>
      <c r="AL448" s="6" t="n">
        <v>1.05747708095427</v>
      </c>
      <c r="AN448" s="6" t="n">
        <v>1.29742974114813</v>
      </c>
      <c r="AO448" s="6" t="n">
        <v>1.29823172049285</v>
      </c>
      <c r="AP448" s="6" t="n">
        <v>0.133960233527286</v>
      </c>
      <c r="AQ448" s="6" t="n">
        <v>0</v>
      </c>
      <c r="AR448" s="6" t="n">
        <v>0</v>
      </c>
    </row>
    <row r="449" customFormat="false" ht="15" hidden="false" customHeight="false" outlineLevel="0" collapsed="false">
      <c r="D449" s="0" t="s">
        <v>575</v>
      </c>
      <c r="J449" s="6" t="n">
        <v>0.112066028495943</v>
      </c>
      <c r="K449" s="6" t="n">
        <v>1.88657367180416</v>
      </c>
      <c r="L449" s="6" t="n">
        <v>2.4695772755025</v>
      </c>
      <c r="M449" s="6" t="n">
        <v>1.92694739253312</v>
      </c>
      <c r="N449" s="6" t="n">
        <v>-2.79315010865153</v>
      </c>
      <c r="O449" s="6" t="n">
        <v>0.962689783124251</v>
      </c>
      <c r="P449" s="6" t="n">
        <v>-1.43696772916704</v>
      </c>
      <c r="Q449" s="6" t="n">
        <v>-1.80095026728111</v>
      </c>
      <c r="R449" s="6" t="n">
        <v>0.103493561550115</v>
      </c>
      <c r="S449" s="6" t="n">
        <v>-1.41252760128892</v>
      </c>
      <c r="T449" s="6" t="n">
        <v>-1.10652769438294</v>
      </c>
      <c r="U449" s="6" t="n">
        <v>2.10241470050308</v>
      </c>
      <c r="V449" s="6" t="n">
        <v>-0.39677026913117</v>
      </c>
      <c r="W449" s="6" t="n">
        <v>0.414668740792185</v>
      </c>
      <c r="X449" s="6" t="n">
        <v>-3.27988291306815</v>
      </c>
      <c r="Y449" s="6" t="n">
        <v>3.18507767245477</v>
      </c>
      <c r="Z449" s="6" t="n">
        <v>0.213591378619622</v>
      </c>
      <c r="AA449" s="6" t="n">
        <v>3.33943078068063</v>
      </c>
      <c r="AB449" s="6" t="n">
        <v>2.1262646951961</v>
      </c>
      <c r="AC449" s="6" t="n">
        <v>3.41234576087385</v>
      </c>
      <c r="AD449" s="6" t="n">
        <v>0.197261612824853</v>
      </c>
      <c r="AE449" s="6" t="n">
        <v>-0.311438870440841</v>
      </c>
      <c r="AF449" s="6" t="n">
        <v>-4.63881822740267</v>
      </c>
      <c r="AG449" s="6" t="n">
        <v>2.90244130003789</v>
      </c>
      <c r="AH449" s="6" t="n">
        <v>0.478025081273057</v>
      </c>
      <c r="AI449" s="6" t="n">
        <v>-1.81669914942725</v>
      </c>
      <c r="AJ449" s="6" t="n">
        <v>73.6589147658437</v>
      </c>
      <c r="AK449" s="6" t="n">
        <v>0.15879380452899</v>
      </c>
      <c r="AL449" s="6" t="n">
        <v>1.10165297146007</v>
      </c>
      <c r="AN449" s="6" t="n">
        <v>1.27257485493203</v>
      </c>
      <c r="AO449" s="6" t="n">
        <v>1.27315393743303</v>
      </c>
      <c r="AP449" s="6" t="n">
        <v>0.129554851374882</v>
      </c>
      <c r="AQ449" s="6" t="n">
        <v>0</v>
      </c>
      <c r="AR449" s="6" t="n">
        <v>0</v>
      </c>
    </row>
    <row r="450" customFormat="false" ht="15" hidden="false" customHeight="false" outlineLevel="0" collapsed="false">
      <c r="D450" s="0" t="s">
        <v>576</v>
      </c>
      <c r="J450" s="6" t="n">
        <v>-1.17903486278398</v>
      </c>
      <c r="K450" s="6" t="n">
        <v>5</v>
      </c>
      <c r="L450" s="6" t="n">
        <v>-1.89374814327892</v>
      </c>
      <c r="M450" s="6" t="n">
        <v>-3.61452886565979</v>
      </c>
      <c r="N450" s="6" t="n">
        <v>0.0709944038264961</v>
      </c>
      <c r="O450" s="6" t="n">
        <v>2.9027569680869</v>
      </c>
      <c r="P450" s="6" t="n">
        <v>-0.301189613186261</v>
      </c>
      <c r="Q450" s="6" t="n">
        <v>-1.76882037015585</v>
      </c>
      <c r="R450" s="6" t="n">
        <v>-1.23126747202202</v>
      </c>
      <c r="S450" s="6" t="n">
        <v>-2.01698376024629</v>
      </c>
      <c r="T450" s="6" t="n">
        <v>1.31867402929603</v>
      </c>
      <c r="U450" s="6" t="n">
        <v>2.28286324233753</v>
      </c>
      <c r="V450" s="6" t="n">
        <v>2.76449461566854</v>
      </c>
      <c r="W450" s="6" t="n">
        <v>-0.470554418381842</v>
      </c>
      <c r="X450" s="6" t="n">
        <v>2.34822698514074</v>
      </c>
      <c r="Y450" s="6" t="n">
        <v>0.308987185238108</v>
      </c>
      <c r="Z450" s="6" t="n">
        <v>0.32334869806516</v>
      </c>
      <c r="AA450" s="6" t="n">
        <v>-1.46274763040858</v>
      </c>
      <c r="AB450" s="6" t="n">
        <v>0.455443583468714</v>
      </c>
      <c r="AC450" s="6" t="n">
        <v>-3.76604785846294</v>
      </c>
      <c r="AD450" s="6" t="n">
        <v>3.6843100921932</v>
      </c>
      <c r="AE450" s="6" t="n">
        <v>-0.0806192970154443</v>
      </c>
      <c r="AF450" s="6" t="n">
        <v>0.403549322104188</v>
      </c>
      <c r="AG450" s="6" t="n">
        <v>1.64452059920584</v>
      </c>
      <c r="AH450" s="6" t="n">
        <v>0.955424040363173</v>
      </c>
      <c r="AI450" s="6" t="n">
        <v>-0.709142402645574</v>
      </c>
      <c r="AJ450" s="6" t="n">
        <v>77.930772219231</v>
      </c>
      <c r="AK450" s="6" t="n">
        <v>0.173815827410593</v>
      </c>
      <c r="AL450" s="6" t="n">
        <v>1.08546624266275</v>
      </c>
      <c r="AN450" s="6" t="n">
        <v>1.27462945682752</v>
      </c>
      <c r="AO450" s="6" t="n">
        <v>1.27585304412274</v>
      </c>
      <c r="AP450" s="6" t="n">
        <v>0.129669152423659</v>
      </c>
      <c r="AQ450" s="6" t="n">
        <v>0</v>
      </c>
      <c r="AR450" s="6" t="n">
        <v>0</v>
      </c>
    </row>
    <row r="451" customFormat="false" ht="15" hidden="false" customHeight="false" outlineLevel="0" collapsed="false">
      <c r="D451" s="0" t="s">
        <v>577</v>
      </c>
      <c r="J451" s="6" t="n">
        <v>-1.86433952110671</v>
      </c>
      <c r="K451" s="6" t="n">
        <v>2.00150995434221</v>
      </c>
      <c r="L451" s="6" t="n">
        <v>1.86586738481111</v>
      </c>
      <c r="M451" s="6" t="n">
        <v>-1.60800517954003</v>
      </c>
      <c r="N451" s="6" t="n">
        <v>-0.0437237003492249</v>
      </c>
      <c r="O451" s="6" t="n">
        <v>-0.818756607016506</v>
      </c>
      <c r="P451" s="6" t="n">
        <v>1.19703250222348</v>
      </c>
      <c r="Q451" s="6" t="n">
        <v>1.03987480115357</v>
      </c>
      <c r="R451" s="6" t="n">
        <v>-2.86536334132405</v>
      </c>
      <c r="S451" s="6" t="n">
        <v>-0.0416759715789969</v>
      </c>
      <c r="T451" s="6" t="n">
        <v>-0.306335850739296</v>
      </c>
      <c r="U451" s="6" t="n">
        <v>-1.1060114658281</v>
      </c>
      <c r="V451" s="6" t="n">
        <v>1.64912886910961</v>
      </c>
      <c r="W451" s="6" t="n">
        <v>-3.39846544488251</v>
      </c>
      <c r="X451" s="6" t="n">
        <v>-0.489648436481923</v>
      </c>
      <c r="Y451" s="6" t="n">
        <v>-2.60626601926949</v>
      </c>
      <c r="Z451" s="6" t="n">
        <v>-0.747523524978982</v>
      </c>
      <c r="AA451" s="6" t="n">
        <v>-2.66603667035447</v>
      </c>
      <c r="AB451" s="6" t="n">
        <v>2.00774820577211</v>
      </c>
      <c r="AC451" s="6" t="n">
        <v>-0.100085809438579</v>
      </c>
      <c r="AD451" s="6" t="n">
        <v>2.97189209604683</v>
      </c>
      <c r="AE451" s="6" t="n">
        <v>-0.153265643208793</v>
      </c>
      <c r="AF451" s="6" t="n">
        <v>1.37669751607702</v>
      </c>
      <c r="AG451" s="6" t="n">
        <v>-1.11689117578559</v>
      </c>
      <c r="AH451" s="6" t="n">
        <v>2.16854759765237</v>
      </c>
      <c r="AI451" s="6" t="n">
        <v>3.566772573742</v>
      </c>
      <c r="AJ451" s="6" t="n">
        <v>76.0090619666249</v>
      </c>
      <c r="AK451" s="6" t="n">
        <v>0.0985278798188283</v>
      </c>
      <c r="AL451" s="6" t="n">
        <v>1.01787692574568</v>
      </c>
      <c r="AN451" s="6" t="n">
        <v>1.31598353244754</v>
      </c>
      <c r="AO451" s="6" t="n">
        <v>1.31598353244754</v>
      </c>
      <c r="AP451" s="6" t="n">
        <v>0.138663496353596</v>
      </c>
      <c r="AQ451" s="6" t="n">
        <v>0</v>
      </c>
      <c r="AR451" s="6" t="n">
        <v>0</v>
      </c>
    </row>
    <row r="452" customFormat="false" ht="15" hidden="false" customHeight="false" outlineLevel="0" collapsed="false">
      <c r="D452" s="0" t="s">
        <v>578</v>
      </c>
      <c r="J452" s="6" t="n">
        <v>-0.597730060464219</v>
      </c>
      <c r="K452" s="6" t="n">
        <v>-1.07415243363311</v>
      </c>
      <c r="L452" s="6" t="n">
        <v>-0.440718603802082</v>
      </c>
      <c r="M452" s="6" t="n">
        <v>1.60653507892053</v>
      </c>
      <c r="N452" s="6" t="n">
        <v>0.8749311279398</v>
      </c>
      <c r="O452" s="6" t="n">
        <v>3.70459985859644</v>
      </c>
      <c r="P452" s="6" t="n">
        <v>-0.539726573903442</v>
      </c>
      <c r="Q452" s="6" t="n">
        <v>-1.15508014708183</v>
      </c>
      <c r="R452" s="6" t="n">
        <v>-0.172094704649404</v>
      </c>
      <c r="S452" s="6" t="n">
        <v>-2.56226689346673</v>
      </c>
      <c r="T452" s="6" t="n">
        <v>-1.02740357935938</v>
      </c>
      <c r="U452" s="6" t="n">
        <v>-1.78809308393829</v>
      </c>
      <c r="V452" s="6" t="n">
        <v>-1.11128543557459</v>
      </c>
      <c r="W452" s="6" t="n">
        <v>0.810289202243506</v>
      </c>
      <c r="X452" s="6" t="n">
        <v>1.35635699650499</v>
      </c>
      <c r="Y452" s="6" t="n">
        <v>0.608173783883199</v>
      </c>
      <c r="Z452" s="6" t="n">
        <v>2.21953492511399</v>
      </c>
      <c r="AA452" s="6" t="n">
        <v>-1.03682089329054</v>
      </c>
      <c r="AB452" s="6" t="n">
        <v>-0.0947684489820113</v>
      </c>
      <c r="AC452" s="6" t="n">
        <v>1.98445442182851</v>
      </c>
      <c r="AD452" s="6" t="n">
        <v>-0.07348178163565</v>
      </c>
      <c r="AE452" s="6" t="n">
        <v>-2.35319178797867</v>
      </c>
      <c r="AF452" s="6" t="n">
        <v>-0.826224786818805</v>
      </c>
      <c r="AG452" s="6" t="n">
        <v>-4.54215862555157</v>
      </c>
      <c r="AH452" s="6" t="n">
        <v>-1.2092169789926</v>
      </c>
      <c r="AI452" s="6" t="n">
        <v>1.38230074928515</v>
      </c>
      <c r="AJ452" s="6" t="n">
        <v>71.9981967796421</v>
      </c>
      <c r="AK452" s="6" t="n">
        <v>0.130222627090017</v>
      </c>
      <c r="AL452" s="6" t="n">
        <v>1.07224950596592</v>
      </c>
      <c r="AN452" s="6" t="n">
        <v>1.28410244557178</v>
      </c>
      <c r="AO452" s="6" t="n">
        <v>1.28491228872532</v>
      </c>
      <c r="AP452" s="6" t="n">
        <v>0.131981900617841</v>
      </c>
      <c r="AQ452" s="6" t="n">
        <v>0</v>
      </c>
      <c r="AR452" s="6" t="n">
        <v>0</v>
      </c>
    </row>
    <row r="453" customFormat="false" ht="15" hidden="false" customHeight="false" outlineLevel="0" collapsed="false">
      <c r="D453" s="0" t="s">
        <v>579</v>
      </c>
      <c r="J453" s="6" t="n">
        <v>-1.36338365675714</v>
      </c>
      <c r="K453" s="6" t="n">
        <v>-0.0263175457185633</v>
      </c>
      <c r="L453" s="6" t="n">
        <v>0.870204422218751</v>
      </c>
      <c r="M453" s="6" t="n">
        <v>-2.74618840122657</v>
      </c>
      <c r="N453" s="6" t="n">
        <v>-0.306169290372326</v>
      </c>
      <c r="O453" s="6" t="n">
        <v>-0.346505731294866</v>
      </c>
      <c r="P453" s="6" t="n">
        <v>-1.39775020508219</v>
      </c>
      <c r="Q453" s="6" t="n">
        <v>0.112151398079</v>
      </c>
      <c r="R453" s="6" t="n">
        <v>-0.74587382598593</v>
      </c>
      <c r="S453" s="6" t="n">
        <v>-0.874049065280362</v>
      </c>
      <c r="T453" s="6" t="n">
        <v>0.125454666682196</v>
      </c>
      <c r="U453" s="6" t="n">
        <v>0.451059009667395</v>
      </c>
      <c r="V453" s="6" t="n">
        <v>-0.654266395830947</v>
      </c>
      <c r="W453" s="6" t="n">
        <v>-2.31791327681526</v>
      </c>
      <c r="X453" s="6" t="n">
        <v>-1.83779512902038</v>
      </c>
      <c r="Y453" s="6" t="n">
        <v>2.47869107481601</v>
      </c>
      <c r="Z453" s="6" t="n">
        <v>-1.26570933463496</v>
      </c>
      <c r="AA453" s="6" t="n">
        <v>2.91386735143867</v>
      </c>
      <c r="AB453" s="6" t="n">
        <v>3.00206038201444</v>
      </c>
      <c r="AC453" s="6" t="n">
        <v>0.894501110209615</v>
      </c>
      <c r="AD453" s="6" t="n">
        <v>-2.07407078937957</v>
      </c>
      <c r="AE453" s="6" t="n">
        <v>-3.89432304967887</v>
      </c>
      <c r="AF453" s="6" t="n">
        <v>-2.5500511288078</v>
      </c>
      <c r="AG453" s="6" t="n">
        <v>1.68831053882445</v>
      </c>
      <c r="AH453" s="6" t="n">
        <v>1.28435134388565</v>
      </c>
      <c r="AI453" s="6" t="n">
        <v>-0.697070844184177</v>
      </c>
      <c r="AJ453" s="6" t="n">
        <v>83.84434527039</v>
      </c>
      <c r="AK453" s="6" t="n">
        <v>0.16697893280963</v>
      </c>
      <c r="AL453" s="6" t="n">
        <v>1.07104579411491</v>
      </c>
      <c r="AN453" s="6" t="n">
        <v>1.28622347973416</v>
      </c>
      <c r="AO453" s="6" t="n">
        <v>1.28704011002028</v>
      </c>
      <c r="AP453" s="6" t="n">
        <v>0.131644649625039</v>
      </c>
      <c r="AQ453" s="6" t="n">
        <v>0</v>
      </c>
      <c r="AR453" s="6" t="n">
        <v>0</v>
      </c>
    </row>
    <row r="454" customFormat="false" ht="15" hidden="false" customHeight="false" outlineLevel="0" collapsed="false">
      <c r="D454" s="0" t="s">
        <v>580</v>
      </c>
      <c r="J454" s="6" t="n">
        <v>0.275053225699244</v>
      </c>
      <c r="K454" s="6" t="n">
        <v>1.73995986139494</v>
      </c>
      <c r="L454" s="6" t="n">
        <v>-1.52936899899525</v>
      </c>
      <c r="M454" s="6" t="n">
        <v>-1.203654316799</v>
      </c>
      <c r="N454" s="6" t="n">
        <v>-0.260689912226474</v>
      </c>
      <c r="O454" s="6" t="n">
        <v>-2.92655977900224</v>
      </c>
      <c r="P454" s="6" t="n">
        <v>0.152313315340592</v>
      </c>
      <c r="Q454" s="6" t="n">
        <v>1.28203396168621</v>
      </c>
      <c r="R454" s="6" t="n">
        <v>-2.59519497309734</v>
      </c>
      <c r="S454" s="6" t="n">
        <v>-2.72155533098783</v>
      </c>
      <c r="T454" s="6" t="n">
        <v>2.05445538203936</v>
      </c>
      <c r="U454" s="6" t="n">
        <v>-0.183543008580526</v>
      </c>
      <c r="V454" s="6" t="n">
        <v>1.78060218232113</v>
      </c>
      <c r="W454" s="6" t="n">
        <v>3.0331212614984</v>
      </c>
      <c r="X454" s="6" t="n">
        <v>-0.943398415252854</v>
      </c>
      <c r="Y454" s="6" t="n">
        <v>-2.8785339622608</v>
      </c>
      <c r="Z454" s="6" t="n">
        <v>1.59709831099943</v>
      </c>
      <c r="AA454" s="6" t="n">
        <v>-1.07751741016768</v>
      </c>
      <c r="AB454" s="6" t="n">
        <v>-0.432291633667832</v>
      </c>
      <c r="AC454" s="6" t="n">
        <v>-1.53480244758139</v>
      </c>
      <c r="AD454" s="6" t="n">
        <v>-0.0804594473432942</v>
      </c>
      <c r="AE454" s="6" t="n">
        <v>-2.43660000079059</v>
      </c>
      <c r="AF454" s="6" t="n">
        <v>2.33109019915892</v>
      </c>
      <c r="AG454" s="6" t="n">
        <v>-1.29551633751633</v>
      </c>
      <c r="AH454" s="6" t="n">
        <v>1.7745453307701</v>
      </c>
      <c r="AI454" s="6" t="n">
        <v>0.677498866482492</v>
      </c>
      <c r="AJ454" s="6" t="n">
        <v>72.1689213707874</v>
      </c>
      <c r="AK454" s="6" t="n">
        <v>0.090836213472702</v>
      </c>
      <c r="AL454" s="6" t="n">
        <v>1.03996851525342</v>
      </c>
      <c r="AN454" s="6" t="n">
        <v>1.3072242877477</v>
      </c>
      <c r="AO454" s="6" t="n">
        <v>1.30801383799919</v>
      </c>
      <c r="AP454" s="6" t="n">
        <v>0.135851311068002</v>
      </c>
      <c r="AQ454" s="6" t="n">
        <v>0</v>
      </c>
      <c r="AR454" s="6" t="n">
        <v>0</v>
      </c>
    </row>
    <row r="455" customFormat="false" ht="15" hidden="false" customHeight="false" outlineLevel="0" collapsed="false">
      <c r="D455" s="0" t="s">
        <v>581</v>
      </c>
      <c r="J455" s="6" t="n">
        <v>-2.54828557509518</v>
      </c>
      <c r="K455" s="6" t="n">
        <v>0.0457634287295827</v>
      </c>
      <c r="L455" s="6" t="n">
        <v>0.240425755622836</v>
      </c>
      <c r="M455" s="6" t="n">
        <v>-2.53151271450186</v>
      </c>
      <c r="N455" s="6" t="n">
        <v>1.57579960427427</v>
      </c>
      <c r="O455" s="6" t="n">
        <v>1.26271413778994</v>
      </c>
      <c r="P455" s="6" t="n">
        <v>1.71103692344308</v>
      </c>
      <c r="Q455" s="6" t="n">
        <v>-3.43771917024328</v>
      </c>
      <c r="R455" s="6" t="n">
        <v>-4.03523725796252</v>
      </c>
      <c r="S455" s="6" t="n">
        <v>-0.515126753376079</v>
      </c>
      <c r="T455" s="6" t="n">
        <v>2.90940513683413</v>
      </c>
      <c r="U455" s="6" t="n">
        <v>-4.89498600709541</v>
      </c>
      <c r="V455" s="6" t="n">
        <v>1.47066307658483</v>
      </c>
      <c r="W455" s="6" t="n">
        <v>3.16764457886686</v>
      </c>
      <c r="X455" s="6" t="n">
        <v>-1.47903183385477</v>
      </c>
      <c r="Y455" s="6" t="n">
        <v>-0.610720592923258</v>
      </c>
      <c r="Z455" s="6" t="n">
        <v>3.15074200631417</v>
      </c>
      <c r="AA455" s="6" t="n">
        <v>0.0544921794972015</v>
      </c>
      <c r="AB455" s="6" t="n">
        <v>-0.813829812242654</v>
      </c>
      <c r="AC455" s="6" t="n">
        <v>2.40275313978379</v>
      </c>
      <c r="AD455" s="6" t="n">
        <v>1.89304212439647</v>
      </c>
      <c r="AE455" s="6" t="n">
        <v>1.03572300244189</v>
      </c>
      <c r="AF455" s="6" t="n">
        <v>-1.61451628016851</v>
      </c>
      <c r="AG455" s="6" t="n">
        <v>-1.57304044791693</v>
      </c>
      <c r="AH455" s="6" t="n">
        <v>-2.65383573545149</v>
      </c>
      <c r="AI455" s="6" t="n">
        <v>-2.07236713245518</v>
      </c>
      <c r="AJ455" s="6" t="n">
        <v>78.9026512590953</v>
      </c>
      <c r="AK455" s="6" t="n">
        <v>0.0765676657168041</v>
      </c>
      <c r="AL455" s="6" t="n">
        <v>0.977070341646537</v>
      </c>
      <c r="AN455" s="6" t="n">
        <v>1.32567928214298</v>
      </c>
      <c r="AO455" s="6" t="n">
        <v>1.32567928214298</v>
      </c>
      <c r="AP455" s="6" t="n">
        <v>0.147102775091452</v>
      </c>
      <c r="AQ455" s="6" t="n">
        <v>0</v>
      </c>
      <c r="AR455" s="6" t="n">
        <v>0</v>
      </c>
    </row>
    <row r="456" customFormat="false" ht="15" hidden="false" customHeight="false" outlineLevel="0" collapsed="false">
      <c r="D456" s="0" t="s">
        <v>582</v>
      </c>
      <c r="J456" s="6" t="n">
        <v>-1.33565703437951</v>
      </c>
      <c r="K456" s="6" t="n">
        <v>1.41714172905106</v>
      </c>
      <c r="L456" s="6" t="n">
        <v>-0.136522098898984</v>
      </c>
      <c r="M456" s="6" t="n">
        <v>-2.36826602994774</v>
      </c>
      <c r="N456" s="6" t="n">
        <v>1.05681170012641</v>
      </c>
      <c r="O456" s="6" t="n">
        <v>2.02682859958815</v>
      </c>
      <c r="P456" s="6" t="n">
        <v>2.15743972273343</v>
      </c>
      <c r="Q456" s="6" t="n">
        <v>-0.365301054440957</v>
      </c>
      <c r="R456" s="6" t="n">
        <v>-2.65011081065922</v>
      </c>
      <c r="S456" s="6" t="n">
        <v>-0.534762144340964</v>
      </c>
      <c r="T456" s="6" t="n">
        <v>-0.194171003291423</v>
      </c>
      <c r="U456" s="6" t="n">
        <v>0.848983377266948</v>
      </c>
      <c r="V456" s="6" t="n">
        <v>1.09390543742733</v>
      </c>
      <c r="W456" s="6" t="n">
        <v>-3.09618806489289</v>
      </c>
      <c r="X456" s="6" t="n">
        <v>-0.224707353127631</v>
      </c>
      <c r="Y456" s="6" t="n">
        <v>0.81800348637603</v>
      </c>
      <c r="Z456" s="6" t="n">
        <v>2.23252222320594</v>
      </c>
      <c r="AA456" s="6" t="n">
        <v>-0.661958931960412</v>
      </c>
      <c r="AB456" s="6" t="n">
        <v>0.129027409232958</v>
      </c>
      <c r="AC456" s="6" t="n">
        <v>2.96268336221275</v>
      </c>
      <c r="AD456" s="6" t="n">
        <v>-1.42779216873289</v>
      </c>
      <c r="AE456" s="6" t="n">
        <v>2.02134864412855</v>
      </c>
      <c r="AF456" s="6" t="n">
        <v>0.679811853341073</v>
      </c>
      <c r="AG456" s="6" t="n">
        <v>-3.02233703723079</v>
      </c>
      <c r="AH456" s="6" t="n">
        <v>-0.234722649548431</v>
      </c>
      <c r="AI456" s="6" t="n">
        <v>1.66206540853239</v>
      </c>
      <c r="AJ456" s="6" t="n">
        <v>71.8029699422728</v>
      </c>
      <c r="AK456" s="6" t="n">
        <v>0.0916627279117857</v>
      </c>
      <c r="AL456" s="6" t="n">
        <v>1.04863668132551</v>
      </c>
      <c r="AN456" s="6" t="n">
        <v>1.29766853801801</v>
      </c>
      <c r="AO456" s="6" t="n">
        <v>1.29776600038651</v>
      </c>
      <c r="AP456" s="6" t="n">
        <v>0.13460513415312</v>
      </c>
      <c r="AQ456" s="6" t="n">
        <v>0</v>
      </c>
      <c r="AR456" s="6" t="n">
        <v>0</v>
      </c>
    </row>
    <row r="457" customFormat="false" ht="15" hidden="false" customHeight="false" outlineLevel="0" collapsed="false">
      <c r="D457" s="0" t="s">
        <v>583</v>
      </c>
      <c r="J457" s="6" t="n">
        <v>0.0439871715521842</v>
      </c>
      <c r="K457" s="6" t="n">
        <v>-1.47969837161373</v>
      </c>
      <c r="L457" s="6" t="n">
        <v>0.434688185132534</v>
      </c>
      <c r="M457" s="6" t="n">
        <v>-0.742546308732995</v>
      </c>
      <c r="N457" s="6" t="n">
        <v>1.51265945232487</v>
      </c>
      <c r="O457" s="6" t="n">
        <v>3.18698931183557</v>
      </c>
      <c r="P457" s="6" t="n">
        <v>0.913386909033454</v>
      </c>
      <c r="Q457" s="6" t="n">
        <v>-0.858814248687795</v>
      </c>
      <c r="R457" s="6" t="n">
        <v>3.85526323694217</v>
      </c>
      <c r="S457" s="6" t="n">
        <v>1.9822762360072</v>
      </c>
      <c r="T457" s="6" t="n">
        <v>-1.26246593750235</v>
      </c>
      <c r="U457" s="6" t="n">
        <v>-4.44800476047358</v>
      </c>
      <c r="V457" s="6" t="n">
        <v>-0.942191646969444</v>
      </c>
      <c r="W457" s="6" t="n">
        <v>4.38570124348645</v>
      </c>
      <c r="X457" s="6" t="n">
        <v>0.368518912433703</v>
      </c>
      <c r="Y457" s="6" t="n">
        <v>1.2789734989328</v>
      </c>
      <c r="Z457" s="6" t="n">
        <v>-0.635814166723554</v>
      </c>
      <c r="AA457" s="6" t="n">
        <v>1.14040893268758</v>
      </c>
      <c r="AB457" s="6" t="n">
        <v>-0.639734096697052</v>
      </c>
      <c r="AC457" s="6" t="n">
        <v>0.0388291273374075</v>
      </c>
      <c r="AD457" s="6" t="n">
        <v>-4.31142581369421</v>
      </c>
      <c r="AE457" s="6" t="n">
        <v>0.762226043869391</v>
      </c>
      <c r="AF457" s="6" t="n">
        <v>0.106711833412356</v>
      </c>
      <c r="AG457" s="6" t="n">
        <v>-1.03528728984485</v>
      </c>
      <c r="AH457" s="6" t="n">
        <v>-0.626998349040514</v>
      </c>
      <c r="AI457" s="6" t="n">
        <v>2.98535394362441</v>
      </c>
      <c r="AJ457" s="6" t="n">
        <v>70.6854967341836</v>
      </c>
      <c r="AK457" s="6" t="n">
        <v>0.0787078292695892</v>
      </c>
      <c r="AL457" s="6" t="n">
        <v>1.0657831195249</v>
      </c>
      <c r="AN457" s="6" t="n">
        <v>1.29231580016973</v>
      </c>
      <c r="AO457" s="6" t="n">
        <v>1.2925807396075</v>
      </c>
      <c r="AP457" s="6" t="n">
        <v>0.133500260960211</v>
      </c>
      <c r="AQ457" s="6" t="n">
        <v>0</v>
      </c>
      <c r="AR457" s="6" t="n">
        <v>0</v>
      </c>
    </row>
    <row r="458" customFormat="false" ht="15" hidden="false" customHeight="false" outlineLevel="0" collapsed="false">
      <c r="D458" s="0" t="s">
        <v>584</v>
      </c>
      <c r="J458" s="6" t="n">
        <v>1.46661015877298</v>
      </c>
      <c r="K458" s="6" t="n">
        <v>-2.28857790951011</v>
      </c>
      <c r="L458" s="6" t="n">
        <v>1.14978240706694</v>
      </c>
      <c r="M458" s="6" t="n">
        <v>1.8913761241749</v>
      </c>
      <c r="N458" s="6" t="n">
        <v>-0.540458540927315</v>
      </c>
      <c r="O458" s="6" t="n">
        <v>-1.20394102623058</v>
      </c>
      <c r="P458" s="6" t="n">
        <v>-2.35808650544192</v>
      </c>
      <c r="Q458" s="6" t="n">
        <v>-0.0154481021898979</v>
      </c>
      <c r="R458" s="6" t="n">
        <v>2.73339054481965</v>
      </c>
      <c r="S458" s="6" t="n">
        <v>-1.20978396954097</v>
      </c>
      <c r="T458" s="6" t="n">
        <v>-0.883944206833334</v>
      </c>
      <c r="U458" s="6" t="n">
        <v>-1.98433055233179</v>
      </c>
      <c r="V458" s="6" t="n">
        <v>0.569130274431383</v>
      </c>
      <c r="W458" s="6" t="n">
        <v>1.76843117808462</v>
      </c>
      <c r="X458" s="6" t="n">
        <v>2.54426552300219</v>
      </c>
      <c r="Y458" s="6" t="n">
        <v>-3.58250213372133</v>
      </c>
      <c r="Z458" s="6" t="n">
        <v>0.606059813753129</v>
      </c>
      <c r="AA458" s="6" t="n">
        <v>0.434367588249442</v>
      </c>
      <c r="AB458" s="6" t="n">
        <v>2.36741729640777</v>
      </c>
      <c r="AC458" s="6" t="n">
        <v>3.50255947169089</v>
      </c>
      <c r="AD458" s="6" t="n">
        <v>0.382945720808196</v>
      </c>
      <c r="AE458" s="6" t="n">
        <v>2.80966053320362</v>
      </c>
      <c r="AF458" s="6" t="n">
        <v>-2.48782107807702</v>
      </c>
      <c r="AG458" s="6" t="n">
        <v>-0.769197624545007</v>
      </c>
      <c r="AH458" s="6" t="n">
        <v>-0.549227189276488</v>
      </c>
      <c r="AI458" s="6" t="n">
        <v>-0.88199923727025</v>
      </c>
      <c r="AJ458" s="6" t="n">
        <v>61.955811148945</v>
      </c>
      <c r="AK458" s="6" t="n">
        <v>0.0779030572520684</v>
      </c>
      <c r="AL458" s="6" t="n">
        <v>1.0748076897679</v>
      </c>
      <c r="AN458" s="6" t="n">
        <v>1.28976340559991</v>
      </c>
      <c r="AO458" s="6" t="n">
        <v>1.28979384561917</v>
      </c>
      <c r="AP458" s="6" t="n">
        <v>0.132366068103791</v>
      </c>
      <c r="AQ458" s="6" t="n">
        <v>0</v>
      </c>
      <c r="AR458" s="6" t="n">
        <v>0</v>
      </c>
    </row>
    <row r="459" customFormat="false" ht="15" hidden="false" customHeight="false" outlineLevel="0" collapsed="false">
      <c r="D459" s="0" t="s">
        <v>585</v>
      </c>
      <c r="J459" s="6" t="n">
        <v>0.893614737413443</v>
      </c>
      <c r="K459" s="6" t="n">
        <v>-2.80133246851746</v>
      </c>
      <c r="L459" s="6" t="n">
        <v>1.59952183876034</v>
      </c>
      <c r="M459" s="6" t="n">
        <v>-0.395700839590012</v>
      </c>
      <c r="N459" s="6" t="n">
        <v>-2.8876291017759</v>
      </c>
      <c r="O459" s="6" t="n">
        <v>-0.722014671866753</v>
      </c>
      <c r="P459" s="6" t="n">
        <v>0.764046667952824</v>
      </c>
      <c r="Q459" s="6" t="n">
        <v>-0.50280567693057</v>
      </c>
      <c r="R459" s="6" t="n">
        <v>0.00676161305739272</v>
      </c>
      <c r="S459" s="6" t="n">
        <v>-0.250971102036237</v>
      </c>
      <c r="T459" s="6" t="n">
        <v>-3.46478566798997</v>
      </c>
      <c r="U459" s="6" t="n">
        <v>-0.968229816212977</v>
      </c>
      <c r="V459" s="6" t="n">
        <v>1.93532140754788</v>
      </c>
      <c r="W459" s="6" t="n">
        <v>1.17946293297836</v>
      </c>
      <c r="X459" s="6" t="n">
        <v>-4.48092595058677</v>
      </c>
      <c r="Y459" s="6" t="n">
        <v>0.377005212465695</v>
      </c>
      <c r="Z459" s="6" t="n">
        <v>0.279607760282523</v>
      </c>
      <c r="AA459" s="6" t="n">
        <v>-1.86747405489989</v>
      </c>
      <c r="AB459" s="6" t="n">
        <v>2.43502806224918</v>
      </c>
      <c r="AC459" s="6" t="n">
        <v>-2.0661323981785</v>
      </c>
      <c r="AD459" s="6" t="n">
        <v>0.0925130557286959</v>
      </c>
      <c r="AE459" s="6" t="n">
        <v>1.39470874222552</v>
      </c>
      <c r="AF459" s="6" t="n">
        <v>0.724698535885996</v>
      </c>
      <c r="AG459" s="6" t="n">
        <v>-2.94707870608648</v>
      </c>
      <c r="AH459" s="6" t="n">
        <v>-0.902745339664452</v>
      </c>
      <c r="AI459" s="6" t="n">
        <v>0.658340988693937</v>
      </c>
      <c r="AJ459" s="6" t="n">
        <v>61.7267556035193</v>
      </c>
      <c r="AK459" s="6" t="n">
        <v>0.14635698174197</v>
      </c>
      <c r="AL459" s="6" t="n">
        <v>1.06604809501586</v>
      </c>
      <c r="AN459" s="6" t="n">
        <v>1.2831570418329</v>
      </c>
      <c r="AO459" s="6" t="n">
        <v>1.28360814088711</v>
      </c>
      <c r="AP459" s="6" t="n">
        <v>0.131647546135943</v>
      </c>
      <c r="AQ459" s="6" t="n">
        <v>0</v>
      </c>
      <c r="AR459" s="6" t="n">
        <v>0</v>
      </c>
    </row>
    <row r="460" customFormat="false" ht="15" hidden="false" customHeight="false" outlineLevel="0" collapsed="false">
      <c r="D460" s="0" t="s">
        <v>586</v>
      </c>
      <c r="J460" s="6" t="n">
        <v>0.591760372875576</v>
      </c>
      <c r="K460" s="6" t="n">
        <v>0.69444966922114</v>
      </c>
      <c r="L460" s="6" t="n">
        <v>-0.486955885735401</v>
      </c>
      <c r="M460" s="6" t="n">
        <v>-0.979533678033403</v>
      </c>
      <c r="N460" s="6" t="n">
        <v>3.76659582367391</v>
      </c>
      <c r="O460" s="6" t="n">
        <v>1.29444373025518</v>
      </c>
      <c r="P460" s="6" t="n">
        <v>0.560679002174403</v>
      </c>
      <c r="Q460" s="6" t="n">
        <v>-1.72786890455395</v>
      </c>
      <c r="R460" s="6" t="n">
        <v>-2.2928593975993</v>
      </c>
      <c r="S460" s="6" t="n">
        <v>3.1640039890249</v>
      </c>
      <c r="T460" s="6" t="n">
        <v>-2.19537540462324</v>
      </c>
      <c r="U460" s="6" t="n">
        <v>-0.790050536452754</v>
      </c>
      <c r="V460" s="6" t="n">
        <v>-1.04935207528517</v>
      </c>
      <c r="W460" s="6" t="n">
        <v>-2.26580463324144</v>
      </c>
      <c r="X460" s="6" t="n">
        <v>-0.111195550859693</v>
      </c>
      <c r="Y460" s="6" t="n">
        <v>0.703092389243732</v>
      </c>
      <c r="Z460" s="6" t="n">
        <v>0.0474160443064572</v>
      </c>
      <c r="AA460" s="6" t="n">
        <v>1.04174020727909</v>
      </c>
      <c r="AB460" s="6" t="n">
        <v>-2.16360476126009</v>
      </c>
      <c r="AC460" s="6" t="n">
        <v>-0.263836374224817</v>
      </c>
      <c r="AD460" s="6" t="n">
        <v>-1.63448193100692</v>
      </c>
      <c r="AE460" s="6" t="n">
        <v>-0.782121656010585</v>
      </c>
      <c r="AF460" s="6" t="n">
        <v>-0.331161494407487</v>
      </c>
      <c r="AG460" s="6" t="n">
        <v>-0.766748939483513</v>
      </c>
      <c r="AH460" s="6" t="n">
        <v>0.93667218152228</v>
      </c>
      <c r="AI460" s="6" t="n">
        <v>-1.8483931806106</v>
      </c>
      <c r="AJ460" s="6" t="n">
        <v>82.7860727818912</v>
      </c>
      <c r="AK460" s="6" t="n">
        <v>0.0759060616488035</v>
      </c>
      <c r="AL460" s="6" t="n">
        <v>1.03393710194736</v>
      </c>
      <c r="AN460" s="6" t="n">
        <v>1.31417294437675</v>
      </c>
      <c r="AO460" s="6" t="n">
        <v>1.31417294437675</v>
      </c>
      <c r="AP460" s="6" t="n">
        <v>0.137788267358891</v>
      </c>
      <c r="AQ460" s="6" t="n">
        <v>0</v>
      </c>
      <c r="AR460" s="6" t="n">
        <v>0</v>
      </c>
    </row>
    <row r="461" customFormat="false" ht="15" hidden="false" customHeight="false" outlineLevel="0" collapsed="false">
      <c r="D461" s="0" t="s">
        <v>587</v>
      </c>
      <c r="J461" s="6" t="n">
        <v>-0.273495154448226</v>
      </c>
      <c r="K461" s="6" t="n">
        <v>0.326116731218598</v>
      </c>
      <c r="L461" s="6" t="n">
        <v>-0.383999084825744</v>
      </c>
      <c r="M461" s="6" t="n">
        <v>-2.54772918319745</v>
      </c>
      <c r="N461" s="6" t="n">
        <v>1.06754860240997</v>
      </c>
      <c r="O461" s="6" t="n">
        <v>-0.00742624134486956</v>
      </c>
      <c r="P461" s="6" t="n">
        <v>-0.331777963016928</v>
      </c>
      <c r="Q461" s="6" t="n">
        <v>0.36426845006576</v>
      </c>
      <c r="R461" s="6" t="n">
        <v>0.24234364169097</v>
      </c>
      <c r="S461" s="6" t="n">
        <v>0.127855727980393</v>
      </c>
      <c r="T461" s="6" t="n">
        <v>2.41564425927811</v>
      </c>
      <c r="U461" s="6" t="n">
        <v>0.0757393267409462</v>
      </c>
      <c r="V461" s="6" t="n">
        <v>0.678376804576967</v>
      </c>
      <c r="W461" s="6" t="n">
        <v>-2.69585065595146</v>
      </c>
      <c r="X461" s="6" t="n">
        <v>-0.0583104514331353</v>
      </c>
      <c r="Y461" s="6" t="n">
        <v>-2.24283610768026</v>
      </c>
      <c r="Z461" s="6" t="n">
        <v>-1.97147899879597</v>
      </c>
      <c r="AA461" s="6" t="n">
        <v>2.16638024594356</v>
      </c>
      <c r="AB461" s="6" t="n">
        <v>-2.4820946285681</v>
      </c>
      <c r="AC461" s="6" t="n">
        <v>-2.05088071416549</v>
      </c>
      <c r="AD461" s="6" t="n">
        <v>-1.155349664555</v>
      </c>
      <c r="AE461" s="6" t="n">
        <v>2.39370105008735</v>
      </c>
      <c r="AF461" s="6" t="n">
        <v>-0.472953088226094</v>
      </c>
      <c r="AG461" s="6" t="n">
        <v>2.56874667066389</v>
      </c>
      <c r="AH461" s="6" t="n">
        <v>0.373539926011558</v>
      </c>
      <c r="AI461" s="6" t="n">
        <v>0.275176581792622</v>
      </c>
      <c r="AJ461" s="6" t="n">
        <v>79.3215830411252</v>
      </c>
      <c r="AK461" s="6" t="n">
        <v>0.0929303197768584</v>
      </c>
      <c r="AL461" s="6" t="n">
        <v>1.0106538962796</v>
      </c>
      <c r="AN461" s="6" t="n">
        <v>1.31711358147762</v>
      </c>
      <c r="AO461" s="6" t="n">
        <v>1.31711358147762</v>
      </c>
      <c r="AP461" s="6" t="n">
        <v>0.140174000868385</v>
      </c>
      <c r="AQ461" s="6" t="n">
        <v>0</v>
      </c>
      <c r="AR461" s="6" t="n">
        <v>0</v>
      </c>
    </row>
    <row r="462" customFormat="false" ht="15" hidden="false" customHeight="false" outlineLevel="0" collapsed="false">
      <c r="D462" s="0" t="s">
        <v>588</v>
      </c>
      <c r="J462" s="6" t="n">
        <v>-2.58486911046396</v>
      </c>
      <c r="K462" s="6" t="n">
        <v>-2.84552621154604</v>
      </c>
      <c r="L462" s="6" t="n">
        <v>0.492017480949412</v>
      </c>
      <c r="M462" s="6" t="n">
        <v>0.988212586473909</v>
      </c>
      <c r="N462" s="6" t="n">
        <v>-0.21535137857142</v>
      </c>
      <c r="O462" s="6" t="n">
        <v>-1.97205640104182</v>
      </c>
      <c r="P462" s="6" t="n">
        <v>4.10824738374165</v>
      </c>
      <c r="Q462" s="6" t="n">
        <v>0.0440815116529675</v>
      </c>
      <c r="R462" s="6" t="n">
        <v>2.97170967269279</v>
      </c>
      <c r="S462" s="6" t="n">
        <v>3.20140285714421</v>
      </c>
      <c r="T462" s="6" t="n">
        <v>-0.245173683680578</v>
      </c>
      <c r="U462" s="6" t="n">
        <v>-2.79272553688875</v>
      </c>
      <c r="V462" s="6" t="n">
        <v>0.63548375619926</v>
      </c>
      <c r="W462" s="6" t="n">
        <v>-0.319449213013127</v>
      </c>
      <c r="X462" s="6" t="n">
        <v>0.726226367878954</v>
      </c>
      <c r="Y462" s="6" t="n">
        <v>1.5071669478302</v>
      </c>
      <c r="Z462" s="6" t="n">
        <v>0.757194441553098</v>
      </c>
      <c r="AA462" s="6" t="n">
        <v>-0.135218407886298</v>
      </c>
      <c r="AB462" s="6" t="n">
        <v>-1.66840665791833</v>
      </c>
      <c r="AC462" s="6" t="n">
        <v>-0.0890752665409947</v>
      </c>
      <c r="AD462" s="6" t="n">
        <v>-3.81934352767531</v>
      </c>
      <c r="AE462" s="6" t="n">
        <v>-0.563796001960034</v>
      </c>
      <c r="AF462" s="6" t="n">
        <v>-2.76816597388852</v>
      </c>
      <c r="AG462" s="6" t="n">
        <v>-0.67057862242938</v>
      </c>
      <c r="AH462" s="6" t="n">
        <v>1.27998089686706</v>
      </c>
      <c r="AI462" s="6" t="n">
        <v>1.19170254367553</v>
      </c>
      <c r="AJ462" s="6" t="n">
        <v>77.31421182472</v>
      </c>
      <c r="AK462" s="6" t="n">
        <v>0.12935795912382</v>
      </c>
      <c r="AL462" s="6" t="n">
        <v>1.0522841595866</v>
      </c>
      <c r="AN462" s="6" t="n">
        <v>1.29631725937602</v>
      </c>
      <c r="AO462" s="6" t="n">
        <v>1.29832266950883</v>
      </c>
      <c r="AP462" s="6" t="n">
        <v>0.134195089281041</v>
      </c>
      <c r="AQ462" s="6" t="n">
        <v>0</v>
      </c>
      <c r="AR462" s="6" t="n">
        <v>0</v>
      </c>
    </row>
    <row r="463" customFormat="false" ht="15" hidden="false" customHeight="false" outlineLevel="0" collapsed="false">
      <c r="D463" s="0" t="s">
        <v>589</v>
      </c>
      <c r="J463" s="6" t="n">
        <v>0.907994688916742</v>
      </c>
      <c r="K463" s="6" t="n">
        <v>2.59779331827866</v>
      </c>
      <c r="L463" s="6" t="n">
        <v>-2.20688126774178</v>
      </c>
      <c r="M463" s="6" t="n">
        <v>0.1257019609987</v>
      </c>
      <c r="N463" s="6" t="n">
        <v>0.817747588842852</v>
      </c>
      <c r="O463" s="6" t="n">
        <v>-1.492111685755</v>
      </c>
      <c r="P463" s="6" t="n">
        <v>-0.622621466009003</v>
      </c>
      <c r="Q463" s="6" t="n">
        <v>-2.08715446558861</v>
      </c>
      <c r="R463" s="6" t="n">
        <v>1.93551015617658</v>
      </c>
      <c r="S463" s="6" t="n">
        <v>-1.13488185602336</v>
      </c>
      <c r="T463" s="6" t="n">
        <v>4.09066481584488</v>
      </c>
      <c r="U463" s="6" t="n">
        <v>1.25562886367305</v>
      </c>
      <c r="V463" s="6" t="n">
        <v>0.133710831306379</v>
      </c>
      <c r="W463" s="6" t="n">
        <v>0.27403257481705</v>
      </c>
      <c r="X463" s="6" t="n">
        <v>-3.62351279383849</v>
      </c>
      <c r="Y463" s="6" t="n">
        <v>-2.27634861477449</v>
      </c>
      <c r="Z463" s="6" t="n">
        <v>-1.75794781316037</v>
      </c>
      <c r="AA463" s="6" t="n">
        <v>2.32349579949739</v>
      </c>
      <c r="AB463" s="6" t="n">
        <v>-0.179184858458466</v>
      </c>
      <c r="AC463" s="6" t="n">
        <v>0.974290953468519</v>
      </c>
      <c r="AD463" s="6" t="n">
        <v>-1.40475715153063</v>
      </c>
      <c r="AE463" s="6" t="n">
        <v>-1.98842381856103</v>
      </c>
      <c r="AF463" s="6" t="n">
        <v>1.31601298416848</v>
      </c>
      <c r="AG463" s="6" t="n">
        <v>-1.45018899895924</v>
      </c>
      <c r="AH463" s="6" t="n">
        <v>2.78333212304287</v>
      </c>
      <c r="AI463" s="6" t="n">
        <v>2.41744227417458</v>
      </c>
      <c r="AJ463" s="6" t="n">
        <v>68.7014541978544</v>
      </c>
      <c r="AK463" s="6" t="n">
        <v>0.153447017693864</v>
      </c>
      <c r="AL463" s="6" t="n">
        <v>1.07810293112851</v>
      </c>
      <c r="AN463" s="6" t="n">
        <v>1.2820123717285</v>
      </c>
      <c r="AO463" s="6" t="n">
        <v>1.28269060227491</v>
      </c>
      <c r="AP463" s="6" t="n">
        <v>0.130689216818529</v>
      </c>
      <c r="AQ463" s="6" t="n">
        <v>0</v>
      </c>
      <c r="AR463" s="6" t="n">
        <v>0</v>
      </c>
    </row>
    <row r="464" customFormat="false" ht="15" hidden="false" customHeight="false" outlineLevel="0" collapsed="false">
      <c r="D464" s="0" t="s">
        <v>590</v>
      </c>
      <c r="J464" s="6" t="n">
        <v>-0.164474992753174</v>
      </c>
      <c r="K464" s="6" t="n">
        <v>2.77749633502779</v>
      </c>
      <c r="L464" s="6" t="n">
        <v>-1.5749959180559</v>
      </c>
      <c r="M464" s="6" t="n">
        <v>-1.06637240342322</v>
      </c>
      <c r="N464" s="6" t="n">
        <v>0.31500877355009</v>
      </c>
      <c r="O464" s="6" t="n">
        <v>-0.504330695698947</v>
      </c>
      <c r="P464" s="6" t="n">
        <v>-1.09975255879502</v>
      </c>
      <c r="Q464" s="6" t="n">
        <v>2.11771250703</v>
      </c>
      <c r="R464" s="6" t="n">
        <v>-1.65425774503295</v>
      </c>
      <c r="S464" s="6" t="n">
        <v>5</v>
      </c>
      <c r="T464" s="6" t="n">
        <v>0.702549105491607</v>
      </c>
      <c r="U464" s="6" t="n">
        <v>0.889501575776908</v>
      </c>
      <c r="V464" s="6" t="n">
        <v>0.942657190924344</v>
      </c>
      <c r="W464" s="6" t="n">
        <v>2.07530775645447</v>
      </c>
      <c r="X464" s="6" t="n">
        <v>-0.961214695615725</v>
      </c>
      <c r="Y464" s="6" t="n">
        <v>-1.47610687613894</v>
      </c>
      <c r="Z464" s="6" t="n">
        <v>1.3203106630491</v>
      </c>
      <c r="AA464" s="6" t="n">
        <v>2.23870517767841</v>
      </c>
      <c r="AB464" s="6" t="n">
        <v>0.655399908123214</v>
      </c>
      <c r="AC464" s="6" t="n">
        <v>2.69404924999097</v>
      </c>
      <c r="AD464" s="6" t="n">
        <v>0.284082380011336</v>
      </c>
      <c r="AE464" s="6" t="n">
        <v>0.612079604300858</v>
      </c>
      <c r="AF464" s="6" t="n">
        <v>0.620285347568389</v>
      </c>
      <c r="AG464" s="6" t="n">
        <v>-0.235539706268026</v>
      </c>
      <c r="AH464" s="6" t="n">
        <v>-1.2176032447067</v>
      </c>
      <c r="AI464" s="6" t="n">
        <v>1.74150807725987</v>
      </c>
      <c r="AJ464" s="6" t="n">
        <v>66.1666285728528</v>
      </c>
      <c r="AK464" s="6" t="n">
        <v>0.0962984903199586</v>
      </c>
      <c r="AL464" s="6" t="n">
        <v>1.04071116299499</v>
      </c>
      <c r="AN464" s="6" t="n">
        <v>1.30128136161505</v>
      </c>
      <c r="AO464" s="6" t="n">
        <v>1.30135624396616</v>
      </c>
      <c r="AP464" s="6" t="n">
        <v>0.135038122752512</v>
      </c>
      <c r="AQ464" s="6" t="n">
        <v>0</v>
      </c>
      <c r="AR464" s="6" t="n">
        <v>0</v>
      </c>
    </row>
    <row r="465" customFormat="false" ht="15" hidden="false" customHeight="false" outlineLevel="0" collapsed="false">
      <c r="D465" s="0" t="s">
        <v>591</v>
      </c>
      <c r="J465" s="6" t="n">
        <v>1.36024590381006</v>
      </c>
      <c r="K465" s="6" t="n">
        <v>-2.55499349540265</v>
      </c>
      <c r="L465" s="6" t="n">
        <v>0.992089324443855</v>
      </c>
      <c r="M465" s="6" t="n">
        <v>-1.63526134543487</v>
      </c>
      <c r="N465" s="6" t="n">
        <v>2.13139247108317</v>
      </c>
      <c r="O465" s="6" t="n">
        <v>2.12199739250477</v>
      </c>
      <c r="P465" s="6" t="n">
        <v>1.30491785650548</v>
      </c>
      <c r="Q465" s="6" t="n">
        <v>-0.391091162453954</v>
      </c>
      <c r="R465" s="6" t="n">
        <v>1.25394666317145</v>
      </c>
      <c r="S465" s="6" t="n">
        <v>1.06065487061291</v>
      </c>
      <c r="T465" s="6" t="n">
        <v>0.48400721882458</v>
      </c>
      <c r="U465" s="6" t="n">
        <v>1.79433791149778</v>
      </c>
      <c r="V465" s="6" t="n">
        <v>-0.0371718615983297</v>
      </c>
      <c r="W465" s="6" t="n">
        <v>-1.71511466390396</v>
      </c>
      <c r="X465" s="6" t="n">
        <v>-1.4316956924132</v>
      </c>
      <c r="Y465" s="6" t="n">
        <v>1.5803605464992</v>
      </c>
      <c r="Z465" s="6" t="n">
        <v>1.72105499430187</v>
      </c>
      <c r="AA465" s="6" t="n">
        <v>2.68497290839735</v>
      </c>
      <c r="AB465" s="6" t="n">
        <v>0.0680246802367095</v>
      </c>
      <c r="AC465" s="6" t="n">
        <v>0.925101392590245</v>
      </c>
      <c r="AD465" s="6" t="n">
        <v>0.217067996353986</v>
      </c>
      <c r="AE465" s="6" t="n">
        <v>-0.858171062173142</v>
      </c>
      <c r="AF465" s="6" t="n">
        <v>-2.34083373225959</v>
      </c>
      <c r="AG465" s="6" t="n">
        <v>0.337905284112523</v>
      </c>
      <c r="AH465" s="6" t="n">
        <v>-3.32513207658209</v>
      </c>
      <c r="AI465" s="6" t="n">
        <v>-1.30958465480492</v>
      </c>
      <c r="AJ465" s="6" t="n">
        <v>81.8711635940273</v>
      </c>
      <c r="AK465" s="6" t="n">
        <v>0.0718883286591747</v>
      </c>
      <c r="AL465" s="6" t="n">
        <v>1.00173301115511</v>
      </c>
      <c r="AN465" s="6" t="n">
        <v>1.31901401455166</v>
      </c>
      <c r="AO465" s="6" t="n">
        <v>1.31901401455166</v>
      </c>
      <c r="AP465" s="6" t="n">
        <v>0.142911996680364</v>
      </c>
      <c r="AQ465" s="6" t="n">
        <v>0</v>
      </c>
      <c r="AR465" s="6" t="n">
        <v>0</v>
      </c>
    </row>
    <row r="466" customFormat="false" ht="15" hidden="false" customHeight="false" outlineLevel="0" collapsed="false">
      <c r="D466" s="0" t="s">
        <v>592</v>
      </c>
      <c r="J466" s="6" t="n">
        <v>-0.371736328417759</v>
      </c>
      <c r="K466" s="6" t="n">
        <v>0.679551992536798</v>
      </c>
      <c r="L466" s="6" t="n">
        <v>-1.18152695258603</v>
      </c>
      <c r="M466" s="6" t="n">
        <v>3.19445575747806</v>
      </c>
      <c r="N466" s="6" t="n">
        <v>3.44723149073054</v>
      </c>
      <c r="O466" s="6" t="n">
        <v>0.0532459293656875</v>
      </c>
      <c r="P466" s="6" t="n">
        <v>3.18766960333669</v>
      </c>
      <c r="Q466" s="6" t="n">
        <v>1.35842507535113</v>
      </c>
      <c r="R466" s="6" t="n">
        <v>1.82919541112085</v>
      </c>
      <c r="S466" s="6" t="n">
        <v>0.389995379178315</v>
      </c>
      <c r="T466" s="6" t="n">
        <v>1.47416589408707</v>
      </c>
      <c r="U466" s="6" t="n">
        <v>0.278439353832177</v>
      </c>
      <c r="V466" s="6" t="n">
        <v>1.67079519061269</v>
      </c>
      <c r="W466" s="6" t="n">
        <v>2.41887372518436</v>
      </c>
      <c r="X466" s="6" t="n">
        <v>-0.619393441457506</v>
      </c>
      <c r="Y466" s="6" t="n">
        <v>-2.0292379349911</v>
      </c>
      <c r="Z466" s="6" t="n">
        <v>-0.966556158878179</v>
      </c>
      <c r="AA466" s="6" t="n">
        <v>-1.60562896283353</v>
      </c>
      <c r="AB466" s="6" t="n">
        <v>1.52726508374777</v>
      </c>
      <c r="AC466" s="6" t="n">
        <v>1.97442239526188</v>
      </c>
      <c r="AD466" s="6" t="n">
        <v>2.82022032298762</v>
      </c>
      <c r="AE466" s="6" t="n">
        <v>1.21712093969672</v>
      </c>
      <c r="AF466" s="6" t="n">
        <v>1.63109208745545</v>
      </c>
      <c r="AG466" s="6" t="n">
        <v>1.60000352193059</v>
      </c>
      <c r="AH466" s="6" t="n">
        <v>-0.992873073168978</v>
      </c>
      <c r="AI466" s="6" t="n">
        <v>1.69819531160369</v>
      </c>
      <c r="AJ466" s="6" t="n">
        <v>64.2966003762445</v>
      </c>
      <c r="AK466" s="6" t="n">
        <v>0.107754018233044</v>
      </c>
      <c r="AL466" s="6" t="n">
        <v>1.07974994016471</v>
      </c>
      <c r="AN466" s="6" t="n">
        <v>1.28115916349231</v>
      </c>
      <c r="AO466" s="6" t="n">
        <v>1.28279650714068</v>
      </c>
      <c r="AP466" s="6" t="n">
        <v>0.131605991122082</v>
      </c>
      <c r="AQ466" s="6" t="n">
        <v>0</v>
      </c>
      <c r="AR466" s="6" t="n">
        <v>0</v>
      </c>
    </row>
    <row r="467" customFormat="false" ht="15" hidden="false" customHeight="false" outlineLevel="0" collapsed="false">
      <c r="D467" s="0" t="s">
        <v>593</v>
      </c>
      <c r="J467" s="6" t="n">
        <v>3.80330411258994</v>
      </c>
      <c r="K467" s="6" t="n">
        <v>-2.84560502815641</v>
      </c>
      <c r="L467" s="6" t="n">
        <v>-1.72059011901065</v>
      </c>
      <c r="M467" s="6" t="n">
        <v>-2.00720818201502</v>
      </c>
      <c r="N467" s="6" t="n">
        <v>-0.461643820852738</v>
      </c>
      <c r="O467" s="6" t="n">
        <v>0.526192097934789</v>
      </c>
      <c r="P467" s="6" t="n">
        <v>5</v>
      </c>
      <c r="Q467" s="6" t="n">
        <v>-0.518351347918167</v>
      </c>
      <c r="R467" s="6" t="n">
        <v>-0.551866361484729</v>
      </c>
      <c r="S467" s="6" t="n">
        <v>-0.879702727930712</v>
      </c>
      <c r="T467" s="6" t="n">
        <v>-0.962369884921431</v>
      </c>
      <c r="U467" s="6" t="n">
        <v>-3.16203787973114</v>
      </c>
      <c r="V467" s="6" t="n">
        <v>0.355284300234996</v>
      </c>
      <c r="W467" s="6" t="n">
        <v>-3.91173901196716</v>
      </c>
      <c r="X467" s="6" t="n">
        <v>0.692121655692537</v>
      </c>
      <c r="Y467" s="6" t="n">
        <v>1.03068646838208</v>
      </c>
      <c r="Z467" s="6" t="n">
        <v>-0.855490688780657</v>
      </c>
      <c r="AA467" s="6" t="n">
        <v>-2.27172841343022</v>
      </c>
      <c r="AB467" s="6" t="n">
        <v>-1.64085282666477</v>
      </c>
      <c r="AC467" s="6" t="n">
        <v>1.02263862129258</v>
      </c>
      <c r="AD467" s="6" t="n">
        <v>-0.0547868919506798</v>
      </c>
      <c r="AE467" s="6" t="n">
        <v>2.0374370845364</v>
      </c>
      <c r="AF467" s="6" t="n">
        <v>0.31188856214775</v>
      </c>
      <c r="AG467" s="6" t="n">
        <v>-2.10203529616902</v>
      </c>
      <c r="AH467" s="6" t="n">
        <v>-0.36994021473012</v>
      </c>
      <c r="AI467" s="6" t="n">
        <v>-3.56305188730676</v>
      </c>
      <c r="AJ467" s="6" t="n">
        <v>61.2478362110681</v>
      </c>
      <c r="AK467" s="6" t="n">
        <v>0.0479852831706468</v>
      </c>
      <c r="AL467" s="6" t="n">
        <v>0.992699583631854</v>
      </c>
      <c r="AN467" s="6" t="n">
        <v>1.31140828319913</v>
      </c>
      <c r="AO467" s="6" t="n">
        <v>1.31140828319913</v>
      </c>
      <c r="AP467" s="6" t="n">
        <v>0.141684658501</v>
      </c>
      <c r="AQ467" s="6" t="n">
        <v>0</v>
      </c>
      <c r="AR467" s="6" t="n">
        <v>0</v>
      </c>
    </row>
    <row r="468" customFormat="false" ht="15" hidden="false" customHeight="false" outlineLevel="0" collapsed="false">
      <c r="D468" s="0" t="s">
        <v>594</v>
      </c>
      <c r="J468" s="6" t="n">
        <v>3.57987218091607</v>
      </c>
      <c r="K468" s="6" t="n">
        <v>1.17315852839231</v>
      </c>
      <c r="L468" s="6" t="n">
        <v>0.371100164500393</v>
      </c>
      <c r="M468" s="6" t="n">
        <v>-2.27655393283252</v>
      </c>
      <c r="N468" s="6" t="n">
        <v>1.60886788002411</v>
      </c>
      <c r="O468" s="6" t="n">
        <v>1.69684340202846</v>
      </c>
      <c r="P468" s="6" t="n">
        <v>-1.30880024309268</v>
      </c>
      <c r="Q468" s="6" t="n">
        <v>-0.333221538789432</v>
      </c>
      <c r="R468" s="6" t="n">
        <v>-0.758559684799619</v>
      </c>
      <c r="S468" s="6" t="n">
        <v>1.29836130451008</v>
      </c>
      <c r="T468" s="6" t="n">
        <v>-0.865138926784862</v>
      </c>
      <c r="U468" s="6" t="n">
        <v>-1.03324908931552</v>
      </c>
      <c r="V468" s="6" t="n">
        <v>1.95092194699322</v>
      </c>
      <c r="W468" s="6" t="n">
        <v>1.5275529246453</v>
      </c>
      <c r="X468" s="6" t="n">
        <v>3.31339104505226</v>
      </c>
      <c r="Y468" s="6" t="n">
        <v>1.86450922405752</v>
      </c>
      <c r="Z468" s="6" t="n">
        <v>1.54650607816564</v>
      </c>
      <c r="AA468" s="6" t="n">
        <v>-2.23089333436174</v>
      </c>
      <c r="AB468" s="6" t="n">
        <v>0.571336202939496</v>
      </c>
      <c r="AC468" s="6" t="n">
        <v>-0.309102147287162</v>
      </c>
      <c r="AD468" s="6" t="n">
        <v>-1.30001352181115</v>
      </c>
      <c r="AE468" s="6" t="n">
        <v>5</v>
      </c>
      <c r="AF468" s="6" t="n">
        <v>-1.39198184067168</v>
      </c>
      <c r="AG468" s="6" t="n">
        <v>-0.665986109876711</v>
      </c>
      <c r="AH468" s="6" t="n">
        <v>1.14676119610436</v>
      </c>
      <c r="AI468" s="6" t="n">
        <v>1.46623786059634</v>
      </c>
      <c r="AJ468" s="6" t="n">
        <v>75.5517558610486</v>
      </c>
      <c r="AK468" s="6" t="n">
        <v>0.178611991390352</v>
      </c>
      <c r="AL468" s="6" t="n">
        <v>1.0657104370071</v>
      </c>
      <c r="AN468" s="6" t="n">
        <v>1.28233983919145</v>
      </c>
      <c r="AO468" s="6" t="n">
        <v>1.28261174485822</v>
      </c>
      <c r="AP468" s="6" t="n">
        <v>0.131267697771237</v>
      </c>
      <c r="AQ468" s="6" t="n">
        <v>0</v>
      </c>
      <c r="AR468" s="6" t="n">
        <v>0</v>
      </c>
    </row>
    <row r="469" customFormat="false" ht="15" hidden="false" customHeight="false" outlineLevel="0" collapsed="false">
      <c r="D469" s="0" t="s">
        <v>595</v>
      </c>
      <c r="J469" s="6" t="n">
        <v>-1.02149397269954</v>
      </c>
      <c r="K469" s="6" t="n">
        <v>1.72749233903803</v>
      </c>
      <c r="L469" s="6" t="n">
        <v>-1.78534565286316</v>
      </c>
      <c r="M469" s="6" t="n">
        <v>-4.30586531172277</v>
      </c>
      <c r="N469" s="6" t="n">
        <v>-3.41839000811181</v>
      </c>
      <c r="O469" s="6" t="n">
        <v>-0.146624233225933</v>
      </c>
      <c r="P469" s="6" t="n">
        <v>-0.593302965905381</v>
      </c>
      <c r="Q469" s="6" t="n">
        <v>1.05825417512809</v>
      </c>
      <c r="R469" s="6" t="n">
        <v>-3.7538326992184</v>
      </c>
      <c r="S469" s="6" t="n">
        <v>-0.922852657415751</v>
      </c>
      <c r="T469" s="6" t="n">
        <v>-1.97166263540276</v>
      </c>
      <c r="U469" s="6" t="n">
        <v>-0.617269690821213</v>
      </c>
      <c r="V469" s="6" t="n">
        <v>1.71903637741231</v>
      </c>
      <c r="W469" s="6" t="n">
        <v>-2.44253470769705</v>
      </c>
      <c r="X469" s="6" t="n">
        <v>-4.5101022890353</v>
      </c>
      <c r="Y469" s="6" t="n">
        <v>-0.629454427694113</v>
      </c>
      <c r="Z469" s="6" t="n">
        <v>-1.52283706669034</v>
      </c>
      <c r="AA469" s="6" t="n">
        <v>-0.288730733652637</v>
      </c>
      <c r="AB469" s="6" t="n">
        <v>1.24515139795416</v>
      </c>
      <c r="AC469" s="6" t="n">
        <v>-0.691287769241993</v>
      </c>
      <c r="AD469" s="6" t="n">
        <v>-2.79923465652312</v>
      </c>
      <c r="AE469" s="6" t="n">
        <v>-2.57722488722002</v>
      </c>
      <c r="AF469" s="6" t="n">
        <v>-0.567898953045029</v>
      </c>
      <c r="AG469" s="6" t="n">
        <v>0.380065858037141</v>
      </c>
      <c r="AH469" s="6" t="n">
        <v>-1.46861481781328</v>
      </c>
      <c r="AI469" s="6" t="n">
        <v>-1.56284974492546</v>
      </c>
      <c r="AJ469" s="6" t="n">
        <v>60.105887633793</v>
      </c>
      <c r="AK469" s="6" t="n">
        <v>0.0990879360278233</v>
      </c>
      <c r="AL469" s="6" t="n">
        <v>1.04900604298646</v>
      </c>
      <c r="AN469" s="6" t="n">
        <v>1.29385639734276</v>
      </c>
      <c r="AO469" s="6" t="n">
        <v>1.29404054968873</v>
      </c>
      <c r="AP469" s="6" t="n">
        <v>0.133219752147295</v>
      </c>
      <c r="AQ469" s="6" t="n">
        <v>0</v>
      </c>
      <c r="AR469" s="6" t="n">
        <v>0</v>
      </c>
    </row>
    <row r="470" customFormat="false" ht="15" hidden="false" customHeight="false" outlineLevel="0" collapsed="false">
      <c r="D470" s="0" t="s">
        <v>596</v>
      </c>
      <c r="J470" s="6" t="n">
        <v>-0.259041442829886</v>
      </c>
      <c r="K470" s="6" t="n">
        <v>-0.50208339877381</v>
      </c>
      <c r="L470" s="6" t="n">
        <v>-0.911012742354579</v>
      </c>
      <c r="M470" s="6" t="n">
        <v>-1.48389645838501</v>
      </c>
      <c r="N470" s="6" t="n">
        <v>-1.02530309629043</v>
      </c>
      <c r="O470" s="6" t="n">
        <v>-0.00364392267171541</v>
      </c>
      <c r="P470" s="6" t="n">
        <v>-0.623665334077531</v>
      </c>
      <c r="Q470" s="6" t="n">
        <v>3.91532685305921</v>
      </c>
      <c r="R470" s="6" t="n">
        <v>1.1198838692597</v>
      </c>
      <c r="S470" s="6" t="n">
        <v>0.131198003314727</v>
      </c>
      <c r="T470" s="6" t="n">
        <v>1.05219460522396</v>
      </c>
      <c r="U470" s="6" t="n">
        <v>1.95100873486114</v>
      </c>
      <c r="V470" s="6" t="n">
        <v>-0.0186052575124585</v>
      </c>
      <c r="W470" s="6" t="n">
        <v>-2.78722626788596</v>
      </c>
      <c r="X470" s="6" t="n">
        <v>1.30518135208043</v>
      </c>
      <c r="Y470" s="6" t="n">
        <v>0.108446731177085</v>
      </c>
      <c r="Z470" s="6" t="n">
        <v>-1.07270198189002</v>
      </c>
      <c r="AA470" s="6" t="n">
        <v>-0.282365092726058</v>
      </c>
      <c r="AB470" s="6" t="n">
        <v>-1.02540907034131</v>
      </c>
      <c r="AC470" s="6" t="n">
        <v>-2.51907513016892</v>
      </c>
      <c r="AD470" s="6" t="n">
        <v>-3.67434547877304</v>
      </c>
      <c r="AE470" s="6" t="n">
        <v>4.16239469177403</v>
      </c>
      <c r="AF470" s="6" t="n">
        <v>-0.888482912570435</v>
      </c>
      <c r="AG470" s="6" t="n">
        <v>-2.08724711211568</v>
      </c>
      <c r="AH470" s="6" t="n">
        <v>0.157047698431115</v>
      </c>
      <c r="AI470" s="6" t="n">
        <v>-0.734117628520795</v>
      </c>
      <c r="AJ470" s="6" t="n">
        <v>70.8650028531726</v>
      </c>
      <c r="AK470" s="6" t="n">
        <v>0.158069327869911</v>
      </c>
      <c r="AL470" s="6" t="n">
        <v>1.11390124664433</v>
      </c>
      <c r="AN470" s="6" t="n">
        <v>1.26947196008013</v>
      </c>
      <c r="AO470" s="6" t="n">
        <v>1.27030376051645</v>
      </c>
      <c r="AP470" s="6" t="n">
        <v>0.129127400481111</v>
      </c>
      <c r="AQ470" s="6" t="n">
        <v>0</v>
      </c>
      <c r="AR470" s="6" t="n">
        <v>0</v>
      </c>
    </row>
    <row r="471" customFormat="false" ht="15" hidden="false" customHeight="false" outlineLevel="0" collapsed="false">
      <c r="D471" s="0" t="s">
        <v>597</v>
      </c>
      <c r="J471" s="6" t="n">
        <v>-1.22406026908157</v>
      </c>
      <c r="K471" s="6" t="n">
        <v>-2.90884417165026</v>
      </c>
      <c r="L471" s="6" t="n">
        <v>-2.19821947797581</v>
      </c>
      <c r="M471" s="6" t="n">
        <v>1.56909497605873</v>
      </c>
      <c r="N471" s="6" t="n">
        <v>3.39096708929194</v>
      </c>
      <c r="O471" s="6" t="n">
        <v>2.23619688037678</v>
      </c>
      <c r="P471" s="6" t="n">
        <v>-0.668176460300182</v>
      </c>
      <c r="Q471" s="6" t="n">
        <v>1.86551228158615</v>
      </c>
      <c r="R471" s="6" t="n">
        <v>-4.94303984114167</v>
      </c>
      <c r="S471" s="6" t="n">
        <v>0.431451841767129</v>
      </c>
      <c r="T471" s="6" t="n">
        <v>2.01810899513892</v>
      </c>
      <c r="U471" s="6" t="n">
        <v>0.935622598234071</v>
      </c>
      <c r="V471" s="6" t="n">
        <v>-1.7302241797456</v>
      </c>
      <c r="W471" s="6" t="n">
        <v>-4.44746257872587</v>
      </c>
      <c r="X471" s="6" t="n">
        <v>-1.75167940432479</v>
      </c>
      <c r="Y471" s="6" t="n">
        <v>-1.66585027697441</v>
      </c>
      <c r="Z471" s="6" t="n">
        <v>0.587635513966386</v>
      </c>
      <c r="AA471" s="6" t="n">
        <v>1.98595771440097</v>
      </c>
      <c r="AB471" s="6" t="n">
        <v>-3.15081072933877</v>
      </c>
      <c r="AC471" s="6" t="n">
        <v>3.29058327285742</v>
      </c>
      <c r="AD471" s="6" t="n">
        <v>-2.37817166127747</v>
      </c>
      <c r="AE471" s="6" t="n">
        <v>3.24458537478218</v>
      </c>
      <c r="AF471" s="6" t="n">
        <v>-2.03941723242186</v>
      </c>
      <c r="AG471" s="6" t="n">
        <v>-1.12004982483374</v>
      </c>
      <c r="AH471" s="6" t="n">
        <v>0.790920892125959</v>
      </c>
      <c r="AI471" s="6" t="n">
        <v>-0.437955477292581</v>
      </c>
      <c r="AJ471" s="6" t="n">
        <v>67.6172913970284</v>
      </c>
      <c r="AK471" s="6" t="n">
        <v>0.14725952044569</v>
      </c>
      <c r="AL471" s="6" t="n">
        <v>1.00487701555083</v>
      </c>
      <c r="AN471" s="6" t="n">
        <v>1.31260948050457</v>
      </c>
      <c r="AO471" s="6" t="n">
        <v>1.31260948050457</v>
      </c>
      <c r="AP471" s="6" t="n">
        <v>0.138762570554582</v>
      </c>
      <c r="AQ471" s="6" t="n">
        <v>0</v>
      </c>
      <c r="AR471" s="6" t="n">
        <v>0</v>
      </c>
    </row>
    <row r="472" customFormat="false" ht="15" hidden="false" customHeight="false" outlineLevel="0" collapsed="false">
      <c r="D472" s="0" t="s">
        <v>598</v>
      </c>
      <c r="J472" s="6" t="n">
        <v>0.711041060295102</v>
      </c>
      <c r="K472" s="6" t="n">
        <v>1.30269762786187</v>
      </c>
      <c r="L472" s="6" t="n">
        <v>-0.407098400750846</v>
      </c>
      <c r="M472" s="6" t="n">
        <v>0.373919114105954</v>
      </c>
      <c r="N472" s="6" t="n">
        <v>2.6077043404814</v>
      </c>
      <c r="O472" s="6" t="n">
        <v>-0.399173818006295</v>
      </c>
      <c r="P472" s="6" t="n">
        <v>0.919951235026872</v>
      </c>
      <c r="Q472" s="6" t="n">
        <v>-2.54827220478317</v>
      </c>
      <c r="R472" s="6" t="n">
        <v>-0.358432135933303</v>
      </c>
      <c r="S472" s="6" t="n">
        <v>-0.971776339969498</v>
      </c>
      <c r="T472" s="6" t="n">
        <v>-1.74842147791215</v>
      </c>
      <c r="U472" s="6" t="n">
        <v>-1.47103809653113</v>
      </c>
      <c r="V472" s="6" t="n">
        <v>0.624757561055243</v>
      </c>
      <c r="W472" s="6" t="n">
        <v>0.213974633599886</v>
      </c>
      <c r="X472" s="6" t="n">
        <v>-0.0473299942046613</v>
      </c>
      <c r="Y472" s="6" t="n">
        <v>0.338976719332614</v>
      </c>
      <c r="Z472" s="6" t="n">
        <v>-1.91875807931397</v>
      </c>
      <c r="AA472" s="6" t="n">
        <v>1.27936919795962</v>
      </c>
      <c r="AB472" s="6" t="n">
        <v>0.714498311562054</v>
      </c>
      <c r="AC472" s="6" t="n">
        <v>-0.621244503170148</v>
      </c>
      <c r="AD472" s="6" t="n">
        <v>4.26933726609429</v>
      </c>
      <c r="AE472" s="6" t="n">
        <v>-0.449851597075269</v>
      </c>
      <c r="AF472" s="6" t="n">
        <v>2.36798733770564</v>
      </c>
      <c r="AG472" s="6" t="n">
        <v>-1.4284242202509</v>
      </c>
      <c r="AH472" s="6" t="n">
        <v>4.55388450418011</v>
      </c>
      <c r="AI472" s="6" t="n">
        <v>0.30436025573555</v>
      </c>
      <c r="AJ472" s="6" t="n">
        <v>69.8477507732974</v>
      </c>
      <c r="AK472" s="6" t="n">
        <v>0.149367247475134</v>
      </c>
      <c r="AL472" s="6" t="n">
        <v>1.04563271919299</v>
      </c>
      <c r="AN472" s="6" t="n">
        <v>1.29380417128922</v>
      </c>
      <c r="AO472" s="6" t="n">
        <v>1.2946442170732</v>
      </c>
      <c r="AP472" s="6" t="n">
        <v>0.133329889405424</v>
      </c>
      <c r="AQ472" s="6" t="n">
        <v>0</v>
      </c>
      <c r="AR472" s="6" t="n">
        <v>0</v>
      </c>
    </row>
    <row r="473" customFormat="false" ht="15" hidden="false" customHeight="false" outlineLevel="0" collapsed="false">
      <c r="D473" s="0" t="s">
        <v>599</v>
      </c>
      <c r="J473" s="6" t="n">
        <v>-0.030284951404173</v>
      </c>
      <c r="K473" s="6" t="n">
        <v>-0.904987386863835</v>
      </c>
      <c r="L473" s="6" t="n">
        <v>0.279555424793655</v>
      </c>
      <c r="M473" s="6" t="n">
        <v>-2.57184042155321</v>
      </c>
      <c r="N473" s="6" t="n">
        <v>-6.05833519962256</v>
      </c>
      <c r="O473" s="6" t="n">
        <v>0.201231108001822</v>
      </c>
      <c r="P473" s="6" t="n">
        <v>-0.345241023433455</v>
      </c>
      <c r="Q473" s="6" t="n">
        <v>1.2077461451781</v>
      </c>
      <c r="R473" s="6" t="n">
        <v>1.83489381527427</v>
      </c>
      <c r="S473" s="6" t="n">
        <v>3.08569957659667</v>
      </c>
      <c r="T473" s="6" t="n">
        <v>2.47150468739271</v>
      </c>
      <c r="U473" s="6" t="n">
        <v>-1.27233087168271</v>
      </c>
      <c r="V473" s="6" t="n">
        <v>0.970270925714151</v>
      </c>
      <c r="W473" s="6" t="n">
        <v>0.282829667975203</v>
      </c>
      <c r="X473" s="6" t="n">
        <v>2.93379700277452</v>
      </c>
      <c r="Y473" s="6" t="n">
        <v>-0.0228271853353542</v>
      </c>
      <c r="Z473" s="6" t="n">
        <v>-1.25278150618451</v>
      </c>
      <c r="AA473" s="6" t="n">
        <v>-1.20277889030974</v>
      </c>
      <c r="AB473" s="6" t="n">
        <v>2.85498842759397</v>
      </c>
      <c r="AC473" s="6" t="n">
        <v>-0.29558609400695</v>
      </c>
      <c r="AD473" s="6" t="n">
        <v>-3.18769783942879</v>
      </c>
      <c r="AE473" s="6" t="n">
        <v>2.1035022209104</v>
      </c>
      <c r="AF473" s="6" t="n">
        <v>0.250588640112213</v>
      </c>
      <c r="AG473" s="6" t="n">
        <v>0.123810701793711</v>
      </c>
      <c r="AH473" s="6" t="n">
        <v>-0.199714771182705</v>
      </c>
      <c r="AI473" s="6" t="n">
        <v>0.455702327723674</v>
      </c>
      <c r="AJ473" s="6" t="n">
        <v>74.917882628795</v>
      </c>
      <c r="AK473" s="6" t="n">
        <v>0.0598342983125533</v>
      </c>
      <c r="AL473" s="6" t="n">
        <v>1.04577512158825</v>
      </c>
      <c r="AN473" s="6" t="n">
        <v>1.27891005942509</v>
      </c>
      <c r="AO473" s="6" t="n">
        <v>1.28743402464261</v>
      </c>
      <c r="AP473" s="6" t="n">
        <v>0.135570691832885</v>
      </c>
      <c r="AQ473" s="6" t="n">
        <v>0</v>
      </c>
      <c r="AR473" s="6" t="n">
        <v>0</v>
      </c>
    </row>
    <row r="474" customFormat="false" ht="15" hidden="false" customHeight="false" outlineLevel="0" collapsed="false">
      <c r="D474" s="0" t="s">
        <v>600</v>
      </c>
      <c r="J474" s="6" t="n">
        <v>0.384342826788221</v>
      </c>
      <c r="K474" s="6" t="n">
        <v>1.56852812295069</v>
      </c>
      <c r="L474" s="6" t="n">
        <v>1.4979611469926</v>
      </c>
      <c r="M474" s="6" t="n">
        <v>-0.353933113422575</v>
      </c>
      <c r="N474" s="6" t="n">
        <v>-0.338029199510472</v>
      </c>
      <c r="O474" s="6" t="n">
        <v>0.401580147974523</v>
      </c>
      <c r="P474" s="6" t="n">
        <v>-2.64591694191429</v>
      </c>
      <c r="Q474" s="6" t="n">
        <v>-0.0786350222982137</v>
      </c>
      <c r="R474" s="6" t="n">
        <v>-0.00206190340171915</v>
      </c>
      <c r="S474" s="6" t="n">
        <v>0.234728471755253</v>
      </c>
      <c r="T474" s="6" t="n">
        <v>-0.61038077508019</v>
      </c>
      <c r="U474" s="6" t="n">
        <v>1.29352902236996</v>
      </c>
      <c r="V474" s="6" t="n">
        <v>-0.101204762111036</v>
      </c>
      <c r="W474" s="6" t="n">
        <v>0.93398256253447</v>
      </c>
      <c r="X474" s="6" t="n">
        <v>1.25413231204861</v>
      </c>
      <c r="Y474" s="6" t="n">
        <v>1.08973930022354</v>
      </c>
      <c r="Z474" s="6" t="n">
        <v>0.92641174968559</v>
      </c>
      <c r="AA474" s="6" t="n">
        <v>1.73752679761977</v>
      </c>
      <c r="AB474" s="6" t="n">
        <v>0.853455338287974</v>
      </c>
      <c r="AC474" s="6" t="n">
        <v>-2.67288045223483</v>
      </c>
      <c r="AD474" s="6" t="n">
        <v>-0.108643817481307</v>
      </c>
      <c r="AE474" s="6" t="n">
        <v>-0.668629801640416</v>
      </c>
      <c r="AF474" s="6" t="n">
        <v>-0.304697062438576</v>
      </c>
      <c r="AG474" s="6" t="n">
        <v>-1.67836318633054</v>
      </c>
      <c r="AH474" s="6" t="n">
        <v>1.8323240266511</v>
      </c>
      <c r="AI474" s="6" t="n">
        <v>0.881438409685074</v>
      </c>
      <c r="AJ474" s="6" t="n">
        <v>73.636279232336</v>
      </c>
      <c r="AK474" s="6" t="n">
        <v>0.076314483001158</v>
      </c>
      <c r="AL474" s="6" t="n">
        <v>1.07154828075307</v>
      </c>
      <c r="AN474" s="6" t="n">
        <v>1.29353823561761</v>
      </c>
      <c r="AO474" s="6" t="n">
        <v>1.29390280861826</v>
      </c>
      <c r="AP474" s="6" t="n">
        <v>0.133558720322553</v>
      </c>
      <c r="AQ474" s="6" t="n">
        <v>0</v>
      </c>
      <c r="AR474" s="6" t="n">
        <v>0</v>
      </c>
    </row>
    <row r="475" customFormat="false" ht="15" hidden="false" customHeight="false" outlineLevel="0" collapsed="false">
      <c r="D475" s="0" t="s">
        <v>601</v>
      </c>
      <c r="J475" s="6" t="n">
        <v>-1.37519636641665</v>
      </c>
      <c r="K475" s="6" t="n">
        <v>-1.69081622588524</v>
      </c>
      <c r="L475" s="6" t="n">
        <v>1.67924868349783</v>
      </c>
      <c r="M475" s="6" t="n">
        <v>-1.44835761244145</v>
      </c>
      <c r="N475" s="6" t="n">
        <v>3.01422679906088</v>
      </c>
      <c r="O475" s="6" t="n">
        <v>-5.52364504226986</v>
      </c>
      <c r="P475" s="6" t="n">
        <v>0.564230846635579</v>
      </c>
      <c r="Q475" s="6" t="n">
        <v>1.74753322506844</v>
      </c>
      <c r="R475" s="6" t="n">
        <v>1.62670242297652</v>
      </c>
      <c r="S475" s="6" t="n">
        <v>1.27682286876275</v>
      </c>
      <c r="T475" s="6" t="n">
        <v>0.819424579765866</v>
      </c>
      <c r="U475" s="6" t="n">
        <v>0.268181228030001</v>
      </c>
      <c r="V475" s="6" t="n">
        <v>3.99529830430097</v>
      </c>
      <c r="W475" s="6" t="n">
        <v>3.48676987368872</v>
      </c>
      <c r="X475" s="6" t="n">
        <v>1.34976392407518</v>
      </c>
      <c r="Y475" s="6" t="n">
        <v>-3.77386722008288</v>
      </c>
      <c r="Z475" s="6" t="n">
        <v>0.123229453044949</v>
      </c>
      <c r="AA475" s="6" t="n">
        <v>-0.612320039559934</v>
      </c>
      <c r="AB475" s="6" t="n">
        <v>2.38745213855848</v>
      </c>
      <c r="AC475" s="6" t="n">
        <v>-1.80527354193429</v>
      </c>
      <c r="AD475" s="6" t="n">
        <v>-4.41219715427925</v>
      </c>
      <c r="AE475" s="6" t="n">
        <v>1.75598666866883</v>
      </c>
      <c r="AF475" s="6" t="n">
        <v>-0.629466590506734</v>
      </c>
      <c r="AG475" s="6" t="n">
        <v>-1.68633196475423</v>
      </c>
      <c r="AH475" s="6" t="n">
        <v>2.05322756163696</v>
      </c>
      <c r="AI475" s="6" t="n">
        <v>3.25256474735992</v>
      </c>
      <c r="AJ475" s="6" t="n">
        <v>63.4031864742443</v>
      </c>
      <c r="AK475" s="6" t="n">
        <v>0.138403855697456</v>
      </c>
      <c r="AL475" s="6" t="n">
        <v>1.06538914830417</v>
      </c>
      <c r="AN475" s="6" t="n">
        <v>1.25535664725786</v>
      </c>
      <c r="AO475" s="6" t="n">
        <v>1.264845609228</v>
      </c>
      <c r="AP475" s="6" t="n">
        <v>0.131486458281421</v>
      </c>
      <c r="AQ475" s="6" t="n">
        <v>0</v>
      </c>
      <c r="AR475" s="6" t="n">
        <v>0</v>
      </c>
    </row>
    <row r="476" customFormat="false" ht="15" hidden="false" customHeight="false" outlineLevel="0" collapsed="false">
      <c r="D476" s="0" t="s">
        <v>602</v>
      </c>
      <c r="J476" s="6" t="n">
        <v>1.39495806397158</v>
      </c>
      <c r="K476" s="6" t="n">
        <v>-1.51301408856911</v>
      </c>
      <c r="L476" s="6" t="n">
        <v>-0.724154051084028</v>
      </c>
      <c r="M476" s="6" t="n">
        <v>-0.620208060953091</v>
      </c>
      <c r="N476" s="6" t="n">
        <v>-0.0843734820322056</v>
      </c>
      <c r="O476" s="6" t="n">
        <v>0.423032350948829</v>
      </c>
      <c r="P476" s="6" t="n">
        <v>-0.924245800051117</v>
      </c>
      <c r="Q476" s="6" t="n">
        <v>3.43646110880925</v>
      </c>
      <c r="R476" s="6" t="n">
        <v>0.0816826239156546</v>
      </c>
      <c r="S476" s="6" t="n">
        <v>1.4438406303728</v>
      </c>
      <c r="T476" s="6" t="n">
        <v>-0.524009020277906</v>
      </c>
      <c r="U476" s="6" t="n">
        <v>-1.23642578632372</v>
      </c>
      <c r="V476" s="6" t="n">
        <v>0.518321702246029</v>
      </c>
      <c r="W476" s="6" t="n">
        <v>-0.647603198140858</v>
      </c>
      <c r="X476" s="6" t="n">
        <v>-0.516823312798898</v>
      </c>
      <c r="Y476" s="6" t="n">
        <v>1.22409941047638</v>
      </c>
      <c r="Z476" s="6" t="n">
        <v>-0.233967082467077</v>
      </c>
      <c r="AA476" s="6" t="n">
        <v>0.961200534863797</v>
      </c>
      <c r="AB476" s="6" t="n">
        <v>-1.71912133736081</v>
      </c>
      <c r="AC476" s="6" t="n">
        <v>0.301823539972242</v>
      </c>
      <c r="AD476" s="6" t="n">
        <v>0.141312558683898</v>
      </c>
      <c r="AE476" s="6" t="n">
        <v>-2.7972648463007</v>
      </c>
      <c r="AF476" s="6" t="n">
        <v>1.00486988434775</v>
      </c>
      <c r="AG476" s="6" t="n">
        <v>-1.64389797333353</v>
      </c>
      <c r="AH476" s="6" t="n">
        <v>0.128700217553417</v>
      </c>
      <c r="AI476" s="6" t="n">
        <v>0.978772429630258</v>
      </c>
      <c r="AJ476" s="6" t="n">
        <v>74.1304876263851</v>
      </c>
      <c r="AK476" s="6" t="n">
        <v>0.174679684315767</v>
      </c>
      <c r="AL476" s="6" t="n">
        <v>1.01636411065268</v>
      </c>
      <c r="AN476" s="6" t="n">
        <v>1.30857040127769</v>
      </c>
      <c r="AO476" s="6" t="n">
        <v>1.30882874996032</v>
      </c>
      <c r="AP476" s="6" t="n">
        <v>0.137073072779951</v>
      </c>
      <c r="AQ476" s="6" t="n">
        <v>0</v>
      </c>
      <c r="AR476" s="6" t="n">
        <v>0</v>
      </c>
    </row>
    <row r="477" customFormat="false" ht="15" hidden="false" customHeight="false" outlineLevel="0" collapsed="false">
      <c r="D477" s="0" t="s">
        <v>603</v>
      </c>
      <c r="J477" s="6" t="n">
        <v>-1.56066840504832</v>
      </c>
      <c r="K477" s="6" t="n">
        <v>3.80910967459748</v>
      </c>
      <c r="L477" s="6" t="n">
        <v>1.39432580554478</v>
      </c>
      <c r="M477" s="6" t="n">
        <v>-0.14129641892802</v>
      </c>
      <c r="N477" s="6" t="n">
        <v>-0.974554905549445</v>
      </c>
      <c r="O477" s="6" t="n">
        <v>0.793143912669977</v>
      </c>
      <c r="P477" s="6" t="n">
        <v>-0.0389400764664469</v>
      </c>
      <c r="Q477" s="6" t="n">
        <v>-2.14646163370745</v>
      </c>
      <c r="R477" s="6" t="n">
        <v>0.550898688940506</v>
      </c>
      <c r="S477" s="6" t="n">
        <v>-0.823939909431374</v>
      </c>
      <c r="T477" s="6" t="n">
        <v>-0.569212036968019</v>
      </c>
      <c r="U477" s="6" t="n">
        <v>3.32926263543436</v>
      </c>
      <c r="V477" s="6" t="n">
        <v>3.49659208277676</v>
      </c>
      <c r="W477" s="6" t="n">
        <v>0.139605581474434</v>
      </c>
      <c r="X477" s="6" t="n">
        <v>-0.959122229205589</v>
      </c>
      <c r="Y477" s="6" t="n">
        <v>-0.799910957023983</v>
      </c>
      <c r="Z477" s="6" t="n">
        <v>-3.72917722875845</v>
      </c>
      <c r="AA477" s="6" t="n">
        <v>0.881114689213341</v>
      </c>
      <c r="AB477" s="6" t="n">
        <v>1.39118587914912</v>
      </c>
      <c r="AC477" s="6" t="n">
        <v>-1.01001742900654</v>
      </c>
      <c r="AD477" s="6" t="n">
        <v>1.61158137483727</v>
      </c>
      <c r="AE477" s="6" t="n">
        <v>-1.33517490808633</v>
      </c>
      <c r="AF477" s="6" t="n">
        <v>2.39620764414162</v>
      </c>
      <c r="AG477" s="6" t="n">
        <v>-2.78184515160165</v>
      </c>
      <c r="AH477" s="6" t="n">
        <v>-0.655875973394177</v>
      </c>
      <c r="AI477" s="6" t="n">
        <v>-1.15106083831773</v>
      </c>
      <c r="AJ477" s="6" t="n">
        <v>77.7633452291938</v>
      </c>
      <c r="AK477" s="6" t="n">
        <v>0.14442439582602</v>
      </c>
      <c r="AL477" s="6" t="n">
        <v>1.08508902516185</v>
      </c>
      <c r="AN477" s="6" t="n">
        <v>1.28025766244962</v>
      </c>
      <c r="AO477" s="6" t="n">
        <v>1.281064299454</v>
      </c>
      <c r="AP477" s="6" t="n">
        <v>0.130879201733777</v>
      </c>
      <c r="AQ477" s="6" t="n">
        <v>0</v>
      </c>
      <c r="AR477" s="6" t="n">
        <v>0</v>
      </c>
    </row>
    <row r="478" customFormat="false" ht="15" hidden="false" customHeight="false" outlineLevel="0" collapsed="false">
      <c r="D478" s="0" t="s">
        <v>604</v>
      </c>
      <c r="J478" s="6" t="n">
        <v>1.89021896681955</v>
      </c>
      <c r="K478" s="6" t="n">
        <v>0.838617277165266</v>
      </c>
      <c r="L478" s="6" t="n">
        <v>2.89143220564296</v>
      </c>
      <c r="M478" s="6" t="n">
        <v>-1.42507470388502</v>
      </c>
      <c r="N478" s="6" t="n">
        <v>2.77037118169813</v>
      </c>
      <c r="O478" s="6" t="n">
        <v>-0.767329362943951</v>
      </c>
      <c r="P478" s="6" t="n">
        <v>3.66777490227206</v>
      </c>
      <c r="Q478" s="6" t="n">
        <v>-2.2962212186357</v>
      </c>
      <c r="R478" s="6" t="n">
        <v>1.12629166939657</v>
      </c>
      <c r="S478" s="6" t="n">
        <v>0.815774699035652</v>
      </c>
      <c r="T478" s="6" t="n">
        <v>2.7417444439453</v>
      </c>
      <c r="U478" s="6" t="n">
        <v>0.934520040473435</v>
      </c>
      <c r="V478" s="6" t="n">
        <v>-0.773336111978836</v>
      </c>
      <c r="W478" s="6" t="n">
        <v>-0.0916569773111214</v>
      </c>
      <c r="X478" s="6" t="n">
        <v>0.369933802327892</v>
      </c>
      <c r="Y478" s="6" t="n">
        <v>-2.66928656647986</v>
      </c>
      <c r="Z478" s="6" t="n">
        <v>3.35039443154809</v>
      </c>
      <c r="AA478" s="6" t="n">
        <v>0.860777969400928</v>
      </c>
      <c r="AB478" s="6" t="n">
        <v>-2.26336430967229</v>
      </c>
      <c r="AC478" s="6" t="n">
        <v>-0.787356767671499</v>
      </c>
      <c r="AD478" s="6" t="n">
        <v>-0.895458842050733</v>
      </c>
      <c r="AE478" s="6" t="n">
        <v>0.176577704935212</v>
      </c>
      <c r="AF478" s="6" t="n">
        <v>-1.70170127479149</v>
      </c>
      <c r="AG478" s="6" t="n">
        <v>-1.27212771311504</v>
      </c>
      <c r="AH478" s="6" t="n">
        <v>1.08346740347946</v>
      </c>
      <c r="AI478" s="6" t="n">
        <v>-1.7346821113578</v>
      </c>
      <c r="AJ478" s="6" t="n">
        <v>76.9808801438246</v>
      </c>
      <c r="AK478" s="6" t="n">
        <v>0.11309330085288</v>
      </c>
      <c r="AL478" s="6" t="n">
        <v>1.01398164748967</v>
      </c>
      <c r="AN478" s="6" t="n">
        <v>1.31452932778117</v>
      </c>
      <c r="AO478" s="6" t="n">
        <v>1.31452932778117</v>
      </c>
      <c r="AP478" s="6" t="n">
        <v>0.138694934912304</v>
      </c>
      <c r="AQ478" s="6" t="n">
        <v>0</v>
      </c>
      <c r="AR478" s="6" t="n">
        <v>0</v>
      </c>
    </row>
    <row r="479" customFormat="false" ht="15" hidden="false" customHeight="false" outlineLevel="0" collapsed="false">
      <c r="D479" s="0" t="s">
        <v>605</v>
      </c>
      <c r="J479" s="6" t="n">
        <v>2.66960994348451</v>
      </c>
      <c r="K479" s="6" t="n">
        <v>-0.858618728348923</v>
      </c>
      <c r="L479" s="6" t="n">
        <v>0.901821005182921</v>
      </c>
      <c r="M479" s="6" t="n">
        <v>-0.0532632701454048</v>
      </c>
      <c r="N479" s="6" t="n">
        <v>1.73835043154256</v>
      </c>
      <c r="O479" s="6" t="n">
        <v>-1.07136966373984</v>
      </c>
      <c r="P479" s="6" t="n">
        <v>1.83826959743931</v>
      </c>
      <c r="Q479" s="6" t="n">
        <v>-1.7998761879069</v>
      </c>
      <c r="R479" s="6" t="n">
        <v>1.97222520467843</v>
      </c>
      <c r="S479" s="6" t="n">
        <v>-2.00389089877743</v>
      </c>
      <c r="T479" s="6" t="n">
        <v>1.0339304412635</v>
      </c>
      <c r="U479" s="6" t="n">
        <v>0.891143382025418</v>
      </c>
      <c r="V479" s="6" t="n">
        <v>1.3318876626127</v>
      </c>
      <c r="W479" s="6" t="n">
        <v>-0.177976147864618</v>
      </c>
      <c r="X479" s="6" t="n">
        <v>-4.52219500693588</v>
      </c>
      <c r="Y479" s="6" t="n">
        <v>-1.60718126046773</v>
      </c>
      <c r="Z479" s="6" t="n">
        <v>2.73518495693117</v>
      </c>
      <c r="AA479" s="6" t="n">
        <v>1.65831461751894</v>
      </c>
      <c r="AB479" s="6" t="n">
        <v>-0.496461478725779</v>
      </c>
      <c r="AC479" s="6" t="n">
        <v>-0.900448826161862</v>
      </c>
      <c r="AD479" s="6" t="n">
        <v>3.35844283744303</v>
      </c>
      <c r="AE479" s="6" t="n">
        <v>-0.446973786188429</v>
      </c>
      <c r="AF479" s="6" t="n">
        <v>0.201087553554743</v>
      </c>
      <c r="AG479" s="6" t="n">
        <v>-0.125787859857104</v>
      </c>
      <c r="AH479" s="6" t="n">
        <v>0.681246999106816</v>
      </c>
      <c r="AI479" s="6" t="n">
        <v>1.06299487878728</v>
      </c>
      <c r="AJ479" s="6" t="n">
        <v>81.3692833377028</v>
      </c>
      <c r="AK479" s="6" t="n">
        <v>0.063020428273186</v>
      </c>
      <c r="AL479" s="6" t="n">
        <v>1.02827197543354</v>
      </c>
      <c r="AN479" s="6" t="n">
        <v>1.31627921453517</v>
      </c>
      <c r="AO479" s="6" t="n">
        <v>1.31627921453517</v>
      </c>
      <c r="AP479" s="6" t="n">
        <v>0.138679903724873</v>
      </c>
      <c r="AQ479" s="6" t="n">
        <v>0</v>
      </c>
      <c r="AR479" s="6" t="n">
        <v>0</v>
      </c>
    </row>
    <row r="480" customFormat="false" ht="15" hidden="false" customHeight="false" outlineLevel="0" collapsed="false">
      <c r="D480" s="0" t="s">
        <v>606</v>
      </c>
      <c r="J480" s="6" t="n">
        <v>-0.685161964647919</v>
      </c>
      <c r="K480" s="6" t="n">
        <v>-0.643258199052769</v>
      </c>
      <c r="L480" s="6" t="n">
        <v>-0.298807495747288</v>
      </c>
      <c r="M480" s="6" t="n">
        <v>-0.884627602562161</v>
      </c>
      <c r="N480" s="6" t="n">
        <v>2.6686033836336</v>
      </c>
      <c r="O480" s="6" t="n">
        <v>1.51465230112166</v>
      </c>
      <c r="P480" s="6" t="n">
        <v>-0.182404954560026</v>
      </c>
      <c r="Q480" s="6" t="n">
        <v>0.00553239996772161</v>
      </c>
      <c r="R480" s="6" t="n">
        <v>1.60457407030923</v>
      </c>
      <c r="S480" s="6" t="n">
        <v>-4.07208552859549</v>
      </c>
      <c r="T480" s="6" t="n">
        <v>1.90100904932368</v>
      </c>
      <c r="U480" s="6" t="n">
        <v>2.82927076466982</v>
      </c>
      <c r="V480" s="6" t="n">
        <v>-2.42912135937361</v>
      </c>
      <c r="W480" s="6" t="n">
        <v>5</v>
      </c>
      <c r="X480" s="6" t="n">
        <v>1.74777570963459</v>
      </c>
      <c r="Y480" s="6" t="n">
        <v>-0.700092823627513</v>
      </c>
      <c r="Z480" s="6" t="n">
        <v>-3.74938654931732</v>
      </c>
      <c r="AA480" s="6" t="n">
        <v>-2.02440911004259</v>
      </c>
      <c r="AB480" s="6" t="n">
        <v>-0.738130562660015</v>
      </c>
      <c r="AC480" s="6" t="n">
        <v>-0.606216894094989</v>
      </c>
      <c r="AD480" s="6" t="n">
        <v>1.35899812954947</v>
      </c>
      <c r="AE480" s="6" t="n">
        <v>-1.66245633405715</v>
      </c>
      <c r="AF480" s="6" t="n">
        <v>0.410479204094843</v>
      </c>
      <c r="AG480" s="6" t="n">
        <v>-1.60194707593145</v>
      </c>
      <c r="AH480" s="6" t="n">
        <v>-2.25497297555972</v>
      </c>
      <c r="AI480" s="6" t="n">
        <v>-2.61743448580258</v>
      </c>
      <c r="AJ480" s="6" t="n">
        <v>77.2202549126532</v>
      </c>
      <c r="AK480" s="6" t="n">
        <v>0.0573864600143766</v>
      </c>
      <c r="AL480" s="6" t="n">
        <v>1.06098340735581</v>
      </c>
      <c r="AN480" s="6" t="n">
        <v>1.30050378748634</v>
      </c>
      <c r="AO480" s="6" t="n">
        <v>1.30050678301301</v>
      </c>
      <c r="AP480" s="6" t="n">
        <v>0.135114093325609</v>
      </c>
      <c r="AQ480" s="6" t="n">
        <v>0</v>
      </c>
      <c r="AR480" s="6" t="n">
        <v>0</v>
      </c>
    </row>
    <row r="481" customFormat="false" ht="15" hidden="false" customHeight="false" outlineLevel="0" collapsed="false">
      <c r="D481" s="0" t="s">
        <v>607</v>
      </c>
      <c r="J481" s="6" t="n">
        <v>-2.77962328155968</v>
      </c>
      <c r="K481" s="6" t="n">
        <v>0.982429456883354</v>
      </c>
      <c r="L481" s="6" t="n">
        <v>-0.0365380000506404</v>
      </c>
      <c r="M481" s="6" t="n">
        <v>1.29887139908436</v>
      </c>
      <c r="N481" s="6" t="n">
        <v>-0.59798704036679</v>
      </c>
      <c r="O481" s="6" t="n">
        <v>0.978124891304566</v>
      </c>
      <c r="P481" s="6" t="n">
        <v>4.25397010958421</v>
      </c>
      <c r="Q481" s="6" t="n">
        <v>-0.12983867635438</v>
      </c>
      <c r="R481" s="6" t="n">
        <v>-0.543104662859164</v>
      </c>
      <c r="S481" s="6" t="n">
        <v>0.0429408147464335</v>
      </c>
      <c r="T481" s="6" t="n">
        <v>-2.90026835583565</v>
      </c>
      <c r="U481" s="6" t="n">
        <v>-0.172584383304081</v>
      </c>
      <c r="V481" s="6" t="n">
        <v>-3.32900648851962</v>
      </c>
      <c r="W481" s="6" t="n">
        <v>-4.32849689582921</v>
      </c>
      <c r="X481" s="6" t="n">
        <v>-0.127082384350737</v>
      </c>
      <c r="Y481" s="6" t="n">
        <v>-1.65292932536304</v>
      </c>
      <c r="Z481" s="6" t="n">
        <v>-0.488905881128565</v>
      </c>
      <c r="AA481" s="6" t="n">
        <v>1.04659951134937</v>
      </c>
      <c r="AB481" s="6" t="n">
        <v>-2.86926414083669</v>
      </c>
      <c r="AC481" s="6" t="n">
        <v>-0.729396336802527</v>
      </c>
      <c r="AD481" s="6" t="n">
        <v>-0.0215150510762483</v>
      </c>
      <c r="AE481" s="6" t="n">
        <v>2.07146381013508</v>
      </c>
      <c r="AF481" s="6" t="n">
        <v>1.97642240338625</v>
      </c>
      <c r="AG481" s="6" t="n">
        <v>0.188230096387555</v>
      </c>
      <c r="AH481" s="6" t="n">
        <v>2.74222495451579</v>
      </c>
      <c r="AI481" s="6" t="n">
        <v>3.20692115983102</v>
      </c>
      <c r="AJ481" s="6" t="n">
        <v>66.2779736507297</v>
      </c>
      <c r="AK481" s="6" t="n">
        <v>0.120916439063014</v>
      </c>
      <c r="AL481" s="6" t="n">
        <v>1.09399017804331</v>
      </c>
      <c r="AN481" s="6" t="n">
        <v>1.27491661125401</v>
      </c>
      <c r="AO481" s="6" t="n">
        <v>1.27637763772801</v>
      </c>
      <c r="AP481" s="6" t="n">
        <v>0.130804728339652</v>
      </c>
      <c r="AQ481" s="6" t="n">
        <v>0</v>
      </c>
      <c r="AR481" s="6" t="n">
        <v>0</v>
      </c>
    </row>
    <row r="482" customFormat="false" ht="15" hidden="false" customHeight="false" outlineLevel="0" collapsed="false">
      <c r="D482" s="0" t="s">
        <v>608</v>
      </c>
      <c r="J482" s="6" t="n">
        <v>-0.532875548163135</v>
      </c>
      <c r="K482" s="6" t="n">
        <v>1.92892528514888</v>
      </c>
      <c r="L482" s="6" t="n">
        <v>2.49061687274727</v>
      </c>
      <c r="M482" s="6" t="n">
        <v>-0.28896582102038</v>
      </c>
      <c r="N482" s="6" t="n">
        <v>0.812370316154257</v>
      </c>
      <c r="O482" s="6" t="n">
        <v>-0.0746934979039687</v>
      </c>
      <c r="P482" s="6" t="n">
        <v>-0.689574432822236</v>
      </c>
      <c r="Q482" s="6" t="n">
        <v>-0.997725605716154</v>
      </c>
      <c r="R482" s="6" t="n">
        <v>-1.65663270841213</v>
      </c>
      <c r="S482" s="6" t="n">
        <v>-0.308685411766406</v>
      </c>
      <c r="T482" s="6" t="n">
        <v>4.06629579905653</v>
      </c>
      <c r="U482" s="6" t="n">
        <v>0.838945619421844</v>
      </c>
      <c r="V482" s="6" t="n">
        <v>1.63251349507065</v>
      </c>
      <c r="W482" s="6" t="n">
        <v>0.456994810555404</v>
      </c>
      <c r="X482" s="6" t="n">
        <v>-1.60696701971169</v>
      </c>
      <c r="Y482" s="6" t="n">
        <v>0.404487635111962</v>
      </c>
      <c r="Z482" s="6" t="n">
        <v>-0.636318883541902</v>
      </c>
      <c r="AA482" s="6" t="n">
        <v>-0.130145235396024</v>
      </c>
      <c r="AB482" s="6" t="n">
        <v>2.15266520434876</v>
      </c>
      <c r="AC482" s="6" t="n">
        <v>-0.0968670199740638</v>
      </c>
      <c r="AD482" s="6" t="n">
        <v>-2.35010965578055</v>
      </c>
      <c r="AE482" s="6" t="n">
        <v>-2.39878318644239</v>
      </c>
      <c r="AF482" s="6" t="n">
        <v>1.08939198843972</v>
      </c>
      <c r="AG482" s="6" t="n">
        <v>0.0426318276196687</v>
      </c>
      <c r="AH482" s="6" t="n">
        <v>-2.35553510647616</v>
      </c>
      <c r="AI482" s="6" t="n">
        <v>1.44856162385408</v>
      </c>
      <c r="AJ482" s="6" t="n">
        <v>64.87495263067</v>
      </c>
      <c r="AK482" s="6" t="n">
        <v>0.112568512789915</v>
      </c>
      <c r="AL482" s="6" t="n">
        <v>1.03273929613594</v>
      </c>
      <c r="AN482" s="6" t="n">
        <v>1.30165882815916</v>
      </c>
      <c r="AO482" s="6" t="n">
        <v>1.30182614441535</v>
      </c>
      <c r="AP482" s="6" t="n">
        <v>0.135265079108854</v>
      </c>
      <c r="AQ482" s="6" t="n">
        <v>0</v>
      </c>
      <c r="AR482" s="6" t="n">
        <v>0</v>
      </c>
    </row>
    <row r="483" customFormat="false" ht="15" hidden="false" customHeight="false" outlineLevel="0" collapsed="false">
      <c r="D483" s="0" t="s">
        <v>609</v>
      </c>
      <c r="J483" s="6" t="n">
        <v>1.44070739497784</v>
      </c>
      <c r="K483" s="6" t="n">
        <v>1.9385034727066</v>
      </c>
      <c r="L483" s="6" t="n">
        <v>-0.60281249470155</v>
      </c>
      <c r="M483" s="6" t="n">
        <v>-0.226720274004636</v>
      </c>
      <c r="N483" s="6" t="n">
        <v>1.2136869217352</v>
      </c>
      <c r="O483" s="6" t="n">
        <v>-0.207901050778255</v>
      </c>
      <c r="P483" s="6" t="n">
        <v>0.368539806663412</v>
      </c>
      <c r="Q483" s="6" t="n">
        <v>3.83901250304825</v>
      </c>
      <c r="R483" s="6" t="n">
        <v>-2.27675294606877</v>
      </c>
      <c r="S483" s="6" t="n">
        <v>-2.38042537438708</v>
      </c>
      <c r="T483" s="6" t="n">
        <v>-3.28448970360358</v>
      </c>
      <c r="U483" s="6" t="n">
        <v>-0.066823981997258</v>
      </c>
      <c r="V483" s="6" t="n">
        <v>-1.68558513565343</v>
      </c>
      <c r="W483" s="6" t="n">
        <v>-0.246310919241517</v>
      </c>
      <c r="X483" s="6" t="n">
        <v>-1.38609599719313</v>
      </c>
      <c r="Y483" s="6" t="n">
        <v>0.77930696938016</v>
      </c>
      <c r="Z483" s="6" t="n">
        <v>0.240675879427541</v>
      </c>
      <c r="AA483" s="6" t="n">
        <v>0.502364818958994</v>
      </c>
      <c r="AB483" s="6" t="n">
        <v>-3.90543765744525</v>
      </c>
      <c r="AC483" s="6" t="n">
        <v>1.21970858149705</v>
      </c>
      <c r="AD483" s="6" t="n">
        <v>0.299551782271559</v>
      </c>
      <c r="AE483" s="6" t="n">
        <v>-1.38914803460482</v>
      </c>
      <c r="AF483" s="6" t="n">
        <v>-0.335369497525957</v>
      </c>
      <c r="AG483" s="6" t="n">
        <v>0.658468557000675</v>
      </c>
      <c r="AH483" s="6" t="n">
        <v>2.38391011041315</v>
      </c>
      <c r="AI483" s="6" t="n">
        <v>-0.0360221296310326</v>
      </c>
      <c r="AJ483" s="6" t="n">
        <v>70.4376190569563</v>
      </c>
      <c r="AK483" s="6" t="n">
        <v>0.14074877353564</v>
      </c>
      <c r="AL483" s="6" t="n">
        <v>1.02767195917629</v>
      </c>
      <c r="AN483" s="6" t="n">
        <v>1.30420671686873</v>
      </c>
      <c r="AO483" s="6" t="n">
        <v>1.30455331722388</v>
      </c>
      <c r="AP483" s="6" t="n">
        <v>0.136015460059133</v>
      </c>
      <c r="AQ483" s="6" t="n">
        <v>0</v>
      </c>
      <c r="AR483" s="6" t="n">
        <v>0</v>
      </c>
    </row>
    <row r="484" customFormat="false" ht="15" hidden="false" customHeight="false" outlineLevel="0" collapsed="false">
      <c r="D484" s="0" t="s">
        <v>610</v>
      </c>
      <c r="J484" s="6" t="n">
        <v>-0.697884210246592</v>
      </c>
      <c r="K484" s="6" t="n">
        <v>1.44590373313333</v>
      </c>
      <c r="L484" s="6" t="n">
        <v>-2.11189463879373</v>
      </c>
      <c r="M484" s="6" t="n">
        <v>2.22674818795203</v>
      </c>
      <c r="N484" s="6" t="n">
        <v>-5.78296242931742</v>
      </c>
      <c r="O484" s="6" t="n">
        <v>-3.41412098610559</v>
      </c>
      <c r="P484" s="6" t="n">
        <v>0.666577106690703</v>
      </c>
      <c r="Q484" s="6" t="n">
        <v>-1.70887429350531</v>
      </c>
      <c r="R484" s="6" t="n">
        <v>-2.01649061211597</v>
      </c>
      <c r="S484" s="6" t="n">
        <v>-1.13819051537843</v>
      </c>
      <c r="T484" s="6" t="n">
        <v>-1.86305745500541</v>
      </c>
      <c r="U484" s="6" t="n">
        <v>-0.134665960058641</v>
      </c>
      <c r="V484" s="6" t="n">
        <v>-2.11120163166249</v>
      </c>
      <c r="W484" s="6" t="n">
        <v>0.573494477854504</v>
      </c>
      <c r="X484" s="6" t="n">
        <v>-2.87289322745076</v>
      </c>
      <c r="Y484" s="6" t="n">
        <v>-2.68406711492049</v>
      </c>
      <c r="Z484" s="6" t="n">
        <v>0.166836881203662</v>
      </c>
      <c r="AA484" s="6" t="n">
        <v>2.90056645986463</v>
      </c>
      <c r="AB484" s="6" t="n">
        <v>2.70683896508729</v>
      </c>
      <c r="AC484" s="6" t="n">
        <v>-2.03190252533997</v>
      </c>
      <c r="AD484" s="6" t="n">
        <v>-0.278485445497703</v>
      </c>
      <c r="AE484" s="6" t="n">
        <v>-0.394982926027499</v>
      </c>
      <c r="AF484" s="6" t="n">
        <v>2.92469797904899</v>
      </c>
      <c r="AG484" s="6" t="n">
        <v>-1.03577145845772</v>
      </c>
      <c r="AH484" s="6" t="n">
        <v>2.21168277906028</v>
      </c>
      <c r="AI484" s="6" t="n">
        <v>-2.36091389138972</v>
      </c>
      <c r="AJ484" s="6" t="n">
        <v>78.3826977574349</v>
      </c>
      <c r="AK484" s="6" t="n">
        <v>0.0822825718649179</v>
      </c>
      <c r="AL484" s="6" t="n">
        <v>0.99484699821029</v>
      </c>
      <c r="AN484" s="6" t="n">
        <v>1.30915156240703</v>
      </c>
      <c r="AO484" s="6" t="n">
        <v>1.31303733549716</v>
      </c>
      <c r="AP484" s="6" t="n">
        <v>0.142895998712136</v>
      </c>
      <c r="AQ484" s="6" t="n">
        <v>0</v>
      </c>
      <c r="AR484" s="6" t="n">
        <v>0</v>
      </c>
    </row>
    <row r="485" customFormat="false" ht="15" hidden="false" customHeight="false" outlineLevel="0" collapsed="false">
      <c r="D485" s="0" t="s">
        <v>611</v>
      </c>
      <c r="J485" s="6" t="n">
        <v>-2.27885553759014</v>
      </c>
      <c r="K485" s="6" t="n">
        <v>0.969112056332215</v>
      </c>
      <c r="L485" s="6" t="n">
        <v>-2.03921292428965</v>
      </c>
      <c r="M485" s="6" t="n">
        <v>-0.452527326735484</v>
      </c>
      <c r="N485" s="6" t="n">
        <v>-1.70465004380633</v>
      </c>
      <c r="O485" s="6" t="n">
        <v>-2.2280129242828</v>
      </c>
      <c r="P485" s="6" t="n">
        <v>-3.33204213252422</v>
      </c>
      <c r="Q485" s="6" t="n">
        <v>-1.34828541969</v>
      </c>
      <c r="R485" s="6" t="n">
        <v>0.881700037237441</v>
      </c>
      <c r="S485" s="6" t="n">
        <v>2.5038535031776</v>
      </c>
      <c r="T485" s="6" t="n">
        <v>0.510879234131712</v>
      </c>
      <c r="U485" s="6" t="n">
        <v>1.05965232029413</v>
      </c>
      <c r="V485" s="6" t="n">
        <v>-0.577627560237484</v>
      </c>
      <c r="W485" s="6" t="n">
        <v>2.23562466731517</v>
      </c>
      <c r="X485" s="6" t="n">
        <v>-0.811062102414135</v>
      </c>
      <c r="Y485" s="6" t="n">
        <v>-3.35875029223072</v>
      </c>
      <c r="Z485" s="6" t="n">
        <v>-0.258404496192509</v>
      </c>
      <c r="AA485" s="6" t="n">
        <v>-0.63233836904523</v>
      </c>
      <c r="AB485" s="6" t="n">
        <v>1.41825374555384</v>
      </c>
      <c r="AC485" s="6" t="n">
        <v>2.27740685018946</v>
      </c>
      <c r="AD485" s="6" t="n">
        <v>2.55603308338455</v>
      </c>
      <c r="AE485" s="6" t="n">
        <v>-3.30671765346757</v>
      </c>
      <c r="AF485" s="6" t="n">
        <v>2.14593905016712</v>
      </c>
      <c r="AG485" s="6" t="n">
        <v>0.0130143062108248</v>
      </c>
      <c r="AH485" s="6" t="n">
        <v>-1.18736532345882</v>
      </c>
      <c r="AI485" s="6" t="n">
        <v>-1.00697292634539</v>
      </c>
      <c r="AJ485" s="6" t="n">
        <v>73.8591973353066</v>
      </c>
      <c r="AK485" s="6" t="n">
        <v>0.115656958483148</v>
      </c>
      <c r="AL485" s="6" t="n">
        <v>1.08743108021461</v>
      </c>
      <c r="AN485" s="6" t="n">
        <v>1.2870218849678</v>
      </c>
      <c r="AO485" s="6" t="n">
        <v>1.28748224861546</v>
      </c>
      <c r="AP485" s="6" t="n">
        <v>0.131521774398442</v>
      </c>
      <c r="AQ485" s="6" t="n">
        <v>0</v>
      </c>
      <c r="AR485" s="6" t="n">
        <v>0</v>
      </c>
    </row>
    <row r="486" customFormat="false" ht="15" hidden="false" customHeight="false" outlineLevel="0" collapsed="false">
      <c r="D486" s="0" t="s">
        <v>612</v>
      </c>
      <c r="J486" s="6" t="n">
        <v>-0.256923195050969</v>
      </c>
      <c r="K486" s="6" t="n">
        <v>-1.1539793074232</v>
      </c>
      <c r="L486" s="6" t="n">
        <v>-0.317923469971374</v>
      </c>
      <c r="M486" s="6" t="n">
        <v>-2.03077272955822</v>
      </c>
      <c r="N486" s="6" t="n">
        <v>-0.534194708093836</v>
      </c>
      <c r="O486" s="6" t="n">
        <v>1.49815623078446</v>
      </c>
      <c r="P486" s="6" t="n">
        <v>-0.423639662522849</v>
      </c>
      <c r="Q486" s="6" t="n">
        <v>1.99550203424013</v>
      </c>
      <c r="R486" s="6" t="n">
        <v>0.863715127694058</v>
      </c>
      <c r="S486" s="6" t="n">
        <v>-2.20480189212696</v>
      </c>
      <c r="T486" s="6" t="n">
        <v>-0.55082372539687</v>
      </c>
      <c r="U486" s="6" t="n">
        <v>-0.201547651572703</v>
      </c>
      <c r="V486" s="6" t="n">
        <v>2.84314192286431</v>
      </c>
      <c r="W486" s="6" t="n">
        <v>0.467045329389088</v>
      </c>
      <c r="X486" s="6" t="n">
        <v>-0.221860332368936</v>
      </c>
      <c r="Y486" s="6" t="n">
        <v>-1.10118996480798</v>
      </c>
      <c r="Z486" s="6" t="n">
        <v>1.33633286183544</v>
      </c>
      <c r="AA486" s="6" t="n">
        <v>-2.47318807497952</v>
      </c>
      <c r="AB486" s="6" t="n">
        <v>0.0937387032495501</v>
      </c>
      <c r="AC486" s="6" t="n">
        <v>0.647945085777647</v>
      </c>
      <c r="AD486" s="6" t="n">
        <v>0.956961108494672</v>
      </c>
      <c r="AE486" s="6" t="n">
        <v>-4.37629015832044</v>
      </c>
      <c r="AF486" s="6" t="n">
        <v>-1.28993858570394</v>
      </c>
      <c r="AG486" s="6" t="n">
        <v>-2.04254069258479</v>
      </c>
      <c r="AH486" s="6" t="n">
        <v>0.358659236780904</v>
      </c>
      <c r="AI486" s="6" t="n">
        <v>-1.05009774803175</v>
      </c>
      <c r="AJ486" s="6" t="n">
        <v>61.165425128484</v>
      </c>
      <c r="AK486" s="6" t="n">
        <v>0.0473082677664099</v>
      </c>
      <c r="AL486" s="6" t="n">
        <v>1.03649926346982</v>
      </c>
      <c r="AN486" s="6" t="n">
        <v>1.30182097663687</v>
      </c>
      <c r="AO486" s="6" t="n">
        <v>1.30251206200648</v>
      </c>
      <c r="AP486" s="6" t="n">
        <v>0.135960804618518</v>
      </c>
      <c r="AQ486" s="6" t="n">
        <v>0</v>
      </c>
      <c r="AR486" s="6" t="n">
        <v>0</v>
      </c>
    </row>
    <row r="487" customFormat="false" ht="15" hidden="false" customHeight="false" outlineLevel="0" collapsed="false">
      <c r="D487" s="0" t="s">
        <v>613</v>
      </c>
      <c r="J487" s="6" t="n">
        <v>2.34261092840646</v>
      </c>
      <c r="K487" s="6" t="n">
        <v>-0.809464959155962</v>
      </c>
      <c r="L487" s="6" t="n">
        <v>-1.40662273768586</v>
      </c>
      <c r="M487" s="6" t="n">
        <v>-2.53052307958811</v>
      </c>
      <c r="N487" s="6" t="n">
        <v>-2.39322900888627</v>
      </c>
      <c r="O487" s="6" t="n">
        <v>0.434781615746163</v>
      </c>
      <c r="P487" s="6" t="n">
        <v>0.571273893152011</v>
      </c>
      <c r="Q487" s="6" t="n">
        <v>1.56234231297967</v>
      </c>
      <c r="R487" s="6" t="n">
        <v>1.09704187378909</v>
      </c>
      <c r="S487" s="6" t="n">
        <v>2.588035722333</v>
      </c>
      <c r="T487" s="6" t="n">
        <v>0.151739192570996</v>
      </c>
      <c r="U487" s="6" t="n">
        <v>-2.52832304917657</v>
      </c>
      <c r="V487" s="6" t="n">
        <v>1.49519403648435</v>
      </c>
      <c r="W487" s="6" t="n">
        <v>3.24656617633333</v>
      </c>
      <c r="X487" s="6" t="n">
        <v>-2.44059746397772</v>
      </c>
      <c r="Y487" s="6" t="n">
        <v>0.49234484418741</v>
      </c>
      <c r="Z487" s="6" t="n">
        <v>-0.200386983941216</v>
      </c>
      <c r="AA487" s="6" t="n">
        <v>1.19436157823629</v>
      </c>
      <c r="AB487" s="6" t="n">
        <v>1.16597456973439</v>
      </c>
      <c r="AC487" s="6" t="n">
        <v>2.14081007503638</v>
      </c>
      <c r="AD487" s="6" t="n">
        <v>-0.293789826514537</v>
      </c>
      <c r="AE487" s="6" t="n">
        <v>1.55152370787135</v>
      </c>
      <c r="AF487" s="6" t="n">
        <v>-1.13286298754448</v>
      </c>
      <c r="AG487" s="6" t="n">
        <v>-0.106499692289669</v>
      </c>
      <c r="AH487" s="6" t="n">
        <v>-1.42644842761105</v>
      </c>
      <c r="AI487" s="6" t="n">
        <v>-2.7018770357727</v>
      </c>
      <c r="AJ487" s="6" t="n">
        <v>75.9779004580423</v>
      </c>
      <c r="AK487" s="6" t="n">
        <v>0.183847206830766</v>
      </c>
      <c r="AL487" s="6" t="n">
        <v>1.05340255785412</v>
      </c>
      <c r="AN487" s="6" t="n">
        <v>1.28759653072016</v>
      </c>
      <c r="AO487" s="6" t="n">
        <v>1.28851672509148</v>
      </c>
      <c r="AP487" s="6" t="n">
        <v>0.132176331825691</v>
      </c>
      <c r="AQ487" s="6" t="n">
        <v>0</v>
      </c>
      <c r="AR487" s="6" t="n">
        <v>0</v>
      </c>
    </row>
    <row r="488" customFormat="false" ht="15" hidden="false" customHeight="false" outlineLevel="0" collapsed="false">
      <c r="D488" s="0" t="s">
        <v>614</v>
      </c>
      <c r="J488" s="6" t="n">
        <v>-1.22183100014186</v>
      </c>
      <c r="K488" s="6" t="n">
        <v>-1.65461164840939</v>
      </c>
      <c r="L488" s="6" t="n">
        <v>-1.49363437520356</v>
      </c>
      <c r="M488" s="6" t="n">
        <v>1.52406350649836</v>
      </c>
      <c r="N488" s="6" t="n">
        <v>3.47663829939822</v>
      </c>
      <c r="O488" s="6" t="n">
        <v>0.722094876634288</v>
      </c>
      <c r="P488" s="6" t="n">
        <v>-2.82856790219599</v>
      </c>
      <c r="Q488" s="6" t="n">
        <v>0.439457292044893</v>
      </c>
      <c r="R488" s="6" t="n">
        <v>-0.635231058324928</v>
      </c>
      <c r="S488" s="6" t="n">
        <v>-1.16976059308613</v>
      </c>
      <c r="T488" s="6" t="n">
        <v>-0.27781576150329</v>
      </c>
      <c r="U488" s="6" t="n">
        <v>2.82987699467112</v>
      </c>
      <c r="V488" s="6" t="n">
        <v>-0.716845584060419</v>
      </c>
      <c r="W488" s="6" t="n">
        <v>1.20198720844566</v>
      </c>
      <c r="X488" s="6" t="n">
        <v>-1.02531769993337</v>
      </c>
      <c r="Y488" s="6" t="n">
        <v>-0.917350884413159</v>
      </c>
      <c r="Z488" s="6" t="n">
        <v>-3.50493184133341</v>
      </c>
      <c r="AA488" s="6" t="n">
        <v>-1.17340766271264</v>
      </c>
      <c r="AB488" s="6" t="n">
        <v>2.65949204623449</v>
      </c>
      <c r="AC488" s="6" t="n">
        <v>0.133131511802031</v>
      </c>
      <c r="AD488" s="6" t="n">
        <v>1.63548179225375</v>
      </c>
      <c r="AE488" s="6" t="n">
        <v>0.930691270753335</v>
      </c>
      <c r="AF488" s="6" t="n">
        <v>-3.12541729236255</v>
      </c>
      <c r="AG488" s="6" t="n">
        <v>0.466924036805973</v>
      </c>
      <c r="AH488" s="6" t="n">
        <v>0.74347070059025</v>
      </c>
      <c r="AI488" s="6" t="n">
        <v>1.32253036090077</v>
      </c>
      <c r="AJ488" s="6" t="n">
        <v>81.0396616251651</v>
      </c>
      <c r="AK488" s="6" t="n">
        <v>0.0682612895396726</v>
      </c>
      <c r="AL488" s="6" t="n">
        <v>1.12468408124411</v>
      </c>
      <c r="AN488" s="6" t="n">
        <v>1.28080123671824</v>
      </c>
      <c r="AO488" s="6" t="n">
        <v>1.28097145473162</v>
      </c>
      <c r="AP488" s="6" t="n">
        <v>0.131576341261791</v>
      </c>
      <c r="AQ488" s="6" t="n">
        <v>0</v>
      </c>
      <c r="AR488" s="6" t="n">
        <v>0</v>
      </c>
    </row>
    <row r="489" customFormat="false" ht="15" hidden="false" customHeight="false" outlineLevel="0" collapsed="false">
      <c r="D489" s="0" t="s">
        <v>615</v>
      </c>
      <c r="J489" s="6" t="n">
        <v>4.62957902984996</v>
      </c>
      <c r="K489" s="6" t="n">
        <v>0.228263407300828</v>
      </c>
      <c r="L489" s="6" t="n">
        <v>-1.23622684619851</v>
      </c>
      <c r="M489" s="6" t="n">
        <v>-0.337796833833719</v>
      </c>
      <c r="N489" s="6" t="n">
        <v>0.802336647743914</v>
      </c>
      <c r="O489" s="6" t="n">
        <v>-2.13675472715239</v>
      </c>
      <c r="P489" s="6" t="n">
        <v>-1.29015493979861</v>
      </c>
      <c r="Q489" s="6" t="n">
        <v>1.07624788444991</v>
      </c>
      <c r="R489" s="6" t="n">
        <v>2.41430010857204</v>
      </c>
      <c r="S489" s="6" t="n">
        <v>-1.65213540564494</v>
      </c>
      <c r="T489" s="6" t="n">
        <v>-1.38666369794031</v>
      </c>
      <c r="U489" s="6" t="n">
        <v>-1.36702052995799</v>
      </c>
      <c r="V489" s="6" t="n">
        <v>2.93868364500013</v>
      </c>
      <c r="W489" s="6" t="n">
        <v>-0.0952887631917104</v>
      </c>
      <c r="X489" s="6" t="n">
        <v>-0.372938410248145</v>
      </c>
      <c r="Y489" s="6" t="n">
        <v>-2.14376350614743</v>
      </c>
      <c r="Z489" s="6" t="n">
        <v>-0.725634544737801</v>
      </c>
      <c r="AA489" s="6" t="n">
        <v>-2.36495291773941</v>
      </c>
      <c r="AB489" s="6" t="n">
        <v>4.1311823954459</v>
      </c>
      <c r="AC489" s="6" t="n">
        <v>-1.72530031481031</v>
      </c>
      <c r="AD489" s="6" t="n">
        <v>-1.49120431783353</v>
      </c>
      <c r="AE489" s="6" t="n">
        <v>-2.28297389767087</v>
      </c>
      <c r="AF489" s="6" t="n">
        <v>-2.90954872159578</v>
      </c>
      <c r="AG489" s="6" t="n">
        <v>0.661937654143344</v>
      </c>
      <c r="AH489" s="6" t="n">
        <v>-0.577336586747717</v>
      </c>
      <c r="AI489" s="6" t="n">
        <v>0.421238645009473</v>
      </c>
      <c r="AJ489" s="6" t="n">
        <v>63.5930460213299</v>
      </c>
      <c r="AK489" s="6" t="n">
        <v>0.0766997996109692</v>
      </c>
      <c r="AL489" s="6" t="n">
        <v>1.02806725215724</v>
      </c>
      <c r="AN489" s="6" t="n">
        <v>1.30718357441402</v>
      </c>
      <c r="AO489" s="6" t="n">
        <v>1.30857109577923</v>
      </c>
      <c r="AP489" s="6" t="n">
        <v>0.136698761369558</v>
      </c>
      <c r="AQ489" s="6" t="n">
        <v>0</v>
      </c>
      <c r="AR489" s="6" t="n">
        <v>0</v>
      </c>
    </row>
    <row r="490" customFormat="false" ht="15" hidden="false" customHeight="false" outlineLevel="0" collapsed="false">
      <c r="D490" s="0" t="s">
        <v>616</v>
      </c>
      <c r="J490" s="6" t="n">
        <v>2.18496914281921</v>
      </c>
      <c r="K490" s="6" t="n">
        <v>-0.134488596661525</v>
      </c>
      <c r="L490" s="6" t="n">
        <v>2.66600265635208</v>
      </c>
      <c r="M490" s="6" t="n">
        <v>-0.175833450269396</v>
      </c>
      <c r="N490" s="6" t="n">
        <v>-3.82076586785376</v>
      </c>
      <c r="O490" s="6" t="n">
        <v>-4.45615535519464</v>
      </c>
      <c r="P490" s="6" t="n">
        <v>-0.484629506489826</v>
      </c>
      <c r="Q490" s="6" t="n">
        <v>0.29423597039996</v>
      </c>
      <c r="R490" s="6" t="n">
        <v>1.47486348628219</v>
      </c>
      <c r="S490" s="6" t="n">
        <v>-1.91209638196739</v>
      </c>
      <c r="T490" s="6" t="n">
        <v>-0.248331573202465</v>
      </c>
      <c r="U490" s="6" t="n">
        <v>2.35056891669791</v>
      </c>
      <c r="V490" s="6" t="n">
        <v>-2.92819250182625</v>
      </c>
      <c r="W490" s="6" t="n">
        <v>2.01523939234454</v>
      </c>
      <c r="X490" s="6" t="n">
        <v>-1.00167546970327</v>
      </c>
      <c r="Y490" s="6" t="n">
        <v>-2.20616076916296</v>
      </c>
      <c r="Z490" s="6" t="n">
        <v>-0.375617490592584</v>
      </c>
      <c r="AA490" s="6" t="n">
        <v>3.28184158624695</v>
      </c>
      <c r="AB490" s="6" t="n">
        <v>-2.27408299907478</v>
      </c>
      <c r="AC490" s="6" t="n">
        <v>0.873346020532194</v>
      </c>
      <c r="AD490" s="6" t="n">
        <v>2.75891179234871</v>
      </c>
      <c r="AE490" s="6" t="n">
        <v>0.152759689138197</v>
      </c>
      <c r="AF490" s="6" t="n">
        <v>0.199605607721226</v>
      </c>
      <c r="AG490" s="6" t="n">
        <v>1.99669574102376</v>
      </c>
      <c r="AH490" s="6" t="n">
        <v>0.354296718341771</v>
      </c>
      <c r="AI490" s="6" t="n">
        <v>1.2840452454751</v>
      </c>
      <c r="AJ490" s="6" t="n">
        <v>71.5292402259903</v>
      </c>
      <c r="AK490" s="6" t="n">
        <v>0.100436215229062</v>
      </c>
      <c r="AL490" s="6" t="n">
        <v>1.04552145509766</v>
      </c>
      <c r="AN490" s="6" t="n">
        <v>1.28260476836119</v>
      </c>
      <c r="AO490" s="6" t="n">
        <v>1.29030915523976</v>
      </c>
      <c r="AP490" s="6" t="n">
        <v>0.134848004200597</v>
      </c>
      <c r="AQ490" s="6" t="n">
        <v>0</v>
      </c>
      <c r="AR490" s="6" t="n">
        <v>0</v>
      </c>
    </row>
    <row r="491" customFormat="false" ht="15" hidden="false" customHeight="false" outlineLevel="0" collapsed="false">
      <c r="D491" s="0" t="s">
        <v>617</v>
      </c>
      <c r="J491" s="6" t="n">
        <v>2.58972316662813</v>
      </c>
      <c r="K491" s="6" t="n">
        <v>1.35455880386145</v>
      </c>
      <c r="L491" s="6" t="n">
        <v>0.650521825222501</v>
      </c>
      <c r="M491" s="6" t="n">
        <v>3.48904179431274</v>
      </c>
      <c r="N491" s="6" t="n">
        <v>-5.06318470372882</v>
      </c>
      <c r="O491" s="6" t="n">
        <v>0.25668055940998</v>
      </c>
      <c r="P491" s="6" t="n">
        <v>-0.467726009613994</v>
      </c>
      <c r="Q491" s="6" t="n">
        <v>0.711052234082543</v>
      </c>
      <c r="R491" s="6" t="n">
        <v>2.46619416460867</v>
      </c>
      <c r="S491" s="6" t="n">
        <v>1.94618267948734</v>
      </c>
      <c r="T491" s="6" t="n">
        <v>-2.27764273216037</v>
      </c>
      <c r="U491" s="6" t="n">
        <v>1.19378484741943</v>
      </c>
      <c r="V491" s="6" t="n">
        <v>-1.06212506312881</v>
      </c>
      <c r="W491" s="6" t="n">
        <v>0.904082367601525</v>
      </c>
      <c r="X491" s="6" t="n">
        <v>-2.97273312104891</v>
      </c>
      <c r="Y491" s="6" t="n">
        <v>1.88159304682843</v>
      </c>
      <c r="Z491" s="6" t="n">
        <v>0.690814339953114</v>
      </c>
      <c r="AA491" s="6" t="n">
        <v>0.346499946557484</v>
      </c>
      <c r="AB491" s="6" t="n">
        <v>0.31292732927784</v>
      </c>
      <c r="AC491" s="6" t="n">
        <v>-0.0910870181045778</v>
      </c>
      <c r="AD491" s="6" t="n">
        <v>-0.296852334279394</v>
      </c>
      <c r="AE491" s="6" t="n">
        <v>3.24190680400818</v>
      </c>
      <c r="AF491" s="6" t="n">
        <v>-0.845367590594183</v>
      </c>
      <c r="AG491" s="6" t="n">
        <v>-0.624897177894908</v>
      </c>
      <c r="AH491" s="6" t="n">
        <v>0.98194138899599</v>
      </c>
      <c r="AI491" s="6" t="n">
        <v>0.342704688313433</v>
      </c>
      <c r="AJ491" s="6" t="n">
        <v>76.2246354276249</v>
      </c>
      <c r="AK491" s="6" t="n">
        <v>0.0901911755925847</v>
      </c>
      <c r="AL491" s="6" t="n">
        <v>1.1020849521161</v>
      </c>
      <c r="AN491" s="6" t="n">
        <v>1.2820726656467</v>
      </c>
      <c r="AO491" s="6" t="n">
        <v>1.28267265436762</v>
      </c>
      <c r="AP491" s="6" t="n">
        <v>0.131525011676274</v>
      </c>
      <c r="AQ491" s="6" t="n">
        <v>0</v>
      </c>
      <c r="AR491" s="6" t="n">
        <v>0</v>
      </c>
    </row>
    <row r="492" customFormat="false" ht="15" hidden="false" customHeight="false" outlineLevel="0" collapsed="false">
      <c r="D492" s="0" t="s">
        <v>618</v>
      </c>
      <c r="J492" s="6" t="n">
        <v>-2.84727206179907</v>
      </c>
      <c r="K492" s="6" t="n">
        <v>-0.7272875343475</v>
      </c>
      <c r="L492" s="6" t="n">
        <v>-0.280009688388689</v>
      </c>
      <c r="M492" s="6" t="n">
        <v>0.141502641740305</v>
      </c>
      <c r="N492" s="6" t="n">
        <v>3.61062033717747</v>
      </c>
      <c r="O492" s="6" t="n">
        <v>2.48374939066927</v>
      </c>
      <c r="P492" s="6" t="n">
        <v>1.12180948372213</v>
      </c>
      <c r="Q492" s="6" t="n">
        <v>-0.453167591046825</v>
      </c>
      <c r="R492" s="6" t="n">
        <v>-0.62633242009239</v>
      </c>
      <c r="S492" s="6" t="n">
        <v>-1.76603495690624</v>
      </c>
      <c r="T492" s="6" t="n">
        <v>-1.31406991689521</v>
      </c>
      <c r="U492" s="6" t="n">
        <v>-1.29229673875792</v>
      </c>
      <c r="V492" s="6" t="n">
        <v>0.0924502018195554</v>
      </c>
      <c r="W492" s="6" t="n">
        <v>-0.0597782479748398</v>
      </c>
      <c r="X492" s="6" t="n">
        <v>1.57034731353185</v>
      </c>
      <c r="Y492" s="6" t="n">
        <v>0.381244716146686</v>
      </c>
      <c r="Z492" s="6" t="n">
        <v>-0.282476147060363</v>
      </c>
      <c r="AA492" s="6" t="n">
        <v>0.567592686336959</v>
      </c>
      <c r="AB492" s="6" t="n">
        <v>2.16404407417833</v>
      </c>
      <c r="AC492" s="6" t="n">
        <v>0.196598033033739</v>
      </c>
      <c r="AD492" s="6" t="n">
        <v>-0.84668059533486</v>
      </c>
      <c r="AE492" s="6" t="n">
        <v>-0.333107752548318</v>
      </c>
      <c r="AF492" s="6" t="n">
        <v>-0.98335736071399</v>
      </c>
      <c r="AG492" s="6" t="n">
        <v>-1.02900691027275</v>
      </c>
      <c r="AH492" s="6" t="n">
        <v>2.54142000131833</v>
      </c>
      <c r="AI492" s="6" t="n">
        <v>-1.13087346120436</v>
      </c>
      <c r="AJ492" s="6" t="n">
        <v>75.8899953617234</v>
      </c>
      <c r="AK492" s="6" t="n">
        <v>0.0980881987965821</v>
      </c>
      <c r="AL492" s="6" t="n">
        <v>1.07725145376198</v>
      </c>
      <c r="AN492" s="6" t="n">
        <v>1.28703356898417</v>
      </c>
      <c r="AO492" s="6" t="n">
        <v>1.28788700589603</v>
      </c>
      <c r="AP492" s="6" t="n">
        <v>0.132919210932037</v>
      </c>
      <c r="AQ492" s="6" t="n">
        <v>0</v>
      </c>
      <c r="AR492" s="6" t="n">
        <v>0</v>
      </c>
    </row>
    <row r="493" customFormat="false" ht="15" hidden="false" customHeight="false" outlineLevel="0" collapsed="false">
      <c r="D493" s="0" t="s">
        <v>619</v>
      </c>
      <c r="J493" s="6" t="n">
        <v>2.2203722187757</v>
      </c>
      <c r="K493" s="6" t="n">
        <v>-1.11551882193742</v>
      </c>
      <c r="L493" s="6" t="n">
        <v>-5.68021060533317</v>
      </c>
      <c r="M493" s="6" t="n">
        <v>3.45193276586705</v>
      </c>
      <c r="N493" s="6" t="n">
        <v>-0.894641573827273</v>
      </c>
      <c r="O493" s="6" t="n">
        <v>3.29262684974753</v>
      </c>
      <c r="P493" s="6" t="n">
        <v>2.30066669890363</v>
      </c>
      <c r="Q493" s="6" t="n">
        <v>0.40416157605091</v>
      </c>
      <c r="R493" s="6" t="n">
        <v>-0.194379543002674</v>
      </c>
      <c r="S493" s="6" t="n">
        <v>-1.86488749581112</v>
      </c>
      <c r="T493" s="6" t="n">
        <v>-4.32827062379714</v>
      </c>
      <c r="U493" s="6" t="n">
        <v>-0.0450762155929785</v>
      </c>
      <c r="V493" s="6" t="n">
        <v>0.678917838636237</v>
      </c>
      <c r="W493" s="6" t="n">
        <v>1.51071448716804</v>
      </c>
      <c r="X493" s="6" t="n">
        <v>-1.53037204641194</v>
      </c>
      <c r="Y493" s="6" t="n">
        <v>-1.04911680731292</v>
      </c>
      <c r="Z493" s="6" t="n">
        <v>-0.313784528415444</v>
      </c>
      <c r="AA493" s="6" t="n">
        <v>-0.484093150472613</v>
      </c>
      <c r="AB493" s="6" t="n">
        <v>0.190588817297569</v>
      </c>
      <c r="AC493" s="6" t="n">
        <v>-0.203314359769352</v>
      </c>
      <c r="AD493" s="6" t="n">
        <v>0.911638268914335</v>
      </c>
      <c r="AE493" s="6" t="n">
        <v>-0.840038900026777</v>
      </c>
      <c r="AF493" s="6" t="n">
        <v>1.22238482135147</v>
      </c>
      <c r="AG493" s="6" t="n">
        <v>-2.23386120622488</v>
      </c>
      <c r="AH493" s="6" t="n">
        <v>-0.700741792202115</v>
      </c>
      <c r="AI493" s="6" t="n">
        <v>-1.508323474522</v>
      </c>
      <c r="AJ493" s="6" t="n">
        <v>79.216603965756</v>
      </c>
      <c r="AK493" s="6" t="n">
        <v>0.17506670406613</v>
      </c>
      <c r="AL493" s="6" t="n">
        <v>1.04567178250857</v>
      </c>
      <c r="AN493" s="6" t="n">
        <v>1.29138971152257</v>
      </c>
      <c r="AO493" s="6" t="n">
        <v>1.29407053388259</v>
      </c>
      <c r="AP493" s="6" t="n">
        <v>0.133370343262315</v>
      </c>
      <c r="AQ493" s="6" t="n">
        <v>0</v>
      </c>
      <c r="AR493" s="6" t="n">
        <v>0</v>
      </c>
    </row>
    <row r="494" customFormat="false" ht="15" hidden="false" customHeight="false" outlineLevel="0" collapsed="false">
      <c r="D494" s="0" t="s">
        <v>620</v>
      </c>
      <c r="J494" s="6" t="n">
        <v>0.525386887501026</v>
      </c>
      <c r="K494" s="6" t="n">
        <v>0.419113420262794</v>
      </c>
      <c r="L494" s="6" t="n">
        <v>-1.36200586499465</v>
      </c>
      <c r="M494" s="6" t="n">
        <v>-2.23960571144024</v>
      </c>
      <c r="N494" s="6" t="n">
        <v>-2.23302673000262</v>
      </c>
      <c r="O494" s="6" t="n">
        <v>2.20783949716122</v>
      </c>
      <c r="P494" s="6" t="n">
        <v>1.46871555366354</v>
      </c>
      <c r="Q494" s="6" t="n">
        <v>-2.52849369861416</v>
      </c>
      <c r="R494" s="6" t="n">
        <v>-1.3764882261384</v>
      </c>
      <c r="S494" s="6" t="n">
        <v>-1.8988987311518</v>
      </c>
      <c r="T494" s="6" t="n">
        <v>2.86940581848175</v>
      </c>
      <c r="U494" s="6" t="n">
        <v>2.06732551912735</v>
      </c>
      <c r="V494" s="6" t="n">
        <v>3.69894295974529</v>
      </c>
      <c r="W494" s="6" t="n">
        <v>-0.284861889259072</v>
      </c>
      <c r="X494" s="6" t="n">
        <v>-4.98883700023816</v>
      </c>
      <c r="Y494" s="6" t="n">
        <v>1.69017256330159</v>
      </c>
      <c r="Z494" s="6" t="n">
        <v>0.329032785104983</v>
      </c>
      <c r="AA494" s="6" t="n">
        <v>3.71376267375397</v>
      </c>
      <c r="AB494" s="6" t="n">
        <v>0.0741113119048744</v>
      </c>
      <c r="AC494" s="6" t="n">
        <v>0.264392144224373</v>
      </c>
      <c r="AD494" s="6" t="n">
        <v>0.244054800120659</v>
      </c>
      <c r="AE494" s="6" t="n">
        <v>1.92386031829634</v>
      </c>
      <c r="AF494" s="6" t="n">
        <v>3.07534099149905</v>
      </c>
      <c r="AG494" s="6" t="n">
        <v>-1.72275788786452</v>
      </c>
      <c r="AH494" s="6" t="n">
        <v>0.412227591178579</v>
      </c>
      <c r="AI494" s="6" t="n">
        <v>-2.82719033867366</v>
      </c>
      <c r="AJ494" s="6" t="n">
        <v>59.9485993621626</v>
      </c>
      <c r="AK494" s="6" t="n">
        <v>0.142638153116968</v>
      </c>
      <c r="AL494" s="6" t="n">
        <v>1.0006203705739</v>
      </c>
      <c r="AN494" s="6" t="n">
        <v>1.30652156341631</v>
      </c>
      <c r="AO494" s="6" t="n">
        <v>1.30652156341631</v>
      </c>
      <c r="AP494" s="6" t="n">
        <v>0.137915750745667</v>
      </c>
      <c r="AQ494" s="6" t="n">
        <v>0</v>
      </c>
      <c r="AR494" s="6" t="n">
        <v>0</v>
      </c>
    </row>
    <row r="495" customFormat="false" ht="15" hidden="false" customHeight="false" outlineLevel="0" collapsed="false">
      <c r="D495" s="0" t="s">
        <v>621</v>
      </c>
      <c r="J495" s="6" t="n">
        <v>2.38176667977083</v>
      </c>
      <c r="K495" s="6" t="n">
        <v>-1.58899057197417</v>
      </c>
      <c r="L495" s="6" t="n">
        <v>1.07210816334798</v>
      </c>
      <c r="M495" s="6" t="n">
        <v>-0.0393147552324412</v>
      </c>
      <c r="N495" s="6" t="n">
        <v>-1.09400906659819</v>
      </c>
      <c r="O495" s="6" t="n">
        <v>-0.93895263009909</v>
      </c>
      <c r="P495" s="6" t="n">
        <v>-2.97998723335083</v>
      </c>
      <c r="Q495" s="6" t="n">
        <v>-1.03286797828343</v>
      </c>
      <c r="R495" s="6" t="n">
        <v>-1.89633740047421</v>
      </c>
      <c r="S495" s="6" t="n">
        <v>2.96067699399635</v>
      </c>
      <c r="T495" s="6" t="n">
        <v>-3.09119696908503</v>
      </c>
      <c r="U495" s="6" t="n">
        <v>-0.0579548240279008</v>
      </c>
      <c r="V495" s="6" t="n">
        <v>-4.56995737494142</v>
      </c>
      <c r="W495" s="6" t="n">
        <v>-0.179811443153616</v>
      </c>
      <c r="X495" s="6" t="n">
        <v>3.03947245312264</v>
      </c>
      <c r="Y495" s="6" t="n">
        <v>-0.681674672596638</v>
      </c>
      <c r="Z495" s="6" t="n">
        <v>-0.00788796974225757</v>
      </c>
      <c r="AA495" s="6" t="n">
        <v>0.673622092804296</v>
      </c>
      <c r="AB495" s="6" t="n">
        <v>-1.01423094273952</v>
      </c>
      <c r="AC495" s="6" t="n">
        <v>0.292543722104102</v>
      </c>
      <c r="AD495" s="6" t="n">
        <v>1.11585619888035</v>
      </c>
      <c r="AE495" s="6" t="n">
        <v>4.08927163918659</v>
      </c>
      <c r="AF495" s="6" t="n">
        <v>-2.26818328338269</v>
      </c>
      <c r="AG495" s="6" t="n">
        <v>-3.22746281226689</v>
      </c>
      <c r="AH495" s="6" t="n">
        <v>-0.664812605482372</v>
      </c>
      <c r="AI495" s="6" t="n">
        <v>-2.5963790095198</v>
      </c>
      <c r="AJ495" s="6" t="n">
        <v>66.9846640827589</v>
      </c>
      <c r="AK495" s="6" t="n">
        <v>0.176365797274274</v>
      </c>
      <c r="AL495" s="6" t="n">
        <v>1.03838804212036</v>
      </c>
      <c r="AN495" s="6" t="n">
        <v>1.29554069846731</v>
      </c>
      <c r="AO495" s="6" t="n">
        <v>1.29560505543067</v>
      </c>
      <c r="AP495" s="6" t="n">
        <v>0.133461100904147</v>
      </c>
      <c r="AQ495" s="6" t="n">
        <v>0</v>
      </c>
      <c r="AR495" s="6" t="n">
        <v>0</v>
      </c>
    </row>
    <row r="496" customFormat="false" ht="15" hidden="false" customHeight="false" outlineLevel="0" collapsed="false">
      <c r="D496" s="0" t="s">
        <v>622</v>
      </c>
      <c r="J496" s="6" t="n">
        <v>-0.567691991414167</v>
      </c>
      <c r="K496" s="6" t="n">
        <v>-2.03836816315262</v>
      </c>
      <c r="L496" s="6" t="n">
        <v>-0.822175973487244</v>
      </c>
      <c r="M496" s="6" t="n">
        <v>-0.473184684963454</v>
      </c>
      <c r="N496" s="6" t="n">
        <v>2.61318344695362</v>
      </c>
      <c r="O496" s="6" t="n">
        <v>2.26770641081835</v>
      </c>
      <c r="P496" s="6" t="n">
        <v>-2.34756410560633</v>
      </c>
      <c r="Q496" s="6" t="n">
        <v>1.40681030757021</v>
      </c>
      <c r="R496" s="6" t="n">
        <v>-0.0266666236369701</v>
      </c>
      <c r="S496" s="6" t="n">
        <v>2.31879274710576</v>
      </c>
      <c r="T496" s="6" t="n">
        <v>1.34251699218833</v>
      </c>
      <c r="U496" s="6" t="n">
        <v>3.50998135448989</v>
      </c>
      <c r="V496" s="6" t="n">
        <v>-0.230804296270354</v>
      </c>
      <c r="W496" s="6" t="n">
        <v>-3.71353773518884</v>
      </c>
      <c r="X496" s="6" t="n">
        <v>-0.760478817273224</v>
      </c>
      <c r="Y496" s="6" t="n">
        <v>2.38865621870003</v>
      </c>
      <c r="Z496" s="6" t="n">
        <v>-1.08242317281193</v>
      </c>
      <c r="AA496" s="6" t="n">
        <v>0.14033010633678</v>
      </c>
      <c r="AB496" s="6" t="n">
        <v>-3.63053263549148</v>
      </c>
      <c r="AC496" s="6" t="n">
        <v>1.33544044283996</v>
      </c>
      <c r="AD496" s="6" t="n">
        <v>1.68567142023255</v>
      </c>
      <c r="AE496" s="6" t="n">
        <v>-1.74787028223654</v>
      </c>
      <c r="AF496" s="6" t="n">
        <v>0.553269962678183</v>
      </c>
      <c r="AG496" s="6" t="n">
        <v>1.35553693483425</v>
      </c>
      <c r="AH496" s="6" t="n">
        <v>-0.0717236407645464</v>
      </c>
      <c r="AI496" s="6" t="n">
        <v>0.681255527807062</v>
      </c>
      <c r="AJ496" s="6" t="n">
        <v>60.4695003995858</v>
      </c>
      <c r="AK496" s="6" t="n">
        <v>0.11809964958398</v>
      </c>
      <c r="AL496" s="6" t="n">
        <v>1.02838805726439</v>
      </c>
      <c r="AN496" s="6" t="n">
        <v>1.29790160672859</v>
      </c>
      <c r="AO496" s="6" t="n">
        <v>1.29872987736392</v>
      </c>
      <c r="AP496" s="6" t="n">
        <v>0.135525533060981</v>
      </c>
      <c r="AQ496" s="6" t="n">
        <v>0</v>
      </c>
      <c r="AR496" s="6" t="n">
        <v>0</v>
      </c>
    </row>
    <row r="497" customFormat="false" ht="15" hidden="false" customHeight="false" outlineLevel="0" collapsed="false">
      <c r="D497" s="0" t="s">
        <v>623</v>
      </c>
      <c r="J497" s="6" t="n">
        <v>2.00717765104532</v>
      </c>
      <c r="K497" s="6" t="n">
        <v>1.39565573387254</v>
      </c>
      <c r="L497" s="6" t="n">
        <v>0.290399485676797</v>
      </c>
      <c r="M497" s="6" t="n">
        <v>-3.7312538979693</v>
      </c>
      <c r="N497" s="6" t="n">
        <v>-1.30268950100153</v>
      </c>
      <c r="O497" s="6" t="n">
        <v>0.251073363484664</v>
      </c>
      <c r="P497" s="6" t="n">
        <v>-1.54013571177539</v>
      </c>
      <c r="Q497" s="6" t="n">
        <v>-3.11520046473521</v>
      </c>
      <c r="R497" s="6" t="n">
        <v>0.819414996138935</v>
      </c>
      <c r="S497" s="6" t="n">
        <v>1.58679223673317</v>
      </c>
      <c r="T497" s="6" t="n">
        <v>0.0659527441188922</v>
      </c>
      <c r="U497" s="6" t="n">
        <v>-1.15185117115844</v>
      </c>
      <c r="V497" s="6" t="n">
        <v>2.09517189407517</v>
      </c>
      <c r="W497" s="6" t="n">
        <v>-0.756111010161135</v>
      </c>
      <c r="X497" s="6" t="n">
        <v>1.33240220944518</v>
      </c>
      <c r="Y497" s="6" t="n">
        <v>0.801614348633621</v>
      </c>
      <c r="Z497" s="6" t="n">
        <v>-1.27991892063275</v>
      </c>
      <c r="AA497" s="6" t="n">
        <v>1.23456625361208</v>
      </c>
      <c r="AB497" s="6" t="n">
        <v>0.462871035992176</v>
      </c>
      <c r="AC497" s="6" t="n">
        <v>2.79310663899596</v>
      </c>
      <c r="AD497" s="6" t="n">
        <v>-0.303044498236502</v>
      </c>
      <c r="AE497" s="6" t="n">
        <v>-0.414455831969357</v>
      </c>
      <c r="AF497" s="6" t="n">
        <v>-1.44376769162681</v>
      </c>
      <c r="AG497" s="6" t="n">
        <v>-5.2597097893063</v>
      </c>
      <c r="AH497" s="6" t="n">
        <v>0.764380290632102</v>
      </c>
      <c r="AI497" s="6" t="n">
        <v>-1.12263185497212</v>
      </c>
      <c r="AJ497" s="6" t="n">
        <v>82.5024041098988</v>
      </c>
      <c r="AK497" s="6" t="n">
        <v>0.117516965126774</v>
      </c>
      <c r="AL497" s="6" t="n">
        <v>1.01792400837321</v>
      </c>
      <c r="AN497" s="6" t="n">
        <v>1.31720076341171</v>
      </c>
      <c r="AO497" s="6" t="n">
        <v>1.31720076341171</v>
      </c>
      <c r="AP497" s="6" t="n">
        <v>0.138024110287694</v>
      </c>
      <c r="AQ497" s="6" t="n">
        <v>0</v>
      </c>
      <c r="AR497" s="6" t="n">
        <v>0</v>
      </c>
    </row>
    <row r="498" customFormat="false" ht="15" hidden="false" customHeight="false" outlineLevel="0" collapsed="false">
      <c r="D498" s="0" t="s">
        <v>624</v>
      </c>
      <c r="J498" s="6" t="n">
        <v>-1.03026659995747</v>
      </c>
      <c r="K498" s="6" t="n">
        <v>0.923306904137083</v>
      </c>
      <c r="L498" s="6" t="n">
        <v>-0.957670995460837</v>
      </c>
      <c r="M498" s="6" t="n">
        <v>2.08779822184665</v>
      </c>
      <c r="N498" s="6" t="n">
        <v>-0.356471400524581</v>
      </c>
      <c r="O498" s="6" t="n">
        <v>0.880861659129283</v>
      </c>
      <c r="P498" s="6" t="n">
        <v>-2.17874587847236</v>
      </c>
      <c r="Q498" s="6" t="n">
        <v>3.04896156844174</v>
      </c>
      <c r="R498" s="6" t="n">
        <v>2.34390787880335</v>
      </c>
      <c r="S498" s="6" t="n">
        <v>-2.1657030896744</v>
      </c>
      <c r="T498" s="6" t="n">
        <v>2.11538179808572</v>
      </c>
      <c r="U498" s="6" t="n">
        <v>1.66253467415967</v>
      </c>
      <c r="V498" s="6" t="n">
        <v>-2.86779746058416</v>
      </c>
      <c r="W498" s="6" t="n">
        <v>1.46357482661457</v>
      </c>
      <c r="X498" s="6" t="n">
        <v>1.7801101388677</v>
      </c>
      <c r="Y498" s="6" t="n">
        <v>2.64032675569975</v>
      </c>
      <c r="Z498" s="6" t="n">
        <v>-0.323958653357593</v>
      </c>
      <c r="AA498" s="6" t="n">
        <v>0.343549613913374</v>
      </c>
      <c r="AB498" s="6" t="n">
        <v>0.551193195121127</v>
      </c>
      <c r="AC498" s="6" t="n">
        <v>2.71134459522277</v>
      </c>
      <c r="AD498" s="6" t="n">
        <v>-1.74665032705929</v>
      </c>
      <c r="AE498" s="6" t="n">
        <v>0.665340799088197</v>
      </c>
      <c r="AF498" s="6" t="n">
        <v>1.74728902809883</v>
      </c>
      <c r="AG498" s="6" t="n">
        <v>2.19612348805866</v>
      </c>
      <c r="AH498" s="6" t="n">
        <v>0.0412532141521423</v>
      </c>
      <c r="AI498" s="6" t="n">
        <v>1.17131210455084</v>
      </c>
      <c r="AJ498" s="6" t="n">
        <v>79.9321669798529</v>
      </c>
      <c r="AK498" s="6" t="n">
        <v>0.0411287956438162</v>
      </c>
      <c r="AL498" s="6" t="n">
        <v>1.03217634458937</v>
      </c>
      <c r="AN498" s="6" t="n">
        <v>1.31505133945951</v>
      </c>
      <c r="AO498" s="6" t="n">
        <v>1.31505133945951</v>
      </c>
      <c r="AP498" s="6" t="n">
        <v>0.138960600617011</v>
      </c>
      <c r="AQ498" s="6" t="n">
        <v>0</v>
      </c>
      <c r="AR498" s="6" t="n">
        <v>0</v>
      </c>
    </row>
    <row r="499" customFormat="false" ht="15" hidden="false" customHeight="false" outlineLevel="0" collapsed="false">
      <c r="D499" s="0" t="s">
        <v>625</v>
      </c>
      <c r="J499" s="6" t="n">
        <v>-1.66232172723244</v>
      </c>
      <c r="K499" s="6" t="n">
        <v>-1.09751177011142</v>
      </c>
      <c r="L499" s="6" t="n">
        <v>-0.101031587147494</v>
      </c>
      <c r="M499" s="6" t="n">
        <v>0.257289098824597</v>
      </c>
      <c r="N499" s="6" t="n">
        <v>3.14787457220499</v>
      </c>
      <c r="O499" s="6" t="n">
        <v>0.685847342827309</v>
      </c>
      <c r="P499" s="6" t="n">
        <v>2.10923659635752</v>
      </c>
      <c r="Q499" s="6" t="n">
        <v>4.10810745146137</v>
      </c>
      <c r="R499" s="6" t="n">
        <v>-1.8720602929948</v>
      </c>
      <c r="S499" s="6" t="n">
        <v>0.327714140779877</v>
      </c>
      <c r="T499" s="6" t="n">
        <v>-0.277896491525574</v>
      </c>
      <c r="U499" s="6" t="n">
        <v>3.81460337963856</v>
      </c>
      <c r="V499" s="6" t="n">
        <v>-1.80262417222534</v>
      </c>
      <c r="W499" s="6" t="n">
        <v>-1.99235263427364</v>
      </c>
      <c r="X499" s="6" t="n">
        <v>-0.544812513384703</v>
      </c>
      <c r="Y499" s="6" t="n">
        <v>-0.921355119762008</v>
      </c>
      <c r="Z499" s="6" t="n">
        <v>2.12740376423633</v>
      </c>
      <c r="AA499" s="6" t="n">
        <v>-2.71041180383075</v>
      </c>
      <c r="AB499" s="6" t="n">
        <v>1.50306414350892</v>
      </c>
      <c r="AC499" s="6" t="n">
        <v>2.11350999356005</v>
      </c>
      <c r="AD499" s="6" t="n">
        <v>0.0100777575332473</v>
      </c>
      <c r="AE499" s="6" t="n">
        <v>-3.62008236516859</v>
      </c>
      <c r="AF499" s="6" t="n">
        <v>0.659851335741036</v>
      </c>
      <c r="AG499" s="6" t="n">
        <v>-0.00270908017132023</v>
      </c>
      <c r="AH499" s="6" t="n">
        <v>-0.602199752297197</v>
      </c>
      <c r="AI499" s="6" t="n">
        <v>-1.1546757560324</v>
      </c>
      <c r="AJ499" s="6" t="n">
        <v>65.9646565124793</v>
      </c>
      <c r="AK499" s="6" t="n">
        <v>0.103331541669804</v>
      </c>
      <c r="AL499" s="6" t="n">
        <v>1.0669308420869</v>
      </c>
      <c r="AN499" s="6" t="n">
        <v>1.28664170610797</v>
      </c>
      <c r="AO499" s="6" t="n">
        <v>1.28769566431472</v>
      </c>
      <c r="AP499" s="6" t="n">
        <v>0.132873110596591</v>
      </c>
      <c r="AQ499" s="6" t="n">
        <v>0</v>
      </c>
      <c r="AR499" s="6" t="n">
        <v>0</v>
      </c>
    </row>
    <row r="500" customFormat="false" ht="15" hidden="false" customHeight="false" outlineLevel="0" collapsed="false">
      <c r="D500" s="0" t="s">
        <v>626</v>
      </c>
      <c r="J500" s="6" t="n">
        <v>-1.64793599202646</v>
      </c>
      <c r="K500" s="6" t="n">
        <v>1.33593602867451</v>
      </c>
      <c r="L500" s="6" t="n">
        <v>4.36221662721848</v>
      </c>
      <c r="M500" s="6" t="n">
        <v>1.04243466877331</v>
      </c>
      <c r="N500" s="6" t="n">
        <v>0.762126145811303</v>
      </c>
      <c r="O500" s="6" t="n">
        <v>0.357499804235387</v>
      </c>
      <c r="P500" s="6" t="n">
        <v>-2.08914777881395</v>
      </c>
      <c r="Q500" s="6" t="n">
        <v>-0.315593298079481</v>
      </c>
      <c r="R500" s="6" t="n">
        <v>-1.27283173738659</v>
      </c>
      <c r="S500" s="6" t="n">
        <v>2.06948652584409</v>
      </c>
      <c r="T500" s="6" t="n">
        <v>0.220539846020622</v>
      </c>
      <c r="U500" s="6" t="n">
        <v>-2.75634605011403</v>
      </c>
      <c r="V500" s="6" t="n">
        <v>-1.64308000918334</v>
      </c>
      <c r="W500" s="6" t="n">
        <v>-1.92097304294296</v>
      </c>
      <c r="X500" s="6" t="n">
        <v>0.530697102274559</v>
      </c>
      <c r="Y500" s="6" t="n">
        <v>2.69433217153497</v>
      </c>
      <c r="Z500" s="6" t="n">
        <v>-0.657520215942542</v>
      </c>
      <c r="AA500" s="6" t="n">
        <v>-1.75168747383877</v>
      </c>
      <c r="AB500" s="6" t="n">
        <v>1.24151032947523</v>
      </c>
      <c r="AC500" s="6" t="n">
        <v>3.06162811576444</v>
      </c>
      <c r="AD500" s="6" t="n">
        <v>4.35025332769412</v>
      </c>
      <c r="AE500" s="6" t="n">
        <v>-4.57369441263616</v>
      </c>
      <c r="AF500" s="6" t="n">
        <v>-1.56916529107693</v>
      </c>
      <c r="AG500" s="6" t="n">
        <v>0.507556316908088</v>
      </c>
      <c r="AH500" s="6" t="n">
        <v>0.636440824408096</v>
      </c>
      <c r="AI500" s="6" t="n">
        <v>-3.8441523486289</v>
      </c>
      <c r="AJ500" s="6" t="n">
        <v>66.8561140919109</v>
      </c>
      <c r="AK500" s="6" t="n">
        <v>0.175237493144986</v>
      </c>
      <c r="AL500" s="6" t="n">
        <v>0.994942431804099</v>
      </c>
      <c r="AN500" s="6" t="n">
        <v>1.31417957550518</v>
      </c>
      <c r="AO500" s="6" t="n">
        <v>1.31417957550518</v>
      </c>
      <c r="AP500" s="6" t="n">
        <v>0.139645341104855</v>
      </c>
      <c r="AQ500" s="6" t="n">
        <v>0</v>
      </c>
      <c r="AR500" s="6" t="n">
        <v>0</v>
      </c>
    </row>
    <row r="501" customFormat="false" ht="15" hidden="false" customHeight="false" outlineLevel="0" collapsed="false">
      <c r="D501" s="0" t="s">
        <v>627</v>
      </c>
      <c r="J501" s="6" t="n">
        <v>1.31182638114867</v>
      </c>
      <c r="K501" s="6" t="n">
        <v>-1.32517396701186</v>
      </c>
      <c r="L501" s="6" t="n">
        <v>1.74132641480411</v>
      </c>
      <c r="M501" s="6" t="n">
        <v>-0.0733768703059505</v>
      </c>
      <c r="N501" s="6" t="n">
        <v>1.99124968111273</v>
      </c>
      <c r="O501" s="6" t="n">
        <v>-0.657569435513152</v>
      </c>
      <c r="P501" s="6" t="n">
        <v>4.43390159948378</v>
      </c>
      <c r="Q501" s="6" t="n">
        <v>1.93257730501437</v>
      </c>
      <c r="R501" s="6" t="n">
        <v>2.75565364831475</v>
      </c>
      <c r="S501" s="6" t="n">
        <v>2.09370449532647</v>
      </c>
      <c r="T501" s="6" t="n">
        <v>-1.49529478316921</v>
      </c>
      <c r="U501" s="6" t="n">
        <v>-3.4702485154178</v>
      </c>
      <c r="V501" s="6" t="n">
        <v>0.304072730605729</v>
      </c>
      <c r="W501" s="6" t="n">
        <v>2.08049988086346</v>
      </c>
      <c r="X501" s="6" t="n">
        <v>-1.88895779033938</v>
      </c>
      <c r="Y501" s="6" t="n">
        <v>2.15743686605441</v>
      </c>
      <c r="Z501" s="6" t="n">
        <v>-2.28502448093004</v>
      </c>
      <c r="AA501" s="6" t="n">
        <v>3.49632970384937</v>
      </c>
      <c r="AB501" s="6" t="n">
        <v>2.04399410930712</v>
      </c>
      <c r="AC501" s="6" t="n">
        <v>0.263984050279807</v>
      </c>
      <c r="AD501" s="6" t="n">
        <v>2.38211967034776</v>
      </c>
      <c r="AE501" s="6" t="n">
        <v>0.734573389495898</v>
      </c>
      <c r="AF501" s="6" t="n">
        <v>3.3707945305728</v>
      </c>
      <c r="AG501" s="6" t="n">
        <v>2.54736042662166</v>
      </c>
      <c r="AH501" s="6" t="n">
        <v>-1.834469778738</v>
      </c>
      <c r="AI501" s="6" t="n">
        <v>-2.24880845524058</v>
      </c>
      <c r="AJ501" s="6" t="n">
        <v>70.5362366618807</v>
      </c>
      <c r="AK501" s="6" t="n">
        <v>0.102699913676707</v>
      </c>
      <c r="AL501" s="6" t="n">
        <v>1.03591333775642</v>
      </c>
      <c r="AN501" s="6" t="n">
        <v>1.30294433714945</v>
      </c>
      <c r="AO501" s="6" t="n">
        <v>1.30427602660519</v>
      </c>
      <c r="AP501" s="6" t="n">
        <v>0.135772973308305</v>
      </c>
      <c r="AQ501" s="6" t="n">
        <v>0</v>
      </c>
      <c r="AR501" s="6" t="n">
        <v>0</v>
      </c>
    </row>
    <row r="502" customFormat="false" ht="15" hidden="false" customHeight="false" outlineLevel="0" collapsed="false">
      <c r="D502" s="0" t="s">
        <v>628</v>
      </c>
      <c r="J502" s="6" t="n">
        <v>0.144831522650345</v>
      </c>
      <c r="K502" s="6" t="n">
        <v>0.977982616533216</v>
      </c>
      <c r="L502" s="6" t="n">
        <v>0.921908682736674</v>
      </c>
      <c r="M502" s="6" t="n">
        <v>-1.54152014759576</v>
      </c>
      <c r="N502" s="6" t="n">
        <v>2.81362643593612</v>
      </c>
      <c r="O502" s="6" t="n">
        <v>0.672452476877231</v>
      </c>
      <c r="P502" s="6" t="n">
        <v>-3.33486664416523</v>
      </c>
      <c r="Q502" s="6" t="n">
        <v>-0.936918848918343</v>
      </c>
      <c r="R502" s="6" t="n">
        <v>-2.3437065463503</v>
      </c>
      <c r="S502" s="6" t="n">
        <v>-0.368959994386471</v>
      </c>
      <c r="T502" s="6" t="n">
        <v>1.2085764486094</v>
      </c>
      <c r="U502" s="6" t="n">
        <v>2.08922250195334</v>
      </c>
      <c r="V502" s="6" t="n">
        <v>0.46886577667407</v>
      </c>
      <c r="W502" s="6" t="n">
        <v>-1.9108222333963</v>
      </c>
      <c r="X502" s="6" t="n">
        <v>1.80260235245527</v>
      </c>
      <c r="Y502" s="6" t="n">
        <v>3.0302745737067</v>
      </c>
      <c r="Z502" s="6" t="n">
        <v>0.108583453613387</v>
      </c>
      <c r="AA502" s="6" t="n">
        <v>1.00739433080997</v>
      </c>
      <c r="AB502" s="6" t="n">
        <v>0.25221286816593</v>
      </c>
      <c r="AC502" s="6" t="n">
        <v>-2.03844342014984</v>
      </c>
      <c r="AD502" s="6" t="n">
        <v>2.51648078681752</v>
      </c>
      <c r="AE502" s="6" t="n">
        <v>-1.22451254179543</v>
      </c>
      <c r="AF502" s="6" t="n">
        <v>-0.409739927555561</v>
      </c>
      <c r="AG502" s="6" t="n">
        <v>1.77987414865313</v>
      </c>
      <c r="AH502" s="6" t="n">
        <v>-3.63742148731737</v>
      </c>
      <c r="AI502" s="6" t="n">
        <v>2.82121034721073</v>
      </c>
      <c r="AJ502" s="6" t="n">
        <v>70.9025015246792</v>
      </c>
      <c r="AK502" s="6" t="n">
        <v>0.10053784767633</v>
      </c>
      <c r="AL502" s="6" t="n">
        <v>1.03407314063561</v>
      </c>
      <c r="AN502" s="6" t="n">
        <v>1.30528425078369</v>
      </c>
      <c r="AO502" s="6" t="n">
        <v>1.30554977631101</v>
      </c>
      <c r="AP502" s="6" t="n">
        <v>0.135865497566672</v>
      </c>
      <c r="AQ502" s="6" t="n">
        <v>0</v>
      </c>
      <c r="AR502" s="6" t="n">
        <v>0</v>
      </c>
    </row>
    <row r="503" customFormat="false" ht="15" hidden="false" customHeight="false" outlineLevel="0" collapsed="false">
      <c r="D503" s="0" t="s">
        <v>629</v>
      </c>
      <c r="J503" s="6" t="n">
        <v>-0.907558028412137</v>
      </c>
      <c r="K503" s="6" t="n">
        <v>-4.21889939819952</v>
      </c>
      <c r="L503" s="6" t="n">
        <v>-1.29346369454896</v>
      </c>
      <c r="M503" s="6" t="n">
        <v>-0.993520280491413</v>
      </c>
      <c r="N503" s="6" t="n">
        <v>-1.83754522850348</v>
      </c>
      <c r="O503" s="6" t="n">
        <v>1.97520426425339</v>
      </c>
      <c r="P503" s="6" t="n">
        <v>-3.66436350634378</v>
      </c>
      <c r="Q503" s="6" t="n">
        <v>-2.20776357286304</v>
      </c>
      <c r="R503" s="6" t="n">
        <v>-0.0063825667388237</v>
      </c>
      <c r="S503" s="6" t="n">
        <v>2.85926606488807</v>
      </c>
      <c r="T503" s="6" t="n">
        <v>-1.10626557845573</v>
      </c>
      <c r="U503" s="6" t="n">
        <v>0.988573669865793</v>
      </c>
      <c r="V503" s="6" t="n">
        <v>-2.06530783021836</v>
      </c>
      <c r="W503" s="6" t="n">
        <v>2.48256207291884</v>
      </c>
      <c r="X503" s="6" t="n">
        <v>1.91663322098428</v>
      </c>
      <c r="Y503" s="6" t="n">
        <v>-1.22703460098098</v>
      </c>
      <c r="Z503" s="6" t="n">
        <v>0.491277497667253</v>
      </c>
      <c r="AA503" s="6" t="n">
        <v>-1.55516757154071</v>
      </c>
      <c r="AB503" s="6" t="n">
        <v>-0.936754094727904</v>
      </c>
      <c r="AC503" s="6" t="n">
        <v>2.004594891204</v>
      </c>
      <c r="AD503" s="6" t="n">
        <v>0.88333332814144</v>
      </c>
      <c r="AE503" s="6" t="n">
        <v>-3.04656036472063</v>
      </c>
      <c r="AF503" s="6" t="n">
        <v>3.9382460170978</v>
      </c>
      <c r="AG503" s="6" t="n">
        <v>1.42615157533237</v>
      </c>
      <c r="AH503" s="6" t="n">
        <v>-0.491928359373832</v>
      </c>
      <c r="AI503" s="6" t="n">
        <v>3.1173529201476</v>
      </c>
      <c r="AJ503" s="6" t="n">
        <v>69.5197234048204</v>
      </c>
      <c r="AK503" s="6" t="n">
        <v>0.12880707399543</v>
      </c>
      <c r="AL503" s="6" t="n">
        <v>1.05694553901597</v>
      </c>
      <c r="AN503" s="6" t="n">
        <v>1.28907145653897</v>
      </c>
      <c r="AO503" s="6" t="n">
        <v>1.28997784139224</v>
      </c>
      <c r="AP503" s="6" t="n">
        <v>0.132786344660626</v>
      </c>
      <c r="AQ503" s="6" t="n">
        <v>0</v>
      </c>
      <c r="AR503" s="6" t="n">
        <v>0</v>
      </c>
    </row>
    <row r="504" customFormat="false" ht="15" hidden="false" customHeight="false" outlineLevel="0" collapsed="false">
      <c r="D504" s="0" t="s">
        <v>630</v>
      </c>
      <c r="J504" s="6" t="n">
        <v>-2.65058953640837</v>
      </c>
      <c r="K504" s="6" t="n">
        <v>0.727218247444161</v>
      </c>
      <c r="L504" s="6" t="n">
        <v>-1.96423755767408</v>
      </c>
      <c r="M504" s="6" t="n">
        <v>-0.45603308259342</v>
      </c>
      <c r="N504" s="6" t="n">
        <v>-0.443637680857059</v>
      </c>
      <c r="O504" s="6" t="n">
        <v>1.47291721823231</v>
      </c>
      <c r="P504" s="6" t="n">
        <v>-1.37149202638653</v>
      </c>
      <c r="Q504" s="6" t="n">
        <v>0.141260558350542</v>
      </c>
      <c r="R504" s="6" t="n">
        <v>-5.10110745588197</v>
      </c>
      <c r="S504" s="6" t="n">
        <v>-0.468834601683918</v>
      </c>
      <c r="T504" s="6" t="n">
        <v>-2.84449128737027</v>
      </c>
      <c r="U504" s="6" t="n">
        <v>0.42232174358901</v>
      </c>
      <c r="V504" s="6" t="n">
        <v>-2.19022679033951</v>
      </c>
      <c r="W504" s="6" t="n">
        <v>-1.72442855535797</v>
      </c>
      <c r="X504" s="6" t="n">
        <v>2.51717071766412</v>
      </c>
      <c r="Y504" s="6" t="n">
        <v>-1.84981221864162</v>
      </c>
      <c r="Z504" s="6" t="n">
        <v>-0.130455284693355</v>
      </c>
      <c r="AA504" s="6" t="n">
        <v>1.45659130100972</v>
      </c>
      <c r="AB504" s="6" t="n">
        <v>0.353591907050204</v>
      </c>
      <c r="AC504" s="6" t="n">
        <v>-0.116498584158694</v>
      </c>
      <c r="AD504" s="6" t="n">
        <v>-3.45891105735654</v>
      </c>
      <c r="AE504" s="6" t="n">
        <v>2.46909168982219</v>
      </c>
      <c r="AF504" s="6" t="n">
        <v>0.117572818041042</v>
      </c>
      <c r="AG504" s="6" t="n">
        <v>-2.10568371749183</v>
      </c>
      <c r="AH504" s="6" t="n">
        <v>0.184610049878267</v>
      </c>
      <c r="AI504" s="6" t="n">
        <v>-0.108970222599443</v>
      </c>
      <c r="AJ504" s="6" t="n">
        <v>77.3226230045325</v>
      </c>
      <c r="AK504" s="6" t="n">
        <v>0.134443548884352</v>
      </c>
      <c r="AL504" s="6" t="n">
        <v>1.00905065476117</v>
      </c>
      <c r="AN504" s="6" t="n">
        <v>1.31841570989246</v>
      </c>
      <c r="AO504" s="6" t="n">
        <v>1.31877621201041</v>
      </c>
      <c r="AP504" s="6" t="n">
        <v>0.139413558277266</v>
      </c>
      <c r="AQ504" s="6" t="n">
        <v>0</v>
      </c>
      <c r="AR504" s="6" t="n">
        <v>0</v>
      </c>
    </row>
    <row r="505" customFormat="false" ht="15" hidden="false" customHeight="false" outlineLevel="0" collapsed="false">
      <c r="D505" s="0" t="s">
        <v>631</v>
      </c>
      <c r="J505" s="6" t="n">
        <v>3.81627733513429</v>
      </c>
      <c r="K505" s="6" t="n">
        <v>-2.79030888010884</v>
      </c>
      <c r="L505" s="6" t="n">
        <v>-0.876313649207264</v>
      </c>
      <c r="M505" s="6" t="n">
        <v>-2.64459344059311</v>
      </c>
      <c r="N505" s="6" t="n">
        <v>0.212411676866897</v>
      </c>
      <c r="O505" s="6" t="n">
        <v>0.816360134411729</v>
      </c>
      <c r="P505" s="6" t="n">
        <v>0.226211741028344</v>
      </c>
      <c r="Q505" s="6" t="n">
        <v>4.80212919999823</v>
      </c>
      <c r="R505" s="6" t="n">
        <v>1.16737096319006</v>
      </c>
      <c r="S505" s="6" t="n">
        <v>-1.21198187932383</v>
      </c>
      <c r="T505" s="6" t="n">
        <v>-0.387546368520547</v>
      </c>
      <c r="U505" s="6" t="n">
        <v>-2.02662850703403</v>
      </c>
      <c r="V505" s="6" t="n">
        <v>0.041903731113808</v>
      </c>
      <c r="W505" s="6" t="n">
        <v>1.17540888570008</v>
      </c>
      <c r="X505" s="6" t="n">
        <v>0.275850733138778</v>
      </c>
      <c r="Y505" s="6" t="n">
        <v>1.03676789168564</v>
      </c>
      <c r="Z505" s="6" t="n">
        <v>-1.73288371800137</v>
      </c>
      <c r="AA505" s="6" t="n">
        <v>1.63342476520832</v>
      </c>
      <c r="AB505" s="6" t="n">
        <v>-1.89175095104069</v>
      </c>
      <c r="AC505" s="6" t="n">
        <v>5</v>
      </c>
      <c r="AD505" s="6" t="n">
        <v>-0.491935060938375</v>
      </c>
      <c r="AE505" s="6" t="n">
        <v>1.24169820278972</v>
      </c>
      <c r="AF505" s="6" t="n">
        <v>2.27709350678963</v>
      </c>
      <c r="AG505" s="6" t="n">
        <v>-1.5179945178382</v>
      </c>
      <c r="AH505" s="6" t="n">
        <v>0.343591744907538</v>
      </c>
      <c r="AI505" s="6" t="n">
        <v>0.718213996836961</v>
      </c>
      <c r="AJ505" s="6" t="n">
        <v>77.0280402418532</v>
      </c>
      <c r="AK505" s="6" t="n">
        <v>0.1460378136098</v>
      </c>
      <c r="AL505" s="6" t="n">
        <v>1.05995004378853</v>
      </c>
      <c r="AN505" s="6" t="n">
        <v>1.28969514505397</v>
      </c>
      <c r="AO505" s="6" t="n">
        <v>1.29029025324262</v>
      </c>
      <c r="AP505" s="6" t="n">
        <v>0.132766295471894</v>
      </c>
      <c r="AQ505" s="6" t="n">
        <v>0</v>
      </c>
      <c r="AR505" s="6" t="n">
        <v>0</v>
      </c>
    </row>
    <row r="506" customFormat="false" ht="15" hidden="false" customHeight="false" outlineLevel="0" collapsed="false">
      <c r="D506" s="0" t="s">
        <v>632</v>
      </c>
      <c r="J506" s="6" t="n">
        <v>2.20382969854281</v>
      </c>
      <c r="K506" s="6" t="n">
        <v>-2.08864195109442</v>
      </c>
      <c r="L506" s="6" t="n">
        <v>4.29192907466301</v>
      </c>
      <c r="M506" s="6" t="n">
        <v>3.03199853140902</v>
      </c>
      <c r="N506" s="6" t="n">
        <v>-0.60997059681713</v>
      </c>
      <c r="O506" s="6" t="n">
        <v>4.29282468523759</v>
      </c>
      <c r="P506" s="6" t="n">
        <v>1.62519733894315E-005</v>
      </c>
      <c r="Q506" s="6" t="n">
        <v>0.880519580216887</v>
      </c>
      <c r="R506" s="6" t="n">
        <v>1.71425583484023</v>
      </c>
      <c r="S506" s="6" t="n">
        <v>0.907691177634983</v>
      </c>
      <c r="T506" s="6" t="n">
        <v>-0.483981186094009</v>
      </c>
      <c r="U506" s="6" t="n">
        <v>0.488157103237618</v>
      </c>
      <c r="V506" s="6" t="n">
        <v>-0.265351658154308</v>
      </c>
      <c r="W506" s="6" t="n">
        <v>-0.0598367410814082</v>
      </c>
      <c r="X506" s="6" t="n">
        <v>-1.51365153769516</v>
      </c>
      <c r="Y506" s="6" t="n">
        <v>-2.35304079646066</v>
      </c>
      <c r="Z506" s="6" t="n">
        <v>4.13727147159041</v>
      </c>
      <c r="AA506" s="6" t="n">
        <v>2.14543880065864</v>
      </c>
      <c r="AB506" s="6" t="n">
        <v>0.426440765754791</v>
      </c>
      <c r="AC506" s="6" t="n">
        <v>0.214295740229663</v>
      </c>
      <c r="AD506" s="6" t="n">
        <v>4.07438684605172</v>
      </c>
      <c r="AE506" s="6" t="n">
        <v>1.09073784660899</v>
      </c>
      <c r="AF506" s="6" t="n">
        <v>-1.23966210125023</v>
      </c>
      <c r="AG506" s="6" t="n">
        <v>0.755725765252226</v>
      </c>
      <c r="AH506" s="6" t="n">
        <v>-3.60952785381685</v>
      </c>
      <c r="AI506" s="6" t="n">
        <v>-1.45545699341712</v>
      </c>
      <c r="AJ506" s="6" t="n">
        <v>66.7243417266967</v>
      </c>
      <c r="AK506" s="6" t="n">
        <v>0.118471716441009</v>
      </c>
      <c r="AL506" s="6" t="n">
        <v>1.05035575519531</v>
      </c>
      <c r="AN506" s="6" t="n">
        <v>1.29298284984884</v>
      </c>
      <c r="AO506" s="6" t="n">
        <v>1.29321982876109</v>
      </c>
      <c r="AP506" s="6" t="n">
        <v>0.133707960413989</v>
      </c>
      <c r="AQ506" s="6" t="n">
        <v>0</v>
      </c>
      <c r="AR506" s="6" t="n">
        <v>0</v>
      </c>
    </row>
    <row r="507" customFormat="false" ht="15" hidden="false" customHeight="false" outlineLevel="0" collapsed="false">
      <c r="D507" s="0" t="s">
        <v>633</v>
      </c>
      <c r="J507" s="6" t="n">
        <v>-0.651067532538515</v>
      </c>
      <c r="K507" s="6" t="n">
        <v>1.76867248706754</v>
      </c>
      <c r="L507" s="6" t="n">
        <v>-0.00607727006851043</v>
      </c>
      <c r="M507" s="6" t="n">
        <v>-1.42997170135631</v>
      </c>
      <c r="N507" s="6" t="n">
        <v>1.67445997505767</v>
      </c>
      <c r="O507" s="6" t="n">
        <v>-0.945883898476929</v>
      </c>
      <c r="P507" s="6" t="n">
        <v>1.289982917741</v>
      </c>
      <c r="Q507" s="6" t="n">
        <v>-1.51266614799455</v>
      </c>
      <c r="R507" s="6" t="n">
        <v>2.10811152997257</v>
      </c>
      <c r="S507" s="6" t="n">
        <v>-2.75115245402587</v>
      </c>
      <c r="T507" s="6" t="n">
        <v>0.941338741394836</v>
      </c>
      <c r="U507" s="6" t="n">
        <v>2.01843885222479</v>
      </c>
      <c r="V507" s="6" t="n">
        <v>0.641661272834301</v>
      </c>
      <c r="W507" s="6" t="n">
        <v>-0.233903184925907</v>
      </c>
      <c r="X507" s="6" t="n">
        <v>0.487469882126415</v>
      </c>
      <c r="Y507" s="6" t="n">
        <v>0.485310025520836</v>
      </c>
      <c r="Z507" s="6" t="n">
        <v>1.01115424885463</v>
      </c>
      <c r="AA507" s="6" t="n">
        <v>-3.17042541697239</v>
      </c>
      <c r="AB507" s="6" t="n">
        <v>-0.473397589466707</v>
      </c>
      <c r="AC507" s="6" t="n">
        <v>2.53524224130637</v>
      </c>
      <c r="AD507" s="6" t="n">
        <v>4.92252923137007</v>
      </c>
      <c r="AE507" s="6" t="n">
        <v>1.95783080284689</v>
      </c>
      <c r="AF507" s="6" t="n">
        <v>0.466995184889876</v>
      </c>
      <c r="AG507" s="6" t="n">
        <v>-2.38884473194853</v>
      </c>
      <c r="AH507" s="6" t="n">
        <v>-1.22072593754528</v>
      </c>
      <c r="AI507" s="6" t="n">
        <v>1.61924536617972</v>
      </c>
      <c r="AJ507" s="6" t="n">
        <v>75.0259067749994</v>
      </c>
      <c r="AK507" s="6" t="n">
        <v>0.118049123258238</v>
      </c>
      <c r="AL507" s="6" t="n">
        <v>1.06449310726046</v>
      </c>
      <c r="AN507" s="6" t="n">
        <v>1.29181141249937</v>
      </c>
      <c r="AO507" s="6" t="n">
        <v>1.29268642461515</v>
      </c>
      <c r="AP507" s="6" t="n">
        <v>0.132915190193098</v>
      </c>
      <c r="AQ507" s="6" t="n">
        <v>0</v>
      </c>
      <c r="AR507" s="6" t="n">
        <v>0</v>
      </c>
    </row>
    <row r="508" customFormat="false" ht="15" hidden="false" customHeight="false" outlineLevel="0" collapsed="false">
      <c r="D508" s="0" t="s">
        <v>634</v>
      </c>
      <c r="J508" s="6" t="n">
        <v>-3.37813989318724</v>
      </c>
      <c r="K508" s="6" t="n">
        <v>1.34126639958574</v>
      </c>
      <c r="L508" s="6" t="n">
        <v>1.76711889981319</v>
      </c>
      <c r="M508" s="6" t="n">
        <v>1.5897952417786</v>
      </c>
      <c r="N508" s="6" t="n">
        <v>-1.31937735265932</v>
      </c>
      <c r="O508" s="6" t="n">
        <v>2.04659317737549</v>
      </c>
      <c r="P508" s="6" t="n">
        <v>0.272585496604096</v>
      </c>
      <c r="Q508" s="6" t="n">
        <v>-2.99478823420877</v>
      </c>
      <c r="R508" s="6" t="n">
        <v>-1.20948062538312</v>
      </c>
      <c r="S508" s="6" t="n">
        <v>-1.46895121533482</v>
      </c>
      <c r="T508" s="6" t="n">
        <v>4.68633729817753</v>
      </c>
      <c r="U508" s="6" t="n">
        <v>3.00411097631871</v>
      </c>
      <c r="V508" s="6" t="n">
        <v>2.04149106669189</v>
      </c>
      <c r="W508" s="6" t="n">
        <v>0.431425892589461</v>
      </c>
      <c r="X508" s="6" t="n">
        <v>-0.164913283348746</v>
      </c>
      <c r="Y508" s="6" t="n">
        <v>1.65333393413031</v>
      </c>
      <c r="Z508" s="6" t="n">
        <v>1.51383672232765</v>
      </c>
      <c r="AA508" s="6" t="n">
        <v>1.79216176568442</v>
      </c>
      <c r="AB508" s="6" t="n">
        <v>0.157417148474344</v>
      </c>
      <c r="AC508" s="6" t="n">
        <v>3.4642034107709</v>
      </c>
      <c r="AD508" s="6" t="n">
        <v>1.89972654850981</v>
      </c>
      <c r="AE508" s="6" t="n">
        <v>2.32182683632816</v>
      </c>
      <c r="AF508" s="6" t="n">
        <v>-3.27037810326756</v>
      </c>
      <c r="AG508" s="6" t="n">
        <v>-0.987546279062714</v>
      </c>
      <c r="AH508" s="6" t="n">
        <v>1.10328896787256</v>
      </c>
      <c r="AI508" s="6" t="n">
        <v>2.28587878089311</v>
      </c>
      <c r="AJ508" s="6" t="n">
        <v>76.5029532340653</v>
      </c>
      <c r="AK508" s="6" t="n">
        <v>0.0778813480994087</v>
      </c>
      <c r="AL508" s="6" t="n">
        <v>1.02471343829996</v>
      </c>
      <c r="AN508" s="6" t="n">
        <v>1.314153009904</v>
      </c>
      <c r="AO508" s="6" t="n">
        <v>1.31495091524318</v>
      </c>
      <c r="AP508" s="6" t="n">
        <v>0.138110497417938</v>
      </c>
      <c r="AQ508" s="6" t="n">
        <v>0</v>
      </c>
      <c r="AR508" s="6" t="n">
        <v>0</v>
      </c>
    </row>
    <row r="509" customFormat="false" ht="15" hidden="false" customHeight="false" outlineLevel="0" collapsed="false">
      <c r="D509" s="0" t="s">
        <v>635</v>
      </c>
      <c r="J509" s="6" t="n">
        <v>0.847301002933539</v>
      </c>
      <c r="K509" s="6" t="n">
        <v>-2.36931332548326</v>
      </c>
      <c r="L509" s="6" t="n">
        <v>1.23983446368065</v>
      </c>
      <c r="M509" s="6" t="n">
        <v>-0.67241766220467</v>
      </c>
      <c r="N509" s="6" t="n">
        <v>-0.611048324266093</v>
      </c>
      <c r="O509" s="6" t="n">
        <v>1.29580863490401</v>
      </c>
      <c r="P509" s="6" t="n">
        <v>-1.74374943000034</v>
      </c>
      <c r="Q509" s="6" t="n">
        <v>1.77539212324423</v>
      </c>
      <c r="R509" s="6" t="n">
        <v>-5.4680411804765</v>
      </c>
      <c r="S509" s="6" t="n">
        <v>2.11981593138908</v>
      </c>
      <c r="T509" s="6" t="n">
        <v>-0.15283202540444</v>
      </c>
      <c r="U509" s="6" t="n">
        <v>-1.97257191346061</v>
      </c>
      <c r="V509" s="6" t="n">
        <v>1.2101506529347</v>
      </c>
      <c r="W509" s="6" t="n">
        <v>0.326183748034317</v>
      </c>
      <c r="X509" s="6" t="n">
        <v>0.780337441779594</v>
      </c>
      <c r="Y509" s="6" t="n">
        <v>-0.522051885217511</v>
      </c>
      <c r="Z509" s="6" t="n">
        <v>3.46765090869397</v>
      </c>
      <c r="AA509" s="6" t="n">
        <v>-1.30289756596261</v>
      </c>
      <c r="AB509" s="6" t="n">
        <v>0.751285013089691</v>
      </c>
      <c r="AC509" s="6" t="n">
        <v>2.42101567225338</v>
      </c>
      <c r="AD509" s="6" t="n">
        <v>0.839698631467588</v>
      </c>
      <c r="AE509" s="6" t="n">
        <v>2.32556757625937</v>
      </c>
      <c r="AF509" s="6" t="n">
        <v>-2.73086452656415</v>
      </c>
      <c r="AG509" s="6" t="n">
        <v>-3.02168915551372</v>
      </c>
      <c r="AH509" s="6" t="n">
        <v>2.66384525355939</v>
      </c>
      <c r="AI509" s="6" t="n">
        <v>5</v>
      </c>
      <c r="AJ509" s="6" t="n">
        <v>75.7355354183194</v>
      </c>
      <c r="AK509" s="6" t="n">
        <v>0.163362412213179</v>
      </c>
      <c r="AL509" s="6" t="n">
        <v>1.02648628671848</v>
      </c>
      <c r="AN509" s="6" t="n">
        <v>1.30370267747088</v>
      </c>
      <c r="AO509" s="6" t="n">
        <v>1.30419764492131</v>
      </c>
      <c r="AP509" s="6" t="n">
        <v>0.135844083847222</v>
      </c>
      <c r="AQ509" s="6" t="n">
        <v>0</v>
      </c>
      <c r="AR509" s="6" t="n">
        <v>0</v>
      </c>
    </row>
    <row r="510" customFormat="false" ht="15" hidden="false" customHeight="false" outlineLevel="0" collapsed="false">
      <c r="D510" s="0" t="s">
        <v>636</v>
      </c>
      <c r="J510" s="6" t="n">
        <v>2.25865122952471</v>
      </c>
      <c r="K510" s="6" t="n">
        <v>2.31401705141238</v>
      </c>
      <c r="L510" s="6" t="n">
        <v>-4.65572496721269</v>
      </c>
      <c r="M510" s="6" t="n">
        <v>1.65840051702374</v>
      </c>
      <c r="N510" s="6" t="n">
        <v>3.38724149271808</v>
      </c>
      <c r="O510" s="6" t="n">
        <v>1.59955542185012</v>
      </c>
      <c r="P510" s="6" t="n">
        <v>4.80349437083616</v>
      </c>
      <c r="Q510" s="6" t="n">
        <v>2.73969864694256</v>
      </c>
      <c r="R510" s="6" t="n">
        <v>-0.478744208491473</v>
      </c>
      <c r="S510" s="6" t="n">
        <v>0.926673890288485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-0.310543475340213</v>
      </c>
      <c r="X510" s="6" t="n">
        <v>-1.08921807363189</v>
      </c>
      <c r="Y510" s="6" t="n">
        <v>-4.49251867083523</v>
      </c>
      <c r="Z510" s="6" t="n">
        <v>-1.32051559791247</v>
      </c>
      <c r="AA510" s="6" t="n">
        <v>1.85983808427397</v>
      </c>
      <c r="AB510" s="6" t="n">
        <v>0.00372721758476717</v>
      </c>
      <c r="AC510" s="6" t="n">
        <v>1.23936511876287</v>
      </c>
      <c r="AD510" s="6" t="n">
        <v>1.14782632190197</v>
      </c>
      <c r="AE510" s="6" t="n">
        <v>1.86127642073338</v>
      </c>
      <c r="AF510" s="6" t="n">
        <v>-0.453706065857857</v>
      </c>
      <c r="AG510" s="6" t="n">
        <v>1.55851978372878</v>
      </c>
      <c r="AH510" s="6" t="n">
        <v>0.115888678381989</v>
      </c>
      <c r="AI510" s="6" t="n">
        <v>0.765234933354818</v>
      </c>
      <c r="AJ510" s="6" t="n">
        <v>76.1038471058296</v>
      </c>
      <c r="AK510" s="6" t="n">
        <v>0.112671914000946</v>
      </c>
      <c r="AL510" s="6" t="n">
        <v>1.07584988662563</v>
      </c>
      <c r="AN510" s="6" t="n">
        <v>1.28625896604305</v>
      </c>
      <c r="AO510" s="6" t="n">
        <v>1.28698879755989</v>
      </c>
      <c r="AP510" s="6" t="n">
        <v>0.132342554677654</v>
      </c>
      <c r="AQ510" s="6" t="n">
        <v>0</v>
      </c>
      <c r="AR510" s="6" t="n">
        <v>0</v>
      </c>
    </row>
    <row r="511" customFormat="false" ht="15" hidden="false" customHeight="false" outlineLevel="0" collapsed="false">
      <c r="D511" s="0" t="s">
        <v>637</v>
      </c>
      <c r="J511" s="6" t="n">
        <v>1.54852529839273</v>
      </c>
      <c r="K511" s="6" t="n">
        <v>0.826621779920243</v>
      </c>
      <c r="L511" s="6" t="n">
        <v>-4.59518490593887</v>
      </c>
      <c r="M511" s="6" t="n">
        <v>2.66760404226425</v>
      </c>
      <c r="N511" s="6" t="n">
        <v>-0.203230040523449</v>
      </c>
      <c r="O511" s="6" t="n">
        <v>-0.370316589733723</v>
      </c>
      <c r="P511" s="6" t="n">
        <v>2.30772168247318</v>
      </c>
      <c r="Q511" s="6" t="n">
        <v>-0.685559117275508</v>
      </c>
      <c r="R511" s="6" t="n">
        <v>0.802530042400014</v>
      </c>
      <c r="S511" s="6" t="n">
        <v>-1.29718027946846</v>
      </c>
      <c r="T511" s="6" t="n">
        <v>-0.588601009021952</v>
      </c>
      <c r="U511" s="6" t="n">
        <v>1.26984413136295</v>
      </c>
      <c r="V511" s="6" t="n">
        <v>4.51432836752181</v>
      </c>
      <c r="W511" s="6" t="n">
        <v>-1.66627652332872</v>
      </c>
      <c r="X511" s="6" t="n">
        <v>3.77250175335137</v>
      </c>
      <c r="Y511" s="6" t="n">
        <v>-0.873668792104886</v>
      </c>
      <c r="Z511" s="6" t="n">
        <v>0.39437102856135</v>
      </c>
      <c r="AA511" s="6" t="n">
        <v>2.90423319851545</v>
      </c>
      <c r="AB511" s="6" t="n">
        <v>1.22869887430562</v>
      </c>
      <c r="AC511" s="6" t="n">
        <v>0.466026233071843</v>
      </c>
      <c r="AD511" s="6" t="n">
        <v>-0.371272109330593</v>
      </c>
      <c r="AE511" s="6" t="n">
        <v>-3.35380687222943</v>
      </c>
      <c r="AF511" s="6" t="n">
        <v>0.853902759879169</v>
      </c>
      <c r="AG511" s="6" t="n">
        <v>1.14154867015901</v>
      </c>
      <c r="AH511" s="6" t="n">
        <v>-1.12326333750703</v>
      </c>
      <c r="AI511" s="6" t="n">
        <v>-0.935087077295449</v>
      </c>
      <c r="AJ511" s="6" t="n">
        <v>65.2732164131345</v>
      </c>
      <c r="AK511" s="6" t="n">
        <v>0.0921806831054642</v>
      </c>
      <c r="AL511" s="6" t="n">
        <v>1.005826773135</v>
      </c>
      <c r="AN511" s="6" t="n">
        <v>1.30860799257998</v>
      </c>
      <c r="AO511" s="6" t="n">
        <v>1.30860799257998</v>
      </c>
      <c r="AP511" s="6" t="n">
        <v>0.139236464761872</v>
      </c>
      <c r="AQ511" s="6" t="n">
        <v>0</v>
      </c>
      <c r="AR511" s="6" t="n">
        <v>0</v>
      </c>
    </row>
    <row r="512" customFormat="false" ht="15" hidden="false" customHeight="false" outlineLevel="0" collapsed="false">
      <c r="D512" s="0" t="s">
        <v>638</v>
      </c>
      <c r="J512" s="6" t="n">
        <v>0.733850114820633</v>
      </c>
      <c r="K512" s="6" t="n">
        <v>-1.46962939118939</v>
      </c>
      <c r="L512" s="6" t="n">
        <v>2.5609954075831</v>
      </c>
      <c r="M512" s="6" t="n">
        <v>-2.44894442890384</v>
      </c>
      <c r="N512" s="6" t="n">
        <v>-2.43819025287896</v>
      </c>
      <c r="O512" s="6" t="n">
        <v>1.94128396699337</v>
      </c>
      <c r="P512" s="6" t="n">
        <v>-0.819798861338775</v>
      </c>
      <c r="Q512" s="6" t="n">
        <v>-2.11072774335783</v>
      </c>
      <c r="R512" s="6" t="n">
        <v>0.541470439049937</v>
      </c>
      <c r="S512" s="6" t="n">
        <v>-1.0773971660966</v>
      </c>
      <c r="T512" s="6" t="n">
        <v>-1.8942653421093</v>
      </c>
      <c r="U512" s="6" t="n">
        <v>0.157424387520267</v>
      </c>
      <c r="V512" s="6" t="n">
        <v>-3.41893429583878</v>
      </c>
      <c r="W512" s="6" t="n">
        <v>-2.82135808254484</v>
      </c>
      <c r="X512" s="6" t="n">
        <v>2.31077752883582</v>
      </c>
      <c r="Y512" s="6" t="n">
        <v>-3.46791862669534</v>
      </c>
      <c r="Z512" s="6" t="n">
        <v>-0.965061735329788</v>
      </c>
      <c r="AA512" s="6" t="n">
        <v>-1.58477169673365</v>
      </c>
      <c r="AB512" s="6" t="n">
        <v>-2.80130672643993</v>
      </c>
      <c r="AC512" s="6" t="n">
        <v>-0.612733643856151</v>
      </c>
      <c r="AD512" s="6" t="n">
        <v>-2.29201581819032</v>
      </c>
      <c r="AE512" s="6" t="n">
        <v>-1.2011580990423</v>
      </c>
      <c r="AF512" s="6" t="n">
        <v>0.845973991161199</v>
      </c>
      <c r="AG512" s="6" t="n">
        <v>2.78139197798343</v>
      </c>
      <c r="AH512" s="6" t="n">
        <v>-1.32219017112838</v>
      </c>
      <c r="AI512" s="6" t="n">
        <v>1.89446743520227</v>
      </c>
      <c r="AJ512" s="6" t="n">
        <v>77.2456304776386</v>
      </c>
      <c r="AK512" s="6" t="n">
        <v>0.126218214120674</v>
      </c>
      <c r="AL512" s="6" t="n">
        <v>1.06718906184355</v>
      </c>
      <c r="AN512" s="6" t="n">
        <v>1.28865535120845</v>
      </c>
      <c r="AO512" s="6" t="n">
        <v>1.28866717417932</v>
      </c>
      <c r="AP512" s="6" t="n">
        <v>0.132363371997037</v>
      </c>
      <c r="AQ512" s="6" t="n">
        <v>0</v>
      </c>
      <c r="AR512" s="6" t="n">
        <v>0</v>
      </c>
    </row>
    <row r="513" customFormat="false" ht="15" hidden="false" customHeight="false" outlineLevel="0" collapsed="false">
      <c r="D513" s="0" t="s">
        <v>639</v>
      </c>
      <c r="J513" s="6" t="n">
        <v>0.969968603603359</v>
      </c>
      <c r="K513" s="6" t="n">
        <v>1.37456576388414</v>
      </c>
      <c r="L513" s="6" t="n">
        <v>-0.268222350724738</v>
      </c>
      <c r="M513" s="6" t="n">
        <v>-0.0928820225242081</v>
      </c>
      <c r="N513" s="6" t="n">
        <v>-2.3466030263178</v>
      </c>
      <c r="O513" s="6" t="n">
        <v>-1.51565833727789</v>
      </c>
      <c r="P513" s="6" t="n">
        <v>2.40677862081982</v>
      </c>
      <c r="Q513" s="6" t="n">
        <v>4.32140223855411</v>
      </c>
      <c r="R513" s="6" t="n">
        <v>0.476747848333072</v>
      </c>
      <c r="S513" s="6" t="n">
        <v>2.15731519798137</v>
      </c>
      <c r="T513" s="6" t="n">
        <v>-2.37105347456836</v>
      </c>
      <c r="U513" s="6" t="n">
        <v>0.387573945117029</v>
      </c>
      <c r="V513" s="6" t="n">
        <v>-2.01921759654656</v>
      </c>
      <c r="W513" s="6" t="n">
        <v>-2.07105679378542</v>
      </c>
      <c r="X513" s="6" t="n">
        <v>1.59982543642123</v>
      </c>
      <c r="Y513" s="6" t="n">
        <v>0.390446202633808</v>
      </c>
      <c r="Z513" s="6" t="n">
        <v>-0.479997163020497</v>
      </c>
      <c r="AA513" s="6" t="n">
        <v>-0.0642497445512931</v>
      </c>
      <c r="AB513" s="6" t="n">
        <v>-0.569691088192331</v>
      </c>
      <c r="AC513" s="6" t="n">
        <v>3.01840873702684</v>
      </c>
      <c r="AD513" s="6" t="n">
        <v>-1.15452249111298</v>
      </c>
      <c r="AE513" s="6" t="n">
        <v>-1.35251557590683</v>
      </c>
      <c r="AF513" s="6" t="n">
        <v>-1.04799483639759</v>
      </c>
      <c r="AG513" s="6" t="n">
        <v>0.878410560827445</v>
      </c>
      <c r="AH513" s="6" t="n">
        <v>5</v>
      </c>
      <c r="AI513" s="6" t="n">
        <v>0.0174971828212605</v>
      </c>
      <c r="AJ513" s="6" t="n">
        <v>72.6709368618722</v>
      </c>
      <c r="AK513" s="6" t="n">
        <v>0.105692817633318</v>
      </c>
      <c r="AL513" s="6" t="n">
        <v>1.07753201191221</v>
      </c>
      <c r="AN513" s="6" t="n">
        <v>1.28744343210546</v>
      </c>
      <c r="AO513" s="6" t="n">
        <v>1.28859672504688</v>
      </c>
      <c r="AP513" s="6" t="n">
        <v>0.132544570906259</v>
      </c>
      <c r="AQ513" s="6" t="n">
        <v>0</v>
      </c>
      <c r="AR513" s="6" t="n">
        <v>0</v>
      </c>
    </row>
    <row r="514" customFormat="false" ht="15" hidden="false" customHeight="false" outlineLevel="0" collapsed="false">
      <c r="D514" s="0" t="s">
        <v>640</v>
      </c>
      <c r="J514" s="6" t="n">
        <v>1.35795230456095</v>
      </c>
      <c r="K514" s="6" t="n">
        <v>2.60513497068047</v>
      </c>
      <c r="L514" s="6" t="n">
        <v>-0.656042310324979</v>
      </c>
      <c r="M514" s="6" t="n">
        <v>-1.54010882449306</v>
      </c>
      <c r="N514" s="6" t="n">
        <v>3.09194646732838</v>
      </c>
      <c r="O514" s="6" t="n">
        <v>2.43451977818081</v>
      </c>
      <c r="P514" s="6" t="n">
        <v>4.23143778631721</v>
      </c>
      <c r="Q514" s="6" t="n">
        <v>-2.33587876628685</v>
      </c>
      <c r="R514" s="6" t="n">
        <v>1.55567974993665</v>
      </c>
      <c r="S514" s="6" t="n">
        <v>0.165965447282812</v>
      </c>
      <c r="T514" s="6" t="n">
        <v>0.551031957893864</v>
      </c>
      <c r="U514" s="6" t="n">
        <v>2.56841675333947</v>
      </c>
      <c r="V514" s="6" t="n">
        <v>0.120060012862741</v>
      </c>
      <c r="W514" s="6" t="n">
        <v>2.59199155003896</v>
      </c>
      <c r="X514" s="6" t="n">
        <v>0.344118103034201</v>
      </c>
      <c r="Y514" s="6" t="n">
        <v>-5.43589958584551</v>
      </c>
      <c r="Z514" s="6" t="n">
        <v>1.18107889770311</v>
      </c>
      <c r="AA514" s="6" t="n">
        <v>-0.765577458601224</v>
      </c>
      <c r="AB514" s="6" t="n">
        <v>-1.82781075618025</v>
      </c>
      <c r="AC514" s="6" t="n">
        <v>-4.26580532773643</v>
      </c>
      <c r="AD514" s="6" t="n">
        <v>-1.14795629479183</v>
      </c>
      <c r="AE514" s="6" t="n">
        <v>0.761764013859641</v>
      </c>
      <c r="AF514" s="6" t="n">
        <v>0.870789707916146</v>
      </c>
      <c r="AG514" s="6" t="n">
        <v>3.57114455910203</v>
      </c>
      <c r="AH514" s="6" t="n">
        <v>0.66173777814867</v>
      </c>
      <c r="AI514" s="6" t="n">
        <v>-2.54736472578861</v>
      </c>
      <c r="AJ514" s="6" t="n">
        <v>78.1200475579514</v>
      </c>
      <c r="AK514" s="6" t="n">
        <v>0.125554723873643</v>
      </c>
      <c r="AL514" s="6" t="n">
        <v>1.12091283746824</v>
      </c>
      <c r="AN514" s="6" t="n">
        <v>1.2711564009487</v>
      </c>
      <c r="AO514" s="6" t="n">
        <v>1.2718710308216</v>
      </c>
      <c r="AP514" s="6" t="n">
        <v>0.129144723019117</v>
      </c>
      <c r="AQ514" s="6" t="n">
        <v>0</v>
      </c>
      <c r="AR514" s="6" t="n">
        <v>0</v>
      </c>
    </row>
    <row r="515" customFormat="false" ht="15" hidden="false" customHeight="false" outlineLevel="0" collapsed="false">
      <c r="D515" s="0" t="s">
        <v>641</v>
      </c>
      <c r="J515" s="6" t="n">
        <v>-2.40247333701679</v>
      </c>
      <c r="K515" s="6" t="n">
        <v>-0.795422501396618</v>
      </c>
      <c r="L515" s="6" t="n">
        <v>-0.183670343377071</v>
      </c>
      <c r="M515" s="6" t="n">
        <v>3.18065224482442</v>
      </c>
      <c r="N515" s="6" t="n">
        <v>5</v>
      </c>
      <c r="O515" s="6" t="n">
        <v>3.15815410903655</v>
      </c>
      <c r="P515" s="6" t="n">
        <v>-0.151823838694681</v>
      </c>
      <c r="Q515" s="6" t="n">
        <v>0.914066457531577</v>
      </c>
      <c r="R515" s="6" t="n">
        <v>-0.435508078461638</v>
      </c>
      <c r="S515" s="6" t="n">
        <v>-0.670635341037185</v>
      </c>
      <c r="T515" s="6" t="n">
        <v>3.45577484417544</v>
      </c>
      <c r="U515" s="6" t="n">
        <v>1.24664423790193</v>
      </c>
      <c r="V515" s="6" t="n">
        <v>0.603399369301073</v>
      </c>
      <c r="W515" s="6" t="n">
        <v>-1.73487642599873</v>
      </c>
      <c r="X515" s="6" t="n">
        <v>-1.11861158313185</v>
      </c>
      <c r="Y515" s="6" t="n">
        <v>-0.0639259076642082</v>
      </c>
      <c r="Z515" s="6" t="n">
        <v>0.760615355464467</v>
      </c>
      <c r="AA515" s="6" t="n">
        <v>-0.311146051069475</v>
      </c>
      <c r="AB515" s="6" t="n">
        <v>2.02197459332691</v>
      </c>
      <c r="AC515" s="6" t="n">
        <v>1.78913515161679</v>
      </c>
      <c r="AD515" s="6" t="n">
        <v>-0.0652940443817684</v>
      </c>
      <c r="AE515" s="6" t="n">
        <v>-0.463525698376861</v>
      </c>
      <c r="AF515" s="6" t="n">
        <v>-0.81863986167756</v>
      </c>
      <c r="AG515" s="6" t="n">
        <v>-1.93648741574018</v>
      </c>
      <c r="AH515" s="6" t="n">
        <v>-3.53273794011924</v>
      </c>
      <c r="AI515" s="6" t="n">
        <v>-0.884826881501997</v>
      </c>
      <c r="AJ515" s="6" t="n">
        <v>78.0226500054253</v>
      </c>
      <c r="AK515" s="6" t="n">
        <v>0.120108169556599</v>
      </c>
      <c r="AL515" s="6" t="n">
        <v>1.04690215540138</v>
      </c>
      <c r="AN515" s="6" t="n">
        <v>1.2989895593254</v>
      </c>
      <c r="AO515" s="6" t="n">
        <v>1.30015012466165</v>
      </c>
      <c r="AP515" s="6" t="n">
        <v>0.135004069330721</v>
      </c>
      <c r="AQ515" s="6" t="n">
        <v>0</v>
      </c>
      <c r="AR515" s="6" t="n">
        <v>0</v>
      </c>
    </row>
    <row r="516" customFormat="false" ht="15" hidden="false" customHeight="false" outlineLevel="0" collapsed="false">
      <c r="D516" s="0" t="s">
        <v>642</v>
      </c>
      <c r="J516" s="6" t="n">
        <v>0.646698737374282</v>
      </c>
      <c r="K516" s="6" t="n">
        <v>0.725347414749875</v>
      </c>
      <c r="L516" s="6" t="n">
        <v>2.73042866001076</v>
      </c>
      <c r="M516" s="6" t="n">
        <v>1.42822186070277</v>
      </c>
      <c r="N516" s="6" t="n">
        <v>-1.16241434612854</v>
      </c>
      <c r="O516" s="6" t="n">
        <v>2.00030092382107</v>
      </c>
      <c r="P516" s="6" t="n">
        <v>-1.29539725699987</v>
      </c>
      <c r="Q516" s="6" t="n">
        <v>-0.719176109050131</v>
      </c>
      <c r="R516" s="6" t="n">
        <v>2.80871578715482</v>
      </c>
      <c r="S516" s="6" t="n">
        <v>0.000892241619095541</v>
      </c>
      <c r="T516" s="6" t="n">
        <v>-0.382726877942816</v>
      </c>
      <c r="U516" s="6" t="n">
        <v>-0.859498408404757</v>
      </c>
      <c r="V516" s="6" t="n">
        <v>1.09626232387876</v>
      </c>
      <c r="W516" s="6" t="n">
        <v>0.183948644813893</v>
      </c>
      <c r="X516" s="6" t="n">
        <v>-1.29500146452138</v>
      </c>
      <c r="Y516" s="6" t="n">
        <v>3.06796093520141</v>
      </c>
      <c r="Z516" s="6" t="n">
        <v>-0.114036454746129</v>
      </c>
      <c r="AA516" s="6" t="n">
        <v>-0.888713411562044</v>
      </c>
      <c r="AB516" s="6" t="n">
        <v>1.77005101214155</v>
      </c>
      <c r="AC516" s="6" t="n">
        <v>2.74634063176062</v>
      </c>
      <c r="AD516" s="6" t="n">
        <v>1.84352071937156</v>
      </c>
      <c r="AE516" s="6" t="n">
        <v>-1.56998238714984</v>
      </c>
      <c r="AF516" s="6" t="n">
        <v>-2.53594904319535</v>
      </c>
      <c r="AG516" s="6" t="n">
        <v>-3.63129056518283</v>
      </c>
      <c r="AH516" s="6" t="n">
        <v>0.757277570724566</v>
      </c>
      <c r="AI516" s="6" t="n">
        <v>-2.16669870394839</v>
      </c>
      <c r="AJ516" s="6" t="n">
        <v>83.4405719828521</v>
      </c>
      <c r="AK516" s="6" t="n">
        <v>0.125159692346235</v>
      </c>
      <c r="AL516" s="6" t="n">
        <v>1.05077396617916</v>
      </c>
      <c r="AN516" s="6" t="n">
        <v>1.29875323001251</v>
      </c>
      <c r="AO516" s="6" t="n">
        <v>1.29906019891887</v>
      </c>
      <c r="AP516" s="6" t="n">
        <v>0.134628121583542</v>
      </c>
      <c r="AQ516" s="6" t="n">
        <v>0</v>
      </c>
      <c r="AR516" s="6" t="n">
        <v>0</v>
      </c>
    </row>
    <row r="517" customFormat="false" ht="15" hidden="false" customHeight="false" outlineLevel="0" collapsed="false">
      <c r="D517" s="0" t="s">
        <v>643</v>
      </c>
      <c r="J517" s="6" t="n">
        <v>-2.62935145233666</v>
      </c>
      <c r="K517" s="6" t="n">
        <v>0.0452146299054758</v>
      </c>
      <c r="L517" s="6" t="n">
        <v>1.25616060869157</v>
      </c>
      <c r="M517" s="6" t="n">
        <v>-2.1850267133448</v>
      </c>
      <c r="N517" s="6" t="n">
        <v>-3.7983984981641</v>
      </c>
      <c r="O517" s="6" t="n">
        <v>1.99996264138954</v>
      </c>
      <c r="P517" s="6" t="n">
        <v>-2.21342249009436</v>
      </c>
      <c r="Q517" s="6" t="n">
        <v>1.56779898084325</v>
      </c>
      <c r="R517" s="6" t="n">
        <v>-1.05608213436266</v>
      </c>
      <c r="S517" s="6" t="n">
        <v>0.945223201722839</v>
      </c>
      <c r="T517" s="6" t="n">
        <v>0.172813777910755</v>
      </c>
      <c r="U517" s="6" t="n">
        <v>-0.872204418036689</v>
      </c>
      <c r="V517" s="6" t="n">
        <v>1.33202246873034</v>
      </c>
      <c r="W517" s="6" t="n">
        <v>3.62690415076621</v>
      </c>
      <c r="X517" s="6" t="n">
        <v>-1.20800758057985</v>
      </c>
      <c r="Y517" s="6" t="n">
        <v>1.83763318292944</v>
      </c>
      <c r="Z517" s="6" t="n">
        <v>-2.20251974740246</v>
      </c>
      <c r="AA517" s="6" t="n">
        <v>-0.979379354277026</v>
      </c>
      <c r="AB517" s="6" t="n">
        <v>-2.02907091001264</v>
      </c>
      <c r="AC517" s="6" t="n">
        <v>1.15055745783624</v>
      </c>
      <c r="AD517" s="6" t="n">
        <v>0.760936774097004</v>
      </c>
      <c r="AE517" s="6" t="n">
        <v>-1.97375378380467</v>
      </c>
      <c r="AF517" s="6" t="n">
        <v>-0.0985045059213468</v>
      </c>
      <c r="AG517" s="6" t="n">
        <v>3.90042159241077</v>
      </c>
      <c r="AH517" s="6" t="n">
        <v>0.0563003850004423</v>
      </c>
      <c r="AI517" s="6" t="n">
        <v>2.09457164560662</v>
      </c>
      <c r="AJ517" s="6" t="n">
        <v>83.8008716103024</v>
      </c>
      <c r="AK517" s="6" t="n">
        <v>0.0878520081701775</v>
      </c>
      <c r="AL517" s="6" t="n">
        <v>1.03554200727849</v>
      </c>
      <c r="AN517" s="6" t="n">
        <v>1.31151065310678</v>
      </c>
      <c r="AO517" s="6" t="n">
        <v>1.31263893597193</v>
      </c>
      <c r="AP517" s="6" t="n">
        <v>0.137491911249538</v>
      </c>
      <c r="AQ517" s="6" t="n">
        <v>0</v>
      </c>
      <c r="AR517" s="6" t="n">
        <v>0</v>
      </c>
    </row>
    <row r="518" customFormat="false" ht="15" hidden="false" customHeight="false" outlineLevel="0" collapsed="false">
      <c r="D518" s="0" t="s">
        <v>644</v>
      </c>
      <c r="J518" s="6" t="n">
        <v>-2.27209564422829</v>
      </c>
      <c r="K518" s="6" t="n">
        <v>0.506571312000603</v>
      </c>
      <c r="L518" s="6" t="n">
        <v>-2.05928637701008</v>
      </c>
      <c r="M518" s="6" t="n">
        <v>-1.70014107118048</v>
      </c>
      <c r="N518" s="6" t="n">
        <v>1.48075598372437</v>
      </c>
      <c r="O518" s="6" t="n">
        <v>5</v>
      </c>
      <c r="P518" s="6" t="n">
        <v>-0.460766060653872</v>
      </c>
      <c r="Q518" s="6" t="n">
        <v>1.30294015733038</v>
      </c>
      <c r="R518" s="6" t="n">
        <v>0.220897308550989</v>
      </c>
      <c r="S518" s="6" t="n">
        <v>-0.32052570400268</v>
      </c>
      <c r="T518" s="6" t="n">
        <v>-0.602527106593526</v>
      </c>
      <c r="U518" s="6" t="n">
        <v>-0.253254705144153</v>
      </c>
      <c r="V518" s="6" t="n">
        <v>1.77773144522903</v>
      </c>
      <c r="W518" s="6" t="n">
        <v>0.444317455063654</v>
      </c>
      <c r="X518" s="6" t="n">
        <v>3.654957115893</v>
      </c>
      <c r="Y518" s="6" t="n">
        <v>-0.447998376940639</v>
      </c>
      <c r="Z518" s="6" t="n">
        <v>0.636186622382751</v>
      </c>
      <c r="AA518" s="6" t="n">
        <v>-1.18814211263911</v>
      </c>
      <c r="AB518" s="6" t="n">
        <v>1.12092481922686</v>
      </c>
      <c r="AC518" s="6" t="n">
        <v>-1.02013924023506</v>
      </c>
      <c r="AD518" s="6" t="n">
        <v>-1.06678816780208</v>
      </c>
      <c r="AE518" s="6" t="n">
        <v>-0.656722748046896</v>
      </c>
      <c r="AF518" s="6" t="n">
        <v>-0.586332527949707</v>
      </c>
      <c r="AG518" s="6" t="n">
        <v>2.67153677864972</v>
      </c>
      <c r="AH518" s="6" t="n">
        <v>-0.104926004192138</v>
      </c>
      <c r="AI518" s="6" t="n">
        <v>-1.74405012346151</v>
      </c>
      <c r="AJ518" s="6" t="n">
        <v>76.8662808474003</v>
      </c>
      <c r="AK518" s="6" t="n">
        <v>0.104595600731296</v>
      </c>
      <c r="AL518" s="6" t="n">
        <v>1.03022208317941</v>
      </c>
      <c r="AN518" s="6" t="n">
        <v>1.31103636328414</v>
      </c>
      <c r="AO518" s="6" t="n">
        <v>1.31174012021988</v>
      </c>
      <c r="AP518" s="6" t="n">
        <v>0.137174340120377</v>
      </c>
      <c r="AQ518" s="6" t="n">
        <v>0</v>
      </c>
      <c r="AR518" s="6" t="n">
        <v>0</v>
      </c>
    </row>
    <row r="519" customFormat="false" ht="15" hidden="false" customHeight="false" outlineLevel="0" collapsed="false">
      <c r="D519" s="0" t="s">
        <v>645</v>
      </c>
      <c r="J519" s="6" t="n">
        <v>2.09069270793436</v>
      </c>
      <c r="K519" s="6" t="n">
        <v>1.03365971402801</v>
      </c>
      <c r="L519" s="6" t="n">
        <v>-0.333331050140128</v>
      </c>
      <c r="M519" s="6" t="n">
        <v>2.13854548570058</v>
      </c>
      <c r="N519" s="6" t="n">
        <v>1.66948628631487</v>
      </c>
      <c r="O519" s="6" t="n">
        <v>-0.431493872726028</v>
      </c>
      <c r="P519" s="6" t="n">
        <v>1.98666391932606</v>
      </c>
      <c r="Q519" s="6" t="n">
        <v>2.75753172250481</v>
      </c>
      <c r="R519" s="6" t="n">
        <v>2.05849129254884</v>
      </c>
      <c r="S519" s="6" t="n">
        <v>1.30008420823098</v>
      </c>
      <c r="T519" s="6" t="n">
        <v>-2.17059432443835</v>
      </c>
      <c r="U519" s="6" t="n">
        <v>2.70267060571747</v>
      </c>
      <c r="V519" s="6" t="n">
        <v>-2.64416265367208</v>
      </c>
      <c r="W519" s="6" t="n">
        <v>0.950804208995882</v>
      </c>
      <c r="X519" s="6" t="n">
        <v>3.08432895995117</v>
      </c>
      <c r="Y519" s="6" t="n">
        <v>-1.2171885691946</v>
      </c>
      <c r="Z519" s="6" t="n">
        <v>-4.46919208055868</v>
      </c>
      <c r="AA519" s="6" t="n">
        <v>0.28502111081957</v>
      </c>
      <c r="AB519" s="6" t="n">
        <v>2.90115127413391</v>
      </c>
      <c r="AC519" s="6" t="n">
        <v>2.14522852960467</v>
      </c>
      <c r="AD519" s="6" t="n">
        <v>-0.407374656019398</v>
      </c>
      <c r="AE519" s="6" t="n">
        <v>-1.59099012954875</v>
      </c>
      <c r="AF519" s="6" t="n">
        <v>2.70876867961141</v>
      </c>
      <c r="AG519" s="6" t="n">
        <v>2.06731038128993</v>
      </c>
      <c r="AH519" s="6" t="n">
        <v>-1.52326458419491</v>
      </c>
      <c r="AI519" s="6" t="n">
        <v>0.314938562999728</v>
      </c>
      <c r="AJ519" s="6" t="n">
        <v>68.112126064372</v>
      </c>
      <c r="AK519" s="6" t="n">
        <v>0.0551978220621924</v>
      </c>
      <c r="AL519" s="6" t="n">
        <v>1.00717547492872</v>
      </c>
      <c r="AN519" s="6" t="n">
        <v>1.31108195028609</v>
      </c>
      <c r="AO519" s="6" t="n">
        <v>1.31108195028609</v>
      </c>
      <c r="AP519" s="6" t="n">
        <v>0.140290497684225</v>
      </c>
      <c r="AQ519" s="6" t="n">
        <v>0</v>
      </c>
      <c r="AR519" s="6" t="n">
        <v>0</v>
      </c>
    </row>
    <row r="520" customFormat="false" ht="15" hidden="false" customHeight="false" outlineLevel="0" collapsed="false">
      <c r="D520" s="0" t="s">
        <v>646</v>
      </c>
      <c r="J520" s="6" t="n">
        <v>2.25526769142727</v>
      </c>
      <c r="K520" s="6" t="n">
        <v>-0.847892878932976</v>
      </c>
      <c r="L520" s="6" t="n">
        <v>-1.64848683903204</v>
      </c>
      <c r="M520" s="6" t="n">
        <v>-0.45856817144967</v>
      </c>
      <c r="N520" s="6" t="n">
        <v>1.4765215398019</v>
      </c>
      <c r="O520" s="6" t="n">
        <v>-1.16381696064427</v>
      </c>
      <c r="P520" s="6" t="n">
        <v>-3.69255032437078</v>
      </c>
      <c r="Q520" s="6" t="n">
        <v>-3.37214011030729</v>
      </c>
      <c r="R520" s="6" t="n">
        <v>0.828079890768471</v>
      </c>
      <c r="S520" s="6" t="n">
        <v>0.126932428139881</v>
      </c>
      <c r="T520" s="6" t="n">
        <v>0.189708353988879</v>
      </c>
      <c r="U520" s="6" t="n">
        <v>2.05144813638423</v>
      </c>
      <c r="V520" s="6" t="n">
        <v>1.35471744488389</v>
      </c>
      <c r="W520" s="6" t="n">
        <v>-4.36527870935078</v>
      </c>
      <c r="X520" s="6" t="n">
        <v>-3.68183195049667</v>
      </c>
      <c r="Y520" s="6" t="n">
        <v>-0.900840774019556</v>
      </c>
      <c r="Z520" s="6" t="n">
        <v>-1.62277673740772</v>
      </c>
      <c r="AA520" s="6" t="n">
        <v>-0.223259554721846</v>
      </c>
      <c r="AB520" s="6" t="n">
        <v>2.90768102182134</v>
      </c>
      <c r="AC520" s="6" t="n">
        <v>2.38657503149984</v>
      </c>
      <c r="AD520" s="6" t="n">
        <v>-2.96241915932535</v>
      </c>
      <c r="AE520" s="6" t="n">
        <v>1.55540393054818</v>
      </c>
      <c r="AF520" s="6" t="n">
        <v>0.828048984948217</v>
      </c>
      <c r="AG520" s="6" t="n">
        <v>-2.50104624139866</v>
      </c>
      <c r="AH520" s="6" t="n">
        <v>2.67132568014213</v>
      </c>
      <c r="AI520" s="6" t="n">
        <v>1.79452331424294</v>
      </c>
      <c r="AJ520" s="6" t="n">
        <v>68.8726308757086</v>
      </c>
      <c r="AK520" s="6" t="n">
        <v>0.169900522150547</v>
      </c>
      <c r="AL520" s="6" t="n">
        <v>1.09340405387299</v>
      </c>
      <c r="AN520" s="6" t="n">
        <v>1.27664928871616</v>
      </c>
      <c r="AO520" s="6" t="n">
        <v>1.27694200639988</v>
      </c>
      <c r="AP520" s="6" t="n">
        <v>0.129257656440859</v>
      </c>
      <c r="AQ520" s="6" t="n">
        <v>0</v>
      </c>
      <c r="AR520" s="6" t="n">
        <v>0</v>
      </c>
    </row>
    <row r="521" customFormat="false" ht="15" hidden="false" customHeight="false" outlineLevel="0" collapsed="false">
      <c r="D521" s="0" t="s">
        <v>647</v>
      </c>
      <c r="J521" s="6" t="n">
        <v>2.08002857758902</v>
      </c>
      <c r="K521" s="6" t="n">
        <v>-1.91657499942035</v>
      </c>
      <c r="L521" s="6" t="n">
        <v>-0.807672450354179</v>
      </c>
      <c r="M521" s="6" t="n">
        <v>0.227105698028231</v>
      </c>
      <c r="N521" s="6" t="n">
        <v>-0.496558350431828</v>
      </c>
      <c r="O521" s="6" t="n">
        <v>1.95393670447482</v>
      </c>
      <c r="P521" s="6" t="n">
        <v>2.31209823680163</v>
      </c>
      <c r="Q521" s="6" t="n">
        <v>0.137628975032362</v>
      </c>
      <c r="R521" s="6" t="n">
        <v>-0.5731183241024</v>
      </c>
      <c r="S521" s="6" t="n">
        <v>-1.88830977426246</v>
      </c>
      <c r="T521" s="6" t="n">
        <v>1.5582566633301</v>
      </c>
      <c r="U521" s="6" t="n">
        <v>-0.945494070645401</v>
      </c>
      <c r="V521" s="6" t="n">
        <v>1.33708518932475</v>
      </c>
      <c r="W521" s="6" t="n">
        <v>-1.13165160575987</v>
      </c>
      <c r="X521" s="6" t="n">
        <v>0.289212452994192</v>
      </c>
      <c r="Y521" s="6" t="n">
        <v>-1.49041863941397</v>
      </c>
      <c r="Z521" s="6" t="n">
        <v>-4.0191303237151</v>
      </c>
      <c r="AA521" s="6" t="n">
        <v>-1.89932539345575</v>
      </c>
      <c r="AB521" s="6" t="n">
        <v>-0.923624672969791</v>
      </c>
      <c r="AC521" s="6" t="n">
        <v>-1.96948264011896</v>
      </c>
      <c r="AD521" s="6" t="n">
        <v>-1.67754336041267</v>
      </c>
      <c r="AE521" s="6" t="n">
        <v>1.62291883509741</v>
      </c>
      <c r="AF521" s="6" t="n">
        <v>-0.658116755227868</v>
      </c>
      <c r="AG521" s="6" t="n">
        <v>-1.69640943438621</v>
      </c>
      <c r="AH521" s="6" t="n">
        <v>-1.50327417952639</v>
      </c>
      <c r="AI521" s="6" t="n">
        <v>0.743210190387205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1.31075797294857</v>
      </c>
      <c r="AO521" s="6" t="n">
        <v>1.31124252542911</v>
      </c>
      <c r="AP521" s="6" t="n">
        <v>0.13790183166545</v>
      </c>
      <c r="AQ521" s="6" t="n">
        <v>0</v>
      </c>
      <c r="AR521" s="6" t="n">
        <v>0</v>
      </c>
    </row>
    <row r="522" customFormat="false" ht="15" hidden="false" customHeight="false" outlineLevel="0" collapsed="false">
      <c r="D522" s="0" t="s">
        <v>648</v>
      </c>
      <c r="J522" s="6" t="n">
        <v>-1.51770062799477</v>
      </c>
      <c r="K522" s="6" t="n">
        <v>-0.161448817421496</v>
      </c>
      <c r="L522" s="6" t="n">
        <v>-1.10586717693986</v>
      </c>
      <c r="M522" s="6" t="n">
        <v>-0.184113167595687</v>
      </c>
      <c r="N522" s="6" t="n">
        <v>-3.30930444948868</v>
      </c>
      <c r="O522" s="6" t="n">
        <v>1.97265060310879</v>
      </c>
      <c r="P522" s="6" t="n">
        <v>-2.39114513391623</v>
      </c>
      <c r="Q522" s="6" t="n">
        <v>-1.29778787475823</v>
      </c>
      <c r="R522" s="6" t="n">
        <v>0.0389878662817283</v>
      </c>
      <c r="S522" s="6" t="n">
        <v>1.86336870150489</v>
      </c>
      <c r="T522" s="6" t="n">
        <v>1.71129828983423</v>
      </c>
      <c r="U522" s="6" t="n">
        <v>1.69303835369983</v>
      </c>
      <c r="V522" s="6" t="n">
        <v>3.64130674674337</v>
      </c>
      <c r="W522" s="6" t="n">
        <v>1.54256909638262</v>
      </c>
      <c r="X522" s="6" t="n">
        <v>-2.0500894371266</v>
      </c>
      <c r="Y522" s="6" t="n">
        <v>-0.297906570351022</v>
      </c>
      <c r="Z522" s="6" t="n">
        <v>-2.13520996249232</v>
      </c>
      <c r="AA522" s="6" t="n">
        <v>-0.757023682676777</v>
      </c>
      <c r="AB522" s="6" t="n">
        <v>-1.39871410055956</v>
      </c>
      <c r="AC522" s="6" t="n">
        <v>4.7496616329102</v>
      </c>
      <c r="AD522" s="6" t="n">
        <v>-1.67104343121896</v>
      </c>
      <c r="AE522" s="6" t="n">
        <v>4.45231996588452</v>
      </c>
      <c r="AF522" s="6" t="n">
        <v>-2.30304387107632</v>
      </c>
      <c r="AG522" s="6" t="n">
        <v>-0.376205317523472</v>
      </c>
      <c r="AH522" s="6" t="n">
        <v>-0.155271647097491</v>
      </c>
      <c r="AI522" s="6" t="n">
        <v>-0.402933549787012</v>
      </c>
      <c r="AJ522" s="6" t="n">
        <v>82.8657906430302</v>
      </c>
      <c r="AK522" s="6" t="n">
        <v>0.101713047091331</v>
      </c>
      <c r="AL522" s="6" t="n">
        <v>1.10170230054923</v>
      </c>
      <c r="AN522" s="6" t="n">
        <v>1.28153765627691</v>
      </c>
      <c r="AO522" s="6" t="n">
        <v>1.28174229621663</v>
      </c>
      <c r="AP522" s="6" t="n">
        <v>0.131633426381774</v>
      </c>
      <c r="AQ522" s="6" t="n">
        <v>0</v>
      </c>
      <c r="AR522" s="6" t="n">
        <v>0</v>
      </c>
    </row>
    <row r="523" customFormat="false" ht="15" hidden="false" customHeight="false" outlineLevel="0" collapsed="false">
      <c r="D523" s="0" t="s">
        <v>649</v>
      </c>
      <c r="J523" s="6" t="n">
        <v>-0.488361856076851</v>
      </c>
      <c r="K523" s="6" t="n">
        <v>0.265896583414896</v>
      </c>
      <c r="L523" s="6" t="n">
        <v>0.289062190609521</v>
      </c>
      <c r="M523" s="6" t="n">
        <v>1.79902087600953</v>
      </c>
      <c r="N523" s="6" t="n">
        <v>0.948745798057503</v>
      </c>
      <c r="O523" s="6" t="n">
        <v>-0.0319828638725026</v>
      </c>
      <c r="P523" s="6" t="n">
        <v>-1.59911406643693</v>
      </c>
      <c r="Q523" s="6" t="n">
        <v>-0.535229930475142</v>
      </c>
      <c r="R523" s="6" t="n">
        <v>1.79940017160247</v>
      </c>
      <c r="S523" s="6" t="n">
        <v>-2.32652475170615</v>
      </c>
      <c r="T523" s="6" t="n">
        <v>0.18396100041454</v>
      </c>
      <c r="U523" s="6" t="n">
        <v>-0.385011281708651</v>
      </c>
      <c r="V523" s="6" t="n">
        <v>-5.1300130412723</v>
      </c>
      <c r="W523" s="6" t="n">
        <v>-2.14163726481649</v>
      </c>
      <c r="X523" s="6" t="n">
        <v>2.63835476719274</v>
      </c>
      <c r="Y523" s="6" t="n">
        <v>3.43233800543492</v>
      </c>
      <c r="Z523" s="6" t="n">
        <v>1.85942853910495</v>
      </c>
      <c r="AA523" s="6" t="n">
        <v>-0.375201794106628</v>
      </c>
      <c r="AB523" s="6" t="n">
        <v>-1.60229265509884</v>
      </c>
      <c r="AC523" s="6" t="n">
        <v>-0.445029713476107</v>
      </c>
      <c r="AD523" s="6" t="n">
        <v>-0.722202505369666</v>
      </c>
      <c r="AE523" s="6" t="n">
        <v>3.78312559049188</v>
      </c>
      <c r="AF523" s="6" t="n">
        <v>2.35019557431493</v>
      </c>
      <c r="AG523" s="6" t="n">
        <v>-5.15843278951331</v>
      </c>
      <c r="AH523" s="6" t="n">
        <v>0.894986946939244</v>
      </c>
      <c r="AI523" s="6" t="n">
        <v>3.96667830109378</v>
      </c>
      <c r="AJ523" s="6" t="n">
        <v>81.1100647769867</v>
      </c>
      <c r="AK523" s="6" t="n">
        <v>0.125882059813465</v>
      </c>
      <c r="AL523" s="6" t="n">
        <v>1.03013015334648</v>
      </c>
      <c r="AN523" s="6" t="n">
        <v>1.31087344996243</v>
      </c>
      <c r="AO523" s="6" t="n">
        <v>1.3109377242248</v>
      </c>
      <c r="AP523" s="6" t="n">
        <v>0.136813182672991</v>
      </c>
      <c r="AQ523" s="6" t="n">
        <v>0</v>
      </c>
      <c r="AR523" s="6" t="n">
        <v>0</v>
      </c>
    </row>
    <row r="524" customFormat="false" ht="15" hidden="false" customHeight="false" outlineLevel="0" collapsed="false">
      <c r="D524" s="0" t="s">
        <v>650</v>
      </c>
      <c r="J524" s="6" t="n">
        <v>-1.40290852191916</v>
      </c>
      <c r="K524" s="6" t="n">
        <v>0.436708112068222</v>
      </c>
      <c r="L524" s="6" t="n">
        <v>1.34992961169054</v>
      </c>
      <c r="M524" s="6" t="n">
        <v>-1.72941552920662</v>
      </c>
      <c r="N524" s="6" t="n">
        <v>1.99967806582012</v>
      </c>
      <c r="O524" s="6" t="n">
        <v>5</v>
      </c>
      <c r="P524" s="6" t="n">
        <v>-0.724131122225405</v>
      </c>
      <c r="Q524" s="6" t="n">
        <v>0.0606393969931063</v>
      </c>
      <c r="R524" s="6" t="n">
        <v>0.195337851588888</v>
      </c>
      <c r="S524" s="6" t="n">
        <v>-1.72810962062746</v>
      </c>
      <c r="T524" s="6" t="n">
        <v>-2.85336272237124</v>
      </c>
      <c r="U524" s="6" t="n">
        <v>-1.3050686881996</v>
      </c>
      <c r="V524" s="6" t="n">
        <v>-1.03393878300387</v>
      </c>
      <c r="W524" s="6" t="n">
        <v>-1.93581906921458</v>
      </c>
      <c r="X524" s="6" t="n">
        <v>-2.9150255475622</v>
      </c>
      <c r="Y524" s="6" t="n">
        <v>0.966875783077155</v>
      </c>
      <c r="Z524" s="6" t="n">
        <v>0.202729286363368</v>
      </c>
      <c r="AA524" s="6" t="n">
        <v>0.0909474027353019</v>
      </c>
      <c r="AB524" s="6" t="n">
        <v>2.57193195048201</v>
      </c>
      <c r="AC524" s="6" t="n">
        <v>0.970832847043556</v>
      </c>
      <c r="AD524" s="6" t="n">
        <v>0.414241948655046</v>
      </c>
      <c r="AE524" s="6" t="n">
        <v>-0.96179134699915</v>
      </c>
      <c r="AF524" s="6" t="n">
        <v>-3.54921633706825</v>
      </c>
      <c r="AG524" s="6" t="n">
        <v>1.86653798015134</v>
      </c>
      <c r="AH524" s="6" t="n">
        <v>1.56891068221459</v>
      </c>
      <c r="AI524" s="6" t="n">
        <v>-0.15758630934537</v>
      </c>
      <c r="AJ524" s="6" t="n">
        <v>63.7503481024003</v>
      </c>
      <c r="AK524" s="6" t="n">
        <v>0.120506335631903</v>
      </c>
      <c r="AL524" s="6" t="n">
        <v>0.985394602968572</v>
      </c>
      <c r="AN524" s="6" t="n">
        <v>1.31396116919507</v>
      </c>
      <c r="AO524" s="6" t="n">
        <v>1.31396116919507</v>
      </c>
      <c r="AP524" s="6" t="n">
        <v>0.142338380630055</v>
      </c>
      <c r="AQ524" s="6" t="n">
        <v>0</v>
      </c>
      <c r="AR524" s="6" t="n">
        <v>0</v>
      </c>
    </row>
    <row r="525" customFormat="false" ht="15" hidden="false" customHeight="false" outlineLevel="0" collapsed="false">
      <c r="D525" s="0" t="s">
        <v>651</v>
      </c>
      <c r="J525" s="6" t="n">
        <v>0.521432435378112</v>
      </c>
      <c r="K525" s="6" t="n">
        <v>1.79807106970138</v>
      </c>
      <c r="L525" s="6" t="n">
        <v>4.19896239634152</v>
      </c>
      <c r="M525" s="6" t="n">
        <v>2.84671400823678</v>
      </c>
      <c r="N525" s="6" t="n">
        <v>-1.15222350410839</v>
      </c>
      <c r="O525" s="6" t="n">
        <v>-2.2405406224243</v>
      </c>
      <c r="P525" s="6" t="n">
        <v>-1.40859719594223</v>
      </c>
      <c r="Q525" s="6" t="n">
        <v>2.10145696471325</v>
      </c>
      <c r="R525" s="6" t="n">
        <v>-0.23768945820076</v>
      </c>
      <c r="S525" s="6" t="n">
        <v>0.617074113818561</v>
      </c>
      <c r="T525" s="6" t="n">
        <v>3.19307145701808</v>
      </c>
      <c r="U525" s="6" t="n">
        <v>-1.81632600192998</v>
      </c>
      <c r="V525" s="6" t="n">
        <v>-0.34831706917455</v>
      </c>
      <c r="W525" s="6" t="n">
        <v>1.27569610598329</v>
      </c>
      <c r="X525" s="6" t="n">
        <v>0.0454457564187943</v>
      </c>
      <c r="Y525" s="6" t="n">
        <v>2.07835101972124</v>
      </c>
      <c r="Z525" s="6" t="n">
        <v>2.42289398922743</v>
      </c>
      <c r="AA525" s="6" t="n">
        <v>-1.38241981068271</v>
      </c>
      <c r="AB525" s="6" t="n">
        <v>1.10918214766532</v>
      </c>
      <c r="AC525" s="6" t="n">
        <v>-3.59392278328386</v>
      </c>
      <c r="AD525" s="6" t="n">
        <v>1.28288768172756</v>
      </c>
      <c r="AE525" s="6" t="n">
        <v>-3.36912746646596</v>
      </c>
      <c r="AF525" s="6" t="n">
        <v>0.146018058528267</v>
      </c>
      <c r="AG525" s="6" t="n">
        <v>-0.0996339388905348</v>
      </c>
      <c r="AH525" s="6" t="n">
        <v>-2.1965737417297</v>
      </c>
      <c r="AI525" s="6" t="n">
        <v>0.907600946302694</v>
      </c>
      <c r="AJ525" s="6" t="n">
        <v>80.4789639154703</v>
      </c>
      <c r="AK525" s="6" t="n">
        <v>0.233946881548961</v>
      </c>
      <c r="AL525" s="6" t="n">
        <v>1.08630854229952</v>
      </c>
      <c r="AN525" s="6" t="n">
        <v>1.27221641997143</v>
      </c>
      <c r="AO525" s="6" t="n">
        <v>1.27234559572728</v>
      </c>
      <c r="AP525" s="6" t="n">
        <v>0.12865220056562</v>
      </c>
      <c r="AQ525" s="6" t="n">
        <v>0</v>
      </c>
      <c r="AR525" s="6" t="n">
        <v>0</v>
      </c>
    </row>
    <row r="526" customFormat="false" ht="15" hidden="false" customHeight="false" outlineLevel="0" collapsed="false">
      <c r="D526" s="0" t="s">
        <v>652</v>
      </c>
      <c r="J526" s="6" t="n">
        <v>-1.89749421159248</v>
      </c>
      <c r="K526" s="6" t="n">
        <v>0.130463349215212</v>
      </c>
      <c r="L526" s="6" t="n">
        <v>-1.59633635596081</v>
      </c>
      <c r="M526" s="6" t="n">
        <v>0.963412448817472</v>
      </c>
      <c r="N526" s="6" t="n">
        <v>1.28609208416324</v>
      </c>
      <c r="O526" s="6" t="n">
        <v>0.0559633655836199</v>
      </c>
      <c r="P526" s="6" t="n">
        <v>-0.821829401056136</v>
      </c>
      <c r="Q526" s="6" t="n">
        <v>1.4671135968148</v>
      </c>
      <c r="R526" s="6" t="n">
        <v>2.4098237421819</v>
      </c>
      <c r="S526" s="6" t="n">
        <v>-0.685063929322859</v>
      </c>
      <c r="T526" s="6" t="n">
        <v>2.78505893846911</v>
      </c>
      <c r="U526" s="6" t="n">
        <v>0.153391766496924</v>
      </c>
      <c r="V526" s="6" t="n">
        <v>5</v>
      </c>
      <c r="W526" s="6" t="n">
        <v>-1.44456459474162</v>
      </c>
      <c r="X526" s="6" t="n">
        <v>-0.203699112653765</v>
      </c>
      <c r="Y526" s="6" t="n">
        <v>1.15140563839559</v>
      </c>
      <c r="Z526" s="6" t="n">
        <v>0.219952636671307</v>
      </c>
      <c r="AA526" s="6" t="n">
        <v>1.22425362525211</v>
      </c>
      <c r="AB526" s="6" t="n">
        <v>-2.82287707506659</v>
      </c>
      <c r="AC526" s="6" t="n">
        <v>0.542812986393791</v>
      </c>
      <c r="AD526" s="6" t="n">
        <v>-1.46402132151769</v>
      </c>
      <c r="AE526" s="6" t="n">
        <v>-0.320308251827245</v>
      </c>
      <c r="AF526" s="6" t="n">
        <v>0.400097559491903</v>
      </c>
      <c r="AG526" s="6" t="n">
        <v>-4.38264923765501</v>
      </c>
      <c r="AH526" s="6" t="n">
        <v>0.149873637293654</v>
      </c>
      <c r="AI526" s="6" t="n">
        <v>-2.94471720183735</v>
      </c>
      <c r="AJ526" s="6" t="n">
        <v>80.7474071059225</v>
      </c>
      <c r="AK526" s="6" t="n">
        <v>0.140969772954834</v>
      </c>
      <c r="AL526" s="6" t="n">
        <v>1.08342230709775</v>
      </c>
      <c r="AN526" s="6" t="n">
        <v>1.28334374438086</v>
      </c>
      <c r="AO526" s="6" t="n">
        <v>1.28412862284114</v>
      </c>
      <c r="AP526" s="6" t="n">
        <v>0.131620106595136</v>
      </c>
      <c r="AQ526" s="6" t="n">
        <v>0</v>
      </c>
      <c r="AR526" s="6" t="n">
        <v>0</v>
      </c>
    </row>
    <row r="527" customFormat="false" ht="15" hidden="false" customHeight="false" outlineLevel="0" collapsed="false">
      <c r="D527" s="0" t="s">
        <v>653</v>
      </c>
      <c r="J527" s="6" t="n">
        <v>-3.37227434496671</v>
      </c>
      <c r="K527" s="6" t="n">
        <v>6.56238036209918E-006</v>
      </c>
      <c r="L527" s="6" t="n">
        <v>-0.910083160741521</v>
      </c>
      <c r="M527" s="6" t="n">
        <v>3.32230620072771</v>
      </c>
      <c r="N527" s="6" t="n">
        <v>4.18661900504843</v>
      </c>
      <c r="O527" s="6" t="n">
        <v>0.378083253590767</v>
      </c>
      <c r="P527" s="6" t="n">
        <v>-2.01096540136165</v>
      </c>
      <c r="Q527" s="6" t="n">
        <v>1.22331423547591</v>
      </c>
      <c r="R527" s="6" t="n">
        <v>1.74926141410036</v>
      </c>
      <c r="S527" s="6" t="n">
        <v>-0.818500773993176</v>
      </c>
      <c r="T527" s="6" t="n">
        <v>-0.507650401906871</v>
      </c>
      <c r="U527" s="6" t="n">
        <v>3.60905174033135</v>
      </c>
      <c r="V527" s="6" t="n">
        <v>-0.343407460827011</v>
      </c>
      <c r="W527" s="6" t="n">
        <v>0.257850204282222</v>
      </c>
      <c r="X527" s="6" t="n">
        <v>-4.04142883628852</v>
      </c>
      <c r="Y527" s="6" t="n">
        <v>1.12602759454826</v>
      </c>
      <c r="Z527" s="6" t="n">
        <v>-0.689038657209371</v>
      </c>
      <c r="AA527" s="6" t="n">
        <v>-2.44245618375321</v>
      </c>
      <c r="AB527" s="6" t="n">
        <v>1.40297659158257</v>
      </c>
      <c r="AC527" s="6" t="n">
        <v>1.46605577546976</v>
      </c>
      <c r="AD527" s="6" t="n">
        <v>3.19367826055117</v>
      </c>
      <c r="AE527" s="6" t="n">
        <v>-4.15335147261048</v>
      </c>
      <c r="AF527" s="6" t="n">
        <v>3.2725629833646</v>
      </c>
      <c r="AG527" s="6" t="n">
        <v>-3.19300017888786</v>
      </c>
      <c r="AH527" s="6" t="n">
        <v>0.117771808300694</v>
      </c>
      <c r="AI527" s="6" t="n">
        <v>-1.66938448024222</v>
      </c>
      <c r="AJ527" s="6" t="n">
        <v>74.2725302120747</v>
      </c>
      <c r="AK527" s="6" t="n">
        <v>0.118767473615349</v>
      </c>
      <c r="AL527" s="6" t="n">
        <v>1.03023309857013</v>
      </c>
      <c r="AN527" s="6" t="n">
        <v>1.30810159954385</v>
      </c>
      <c r="AO527" s="6" t="n">
        <v>1.30823107058778</v>
      </c>
      <c r="AP527" s="6" t="n">
        <v>0.136620523797375</v>
      </c>
      <c r="AQ527" s="6" t="n">
        <v>0</v>
      </c>
      <c r="AR527" s="6" t="n">
        <v>0</v>
      </c>
    </row>
    <row r="528" customFormat="false" ht="15" hidden="false" customHeight="false" outlineLevel="0" collapsed="false">
      <c r="D528" s="0" t="s">
        <v>654</v>
      </c>
      <c r="J528" s="6" t="n">
        <v>1.65817300748655</v>
      </c>
      <c r="K528" s="6" t="n">
        <v>-0.98380606636627</v>
      </c>
      <c r="L528" s="6" t="n">
        <v>2.26794985959219</v>
      </c>
      <c r="M528" s="6" t="n">
        <v>-1.26851365060571</v>
      </c>
      <c r="N528" s="6" t="n">
        <v>-0.550455392896894</v>
      </c>
      <c r="O528" s="6" t="n">
        <v>-0.0637460415013722</v>
      </c>
      <c r="P528" s="6" t="n">
        <v>-0.674666654668428</v>
      </c>
      <c r="Q528" s="6" t="n">
        <v>2.33166575646025</v>
      </c>
      <c r="R528" s="6" t="n">
        <v>-0.972707607871793</v>
      </c>
      <c r="S528" s="6" t="n">
        <v>-2.77407069654381</v>
      </c>
      <c r="T528" s="6" t="n">
        <v>0.0638096124924577</v>
      </c>
      <c r="U528" s="6" t="n">
        <v>-4.14707427401817</v>
      </c>
      <c r="V528" s="6" t="n">
        <v>2.26306744388761</v>
      </c>
      <c r="W528" s="6" t="n">
        <v>1.82528174753882</v>
      </c>
      <c r="X528" s="6" t="n">
        <v>-0.671845576520577</v>
      </c>
      <c r="Y528" s="6" t="n">
        <v>-0.141777562040178</v>
      </c>
      <c r="Z528" s="6" t="n">
        <v>2.99468897153276</v>
      </c>
      <c r="AA528" s="6" t="n">
        <v>1.16157064342137</v>
      </c>
      <c r="AB528" s="6" t="n">
        <v>-0.186261043808642</v>
      </c>
      <c r="AC528" s="6" t="n">
        <v>1.99341512512961</v>
      </c>
      <c r="AD528" s="6" t="n">
        <v>3.1151694171384</v>
      </c>
      <c r="AE528" s="6" t="n">
        <v>0.332086969038555</v>
      </c>
      <c r="AF528" s="6" t="n">
        <v>-2.68661234178243</v>
      </c>
      <c r="AG528" s="6" t="n">
        <v>3.09029255354663</v>
      </c>
      <c r="AH528" s="6" t="n">
        <v>-4.27817524863546</v>
      </c>
      <c r="AI528" s="6" t="n">
        <v>-0.225484582347152</v>
      </c>
      <c r="AJ528" s="6" t="n">
        <v>62.0011561987033</v>
      </c>
      <c r="AK528" s="6" t="n">
        <v>0.101601996388275</v>
      </c>
      <c r="AL528" s="6" t="n">
        <v>1.04284030138783</v>
      </c>
      <c r="AN528" s="6" t="n">
        <v>1.29709717445916</v>
      </c>
      <c r="AO528" s="6" t="n">
        <v>1.29710567986615</v>
      </c>
      <c r="AP528" s="6" t="n">
        <v>0.13426263546338</v>
      </c>
      <c r="AQ528" s="6" t="n">
        <v>0</v>
      </c>
      <c r="AR528" s="6" t="n">
        <v>0</v>
      </c>
    </row>
    <row r="529" customFormat="false" ht="15" hidden="false" customHeight="false" outlineLevel="0" collapsed="false">
      <c r="D529" s="0" t="s">
        <v>655</v>
      </c>
      <c r="J529" s="6" t="n">
        <v>0.314760168222936</v>
      </c>
      <c r="K529" s="6" t="n">
        <v>-0.812572706762753</v>
      </c>
      <c r="L529" s="6" t="n">
        <v>-0.000398991252656477</v>
      </c>
      <c r="M529" s="6" t="n">
        <v>-1.8347975551239</v>
      </c>
      <c r="N529" s="6" t="n">
        <v>2.20300729097321</v>
      </c>
      <c r="O529" s="6" t="n">
        <v>-0.501245760534094</v>
      </c>
      <c r="P529" s="6" t="n">
        <v>-0.85448919009958</v>
      </c>
      <c r="Q529" s="6" t="n">
        <v>-1.74596842795364</v>
      </c>
      <c r="R529" s="6" t="n">
        <v>-0.00144839069114958</v>
      </c>
      <c r="S529" s="6" t="n">
        <v>-3.21829775681985</v>
      </c>
      <c r="T529" s="6" t="n">
        <v>-3.0848591489959</v>
      </c>
      <c r="U529" s="6" t="n">
        <v>-2.28113981383196</v>
      </c>
      <c r="V529" s="6" t="n">
        <v>-0.0411589851419571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</v>
      </c>
      <c r="AA529" s="6" t="n">
        <v>3.9567055309594</v>
      </c>
      <c r="AB529" s="6" t="n">
        <v>1.71230498033597</v>
      </c>
      <c r="AC529" s="6" t="n">
        <v>-1.40785520195385</v>
      </c>
      <c r="AD529" s="6" t="n">
        <v>-0.21772033782156</v>
      </c>
      <c r="AE529" s="6" t="n">
        <v>-1.0137234037075</v>
      </c>
      <c r="AF529" s="6" t="n">
        <v>-2.74108025533708</v>
      </c>
      <c r="AG529" s="6" t="n">
        <v>1.28368223126058</v>
      </c>
      <c r="AH529" s="6" t="n">
        <v>-1.27594448663248</v>
      </c>
      <c r="AI529" s="6" t="n">
        <v>0.0114227335189994</v>
      </c>
      <c r="AJ529" s="6" t="n">
        <v>74.7174214815427</v>
      </c>
      <c r="AK529" s="6" t="n">
        <v>0.0517674925239877</v>
      </c>
      <c r="AL529" s="6" t="n">
        <v>1.04769423459781</v>
      </c>
      <c r="AN529" s="6" t="n">
        <v>1.30641272679435</v>
      </c>
      <c r="AO529" s="6" t="n">
        <v>1.30716337300486</v>
      </c>
      <c r="AP529" s="6" t="n">
        <v>0.13599209530343</v>
      </c>
      <c r="AQ529" s="6" t="n">
        <v>0</v>
      </c>
      <c r="AR529" s="6" t="n">
        <v>0</v>
      </c>
    </row>
    <row r="530" customFormat="false" ht="15" hidden="false" customHeight="false" outlineLevel="0" collapsed="false">
      <c r="D530" s="0" t="s">
        <v>656</v>
      </c>
      <c r="J530" s="6" t="n">
        <v>0.007357422623256</v>
      </c>
      <c r="K530" s="6" t="n">
        <v>-3.03094798808329</v>
      </c>
      <c r="L530" s="6" t="n">
        <v>-1.7690771554913</v>
      </c>
      <c r="M530" s="6" t="n">
        <v>0.27709364747731</v>
      </c>
      <c r="N530" s="6" t="n">
        <v>1.22882816459007</v>
      </c>
      <c r="O530" s="6" t="n">
        <v>-1.17922651856035</v>
      </c>
      <c r="P530" s="6" t="n">
        <v>-1.02260541623004</v>
      </c>
      <c r="Q530" s="6" t="n">
        <v>-2.31305340226038</v>
      </c>
      <c r="R530" s="6" t="n">
        <v>-3.02410608735736</v>
      </c>
      <c r="S530" s="6" t="n">
        <v>0.893909731972414</v>
      </c>
      <c r="T530" s="6" t="n">
        <v>1.90779098344847</v>
      </c>
      <c r="U530" s="6" t="n">
        <v>-1.38435234800112</v>
      </c>
      <c r="V530" s="6" t="n">
        <v>-1.67316924878683</v>
      </c>
      <c r="W530" s="6" t="n">
        <v>1.34892307339029</v>
      </c>
      <c r="X530" s="6" t="n">
        <v>0.596890231853089</v>
      </c>
      <c r="Y530" s="6" t="n">
        <v>0.399450244867203</v>
      </c>
      <c r="Z530" s="6" t="n">
        <v>2.07837124896627</v>
      </c>
      <c r="AA530" s="6" t="n">
        <v>1.52568042619613</v>
      </c>
      <c r="AB530" s="6" t="n">
        <v>1.79818578273051</v>
      </c>
      <c r="AC530" s="6" t="n">
        <v>0.598511126108338</v>
      </c>
      <c r="AD530" s="6" t="n">
        <v>1.56770455285816</v>
      </c>
      <c r="AE530" s="6" t="n">
        <v>0.633561691563903</v>
      </c>
      <c r="AF530" s="6" t="n">
        <v>2.16917846539757</v>
      </c>
      <c r="AG530" s="6" t="n">
        <v>-5.09346693201699</v>
      </c>
      <c r="AH530" s="6" t="n">
        <v>-1.36376502494015</v>
      </c>
      <c r="AI530" s="6" t="n">
        <v>0.995522924041258</v>
      </c>
      <c r="AJ530" s="6" t="n">
        <v>68.546871710889</v>
      </c>
      <c r="AK530" s="6" t="n">
        <v>0.0890493187108704</v>
      </c>
      <c r="AL530" s="6" t="n">
        <v>1.05760601207303</v>
      </c>
      <c r="AN530" s="6" t="n">
        <v>1.2960668916477</v>
      </c>
      <c r="AO530" s="6" t="n">
        <v>1.29677064294455</v>
      </c>
      <c r="AP530" s="6" t="n">
        <v>0.133675787107542</v>
      </c>
      <c r="AQ530" s="6" t="n">
        <v>0</v>
      </c>
      <c r="AR530" s="6" t="n">
        <v>0</v>
      </c>
    </row>
    <row r="531" customFormat="false" ht="15" hidden="false" customHeight="false" outlineLevel="0" collapsed="false">
      <c r="D531" s="0" t="s">
        <v>657</v>
      </c>
      <c r="J531" s="6" t="n">
        <v>-2.93882256594819</v>
      </c>
      <c r="K531" s="6" t="n">
        <v>0.257649509371597</v>
      </c>
      <c r="L531" s="6" t="n">
        <v>-1.58997376031741</v>
      </c>
      <c r="M531" s="6" t="n">
        <v>-2.59942727454726</v>
      </c>
      <c r="N531" s="6" t="n">
        <v>-0.491349602585139</v>
      </c>
      <c r="O531" s="6" t="n">
        <v>-0.666810290506904</v>
      </c>
      <c r="P531" s="6" t="n">
        <v>-0.271300838023657</v>
      </c>
      <c r="Q531" s="6" t="n">
        <v>0.792421580339436</v>
      </c>
      <c r="R531" s="6" t="n">
        <v>-0.580901709966351</v>
      </c>
      <c r="S531" s="6" t="n">
        <v>1.13998638589639</v>
      </c>
      <c r="T531" s="6" t="n">
        <v>-2.92774357776573</v>
      </c>
      <c r="U531" s="6" t="n">
        <v>0.677405437211963</v>
      </c>
      <c r="V531" s="6" t="n">
        <v>-1.34637676740805</v>
      </c>
      <c r="W531" s="6" t="n">
        <v>3.66993331255793</v>
      </c>
      <c r="X531" s="6" t="n">
        <v>0.560251089014929</v>
      </c>
      <c r="Y531" s="6" t="n">
        <v>1.97625456613495</v>
      </c>
      <c r="Z531" s="6" t="n">
        <v>-1.3803353206173</v>
      </c>
      <c r="AA531" s="6" t="n">
        <v>0.805127833224782</v>
      </c>
      <c r="AB531" s="6" t="n">
        <v>3.15759839891766</v>
      </c>
      <c r="AC531" s="6" t="n">
        <v>-1.25647568145749</v>
      </c>
      <c r="AD531" s="6" t="n">
        <v>-0.350777758585261</v>
      </c>
      <c r="AE531" s="6" t="n">
        <v>2.39923007631972</v>
      </c>
      <c r="AF531" s="6" t="n">
        <v>-1.63599948300432</v>
      </c>
      <c r="AG531" s="6" t="n">
        <v>-1.207622865332</v>
      </c>
      <c r="AH531" s="6" t="n">
        <v>0.584464164907124</v>
      </c>
      <c r="AI531" s="6" t="n">
        <v>2.98792397469434</v>
      </c>
      <c r="AJ531" s="6" t="n">
        <v>79.9991526898456</v>
      </c>
      <c r="AK531" s="6" t="n">
        <v>0.13836922775541</v>
      </c>
      <c r="AL531" s="6" t="n">
        <v>1.00244221762272</v>
      </c>
      <c r="AN531" s="6" t="n">
        <v>1.32154252399294</v>
      </c>
      <c r="AO531" s="6" t="n">
        <v>1.32154252399294</v>
      </c>
      <c r="AP531" s="6" t="n">
        <v>0.140832717610281</v>
      </c>
      <c r="AQ531" s="6" t="n">
        <v>0</v>
      </c>
      <c r="AR531" s="6" t="n">
        <v>0</v>
      </c>
    </row>
    <row r="532" customFormat="false" ht="15" hidden="false" customHeight="false" outlineLevel="0" collapsed="false">
      <c r="D532" s="0" t="s">
        <v>658</v>
      </c>
      <c r="J532" s="6" t="n">
        <v>-4.20576432196622</v>
      </c>
      <c r="K532" s="6" t="n">
        <v>-1.33790127743981</v>
      </c>
      <c r="L532" s="6" t="n">
        <v>3.66450658766834</v>
      </c>
      <c r="M532" s="6" t="n">
        <v>-2.40928887222066</v>
      </c>
      <c r="N532" s="6" t="n">
        <v>-0.221267285076851</v>
      </c>
      <c r="O532" s="6" t="n">
        <v>0.21339018756026</v>
      </c>
      <c r="P532" s="6" t="n">
        <v>3.28331482103871</v>
      </c>
      <c r="Q532" s="6" t="n">
        <v>-0.294990986464216</v>
      </c>
      <c r="R532" s="6" t="n">
        <v>-2.43582746099045</v>
      </c>
      <c r="S532" s="6" t="n">
        <v>0.225326177486964</v>
      </c>
      <c r="T532" s="6" t="n">
        <v>-0.790758495462893</v>
      </c>
      <c r="U532" s="6" t="n">
        <v>0.964907056148432</v>
      </c>
      <c r="V532" s="6" t="n">
        <v>-0.892844995010473</v>
      </c>
      <c r="W532" s="6" t="n">
        <v>0.224565733751512</v>
      </c>
      <c r="X532" s="6" t="n">
        <v>-3.16628187874958</v>
      </c>
      <c r="Y532" s="6" t="n">
        <v>-3.01626161433986</v>
      </c>
      <c r="Z532" s="6" t="n">
        <v>3.7902833015639</v>
      </c>
      <c r="AA532" s="6" t="n">
        <v>1.70278495732987</v>
      </c>
      <c r="AB532" s="6" t="n">
        <v>2.63200413908158</v>
      </c>
      <c r="AC532" s="6" t="n">
        <v>-1.25446849171741</v>
      </c>
      <c r="AD532" s="6" t="n">
        <v>-0.781223707827575</v>
      </c>
      <c r="AE532" s="6" t="n">
        <v>1.12985968111728</v>
      </c>
      <c r="AF532" s="6" t="n">
        <v>-3.56617229410021</v>
      </c>
      <c r="AG532" s="6" t="n">
        <v>1.25450719618009</v>
      </c>
      <c r="AH532" s="6" t="n">
        <v>-1.25573327831404</v>
      </c>
      <c r="AI532" s="6" t="n">
        <v>0.42033322137557</v>
      </c>
      <c r="AJ532" s="6" t="n">
        <v>64.393713161281</v>
      </c>
      <c r="AK532" s="6" t="n">
        <v>0.201359838809316</v>
      </c>
      <c r="AL532" s="6" t="n">
        <v>1.03677670029375</v>
      </c>
      <c r="AN532" s="6" t="n">
        <v>1.28778330821767</v>
      </c>
      <c r="AO532" s="6" t="n">
        <v>1.28927394331791</v>
      </c>
      <c r="AP532" s="6" t="n">
        <v>0.132699431134951</v>
      </c>
      <c r="AQ532" s="6" t="n">
        <v>0</v>
      </c>
      <c r="AR532" s="6" t="n">
        <v>0</v>
      </c>
    </row>
    <row r="533" customFormat="false" ht="15" hidden="false" customHeight="false" outlineLevel="0" collapsed="false">
      <c r="D533" s="0" t="s">
        <v>659</v>
      </c>
      <c r="J533" s="6" t="n">
        <v>-0.0512599950644309</v>
      </c>
      <c r="K533" s="6" t="n">
        <v>1.56880311536574</v>
      </c>
      <c r="L533" s="6" t="n">
        <v>0.0715885932132102</v>
      </c>
      <c r="M533" s="6" t="n">
        <v>5</v>
      </c>
      <c r="N533" s="6" t="n">
        <v>-0.682888847297466</v>
      </c>
      <c r="O533" s="6" t="n">
        <v>-0.13083802056315</v>
      </c>
      <c r="P533" s="6" t="n">
        <v>-1.50698231937878</v>
      </c>
      <c r="Q533" s="6" t="n">
        <v>-0.0142994086448699</v>
      </c>
      <c r="R533" s="6" t="n">
        <v>-2.28197189577564</v>
      </c>
      <c r="S533" s="6" t="n">
        <v>-3.49861344241765</v>
      </c>
      <c r="T533" s="6" t="n">
        <v>-0.380776860435412</v>
      </c>
      <c r="U533" s="6" t="n">
        <v>0.540358020367119</v>
      </c>
      <c r="V533" s="6" t="n">
        <v>-1.01068118952565</v>
      </c>
      <c r="W533" s="6" t="n">
        <v>-0.658237369220139</v>
      </c>
      <c r="X533" s="6" t="n">
        <v>-1.46402168352928</v>
      </c>
      <c r="Y533" s="6" t="n">
        <v>-0.848360339150849</v>
      </c>
      <c r="Z533" s="6" t="n">
        <v>0.616924597415541</v>
      </c>
      <c r="AA533" s="6" t="n">
        <v>-0.744107176777596</v>
      </c>
      <c r="AB533" s="6" t="n">
        <v>-0.497320811615878</v>
      </c>
      <c r="AC533" s="6" t="n">
        <v>-2.47337179706255</v>
      </c>
      <c r="AD533" s="6" t="n">
        <v>-0.763811843446854</v>
      </c>
      <c r="AE533" s="6" t="n">
        <v>-0.537605205102963</v>
      </c>
      <c r="AF533" s="6" t="n">
        <v>-1.70883265434575</v>
      </c>
      <c r="AG533" s="6" t="n">
        <v>-3.04232754742718</v>
      </c>
      <c r="AH533" s="6" t="n">
        <v>1.32057355554135</v>
      </c>
      <c r="AI533" s="6" t="n">
        <v>2.13942321318958</v>
      </c>
      <c r="AJ533" s="6" t="n">
        <v>65.3280241046429</v>
      </c>
      <c r="AK533" s="6" t="n">
        <v>0.129159714089807</v>
      </c>
      <c r="AL533" s="6" t="n">
        <v>1.0461704716722</v>
      </c>
      <c r="AN533" s="6" t="n">
        <v>1.29484166215823</v>
      </c>
      <c r="AO533" s="6" t="n">
        <v>1.29485275871902</v>
      </c>
      <c r="AP533" s="6" t="n">
        <v>0.133614077991852</v>
      </c>
      <c r="AQ533" s="6" t="n">
        <v>0</v>
      </c>
      <c r="AR533" s="6" t="n">
        <v>0</v>
      </c>
    </row>
    <row r="534" customFormat="false" ht="15" hidden="false" customHeight="false" outlineLevel="0" collapsed="false">
      <c r="D534" s="0" t="s">
        <v>660</v>
      </c>
      <c r="J534" s="6" t="n">
        <v>1.05218979238224</v>
      </c>
      <c r="K534" s="6" t="n">
        <v>-1.29841948863382</v>
      </c>
      <c r="L534" s="6" t="n">
        <v>0.144995814621987</v>
      </c>
      <c r="M534" s="6" t="n">
        <v>-2.91805284032279</v>
      </c>
      <c r="N534" s="6" t="n">
        <v>3.27963725441678</v>
      </c>
      <c r="O534" s="6" t="n">
        <v>-0.272245255536374</v>
      </c>
      <c r="P534" s="6" t="n">
        <v>1.43654444984548</v>
      </c>
      <c r="Q534" s="6" t="n">
        <v>0.924480421299087</v>
      </c>
      <c r="R534" s="6" t="n">
        <v>3.534545539747</v>
      </c>
      <c r="S534" s="6" t="n">
        <v>2.09946065964024</v>
      </c>
      <c r="T534" s="6" t="n">
        <v>-0.586320680703677</v>
      </c>
      <c r="U534" s="6" t="n">
        <v>-0.323006668111833</v>
      </c>
      <c r="V534" s="6" t="n">
        <v>-0.633585321169223</v>
      </c>
      <c r="W534" s="6" t="n">
        <v>1.58654250403605</v>
      </c>
      <c r="X534" s="6" t="n">
        <v>-1.27496744890348</v>
      </c>
      <c r="Y534" s="6" t="n">
        <v>0.377136311587512</v>
      </c>
      <c r="Z534" s="6" t="n">
        <v>-2.4293426554243</v>
      </c>
      <c r="AA534" s="6" t="n">
        <v>2.5989545974549</v>
      </c>
      <c r="AB534" s="6" t="n">
        <v>-0.778856506925985</v>
      </c>
      <c r="AC534" s="6" t="n">
        <v>0.365160793385623</v>
      </c>
      <c r="AD534" s="6" t="n">
        <v>-3.76678485674676</v>
      </c>
      <c r="AE534" s="6" t="n">
        <v>0.26281563517649</v>
      </c>
      <c r="AF534" s="6" t="n">
        <v>-1.00983337249907</v>
      </c>
      <c r="AG534" s="6" t="n">
        <v>-0.985315904043037</v>
      </c>
      <c r="AH534" s="6" t="n">
        <v>-1.91878273610862</v>
      </c>
      <c r="AI534" s="6" t="n">
        <v>-1.44567381659018</v>
      </c>
      <c r="AJ534" s="6" t="n">
        <v>65.0278367582255</v>
      </c>
      <c r="AK534" s="6" t="n">
        <v>0.104020388254132</v>
      </c>
      <c r="AL534" s="6" t="n">
        <v>1.05757363636498</v>
      </c>
      <c r="AN534" s="6" t="n">
        <v>1.29124512461845</v>
      </c>
      <c r="AO534" s="6" t="n">
        <v>1.29217300919386</v>
      </c>
      <c r="AP534" s="6" t="n">
        <v>0.13313205753323</v>
      </c>
      <c r="AQ534" s="6" t="n">
        <v>0</v>
      </c>
      <c r="AR534" s="6" t="n">
        <v>0</v>
      </c>
    </row>
    <row r="535" customFormat="false" ht="15" hidden="false" customHeight="false" outlineLevel="0" collapsed="false">
      <c r="D535" s="0" t="s">
        <v>661</v>
      </c>
      <c r="J535" s="6" t="n">
        <v>1.38725950443711</v>
      </c>
      <c r="K535" s="6" t="n">
        <v>2.34558349916727</v>
      </c>
      <c r="L535" s="6" t="n">
        <v>1.18307145825876</v>
      </c>
      <c r="M535" s="6" t="n">
        <v>-1.49486489130128</v>
      </c>
      <c r="N535" s="6" t="n">
        <v>1.59670218517389</v>
      </c>
      <c r="O535" s="6" t="n">
        <v>0.327660770325453</v>
      </c>
      <c r="P535" s="6" t="n">
        <v>-1.96133368289058</v>
      </c>
      <c r="Q535" s="6" t="n">
        <v>-2.72834265002244</v>
      </c>
      <c r="R535" s="6" t="n">
        <v>2.57426905974739</v>
      </c>
      <c r="S535" s="6" t="n">
        <v>1.53089340910511</v>
      </c>
      <c r="T535" s="6" t="n">
        <v>3.26374403413607</v>
      </c>
      <c r="U535" s="6" t="n">
        <v>-0.439104007372496</v>
      </c>
      <c r="V535" s="6" t="n">
        <v>-0.783248124854913</v>
      </c>
      <c r="W535" s="6" t="n">
        <v>3.40773738467008</v>
      </c>
      <c r="X535" s="6" t="n">
        <v>1.56669101388658</v>
      </c>
      <c r="Y535" s="6" t="n">
        <v>2.6719412650296</v>
      </c>
      <c r="Z535" s="6" t="n">
        <v>4.14463571936484</v>
      </c>
      <c r="AA535" s="6" t="n">
        <v>2.4379113440149</v>
      </c>
      <c r="AB535" s="6" t="n">
        <v>-0.741427672270446</v>
      </c>
      <c r="AC535" s="6" t="n">
        <v>-0.0197855360246011</v>
      </c>
      <c r="AD535" s="6" t="n">
        <v>2.53093932424375</v>
      </c>
      <c r="AE535" s="6" t="n">
        <v>-3.29798631177242</v>
      </c>
      <c r="AF535" s="6" t="n">
        <v>-0.189933409699109</v>
      </c>
      <c r="AG535" s="6" t="n">
        <v>1.51967763744246</v>
      </c>
      <c r="AH535" s="6" t="n">
        <v>-3.4224681781021</v>
      </c>
      <c r="AI535" s="6" t="n">
        <v>0.295249894188095</v>
      </c>
      <c r="AJ535" s="6" t="n">
        <v>70.3431313328791</v>
      </c>
      <c r="AK535" s="6" t="n">
        <v>0.145564921248761</v>
      </c>
      <c r="AL535" s="6" t="n">
        <v>1.03542595072557</v>
      </c>
      <c r="AN535" s="6" t="n">
        <v>1.29960686205639</v>
      </c>
      <c r="AO535" s="6" t="n">
        <v>1.29962811564212</v>
      </c>
      <c r="AP535" s="6" t="n">
        <v>0.134425715773077</v>
      </c>
      <c r="AQ535" s="6" t="n">
        <v>0</v>
      </c>
      <c r="AR535" s="6" t="n">
        <v>0</v>
      </c>
    </row>
    <row r="536" customFormat="false" ht="15" hidden="false" customHeight="false" outlineLevel="0" collapsed="false">
      <c r="D536" s="0" t="s">
        <v>662</v>
      </c>
      <c r="J536" s="6" t="n">
        <v>-1.42670029805772</v>
      </c>
      <c r="K536" s="6" t="n">
        <v>0.780753751142134</v>
      </c>
      <c r="L536" s="6" t="n">
        <v>-3.4306298937602</v>
      </c>
      <c r="M536" s="6" t="n">
        <v>-4.19717460039879</v>
      </c>
      <c r="N536" s="6" t="n">
        <v>5</v>
      </c>
      <c r="O536" s="6" t="n">
        <v>-1.4665868295416</v>
      </c>
      <c r="P536" s="6" t="n">
        <v>-0.274196030634461</v>
      </c>
      <c r="Q536" s="6" t="n">
        <v>-1.3288976549058</v>
      </c>
      <c r="R536" s="6" t="n">
        <v>1.13019451946405</v>
      </c>
      <c r="S536" s="6" t="n">
        <v>-4.53952282791547</v>
      </c>
      <c r="T536" s="6" t="n">
        <v>-3.21168960830151</v>
      </c>
      <c r="U536" s="6" t="n">
        <v>1.38714673142908</v>
      </c>
      <c r="V536" s="6" t="n">
        <v>0.426067001047502</v>
      </c>
      <c r="W536" s="6" t="n">
        <v>1.152007261422</v>
      </c>
      <c r="X536" s="6" t="n">
        <v>-1.59961706603944</v>
      </c>
      <c r="Y536" s="6" t="n">
        <v>0.758542861884596</v>
      </c>
      <c r="Z536" s="6" t="n">
        <v>-0.452150091572349</v>
      </c>
      <c r="AA536" s="6" t="n">
        <v>-1.00808840466786</v>
      </c>
      <c r="AB536" s="6" t="n">
        <v>-0.32245069664579</v>
      </c>
      <c r="AC536" s="6" t="n">
        <v>1.79055501303039</v>
      </c>
      <c r="AD536" s="6" t="n">
        <v>0.824058890310501</v>
      </c>
      <c r="AE536" s="6" t="n">
        <v>-3.40352699437459</v>
      </c>
      <c r="AF536" s="6" t="n">
        <v>0.794391709102537</v>
      </c>
      <c r="AG536" s="6" t="n">
        <v>3.06047468445943</v>
      </c>
      <c r="AH536" s="6" t="n">
        <v>-0.0691100321801006</v>
      </c>
      <c r="AI536" s="6" t="n">
        <v>5</v>
      </c>
      <c r="AJ536" s="6" t="n">
        <v>66.9148615535442</v>
      </c>
      <c r="AK536" s="6" t="n">
        <v>0.094333510147225</v>
      </c>
      <c r="AL536" s="6" t="n">
        <v>1.0567727935534</v>
      </c>
      <c r="AN536" s="6" t="n">
        <v>1.29422253376585</v>
      </c>
      <c r="AO536" s="6" t="n">
        <v>1.29666378475222</v>
      </c>
      <c r="AP536" s="6" t="n">
        <v>0.133186872118452</v>
      </c>
      <c r="AQ536" s="6" t="n">
        <v>0</v>
      </c>
      <c r="AR536" s="6" t="n">
        <v>0</v>
      </c>
    </row>
    <row r="537" customFormat="false" ht="15" hidden="false" customHeight="false" outlineLevel="0" collapsed="false">
      <c r="D537" s="0" t="s">
        <v>663</v>
      </c>
      <c r="J537" s="6" t="n">
        <v>-3.22779940931234</v>
      </c>
      <c r="K537" s="6" t="n">
        <v>-3.38540315059736</v>
      </c>
      <c r="L537" s="6" t="n">
        <v>-0.0986717441852954</v>
      </c>
      <c r="M537" s="6" t="n">
        <v>-1.92172316817858</v>
      </c>
      <c r="N537" s="6" t="n">
        <v>-1.8156411331884</v>
      </c>
      <c r="O537" s="6" t="n">
        <v>-0.0830830141259775</v>
      </c>
      <c r="P537" s="6" t="n">
        <v>-0.341821416020756</v>
      </c>
      <c r="Q537" s="6" t="n">
        <v>1.90906668047372</v>
      </c>
      <c r="R537" s="6" t="n">
        <v>-0.41192260263442</v>
      </c>
      <c r="S537" s="6" t="n">
        <v>1.36805003747361</v>
      </c>
      <c r="T537" s="6" t="n">
        <v>4.37802278064224</v>
      </c>
      <c r="U537" s="6" t="n">
        <v>2.56621462863249</v>
      </c>
      <c r="V537" s="6" t="n">
        <v>0.48232948345053</v>
      </c>
      <c r="W537" s="6" t="n">
        <v>-1.92037373453985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2.0651224109216</v>
      </c>
      <c r="AB537" s="6" t="n">
        <v>0.512757952945501</v>
      </c>
      <c r="AC537" s="6" t="n">
        <v>1.51024559025776</v>
      </c>
      <c r="AD537" s="6" t="n">
        <v>-0.367313438406969</v>
      </c>
      <c r="AE537" s="6" t="n">
        <v>-0.608992758950895</v>
      </c>
      <c r="AF537" s="6" t="n">
        <v>-1.55294973859563</v>
      </c>
      <c r="AG537" s="6" t="n">
        <v>2.31734633385189</v>
      </c>
      <c r="AH537" s="6" t="n">
        <v>-0.0103183253416536</v>
      </c>
      <c r="AI537" s="6" t="n">
        <v>-0.0429046447844818</v>
      </c>
      <c r="AJ537" s="6" t="n">
        <v>64.9983301751468</v>
      </c>
      <c r="AK537" s="6" t="n">
        <v>0.118880636102901</v>
      </c>
      <c r="AL537" s="6" t="n">
        <v>1.05364585709253</v>
      </c>
      <c r="AN537" s="6" t="n">
        <v>1.29195515139345</v>
      </c>
      <c r="AO537" s="6" t="n">
        <v>1.29232184306986</v>
      </c>
      <c r="AP537" s="6" t="n">
        <v>0.133444800997841</v>
      </c>
      <c r="AQ537" s="6" t="n">
        <v>0</v>
      </c>
      <c r="AR537" s="6" t="n">
        <v>0</v>
      </c>
    </row>
    <row r="538" customFormat="false" ht="15" hidden="false" customHeight="false" outlineLevel="0" collapsed="false">
      <c r="D538" s="0" t="s">
        <v>664</v>
      </c>
      <c r="J538" s="6" t="n">
        <v>0.151804185098325</v>
      </c>
      <c r="K538" s="6" t="n">
        <v>-2.22465908746389</v>
      </c>
      <c r="L538" s="6" t="n">
        <v>2.28776450889053</v>
      </c>
      <c r="M538" s="6" t="n">
        <v>1.80827952622855</v>
      </c>
      <c r="N538" s="6" t="n">
        <v>1.67304356062207</v>
      </c>
      <c r="O538" s="6" t="n">
        <v>-0.405224410453187</v>
      </c>
      <c r="P538" s="6" t="n">
        <v>-0.898825450144307</v>
      </c>
      <c r="Q538" s="6" t="n">
        <v>-0.233888865190996</v>
      </c>
      <c r="R538" s="6" t="n">
        <v>-1.30630724819524</v>
      </c>
      <c r="S538" s="6" t="n">
        <v>-5.5118540503067</v>
      </c>
      <c r="T538" s="6" t="n">
        <v>1.44436439813224</v>
      </c>
      <c r="U538" s="6" t="n">
        <v>2.91827447963333</v>
      </c>
      <c r="V538" s="6" t="n">
        <v>-3.51594342948681</v>
      </c>
      <c r="W538" s="6" t="n">
        <v>-3.59304033685985</v>
      </c>
      <c r="X538" s="6" t="n">
        <v>1.68494408366265</v>
      </c>
      <c r="Y538" s="6" t="n">
        <v>-2.24335062779074</v>
      </c>
      <c r="Z538" s="6" t="n">
        <v>-0.431708937308599</v>
      </c>
      <c r="AA538" s="6" t="n">
        <v>0.133362133529044</v>
      </c>
      <c r="AB538" s="6" t="n">
        <v>-0.592976637136246</v>
      </c>
      <c r="AC538" s="6" t="n">
        <v>1.26135790314607</v>
      </c>
      <c r="AD538" s="6" t="n">
        <v>0.52522106203052</v>
      </c>
      <c r="AE538" s="6" t="n">
        <v>0.678436518491852</v>
      </c>
      <c r="AF538" s="6" t="n">
        <v>1.47192364634901</v>
      </c>
      <c r="AG538" s="6" t="n">
        <v>-1.26526179148988</v>
      </c>
      <c r="AH538" s="6" t="n">
        <v>-1.08725706376744</v>
      </c>
      <c r="AI538" s="6" t="n">
        <v>-0.734453172939106</v>
      </c>
      <c r="AJ538" s="6" t="n">
        <v>77.4776174023961</v>
      </c>
      <c r="AK538" s="6" t="n">
        <v>0.161693859846597</v>
      </c>
      <c r="AL538" s="6" t="n">
        <v>1.05551056074355</v>
      </c>
      <c r="AN538" s="6" t="n">
        <v>1.29163173526155</v>
      </c>
      <c r="AO538" s="6" t="n">
        <v>1.29228537044328</v>
      </c>
      <c r="AP538" s="6" t="n">
        <v>0.132691033036158</v>
      </c>
      <c r="AQ538" s="6" t="n">
        <v>0</v>
      </c>
      <c r="AR538" s="6" t="n">
        <v>0</v>
      </c>
    </row>
    <row r="539" customFormat="false" ht="15" hidden="false" customHeight="false" outlineLevel="0" collapsed="false">
      <c r="D539" s="0" t="s">
        <v>665</v>
      </c>
      <c r="J539" s="6" t="n">
        <v>1.83918581213854</v>
      </c>
      <c r="K539" s="6" t="n">
        <v>4.64475356067315</v>
      </c>
      <c r="L539" s="6" t="n">
        <v>1.73104086590415</v>
      </c>
      <c r="M539" s="6" t="n">
        <v>1.75033233689588</v>
      </c>
      <c r="N539" s="6" t="n">
        <v>-0.985244534001232</v>
      </c>
      <c r="O539" s="6" t="n">
        <v>-3.89825371293463</v>
      </c>
      <c r="P539" s="6" t="n">
        <v>-1.97462699418202</v>
      </c>
      <c r="Q539" s="6" t="n">
        <v>-1.67589946065716</v>
      </c>
      <c r="R539" s="6" t="n">
        <v>0.635053640300521</v>
      </c>
      <c r="S539" s="6" t="n">
        <v>-1.49124365038066</v>
      </c>
      <c r="T539" s="6" t="n">
        <v>-1.44179041001679</v>
      </c>
      <c r="U539" s="6" t="n">
        <v>-0.700011256832295</v>
      </c>
      <c r="V539" s="6" t="n">
        <v>2.88390754698983</v>
      </c>
      <c r="W539" s="6" t="n">
        <v>0.691681074659951</v>
      </c>
      <c r="X539" s="6" t="n">
        <v>2.65552503582215</v>
      </c>
      <c r="Y539" s="6" t="n">
        <v>-0.0682751603665839</v>
      </c>
      <c r="Z539" s="6" t="n">
        <v>0.743631228860793</v>
      </c>
      <c r="AA539" s="6" t="n">
        <v>-3.85409051499253</v>
      </c>
      <c r="AB539" s="6" t="n">
        <v>-0.176888452098669</v>
      </c>
      <c r="AC539" s="6" t="n">
        <v>1.20562764420637</v>
      </c>
      <c r="AD539" s="6" t="n">
        <v>1.4088189482761</v>
      </c>
      <c r="AE539" s="6" t="n">
        <v>1.4834248860553</v>
      </c>
      <c r="AF539" s="6" t="n">
        <v>-1.52819558056696</v>
      </c>
      <c r="AG539" s="6" t="n">
        <v>-2.67981790853475</v>
      </c>
      <c r="AH539" s="6" t="n">
        <v>-0.379335585144564</v>
      </c>
      <c r="AI539" s="6" t="n">
        <v>-0.45531165479242</v>
      </c>
      <c r="AJ539" s="6" t="n">
        <v>64.9053569513721</v>
      </c>
      <c r="AK539" s="6" t="n">
        <v>0.138197283957028</v>
      </c>
      <c r="AL539" s="6" t="n">
        <v>1.00471645051119</v>
      </c>
      <c r="AN539" s="6" t="n">
        <v>1.30615085746511</v>
      </c>
      <c r="AO539" s="6" t="n">
        <v>1.30869223020486</v>
      </c>
      <c r="AP539" s="6" t="n">
        <v>0.138309953353524</v>
      </c>
      <c r="AQ539" s="6" t="n">
        <v>0</v>
      </c>
      <c r="AR539" s="6" t="n">
        <v>0</v>
      </c>
    </row>
    <row r="540" customFormat="false" ht="15" hidden="false" customHeight="false" outlineLevel="0" collapsed="false">
      <c r="D540" s="0" t="s">
        <v>666</v>
      </c>
      <c r="J540" s="6" t="n">
        <v>-0.364665065838176</v>
      </c>
      <c r="K540" s="6" t="n">
        <v>-1.41068781462043</v>
      </c>
      <c r="L540" s="6" t="n">
        <v>-2.16353178075628</v>
      </c>
      <c r="M540" s="6" t="n">
        <v>0.0308786979488735</v>
      </c>
      <c r="N540" s="6" t="n">
        <v>1.79406899660531</v>
      </c>
      <c r="O540" s="6" t="n">
        <v>1.59426765555108</v>
      </c>
      <c r="P540" s="6" t="n">
        <v>-0.49395774770262</v>
      </c>
      <c r="Q540" s="6" t="n">
        <v>-0.819043930971537</v>
      </c>
      <c r="R540" s="6" t="n">
        <v>1.43883993139861</v>
      </c>
      <c r="S540" s="6" t="n">
        <v>1.64541444432635</v>
      </c>
      <c r="T540" s="6" t="n">
        <v>0.890867636287926</v>
      </c>
      <c r="U540" s="6" t="n">
        <v>2.0696333668764</v>
      </c>
      <c r="V540" s="6" t="n">
        <v>-0.327787918633736</v>
      </c>
      <c r="W540" s="6" t="n">
        <v>2.95122016785005</v>
      </c>
      <c r="X540" s="6" t="n">
        <v>1.19290195105987</v>
      </c>
      <c r="Y540" s="6" t="n">
        <v>0.672112737583322</v>
      </c>
      <c r="Z540" s="6" t="n">
        <v>2.90101278428226</v>
      </c>
      <c r="AA540" s="6" t="n">
        <v>3.28354799387484</v>
      </c>
      <c r="AB540" s="6" t="n">
        <v>3.95874567301395</v>
      </c>
      <c r="AC540" s="6" t="n">
        <v>2.3379549595907</v>
      </c>
      <c r="AD540" s="6" t="n">
        <v>-0.0724102320924336</v>
      </c>
      <c r="AE540" s="6" t="n">
        <v>-0.0868024208002691</v>
      </c>
      <c r="AF540" s="6" t="n">
        <v>0.902356655905829</v>
      </c>
      <c r="AG540" s="6" t="n">
        <v>-3.09203147160208</v>
      </c>
      <c r="AH540" s="6" t="n">
        <v>1.29377797240411</v>
      </c>
      <c r="AI540" s="6" t="n">
        <v>2.95656230490357</v>
      </c>
      <c r="AJ540" s="6" t="n">
        <v>65.9069752380356</v>
      </c>
      <c r="AK540" s="6" t="n">
        <v>0.143163858695355</v>
      </c>
      <c r="AL540" s="6" t="n">
        <v>1.06778171024999</v>
      </c>
      <c r="AN540" s="6" t="n">
        <v>1.28219769312133</v>
      </c>
      <c r="AO540" s="6" t="n">
        <v>1.2824005978309</v>
      </c>
      <c r="AP540" s="6" t="n">
        <v>0.131678601415484</v>
      </c>
      <c r="AQ540" s="6" t="n">
        <v>0</v>
      </c>
      <c r="AR540" s="6" t="n">
        <v>0</v>
      </c>
    </row>
    <row r="541" customFormat="false" ht="15" hidden="false" customHeight="false" outlineLevel="0" collapsed="false">
      <c r="D541" s="0" t="s">
        <v>667</v>
      </c>
      <c r="J541" s="6" t="n">
        <v>0.794850836708652</v>
      </c>
      <c r="K541" s="6" t="n">
        <v>0.206365034043485</v>
      </c>
      <c r="L541" s="6" t="n">
        <v>-2.398328509714</v>
      </c>
      <c r="M541" s="6" t="n">
        <v>0.937078229027207</v>
      </c>
      <c r="N541" s="6" t="n">
        <v>0.746884133627647</v>
      </c>
      <c r="O541" s="6" t="n">
        <v>0.743613073915616</v>
      </c>
      <c r="P541" s="6" t="n">
        <v>-1.70268951586486</v>
      </c>
      <c r="Q541" s="6" t="n">
        <v>-0.647736567305309</v>
      </c>
      <c r="R541" s="6" t="n">
        <v>2.89176720259787</v>
      </c>
      <c r="S541" s="6" t="n">
        <v>-2.21014395799179</v>
      </c>
      <c r="T541" s="6" t="n">
        <v>-0.83685352195995</v>
      </c>
      <c r="U541" s="6" t="n">
        <v>1.63101682321747</v>
      </c>
      <c r="V541" s="6" t="n">
        <v>2.30734495425807</v>
      </c>
      <c r="W541" s="6" t="n">
        <v>1.93855775736496</v>
      </c>
      <c r="X541" s="6" t="n">
        <v>0.871712246053154</v>
      </c>
      <c r="Y541" s="6" t="n">
        <v>1.65587023512106</v>
      </c>
      <c r="Z541" s="6" t="n">
        <v>1.87723623026049</v>
      </c>
      <c r="AA541" s="6" t="n">
        <v>-0.816231003839181</v>
      </c>
      <c r="AB541" s="6" t="n">
        <v>-2.45700961392972</v>
      </c>
      <c r="AC541" s="6" t="n">
        <v>2.17198855980056</v>
      </c>
      <c r="AD541" s="6" t="n">
        <v>-0.210332380369297</v>
      </c>
      <c r="AE541" s="6" t="n">
        <v>-2.65884896057001</v>
      </c>
      <c r="AF541" s="6" t="n">
        <v>-0.00700589878914817</v>
      </c>
      <c r="AG541" s="6" t="n">
        <v>1.35549963192996</v>
      </c>
      <c r="AH541" s="6" t="n">
        <v>2.11816087958611</v>
      </c>
      <c r="AI541" s="6" t="n">
        <v>1.06027265372535</v>
      </c>
      <c r="AJ541" s="6" t="n">
        <v>81.5024802111463</v>
      </c>
      <c r="AK541" s="6" t="n">
        <v>0.142078019568105</v>
      </c>
      <c r="AL541" s="6" t="n">
        <v>1.05631978281525</v>
      </c>
      <c r="AN541" s="6" t="n">
        <v>1.29468790413861</v>
      </c>
      <c r="AO541" s="6" t="n">
        <v>1.29479927490713</v>
      </c>
      <c r="AP541" s="6" t="n">
        <v>0.133659065719824</v>
      </c>
      <c r="AQ541" s="6" t="n">
        <v>0</v>
      </c>
      <c r="AR541" s="6" t="n">
        <v>0</v>
      </c>
    </row>
    <row r="542" customFormat="false" ht="15" hidden="false" customHeight="false" outlineLevel="0" collapsed="false">
      <c r="D542" s="0" t="s">
        <v>668</v>
      </c>
      <c r="J542" s="6" t="n">
        <v>0.932123516504351</v>
      </c>
      <c r="K542" s="6" t="n">
        <v>-0.942256790782897</v>
      </c>
      <c r="L542" s="6" t="n">
        <v>0.782180386837169</v>
      </c>
      <c r="M542" s="6" t="n">
        <v>2.80218499751411</v>
      </c>
      <c r="N542" s="6" t="n">
        <v>-0.894968047606888</v>
      </c>
      <c r="O542" s="6" t="n">
        <v>0.0836130446825606</v>
      </c>
      <c r="P542" s="6" t="n">
        <v>2.62690319843186</v>
      </c>
      <c r="Q542" s="6" t="n">
        <v>2.47339207240908</v>
      </c>
      <c r="R542" s="6" t="n">
        <v>0.00441936495183012</v>
      </c>
      <c r="S542" s="6" t="n">
        <v>2.7708498797459</v>
      </c>
      <c r="T542" s="6" t="n">
        <v>2.9366600734432</v>
      </c>
      <c r="U542" s="6" t="n">
        <v>1.93972024354731</v>
      </c>
      <c r="V542" s="6" t="n">
        <v>-1.0792613111583</v>
      </c>
      <c r="W542" s="6" t="n">
        <v>-2.9446301759655</v>
      </c>
      <c r="X542" s="6" t="n">
        <v>-1.4702600274786</v>
      </c>
      <c r="Y542" s="6" t="n">
        <v>-0.660891445431619</v>
      </c>
      <c r="Z542" s="6" t="n">
        <v>4.0189277425435</v>
      </c>
      <c r="AA542" s="6" t="n">
        <v>-1.02669909979849</v>
      </c>
      <c r="AB542" s="6" t="n">
        <v>2.46851892318445</v>
      </c>
      <c r="AC542" s="6" t="n">
        <v>1.03419190413758</v>
      </c>
      <c r="AD542" s="6" t="n">
        <v>-2.86691707762736</v>
      </c>
      <c r="AE542" s="6" t="n">
        <v>-1.81787848166234</v>
      </c>
      <c r="AF542" s="6" t="n">
        <v>0.379552836452642</v>
      </c>
      <c r="AG542" s="6" t="n">
        <v>-0.452071884211442</v>
      </c>
      <c r="AH542" s="6" t="n">
        <v>-1.50370778404404</v>
      </c>
      <c r="AI542" s="6" t="n">
        <v>0.324750438587933</v>
      </c>
      <c r="AJ542" s="6" t="n">
        <v>69.5921111563458</v>
      </c>
      <c r="AK542" s="6" t="n">
        <v>0.169272714779668</v>
      </c>
      <c r="AL542" s="6" t="n">
        <v>1.07501219925074</v>
      </c>
      <c r="AN542" s="6" t="n">
        <v>1.27778277195292</v>
      </c>
      <c r="AO542" s="6" t="n">
        <v>1.2792029960741</v>
      </c>
      <c r="AP542" s="6" t="n">
        <v>0.130822232768548</v>
      </c>
      <c r="AQ542" s="6" t="n">
        <v>0</v>
      </c>
      <c r="AR542" s="6" t="n">
        <v>0</v>
      </c>
    </row>
    <row r="543" customFormat="false" ht="15" hidden="false" customHeight="false" outlineLevel="0" collapsed="false">
      <c r="D543" s="0" t="s">
        <v>669</v>
      </c>
      <c r="J543" s="6" t="n">
        <v>0.018905804718344</v>
      </c>
      <c r="K543" s="6" t="n">
        <v>-0.531457412151797</v>
      </c>
      <c r="L543" s="6" t="n">
        <v>0.0543139252916878</v>
      </c>
      <c r="M543" s="6" t="n">
        <v>-2.22858179580965</v>
      </c>
      <c r="N543" s="6" t="n">
        <v>-0.68940634066078</v>
      </c>
      <c r="O543" s="6" t="n">
        <v>2.3964895031667</v>
      </c>
      <c r="P543" s="6" t="n">
        <v>-0.358882367729141</v>
      </c>
      <c r="Q543" s="6" t="n">
        <v>0.925697474565608</v>
      </c>
      <c r="R543" s="6" t="n">
        <v>-2.47117482739707</v>
      </c>
      <c r="S543" s="6" t="n">
        <v>-2.04666061701325</v>
      </c>
      <c r="T543" s="6" t="n">
        <v>0.916472258833551</v>
      </c>
      <c r="U543" s="6" t="n">
        <v>-6.31418381312476</v>
      </c>
      <c r="V543" s="6" t="n">
        <v>4.42301490464804</v>
      </c>
      <c r="W543" s="6" t="n">
        <v>-0.936225036641506</v>
      </c>
      <c r="X543" s="6" t="n">
        <v>-0.338305411347452</v>
      </c>
      <c r="Y543" s="6" t="n">
        <v>-0.215383361626705</v>
      </c>
      <c r="Z543" s="6" t="n">
        <v>3.49961475947099</v>
      </c>
      <c r="AA543" s="6" t="n">
        <v>4.98540307334358</v>
      </c>
      <c r="AB543" s="6" t="n">
        <v>0.239947271864523</v>
      </c>
      <c r="AC543" s="6" t="n">
        <v>-0.535133695877867</v>
      </c>
      <c r="AD543" s="6" t="n">
        <v>-1.95477182274846</v>
      </c>
      <c r="AE543" s="6" t="n">
        <v>-0.263575578920691</v>
      </c>
      <c r="AF543" s="6" t="n">
        <v>-0.966364373305648</v>
      </c>
      <c r="AG543" s="6" t="n">
        <v>1.42575413872774</v>
      </c>
      <c r="AH543" s="6" t="n">
        <v>2.71063382707615</v>
      </c>
      <c r="AI543" s="6" t="n">
        <v>-0.369986966267109</v>
      </c>
      <c r="AJ543" s="6" t="n">
        <v>76.0115801452035</v>
      </c>
      <c r="AK543" s="6" t="n">
        <v>0.115403886520332</v>
      </c>
      <c r="AL543" s="6" t="n">
        <v>1.06011356178565</v>
      </c>
      <c r="AN543" s="6" t="n">
        <v>1.29206649828729</v>
      </c>
      <c r="AO543" s="6" t="n">
        <v>1.29223892973124</v>
      </c>
      <c r="AP543" s="6" t="n">
        <v>0.133339985336818</v>
      </c>
      <c r="AQ543" s="6" t="n">
        <v>0</v>
      </c>
      <c r="AR543" s="6" t="n">
        <v>0</v>
      </c>
    </row>
    <row r="544" customFormat="false" ht="15" hidden="false" customHeight="false" outlineLevel="0" collapsed="false">
      <c r="D544" s="0" t="s">
        <v>670</v>
      </c>
      <c r="J544" s="6" t="n">
        <v>-0.3639692022059</v>
      </c>
      <c r="K544" s="6" t="n">
        <v>2.44564531736661</v>
      </c>
      <c r="L544" s="6" t="n">
        <v>-0.499367288036631</v>
      </c>
      <c r="M544" s="6" t="n">
        <v>-1.93046031814613</v>
      </c>
      <c r="N544" s="6" t="n">
        <v>1.11130856735363</v>
      </c>
      <c r="O544" s="6" t="n">
        <v>0.358346709553053</v>
      </c>
      <c r="P544" s="6" t="n">
        <v>-5.42987439915539</v>
      </c>
      <c r="Q544" s="6" t="n">
        <v>-0.857075722786122</v>
      </c>
      <c r="R544" s="6" t="n">
        <v>3.17011069640202</v>
      </c>
      <c r="S544" s="6" t="n">
        <v>1.24928989415345</v>
      </c>
      <c r="T544" s="6" t="n">
        <v>3.94666198509461</v>
      </c>
      <c r="U544" s="6" t="n">
        <v>-2.48180591078807</v>
      </c>
      <c r="V544" s="6" t="n">
        <v>0.480933497188418</v>
      </c>
      <c r="W544" s="6" t="n">
        <v>-1.28939108660833</v>
      </c>
      <c r="X544" s="6" t="n">
        <v>-0.884290392368205</v>
      </c>
      <c r="Y544" s="6" t="n">
        <v>2.13297495348288</v>
      </c>
      <c r="Z544" s="6" t="n">
        <v>0.66839571324167</v>
      </c>
      <c r="AA544" s="6" t="n">
        <v>1.18782672321488</v>
      </c>
      <c r="AB544" s="6" t="n">
        <v>0.455884168638612</v>
      </c>
      <c r="AC544" s="6" t="n">
        <v>3.8883106769251</v>
      </c>
      <c r="AD544" s="6" t="n">
        <v>1.88991951544584</v>
      </c>
      <c r="AE544" s="6" t="n">
        <v>-0.0819188705179267</v>
      </c>
      <c r="AF544" s="6" t="n">
        <v>-0.105191006747068</v>
      </c>
      <c r="AG544" s="6" t="n">
        <v>-0.842392945090798</v>
      </c>
      <c r="AH544" s="6" t="n">
        <v>1.05708188054754</v>
      </c>
      <c r="AI544" s="6" t="n">
        <v>2.10018279888023</v>
      </c>
      <c r="AJ544" s="6" t="n">
        <v>77.432383971562</v>
      </c>
      <c r="AK544" s="6" t="n">
        <v>0.125704318554026</v>
      </c>
      <c r="AL544" s="6" t="n">
        <v>1.08160380434673</v>
      </c>
      <c r="AN544" s="6" t="n">
        <v>1.27253254604733</v>
      </c>
      <c r="AO544" s="6" t="n">
        <v>1.27979802056618</v>
      </c>
      <c r="AP544" s="6" t="n">
        <v>0.131331811296113</v>
      </c>
      <c r="AQ544" s="6" t="n">
        <v>0</v>
      </c>
      <c r="AR544" s="6" t="n">
        <v>0</v>
      </c>
    </row>
    <row r="545" customFormat="false" ht="15" hidden="false" customHeight="false" outlineLevel="0" collapsed="false">
      <c r="D545" s="0" t="s">
        <v>671</v>
      </c>
      <c r="J545" s="6" t="n">
        <v>1.05692744585656</v>
      </c>
      <c r="K545" s="6" t="n">
        <v>-0.0616428709730565</v>
      </c>
      <c r="L545" s="6" t="n">
        <v>1.47616132134477</v>
      </c>
      <c r="M545" s="6" t="n">
        <v>-0.0475598473103258</v>
      </c>
      <c r="N545" s="6" t="n">
        <v>0.826140554479666</v>
      </c>
      <c r="O545" s="6" t="n">
        <v>-1.20309435272421</v>
      </c>
      <c r="P545" s="6" t="n">
        <v>0.774081973016736</v>
      </c>
      <c r="Q545" s="6" t="n">
        <v>-0.14767433334658</v>
      </c>
      <c r="R545" s="6" t="n">
        <v>0.834829726786948</v>
      </c>
      <c r="S545" s="6" t="n">
        <v>2.46803562120577</v>
      </c>
      <c r="T545" s="6" t="n">
        <v>1.64739067138226</v>
      </c>
      <c r="U545" s="6" t="n">
        <v>-2.53864101286487</v>
      </c>
      <c r="V545" s="6" t="n">
        <v>0.259418359893326</v>
      </c>
      <c r="W545" s="6" t="n">
        <v>-0.592607821237652</v>
      </c>
      <c r="X545" s="6" t="n">
        <v>-0.0176580834363597</v>
      </c>
      <c r="Y545" s="6" t="n">
        <v>1.49795716529446</v>
      </c>
      <c r="Z545" s="6" t="n">
        <v>-2.70385202999517</v>
      </c>
      <c r="AA545" s="6" t="n">
        <v>-0.41823963988041</v>
      </c>
      <c r="AB545" s="6" t="n">
        <v>-2.14523296474035</v>
      </c>
      <c r="AC545" s="6" t="n">
        <v>-2.32685178236497</v>
      </c>
      <c r="AD545" s="6" t="n">
        <v>-3.1566861951975</v>
      </c>
      <c r="AE545" s="6" t="n">
        <v>1.67794790324495</v>
      </c>
      <c r="AF545" s="6" t="n">
        <v>1.50499679789249</v>
      </c>
      <c r="AG545" s="6" t="n">
        <v>0.22130493695216</v>
      </c>
      <c r="AH545" s="6" t="n">
        <v>1.43076265375678</v>
      </c>
      <c r="AI545" s="6" t="n">
        <v>2.65936031995865</v>
      </c>
      <c r="AJ545" s="6" t="n">
        <v>66.7936634326022</v>
      </c>
      <c r="AK545" s="6" t="n">
        <v>0.111165214798523</v>
      </c>
      <c r="AL545" s="6" t="n">
        <v>1.08235650963672</v>
      </c>
      <c r="AN545" s="6" t="n">
        <v>1.2836980229259</v>
      </c>
      <c r="AO545" s="6" t="n">
        <v>1.28395579390078</v>
      </c>
      <c r="AP545" s="6" t="n">
        <v>0.131511820496268</v>
      </c>
      <c r="AQ545" s="6" t="n">
        <v>0</v>
      </c>
      <c r="AR545" s="6" t="n">
        <v>0</v>
      </c>
    </row>
    <row r="546" customFormat="false" ht="15" hidden="false" customHeight="false" outlineLevel="0" collapsed="false">
      <c r="D546" s="0" t="s">
        <v>672</v>
      </c>
      <c r="J546" s="6" t="n">
        <v>3.7546010153975</v>
      </c>
      <c r="K546" s="6" t="n">
        <v>0.701095229526002</v>
      </c>
      <c r="L546" s="6" t="n">
        <v>-0.195877537639973</v>
      </c>
      <c r="M546" s="6" t="n">
        <v>-0.364598642359102</v>
      </c>
      <c r="N546" s="6" t="n">
        <v>0.661170296507694</v>
      </c>
      <c r="O546" s="6" t="n">
        <v>0.444641260712995</v>
      </c>
      <c r="P546" s="6" t="n">
        <v>-2.50080822051315</v>
      </c>
      <c r="Q546" s="6" t="n">
        <v>-4.56664079381834</v>
      </c>
      <c r="R546" s="6" t="n">
        <v>-0.817104401877762</v>
      </c>
      <c r="S546" s="6" t="n">
        <v>-0.692899981701293</v>
      </c>
      <c r="T546" s="6" t="n">
        <v>-0.904853196939614</v>
      </c>
      <c r="U546" s="6" t="n">
        <v>-0.413012135632279</v>
      </c>
      <c r="V546" s="6" t="n">
        <v>0.990001996834945</v>
      </c>
      <c r="W546" s="6" t="n">
        <v>-0.226607893052848</v>
      </c>
      <c r="X546" s="6" t="n">
        <v>-1.07305211045409</v>
      </c>
      <c r="Y546" s="6" t="n">
        <v>0.531684928470292</v>
      </c>
      <c r="Z546" s="6" t="n">
        <v>1.25101567062533</v>
      </c>
      <c r="AA546" s="6" t="n">
        <v>-1.89178548240771</v>
      </c>
      <c r="AB546" s="6" t="n">
        <v>2.6419417759519</v>
      </c>
      <c r="AC546" s="6" t="n">
        <v>-3.08033532677428</v>
      </c>
      <c r="AD546" s="6" t="n">
        <v>-3.14957030135835</v>
      </c>
      <c r="AE546" s="6" t="n">
        <v>0.861886910240475</v>
      </c>
      <c r="AF546" s="6" t="n">
        <v>-0.367818599104754</v>
      </c>
      <c r="AG546" s="6" t="n">
        <v>-4.01628379979016</v>
      </c>
      <c r="AH546" s="6" t="n">
        <v>2.38768502716014</v>
      </c>
      <c r="AI546" s="6" t="n">
        <v>-0.00412754866426336</v>
      </c>
      <c r="AJ546" s="6" t="n">
        <v>63.4262178942079</v>
      </c>
      <c r="AK546" s="6" t="n">
        <v>0.124054117044534</v>
      </c>
      <c r="AL546" s="6" t="n">
        <v>1.07081176385697</v>
      </c>
      <c r="AN546" s="6" t="n">
        <v>1.28440231830442</v>
      </c>
      <c r="AO546" s="6" t="n">
        <v>1.28463188162843</v>
      </c>
      <c r="AP546" s="6" t="n">
        <v>0.131238877078489</v>
      </c>
      <c r="AQ546" s="6" t="n">
        <v>0</v>
      </c>
      <c r="AR546" s="6" t="n">
        <v>0</v>
      </c>
    </row>
    <row r="547" customFormat="false" ht="15" hidden="false" customHeight="false" outlineLevel="0" collapsed="false">
      <c r="D547" s="0" t="s">
        <v>673</v>
      </c>
      <c r="J547" s="6" t="n">
        <v>-0.379897677960566</v>
      </c>
      <c r="K547" s="6" t="n">
        <v>-2.38415525125846</v>
      </c>
      <c r="L547" s="6" t="n">
        <v>-2.51871623362452</v>
      </c>
      <c r="M547" s="6" t="n">
        <v>0.00917168413429638</v>
      </c>
      <c r="N547" s="6" t="n">
        <v>-0.411297157876074</v>
      </c>
      <c r="O547" s="6" t="n">
        <v>1.4992215234734</v>
      </c>
      <c r="P547" s="6" t="n">
        <v>-2.22442328007757</v>
      </c>
      <c r="Q547" s="6" t="n">
        <v>1.46537029614366</v>
      </c>
      <c r="R547" s="6" t="n">
        <v>-1.85989813850999</v>
      </c>
      <c r="S547" s="6" t="n">
        <v>3.60231122847702</v>
      </c>
      <c r="T547" s="6" t="n">
        <v>2.4940590265811</v>
      </c>
      <c r="U547" s="6" t="n">
        <v>-1.29750013683571</v>
      </c>
      <c r="V547" s="6" t="n">
        <v>2.14385577976089</v>
      </c>
      <c r="W547" s="6" t="n">
        <v>-0.320908029404057</v>
      </c>
      <c r="X547" s="6" t="n">
        <v>-3.10964724988682</v>
      </c>
      <c r="Y547" s="6" t="n">
        <v>1.60342120286179</v>
      </c>
      <c r="Z547" s="6" t="n">
        <v>3.29356234534395</v>
      </c>
      <c r="AA547" s="6" t="n">
        <v>1.51812037565115</v>
      </c>
      <c r="AB547" s="6" t="n">
        <v>-1.21252245376226</v>
      </c>
      <c r="AC547" s="6" t="n">
        <v>-1.72765238804749</v>
      </c>
      <c r="AD547" s="6" t="n">
        <v>-1.61405130145033</v>
      </c>
      <c r="AE547" s="6" t="n">
        <v>1.43368472327396</v>
      </c>
      <c r="AF547" s="6" t="n">
        <v>-0.087061849599564</v>
      </c>
      <c r="AG547" s="6" t="n">
        <v>0.412518369767087</v>
      </c>
      <c r="AH547" s="6" t="n">
        <v>0.671676249043472</v>
      </c>
      <c r="AI547" s="6" t="n">
        <v>-0.779805094314251</v>
      </c>
      <c r="AJ547" s="6" t="n">
        <v>75.7626801529072</v>
      </c>
      <c r="AK547" s="6" t="n">
        <v>0.22534471164529</v>
      </c>
      <c r="AL547" s="6" t="n">
        <v>1.13223105258989</v>
      </c>
      <c r="AN547" s="6" t="n">
        <v>1.2561127005773</v>
      </c>
      <c r="AO547" s="6" t="n">
        <v>1.25687204480361</v>
      </c>
      <c r="AP547" s="6" t="n">
        <v>0.12693426028108</v>
      </c>
      <c r="AQ547" s="6" t="n">
        <v>0</v>
      </c>
      <c r="AR547" s="6" t="n">
        <v>0</v>
      </c>
    </row>
    <row r="548" customFormat="false" ht="15" hidden="false" customHeight="false" outlineLevel="0" collapsed="false">
      <c r="D548" s="0" t="s">
        <v>674</v>
      </c>
      <c r="J548" s="6" t="n">
        <v>-2.87763937681791</v>
      </c>
      <c r="K548" s="6" t="n">
        <v>-0.91329711890174</v>
      </c>
      <c r="L548" s="6" t="n">
        <v>0.782516630075804</v>
      </c>
      <c r="M548" s="6" t="n">
        <v>0.797210981464234</v>
      </c>
      <c r="N548" s="6" t="n">
        <v>2.60959220188408</v>
      </c>
      <c r="O548" s="6" t="n">
        <v>-1.44026706416466</v>
      </c>
      <c r="P548" s="6" t="n">
        <v>0.731645861383931</v>
      </c>
      <c r="Q548" s="6" t="n">
        <v>-2.60164359256088</v>
      </c>
      <c r="R548" s="6" t="n">
        <v>-2.99670187719425</v>
      </c>
      <c r="S548" s="6" t="n">
        <v>-1.37474244779671</v>
      </c>
      <c r="T548" s="6" t="n">
        <v>-1.52609228610908</v>
      </c>
      <c r="U548" s="6" t="n">
        <v>-0.455855112232138</v>
      </c>
      <c r="V548" s="6" t="n">
        <v>-2.91665326731653</v>
      </c>
      <c r="W548" s="6" t="n">
        <v>1.60092485531379</v>
      </c>
      <c r="X548" s="6" t="n">
        <v>-0.997710684548711</v>
      </c>
      <c r="Y548" s="6" t="n">
        <v>-2.97210919870898</v>
      </c>
      <c r="Z548" s="6" t="n">
        <v>0.570182842776048</v>
      </c>
      <c r="AA548" s="6" t="n">
        <v>-0.724548020974481</v>
      </c>
      <c r="AB548" s="6" t="n">
        <v>-0.387558338844102</v>
      </c>
      <c r="AC548" s="6" t="n">
        <v>1.50118968647841</v>
      </c>
      <c r="AD548" s="6" t="n">
        <v>1.4779728532866</v>
      </c>
      <c r="AE548" s="6" t="n">
        <v>2.58687934862027</v>
      </c>
      <c r="AF548" s="6" t="n">
        <v>-0.981760207907689</v>
      </c>
      <c r="AG548" s="6" t="n">
        <v>-1.84281954796216</v>
      </c>
      <c r="AH548" s="6" t="n">
        <v>-1.16861507921441</v>
      </c>
      <c r="AI548" s="6" t="n">
        <v>-1.93133761762441</v>
      </c>
      <c r="AJ548" s="6" t="n">
        <v>57.0168390001658</v>
      </c>
      <c r="AK548" s="6" t="n">
        <v>0.129406127138554</v>
      </c>
      <c r="AL548" s="6" t="n">
        <v>1.00489911863858</v>
      </c>
      <c r="AN548" s="6" t="n">
        <v>1.30743041185277</v>
      </c>
      <c r="AO548" s="6" t="n">
        <v>1.30950895082444</v>
      </c>
      <c r="AP548" s="6" t="n">
        <v>0.137362229958023</v>
      </c>
      <c r="AQ548" s="6" t="n">
        <v>0</v>
      </c>
      <c r="AR548" s="6" t="n">
        <v>0</v>
      </c>
    </row>
    <row r="549" customFormat="false" ht="15" hidden="false" customHeight="false" outlineLevel="0" collapsed="false">
      <c r="D549" s="0" t="s">
        <v>675</v>
      </c>
      <c r="J549" s="6" t="n">
        <v>0.299095647708054</v>
      </c>
      <c r="K549" s="6" t="n">
        <v>-0.380866858755828</v>
      </c>
      <c r="L549" s="6" t="n">
        <v>0.934135034713352</v>
      </c>
      <c r="M549" s="6" t="n">
        <v>3.40025344313976</v>
      </c>
      <c r="N549" s="6" t="n">
        <v>-0.33769505813545</v>
      </c>
      <c r="O549" s="6" t="n">
        <v>-3.25225812330442</v>
      </c>
      <c r="P549" s="6" t="n">
        <v>-3.81623754045117</v>
      </c>
      <c r="Q549" s="6" t="n">
        <v>-0.108396110479011</v>
      </c>
      <c r="R549" s="6" t="n">
        <v>0.597725700189878</v>
      </c>
      <c r="S549" s="6" t="n">
        <v>1.98018995231143</v>
      </c>
      <c r="T549" s="6" t="n">
        <v>2.71082189388274</v>
      </c>
      <c r="U549" s="6" t="n">
        <v>-1.04621560970796</v>
      </c>
      <c r="V549" s="6" t="n">
        <v>-0.67073379776944</v>
      </c>
      <c r="W549" s="6" t="n">
        <v>3.08699496496829</v>
      </c>
      <c r="X549" s="6" t="n">
        <v>2.04689688557899</v>
      </c>
      <c r="Y549" s="6" t="n">
        <v>0.28414640164996</v>
      </c>
      <c r="Z549" s="6" t="n">
        <v>2.58706187076705</v>
      </c>
      <c r="AA549" s="6" t="n">
        <v>0.170332437318586</v>
      </c>
      <c r="AB549" s="6" t="n">
        <v>1.48190447381617</v>
      </c>
      <c r="AC549" s="6" t="n">
        <v>-3.38378546535524</v>
      </c>
      <c r="AD549" s="6" t="n">
        <v>2.15230102211186</v>
      </c>
      <c r="AE549" s="6" t="n">
        <v>1.17010237811158</v>
      </c>
      <c r="AF549" s="6" t="n">
        <v>0.509987693227073</v>
      </c>
      <c r="AG549" s="6" t="n">
        <v>-2.96075841425215</v>
      </c>
      <c r="AH549" s="6" t="n">
        <v>-0.419500240906662</v>
      </c>
      <c r="AI549" s="6" t="n">
        <v>-2.27772212680251</v>
      </c>
      <c r="AJ549" s="6" t="n">
        <v>70.1880750077673</v>
      </c>
      <c r="AK549" s="6" t="n">
        <v>0.104842763562279</v>
      </c>
      <c r="AL549" s="6" t="n">
        <v>1.02873485658347</v>
      </c>
      <c r="AN549" s="6" t="n">
        <v>1.30768052279387</v>
      </c>
      <c r="AO549" s="6" t="n">
        <v>1.3078898803029</v>
      </c>
      <c r="AP549" s="6" t="n">
        <v>0.136373390257792</v>
      </c>
      <c r="AQ549" s="6" t="n">
        <v>0</v>
      </c>
      <c r="AR549" s="6" t="n">
        <v>0</v>
      </c>
    </row>
    <row r="550" customFormat="false" ht="15" hidden="false" customHeight="false" outlineLevel="0" collapsed="false">
      <c r="D550" s="0" t="s">
        <v>676</v>
      </c>
      <c r="J550" s="6" t="n">
        <v>-3.46640735828321</v>
      </c>
      <c r="K550" s="6" t="n">
        <v>-0.718140463552771</v>
      </c>
      <c r="L550" s="6" t="n">
        <v>5</v>
      </c>
      <c r="M550" s="6" t="n">
        <v>3.54345473486092</v>
      </c>
      <c r="N550" s="6" t="n">
        <v>1.81721226882041</v>
      </c>
      <c r="O550" s="6" t="n">
        <v>-3.69846835208746</v>
      </c>
      <c r="P550" s="6" t="n">
        <v>-3.00327447204734</v>
      </c>
      <c r="Q550" s="6" t="n">
        <v>0.226309088334151</v>
      </c>
      <c r="R550" s="6" t="n">
        <v>1.48129692175575</v>
      </c>
      <c r="S550" s="6" t="n">
        <v>4.99027586049005</v>
      </c>
      <c r="T550" s="6" t="n">
        <v>-0.819522902781975</v>
      </c>
      <c r="U550" s="6" t="n">
        <v>-1.24125490468439</v>
      </c>
      <c r="V550" s="6" t="n">
        <v>3.40865955316426</v>
      </c>
      <c r="W550" s="6" t="n">
        <v>-1.98077388505835</v>
      </c>
      <c r="X550" s="6" t="n">
        <v>-1.82829555978655</v>
      </c>
      <c r="Y550" s="6" t="n">
        <v>-2.56062342485338</v>
      </c>
      <c r="Z550" s="6" t="n">
        <v>1.65520931747572</v>
      </c>
      <c r="AA550" s="6" t="n">
        <v>-3.5042450370905</v>
      </c>
      <c r="AB550" s="6" t="n">
        <v>2.46326891397966</v>
      </c>
      <c r="AC550" s="6" t="n">
        <v>0.942772191670728</v>
      </c>
      <c r="AD550" s="6" t="n">
        <v>1.18169393183619</v>
      </c>
      <c r="AE550" s="6" t="n">
        <v>-0.88912432146753</v>
      </c>
      <c r="AF550" s="6" t="n">
        <v>0.591353738822255</v>
      </c>
      <c r="AG550" s="6" t="n">
        <v>0.555527891736316</v>
      </c>
      <c r="AH550" s="6" t="n">
        <v>1.38189081162816</v>
      </c>
      <c r="AI550" s="6" t="n">
        <v>0.874724409985043</v>
      </c>
      <c r="AJ550" s="6" t="n">
        <v>64.956142775634</v>
      </c>
      <c r="AK550" s="6" t="n">
        <v>0.0744206990562081</v>
      </c>
      <c r="AL550" s="6" t="n">
        <v>1.04464690139969</v>
      </c>
      <c r="AN550" s="6" t="n">
        <v>1.29541971441304</v>
      </c>
      <c r="AO550" s="6" t="n">
        <v>1.29713374160959</v>
      </c>
      <c r="AP550" s="6" t="n">
        <v>0.135067256771553</v>
      </c>
      <c r="AQ550" s="6" t="n">
        <v>0</v>
      </c>
      <c r="AR550" s="6" t="n">
        <v>0</v>
      </c>
    </row>
    <row r="551" customFormat="false" ht="15" hidden="false" customHeight="false" outlineLevel="0" collapsed="false">
      <c r="D551" s="0" t="s">
        <v>677</v>
      </c>
      <c r="J551" s="6" t="n">
        <v>-0.321356621576414</v>
      </c>
      <c r="K551" s="6" t="n">
        <v>1.74743312527909</v>
      </c>
      <c r="L551" s="6" t="n">
        <v>2.04363526238905</v>
      </c>
      <c r="M551" s="6" t="n">
        <v>-0.364441200865001</v>
      </c>
      <c r="N551" s="6" t="n">
        <v>1.30248344953066</v>
      </c>
      <c r="O551" s="6" t="n">
        <v>-0.811465996155712</v>
      </c>
      <c r="P551" s="6" t="n">
        <v>-0.181795820471759</v>
      </c>
      <c r="Q551" s="6" t="n">
        <v>2.86818098826074</v>
      </c>
      <c r="R551" s="6" t="n">
        <v>1.00666658004017</v>
      </c>
      <c r="S551" s="6" t="n">
        <v>-1.44926207455269</v>
      </c>
      <c r="T551" s="6" t="n">
        <v>-1.72353435319414</v>
      </c>
      <c r="U551" s="6" t="n">
        <v>1.08079493787092</v>
      </c>
      <c r="V551" s="6" t="n">
        <v>2.00142511639955</v>
      </c>
      <c r="W551" s="6" t="n">
        <v>0.678769637178095</v>
      </c>
      <c r="X551" s="6" t="n">
        <v>0.769777997494961</v>
      </c>
      <c r="Y551" s="6" t="n">
        <v>-0.335726688841744</v>
      </c>
      <c r="Z551" s="6" t="n">
        <v>-0.72587944113012</v>
      </c>
      <c r="AA551" s="6" t="n">
        <v>4.19675440936209</v>
      </c>
      <c r="AB551" s="6" t="n">
        <v>-1.42663114794456</v>
      </c>
      <c r="AC551" s="6" t="n">
        <v>-2.12168990959504</v>
      </c>
      <c r="AD551" s="6" t="n">
        <v>5</v>
      </c>
      <c r="AE551" s="6" t="n">
        <v>-1.1463679304553</v>
      </c>
      <c r="AF551" s="6" t="n">
        <v>3.17027826443778</v>
      </c>
      <c r="AG551" s="6" t="n">
        <v>-0.354995752999062</v>
      </c>
      <c r="AH551" s="6" t="n">
        <v>-1.57547139232015</v>
      </c>
      <c r="AI551" s="6" t="n">
        <v>-0.342613282137449</v>
      </c>
      <c r="AJ551" s="6" t="n">
        <v>74.6002268912552</v>
      </c>
      <c r="AK551" s="6" t="n">
        <v>0.143298097023935</v>
      </c>
      <c r="AL551" s="6" t="n">
        <v>1.06996045297303</v>
      </c>
      <c r="AN551" s="6" t="n">
        <v>1.28690353088512</v>
      </c>
      <c r="AO551" s="6" t="n">
        <v>1.28786232597377</v>
      </c>
      <c r="AP551" s="6" t="n">
        <v>0.132080570744229</v>
      </c>
      <c r="AQ551" s="6" t="n">
        <v>0</v>
      </c>
      <c r="AR551" s="6" t="n">
        <v>0</v>
      </c>
    </row>
    <row r="552" customFormat="false" ht="15" hidden="false" customHeight="false" outlineLevel="0" collapsed="false">
      <c r="D552" s="0" t="s">
        <v>678</v>
      </c>
      <c r="J552" s="6" t="n">
        <v>-0.696877934394657</v>
      </c>
      <c r="K552" s="6" t="n">
        <v>-5.51758562224452</v>
      </c>
      <c r="L552" s="6" t="n">
        <v>-0.29083676666916</v>
      </c>
      <c r="M552" s="6" t="n">
        <v>0.355275066931742</v>
      </c>
      <c r="N552" s="6" t="n">
        <v>0.293465865243328</v>
      </c>
      <c r="O552" s="6" t="n">
        <v>1.44884946432628</v>
      </c>
      <c r="P552" s="6" t="n">
        <v>-1.62296525543782</v>
      </c>
      <c r="Q552" s="6" t="n">
        <v>-1.35062162942844</v>
      </c>
      <c r="R552" s="6" t="n">
        <v>1.4582006104359</v>
      </c>
      <c r="S552" s="6" t="n">
        <v>-2.48625142966163</v>
      </c>
      <c r="T552" s="6" t="n">
        <v>1.42671062587504</v>
      </c>
      <c r="U552" s="6" t="n">
        <v>0.0961968810575056</v>
      </c>
      <c r="V552" s="6" t="n">
        <v>-1.00760636779779</v>
      </c>
      <c r="W552" s="6" t="n">
        <v>1.36812598639047</v>
      </c>
      <c r="X552" s="6" t="n">
        <v>-6.21545127526022</v>
      </c>
      <c r="Y552" s="6" t="n">
        <v>0.0755881805114627</v>
      </c>
      <c r="Z552" s="6" t="n">
        <v>1.66717436800279</v>
      </c>
      <c r="AA552" s="6" t="n">
        <v>1.81529353435609</v>
      </c>
      <c r="AB552" s="6" t="n">
        <v>4.4519767157941</v>
      </c>
      <c r="AC552" s="6" t="n">
        <v>0.93365375397464</v>
      </c>
      <c r="AD552" s="6" t="n">
        <v>0.163079158518887</v>
      </c>
      <c r="AE552" s="6" t="n">
        <v>-0.99338937640188</v>
      </c>
      <c r="AF552" s="6" t="n">
        <v>0.643672743308568</v>
      </c>
      <c r="AG552" s="6" t="n">
        <v>0.267218833766242</v>
      </c>
      <c r="AH552" s="6" t="n">
        <v>-1.44676160802731</v>
      </c>
      <c r="AI552" s="6" t="n">
        <v>1.88240152286352</v>
      </c>
      <c r="AJ552" s="6" t="n">
        <v>69.1837035579641</v>
      </c>
      <c r="AK552" s="6" t="n">
        <v>0.102766424577092</v>
      </c>
      <c r="AL552" s="6" t="n">
        <v>1.09187933747127</v>
      </c>
      <c r="AN552" s="6" t="n">
        <v>1.28047778045003</v>
      </c>
      <c r="AO552" s="6" t="n">
        <v>1.28056530386906</v>
      </c>
      <c r="AP552" s="6" t="n">
        <v>0.130856909163532</v>
      </c>
      <c r="AQ552" s="6" t="n">
        <v>0</v>
      </c>
      <c r="AR552" s="6" t="n">
        <v>0</v>
      </c>
    </row>
    <row r="553" customFormat="false" ht="15" hidden="false" customHeight="false" outlineLevel="0" collapsed="false">
      <c r="D553" s="0" t="s">
        <v>679</v>
      </c>
      <c r="J553" s="6" t="n">
        <v>0.734439194592966</v>
      </c>
      <c r="K553" s="6" t="n">
        <v>-1.66743433995041</v>
      </c>
      <c r="L553" s="6" t="n">
        <v>-2.93843128547927</v>
      </c>
      <c r="M553" s="6" t="n">
        <v>0.141511383116855</v>
      </c>
      <c r="N553" s="6" t="n">
        <v>2.21110235916854</v>
      </c>
      <c r="O553" s="6" t="n">
        <v>-0.146942558940591</v>
      </c>
      <c r="P553" s="6" t="n">
        <v>-3.23329620387639</v>
      </c>
      <c r="Q553" s="6" t="n">
        <v>1.32778257699736</v>
      </c>
      <c r="R553" s="6" t="n">
        <v>3.21837722321569</v>
      </c>
      <c r="S553" s="6" t="n">
        <v>-0.581723307213201</v>
      </c>
      <c r="T553" s="6" t="n">
        <v>0.717583166289639</v>
      </c>
      <c r="U553" s="6" t="n">
        <v>-1.45884211425914</v>
      </c>
      <c r="V553" s="6" t="n">
        <v>-0.890899460348163</v>
      </c>
      <c r="W553" s="6" t="n">
        <v>0.40357834955345</v>
      </c>
      <c r="X553" s="6" t="n">
        <v>-1.37480657173148</v>
      </c>
      <c r="Y553" s="6" t="n">
        <v>1.4739273802541</v>
      </c>
      <c r="Z553" s="6" t="n">
        <v>0.325675035315342</v>
      </c>
      <c r="AA553" s="6" t="n">
        <v>-0.303545630089816</v>
      </c>
      <c r="AB553" s="6" t="n">
        <v>-1.57386946682952</v>
      </c>
      <c r="AC553" s="6" t="n">
        <v>-0.851899583174084</v>
      </c>
      <c r="AD553" s="6" t="n">
        <v>1.83927086066729</v>
      </c>
      <c r="AE553" s="6" t="n">
        <v>1.54497410101918</v>
      </c>
      <c r="AF553" s="6" t="n">
        <v>-3.02079574947473</v>
      </c>
      <c r="AG553" s="6" t="n">
        <v>0.328185485748426</v>
      </c>
      <c r="AH553" s="6" t="n">
        <v>2.98011931396963</v>
      </c>
      <c r="AI553" s="6" t="n">
        <v>-2.7919254301061</v>
      </c>
      <c r="AJ553" s="6" t="n">
        <v>72.0956512093857</v>
      </c>
      <c r="AK553" s="6" t="n">
        <v>0.177615258212454</v>
      </c>
      <c r="AL553" s="6" t="n">
        <v>1.07905134812407</v>
      </c>
      <c r="AN553" s="6" t="n">
        <v>1.27954003718745</v>
      </c>
      <c r="AO553" s="6" t="n">
        <v>1.27973084016797</v>
      </c>
      <c r="AP553" s="6" t="n">
        <v>0.130723989033143</v>
      </c>
      <c r="AQ553" s="6" t="n">
        <v>0</v>
      </c>
      <c r="AR553" s="6" t="n">
        <v>0</v>
      </c>
    </row>
    <row r="554" customFormat="false" ht="15" hidden="false" customHeight="false" outlineLevel="0" collapsed="false">
      <c r="D554" s="0" t="s">
        <v>680</v>
      </c>
      <c r="J554" s="6" t="n">
        <v>-0.0818600099370979</v>
      </c>
      <c r="K554" s="6" t="n">
        <v>-1.69241908311268</v>
      </c>
      <c r="L554" s="6" t="n">
        <v>2.13681455612965</v>
      </c>
      <c r="M554" s="6" t="n">
        <v>-2.90883483973359</v>
      </c>
      <c r="N554" s="6" t="n">
        <v>0.975242063666121</v>
      </c>
      <c r="O554" s="6" t="n">
        <v>-1.45545598410197</v>
      </c>
      <c r="P554" s="6" t="n">
        <v>-3.06250691338582</v>
      </c>
      <c r="Q554" s="6" t="n">
        <v>-0.0905733049694682</v>
      </c>
      <c r="R554" s="6" t="n">
        <v>0.620281527875304</v>
      </c>
      <c r="S554" s="6" t="n">
        <v>0.440161124365095</v>
      </c>
      <c r="T554" s="6" t="n">
        <v>-1.721305551284</v>
      </c>
      <c r="U554" s="6" t="n">
        <v>2.75932967859424</v>
      </c>
      <c r="V554" s="6" t="n">
        <v>2.55996917469879</v>
      </c>
      <c r="W554" s="6" t="n">
        <v>-4.31126829019284</v>
      </c>
      <c r="X554" s="6" t="n">
        <v>-2.36611207926606</v>
      </c>
      <c r="Y554" s="6" t="n">
        <v>-1.43615483839852</v>
      </c>
      <c r="Z554" s="6" t="n">
        <v>-0.803460979636544</v>
      </c>
      <c r="AA554" s="6" t="n">
        <v>-1.02514737817903</v>
      </c>
      <c r="AB554" s="6" t="n">
        <v>0.647444963916548</v>
      </c>
      <c r="AC554" s="6" t="n">
        <v>-0.498343800259727</v>
      </c>
      <c r="AD554" s="6" t="n">
        <v>-2.5581861066554</v>
      </c>
      <c r="AE554" s="6" t="n">
        <v>2.25961955521043</v>
      </c>
      <c r="AF554" s="6" t="n">
        <v>-2.18069925649885</v>
      </c>
      <c r="AG554" s="6" t="n">
        <v>2.28394556744066</v>
      </c>
      <c r="AH554" s="6" t="n">
        <v>0.0407470421210888</v>
      </c>
      <c r="AI554" s="6" t="n">
        <v>-2.71038740124525</v>
      </c>
      <c r="AJ554" s="6" t="n">
        <v>73.7041706551263</v>
      </c>
      <c r="AK554" s="6" t="n">
        <v>0.00877066129934899</v>
      </c>
      <c r="AL554" s="6" t="n">
        <v>1.01900128421696</v>
      </c>
      <c r="AN554" s="6" t="n">
        <v>1.31301984037709</v>
      </c>
      <c r="AO554" s="6" t="n">
        <v>1.31301984037709</v>
      </c>
      <c r="AP554" s="6" t="n">
        <v>0.1402015048502</v>
      </c>
      <c r="AQ554" s="6" t="n">
        <v>0</v>
      </c>
      <c r="AR554" s="6" t="n">
        <v>0</v>
      </c>
    </row>
    <row r="555" customFormat="false" ht="15" hidden="false" customHeight="false" outlineLevel="0" collapsed="false">
      <c r="D555" s="0" t="s">
        <v>681</v>
      </c>
      <c r="J555" s="6" t="n">
        <v>-2.36969139663288</v>
      </c>
      <c r="K555" s="6" t="n">
        <v>2.87325729859184</v>
      </c>
      <c r="L555" s="6" t="n">
        <v>1.96256980288562</v>
      </c>
      <c r="M555" s="6" t="n">
        <v>-3.1923793551475</v>
      </c>
      <c r="N555" s="6" t="n">
        <v>1.40149182263957</v>
      </c>
      <c r="O555" s="6" t="n">
        <v>-0.296255671064129</v>
      </c>
      <c r="P555" s="6" t="n">
        <v>4.42262914076617</v>
      </c>
      <c r="Q555" s="6" t="n">
        <v>-4.06448892722252</v>
      </c>
      <c r="R555" s="6" t="n">
        <v>-1.15061013492418</v>
      </c>
      <c r="S555" s="6" t="n">
        <v>4.35895987420375</v>
      </c>
      <c r="T555" s="6" t="n">
        <v>1.94266852048017</v>
      </c>
      <c r="U555" s="6" t="n">
        <v>-0.982227481556715</v>
      </c>
      <c r="V555" s="6" t="n">
        <v>0.354389023556742</v>
      </c>
      <c r="W555" s="6" t="n">
        <v>3.05312870665132</v>
      </c>
      <c r="X555" s="6" t="n">
        <v>0.0303654327381698</v>
      </c>
      <c r="Y555" s="6" t="n">
        <v>-3.57862190988476</v>
      </c>
      <c r="Z555" s="6" t="n">
        <v>1.26141028410736</v>
      </c>
      <c r="AA555" s="6" t="n">
        <v>-1.76750066247894</v>
      </c>
      <c r="AB555" s="6" t="n">
        <v>2.51657604357365</v>
      </c>
      <c r="AC555" s="6" t="n">
        <v>-0.515504540432232</v>
      </c>
      <c r="AD555" s="6" t="n">
        <v>0.242676701641077</v>
      </c>
      <c r="AE555" s="6" t="n">
        <v>1.24922668059737</v>
      </c>
      <c r="AF555" s="6" t="n">
        <v>0.75196106440271</v>
      </c>
      <c r="AG555" s="6" t="n">
        <v>2.40739941416349</v>
      </c>
      <c r="AH555" s="6" t="n">
        <v>-3.40995991745986</v>
      </c>
      <c r="AI555" s="6" t="n">
        <v>-2.57421069524316</v>
      </c>
      <c r="AJ555" s="6" t="n">
        <v>67.7695661581224</v>
      </c>
      <c r="AK555" s="6" t="n">
        <v>0.160838808791796</v>
      </c>
      <c r="AL555" s="6" t="n">
        <v>1.08873289530888</v>
      </c>
      <c r="AN555" s="6" t="n">
        <v>1.27311338459597</v>
      </c>
      <c r="AO555" s="6" t="n">
        <v>1.27533545395576</v>
      </c>
      <c r="AP555" s="6" t="n">
        <v>0.129182050701003</v>
      </c>
      <c r="AQ555" s="6" t="n">
        <v>0</v>
      </c>
      <c r="AR555" s="6" t="n">
        <v>0</v>
      </c>
    </row>
    <row r="556" customFormat="false" ht="15" hidden="false" customHeight="false" outlineLevel="0" collapsed="false">
      <c r="D556" s="0" t="s">
        <v>682</v>
      </c>
      <c r="J556" s="6" t="n">
        <v>0.379422052055034</v>
      </c>
      <c r="K556" s="6" t="n">
        <v>-2.10994093274548</v>
      </c>
      <c r="L556" s="6" t="n">
        <v>-2.05523456973672</v>
      </c>
      <c r="M556" s="6" t="n">
        <v>-4.41757342311278</v>
      </c>
      <c r="N556" s="6" t="n">
        <v>-2.15419053109402</v>
      </c>
      <c r="O556" s="6" t="n">
        <v>-2.13380320353545</v>
      </c>
      <c r="P556" s="6" t="n">
        <v>2.70976248566816</v>
      </c>
      <c r="Q556" s="6" t="n">
        <v>-0.203736824915615</v>
      </c>
      <c r="R556" s="6" t="n">
        <v>-0.597752440452364</v>
      </c>
      <c r="S556" s="6" t="n">
        <v>-0.987319368606291</v>
      </c>
      <c r="T556" s="6" t="n">
        <v>-4.37123793226445</v>
      </c>
      <c r="U556" s="6" t="n">
        <v>3.72620803139466</v>
      </c>
      <c r="V556" s="6" t="n">
        <v>1.60554089060758</v>
      </c>
      <c r="W556" s="6" t="n">
        <v>0.886843831697302</v>
      </c>
      <c r="X556" s="6" t="n">
        <v>-0.690172536409919</v>
      </c>
      <c r="Y556" s="6" t="n">
        <v>1.93619908917042</v>
      </c>
      <c r="Z556" s="6" t="n">
        <v>-3.1304745758449</v>
      </c>
      <c r="AA556" s="6" t="n">
        <v>2.0847861621115</v>
      </c>
      <c r="AB556" s="6" t="n">
        <v>1.33983914518756</v>
      </c>
      <c r="AC556" s="6" t="n">
        <v>1.15646271675658</v>
      </c>
      <c r="AD556" s="6" t="n">
        <v>1.12612445774767</v>
      </c>
      <c r="AE556" s="6" t="n">
        <v>-1.22015724647569</v>
      </c>
      <c r="AF556" s="6" t="n">
        <v>-0.199235031760968</v>
      </c>
      <c r="AG556" s="6" t="n">
        <v>-2.475797515815</v>
      </c>
      <c r="AH556" s="6" t="n">
        <v>1.77435417801871</v>
      </c>
      <c r="AI556" s="6" t="n">
        <v>0.905311071393785</v>
      </c>
      <c r="AJ556" s="6" t="n">
        <v>69.1835781860577</v>
      </c>
      <c r="AK556" s="6" t="n">
        <v>0.119357908829723</v>
      </c>
      <c r="AL556" s="6" t="n">
        <v>1.05729614022868</v>
      </c>
      <c r="AN556" s="6" t="n">
        <v>1.29283821186844</v>
      </c>
      <c r="AO556" s="6" t="n">
        <v>1.29420704329754</v>
      </c>
      <c r="AP556" s="6" t="n">
        <v>0.132691935187178</v>
      </c>
      <c r="AQ556" s="6" t="n">
        <v>0</v>
      </c>
      <c r="AR556" s="6" t="n">
        <v>0</v>
      </c>
    </row>
    <row r="557" customFormat="false" ht="15" hidden="false" customHeight="false" outlineLevel="0" collapsed="false">
      <c r="D557" s="0" t="s">
        <v>683</v>
      </c>
      <c r="J557" s="6" t="n">
        <v>0.335386591169402</v>
      </c>
      <c r="K557" s="6" t="n">
        <v>-1.35315722928448</v>
      </c>
      <c r="L557" s="6" t="n">
        <v>-0.762078665848426</v>
      </c>
      <c r="M557" s="6" t="n">
        <v>0.181935569916553</v>
      </c>
      <c r="N557" s="6" t="n">
        <v>1.02175313397476</v>
      </c>
      <c r="O557" s="6" t="n">
        <v>-2.17144472185772</v>
      </c>
      <c r="P557" s="6" t="n">
        <v>-1.71049711711331</v>
      </c>
      <c r="Q557" s="6" t="n">
        <v>4.18722724058093</v>
      </c>
      <c r="R557" s="6" t="n">
        <v>-3.05264306076603</v>
      </c>
      <c r="S557" s="6" t="n">
        <v>-0.700291389700146</v>
      </c>
      <c r="T557" s="6" t="n">
        <v>-0.153928301275286</v>
      </c>
      <c r="U557" s="6" t="n">
        <v>0.76688879148419</v>
      </c>
      <c r="V557" s="6" t="n">
        <v>3.60126545069448</v>
      </c>
      <c r="W557" s="6" t="n">
        <v>-0.942495277551641</v>
      </c>
      <c r="X557" s="6" t="n">
        <v>-0.956058776973185</v>
      </c>
      <c r="Y557" s="6" t="n">
        <v>1.57916099191649</v>
      </c>
      <c r="Z557" s="6" t="n">
        <v>1.06458293132102</v>
      </c>
      <c r="AA557" s="6" t="n">
        <v>-0.681891891031257</v>
      </c>
      <c r="AB557" s="6" t="n">
        <v>0.885223237134992</v>
      </c>
      <c r="AC557" s="6" t="n">
        <v>-0.0379090694047525</v>
      </c>
      <c r="AD557" s="6" t="n">
        <v>-1.52583989015557</v>
      </c>
      <c r="AE557" s="6" t="n">
        <v>1.27068968543991</v>
      </c>
      <c r="AF557" s="6" t="n">
        <v>-0.217112056878728</v>
      </c>
      <c r="AG557" s="6" t="n">
        <v>3.22655497135594</v>
      </c>
      <c r="AH557" s="6" t="n">
        <v>0.463620192198573</v>
      </c>
      <c r="AI557" s="6" t="n">
        <v>-1.58607581810243</v>
      </c>
      <c r="AJ557" s="6" t="n">
        <v>77.9485995936734</v>
      </c>
      <c r="AK557" s="6" t="n">
        <v>0.0843323859442383</v>
      </c>
      <c r="AL557" s="6" t="n">
        <v>1.05644930168313</v>
      </c>
      <c r="AN557" s="6" t="n">
        <v>1.30245304051914</v>
      </c>
      <c r="AO557" s="6" t="n">
        <v>1.30338622250807</v>
      </c>
      <c r="AP557" s="6" t="n">
        <v>0.135164778527768</v>
      </c>
      <c r="AQ557" s="6" t="n">
        <v>0</v>
      </c>
      <c r="AR557" s="6" t="n">
        <v>0</v>
      </c>
    </row>
    <row r="558" customFormat="false" ht="15" hidden="false" customHeight="false" outlineLevel="0" collapsed="false">
      <c r="D558" s="0" t="s">
        <v>684</v>
      </c>
      <c r="J558" s="6" t="n">
        <v>1.69606960177958</v>
      </c>
      <c r="K558" s="6" t="n">
        <v>1.2323151225633</v>
      </c>
      <c r="L558" s="6" t="n">
        <v>0.542793955343311</v>
      </c>
      <c r="M558" s="6" t="n">
        <v>3.6513880911244</v>
      </c>
      <c r="N558" s="6" t="n">
        <v>5</v>
      </c>
      <c r="O558" s="6" t="n">
        <v>-0.338497693836082</v>
      </c>
      <c r="P558" s="6" t="n">
        <v>-2.05420398800061</v>
      </c>
      <c r="Q558" s="6" t="n">
        <v>-3.30286262546668</v>
      </c>
      <c r="R558" s="6" t="n">
        <v>-1.90763265100067</v>
      </c>
      <c r="S558" s="6" t="n">
        <v>-2.90742585864832</v>
      </c>
      <c r="T558" s="6" t="n">
        <v>1.82636735431697</v>
      </c>
      <c r="U558" s="6" t="n">
        <v>-0.00430144786561674</v>
      </c>
      <c r="V558" s="6" t="n">
        <v>1.66861167573413</v>
      </c>
      <c r="W558" s="6" t="n">
        <v>0.209149959136036</v>
      </c>
      <c r="X558" s="6" t="n">
        <v>-1.13961865817989</v>
      </c>
      <c r="Y558" s="6" t="n">
        <v>1.28115729592951</v>
      </c>
      <c r="Z558" s="6" t="n">
        <v>-0.893978394566096</v>
      </c>
      <c r="AA558" s="6" t="n">
        <v>-0.150469148050599</v>
      </c>
      <c r="AB558" s="6" t="n">
        <v>0.355725977182122</v>
      </c>
      <c r="AC558" s="6" t="n">
        <v>1.29419296315294</v>
      </c>
      <c r="AD558" s="6" t="n">
        <v>-1.62261408535875</v>
      </c>
      <c r="AE558" s="6" t="n">
        <v>-1.14108269914507</v>
      </c>
      <c r="AF558" s="6" t="n">
        <v>-4.27837342997812</v>
      </c>
      <c r="AG558" s="6" t="n">
        <v>0.343637417732906</v>
      </c>
      <c r="AH558" s="6" t="n">
        <v>2.79454089093562</v>
      </c>
      <c r="AI558" s="6" t="n">
        <v>0.0126940359894503</v>
      </c>
      <c r="AJ558" s="6" t="n">
        <v>58.9694805735019</v>
      </c>
      <c r="AK558" s="6" t="n">
        <v>0.130407251304332</v>
      </c>
      <c r="AL558" s="6" t="n">
        <v>1.04488414663917</v>
      </c>
      <c r="AN558" s="6" t="n">
        <v>1.29295228223283</v>
      </c>
      <c r="AO558" s="6" t="n">
        <v>1.29303639383717</v>
      </c>
      <c r="AP558" s="6" t="n">
        <v>0.132890378806514</v>
      </c>
      <c r="AQ558" s="6" t="n">
        <v>0</v>
      </c>
      <c r="AR558" s="6" t="n">
        <v>0</v>
      </c>
    </row>
    <row r="559" customFormat="false" ht="15" hidden="false" customHeight="false" outlineLevel="0" collapsed="false">
      <c r="D559" s="0" t="s">
        <v>685</v>
      </c>
      <c r="J559" s="6" t="n">
        <v>-3.05719843749606</v>
      </c>
      <c r="K559" s="6" t="n">
        <v>1.50187678311659</v>
      </c>
      <c r="L559" s="6" t="n">
        <v>-1.04192720379141</v>
      </c>
      <c r="M559" s="6" t="n">
        <v>2.79894751630906</v>
      </c>
      <c r="N559" s="6" t="n">
        <v>3.15853377952218</v>
      </c>
      <c r="O559" s="6" t="n">
        <v>1.01323139398832</v>
      </c>
      <c r="P559" s="6" t="n">
        <v>1.58928340059747</v>
      </c>
      <c r="Q559" s="6" t="n">
        <v>1.79443586598624</v>
      </c>
      <c r="R559" s="6" t="n">
        <v>2.72594522821497</v>
      </c>
      <c r="S559" s="6" t="n">
        <v>-0.471629236376435</v>
      </c>
      <c r="T559" s="6" t="n">
        <v>1.1684970709005</v>
      </c>
      <c r="U559" s="6" t="n">
        <v>-2.06272873281817</v>
      </c>
      <c r="V559" s="6" t="n">
        <v>2.97809292050024</v>
      </c>
      <c r="W559" s="6" t="n">
        <v>0.268529298357077</v>
      </c>
      <c r="X559" s="6" t="n">
        <v>2.90374878234761</v>
      </c>
      <c r="Y559" s="6" t="n">
        <v>-1.50851464690401</v>
      </c>
      <c r="Z559" s="6" t="n">
        <v>1.12821166902971</v>
      </c>
      <c r="AA559" s="6" t="n">
        <v>-0.491657488588945</v>
      </c>
      <c r="AB559" s="6" t="n">
        <v>1.64594040297632</v>
      </c>
      <c r="AC559" s="6" t="n">
        <v>-1.52591840176086</v>
      </c>
      <c r="AD559" s="6" t="n">
        <v>1.14299524202852</v>
      </c>
      <c r="AE559" s="6" t="n">
        <v>3.69469287398203</v>
      </c>
      <c r="AF559" s="6" t="n">
        <v>-2.25517547764778</v>
      </c>
      <c r="AG559" s="6" t="n">
        <v>-2.76297640059712</v>
      </c>
      <c r="AH559" s="6" t="n">
        <v>-2.83852696312678</v>
      </c>
      <c r="AI559" s="6" t="n">
        <v>3.29294643947508</v>
      </c>
      <c r="AJ559" s="6" t="n">
        <v>60.8789587194655</v>
      </c>
      <c r="AK559" s="6" t="n">
        <v>0.111410800049287</v>
      </c>
      <c r="AL559" s="6" t="n">
        <v>1.07921233522202</v>
      </c>
      <c r="AN559" s="6" t="n">
        <v>1.27938543764956</v>
      </c>
      <c r="AO559" s="6" t="n">
        <v>1.28034908226767</v>
      </c>
      <c r="AP559" s="6" t="n">
        <v>0.131344266189083</v>
      </c>
      <c r="AQ559" s="6" t="n">
        <v>0</v>
      </c>
      <c r="AR559" s="6" t="n">
        <v>0</v>
      </c>
    </row>
    <row r="560" customFormat="false" ht="15" hidden="false" customHeight="false" outlineLevel="0" collapsed="false">
      <c r="D560" s="0" t="s">
        <v>686</v>
      </c>
      <c r="J560" s="6" t="n">
        <v>1.96580909505225</v>
      </c>
      <c r="K560" s="6" t="n">
        <v>0.110298584478491</v>
      </c>
      <c r="L560" s="6" t="n">
        <v>0.0248079264493358</v>
      </c>
      <c r="M560" s="6" t="n">
        <v>0.372583170571951</v>
      </c>
      <c r="N560" s="6" t="n">
        <v>-0.583264832601927</v>
      </c>
      <c r="O560" s="6" t="n">
        <v>1.02067725338534</v>
      </c>
      <c r="P560" s="6" t="n">
        <v>-0.149375542812027</v>
      </c>
      <c r="Q560" s="6" t="n">
        <v>-3.2630629200279</v>
      </c>
      <c r="R560" s="6" t="n">
        <v>0.0272203844669874</v>
      </c>
      <c r="S560" s="6" t="n">
        <v>-1.33653574108409</v>
      </c>
      <c r="T560" s="6" t="n">
        <v>-1.89842865072421</v>
      </c>
      <c r="U560" s="6" t="n">
        <v>-1.94831225091454</v>
      </c>
      <c r="V560" s="6" t="n">
        <v>-1.29557325461845</v>
      </c>
      <c r="W560" s="6" t="n">
        <v>0.0162038493128096</v>
      </c>
      <c r="X560" s="6" t="n">
        <v>0.404607773149028</v>
      </c>
      <c r="Y560" s="6" t="n">
        <v>1.70986838004046</v>
      </c>
      <c r="Z560" s="6" t="n">
        <v>0.372210112863744</v>
      </c>
      <c r="AA560" s="6" t="n">
        <v>-1.22240396013391</v>
      </c>
      <c r="AB560" s="6" t="n">
        <v>1.05212155160137</v>
      </c>
      <c r="AC560" s="6" t="n">
        <v>0.325835775268521</v>
      </c>
      <c r="AD560" s="6" t="n">
        <v>-0.271435916173168</v>
      </c>
      <c r="AE560" s="6" t="n">
        <v>-3.09412379031877</v>
      </c>
      <c r="AF560" s="6" t="n">
        <v>-1.31809716250691</v>
      </c>
      <c r="AG560" s="6" t="n">
        <v>0.560999207396987</v>
      </c>
      <c r="AH560" s="6" t="n">
        <v>2.04383128306412</v>
      </c>
      <c r="AI560" s="6" t="n">
        <v>-1.84333858097357</v>
      </c>
      <c r="AJ560" s="6" t="n">
        <v>61.2200940178391</v>
      </c>
      <c r="AK560" s="6" t="n">
        <v>0.103612741695601</v>
      </c>
      <c r="AL560" s="6" t="n">
        <v>1.03709048201723</v>
      </c>
      <c r="AN560" s="6" t="n">
        <v>1.2970912536623</v>
      </c>
      <c r="AO560" s="6" t="n">
        <v>1.29729345896958</v>
      </c>
      <c r="AP560" s="6" t="n">
        <v>0.134453271336649</v>
      </c>
      <c r="AQ560" s="6" t="n">
        <v>0</v>
      </c>
      <c r="AR560" s="6" t="n">
        <v>0</v>
      </c>
    </row>
    <row r="561" customFormat="false" ht="15" hidden="false" customHeight="false" outlineLevel="0" collapsed="false">
      <c r="D561" s="0" t="s">
        <v>687</v>
      </c>
      <c r="J561" s="6" t="n">
        <v>-3.94887635010103</v>
      </c>
      <c r="K561" s="6" t="n">
        <v>-0.500176875709432</v>
      </c>
      <c r="L561" s="6" t="n">
        <v>1.73005117688336</v>
      </c>
      <c r="M561" s="6" t="n">
        <v>-0.30003341940834</v>
      </c>
      <c r="N561" s="6" t="n">
        <v>2.76919260877302</v>
      </c>
      <c r="O561" s="6" t="n">
        <v>1.02833129620579</v>
      </c>
      <c r="P561" s="6" t="n">
        <v>0.900507753035559</v>
      </c>
      <c r="Q561" s="6" t="n">
        <v>2.91251498458819</v>
      </c>
      <c r="R561" s="6" t="n">
        <v>-3.66134799675452</v>
      </c>
      <c r="S561" s="6" t="n">
        <v>3.13961985960493</v>
      </c>
      <c r="T561" s="6" t="n">
        <v>-5.0438692320102</v>
      </c>
      <c r="U561" s="6" t="n">
        <v>-0.394605732578462</v>
      </c>
      <c r="V561" s="6" t="n">
        <v>-3.02210212772936</v>
      </c>
      <c r="W561" s="6" t="n">
        <v>0.428740762213695</v>
      </c>
      <c r="X561" s="6" t="n">
        <v>1.70655093333328</v>
      </c>
      <c r="Y561" s="6" t="n">
        <v>-1.08499428049051</v>
      </c>
      <c r="Z561" s="6" t="n">
        <v>0.750293044010512</v>
      </c>
      <c r="AA561" s="6" t="n">
        <v>-0.449996977758777</v>
      </c>
      <c r="AB561" s="6" t="n">
        <v>0.472840201848983</v>
      </c>
      <c r="AC561" s="6" t="n">
        <v>0.972988171700496</v>
      </c>
      <c r="AD561" s="6" t="n">
        <v>-0.717526125848156</v>
      </c>
      <c r="AE561" s="6" t="n">
        <v>-1.7575712317809</v>
      </c>
      <c r="AF561" s="6" t="n">
        <v>-0.604005800576477</v>
      </c>
      <c r="AG561" s="6" t="n">
        <v>1.08506773067414</v>
      </c>
      <c r="AH561" s="6" t="n">
        <v>0.076692089310747</v>
      </c>
      <c r="AI561" s="6" t="n">
        <v>-0.183914368095752</v>
      </c>
      <c r="AJ561" s="6" t="n">
        <v>76.6074993873909</v>
      </c>
      <c r="AK561" s="6" t="n">
        <v>0.151206731178953</v>
      </c>
      <c r="AL561" s="6" t="n">
        <v>1.04381202762966</v>
      </c>
      <c r="AN561" s="6" t="n">
        <v>1.29603224085542</v>
      </c>
      <c r="AO561" s="6" t="n">
        <v>1.29672392838087</v>
      </c>
      <c r="AP561" s="6" t="n">
        <v>0.13437203405724</v>
      </c>
      <c r="AQ561" s="6" t="n">
        <v>0</v>
      </c>
      <c r="AR561" s="6" t="n">
        <v>0</v>
      </c>
    </row>
    <row r="562" customFormat="false" ht="15" hidden="false" customHeight="false" outlineLevel="0" collapsed="false">
      <c r="D562" s="0" t="s">
        <v>688</v>
      </c>
      <c r="J562" s="6" t="n">
        <v>0.515464542209798</v>
      </c>
      <c r="K562" s="6" t="n">
        <v>3.08401566641367</v>
      </c>
      <c r="L562" s="6" t="n">
        <v>1.17446781215556</v>
      </c>
      <c r="M562" s="6" t="n">
        <v>-1.25930786947968</v>
      </c>
      <c r="N562" s="6" t="n">
        <v>-1.20170324003973</v>
      </c>
      <c r="O562" s="6" t="n">
        <v>-1.16111685127588</v>
      </c>
      <c r="P562" s="6" t="n">
        <v>-1.11708225798522</v>
      </c>
      <c r="Q562" s="6" t="n">
        <v>0.118747307305937</v>
      </c>
      <c r="R562" s="6" t="n">
        <v>-1.20023694557273</v>
      </c>
      <c r="S562" s="6" t="n">
        <v>1.86087824863103</v>
      </c>
      <c r="T562" s="6" t="n">
        <v>-4.54637424186512</v>
      </c>
      <c r="U562" s="6" t="n">
        <v>-1.63886080092791</v>
      </c>
      <c r="V562" s="6" t="n">
        <v>2.20531470387991</v>
      </c>
      <c r="W562" s="6" t="n">
        <v>-1.41201656278213</v>
      </c>
      <c r="X562" s="6" t="n">
        <v>-2.35441318273452</v>
      </c>
      <c r="Y562" s="6" t="n">
        <v>-1.90482865132228</v>
      </c>
      <c r="Z562" s="6" t="n">
        <v>-1.95476026218891</v>
      </c>
      <c r="AA562" s="6" t="n">
        <v>1.08680308358853</v>
      </c>
      <c r="AB562" s="6" t="n">
        <v>-0.390802011370283</v>
      </c>
      <c r="AC562" s="6" t="n">
        <v>-1.55110661784891</v>
      </c>
      <c r="AD562" s="6" t="n">
        <v>2.7976315391056</v>
      </c>
      <c r="AE562" s="6" t="n">
        <v>2.66198963348906</v>
      </c>
      <c r="AF562" s="6" t="n">
        <v>-1.41466371558191</v>
      </c>
      <c r="AG562" s="6" t="n">
        <v>-2.69635601315883</v>
      </c>
      <c r="AH562" s="6" t="n">
        <v>-1.81153356951045</v>
      </c>
      <c r="AI562" s="6" t="n">
        <v>1.63144712134727</v>
      </c>
      <c r="AJ562" s="6" t="n">
        <v>66.7277282829294</v>
      </c>
      <c r="AK562" s="6" t="n">
        <v>0.100224038923217</v>
      </c>
      <c r="AL562" s="6" t="n">
        <v>1.01763415499737</v>
      </c>
      <c r="AN562" s="6" t="n">
        <v>1.30808158343224</v>
      </c>
      <c r="AO562" s="6" t="n">
        <v>1.30808158343224</v>
      </c>
      <c r="AP562" s="6" t="n">
        <v>0.137421335778633</v>
      </c>
      <c r="AQ562" s="6" t="n">
        <v>0</v>
      </c>
      <c r="AR562" s="6" t="n">
        <v>0</v>
      </c>
    </row>
    <row r="563" customFormat="false" ht="15" hidden="false" customHeight="false" outlineLevel="0" collapsed="false">
      <c r="D563" s="0" t="s">
        <v>689</v>
      </c>
      <c r="J563" s="6" t="n">
        <v>-0.483574059202671</v>
      </c>
      <c r="K563" s="6" t="n">
        <v>-0.238723093558988</v>
      </c>
      <c r="L563" s="6" t="n">
        <v>-0.412425619744189</v>
      </c>
      <c r="M563" s="6" t="n">
        <v>-2.40829424989753</v>
      </c>
      <c r="N563" s="6" t="n">
        <v>2.16443804470012</v>
      </c>
      <c r="O563" s="6" t="n">
        <v>-1.32207688979553</v>
      </c>
      <c r="P563" s="6" t="n">
        <v>-1.65111876183276</v>
      </c>
      <c r="Q563" s="6" t="n">
        <v>0.744700314991581</v>
      </c>
      <c r="R563" s="6" t="n">
        <v>-4.02025779206517</v>
      </c>
      <c r="S563" s="6" t="n">
        <v>-1.12576564851236</v>
      </c>
      <c r="T563" s="6" t="n">
        <v>-0.986345436929109</v>
      </c>
      <c r="U563" s="6" t="n">
        <v>0.292294959912191</v>
      </c>
      <c r="V563" s="6" t="n">
        <v>1.35562970969514</v>
      </c>
      <c r="W563" s="6" t="n">
        <v>-1.225197644796</v>
      </c>
      <c r="X563" s="6" t="n">
        <v>3.61443509071455</v>
      </c>
      <c r="Y563" s="6" t="n">
        <v>1.94217238607136</v>
      </c>
      <c r="Z563" s="6" t="n">
        <v>2.6661284439507</v>
      </c>
      <c r="AA563" s="6" t="n">
        <v>0.190888613006852</v>
      </c>
      <c r="AB563" s="6" t="n">
        <v>-1.29586936745709</v>
      </c>
      <c r="AC563" s="6" t="n">
        <v>0.996309576993029</v>
      </c>
      <c r="AD563" s="6" t="n">
        <v>-2.47114429340965</v>
      </c>
      <c r="AE563" s="6" t="n">
        <v>0.0976505820411732</v>
      </c>
      <c r="AF563" s="6" t="n">
        <v>4.50431787040568</v>
      </c>
      <c r="AG563" s="6" t="n">
        <v>-0.663288326961597</v>
      </c>
      <c r="AH563" s="6" t="n">
        <v>1.33482783179131</v>
      </c>
      <c r="AI563" s="6" t="n">
        <v>1.89119448828057</v>
      </c>
      <c r="AJ563" s="6" t="n">
        <v>78.0193327960219</v>
      </c>
      <c r="AK563" s="6" t="n">
        <v>0.0865360832746557</v>
      </c>
      <c r="AL563" s="6" t="n">
        <v>1.03446081575461</v>
      </c>
      <c r="AN563" s="6" t="n">
        <v>1.31123055300401</v>
      </c>
      <c r="AO563" s="6" t="n">
        <v>1.31230364619837</v>
      </c>
      <c r="AP563" s="6" t="n">
        <v>0.137088584757412</v>
      </c>
      <c r="AQ563" s="6" t="n">
        <v>0</v>
      </c>
      <c r="AR563" s="6" t="n">
        <v>0</v>
      </c>
    </row>
    <row r="564" customFormat="false" ht="15" hidden="false" customHeight="false" outlineLevel="0" collapsed="false">
      <c r="D564" s="0" t="s">
        <v>690</v>
      </c>
      <c r="J564" s="6" t="n">
        <v>-0.0698484551677563</v>
      </c>
      <c r="K564" s="6" t="n">
        <v>-1.80976892040765</v>
      </c>
      <c r="L564" s="6" t="n">
        <v>-0.614714784883433</v>
      </c>
      <c r="M564" s="6" t="n">
        <v>-1.2921534032158</v>
      </c>
      <c r="N564" s="6" t="n">
        <v>-0.863363987157455</v>
      </c>
      <c r="O564" s="6" t="n">
        <v>-5.08614230568569</v>
      </c>
      <c r="P564" s="6" t="n">
        <v>-0.341390445658732</v>
      </c>
      <c r="Q564" s="6" t="n">
        <v>0.466092225834245</v>
      </c>
      <c r="R564" s="6" t="n">
        <v>-2.80740490314045</v>
      </c>
      <c r="S564" s="6" t="n">
        <v>0.309051758108202</v>
      </c>
      <c r="T564" s="6" t="n">
        <v>0.721586023321273</v>
      </c>
      <c r="U564" s="6" t="n">
        <v>2.43303006939728</v>
      </c>
      <c r="V564" s="6" t="n">
        <v>-0.227963627795496</v>
      </c>
      <c r="W564" s="6" t="n">
        <v>2.63623580081476</v>
      </c>
      <c r="X564" s="6" t="n">
        <v>3.40169561653677</v>
      </c>
      <c r="Y564" s="6" t="n">
        <v>0.554023450117926</v>
      </c>
      <c r="Z564" s="6" t="n">
        <v>1.52044518567217</v>
      </c>
      <c r="AA564" s="6" t="n">
        <v>-2.64591288998404</v>
      </c>
      <c r="AB564" s="6" t="n">
        <v>-1.66460758327331</v>
      </c>
      <c r="AC564" s="6" t="n">
        <v>-0.176444200599171</v>
      </c>
      <c r="AD564" s="6" t="n">
        <v>-0.483461943443599</v>
      </c>
      <c r="AE564" s="6" t="n">
        <v>-2.32333436047106</v>
      </c>
      <c r="AF564" s="6" t="n">
        <v>-2.03624318205419</v>
      </c>
      <c r="AG564" s="6" t="n">
        <v>-1.82371407388893</v>
      </c>
      <c r="AH564" s="6" t="n">
        <v>-0.0827548903227797</v>
      </c>
      <c r="AI564" s="6" t="n">
        <v>-0.330313357891402</v>
      </c>
      <c r="AJ564" s="6" t="n">
        <v>78.8030621321144</v>
      </c>
      <c r="AK564" s="6" t="n">
        <v>0.128549794864143</v>
      </c>
      <c r="AL564" s="6" t="n">
        <v>1.03694311076163</v>
      </c>
      <c r="AN564" s="6" t="n">
        <v>1.27961546837865</v>
      </c>
      <c r="AO564" s="6" t="n">
        <v>1.28738869499595</v>
      </c>
      <c r="AP564" s="6" t="n">
        <v>0.135692063122149</v>
      </c>
      <c r="AQ564" s="6" t="n">
        <v>0</v>
      </c>
      <c r="AR564" s="6" t="n">
        <v>0</v>
      </c>
    </row>
    <row r="565" customFormat="false" ht="15" hidden="false" customHeight="false" outlineLevel="0" collapsed="false">
      <c r="D565" s="0" t="s">
        <v>691</v>
      </c>
      <c r="J565" s="6" t="n">
        <v>-1.39180789339153</v>
      </c>
      <c r="K565" s="6" t="n">
        <v>3.42326561434211</v>
      </c>
      <c r="L565" s="6" t="n">
        <v>-0.588690178843607</v>
      </c>
      <c r="M565" s="6" t="n">
        <v>2.78669008605684</v>
      </c>
      <c r="N565" s="6" t="n">
        <v>-3.45951379030575</v>
      </c>
      <c r="O565" s="6" t="n">
        <v>-0.669441172320614</v>
      </c>
      <c r="P565" s="6" t="n">
        <v>-1.67477766321402</v>
      </c>
      <c r="Q565" s="6" t="n">
        <v>-0.717780612364136</v>
      </c>
      <c r="R565" s="6" t="n">
        <v>3.93824617166825</v>
      </c>
      <c r="S565" s="6" t="n">
        <v>-0.486218948184645</v>
      </c>
      <c r="T565" s="6" t="n">
        <v>0.13787795312516</v>
      </c>
      <c r="U565" s="6" t="n">
        <v>-4.11616944573953</v>
      </c>
      <c r="V565" s="6" t="n">
        <v>-1.63242489209815</v>
      </c>
      <c r="W565" s="6" t="n">
        <v>-0.882911363379667</v>
      </c>
      <c r="X565" s="6" t="n">
        <v>0.666635130116614</v>
      </c>
      <c r="Y565" s="6" t="n">
        <v>-2.6848005945131</v>
      </c>
      <c r="Z565" s="6" t="n">
        <v>-0.237268305364133</v>
      </c>
      <c r="AA565" s="6" t="n">
        <v>-1.51130162018478</v>
      </c>
      <c r="AB565" s="6" t="n">
        <v>0.920113345442912</v>
      </c>
      <c r="AC565" s="6" t="n">
        <v>3.07957546083021</v>
      </c>
      <c r="AD565" s="6" t="n">
        <v>1.98199450091363</v>
      </c>
      <c r="AE565" s="6" t="n">
        <v>-2.02790684921524</v>
      </c>
      <c r="AF565" s="6" t="n">
        <v>-2.49399141341049</v>
      </c>
      <c r="AG565" s="6" t="n">
        <v>-0.231179835064664</v>
      </c>
      <c r="AH565" s="6" t="n">
        <v>-1.7654065976915</v>
      </c>
      <c r="AI565" s="6" t="n">
        <v>0.971003625764573</v>
      </c>
      <c r="AJ565" s="6" t="n">
        <v>76.7620189673689</v>
      </c>
      <c r="AK565" s="6" t="n">
        <v>0.0587881465870437</v>
      </c>
      <c r="AL565" s="6" t="n">
        <v>1.05818917670244</v>
      </c>
      <c r="AN565" s="6" t="n">
        <v>1.30375567996935</v>
      </c>
      <c r="AO565" s="6" t="n">
        <v>1.30389887896425</v>
      </c>
      <c r="AP565" s="6" t="n">
        <v>0.135067975690857</v>
      </c>
      <c r="AQ565" s="6" t="n">
        <v>0</v>
      </c>
      <c r="AR565" s="6" t="n">
        <v>0</v>
      </c>
    </row>
    <row r="566" customFormat="false" ht="15" hidden="false" customHeight="false" outlineLevel="0" collapsed="false">
      <c r="D566" s="0" t="s">
        <v>692</v>
      </c>
      <c r="J566" s="6" t="n">
        <v>5</v>
      </c>
      <c r="K566" s="6" t="n">
        <v>-0.42499466246441</v>
      </c>
      <c r="L566" s="6" t="n">
        <v>1.54631413906462</v>
      </c>
      <c r="M566" s="6" t="n">
        <v>-3.19683458097326</v>
      </c>
      <c r="N566" s="6" t="n">
        <v>-3.27186495507302</v>
      </c>
      <c r="O566" s="6" t="n">
        <v>-1.99486192117714</v>
      </c>
      <c r="P566" s="6" t="n">
        <v>2.36162613859279</v>
      </c>
      <c r="Q566" s="6" t="n">
        <v>-3.28439010472801</v>
      </c>
      <c r="R566" s="6" t="n">
        <v>0.557975818249364</v>
      </c>
      <c r="S566" s="6" t="n">
        <v>-1.61006080660047</v>
      </c>
      <c r="T566" s="6" t="n">
        <v>2.17618300349926</v>
      </c>
      <c r="U566" s="6" t="n">
        <v>1.27022098151789</v>
      </c>
      <c r="V566" s="6" t="n">
        <v>0.125627320376784</v>
      </c>
      <c r="W566" s="6" t="n">
        <v>2.37592350285986</v>
      </c>
      <c r="X566" s="6" t="n">
        <v>1.78840257709906</v>
      </c>
      <c r="Y566" s="6" t="n">
        <v>0.812668445232406</v>
      </c>
      <c r="Z566" s="6" t="n">
        <v>3.53773797730607</v>
      </c>
      <c r="AA566" s="6" t="n">
        <v>-2.45322235031922</v>
      </c>
      <c r="AB566" s="6" t="n">
        <v>1.22039730994253</v>
      </c>
      <c r="AC566" s="6" t="n">
        <v>1.56418678002567</v>
      </c>
      <c r="AD566" s="6" t="n">
        <v>0.0769999819006921</v>
      </c>
      <c r="AE566" s="6" t="n">
        <v>0.237214504901286</v>
      </c>
      <c r="AF566" s="6" t="n">
        <v>1.19823597382169</v>
      </c>
      <c r="AG566" s="6" t="n">
        <v>0.685286061137253</v>
      </c>
      <c r="AH566" s="6" t="n">
        <v>2.28655657028101</v>
      </c>
      <c r="AI566" s="6" t="n">
        <v>0.686498485371409</v>
      </c>
      <c r="AJ566" s="6" t="n">
        <v>59.5174297700118</v>
      </c>
      <c r="AK566" s="6" t="n">
        <v>0.125343438035763</v>
      </c>
      <c r="AL566" s="6" t="n">
        <v>1.0220118491063</v>
      </c>
      <c r="AN566" s="6" t="n">
        <v>1.30381916011314</v>
      </c>
      <c r="AO566" s="6" t="n">
        <v>1.30494966045621</v>
      </c>
      <c r="AP566" s="6" t="n">
        <v>0.135020008020139</v>
      </c>
      <c r="AQ566" s="6" t="n">
        <v>0</v>
      </c>
      <c r="AR566" s="6" t="n">
        <v>0</v>
      </c>
    </row>
    <row r="567" customFormat="false" ht="15" hidden="false" customHeight="false" outlineLevel="0" collapsed="false">
      <c r="D567" s="0" t="s">
        <v>693</v>
      </c>
      <c r="J567" s="6" t="n">
        <v>-1.45999664913708</v>
      </c>
      <c r="K567" s="6" t="n">
        <v>-0.786249917814299</v>
      </c>
      <c r="L567" s="6" t="n">
        <v>2.60712702926121</v>
      </c>
      <c r="M567" s="6" t="n">
        <v>2.75373433683842</v>
      </c>
      <c r="N567" s="6" t="n">
        <v>-1.13958398766458</v>
      </c>
      <c r="O567" s="6" t="n">
        <v>-1.87015297095966</v>
      </c>
      <c r="P567" s="6" t="n">
        <v>1.51052628576307</v>
      </c>
      <c r="Q567" s="6" t="n">
        <v>-0.269464339495351</v>
      </c>
      <c r="R567" s="6" t="n">
        <v>-1.44505161687367</v>
      </c>
      <c r="S567" s="6" t="n">
        <v>-0.139424531724065</v>
      </c>
      <c r="T567" s="6" t="n">
        <v>0.310025768513982</v>
      </c>
      <c r="U567" s="6" t="n">
        <v>0.707330886941519</v>
      </c>
      <c r="V567" s="6" t="n">
        <v>-1.99889891528516</v>
      </c>
      <c r="W567" s="6" t="n">
        <v>-0.536368804331202</v>
      </c>
      <c r="X567" s="6" t="n">
        <v>0.580389056086627</v>
      </c>
      <c r="Y567" s="6" t="n">
        <v>-2.81200927684234</v>
      </c>
      <c r="Z567" s="6" t="n">
        <v>2.60290951659199</v>
      </c>
      <c r="AA567" s="6" t="n">
        <v>1.03106794029882</v>
      </c>
      <c r="AB567" s="6" t="n">
        <v>1.22527717852276</v>
      </c>
      <c r="AC567" s="6" t="n">
        <v>-3.16801427158846</v>
      </c>
      <c r="AD567" s="6" t="n">
        <v>1.96122803772313</v>
      </c>
      <c r="AE567" s="6" t="n">
        <v>1.84186938155526</v>
      </c>
      <c r="AF567" s="6" t="n">
        <v>0.781367830323747</v>
      </c>
      <c r="AG567" s="6" t="n">
        <v>-2.02218596440094</v>
      </c>
      <c r="AH567" s="6" t="n">
        <v>-1.21670286639402</v>
      </c>
      <c r="AI567" s="6" t="n">
        <v>-0.168539487060941</v>
      </c>
      <c r="AJ567" s="6" t="n">
        <v>69.9631673495763</v>
      </c>
      <c r="AK567" s="6" t="n">
        <v>0.112444334854264</v>
      </c>
      <c r="AL567" s="6" t="n">
        <v>1.10075080240373</v>
      </c>
      <c r="AN567" s="6" t="n">
        <v>1.27844267801601</v>
      </c>
      <c r="AO567" s="6" t="n">
        <v>1.27885489444743</v>
      </c>
      <c r="AP567" s="6" t="n">
        <v>0.130678524063445</v>
      </c>
      <c r="AQ567" s="6" t="n">
        <v>0</v>
      </c>
      <c r="AR567" s="6" t="n">
        <v>0</v>
      </c>
    </row>
    <row r="568" customFormat="false" ht="15" hidden="false" customHeight="false" outlineLevel="0" collapsed="false">
      <c r="D568" s="0" t="s">
        <v>694</v>
      </c>
      <c r="J568" s="6" t="n">
        <v>4.05529539315824</v>
      </c>
      <c r="K568" s="6" t="n">
        <v>-0.80210769825977</v>
      </c>
      <c r="L568" s="6" t="n">
        <v>-3.22198761330217</v>
      </c>
      <c r="M568" s="6" t="n">
        <v>-2.47527767042146</v>
      </c>
      <c r="N568" s="6" t="n">
        <v>0.238247088974966</v>
      </c>
      <c r="O568" s="6" t="n">
        <v>2.29851564259383</v>
      </c>
      <c r="P568" s="6" t="n">
        <v>-4.83710370856856</v>
      </c>
      <c r="Q568" s="6" t="n">
        <v>-2.52041314991384</v>
      </c>
      <c r="R568" s="6" t="n">
        <v>-0.649811003715732</v>
      </c>
      <c r="S568" s="6" t="n">
        <v>2.92326916903765</v>
      </c>
      <c r="T568" s="6" t="n">
        <v>2.32625783117723</v>
      </c>
      <c r="U568" s="6" t="n">
        <v>-2.68603635698955</v>
      </c>
      <c r="V568" s="6" t="n">
        <v>1.1619020830445</v>
      </c>
      <c r="W568" s="6" t="n">
        <v>-1.08725918086859</v>
      </c>
      <c r="X568" s="6" t="n">
        <v>1.87051196893795</v>
      </c>
      <c r="Y568" s="6" t="n">
        <v>0.534781469703472</v>
      </c>
      <c r="Z568" s="6" t="n">
        <v>-0.547855611239696</v>
      </c>
      <c r="AA568" s="6" t="n">
        <v>1.33858992527593</v>
      </c>
      <c r="AB568" s="6" t="n">
        <v>1.08257586483708</v>
      </c>
      <c r="AC568" s="6" t="n">
        <v>-1.73289777211496</v>
      </c>
      <c r="AD568" s="6" t="n">
        <v>2.88214948017999</v>
      </c>
      <c r="AE568" s="6" t="n">
        <v>1.3059333496958</v>
      </c>
      <c r="AF568" s="6" t="n">
        <v>-1.90721427971567</v>
      </c>
      <c r="AG568" s="6" t="n">
        <v>-1.02919947748275</v>
      </c>
      <c r="AH568" s="6" t="n">
        <v>0.28656683435547</v>
      </c>
      <c r="AI568" s="6" t="n">
        <v>0.736436431930148</v>
      </c>
      <c r="AJ568" s="6" t="n">
        <v>64.558716064246</v>
      </c>
      <c r="AK568" s="6" t="n">
        <v>0.0791486965204864</v>
      </c>
      <c r="AL568" s="6" t="n">
        <v>1.06512882572186</v>
      </c>
      <c r="AN568" s="6" t="n">
        <v>1.28868979088249</v>
      </c>
      <c r="AO568" s="6" t="n">
        <v>1.29005032152964</v>
      </c>
      <c r="AP568" s="6" t="n">
        <v>0.132613789340463</v>
      </c>
      <c r="AQ568" s="6" t="n">
        <v>0</v>
      </c>
      <c r="AR568" s="6" t="n">
        <v>0</v>
      </c>
    </row>
    <row r="569" customFormat="false" ht="15" hidden="false" customHeight="false" outlineLevel="0" collapsed="false">
      <c r="D569" s="0" t="s">
        <v>695</v>
      </c>
      <c r="J569" s="6" t="n">
        <v>0.0268873636558543</v>
      </c>
      <c r="K569" s="6" t="n">
        <v>-1.38539923087443</v>
      </c>
      <c r="L569" s="6" t="n">
        <v>0.931144524106944</v>
      </c>
      <c r="M569" s="6" t="n">
        <v>0.531840730153009</v>
      </c>
      <c r="N569" s="6" t="n">
        <v>2.01619827034694</v>
      </c>
      <c r="O569" s="6" t="n">
        <v>-0.576557709746317</v>
      </c>
      <c r="P569" s="6" t="n">
        <v>4.80319234585081</v>
      </c>
      <c r="Q569" s="6" t="n">
        <v>0.119405583017637</v>
      </c>
      <c r="R569" s="6" t="n">
        <v>2.43745021773297</v>
      </c>
      <c r="S569" s="6" t="n">
        <v>0.60141578622201</v>
      </c>
      <c r="T569" s="6" t="n">
        <v>1.21582779473806</v>
      </c>
      <c r="U569" s="6" t="n">
        <v>2.83898174140527</v>
      </c>
      <c r="V569" s="6" t="n">
        <v>2.6767403517253</v>
      </c>
      <c r="W569" s="6" t="n">
        <v>-0.346282717731201</v>
      </c>
      <c r="X569" s="6" t="n">
        <v>-0.702456767396155</v>
      </c>
      <c r="Y569" s="6" t="n">
        <v>-3.12118038321489</v>
      </c>
      <c r="Z569" s="6" t="n">
        <v>1.98596393053154</v>
      </c>
      <c r="AA569" s="6" t="n">
        <v>1.88407459885618</v>
      </c>
      <c r="AB569" s="6" t="n">
        <v>-0.827869078454938</v>
      </c>
      <c r="AC569" s="6" t="n">
        <v>0.392180213289542</v>
      </c>
      <c r="AD569" s="6" t="n">
        <v>-1.21049593444676</v>
      </c>
      <c r="AE569" s="6" t="n">
        <v>3.90362003700112</v>
      </c>
      <c r="AF569" s="6" t="n">
        <v>-3.07780163484481</v>
      </c>
      <c r="AG569" s="6" t="n">
        <v>3.46342909596276</v>
      </c>
      <c r="AH569" s="6" t="n">
        <v>1.0007841249461</v>
      </c>
      <c r="AI569" s="6" t="n">
        <v>1.08041973555806</v>
      </c>
      <c r="AJ569" s="6" t="n">
        <v>76.4312935785603</v>
      </c>
      <c r="AK569" s="6" t="n">
        <v>0.123491187825795</v>
      </c>
      <c r="AL569" s="6" t="n">
        <v>1.04950653121053</v>
      </c>
      <c r="AN569" s="6" t="n">
        <v>1.29633257244327</v>
      </c>
      <c r="AO569" s="6" t="n">
        <v>1.29810657915298</v>
      </c>
      <c r="AP569" s="6" t="n">
        <v>0.134291200487163</v>
      </c>
      <c r="AQ569" s="6" t="n">
        <v>0</v>
      </c>
      <c r="AR569" s="6" t="n">
        <v>0</v>
      </c>
    </row>
    <row r="570" customFormat="false" ht="15" hidden="false" customHeight="false" outlineLevel="0" collapsed="false">
      <c r="D570" s="0" t="s">
        <v>696</v>
      </c>
      <c r="J570" s="6" t="n">
        <v>-2.58357675713103</v>
      </c>
      <c r="K570" s="6" t="n">
        <v>-0.0114824010102897</v>
      </c>
      <c r="L570" s="6" t="n">
        <v>-0.301836266323653</v>
      </c>
      <c r="M570" s="6" t="n">
        <v>2.07213873869925</v>
      </c>
      <c r="N570" s="6" t="n">
        <v>-3.65568059126112</v>
      </c>
      <c r="O570" s="6" t="n">
        <v>2.02764845613848</v>
      </c>
      <c r="P570" s="6" t="n">
        <v>-2.68357740852461</v>
      </c>
      <c r="Q570" s="6" t="n">
        <v>1.52763889979264</v>
      </c>
      <c r="R570" s="6" t="n">
        <v>-0.879992933154567</v>
      </c>
      <c r="S570" s="6" t="n">
        <v>-1.10866292531983</v>
      </c>
      <c r="T570" s="6" t="n">
        <v>2.63304288361644</v>
      </c>
      <c r="U570" s="6" t="n">
        <v>0.729188845792182</v>
      </c>
      <c r="V570" s="6" t="n">
        <v>-0.11123550785055</v>
      </c>
      <c r="W570" s="6" t="n">
        <v>2.52587205443348</v>
      </c>
      <c r="X570" s="6" t="n">
        <v>0.209458589803209</v>
      </c>
      <c r="Y570" s="6" t="n">
        <v>-0.603412156530204</v>
      </c>
      <c r="Z570" s="6" t="n">
        <v>1.11053249605847</v>
      </c>
      <c r="AA570" s="6" t="n">
        <v>0.796867175997287</v>
      </c>
      <c r="AB570" s="6" t="n">
        <v>-2.10145718525713</v>
      </c>
      <c r="AC570" s="6" t="n">
        <v>-2.63447624224136</v>
      </c>
      <c r="AD570" s="6" t="n">
        <v>-0.649463482904223</v>
      </c>
      <c r="AE570" s="6" t="n">
        <v>1.20555004318037</v>
      </c>
      <c r="AF570" s="6" t="n">
        <v>0.217381391560189</v>
      </c>
      <c r="AG570" s="6" t="n">
        <v>0.467136622974828</v>
      </c>
      <c r="AH570" s="6" t="n">
        <v>1.24040605933171</v>
      </c>
      <c r="AI570" s="6" t="n">
        <v>-0.746128514778648</v>
      </c>
      <c r="AJ570" s="6" t="n">
        <v>75.8550431353719</v>
      </c>
      <c r="AK570" s="6" t="n">
        <v>0.142639505597916</v>
      </c>
      <c r="AL570" s="6" t="n">
        <v>1.05605726528989</v>
      </c>
      <c r="AN570" s="6" t="n">
        <v>1.2906117044847</v>
      </c>
      <c r="AO570" s="6" t="n">
        <v>1.29114419630516</v>
      </c>
      <c r="AP570" s="6" t="n">
        <v>0.133455712203966</v>
      </c>
      <c r="AQ570" s="6" t="n">
        <v>0</v>
      </c>
      <c r="AR570" s="6" t="n">
        <v>0</v>
      </c>
    </row>
    <row r="571" customFormat="false" ht="15" hidden="false" customHeight="false" outlineLevel="0" collapsed="false">
      <c r="D571" s="0" t="s">
        <v>697</v>
      </c>
      <c r="J571" s="6" t="n">
        <v>-0.336549963667162</v>
      </c>
      <c r="K571" s="6" t="n">
        <v>1.57339773815987</v>
      </c>
      <c r="L571" s="6" t="n">
        <v>2.6543599028002</v>
      </c>
      <c r="M571" s="6" t="n">
        <v>3.31458235063891</v>
      </c>
      <c r="N571" s="6" t="n">
        <v>1.53725882795875</v>
      </c>
      <c r="O571" s="6" t="n">
        <v>0.0732005854627639</v>
      </c>
      <c r="P571" s="6" t="n">
        <v>0.26134041145754</v>
      </c>
      <c r="Q571" s="6" t="n">
        <v>1.533821686806</v>
      </c>
      <c r="R571" s="6" t="n">
        <v>-4.59591817681494</v>
      </c>
      <c r="S571" s="6" t="n">
        <v>-3.31670833107723</v>
      </c>
      <c r="T571" s="6" t="n">
        <v>0.0274788446959915</v>
      </c>
      <c r="U571" s="6" t="n">
        <v>-0.7133207687525</v>
      </c>
      <c r="V571" s="6" t="n">
        <v>0.250255625781188</v>
      </c>
      <c r="W571" s="6" t="n">
        <v>-0.019070785793379</v>
      </c>
      <c r="X571" s="6" t="n">
        <v>1.68979398056063</v>
      </c>
      <c r="Y571" s="6" t="n">
        <v>2.2670681171338</v>
      </c>
      <c r="Z571" s="6" t="n">
        <v>4.22730396515704</v>
      </c>
      <c r="AA571" s="6" t="n">
        <v>0.433209193671436</v>
      </c>
      <c r="AB571" s="6" t="n">
        <v>2.2334503937756</v>
      </c>
      <c r="AC571" s="6" t="n">
        <v>3.79339106095868</v>
      </c>
      <c r="AD571" s="6" t="n">
        <v>-1.57134994720892</v>
      </c>
      <c r="AE571" s="6" t="n">
        <v>-1.11707791278915</v>
      </c>
      <c r="AF571" s="6" t="n">
        <v>-0.207322442030436</v>
      </c>
      <c r="AG571" s="6" t="n">
        <v>0.4868922407102</v>
      </c>
      <c r="AH571" s="6" t="n">
        <v>1.18638707718838</v>
      </c>
      <c r="AI571" s="6" t="n">
        <v>0.117811618636188</v>
      </c>
      <c r="AJ571" s="6" t="n">
        <v>74.5687385676453</v>
      </c>
      <c r="AK571" s="6" t="n">
        <v>0.138812793203145</v>
      </c>
      <c r="AL571" s="6" t="n">
        <v>1.10929880684298</v>
      </c>
      <c r="AN571" s="6" t="n">
        <v>1.27315782136423</v>
      </c>
      <c r="AO571" s="6" t="n">
        <v>1.27377212632016</v>
      </c>
      <c r="AP571" s="6" t="n">
        <v>0.129847389861309</v>
      </c>
      <c r="AQ571" s="6" t="n">
        <v>0</v>
      </c>
      <c r="AR571" s="6" t="n">
        <v>0</v>
      </c>
    </row>
    <row r="572" customFormat="false" ht="15" hidden="false" customHeight="false" outlineLevel="0" collapsed="false">
      <c r="D572" s="0" t="s">
        <v>698</v>
      </c>
      <c r="J572" s="6" t="n">
        <v>0.957910396048639</v>
      </c>
      <c r="K572" s="6" t="n">
        <v>-2.51006658558636</v>
      </c>
      <c r="L572" s="6" t="n">
        <v>-0.810969962183786</v>
      </c>
      <c r="M572" s="6" t="n">
        <v>2.42698094746559</v>
      </c>
      <c r="N572" s="6" t="n">
        <v>-0.700981269955604</v>
      </c>
      <c r="O572" s="6" t="n">
        <v>0.808587505684439</v>
      </c>
      <c r="P572" s="6" t="n">
        <v>-0.439496814992143</v>
      </c>
      <c r="Q572" s="6" t="n">
        <v>-3.74057068223266</v>
      </c>
      <c r="R572" s="6" t="n">
        <v>0.0751699544610181</v>
      </c>
      <c r="S572" s="6" t="n">
        <v>-3.77375479276006</v>
      </c>
      <c r="T572" s="6" t="n">
        <v>-0.865825014390514</v>
      </c>
      <c r="U572" s="6" t="n">
        <v>1.73793567853922</v>
      </c>
      <c r="V572" s="6" t="n">
        <v>2.71766510771677</v>
      </c>
      <c r="W572" s="6" t="n">
        <v>-1.07691663265526</v>
      </c>
      <c r="X572" s="6" t="n">
        <v>-0.123222448910925</v>
      </c>
      <c r="Y572" s="6" t="n">
        <v>-2.89866960360782</v>
      </c>
      <c r="Z572" s="6" t="n">
        <v>0.700474080635055</v>
      </c>
      <c r="AA572" s="6" t="n">
        <v>4.3880808438694</v>
      </c>
      <c r="AB572" s="6" t="n">
        <v>1.49872861712936</v>
      </c>
      <c r="AC572" s="6" t="n">
        <v>0.418368943764208</v>
      </c>
      <c r="AD572" s="6" t="n">
        <v>-3.11892824083073</v>
      </c>
      <c r="AE572" s="6" t="n">
        <v>0.121294946510929</v>
      </c>
      <c r="AF572" s="6" t="n">
        <v>0.93400678398361</v>
      </c>
      <c r="AG572" s="6" t="n">
        <v>0.505124335231998</v>
      </c>
      <c r="AH572" s="6" t="n">
        <v>0.261643795558199</v>
      </c>
      <c r="AI572" s="6" t="n">
        <v>-3.293701817584</v>
      </c>
      <c r="AJ572" s="6" t="n">
        <v>73.0222089745921</v>
      </c>
      <c r="AK572" s="6" t="n">
        <v>0.0906471404452754</v>
      </c>
      <c r="AL572" s="6" t="n">
        <v>1.02727724177108</v>
      </c>
      <c r="AN572" s="6" t="n">
        <v>1.30951788349159</v>
      </c>
      <c r="AO572" s="6" t="n">
        <v>1.30951788349159</v>
      </c>
      <c r="AP572" s="6" t="n">
        <v>0.13688767585422</v>
      </c>
      <c r="AQ572" s="6" t="n">
        <v>0</v>
      </c>
      <c r="AR572" s="6" t="n">
        <v>0</v>
      </c>
    </row>
    <row r="573" customFormat="false" ht="15" hidden="false" customHeight="false" outlineLevel="0" collapsed="false">
      <c r="D573" s="0" t="s">
        <v>699</v>
      </c>
      <c r="J573" s="6" t="n">
        <v>-1.57858646418364</v>
      </c>
      <c r="K573" s="6" t="n">
        <v>1.53573760449557</v>
      </c>
      <c r="L573" s="6" t="n">
        <v>-0.664366857846338</v>
      </c>
      <c r="M573" s="6" t="n">
        <v>-0.110538411111302</v>
      </c>
      <c r="N573" s="6" t="n">
        <v>0.674998210229319</v>
      </c>
      <c r="O573" s="6" t="n">
        <v>0.942670091495117</v>
      </c>
      <c r="P573" s="6" t="n">
        <v>0.18309750297026</v>
      </c>
      <c r="Q573" s="6" t="n">
        <v>-3.91972269320229</v>
      </c>
      <c r="R573" s="6" t="n">
        <v>-1.49120961164133</v>
      </c>
      <c r="S573" s="6" t="n">
        <v>0.718030530556998</v>
      </c>
      <c r="T573" s="6" t="n">
        <v>0.0780299092285539</v>
      </c>
      <c r="U573" s="6" t="n">
        <v>1.04144903100832</v>
      </c>
      <c r="V573" s="6" t="n">
        <v>1.30522923156026</v>
      </c>
      <c r="W573" s="6" t="n">
        <v>1.55895271161446</v>
      </c>
      <c r="X573" s="6" t="n">
        <v>1.91676789824655</v>
      </c>
      <c r="Y573" s="6" t="n">
        <v>1.86868304216666</v>
      </c>
      <c r="Z573" s="6" t="n">
        <v>-0.0619242168233289</v>
      </c>
      <c r="AA573" s="6" t="n">
        <v>1.79113112507156</v>
      </c>
      <c r="AB573" s="6" t="n">
        <v>-1.73517644074369</v>
      </c>
      <c r="AC573" s="6" t="n">
        <v>-1.05676372249741</v>
      </c>
      <c r="AD573" s="6" t="n">
        <v>-3.49337080246059</v>
      </c>
      <c r="AE573" s="6" t="n">
        <v>0.188732124736729</v>
      </c>
      <c r="AF573" s="6" t="n">
        <v>2.47569524172551</v>
      </c>
      <c r="AG573" s="6" t="n">
        <v>-3.23472738940294</v>
      </c>
      <c r="AH573" s="6" t="n">
        <v>-0.136042896304621</v>
      </c>
      <c r="AI573" s="6" t="n">
        <v>0.961806632203422</v>
      </c>
      <c r="AJ573" s="6" t="n">
        <v>72.5720983754332</v>
      </c>
      <c r="AK573" s="6" t="n">
        <v>0.136037222366529</v>
      </c>
      <c r="AL573" s="6" t="n">
        <v>1.0360284765881</v>
      </c>
      <c r="AN573" s="6" t="n">
        <v>1.30048288654819</v>
      </c>
      <c r="AO573" s="6" t="n">
        <v>1.30056389569667</v>
      </c>
      <c r="AP573" s="6" t="n">
        <v>0.134674665790545</v>
      </c>
      <c r="AQ573" s="6" t="n">
        <v>0</v>
      </c>
      <c r="AR573" s="6" t="n">
        <v>0</v>
      </c>
    </row>
    <row r="574" customFormat="false" ht="15" hidden="false" customHeight="false" outlineLevel="0" collapsed="false">
      <c r="D574" s="0" t="s">
        <v>700</v>
      </c>
      <c r="J574" s="6" t="n">
        <v>-2.41856418440141</v>
      </c>
      <c r="K574" s="6" t="n">
        <v>-3.44570922796716</v>
      </c>
      <c r="L574" s="6" t="n">
        <v>-2.85165391238028</v>
      </c>
      <c r="M574" s="6" t="n">
        <v>0.810749437140177</v>
      </c>
      <c r="N574" s="6" t="n">
        <v>3.44014962526999</v>
      </c>
      <c r="O574" s="6" t="n">
        <v>0.682971612006769</v>
      </c>
      <c r="P574" s="6" t="n">
        <v>1.32281862480583</v>
      </c>
      <c r="Q574" s="6" t="n">
        <v>-1.02922675816544</v>
      </c>
      <c r="R574" s="6" t="n">
        <v>1.09307924073288</v>
      </c>
      <c r="S574" s="6" t="n">
        <v>2.12603760694155</v>
      </c>
      <c r="T574" s="6" t="n">
        <v>-1.47637592946647</v>
      </c>
      <c r="U574" s="6" t="n">
        <v>-2.11034630615466</v>
      </c>
      <c r="V574" s="6" t="n">
        <v>2.96634870269072</v>
      </c>
      <c r="W574" s="6" t="n">
        <v>0.901280015070988</v>
      </c>
      <c r="X574" s="6" t="n">
        <v>1.32328537690075</v>
      </c>
      <c r="Y574" s="6" t="n">
        <v>-0.0260138286112758</v>
      </c>
      <c r="Z574" s="6" t="n">
        <v>4.79183149257663</v>
      </c>
      <c r="AA574" s="6" t="n">
        <v>0.334710633155741</v>
      </c>
      <c r="AB574" s="6" t="n">
        <v>0.521630273529264</v>
      </c>
      <c r="AC574" s="6" t="n">
        <v>2.03209575738927</v>
      </c>
      <c r="AD574" s="6" t="n">
        <v>-5.90662335755918</v>
      </c>
      <c r="AE574" s="6" t="n">
        <v>-0.317149856530648</v>
      </c>
      <c r="AF574" s="6" t="n">
        <v>-4.31343924629158</v>
      </c>
      <c r="AG574" s="6" t="n">
        <v>0.729638988801332</v>
      </c>
      <c r="AH574" s="6" t="n">
        <v>-0.992433882055392</v>
      </c>
      <c r="AI574" s="6" t="n">
        <v>1.73164283250535</v>
      </c>
      <c r="AJ574" s="6" t="n">
        <v>69.1791064560029</v>
      </c>
      <c r="AK574" s="6" t="n">
        <v>0.150642646731002</v>
      </c>
      <c r="AL574" s="6" t="n">
        <v>1.06774338366304</v>
      </c>
      <c r="AN574" s="6" t="n">
        <v>1.28257900996233</v>
      </c>
      <c r="AO574" s="6" t="n">
        <v>1.28371254274845</v>
      </c>
      <c r="AP574" s="6" t="n">
        <v>0.131707544774683</v>
      </c>
      <c r="AQ574" s="6" t="n">
        <v>0</v>
      </c>
      <c r="AR574" s="6" t="n">
        <v>0</v>
      </c>
    </row>
    <row r="575" customFormat="false" ht="15" hidden="false" customHeight="false" outlineLevel="0" collapsed="false">
      <c r="D575" s="0" t="s">
        <v>701</v>
      </c>
      <c r="J575" s="6" t="n">
        <v>0.865823048674312</v>
      </c>
      <c r="K575" s="6" t="n">
        <v>2.39360965171201</v>
      </c>
      <c r="L575" s="6" t="n">
        <v>2.51482493770686</v>
      </c>
      <c r="M575" s="6" t="n">
        <v>-0.11534133553454</v>
      </c>
      <c r="N575" s="6" t="n">
        <v>1.53344059417094</v>
      </c>
      <c r="O575" s="6" t="n">
        <v>-1.28737736196584</v>
      </c>
      <c r="P575" s="6" t="n">
        <v>0.456650503279216</v>
      </c>
      <c r="Q575" s="6" t="n">
        <v>1.85229135130284</v>
      </c>
      <c r="R575" s="6" t="n">
        <v>3.38775917082682</v>
      </c>
      <c r="S575" s="6" t="n">
        <v>3.14282748588885</v>
      </c>
      <c r="T575" s="6" t="n">
        <v>-1.78789401865252</v>
      </c>
      <c r="U575" s="6" t="n">
        <v>-2.35370164317669</v>
      </c>
      <c r="V575" s="6" t="n">
        <v>2.70297916307133</v>
      </c>
      <c r="W575" s="6" t="n">
        <v>-0.404777734623209</v>
      </c>
      <c r="X575" s="6" t="n">
        <v>1.29763970193612</v>
      </c>
      <c r="Y575" s="6" t="n">
        <v>1.48916673394003</v>
      </c>
      <c r="Z575" s="6" t="n">
        <v>0.818081172597298</v>
      </c>
      <c r="AA575" s="6" t="n">
        <v>0.38863159489343</v>
      </c>
      <c r="AB575" s="6" t="n">
        <v>-0.247925750643832</v>
      </c>
      <c r="AC575" s="6" t="n">
        <v>-2.59982952383156</v>
      </c>
      <c r="AD575" s="6" t="n">
        <v>-4.20603725355918</v>
      </c>
      <c r="AE575" s="6" t="n">
        <v>-0.104366003014576</v>
      </c>
      <c r="AF575" s="6" t="n">
        <v>-0.292355315285962</v>
      </c>
      <c r="AG575" s="6" t="n">
        <v>-0.66559752224819</v>
      </c>
      <c r="AH575" s="6" t="n">
        <v>0.345052949843431</v>
      </c>
      <c r="AI575" s="6" t="n">
        <v>-1.18008061345974</v>
      </c>
      <c r="AJ575" s="6" t="n">
        <v>66.108348343273</v>
      </c>
      <c r="AK575" s="6" t="n">
        <v>0.11831557322256</v>
      </c>
      <c r="AL575" s="6" t="n">
        <v>1.03717217857246</v>
      </c>
      <c r="AN575" s="6" t="n">
        <v>1.29996709434045</v>
      </c>
      <c r="AO575" s="6" t="n">
        <v>1.30097678614187</v>
      </c>
      <c r="AP575" s="6" t="n">
        <v>0.13480320337146</v>
      </c>
      <c r="AQ575" s="6" t="n">
        <v>0</v>
      </c>
      <c r="AR575" s="6" t="n">
        <v>0</v>
      </c>
    </row>
    <row r="576" customFormat="false" ht="15" hidden="false" customHeight="false" outlineLevel="0" collapsed="false">
      <c r="D576" s="0" t="s">
        <v>702</v>
      </c>
      <c r="J576" s="6" t="n">
        <v>3.54486955963248</v>
      </c>
      <c r="K576" s="6" t="n">
        <v>-1.85983777315316</v>
      </c>
      <c r="L576" s="6" t="n">
        <v>-0.1502396783536</v>
      </c>
      <c r="M576" s="6" t="n">
        <v>2.75416273140415</v>
      </c>
      <c r="N576" s="6" t="n">
        <v>-2.81426070714833</v>
      </c>
      <c r="O576" s="6" t="n">
        <v>3.54604799272517</v>
      </c>
      <c r="P576" s="6" t="n">
        <v>-2.15959458451338</v>
      </c>
      <c r="Q576" s="6" t="n">
        <v>-4.38029399184123</v>
      </c>
      <c r="R576" s="6" t="n">
        <v>0.0035708212858954</v>
      </c>
      <c r="S576" s="6" t="n">
        <v>-1.5727968127583</v>
      </c>
      <c r="T576" s="6" t="n">
        <v>-0.540522863325671</v>
      </c>
      <c r="U576" s="6" t="n">
        <v>-1.94142040587349</v>
      </c>
      <c r="V576" s="6" t="n">
        <v>0.163702527239784</v>
      </c>
      <c r="W576" s="6" t="n">
        <v>-0.645541049723554</v>
      </c>
      <c r="X576" s="6" t="n">
        <v>-2.41632738934672</v>
      </c>
      <c r="Y576" s="6" t="n">
        <v>-0.0436016709831142</v>
      </c>
      <c r="Z576" s="6" t="n">
        <v>0.519537418228474</v>
      </c>
      <c r="AA576" s="6" t="n">
        <v>0.804772818321409</v>
      </c>
      <c r="AB576" s="6" t="n">
        <v>-2.26786590358368</v>
      </c>
      <c r="AC576" s="6" t="n">
        <v>-1.1579188436728</v>
      </c>
      <c r="AD576" s="6" t="n">
        <v>1.62800267507609</v>
      </c>
      <c r="AE576" s="6" t="n">
        <v>0.505423180202726</v>
      </c>
      <c r="AF576" s="6" t="n">
        <v>2.2539533082881</v>
      </c>
      <c r="AG576" s="6" t="n">
        <v>-1.06556063061449</v>
      </c>
      <c r="AH576" s="6" t="n">
        <v>-1.66788563949607</v>
      </c>
      <c r="AI576" s="6" t="n">
        <v>1.93850163456448</v>
      </c>
      <c r="AJ576" s="6" t="n">
        <v>76.5992373331551</v>
      </c>
      <c r="AK576" s="6" t="n">
        <v>0.0409136873095659</v>
      </c>
      <c r="AL576" s="6" t="n">
        <v>1.02594265065315</v>
      </c>
      <c r="AN576" s="6" t="n">
        <v>1.3154596567083</v>
      </c>
      <c r="AO576" s="6" t="n">
        <v>1.3154596567083</v>
      </c>
      <c r="AP576" s="6" t="n">
        <v>0.138673848742535</v>
      </c>
      <c r="AQ576" s="6" t="n">
        <v>0</v>
      </c>
      <c r="AR576" s="6" t="n">
        <v>0</v>
      </c>
    </row>
    <row r="577" customFormat="false" ht="15" hidden="false" customHeight="false" outlineLevel="0" collapsed="false">
      <c r="D577" s="0" t="s">
        <v>703</v>
      </c>
      <c r="J577" s="6" t="n">
        <v>2.78170304565736</v>
      </c>
      <c r="K577" s="6" t="n">
        <v>1.34426846745017</v>
      </c>
      <c r="L577" s="6" t="n">
        <v>-2.0607357889859</v>
      </c>
      <c r="M577" s="6" t="n">
        <v>0.48155999843049</v>
      </c>
      <c r="N577" s="6" t="n">
        <v>1.76448800062855</v>
      </c>
      <c r="O577" s="6" t="n">
        <v>1.8414751204829</v>
      </c>
      <c r="P577" s="6" t="n">
        <v>-1.2283986815749</v>
      </c>
      <c r="Q577" s="6" t="n">
        <v>1.45462216927942</v>
      </c>
      <c r="R577" s="6" t="n">
        <v>0.172594129903958</v>
      </c>
      <c r="S577" s="6" t="n">
        <v>0.632331089418728</v>
      </c>
      <c r="T577" s="6" t="n">
        <v>0.980821528147632</v>
      </c>
      <c r="U577" s="6" t="n">
        <v>-0.493084356225016</v>
      </c>
      <c r="V577" s="6" t="n">
        <v>0.58093052963976</v>
      </c>
      <c r="W577" s="6" t="n">
        <v>1.61378049811948</v>
      </c>
      <c r="X577" s="6" t="n">
        <v>-1.32283870470979</v>
      </c>
      <c r="Y577" s="6" t="n">
        <v>-2.67171548618647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</v>
      </c>
      <c r="AD577" s="6" t="n">
        <v>2.072209146444</v>
      </c>
      <c r="AE577" s="6" t="n">
        <v>1.50171022346573</v>
      </c>
      <c r="AF577" s="6" t="n">
        <v>-0.474239498795926</v>
      </c>
      <c r="AG577" s="6" t="n">
        <v>1.19145416242006</v>
      </c>
      <c r="AH577" s="6" t="n">
        <v>-3.34640324964943</v>
      </c>
      <c r="AI577" s="6" t="n">
        <v>-1.03287494835522</v>
      </c>
      <c r="AJ577" s="6" t="n">
        <v>81.6531985002102</v>
      </c>
      <c r="AK577" s="6" t="n">
        <v>0.0862548831869671</v>
      </c>
      <c r="AL577" s="6" t="n">
        <v>1.07345722561036</v>
      </c>
      <c r="AN577" s="6" t="n">
        <v>1.29341727239018</v>
      </c>
      <c r="AO577" s="6" t="n">
        <v>1.29351878892282</v>
      </c>
      <c r="AP577" s="6" t="n">
        <v>0.133776629341847</v>
      </c>
      <c r="AQ577" s="6" t="n">
        <v>0</v>
      </c>
      <c r="AR577" s="6" t="n">
        <v>0</v>
      </c>
    </row>
    <row r="578" customFormat="false" ht="15" hidden="false" customHeight="false" outlineLevel="0" collapsed="false">
      <c r="D578" s="0" t="s">
        <v>704</v>
      </c>
      <c r="J578" s="6" t="n">
        <v>-2.75309890800971</v>
      </c>
      <c r="K578" s="6" t="n">
        <v>-0.489891861476568</v>
      </c>
      <c r="L578" s="6" t="n">
        <v>-1.15954207048511</v>
      </c>
      <c r="M578" s="6" t="n">
        <v>0.406267479912094</v>
      </c>
      <c r="N578" s="6" t="n">
        <v>-1.40842753905189</v>
      </c>
      <c r="O578" s="6" t="n">
        <v>-1.66433729398869</v>
      </c>
      <c r="P578" s="6" t="n">
        <v>-1.03403086234358</v>
      </c>
      <c r="Q578" s="6" t="n">
        <v>-1.17192558533432</v>
      </c>
      <c r="R578" s="6" t="n">
        <v>2.79918787264935</v>
      </c>
      <c r="S578" s="6" t="n">
        <v>-5.36394885581931</v>
      </c>
      <c r="T578" s="6" t="n">
        <v>-0.232455556041537</v>
      </c>
      <c r="U578" s="6" t="n">
        <v>-1.1735223230485</v>
      </c>
      <c r="V578" s="6" t="n">
        <v>-1.692320956292</v>
      </c>
      <c r="W578" s="6" t="n">
        <v>-0.165898863422984</v>
      </c>
      <c r="X578" s="6" t="n">
        <v>-2.08389367938061</v>
      </c>
      <c r="Y578" s="6" t="n">
        <v>2.81141147683687</v>
      </c>
      <c r="Z578" s="6" t="n">
        <v>0.539816075316464</v>
      </c>
      <c r="AA578" s="6" t="n">
        <v>0.10773566714579</v>
      </c>
      <c r="AB578" s="6" t="n">
        <v>-1.06345028570758</v>
      </c>
      <c r="AC578" s="6" t="n">
        <v>2.22717443897378</v>
      </c>
      <c r="AD578" s="6" t="n">
        <v>1.05668745713034</v>
      </c>
      <c r="AE578" s="6" t="n">
        <v>1.98016392602898</v>
      </c>
      <c r="AF578" s="6" t="n">
        <v>1.11341031573674</v>
      </c>
      <c r="AG578" s="6" t="n">
        <v>2.5355752553972</v>
      </c>
      <c r="AH578" s="6" t="n">
        <v>3.52119162008649</v>
      </c>
      <c r="AI578" s="6" t="n">
        <v>-2.87420412252069</v>
      </c>
      <c r="AJ578" s="6" t="n">
        <v>79.0244064983247</v>
      </c>
      <c r="AK578" s="6" t="n">
        <v>0.220443441600684</v>
      </c>
      <c r="AL578" s="6" t="n">
        <v>1.10305194766129</v>
      </c>
      <c r="AN578" s="6" t="n">
        <v>1.26729545576231</v>
      </c>
      <c r="AO578" s="6" t="n">
        <v>1.2675392216628</v>
      </c>
      <c r="AP578" s="6" t="n">
        <v>0.128069674628073</v>
      </c>
      <c r="AQ578" s="6" t="n">
        <v>0</v>
      </c>
      <c r="AR578" s="6" t="n">
        <v>0</v>
      </c>
    </row>
    <row r="579" customFormat="false" ht="15" hidden="false" customHeight="false" outlineLevel="0" collapsed="false">
      <c r="D579" s="0" t="s">
        <v>705</v>
      </c>
      <c r="J579" s="6" t="n">
        <v>1.09691328784268</v>
      </c>
      <c r="K579" s="6" t="n">
        <v>1.44437211436618</v>
      </c>
      <c r="L579" s="6" t="n">
        <v>2.23550215582341</v>
      </c>
      <c r="M579" s="6" t="n">
        <v>1.22201668314693</v>
      </c>
      <c r="N579" s="6" t="n">
        <v>-0.890095534971952</v>
      </c>
      <c r="O579" s="6" t="n">
        <v>0.0114777260697615</v>
      </c>
      <c r="P579" s="6" t="n">
        <v>-0.445225977168455</v>
      </c>
      <c r="Q579" s="6" t="n">
        <v>-2.05351503389967</v>
      </c>
      <c r="R579" s="6" t="n">
        <v>-1.22934142256267</v>
      </c>
      <c r="S579" s="6" t="n">
        <v>-1.29586222118745</v>
      </c>
      <c r="T579" s="6" t="n">
        <v>-0.254673395715317</v>
      </c>
      <c r="U579" s="6" t="n">
        <v>1.19225940458283</v>
      </c>
      <c r="V579" s="6" t="n">
        <v>2.95432742346299</v>
      </c>
      <c r="W579" s="6" t="n">
        <v>4.44041891216645</v>
      </c>
      <c r="X579" s="6" t="n">
        <v>0.342114186685428</v>
      </c>
      <c r="Y579" s="6" t="n">
        <v>0.847951967135136</v>
      </c>
      <c r="Z579" s="6" t="n">
        <v>2.50241499344737</v>
      </c>
      <c r="AA579" s="6" t="n">
        <v>-2.79151765354089</v>
      </c>
      <c r="AB579" s="6" t="n">
        <v>5</v>
      </c>
      <c r="AC579" s="6" t="n">
        <v>0.974275091323583</v>
      </c>
      <c r="AD579" s="6" t="n">
        <v>-0.636752299450723</v>
      </c>
      <c r="AE579" s="6" t="n">
        <v>0.846227567982484</v>
      </c>
      <c r="AF579" s="6" t="n">
        <v>2.81166854670047</v>
      </c>
      <c r="AG579" s="6" t="n">
        <v>0.944700813165129</v>
      </c>
      <c r="AH579" s="6" t="n">
        <v>-1.18572552852021</v>
      </c>
      <c r="AI579" s="6" t="n">
        <v>-3.14119129934111</v>
      </c>
      <c r="AJ579" s="6" t="n">
        <v>65.7250361586845</v>
      </c>
      <c r="AK579" s="6" t="n">
        <v>0.105768869543408</v>
      </c>
      <c r="AL579" s="6" t="n">
        <v>1.04871158961876</v>
      </c>
      <c r="AN579" s="6" t="n">
        <v>1.29577653635595</v>
      </c>
      <c r="AO579" s="6" t="n">
        <v>1.29593537039314</v>
      </c>
      <c r="AP579" s="6" t="n">
        <v>0.13380413179686</v>
      </c>
      <c r="AQ579" s="6" t="n">
        <v>0</v>
      </c>
      <c r="AR579" s="6" t="n">
        <v>0</v>
      </c>
    </row>
    <row r="580" customFormat="false" ht="15" hidden="false" customHeight="false" outlineLevel="0" collapsed="false">
      <c r="D580" s="0" t="s">
        <v>706</v>
      </c>
      <c r="J580" s="6" t="n">
        <v>-1.53344280694325</v>
      </c>
      <c r="K580" s="6" t="n">
        <v>1.20802997990673</v>
      </c>
      <c r="L580" s="6" t="n">
        <v>-1.44249863341788</v>
      </c>
      <c r="M580" s="6" t="n">
        <v>-0.000817099552729027</v>
      </c>
      <c r="N580" s="6" t="n">
        <v>0.850200222554429</v>
      </c>
      <c r="O580" s="6" t="n">
        <v>2.9421069957305</v>
      </c>
      <c r="P580" s="6" t="n">
        <v>-1.54706942687963</v>
      </c>
      <c r="Q580" s="6" t="n">
        <v>-2.4931777531927</v>
      </c>
      <c r="R580" s="6" t="n">
        <v>2.28374869675365</v>
      </c>
      <c r="S580" s="6" t="n">
        <v>-2.81408634456901</v>
      </c>
      <c r="T580" s="6" t="n">
        <v>2.02943074169508</v>
      </c>
      <c r="U580" s="6" t="n">
        <v>-2.42462433131162</v>
      </c>
      <c r="V580" s="6" t="n">
        <v>-2.36747567114519</v>
      </c>
      <c r="W580" s="6" t="n">
        <v>2.3097873355208</v>
      </c>
      <c r="X580" s="6" t="n">
        <v>0.225355513264315</v>
      </c>
      <c r="Y580" s="6" t="n">
        <v>-0.425903842616293</v>
      </c>
      <c r="Z580" s="6" t="n">
        <v>-2.80697821159064</v>
      </c>
      <c r="AA580" s="6" t="n">
        <v>-2.14535161309897</v>
      </c>
      <c r="AB580" s="6" t="n">
        <v>1.62212376325076</v>
      </c>
      <c r="AC580" s="6" t="n">
        <v>-0.375318810837412</v>
      </c>
      <c r="AD580" s="6" t="n">
        <v>0.0526122629125609</v>
      </c>
      <c r="AE580" s="6" t="n">
        <v>-1.87719346773903</v>
      </c>
      <c r="AF580" s="6" t="n">
        <v>1.28499337708753</v>
      </c>
      <c r="AG580" s="6" t="n">
        <v>-1.87115902091668</v>
      </c>
      <c r="AH580" s="6" t="n">
        <v>3.19847468372332</v>
      </c>
      <c r="AI580" s="6" t="n">
        <v>2.27212404349624</v>
      </c>
      <c r="AJ580" s="6" t="n">
        <v>77.1339905048608</v>
      </c>
      <c r="AK580" s="6" t="n">
        <v>0.0608682085199961</v>
      </c>
      <c r="AL580" s="6" t="n">
        <v>1.09087065077314</v>
      </c>
      <c r="AN580" s="6" t="n">
        <v>1.28807889660332</v>
      </c>
      <c r="AO580" s="6" t="n">
        <v>1.28838793383378</v>
      </c>
      <c r="AP580" s="6" t="n">
        <v>0.132790786094834</v>
      </c>
      <c r="AQ580" s="6" t="n">
        <v>0</v>
      </c>
      <c r="AR580" s="6" t="n">
        <v>0</v>
      </c>
    </row>
    <row r="581" customFormat="false" ht="15" hidden="false" customHeight="false" outlineLevel="0" collapsed="false">
      <c r="D581" s="0" t="s">
        <v>707</v>
      </c>
      <c r="J581" s="6" t="n">
        <v>-4.47740899465685</v>
      </c>
      <c r="K581" s="6" t="n">
        <v>-0.0471748691945977</v>
      </c>
      <c r="L581" s="6" t="n">
        <v>-3.83564435055443</v>
      </c>
      <c r="M581" s="6" t="n">
        <v>0.842048810261404</v>
      </c>
      <c r="N581" s="6" t="n">
        <v>-1.52783415159778</v>
      </c>
      <c r="O581" s="6" t="n">
        <v>-0.765275528760361</v>
      </c>
      <c r="P581" s="6" t="n">
        <v>-0.881550779186374</v>
      </c>
      <c r="Q581" s="6" t="n">
        <v>-2.51341581922381</v>
      </c>
      <c r="R581" s="6" t="n">
        <v>-1.01725413093917</v>
      </c>
      <c r="S581" s="6" t="n">
        <v>2.77677493748447</v>
      </c>
      <c r="T581" s="6" t="n">
        <v>-1.35766383687496</v>
      </c>
      <c r="U581" s="6" t="n">
        <v>2.38027100244826</v>
      </c>
      <c r="V581" s="6" t="n">
        <v>1.49980284958346</v>
      </c>
      <c r="W581" s="6" t="n">
        <v>1.77091132682322</v>
      </c>
      <c r="X581" s="6" t="n">
        <v>1.30532086734902</v>
      </c>
      <c r="Y581" s="6" t="n">
        <v>2.06332223667705</v>
      </c>
      <c r="Z581" s="6" t="n">
        <v>-1.21800768479543</v>
      </c>
      <c r="AA581" s="6" t="n">
        <v>0.867979566031061</v>
      </c>
      <c r="AB581" s="6" t="n">
        <v>2.37304643791639</v>
      </c>
      <c r="AC581" s="6" t="n">
        <v>1.10348291532678</v>
      </c>
      <c r="AD581" s="6" t="n">
        <v>0.607478411481674</v>
      </c>
      <c r="AE581" s="6" t="n">
        <v>3.1166182330888</v>
      </c>
      <c r="AF581" s="6" t="n">
        <v>-0.283418201371822</v>
      </c>
      <c r="AG581" s="6" t="n">
        <v>2.05994035372001</v>
      </c>
      <c r="AH581" s="6" t="n">
        <v>-2.86522980476644</v>
      </c>
      <c r="AI581" s="6" t="n">
        <v>-2.60494712232621</v>
      </c>
      <c r="AJ581" s="6" t="n">
        <v>73.9136919748347</v>
      </c>
      <c r="AK581" s="6" t="n">
        <v>0.0851091838833178</v>
      </c>
      <c r="AL581" s="6" t="n">
        <v>1.05898588772482</v>
      </c>
      <c r="AN581" s="6" t="n">
        <v>1.29870180305544</v>
      </c>
      <c r="AO581" s="6" t="n">
        <v>1.29897205302034</v>
      </c>
      <c r="AP581" s="6" t="n">
        <v>0.134177134866316</v>
      </c>
      <c r="AQ581" s="6" t="n">
        <v>0</v>
      </c>
      <c r="AR581" s="6" t="n">
        <v>0</v>
      </c>
    </row>
    <row r="582" customFormat="false" ht="15" hidden="false" customHeight="false" outlineLevel="0" collapsed="false">
      <c r="D582" s="0" t="s">
        <v>708</v>
      </c>
      <c r="J582" s="6" t="n">
        <v>2.45023862308565</v>
      </c>
      <c r="K582" s="6" t="n">
        <v>-0.0632793579867783</v>
      </c>
      <c r="L582" s="6" t="n">
        <v>-0.14196031916611</v>
      </c>
      <c r="M582" s="6" t="n">
        <v>1.13551543189293</v>
      </c>
      <c r="N582" s="6" t="n">
        <v>0.219304382736248</v>
      </c>
      <c r="O582" s="6" t="n">
        <v>-1.60088570126938</v>
      </c>
      <c r="P582" s="6" t="n">
        <v>0.365801892959257</v>
      </c>
      <c r="Q582" s="6" t="n">
        <v>-1.39904526475264</v>
      </c>
      <c r="R582" s="6" t="n">
        <v>-0.0670428159768361</v>
      </c>
      <c r="S582" s="6" t="n">
        <v>-2.91716003133749</v>
      </c>
      <c r="T582" s="6" t="n">
        <v>0.183602035613956</v>
      </c>
      <c r="U582" s="6" t="n">
        <v>2.57196628258543</v>
      </c>
      <c r="V582" s="6" t="n">
        <v>2.73414600072285</v>
      </c>
      <c r="W582" s="6" t="n">
        <v>1.59028972186244</v>
      </c>
      <c r="X582" s="6" t="n">
        <v>4.59005392206964</v>
      </c>
      <c r="Y582" s="6" t="n">
        <v>3.39547632469871</v>
      </c>
      <c r="Z582" s="6" t="n">
        <v>0.00100403685163774</v>
      </c>
      <c r="AA582" s="6" t="n">
        <v>-2.76709852253334</v>
      </c>
      <c r="AB582" s="6" t="n">
        <v>1.89900157508285</v>
      </c>
      <c r="AC582" s="6" t="n">
        <v>1.01009801662108</v>
      </c>
      <c r="AD582" s="6" t="n">
        <v>1.05472464958564</v>
      </c>
      <c r="AE582" s="6" t="n">
        <v>0.393364079192046</v>
      </c>
      <c r="AF582" s="6" t="n">
        <v>-2.49857877805636</v>
      </c>
      <c r="AG582" s="6" t="n">
        <v>0.916328120785546</v>
      </c>
      <c r="AH582" s="6" t="n">
        <v>-2.49302361046754</v>
      </c>
      <c r="AI582" s="6" t="n">
        <v>0.364775637965</v>
      </c>
      <c r="AJ582" s="6" t="n">
        <v>80.6438520645241</v>
      </c>
      <c r="AK582" s="6" t="n">
        <v>0.0798770012204101</v>
      </c>
      <c r="AL582" s="6" t="n">
        <v>1.05154184558494</v>
      </c>
      <c r="AN582" s="6" t="n">
        <v>1.30619663556697</v>
      </c>
      <c r="AO582" s="6" t="n">
        <v>1.30685161866555</v>
      </c>
      <c r="AP582" s="6" t="n">
        <v>0.135663473986281</v>
      </c>
      <c r="AQ582" s="6" t="n">
        <v>0</v>
      </c>
      <c r="AR582" s="6" t="n">
        <v>0</v>
      </c>
    </row>
    <row r="583" customFormat="false" ht="15" hidden="false" customHeight="false" outlineLevel="0" collapsed="false">
      <c r="D583" s="0" t="s">
        <v>709</v>
      </c>
      <c r="J583" s="6" t="n">
        <v>3.30577771445764</v>
      </c>
      <c r="K583" s="6" t="n">
        <v>-2.264004295936</v>
      </c>
      <c r="L583" s="6" t="n">
        <v>0.365172036415011</v>
      </c>
      <c r="M583" s="6" t="n">
        <v>-0.585883375180248</v>
      </c>
      <c r="N583" s="6" t="n">
        <v>2.90672379115946</v>
      </c>
      <c r="O583" s="6" t="n">
        <v>-0.684919106447806</v>
      </c>
      <c r="P583" s="6" t="n">
        <v>-0.427034097384277</v>
      </c>
      <c r="Q583" s="6" t="n">
        <v>-1.46797021580072</v>
      </c>
      <c r="R583" s="6" t="n">
        <v>3.17159131632431</v>
      </c>
      <c r="S583" s="6" t="n">
        <v>1.78730436905539</v>
      </c>
      <c r="T583" s="6" t="n">
        <v>-4.3206767938441</v>
      </c>
      <c r="U583" s="6" t="n">
        <v>-1.35893440609031</v>
      </c>
      <c r="V583" s="6" t="n">
        <v>-0.933404430602199</v>
      </c>
      <c r="W583" s="6" t="n">
        <v>4.45081750892783</v>
      </c>
      <c r="X583" s="6" t="n">
        <v>-0.607668488521905</v>
      </c>
      <c r="Y583" s="6" t="n">
        <v>2.0142686200719</v>
      </c>
      <c r="Z583" s="6" t="n">
        <v>-1.64086625480215</v>
      </c>
      <c r="AA583" s="6" t="n">
        <v>0.910114680179651</v>
      </c>
      <c r="AB583" s="6" t="n">
        <v>-1.49136699526557</v>
      </c>
      <c r="AC583" s="6" t="n">
        <v>-0.892842080418067</v>
      </c>
      <c r="AD583" s="6" t="n">
        <v>1.14416017081532</v>
      </c>
      <c r="AE583" s="6" t="n">
        <v>-1.97632925288654</v>
      </c>
      <c r="AF583" s="6" t="n">
        <v>2.6515466700126</v>
      </c>
      <c r="AG583" s="6" t="n">
        <v>0.668199787229906</v>
      </c>
      <c r="AH583" s="6" t="n">
        <v>0.560119309094655</v>
      </c>
      <c r="AI583" s="6" t="n">
        <v>2.21003797782049</v>
      </c>
      <c r="AJ583" s="6" t="n">
        <v>66.9254715163803</v>
      </c>
      <c r="AK583" s="6" t="n">
        <v>0.126486904747644</v>
      </c>
      <c r="AL583" s="6" t="n">
        <v>1.0723698200526</v>
      </c>
      <c r="AN583" s="6" t="n">
        <v>1.28546130637566</v>
      </c>
      <c r="AO583" s="6" t="n">
        <v>1.28617513178293</v>
      </c>
      <c r="AP583" s="6" t="n">
        <v>0.131875083614649</v>
      </c>
      <c r="AQ583" s="6" t="n">
        <v>0</v>
      </c>
      <c r="AR583" s="6" t="n">
        <v>0</v>
      </c>
    </row>
    <row r="584" customFormat="false" ht="15" hidden="false" customHeight="false" outlineLevel="0" collapsed="false">
      <c r="D584" s="0" t="s">
        <v>710</v>
      </c>
      <c r="J584" s="6" t="n">
        <v>-2.51774618918383</v>
      </c>
      <c r="K584" s="6" t="n">
        <v>-0.239873049276832</v>
      </c>
      <c r="L584" s="6" t="n">
        <v>0.475170028641141</v>
      </c>
      <c r="M584" s="6" t="n">
        <v>1.5523590647605</v>
      </c>
      <c r="N584" s="6" t="n">
        <v>-1.95136157075917</v>
      </c>
      <c r="O584" s="6" t="n">
        <v>1.10804837336153</v>
      </c>
      <c r="P584" s="6" t="n">
        <v>-0.259429631129417</v>
      </c>
      <c r="Q584" s="6" t="n">
        <v>1.7285080193802</v>
      </c>
      <c r="R584" s="6" t="n">
        <v>-1.31594397813589</v>
      </c>
      <c r="S584" s="6" t="n">
        <v>-3.90515538545304</v>
      </c>
      <c r="T584" s="6" t="n">
        <v>-0.305968075415221</v>
      </c>
      <c r="U584" s="6" t="n">
        <v>-2.01556981540283</v>
      </c>
      <c r="V584" s="6" t="n">
        <v>1.4095833868004</v>
      </c>
      <c r="W584" s="6" t="n">
        <v>1.39001900349667</v>
      </c>
      <c r="X584" s="6" t="n">
        <v>-0.738221908261433</v>
      </c>
      <c r="Y584" s="6" t="n">
        <v>2.0060509224894</v>
      </c>
      <c r="Z584" s="6" t="n">
        <v>-2.07427144382123</v>
      </c>
      <c r="AA584" s="6" t="n">
        <v>-3.10980015190315</v>
      </c>
      <c r="AB584" s="6" t="n">
        <v>0.588593005040119</v>
      </c>
      <c r="AC584" s="6" t="n">
        <v>0.117162164419597</v>
      </c>
      <c r="AD584" s="6" t="n">
        <v>-0.710311991953869</v>
      </c>
      <c r="AE584" s="6" t="n">
        <v>-2.306209079574</v>
      </c>
      <c r="AF584" s="6" t="n">
        <v>-1.12957030147992</v>
      </c>
      <c r="AG584" s="6" t="n">
        <v>1.46089525811383</v>
      </c>
      <c r="AH584" s="6" t="n">
        <v>2.59909845269003</v>
      </c>
      <c r="AI584" s="6" t="n">
        <v>1.06862410517376</v>
      </c>
      <c r="AJ584" s="6" t="n">
        <v>70.3662057609372</v>
      </c>
      <c r="AK584" s="6" t="n">
        <v>0.177444870325721</v>
      </c>
      <c r="AL584" s="6" t="n">
        <v>1.06095616609642</v>
      </c>
      <c r="AN584" s="6" t="n">
        <v>1.28287791531551</v>
      </c>
      <c r="AO584" s="6" t="n">
        <v>1.2834437588469</v>
      </c>
      <c r="AP584" s="6" t="n">
        <v>0.131893307053591</v>
      </c>
      <c r="AQ584" s="6" t="n">
        <v>0</v>
      </c>
      <c r="AR584" s="6" t="n">
        <v>0</v>
      </c>
    </row>
    <row r="585" customFormat="false" ht="15" hidden="false" customHeight="false" outlineLevel="0" collapsed="false">
      <c r="D585" s="0" t="s">
        <v>711</v>
      </c>
      <c r="J585" s="6" t="n">
        <v>-0.601997726982249</v>
      </c>
      <c r="K585" s="6" t="n">
        <v>-2.97910056557964</v>
      </c>
      <c r="L585" s="6" t="n">
        <v>1.68742996514866</v>
      </c>
      <c r="M585" s="6" t="n">
        <v>-1.85527568767398</v>
      </c>
      <c r="N585" s="6" t="n">
        <v>-0.753310316397459</v>
      </c>
      <c r="O585" s="6" t="n">
        <v>-2.27884514484733</v>
      </c>
      <c r="P585" s="6" t="n">
        <v>-1.90287550164599</v>
      </c>
      <c r="Q585" s="6" t="n">
        <v>-1.36662055655283</v>
      </c>
      <c r="R585" s="6" t="n">
        <v>0.911391132252759</v>
      </c>
      <c r="S585" s="6" t="n">
        <v>2.16122092772072</v>
      </c>
      <c r="T585" s="6" t="n">
        <v>-0.489945076626968</v>
      </c>
      <c r="U585" s="6" t="n">
        <v>1.79165453002247</v>
      </c>
      <c r="V585" s="6" t="n">
        <v>3.6202087769931</v>
      </c>
      <c r="W585" s="6" t="n">
        <v>-1.53695896110006</v>
      </c>
      <c r="X585" s="6" t="n">
        <v>-0.816610582709557</v>
      </c>
      <c r="Y585" s="6" t="n">
        <v>2.08435533481226</v>
      </c>
      <c r="Z585" s="6" t="n">
        <v>-0.150971973295999</v>
      </c>
      <c r="AA585" s="6" t="n">
        <v>2.09203149285808</v>
      </c>
      <c r="AB585" s="6" t="n">
        <v>-1.06563171294982</v>
      </c>
      <c r="AC585" s="6" t="n">
        <v>1.71771032469901</v>
      </c>
      <c r="AD585" s="6" t="n">
        <v>-1.9192574487847</v>
      </c>
      <c r="AE585" s="6" t="n">
        <v>-2.71353613024978</v>
      </c>
      <c r="AF585" s="6" t="n">
        <v>-2.11814434096362</v>
      </c>
      <c r="AG585" s="6" t="n">
        <v>3.45925466568014</v>
      </c>
      <c r="AH585" s="6" t="n">
        <v>-2.14645415600356</v>
      </c>
      <c r="AI585" s="6" t="n">
        <v>3.16781453347556</v>
      </c>
      <c r="AJ585" s="6" t="n">
        <v>66.7840735955168</v>
      </c>
      <c r="AK585" s="6" t="n">
        <v>0.0130616811919267</v>
      </c>
      <c r="AL585" s="6" t="n">
        <v>1.04782370419861</v>
      </c>
      <c r="AN585" s="6" t="n">
        <v>1.30600849161116</v>
      </c>
      <c r="AO585" s="6" t="n">
        <v>1.30600849161116</v>
      </c>
      <c r="AP585" s="6" t="n">
        <v>0.136299975436215</v>
      </c>
      <c r="AQ585" s="6" t="n">
        <v>0</v>
      </c>
      <c r="AR585" s="6" t="n">
        <v>0</v>
      </c>
    </row>
    <row r="586" customFormat="false" ht="15" hidden="false" customHeight="false" outlineLevel="0" collapsed="false">
      <c r="D586" s="0" t="s">
        <v>712</v>
      </c>
      <c r="J586" s="6" t="n">
        <v>3.8456978769113</v>
      </c>
      <c r="K586" s="6" t="n">
        <v>-4.10356321153421</v>
      </c>
      <c r="L586" s="6" t="n">
        <v>2.4047651037501</v>
      </c>
      <c r="M586" s="6" t="n">
        <v>1.93570192706993</v>
      </c>
      <c r="N586" s="6" t="n">
        <v>-5.51864545336973</v>
      </c>
      <c r="O586" s="6" t="n">
        <v>0.182769534895863</v>
      </c>
      <c r="P586" s="6" t="n">
        <v>0.536512574353467</v>
      </c>
      <c r="Q586" s="6" t="n">
        <v>-1.06239866633186</v>
      </c>
      <c r="R586" s="6" t="n">
        <v>-1.65373857952733</v>
      </c>
      <c r="S586" s="6" t="n">
        <v>0.621241867794821</v>
      </c>
      <c r="T586" s="6" t="n">
        <v>0.284904503573608</v>
      </c>
      <c r="U586" s="6" t="n">
        <v>-0.940230182670544</v>
      </c>
      <c r="V586" s="6" t="n">
        <v>3.03420460427386</v>
      </c>
      <c r="W586" s="6" t="n">
        <v>2.02435867866461</v>
      </c>
      <c r="X586" s="6" t="n">
        <v>-4.23301659369127</v>
      </c>
      <c r="Y586" s="6" t="n">
        <v>2.36596374297348</v>
      </c>
      <c r="Z586" s="6" t="n">
        <v>-3.52042358543418</v>
      </c>
      <c r="AA586" s="6" t="n">
        <v>1.28122494844287</v>
      </c>
      <c r="AB586" s="6" t="n">
        <v>-2.27431833872423</v>
      </c>
      <c r="AC586" s="6" t="n">
        <v>-0.832359340466401</v>
      </c>
      <c r="AD586" s="6" t="n">
        <v>1.45948031714027</v>
      </c>
      <c r="AE586" s="6" t="n">
        <v>-0.135423097609719</v>
      </c>
      <c r="AF586" s="6" t="n">
        <v>1.27805490807653</v>
      </c>
      <c r="AG586" s="6" t="n">
        <v>2.59222085730069</v>
      </c>
      <c r="AH586" s="6" t="n">
        <v>1.31629440357915</v>
      </c>
      <c r="AI586" s="6" t="n">
        <v>3.56263815091872</v>
      </c>
      <c r="AJ586" s="6" t="n">
        <v>74.4617958008151</v>
      </c>
      <c r="AK586" s="6" t="n">
        <v>0.135579169527014</v>
      </c>
      <c r="AL586" s="6" t="n">
        <v>1.00202670961923</v>
      </c>
      <c r="AN586" s="6" t="n">
        <v>1.30966732021943</v>
      </c>
      <c r="AO586" s="6" t="n">
        <v>1.31332842154083</v>
      </c>
      <c r="AP586" s="6" t="n">
        <v>0.139925920568585</v>
      </c>
      <c r="AQ586" s="6" t="n">
        <v>0</v>
      </c>
      <c r="AR586" s="6" t="n">
        <v>0</v>
      </c>
    </row>
    <row r="587" customFormat="false" ht="15" hidden="false" customHeight="false" outlineLevel="0" collapsed="false">
      <c r="D587" s="0" t="s">
        <v>713</v>
      </c>
      <c r="J587" s="6" t="n">
        <v>-0.739734247152582</v>
      </c>
      <c r="K587" s="6" t="n">
        <v>-1.79032079465773</v>
      </c>
      <c r="L587" s="6" t="n">
        <v>0.795052165422008</v>
      </c>
      <c r="M587" s="6" t="n">
        <v>0.249263057103751</v>
      </c>
      <c r="N587" s="6" t="n">
        <v>0.119168805988955</v>
      </c>
      <c r="O587" s="6" t="n">
        <v>1.7353064650495</v>
      </c>
      <c r="P587" s="6" t="n">
        <v>2.92671869962768</v>
      </c>
      <c r="Q587" s="6" t="n">
        <v>2.05627186724661</v>
      </c>
      <c r="R587" s="6" t="n">
        <v>5</v>
      </c>
      <c r="S587" s="6" t="n">
        <v>0.113274029740823</v>
      </c>
      <c r="T587" s="6" t="n">
        <v>-1.01652220630526</v>
      </c>
      <c r="U587" s="6" t="n">
        <v>2.74439729414592</v>
      </c>
      <c r="V587" s="6" t="n">
        <v>-1.99255790415812</v>
      </c>
      <c r="W587" s="6" t="n">
        <v>-0.14995486332594</v>
      </c>
      <c r="X587" s="6" t="n">
        <v>2.05388689388121</v>
      </c>
      <c r="Y587" s="6" t="n">
        <v>-1.67956433036347</v>
      </c>
      <c r="Z587" s="6" t="n">
        <v>1.23898673795716</v>
      </c>
      <c r="AA587" s="6" t="n">
        <v>0.363996350952496</v>
      </c>
      <c r="AB587" s="6" t="n">
        <v>1.13207536664646</v>
      </c>
      <c r="AC587" s="6" t="n">
        <v>0.341690576244347</v>
      </c>
      <c r="AD587" s="6" t="n">
        <v>-1.02483431501471</v>
      </c>
      <c r="AE587" s="6" t="n">
        <v>3.25707692139674</v>
      </c>
      <c r="AF587" s="6" t="n">
        <v>-3.62503238250397</v>
      </c>
      <c r="AG587" s="6" t="n">
        <v>-3.59966040866163</v>
      </c>
      <c r="AH587" s="6" t="n">
        <v>-0.156964382736523</v>
      </c>
      <c r="AI587" s="6" t="n">
        <v>-4.44917305980713</v>
      </c>
      <c r="AJ587" s="6" t="n">
        <v>80.7600940460846</v>
      </c>
      <c r="AK587" s="6" t="n">
        <v>0.142211266641903</v>
      </c>
      <c r="AL587" s="6" t="n">
        <v>1.02406398316883</v>
      </c>
      <c r="AN587" s="6" t="n">
        <v>1.30995917685041</v>
      </c>
      <c r="AO587" s="6" t="n">
        <v>1.31009423087101</v>
      </c>
      <c r="AP587" s="6" t="n">
        <v>0.137300649965257</v>
      </c>
      <c r="AQ587" s="6" t="n">
        <v>0</v>
      </c>
      <c r="AR587" s="6" t="n">
        <v>0</v>
      </c>
    </row>
    <row r="588" customFormat="false" ht="15" hidden="false" customHeight="false" outlineLevel="0" collapsed="false">
      <c r="D588" s="0" t="s">
        <v>714</v>
      </c>
      <c r="J588" s="6" t="n">
        <v>-0.113609466308217</v>
      </c>
      <c r="K588" s="6" t="n">
        <v>-0.710281425774172</v>
      </c>
      <c r="L588" s="6" t="n">
        <v>-0.697522413037125</v>
      </c>
      <c r="M588" s="6" t="n">
        <v>-3.29324887013554</v>
      </c>
      <c r="N588" s="6" t="n">
        <v>4.22380767364789</v>
      </c>
      <c r="O588" s="6" t="n">
        <v>1.58777150862639</v>
      </c>
      <c r="P588" s="6" t="n">
        <v>1.80017292918873</v>
      </c>
      <c r="Q588" s="6" t="n">
        <v>0.943270822727288</v>
      </c>
      <c r="R588" s="6" t="n">
        <v>1.69503632070949</v>
      </c>
      <c r="S588" s="6" t="n">
        <v>0.631821013902388</v>
      </c>
      <c r="T588" s="6" t="n">
        <v>-3.3978209457392</v>
      </c>
      <c r="U588" s="6" t="n">
        <v>-0.113138329135067</v>
      </c>
      <c r="V588" s="6" t="n">
        <v>2.00117943614405</v>
      </c>
      <c r="W588" s="6" t="n">
        <v>-2.04993600917839</v>
      </c>
      <c r="X588" s="6" t="n">
        <v>-2.71937337115719</v>
      </c>
      <c r="Y588" s="6" t="n">
        <v>3.09118106711717</v>
      </c>
      <c r="Z588" s="6" t="n">
        <v>1.22151836940852</v>
      </c>
      <c r="AA588" s="6" t="n">
        <v>-3.03457976749547</v>
      </c>
      <c r="AB588" s="6" t="n">
        <v>-1.62108046692729</v>
      </c>
      <c r="AC588" s="6" t="n">
        <v>-0.979377685868108</v>
      </c>
      <c r="AD588" s="6" t="n">
        <v>-0.437639684118853</v>
      </c>
      <c r="AE588" s="6" t="n">
        <v>0.652205053027463</v>
      </c>
      <c r="AF588" s="6" t="n">
        <v>-0.0810166906088126</v>
      </c>
      <c r="AG588" s="6" t="n">
        <v>-1.23348318933894</v>
      </c>
      <c r="AH588" s="6" t="n">
        <v>-0.201281793011039</v>
      </c>
      <c r="AI588" s="6" t="n">
        <v>1.40139407306278</v>
      </c>
      <c r="AJ588" s="6" t="n">
        <v>78.4562301083774</v>
      </c>
      <c r="AK588" s="6" t="n">
        <v>0.133712074753351</v>
      </c>
      <c r="AL588" s="6" t="n">
        <v>1.04636039315421</v>
      </c>
      <c r="AN588" s="6" t="n">
        <v>1.29695167298992</v>
      </c>
      <c r="AO588" s="6" t="n">
        <v>1.29799133787712</v>
      </c>
      <c r="AP588" s="6" t="n">
        <v>0.134423195672179</v>
      </c>
      <c r="AQ588" s="6" t="n">
        <v>0</v>
      </c>
      <c r="AR588" s="6" t="n">
        <v>0</v>
      </c>
    </row>
    <row r="589" customFormat="false" ht="15" hidden="false" customHeight="false" outlineLevel="0" collapsed="false">
      <c r="D589" s="0" t="s">
        <v>715</v>
      </c>
      <c r="J589" s="6" t="n">
        <v>2.69646874300154</v>
      </c>
      <c r="K589" s="6" t="n">
        <v>0.491074323582553</v>
      </c>
      <c r="L589" s="6" t="n">
        <v>0.691761402453874</v>
      </c>
      <c r="M589" s="6" t="n">
        <v>-0.624812879945739</v>
      </c>
      <c r="N589" s="6" t="n">
        <v>-3.05001689415172</v>
      </c>
      <c r="O589" s="6" t="n">
        <v>-1.50977919335801</v>
      </c>
      <c r="P589" s="6" t="n">
        <v>0.917184344822523</v>
      </c>
      <c r="Q589" s="6" t="n">
        <v>-2.32549853223184</v>
      </c>
      <c r="R589" s="6" t="n">
        <v>-1.17755290021183</v>
      </c>
      <c r="S589" s="6" t="n">
        <v>0.010223369816363</v>
      </c>
      <c r="T589" s="6" t="n">
        <v>-2.84434240996249</v>
      </c>
      <c r="U589" s="6" t="n">
        <v>-2.27179207002194</v>
      </c>
      <c r="V589" s="6" t="n">
        <v>0.994196483408103</v>
      </c>
      <c r="W589" s="6" t="n">
        <v>1.71495482828398</v>
      </c>
      <c r="X589" s="6" t="n">
        <v>-1.73617563196683</v>
      </c>
      <c r="Y589" s="6" t="n">
        <v>2.16126880288199</v>
      </c>
      <c r="Z589" s="6" t="n">
        <v>-1.21344774298506</v>
      </c>
      <c r="AA589" s="6" t="n">
        <v>-1.92402179687649</v>
      </c>
      <c r="AB589" s="6" t="n">
        <v>1.76957613434558</v>
      </c>
      <c r="AC589" s="6" t="n">
        <v>-2.56716561832232</v>
      </c>
      <c r="AD589" s="6" t="n">
        <v>1.98193976604389</v>
      </c>
      <c r="AE589" s="6" t="n">
        <v>-2.56645771701521</v>
      </c>
      <c r="AF589" s="6" t="n">
        <v>-1.26706103159374</v>
      </c>
      <c r="AG589" s="6" t="n">
        <v>1.3130629313877</v>
      </c>
      <c r="AH589" s="6" t="n">
        <v>-1.44266520754217</v>
      </c>
      <c r="AI589" s="6" t="n">
        <v>0.467303140127382</v>
      </c>
      <c r="AJ589" s="6" t="n">
        <v>68.3963518937811</v>
      </c>
      <c r="AK589" s="6" t="n">
        <v>0.108008445458628</v>
      </c>
      <c r="AL589" s="6" t="n">
        <v>1.05261980961205</v>
      </c>
      <c r="AN589" s="6" t="n">
        <v>1.29605193218384</v>
      </c>
      <c r="AO589" s="6" t="n">
        <v>1.29696401322481</v>
      </c>
      <c r="AP589" s="6" t="n">
        <v>0.133727707683199</v>
      </c>
      <c r="AQ589" s="6" t="n">
        <v>0</v>
      </c>
      <c r="AR589" s="6" t="n">
        <v>0</v>
      </c>
    </row>
    <row r="590" customFormat="false" ht="15" hidden="false" customHeight="false" outlineLevel="0" collapsed="false">
      <c r="D590" s="0" t="s">
        <v>716</v>
      </c>
      <c r="J590" s="6" t="n">
        <v>-0.192908059612396</v>
      </c>
      <c r="K590" s="6" t="n">
        <v>-0.845597077018891</v>
      </c>
      <c r="L590" s="6" t="n">
        <v>4.18938423739984</v>
      </c>
      <c r="M590" s="6" t="n">
        <v>-0.50995874443556</v>
      </c>
      <c r="N590" s="6" t="n">
        <v>-1.87760293854883</v>
      </c>
      <c r="O590" s="6" t="n">
        <v>0.0670734290536477</v>
      </c>
      <c r="P590" s="6" t="n">
        <v>-2.5999278809317</v>
      </c>
      <c r="Q590" s="6" t="n">
        <v>-0.478783528832323</v>
      </c>
      <c r="R590" s="6" t="n">
        <v>0.416611579871994</v>
      </c>
      <c r="S590" s="6" t="n">
        <v>-1.42630012247982</v>
      </c>
      <c r="T590" s="6" t="n">
        <v>2.03835524446674</v>
      </c>
      <c r="U590" s="6" t="n">
        <v>1.50382392306177</v>
      </c>
      <c r="V590" s="6" t="n">
        <v>-1.07267975613009</v>
      </c>
      <c r="W590" s="6" t="n">
        <v>1.74015860509625</v>
      </c>
      <c r="X590" s="6" t="n">
        <v>-0.966756480891901</v>
      </c>
      <c r="Y590" s="6" t="n">
        <v>2.71233418687431</v>
      </c>
      <c r="Z590" s="6" t="n">
        <v>-2.22600381957928</v>
      </c>
      <c r="AA590" s="6" t="n">
        <v>0.306661419050639</v>
      </c>
      <c r="AB590" s="6" t="n">
        <v>-0.456430587316798</v>
      </c>
      <c r="AC590" s="6" t="n">
        <v>1.80821144962689</v>
      </c>
      <c r="AD590" s="6" t="n">
        <v>-1.96791272410903</v>
      </c>
      <c r="AE590" s="6" t="n">
        <v>-1.25487935587326</v>
      </c>
      <c r="AF590" s="6" t="n">
        <v>1.02728962092553</v>
      </c>
      <c r="AG590" s="6" t="n">
        <v>0.63279773381023</v>
      </c>
      <c r="AH590" s="6" t="n">
        <v>0.00957424603370585</v>
      </c>
      <c r="AI590" s="6" t="n">
        <v>0.753043463432199</v>
      </c>
      <c r="AJ590" s="6" t="n">
        <v>67.4589998610208</v>
      </c>
      <c r="AK590" s="6" t="n">
        <v>0.104518120723197</v>
      </c>
      <c r="AL590" s="6" t="n">
        <v>1.07001029938451</v>
      </c>
      <c r="AN590" s="6" t="n">
        <v>1.28896292495801</v>
      </c>
      <c r="AO590" s="6" t="n">
        <v>1.28913396365415</v>
      </c>
      <c r="AP590" s="6" t="n">
        <v>0.132757820088208</v>
      </c>
      <c r="AQ590" s="6" t="n">
        <v>0</v>
      </c>
      <c r="AR590" s="6" t="n">
        <v>0</v>
      </c>
    </row>
    <row r="591" customFormat="false" ht="15" hidden="false" customHeight="false" outlineLevel="0" collapsed="false">
      <c r="D591" s="0" t="s">
        <v>717</v>
      </c>
      <c r="J591" s="6" t="n">
        <v>-2.04447200384194</v>
      </c>
      <c r="K591" s="6" t="n">
        <v>1.18687611086648</v>
      </c>
      <c r="L591" s="6" t="n">
        <v>-0.638464906759097</v>
      </c>
      <c r="M591" s="6" t="n">
        <v>-0.361989947396719</v>
      </c>
      <c r="N591" s="6" t="n">
        <v>-0.495199880898509</v>
      </c>
      <c r="O591" s="6" t="n">
        <v>-3.07147873435814</v>
      </c>
      <c r="P591" s="6" t="n">
        <v>2.18250425148133</v>
      </c>
      <c r="Q591" s="6" t="n">
        <v>1.56531005772875</v>
      </c>
      <c r="R591" s="6" t="n">
        <v>1.47741810874894</v>
      </c>
      <c r="S591" s="6" t="n">
        <v>0.867213960409056</v>
      </c>
      <c r="T591" s="6" t="n">
        <v>-0.887866970637747</v>
      </c>
      <c r="U591" s="6" t="n">
        <v>1.24778801973107</v>
      </c>
      <c r="V591" s="6" t="n">
        <v>-3.15525613583376</v>
      </c>
      <c r="W591" s="6" t="n">
        <v>0.176271877158561</v>
      </c>
      <c r="X591" s="6" t="n">
        <v>-0.168911395411415</v>
      </c>
      <c r="Y591" s="6" t="n">
        <v>1.19664749954718</v>
      </c>
      <c r="Z591" s="6" t="n">
        <v>1.90426964868463</v>
      </c>
      <c r="AA591" s="6" t="n">
        <v>0.863959578770779</v>
      </c>
      <c r="AB591" s="6" t="n">
        <v>2.186497114815</v>
      </c>
      <c r="AC591" s="6" t="n">
        <v>-2.04363889033094</v>
      </c>
      <c r="AD591" s="6" t="n">
        <v>-0.223539427633353</v>
      </c>
      <c r="AE591" s="6" t="n">
        <v>3.01393770481846</v>
      </c>
      <c r="AF591" s="6" t="n">
        <v>-3.24500388943403</v>
      </c>
      <c r="AG591" s="6" t="n">
        <v>0.827003057329232</v>
      </c>
      <c r="AH591" s="6" t="n">
        <v>-1.36866405919289</v>
      </c>
      <c r="AI591" s="6" t="n">
        <v>0.0757450966222464</v>
      </c>
      <c r="AJ591" s="6" t="n">
        <v>79.3398146807542</v>
      </c>
      <c r="AK591" s="6" t="n">
        <v>0.0965260123086439</v>
      </c>
      <c r="AL591" s="6" t="n">
        <v>1.06448841735073</v>
      </c>
      <c r="AN591" s="6" t="n">
        <v>1.29715213097125</v>
      </c>
      <c r="AO591" s="6" t="n">
        <v>1.29811077477105</v>
      </c>
      <c r="AP591" s="6" t="n">
        <v>0.134234052457808</v>
      </c>
      <c r="AQ591" s="6" t="n">
        <v>0</v>
      </c>
      <c r="AR591" s="6" t="n">
        <v>0</v>
      </c>
    </row>
    <row r="592" customFormat="false" ht="15" hidden="false" customHeight="false" outlineLevel="0" collapsed="false">
      <c r="D592" s="0" t="s">
        <v>718</v>
      </c>
      <c r="J592" s="6" t="n">
        <v>0.575428557511889</v>
      </c>
      <c r="K592" s="6" t="n">
        <v>-1.98421320642207</v>
      </c>
      <c r="L592" s="6" t="n">
        <v>0.657648546226972</v>
      </c>
      <c r="M592" s="6" t="n">
        <v>1.50326105272459</v>
      </c>
      <c r="N592" s="6" t="n">
        <v>-0.774771983571163</v>
      </c>
      <c r="O592" s="6" t="n">
        <v>0.46308675122659</v>
      </c>
      <c r="P592" s="6" t="n">
        <v>1.61688579533751</v>
      </c>
      <c r="Q592" s="6" t="n">
        <v>1.63134986963408</v>
      </c>
      <c r="R592" s="6" t="n">
        <v>0.899414803647367</v>
      </c>
      <c r="S592" s="6" t="n">
        <v>4.53564865484548</v>
      </c>
      <c r="T592" s="6" t="n">
        <v>1.444615198865</v>
      </c>
      <c r="U592" s="6" t="n">
        <v>1.42088858803472</v>
      </c>
      <c r="V592" s="6" t="n">
        <v>1.07439835029804</v>
      </c>
      <c r="W592" s="6" t="n">
        <v>2.58222339577008</v>
      </c>
      <c r="X592" s="6" t="n">
        <v>1.57892900797926</v>
      </c>
      <c r="Y592" s="6" t="n">
        <v>1.77300417645875</v>
      </c>
      <c r="Z592" s="6" t="n">
        <v>-1.06954396096044</v>
      </c>
      <c r="AA592" s="6" t="n">
        <v>0.659799716373938</v>
      </c>
      <c r="AB592" s="6" t="n">
        <v>0.0327612130631542</v>
      </c>
      <c r="AC592" s="6" t="n">
        <v>0.388229149967679</v>
      </c>
      <c r="AD592" s="6" t="n">
        <v>1.08414550520205</v>
      </c>
      <c r="AE592" s="6" t="n">
        <v>2.80375828560547</v>
      </c>
      <c r="AF592" s="6" t="n">
        <v>-1.00751075237314</v>
      </c>
      <c r="AG592" s="6" t="n">
        <v>1.06134618255934</v>
      </c>
      <c r="AH592" s="6" t="n">
        <v>-0.691571130576198</v>
      </c>
      <c r="AI592" s="6" t="n">
        <v>-1.77054108050826</v>
      </c>
      <c r="AJ592" s="6" t="n">
        <v>72.5793451071419</v>
      </c>
      <c r="AK592" s="6" t="n">
        <v>0.0979795775899988</v>
      </c>
      <c r="AL592" s="6" t="n">
        <v>1.05463754092028</v>
      </c>
      <c r="AN592" s="6" t="n">
        <v>1.29587797512361</v>
      </c>
      <c r="AO592" s="6" t="n">
        <v>1.29650937414319</v>
      </c>
      <c r="AP592" s="6" t="n">
        <v>0.134379161374084</v>
      </c>
      <c r="AQ592" s="6" t="n">
        <v>0</v>
      </c>
      <c r="AR592" s="6" t="n">
        <v>0</v>
      </c>
    </row>
    <row r="593" customFormat="false" ht="15" hidden="false" customHeight="false" outlineLevel="0" collapsed="false">
      <c r="D593" s="0" t="s">
        <v>719</v>
      </c>
      <c r="J593" s="6" t="n">
        <v>3.20498822842751</v>
      </c>
      <c r="K593" s="6" t="n">
        <v>2.19557201820273</v>
      </c>
      <c r="L593" s="6" t="n">
        <v>-2.37201332145179</v>
      </c>
      <c r="M593" s="6" t="n">
        <v>2.1722899331635</v>
      </c>
      <c r="N593" s="6" t="n">
        <v>-2.89274252183795</v>
      </c>
      <c r="O593" s="6" t="n">
        <v>1.49367588632332</v>
      </c>
      <c r="P593" s="6" t="n">
        <v>-0.0848171487668842</v>
      </c>
      <c r="Q593" s="6" t="n">
        <v>2.06339776840024</v>
      </c>
      <c r="R593" s="6" t="n">
        <v>2.47456206193551</v>
      </c>
      <c r="S593" s="6" t="n">
        <v>-0.869654536934712</v>
      </c>
      <c r="T593" s="6" t="n">
        <v>-0.211737137685707</v>
      </c>
      <c r="U593" s="6" t="n">
        <v>-1.26983947563676</v>
      </c>
      <c r="V593" s="6" t="n">
        <v>-2.52127486195083</v>
      </c>
      <c r="W593" s="6" t="n">
        <v>-0.919248669980401</v>
      </c>
      <c r="X593" s="6" t="n">
        <v>-2.51915663690248</v>
      </c>
      <c r="Y593" s="6" t="n">
        <v>0.601833766922794</v>
      </c>
      <c r="Z593" s="6" t="n">
        <v>-3.17027625644756</v>
      </c>
      <c r="AA593" s="6" t="n">
        <v>-0.127315634354358</v>
      </c>
      <c r="AB593" s="6" t="n">
        <v>2.96866992633537</v>
      </c>
      <c r="AC593" s="6" t="n">
        <v>3.49803523546844</v>
      </c>
      <c r="AD593" s="6" t="n">
        <v>3.00593932716012</v>
      </c>
      <c r="AE593" s="6" t="n">
        <v>-0.31669230991765</v>
      </c>
      <c r="AF593" s="6" t="n">
        <v>0.0712489975425618</v>
      </c>
      <c r="AG593" s="6" t="n">
        <v>0.465177014989068</v>
      </c>
      <c r="AH593" s="6" t="n">
        <v>1.70457313083474</v>
      </c>
      <c r="AI593" s="6" t="n">
        <v>-0.126000847210117</v>
      </c>
      <c r="AJ593" s="6" t="n">
        <v>79.3772143670319</v>
      </c>
      <c r="AK593" s="6" t="n">
        <v>0.167008216828878</v>
      </c>
      <c r="AL593" s="6" t="n">
        <v>1.0124493513114</v>
      </c>
      <c r="AN593" s="6" t="n">
        <v>1.31346729530168</v>
      </c>
      <c r="AO593" s="6" t="n">
        <v>1.3140001035548</v>
      </c>
      <c r="AP593" s="6" t="n">
        <v>0.138471276994488</v>
      </c>
      <c r="AQ593" s="6" t="n">
        <v>0</v>
      </c>
      <c r="AR593" s="6" t="n">
        <v>0</v>
      </c>
    </row>
    <row r="594" customFormat="false" ht="15" hidden="false" customHeight="false" outlineLevel="0" collapsed="false">
      <c r="D594" s="0" t="s">
        <v>720</v>
      </c>
      <c r="J594" s="6" t="n">
        <v>2.4453146430823</v>
      </c>
      <c r="K594" s="6" t="n">
        <v>4.62367955432626</v>
      </c>
      <c r="L594" s="6" t="n">
        <v>-1.08385607717358</v>
      </c>
      <c r="M594" s="6" t="n">
        <v>-1.01369759173171</v>
      </c>
      <c r="N594" s="6" t="n">
        <v>-4.24551134308563</v>
      </c>
      <c r="O594" s="6" t="n">
        <v>2.66050405286705</v>
      </c>
      <c r="P594" s="6" t="n">
        <v>-0.861874028438465</v>
      </c>
      <c r="Q594" s="6" t="n">
        <v>-1.85918082487367</v>
      </c>
      <c r="R594" s="6" t="n">
        <v>3.75719800272143</v>
      </c>
      <c r="S594" s="6" t="n">
        <v>4.48199771255209</v>
      </c>
      <c r="T594" s="6" t="n">
        <v>-1.70955426494652</v>
      </c>
      <c r="U594" s="6" t="n">
        <v>0.0921686151247804</v>
      </c>
      <c r="V594" s="6" t="n">
        <v>3.09767146884475</v>
      </c>
      <c r="W594" s="6" t="n">
        <v>4.25421709828246</v>
      </c>
      <c r="X594" s="6" t="n">
        <v>0.238606525070473</v>
      </c>
      <c r="Y594" s="6" t="n">
        <v>0.857256074081558</v>
      </c>
      <c r="Z594" s="6" t="n">
        <v>0.378854616006952</v>
      </c>
      <c r="AA594" s="6" t="n">
        <v>3.49507086347407</v>
      </c>
      <c r="AB594" s="6" t="n">
        <v>-2.06205980829417</v>
      </c>
      <c r="AC594" s="6" t="n">
        <v>-2.40621597008872</v>
      </c>
      <c r="AD594" s="6" t="n">
        <v>-0.366421226714403</v>
      </c>
      <c r="AE594" s="6" t="n">
        <v>-2.54779172961727</v>
      </c>
      <c r="AF594" s="6" t="n">
        <v>2.28428688382361</v>
      </c>
      <c r="AG594" s="6" t="n">
        <v>-0.312147072503057</v>
      </c>
      <c r="AH594" s="6" t="n">
        <v>-4.19791340758325</v>
      </c>
      <c r="AI594" s="6" t="n">
        <v>0.130614023166013</v>
      </c>
      <c r="AJ594" s="6" t="n">
        <v>66.9687479382842</v>
      </c>
      <c r="AK594" s="6" t="n">
        <v>0.0589728268553162</v>
      </c>
      <c r="AL594" s="6" t="n">
        <v>1.03399667439697</v>
      </c>
      <c r="AN594" s="6" t="n">
        <v>1.30543899516823</v>
      </c>
      <c r="AO594" s="6" t="n">
        <v>1.30592019898864</v>
      </c>
      <c r="AP594" s="6" t="n">
        <v>0.136524437996468</v>
      </c>
      <c r="AQ594" s="6" t="n">
        <v>0</v>
      </c>
      <c r="AR594" s="6" t="n">
        <v>0</v>
      </c>
    </row>
    <row r="595" customFormat="false" ht="15" hidden="false" customHeight="false" outlineLevel="0" collapsed="false">
      <c r="D595" s="0" t="s">
        <v>721</v>
      </c>
      <c r="J595" s="6" t="n">
        <v>-2.30969889066826</v>
      </c>
      <c r="K595" s="6" t="n">
        <v>-0.365779568438988</v>
      </c>
      <c r="L595" s="6" t="n">
        <v>1.99905375624512</v>
      </c>
      <c r="M595" s="6" t="n">
        <v>1.53753613480258</v>
      </c>
      <c r="N595" s="6" t="n">
        <v>1.40165959366172</v>
      </c>
      <c r="O595" s="6" t="n">
        <v>0.743564169320147</v>
      </c>
      <c r="P595" s="6" t="n">
        <v>-1.56107802271444</v>
      </c>
      <c r="Q595" s="6" t="n">
        <v>-0.105135157271384</v>
      </c>
      <c r="R595" s="6" t="n">
        <v>-2.4792369625933</v>
      </c>
      <c r="S595" s="6" t="n">
        <v>0.739721287498093</v>
      </c>
      <c r="T595" s="6" t="n">
        <v>-1.39694154898988</v>
      </c>
      <c r="U595" s="6" t="n">
        <v>-0.452061556471273</v>
      </c>
      <c r="V595" s="6" t="n">
        <v>1.31903326413938</v>
      </c>
      <c r="W595" s="6" t="n">
        <v>-0.594399773227328</v>
      </c>
      <c r="X595" s="6" t="n">
        <v>-2.83264686321764</v>
      </c>
      <c r="Y595" s="6" t="n">
        <v>-0.405143378419812</v>
      </c>
      <c r="Z595" s="6" t="n">
        <v>1.68312386908364</v>
      </c>
      <c r="AA595" s="6" t="n">
        <v>1.56830213137237</v>
      </c>
      <c r="AB595" s="6" t="n">
        <v>-2.92179439463507</v>
      </c>
      <c r="AC595" s="6" t="n">
        <v>2.53063976273484</v>
      </c>
      <c r="AD595" s="6" t="n">
        <v>2.85020092692767</v>
      </c>
      <c r="AE595" s="6" t="n">
        <v>-4.78463733808653</v>
      </c>
      <c r="AF595" s="6" t="n">
        <v>0.615141180890657</v>
      </c>
      <c r="AG595" s="6" t="n">
        <v>-3.49142603194515</v>
      </c>
      <c r="AH595" s="6" t="n">
        <v>-2.17882710681845</v>
      </c>
      <c r="AI595" s="6" t="n">
        <v>0.251926674086678</v>
      </c>
      <c r="AJ595" s="6" t="n">
        <v>57.3517600701239</v>
      </c>
      <c r="AK595" s="6" t="n">
        <v>0.0899530148837044</v>
      </c>
      <c r="AL595" s="6" t="n">
        <v>1.08721818326198</v>
      </c>
      <c r="AN595" s="6" t="n">
        <v>1.27973978091257</v>
      </c>
      <c r="AO595" s="6" t="n">
        <v>1.27992085788658</v>
      </c>
      <c r="AP595" s="6" t="n">
        <v>0.13128158037249</v>
      </c>
      <c r="AQ595" s="6" t="n">
        <v>0</v>
      </c>
      <c r="AR595" s="6" t="n">
        <v>0</v>
      </c>
    </row>
    <row r="596" customFormat="false" ht="15" hidden="false" customHeight="false" outlineLevel="0" collapsed="false">
      <c r="D596" s="0" t="s">
        <v>722</v>
      </c>
      <c r="J596" s="6" t="n">
        <v>3.50833304287222</v>
      </c>
      <c r="K596" s="6" t="n">
        <v>2.25790339861767</v>
      </c>
      <c r="L596" s="6" t="n">
        <v>-1.91340942766459</v>
      </c>
      <c r="M596" s="6" t="n">
        <v>-0.873796768424135</v>
      </c>
      <c r="N596" s="6" t="n">
        <v>0.741562471329571</v>
      </c>
      <c r="O596" s="6" t="n">
        <v>-3.53502156573943</v>
      </c>
      <c r="P596" s="6" t="n">
        <v>0.224881509673744</v>
      </c>
      <c r="Q596" s="6" t="n">
        <v>0.466460609255433</v>
      </c>
      <c r="R596" s="6" t="n">
        <v>0.795172776439126</v>
      </c>
      <c r="S596" s="6" t="n">
        <v>-1.98099926588155</v>
      </c>
      <c r="T596" s="6" t="n">
        <v>1.92414996759384</v>
      </c>
      <c r="U596" s="6" t="n">
        <v>3.62616846196945</v>
      </c>
      <c r="V596" s="6" t="n">
        <v>0.201547254583767</v>
      </c>
      <c r="W596" s="6" t="n">
        <v>-1.03143642826663</v>
      </c>
      <c r="X596" s="6" t="n">
        <v>-1.27916561737582</v>
      </c>
      <c r="Y596" s="6" t="n">
        <v>3.85400023509824</v>
      </c>
      <c r="Z596" s="6" t="n">
        <v>-1.13115649055846</v>
      </c>
      <c r="AA596" s="6" t="n">
        <v>-0.590261810417201</v>
      </c>
      <c r="AB596" s="6" t="n">
        <v>1.62889857305751</v>
      </c>
      <c r="AC596" s="6" t="n">
        <v>2.34789274819203</v>
      </c>
      <c r="AD596" s="6" t="n">
        <v>0.427659518482124</v>
      </c>
      <c r="AE596" s="6" t="n">
        <v>-1.0564812283103</v>
      </c>
      <c r="AF596" s="6" t="n">
        <v>0.299261541301655</v>
      </c>
      <c r="AG596" s="6" t="n">
        <v>4.12709300342601</v>
      </c>
      <c r="AH596" s="6" t="n">
        <v>-1.4596990918207</v>
      </c>
      <c r="AI596" s="6" t="n">
        <v>1.59566206646657</v>
      </c>
      <c r="AJ596" s="6" t="n">
        <v>78.8876954045716</v>
      </c>
      <c r="AK596" s="6" t="n">
        <v>0.130779454190442</v>
      </c>
      <c r="AL596" s="6" t="n">
        <v>1.0051754921163</v>
      </c>
      <c r="AN596" s="6" t="n">
        <v>1.31977872710388</v>
      </c>
      <c r="AO596" s="6" t="n">
        <v>1.31977872710388</v>
      </c>
      <c r="AP596" s="6" t="n">
        <v>0.140531921147811</v>
      </c>
      <c r="AQ596" s="6" t="n">
        <v>0</v>
      </c>
      <c r="AR596" s="6" t="n">
        <v>0</v>
      </c>
    </row>
    <row r="597" customFormat="false" ht="15" hidden="false" customHeight="false" outlineLevel="0" collapsed="false">
      <c r="D597" s="0" t="s">
        <v>723</v>
      </c>
      <c r="J597" s="6" t="n">
        <v>-0.0904174713123081</v>
      </c>
      <c r="K597" s="6" t="n">
        <v>-0.580312623044194</v>
      </c>
      <c r="L597" s="6" t="n">
        <v>0.41165782373337</v>
      </c>
      <c r="M597" s="6" t="n">
        <v>-0.819698234945646</v>
      </c>
      <c r="N597" s="6" t="n">
        <v>0.99099201840338</v>
      </c>
      <c r="O597" s="6" t="n">
        <v>-1.40458995393688</v>
      </c>
      <c r="P597" s="6" t="n">
        <v>-2.15559588525062</v>
      </c>
      <c r="Q597" s="6" t="n">
        <v>-0.0361092216965446</v>
      </c>
      <c r="R597" s="6" t="n">
        <v>-4.32017852984368</v>
      </c>
      <c r="S597" s="6" t="n">
        <v>4.10129017671343</v>
      </c>
      <c r="T597" s="6" t="n">
        <v>-3.12251243582265</v>
      </c>
      <c r="U597" s="6" t="n">
        <v>-2.54976216843637</v>
      </c>
      <c r="V597" s="6" t="n">
        <v>-0.821209094598604</v>
      </c>
      <c r="W597" s="6" t="n">
        <v>0.0737439465317966</v>
      </c>
      <c r="X597" s="6" t="n">
        <v>-2.25280162265414</v>
      </c>
      <c r="Y597" s="6" t="n">
        <v>1.33760995865454</v>
      </c>
      <c r="Z597" s="6" t="n">
        <v>0.840202964540789</v>
      </c>
      <c r="AA597" s="6" t="n">
        <v>-3.29679598331053</v>
      </c>
      <c r="AB597" s="6" t="n">
        <v>0.662217840387064</v>
      </c>
      <c r="AC597" s="6" t="n">
        <v>-0.0911591158146645</v>
      </c>
      <c r="AD597" s="6" t="n">
        <v>-1.9599788341388</v>
      </c>
      <c r="AE597" s="6" t="n">
        <v>1.18940762613098</v>
      </c>
      <c r="AF597" s="6" t="n">
        <v>1.15531628617864</v>
      </c>
      <c r="AG597" s="6" t="n">
        <v>-1.61129212914606</v>
      </c>
      <c r="AH597" s="6" t="n">
        <v>-5.64329942842584</v>
      </c>
      <c r="AI597" s="6" t="n">
        <v>-4.75166669515002</v>
      </c>
      <c r="AJ597" s="6" t="n">
        <v>72.784974938646</v>
      </c>
      <c r="AK597" s="6" t="n">
        <v>0.0746543577561366</v>
      </c>
      <c r="AL597" s="6" t="n">
        <v>1.08632389644272</v>
      </c>
      <c r="AN597" s="6" t="n">
        <v>1.2901762872054</v>
      </c>
      <c r="AO597" s="6" t="n">
        <v>1.29063850893143</v>
      </c>
      <c r="AP597" s="6" t="n">
        <v>0.132597935899651</v>
      </c>
      <c r="AQ597" s="6" t="n">
        <v>0</v>
      </c>
      <c r="AR597" s="6" t="n">
        <v>0</v>
      </c>
    </row>
    <row r="598" customFormat="false" ht="15" hidden="false" customHeight="false" outlineLevel="0" collapsed="false">
      <c r="D598" s="0" t="s">
        <v>724</v>
      </c>
      <c r="J598" s="6" t="n">
        <v>1.3932207839277</v>
      </c>
      <c r="K598" s="6" t="n">
        <v>-2.20698241710274</v>
      </c>
      <c r="L598" s="6" t="n">
        <v>3.44643980291196</v>
      </c>
      <c r="M598" s="6" t="n">
        <v>0.16343144432674</v>
      </c>
      <c r="N598" s="6" t="n">
        <v>1.3266334227916</v>
      </c>
      <c r="O598" s="6" t="n">
        <v>2.47122803114137</v>
      </c>
      <c r="P598" s="6" t="n">
        <v>-0.421167970241739</v>
      </c>
      <c r="Q598" s="6" t="n">
        <v>-0.581947546580667</v>
      </c>
      <c r="R598" s="6" t="n">
        <v>1.94168906206503</v>
      </c>
      <c r="S598" s="6" t="n">
        <v>0.682884843069042</v>
      </c>
      <c r="T598" s="6" t="n">
        <v>-1.89430790890792</v>
      </c>
      <c r="U598" s="6" t="n">
        <v>-0.250554543589478</v>
      </c>
      <c r="V598" s="6" t="n">
        <v>1.33388031579426</v>
      </c>
      <c r="W598" s="6" t="n">
        <v>-1.00565820801401</v>
      </c>
      <c r="X598" s="6" t="n">
        <v>2.80653808732199</v>
      </c>
      <c r="Y598" s="6" t="n">
        <v>1.39741484764754</v>
      </c>
      <c r="Z598" s="6" t="n">
        <v>-1.30388104452753</v>
      </c>
      <c r="AA598" s="6" t="n">
        <v>1.14797633010994</v>
      </c>
      <c r="AB598" s="6" t="n">
        <v>3.28200794558344</v>
      </c>
      <c r="AC598" s="6" t="n">
        <v>1.45707528355773</v>
      </c>
      <c r="AD598" s="6" t="n">
        <v>1.07945409669101</v>
      </c>
      <c r="AE598" s="6" t="n">
        <v>4.0635247578411</v>
      </c>
      <c r="AF598" s="6" t="n">
        <v>-2.50649491805047</v>
      </c>
      <c r="AG598" s="6" t="n">
        <v>2.8951819716237</v>
      </c>
      <c r="AH598" s="6" t="n">
        <v>0.890688440588005</v>
      </c>
      <c r="AI598" s="6" t="n">
        <v>-1.14268512336937</v>
      </c>
      <c r="AJ598" s="6" t="n">
        <v>72.4231156904469</v>
      </c>
      <c r="AK598" s="6" t="n">
        <v>0.123229397001124</v>
      </c>
      <c r="AL598" s="6" t="n">
        <v>1.02783814930167</v>
      </c>
      <c r="AN598" s="6" t="n">
        <v>1.30504910617507</v>
      </c>
      <c r="AO598" s="6" t="n">
        <v>1.30527572257973</v>
      </c>
      <c r="AP598" s="6" t="n">
        <v>0.136453303363235</v>
      </c>
      <c r="AQ598" s="6" t="n">
        <v>0</v>
      </c>
      <c r="AR598" s="6" t="n">
        <v>0</v>
      </c>
    </row>
    <row r="599" customFormat="false" ht="15" hidden="false" customHeight="false" outlineLevel="0" collapsed="false">
      <c r="D599" s="0" t="s">
        <v>725</v>
      </c>
      <c r="J599" s="6" t="n">
        <v>-1.87099864718692</v>
      </c>
      <c r="K599" s="6" t="n">
        <v>-0.301808246365838</v>
      </c>
      <c r="L599" s="6" t="n">
        <v>-1.47270411925231</v>
      </c>
      <c r="M599" s="6" t="n">
        <v>2.02079685751454</v>
      </c>
      <c r="N599" s="6" t="n">
        <v>-4.77444979781036</v>
      </c>
      <c r="O599" s="6" t="n">
        <v>-3.58902478352611</v>
      </c>
      <c r="P599" s="6" t="n">
        <v>1.40057259957401</v>
      </c>
      <c r="Q599" s="6" t="n">
        <v>-1.43900306367694</v>
      </c>
      <c r="R599" s="6" t="n">
        <v>2.38958822731995</v>
      </c>
      <c r="S599" s="6" t="n">
        <v>-0.634514216087819</v>
      </c>
      <c r="T599" s="6" t="n">
        <v>1.2638106636259</v>
      </c>
      <c r="U599" s="6" t="n">
        <v>-0.774159492866521</v>
      </c>
      <c r="V599" s="6" t="n">
        <v>0.180685875696391</v>
      </c>
      <c r="W599" s="6" t="n">
        <v>1.73600326103855</v>
      </c>
      <c r="X599" s="6" t="n">
        <v>-3.19233871204711</v>
      </c>
      <c r="Y599" s="6" t="n">
        <v>0.98352454421855</v>
      </c>
      <c r="Z599" s="6" t="n">
        <v>-0.172416292145837</v>
      </c>
      <c r="AA599" s="6" t="n">
        <v>0.820116159036836</v>
      </c>
      <c r="AB599" s="6" t="n">
        <v>0.319807359719196</v>
      </c>
      <c r="AC599" s="6" t="n">
        <v>-1.84221843608289</v>
      </c>
      <c r="AD599" s="6" t="n">
        <v>-0.663063116280676</v>
      </c>
      <c r="AE599" s="6" t="n">
        <v>1.07494485275411</v>
      </c>
      <c r="AF599" s="6" t="n">
        <v>1.08255546659394</v>
      </c>
      <c r="AG599" s="6" t="n">
        <v>0.0275637870245707</v>
      </c>
      <c r="AH599" s="6" t="n">
        <v>-0.241955133904861</v>
      </c>
      <c r="AI599" s="6" t="n">
        <v>1.89729534418933</v>
      </c>
      <c r="AJ599" s="6" t="n">
        <v>74.7264901937242</v>
      </c>
      <c r="AK599" s="6" t="n">
        <v>0.121121407086765</v>
      </c>
      <c r="AL599" s="6" t="n">
        <v>1.00957208245712</v>
      </c>
      <c r="AN599" s="6" t="n">
        <v>1.30845415968744</v>
      </c>
      <c r="AO599" s="6" t="n">
        <v>1.30960623270549</v>
      </c>
      <c r="AP599" s="6" t="n">
        <v>0.139195615583177</v>
      </c>
      <c r="AQ599" s="6" t="n">
        <v>0</v>
      </c>
      <c r="AR599" s="6" t="n">
        <v>0</v>
      </c>
    </row>
    <row r="600" customFormat="false" ht="15" hidden="false" customHeight="false" outlineLevel="0" collapsed="false">
      <c r="D600" s="0" t="s">
        <v>726</v>
      </c>
      <c r="J600" s="6" t="n">
        <v>-0.891298079811434</v>
      </c>
      <c r="K600" s="6" t="n">
        <v>-1.23962038090349</v>
      </c>
      <c r="L600" s="6" t="n">
        <v>-0.3536541912309</v>
      </c>
      <c r="M600" s="6" t="n">
        <v>-1.42182285457063</v>
      </c>
      <c r="N600" s="6" t="n">
        <v>1.87262364934936</v>
      </c>
      <c r="O600" s="6" t="n">
        <v>2.46876493951561</v>
      </c>
      <c r="P600" s="6" t="n">
        <v>-3.63231928855046</v>
      </c>
      <c r="Q600" s="6" t="n">
        <v>0.0438827574933641</v>
      </c>
      <c r="R600" s="6" t="n">
        <v>4.09697512504754</v>
      </c>
      <c r="S600" s="6" t="n">
        <v>1.70617966050035</v>
      </c>
      <c r="T600" s="6" t="n">
        <v>0.549519417350604</v>
      </c>
      <c r="U600" s="6" t="n">
        <v>1.28035026751136</v>
      </c>
      <c r="V600" s="6" t="n">
        <v>-0.117152079784146</v>
      </c>
      <c r="W600" s="6" t="n">
        <v>-4.35272325118426</v>
      </c>
      <c r="X600" s="6" t="n">
        <v>-0.28644499655815</v>
      </c>
      <c r="Y600" s="6" t="n">
        <v>-2.31631436855764</v>
      </c>
      <c r="Z600" s="6" t="n">
        <v>0.921769934199713</v>
      </c>
      <c r="AA600" s="6" t="n">
        <v>0.598161537356664</v>
      </c>
      <c r="AB600" s="6" t="n">
        <v>0.177850509820828</v>
      </c>
      <c r="AC600" s="6" t="n">
        <v>2.07968931306711</v>
      </c>
      <c r="AD600" s="6" t="n">
        <v>-0.713051883569415</v>
      </c>
      <c r="AE600" s="6" t="n">
        <v>-1.8461379141488</v>
      </c>
      <c r="AF600" s="6" t="n">
        <v>-1.41914374613502</v>
      </c>
      <c r="AG600" s="6" t="n">
        <v>-0.739930254818013</v>
      </c>
      <c r="AH600" s="6" t="n">
        <v>0.785504039359026</v>
      </c>
      <c r="AI600" s="6" t="n">
        <v>0.739135863098357</v>
      </c>
      <c r="AJ600" s="6" t="n">
        <v>58.391022892002</v>
      </c>
      <c r="AK600" s="6" t="n">
        <v>0.112639250901062</v>
      </c>
      <c r="AL600" s="6" t="n">
        <v>1.08507544042016</v>
      </c>
      <c r="AN600" s="6" t="n">
        <v>1.27677100725251</v>
      </c>
      <c r="AO600" s="6" t="n">
        <v>1.27737674739319</v>
      </c>
      <c r="AP600" s="6" t="n">
        <v>0.130903719106938</v>
      </c>
      <c r="AQ600" s="6" t="n">
        <v>0</v>
      </c>
      <c r="AR600" s="6" t="n">
        <v>0</v>
      </c>
    </row>
    <row r="601" customFormat="false" ht="15" hidden="false" customHeight="false" outlineLevel="0" collapsed="false">
      <c r="D601" s="0" t="s">
        <v>727</v>
      </c>
      <c r="J601" s="6" t="n">
        <v>0.304530721117168</v>
      </c>
      <c r="K601" s="6" t="n">
        <v>-0.0654214030752642</v>
      </c>
      <c r="L601" s="6" t="n">
        <v>0.868122994909978</v>
      </c>
      <c r="M601" s="6" t="n">
        <v>1.91639850829273</v>
      </c>
      <c r="N601" s="6" t="n">
        <v>2.16686516038402</v>
      </c>
      <c r="O601" s="6" t="n">
        <v>-1.75825029736633</v>
      </c>
      <c r="P601" s="6" t="n">
        <v>-2.33330694042647</v>
      </c>
      <c r="Q601" s="6" t="n">
        <v>-0.0243871800636157</v>
      </c>
      <c r="R601" s="6" t="n">
        <v>3.04131315436412</v>
      </c>
      <c r="S601" s="6" t="n">
        <v>-1.01381533832465</v>
      </c>
      <c r="T601" s="6" t="n">
        <v>2.27370752601366</v>
      </c>
      <c r="U601" s="6" t="n">
        <v>0.475318931042438</v>
      </c>
      <c r="V601" s="6" t="n">
        <v>1.03132093317281</v>
      </c>
      <c r="W601" s="6" t="n">
        <v>1.97655428278938</v>
      </c>
      <c r="X601" s="6" t="n">
        <v>-1.28371339042276</v>
      </c>
      <c r="Y601" s="6" t="n">
        <v>-1.30618960172403</v>
      </c>
      <c r="Z601" s="6" t="n">
        <v>-3.39809077114628</v>
      </c>
      <c r="AA601" s="6" t="n">
        <v>-0.723795978687658</v>
      </c>
      <c r="AB601" s="6" t="n">
        <v>-0.576122604691885</v>
      </c>
      <c r="AC601" s="6" t="n">
        <v>-0.422264160006632</v>
      </c>
      <c r="AD601" s="6" t="n">
        <v>0.887460880724626</v>
      </c>
      <c r="AE601" s="6" t="n">
        <v>-2.475721540662</v>
      </c>
      <c r="AF601" s="6" t="n">
        <v>-2.27519406030575</v>
      </c>
      <c r="AG601" s="6" t="n">
        <v>-0.34580621029747</v>
      </c>
      <c r="AH601" s="6" t="n">
        <v>-0.441346899633685</v>
      </c>
      <c r="AI601" s="6" t="n">
        <v>0.775126075370962</v>
      </c>
      <c r="AJ601" s="6" t="n">
        <v>70.7546019746396</v>
      </c>
      <c r="AK601" s="6" t="n">
        <v>0.13508764833084</v>
      </c>
      <c r="AL601" s="6" t="n">
        <v>1.04578411241732</v>
      </c>
      <c r="AN601" s="6" t="n">
        <v>1.29712417318644</v>
      </c>
      <c r="AO601" s="6" t="n">
        <v>1.29826984023794</v>
      </c>
      <c r="AP601" s="6" t="n">
        <v>0.13398326152473</v>
      </c>
      <c r="AQ601" s="6" t="n">
        <v>0</v>
      </c>
      <c r="AR601" s="6" t="n">
        <v>0</v>
      </c>
    </row>
    <row r="602" customFormat="false" ht="15" hidden="false" customHeight="false" outlineLevel="0" collapsed="false">
      <c r="D602" s="0" t="s">
        <v>728</v>
      </c>
      <c r="J602" s="6" t="n">
        <v>-2.99331167761589</v>
      </c>
      <c r="K602" s="6" t="n">
        <v>-0.347211659194622</v>
      </c>
      <c r="L602" s="6" t="n">
        <v>1.14387461257463</v>
      </c>
      <c r="M602" s="6" t="n">
        <v>-1.98528207130252</v>
      </c>
      <c r="N602" s="6" t="n">
        <v>1.14296922761312</v>
      </c>
      <c r="O602" s="6" t="n">
        <v>-0.209848137914836</v>
      </c>
      <c r="P602" s="6" t="n">
        <v>1.6615605554153</v>
      </c>
      <c r="Q602" s="6" t="n">
        <v>-1.91754280539065</v>
      </c>
      <c r="R602" s="6" t="n">
        <v>0.498949088934302</v>
      </c>
      <c r="S602" s="6" t="n">
        <v>0.913874116443525</v>
      </c>
      <c r="T602" s="6" t="n">
        <v>2.35179943298356</v>
      </c>
      <c r="U602" s="6" t="n">
        <v>0.8443970885036</v>
      </c>
      <c r="V602" s="6" t="n">
        <v>-0.678339358858332</v>
      </c>
      <c r="W602" s="6" t="n">
        <v>3.54016246661076</v>
      </c>
      <c r="X602" s="6" t="n">
        <v>2.94439948963372</v>
      </c>
      <c r="Y602" s="6" t="n">
        <v>3.19018246477319</v>
      </c>
      <c r="Z602" s="6" t="n">
        <v>-1.38475018163883</v>
      </c>
      <c r="AA602" s="6" t="n">
        <v>1.72868383387743</v>
      </c>
      <c r="AB602" s="6" t="n">
        <v>-1.70686586512027</v>
      </c>
      <c r="AC602" s="6" t="n">
        <v>0.905349083178431</v>
      </c>
      <c r="AD602" s="6" t="n">
        <v>0.139084415580554</v>
      </c>
      <c r="AE602" s="6" t="n">
        <v>-2.54328375047048</v>
      </c>
      <c r="AF602" s="6" t="n">
        <v>0.371049671852392</v>
      </c>
      <c r="AG602" s="6" t="n">
        <v>1.22249045270001</v>
      </c>
      <c r="AH602" s="6" t="n">
        <v>-1.93499376221439</v>
      </c>
      <c r="AI602" s="6" t="n">
        <v>-1.60302307331512</v>
      </c>
      <c r="AJ602" s="6" t="n">
        <v>79.0352303879021</v>
      </c>
      <c r="AK602" s="6" t="n">
        <v>0.116126220768501</v>
      </c>
      <c r="AL602" s="6" t="n">
        <v>1.0353584369693</v>
      </c>
      <c r="AN602" s="6" t="n">
        <v>1.30725104348194</v>
      </c>
      <c r="AO602" s="6" t="n">
        <v>1.30784363164326</v>
      </c>
      <c r="AP602" s="6" t="n">
        <v>0.136079564607014</v>
      </c>
      <c r="AQ602" s="6" t="n">
        <v>0</v>
      </c>
      <c r="AR602" s="6" t="n">
        <v>0</v>
      </c>
    </row>
    <row r="603" customFormat="false" ht="15" hidden="false" customHeight="false" outlineLevel="0" collapsed="false">
      <c r="D603" s="0" t="s">
        <v>729</v>
      </c>
      <c r="J603" s="6" t="n">
        <v>1.47919393905574</v>
      </c>
      <c r="K603" s="6" t="n">
        <v>0.889758125746671</v>
      </c>
      <c r="L603" s="6" t="n">
        <v>1.58553249058972</v>
      </c>
      <c r="M603" s="6" t="n">
        <v>0.516909456400587</v>
      </c>
      <c r="N603" s="6" t="n">
        <v>-0.966746650041249</v>
      </c>
      <c r="O603" s="6" t="n">
        <v>0.0569569797790772</v>
      </c>
      <c r="P603" s="6" t="n">
        <v>0.441092712083403</v>
      </c>
      <c r="Q603" s="6" t="n">
        <v>0.687245898708663</v>
      </c>
      <c r="R603" s="6" t="n">
        <v>0.502850709741842</v>
      </c>
      <c r="S603" s="6" t="n">
        <v>-2.84701529640851</v>
      </c>
      <c r="T603" s="6" t="n">
        <v>-2.92255264506743</v>
      </c>
      <c r="U603" s="6" t="n">
        <v>-1.16952389785626</v>
      </c>
      <c r="V603" s="6" t="n">
        <v>1.71853831363803</v>
      </c>
      <c r="W603" s="6" t="n">
        <v>-0.784406069807347</v>
      </c>
      <c r="X603" s="6" t="n">
        <v>-2.33924753672575</v>
      </c>
      <c r="Y603" s="6" t="n">
        <v>2.45315083492457</v>
      </c>
      <c r="Z603" s="6" t="n">
        <v>1.83771956689256</v>
      </c>
      <c r="AA603" s="6" t="n">
        <v>2.06619440817201</v>
      </c>
      <c r="AB603" s="6" t="n">
        <v>-2.57846696283281</v>
      </c>
      <c r="AC603" s="6" t="n">
        <v>-1.52082387061693</v>
      </c>
      <c r="AD603" s="6" t="n">
        <v>-2.42907011942655</v>
      </c>
      <c r="AE603" s="6" t="n">
        <v>0.635928146651067</v>
      </c>
      <c r="AF603" s="6" t="n">
        <v>-2.67366714904814</v>
      </c>
      <c r="AG603" s="6" t="n">
        <v>-1.48262949749625</v>
      </c>
      <c r="AH603" s="6" t="n">
        <v>-2.5047254501701</v>
      </c>
      <c r="AI603" s="6" t="n">
        <v>-5.45413538893461</v>
      </c>
      <c r="AJ603" s="6" t="n">
        <v>59.1673533199026</v>
      </c>
      <c r="AK603" s="6" t="n">
        <v>0.137462120358849</v>
      </c>
      <c r="AL603" s="6" t="n">
        <v>1.03730077759161</v>
      </c>
      <c r="AN603" s="6" t="n">
        <v>1.29367254085291</v>
      </c>
      <c r="AO603" s="6" t="n">
        <v>1.29405864182939</v>
      </c>
      <c r="AP603" s="6" t="n">
        <v>0.133924948474455</v>
      </c>
      <c r="AQ603" s="6" t="n">
        <v>0</v>
      </c>
      <c r="AR603" s="6" t="n">
        <v>0</v>
      </c>
    </row>
    <row r="604" customFormat="false" ht="15" hidden="false" customHeight="false" outlineLevel="0" collapsed="false">
      <c r="D604" s="0" t="s">
        <v>730</v>
      </c>
      <c r="J604" s="6" t="n">
        <v>3.23245554344741</v>
      </c>
      <c r="K604" s="6" t="n">
        <v>2.18172090715425</v>
      </c>
      <c r="L604" s="6" t="n">
        <v>-0.343486005410895</v>
      </c>
      <c r="M604" s="6" t="n">
        <v>1.11592091344011</v>
      </c>
      <c r="N604" s="6" t="n">
        <v>-0.437098196773327</v>
      </c>
      <c r="O604" s="6" t="n">
        <v>1.4080607231317</v>
      </c>
      <c r="P604" s="6" t="n">
        <v>3.47529505876086</v>
      </c>
      <c r="Q604" s="6" t="n">
        <v>0.717362095281304</v>
      </c>
      <c r="R604" s="6" t="n">
        <v>0.80825499454497</v>
      </c>
      <c r="S604" s="6" t="n">
        <v>-0.486908699198231</v>
      </c>
      <c r="T604" s="6" t="n">
        <v>1.73859641236885</v>
      </c>
      <c r="U604" s="6" t="n">
        <v>1.10816501050758</v>
      </c>
      <c r="V604" s="6" t="n">
        <v>1.28873598416987</v>
      </c>
      <c r="W604" s="6" t="n">
        <v>-3.74780054117742</v>
      </c>
      <c r="X604" s="6" t="n">
        <v>0.307506616732403</v>
      </c>
      <c r="Y604" s="6" t="n">
        <v>-0.465459869920724</v>
      </c>
      <c r="Z604" s="6" t="n">
        <v>-1.62459979733772</v>
      </c>
      <c r="AA604" s="6" t="n">
        <v>0.424080080794656</v>
      </c>
      <c r="AB604" s="6" t="n">
        <v>0.0521996450739546</v>
      </c>
      <c r="AC604" s="6" t="n">
        <v>0.298459061508569</v>
      </c>
      <c r="AD604" s="6" t="n">
        <v>-2.2431957856336</v>
      </c>
      <c r="AE604" s="6" t="n">
        <v>-0.705230200016585</v>
      </c>
      <c r="AF604" s="6" t="n">
        <v>2.09722296975353</v>
      </c>
      <c r="AG604" s="6" t="n">
        <v>-1.82299500879967</v>
      </c>
      <c r="AH604" s="6" t="n">
        <v>2.10500328118295</v>
      </c>
      <c r="AI604" s="6" t="n">
        <v>0.303080872835505</v>
      </c>
      <c r="AJ604" s="6" t="n">
        <v>84.0124039930736</v>
      </c>
      <c r="AK604" s="6" t="n">
        <v>0.139029369232336</v>
      </c>
      <c r="AL604" s="6" t="n">
        <v>1.06520237504103</v>
      </c>
      <c r="AN604" s="6" t="n">
        <v>1.28965544483587</v>
      </c>
      <c r="AO604" s="6" t="n">
        <v>1.29055909428689</v>
      </c>
      <c r="AP604" s="6" t="n">
        <v>0.133063500201321</v>
      </c>
      <c r="AQ604" s="6" t="n">
        <v>0</v>
      </c>
      <c r="AR604" s="6" t="n">
        <v>0</v>
      </c>
    </row>
    <row r="605" customFormat="false" ht="15" hidden="false" customHeight="false" outlineLevel="0" collapsed="false">
      <c r="D605" s="0" t="s">
        <v>731</v>
      </c>
      <c r="J605" s="6" t="n">
        <v>-4.56629735165492</v>
      </c>
      <c r="K605" s="6" t="n">
        <v>-2.118274320593</v>
      </c>
      <c r="L605" s="6" t="n">
        <v>1.82414216709754</v>
      </c>
      <c r="M605" s="6" t="n">
        <v>1.40148564506724</v>
      </c>
      <c r="N605" s="6" t="n">
        <v>0.904470783785792</v>
      </c>
      <c r="O605" s="6" t="n">
        <v>-1.24559974204812</v>
      </c>
      <c r="P605" s="6" t="n">
        <v>1.78739414346998</v>
      </c>
      <c r="Q605" s="6" t="n">
        <v>1.99039491672183</v>
      </c>
      <c r="R605" s="6" t="n">
        <v>-0.215980941825212</v>
      </c>
      <c r="S605" s="6" t="n">
        <v>1.17767251669662</v>
      </c>
      <c r="T605" s="6" t="n">
        <v>2.07102391242329</v>
      </c>
      <c r="U605" s="6" t="n">
        <v>1.71253497124691</v>
      </c>
      <c r="V605" s="6" t="n">
        <v>0.964581015547575</v>
      </c>
      <c r="W605" s="6" t="n">
        <v>0.714124561652214</v>
      </c>
      <c r="X605" s="6" t="n">
        <v>0.0865902754138603</v>
      </c>
      <c r="Y605" s="6" t="n">
        <v>0.701180455198914</v>
      </c>
      <c r="Z605" s="6" t="n">
        <v>0.435860381676906</v>
      </c>
      <c r="AA605" s="6" t="n">
        <v>0.843560293407427</v>
      </c>
      <c r="AB605" s="6" t="n">
        <v>-1.87306726187498</v>
      </c>
      <c r="AC605" s="6" t="n">
        <v>1.07183816017915</v>
      </c>
      <c r="AD605" s="6" t="n">
        <v>-0.699393214807161</v>
      </c>
      <c r="AE605" s="6" t="n">
        <v>-0.161860942231618</v>
      </c>
      <c r="AF605" s="6" t="n">
        <v>2.15786534370431</v>
      </c>
      <c r="AG605" s="6" t="n">
        <v>1.92244665370171</v>
      </c>
      <c r="AH605" s="6" t="n">
        <v>4.1817689569437</v>
      </c>
      <c r="AI605" s="6" t="n">
        <v>-1.51329610311515</v>
      </c>
      <c r="AJ605" s="6" t="n">
        <v>72.1469693686829</v>
      </c>
      <c r="AK605" s="6" t="n">
        <v>0.114805345738184</v>
      </c>
      <c r="AL605" s="6" t="n">
        <v>1.0296230210817</v>
      </c>
      <c r="AN605" s="6" t="n">
        <v>1.30231886602065</v>
      </c>
      <c r="AO605" s="6" t="n">
        <v>1.30231886602065</v>
      </c>
      <c r="AP605" s="6" t="n">
        <v>0.136397444552772</v>
      </c>
      <c r="AQ605" s="6" t="n">
        <v>0</v>
      </c>
      <c r="AR605" s="6" t="n">
        <v>0</v>
      </c>
    </row>
    <row r="606" customFormat="false" ht="15" hidden="false" customHeight="false" outlineLevel="0" collapsed="false">
      <c r="D606" s="0" t="s">
        <v>732</v>
      </c>
      <c r="J606" s="6" t="n">
        <v>-2.06417388416173</v>
      </c>
      <c r="K606" s="6" t="n">
        <v>-0.474860628921669</v>
      </c>
      <c r="L606" s="6" t="n">
        <v>-3.14925684448275</v>
      </c>
      <c r="M606" s="6" t="n">
        <v>-3.1216189833317</v>
      </c>
      <c r="N606" s="6" t="n">
        <v>2.30011461795953</v>
      </c>
      <c r="O606" s="6" t="n">
        <v>-0.251760258660175</v>
      </c>
      <c r="P606" s="6" t="n">
        <v>-2.44726954822606</v>
      </c>
      <c r="Q606" s="6" t="n">
        <v>0.360401649973115</v>
      </c>
      <c r="R606" s="6" t="n">
        <v>0.977493602235296</v>
      </c>
      <c r="S606" s="6" t="n">
        <v>-0.314037863504968</v>
      </c>
      <c r="T606" s="6" t="n">
        <v>-2.50641082126947</v>
      </c>
      <c r="U606" s="6" t="n">
        <v>3.10017550421517</v>
      </c>
      <c r="V606" s="6" t="n">
        <v>4.68479247274829</v>
      </c>
      <c r="W606" s="6" t="n">
        <v>4.4987528539022</v>
      </c>
      <c r="X606" s="6" t="n">
        <v>0.772084181518518</v>
      </c>
      <c r="Y606" s="6" t="n">
        <v>-0.415597985319636</v>
      </c>
      <c r="Z606" s="6" t="n">
        <v>4.58597900302229</v>
      </c>
      <c r="AA606" s="6" t="n">
        <v>-0.700322326919399</v>
      </c>
      <c r="AB606" s="6" t="n">
        <v>-2.47806817903073</v>
      </c>
      <c r="AC606" s="6" t="n">
        <v>-1.61451226790944</v>
      </c>
      <c r="AD606" s="6" t="n">
        <v>-0.579002252826011</v>
      </c>
      <c r="AE606" s="6" t="n">
        <v>-1.29782326324872</v>
      </c>
      <c r="AF606" s="6" t="n">
        <v>2.36841235413483</v>
      </c>
      <c r="AG606" s="6" t="n">
        <v>-0.591476175303988</v>
      </c>
      <c r="AH606" s="6" t="n">
        <v>-6.17595173113036</v>
      </c>
      <c r="AI606" s="6" t="n">
        <v>0.90604238948272</v>
      </c>
      <c r="AJ606" s="6" t="n">
        <v>79.0177813288678</v>
      </c>
      <c r="AK606" s="6" t="n">
        <v>0.130085387464492</v>
      </c>
      <c r="AL606" s="6" t="n">
        <v>1.0490419864529</v>
      </c>
      <c r="AN606" s="6" t="n">
        <v>1.29964921976679</v>
      </c>
      <c r="AO606" s="6" t="n">
        <v>1.29985257746902</v>
      </c>
      <c r="AP606" s="6" t="n">
        <v>0.134250172502997</v>
      </c>
      <c r="AQ606" s="6" t="n">
        <v>0</v>
      </c>
      <c r="AR606" s="6" t="n">
        <v>0</v>
      </c>
    </row>
    <row r="607" customFormat="false" ht="15" hidden="false" customHeight="false" outlineLevel="0" collapsed="false">
      <c r="D607" s="0" t="s">
        <v>733</v>
      </c>
      <c r="J607" s="6" t="n">
        <v>3.92996120081008</v>
      </c>
      <c r="K607" s="6" t="n">
        <v>0.135471146596292</v>
      </c>
      <c r="L607" s="6" t="n">
        <v>-0.268134726910858</v>
      </c>
      <c r="M607" s="6" t="n">
        <v>1.04834330500419</v>
      </c>
      <c r="N607" s="6" t="n">
        <v>-0.677194402045054</v>
      </c>
      <c r="O607" s="6" t="n">
        <v>1.81579510433973</v>
      </c>
      <c r="P607" s="6" t="n">
        <v>4.19678787444255</v>
      </c>
      <c r="Q607" s="6" t="n">
        <v>-4.3521154701557</v>
      </c>
      <c r="R607" s="6" t="n">
        <v>0.455500647765419</v>
      </c>
      <c r="S607" s="6" t="n">
        <v>-3.11320971952425</v>
      </c>
      <c r="T607" s="6" t="n">
        <v>-1.32838018901449</v>
      </c>
      <c r="U607" s="6" t="n">
        <v>-1.21227993727751</v>
      </c>
      <c r="V607" s="6" t="n">
        <v>-2.80779542065266</v>
      </c>
      <c r="W607" s="6" t="n">
        <v>0.460644464986144</v>
      </c>
      <c r="X607" s="6" t="n">
        <v>1.18371555043164</v>
      </c>
      <c r="Y607" s="6" t="n">
        <v>3.12077934415087</v>
      </c>
      <c r="Z607" s="6" t="n">
        <v>1.4385052645089</v>
      </c>
      <c r="AA607" s="6" t="n">
        <v>0.616174811111618</v>
      </c>
      <c r="AB607" s="6" t="n">
        <v>0.0751360659355114</v>
      </c>
      <c r="AC607" s="6" t="n">
        <v>1.96786583017607</v>
      </c>
      <c r="AD607" s="6" t="n">
        <v>-0.488682354671288</v>
      </c>
      <c r="AE607" s="6" t="n">
        <v>0.413539534739919</v>
      </c>
      <c r="AF607" s="6" t="n">
        <v>1.10860986462346</v>
      </c>
      <c r="AG607" s="6" t="n">
        <v>1.92661026457945</v>
      </c>
      <c r="AH607" s="6" t="n">
        <v>2.25971142445051</v>
      </c>
      <c r="AI607" s="6" t="n">
        <v>-3.45162346273715</v>
      </c>
      <c r="AJ607" s="6" t="n">
        <v>75.953796537782</v>
      </c>
      <c r="AK607" s="6" t="n">
        <v>0.203314566577203</v>
      </c>
      <c r="AL607" s="6" t="n">
        <v>1.05414439213331</v>
      </c>
      <c r="AN607" s="6" t="n">
        <v>1.28348726631753</v>
      </c>
      <c r="AO607" s="6" t="n">
        <v>1.28409868690981</v>
      </c>
      <c r="AP607" s="6" t="n">
        <v>0.131410435017053</v>
      </c>
      <c r="AQ607" s="6" t="n">
        <v>0</v>
      </c>
      <c r="AR607" s="6" t="n">
        <v>0</v>
      </c>
    </row>
    <row r="608" customFormat="false" ht="15" hidden="false" customHeight="false" outlineLevel="0" collapsed="false">
      <c r="D608" s="0" t="s">
        <v>734</v>
      </c>
      <c r="J608" s="6" t="n">
        <v>3.00309513038071</v>
      </c>
      <c r="K608" s="6" t="n">
        <v>1.2999273120943</v>
      </c>
      <c r="L608" s="6" t="n">
        <v>-0.901974991719019</v>
      </c>
      <c r="M608" s="6" t="n">
        <v>2.17276684611018</v>
      </c>
      <c r="N608" s="6" t="n">
        <v>-0.360281749727611</v>
      </c>
      <c r="O608" s="6" t="n">
        <v>-0.0750553144446033</v>
      </c>
      <c r="P608" s="6" t="n">
        <v>-0.190003717177123</v>
      </c>
      <c r="Q608" s="6" t="n">
        <v>2.77368411377031</v>
      </c>
      <c r="R608" s="6" t="n">
        <v>-2.13652963895124</v>
      </c>
      <c r="S608" s="6" t="n">
        <v>-0.843224975481617</v>
      </c>
      <c r="T608" s="6" t="n">
        <v>-0.032916179033682</v>
      </c>
      <c r="U608" s="6" t="n">
        <v>1.12896651412994</v>
      </c>
      <c r="V608" s="6" t="n">
        <v>0.216705881188301</v>
      </c>
      <c r="W608" s="6" t="n">
        <v>-2.75153743455898</v>
      </c>
      <c r="X608" s="6" t="n">
        <v>0.315734486463095</v>
      </c>
      <c r="Y608" s="6" t="n">
        <v>-4.24843136029289</v>
      </c>
      <c r="Z608" s="6" t="n">
        <v>-0.384491749599833</v>
      </c>
      <c r="AA608" s="6" t="n">
        <v>-0.717189562760044</v>
      </c>
      <c r="AB608" s="6" t="n">
        <v>2.32951893597119</v>
      </c>
      <c r="AC608" s="6" t="n">
        <v>-2.49298807977347</v>
      </c>
      <c r="AD608" s="6" t="n">
        <v>1.43326939892487</v>
      </c>
      <c r="AE608" s="6" t="n">
        <v>3.0551802636077</v>
      </c>
      <c r="AF608" s="6" t="n">
        <v>-1.4469511018422</v>
      </c>
      <c r="AG608" s="6" t="n">
        <v>-0.405626764975296</v>
      </c>
      <c r="AH608" s="6" t="n">
        <v>-1.96878258734606</v>
      </c>
      <c r="AI608" s="6" t="n">
        <v>-1.36238007905736</v>
      </c>
      <c r="AJ608" s="6" t="n">
        <v>72.5801669454746</v>
      </c>
      <c r="AK608" s="6" t="n">
        <v>0.107057774533624</v>
      </c>
      <c r="AL608" s="6" t="n">
        <v>1.07308143452759</v>
      </c>
      <c r="AN608" s="6" t="n">
        <v>1.28869730855068</v>
      </c>
      <c r="AO608" s="6" t="n">
        <v>1.28927543486949</v>
      </c>
      <c r="AP608" s="6" t="n">
        <v>0.132557626065149</v>
      </c>
      <c r="AQ608" s="6" t="n">
        <v>0</v>
      </c>
      <c r="AR608" s="6" t="n">
        <v>0</v>
      </c>
    </row>
    <row r="609" customFormat="false" ht="15" hidden="false" customHeight="false" outlineLevel="0" collapsed="false">
      <c r="D609" s="0" t="s">
        <v>735</v>
      </c>
      <c r="J609" s="6" t="n">
        <v>-1.86935561282432</v>
      </c>
      <c r="K609" s="6" t="n">
        <v>1.25386737338905</v>
      </c>
      <c r="L609" s="6" t="n">
        <v>-2.23598337365067</v>
      </c>
      <c r="M609" s="6" t="n">
        <v>2.75323694937397</v>
      </c>
      <c r="N609" s="6" t="n">
        <v>1.95713878238487</v>
      </c>
      <c r="O609" s="6" t="n">
        <v>0.596656763103919</v>
      </c>
      <c r="P609" s="6" t="n">
        <v>-0.442745234071126</v>
      </c>
      <c r="Q609" s="6" t="n">
        <v>-1.92385016539288</v>
      </c>
      <c r="R609" s="6" t="n">
        <v>-2.47045155247517</v>
      </c>
      <c r="S609" s="6" t="n">
        <v>-0.268231498361937</v>
      </c>
      <c r="T609" s="6" t="n">
        <v>5</v>
      </c>
      <c r="U609" s="6" t="n">
        <v>0.863239912995268</v>
      </c>
      <c r="V609" s="6" t="n">
        <v>1.00079830045072</v>
      </c>
      <c r="W609" s="6" t="n">
        <v>2.6562002022732</v>
      </c>
      <c r="X609" s="6" t="n">
        <v>-1.38887172106495</v>
      </c>
      <c r="Y609" s="6" t="n">
        <v>-3.04379437621592</v>
      </c>
      <c r="Z609" s="6" t="n">
        <v>3.24060184997807</v>
      </c>
      <c r="AA609" s="6" t="n">
        <v>-0.619111538817311</v>
      </c>
      <c r="AB609" s="6" t="n">
        <v>1.17295370331399</v>
      </c>
      <c r="AC609" s="6" t="n">
        <v>-1.75185459445923</v>
      </c>
      <c r="AD609" s="6" t="n">
        <v>3.13589074857052</v>
      </c>
      <c r="AE609" s="6" t="n">
        <v>-3.88045510104265</v>
      </c>
      <c r="AF609" s="6" t="n">
        <v>-1.28961592040323</v>
      </c>
      <c r="AG609" s="6" t="n">
        <v>2.83656800648272</v>
      </c>
      <c r="AH609" s="6" t="n">
        <v>-0.349662492840452</v>
      </c>
      <c r="AI609" s="6" t="n">
        <v>2.79298021716412</v>
      </c>
      <c r="AJ609" s="6" t="n">
        <v>67.8177290247433</v>
      </c>
      <c r="AK609" s="6" t="n">
        <v>0.113396842439275</v>
      </c>
      <c r="AL609" s="6" t="n">
        <v>1.05790692593277</v>
      </c>
      <c r="AN609" s="6" t="n">
        <v>1.29134452326267</v>
      </c>
      <c r="AO609" s="6" t="n">
        <v>1.29149864054293</v>
      </c>
      <c r="AP609" s="6" t="n">
        <v>0.13298155280467</v>
      </c>
      <c r="AQ609" s="6" t="n">
        <v>0</v>
      </c>
      <c r="AR609" s="6" t="n">
        <v>0</v>
      </c>
    </row>
    <row r="610" customFormat="false" ht="15" hidden="false" customHeight="false" outlineLevel="0" collapsed="false">
      <c r="D610" s="0" t="s">
        <v>736</v>
      </c>
      <c r="J610" s="6" t="n">
        <v>-2.18345753573553</v>
      </c>
      <c r="K610" s="6" t="n">
        <v>0.643836100831851</v>
      </c>
      <c r="L610" s="6" t="n">
        <v>-1.78403376197065</v>
      </c>
      <c r="M610" s="6" t="n">
        <v>1.49258107425792</v>
      </c>
      <c r="N610" s="6" t="n">
        <v>0.147184204268846</v>
      </c>
      <c r="O610" s="6" t="n">
        <v>1.0760577861848</v>
      </c>
      <c r="P610" s="6" t="n">
        <v>1.14243783593893</v>
      </c>
      <c r="Q610" s="6" t="n">
        <v>1.15082031840946</v>
      </c>
      <c r="R610" s="6" t="n">
        <v>2.9847474088066</v>
      </c>
      <c r="S610" s="6" t="n">
        <v>0.483255674575392</v>
      </c>
      <c r="T610" s="6" t="n">
        <v>1.68540695103699</v>
      </c>
      <c r="U610" s="6" t="n">
        <v>2.34477781932417</v>
      </c>
      <c r="V610" s="6" t="n">
        <v>-1.28791700493478</v>
      </c>
      <c r="W610" s="6" t="n">
        <v>0.969852425030932</v>
      </c>
      <c r="X610" s="6" t="n">
        <v>-2.06742366033636</v>
      </c>
      <c r="Y610" s="6" t="n">
        <v>1.26917070521576</v>
      </c>
      <c r="Z610" s="6" t="n">
        <v>0.293406332475094</v>
      </c>
      <c r="AA610" s="6" t="n">
        <v>2.87742571526234</v>
      </c>
      <c r="AB610" s="6" t="n">
        <v>0.6216112634657</v>
      </c>
      <c r="AC610" s="6" t="n">
        <v>-2.75678713818731</v>
      </c>
      <c r="AD610" s="6" t="n">
        <v>-0.38041303586069</v>
      </c>
      <c r="AE610" s="6" t="n">
        <v>0.711644671327825</v>
      </c>
      <c r="AF610" s="6" t="n">
        <v>0.137052785990692</v>
      </c>
      <c r="AG610" s="6" t="n">
        <v>1.57564624467728</v>
      </c>
      <c r="AH610" s="6" t="n">
        <v>0.681822401631445</v>
      </c>
      <c r="AI610" s="6" t="n">
        <v>2.34903676931365</v>
      </c>
      <c r="AJ610" s="6" t="n">
        <v>70.3240796247686</v>
      </c>
      <c r="AK610" s="6" t="n">
        <v>0.123433368051248</v>
      </c>
      <c r="AL610" s="6" t="n">
        <v>1.08639451202504</v>
      </c>
      <c r="AN610" s="6" t="n">
        <v>1.27922296498987</v>
      </c>
      <c r="AO610" s="6" t="n">
        <v>1.28008797268257</v>
      </c>
      <c r="AP610" s="6" t="n">
        <v>0.131390791786278</v>
      </c>
      <c r="AQ610" s="6" t="n">
        <v>0</v>
      </c>
      <c r="AR610" s="6" t="n">
        <v>0</v>
      </c>
    </row>
    <row r="611" customFormat="false" ht="15" hidden="false" customHeight="false" outlineLevel="0" collapsed="false">
      <c r="D611" s="0" t="s">
        <v>737</v>
      </c>
      <c r="J611" s="6" t="n">
        <v>1.69410716890456</v>
      </c>
      <c r="K611" s="6" t="n">
        <v>0.0705892951074073</v>
      </c>
      <c r="L611" s="6" t="n">
        <v>1.47674564596624</v>
      </c>
      <c r="M611" s="6" t="n">
        <v>1.64013633146502</v>
      </c>
      <c r="N611" s="6" t="n">
        <v>-0.0784073360871499</v>
      </c>
      <c r="O611" s="6" t="n">
        <v>-0.763793335176849</v>
      </c>
      <c r="P611" s="6" t="n">
        <v>-0.704447888383719</v>
      </c>
      <c r="Q611" s="6" t="n">
        <v>4.29048432185692</v>
      </c>
      <c r="R611" s="6" t="n">
        <v>1.9550662626608</v>
      </c>
      <c r="S611" s="6" t="n">
        <v>-0.236078356059853</v>
      </c>
      <c r="T611" s="6" t="n">
        <v>1.15920258653836</v>
      </c>
      <c r="U611" s="6" t="n">
        <v>-0.126163749759681</v>
      </c>
      <c r="V611" s="6" t="n">
        <v>-0.947917390217181</v>
      </c>
      <c r="W611" s="6" t="n">
        <v>-0.250150413847457</v>
      </c>
      <c r="X611" s="6" t="n">
        <v>2.45769483247358</v>
      </c>
      <c r="Y611" s="6" t="n">
        <v>-3.70538188379022</v>
      </c>
      <c r="Z611" s="6" t="n">
        <v>-0.230262436203323</v>
      </c>
      <c r="AA611" s="6" t="n">
        <v>-1.38583369006209</v>
      </c>
      <c r="AB611" s="6" t="n">
        <v>-0.441016840377732</v>
      </c>
      <c r="AC611" s="6" t="n">
        <v>-0.68831733250998</v>
      </c>
      <c r="AD611" s="6" t="n">
        <v>-2.88118007671597</v>
      </c>
      <c r="AE611" s="6" t="n">
        <v>1.61234791015679</v>
      </c>
      <c r="AF611" s="6" t="n">
        <v>-0.362980189762841</v>
      </c>
      <c r="AG611" s="6" t="n">
        <v>1.93409914150815</v>
      </c>
      <c r="AH611" s="6" t="n">
        <v>-0.277136877870354</v>
      </c>
      <c r="AI611" s="6" t="n">
        <v>-0.601272928540902</v>
      </c>
      <c r="AJ611" s="6" t="n">
        <v>58.2055639301492</v>
      </c>
      <c r="AK611" s="6" t="n">
        <v>0.126548691543756</v>
      </c>
      <c r="AL611" s="6" t="n">
        <v>1.07138590091995</v>
      </c>
      <c r="AN611" s="6" t="n">
        <v>1.28308459398178</v>
      </c>
      <c r="AO611" s="6" t="n">
        <v>1.28365558565812</v>
      </c>
      <c r="AP611" s="6" t="n">
        <v>0.131292736007645</v>
      </c>
      <c r="AQ611" s="6" t="n">
        <v>0</v>
      </c>
      <c r="AR611" s="6" t="n">
        <v>0</v>
      </c>
    </row>
    <row r="612" customFormat="false" ht="15" hidden="false" customHeight="false" outlineLevel="0" collapsed="false">
      <c r="D612" s="0" t="s">
        <v>738</v>
      </c>
      <c r="J612" s="6" t="n">
        <v>3.96089924892307</v>
      </c>
      <c r="K612" s="6" t="n">
        <v>2.26415606447036</v>
      </c>
      <c r="L612" s="6" t="n">
        <v>-2.00084137470921</v>
      </c>
      <c r="M612" s="6" t="n">
        <v>1.99794375556439</v>
      </c>
      <c r="N612" s="6" t="n">
        <v>-2.42261817448866</v>
      </c>
      <c r="O612" s="6" t="n">
        <v>1.10826824951525</v>
      </c>
      <c r="P612" s="6" t="n">
        <v>1.75751207584079</v>
      </c>
      <c r="Q612" s="6" t="n">
        <v>0.696127322518082</v>
      </c>
      <c r="R612" s="6" t="n">
        <v>-0.678712408706158</v>
      </c>
      <c r="S612" s="6" t="n">
        <v>1.06175644483878</v>
      </c>
      <c r="T612" s="6" t="n">
        <v>0.4817311051981</v>
      </c>
      <c r="U612" s="6" t="n">
        <v>0.359897731764095</v>
      </c>
      <c r="V612" s="6" t="n">
        <v>-1.97203493277972</v>
      </c>
      <c r="W612" s="6" t="n">
        <v>0.422886610790633</v>
      </c>
      <c r="X612" s="6" t="n">
        <v>-1.39636010365854</v>
      </c>
      <c r="Y612" s="6" t="n">
        <v>-1.98600585723371</v>
      </c>
      <c r="Z612" s="6" t="n">
        <v>0.432399675318142</v>
      </c>
      <c r="AA612" s="6" t="n">
        <v>-1.77293508140077</v>
      </c>
      <c r="AB612" s="6" t="n">
        <v>1.66207130223076</v>
      </c>
      <c r="AC612" s="6" t="n">
        <v>0.40714943166066</v>
      </c>
      <c r="AD612" s="6" t="n">
        <v>-2.24763081773613</v>
      </c>
      <c r="AE612" s="6" t="n">
        <v>1.42554048682026</v>
      </c>
      <c r="AF612" s="6" t="n">
        <v>0.0967071493760282</v>
      </c>
      <c r="AG612" s="6" t="n">
        <v>-0.51353238608647</v>
      </c>
      <c r="AH612" s="6" t="n">
        <v>-4.46818622800034</v>
      </c>
      <c r="AI612" s="6" t="n">
        <v>-1.75584861684834</v>
      </c>
      <c r="AJ612" s="6" t="n">
        <v>60.183079701549</v>
      </c>
      <c r="AK612" s="6" t="n">
        <v>0.136527874864573</v>
      </c>
      <c r="AL612" s="6" t="n">
        <v>1.00601561349595</v>
      </c>
      <c r="AN612" s="6" t="n">
        <v>1.30839976193813</v>
      </c>
      <c r="AO612" s="6" t="n">
        <v>1.30839976193813</v>
      </c>
      <c r="AP612" s="6" t="n">
        <v>0.137772996275185</v>
      </c>
      <c r="AQ612" s="6" t="n">
        <v>0</v>
      </c>
      <c r="AR612" s="6" t="n">
        <v>0</v>
      </c>
    </row>
    <row r="613" customFormat="false" ht="15" hidden="false" customHeight="false" outlineLevel="0" collapsed="false">
      <c r="D613" s="0" t="s">
        <v>739</v>
      </c>
      <c r="J613" s="6" t="n">
        <v>-2.19064038053015</v>
      </c>
      <c r="K613" s="6" t="n">
        <v>-1.77525595730524</v>
      </c>
      <c r="L613" s="6" t="n">
        <v>1.44017257079712</v>
      </c>
      <c r="M613" s="6" t="n">
        <v>-2.92256045895074</v>
      </c>
      <c r="N613" s="6" t="n">
        <v>-1.21632322988924</v>
      </c>
      <c r="O613" s="6" t="n">
        <v>0.000852442100457598</v>
      </c>
      <c r="P613" s="6" t="n">
        <v>0.590487689607149</v>
      </c>
      <c r="Q613" s="6" t="n">
        <v>-1.79315285037218</v>
      </c>
      <c r="R613" s="6" t="n">
        <v>-3.80219065341401</v>
      </c>
      <c r="S613" s="6" t="n">
        <v>0.595173759599044</v>
      </c>
      <c r="T613" s="6" t="n">
        <v>0.791417341475266</v>
      </c>
      <c r="U613" s="6" t="n">
        <v>-0.398391333633354</v>
      </c>
      <c r="V613" s="6" t="n">
        <v>-1.64346550260341</v>
      </c>
      <c r="W613" s="6" t="n">
        <v>1.78594435111579</v>
      </c>
      <c r="X613" s="6" t="n">
        <v>-1.21917132645375</v>
      </c>
      <c r="Y613" s="6" t="n">
        <v>-0.413301254683938</v>
      </c>
      <c r="Z613" s="6" t="n">
        <v>-0.0573329391009471</v>
      </c>
      <c r="AA613" s="6" t="n">
        <v>0.774762256773614</v>
      </c>
      <c r="AB613" s="6" t="n">
        <v>1.43160484174684</v>
      </c>
      <c r="AC613" s="6" t="n">
        <v>-4.17322507820846</v>
      </c>
      <c r="AD613" s="6" t="n">
        <v>-1.74054635131644</v>
      </c>
      <c r="AE613" s="6" t="n">
        <v>0.654661791136924</v>
      </c>
      <c r="AF613" s="6" t="n">
        <v>0.776565924238646</v>
      </c>
      <c r="AG613" s="6" t="n">
        <v>2.23858212855336</v>
      </c>
      <c r="AH613" s="6" t="n">
        <v>-2.41217944282839</v>
      </c>
      <c r="AI613" s="6" t="n">
        <v>-0.417204174334928</v>
      </c>
      <c r="AJ613" s="6" t="n">
        <v>73.366693883702</v>
      </c>
      <c r="AK613" s="6" t="n">
        <v>0.123769414972046</v>
      </c>
      <c r="AL613" s="6" t="n">
        <v>1.04429477775919</v>
      </c>
      <c r="AN613" s="6" t="n">
        <v>1.2989144626213</v>
      </c>
      <c r="AO613" s="6" t="n">
        <v>1.29939383790125</v>
      </c>
      <c r="AP613" s="6" t="n">
        <v>0.134106861969955</v>
      </c>
      <c r="AQ613" s="6" t="n">
        <v>0</v>
      </c>
      <c r="AR613" s="6" t="n">
        <v>0</v>
      </c>
    </row>
    <row r="614" customFormat="false" ht="15" hidden="false" customHeight="false" outlineLevel="0" collapsed="false">
      <c r="D614" s="0" t="s">
        <v>740</v>
      </c>
      <c r="J614" s="6" t="n">
        <v>-1.8166222212593</v>
      </c>
      <c r="K614" s="6" t="n">
        <v>-0.429031054958593</v>
      </c>
      <c r="L614" s="6" t="n">
        <v>-2.23682139965404</v>
      </c>
      <c r="M614" s="6" t="n">
        <v>0.508837475643043</v>
      </c>
      <c r="N614" s="6" t="n">
        <v>3.98770028546794</v>
      </c>
      <c r="O614" s="6" t="n">
        <v>-1.33220252843473</v>
      </c>
      <c r="P614" s="6" t="n">
        <v>-4.51123571341141</v>
      </c>
      <c r="Q614" s="6" t="n">
        <v>1.00087946826221</v>
      </c>
      <c r="R614" s="6" t="n">
        <v>0.79689115719383</v>
      </c>
      <c r="S614" s="6" t="n">
        <v>1.66882829658429</v>
      </c>
      <c r="T614" s="6" t="n">
        <v>-2.7542656739592</v>
      </c>
      <c r="U614" s="6" t="n">
        <v>-0.366565675537662</v>
      </c>
      <c r="V614" s="6" t="n">
        <v>2.67202452758185</v>
      </c>
      <c r="W614" s="6" t="n">
        <v>-1.87104508218965</v>
      </c>
      <c r="X614" s="6" t="n">
        <v>0.794161561363411</v>
      </c>
      <c r="Y614" s="6" t="n">
        <v>2.39576477223586</v>
      </c>
      <c r="Z614" s="6" t="n">
        <v>0.925422579075655</v>
      </c>
      <c r="AA614" s="6" t="n">
        <v>-0.701289378786549</v>
      </c>
      <c r="AB614" s="6" t="n">
        <v>-0.977475837903987</v>
      </c>
      <c r="AC614" s="6" t="n">
        <v>-0.311100754627474</v>
      </c>
      <c r="AD614" s="6" t="n">
        <v>-2.04327019374625</v>
      </c>
      <c r="AE614" s="6" t="n">
        <v>-3.08096891751394</v>
      </c>
      <c r="AF614" s="6" t="n">
        <v>-2.17467367266324</v>
      </c>
      <c r="AG614" s="6" t="n">
        <v>0.841441250660402</v>
      </c>
      <c r="AH614" s="6" t="n">
        <v>-2.0601419096179</v>
      </c>
      <c r="AI614" s="6" t="n">
        <v>-0.919185187869618</v>
      </c>
      <c r="AJ614" s="6" t="n">
        <v>72.0122914059058</v>
      </c>
      <c r="AK614" s="6" t="n">
        <v>0.114205327869451</v>
      </c>
      <c r="AL614" s="6" t="n">
        <v>1.08395587205469</v>
      </c>
      <c r="AN614" s="6" t="n">
        <v>1.28446588924882</v>
      </c>
      <c r="AO614" s="6" t="n">
        <v>1.28596730890422</v>
      </c>
      <c r="AP614" s="6" t="n">
        <v>0.132048455324324</v>
      </c>
      <c r="AQ614" s="6" t="n">
        <v>0</v>
      </c>
      <c r="AR614" s="6" t="n">
        <v>0</v>
      </c>
    </row>
    <row r="615" customFormat="false" ht="15" hidden="false" customHeight="false" outlineLevel="0" collapsed="false">
      <c r="D615" s="0" t="s">
        <v>741</v>
      </c>
      <c r="J615" s="6" t="n">
        <v>-2.1363992135487</v>
      </c>
      <c r="K615" s="6" t="n">
        <v>1.74469695540774</v>
      </c>
      <c r="L615" s="6" t="n">
        <v>-4.5664499667812</v>
      </c>
      <c r="M615" s="6" t="n">
        <v>2.47873083282004</v>
      </c>
      <c r="N615" s="6" t="n">
        <v>-0.175153032255914</v>
      </c>
      <c r="O615" s="6" t="n">
        <v>3.16705161107106</v>
      </c>
      <c r="P615" s="6" t="n">
        <v>-4.71066250989881</v>
      </c>
      <c r="Q615" s="6" t="n">
        <v>0.400013484199162</v>
      </c>
      <c r="R615" s="6" t="n">
        <v>1.10561244047086</v>
      </c>
      <c r="S615" s="6" t="n">
        <v>-0.778141287997738</v>
      </c>
      <c r="T615" s="6" t="n">
        <v>0.371972550365172</v>
      </c>
      <c r="U615" s="6" t="n">
        <v>-0.441502786560232</v>
      </c>
      <c r="V615" s="6" t="n">
        <v>0.396975715682688</v>
      </c>
      <c r="W615" s="6" t="n">
        <v>2.33777332676955</v>
      </c>
      <c r="X615" s="6" t="n">
        <v>-0.131251136423211</v>
      </c>
      <c r="Y615" s="6" t="n">
        <v>1.36763347685311</v>
      </c>
      <c r="Z615" s="6" t="n">
        <v>-3.38271915476862</v>
      </c>
      <c r="AA615" s="6" t="n">
        <v>-1.01199651397924</v>
      </c>
      <c r="AB615" s="6" t="n">
        <v>3.06301678949549</v>
      </c>
      <c r="AC615" s="6" t="n">
        <v>4.17662240033041</v>
      </c>
      <c r="AD615" s="6" t="n">
        <v>3.56951177766301</v>
      </c>
      <c r="AE615" s="6" t="n">
        <v>-2.8032612749745</v>
      </c>
      <c r="AF615" s="6" t="n">
        <v>0.815389510657163</v>
      </c>
      <c r="AG615" s="6" t="n">
        <v>0.956448239120335</v>
      </c>
      <c r="AH615" s="6" t="n">
        <v>1.24311040718551</v>
      </c>
      <c r="AI615" s="6" t="n">
        <v>-1.88523854184226</v>
      </c>
      <c r="AJ615" s="6" t="n">
        <v>64.9053064694444</v>
      </c>
      <c r="AK615" s="6" t="n">
        <v>0.15680420557816</v>
      </c>
      <c r="AL615" s="6" t="n">
        <v>1.04664758880877</v>
      </c>
      <c r="AN615" s="6" t="n">
        <v>1.2889947155492</v>
      </c>
      <c r="AO615" s="6" t="n">
        <v>1.28943708188874</v>
      </c>
      <c r="AP615" s="6" t="n">
        <v>0.133009753568887</v>
      </c>
      <c r="AQ615" s="6" t="n">
        <v>0</v>
      </c>
      <c r="AR615" s="6" t="n">
        <v>0</v>
      </c>
    </row>
    <row r="616" customFormat="false" ht="15" hidden="false" customHeight="false" outlineLevel="0" collapsed="false">
      <c r="D616" s="0" t="s">
        <v>742</v>
      </c>
      <c r="J616" s="6" t="n">
        <v>0.210695717826261</v>
      </c>
      <c r="K616" s="6" t="n">
        <v>1.76317399333324</v>
      </c>
      <c r="L616" s="6" t="n">
        <v>0.92568506425655</v>
      </c>
      <c r="M616" s="6" t="n">
        <v>-1.33955945956631</v>
      </c>
      <c r="N616" s="6" t="n">
        <v>-0.467275524037541</v>
      </c>
      <c r="O616" s="6" t="n">
        <v>-2.52974112737677</v>
      </c>
      <c r="P616" s="6" t="n">
        <v>-0.592281760347335</v>
      </c>
      <c r="Q616" s="6" t="n">
        <v>-0.802824350760386</v>
      </c>
      <c r="R616" s="6" t="n">
        <v>-1.3759174267087</v>
      </c>
      <c r="S616" s="6" t="n">
        <v>-0.873206653353931</v>
      </c>
      <c r="T616" s="6" t="n">
        <v>-1.01873474046263</v>
      </c>
      <c r="U616" s="6" t="n">
        <v>-0.770724862493856</v>
      </c>
      <c r="V616" s="6" t="n">
        <v>0.895248616950557</v>
      </c>
      <c r="W616" s="6" t="n">
        <v>1.53647020917405</v>
      </c>
      <c r="X616" s="6" t="n">
        <v>-0.48638259429005</v>
      </c>
      <c r="Y616" s="6" t="n">
        <v>0.140796301517365</v>
      </c>
      <c r="Z616" s="6" t="n">
        <v>0.00196742302015767</v>
      </c>
      <c r="AA616" s="6" t="n">
        <v>1.02710898185008</v>
      </c>
      <c r="AB616" s="6" t="n">
        <v>1.52252394639674</v>
      </c>
      <c r="AC616" s="6" t="n">
        <v>0.0772288062056899</v>
      </c>
      <c r="AD616" s="6" t="n">
        <v>-1.13292637150951</v>
      </c>
      <c r="AE616" s="6" t="n">
        <v>-3.48422953775943</v>
      </c>
      <c r="AF616" s="6" t="n">
        <v>-0.904703427317804</v>
      </c>
      <c r="AG616" s="6" t="n">
        <v>-0.330912051811686</v>
      </c>
      <c r="AH616" s="6" t="n">
        <v>0.960666458072749</v>
      </c>
      <c r="AI616" s="6" t="n">
        <v>-0.908958997863031</v>
      </c>
      <c r="AJ616" s="6" t="n">
        <v>76.3913375272341</v>
      </c>
      <c r="AK616" s="6" t="n">
        <v>0.15306754043351</v>
      </c>
      <c r="AL616" s="6" t="n">
        <v>1.01430408438734</v>
      </c>
      <c r="AN616" s="6" t="n">
        <v>1.31392791972753</v>
      </c>
      <c r="AO616" s="6" t="n">
        <v>1.31392791972753</v>
      </c>
      <c r="AP616" s="6" t="n">
        <v>0.137879887879291</v>
      </c>
      <c r="AQ616" s="6" t="n">
        <v>0</v>
      </c>
      <c r="AR616" s="6" t="n">
        <v>0</v>
      </c>
    </row>
    <row r="617" customFormat="false" ht="15" hidden="false" customHeight="false" outlineLevel="0" collapsed="false">
      <c r="D617" s="0" t="s">
        <v>743</v>
      </c>
      <c r="J617" s="6" t="n">
        <v>-0.081557374538539</v>
      </c>
      <c r="K617" s="6" t="n">
        <v>-3.33507609336448</v>
      </c>
      <c r="L617" s="6" t="n">
        <v>1.91987735069732</v>
      </c>
      <c r="M617" s="6" t="n">
        <v>-3.17042928641614</v>
      </c>
      <c r="N617" s="6" t="n">
        <v>2.84234615485131</v>
      </c>
      <c r="O617" s="6" t="n">
        <v>2.34311021303376</v>
      </c>
      <c r="P617" s="6" t="n">
        <v>0.591659269955601</v>
      </c>
      <c r="Q617" s="6" t="n">
        <v>1.66317978993005</v>
      </c>
      <c r="R617" s="6" t="n">
        <v>-2.0848257636873</v>
      </c>
      <c r="S617" s="6" t="n">
        <v>3.22489169598196</v>
      </c>
      <c r="T617" s="6" t="n">
        <v>0.81642276533192</v>
      </c>
      <c r="U617" s="6" t="n">
        <v>4.2201626342629</v>
      </c>
      <c r="V617" s="6" t="n">
        <v>1.56186443170237</v>
      </c>
      <c r="W617" s="6" t="n">
        <v>0.631563475060788</v>
      </c>
      <c r="X617" s="6" t="n">
        <v>-2.52453443934917</v>
      </c>
      <c r="Y617" s="6" t="n">
        <v>3.64558329974432</v>
      </c>
      <c r="Z617" s="6" t="n">
        <v>-3.07333085593877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</v>
      </c>
      <c r="AF617" s="6" t="n">
        <v>0.155255420478243</v>
      </c>
      <c r="AG617" s="6" t="n">
        <v>1.66128826549905</v>
      </c>
      <c r="AH617" s="6" t="n">
        <v>0.230969261110264</v>
      </c>
      <c r="AI617" s="6" t="n">
        <v>-2.83959793619476</v>
      </c>
      <c r="AJ617" s="6" t="n">
        <v>73.8361741548439</v>
      </c>
      <c r="AK617" s="6" t="n">
        <v>0.0838572924775496</v>
      </c>
      <c r="AL617" s="6" t="n">
        <v>1.02449615456587</v>
      </c>
      <c r="AN617" s="6" t="n">
        <v>1.31173795995373</v>
      </c>
      <c r="AO617" s="6" t="n">
        <v>1.31173795995373</v>
      </c>
      <c r="AP617" s="6" t="n">
        <v>0.137722959601946</v>
      </c>
      <c r="AQ617" s="6" t="n">
        <v>0</v>
      </c>
      <c r="AR617" s="6" t="n">
        <v>0</v>
      </c>
    </row>
    <row r="618" customFormat="false" ht="15" hidden="false" customHeight="false" outlineLevel="0" collapsed="false">
      <c r="D618" s="0" t="s">
        <v>744</v>
      </c>
      <c r="J618" s="6" t="n">
        <v>-2.11345725634471</v>
      </c>
      <c r="K618" s="6" t="n">
        <v>4.567176479552</v>
      </c>
      <c r="L618" s="6" t="n">
        <v>-2.27763981707623</v>
      </c>
      <c r="M618" s="6" t="n">
        <v>1.32776975038459</v>
      </c>
      <c r="N618" s="6" t="n">
        <v>3.62130012085655</v>
      </c>
      <c r="O618" s="6" t="n">
        <v>1.3537967374496</v>
      </c>
      <c r="P618" s="6" t="n">
        <v>3.83382937269879</v>
      </c>
      <c r="Q618" s="6" t="n">
        <v>-0.561532260836679</v>
      </c>
      <c r="R618" s="6" t="n">
        <v>-2.06035706619612</v>
      </c>
      <c r="S618" s="6" t="n">
        <v>-1.20931423204969</v>
      </c>
      <c r="T618" s="6" t="n">
        <v>3.13574097128971</v>
      </c>
      <c r="U618" s="6" t="n">
        <v>-3.30158592293061</v>
      </c>
      <c r="V618" s="6" t="n">
        <v>-1.24022434447266</v>
      </c>
      <c r="W618" s="6" t="n">
        <v>-0.909127170315978</v>
      </c>
      <c r="X618" s="6" t="n">
        <v>0.117716529457754</v>
      </c>
      <c r="Y618" s="6" t="n">
        <v>0.0946708871508404</v>
      </c>
      <c r="Z618" s="6" t="n">
        <v>0.800948538763368</v>
      </c>
      <c r="AA618" s="6" t="n">
        <v>1.54055157252271</v>
      </c>
      <c r="AB618" s="6" t="n">
        <v>0.162657556784194</v>
      </c>
      <c r="AC618" s="6" t="n">
        <v>0.65642678975225</v>
      </c>
      <c r="AD618" s="6" t="n">
        <v>0.971977098901665</v>
      </c>
      <c r="AE618" s="6" t="n">
        <v>0.15757596118068</v>
      </c>
      <c r="AF618" s="6" t="n">
        <v>-0.35926221946291</v>
      </c>
      <c r="AG618" s="6" t="n">
        <v>3.00416976550066</v>
      </c>
      <c r="AH618" s="6" t="n">
        <v>1.43652121088358</v>
      </c>
      <c r="AI618" s="6" t="n">
        <v>-0.172040269932573</v>
      </c>
      <c r="AJ618" s="6" t="n">
        <v>67.1337949587754</v>
      </c>
      <c r="AK618" s="6" t="n">
        <v>0.123514101464978</v>
      </c>
      <c r="AL618" s="6" t="n">
        <v>0.997558849875428</v>
      </c>
      <c r="AN618" s="6" t="n">
        <v>1.31484577110837</v>
      </c>
      <c r="AO618" s="6" t="n">
        <v>1.31484577110837</v>
      </c>
      <c r="AP618" s="6" t="n">
        <v>0.140272025995719</v>
      </c>
      <c r="AQ618" s="6" t="n">
        <v>0</v>
      </c>
      <c r="AR618" s="6" t="n">
        <v>0</v>
      </c>
    </row>
    <row r="619" customFormat="false" ht="15" hidden="false" customHeight="false" outlineLevel="0" collapsed="false">
      <c r="D619" s="0" t="s">
        <v>745</v>
      </c>
      <c r="J619" s="6" t="n">
        <v>0.272303086925062</v>
      </c>
      <c r="K619" s="6" t="n">
        <v>-2.91719207914592</v>
      </c>
      <c r="L619" s="6" t="n">
        <v>0.620704401839424</v>
      </c>
      <c r="M619" s="6" t="n">
        <v>-1.87622016048635</v>
      </c>
      <c r="N619" s="6" t="n">
        <v>0.854829366817084</v>
      </c>
      <c r="O619" s="6" t="n">
        <v>2.55744227446243</v>
      </c>
      <c r="P619" s="6" t="n">
        <v>-4.95627517365011</v>
      </c>
      <c r="Q619" s="6" t="n">
        <v>0.574384243290643</v>
      </c>
      <c r="R619" s="6" t="n">
        <v>-1.04293331101129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0.358377143072376</v>
      </c>
      <c r="W619" s="6" t="n">
        <v>1.80066579941343</v>
      </c>
      <c r="X619" s="6" t="n">
        <v>0.0613588462765251</v>
      </c>
      <c r="Y619" s="6" t="n">
        <v>1.37941415854991</v>
      </c>
      <c r="Z619" s="6" t="n">
        <v>-5.40186656534728</v>
      </c>
      <c r="AA619" s="6" t="n">
        <v>1.1764854563367</v>
      </c>
      <c r="AB619" s="6" t="n">
        <v>-1.85860580236365</v>
      </c>
      <c r="AC619" s="6" t="n">
        <v>1.4498795220302</v>
      </c>
      <c r="AD619" s="6" t="n">
        <v>-1.11254551946243</v>
      </c>
      <c r="AE619" s="6" t="n">
        <v>-0.790778337305647</v>
      </c>
      <c r="AF619" s="6" t="n">
        <v>1.76584292821433</v>
      </c>
      <c r="AG619" s="6" t="n">
        <v>1.76579234944091</v>
      </c>
      <c r="AH619" s="6" t="n">
        <v>-0.647827769506039</v>
      </c>
      <c r="AI619" s="6" t="n">
        <v>-1.45774361694575</v>
      </c>
      <c r="AJ619" s="6" t="n">
        <v>74.5908525948278</v>
      </c>
      <c r="AK619" s="6" t="n">
        <v>0.10094496890823</v>
      </c>
      <c r="AL619" s="6" t="n">
        <v>1.05617701763224</v>
      </c>
      <c r="AN619" s="6" t="n">
        <v>1.29298697025044</v>
      </c>
      <c r="AO619" s="6" t="n">
        <v>1.2951083052292</v>
      </c>
      <c r="AP619" s="6" t="n">
        <v>0.134112994161432</v>
      </c>
      <c r="AQ619" s="6" t="n">
        <v>0</v>
      </c>
      <c r="AR619" s="6" t="n">
        <v>0</v>
      </c>
    </row>
    <row r="620" customFormat="false" ht="15" hidden="false" customHeight="false" outlineLevel="0" collapsed="false">
      <c r="D620" s="0" t="s">
        <v>746</v>
      </c>
      <c r="J620" s="6" t="n">
        <v>5</v>
      </c>
      <c r="K620" s="6" t="n">
        <v>0.915154113186683</v>
      </c>
      <c r="L620" s="6" t="n">
        <v>2.36452333399145</v>
      </c>
      <c r="M620" s="6" t="n">
        <v>1.13325278409798</v>
      </c>
      <c r="N620" s="6" t="n">
        <v>-0.222862119720636</v>
      </c>
      <c r="O620" s="6" t="n">
        <v>-2.98037485043315</v>
      </c>
      <c r="P620" s="6" t="n">
        <v>-1.86975048773673</v>
      </c>
      <c r="Q620" s="6" t="n">
        <v>-0.26603004403651</v>
      </c>
      <c r="R620" s="6" t="n">
        <v>1.16338466606506</v>
      </c>
      <c r="S620" s="6" t="n">
        <v>-0.403767258278208</v>
      </c>
      <c r="T620" s="6" t="n">
        <v>-1.59387186431786</v>
      </c>
      <c r="U620" s="6" t="n">
        <v>-1.57345782097686</v>
      </c>
      <c r="V620" s="6" t="n">
        <v>3.17719806627677</v>
      </c>
      <c r="W620" s="6" t="n">
        <v>-3.39114941189474</v>
      </c>
      <c r="X620" s="6" t="n">
        <v>0.039966720168363</v>
      </c>
      <c r="Y620" s="6" t="n">
        <v>4.04351177619855</v>
      </c>
      <c r="Z620" s="6" t="n">
        <v>-4.05013508889318</v>
      </c>
      <c r="AA620" s="6" t="n">
        <v>3.4118578427533</v>
      </c>
      <c r="AB620" s="6" t="n">
        <v>-2.39180841296472</v>
      </c>
      <c r="AC620" s="6" t="n">
        <v>0.0978801756565191</v>
      </c>
      <c r="AD620" s="6" t="n">
        <v>-0.694134305453662</v>
      </c>
      <c r="AE620" s="6" t="n">
        <v>1.43384062942969</v>
      </c>
      <c r="AF620" s="6" t="n">
        <v>-1.88243576450362</v>
      </c>
      <c r="AG620" s="6" t="n">
        <v>-0.628609554851512</v>
      </c>
      <c r="AH620" s="6" t="n">
        <v>-1.41952858527396</v>
      </c>
      <c r="AI620" s="6" t="n">
        <v>0.295735740105398</v>
      </c>
      <c r="AJ620" s="6" t="n">
        <v>76.9786784687906</v>
      </c>
      <c r="AK620" s="6" t="n">
        <v>0.107109214830956</v>
      </c>
      <c r="AL620" s="6" t="n">
        <v>1.06291903314591</v>
      </c>
      <c r="AN620" s="6" t="n">
        <v>1.29786285996368</v>
      </c>
      <c r="AO620" s="6" t="n">
        <v>1.29826205884456</v>
      </c>
      <c r="AP620" s="6" t="n">
        <v>0.13381166386939</v>
      </c>
      <c r="AQ620" s="6" t="n">
        <v>0</v>
      </c>
      <c r="AR620" s="6" t="n">
        <v>0</v>
      </c>
    </row>
    <row r="621" customFormat="false" ht="15" hidden="false" customHeight="false" outlineLevel="0" collapsed="false">
      <c r="D621" s="0" t="s">
        <v>747</v>
      </c>
      <c r="J621" s="6" t="n">
        <v>-3.24905558475631</v>
      </c>
      <c r="K621" s="6" t="n">
        <v>-3.49630154093749</v>
      </c>
      <c r="L621" s="6" t="n">
        <v>2.42323690400703</v>
      </c>
      <c r="M621" s="6" t="n">
        <v>2.41087032198921</v>
      </c>
      <c r="N621" s="6" t="n">
        <v>-1.55202128033345</v>
      </c>
      <c r="O621" s="6" t="n">
        <v>2.09279305903327</v>
      </c>
      <c r="P621" s="6" t="n">
        <v>2.76094351387949</v>
      </c>
      <c r="Q621" s="6" t="n">
        <v>-1.79702304728661</v>
      </c>
      <c r="R621" s="6" t="n">
        <v>-1.28772420120217</v>
      </c>
      <c r="S621" s="6" t="n">
        <v>5</v>
      </c>
      <c r="T621" s="6" t="n">
        <v>1.77579714710981</v>
      </c>
      <c r="U621" s="6" t="n">
        <v>3.49111790479754</v>
      </c>
      <c r="V621" s="6" t="n">
        <v>0.640185730574357</v>
      </c>
      <c r="W621" s="6" t="n">
        <v>-1.56279070335823</v>
      </c>
      <c r="X621" s="6" t="n">
        <v>-3.69665684231546</v>
      </c>
      <c r="Y621" s="6" t="n">
        <v>3.72740868105571</v>
      </c>
      <c r="Z621" s="6" t="n">
        <v>-0.4030113467655</v>
      </c>
      <c r="AA621" s="6" t="n">
        <v>-0.476489564266561</v>
      </c>
      <c r="AB621" s="6" t="n">
        <v>1.15683372075434</v>
      </c>
      <c r="AC621" s="6" t="n">
        <v>1.98158919031372</v>
      </c>
      <c r="AD621" s="6" t="n">
        <v>1.38037393022364</v>
      </c>
      <c r="AE621" s="6" t="n">
        <v>1.05450391440891</v>
      </c>
      <c r="AF621" s="6" t="n">
        <v>-2.72328298571859</v>
      </c>
      <c r="AG621" s="6" t="n">
        <v>2.20243868966354</v>
      </c>
      <c r="AH621" s="6" t="n">
        <v>2.51274489811997</v>
      </c>
      <c r="AI621" s="6" t="n">
        <v>-0.884719767328358</v>
      </c>
      <c r="AJ621" s="6" t="n">
        <v>74.7435450077582</v>
      </c>
      <c r="AK621" s="6" t="n">
        <v>0.111412193155678</v>
      </c>
      <c r="AL621" s="6" t="n">
        <v>1.08505125950105</v>
      </c>
      <c r="AN621" s="6" t="n">
        <v>1.28209688438038</v>
      </c>
      <c r="AO621" s="6" t="n">
        <v>1.28240841953752</v>
      </c>
      <c r="AP621" s="6" t="n">
        <v>0.131743437402604</v>
      </c>
      <c r="AQ621" s="6" t="n">
        <v>0</v>
      </c>
      <c r="AR621" s="6" t="n">
        <v>0</v>
      </c>
    </row>
    <row r="622" customFormat="false" ht="15" hidden="false" customHeight="false" outlineLevel="0" collapsed="false">
      <c r="D622" s="0" t="s">
        <v>748</v>
      </c>
      <c r="J622" s="6" t="n">
        <v>2.20805259788382</v>
      </c>
      <c r="K622" s="6" t="n">
        <v>4.43788055476042</v>
      </c>
      <c r="L622" s="6" t="n">
        <v>1.13224131906831</v>
      </c>
      <c r="M622" s="6" t="n">
        <v>1.8244062583579</v>
      </c>
      <c r="N622" s="6" t="n">
        <v>-3.46591137447451</v>
      </c>
      <c r="O622" s="6" t="n">
        <v>-1.93909287416354</v>
      </c>
      <c r="P622" s="6" t="n">
        <v>-1.30296341130737</v>
      </c>
      <c r="Q622" s="6" t="n">
        <v>-1.50816054118514</v>
      </c>
      <c r="R622" s="6" t="n">
        <v>2.17796160165673</v>
      </c>
      <c r="S622" s="6" t="n">
        <v>0.301823412756657</v>
      </c>
      <c r="T622" s="6" t="n">
        <v>0.84422781576424</v>
      </c>
      <c r="U622" s="6" t="n">
        <v>1.5649166279504</v>
      </c>
      <c r="V622" s="6" t="n">
        <v>0.119134626078563</v>
      </c>
      <c r="W622" s="6" t="n">
        <v>3.04885382769215</v>
      </c>
      <c r="X622" s="6" t="n">
        <v>2.21679183858417</v>
      </c>
      <c r="Y622" s="6" t="n">
        <v>0.898538820270503</v>
      </c>
      <c r="Z622" s="6" t="n">
        <v>2.13010918863973</v>
      </c>
      <c r="AA622" s="6" t="n">
        <v>-2.53254483342864</v>
      </c>
      <c r="AB622" s="6" t="n">
        <v>5</v>
      </c>
      <c r="AC622" s="6" t="n">
        <v>1.26003854342741</v>
      </c>
      <c r="AD622" s="6" t="n">
        <v>1.35178733476389</v>
      </c>
      <c r="AE622" s="6" t="n">
        <v>3.39963022706382</v>
      </c>
      <c r="AF622" s="6" t="n">
        <v>1.08459176869532</v>
      </c>
      <c r="AG622" s="6" t="n">
        <v>-0.478846437628678</v>
      </c>
      <c r="AH622" s="6" t="n">
        <v>0.938911902498953</v>
      </c>
      <c r="AI622" s="6" t="n">
        <v>-1.08638702551053</v>
      </c>
      <c r="AJ622" s="6" t="n">
        <v>74.97998923248</v>
      </c>
      <c r="AK622" s="6" t="n">
        <v>0.191468994333705</v>
      </c>
      <c r="AL622" s="6" t="n">
        <v>1.0294676029903</v>
      </c>
      <c r="AN622" s="6" t="n">
        <v>1.30196007531549</v>
      </c>
      <c r="AO622" s="6" t="n">
        <v>1.30256524753117</v>
      </c>
      <c r="AP622" s="6" t="n">
        <v>0.134719624796684</v>
      </c>
      <c r="AQ622" s="6" t="n">
        <v>0</v>
      </c>
      <c r="AR622" s="6" t="n">
        <v>0</v>
      </c>
    </row>
    <row r="623" customFormat="false" ht="15" hidden="false" customHeight="false" outlineLevel="0" collapsed="false">
      <c r="D623" s="0" t="s">
        <v>749</v>
      </c>
      <c r="J623" s="6" t="n">
        <v>2.45190919280064</v>
      </c>
      <c r="K623" s="6" t="n">
        <v>-0.262295175421292</v>
      </c>
      <c r="L623" s="6" t="n">
        <v>1.06040859650145</v>
      </c>
      <c r="M623" s="6" t="n">
        <v>0.56425273008973</v>
      </c>
      <c r="N623" s="6" t="n">
        <v>4.94908323690327</v>
      </c>
      <c r="O623" s="6" t="n">
        <v>-3.13002502615659</v>
      </c>
      <c r="P623" s="6" t="n">
        <v>-2.44532083860937</v>
      </c>
      <c r="Q623" s="6" t="n">
        <v>1.75624255379093</v>
      </c>
      <c r="R623" s="6" t="n">
        <v>0.773479731182541</v>
      </c>
      <c r="S623" s="6" t="n">
        <v>1.35981662422246</v>
      </c>
      <c r="T623" s="6" t="n">
        <v>0.667323177829419</v>
      </c>
      <c r="U623" s="6" t="n">
        <v>1.65694362993151</v>
      </c>
      <c r="V623" s="6" t="n">
        <v>2.06478214982915</v>
      </c>
      <c r="W623" s="6" t="n">
        <v>-0.529190686581794</v>
      </c>
      <c r="X623" s="6" t="n">
        <v>-1.6442855718975</v>
      </c>
      <c r="Y623" s="6" t="n">
        <v>3.19975491705083</v>
      </c>
      <c r="Z623" s="6" t="n">
        <v>-0.0714509194619641</v>
      </c>
      <c r="AA623" s="6" t="n">
        <v>-1.80133294302249</v>
      </c>
      <c r="AB623" s="6" t="n">
        <v>-1.0364202826648</v>
      </c>
      <c r="AC623" s="6" t="n">
        <v>-0.177757390498766</v>
      </c>
      <c r="AD623" s="6" t="n">
        <v>1.74641495248267</v>
      </c>
      <c r="AE623" s="6" t="n">
        <v>1.40380622547313</v>
      </c>
      <c r="AF623" s="6" t="n">
        <v>4.13032171145251</v>
      </c>
      <c r="AG623" s="6" t="n">
        <v>0.641357472793445</v>
      </c>
      <c r="AH623" s="6" t="n">
        <v>-1.26667262584623</v>
      </c>
      <c r="AI623" s="6" t="n">
        <v>1.45431846468286</v>
      </c>
      <c r="AJ623" s="6" t="n">
        <v>64.872488149695</v>
      </c>
      <c r="AK623" s="6" t="n">
        <v>0.115551375527801</v>
      </c>
      <c r="AL623" s="6" t="n">
        <v>1.08160090173257</v>
      </c>
      <c r="AN623" s="6" t="n">
        <v>1.28462737626936</v>
      </c>
      <c r="AO623" s="6" t="n">
        <v>1.28509425227163</v>
      </c>
      <c r="AP623" s="6" t="n">
        <v>0.131570317442485</v>
      </c>
      <c r="AQ623" s="6" t="n">
        <v>0</v>
      </c>
      <c r="AR623" s="6" t="n">
        <v>0</v>
      </c>
    </row>
    <row r="624" customFormat="false" ht="15" hidden="false" customHeight="false" outlineLevel="0" collapsed="false">
      <c r="D624" s="0" t="s">
        <v>750</v>
      </c>
      <c r="J624" s="6" t="n">
        <v>-1.83785349962704</v>
      </c>
      <c r="K624" s="6" t="n">
        <v>1.93481832454994</v>
      </c>
      <c r="L624" s="6" t="n">
        <v>2.6988970731032</v>
      </c>
      <c r="M624" s="6" t="n">
        <v>-0.934783289826623</v>
      </c>
      <c r="N624" s="6" t="n">
        <v>-0.816942395711133</v>
      </c>
      <c r="O624" s="6" t="n">
        <v>-3.38590577496256</v>
      </c>
      <c r="P624" s="6" t="n">
        <v>0.695179816011657</v>
      </c>
      <c r="Q624" s="6" t="n">
        <v>3.28859261807007</v>
      </c>
      <c r="R624" s="6" t="n">
        <v>-0.992776696137511</v>
      </c>
      <c r="S624" s="6" t="n">
        <v>-3.46600693311632</v>
      </c>
      <c r="T624" s="6" t="n">
        <v>0.206879692432908</v>
      </c>
      <c r="U624" s="6" t="n">
        <v>-2.4602897689176</v>
      </c>
      <c r="V624" s="6" t="n">
        <v>-0.476428642416459</v>
      </c>
      <c r="W624" s="6" t="n">
        <v>1.91683302488546</v>
      </c>
      <c r="X624" s="6" t="n">
        <v>2.23258703684406</v>
      </c>
      <c r="Y624" s="6" t="n">
        <v>4.77843566577046</v>
      </c>
      <c r="Z624" s="6" t="n">
        <v>1.47625463276833</v>
      </c>
      <c r="AA624" s="6" t="n">
        <v>-2.56054249813045</v>
      </c>
      <c r="AB624" s="6" t="n">
        <v>4.13455214432017</v>
      </c>
      <c r="AC624" s="6" t="n">
        <v>0.843026297954884</v>
      </c>
      <c r="AD624" s="6" t="n">
        <v>-0.0388758026849474</v>
      </c>
      <c r="AE624" s="6" t="n">
        <v>0.582384183191596</v>
      </c>
      <c r="AF624" s="6" t="n">
        <v>-1.13173592746549</v>
      </c>
      <c r="AG624" s="6" t="n">
        <v>-1.28780885700407</v>
      </c>
      <c r="AH624" s="6" t="n">
        <v>0.553180771473495</v>
      </c>
      <c r="AI624" s="6" t="n">
        <v>-1.04499769947353</v>
      </c>
      <c r="AJ624" s="6" t="n">
        <v>60.6112034817765</v>
      </c>
      <c r="AK624" s="6" t="n">
        <v>0.0973687455084186</v>
      </c>
      <c r="AL624" s="6" t="n">
        <v>1.0590428151531</v>
      </c>
      <c r="AN624" s="6" t="n">
        <v>1.28982590188897</v>
      </c>
      <c r="AO624" s="6" t="n">
        <v>1.29064867394071</v>
      </c>
      <c r="AP624" s="6" t="n">
        <v>0.133045182760646</v>
      </c>
      <c r="AQ624" s="6" t="n">
        <v>0</v>
      </c>
      <c r="AR624" s="6" t="n">
        <v>0</v>
      </c>
    </row>
    <row r="625" customFormat="false" ht="15" hidden="false" customHeight="false" outlineLevel="0" collapsed="false">
      <c r="D625" s="0" t="s">
        <v>751</v>
      </c>
      <c r="J625" s="6" t="n">
        <v>-1.0251986244119</v>
      </c>
      <c r="K625" s="6" t="n">
        <v>1.1899813468127</v>
      </c>
      <c r="L625" s="6" t="n">
        <v>0.367386367781834</v>
      </c>
      <c r="M625" s="6" t="n">
        <v>3.25029961193518</v>
      </c>
      <c r="N625" s="6" t="n">
        <v>-3.91224208138509</v>
      </c>
      <c r="O625" s="6" t="n">
        <v>3.50793343618437</v>
      </c>
      <c r="P625" s="6" t="n">
        <v>-0.35209979820901</v>
      </c>
      <c r="Q625" s="6" t="n">
        <v>-1.15711102765064</v>
      </c>
      <c r="R625" s="6" t="n">
        <v>-0.339074207997976</v>
      </c>
      <c r="S625" s="6" t="n">
        <v>0.537920637537932</v>
      </c>
      <c r="T625" s="6" t="n">
        <v>-1.43072849708541</v>
      </c>
      <c r="U625" s="6" t="n">
        <v>2.93899082924205</v>
      </c>
      <c r="V625" s="6" t="n">
        <v>-2.66237983525444</v>
      </c>
      <c r="W625" s="6" t="n">
        <v>-0.308718372434234</v>
      </c>
      <c r="X625" s="6" t="n">
        <v>-4.14944375044488</v>
      </c>
      <c r="Y625" s="6" t="n">
        <v>0.320235699594488</v>
      </c>
      <c r="Z625" s="6" t="n">
        <v>-2.69516549500901</v>
      </c>
      <c r="AA625" s="6" t="n">
        <v>2.33325829519802</v>
      </c>
      <c r="AB625" s="6" t="n">
        <v>-2.68253310586503</v>
      </c>
      <c r="AC625" s="6" t="n">
        <v>-3.57174703288984</v>
      </c>
      <c r="AD625" s="6" t="n">
        <v>-4.1007811235356</v>
      </c>
      <c r="AE625" s="6" t="n">
        <v>0.962661234961102</v>
      </c>
      <c r="AF625" s="6" t="n">
        <v>-0.371846359873368</v>
      </c>
      <c r="AG625" s="6" t="n">
        <v>1.90297618740924</v>
      </c>
      <c r="AH625" s="6" t="n">
        <v>-2.83698027843626</v>
      </c>
      <c r="AI625" s="6" t="n">
        <v>-3.70100429181241</v>
      </c>
      <c r="AJ625" s="6" t="n">
        <v>60.5294496473206</v>
      </c>
      <c r="AK625" s="6" t="n">
        <v>0.158479505642882</v>
      </c>
      <c r="AL625" s="6" t="n">
        <v>1.10394316926028</v>
      </c>
      <c r="AN625" s="6" t="n">
        <v>1.26703564378536</v>
      </c>
      <c r="AO625" s="6" t="n">
        <v>1.26816902550047</v>
      </c>
      <c r="AP625" s="6" t="n">
        <v>0.129165018535934</v>
      </c>
      <c r="AQ625" s="6" t="n">
        <v>0</v>
      </c>
      <c r="AR625" s="6" t="n">
        <v>0</v>
      </c>
    </row>
    <row r="626" customFormat="false" ht="15" hidden="false" customHeight="false" outlineLevel="0" collapsed="false">
      <c r="D626" s="0" t="s">
        <v>752</v>
      </c>
      <c r="J626" s="6" t="n">
        <v>-0.41955892772413</v>
      </c>
      <c r="K626" s="6" t="n">
        <v>-3.56762341549377</v>
      </c>
      <c r="L626" s="6" t="n">
        <v>-0.642334118709133</v>
      </c>
      <c r="M626" s="6" t="n">
        <v>0.49691918425862</v>
      </c>
      <c r="N626" s="6" t="n">
        <v>1.37245577837681</v>
      </c>
      <c r="O626" s="6" t="n">
        <v>1.00531138480277</v>
      </c>
      <c r="P626" s="6" t="n">
        <v>-0.338351084282342</v>
      </c>
      <c r="Q626" s="6" t="n">
        <v>0.381511852894952</v>
      </c>
      <c r="R626" s="6" t="n">
        <v>-4.36715254912083</v>
      </c>
      <c r="S626" s="6" t="n">
        <v>-2.54429894076779</v>
      </c>
      <c r="T626" s="6" t="n">
        <v>0.218848108551998</v>
      </c>
      <c r="U626" s="6" t="n">
        <v>1.76967985290001</v>
      </c>
      <c r="V626" s="6" t="n">
        <v>-2.17751356642488</v>
      </c>
      <c r="W626" s="6" t="n">
        <v>4.49652669583748</v>
      </c>
      <c r="X626" s="6" t="n">
        <v>-1.14624301569054</v>
      </c>
      <c r="Y626" s="6" t="n">
        <v>-0.36712466498251</v>
      </c>
      <c r="Z626" s="6" t="n">
        <v>0.242918505180906</v>
      </c>
      <c r="AA626" s="6" t="n">
        <v>2.02658077804833</v>
      </c>
      <c r="AB626" s="6" t="n">
        <v>-3.68432912424429</v>
      </c>
      <c r="AC626" s="6" t="n">
        <v>-2.54830505770259</v>
      </c>
      <c r="AD626" s="6" t="n">
        <v>-2.31974735077277</v>
      </c>
      <c r="AE626" s="6" t="n">
        <v>-2.29360747754221</v>
      </c>
      <c r="AF626" s="6" t="n">
        <v>-1.37013482403393</v>
      </c>
      <c r="AG626" s="6" t="n">
        <v>-3.33357882441137</v>
      </c>
      <c r="AH626" s="6" t="n">
        <v>-1.29793625416792</v>
      </c>
      <c r="AI626" s="6" t="n">
        <v>-0.661538763113734</v>
      </c>
      <c r="AJ626" s="6" t="n">
        <v>63.3090521395643</v>
      </c>
      <c r="AK626" s="6" t="n">
        <v>0.0848319281541976</v>
      </c>
      <c r="AL626" s="6" t="n">
        <v>1.10436581256134</v>
      </c>
      <c r="AN626" s="6" t="n">
        <v>1.27700282336728</v>
      </c>
      <c r="AO626" s="6" t="n">
        <v>1.27726585903338</v>
      </c>
      <c r="AP626" s="6" t="n">
        <v>0.130924811834683</v>
      </c>
      <c r="AQ626" s="6" t="n">
        <v>0</v>
      </c>
      <c r="AR626" s="6" t="n">
        <v>0</v>
      </c>
    </row>
    <row r="627" customFormat="false" ht="15" hidden="false" customHeight="false" outlineLevel="0" collapsed="false">
      <c r="D627" s="0" t="s">
        <v>753</v>
      </c>
      <c r="J627" s="6" t="n">
        <v>-1.83708629329417</v>
      </c>
      <c r="K627" s="6" t="n">
        <v>0.737770013864426</v>
      </c>
      <c r="L627" s="6" t="n">
        <v>-0.943366533431728</v>
      </c>
      <c r="M627" s="6" t="n">
        <v>-2.08841727606853</v>
      </c>
      <c r="N627" s="6" t="n">
        <v>2.06232436534798</v>
      </c>
      <c r="O627" s="6" t="n">
        <v>-3.03186435510394</v>
      </c>
      <c r="P627" s="6" t="n">
        <v>-6.71326719610923</v>
      </c>
      <c r="Q627" s="6" t="n">
        <v>-1.72118210695683</v>
      </c>
      <c r="R627" s="6" t="n">
        <v>2.84148666950403</v>
      </c>
      <c r="S627" s="6" t="n">
        <v>0.928660542431869</v>
      </c>
      <c r="T627" s="6" t="n">
        <v>-6.34542390655268</v>
      </c>
      <c r="U627" s="6" t="n">
        <v>0.236572670756288</v>
      </c>
      <c r="V627" s="6" t="n">
        <v>-0.240135216515559</v>
      </c>
      <c r="W627" s="6" t="n">
        <v>-3.35806992316772</v>
      </c>
      <c r="X627" s="6" t="n">
        <v>-2.67840076962039</v>
      </c>
      <c r="Y627" s="6" t="n">
        <v>-3.5734119527641</v>
      </c>
      <c r="Z627" s="6" t="n">
        <v>-0.0836787182688418</v>
      </c>
      <c r="AA627" s="6" t="n">
        <v>1.25399097189798</v>
      </c>
      <c r="AB627" s="6" t="n">
        <v>1.34019169092834</v>
      </c>
      <c r="AC627" s="6" t="n">
        <v>-1.67943182918782</v>
      </c>
      <c r="AD627" s="6" t="n">
        <v>1.26640257809045</v>
      </c>
      <c r="AE627" s="6" t="n">
        <v>-1.74221644162765</v>
      </c>
      <c r="AF627" s="6" t="n">
        <v>0.0159947954401319</v>
      </c>
      <c r="AG627" s="6" t="n">
        <v>-1.62389874091885</v>
      </c>
      <c r="AH627" s="6" t="n">
        <v>4.23043730558067</v>
      </c>
      <c r="AI627" s="6" t="n">
        <v>-0.842940696171106</v>
      </c>
      <c r="AJ627" s="6" t="n">
        <v>75.4051607445928</v>
      </c>
      <c r="AK627" s="6" t="n">
        <v>0.20080755899505</v>
      </c>
      <c r="AL627" s="6" t="n">
        <v>1.06083152582226</v>
      </c>
      <c r="AN627" s="6" t="n">
        <v>1.24604330081091</v>
      </c>
      <c r="AO627" s="6" t="n">
        <v>1.25697710485512</v>
      </c>
      <c r="AP627" s="6" t="n">
        <v>0.13024335369187</v>
      </c>
      <c r="AQ627" s="6" t="n">
        <v>0</v>
      </c>
      <c r="AR627" s="6" t="n">
        <v>0</v>
      </c>
    </row>
    <row r="628" customFormat="false" ht="15" hidden="false" customHeight="false" outlineLevel="0" collapsed="false">
      <c r="D628" s="0" t="s">
        <v>754</v>
      </c>
      <c r="J628" s="6" t="n">
        <v>-1.03598108195141</v>
      </c>
      <c r="K628" s="6" t="n">
        <v>1.43763510023372</v>
      </c>
      <c r="L628" s="6" t="n">
        <v>0.415056214791751</v>
      </c>
      <c r="M628" s="6" t="n">
        <v>-0.873855916150371</v>
      </c>
      <c r="N628" s="6" t="n">
        <v>2.72029579507386</v>
      </c>
      <c r="O628" s="6" t="n">
        <v>-0.274087902925551</v>
      </c>
      <c r="P628" s="6" t="n">
        <v>4.10011902374744</v>
      </c>
      <c r="Q628" s="6" t="n">
        <v>2.43742439922634</v>
      </c>
      <c r="R628" s="6" t="n">
        <v>1.35716278773986</v>
      </c>
      <c r="S628" s="6" t="n">
        <v>1.38314191470768</v>
      </c>
      <c r="T628" s="6" t="n">
        <v>1.59196392395203</v>
      </c>
      <c r="U628" s="6" t="n">
        <v>-4.35595850325773</v>
      </c>
      <c r="V628" s="6" t="n">
        <v>-0.952255638451816</v>
      </c>
      <c r="W628" s="6" t="n">
        <v>-1.84315735404161</v>
      </c>
      <c r="X628" s="6" t="n">
        <v>-2.06543394665568</v>
      </c>
      <c r="Y628" s="6" t="n">
        <v>-3.96183209996351</v>
      </c>
      <c r="Z628" s="6" t="n">
        <v>-1.45661776850331</v>
      </c>
      <c r="AA628" s="6" t="n">
        <v>-1.15945648281739</v>
      </c>
      <c r="AB628" s="6" t="n">
        <v>2.48893847255488</v>
      </c>
      <c r="AC628" s="6" t="n">
        <v>-0.770496518153031</v>
      </c>
      <c r="AD628" s="6" t="n">
        <v>2.70379322156317</v>
      </c>
      <c r="AE628" s="6" t="n">
        <v>0.15215396856778</v>
      </c>
      <c r="AF628" s="6" t="n">
        <v>2.99277277085764</v>
      </c>
      <c r="AG628" s="6" t="n">
        <v>-1.02834712614975</v>
      </c>
      <c r="AH628" s="6" t="n">
        <v>-1.62626267035176</v>
      </c>
      <c r="AI628" s="6" t="n">
        <v>0.384312941388265</v>
      </c>
      <c r="AJ628" s="6" t="n">
        <v>61.4164441472306</v>
      </c>
      <c r="AK628" s="6" t="n">
        <v>0.0582249663834635</v>
      </c>
      <c r="AL628" s="6" t="n">
        <v>1.06699082912061</v>
      </c>
      <c r="AN628" s="6" t="n">
        <v>1.28940664414581</v>
      </c>
      <c r="AO628" s="6" t="n">
        <v>1.29084125063897</v>
      </c>
      <c r="AP628" s="6" t="n">
        <v>0.132990257912846</v>
      </c>
      <c r="AQ628" s="6" t="n">
        <v>0</v>
      </c>
      <c r="AR628" s="6" t="n">
        <v>0</v>
      </c>
    </row>
    <row r="629" customFormat="false" ht="15" hidden="false" customHeight="false" outlineLevel="0" collapsed="false">
      <c r="D629" s="0" t="s">
        <v>755</v>
      </c>
      <c r="J629" s="6" t="n">
        <v>3.49525737978829</v>
      </c>
      <c r="K629" s="6" t="n">
        <v>0.961479393030259</v>
      </c>
      <c r="L629" s="6" t="n">
        <v>2.62498963224335</v>
      </c>
      <c r="M629" s="6" t="n">
        <v>1.49599088066092</v>
      </c>
      <c r="N629" s="6" t="n">
        <v>-0.751928175327255</v>
      </c>
      <c r="O629" s="6" t="n">
        <v>0.586814774795348</v>
      </c>
      <c r="P629" s="6" t="n">
        <v>2.56181453593433</v>
      </c>
      <c r="Q629" s="6" t="n">
        <v>2.65990394468342</v>
      </c>
      <c r="R629" s="6" t="n">
        <v>1.2559639677371</v>
      </c>
      <c r="S629" s="6" t="n">
        <v>0.0739194175868295</v>
      </c>
      <c r="T629" s="6" t="n">
        <v>-1.20763017254227</v>
      </c>
      <c r="U629" s="6" t="n">
        <v>-0.652177759553322</v>
      </c>
      <c r="V629" s="6" t="n">
        <v>-0.997478299562409</v>
      </c>
      <c r="W629" s="6" t="n">
        <v>-0.172178286484059</v>
      </c>
      <c r="X629" s="6" t="n">
        <v>-1.36188825504907</v>
      </c>
      <c r="Y629" s="6" t="n">
        <v>-0.432127528004724</v>
      </c>
      <c r="Z629" s="6" t="n">
        <v>-2.01789712597868</v>
      </c>
      <c r="AA629" s="6" t="n">
        <v>-2.73163524496588</v>
      </c>
      <c r="AB629" s="6" t="n">
        <v>0.836153668726809</v>
      </c>
      <c r="AC629" s="6" t="n">
        <v>0.86039396344324</v>
      </c>
      <c r="AD629" s="6" t="n">
        <v>-0.840087091351198</v>
      </c>
      <c r="AE629" s="6" t="n">
        <v>2.0869411202047</v>
      </c>
      <c r="AF629" s="6" t="n">
        <v>-2.46455009117421</v>
      </c>
      <c r="AG629" s="6" t="n">
        <v>-1.89644789847384</v>
      </c>
      <c r="AH629" s="6" t="n">
        <v>-0.653314883012951</v>
      </c>
      <c r="AI629" s="6" t="n">
        <v>-2.74197764686653</v>
      </c>
      <c r="AJ629" s="6" t="n">
        <v>75.541559802514</v>
      </c>
      <c r="AK629" s="6" t="n">
        <v>0.111554398872739</v>
      </c>
      <c r="AL629" s="6" t="n">
        <v>1.05922470393809</v>
      </c>
      <c r="AN629" s="6" t="n">
        <v>1.29292493105962</v>
      </c>
      <c r="AO629" s="6" t="n">
        <v>1.29391768538569</v>
      </c>
      <c r="AP629" s="6" t="n">
        <v>0.133817215233033</v>
      </c>
      <c r="AQ629" s="6" t="n">
        <v>0</v>
      </c>
      <c r="AR629" s="6" t="n">
        <v>0</v>
      </c>
    </row>
    <row r="630" customFormat="false" ht="15" hidden="false" customHeight="false" outlineLevel="0" collapsed="false">
      <c r="D630" s="0" t="s">
        <v>756</v>
      </c>
      <c r="J630" s="6" t="n">
        <v>0.0909364418054877</v>
      </c>
      <c r="K630" s="6" t="n">
        <v>0.927241364843749</v>
      </c>
      <c r="L630" s="6" t="n">
        <v>0.0735149578214794</v>
      </c>
      <c r="M630" s="6" t="n">
        <v>3.16007916901686</v>
      </c>
      <c r="N630" s="6" t="n">
        <v>-2.38218880079285</v>
      </c>
      <c r="O630" s="6" t="n">
        <v>4.12929348414996</v>
      </c>
      <c r="P630" s="6" t="n">
        <v>1.70002752428064</v>
      </c>
      <c r="Q630" s="6" t="n">
        <v>-0.450059672591636</v>
      </c>
      <c r="R630" s="6" t="n">
        <v>0.578770660703696</v>
      </c>
      <c r="S630" s="6" t="n">
        <v>-0.843549099918073</v>
      </c>
      <c r="T630" s="6" t="n">
        <v>1.70779304067982</v>
      </c>
      <c r="U630" s="6" t="n">
        <v>-2.14600114945039</v>
      </c>
      <c r="V630" s="6" t="n">
        <v>4.72539571417149</v>
      </c>
      <c r="W630" s="6" t="n">
        <v>-2.02242090549324</v>
      </c>
      <c r="X630" s="6" t="n">
        <v>-4.06214936766585</v>
      </c>
      <c r="Y630" s="6" t="n">
        <v>-0.97700548812909</v>
      </c>
      <c r="Z630" s="6" t="n">
        <v>3.72625755058369</v>
      </c>
      <c r="AA630" s="6" t="n">
        <v>2.1321628017838</v>
      </c>
      <c r="AB630" s="6" t="n">
        <v>0.807346467784992</v>
      </c>
      <c r="AC630" s="6" t="n">
        <v>0.437919129006396</v>
      </c>
      <c r="AD630" s="6" t="n">
        <v>1.09676738743426</v>
      </c>
      <c r="AE630" s="6" t="n">
        <v>0.536471162654577</v>
      </c>
      <c r="AF630" s="6" t="n">
        <v>-0.640254680254894</v>
      </c>
      <c r="AG630" s="6" t="n">
        <v>0.499448898169337</v>
      </c>
      <c r="AH630" s="6" t="n">
        <v>-0.218189649952659</v>
      </c>
      <c r="AI630" s="6" t="n">
        <v>0.35614183989587</v>
      </c>
      <c r="AJ630" s="6" t="n">
        <v>64.5993444582402</v>
      </c>
      <c r="AK630" s="6" t="n">
        <v>0.16104107067484</v>
      </c>
      <c r="AL630" s="6" t="n">
        <v>1.02971800941982</v>
      </c>
      <c r="AN630" s="6" t="n">
        <v>1.29705211115749</v>
      </c>
      <c r="AO630" s="6" t="n">
        <v>1.29717201855589</v>
      </c>
      <c r="AP630" s="6" t="n">
        <v>0.134444748179508</v>
      </c>
      <c r="AQ630" s="6" t="n">
        <v>0</v>
      </c>
      <c r="AR630" s="6" t="n">
        <v>0</v>
      </c>
    </row>
    <row r="631" customFormat="false" ht="15" hidden="false" customHeight="false" outlineLevel="0" collapsed="false">
      <c r="D631" s="0" t="s">
        <v>757</v>
      </c>
      <c r="J631" s="6" t="n">
        <v>-2.08675720281277</v>
      </c>
      <c r="K631" s="6" t="n">
        <v>-0.650685551355923</v>
      </c>
      <c r="L631" s="6" t="n">
        <v>4.63808891181201</v>
      </c>
      <c r="M631" s="6" t="n">
        <v>-1.48657720741337</v>
      </c>
      <c r="N631" s="6" t="n">
        <v>-1.04207499527829</v>
      </c>
      <c r="O631" s="6" t="n">
        <v>1.39506815741896</v>
      </c>
      <c r="P631" s="6" t="n">
        <v>0.338165441349155</v>
      </c>
      <c r="Q631" s="6" t="n">
        <v>3.31741369518607</v>
      </c>
      <c r="R631" s="6" t="n">
        <v>0.924431639679738</v>
      </c>
      <c r="S631" s="6" t="n">
        <v>-0.934355501805404</v>
      </c>
      <c r="T631" s="6" t="n">
        <v>-2.40911540140308</v>
      </c>
      <c r="U631" s="6" t="n">
        <v>1.48429242385115</v>
      </c>
      <c r="V631" s="6" t="n">
        <v>2.34279347877789</v>
      </c>
      <c r="W631" s="6" t="n">
        <v>-0.179063407236737</v>
      </c>
      <c r="X631" s="6" t="n">
        <v>-2.44203191178518</v>
      </c>
      <c r="Y631" s="6" t="n">
        <v>0.861000503291732</v>
      </c>
      <c r="Z631" s="6" t="n">
        <v>-0.04693554771599</v>
      </c>
      <c r="AA631" s="6" t="n">
        <v>-1.93678437371641</v>
      </c>
      <c r="AB631" s="6" t="n">
        <v>-3.51318261578536</v>
      </c>
      <c r="AC631" s="6" t="n">
        <v>-3.76799661189079</v>
      </c>
      <c r="AD631" s="6" t="n">
        <v>0.945256222714522</v>
      </c>
      <c r="AE631" s="6" t="n">
        <v>2.2177508182937</v>
      </c>
      <c r="AF631" s="6" t="n">
        <v>-4.43458593663972</v>
      </c>
      <c r="AG631" s="6" t="n">
        <v>-4.4433087641688</v>
      </c>
      <c r="AH631" s="6" t="n">
        <v>1.4283512941931</v>
      </c>
      <c r="AI631" s="6" t="n">
        <v>-2.12384751708481</v>
      </c>
      <c r="AJ631" s="6" t="n">
        <v>77.880333294552</v>
      </c>
      <c r="AK631" s="6" t="n">
        <v>0.115062555993924</v>
      </c>
      <c r="AL631" s="6" t="n">
        <v>1.0499590334221</v>
      </c>
      <c r="AN631" s="6" t="n">
        <v>1.2982348248021</v>
      </c>
      <c r="AO631" s="6" t="n">
        <v>1.29835766949661</v>
      </c>
      <c r="AP631" s="6" t="n">
        <v>0.134647417131805</v>
      </c>
      <c r="AQ631" s="6" t="n">
        <v>0</v>
      </c>
      <c r="AR631" s="6" t="n">
        <v>0</v>
      </c>
    </row>
    <row r="632" customFormat="false" ht="15" hidden="false" customHeight="false" outlineLevel="0" collapsed="false">
      <c r="D632" s="0" t="s">
        <v>758</v>
      </c>
      <c r="J632" s="6" t="n">
        <v>1.52051799418361</v>
      </c>
      <c r="K632" s="6" t="n">
        <v>1.63782573415687</v>
      </c>
      <c r="L632" s="6" t="n">
        <v>2.3920200529351</v>
      </c>
      <c r="M632" s="6" t="n">
        <v>-0.773051040037754</v>
      </c>
      <c r="N632" s="6" t="n">
        <v>0.466446879103319</v>
      </c>
      <c r="O632" s="6" t="n">
        <v>1.88527180473313</v>
      </c>
      <c r="P632" s="6" t="n">
        <v>3.34564475729424</v>
      </c>
      <c r="Q632" s="6" t="n">
        <v>0.788158857565422</v>
      </c>
      <c r="R632" s="6" t="n">
        <v>-0.180769028462663</v>
      </c>
      <c r="S632" s="6" t="n">
        <v>1.62082770937916</v>
      </c>
      <c r="T632" s="6" t="n">
        <v>-0.184465275170867</v>
      </c>
      <c r="U632" s="6" t="n">
        <v>0.140098730663726</v>
      </c>
      <c r="V632" s="6" t="n">
        <v>5</v>
      </c>
      <c r="W632" s="6" t="n">
        <v>1.37749476854718</v>
      </c>
      <c r="X632" s="6" t="n">
        <v>0.667139258676942</v>
      </c>
      <c r="Y632" s="6" t="n">
        <v>3.07550493269516</v>
      </c>
      <c r="Z632" s="6" t="n">
        <v>0.393545479168619</v>
      </c>
      <c r="AA632" s="6" t="n">
        <v>5</v>
      </c>
      <c r="AB632" s="6" t="n">
        <v>-0.99877099578673</v>
      </c>
      <c r="AC632" s="6" t="n">
        <v>2.57876706685897</v>
      </c>
      <c r="AD632" s="6" t="n">
        <v>0.472110625442327</v>
      </c>
      <c r="AE632" s="6" t="n">
        <v>-4.70263863101848</v>
      </c>
      <c r="AF632" s="6" t="n">
        <v>-0.275254890637421</v>
      </c>
      <c r="AG632" s="6" t="n">
        <v>-0.96971887526375</v>
      </c>
      <c r="AH632" s="6" t="n">
        <v>-1.48980506774779</v>
      </c>
      <c r="AI632" s="6" t="n">
        <v>2.21357041720734</v>
      </c>
      <c r="AJ632" s="6" t="n">
        <v>72.1517963497606</v>
      </c>
      <c r="AK632" s="6" t="n">
        <v>0.23936257996768</v>
      </c>
      <c r="AL632" s="6" t="n">
        <v>0.976149113990726</v>
      </c>
      <c r="AN632" s="6" t="n">
        <v>1.31695127732436</v>
      </c>
      <c r="AO632" s="6" t="n">
        <v>1.31695127732436</v>
      </c>
      <c r="AP632" s="6" t="n">
        <v>0.143343054014255</v>
      </c>
      <c r="AQ632" s="6" t="n">
        <v>0</v>
      </c>
      <c r="AR632" s="6" t="n">
        <v>0</v>
      </c>
    </row>
    <row r="633" customFormat="false" ht="15" hidden="false" customHeight="false" outlineLevel="0" collapsed="false">
      <c r="D633" s="0" t="s">
        <v>759</v>
      </c>
      <c r="J633" s="6" t="n">
        <v>4.50831990725785</v>
      </c>
      <c r="K633" s="6" t="n">
        <v>0.393534192736111</v>
      </c>
      <c r="L633" s="6" t="n">
        <v>0.33412464850846</v>
      </c>
      <c r="M633" s="6" t="n">
        <v>-0.827467565380468</v>
      </c>
      <c r="N633" s="6" t="n">
        <v>0.959921835882135</v>
      </c>
      <c r="O633" s="6" t="n">
        <v>1.34954717002291</v>
      </c>
      <c r="P633" s="6" t="n">
        <v>-3.22038549487002</v>
      </c>
      <c r="Q633" s="6" t="n">
        <v>0.0614075686837006</v>
      </c>
      <c r="R633" s="6" t="n">
        <v>1.75217128622719</v>
      </c>
      <c r="S633" s="6" t="n">
        <v>1.69126356941369</v>
      </c>
      <c r="T633" s="6" t="n">
        <v>3.78911530875741</v>
      </c>
      <c r="U633" s="6" t="n">
        <v>-0.391595809378839</v>
      </c>
      <c r="V633" s="6" t="n">
        <v>-2.71390358279641</v>
      </c>
      <c r="W633" s="6" t="n">
        <v>-2.62436911832291</v>
      </c>
      <c r="X633" s="6" t="n">
        <v>1.04137799256565</v>
      </c>
      <c r="Y633" s="6" t="n">
        <v>-0.721218767421374</v>
      </c>
      <c r="Z633" s="6" t="n">
        <v>2.56858622865131</v>
      </c>
      <c r="AA633" s="6" t="n">
        <v>0.375406042784437</v>
      </c>
      <c r="AB633" s="6" t="n">
        <v>0.602808219000869</v>
      </c>
      <c r="AC633" s="6" t="n">
        <v>2.03010259896627</v>
      </c>
      <c r="AD633" s="6" t="n">
        <v>-1.54627364567012</v>
      </c>
      <c r="AE633" s="6" t="n">
        <v>-0.0135628641220698</v>
      </c>
      <c r="AF633" s="6" t="n">
        <v>1.53036914739694</v>
      </c>
      <c r="AG633" s="6" t="n">
        <v>-0.617531600902387</v>
      </c>
      <c r="AH633" s="6" t="n">
        <v>-2.75750949479359</v>
      </c>
      <c r="AI633" s="6" t="n">
        <v>2.14958524848204</v>
      </c>
      <c r="AJ633" s="6" t="n">
        <v>71.7090802407253</v>
      </c>
      <c r="AK633" s="6" t="n">
        <v>0.155512028731171</v>
      </c>
      <c r="AL633" s="6" t="n">
        <v>1.02134683901247</v>
      </c>
      <c r="AN633" s="6" t="n">
        <v>1.30510758333045</v>
      </c>
      <c r="AO633" s="6" t="n">
        <v>1.30560641700824</v>
      </c>
      <c r="AP633" s="6" t="n">
        <v>0.136500159026914</v>
      </c>
      <c r="AQ633" s="6" t="n">
        <v>0</v>
      </c>
      <c r="AR633" s="6" t="n">
        <v>0</v>
      </c>
    </row>
    <row r="634" customFormat="false" ht="15" hidden="false" customHeight="false" outlineLevel="0" collapsed="false">
      <c r="D634" s="0" t="s">
        <v>760</v>
      </c>
      <c r="J634" s="6" t="n">
        <v>5</v>
      </c>
      <c r="K634" s="6" t="n">
        <v>-0.6956855053833</v>
      </c>
      <c r="L634" s="6" t="n">
        <v>2.05739073383782</v>
      </c>
      <c r="M634" s="6" t="n">
        <v>0.921576117748502</v>
      </c>
      <c r="N634" s="6" t="n">
        <v>-3.07168195409711</v>
      </c>
      <c r="O634" s="6" t="n">
        <v>1.5908542033318</v>
      </c>
      <c r="P634" s="6" t="n">
        <v>-0.0354458266928281</v>
      </c>
      <c r="Q634" s="6" t="n">
        <v>1.59629620765711</v>
      </c>
      <c r="R634" s="6" t="n">
        <v>-1.67791285913735</v>
      </c>
      <c r="S634" s="6" t="n">
        <v>1.32477991312134</v>
      </c>
      <c r="T634" s="6" t="n">
        <v>-2.72564087635614</v>
      </c>
      <c r="U634" s="6" t="n">
        <v>0.923432417638212</v>
      </c>
      <c r="V634" s="6" t="n">
        <v>-1.18548029672019</v>
      </c>
      <c r="W634" s="6" t="n">
        <v>-0.299828544681254</v>
      </c>
      <c r="X634" s="6" t="n">
        <v>-0.413421536877703</v>
      </c>
      <c r="Y634" s="6" t="n">
        <v>-1.17653606587929</v>
      </c>
      <c r="Z634" s="6" t="n">
        <v>-1.10484285521622</v>
      </c>
      <c r="AA634" s="6" t="n">
        <v>-2.51329576735149</v>
      </c>
      <c r="AB634" s="6" t="n">
        <v>0.286753694817729</v>
      </c>
      <c r="AC634" s="6" t="n">
        <v>1.29782390284214</v>
      </c>
      <c r="AD634" s="6" t="n">
        <v>3.87514861616013</v>
      </c>
      <c r="AE634" s="6" t="n">
        <v>3.82351011594588</v>
      </c>
      <c r="AF634" s="6" t="n">
        <v>-5.82969717779059</v>
      </c>
      <c r="AG634" s="6" t="n">
        <v>2.50998141781052</v>
      </c>
      <c r="AH634" s="6" t="n">
        <v>2.52682209955767</v>
      </c>
      <c r="AI634" s="6" t="n">
        <v>-0.81371953232471</v>
      </c>
      <c r="AJ634" s="6" t="n">
        <v>72.0142181341417</v>
      </c>
      <c r="AK634" s="6" t="n">
        <v>0.0829122769487</v>
      </c>
      <c r="AL634" s="6" t="n">
        <v>1.056272938668</v>
      </c>
      <c r="AN634" s="6" t="n">
        <v>1.29615368094568</v>
      </c>
      <c r="AO634" s="6" t="n">
        <v>1.29628395506126</v>
      </c>
      <c r="AP634" s="6" t="n">
        <v>0.134652425178899</v>
      </c>
      <c r="AQ634" s="6" t="n">
        <v>0</v>
      </c>
      <c r="AR634" s="6" t="n">
        <v>0</v>
      </c>
    </row>
    <row r="635" customFormat="false" ht="15" hidden="false" customHeight="false" outlineLevel="0" collapsed="false">
      <c r="D635" s="0" t="s">
        <v>761</v>
      </c>
      <c r="J635" s="6" t="n">
        <v>0.801303110975906</v>
      </c>
      <c r="K635" s="6" t="n">
        <v>4.16039797468708</v>
      </c>
      <c r="L635" s="6" t="n">
        <v>-0.162844239339726</v>
      </c>
      <c r="M635" s="6" t="n">
        <v>3.3561773162946</v>
      </c>
      <c r="N635" s="6" t="n">
        <v>2.30459309327928</v>
      </c>
      <c r="O635" s="6" t="n">
        <v>-1.785199418582</v>
      </c>
      <c r="P635" s="6" t="n">
        <v>3.05322306208695</v>
      </c>
      <c r="Q635" s="6" t="n">
        <v>-0.999777225668357</v>
      </c>
      <c r="R635" s="6" t="n">
        <v>-0.956922639990852</v>
      </c>
      <c r="S635" s="6" t="n">
        <v>2.33395237151272</v>
      </c>
      <c r="T635" s="6" t="n">
        <v>0.553402819825521</v>
      </c>
      <c r="U635" s="6" t="n">
        <v>-2.36344380506512</v>
      </c>
      <c r="V635" s="6" t="n">
        <v>4.01181110497256</v>
      </c>
      <c r="W635" s="6" t="n">
        <v>-4.48894561366419</v>
      </c>
      <c r="X635" s="6" t="n">
        <v>-0.965434292131729</v>
      </c>
      <c r="Y635" s="6" t="n">
        <v>0.257045162415297</v>
      </c>
      <c r="Z635" s="6" t="n">
        <v>1.40329551916193</v>
      </c>
      <c r="AA635" s="6" t="n">
        <v>-2.69149388296199</v>
      </c>
      <c r="AB635" s="6" t="n">
        <v>-1.13398572127028</v>
      </c>
      <c r="AC635" s="6" t="n">
        <v>-3.16986283858223</v>
      </c>
      <c r="AD635" s="6" t="n">
        <v>1.98244023051751</v>
      </c>
      <c r="AE635" s="6" t="n">
        <v>3.2278925997959</v>
      </c>
      <c r="AF635" s="6" t="n">
        <v>2.74740690141925</v>
      </c>
      <c r="AG635" s="6" t="n">
        <v>2.95446958592464</v>
      </c>
      <c r="AH635" s="6" t="n">
        <v>-0.835354372659036</v>
      </c>
      <c r="AI635" s="6" t="n">
        <v>1.56492107029508</v>
      </c>
      <c r="AJ635" s="6" t="n">
        <v>79.0613988136115</v>
      </c>
      <c r="AK635" s="6" t="n">
        <v>0.125926077298059</v>
      </c>
      <c r="AL635" s="6" t="n">
        <v>1.03870683952146</v>
      </c>
      <c r="AN635" s="6" t="n">
        <v>1.30482354790286</v>
      </c>
      <c r="AO635" s="6" t="n">
        <v>1.30627799236372</v>
      </c>
      <c r="AP635" s="6" t="n">
        <v>0.135392068374699</v>
      </c>
      <c r="AQ635" s="6" t="n">
        <v>0</v>
      </c>
      <c r="AR635" s="6" t="n">
        <v>0</v>
      </c>
    </row>
    <row r="636" customFormat="false" ht="15" hidden="false" customHeight="false" outlineLevel="0" collapsed="false">
      <c r="D636" s="0" t="s">
        <v>762</v>
      </c>
      <c r="J636" s="6" t="n">
        <v>0.352099609946018</v>
      </c>
      <c r="K636" s="6" t="n">
        <v>2.69924797565421</v>
      </c>
      <c r="L636" s="6" t="n">
        <v>1.71580815022838</v>
      </c>
      <c r="M636" s="6" t="n">
        <v>0.211698174714876</v>
      </c>
      <c r="N636" s="6" t="n">
        <v>1.8188895585277</v>
      </c>
      <c r="O636" s="6" t="n">
        <v>-0.292735353660457</v>
      </c>
      <c r="P636" s="6" t="n">
        <v>-5.28203382933831</v>
      </c>
      <c r="Q636" s="6" t="n">
        <v>0.0255856624071196</v>
      </c>
      <c r="R636" s="6" t="n">
        <v>0.87387580430159</v>
      </c>
      <c r="S636" s="6" t="n">
        <v>2.695615374495</v>
      </c>
      <c r="T636" s="6" t="n">
        <v>-2.99483860321277</v>
      </c>
      <c r="U636" s="6" t="n">
        <v>1.79903647506863</v>
      </c>
      <c r="V636" s="6" t="n">
        <v>-0.0279272915563184</v>
      </c>
      <c r="W636" s="6" t="n">
        <v>0.414933093752988</v>
      </c>
      <c r="X636" s="6" t="n">
        <v>1.1437858442153</v>
      </c>
      <c r="Y636" s="6" t="n">
        <v>0.500053096267166</v>
      </c>
      <c r="Z636" s="6" t="n">
        <v>-3.76624291088017</v>
      </c>
      <c r="AA636" s="6" t="n">
        <v>-0.0557329266670181</v>
      </c>
      <c r="AB636" s="6" t="n">
        <v>-0.9723604818573</v>
      </c>
      <c r="AC636" s="6" t="n">
        <v>-0.956477871336255</v>
      </c>
      <c r="AD636" s="6" t="n">
        <v>-0.829716051055045</v>
      </c>
      <c r="AE636" s="6" t="n">
        <v>0.395679510422279</v>
      </c>
      <c r="AF636" s="6" t="n">
        <v>0.803089974563935</v>
      </c>
      <c r="AG636" s="6" t="n">
        <v>0.435216041810542</v>
      </c>
      <c r="AH636" s="6" t="n">
        <v>-1.21988198079951</v>
      </c>
      <c r="AI636" s="6" t="n">
        <v>2.74604511750801</v>
      </c>
      <c r="AJ636" s="6" t="n">
        <v>71.9640040042381</v>
      </c>
      <c r="AK636" s="6" t="n">
        <v>0.136429322760229</v>
      </c>
      <c r="AL636" s="6" t="n">
        <v>1.03841565448883</v>
      </c>
      <c r="AN636" s="6" t="n">
        <v>1.29154219230909</v>
      </c>
      <c r="AO636" s="6" t="n">
        <v>1.29720808915614</v>
      </c>
      <c r="AP636" s="6" t="n">
        <v>0.134629554286708</v>
      </c>
      <c r="AQ636" s="6" t="n">
        <v>0</v>
      </c>
      <c r="AR636" s="6" t="n">
        <v>0</v>
      </c>
    </row>
    <row r="637" customFormat="false" ht="15" hidden="false" customHeight="false" outlineLevel="0" collapsed="false">
      <c r="D637" s="0" t="s">
        <v>763</v>
      </c>
      <c r="J637" s="6" t="n">
        <v>-0.0656773524466356</v>
      </c>
      <c r="K637" s="6" t="n">
        <v>2.53630204067201</v>
      </c>
      <c r="L637" s="6" t="n">
        <v>0.476510177405442</v>
      </c>
      <c r="M637" s="6" t="n">
        <v>-3.98926480854098</v>
      </c>
      <c r="N637" s="6" t="n">
        <v>-0.466185562070596</v>
      </c>
      <c r="O637" s="6" t="n">
        <v>2.05293904992757</v>
      </c>
      <c r="P637" s="6" t="n">
        <v>5</v>
      </c>
      <c r="Q637" s="6" t="n">
        <v>2.6012358892513</v>
      </c>
      <c r="R637" s="6" t="n">
        <v>0.109454680059771</v>
      </c>
      <c r="S637" s="6" t="n">
        <v>0.924754388295006</v>
      </c>
      <c r="T637" s="6" t="n">
        <v>2.78640419009288</v>
      </c>
      <c r="U637" s="6" t="n">
        <v>-0.139241179455795</v>
      </c>
      <c r="V637" s="6" t="n">
        <v>-2.46659935847666</v>
      </c>
      <c r="W637" s="6" t="n">
        <v>-0.461182472026067</v>
      </c>
      <c r="X637" s="6" t="n">
        <v>-2.63243571156413</v>
      </c>
      <c r="Y637" s="6" t="n">
        <v>0.371628187965501</v>
      </c>
      <c r="Z637" s="6" t="n">
        <v>2.5842534589419</v>
      </c>
      <c r="AA637" s="6" t="n">
        <v>0.203123608939653</v>
      </c>
      <c r="AB637" s="6" t="n">
        <v>-0.492840062112446</v>
      </c>
      <c r="AC637" s="6" t="n">
        <v>0.694325556241067</v>
      </c>
      <c r="AD637" s="6" t="n">
        <v>3.22376056543017</v>
      </c>
      <c r="AE637" s="6" t="n">
        <v>3.18681378759011</v>
      </c>
      <c r="AF637" s="6" t="n">
        <v>0.760250411428488</v>
      </c>
      <c r="AG637" s="6" t="n">
        <v>1.73387161906685</v>
      </c>
      <c r="AH637" s="6" t="n">
        <v>-0.00590999368911169</v>
      </c>
      <c r="AI637" s="6" t="n">
        <v>-3.09717182528721</v>
      </c>
      <c r="AJ637" s="6" t="n">
        <v>64.3343542360811</v>
      </c>
      <c r="AK637" s="6" t="n">
        <v>0.145948000483728</v>
      </c>
      <c r="AL637" s="6" t="n">
        <v>1.03511592705492</v>
      </c>
      <c r="AN637" s="6" t="n">
        <v>1.29390075810482</v>
      </c>
      <c r="AO637" s="6" t="n">
        <v>1.29437999660299</v>
      </c>
      <c r="AP637" s="6" t="n">
        <v>0.133807906394348</v>
      </c>
      <c r="AQ637" s="6" t="n">
        <v>0</v>
      </c>
      <c r="AR637" s="6" t="n">
        <v>0</v>
      </c>
    </row>
    <row r="638" customFormat="false" ht="15" hidden="false" customHeight="false" outlineLevel="0" collapsed="false">
      <c r="D638" s="0" t="s">
        <v>764</v>
      </c>
      <c r="J638" s="6" t="n">
        <v>1.79931684368798</v>
      </c>
      <c r="K638" s="6" t="n">
        <v>2.81290484143435</v>
      </c>
      <c r="L638" s="6" t="n">
        <v>0.369603995528717</v>
      </c>
      <c r="M638" s="6" t="n">
        <v>-0.6692814773752</v>
      </c>
      <c r="N638" s="6" t="n">
        <v>-2.09498349162789</v>
      </c>
      <c r="O638" s="6" t="n">
        <v>-1.9360549687063</v>
      </c>
      <c r="P638" s="6" t="n">
        <v>4.10812055979847</v>
      </c>
      <c r="Q638" s="6" t="n">
        <v>-0.94866160891547</v>
      </c>
      <c r="R638" s="6" t="n">
        <v>0.469293265266669</v>
      </c>
      <c r="S638" s="6" t="n">
        <v>0.569759069717127</v>
      </c>
      <c r="T638" s="6" t="n">
        <v>0.895813623120104</v>
      </c>
      <c r="U638" s="6" t="n">
        <v>0.167714732828248</v>
      </c>
      <c r="V638" s="6" t="n">
        <v>-0.323927020699003</v>
      </c>
      <c r="W638" s="6" t="n">
        <v>-2.22856930892022</v>
      </c>
      <c r="X638" s="6" t="n">
        <v>-0.971551599957465</v>
      </c>
      <c r="Y638" s="6" t="n">
        <v>-0.190230653281839</v>
      </c>
      <c r="Z638" s="6" t="n">
        <v>-0.315286987735706</v>
      </c>
      <c r="AA638" s="6" t="n">
        <v>-2.34460520214787</v>
      </c>
      <c r="AB638" s="6" t="n">
        <v>0.488648116348758</v>
      </c>
      <c r="AC638" s="6" t="n">
        <v>-0.461107301614722</v>
      </c>
      <c r="AD638" s="6" t="n">
        <v>-3.58126823928647</v>
      </c>
      <c r="AE638" s="6" t="n">
        <v>-0.933480116450475</v>
      </c>
      <c r="AF638" s="6" t="n">
        <v>0.597257844437789</v>
      </c>
      <c r="AG638" s="6" t="n">
        <v>0.202014816608522</v>
      </c>
      <c r="AH638" s="6" t="n">
        <v>-3.59031948502424</v>
      </c>
      <c r="AI638" s="6" t="n">
        <v>0.696464803113975</v>
      </c>
      <c r="AJ638" s="6" t="n">
        <v>70.3677387694624</v>
      </c>
      <c r="AK638" s="6" t="n">
        <v>0.00713754025298047</v>
      </c>
      <c r="AL638" s="6" t="n">
        <v>0.994528941753568</v>
      </c>
      <c r="AN638" s="6" t="n">
        <v>1.31442867997693</v>
      </c>
      <c r="AO638" s="6" t="n">
        <v>1.31442867997693</v>
      </c>
      <c r="AP638" s="6" t="n">
        <v>0.143974495588353</v>
      </c>
      <c r="AQ638" s="6" t="n">
        <v>0</v>
      </c>
      <c r="AR638" s="6" t="n">
        <v>0</v>
      </c>
    </row>
    <row r="639" customFormat="false" ht="15" hidden="false" customHeight="false" outlineLevel="0" collapsed="false">
      <c r="D639" s="0" t="s">
        <v>765</v>
      </c>
      <c r="J639" s="6" t="n">
        <v>1.86385702271016</v>
      </c>
      <c r="K639" s="6" t="n">
        <v>1.74482786081579</v>
      </c>
      <c r="L639" s="6" t="n">
        <v>-0.704151060909581</v>
      </c>
      <c r="M639" s="6" t="n">
        <v>1.39595383362206</v>
      </c>
      <c r="N639" s="6" t="n">
        <v>0.321889989615332</v>
      </c>
      <c r="O639" s="6" t="n">
        <v>-3.35573633037144</v>
      </c>
      <c r="P639" s="6" t="n">
        <v>-1.18469543878941</v>
      </c>
      <c r="Q639" s="6" t="n">
        <v>-3.03650913278521</v>
      </c>
      <c r="R639" s="6" t="n">
        <v>0.125592816348368</v>
      </c>
      <c r="S639" s="6" t="n">
        <v>0.450097380724068</v>
      </c>
      <c r="T639" s="6" t="n">
        <v>2.59437887740864</v>
      </c>
      <c r="U639" s="6" t="n">
        <v>-2.74358858896267</v>
      </c>
      <c r="V639" s="6" t="n">
        <v>-1.64876490666355</v>
      </c>
      <c r="W639" s="6" t="n">
        <v>-0.696491997894746</v>
      </c>
      <c r="X639" s="6" t="n">
        <v>-0.786253862312153</v>
      </c>
      <c r="Y639" s="6" t="n">
        <v>0.288936087304097</v>
      </c>
      <c r="Z639" s="6" t="n">
        <v>-2.13622573087717</v>
      </c>
      <c r="AA639" s="6" t="n">
        <v>-0.210436995597254</v>
      </c>
      <c r="AB639" s="6" t="n">
        <v>0.864516118415345</v>
      </c>
      <c r="AC639" s="6" t="n">
        <v>0.516636469022975</v>
      </c>
      <c r="AD639" s="6" t="n">
        <v>-1.34127956380875</v>
      </c>
      <c r="AE639" s="6" t="n">
        <v>-1.17498201707656</v>
      </c>
      <c r="AF639" s="6" t="n">
        <v>-1.31190992920352</v>
      </c>
      <c r="AG639" s="6" t="n">
        <v>-0.821969500963146</v>
      </c>
      <c r="AH639" s="6" t="n">
        <v>0.738962953841741</v>
      </c>
      <c r="AI639" s="6" t="n">
        <v>1.03652388758092</v>
      </c>
      <c r="AJ639" s="6" t="n">
        <v>81.2358516909495</v>
      </c>
      <c r="AK639" s="6" t="n">
        <v>0.0718960959127502</v>
      </c>
      <c r="AL639" s="6" t="n">
        <v>1.05019619328347</v>
      </c>
      <c r="AN639" s="6" t="n">
        <v>1.30549802775097</v>
      </c>
      <c r="AO639" s="6" t="n">
        <v>1.30692154646385</v>
      </c>
      <c r="AP639" s="6" t="n">
        <v>0.135676272196251</v>
      </c>
      <c r="AQ639" s="6" t="n">
        <v>0</v>
      </c>
      <c r="AR639" s="6" t="n">
        <v>0</v>
      </c>
    </row>
    <row r="640" customFormat="false" ht="15" hidden="false" customHeight="false" outlineLevel="0" collapsed="false">
      <c r="D640" s="0" t="s">
        <v>766</v>
      </c>
      <c r="J640" s="6" t="n">
        <v>2.37382943181494</v>
      </c>
      <c r="K640" s="6" t="n">
        <v>3.90524756889591</v>
      </c>
      <c r="L640" s="6" t="n">
        <v>-1.49066338587953</v>
      </c>
      <c r="M640" s="6" t="n">
        <v>0.598100301381238</v>
      </c>
      <c r="N640" s="6" t="n">
        <v>-0.768501752254963</v>
      </c>
      <c r="O640" s="6" t="n">
        <v>-5.73726111524814</v>
      </c>
      <c r="P640" s="6" t="n">
        <v>-1.70489426775833</v>
      </c>
      <c r="Q640" s="6" t="n">
        <v>2.9111858187064</v>
      </c>
      <c r="R640" s="6" t="n">
        <v>0.381858722079999</v>
      </c>
      <c r="S640" s="6" t="n">
        <v>0.38047895819744</v>
      </c>
      <c r="T640" s="6" t="n">
        <v>-0.534229737428236</v>
      </c>
      <c r="U640" s="6" t="n">
        <v>-0.0206163748443017</v>
      </c>
      <c r="V640" s="6" t="n">
        <v>-2.30772516409716</v>
      </c>
      <c r="W640" s="6" t="n">
        <v>0.772987677686226</v>
      </c>
      <c r="X640" s="6" t="n">
        <v>3.17319957453067</v>
      </c>
      <c r="Y640" s="6" t="n">
        <v>0.0323445081990814</v>
      </c>
      <c r="Z640" s="6" t="n">
        <v>-1.94754084276323</v>
      </c>
      <c r="AA640" s="6" t="n">
        <v>-1.2763267951303</v>
      </c>
      <c r="AB640" s="6" t="n">
        <v>1.22810161534564</v>
      </c>
      <c r="AC640" s="6" t="n">
        <v>3.16556278885629</v>
      </c>
      <c r="AD640" s="6" t="n">
        <v>0.160420968709597</v>
      </c>
      <c r="AE640" s="6" t="n">
        <v>-1.38955351138963</v>
      </c>
      <c r="AF640" s="6" t="n">
        <v>-0.315952669673651</v>
      </c>
      <c r="AG640" s="6" t="n">
        <v>-4.56117150690508</v>
      </c>
      <c r="AH640" s="6" t="n">
        <v>1.07286091393799</v>
      </c>
      <c r="AI640" s="6" t="n">
        <v>0.251832343456204</v>
      </c>
      <c r="AJ640" s="6" t="n">
        <v>71.6800143362193</v>
      </c>
      <c r="AK640" s="6" t="n">
        <v>0.0999682670055921</v>
      </c>
      <c r="AL640" s="6" t="n">
        <v>1.06462779000389</v>
      </c>
      <c r="AN640" s="6" t="n">
        <v>1.25902530908557</v>
      </c>
      <c r="AO640" s="6" t="n">
        <v>1.26402657046965</v>
      </c>
      <c r="AP640" s="6" t="n">
        <v>0.133146191309528</v>
      </c>
      <c r="AQ640" s="6" t="n">
        <v>0</v>
      </c>
      <c r="AR640" s="6" t="n">
        <v>0</v>
      </c>
    </row>
    <row r="641" customFormat="false" ht="15" hidden="false" customHeight="false" outlineLevel="0" collapsed="false">
      <c r="D641" s="0" t="s">
        <v>767</v>
      </c>
      <c r="J641" s="6" t="n">
        <v>-2.31219049146952</v>
      </c>
      <c r="K641" s="6" t="n">
        <v>3.84096382189625</v>
      </c>
      <c r="L641" s="6" t="n">
        <v>-1.85701564161938</v>
      </c>
      <c r="M641" s="6" t="n">
        <v>1.73066719985776</v>
      </c>
      <c r="N641" s="6" t="n">
        <v>-3.76878007299969</v>
      </c>
      <c r="O641" s="6" t="n">
        <v>-0.922471879585671</v>
      </c>
      <c r="P641" s="6" t="n">
        <v>0.838726126274378</v>
      </c>
      <c r="Q641" s="6" t="n">
        <v>-2.6796773060892</v>
      </c>
      <c r="R641" s="6" t="n">
        <v>2.47558532814406</v>
      </c>
      <c r="S641" s="6" t="n">
        <v>0.783177992046341</v>
      </c>
      <c r="T641" s="6" t="n">
        <v>-0.244353388039541</v>
      </c>
      <c r="U641" s="6" t="n">
        <v>2.65625591769873</v>
      </c>
      <c r="V641" s="6" t="n">
        <v>-0.0692426983075399</v>
      </c>
      <c r="W641" s="6" t="n">
        <v>-0.101133393515296</v>
      </c>
      <c r="X641" s="6" t="n">
        <v>-0.932706619342073</v>
      </c>
      <c r="Y641" s="6" t="n">
        <v>-4.05158956496094</v>
      </c>
      <c r="Z641" s="6" t="n">
        <v>-1.63295595562042</v>
      </c>
      <c r="AA641" s="6" t="n">
        <v>-1.09152495848072</v>
      </c>
      <c r="AB641" s="6" t="n">
        <v>0.535435769624442</v>
      </c>
      <c r="AC641" s="6" t="n">
        <v>-0.668085355916959</v>
      </c>
      <c r="AD641" s="6" t="n">
        <v>-1.76268222185609</v>
      </c>
      <c r="AE641" s="6" t="n">
        <v>-2.99108816049288</v>
      </c>
      <c r="AF641" s="6" t="n">
        <v>2.01234538796187</v>
      </c>
      <c r="AG641" s="6" t="n">
        <v>-0.511612901308197</v>
      </c>
      <c r="AH641" s="6" t="n">
        <v>-0.711655644873952</v>
      </c>
      <c r="AI641" s="6" t="n">
        <v>2.60236740084503</v>
      </c>
      <c r="AJ641" s="6" t="n">
        <v>76.1440378924685</v>
      </c>
      <c r="AK641" s="6" t="n">
        <v>0.0826668172025694</v>
      </c>
      <c r="AL641" s="6" t="n">
        <v>1.04278714783342</v>
      </c>
      <c r="AN641" s="6" t="n">
        <v>1.30705240268314</v>
      </c>
      <c r="AO641" s="6" t="n">
        <v>1.30747347324459</v>
      </c>
      <c r="AP641" s="6" t="n">
        <v>0.135816506429789</v>
      </c>
      <c r="AQ641" s="6" t="n">
        <v>0</v>
      </c>
      <c r="AR641" s="6" t="n">
        <v>0</v>
      </c>
    </row>
    <row r="642" customFormat="false" ht="15" hidden="false" customHeight="false" outlineLevel="0" collapsed="false">
      <c r="D642" s="0" t="s">
        <v>768</v>
      </c>
      <c r="J642" s="6" t="n">
        <v>-1.07064017946957</v>
      </c>
      <c r="K642" s="6" t="n">
        <v>-2.86509139504107</v>
      </c>
      <c r="L642" s="6" t="n">
        <v>-2.78630330148512</v>
      </c>
      <c r="M642" s="6" t="n">
        <v>-0.789204475690195</v>
      </c>
      <c r="N642" s="6" t="n">
        <v>-0.269012330851452</v>
      </c>
      <c r="O642" s="6" t="n">
        <v>0.154296950493718</v>
      </c>
      <c r="P642" s="6" t="n">
        <v>-1.55259369581776</v>
      </c>
      <c r="Q642" s="6" t="n">
        <v>1.91714792891143</v>
      </c>
      <c r="R642" s="6" t="n">
        <v>-2.53288254244369</v>
      </c>
      <c r="S642" s="6" t="n">
        <v>-1.6863179201418</v>
      </c>
      <c r="T642" s="6" t="n">
        <v>-1.43544282250042</v>
      </c>
      <c r="U642" s="6" t="n">
        <v>1.04147766135246</v>
      </c>
      <c r="V642" s="6" t="n">
        <v>0.908135067258269</v>
      </c>
      <c r="W642" s="6" t="n">
        <v>0.772207013274626</v>
      </c>
      <c r="X642" s="6" t="n">
        <v>-0.534234843005777</v>
      </c>
      <c r="Y642" s="6" t="n">
        <v>2.99682491864752</v>
      </c>
      <c r="Z642" s="6" t="n">
        <v>-0.26756050296457</v>
      </c>
      <c r="AA642" s="6" t="n">
        <v>0.107178695420569</v>
      </c>
      <c r="AB642" s="6" t="n">
        <v>-1.1617007701449</v>
      </c>
      <c r="AC642" s="6" t="n">
        <v>0.166243572788768</v>
      </c>
      <c r="AD642" s="6" t="n">
        <v>0.828273998852848</v>
      </c>
      <c r="AE642" s="6" t="n">
        <v>4.62068921586912</v>
      </c>
      <c r="AF642" s="6" t="n">
        <v>1.26434903300486</v>
      </c>
      <c r="AG642" s="6" t="n">
        <v>3.19101581970627</v>
      </c>
      <c r="AH642" s="6" t="n">
        <v>0.889512266770745</v>
      </c>
      <c r="AI642" s="6" t="n">
        <v>1.48592531517933</v>
      </c>
      <c r="AJ642" s="6" t="n">
        <v>67.4237663881251</v>
      </c>
      <c r="AK642" s="6" t="n">
        <v>0.128503641174209</v>
      </c>
      <c r="AL642" s="6" t="n">
        <v>1.07213204535153</v>
      </c>
      <c r="AN642" s="6" t="n">
        <v>1.28512656155317</v>
      </c>
      <c r="AO642" s="6" t="n">
        <v>1.28534650953623</v>
      </c>
      <c r="AP642" s="6" t="n">
        <v>0.132326263730491</v>
      </c>
      <c r="AQ642" s="6" t="n">
        <v>0</v>
      </c>
      <c r="AR642" s="6" t="n">
        <v>0</v>
      </c>
    </row>
    <row r="643" customFormat="false" ht="15" hidden="false" customHeight="false" outlineLevel="0" collapsed="false">
      <c r="D643" s="0" t="s">
        <v>769</v>
      </c>
      <c r="J643" s="6" t="n">
        <v>1.38037516179729</v>
      </c>
      <c r="K643" s="6" t="n">
        <v>2.56046012637259</v>
      </c>
      <c r="L643" s="6" t="n">
        <v>0.211677140066542</v>
      </c>
      <c r="M643" s="6" t="n">
        <v>-0.914827208079747</v>
      </c>
      <c r="N643" s="6" t="n">
        <v>-0.541891529491923</v>
      </c>
      <c r="O643" s="6" t="n">
        <v>0.45641163823476</v>
      </c>
      <c r="P643" s="6" t="n">
        <v>-3.66074449993496</v>
      </c>
      <c r="Q643" s="6" t="n">
        <v>-0.818392491896619</v>
      </c>
      <c r="R643" s="6" t="n">
        <v>-0.294159813545377</v>
      </c>
      <c r="S643" s="6" t="n">
        <v>-0.507431596804087</v>
      </c>
      <c r="T643" s="6" t="n">
        <v>-0.388917188197495</v>
      </c>
      <c r="U643" s="6" t="n">
        <v>-0.0567411223540245</v>
      </c>
      <c r="V643" s="6" t="n">
        <v>1.52031764303346</v>
      </c>
      <c r="W643" s="6" t="n">
        <v>0.958753560152051</v>
      </c>
      <c r="X643" s="6" t="n">
        <v>-1.47744802177407</v>
      </c>
      <c r="Y643" s="6" t="n">
        <v>0.588989304378793</v>
      </c>
      <c r="Z643" s="6" t="n">
        <v>-0.399237072934154</v>
      </c>
      <c r="AA643" s="6" t="n">
        <v>4.07123911857828</v>
      </c>
      <c r="AB643" s="6" t="n">
        <v>1.19070197696393</v>
      </c>
      <c r="AC643" s="6" t="n">
        <v>-4.48000908581309</v>
      </c>
      <c r="AD643" s="6" t="n">
        <v>-1.40330498017936</v>
      </c>
      <c r="AE643" s="6" t="n">
        <v>4.08352326388916</v>
      </c>
      <c r="AF643" s="6" t="n">
        <v>2.07347752176859</v>
      </c>
      <c r="AG643" s="6" t="n">
        <v>0.414125112213398</v>
      </c>
      <c r="AH643" s="6" t="n">
        <v>1.44160104860841</v>
      </c>
      <c r="AI643" s="6" t="n">
        <v>-1.02091061249215</v>
      </c>
      <c r="AJ643" s="6" t="n">
        <v>68.6488661160823</v>
      </c>
      <c r="AK643" s="6" t="n">
        <v>0.127842667027999</v>
      </c>
      <c r="AL643" s="6" t="n">
        <v>1.02799895133692</v>
      </c>
      <c r="AN643" s="6" t="n">
        <v>1.30409120313855</v>
      </c>
      <c r="AO643" s="6" t="n">
        <v>1.30488966564206</v>
      </c>
      <c r="AP643" s="6" t="n">
        <v>0.135722709432492</v>
      </c>
      <c r="AQ643" s="6" t="n">
        <v>0</v>
      </c>
      <c r="AR643" s="6" t="n">
        <v>0</v>
      </c>
    </row>
    <row r="644" customFormat="false" ht="15" hidden="false" customHeight="false" outlineLevel="0" collapsed="false">
      <c r="D644" s="0" t="s">
        <v>770</v>
      </c>
      <c r="J644" s="6" t="n">
        <v>2.14918157448972</v>
      </c>
      <c r="K644" s="6" t="n">
        <v>0.700456184993671</v>
      </c>
      <c r="L644" s="6" t="n">
        <v>-1.08459858884887</v>
      </c>
      <c r="M644" s="6" t="n">
        <v>-0.0576040628196801</v>
      </c>
      <c r="N644" s="6" t="n">
        <v>1.85185361903793</v>
      </c>
      <c r="O644" s="6" t="n">
        <v>-0.123321417172334</v>
      </c>
      <c r="P644" s="6" t="n">
        <v>1.9406007277787</v>
      </c>
      <c r="Q644" s="6" t="n">
        <v>-0.0627056490419584</v>
      </c>
      <c r="R644" s="6" t="n">
        <v>1.6381405179014</v>
      </c>
      <c r="S644" s="6" t="n">
        <v>4.44442312825753</v>
      </c>
      <c r="T644" s="6" t="n">
        <v>1.34251982057091</v>
      </c>
      <c r="U644" s="6" t="n">
        <v>-0.670370341217936</v>
      </c>
      <c r="V644" s="6" t="n">
        <v>-1.69843426758788</v>
      </c>
      <c r="W644" s="6" t="n">
        <v>-1.29009777977441</v>
      </c>
      <c r="X644" s="6" t="n">
        <v>-5.78820779514208</v>
      </c>
      <c r="Y644" s="6" t="n">
        <v>1.85544637519005</v>
      </c>
      <c r="Z644" s="6" t="n">
        <v>4.88880835766949</v>
      </c>
      <c r="AA644" s="6" t="n">
        <v>-1.0655030540326</v>
      </c>
      <c r="AB644" s="6" t="n">
        <v>1.07153226495764</v>
      </c>
      <c r="AC644" s="6" t="n">
        <v>-1.78511761367165</v>
      </c>
      <c r="AD644" s="6" t="n">
        <v>-2.81526330456482</v>
      </c>
      <c r="AE644" s="6" t="n">
        <v>0.680409336016579</v>
      </c>
      <c r="AF644" s="6" t="n">
        <v>3.93552215859329</v>
      </c>
      <c r="AG644" s="6" t="n">
        <v>-1.55249469624349</v>
      </c>
      <c r="AH644" s="6" t="n">
        <v>-0.962592534502739</v>
      </c>
      <c r="AI644" s="6" t="n">
        <v>-0.953897828196595</v>
      </c>
      <c r="AJ644" s="6" t="n">
        <v>81.2875686646082</v>
      </c>
      <c r="AK644" s="6" t="n">
        <v>0.114127646693355</v>
      </c>
      <c r="AL644" s="6" t="n">
        <v>1.05956548959662</v>
      </c>
      <c r="AN644" s="6" t="n">
        <v>1.29596488009</v>
      </c>
      <c r="AO644" s="6" t="n">
        <v>1.29703119884322</v>
      </c>
      <c r="AP644" s="6" t="n">
        <v>0.13403169662878</v>
      </c>
      <c r="AQ644" s="6" t="n">
        <v>0</v>
      </c>
      <c r="AR644" s="6" t="n">
        <v>0</v>
      </c>
    </row>
    <row r="645" customFormat="false" ht="15" hidden="false" customHeight="false" outlineLevel="0" collapsed="false">
      <c r="D645" s="0" t="s">
        <v>771</v>
      </c>
      <c r="J645" s="6" t="n">
        <v>3.1900885433546</v>
      </c>
      <c r="K645" s="6" t="n">
        <v>-0.769878500668742</v>
      </c>
      <c r="L645" s="6" t="n">
        <v>-0.513137687193735</v>
      </c>
      <c r="M645" s="6" t="n">
        <v>0.852556119565442</v>
      </c>
      <c r="N645" s="6" t="n">
        <v>-1.54154381102106</v>
      </c>
      <c r="O645" s="6" t="n">
        <v>1.15524542359222</v>
      </c>
      <c r="P645" s="6" t="n">
        <v>-2.57358066670033</v>
      </c>
      <c r="Q645" s="6" t="n">
        <v>-2.67237951466322</v>
      </c>
      <c r="R645" s="6" t="n">
        <v>1.73427937500717</v>
      </c>
      <c r="S645" s="6" t="n">
        <v>-4.48489082431847</v>
      </c>
      <c r="T645" s="6" t="n">
        <v>2.83875195970504</v>
      </c>
      <c r="U645" s="6" t="n">
        <v>-2.30145889826673</v>
      </c>
      <c r="V645" s="6" t="n">
        <v>1.43398506146155</v>
      </c>
      <c r="W645" s="6" t="n">
        <v>-4.32890481366578</v>
      </c>
      <c r="X645" s="6" t="n">
        <v>3.09211447364491</v>
      </c>
      <c r="Y645" s="6" t="n">
        <v>3.19850630981775</v>
      </c>
      <c r="Z645" s="6" t="n">
        <v>1.23498714681133</v>
      </c>
      <c r="AA645" s="6" t="n">
        <v>-2.31067912759219</v>
      </c>
      <c r="AB645" s="6" t="n">
        <v>-0.021184827466596</v>
      </c>
      <c r="AC645" s="6" t="n">
        <v>-0.755721669275823</v>
      </c>
      <c r="AD645" s="6" t="n">
        <v>-0.375934847505502</v>
      </c>
      <c r="AE645" s="6" t="n">
        <v>-2.68310003212394</v>
      </c>
      <c r="AF645" s="6" t="n">
        <v>1.53539962429061</v>
      </c>
      <c r="AG645" s="6" t="n">
        <v>1.82363223710561</v>
      </c>
      <c r="AH645" s="6" t="n">
        <v>-2.44306870765504</v>
      </c>
      <c r="AI645" s="6" t="n">
        <v>-0.80604704706989</v>
      </c>
      <c r="AJ645" s="6" t="n">
        <v>77.4748374588942</v>
      </c>
      <c r="AK645" s="6" t="n">
        <v>0.154164093026787</v>
      </c>
      <c r="AL645" s="6" t="n">
        <v>1.08508214440924</v>
      </c>
      <c r="AN645" s="6" t="n">
        <v>1.27984921899677</v>
      </c>
      <c r="AO645" s="6" t="n">
        <v>1.27995843611434</v>
      </c>
      <c r="AP645" s="6" t="n">
        <v>0.130590236852124</v>
      </c>
      <c r="AQ645" s="6" t="n">
        <v>0</v>
      </c>
      <c r="AR645" s="6" t="n">
        <v>0</v>
      </c>
    </row>
    <row r="646" customFormat="false" ht="15" hidden="false" customHeight="false" outlineLevel="0" collapsed="false">
      <c r="D646" s="0" t="s">
        <v>772</v>
      </c>
      <c r="J646" s="6" t="n">
        <v>-1.95868619489729</v>
      </c>
      <c r="K646" s="6" t="n">
        <v>-0.0861927182330011</v>
      </c>
      <c r="L646" s="6" t="n">
        <v>1.53434321574244</v>
      </c>
      <c r="M646" s="6" t="n">
        <v>-1.96586279205035</v>
      </c>
      <c r="N646" s="6" t="n">
        <v>0.375906945610466</v>
      </c>
      <c r="O646" s="6" t="n">
        <v>-1.43610404373383</v>
      </c>
      <c r="P646" s="6" t="n">
        <v>0.349386238877644</v>
      </c>
      <c r="Q646" s="6" t="n">
        <v>0.887009124340924</v>
      </c>
      <c r="R646" s="6" t="n">
        <v>0.0762481636902065</v>
      </c>
      <c r="S646" s="6" t="n">
        <v>1.85482638359211</v>
      </c>
      <c r="T646" s="6" t="n">
        <v>0.990149799189376</v>
      </c>
      <c r="U646" s="6" t="n">
        <v>-1.73769779929341</v>
      </c>
      <c r="V646" s="6" t="n">
        <v>-0.379384866860195</v>
      </c>
      <c r="W646" s="6" t="n">
        <v>0.00139381961988181</v>
      </c>
      <c r="X646" s="6" t="n">
        <v>0.0631099099929123</v>
      </c>
      <c r="Y646" s="6" t="n">
        <v>-0.0782545377986252</v>
      </c>
      <c r="Z646" s="6" t="n">
        <v>2.7877223142758</v>
      </c>
      <c r="AA646" s="6" t="n">
        <v>0.259115977808573</v>
      </c>
      <c r="AB646" s="6" t="n">
        <v>0.205120278996189</v>
      </c>
      <c r="AC646" s="6" t="n">
        <v>0.898617056721807</v>
      </c>
      <c r="AD646" s="6" t="n">
        <v>1.54538003373618</v>
      </c>
      <c r="AE646" s="6" t="n">
        <v>-1.16706379943746</v>
      </c>
      <c r="AF646" s="6" t="n">
        <v>-3.00651835040945</v>
      </c>
      <c r="AG646" s="6" t="n">
        <v>3.02181302011143</v>
      </c>
      <c r="AH646" s="6" t="n">
        <v>4.01212541980712</v>
      </c>
      <c r="AI646" s="6" t="n">
        <v>-1.48383280450798</v>
      </c>
      <c r="AJ646" s="6" t="n">
        <v>67.4862858774934</v>
      </c>
      <c r="AK646" s="6" t="n">
        <v>0.120287391913059</v>
      </c>
      <c r="AL646" s="6" t="n">
        <v>1.02501817423631</v>
      </c>
      <c r="AN646" s="6" t="n">
        <v>1.30714270001944</v>
      </c>
      <c r="AO646" s="6" t="n">
        <v>1.30786386158661</v>
      </c>
      <c r="AP646" s="6" t="n">
        <v>0.136320313230528</v>
      </c>
      <c r="AQ646" s="6" t="n">
        <v>0</v>
      </c>
      <c r="AR646" s="6" t="n">
        <v>0</v>
      </c>
    </row>
    <row r="647" customFormat="false" ht="15" hidden="false" customHeight="false" outlineLevel="0" collapsed="false">
      <c r="D647" s="0" t="s">
        <v>773</v>
      </c>
      <c r="J647" s="6" t="n">
        <v>0.803272401843721</v>
      </c>
      <c r="K647" s="6" t="n">
        <v>-0.0781327047788437</v>
      </c>
      <c r="L647" s="6" t="n">
        <v>2.87179904248422</v>
      </c>
      <c r="M647" s="6" t="n">
        <v>-0.454297214153839</v>
      </c>
      <c r="N647" s="6" t="n">
        <v>-1.57151600980397</v>
      </c>
      <c r="O647" s="6" t="n">
        <v>0.0399028426310488</v>
      </c>
      <c r="P647" s="6" t="n">
        <v>-0.482223482799049</v>
      </c>
      <c r="Q647" s="6" t="n">
        <v>0.0733555331887158</v>
      </c>
      <c r="R647" s="6" t="n">
        <v>-1.91661812838544</v>
      </c>
      <c r="S647" s="6" t="n">
        <v>-1.47423756771791</v>
      </c>
      <c r="T647" s="6" t="n">
        <v>0.218483218011536</v>
      </c>
      <c r="U647" s="6" t="n">
        <v>-0.835518402118063</v>
      </c>
      <c r="V647" s="6" t="n">
        <v>-0.378382692705709</v>
      </c>
      <c r="W647" s="6" t="n">
        <v>-1.50964230748111</v>
      </c>
      <c r="X647" s="6" t="n">
        <v>0.755256165942896</v>
      </c>
      <c r="Y647" s="6" t="n">
        <v>2.30111115507077</v>
      </c>
      <c r="Z647" s="6" t="n">
        <v>-2.17716072520191</v>
      </c>
      <c r="AA647" s="6" t="n">
        <v>-2.11267928621582</v>
      </c>
      <c r="AB647" s="6" t="n">
        <v>-0.951264223198778</v>
      </c>
      <c r="AC647" s="6" t="n">
        <v>0.594040806871052</v>
      </c>
      <c r="AD647" s="6" t="n">
        <v>3.55741004593778</v>
      </c>
      <c r="AE647" s="6" t="n">
        <v>-0.398711256525229</v>
      </c>
      <c r="AF647" s="6" t="n">
        <v>-1.00371966479524</v>
      </c>
      <c r="AG647" s="6" t="n">
        <v>1.25616997062315</v>
      </c>
      <c r="AH647" s="6" t="n">
        <v>1.85933445803245</v>
      </c>
      <c r="AI647" s="6" t="n">
        <v>-1.09209110157519</v>
      </c>
      <c r="AJ647" s="6" t="n">
        <v>77.1473441611204</v>
      </c>
      <c r="AK647" s="6" t="n">
        <v>0.111353823963625</v>
      </c>
      <c r="AL647" s="6" t="n">
        <v>1.09042555888899</v>
      </c>
      <c r="AN647" s="6" t="n">
        <v>1.28357965624075</v>
      </c>
      <c r="AO647" s="6" t="n">
        <v>1.28427411958684</v>
      </c>
      <c r="AP647" s="6" t="n">
        <v>0.131856252574505</v>
      </c>
      <c r="AQ647" s="6" t="n">
        <v>0</v>
      </c>
      <c r="AR647" s="6" t="n">
        <v>0</v>
      </c>
    </row>
    <row r="648" customFormat="false" ht="15" hidden="false" customHeight="false" outlineLevel="0" collapsed="false">
      <c r="D648" s="0" t="s">
        <v>774</v>
      </c>
      <c r="J648" s="6" t="n">
        <v>1.86704648483845</v>
      </c>
      <c r="K648" s="6" t="n">
        <v>-2.66778249427351</v>
      </c>
      <c r="L648" s="6" t="n">
        <v>-0.276920522139753</v>
      </c>
      <c r="M648" s="6" t="n">
        <v>-2.57482132666047</v>
      </c>
      <c r="N648" s="6" t="n">
        <v>1.96759280192442</v>
      </c>
      <c r="O648" s="6" t="n">
        <v>0.3283639904386</v>
      </c>
      <c r="P648" s="6" t="n">
        <v>-0.290950588451614</v>
      </c>
      <c r="Q648" s="6" t="n">
        <v>-1.58875203519529</v>
      </c>
      <c r="R648" s="6" t="n">
        <v>0.939533645472801</v>
      </c>
      <c r="S648" s="6" t="n">
        <v>-0.357943434714767</v>
      </c>
      <c r="T648" s="6" t="n">
        <v>2.30193482546207</v>
      </c>
      <c r="U648" s="6" t="n">
        <v>1.58900024387727</v>
      </c>
      <c r="V648" s="6" t="n">
        <v>-0.931156299015675</v>
      </c>
      <c r="W648" s="6" t="n">
        <v>0.620831568330175</v>
      </c>
      <c r="X648" s="6" t="n">
        <v>1.60020457873543</v>
      </c>
      <c r="Y648" s="6" t="n">
        <v>-3.29847391274424</v>
      </c>
      <c r="Z648" s="6" t="n">
        <v>2.75096228301438</v>
      </c>
      <c r="AA648" s="6" t="n">
        <v>-2.30472830263602</v>
      </c>
      <c r="AB648" s="6" t="n">
        <v>1.92712622848443</v>
      </c>
      <c r="AC648" s="6" t="n">
        <v>0.396703209248816</v>
      </c>
      <c r="AD648" s="6" t="n">
        <v>2.36021658772332</v>
      </c>
      <c r="AE648" s="6" t="n">
        <v>-0.326136902122861</v>
      </c>
      <c r="AF648" s="6" t="n">
        <v>-2.75029010583327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</v>
      </c>
      <c r="AK648" s="6" t="n">
        <v>0.157605755739203</v>
      </c>
      <c r="AL648" s="6" t="n">
        <v>1.04035577855409</v>
      </c>
      <c r="AN648" s="6" t="n">
        <v>1.29588592610395</v>
      </c>
      <c r="AO648" s="6" t="n">
        <v>1.29618667253165</v>
      </c>
      <c r="AP648" s="6" t="n">
        <v>0.133640791704681</v>
      </c>
      <c r="AQ648" s="6" t="n">
        <v>0</v>
      </c>
      <c r="AR648" s="6" t="n">
        <v>0</v>
      </c>
    </row>
    <row r="649" customFormat="false" ht="15" hidden="false" customHeight="false" outlineLevel="0" collapsed="false">
      <c r="D649" s="0" t="s">
        <v>775</v>
      </c>
      <c r="J649" s="6" t="n">
        <v>-3.03267831770508</v>
      </c>
      <c r="K649" s="6" t="n">
        <v>-0.79109761990038</v>
      </c>
      <c r="L649" s="6" t="n">
        <v>1.56005959525575</v>
      </c>
      <c r="M649" s="6" t="n">
        <v>3.17643286323464</v>
      </c>
      <c r="N649" s="6" t="n">
        <v>-0.157368620224199</v>
      </c>
      <c r="O649" s="6" t="n">
        <v>2.38261162242102</v>
      </c>
      <c r="P649" s="6" t="n">
        <v>-5.20621343921801</v>
      </c>
      <c r="Q649" s="6" t="n">
        <v>1.42355458905073</v>
      </c>
      <c r="R649" s="6" t="n">
        <v>3.51617551787528</v>
      </c>
      <c r="S649" s="6" t="n">
        <v>-2.47335743908573</v>
      </c>
      <c r="T649" s="6" t="n">
        <v>0.203788602208028</v>
      </c>
      <c r="U649" s="6" t="n">
        <v>2.06046568327226</v>
      </c>
      <c r="V649" s="6" t="n">
        <v>1.78696009153977</v>
      </c>
      <c r="W649" s="6" t="n">
        <v>-1.85332967991578</v>
      </c>
      <c r="X649" s="6" t="n">
        <v>2.94351963914894</v>
      </c>
      <c r="Y649" s="6" t="n">
        <v>0.59209234929425</v>
      </c>
      <c r="Z649" s="6" t="n">
        <v>-1.57549992557866</v>
      </c>
      <c r="AA649" s="6" t="n">
        <v>1.38053580942778</v>
      </c>
      <c r="AB649" s="6" t="n">
        <v>1.89330168436479</v>
      </c>
      <c r="AC649" s="6" t="n">
        <v>-1.21130712238126</v>
      </c>
      <c r="AD649" s="6" t="n">
        <v>-0.647617994923902</v>
      </c>
      <c r="AE649" s="6" t="n">
        <v>1.4451535963605</v>
      </c>
      <c r="AF649" s="6" t="n">
        <v>-0.89761334296461</v>
      </c>
      <c r="AG649" s="6" t="n">
        <v>-2.5120496067466</v>
      </c>
      <c r="AH649" s="6" t="n">
        <v>-2.68993340417358</v>
      </c>
      <c r="AI649" s="6" t="n">
        <v>-1.80677782220831</v>
      </c>
      <c r="AJ649" s="6" t="n">
        <v>68.3261767232051</v>
      </c>
      <c r="AK649" s="6" t="n">
        <v>0.0832661395757106</v>
      </c>
      <c r="AL649" s="6" t="n">
        <v>1.08164740248812</v>
      </c>
      <c r="AN649" s="6" t="n">
        <v>1.27856806083607</v>
      </c>
      <c r="AO649" s="6" t="n">
        <v>1.28273586517911</v>
      </c>
      <c r="AP649" s="6" t="n">
        <v>0.132392972930701</v>
      </c>
      <c r="AQ649" s="6" t="n">
        <v>0</v>
      </c>
      <c r="AR649" s="6" t="n">
        <v>0</v>
      </c>
    </row>
    <row r="650" customFormat="false" ht="15" hidden="false" customHeight="false" outlineLevel="0" collapsed="false">
      <c r="D650" s="0" t="s">
        <v>776</v>
      </c>
      <c r="J650" s="6" t="n">
        <v>1.51556377873582</v>
      </c>
      <c r="K650" s="6" t="n">
        <v>1.93454378913925</v>
      </c>
      <c r="L650" s="6" t="n">
        <v>1.59825367734751</v>
      </c>
      <c r="M650" s="6" t="n">
        <v>2.27222587929541</v>
      </c>
      <c r="N650" s="6" t="n">
        <v>2.23891491825804</v>
      </c>
      <c r="O650" s="6" t="n">
        <v>-0.395589641024674</v>
      </c>
      <c r="P650" s="6" t="n">
        <v>4.37875757745869</v>
      </c>
      <c r="Q650" s="6" t="n">
        <v>-1.80723219980666</v>
      </c>
      <c r="R650" s="6" t="n">
        <v>-0.692702370092657</v>
      </c>
      <c r="S650" s="6" t="n">
        <v>1.0324271193056</v>
      </c>
      <c r="T650" s="6" t="n">
        <v>1.81984648702623</v>
      </c>
      <c r="U650" s="6" t="n">
        <v>5</v>
      </c>
      <c r="V650" s="6" t="n">
        <v>0.140836084883705</v>
      </c>
      <c r="W650" s="6" t="n">
        <v>-0.282225696762198</v>
      </c>
      <c r="X650" s="6" t="n">
        <v>2.37009498297174</v>
      </c>
      <c r="Y650" s="6" t="n">
        <v>0.646567396071733</v>
      </c>
      <c r="Z650" s="6" t="n">
        <v>0.35639643175089</v>
      </c>
      <c r="AA650" s="6" t="n">
        <v>2.29530049821859</v>
      </c>
      <c r="AB650" s="6" t="n">
        <v>-2.66719437042555</v>
      </c>
      <c r="AC650" s="6" t="n">
        <v>0.212689301547712</v>
      </c>
      <c r="AD650" s="6" t="n">
        <v>-0.466670193724396</v>
      </c>
      <c r="AE650" s="6" t="n">
        <v>1.01469051526237</v>
      </c>
      <c r="AF650" s="6" t="n">
        <v>1.48857951839112</v>
      </c>
      <c r="AG650" s="6" t="n">
        <v>-2.96288314772676</v>
      </c>
      <c r="AH650" s="6" t="n">
        <v>-4.3556063428142</v>
      </c>
      <c r="AI650" s="6" t="n">
        <v>-0.257606887203059</v>
      </c>
      <c r="AJ650" s="6" t="n">
        <v>77.903596607485</v>
      </c>
      <c r="AK650" s="6" t="n">
        <v>0.161518047238461</v>
      </c>
      <c r="AL650" s="6" t="n">
        <v>1.03578946753557</v>
      </c>
      <c r="AN650" s="6" t="n">
        <v>1.29925200979014</v>
      </c>
      <c r="AO650" s="6" t="n">
        <v>1.30088309977138</v>
      </c>
      <c r="AP650" s="6" t="n">
        <v>0.134554231407475</v>
      </c>
      <c r="AQ650" s="6" t="n">
        <v>0</v>
      </c>
      <c r="AR650" s="6" t="n">
        <v>0</v>
      </c>
    </row>
    <row r="651" customFormat="false" ht="15" hidden="false" customHeight="false" outlineLevel="0" collapsed="false">
      <c r="D651" s="0" t="s">
        <v>777</v>
      </c>
      <c r="J651" s="6" t="n">
        <v>-1.29895065137788</v>
      </c>
      <c r="K651" s="6" t="n">
        <v>-0.608115094066138</v>
      </c>
      <c r="L651" s="6" t="n">
        <v>-0.574224708247308</v>
      </c>
      <c r="M651" s="6" t="n">
        <v>0.510741595928394</v>
      </c>
      <c r="N651" s="6" t="n">
        <v>-0.755953268472595</v>
      </c>
      <c r="O651" s="6" t="n">
        <v>0.164805253435847</v>
      </c>
      <c r="P651" s="6" t="n">
        <v>-2.91016265408939</v>
      </c>
      <c r="Q651" s="6" t="n">
        <v>-3.2748622601845</v>
      </c>
      <c r="R651" s="6" t="n">
        <v>-1.22680796844124</v>
      </c>
      <c r="S651" s="6" t="n">
        <v>3.04251981154415</v>
      </c>
      <c r="T651" s="6" t="n">
        <v>0.35587117378399</v>
      </c>
      <c r="U651" s="6" t="n">
        <v>1.26516412646725</v>
      </c>
      <c r="V651" s="6" t="n">
        <v>2.28356289120594</v>
      </c>
      <c r="W651" s="6" t="n">
        <v>-2.92561607044986</v>
      </c>
      <c r="X651" s="6" t="n">
        <v>0.41439155285439</v>
      </c>
      <c r="Y651" s="6" t="n">
        <v>-1.30678350910287</v>
      </c>
      <c r="Z651" s="6" t="n">
        <v>-5.91114257628317</v>
      </c>
      <c r="AA651" s="6" t="n">
        <v>2.54807624054144</v>
      </c>
      <c r="AB651" s="6" t="n">
        <v>0.172328661448597</v>
      </c>
      <c r="AC651" s="6" t="n">
        <v>-0.580320288141325</v>
      </c>
      <c r="AD651" s="6" t="n">
        <v>2.82210505301858</v>
      </c>
      <c r="AE651" s="6" t="n">
        <v>2.85658671531651</v>
      </c>
      <c r="AF651" s="6" t="n">
        <v>-2.83342412166597</v>
      </c>
      <c r="AG651" s="6" t="n">
        <v>-4.32794279124745</v>
      </c>
      <c r="AH651" s="6" t="n">
        <v>-1.99475206021627</v>
      </c>
      <c r="AI651" s="6" t="n">
        <v>2.6145984320766</v>
      </c>
      <c r="AJ651" s="6" t="n">
        <v>72.9384372812321</v>
      </c>
      <c r="AK651" s="6" t="n">
        <v>0.118726410685907</v>
      </c>
      <c r="AL651" s="6" t="n">
        <v>1.03329501983406</v>
      </c>
      <c r="AN651" s="6" t="n">
        <v>1.30525674525943</v>
      </c>
      <c r="AO651" s="6" t="n">
        <v>1.30591538259805</v>
      </c>
      <c r="AP651" s="6" t="n">
        <v>0.1353750552089</v>
      </c>
      <c r="AQ651" s="6" t="n">
        <v>0</v>
      </c>
      <c r="AR651" s="6" t="n">
        <v>0</v>
      </c>
    </row>
    <row r="652" customFormat="false" ht="15" hidden="false" customHeight="false" outlineLevel="0" collapsed="false">
      <c r="D652" s="0" t="s">
        <v>778</v>
      </c>
      <c r="J652" s="6" t="n">
        <v>2.03667528516059</v>
      </c>
      <c r="K652" s="6" t="n">
        <v>-1.39255022455564</v>
      </c>
      <c r="L652" s="6" t="n">
        <v>-1.83258961135824</v>
      </c>
      <c r="M652" s="6" t="n">
        <v>0.0696618849275234</v>
      </c>
      <c r="N652" s="6" t="n">
        <v>-0.663390372416864</v>
      </c>
      <c r="O652" s="6" t="n">
        <v>-1.10502597381246</v>
      </c>
      <c r="P652" s="6" t="n">
        <v>0.818654984414412</v>
      </c>
      <c r="Q652" s="6" t="n">
        <v>-0.102984910667981</v>
      </c>
      <c r="R652" s="6" t="n">
        <v>-3.98165519731329</v>
      </c>
      <c r="S652" s="6" t="n">
        <v>1.26958443705204</v>
      </c>
      <c r="T652" s="6" t="n">
        <v>-2.10436172734919</v>
      </c>
      <c r="U652" s="6" t="n">
        <v>1.16313854891867</v>
      </c>
      <c r="V652" s="6" t="n">
        <v>-4.29561414086665</v>
      </c>
      <c r="W652" s="6" t="n">
        <v>0.372159394061755</v>
      </c>
      <c r="X652" s="6" t="n">
        <v>2.87386999020283</v>
      </c>
      <c r="Y652" s="6" t="n">
        <v>-1.54584063665565</v>
      </c>
      <c r="Z652" s="6" t="n">
        <v>-1.25661654955916</v>
      </c>
      <c r="AA652" s="6" t="n">
        <v>1.02618225281277</v>
      </c>
      <c r="AB652" s="6" t="n">
        <v>0.692977393409087</v>
      </c>
      <c r="AC652" s="6" t="n">
        <v>-1.68074551254899</v>
      </c>
      <c r="AD652" s="6" t="n">
        <v>-0.452331738632974</v>
      </c>
      <c r="AE652" s="6" t="n">
        <v>0.940776696592718</v>
      </c>
      <c r="AF652" s="6" t="n">
        <v>1.61231207484716</v>
      </c>
      <c r="AG652" s="6" t="n">
        <v>-0.610006830265906</v>
      </c>
      <c r="AH652" s="6" t="n">
        <v>1.12676458462632</v>
      </c>
      <c r="AI652" s="6" t="n">
        <v>0.0402901382804535</v>
      </c>
      <c r="AJ652" s="6" t="n">
        <v>77.6451791689635</v>
      </c>
      <c r="AK652" s="6" t="n">
        <v>0.158303990070555</v>
      </c>
      <c r="AL652" s="6" t="n">
        <v>1.04349604338246</v>
      </c>
      <c r="AN652" s="6" t="n">
        <v>1.2978268038972</v>
      </c>
      <c r="AO652" s="6" t="n">
        <v>1.29885179395552</v>
      </c>
      <c r="AP652" s="6" t="n">
        <v>0.134171060439168</v>
      </c>
      <c r="AQ652" s="6" t="n">
        <v>0</v>
      </c>
      <c r="AR652" s="6" t="n">
        <v>0</v>
      </c>
    </row>
    <row r="653" customFormat="false" ht="15" hidden="false" customHeight="false" outlineLevel="0" collapsed="false">
      <c r="D653" s="0" t="s">
        <v>779</v>
      </c>
      <c r="J653" s="6" t="n">
        <v>3.4537040338004</v>
      </c>
      <c r="K653" s="6" t="n">
        <v>1.70063072794694</v>
      </c>
      <c r="L653" s="6" t="n">
        <v>2.68431664422691</v>
      </c>
      <c r="M653" s="6" t="n">
        <v>-3.24688047679822</v>
      </c>
      <c r="N653" s="6" t="n">
        <v>-0.623478749937639</v>
      </c>
      <c r="O653" s="6" t="n">
        <v>2.01398500625343</v>
      </c>
      <c r="P653" s="6" t="n">
        <v>0.985334502041159</v>
      </c>
      <c r="Q653" s="6" t="n">
        <v>-1.05099551335207</v>
      </c>
      <c r="R653" s="6" t="n">
        <v>1.85718191639163</v>
      </c>
      <c r="S653" s="6" t="n">
        <v>-0.87497428203819</v>
      </c>
      <c r="T653" s="6" t="n">
        <v>3.24427235112736</v>
      </c>
      <c r="U653" s="6" t="n">
        <v>-2.37125141785081</v>
      </c>
      <c r="V653" s="6" t="n">
        <v>0.145947411829044</v>
      </c>
      <c r="W653" s="6" t="n">
        <v>-0.769382032184516</v>
      </c>
      <c r="X653" s="6" t="n">
        <v>0.148602652802193</v>
      </c>
      <c r="Y653" s="6" t="n">
        <v>2.8020896553679</v>
      </c>
      <c r="Z653" s="6" t="n">
        <v>0.826308051036906</v>
      </c>
      <c r="AA653" s="6" t="n">
        <v>4.64298617059823</v>
      </c>
      <c r="AB653" s="6" t="n">
        <v>-3.03542499005371</v>
      </c>
      <c r="AC653" s="6" t="n">
        <v>0.225036059796093</v>
      </c>
      <c r="AD653" s="6" t="n">
        <v>-2.48030912708382</v>
      </c>
      <c r="AE653" s="6" t="n">
        <v>-2.59327500995159</v>
      </c>
      <c r="AF653" s="6" t="n">
        <v>0.263148284773697</v>
      </c>
      <c r="AG653" s="6" t="n">
        <v>-0.106373226069431</v>
      </c>
      <c r="AH653" s="6" t="n">
        <v>-1.0438922577034</v>
      </c>
      <c r="AI653" s="6" t="n">
        <v>-1.30120870157321</v>
      </c>
      <c r="AJ653" s="6" t="n">
        <v>79.2223082553565</v>
      </c>
      <c r="AK653" s="6" t="n">
        <v>0.177540073250969</v>
      </c>
      <c r="AL653" s="6" t="n">
        <v>1.03199718840217</v>
      </c>
      <c r="AN653" s="6" t="n">
        <v>1.29934673103527</v>
      </c>
      <c r="AO653" s="6" t="n">
        <v>1.29956678500098</v>
      </c>
      <c r="AP653" s="6" t="n">
        <v>0.134572851191419</v>
      </c>
      <c r="AQ653" s="6" t="n">
        <v>0</v>
      </c>
      <c r="AR653" s="6" t="n">
        <v>0</v>
      </c>
    </row>
    <row r="654" customFormat="false" ht="15" hidden="false" customHeight="false" outlineLevel="0" collapsed="false">
      <c r="D654" s="0" t="s">
        <v>780</v>
      </c>
      <c r="J654" s="6" t="n">
        <v>-1.41528043693202</v>
      </c>
      <c r="K654" s="6" t="n">
        <v>-2.22721975212355</v>
      </c>
      <c r="L654" s="6" t="n">
        <v>-0.796435559953797</v>
      </c>
      <c r="M654" s="6" t="n">
        <v>1.45956195079999</v>
      </c>
      <c r="N654" s="6" t="n">
        <v>2.14575445773156</v>
      </c>
      <c r="O654" s="6" t="n">
        <v>-6.42983708559941</v>
      </c>
      <c r="P654" s="6" t="n">
        <v>-1.62384655443047</v>
      </c>
      <c r="Q654" s="6" t="n">
        <v>-3.42580808538631</v>
      </c>
      <c r="R654" s="6" t="n">
        <v>-1.43685973902787</v>
      </c>
      <c r="S654" s="6" t="n">
        <v>-1.38934743795237</v>
      </c>
      <c r="T654" s="6" t="n">
        <v>-1.81381099671115</v>
      </c>
      <c r="U654" s="6" t="n">
        <v>0.965007368899934</v>
      </c>
      <c r="V654" s="6" t="n">
        <v>-3.46513005776691</v>
      </c>
      <c r="W654" s="6" t="n">
        <v>1.80872821100977</v>
      </c>
      <c r="X654" s="6" t="n">
        <v>-0.466858785287597</v>
      </c>
      <c r="Y654" s="6" t="n">
        <v>-0.381206010453737</v>
      </c>
      <c r="Z654" s="6" t="n">
        <v>1.95517524086579</v>
      </c>
      <c r="AA654" s="6" t="n">
        <v>-0.389538828093913</v>
      </c>
      <c r="AB654" s="6" t="n">
        <v>1.97647534959987</v>
      </c>
      <c r="AC654" s="6" t="n">
        <v>2.98554619872592</v>
      </c>
      <c r="AD654" s="6" t="n">
        <v>3.34690199533959</v>
      </c>
      <c r="AE654" s="6" t="n">
        <v>2.03716143012458</v>
      </c>
      <c r="AF654" s="6" t="n">
        <v>2.44705251305745</v>
      </c>
      <c r="AG654" s="6" t="n">
        <v>-1.61250782975509</v>
      </c>
      <c r="AH654" s="6" t="n">
        <v>0.526776955405146</v>
      </c>
      <c r="AI654" s="6" t="n">
        <v>-1.33847346085668</v>
      </c>
      <c r="AJ654" s="6" t="n">
        <v>75.6486781054859</v>
      </c>
      <c r="AK654" s="6" t="n">
        <v>0.14392800328332</v>
      </c>
      <c r="AL654" s="6" t="n">
        <v>1.04286821620099</v>
      </c>
      <c r="AN654" s="6" t="n">
        <v>1.25407480701572</v>
      </c>
      <c r="AO654" s="6" t="n">
        <v>1.2592565053114</v>
      </c>
      <c r="AP654" s="6" t="n">
        <v>0.133756824599898</v>
      </c>
      <c r="AQ654" s="6" t="n">
        <v>0</v>
      </c>
      <c r="AR654" s="6" t="n">
        <v>0</v>
      </c>
    </row>
    <row r="655" customFormat="false" ht="15" hidden="false" customHeight="false" outlineLevel="0" collapsed="false">
      <c r="D655" s="0" t="s">
        <v>781</v>
      </c>
      <c r="J655" s="6" t="n">
        <v>-0.54289846948508</v>
      </c>
      <c r="K655" s="6" t="n">
        <v>1.868311529905</v>
      </c>
      <c r="L655" s="6" t="n">
        <v>-0.797954672497867</v>
      </c>
      <c r="M655" s="6" t="n">
        <v>0.232117036237693</v>
      </c>
      <c r="N655" s="6" t="n">
        <v>0.273936259962249</v>
      </c>
      <c r="O655" s="6" t="n">
        <v>0.726905299620027</v>
      </c>
      <c r="P655" s="6" t="n">
        <v>1.38096454303323</v>
      </c>
      <c r="Q655" s="6" t="n">
        <v>3.06681979903064</v>
      </c>
      <c r="R655" s="6" t="n">
        <v>-2.9255575040504</v>
      </c>
      <c r="S655" s="6" t="n">
        <v>-1.59700015037944</v>
      </c>
      <c r="T655" s="6" t="n">
        <v>-0.590650510896343</v>
      </c>
      <c r="U655" s="6" t="n">
        <v>-2.95469537789403</v>
      </c>
      <c r="V655" s="6" t="n">
        <v>0.720445493547411</v>
      </c>
      <c r="W655" s="6" t="n">
        <v>3.42403540588059</v>
      </c>
      <c r="X655" s="6" t="n">
        <v>0.986222558497237</v>
      </c>
      <c r="Y655" s="6" t="n">
        <v>3.09452331104413</v>
      </c>
      <c r="Z655" s="6" t="n">
        <v>0.973268873443625</v>
      </c>
      <c r="AA655" s="6" t="n">
        <v>1.19703883719162</v>
      </c>
      <c r="AB655" s="6" t="n">
        <v>-1.41018127159674</v>
      </c>
      <c r="AC655" s="6" t="n">
        <v>0.131291823767686</v>
      </c>
      <c r="AD655" s="6" t="n">
        <v>-2.47537161460683</v>
      </c>
      <c r="AE655" s="6" t="n">
        <v>0.00727527787094155</v>
      </c>
      <c r="AF655" s="6" t="n">
        <v>-1.78473693719459</v>
      </c>
      <c r="AG655" s="6" t="n">
        <v>2.53303147711766</v>
      </c>
      <c r="AH655" s="6" t="n">
        <v>2.76762901475879</v>
      </c>
      <c r="AI655" s="6" t="n">
        <v>-0.338808582459952</v>
      </c>
      <c r="AJ655" s="6" t="n">
        <v>78.8691303679518</v>
      </c>
      <c r="AK655" s="6" t="n">
        <v>0.102809355733028</v>
      </c>
      <c r="AL655" s="6" t="n">
        <v>1.02659979162863</v>
      </c>
      <c r="AN655" s="6" t="n">
        <v>1.31346149877642</v>
      </c>
      <c r="AO655" s="6" t="n">
        <v>1.31346430711505</v>
      </c>
      <c r="AP655" s="6" t="n">
        <v>0.137839358421955</v>
      </c>
      <c r="AQ655" s="6" t="n">
        <v>0</v>
      </c>
      <c r="AR655" s="6" t="n">
        <v>0</v>
      </c>
    </row>
    <row r="656" customFormat="false" ht="15" hidden="false" customHeight="false" outlineLevel="0" collapsed="false">
      <c r="D656" s="0" t="s">
        <v>782</v>
      </c>
      <c r="J656" s="6" t="n">
        <v>0.132967798925957</v>
      </c>
      <c r="K656" s="6" t="n">
        <v>3.44857448668489</v>
      </c>
      <c r="L656" s="6" t="n">
        <v>2.79181261549439</v>
      </c>
      <c r="M656" s="6" t="n">
        <v>0.762956501630131</v>
      </c>
      <c r="N656" s="6" t="n">
        <v>4.59141041494595</v>
      </c>
      <c r="O656" s="6" t="n">
        <v>2.0226102576633</v>
      </c>
      <c r="P656" s="6" t="n">
        <v>-1.05195313461067</v>
      </c>
      <c r="Q656" s="6" t="n">
        <v>1.76501403709701</v>
      </c>
      <c r="R656" s="6" t="n">
        <v>-1.97336239484318</v>
      </c>
      <c r="S656" s="6" t="n">
        <v>2.04713811015647</v>
      </c>
      <c r="T656" s="6" t="n">
        <v>-0.0313939673328569</v>
      </c>
      <c r="U656" s="6" t="n">
        <v>3.69788726694851</v>
      </c>
      <c r="V656" s="6" t="n">
        <v>-0.68426898423139</v>
      </c>
      <c r="W656" s="6" t="n">
        <v>-2.03050138252126</v>
      </c>
      <c r="X656" s="6" t="n">
        <v>-0.916599760072257</v>
      </c>
      <c r="Y656" s="6" t="n">
        <v>-2.57928320378805</v>
      </c>
      <c r="Z656" s="6" t="n">
        <v>2.34341040000522</v>
      </c>
      <c r="AA656" s="6" t="n">
        <v>0.523259626899919</v>
      </c>
      <c r="AB656" s="6" t="n">
        <v>-0.549043610164835</v>
      </c>
      <c r="AC656" s="6" t="n">
        <v>-2.24639166074175</v>
      </c>
      <c r="AD656" s="6" t="n">
        <v>1.35891764886988</v>
      </c>
      <c r="AE656" s="6" t="n">
        <v>-0.199823929542371</v>
      </c>
      <c r="AF656" s="6" t="n">
        <v>3.50292405306475</v>
      </c>
      <c r="AG656" s="6" t="n">
        <v>-3.79122157154332</v>
      </c>
      <c r="AH656" s="6" t="n">
        <v>-0.301958271482063</v>
      </c>
      <c r="AI656" s="6" t="n">
        <v>1.62682140204045</v>
      </c>
      <c r="AJ656" s="6" t="n">
        <v>74.2902418531373</v>
      </c>
      <c r="AK656" s="6" t="n">
        <v>0.110554509655848</v>
      </c>
      <c r="AL656" s="6" t="n">
        <v>1.03177727913634</v>
      </c>
      <c r="AN656" s="6" t="n">
        <v>1.30634676878954</v>
      </c>
      <c r="AO656" s="6" t="n">
        <v>1.30644238056269</v>
      </c>
      <c r="AP656" s="6" t="n">
        <v>0.136370420808392</v>
      </c>
      <c r="AQ656" s="6" t="n">
        <v>0</v>
      </c>
      <c r="AR656" s="6" t="n">
        <v>0</v>
      </c>
    </row>
    <row r="657" customFormat="false" ht="15" hidden="false" customHeight="false" outlineLevel="0" collapsed="false">
      <c r="D657" s="0" t="s">
        <v>783</v>
      </c>
      <c r="J657" s="6" t="n">
        <v>0.950396047110742</v>
      </c>
      <c r="K657" s="6" t="n">
        <v>-1.8523527693155</v>
      </c>
      <c r="L657" s="6" t="n">
        <v>0.67468947189605</v>
      </c>
      <c r="M657" s="6" t="n">
        <v>-0.670862337693848</v>
      </c>
      <c r="N657" s="6" t="n">
        <v>-5.16200058790367</v>
      </c>
      <c r="O657" s="6" t="n">
        <v>-2.87121640884799</v>
      </c>
      <c r="P657" s="6" t="n">
        <v>-0.0633444655311839</v>
      </c>
      <c r="Q657" s="6" t="n">
        <v>-2.41262015686807</v>
      </c>
      <c r="R657" s="6" t="n">
        <v>-0.630341992411305</v>
      </c>
      <c r="S657" s="6" t="n">
        <v>-1.50140361226197</v>
      </c>
      <c r="T657" s="6" t="n">
        <v>-0.150625950972103</v>
      </c>
      <c r="U657" s="6" t="n">
        <v>-2.31399608727809</v>
      </c>
      <c r="V657" s="6" t="n">
        <v>-2.2188931429001</v>
      </c>
      <c r="W657" s="6" t="n">
        <v>-2.67134890593676</v>
      </c>
      <c r="X657" s="6" t="n">
        <v>1.8618040259476</v>
      </c>
      <c r="Y657" s="6" t="n">
        <v>2.57632337430651</v>
      </c>
      <c r="Z657" s="6" t="n">
        <v>-2.3937878440814</v>
      </c>
      <c r="AA657" s="6" t="n">
        <v>1.57174536101794</v>
      </c>
      <c r="AB657" s="6" t="n">
        <v>1.44510702116548</v>
      </c>
      <c r="AC657" s="6" t="n">
        <v>-2.87807687016942</v>
      </c>
      <c r="AD657" s="6" t="n">
        <v>-0.191083291719787</v>
      </c>
      <c r="AE657" s="6" t="n">
        <v>0.265656203945917</v>
      </c>
      <c r="AF657" s="6" t="n">
        <v>-1.64758190653066</v>
      </c>
      <c r="AG657" s="6" t="n">
        <v>-0.161999416461758</v>
      </c>
      <c r="AH657" s="6" t="n">
        <v>1.88458993850161</v>
      </c>
      <c r="AI657" s="6" t="n">
        <v>1.64816018049275</v>
      </c>
      <c r="AJ657" s="6" t="n">
        <v>77.3226744746251</v>
      </c>
      <c r="AK657" s="6" t="n">
        <v>0.170506562937235</v>
      </c>
      <c r="AL657" s="6" t="n">
        <v>1.07690599520985</v>
      </c>
      <c r="AN657" s="6" t="n">
        <v>1.27367897734762</v>
      </c>
      <c r="AO657" s="6" t="n">
        <v>1.27700647933006</v>
      </c>
      <c r="AP657" s="6" t="n">
        <v>0.130518388358952</v>
      </c>
      <c r="AQ657" s="6" t="n">
        <v>0</v>
      </c>
      <c r="AR657" s="6" t="n">
        <v>0</v>
      </c>
    </row>
    <row r="658" customFormat="false" ht="15" hidden="false" customHeight="false" outlineLevel="0" collapsed="false">
      <c r="D658" s="0" t="s">
        <v>784</v>
      </c>
      <c r="J658" s="6" t="n">
        <v>2.83575176233168</v>
      </c>
      <c r="K658" s="6" t="n">
        <v>-1.56208165045647</v>
      </c>
      <c r="L658" s="6" t="n">
        <v>0.7285052466111</v>
      </c>
      <c r="M658" s="6" t="n">
        <v>-2.06841164818533</v>
      </c>
      <c r="N658" s="6" t="n">
        <v>0.587214211488421</v>
      </c>
      <c r="O658" s="6" t="n">
        <v>2.69146788584382</v>
      </c>
      <c r="P658" s="6" t="n">
        <v>-1.83031869292931</v>
      </c>
      <c r="Q658" s="6" t="n">
        <v>-1.70839307909978</v>
      </c>
      <c r="R658" s="6" t="n">
        <v>-0.394894019111931</v>
      </c>
      <c r="S658" s="6" t="n">
        <v>0.052898554817592</v>
      </c>
      <c r="T658" s="6" t="n">
        <v>-1.31949694662191</v>
      </c>
      <c r="U658" s="6" t="n">
        <v>1.47106500318653</v>
      </c>
      <c r="V658" s="6" t="n">
        <v>1.46952922560218</v>
      </c>
      <c r="W658" s="6" t="n">
        <v>2.04293129761852</v>
      </c>
      <c r="X658" s="6" t="n">
        <v>-2.52257432675554</v>
      </c>
      <c r="Y658" s="6" t="n">
        <v>-3.81300338942883</v>
      </c>
      <c r="Z658" s="6" t="n">
        <v>4.45926025770995</v>
      </c>
      <c r="AA658" s="6" t="n">
        <v>1.6945370390326</v>
      </c>
      <c r="AB658" s="6" t="n">
        <v>-1.53305168070065</v>
      </c>
      <c r="AC658" s="6" t="n">
        <v>-1.25990156420659</v>
      </c>
      <c r="AD658" s="6" t="n">
        <v>-3.36030737603151</v>
      </c>
      <c r="AE658" s="6" t="n">
        <v>0.196412771859503</v>
      </c>
      <c r="AF658" s="6" t="n">
        <v>-0.752675775849549</v>
      </c>
      <c r="AG658" s="6" t="n">
        <v>-0.914204511670239</v>
      </c>
      <c r="AH658" s="6" t="n">
        <v>-1.53086338365725</v>
      </c>
      <c r="AI658" s="6" t="n">
        <v>0.149010708719828</v>
      </c>
      <c r="AJ658" s="6" t="n">
        <v>65.5706951605976</v>
      </c>
      <c r="AK658" s="6" t="n">
        <v>0.154618546945487</v>
      </c>
      <c r="AL658" s="6" t="n">
        <v>1.02844776859025</v>
      </c>
      <c r="AN658" s="6" t="n">
        <v>1.29736325015524</v>
      </c>
      <c r="AO658" s="6" t="n">
        <v>1.29769116949027</v>
      </c>
      <c r="AP658" s="6" t="n">
        <v>0.134511190577041</v>
      </c>
      <c r="AQ658" s="6" t="n">
        <v>0</v>
      </c>
      <c r="AR658" s="6" t="n">
        <v>0</v>
      </c>
    </row>
    <row r="659" customFormat="false" ht="15" hidden="false" customHeight="false" outlineLevel="0" collapsed="false">
      <c r="D659" s="0" t="s">
        <v>785</v>
      </c>
      <c r="J659" s="6" t="n">
        <v>-1.92391218541515</v>
      </c>
      <c r="K659" s="6" t="n">
        <v>1.49501368284378</v>
      </c>
      <c r="L659" s="6" t="n">
        <v>-0.291019753179727</v>
      </c>
      <c r="M659" s="6" t="n">
        <v>0.823847974723387</v>
      </c>
      <c r="N659" s="6" t="n">
        <v>1.87262774136036</v>
      </c>
      <c r="O659" s="6" t="n">
        <v>2.94474338208542</v>
      </c>
      <c r="P659" s="6" t="n">
        <v>-0.127062623542363</v>
      </c>
      <c r="Q659" s="6" t="n">
        <v>3.82052913165812</v>
      </c>
      <c r="R659" s="6" t="n">
        <v>-2.02504158395452</v>
      </c>
      <c r="S659" s="6" t="n">
        <v>-1.26631759210052</v>
      </c>
      <c r="T659" s="6" t="n">
        <v>-0.901049562448541</v>
      </c>
      <c r="U659" s="6" t="n">
        <v>0.925171299303501</v>
      </c>
      <c r="V659" s="6" t="n">
        <v>3.50515427512217</v>
      </c>
      <c r="W659" s="6" t="n">
        <v>0.0515246898724878</v>
      </c>
      <c r="X659" s="6" t="n">
        <v>2.27008900106563</v>
      </c>
      <c r="Y659" s="6" t="n">
        <v>2.22544268006412</v>
      </c>
      <c r="Z659" s="6" t="n">
        <v>-1.64125754541955</v>
      </c>
      <c r="AA659" s="6" t="n">
        <v>0.880315932313742</v>
      </c>
      <c r="AB659" s="6" t="n">
        <v>-2.30997668635603</v>
      </c>
      <c r="AC659" s="6" t="n">
        <v>-1.84299923335268</v>
      </c>
      <c r="AD659" s="6" t="n">
        <v>1.55509474027493</v>
      </c>
      <c r="AE659" s="6" t="n">
        <v>-2.89320391639159</v>
      </c>
      <c r="AF659" s="6" t="n">
        <v>3.76692876967099</v>
      </c>
      <c r="AG659" s="6" t="n">
        <v>-2.11905897354872</v>
      </c>
      <c r="AH659" s="6" t="n">
        <v>1.37940270949851</v>
      </c>
      <c r="AI659" s="6" t="n">
        <v>-1.20418000966505</v>
      </c>
      <c r="AJ659" s="6" t="n">
        <v>79.500358139106</v>
      </c>
      <c r="AK659" s="6" t="n">
        <v>0.0943587412700494</v>
      </c>
      <c r="AL659" s="6" t="n">
        <v>1.08515755927744</v>
      </c>
      <c r="AN659" s="6" t="n">
        <v>1.28619055369813</v>
      </c>
      <c r="AO659" s="6" t="n">
        <v>1.28707164224499</v>
      </c>
      <c r="AP659" s="6" t="n">
        <v>0.132720661444552</v>
      </c>
      <c r="AQ659" s="6" t="n">
        <v>0</v>
      </c>
      <c r="AR659" s="6" t="n">
        <v>0</v>
      </c>
    </row>
    <row r="660" customFormat="false" ht="15" hidden="false" customHeight="false" outlineLevel="0" collapsed="false">
      <c r="D660" s="0" t="s">
        <v>786</v>
      </c>
      <c r="J660" s="6" t="n">
        <v>2.24091807960607</v>
      </c>
      <c r="K660" s="6" t="n">
        <v>0.616258102149848</v>
      </c>
      <c r="L660" s="6" t="n">
        <v>1.22719979781872</v>
      </c>
      <c r="M660" s="6" t="n">
        <v>1.35605778152338</v>
      </c>
      <c r="N660" s="6" t="n">
        <v>-3.76993097704526</v>
      </c>
      <c r="O660" s="6" t="n">
        <v>1.21057556902042</v>
      </c>
      <c r="P660" s="6" t="n">
        <v>-1.08925212415417</v>
      </c>
      <c r="Q660" s="6" t="n">
        <v>0.136380353945184</v>
      </c>
      <c r="R660" s="6" t="n">
        <v>0.0890260162843842</v>
      </c>
      <c r="S660" s="6" t="n">
        <v>0.362060691678762</v>
      </c>
      <c r="T660" s="6" t="n">
        <v>-4.0360769855798</v>
      </c>
      <c r="U660" s="6" t="n">
        <v>1.74748153994966</v>
      </c>
      <c r="V660" s="6" t="n">
        <v>-0.671180968729371</v>
      </c>
      <c r="W660" s="6" t="n">
        <v>-2.05430058584178</v>
      </c>
      <c r="X660" s="6" t="n">
        <v>2.19026163908915</v>
      </c>
      <c r="Y660" s="6" t="n">
        <v>-0.110615365340374</v>
      </c>
      <c r="Z660" s="6" t="n">
        <v>2.01219151633286</v>
      </c>
      <c r="AA660" s="6" t="n">
        <v>-1.06098905938881</v>
      </c>
      <c r="AB660" s="6" t="n">
        <v>3.48629549591022</v>
      </c>
      <c r="AC660" s="6" t="n">
        <v>0.203091384069095</v>
      </c>
      <c r="AD660" s="6" t="n">
        <v>0.989864614135023</v>
      </c>
      <c r="AE660" s="6" t="n">
        <v>-0.167503180456078</v>
      </c>
      <c r="AF660" s="6" t="n">
        <v>0.748085185419857</v>
      </c>
      <c r="AG660" s="6" t="n">
        <v>-1.25390330453511</v>
      </c>
      <c r="AH660" s="6" t="n">
        <v>-4.17217258278504</v>
      </c>
      <c r="AI660" s="6" t="n">
        <v>-1.85930977951767</v>
      </c>
      <c r="AJ660" s="6" t="n">
        <v>76.1346688544908</v>
      </c>
      <c r="AK660" s="6" t="n">
        <v>0.164546351203606</v>
      </c>
      <c r="AL660" s="6" t="n">
        <v>1.08469933539424</v>
      </c>
      <c r="AN660" s="6" t="n">
        <v>1.27743056187918</v>
      </c>
      <c r="AO660" s="6" t="n">
        <v>1.27798411090394</v>
      </c>
      <c r="AP660" s="6" t="n">
        <v>0.130590593842351</v>
      </c>
      <c r="AQ660" s="6" t="n">
        <v>0</v>
      </c>
      <c r="AR660" s="6" t="n">
        <v>0</v>
      </c>
    </row>
    <row r="661" customFormat="false" ht="15" hidden="false" customHeight="false" outlineLevel="0" collapsed="false">
      <c r="D661" s="0" t="s">
        <v>787</v>
      </c>
      <c r="J661" s="6" t="n">
        <v>-2.21952159430066</v>
      </c>
      <c r="K661" s="6" t="n">
        <v>-0.262438446579362</v>
      </c>
      <c r="L661" s="6" t="n">
        <v>-0.166382228474028</v>
      </c>
      <c r="M661" s="6" t="n">
        <v>-1.07963751620135</v>
      </c>
      <c r="N661" s="6" t="n">
        <v>0.710165748037877</v>
      </c>
      <c r="O661" s="6" t="n">
        <v>0.544161425660884</v>
      </c>
      <c r="P661" s="6" t="n">
        <v>-0.546866117119567</v>
      </c>
      <c r="Q661" s="6" t="n">
        <v>-1.16688398021302</v>
      </c>
      <c r="R661" s="6" t="n">
        <v>0.5393505327887</v>
      </c>
      <c r="S661" s="6" t="n">
        <v>1.09550859416549</v>
      </c>
      <c r="T661" s="6" t="n">
        <v>-1.51885047262099</v>
      </c>
      <c r="U661" s="6" t="n">
        <v>-1.60371339411646</v>
      </c>
      <c r="V661" s="6" t="n">
        <v>-1.47550126760578</v>
      </c>
      <c r="W661" s="6" t="n">
        <v>-2.00775354659218</v>
      </c>
      <c r="X661" s="6" t="n">
        <v>0.860420316718571</v>
      </c>
      <c r="Y661" s="6" t="n">
        <v>3.60141994070833</v>
      </c>
      <c r="Z661" s="6" t="n">
        <v>1.33152033136249</v>
      </c>
      <c r="AA661" s="6" t="n">
        <v>1.06002131003672</v>
      </c>
      <c r="AB661" s="6" t="n">
        <v>-3.55004793988566</v>
      </c>
      <c r="AC661" s="6" t="n">
        <v>-1.41308070935731</v>
      </c>
      <c r="AD661" s="6" t="n">
        <v>1.12278910685955</v>
      </c>
      <c r="AE661" s="6" t="n">
        <v>5</v>
      </c>
      <c r="AF661" s="6" t="n">
        <v>0.709388583749277</v>
      </c>
      <c r="AG661" s="6" t="n">
        <v>1.22896058659194</v>
      </c>
      <c r="AH661" s="6" t="n">
        <v>0.947537306270559</v>
      </c>
      <c r="AI661" s="6" t="n">
        <v>0.992255837899491</v>
      </c>
      <c r="AJ661" s="6" t="n">
        <v>67.0789107831285</v>
      </c>
      <c r="AK661" s="6" t="n">
        <v>0.136860618152663</v>
      </c>
      <c r="AL661" s="6" t="n">
        <v>1.09082784756575</v>
      </c>
      <c r="AN661" s="6" t="n">
        <v>1.27686625056354</v>
      </c>
      <c r="AO661" s="6" t="n">
        <v>1.27744776820875</v>
      </c>
      <c r="AP661" s="6" t="n">
        <v>0.130577330094658</v>
      </c>
      <c r="AQ661" s="6" t="n">
        <v>0</v>
      </c>
      <c r="AR661" s="6" t="n">
        <v>0</v>
      </c>
    </row>
    <row r="662" customFormat="false" ht="15" hidden="false" customHeight="false" outlineLevel="0" collapsed="false">
      <c r="D662" s="0" t="s">
        <v>788</v>
      </c>
      <c r="J662" s="6" t="n">
        <v>-1.30472972961673</v>
      </c>
      <c r="K662" s="6" t="n">
        <v>2.36790447196098</v>
      </c>
      <c r="L662" s="6" t="n">
        <v>-0.227486648844793</v>
      </c>
      <c r="M662" s="6" t="n">
        <v>-1.01467503317022</v>
      </c>
      <c r="N662" s="6" t="n">
        <v>3.4926856339365</v>
      </c>
      <c r="O662" s="6" t="n">
        <v>-1.45908474198217</v>
      </c>
      <c r="P662" s="6" t="n">
        <v>2.49191249145675</v>
      </c>
      <c r="Q662" s="6" t="n">
        <v>0.826846995192272</v>
      </c>
      <c r="R662" s="6" t="n">
        <v>1.81989590648934</v>
      </c>
      <c r="S662" s="6" t="n">
        <v>2.70596475056471</v>
      </c>
      <c r="T662" s="6" t="n">
        <v>-2.48725916787037</v>
      </c>
      <c r="U662" s="6" t="n">
        <v>-2.03758589761128</v>
      </c>
      <c r="V662" s="6" t="n">
        <v>-1.26555988083743</v>
      </c>
      <c r="W662" s="6" t="n">
        <v>-2.08827105072727</v>
      </c>
      <c r="X662" s="6" t="n">
        <v>0.240600009901026</v>
      </c>
      <c r="Y662" s="6" t="n">
        <v>3.91694339715838</v>
      </c>
      <c r="Z662" s="6" t="n">
        <v>2.3394002501915</v>
      </c>
      <c r="AA662" s="6" t="n">
        <v>-2.01642237049921</v>
      </c>
      <c r="AB662" s="6" t="n">
        <v>-0.769568317981609</v>
      </c>
      <c r="AC662" s="6" t="n">
        <v>-1.39991607959894</v>
      </c>
      <c r="AD662" s="6" t="n">
        <v>-0.497178411859558</v>
      </c>
      <c r="AE662" s="6" t="n">
        <v>-0.799683970468531</v>
      </c>
      <c r="AF662" s="6" t="n">
        <v>-0.0472558042180509</v>
      </c>
      <c r="AG662" s="6" t="n">
        <v>-1.09744478126918</v>
      </c>
      <c r="AH662" s="6" t="n">
        <v>-0.478636297682768</v>
      </c>
      <c r="AI662" s="6" t="n">
        <v>1.09841127588674</v>
      </c>
      <c r="AJ662" s="6" t="n">
        <v>74.4995050441709</v>
      </c>
      <c r="AK662" s="6" t="n">
        <v>0.103440495171633</v>
      </c>
      <c r="AL662" s="6" t="n">
        <v>1.04568410395866</v>
      </c>
      <c r="AN662" s="6" t="n">
        <v>1.30181361920997</v>
      </c>
      <c r="AO662" s="6" t="n">
        <v>1.30312369004282</v>
      </c>
      <c r="AP662" s="6" t="n">
        <v>0.135151085928189</v>
      </c>
      <c r="AQ662" s="6" t="n">
        <v>0</v>
      </c>
      <c r="AR662" s="6" t="n">
        <v>0</v>
      </c>
    </row>
    <row r="663" customFormat="false" ht="15" hidden="false" customHeight="false" outlineLevel="0" collapsed="false">
      <c r="D663" s="0" t="s">
        <v>789</v>
      </c>
      <c r="J663" s="6" t="n">
        <v>-1.72279655585659</v>
      </c>
      <c r="K663" s="6" t="n">
        <v>-0.224226604364857</v>
      </c>
      <c r="L663" s="6" t="n">
        <v>-2.58716371488882</v>
      </c>
      <c r="M663" s="6" t="n">
        <v>2.41868609381336</v>
      </c>
      <c r="N663" s="6" t="n">
        <v>-1.53888820731251</v>
      </c>
      <c r="O663" s="6" t="n">
        <v>-1.52989717461129</v>
      </c>
      <c r="P663" s="6" t="n">
        <v>-0.841779551311069</v>
      </c>
      <c r="Q663" s="6" t="n">
        <v>1.57372840854269</v>
      </c>
      <c r="R663" s="6" t="n">
        <v>-0.120109538014336</v>
      </c>
      <c r="S663" s="6" t="n">
        <v>0.898727892763743</v>
      </c>
      <c r="T663" s="6" t="n">
        <v>2.96334440347473</v>
      </c>
      <c r="U663" s="6" t="n">
        <v>2.49997773917509</v>
      </c>
      <c r="V663" s="6" t="n">
        <v>-2.36796832018935</v>
      </c>
      <c r="W663" s="6" t="n">
        <v>-0.0259129878292967</v>
      </c>
      <c r="X663" s="6" t="n">
        <v>-2.39625049069226</v>
      </c>
      <c r="Y663" s="6" t="n">
        <v>0.818956527450414</v>
      </c>
      <c r="Z663" s="6" t="n">
        <v>1.66213301979732</v>
      </c>
      <c r="AA663" s="6" t="n">
        <v>-0.455070190798017</v>
      </c>
      <c r="AB663" s="6" t="n">
        <v>-0.389145323382821</v>
      </c>
      <c r="AC663" s="6" t="n">
        <v>2.66928381741759</v>
      </c>
      <c r="AD663" s="6" t="n">
        <v>1.59468632689902</v>
      </c>
      <c r="AE663" s="6" t="n">
        <v>0.733797375663423</v>
      </c>
      <c r="AF663" s="6" t="n">
        <v>1.23579708241167</v>
      </c>
      <c r="AG663" s="6" t="n">
        <v>-0.604382919871857</v>
      </c>
      <c r="AH663" s="6" t="n">
        <v>-1.37176630790517</v>
      </c>
      <c r="AI663" s="6" t="n">
        <v>1.24389680225794</v>
      </c>
      <c r="AJ663" s="6" t="n">
        <v>75.6173394496905</v>
      </c>
      <c r="AK663" s="6" t="n">
        <v>0.132719094457687</v>
      </c>
      <c r="AL663" s="6" t="n">
        <v>1.05175503393202</v>
      </c>
      <c r="AN663" s="6" t="n">
        <v>1.29747143779415</v>
      </c>
      <c r="AO663" s="6" t="n">
        <v>1.29813898834677</v>
      </c>
      <c r="AP663" s="6" t="n">
        <v>0.134149336142615</v>
      </c>
      <c r="AQ663" s="6" t="n">
        <v>0</v>
      </c>
      <c r="AR663" s="6" t="n">
        <v>0</v>
      </c>
    </row>
    <row r="664" customFormat="false" ht="15" hidden="false" customHeight="false" outlineLevel="0" collapsed="false">
      <c r="D664" s="0" t="s">
        <v>790</v>
      </c>
      <c r="J664" s="6" t="n">
        <v>-1.4985768575054</v>
      </c>
      <c r="K664" s="6" t="n">
        <v>-2.45158590868686</v>
      </c>
      <c r="L664" s="6" t="n">
        <v>-0.487482267483247</v>
      </c>
      <c r="M664" s="6" t="n">
        <v>0.904958871524046</v>
      </c>
      <c r="N664" s="6" t="n">
        <v>0.674536254611876</v>
      </c>
      <c r="O664" s="6" t="n">
        <v>0.441489025385857</v>
      </c>
      <c r="P664" s="6" t="n">
        <v>-1.15320396020007</v>
      </c>
      <c r="Q664" s="6" t="n">
        <v>-1.7247528581467</v>
      </c>
      <c r="R664" s="6" t="n">
        <v>0.383435561350312</v>
      </c>
      <c r="S664" s="6" t="n">
        <v>-1.04251925884764</v>
      </c>
      <c r="T664" s="6" t="n">
        <v>-2.77634311228098</v>
      </c>
      <c r="U664" s="6" t="n">
        <v>-1.94416859602986</v>
      </c>
      <c r="V664" s="6" t="n">
        <v>-2.41518441453566</v>
      </c>
      <c r="W664" s="6" t="n">
        <v>1.88880092328008</v>
      </c>
      <c r="X664" s="6" t="n">
        <v>2.95833159275364</v>
      </c>
      <c r="Y664" s="6" t="n">
        <v>0.813546745690572</v>
      </c>
      <c r="Z664" s="6" t="n">
        <v>0.25211198617552</v>
      </c>
      <c r="AA664" s="6" t="n">
        <v>-2.3195194629459</v>
      </c>
      <c r="AB664" s="6" t="n">
        <v>-1.35791635453622</v>
      </c>
      <c r="AC664" s="6" t="n">
        <v>-2.29023327275944</v>
      </c>
      <c r="AD664" s="6" t="n">
        <v>0.547058853228199</v>
      </c>
      <c r="AE664" s="6" t="n">
        <v>1.613267639543</v>
      </c>
      <c r="AF664" s="6" t="n">
        <v>1.61306234845322</v>
      </c>
      <c r="AG664" s="6" t="n">
        <v>1.64111035699037</v>
      </c>
      <c r="AH664" s="6" t="n">
        <v>-2.85016121843346</v>
      </c>
      <c r="AI664" s="6" t="n">
        <v>-2.71534438867056</v>
      </c>
      <c r="AJ664" s="6" t="n">
        <v>58.2822215393351</v>
      </c>
      <c r="AK664" s="6" t="n">
        <v>0.106462806781062</v>
      </c>
      <c r="AL664" s="6" t="n">
        <v>1.10164984895113</v>
      </c>
      <c r="AN664" s="6" t="n">
        <v>1.27515278004803</v>
      </c>
      <c r="AO664" s="6" t="n">
        <v>1.27536687442987</v>
      </c>
      <c r="AP664" s="6" t="n">
        <v>0.130411479193335</v>
      </c>
      <c r="AQ664" s="6" t="n">
        <v>0</v>
      </c>
      <c r="AR664" s="6" t="n">
        <v>0</v>
      </c>
    </row>
    <row r="665" customFormat="false" ht="15" hidden="false" customHeight="false" outlineLevel="0" collapsed="false">
      <c r="D665" s="0" t="s">
        <v>791</v>
      </c>
      <c r="J665" s="6" t="n">
        <v>2.67273899597893</v>
      </c>
      <c r="K665" s="6" t="n">
        <v>2.27029537816399</v>
      </c>
      <c r="L665" s="6" t="n">
        <v>-0.970865107151253</v>
      </c>
      <c r="M665" s="6" t="n">
        <v>1.54887917167325</v>
      </c>
      <c r="N665" s="6" t="n">
        <v>-4.57137525736154</v>
      </c>
      <c r="O665" s="6" t="n">
        <v>1.96001118887921</v>
      </c>
      <c r="P665" s="6" t="n">
        <v>-0.00578640697650686</v>
      </c>
      <c r="Q665" s="6" t="n">
        <v>0.0783783998175433</v>
      </c>
      <c r="R665" s="6" t="n">
        <v>1.29537318284519</v>
      </c>
      <c r="S665" s="6" t="n">
        <v>0.0860287447485791</v>
      </c>
      <c r="T665" s="6" t="n">
        <v>0.625983890358662</v>
      </c>
      <c r="U665" s="6" t="n">
        <v>0.534531629297342</v>
      </c>
      <c r="V665" s="6" t="n">
        <v>1.51619970888812</v>
      </c>
      <c r="W665" s="6" t="n">
        <v>5</v>
      </c>
      <c r="X665" s="6" t="n">
        <v>-0.651230109631051</v>
      </c>
      <c r="Y665" s="6" t="n">
        <v>-0.336137823318613</v>
      </c>
      <c r="Z665" s="6" t="n">
        <v>-0.190960136893795</v>
      </c>
      <c r="AA665" s="6" t="n">
        <v>-0.842419520389167</v>
      </c>
      <c r="AB665" s="6" t="n">
        <v>-1.43926732179081</v>
      </c>
      <c r="AC665" s="6" t="n">
        <v>-0.93143554837925</v>
      </c>
      <c r="AD665" s="6" t="n">
        <v>-2.2271105371873</v>
      </c>
      <c r="AE665" s="6" t="n">
        <v>0.147762064447105</v>
      </c>
      <c r="AF665" s="6" t="n">
        <v>-0.907158524643964</v>
      </c>
      <c r="AG665" s="6" t="n">
        <v>-3.99053020334341</v>
      </c>
      <c r="AH665" s="6" t="n">
        <v>-0.124498972253253</v>
      </c>
      <c r="AI665" s="6" t="n">
        <v>1.9708935595727</v>
      </c>
      <c r="AJ665" s="6" t="n">
        <v>69.9189393643316</v>
      </c>
      <c r="AK665" s="6" t="n">
        <v>0.109956588750497</v>
      </c>
      <c r="AL665" s="6" t="n">
        <v>1.0764170292857</v>
      </c>
      <c r="AN665" s="6" t="n">
        <v>1.2837423750845</v>
      </c>
      <c r="AO665" s="6" t="n">
        <v>1.28396918767481</v>
      </c>
      <c r="AP665" s="6" t="n">
        <v>0.132097264684134</v>
      </c>
      <c r="AQ665" s="6" t="n">
        <v>0</v>
      </c>
      <c r="AR665" s="6" t="n">
        <v>0</v>
      </c>
    </row>
    <row r="666" customFormat="false" ht="15" hidden="false" customHeight="false" outlineLevel="0" collapsed="false">
      <c r="D666" s="0" t="s">
        <v>792</v>
      </c>
      <c r="J666" s="6" t="n">
        <v>-0.0342622127965262</v>
      </c>
      <c r="K666" s="6" t="n">
        <v>-1.37749947357116</v>
      </c>
      <c r="L666" s="6" t="n">
        <v>-3.15800741572706</v>
      </c>
      <c r="M666" s="6" t="n">
        <v>-0.169845519700246</v>
      </c>
      <c r="N666" s="6" t="n">
        <v>1.31548955633294</v>
      </c>
      <c r="O666" s="6" t="n">
        <v>-0.454386703950142</v>
      </c>
      <c r="P666" s="6" t="n">
        <v>2.02098646572371</v>
      </c>
      <c r="Q666" s="6" t="n">
        <v>0.822182879367658</v>
      </c>
      <c r="R666" s="6" t="n">
        <v>0.982700025187202</v>
      </c>
      <c r="S666" s="6" t="n">
        <v>-1.10345095369738</v>
      </c>
      <c r="T666" s="6" t="n">
        <v>-0.0998282173590588</v>
      </c>
      <c r="U666" s="6" t="n">
        <v>2.39721507325177</v>
      </c>
      <c r="V666" s="6" t="n">
        <v>-1.45952744295567</v>
      </c>
      <c r="W666" s="6" t="n">
        <v>-0.0674649926757138</v>
      </c>
      <c r="X666" s="6" t="n">
        <v>1.6673520685894</v>
      </c>
      <c r="Y666" s="6" t="n">
        <v>-0.963600773146109</v>
      </c>
      <c r="Z666" s="6" t="n">
        <v>-2.51340201693056</v>
      </c>
      <c r="AA666" s="6" t="n">
        <v>0.62954871851588</v>
      </c>
      <c r="AB666" s="6" t="n">
        <v>1.48911038001231</v>
      </c>
      <c r="AC666" s="6" t="n">
        <v>2.21426425516852</v>
      </c>
      <c r="AD666" s="6" t="n">
        <v>0.725529686428822</v>
      </c>
      <c r="AE666" s="6" t="n">
        <v>-0.422178861763846</v>
      </c>
      <c r="AF666" s="6" t="n">
        <v>-0.148441489028508</v>
      </c>
      <c r="AG666" s="6" t="n">
        <v>-1.70963022637731</v>
      </c>
      <c r="AH666" s="6" t="n">
        <v>2.49132248432484</v>
      </c>
      <c r="AI666" s="6" t="n">
        <v>-0.420170381845482</v>
      </c>
      <c r="AJ666" s="6" t="n">
        <v>73.6078562192149</v>
      </c>
      <c r="AK666" s="6" t="n">
        <v>0.152579539994516</v>
      </c>
      <c r="AL666" s="6" t="n">
        <v>1.03257637945192</v>
      </c>
      <c r="AN666" s="6" t="n">
        <v>1.30129556454074</v>
      </c>
      <c r="AO666" s="6" t="n">
        <v>1.30221786072132</v>
      </c>
      <c r="AP666" s="6" t="n">
        <v>0.135346693228794</v>
      </c>
      <c r="AQ666" s="6" t="n">
        <v>0</v>
      </c>
      <c r="AR666" s="6" t="n">
        <v>0</v>
      </c>
    </row>
    <row r="667" customFormat="false" ht="15" hidden="false" customHeight="false" outlineLevel="0" collapsed="false">
      <c r="D667" s="0" t="s">
        <v>793</v>
      </c>
      <c r="J667" s="6" t="n">
        <v>0.942826492378674</v>
      </c>
      <c r="K667" s="6" t="n">
        <v>0.897233004560584</v>
      </c>
      <c r="L667" s="6" t="n">
        <v>-0.767662165191828</v>
      </c>
      <c r="M667" s="6" t="n">
        <v>-5.62618231434885</v>
      </c>
      <c r="N667" s="6" t="n">
        <v>-1.88190124389835</v>
      </c>
      <c r="O667" s="6" t="n">
        <v>-0.0920456357158964</v>
      </c>
      <c r="P667" s="6" t="n">
        <v>-0.291509038663907</v>
      </c>
      <c r="Q667" s="6" t="n">
        <v>-1.67350504138669</v>
      </c>
      <c r="R667" s="6" t="n">
        <v>-0.377091871310918</v>
      </c>
      <c r="S667" s="6" t="n">
        <v>3.77611263572961</v>
      </c>
      <c r="T667" s="6" t="n">
        <v>-2.86053150999181</v>
      </c>
      <c r="U667" s="6" t="n">
        <v>3.42878236819563</v>
      </c>
      <c r="V667" s="6" t="n">
        <v>1.03033533881978</v>
      </c>
      <c r="W667" s="6" t="n">
        <v>-0.482845047285469</v>
      </c>
      <c r="X667" s="6" t="n">
        <v>2.16547279660117</v>
      </c>
      <c r="Y667" s="6" t="n">
        <v>-0.706548250420762</v>
      </c>
      <c r="Z667" s="6" t="n">
        <v>-0.139338178524785</v>
      </c>
      <c r="AA667" s="6" t="n">
        <v>-1.8526683963203</v>
      </c>
      <c r="AB667" s="6" t="n">
        <v>-0.57342573029369</v>
      </c>
      <c r="AC667" s="6" t="n">
        <v>0.956589564398678</v>
      </c>
      <c r="AD667" s="6" t="n">
        <v>-0.860798534197967</v>
      </c>
      <c r="AE667" s="6" t="n">
        <v>0.528309925647647</v>
      </c>
      <c r="AF667" s="6" t="n">
        <v>1.01492613378131</v>
      </c>
      <c r="AG667" s="6" t="n">
        <v>1.8263062651833</v>
      </c>
      <c r="AH667" s="6" t="n">
        <v>-0.602472198798396</v>
      </c>
      <c r="AI667" s="6" t="n">
        <v>-1.72186024076925</v>
      </c>
      <c r="AJ667" s="6" t="n">
        <v>72.8233540928236</v>
      </c>
      <c r="AK667" s="6" t="n">
        <v>0.14744657430547</v>
      </c>
      <c r="AL667" s="6" t="n">
        <v>1.08530044739865</v>
      </c>
      <c r="AN667" s="6" t="n">
        <v>1.2696234237701</v>
      </c>
      <c r="AO667" s="6" t="n">
        <v>1.27268026320195</v>
      </c>
      <c r="AP667" s="6" t="n">
        <v>0.129655715466226</v>
      </c>
      <c r="AQ667" s="6" t="n">
        <v>0</v>
      </c>
      <c r="AR667" s="6" t="n">
        <v>0</v>
      </c>
    </row>
    <row r="668" customFormat="false" ht="15" hidden="false" customHeight="false" outlineLevel="0" collapsed="false">
      <c r="D668" s="0" t="s">
        <v>794</v>
      </c>
      <c r="J668" s="6" t="n">
        <v>-1.51722807238895</v>
      </c>
      <c r="K668" s="6" t="n">
        <v>-2.31226639272554</v>
      </c>
      <c r="L668" s="6" t="n">
        <v>-2.09279840743446</v>
      </c>
      <c r="M668" s="6" t="n">
        <v>0.412053284435631</v>
      </c>
      <c r="N668" s="6" t="n">
        <v>0.878649910674871</v>
      </c>
      <c r="O668" s="6" t="n">
        <v>4.83890687248119</v>
      </c>
      <c r="P668" s="6" t="n">
        <v>-1.03073031085779</v>
      </c>
      <c r="Q668" s="6" t="n">
        <v>-0.347781707529886</v>
      </c>
      <c r="R668" s="6" t="n">
        <v>2.30455775163321</v>
      </c>
      <c r="S668" s="6" t="n">
        <v>-0.14652132199305</v>
      </c>
      <c r="T668" s="6" t="n">
        <v>1.47259164569462</v>
      </c>
      <c r="U668" s="6" t="n">
        <v>0.249531947803231</v>
      </c>
      <c r="V668" s="6" t="n">
        <v>-2.8998523804765</v>
      </c>
      <c r="W668" s="6" t="n">
        <v>0.0629428216178976</v>
      </c>
      <c r="X668" s="6" t="n">
        <v>0.0824820315886059</v>
      </c>
      <c r="Y668" s="6" t="n">
        <v>1.8563075883819</v>
      </c>
      <c r="Z668" s="6" t="n">
        <v>-3.72586524988537</v>
      </c>
      <c r="AA668" s="6" t="n">
        <v>0.059619517930733</v>
      </c>
      <c r="AB668" s="6" t="n">
        <v>1.25216676137164</v>
      </c>
      <c r="AC668" s="6" t="n">
        <v>1.95462486865767</v>
      </c>
      <c r="AD668" s="6" t="n">
        <v>0.260717664152401</v>
      </c>
      <c r="AE668" s="6" t="n">
        <v>1.28924804067323</v>
      </c>
      <c r="AF668" s="6" t="n">
        <v>0.636679811725754</v>
      </c>
      <c r="AG668" s="6" t="n">
        <v>-3.32071968029465</v>
      </c>
      <c r="AH668" s="6" t="n">
        <v>0.085114219130492</v>
      </c>
      <c r="AI668" s="6" t="n">
        <v>0.943366543711794</v>
      </c>
      <c r="AJ668" s="6" t="n">
        <v>71.1005486921429</v>
      </c>
      <c r="AK668" s="6" t="n">
        <v>0.0824880020820262</v>
      </c>
      <c r="AL668" s="6" t="n">
        <v>1.01675700916874</v>
      </c>
      <c r="AN668" s="6" t="n">
        <v>1.31336273055473</v>
      </c>
      <c r="AO668" s="6" t="n">
        <v>1.31336273055473</v>
      </c>
      <c r="AP668" s="6" t="n">
        <v>0.138887280515991</v>
      </c>
      <c r="AQ668" s="6" t="n">
        <v>0</v>
      </c>
      <c r="AR668" s="6" t="n">
        <v>0</v>
      </c>
    </row>
    <row r="669" customFormat="false" ht="15" hidden="false" customHeight="false" outlineLevel="0" collapsed="false">
      <c r="D669" s="0" t="s">
        <v>795</v>
      </c>
      <c r="J669" s="6" t="n">
        <v>-2.05578463809379</v>
      </c>
      <c r="K669" s="6" t="n">
        <v>-0.24862554614251</v>
      </c>
      <c r="L669" s="6" t="n">
        <v>-0.371070552162067</v>
      </c>
      <c r="M669" s="6" t="n">
        <v>-1.11569476696051</v>
      </c>
      <c r="N669" s="6" t="n">
        <v>-2.67805645136296</v>
      </c>
      <c r="O669" s="6" t="n">
        <v>-1.53618170489126</v>
      </c>
      <c r="P669" s="6" t="n">
        <v>-2.33003937535734</v>
      </c>
      <c r="Q669" s="6" t="n">
        <v>1.60842788341429</v>
      </c>
      <c r="R669" s="6" t="n">
        <v>-2.34670299905052</v>
      </c>
      <c r="S669" s="6" t="n">
        <v>1.13755954360962</v>
      </c>
      <c r="T669" s="6" t="n">
        <v>3.09526975737911</v>
      </c>
      <c r="U669" s="6" t="n">
        <v>0.158425958766485</v>
      </c>
      <c r="V669" s="6" t="n">
        <v>-0.916031002887656</v>
      </c>
      <c r="W669" s="6" t="n">
        <v>-2.67578027518006</v>
      </c>
      <c r="X669" s="6" t="n">
        <v>1.00682433696191</v>
      </c>
      <c r="Y669" s="6" t="n">
        <v>-0.503222506824436</v>
      </c>
      <c r="Z669" s="6" t="n">
        <v>3.2994879849844</v>
      </c>
      <c r="AA669" s="6" t="n">
        <v>-0.760952337414729</v>
      </c>
      <c r="AB669" s="6" t="n">
        <v>2.79064408234275</v>
      </c>
      <c r="AC669" s="6" t="n">
        <v>3.32148194069732</v>
      </c>
      <c r="AD669" s="6" t="n">
        <v>-1.17614841097065</v>
      </c>
      <c r="AE669" s="6" t="n">
        <v>4.80671171088224</v>
      </c>
      <c r="AF669" s="6" t="n">
        <v>-2.19958942724529</v>
      </c>
      <c r="AG669" s="6" t="n">
        <v>0.242129697069441</v>
      </c>
      <c r="AH669" s="6" t="n">
        <v>-0.231565322006431</v>
      </c>
      <c r="AI669" s="6" t="n">
        <v>-1.43145354774523</v>
      </c>
      <c r="AJ669" s="6" t="n">
        <v>65.9871674114952</v>
      </c>
      <c r="AK669" s="6" t="n">
        <v>0.113925949175384</v>
      </c>
      <c r="AL669" s="6" t="n">
        <v>1.0304297240138</v>
      </c>
      <c r="AN669" s="6" t="n">
        <v>1.3059339117598</v>
      </c>
      <c r="AO669" s="6" t="n">
        <v>1.30613919457986</v>
      </c>
      <c r="AP669" s="6" t="n">
        <v>0.136024609401958</v>
      </c>
      <c r="AQ669" s="6" t="n">
        <v>0</v>
      </c>
      <c r="AR669" s="6" t="n">
        <v>0</v>
      </c>
    </row>
    <row r="670" customFormat="false" ht="15" hidden="false" customHeight="false" outlineLevel="0" collapsed="false">
      <c r="D670" s="0" t="s">
        <v>796</v>
      </c>
      <c r="J670" s="6" t="n">
        <v>0.0491100262824195</v>
      </c>
      <c r="K670" s="6" t="n">
        <v>2.35110208390029</v>
      </c>
      <c r="L670" s="6" t="n">
        <v>2.4544213651727</v>
      </c>
      <c r="M670" s="6" t="n">
        <v>1.13738454194035</v>
      </c>
      <c r="N670" s="6" t="n">
        <v>1.43281692427642</v>
      </c>
      <c r="O670" s="6" t="n">
        <v>0.02463339842446</v>
      </c>
      <c r="P670" s="6" t="n">
        <v>-1.4468817092068</v>
      </c>
      <c r="Q670" s="6" t="n">
        <v>-2.60302705034939</v>
      </c>
      <c r="R670" s="6" t="n">
        <v>-0.454843685253386</v>
      </c>
      <c r="S670" s="6" t="n">
        <v>-0.494580319328698</v>
      </c>
      <c r="T670" s="6" t="n">
        <v>-1.33981710758652</v>
      </c>
      <c r="U670" s="6" t="n">
        <v>2.67293059400013</v>
      </c>
      <c r="V670" s="6" t="n">
        <v>-1.52372586289624</v>
      </c>
      <c r="W670" s="6" t="n">
        <v>0.0755974094120095</v>
      </c>
      <c r="X670" s="6" t="n">
        <v>-1.26480444068177</v>
      </c>
      <c r="Y670" s="6" t="n">
        <v>-1.87202767270493</v>
      </c>
      <c r="Z670" s="6" t="n">
        <v>-0.326423768957868</v>
      </c>
      <c r="AA670" s="6" t="n">
        <v>0.967784171081225</v>
      </c>
      <c r="AB670" s="6" t="n">
        <v>0.703611987429583</v>
      </c>
      <c r="AC670" s="6" t="n">
        <v>0.15866731855704</v>
      </c>
      <c r="AD670" s="6" t="n">
        <v>-2.59644015553196</v>
      </c>
      <c r="AE670" s="6" t="n">
        <v>0.0716168116563929</v>
      </c>
      <c r="AF670" s="6" t="n">
        <v>2.06569611741261</v>
      </c>
      <c r="AG670" s="6" t="n">
        <v>-0.985680786841268</v>
      </c>
      <c r="AH670" s="6" t="n">
        <v>-0.142815179138934</v>
      </c>
      <c r="AI670" s="6" t="n">
        <v>0.401435725072548</v>
      </c>
      <c r="AJ670" s="6" t="n">
        <v>58.7658311907816</v>
      </c>
      <c r="AK670" s="6" t="n">
        <v>0.116805822162273</v>
      </c>
      <c r="AL670" s="6" t="n">
        <v>1.04021091228751</v>
      </c>
      <c r="AN670" s="6" t="n">
        <v>1.29413941452526</v>
      </c>
      <c r="AO670" s="6" t="n">
        <v>1.29447404501663</v>
      </c>
      <c r="AP670" s="6" t="n">
        <v>0.133561952515808</v>
      </c>
      <c r="AQ670" s="6" t="n">
        <v>0</v>
      </c>
      <c r="AR670" s="6" t="n">
        <v>0</v>
      </c>
    </row>
    <row r="671" customFormat="false" ht="15" hidden="false" customHeight="false" outlineLevel="0" collapsed="false">
      <c r="D671" s="0" t="s">
        <v>797</v>
      </c>
      <c r="J671" s="6" t="n">
        <v>0.575377622832111</v>
      </c>
      <c r="K671" s="6" t="n">
        <v>1.56558458169646</v>
      </c>
      <c r="L671" s="6" t="n">
        <v>1.32375702804493</v>
      </c>
      <c r="M671" s="6" t="n">
        <v>-0.307443559316684</v>
      </c>
      <c r="N671" s="6" t="n">
        <v>3.4677707769834</v>
      </c>
      <c r="O671" s="6" t="n">
        <v>0.634712713071899</v>
      </c>
      <c r="P671" s="6" t="n">
        <v>2.24060615543933</v>
      </c>
      <c r="Q671" s="6" t="n">
        <v>-0.0760399381391125</v>
      </c>
      <c r="R671" s="6" t="n">
        <v>-1.23535339542327</v>
      </c>
      <c r="S671" s="6" t="n">
        <v>0.461962082974703</v>
      </c>
      <c r="T671" s="6" t="n">
        <v>-0.892142333657699</v>
      </c>
      <c r="U671" s="6" t="n">
        <v>2.3131014491125</v>
      </c>
      <c r="V671" s="6" t="n">
        <v>2.74301691460213</v>
      </c>
      <c r="W671" s="6" t="n">
        <v>-2.26479851276102</v>
      </c>
      <c r="X671" s="6" t="n">
        <v>3.10399868399073</v>
      </c>
      <c r="Y671" s="6" t="n">
        <v>1.86637879219733</v>
      </c>
      <c r="Z671" s="6" t="n">
        <v>-6.49703219305222</v>
      </c>
      <c r="AA671" s="6" t="n">
        <v>-0.316217678447063</v>
      </c>
      <c r="AB671" s="6" t="n">
        <v>-1.16301979840338</v>
      </c>
      <c r="AC671" s="6" t="n">
        <v>1.59107909400578</v>
      </c>
      <c r="AD671" s="6" t="n">
        <v>-1.21462796372324</v>
      </c>
      <c r="AE671" s="6" t="n">
        <v>1.82391724200477</v>
      </c>
      <c r="AF671" s="6" t="n">
        <v>-2.61758387183891</v>
      </c>
      <c r="AG671" s="6" t="n">
        <v>0.601748754819432</v>
      </c>
      <c r="AH671" s="6" t="n">
        <v>-0.0253886084162588</v>
      </c>
      <c r="AI671" s="6" t="n">
        <v>-1.51293816931089</v>
      </c>
      <c r="AJ671" s="6" t="n">
        <v>58.4638143834127</v>
      </c>
      <c r="AK671" s="6" t="n">
        <v>0.0997369534151793</v>
      </c>
      <c r="AL671" s="6" t="n">
        <v>1.02613705887923</v>
      </c>
      <c r="AN671" s="6" t="n">
        <v>1.30057852651513</v>
      </c>
      <c r="AO671" s="6" t="n">
        <v>1.30109078561869</v>
      </c>
      <c r="AP671" s="6" t="n">
        <v>0.135548888427428</v>
      </c>
      <c r="AQ671" s="6" t="n">
        <v>0</v>
      </c>
      <c r="AR671" s="6" t="n">
        <v>0</v>
      </c>
    </row>
    <row r="672" customFormat="false" ht="15" hidden="false" customHeight="false" outlineLevel="0" collapsed="false">
      <c r="D672" s="0" t="s">
        <v>798</v>
      </c>
      <c r="J672" s="6" t="n">
        <v>-2.26674770664526</v>
      </c>
      <c r="K672" s="6" t="n">
        <v>-0.261078873115115</v>
      </c>
      <c r="L672" s="6" t="n">
        <v>-1.93621752550791</v>
      </c>
      <c r="M672" s="6" t="n">
        <v>1.03212548335768</v>
      </c>
      <c r="N672" s="6" t="n">
        <v>-4.63738074053</v>
      </c>
      <c r="O672" s="6" t="n">
        <v>-1.97527047828771</v>
      </c>
      <c r="P672" s="6" t="n">
        <v>-0.5870269044937</v>
      </c>
      <c r="Q672" s="6" t="n">
        <v>-2.86895107156613</v>
      </c>
      <c r="R672" s="6" t="n">
        <v>1.64965816966543</v>
      </c>
      <c r="S672" s="6" t="n">
        <v>-5.40124711098653</v>
      </c>
      <c r="T672" s="6" t="n">
        <v>4.71600932119166</v>
      </c>
      <c r="U672" s="6" t="n">
        <v>-0.316347483742041</v>
      </c>
      <c r="V672" s="6" t="n">
        <v>4.72349293531067</v>
      </c>
      <c r="W672" s="6" t="n">
        <v>-0.172639739363504</v>
      </c>
      <c r="X672" s="6" t="n">
        <v>-3.45071697159833</v>
      </c>
      <c r="Y672" s="6" t="n">
        <v>2.89728134656832</v>
      </c>
      <c r="Z672" s="6" t="n">
        <v>-0.451825461275333</v>
      </c>
      <c r="AA672" s="6" t="n">
        <v>0.292684958953252</v>
      </c>
      <c r="AB672" s="6" t="n">
        <v>0.513486929469243</v>
      </c>
      <c r="AC672" s="6" t="n">
        <v>-2.45723938993399</v>
      </c>
      <c r="AD672" s="6" t="n">
        <v>-2.63442332960209</v>
      </c>
      <c r="AE672" s="6" t="n">
        <v>-0.934032832489521</v>
      </c>
      <c r="AF672" s="6" t="n">
        <v>-1.58386482002452</v>
      </c>
      <c r="AG672" s="6" t="n">
        <v>3.59609392713072</v>
      </c>
      <c r="AH672" s="6" t="n">
        <v>0.120758218424143</v>
      </c>
      <c r="AI672" s="6" t="n">
        <v>-2.52966259935928</v>
      </c>
      <c r="AJ672" s="6" t="n">
        <v>80.0915547692786</v>
      </c>
      <c r="AK672" s="6" t="n">
        <v>0.112049658583047</v>
      </c>
      <c r="AL672" s="6" t="n">
        <v>0.992030739822172</v>
      </c>
      <c r="AN672" s="6" t="n">
        <v>1.32293456385373</v>
      </c>
      <c r="AO672" s="6" t="n">
        <v>1.32293456385373</v>
      </c>
      <c r="AP672" s="6" t="n">
        <v>0.143461997037204</v>
      </c>
      <c r="AQ672" s="6" t="n">
        <v>0</v>
      </c>
      <c r="AR672" s="6" t="n">
        <v>0</v>
      </c>
    </row>
    <row r="673" customFormat="false" ht="15" hidden="false" customHeight="false" outlineLevel="0" collapsed="false">
      <c r="D673" s="0" t="s">
        <v>799</v>
      </c>
      <c r="J673" s="6" t="n">
        <v>0.0765730933595744</v>
      </c>
      <c r="K673" s="6" t="n">
        <v>-2.19612539701396</v>
      </c>
      <c r="L673" s="6" t="n">
        <v>2.48322797053963</v>
      </c>
      <c r="M673" s="6" t="n">
        <v>-3.14136428921368</v>
      </c>
      <c r="N673" s="6" t="n">
        <v>-0.738977455179531</v>
      </c>
      <c r="O673" s="6" t="n">
        <v>-0.872725020310337</v>
      </c>
      <c r="P673" s="6" t="n">
        <v>-2.45957842745236</v>
      </c>
      <c r="Q673" s="6" t="n">
        <v>2.25552852184961</v>
      </c>
      <c r="R673" s="6" t="n">
        <v>2.40814462690982</v>
      </c>
      <c r="S673" s="6" t="n">
        <v>-4.27850322363814</v>
      </c>
      <c r="T673" s="6" t="n">
        <v>-0.33631224505153</v>
      </c>
      <c r="U673" s="6" t="n">
        <v>1.5913092728771</v>
      </c>
      <c r="V673" s="6" t="n">
        <v>-2.00646865196543</v>
      </c>
      <c r="W673" s="6" t="n">
        <v>0.0893267356688484</v>
      </c>
      <c r="X673" s="6" t="n">
        <v>0.720981896196138</v>
      </c>
      <c r="Y673" s="6" t="n">
        <v>0.113249544519469</v>
      </c>
      <c r="Z673" s="6" t="n">
        <v>-3.47356194116201</v>
      </c>
      <c r="AA673" s="6" t="n">
        <v>-2.18142487059056</v>
      </c>
      <c r="AB673" s="6" t="n">
        <v>0.676498620704357</v>
      </c>
      <c r="AC673" s="6" t="n">
        <v>-2.00406286169138</v>
      </c>
      <c r="AD673" s="6" t="n">
        <v>0.245474299568638</v>
      </c>
      <c r="AE673" s="6" t="n">
        <v>2.83853644626711</v>
      </c>
      <c r="AF673" s="6" t="n">
        <v>-0.582982701002121</v>
      </c>
      <c r="AG673" s="6" t="n">
        <v>-0.0573345448941822</v>
      </c>
      <c r="AH673" s="6" t="n">
        <v>0.144232096370391</v>
      </c>
      <c r="AI673" s="6" t="n">
        <v>-2.44439898057859</v>
      </c>
      <c r="AJ673" s="6" t="n">
        <v>81.5982157069184</v>
      </c>
      <c r="AK673" s="6" t="n">
        <v>0.12825157012188</v>
      </c>
      <c r="AL673" s="6" t="n">
        <v>1.04925805304983</v>
      </c>
      <c r="AN673" s="6" t="n">
        <v>1.30190919235899</v>
      </c>
      <c r="AO673" s="6" t="n">
        <v>1.30200719056597</v>
      </c>
      <c r="AP673" s="6" t="n">
        <v>0.134402884643104</v>
      </c>
      <c r="AQ673" s="6" t="n">
        <v>0</v>
      </c>
      <c r="AR673" s="6" t="n">
        <v>0</v>
      </c>
    </row>
    <row r="674" customFormat="false" ht="15" hidden="false" customHeight="false" outlineLevel="0" collapsed="false">
      <c r="D674" s="0" t="s">
        <v>800</v>
      </c>
      <c r="J674" s="6" t="n">
        <v>0.360928587598841</v>
      </c>
      <c r="K674" s="6" t="n">
        <v>-3.40232540711913</v>
      </c>
      <c r="L674" s="6" t="n">
        <v>-2.89673988711808</v>
      </c>
      <c r="M674" s="6" t="n">
        <v>2.8251431051098</v>
      </c>
      <c r="N674" s="6" t="n">
        <v>1.57356914435552</v>
      </c>
      <c r="O674" s="6" t="n">
        <v>1.18609525723318</v>
      </c>
      <c r="P674" s="6" t="n">
        <v>-0.95704856729935</v>
      </c>
      <c r="Q674" s="6" t="n">
        <v>-1.75742199877765</v>
      </c>
      <c r="R674" s="6" t="n">
        <v>1.31829761249903</v>
      </c>
      <c r="S674" s="6" t="n">
        <v>2.30270321046468</v>
      </c>
      <c r="T674" s="6" t="n">
        <v>-0.391239426193618</v>
      </c>
      <c r="U674" s="6" t="n">
        <v>-0.888164066882638</v>
      </c>
      <c r="V674" s="6" t="n">
        <v>-2.21806782618492</v>
      </c>
      <c r="W674" s="6" t="n">
        <v>0.113569931884722</v>
      </c>
      <c r="X674" s="6" t="n">
        <v>-1.03189077244123</v>
      </c>
      <c r="Y674" s="6" t="n">
        <v>-3.84700397754454</v>
      </c>
      <c r="Z674" s="6" t="n">
        <v>0.103813049071249</v>
      </c>
      <c r="AA674" s="6" t="n">
        <v>-0.628904576686176</v>
      </c>
      <c r="AB674" s="6" t="n">
        <v>0.349592510316535</v>
      </c>
      <c r="AC674" s="6" t="n">
        <v>-0.598483059296304</v>
      </c>
      <c r="AD674" s="6" t="n">
        <v>-1.06158981816475</v>
      </c>
      <c r="AE674" s="6" t="n">
        <v>1.65951719233261</v>
      </c>
      <c r="AF674" s="6" t="n">
        <v>-0.503886497021915</v>
      </c>
      <c r="AG674" s="6" t="n">
        <v>1.8739737088297</v>
      </c>
      <c r="AH674" s="6" t="n">
        <v>1.25465798445808</v>
      </c>
      <c r="AI674" s="6" t="n">
        <v>0.898553743983413</v>
      </c>
      <c r="AJ674" s="6" t="n">
        <v>78.9617598052763</v>
      </c>
      <c r="AK674" s="6" t="n">
        <v>0.0974556316206302</v>
      </c>
      <c r="AL674" s="6" t="n">
        <v>1.02920932221742</v>
      </c>
      <c r="AN674" s="6" t="n">
        <v>1.31216084729252</v>
      </c>
      <c r="AO674" s="6" t="n">
        <v>1.31226404453815</v>
      </c>
      <c r="AP674" s="6" t="n">
        <v>0.137286239885568</v>
      </c>
      <c r="AQ674" s="6" t="n">
        <v>0</v>
      </c>
      <c r="AR674" s="6" t="n">
        <v>0</v>
      </c>
    </row>
    <row r="675" customFormat="false" ht="15" hidden="false" customHeight="false" outlineLevel="0" collapsed="false">
      <c r="D675" s="0" t="s">
        <v>801</v>
      </c>
      <c r="J675" s="6" t="n">
        <v>-1.7667473397336</v>
      </c>
      <c r="K675" s="6" t="n">
        <v>1.00762353191105</v>
      </c>
      <c r="L675" s="6" t="n">
        <v>-5.2971064372244</v>
      </c>
      <c r="M675" s="6" t="n">
        <v>-1.5410844865359</v>
      </c>
      <c r="N675" s="6" t="n">
        <v>0.403243219254269</v>
      </c>
      <c r="O675" s="6" t="n">
        <v>2.02766414895632</v>
      </c>
      <c r="P675" s="6" t="n">
        <v>0.392505860679006</v>
      </c>
      <c r="Q675" s="6" t="n">
        <v>0.112803890849762</v>
      </c>
      <c r="R675" s="6" t="n">
        <v>0.342523010677356</v>
      </c>
      <c r="S675" s="6" t="n">
        <v>4.17078122639037</v>
      </c>
      <c r="T675" s="6" t="n">
        <v>2.18319960859646</v>
      </c>
      <c r="U675" s="6" t="n">
        <v>-1.56236171517724</v>
      </c>
      <c r="V675" s="6" t="n">
        <v>2.61569328817348</v>
      </c>
      <c r="W675" s="6" t="n">
        <v>0.562580216806948</v>
      </c>
      <c r="X675" s="6" t="n">
        <v>1.15958758021189</v>
      </c>
      <c r="Y675" s="6" t="n">
        <v>-1.5737707266539</v>
      </c>
      <c r="Z675" s="6" t="n">
        <v>-1.58556292090596</v>
      </c>
      <c r="AA675" s="6" t="n">
        <v>0.958156458893944</v>
      </c>
      <c r="AB675" s="6" t="n">
        <v>2.99494606085036</v>
      </c>
      <c r="AC675" s="6" t="n">
        <v>0.0800121578845519</v>
      </c>
      <c r="AD675" s="6" t="n">
        <v>2.52854576828489</v>
      </c>
      <c r="AE675" s="6" t="n">
        <v>-1.0629472439903</v>
      </c>
      <c r="AF675" s="6" t="n">
        <v>-1.79126416151519</v>
      </c>
      <c r="AG675" s="6" t="n">
        <v>0.337528823221845</v>
      </c>
      <c r="AH675" s="6" t="n">
        <v>-0.804770668574512</v>
      </c>
      <c r="AI675" s="6" t="n">
        <v>1.12689456350008</v>
      </c>
      <c r="AJ675" s="6" t="n">
        <v>58.7626799992304</v>
      </c>
      <c r="AK675" s="6" t="n">
        <v>0.152782214659438</v>
      </c>
      <c r="AL675" s="6" t="n">
        <v>1.0589523136324</v>
      </c>
      <c r="AN675" s="6" t="n">
        <v>1.28063709542154</v>
      </c>
      <c r="AO675" s="6" t="n">
        <v>1.28085200212494</v>
      </c>
      <c r="AP675" s="6" t="n">
        <v>0.131266343807656</v>
      </c>
      <c r="AQ675" s="6" t="n">
        <v>0</v>
      </c>
      <c r="AR675" s="6" t="n">
        <v>0</v>
      </c>
    </row>
    <row r="676" customFormat="false" ht="15" hidden="false" customHeight="false" outlineLevel="0" collapsed="false">
      <c r="D676" s="0" t="s">
        <v>802</v>
      </c>
      <c r="J676" s="6" t="n">
        <v>0.113959742522721</v>
      </c>
      <c r="K676" s="6" t="n">
        <v>-0.416250069146647</v>
      </c>
      <c r="L676" s="6" t="n">
        <v>2.25648127294233</v>
      </c>
      <c r="M676" s="6" t="n">
        <v>-2.04036828756424</v>
      </c>
      <c r="N676" s="6" t="n">
        <v>0.969427952946161</v>
      </c>
      <c r="O676" s="6" t="n">
        <v>-0.260839562565617</v>
      </c>
      <c r="P676" s="6" t="n">
        <v>-1.31146050672155</v>
      </c>
      <c r="Q676" s="6" t="n">
        <v>1.77108313759764</v>
      </c>
      <c r="R676" s="6" t="n">
        <v>-1.20980892502902</v>
      </c>
      <c r="S676" s="6" t="n">
        <v>3.40626255540363</v>
      </c>
      <c r="T676" s="6" t="n">
        <v>2.93615330579342</v>
      </c>
      <c r="U676" s="6" t="n">
        <v>3.3817363740362</v>
      </c>
      <c r="V676" s="6" t="n">
        <v>-1.27058339520063</v>
      </c>
      <c r="W676" s="6" t="n">
        <v>1.68490007405097</v>
      </c>
      <c r="X676" s="6" t="n">
        <v>-2.74631830381309</v>
      </c>
      <c r="Y676" s="6" t="n">
        <v>1.68627248525442</v>
      </c>
      <c r="Z676" s="6" t="n">
        <v>-1.40262416788908</v>
      </c>
      <c r="AA676" s="6" t="n">
        <v>-0.218021864652547</v>
      </c>
      <c r="AB676" s="6" t="n">
        <v>0.457620035720041</v>
      </c>
      <c r="AC676" s="6" t="n">
        <v>-1.99123127533093</v>
      </c>
      <c r="AD676" s="6" t="n">
        <v>-1.77095188945503</v>
      </c>
      <c r="AE676" s="6" t="n">
        <v>-2.51212712055107</v>
      </c>
      <c r="AF676" s="6" t="n">
        <v>-0.674008621696442</v>
      </c>
      <c r="AG676" s="6" t="n">
        <v>1.0513637000457</v>
      </c>
      <c r="AH676" s="6" t="n">
        <v>-0.407648642904721</v>
      </c>
      <c r="AI676" s="6" t="n">
        <v>-1.11561636690523</v>
      </c>
      <c r="AJ676" s="6" t="n">
        <v>76.5030418541371</v>
      </c>
      <c r="AK676" s="6" t="n">
        <v>0.0949056120026787</v>
      </c>
      <c r="AL676" s="6" t="n">
        <v>1.03732249911104</v>
      </c>
      <c r="AN676" s="6" t="n">
        <v>1.3080799887995</v>
      </c>
      <c r="AO676" s="6" t="n">
        <v>1.30832761249126</v>
      </c>
      <c r="AP676" s="6" t="n">
        <v>0.136415454648746</v>
      </c>
      <c r="AQ676" s="6" t="n">
        <v>0</v>
      </c>
      <c r="AR676" s="6" t="n">
        <v>0</v>
      </c>
    </row>
    <row r="677" customFormat="false" ht="15" hidden="false" customHeight="false" outlineLevel="0" collapsed="false">
      <c r="D677" s="0" t="s">
        <v>803</v>
      </c>
      <c r="J677" s="6" t="n">
        <v>-0.432552975320504</v>
      </c>
      <c r="K677" s="6" t="n">
        <v>2.71804331837047</v>
      </c>
      <c r="L677" s="6" t="n">
        <v>-0.88796412290156</v>
      </c>
      <c r="M677" s="6" t="n">
        <v>0.0882055307147864</v>
      </c>
      <c r="N677" s="6" t="n">
        <v>1.39077582344419</v>
      </c>
      <c r="O677" s="6" t="n">
        <v>3.96685493878416</v>
      </c>
      <c r="P677" s="6" t="n">
        <v>0.776071662385281</v>
      </c>
      <c r="Q677" s="6" t="n">
        <v>1.31180997314088</v>
      </c>
      <c r="R677" s="6" t="n">
        <v>0.777458663337692</v>
      </c>
      <c r="S677" s="6" t="n">
        <v>2.74384747218765</v>
      </c>
      <c r="T677" s="6" t="n">
        <v>3.04756962797438</v>
      </c>
      <c r="U677" s="6" t="n">
        <v>-2.09439340167395</v>
      </c>
      <c r="V677" s="6" t="n">
        <v>3.17356886067022</v>
      </c>
      <c r="W677" s="6" t="n">
        <v>0.244563490660075</v>
      </c>
      <c r="X677" s="6" t="n">
        <v>4.07691885608396</v>
      </c>
      <c r="Y677" s="6" t="n">
        <v>-1.59444585879273</v>
      </c>
      <c r="Z677" s="6" t="n">
        <v>-0.376920042563385</v>
      </c>
      <c r="AA677" s="6" t="n">
        <v>0.389929756509889</v>
      </c>
      <c r="AB677" s="6" t="n">
        <v>2.23410999291831</v>
      </c>
      <c r="AC677" s="6" t="n">
        <v>0.332969433032544</v>
      </c>
      <c r="AD677" s="6" t="n">
        <v>-0.808333272160227</v>
      </c>
      <c r="AE677" s="6" t="n">
        <v>3.11433595627331</v>
      </c>
      <c r="AF677" s="6" t="n">
        <v>-1.13116424659233</v>
      </c>
      <c r="AG677" s="6" t="n">
        <v>-0.499660342376266</v>
      </c>
      <c r="AH677" s="6" t="n">
        <v>1.98205934869165</v>
      </c>
      <c r="AI677" s="6" t="n">
        <v>-0.752163165573628</v>
      </c>
      <c r="AJ677" s="6" t="n">
        <v>72.9590667088643</v>
      </c>
      <c r="AK677" s="6" t="n">
        <v>0.130414966909186</v>
      </c>
      <c r="AL677" s="6" t="n">
        <v>1.04170217113568</v>
      </c>
      <c r="AN677" s="6" t="n">
        <v>1.29897666722274</v>
      </c>
      <c r="AO677" s="6" t="n">
        <v>1.29924256557398</v>
      </c>
      <c r="AP677" s="6" t="n">
        <v>0.134637867232273</v>
      </c>
      <c r="AQ677" s="6" t="n">
        <v>0</v>
      </c>
      <c r="AR677" s="6" t="n">
        <v>0</v>
      </c>
    </row>
    <row r="678" customFormat="false" ht="15" hidden="false" customHeight="false" outlineLevel="0" collapsed="false">
      <c r="D678" s="0" t="s">
        <v>804</v>
      </c>
      <c r="J678" s="6" t="n">
        <v>0.618713165122347</v>
      </c>
      <c r="K678" s="6" t="n">
        <v>3.66670851611585</v>
      </c>
      <c r="L678" s="6" t="n">
        <v>1.86816327978338</v>
      </c>
      <c r="M678" s="6" t="n">
        <v>-0.66426261947487</v>
      </c>
      <c r="N678" s="6" t="n">
        <v>0.681314454479515</v>
      </c>
      <c r="O678" s="6" t="n">
        <v>-0.760489416470962</v>
      </c>
      <c r="P678" s="6" t="n">
        <v>3.10093731424918</v>
      </c>
      <c r="Q678" s="6" t="n">
        <v>2.12850870928056</v>
      </c>
      <c r="R678" s="6" t="n">
        <v>1.33499306743331</v>
      </c>
      <c r="S678" s="6" t="n">
        <v>1.17613329807592</v>
      </c>
      <c r="T678" s="6" t="n">
        <v>-1.04180017890657</v>
      </c>
      <c r="U678" s="6" t="n">
        <v>-1.88095918112355</v>
      </c>
      <c r="V678" s="6" t="n">
        <v>-0.196483841293013</v>
      </c>
      <c r="W678" s="6" t="n">
        <v>-0.00436966416911101</v>
      </c>
      <c r="X678" s="6" t="n">
        <v>1.79084298382589</v>
      </c>
      <c r="Y678" s="6" t="n">
        <v>0.582024175791769</v>
      </c>
      <c r="Z678" s="6" t="n">
        <v>0.225294496680944</v>
      </c>
      <c r="AA678" s="6" t="n">
        <v>-0.479770473682708</v>
      </c>
      <c r="AB678" s="6" t="n">
        <v>0.839597362843231</v>
      </c>
      <c r="AC678" s="6" t="n">
        <v>0.681628250444765</v>
      </c>
      <c r="AD678" s="6" t="n">
        <v>1.51562659780025</v>
      </c>
      <c r="AE678" s="6" t="n">
        <v>0.953387392129999</v>
      </c>
      <c r="AF678" s="6" t="n">
        <v>-2.88348802370089</v>
      </c>
      <c r="AG678" s="6" t="n">
        <v>0.157870998690174</v>
      </c>
      <c r="AH678" s="6" t="n">
        <v>-0.942729205957577</v>
      </c>
      <c r="AI678" s="6" t="n">
        <v>3.56983337084537</v>
      </c>
      <c r="AJ678" s="6" t="n">
        <v>80.2544644219229</v>
      </c>
      <c r="AK678" s="6" t="n">
        <v>0.17334128170151</v>
      </c>
      <c r="AL678" s="6" t="n">
        <v>1.02905726513048</v>
      </c>
      <c r="AN678" s="6" t="n">
        <v>1.30368162032386</v>
      </c>
      <c r="AO678" s="6" t="n">
        <v>1.30499699230428</v>
      </c>
      <c r="AP678" s="6" t="n">
        <v>0.135721556440705</v>
      </c>
      <c r="AQ678" s="6" t="n">
        <v>0</v>
      </c>
      <c r="AR678" s="6" t="n">
        <v>0</v>
      </c>
    </row>
    <row r="679" customFormat="false" ht="15" hidden="false" customHeight="false" outlineLevel="0" collapsed="false">
      <c r="D679" s="0" t="s">
        <v>805</v>
      </c>
      <c r="J679" s="6" t="n">
        <v>-1.33630748955541</v>
      </c>
      <c r="K679" s="6" t="n">
        <v>1.74991872666171</v>
      </c>
      <c r="L679" s="6" t="n">
        <v>-0.820941113685949</v>
      </c>
      <c r="M679" s="6" t="n">
        <v>1.90306108674696</v>
      </c>
      <c r="N679" s="6" t="n">
        <v>0.350566421815001</v>
      </c>
      <c r="O679" s="6" t="n">
        <v>1.01746659794111</v>
      </c>
      <c r="P679" s="6" t="n">
        <v>2.43536485696338</v>
      </c>
      <c r="Q679" s="6" t="n">
        <v>2.17372582647876</v>
      </c>
      <c r="R679" s="6" t="n">
        <v>4.1620101455634</v>
      </c>
      <c r="S679" s="6" t="n">
        <v>-1.90302469846799</v>
      </c>
      <c r="T679" s="6" t="n">
        <v>-0.678746248016015</v>
      </c>
      <c r="U679" s="6" t="n">
        <v>-0.936899942227407</v>
      </c>
      <c r="V679" s="6" t="n">
        <v>-2.27282641972953</v>
      </c>
      <c r="W679" s="6" t="n">
        <v>2.26105283334899</v>
      </c>
      <c r="X679" s="6" t="n">
        <v>0.356265125422205</v>
      </c>
      <c r="Y679" s="6" t="n">
        <v>-1.69479500543493</v>
      </c>
      <c r="Z679" s="6" t="n">
        <v>-0.0185935337025755</v>
      </c>
      <c r="AA679" s="6" t="n">
        <v>2.38698962084652</v>
      </c>
      <c r="AB679" s="6" t="n">
        <v>0.119699013846344</v>
      </c>
      <c r="AC679" s="6" t="n">
        <v>0.477560130789265</v>
      </c>
      <c r="AD679" s="6" t="n">
        <v>0.554534588526665</v>
      </c>
      <c r="AE679" s="6" t="n">
        <v>-3.08233480794247</v>
      </c>
      <c r="AF679" s="6" t="n">
        <v>2.18946164084436</v>
      </c>
      <c r="AG679" s="6" t="n">
        <v>0.930098233740492</v>
      </c>
      <c r="AH679" s="6" t="n">
        <v>-1.66889329627517</v>
      </c>
      <c r="AI679" s="6" t="n">
        <v>-3.38754367917491</v>
      </c>
      <c r="AJ679" s="6" t="n">
        <v>70.9367433269055</v>
      </c>
      <c r="AK679" s="6" t="n">
        <v>0.126915438770476</v>
      </c>
      <c r="AL679" s="6" t="n">
        <v>1.0895560440537</v>
      </c>
      <c r="AN679" s="6" t="n">
        <v>1.27732164987841</v>
      </c>
      <c r="AO679" s="6" t="n">
        <v>1.27860820870233</v>
      </c>
      <c r="AP679" s="6" t="n">
        <v>0.131047385051187</v>
      </c>
      <c r="AQ679" s="6" t="n">
        <v>0</v>
      </c>
      <c r="AR679" s="6" t="n">
        <v>0</v>
      </c>
    </row>
    <row r="680" customFormat="false" ht="15" hidden="false" customHeight="false" outlineLevel="0" collapsed="false">
      <c r="D680" s="0" t="s">
        <v>806</v>
      </c>
      <c r="J680" s="6" t="n">
        <v>-0.356423325605722</v>
      </c>
      <c r="K680" s="6" t="n">
        <v>-2.54842164506567</v>
      </c>
      <c r="L680" s="6" t="n">
        <v>-1.37327121720163</v>
      </c>
      <c r="M680" s="6" t="n">
        <v>-1.07764211281708</v>
      </c>
      <c r="N680" s="6" t="n">
        <v>0.353709042157513</v>
      </c>
      <c r="O680" s="6" t="n">
        <v>-0.0542662235179604</v>
      </c>
      <c r="P680" s="6" t="n">
        <v>-1.67376791299601</v>
      </c>
      <c r="Q680" s="6" t="n">
        <v>-2.4069459827368</v>
      </c>
      <c r="R680" s="6" t="n">
        <v>0.0559974266184517</v>
      </c>
      <c r="S680" s="6" t="n">
        <v>2.21131207583288</v>
      </c>
      <c r="T680" s="6" t="n">
        <v>-2.02411038339713</v>
      </c>
      <c r="U680" s="6" t="n">
        <v>-5.02168339932002</v>
      </c>
      <c r="V680" s="6" t="n">
        <v>-1.97106903571722</v>
      </c>
      <c r="W680" s="6" t="n">
        <v>1.8161319412633</v>
      </c>
      <c r="X680" s="6" t="n">
        <v>-0.0783978393709417</v>
      </c>
      <c r="Y680" s="6" t="n">
        <v>-1.6369754110587</v>
      </c>
      <c r="Z680" s="6" t="n">
        <v>-1.54075714982061</v>
      </c>
      <c r="AA680" s="6" t="n">
        <v>1.41630770496848</v>
      </c>
      <c r="AB680" s="6" t="n">
        <v>2.41844083399253</v>
      </c>
      <c r="AC680" s="6" t="n">
        <v>4.77419242570382</v>
      </c>
      <c r="AD680" s="6" t="n">
        <v>1.14181782466369</v>
      </c>
      <c r="AE680" s="6" t="n">
        <v>1.78282290880718</v>
      </c>
      <c r="AF680" s="6" t="n">
        <v>-1.18068692888944</v>
      </c>
      <c r="AG680" s="6" t="n">
        <v>2.77934654927998</v>
      </c>
      <c r="AH680" s="6" t="n">
        <v>-0.724236023541021</v>
      </c>
      <c r="AI680" s="6" t="n">
        <v>1.34568080502698</v>
      </c>
      <c r="AJ680" s="6" t="n">
        <v>82.8770207552584</v>
      </c>
      <c r="AK680" s="6" t="n">
        <v>0.108434614622461</v>
      </c>
      <c r="AL680" s="6" t="n">
        <v>1.06315831768327</v>
      </c>
      <c r="AN680" s="6" t="n">
        <v>1.29741989541468</v>
      </c>
      <c r="AO680" s="6" t="n">
        <v>1.29760775507903</v>
      </c>
      <c r="AP680" s="6" t="n">
        <v>0.133525574116334</v>
      </c>
      <c r="AQ680" s="6" t="n">
        <v>0</v>
      </c>
      <c r="AR680" s="6" t="n">
        <v>0</v>
      </c>
    </row>
    <row r="681" customFormat="false" ht="15" hidden="false" customHeight="false" outlineLevel="0" collapsed="false">
      <c r="D681" s="0" t="s">
        <v>807</v>
      </c>
      <c r="J681" s="6" t="n">
        <v>1.4360300384649</v>
      </c>
      <c r="K681" s="6" t="n">
        <v>-0.0292192526616619</v>
      </c>
      <c r="L681" s="6" t="n">
        <v>-2.80866799623351</v>
      </c>
      <c r="M681" s="6" t="n">
        <v>1.17646374973945</v>
      </c>
      <c r="N681" s="6" t="n">
        <v>2.54718688255346</v>
      </c>
      <c r="O681" s="6" t="n">
        <v>0.287780697262807</v>
      </c>
      <c r="P681" s="6" t="n">
        <v>-0.341724695172692</v>
      </c>
      <c r="Q681" s="6" t="n">
        <v>1.69374243404751</v>
      </c>
      <c r="R681" s="6" t="n">
        <v>1.51206695633749</v>
      </c>
      <c r="S681" s="6" t="n">
        <v>-0.158032161616074</v>
      </c>
      <c r="T681" s="6" t="n">
        <v>-0.354874106622756</v>
      </c>
      <c r="U681" s="6" t="n">
        <v>-0.500580320153639</v>
      </c>
      <c r="V681" s="6" t="n">
        <v>2.79416354908986</v>
      </c>
      <c r="W681" s="6" t="n">
        <v>1.36194166970598</v>
      </c>
      <c r="X681" s="6" t="n">
        <v>4.63907906264477</v>
      </c>
      <c r="Y681" s="6" t="n">
        <v>-2.40622116102206</v>
      </c>
      <c r="Z681" s="6" t="n">
        <v>1.25957054858022</v>
      </c>
      <c r="AA681" s="6" t="n">
        <v>0.548133751784967</v>
      </c>
      <c r="AB681" s="6" t="n">
        <v>0.659949241301399</v>
      </c>
      <c r="AC681" s="6" t="n">
        <v>2.81369991719891</v>
      </c>
      <c r="AD681" s="6" t="n">
        <v>-0.707707738607356</v>
      </c>
      <c r="AE681" s="6" t="n">
        <v>0.207740638900708</v>
      </c>
      <c r="AF681" s="6" t="n">
        <v>1.94066350159272</v>
      </c>
      <c r="AG681" s="6" t="n">
        <v>-1.11021894166062</v>
      </c>
      <c r="AH681" s="6" t="n">
        <v>-1.94369307305128</v>
      </c>
      <c r="AI681" s="6" t="n">
        <v>0.0507421296875582</v>
      </c>
      <c r="AJ681" s="6" t="n">
        <v>66.8278165982515</v>
      </c>
      <c r="AK681" s="6" t="n">
        <v>0.10749068168307</v>
      </c>
      <c r="AL681" s="6" t="n">
        <v>1.08989667808988</v>
      </c>
      <c r="AN681" s="6" t="n">
        <v>1.28059774283549</v>
      </c>
      <c r="AO681" s="6" t="n">
        <v>1.28116082771986</v>
      </c>
      <c r="AP681" s="6" t="n">
        <v>0.131266485557708</v>
      </c>
      <c r="AQ681" s="6" t="n">
        <v>0</v>
      </c>
      <c r="AR681" s="6" t="n">
        <v>0</v>
      </c>
    </row>
    <row r="682" customFormat="false" ht="15" hidden="false" customHeight="false" outlineLevel="0" collapsed="false">
      <c r="D682" s="0" t="s">
        <v>808</v>
      </c>
      <c r="J682" s="6" t="n">
        <v>1.33212249882821</v>
      </c>
      <c r="K682" s="6" t="n">
        <v>0.903809331195729</v>
      </c>
      <c r="L682" s="6" t="n">
        <v>1.23071605652596</v>
      </c>
      <c r="M682" s="6" t="n">
        <v>0.873105439156693</v>
      </c>
      <c r="N682" s="6" t="n">
        <v>3.08815405522695</v>
      </c>
      <c r="O682" s="6" t="n">
        <v>-3.02569412474729</v>
      </c>
      <c r="P682" s="6" t="n">
        <v>-4.04050732056095</v>
      </c>
      <c r="Q682" s="6" t="n">
        <v>1.06007529985385</v>
      </c>
      <c r="R682" s="6" t="n">
        <v>5</v>
      </c>
      <c r="S682" s="6" t="n">
        <v>1.32696398089734</v>
      </c>
      <c r="T682" s="6" t="n">
        <v>-4.12239783673264</v>
      </c>
      <c r="U682" s="6" t="n">
        <v>0.309660144062635</v>
      </c>
      <c r="V682" s="6" t="n">
        <v>2.44844027417691</v>
      </c>
      <c r="W682" s="6" t="n">
        <v>0.801355921106068</v>
      </c>
      <c r="X682" s="6" t="n">
        <v>1.31671973227136</v>
      </c>
      <c r="Y682" s="6" t="n">
        <v>1.30611746004426</v>
      </c>
      <c r="Z682" s="6" t="n">
        <v>-0.352574499840076</v>
      </c>
      <c r="AA682" s="6" t="n">
        <v>1.83154041421188</v>
      </c>
      <c r="AB682" s="6" t="n">
        <v>4.06908725891071</v>
      </c>
      <c r="AC682" s="6" t="n">
        <v>0.0564419340755803</v>
      </c>
      <c r="AD682" s="6" t="n">
        <v>2.31868784374808</v>
      </c>
      <c r="AE682" s="6" t="n">
        <v>-1.18434907846931</v>
      </c>
      <c r="AF682" s="6" t="n">
        <v>0.326043481615895</v>
      </c>
      <c r="AG682" s="6" t="n">
        <v>0.748100776140725</v>
      </c>
      <c r="AH682" s="6" t="n">
        <v>0.802191968260313</v>
      </c>
      <c r="AI682" s="6" t="n">
        <v>-0.146316062984179</v>
      </c>
      <c r="AJ682" s="6" t="n">
        <v>76.1717019079591</v>
      </c>
      <c r="AK682" s="6" t="n">
        <v>0.0760544059018953</v>
      </c>
      <c r="AL682" s="6" t="n">
        <v>1.027383209858</v>
      </c>
      <c r="AN682" s="6" t="n">
        <v>1.3112182800163</v>
      </c>
      <c r="AO682" s="6" t="n">
        <v>1.3112182800163</v>
      </c>
      <c r="AP682" s="6" t="n">
        <v>0.138154994435038</v>
      </c>
      <c r="AQ682" s="6" t="n">
        <v>0</v>
      </c>
      <c r="AR682" s="6" t="n">
        <v>0</v>
      </c>
    </row>
    <row r="683" customFormat="false" ht="15" hidden="false" customHeight="false" outlineLevel="0" collapsed="false">
      <c r="D683" s="0" t="s">
        <v>809</v>
      </c>
      <c r="J683" s="6" t="n">
        <v>4.24812763617296</v>
      </c>
      <c r="K683" s="6" t="n">
        <v>-1.38076863633703</v>
      </c>
      <c r="L683" s="6" t="n">
        <v>3.44600221953175</v>
      </c>
      <c r="M683" s="6" t="n">
        <v>-1.21072619526133</v>
      </c>
      <c r="N683" s="6" t="n">
        <v>-1.04610248284207</v>
      </c>
      <c r="O683" s="6" t="n">
        <v>1.68720611506548</v>
      </c>
      <c r="P683" s="6" t="n">
        <v>0.0225162735598687</v>
      </c>
      <c r="Q683" s="6" t="n">
        <v>-4.40188740859317</v>
      </c>
      <c r="R683" s="6" t="n">
        <v>1.9350311977335</v>
      </c>
      <c r="S683" s="6" t="n">
        <v>-1.10449399959972</v>
      </c>
      <c r="T683" s="6" t="n">
        <v>-2.25884610231467</v>
      </c>
      <c r="U683" s="6" t="n">
        <v>3.22591108126958</v>
      </c>
      <c r="V683" s="6" t="n">
        <v>0.375907247774482</v>
      </c>
      <c r="W683" s="6" t="n">
        <v>2.05690856642125</v>
      </c>
      <c r="X683" s="6" t="n">
        <v>-5.37442380860513</v>
      </c>
      <c r="Y683" s="6" t="n">
        <v>-1.58551291195927</v>
      </c>
      <c r="Z683" s="6" t="n">
        <v>1.3459807135008</v>
      </c>
      <c r="AA683" s="6" t="n">
        <v>0.654003857009561</v>
      </c>
      <c r="AB683" s="6" t="n">
        <v>-3.26094565862368</v>
      </c>
      <c r="AC683" s="6" t="n">
        <v>-2.7753175092428</v>
      </c>
      <c r="AD683" s="6" t="n">
        <v>0.678161835288576</v>
      </c>
      <c r="AE683" s="6" t="n">
        <v>1.95010781934767</v>
      </c>
      <c r="AF683" s="6" t="n">
        <v>1.00898057103567</v>
      </c>
      <c r="AG683" s="6" t="n">
        <v>0.345575445256229</v>
      </c>
      <c r="AH683" s="6" t="n">
        <v>1.41545672778762</v>
      </c>
      <c r="AI683" s="6" t="n">
        <v>-0.41893568850746</v>
      </c>
      <c r="AJ683" s="6" t="n">
        <v>78.8062734092152</v>
      </c>
      <c r="AK683" s="6" t="n">
        <v>0.0975735024317204</v>
      </c>
      <c r="AL683" s="6" t="n">
        <v>1.03230915218009</v>
      </c>
      <c r="AN683" s="6" t="n">
        <v>1.30955886521518</v>
      </c>
      <c r="AO683" s="6" t="n">
        <v>1.31003090968466</v>
      </c>
      <c r="AP683" s="6" t="n">
        <v>0.136575946334332</v>
      </c>
      <c r="AQ683" s="6" t="n">
        <v>0</v>
      </c>
      <c r="AR683" s="6" t="n">
        <v>0</v>
      </c>
    </row>
    <row r="684" customFormat="false" ht="15" hidden="false" customHeight="false" outlineLevel="0" collapsed="false">
      <c r="D684" s="0" t="s">
        <v>810</v>
      </c>
      <c r="J684" s="6" t="n">
        <v>0.852787950282775</v>
      </c>
      <c r="K684" s="6" t="n">
        <v>2.16630914180635</v>
      </c>
      <c r="L684" s="6" t="n">
        <v>2.48809774963758</v>
      </c>
      <c r="M684" s="6" t="n">
        <v>-1.3254515069931</v>
      </c>
      <c r="N684" s="6" t="n">
        <v>2.77322821237984</v>
      </c>
      <c r="O684" s="6" t="n">
        <v>-0.161640362755688</v>
      </c>
      <c r="P684" s="6" t="n">
        <v>-0.520201709018413</v>
      </c>
      <c r="Q684" s="6" t="n">
        <v>-6.06979498437373</v>
      </c>
      <c r="R684" s="6" t="n">
        <v>-4.50973484519137</v>
      </c>
      <c r="S684" s="6" t="n">
        <v>-0.819594075643604</v>
      </c>
      <c r="T684" s="6" t="n">
        <v>0.522911251902886</v>
      </c>
      <c r="U684" s="6" t="n">
        <v>0.471973039470299</v>
      </c>
      <c r="V684" s="6" t="n">
        <v>4.04004498625685</v>
      </c>
      <c r="W684" s="6" t="n">
        <v>-0.324068002442842</v>
      </c>
      <c r="X684" s="6" t="n">
        <v>-1.85389699590032</v>
      </c>
      <c r="Y684" s="6" t="n">
        <v>0.306873043246944</v>
      </c>
      <c r="Z684" s="6" t="n">
        <v>-0.0118484104572687</v>
      </c>
      <c r="AA684" s="6" t="n">
        <v>0.0859801552775672</v>
      </c>
      <c r="AB684" s="6" t="n">
        <v>-0.769923896797386</v>
      </c>
      <c r="AC684" s="6" t="n">
        <v>-1.66930425858977</v>
      </c>
      <c r="AD684" s="6" t="n">
        <v>0.571342134323544</v>
      </c>
      <c r="AE684" s="6" t="n">
        <v>-2.67635578304286</v>
      </c>
      <c r="AF684" s="6" t="n">
        <v>-1.83756476337538</v>
      </c>
      <c r="AG684" s="6" t="n">
        <v>-1.13237420996789</v>
      </c>
      <c r="AH684" s="6" t="n">
        <v>-0.887223815039199</v>
      </c>
      <c r="AI684" s="6" t="n">
        <v>-1.14294587787743</v>
      </c>
      <c r="AJ684" s="6" t="n">
        <v>77.8814164617495</v>
      </c>
      <c r="AK684" s="6" t="n">
        <v>0.102354080349935</v>
      </c>
      <c r="AL684" s="6" t="n">
        <v>1.01408640508714</v>
      </c>
      <c r="AN684" s="6" t="n">
        <v>1.31438110401833</v>
      </c>
      <c r="AO684" s="6" t="n">
        <v>1.31438110401833</v>
      </c>
      <c r="AP684" s="6" t="n">
        <v>0.138519847991044</v>
      </c>
      <c r="AQ684" s="6" t="n">
        <v>0</v>
      </c>
      <c r="AR684" s="6" t="n">
        <v>0</v>
      </c>
    </row>
    <row r="685" customFormat="false" ht="15" hidden="false" customHeight="false" outlineLevel="0" collapsed="false">
      <c r="D685" s="0" t="s">
        <v>811</v>
      </c>
      <c r="J685" s="6" t="n">
        <v>-1.13571465472965</v>
      </c>
      <c r="K685" s="6" t="n">
        <v>-2.54532111146544</v>
      </c>
      <c r="L685" s="6" t="n">
        <v>-0.98759758304739</v>
      </c>
      <c r="M685" s="6" t="n">
        <v>-0.800454741938457</v>
      </c>
      <c r="N685" s="6" t="n">
        <v>3.60725770153028</v>
      </c>
      <c r="O685" s="6" t="n">
        <v>0.0264780025260458</v>
      </c>
      <c r="P685" s="6" t="n">
        <v>-2.57983053021298</v>
      </c>
      <c r="Q685" s="6" t="n">
        <v>-0.718860144429939</v>
      </c>
      <c r="R685" s="6" t="n">
        <v>2.00761104563557</v>
      </c>
      <c r="S685" s="6" t="n">
        <v>-2.38460790793524</v>
      </c>
      <c r="T685" s="6" t="n">
        <v>-0.896793974116321</v>
      </c>
      <c r="U685" s="6" t="n">
        <v>0.170797694968083</v>
      </c>
      <c r="V685" s="6" t="n">
        <v>1.28723374484947</v>
      </c>
      <c r="W685" s="6" t="n">
        <v>-4.13530459099107</v>
      </c>
      <c r="X685" s="6" t="n">
        <v>0.857397401001977</v>
      </c>
      <c r="Y685" s="6" t="n">
        <v>0.43506346464408</v>
      </c>
      <c r="Z685" s="6" t="n">
        <v>0.851313722402285</v>
      </c>
      <c r="AA685" s="6" t="n">
        <v>-1.39785070210995</v>
      </c>
      <c r="AB685" s="6" t="n">
        <v>0.528548210146765</v>
      </c>
      <c r="AC685" s="6" t="n">
        <v>-2.69678367032729</v>
      </c>
      <c r="AD685" s="6" t="n">
        <v>0.0729249197771843</v>
      </c>
      <c r="AE685" s="6" t="n">
        <v>-0.332448360084549</v>
      </c>
      <c r="AF685" s="6" t="n">
        <v>0.142458438072588</v>
      </c>
      <c r="AG685" s="6" t="n">
        <v>3.57705313979761</v>
      </c>
      <c r="AH685" s="6" t="n">
        <v>-1.49653651658305</v>
      </c>
      <c r="AI685" s="6" t="n">
        <v>-0.694602779324833</v>
      </c>
      <c r="AJ685" s="6" t="n">
        <v>66.9461764851816</v>
      </c>
      <c r="AK685" s="6" t="n">
        <v>0.162186823964222</v>
      </c>
      <c r="AL685" s="6" t="n">
        <v>0.971326855213506</v>
      </c>
      <c r="AN685" s="6" t="n">
        <v>1.3175851014421</v>
      </c>
      <c r="AO685" s="6" t="n">
        <v>1.3175851014421</v>
      </c>
      <c r="AP685" s="6" t="n">
        <v>0.145537055343251</v>
      </c>
      <c r="AQ685" s="6" t="n">
        <v>0</v>
      </c>
      <c r="AR685" s="6" t="n">
        <v>0</v>
      </c>
    </row>
    <row r="686" customFormat="false" ht="15" hidden="false" customHeight="false" outlineLevel="0" collapsed="false">
      <c r="D686" s="0" t="s">
        <v>812</v>
      </c>
      <c r="J686" s="6" t="n">
        <v>-0.521469833444325</v>
      </c>
      <c r="K686" s="6" t="n">
        <v>-1.2367209384428</v>
      </c>
      <c r="L686" s="6" t="n">
        <v>2.33359128740254</v>
      </c>
      <c r="M686" s="6" t="n">
        <v>-1.53985068489448</v>
      </c>
      <c r="N686" s="6" t="n">
        <v>0.837372916563976</v>
      </c>
      <c r="O686" s="6" t="n">
        <v>1.24199011300885</v>
      </c>
      <c r="P686" s="6" t="n">
        <v>3.51664719801039</v>
      </c>
      <c r="Q686" s="6" t="n">
        <v>-1.95558755494107</v>
      </c>
      <c r="R686" s="6" t="n">
        <v>2.14648310201362</v>
      </c>
      <c r="S686" s="6" t="n">
        <v>-0.175426706950546</v>
      </c>
      <c r="T686" s="6" t="n">
        <v>-2.0036968536067</v>
      </c>
      <c r="U686" s="6" t="n">
        <v>1.44746021869191</v>
      </c>
      <c r="V686" s="6" t="n">
        <v>0.111022459007412</v>
      </c>
      <c r="W686" s="6" t="n">
        <v>-2.45131855587172</v>
      </c>
      <c r="X686" s="6" t="n">
        <v>-1.52637555826477</v>
      </c>
      <c r="Y686" s="6" t="n">
        <v>-3.06083016760656</v>
      </c>
      <c r="Z686" s="6" t="n">
        <v>-2.17485319850583</v>
      </c>
      <c r="AA686" s="6" t="n">
        <v>-2.3529812368475</v>
      </c>
      <c r="AB686" s="6" t="n">
        <v>0.124372348017617</v>
      </c>
      <c r="AC686" s="6" t="n">
        <v>-0.485170022717276</v>
      </c>
      <c r="AD686" s="6" t="n">
        <v>-0.399026500642528</v>
      </c>
      <c r="AE686" s="6" t="n">
        <v>1.86585868767745</v>
      </c>
      <c r="AF686" s="6" t="n">
        <v>1.00147193705695</v>
      </c>
      <c r="AG686" s="6" t="n">
        <v>0.537247068777681</v>
      </c>
      <c r="AH686" s="6" t="n">
        <v>2.72574559194872</v>
      </c>
      <c r="AI686" s="6" t="n">
        <v>-0.634800790769387</v>
      </c>
      <c r="AJ686" s="6" t="n">
        <v>77.6121753622169</v>
      </c>
      <c r="AK686" s="6" t="n">
        <v>0.137121737246313</v>
      </c>
      <c r="AL686" s="6" t="n">
        <v>1.06909402489583</v>
      </c>
      <c r="AN686" s="6" t="n">
        <v>1.2855843414244</v>
      </c>
      <c r="AO686" s="6" t="n">
        <v>1.28671683260318</v>
      </c>
      <c r="AP686" s="6" t="n">
        <v>0.132129323841775</v>
      </c>
      <c r="AQ686" s="6" t="n">
        <v>0</v>
      </c>
      <c r="AR686" s="6" t="n">
        <v>0</v>
      </c>
    </row>
    <row r="687" customFormat="false" ht="15" hidden="false" customHeight="false" outlineLevel="0" collapsed="false">
      <c r="D687" s="0" t="s">
        <v>813</v>
      </c>
      <c r="J687" s="6" t="n">
        <v>2.74458179779036</v>
      </c>
      <c r="K687" s="6" t="n">
        <v>2.02310676752688</v>
      </c>
      <c r="L687" s="6" t="n">
        <v>0.522133697037206</v>
      </c>
      <c r="M687" s="6" t="n">
        <v>0.0103655031250765</v>
      </c>
      <c r="N687" s="6" t="n">
        <v>0.0913731566296964</v>
      </c>
      <c r="O687" s="6" t="n">
        <v>-0.375286465025324</v>
      </c>
      <c r="P687" s="6" t="n">
        <v>-1.11376714359835</v>
      </c>
      <c r="Q687" s="6" t="n">
        <v>-1.32530837080046</v>
      </c>
      <c r="R687" s="6" t="n">
        <v>-0.593067945736581</v>
      </c>
      <c r="S687" s="6" t="n">
        <v>-1.13278251260298</v>
      </c>
      <c r="T687" s="6" t="n">
        <v>-4.39202282353853</v>
      </c>
      <c r="U687" s="6" t="n">
        <v>-1.68470672394721</v>
      </c>
      <c r="V687" s="6" t="n">
        <v>1.61310598137121</v>
      </c>
      <c r="W687" s="6" t="n">
        <v>1.52122024321272</v>
      </c>
      <c r="X687" s="6" t="n">
        <v>2.31264787522611</v>
      </c>
      <c r="Y687" s="6" t="n">
        <v>-1.43995863469981</v>
      </c>
      <c r="Z687" s="6" t="n">
        <v>4.18677586373368</v>
      </c>
      <c r="AA687" s="6" t="n">
        <v>-2.27165793531989</v>
      </c>
      <c r="AB687" s="6" t="n">
        <v>-1.57739862924001</v>
      </c>
      <c r="AC687" s="6" t="n">
        <v>-1.86440209731675</v>
      </c>
      <c r="AD687" s="6" t="n">
        <v>0.670036943862726</v>
      </c>
      <c r="AE687" s="6" t="n">
        <v>2.96012359692239</v>
      </c>
      <c r="AF687" s="6" t="n">
        <v>-1.38182772843257</v>
      </c>
      <c r="AG687" s="6" t="n">
        <v>1.76636393943858</v>
      </c>
      <c r="AH687" s="6" t="n">
        <v>1.22381760713188</v>
      </c>
      <c r="AI687" s="6" t="n">
        <v>2.74714927270899</v>
      </c>
      <c r="AJ687" s="6" t="n">
        <v>77.6201823601567</v>
      </c>
      <c r="AK687" s="6" t="n">
        <v>0.186963426914556</v>
      </c>
      <c r="AL687" s="6" t="n">
        <v>1.11680801016861</v>
      </c>
      <c r="AN687" s="6" t="n">
        <v>1.26667371713363</v>
      </c>
      <c r="AO687" s="6" t="n">
        <v>1.26728590751242</v>
      </c>
      <c r="AP687" s="6" t="n">
        <v>0.128089983913489</v>
      </c>
      <c r="AQ687" s="6" t="n">
        <v>0</v>
      </c>
      <c r="AR687" s="6" t="n">
        <v>0</v>
      </c>
    </row>
    <row r="688" customFormat="false" ht="15" hidden="false" customHeight="false" outlineLevel="0" collapsed="false">
      <c r="D688" s="0" t="s">
        <v>814</v>
      </c>
      <c r="J688" s="6" t="n">
        <v>-0.191074359977117</v>
      </c>
      <c r="K688" s="6" t="n">
        <v>2.65328152414148</v>
      </c>
      <c r="L688" s="6" t="n">
        <v>1.6756023944722</v>
      </c>
      <c r="M688" s="6" t="n">
        <v>0.295208256420497</v>
      </c>
      <c r="N688" s="6" t="n">
        <v>-0.851277162601765</v>
      </c>
      <c r="O688" s="6" t="n">
        <v>-0.167237761517176</v>
      </c>
      <c r="P688" s="6" t="n">
        <v>4.49716811184224</v>
      </c>
      <c r="Q688" s="6" t="n">
        <v>-1.31474537935133</v>
      </c>
      <c r="R688" s="6" t="n">
        <v>-0.180321559301041</v>
      </c>
      <c r="S688" s="6" t="n">
        <v>-3.14696707162291</v>
      </c>
      <c r="T688" s="6" t="n">
        <v>-0.433442408166073</v>
      </c>
      <c r="U688" s="6" t="n">
        <v>-2.33511681718037</v>
      </c>
      <c r="V688" s="6" t="n">
        <v>-0.397810289100627</v>
      </c>
      <c r="W688" s="6" t="n">
        <v>-2.25117074208159</v>
      </c>
      <c r="X688" s="6" t="n">
        <v>-0.721161035342198</v>
      </c>
      <c r="Y688" s="6" t="n">
        <v>-0.734956448601868</v>
      </c>
      <c r="Z688" s="6" t="n">
        <v>-4.3777141529394</v>
      </c>
      <c r="AA688" s="6" t="n">
        <v>-2.47010503367872</v>
      </c>
      <c r="AB688" s="6" t="n">
        <v>0.277454709402657</v>
      </c>
      <c r="AC688" s="6" t="n">
        <v>-0.881856835539589</v>
      </c>
      <c r="AD688" s="6" t="n">
        <v>-2.31297950015601</v>
      </c>
      <c r="AE688" s="6" t="n">
        <v>2.21984549171673</v>
      </c>
      <c r="AF688" s="6" t="n">
        <v>2.67877929288794</v>
      </c>
      <c r="AG688" s="6" t="n">
        <v>0.102697430199171</v>
      </c>
      <c r="AH688" s="6" t="n">
        <v>-1.98926822397326</v>
      </c>
      <c r="AI688" s="6" t="n">
        <v>-3.48814340965605</v>
      </c>
      <c r="AJ688" s="6" t="n">
        <v>72.098179730305</v>
      </c>
      <c r="AK688" s="6" t="n">
        <v>0.0959915457961932</v>
      </c>
      <c r="AL688" s="6" t="n">
        <v>1.05663293536593</v>
      </c>
      <c r="AN688" s="6" t="n">
        <v>1.29417876201885</v>
      </c>
      <c r="AO688" s="6" t="n">
        <v>1.2957208013196</v>
      </c>
      <c r="AP688" s="6" t="n">
        <v>0.133922800461525</v>
      </c>
      <c r="AQ688" s="6" t="n">
        <v>0</v>
      </c>
      <c r="AR688" s="6" t="n">
        <v>0</v>
      </c>
    </row>
    <row r="689" customFormat="false" ht="15" hidden="false" customHeight="false" outlineLevel="0" collapsed="false">
      <c r="D689" s="0" t="s">
        <v>815</v>
      </c>
      <c r="J689" s="6" t="n">
        <v>-4.07166241042021</v>
      </c>
      <c r="K689" s="6" t="n">
        <v>1.46783992526876</v>
      </c>
      <c r="L689" s="6" t="n">
        <v>0.135889355070068</v>
      </c>
      <c r="M689" s="6" t="n">
        <v>-1.26574138660332</v>
      </c>
      <c r="N689" s="6" t="n">
        <v>-0.665084911588284</v>
      </c>
      <c r="O689" s="6" t="n">
        <v>2.4981461776992</v>
      </c>
      <c r="P689" s="6" t="n">
        <v>-0.791316344521973</v>
      </c>
      <c r="Q689" s="6" t="n">
        <v>-1.04791410198513</v>
      </c>
      <c r="R689" s="6" t="n">
        <v>-2.5183846621372</v>
      </c>
      <c r="S689" s="6" t="n">
        <v>2.22868030588347</v>
      </c>
      <c r="T689" s="6" t="n">
        <v>0.986995636741737</v>
      </c>
      <c r="U689" s="6" t="n">
        <v>1.96885660736807</v>
      </c>
      <c r="V689" s="6" t="n">
        <v>-1.66880908815183</v>
      </c>
      <c r="W689" s="6" t="n">
        <v>-3.15124891686345</v>
      </c>
      <c r="X689" s="6" t="n">
        <v>1.38437245415608</v>
      </c>
      <c r="Y689" s="6" t="n">
        <v>0.19939406186619</v>
      </c>
      <c r="Z689" s="6" t="n">
        <v>1.82100803432074</v>
      </c>
      <c r="AA689" s="6" t="n">
        <v>-0.493789587244672</v>
      </c>
      <c r="AB689" s="6" t="n">
        <v>-3.16920874601973</v>
      </c>
      <c r="AC689" s="6" t="n">
        <v>-0.992275742676632</v>
      </c>
      <c r="AD689" s="6" t="n">
        <v>-1.34684218992878</v>
      </c>
      <c r="AE689" s="6" t="n">
        <v>-1.83682717351753</v>
      </c>
      <c r="AF689" s="6" t="n">
        <v>-4.37062386508157</v>
      </c>
      <c r="AG689" s="6" t="n">
        <v>0.467949890757824</v>
      </c>
      <c r="AH689" s="6" t="n">
        <v>0.0406518350303972</v>
      </c>
      <c r="AI689" s="6" t="n">
        <v>-0.105514260072432</v>
      </c>
      <c r="AJ689" s="6" t="n">
        <v>76.9525518955867</v>
      </c>
      <c r="AK689" s="6" t="n">
        <v>0.136418139881077</v>
      </c>
      <c r="AL689" s="6" t="n">
        <v>1.03216170896483</v>
      </c>
      <c r="AN689" s="6" t="n">
        <v>1.30381035234589</v>
      </c>
      <c r="AO689" s="6" t="n">
        <v>1.30398972877119</v>
      </c>
      <c r="AP689" s="6" t="n">
        <v>0.135829461769414</v>
      </c>
      <c r="AQ689" s="6" t="n">
        <v>0</v>
      </c>
      <c r="AR689" s="6" t="n">
        <v>0</v>
      </c>
    </row>
    <row r="690" customFormat="false" ht="15" hidden="false" customHeight="false" outlineLevel="0" collapsed="false">
      <c r="D690" s="0" t="s">
        <v>816</v>
      </c>
      <c r="J690" s="6" t="n">
        <v>1.35466188829714</v>
      </c>
      <c r="K690" s="6" t="n">
        <v>-4.10484312861275</v>
      </c>
      <c r="L690" s="6" t="n">
        <v>0.978519066277308</v>
      </c>
      <c r="M690" s="6" t="n">
        <v>-2.01719223797732</v>
      </c>
      <c r="N690" s="6" t="n">
        <v>0.968851563401031</v>
      </c>
      <c r="O690" s="6" t="n">
        <v>4.55119914203324</v>
      </c>
      <c r="P690" s="6" t="n">
        <v>-1.96655433998892</v>
      </c>
      <c r="Q690" s="6" t="n">
        <v>2.64358548186674</v>
      </c>
      <c r="R690" s="6" t="n">
        <v>-3.97884451390074</v>
      </c>
      <c r="S690" s="6" t="n">
        <v>0.043560082168656</v>
      </c>
      <c r="T690" s="6" t="n">
        <v>2.62091719956278</v>
      </c>
      <c r="U690" s="6" t="n">
        <v>3.06554180673664</v>
      </c>
      <c r="V690" s="6" t="n">
        <v>-0.204652535055668</v>
      </c>
      <c r="W690" s="6" t="n">
        <v>5</v>
      </c>
      <c r="X690" s="6" t="n">
        <v>-4.11596996999277</v>
      </c>
      <c r="Y690" s="6" t="n">
        <v>-3.96235661554813</v>
      </c>
      <c r="Z690" s="6" t="n">
        <v>1.74815583496562</v>
      </c>
      <c r="AA690" s="6" t="n">
        <v>4.37123312991005</v>
      </c>
      <c r="AB690" s="6" t="n">
        <v>0.756636605124082</v>
      </c>
      <c r="AC690" s="6" t="n">
        <v>0.180302580892658</v>
      </c>
      <c r="AD690" s="6" t="n">
        <v>1.47402055915992</v>
      </c>
      <c r="AE690" s="6" t="n">
        <v>0.3409482590204</v>
      </c>
      <c r="AF690" s="6" t="n">
        <v>-4.48986508098775</v>
      </c>
      <c r="AG690" s="6" t="n">
        <v>2.66253513702998</v>
      </c>
      <c r="AH690" s="6" t="n">
        <v>-2.03857733429501</v>
      </c>
      <c r="AI690" s="6" t="n">
        <v>0.500636804331231</v>
      </c>
      <c r="AJ690" s="6" t="n">
        <v>74.2585937050034</v>
      </c>
      <c r="AK690" s="6" t="n">
        <v>0.0883774793653883</v>
      </c>
      <c r="AL690" s="6" t="n">
        <v>1.03805500158989</v>
      </c>
      <c r="AN690" s="6" t="n">
        <v>1.30655562664298</v>
      </c>
      <c r="AO690" s="6" t="n">
        <v>1.30709742292776</v>
      </c>
      <c r="AP690" s="6" t="n">
        <v>0.135881643829568</v>
      </c>
      <c r="AQ690" s="6" t="n">
        <v>0</v>
      </c>
      <c r="AR690" s="6" t="n">
        <v>0</v>
      </c>
    </row>
    <row r="691" customFormat="false" ht="15" hidden="false" customHeight="false" outlineLevel="0" collapsed="false">
      <c r="D691" s="0" t="s">
        <v>817</v>
      </c>
      <c r="J691" s="6" t="n">
        <v>-1.04865021684928</v>
      </c>
      <c r="K691" s="6" t="n">
        <v>-0.282017711116619</v>
      </c>
      <c r="L691" s="6" t="n">
        <v>-2.31424137811095</v>
      </c>
      <c r="M691" s="6" t="n">
        <v>-2.19391529013965</v>
      </c>
      <c r="N691" s="6" t="n">
        <v>-1.67286656488634</v>
      </c>
      <c r="O691" s="6" t="n">
        <v>0.17372543326601</v>
      </c>
      <c r="P691" s="6" t="n">
        <v>-0.75890350192184</v>
      </c>
      <c r="Q691" s="6" t="n">
        <v>2.72916318551181</v>
      </c>
      <c r="R691" s="6" t="n">
        <v>4.69388542748837</v>
      </c>
      <c r="S691" s="6" t="n">
        <v>0.470053974492568</v>
      </c>
      <c r="T691" s="6" t="n">
        <v>1.21238919089568</v>
      </c>
      <c r="U691" s="6" t="n">
        <v>1.16357486102995</v>
      </c>
      <c r="V691" s="6" t="n">
        <v>-0.933695237467719</v>
      </c>
      <c r="W691" s="6" t="n">
        <v>-1.00339298865191</v>
      </c>
      <c r="X691" s="6" t="n">
        <v>3.9041055734607</v>
      </c>
      <c r="Y691" s="6" t="n">
        <v>-0.201243626002498</v>
      </c>
      <c r="Z691" s="6" t="n">
        <v>0.887600394458473</v>
      </c>
      <c r="AA691" s="6" t="n">
        <v>0.930376247641488</v>
      </c>
      <c r="AB691" s="6" t="n">
        <v>-2.14191462869137</v>
      </c>
      <c r="AC691" s="6" t="n">
        <v>-0.494687588706304</v>
      </c>
      <c r="AD691" s="6" t="n">
        <v>-0.721350573256748</v>
      </c>
      <c r="AE691" s="6" t="n">
        <v>0.669230995497291</v>
      </c>
      <c r="AF691" s="6" t="n">
        <v>-0.121654611525097</v>
      </c>
      <c r="AG691" s="6" t="n">
        <v>3.52781357579854</v>
      </c>
      <c r="AH691" s="6" t="n">
        <v>-0.520942818050922</v>
      </c>
      <c r="AI691" s="6" t="n">
        <v>-1.95023526111468</v>
      </c>
      <c r="AJ691" s="6" t="n">
        <v>73.3136181303178</v>
      </c>
      <c r="AK691" s="6" t="n">
        <v>0.14219451432482</v>
      </c>
      <c r="AL691" s="6" t="n">
        <v>1.04487894380679</v>
      </c>
      <c r="AN691" s="6" t="n">
        <v>1.29682981366892</v>
      </c>
      <c r="AO691" s="6" t="n">
        <v>1.29704950324382</v>
      </c>
      <c r="AP691" s="6" t="n">
        <v>0.134158666900415</v>
      </c>
      <c r="AQ691" s="6" t="n">
        <v>0</v>
      </c>
      <c r="AR691" s="6" t="n">
        <v>0</v>
      </c>
    </row>
    <row r="692" customFormat="false" ht="15" hidden="false" customHeight="false" outlineLevel="0" collapsed="false">
      <c r="D692" s="0" t="s">
        <v>818</v>
      </c>
      <c r="J692" s="6" t="n">
        <v>1.02635793782785</v>
      </c>
      <c r="K692" s="6" t="n">
        <v>-1.12095973722897</v>
      </c>
      <c r="L692" s="6" t="n">
        <v>-1.32343205676381</v>
      </c>
      <c r="M692" s="6" t="n">
        <v>-1.06915132276814</v>
      </c>
      <c r="N692" s="6" t="n">
        <v>-1.46768899498015</v>
      </c>
      <c r="O692" s="6" t="n">
        <v>-1.22844104700124</v>
      </c>
      <c r="P692" s="6" t="n">
        <v>3.44479323516083</v>
      </c>
      <c r="Q692" s="6" t="n">
        <v>-4.74575029607815</v>
      </c>
      <c r="R692" s="6" t="n">
        <v>0.608861586931459</v>
      </c>
      <c r="S692" s="6" t="n">
        <v>0.147610802867601</v>
      </c>
      <c r="T692" s="6" t="n">
        <v>1.68444681987204</v>
      </c>
      <c r="U692" s="6" t="n">
        <v>-2.74197595842466</v>
      </c>
      <c r="V692" s="6" t="n">
        <v>-1.76570914524806</v>
      </c>
      <c r="W692" s="6" t="n">
        <v>1.94798262002924</v>
      </c>
      <c r="X692" s="6" t="n">
        <v>0.810857828715472</v>
      </c>
      <c r="Y692" s="6" t="n">
        <v>-3.0106573818495</v>
      </c>
      <c r="Z692" s="6" t="n">
        <v>-0.381654876019487</v>
      </c>
      <c r="AA692" s="6" t="n">
        <v>0.752294709157188</v>
      </c>
      <c r="AB692" s="6" t="n">
        <v>-0.348495103167452</v>
      </c>
      <c r="AC692" s="6" t="n">
        <v>-0.663492395314562</v>
      </c>
      <c r="AD692" s="6" t="n">
        <v>-1.36591276755364</v>
      </c>
      <c r="AE692" s="6" t="n">
        <v>-4.34757123979611</v>
      </c>
      <c r="AF692" s="6" t="n">
        <v>2.97620980740031</v>
      </c>
      <c r="AG692" s="6" t="n">
        <v>4.31136485958487</v>
      </c>
      <c r="AH692" s="6" t="n">
        <v>-1.23120387603024</v>
      </c>
      <c r="AI692" s="6" t="n">
        <v>-1.13647338784274</v>
      </c>
      <c r="AJ692" s="6" t="n">
        <v>63.125718475619</v>
      </c>
      <c r="AK692" s="6" t="n">
        <v>0.155528218135607</v>
      </c>
      <c r="AL692" s="6" t="n">
        <v>1.05895324075073</v>
      </c>
      <c r="AN692" s="6" t="n">
        <v>1.28436882768022</v>
      </c>
      <c r="AO692" s="6" t="n">
        <v>1.28602816290705</v>
      </c>
      <c r="AP692" s="6" t="n">
        <v>0.131247018261443</v>
      </c>
      <c r="AQ692" s="6" t="n">
        <v>0</v>
      </c>
      <c r="AR692" s="6" t="n">
        <v>0</v>
      </c>
    </row>
    <row r="693" customFormat="false" ht="15" hidden="false" customHeight="false" outlineLevel="0" collapsed="false">
      <c r="D693" s="0" t="s">
        <v>819</v>
      </c>
      <c r="J693" s="6" t="n">
        <v>1.3863741953927</v>
      </c>
      <c r="K693" s="6" t="n">
        <v>4.0776114605438</v>
      </c>
      <c r="L693" s="6" t="n">
        <v>0.0165956805057925</v>
      </c>
      <c r="M693" s="6" t="n">
        <v>0.695288497282368</v>
      </c>
      <c r="N693" s="6" t="n">
        <v>0.926578947276473</v>
      </c>
      <c r="O693" s="6" t="n">
        <v>-2.45902768861307</v>
      </c>
      <c r="P693" s="6" t="n">
        <v>-1.70963317331253</v>
      </c>
      <c r="Q693" s="6" t="n">
        <v>-0.831665424244478</v>
      </c>
      <c r="R693" s="6" t="n">
        <v>2.80157195674839</v>
      </c>
      <c r="S693" s="6" t="n">
        <v>0.173926009665549</v>
      </c>
      <c r="T693" s="6" t="n">
        <v>-0.781921424048132</v>
      </c>
      <c r="U693" s="6" t="n">
        <v>-0.735453165922835</v>
      </c>
      <c r="V693" s="6" t="n">
        <v>-0.176328600965931</v>
      </c>
      <c r="W693" s="6" t="n">
        <v>0.617418214442211</v>
      </c>
      <c r="X693" s="6" t="n">
        <v>-2.06519357021149</v>
      </c>
      <c r="Y693" s="6" t="n">
        <v>0.182867927796847</v>
      </c>
      <c r="Z693" s="6" t="n">
        <v>0.0522981406909999</v>
      </c>
      <c r="AA693" s="6" t="n">
        <v>0.0497803352032211</v>
      </c>
      <c r="AB693" s="6" t="n">
        <v>-1.800993806683</v>
      </c>
      <c r="AC693" s="6" t="n">
        <v>1.97538955329357</v>
      </c>
      <c r="AD693" s="6" t="n">
        <v>0.974158066737903</v>
      </c>
      <c r="AE693" s="6" t="n">
        <v>-0.67311264254384</v>
      </c>
      <c r="AF693" s="6" t="n">
        <v>2.08260634550214</v>
      </c>
      <c r="AG693" s="6" t="n">
        <v>0.335193553744705</v>
      </c>
      <c r="AH693" s="6" t="n">
        <v>3.18856326199769</v>
      </c>
      <c r="AI693" s="6" t="n">
        <v>-1.17996847830099</v>
      </c>
      <c r="AJ693" s="6" t="n">
        <v>77.0054848536548</v>
      </c>
      <c r="AK693" s="6" t="n">
        <v>0.16720267364196</v>
      </c>
      <c r="AL693" s="6" t="n">
        <v>1.04389195733883</v>
      </c>
      <c r="AN693" s="6" t="n">
        <v>1.29870811074321</v>
      </c>
      <c r="AO693" s="6" t="n">
        <v>1.29954971710641</v>
      </c>
      <c r="AP693" s="6" t="n">
        <v>0.133867675780378</v>
      </c>
      <c r="AQ693" s="6" t="n">
        <v>0</v>
      </c>
      <c r="AR693" s="6" t="n">
        <v>0</v>
      </c>
    </row>
    <row r="694" customFormat="false" ht="15" hidden="false" customHeight="false" outlineLevel="0" collapsed="false">
      <c r="D694" s="0" t="s">
        <v>820</v>
      </c>
      <c r="J694" s="6" t="n">
        <v>2.5552165940287</v>
      </c>
      <c r="K694" s="6" t="n">
        <v>0.114176230668313</v>
      </c>
      <c r="L694" s="6" t="n">
        <v>0.187341775125069</v>
      </c>
      <c r="M694" s="6" t="n">
        <v>0.372912996120326</v>
      </c>
      <c r="N694" s="6" t="n">
        <v>1.8590548170946</v>
      </c>
      <c r="O694" s="6" t="n">
        <v>2.56151779968832</v>
      </c>
      <c r="P694" s="6" t="n">
        <v>-0.108438982397621</v>
      </c>
      <c r="Q694" s="6" t="n">
        <v>0.483899188124588</v>
      </c>
      <c r="R694" s="6" t="n">
        <v>-1.19316357333494</v>
      </c>
      <c r="S694" s="6" t="n">
        <v>-1.25969078844256</v>
      </c>
      <c r="T694" s="6" t="n">
        <v>-0.800955351736782</v>
      </c>
      <c r="U694" s="6" t="n">
        <v>-3.01759263253798</v>
      </c>
      <c r="V694" s="6" t="n">
        <v>-0.577488431601532</v>
      </c>
      <c r="W694" s="6" t="n">
        <v>4.51449271089934</v>
      </c>
      <c r="X694" s="6" t="n">
        <v>-0.674408478759039</v>
      </c>
      <c r="Y694" s="6" t="n">
        <v>-0.528646372606557</v>
      </c>
      <c r="Z694" s="6" t="n">
        <v>-1.19711782965353</v>
      </c>
      <c r="AA694" s="6" t="n">
        <v>-1.167142738921</v>
      </c>
      <c r="AB694" s="6" t="n">
        <v>0.965844180413446</v>
      </c>
      <c r="AC694" s="6" t="n">
        <v>1.76022690455339</v>
      </c>
      <c r="AD694" s="6" t="n">
        <v>2.3100272921876</v>
      </c>
      <c r="AE694" s="6" t="n">
        <v>-1.43010973947053</v>
      </c>
      <c r="AF694" s="6" t="n">
        <v>-0.489665977947508</v>
      </c>
      <c r="AG694" s="6" t="n">
        <v>5</v>
      </c>
      <c r="AH694" s="6" t="n">
        <v>1.722802410586</v>
      </c>
      <c r="AI694" s="6" t="n">
        <v>0.700523352960303</v>
      </c>
      <c r="AJ694" s="6" t="n">
        <v>84.0884594720149</v>
      </c>
      <c r="AK694" s="6" t="n">
        <v>0.122897420946648</v>
      </c>
      <c r="AL694" s="6" t="n">
        <v>1.10016783160111</v>
      </c>
      <c r="AN694" s="6" t="n">
        <v>1.2783321260105</v>
      </c>
      <c r="AO694" s="6" t="n">
        <v>1.27939537356854</v>
      </c>
      <c r="AP694" s="6" t="n">
        <v>0.131063372983815</v>
      </c>
      <c r="AQ694" s="6" t="n">
        <v>0</v>
      </c>
      <c r="AR694" s="6" t="n">
        <v>0</v>
      </c>
    </row>
    <row r="695" customFormat="false" ht="15" hidden="false" customHeight="false" outlineLevel="0" collapsed="false">
      <c r="D695" s="0" t="s">
        <v>821</v>
      </c>
      <c r="J695" s="6" t="n">
        <v>2.91005002169678</v>
      </c>
      <c r="K695" s="6" t="n">
        <v>0.871229973505871</v>
      </c>
      <c r="L695" s="6" t="n">
        <v>-1.51231700487412</v>
      </c>
      <c r="M695" s="6" t="n">
        <v>2.60935193318008</v>
      </c>
      <c r="N695" s="6" t="n">
        <v>0.793785982730045</v>
      </c>
      <c r="O695" s="6" t="n">
        <v>1.66057593666253</v>
      </c>
      <c r="P695" s="6" t="n">
        <v>0.792890277771933</v>
      </c>
      <c r="Q695" s="6" t="n">
        <v>1.45229691045529</v>
      </c>
      <c r="R695" s="6" t="n">
        <v>2.71523416457689</v>
      </c>
      <c r="S695" s="6" t="n">
        <v>-1.27642754375982</v>
      </c>
      <c r="T695" s="6" t="n">
        <v>-3.82853756708612</v>
      </c>
      <c r="U695" s="6" t="n">
        <v>0.600489283856227</v>
      </c>
      <c r="V695" s="6" t="n">
        <v>-0.0277433426071437</v>
      </c>
      <c r="W695" s="6" t="n">
        <v>0.857033596283743</v>
      </c>
      <c r="X695" s="6" t="n">
        <v>-0.576373411612361</v>
      </c>
      <c r="Y695" s="6" t="n">
        <v>-0.211818349533717</v>
      </c>
      <c r="Z695" s="6" t="n">
        <v>3.69915318566757</v>
      </c>
      <c r="AA695" s="6" t="n">
        <v>-3.02269618260141</v>
      </c>
      <c r="AB695" s="6" t="n">
        <v>-1.33205107104694</v>
      </c>
      <c r="AC695" s="6" t="n">
        <v>-0.365533972769443</v>
      </c>
      <c r="AD695" s="6" t="n">
        <v>1.83743760769269</v>
      </c>
      <c r="AE695" s="6" t="n">
        <v>-2.28389955113908</v>
      </c>
      <c r="AF695" s="6" t="n">
        <v>-0.154662883671108</v>
      </c>
      <c r="AG695" s="6" t="n">
        <v>1.63103522506151</v>
      </c>
      <c r="AH695" s="6" t="n">
        <v>2.44398372142486</v>
      </c>
      <c r="AI695" s="6" t="n">
        <v>-0.468485271231603</v>
      </c>
      <c r="AJ695" s="6" t="n">
        <v>76.5267838151429</v>
      </c>
      <c r="AK695" s="6" t="n">
        <v>0.0731339990690799</v>
      </c>
      <c r="AL695" s="6" t="n">
        <v>1.07213409981592</v>
      </c>
      <c r="AN695" s="6" t="n">
        <v>1.29277436904145</v>
      </c>
      <c r="AO695" s="6" t="n">
        <v>1.29298170729368</v>
      </c>
      <c r="AP695" s="6" t="n">
        <v>0.133955764253901</v>
      </c>
      <c r="AQ695" s="6" t="n">
        <v>0</v>
      </c>
      <c r="AR695" s="6" t="n">
        <v>0</v>
      </c>
    </row>
    <row r="696" customFormat="false" ht="15" hidden="false" customHeight="false" outlineLevel="0" collapsed="false">
      <c r="D696" s="0" t="s">
        <v>822</v>
      </c>
      <c r="J696" s="6" t="n">
        <v>1.44013660481368</v>
      </c>
      <c r="K696" s="6" t="n">
        <v>-0.678613629349528</v>
      </c>
      <c r="L696" s="6" t="n">
        <v>0.589768397045923</v>
      </c>
      <c r="M696" s="6" t="n">
        <v>-2.62975083985808</v>
      </c>
      <c r="N696" s="6" t="n">
        <v>-3.37814062742603</v>
      </c>
      <c r="O696" s="6" t="n">
        <v>-3.55914801055164</v>
      </c>
      <c r="P696" s="6" t="n">
        <v>-2.13149888102177</v>
      </c>
      <c r="Q696" s="6" t="n">
        <v>1.6756762685664</v>
      </c>
      <c r="R696" s="6" t="n">
        <v>0.363756368431455</v>
      </c>
      <c r="S696" s="6" t="n">
        <v>-2.7060922493962</v>
      </c>
      <c r="T696" s="6" t="n">
        <v>-1.78826375677455</v>
      </c>
      <c r="U696" s="6" t="n">
        <v>-1.56980031486098</v>
      </c>
      <c r="V696" s="6" t="n">
        <v>2.39612520610397</v>
      </c>
      <c r="W696" s="6" t="n">
        <v>-0.859848661596104</v>
      </c>
      <c r="X696" s="6" t="n">
        <v>-2.52676507114192</v>
      </c>
      <c r="Y696" s="6" t="n">
        <v>-2.2189030682336</v>
      </c>
      <c r="Z696" s="6" t="n">
        <v>-1.68945062783868</v>
      </c>
      <c r="AA696" s="6" t="n">
        <v>0.175517002555823</v>
      </c>
      <c r="AB696" s="6" t="n">
        <v>-0.353314114823581</v>
      </c>
      <c r="AC696" s="6" t="n">
        <v>-0.486232489527179</v>
      </c>
      <c r="AD696" s="6" t="n">
        <v>-1.07697104256797</v>
      </c>
      <c r="AE696" s="6" t="n">
        <v>0.50335080426133</v>
      </c>
      <c r="AF696" s="6" t="n">
        <v>2.17329851691401</v>
      </c>
      <c r="AG696" s="6" t="n">
        <v>-1.15463253509963</v>
      </c>
      <c r="AH696" s="6" t="n">
        <v>0.323140773389597</v>
      </c>
      <c r="AI696" s="6" t="n">
        <v>-0.889651925410296</v>
      </c>
      <c r="AJ696" s="6" t="n">
        <v>72.779614772066</v>
      </c>
      <c r="AK696" s="6" t="n">
        <v>0.175885713690413</v>
      </c>
      <c r="AL696" s="6" t="n">
        <v>1.04018553075303</v>
      </c>
      <c r="AN696" s="6" t="n">
        <v>1.29220833975254</v>
      </c>
      <c r="AO696" s="6" t="n">
        <v>1.29432809120363</v>
      </c>
      <c r="AP696" s="6" t="n">
        <v>0.133431662289641</v>
      </c>
      <c r="AQ696" s="6" t="n">
        <v>0</v>
      </c>
      <c r="AR696" s="6" t="n">
        <v>0</v>
      </c>
    </row>
    <row r="697" customFormat="false" ht="15" hidden="false" customHeight="false" outlineLevel="0" collapsed="false">
      <c r="D697" s="0" t="s">
        <v>823</v>
      </c>
      <c r="J697" s="6" t="n">
        <v>-2.05476176912402</v>
      </c>
      <c r="K697" s="6" t="n">
        <v>-1.68953486085045</v>
      </c>
      <c r="L697" s="6" t="n">
        <v>0.914705607933408</v>
      </c>
      <c r="M697" s="6" t="n">
        <v>-1.70514911342455</v>
      </c>
      <c r="N697" s="6" t="n">
        <v>2.4357397394864</v>
      </c>
      <c r="O697" s="6" t="n">
        <v>-4.92406237853595</v>
      </c>
      <c r="P697" s="6" t="n">
        <v>1.99894816343972</v>
      </c>
      <c r="Q697" s="6" t="n">
        <v>3.08147741234032</v>
      </c>
      <c r="R697" s="6" t="n">
        <v>-1.51867741108164</v>
      </c>
      <c r="S697" s="6" t="n">
        <v>1.49722992844616</v>
      </c>
      <c r="T697" s="6" t="n">
        <v>-0.598756360820064</v>
      </c>
      <c r="U697" s="6" t="n">
        <v>3.64871973317783</v>
      </c>
      <c r="V697" s="6" t="n">
        <v>-0.420522353363677</v>
      </c>
      <c r="W697" s="6" t="n">
        <v>-0.777751838075686</v>
      </c>
      <c r="X697" s="6" t="n">
        <v>-2.64524401656842</v>
      </c>
      <c r="Y697" s="6" t="n">
        <v>1.08285850269229</v>
      </c>
      <c r="Z697" s="6" t="n">
        <v>-0.159833577673758</v>
      </c>
      <c r="AA697" s="6" t="n">
        <v>1.58999919845461</v>
      </c>
      <c r="AB697" s="6" t="n">
        <v>-3.12989552248389</v>
      </c>
      <c r="AC697" s="6" t="n">
        <v>0.663907425546361</v>
      </c>
      <c r="AD697" s="6" t="n">
        <v>-0.457746634702259</v>
      </c>
      <c r="AE697" s="6" t="n">
        <v>-0.688283208531701</v>
      </c>
      <c r="AF697" s="6" t="n">
        <v>1.81907003897237</v>
      </c>
      <c r="AG697" s="6" t="n">
        <v>-1.7748350810679</v>
      </c>
      <c r="AH697" s="6" t="n">
        <v>-1.38541313256815</v>
      </c>
      <c r="AI697" s="6" t="n">
        <v>-0.0290992316948879</v>
      </c>
      <c r="AJ697" s="6" t="n">
        <v>77.9650744196547</v>
      </c>
      <c r="AK697" s="6" t="n">
        <v>0.119989111700999</v>
      </c>
      <c r="AL697" s="6" t="n">
        <v>1.03118139247693</v>
      </c>
      <c r="AN697" s="6" t="n">
        <v>1.28560818669603</v>
      </c>
      <c r="AO697" s="6" t="n">
        <v>1.29419685604138</v>
      </c>
      <c r="AP697" s="6" t="n">
        <v>0.136564302498023</v>
      </c>
      <c r="AQ697" s="6" t="n">
        <v>0</v>
      </c>
      <c r="AR697" s="6" t="n">
        <v>0</v>
      </c>
    </row>
    <row r="698" customFormat="false" ht="15" hidden="false" customHeight="false" outlineLevel="0" collapsed="false">
      <c r="D698" s="0" t="s">
        <v>824</v>
      </c>
      <c r="J698" s="6" t="n">
        <v>1.50433193552632</v>
      </c>
      <c r="K698" s="6" t="n">
        <v>-2.23241148574978</v>
      </c>
      <c r="L698" s="6" t="n">
        <v>0.254427871137497</v>
      </c>
      <c r="M698" s="6" t="n">
        <v>1.69972047900462</v>
      </c>
      <c r="N698" s="6" t="n">
        <v>-1.31721072691726</v>
      </c>
      <c r="O698" s="6" t="n">
        <v>-0.831247457398847</v>
      </c>
      <c r="P698" s="6" t="n">
        <v>0.713114959587396</v>
      </c>
      <c r="Q698" s="6" t="n">
        <v>-1.71166262720031</v>
      </c>
      <c r="R698" s="6" t="n">
        <v>1.37566266850738</v>
      </c>
      <c r="S698" s="6" t="n">
        <v>3.3747923797946</v>
      </c>
      <c r="T698" s="6" t="n">
        <v>-0.284216845328181</v>
      </c>
      <c r="U698" s="6" t="n">
        <v>-0.588691750783696</v>
      </c>
      <c r="V698" s="6" t="n">
        <v>0.646623666749762</v>
      </c>
      <c r="W698" s="6" t="n">
        <v>-1.52432833717947</v>
      </c>
      <c r="X698" s="6" t="n">
        <v>-0.92807331655805</v>
      </c>
      <c r="Y698" s="6" t="n">
        <v>1.80608530064818</v>
      </c>
      <c r="Z698" s="6" t="n">
        <v>-1.47601995391905</v>
      </c>
      <c r="AA698" s="6" t="n">
        <v>-2.38580829331295</v>
      </c>
      <c r="AB698" s="6" t="n">
        <v>-2.97326955427985</v>
      </c>
      <c r="AC698" s="6" t="n">
        <v>-1.29801037018008</v>
      </c>
      <c r="AD698" s="6" t="n">
        <v>3.68461527084236</v>
      </c>
      <c r="AE698" s="6" t="n">
        <v>0.402101725644606</v>
      </c>
      <c r="AF698" s="6" t="n">
        <v>0.853160139305549</v>
      </c>
      <c r="AG698" s="6" t="n">
        <v>0.036792111034819</v>
      </c>
      <c r="AH698" s="6" t="n">
        <v>1.3552588928054</v>
      </c>
      <c r="AI698" s="6" t="n">
        <v>-0.397645945673397</v>
      </c>
      <c r="AJ698" s="6" t="n">
        <v>62.768097551428</v>
      </c>
      <c r="AK698" s="6" t="n">
        <v>0.124289678293961</v>
      </c>
      <c r="AL698" s="6" t="n">
        <v>1.10806239827992</v>
      </c>
      <c r="AN698" s="6" t="n">
        <v>1.27309711455543</v>
      </c>
      <c r="AO698" s="6" t="n">
        <v>1.27327813286082</v>
      </c>
      <c r="AP698" s="6" t="n">
        <v>0.129892686928998</v>
      </c>
      <c r="AQ698" s="6" t="n">
        <v>0</v>
      </c>
      <c r="AR698" s="6" t="n">
        <v>0</v>
      </c>
    </row>
    <row r="699" customFormat="false" ht="15" hidden="false" customHeight="false" outlineLevel="0" collapsed="false">
      <c r="D699" s="0" t="s">
        <v>825</v>
      </c>
      <c r="J699" s="6" t="n">
        <v>-3.52826371064448</v>
      </c>
      <c r="K699" s="6" t="n">
        <v>2.17426285412905</v>
      </c>
      <c r="L699" s="6" t="n">
        <v>0.936230669925192</v>
      </c>
      <c r="M699" s="6" t="n">
        <v>-2.79756673883644</v>
      </c>
      <c r="N699" s="6" t="n">
        <v>0.583891490128471</v>
      </c>
      <c r="O699" s="6" t="n">
        <v>-1.88909673879447</v>
      </c>
      <c r="P699" s="6" t="n">
        <v>3.65313794224859</v>
      </c>
      <c r="Q699" s="6" t="n">
        <v>-3.60452874024945</v>
      </c>
      <c r="R699" s="6" t="n">
        <v>-1.14094508666254</v>
      </c>
      <c r="S699" s="6" t="n">
        <v>0.987625831795427</v>
      </c>
      <c r="T699" s="6" t="n">
        <v>-1.61959170919179</v>
      </c>
      <c r="U699" s="6" t="n">
        <v>0.561340460923789</v>
      </c>
      <c r="V699" s="6" t="n">
        <v>0.734874089876001</v>
      </c>
      <c r="W699" s="6" t="n">
        <v>-2.22079117585679</v>
      </c>
      <c r="X699" s="6" t="n">
        <v>-0.17411025028769</v>
      </c>
      <c r="Y699" s="6" t="n">
        <v>1.73273988010522</v>
      </c>
      <c r="Z699" s="6" t="n">
        <v>1.87819203829036</v>
      </c>
      <c r="AA699" s="6" t="n">
        <v>0.389477681121595</v>
      </c>
      <c r="AB699" s="6" t="n">
        <v>-1.08867695010463</v>
      </c>
      <c r="AC699" s="6" t="n">
        <v>-1.48212902896392</v>
      </c>
      <c r="AD699" s="6" t="n">
        <v>0.934833320567597</v>
      </c>
      <c r="AE699" s="6" t="n">
        <v>-0.0686241318408371</v>
      </c>
      <c r="AF699" s="6" t="n">
        <v>3.97720407633987</v>
      </c>
      <c r="AG699" s="6" t="n">
        <v>-0.675440296702934</v>
      </c>
      <c r="AH699" s="6" t="n">
        <v>-0.0755256392896878</v>
      </c>
      <c r="AI699" s="6" t="n">
        <v>-0.0288726130434684</v>
      </c>
      <c r="AJ699" s="6" t="n">
        <v>79.7912633068329</v>
      </c>
      <c r="AK699" s="6" t="n">
        <v>0.0992446999288117</v>
      </c>
      <c r="AL699" s="6" t="n">
        <v>1.03426075685302</v>
      </c>
      <c r="AN699" s="6" t="n">
        <v>1.31107376954334</v>
      </c>
      <c r="AO699" s="6" t="n">
        <v>1.31236306726189</v>
      </c>
      <c r="AP699" s="6" t="n">
        <v>0.136363186581226</v>
      </c>
      <c r="AQ699" s="6" t="n">
        <v>0</v>
      </c>
      <c r="AR699" s="6" t="n">
        <v>0</v>
      </c>
    </row>
    <row r="700" customFormat="false" ht="15" hidden="false" customHeight="false" outlineLevel="0" collapsed="false">
      <c r="D700" s="0" t="s">
        <v>826</v>
      </c>
      <c r="J700" s="6" t="n">
        <v>1.30614880627963</v>
      </c>
      <c r="K700" s="6" t="n">
        <v>0.572536024103659</v>
      </c>
      <c r="L700" s="6" t="n">
        <v>-1.19663215524661</v>
      </c>
      <c r="M700" s="6" t="n">
        <v>0.0254126761763716</v>
      </c>
      <c r="N700" s="6" t="n">
        <v>-2.92441695171756</v>
      </c>
      <c r="O700" s="6" t="n">
        <v>-0.952204167211008</v>
      </c>
      <c r="P700" s="6" t="n">
        <v>-2.44998303759952</v>
      </c>
      <c r="Q700" s="6" t="n">
        <v>1.9165711985159</v>
      </c>
      <c r="R700" s="6" t="n">
        <v>0.785550239855199</v>
      </c>
      <c r="S700" s="6" t="n">
        <v>-0.524334095563899</v>
      </c>
      <c r="T700" s="6" t="n">
        <v>-3.43265630256631</v>
      </c>
      <c r="U700" s="6" t="n">
        <v>-2.53233699759126</v>
      </c>
      <c r="V700" s="6" t="n">
        <v>0.693798835249259</v>
      </c>
      <c r="W700" s="6" t="n">
        <v>2.22040666503245</v>
      </c>
      <c r="X700" s="6" t="n">
        <v>1.38406698338385</v>
      </c>
      <c r="Y700" s="6" t="n">
        <v>0.788753869234099</v>
      </c>
      <c r="Z700" s="6" t="n">
        <v>-0.0251201382242845</v>
      </c>
      <c r="AA700" s="6" t="n">
        <v>1.21046827086602</v>
      </c>
      <c r="AB700" s="6" t="n">
        <v>3.0092371338214</v>
      </c>
      <c r="AC700" s="6" t="n">
        <v>-1.30166375950277</v>
      </c>
      <c r="AD700" s="6" t="n">
        <v>-2.5081764912969</v>
      </c>
      <c r="AE700" s="6" t="n">
        <v>0.0223805011889847</v>
      </c>
      <c r="AF700" s="6" t="n">
        <v>0.481647463304077</v>
      </c>
      <c r="AG700" s="6" t="n">
        <v>-1.50990046236426</v>
      </c>
      <c r="AH700" s="6" t="n">
        <v>1.21387833720615</v>
      </c>
      <c r="AI700" s="6" t="n">
        <v>0.0954777854125359</v>
      </c>
      <c r="AJ700" s="6" t="n">
        <v>69.3280879623953</v>
      </c>
      <c r="AK700" s="6" t="n">
        <v>0.191867647781944</v>
      </c>
      <c r="AL700" s="6" t="n">
        <v>1.0064984314998</v>
      </c>
      <c r="AN700" s="6" t="n">
        <v>1.30992458418472</v>
      </c>
      <c r="AO700" s="6" t="n">
        <v>1.30992458418472</v>
      </c>
      <c r="AP700" s="6" t="n">
        <v>0.137698326388728</v>
      </c>
      <c r="AQ700" s="6" t="n">
        <v>0</v>
      </c>
      <c r="AR700" s="6" t="n">
        <v>0</v>
      </c>
    </row>
    <row r="701" customFormat="false" ht="15" hidden="false" customHeight="false" outlineLevel="0" collapsed="false">
      <c r="D701" s="0" t="s">
        <v>827</v>
      </c>
      <c r="J701" s="6" t="n">
        <v>0.888800328063804</v>
      </c>
      <c r="K701" s="6" t="n">
        <v>0.97045568502224</v>
      </c>
      <c r="L701" s="6" t="n">
        <v>0.0451317392746076</v>
      </c>
      <c r="M701" s="6" t="n">
        <v>-2.46111873525044</v>
      </c>
      <c r="N701" s="6" t="n">
        <v>1.20351696140631</v>
      </c>
      <c r="O701" s="6" t="n">
        <v>-0.589480431478627</v>
      </c>
      <c r="P701" s="6" t="n">
        <v>-1.32130526938676</v>
      </c>
      <c r="Q701" s="6" t="n">
        <v>1.45819413637545</v>
      </c>
      <c r="R701" s="6" t="n">
        <v>-0.314431509983097</v>
      </c>
      <c r="S701" s="6" t="n">
        <v>-0.0575617513297517</v>
      </c>
      <c r="T701" s="6" t="n">
        <v>3.71792608836865</v>
      </c>
      <c r="U701" s="6" t="n">
        <v>-0.601259073705358</v>
      </c>
      <c r="V701" s="6" t="n">
        <v>0.693388760092471</v>
      </c>
      <c r="W701" s="6" t="n">
        <v>-1.27309428539654</v>
      </c>
      <c r="X701" s="6" t="n">
        <v>2.99351875858238</v>
      </c>
      <c r="Y701" s="6" t="n">
        <v>3.45919242211645</v>
      </c>
      <c r="Z701" s="6" t="n">
        <v>-2.54702969338614</v>
      </c>
      <c r="AA701" s="6" t="n">
        <v>-2.94014181706979</v>
      </c>
      <c r="AB701" s="6" t="n">
        <v>1.50734325232169</v>
      </c>
      <c r="AC701" s="6" t="n">
        <v>0.815086655565839</v>
      </c>
      <c r="AD701" s="6" t="n">
        <v>-0.884774043925357</v>
      </c>
      <c r="AE701" s="6" t="n">
        <v>0.772783170833962</v>
      </c>
      <c r="AF701" s="6" t="n">
        <v>-2.20856620516843</v>
      </c>
      <c r="AG701" s="6" t="n">
        <v>0.370859317870088</v>
      </c>
      <c r="AH701" s="6" t="n">
        <v>0.332115833706074</v>
      </c>
      <c r="AI701" s="6" t="n">
        <v>2.75881341966471</v>
      </c>
      <c r="AJ701" s="6" t="n">
        <v>70.7212842328413</v>
      </c>
      <c r="AK701" s="6" t="n">
        <v>0.139898053424267</v>
      </c>
      <c r="AL701" s="6" t="n">
        <v>1.08182131978848</v>
      </c>
      <c r="AN701" s="6" t="n">
        <v>1.2821968565958</v>
      </c>
      <c r="AO701" s="6" t="n">
        <v>1.28282838426825</v>
      </c>
      <c r="AP701" s="6" t="n">
        <v>0.131063137320136</v>
      </c>
      <c r="AQ701" s="6" t="n">
        <v>0</v>
      </c>
      <c r="AR701" s="6" t="n">
        <v>0</v>
      </c>
    </row>
    <row r="702" customFormat="false" ht="15" hidden="false" customHeight="false" outlineLevel="0" collapsed="false">
      <c r="D702" s="0" t="s">
        <v>828</v>
      </c>
      <c r="J702" s="6" t="n">
        <v>0.218422150734813</v>
      </c>
      <c r="K702" s="6" t="n">
        <v>2.0078729933059</v>
      </c>
      <c r="L702" s="6" t="n">
        <v>-2.65255435808061</v>
      </c>
      <c r="M702" s="6" t="n">
        <v>3.38226833431661</v>
      </c>
      <c r="N702" s="6" t="n">
        <v>-0.582526244738076</v>
      </c>
      <c r="O702" s="6" t="n">
        <v>1.40274585557836</v>
      </c>
      <c r="P702" s="6" t="n">
        <v>-0.694100865873864</v>
      </c>
      <c r="Q702" s="6" t="n">
        <v>-0.834104193485534</v>
      </c>
      <c r="R702" s="6" t="n">
        <v>-5.13125353739203</v>
      </c>
      <c r="S702" s="6" t="n">
        <v>0.701002514300435</v>
      </c>
      <c r="T702" s="6" t="n">
        <v>1.89892511658077</v>
      </c>
      <c r="U702" s="6" t="n">
        <v>1.79412771967107</v>
      </c>
      <c r="V702" s="6" t="n">
        <v>3.99109465297817</v>
      </c>
      <c r="W702" s="6" t="n">
        <v>0.806718977815947</v>
      </c>
      <c r="X702" s="6" t="n">
        <v>1.12789112308305</v>
      </c>
      <c r="Y702" s="6" t="n">
        <v>2.02426380922265</v>
      </c>
      <c r="Z702" s="6" t="n">
        <v>-0.18302381485674</v>
      </c>
      <c r="AA702" s="6" t="n">
        <v>2.89294151851852</v>
      </c>
      <c r="AB702" s="6" t="n">
        <v>-0.678362655908592</v>
      </c>
      <c r="AC702" s="6" t="n">
        <v>-4.1356681668731</v>
      </c>
      <c r="AD702" s="6" t="n">
        <v>4.17316799851064</v>
      </c>
      <c r="AE702" s="6" t="n">
        <v>0.226574628076308</v>
      </c>
      <c r="AF702" s="6" t="n">
        <v>-1.34366303016637</v>
      </c>
      <c r="AG702" s="6" t="n">
        <v>-2.59911021551515</v>
      </c>
      <c r="AH702" s="6" t="n">
        <v>-1.24158080715001</v>
      </c>
      <c r="AI702" s="6" t="n">
        <v>1.03510296064561</v>
      </c>
      <c r="AJ702" s="6" t="n">
        <v>75.6446205074717</v>
      </c>
      <c r="AK702" s="6" t="n">
        <v>0.144438672802773</v>
      </c>
      <c r="AL702" s="6" t="n">
        <v>1.02120925205654</v>
      </c>
      <c r="AN702" s="6" t="n">
        <v>1.30869962515374</v>
      </c>
      <c r="AO702" s="6" t="n">
        <v>1.30920662949605</v>
      </c>
      <c r="AP702" s="6" t="n">
        <v>0.136773105511798</v>
      </c>
      <c r="AQ702" s="6" t="n">
        <v>0</v>
      </c>
      <c r="AR702" s="6" t="n">
        <v>0</v>
      </c>
    </row>
    <row r="703" customFormat="false" ht="15" hidden="false" customHeight="false" outlineLevel="0" collapsed="false">
      <c r="D703" s="0" t="s">
        <v>829</v>
      </c>
      <c r="J703" s="6" t="n">
        <v>0.620713320943675</v>
      </c>
      <c r="K703" s="6" t="n">
        <v>1.53153773460428</v>
      </c>
      <c r="L703" s="6" t="n">
        <v>-0.729546905573731</v>
      </c>
      <c r="M703" s="6" t="n">
        <v>2.21352923979221</v>
      </c>
      <c r="N703" s="6" t="n">
        <v>-1.52180956639424</v>
      </c>
      <c r="O703" s="6" t="n">
        <v>-3.77848779301976</v>
      </c>
      <c r="P703" s="6" t="n">
        <v>-1.22615697469731</v>
      </c>
      <c r="Q703" s="6" t="n">
        <v>-0.162412578769097</v>
      </c>
      <c r="R703" s="6" t="n">
        <v>2.22830561551833</v>
      </c>
      <c r="S703" s="6" t="n">
        <v>-1.5895891000841</v>
      </c>
      <c r="T703" s="6" t="n">
        <v>-0.946305964277381</v>
      </c>
      <c r="U703" s="6" t="n">
        <v>1.84949700032033</v>
      </c>
      <c r="V703" s="6" t="n">
        <v>-3.54363669915161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</v>
      </c>
      <c r="AA703" s="6" t="n">
        <v>-0.664977238706573</v>
      </c>
      <c r="AB703" s="6" t="n">
        <v>-1.68173614166668</v>
      </c>
      <c r="AC703" s="6" t="n">
        <v>0.358179655892861</v>
      </c>
      <c r="AD703" s="6" t="n">
        <v>-3.1044227440599</v>
      </c>
      <c r="AE703" s="6" t="n">
        <v>0.914432869163271</v>
      </c>
      <c r="AF703" s="6" t="n">
        <v>-1.12277831896488</v>
      </c>
      <c r="AG703" s="6" t="n">
        <v>0.363815389851149</v>
      </c>
      <c r="AH703" s="6" t="n">
        <v>1.43512739298933</v>
      </c>
      <c r="AI703" s="6" t="n">
        <v>-3.15968213686586</v>
      </c>
      <c r="AJ703" s="6" t="n">
        <v>66.0102168628117</v>
      </c>
      <c r="AK703" s="6" t="n">
        <v>0.115849135661207</v>
      </c>
      <c r="AL703" s="6" t="n">
        <v>1.05907805999907</v>
      </c>
      <c r="AN703" s="6" t="n">
        <v>1.28555684528255</v>
      </c>
      <c r="AO703" s="6" t="n">
        <v>1.28846910505647</v>
      </c>
      <c r="AP703" s="6" t="n">
        <v>0.132903127661691</v>
      </c>
      <c r="AQ703" s="6" t="n">
        <v>0</v>
      </c>
      <c r="AR703" s="6" t="n">
        <v>0</v>
      </c>
    </row>
    <row r="704" customFormat="false" ht="15" hidden="false" customHeight="false" outlineLevel="0" collapsed="false">
      <c r="D704" s="0" t="s">
        <v>830</v>
      </c>
      <c r="J704" s="6" t="n">
        <v>0.0726729215623275</v>
      </c>
      <c r="K704" s="6" t="n">
        <v>-2.06554558321439</v>
      </c>
      <c r="L704" s="6" t="n">
        <v>-2.7863528338731</v>
      </c>
      <c r="M704" s="6" t="n">
        <v>-3.03773792873463</v>
      </c>
      <c r="N704" s="6" t="n">
        <v>-1.10214539195289</v>
      </c>
      <c r="O704" s="6" t="n">
        <v>1.47625700788811</v>
      </c>
      <c r="P704" s="6" t="n">
        <v>-0.806583278512784</v>
      </c>
      <c r="Q704" s="6" t="n">
        <v>-0.82184981346012</v>
      </c>
      <c r="R704" s="6" t="n">
        <v>5</v>
      </c>
      <c r="S704" s="6" t="n">
        <v>-2.89909015185181</v>
      </c>
      <c r="T704" s="6" t="n">
        <v>0.362674353905443</v>
      </c>
      <c r="U704" s="6" t="n">
        <v>3.86558628430865</v>
      </c>
      <c r="V704" s="6" t="n">
        <v>1.94216510045132</v>
      </c>
      <c r="W704" s="6" t="n">
        <v>0.506470031795958</v>
      </c>
      <c r="X704" s="6" t="n">
        <v>-2.22928123847052</v>
      </c>
      <c r="Y704" s="6" t="n">
        <v>1.29851160080072</v>
      </c>
      <c r="Z704" s="6" t="n">
        <v>-3.91752299382052</v>
      </c>
      <c r="AA704" s="6" t="n">
        <v>-1.11003982739993</v>
      </c>
      <c r="AB704" s="6" t="n">
        <v>-1.6708691965791</v>
      </c>
      <c r="AC704" s="6" t="n">
        <v>0.123347933308864</v>
      </c>
      <c r="AD704" s="6" t="n">
        <v>-1.1892879605516</v>
      </c>
      <c r="AE704" s="6" t="n">
        <v>0.370305614656718</v>
      </c>
      <c r="AF704" s="6" t="n">
        <v>-0.501925530206314</v>
      </c>
      <c r="AG704" s="6" t="n">
        <v>-1.98933099144841</v>
      </c>
      <c r="AH704" s="6" t="n">
        <v>-0.0508150846429301</v>
      </c>
      <c r="AI704" s="6" t="n">
        <v>-1.70106211625894</v>
      </c>
      <c r="AJ704" s="6" t="n">
        <v>79.3134535166429</v>
      </c>
      <c r="AK704" s="6" t="n">
        <v>0.0766163360840181</v>
      </c>
      <c r="AL704" s="6" t="n">
        <v>1.06574067420562</v>
      </c>
      <c r="AN704" s="6" t="n">
        <v>1.2968626128946</v>
      </c>
      <c r="AO704" s="6" t="n">
        <v>1.29706194114747</v>
      </c>
      <c r="AP704" s="6" t="n">
        <v>0.134167568494427</v>
      </c>
      <c r="AQ704" s="6" t="n">
        <v>0</v>
      </c>
      <c r="AR704" s="6" t="n">
        <v>0</v>
      </c>
    </row>
    <row r="705" customFormat="false" ht="15" hidden="false" customHeight="false" outlineLevel="0" collapsed="false">
      <c r="D705" s="0" t="s">
        <v>831</v>
      </c>
      <c r="J705" s="6" t="n">
        <v>-2.40442503765273</v>
      </c>
      <c r="K705" s="6" t="n">
        <v>-0.396620050672528</v>
      </c>
      <c r="L705" s="6" t="n">
        <v>1.40462802583762</v>
      </c>
      <c r="M705" s="6" t="n">
        <v>-0.0271514376547739</v>
      </c>
      <c r="N705" s="6" t="n">
        <v>-1.14242536873786</v>
      </c>
      <c r="O705" s="6" t="n">
        <v>-2.78443852119975</v>
      </c>
      <c r="P705" s="6" t="n">
        <v>1.1952444980007</v>
      </c>
      <c r="Q705" s="6" t="n">
        <v>0.884725343712863</v>
      </c>
      <c r="R705" s="6" t="n">
        <v>-1.98940454566942</v>
      </c>
      <c r="S705" s="6" t="n">
        <v>-0.389110804699673</v>
      </c>
      <c r="T705" s="6" t="n">
        <v>-0.138472720181088</v>
      </c>
      <c r="U705" s="6" t="n">
        <v>0.204415203025213</v>
      </c>
      <c r="V705" s="6" t="n">
        <v>3.84769587755356</v>
      </c>
      <c r="W705" s="6" t="n">
        <v>-3.19921989578616</v>
      </c>
      <c r="X705" s="6" t="n">
        <v>0.0707954786650241</v>
      </c>
      <c r="Y705" s="6" t="n">
        <v>-1.40721150141206</v>
      </c>
      <c r="Z705" s="6" t="n">
        <v>-2.20220306516962</v>
      </c>
      <c r="AA705" s="6" t="n">
        <v>3.19593463453381</v>
      </c>
      <c r="AB705" s="6" t="n">
        <v>1.09041688217562</v>
      </c>
      <c r="AC705" s="6" t="n">
        <v>3.31701918136332</v>
      </c>
      <c r="AD705" s="6" t="n">
        <v>-0.165861589334721</v>
      </c>
      <c r="AE705" s="6" t="n">
        <v>-0.246776207030223</v>
      </c>
      <c r="AF705" s="6" t="n">
        <v>2.44753537516032</v>
      </c>
      <c r="AG705" s="6" t="n">
        <v>-0.473953162493799</v>
      </c>
      <c r="AH705" s="6" t="n">
        <v>-0.256511680299684</v>
      </c>
      <c r="AI705" s="6" t="n">
        <v>2.53393653982829</v>
      </c>
      <c r="AJ705" s="6" t="n">
        <v>78.7372588199518</v>
      </c>
      <c r="AK705" s="6" t="n">
        <v>0.0514551152510312</v>
      </c>
      <c r="AL705" s="6" t="n">
        <v>1.05074648013703</v>
      </c>
      <c r="AN705" s="6" t="n">
        <v>1.3100011037444</v>
      </c>
      <c r="AO705" s="6" t="n">
        <v>1.3108952263654</v>
      </c>
      <c r="AP705" s="6" t="n">
        <v>0.136546458695288</v>
      </c>
      <c r="AQ705" s="6" t="n">
        <v>0</v>
      </c>
      <c r="AR705" s="6" t="n">
        <v>0</v>
      </c>
    </row>
    <row r="706" customFormat="false" ht="15" hidden="false" customHeight="false" outlineLevel="0" collapsed="false">
      <c r="D706" s="0" t="s">
        <v>832</v>
      </c>
      <c r="J706" s="6" t="n">
        <v>-2.07942116024626</v>
      </c>
      <c r="K706" s="6" t="n">
        <v>-2.102521577187</v>
      </c>
      <c r="L706" s="6" t="n">
        <v>1.42769042074225</v>
      </c>
      <c r="M706" s="6" t="n">
        <v>-0.632249058003067</v>
      </c>
      <c r="N706" s="6" t="n">
        <v>2.13338443724532</v>
      </c>
      <c r="O706" s="6" t="n">
        <v>-0.068623040971069</v>
      </c>
      <c r="P706" s="6" t="n">
        <v>-2.5808705722287</v>
      </c>
      <c r="Q706" s="6" t="n">
        <v>-0.878268443047662</v>
      </c>
      <c r="R706" s="6" t="n">
        <v>4.48779624115498</v>
      </c>
      <c r="S706" s="6" t="n">
        <v>-0.836009755000946</v>
      </c>
      <c r="T706" s="6" t="n">
        <v>0.362826905501899</v>
      </c>
      <c r="U706" s="6" t="n">
        <v>-3.00796114191269</v>
      </c>
      <c r="V706" s="6" t="n">
        <v>0.561979347809401</v>
      </c>
      <c r="W706" s="6" t="n">
        <v>1.12604558223228</v>
      </c>
      <c r="X706" s="6" t="n">
        <v>-2.26079285969308</v>
      </c>
      <c r="Y706" s="6" t="n">
        <v>1.98497269356327</v>
      </c>
      <c r="Z706" s="6" t="n">
        <v>1.07484142618145</v>
      </c>
      <c r="AA706" s="6" t="n">
        <v>-1.5021401959562</v>
      </c>
      <c r="AB706" s="6" t="n">
        <v>-0.173511412159788</v>
      </c>
      <c r="AC706" s="6" t="n">
        <v>3.60062610073524</v>
      </c>
      <c r="AD706" s="6" t="n">
        <v>2.32879343519751</v>
      </c>
      <c r="AE706" s="6" t="n">
        <v>1.07981269693045</v>
      </c>
      <c r="AF706" s="6" t="n">
        <v>-0.208880173573412</v>
      </c>
      <c r="AG706" s="6" t="n">
        <v>-1.33124020290914</v>
      </c>
      <c r="AH706" s="6" t="n">
        <v>2.34070028105802</v>
      </c>
      <c r="AI706" s="6" t="n">
        <v>-0.776390286109442</v>
      </c>
      <c r="AJ706" s="6" t="n">
        <v>67.2838768204539</v>
      </c>
      <c r="AK706" s="6" t="n">
        <v>0.180371293200728</v>
      </c>
      <c r="AL706" s="6" t="n">
        <v>1.07808497636157</v>
      </c>
      <c r="AN706" s="6" t="n">
        <v>1.27800352495544</v>
      </c>
      <c r="AO706" s="6" t="n">
        <v>1.27825231144319</v>
      </c>
      <c r="AP706" s="6" t="n">
        <v>0.130291295420782</v>
      </c>
      <c r="AQ706" s="6" t="n">
        <v>0</v>
      </c>
      <c r="AR706" s="6" t="n">
        <v>0</v>
      </c>
    </row>
    <row r="707" customFormat="false" ht="15" hidden="false" customHeight="false" outlineLevel="0" collapsed="false">
      <c r="D707" s="0" t="s">
        <v>833</v>
      </c>
      <c r="J707" s="6" t="n">
        <v>-3.33382264331612</v>
      </c>
      <c r="K707" s="6" t="n">
        <v>-0.678212128876079</v>
      </c>
      <c r="L707" s="6" t="n">
        <v>0.867514716358527</v>
      </c>
      <c r="M707" s="6" t="n">
        <v>0.264383957336993</v>
      </c>
      <c r="N707" s="6" t="n">
        <v>-2.01629013885859</v>
      </c>
      <c r="O707" s="6" t="n">
        <v>0.226263487312183</v>
      </c>
      <c r="P707" s="6" t="n">
        <v>1.42307047127111</v>
      </c>
      <c r="Q707" s="6" t="n">
        <v>-0.751970212664042</v>
      </c>
      <c r="R707" s="6" t="n">
        <v>0.928872462705659</v>
      </c>
      <c r="S707" s="6" t="n">
        <v>-0.264991719596771</v>
      </c>
      <c r="T707" s="6" t="n">
        <v>-2.57893841323943</v>
      </c>
      <c r="U707" s="6" t="n">
        <v>1.71799500307211</v>
      </c>
      <c r="V707" s="6" t="n">
        <v>-0.305133054777628</v>
      </c>
      <c r="W707" s="6" t="n">
        <v>-4.21879944632671</v>
      </c>
      <c r="X707" s="6" t="n">
        <v>-4.22209142143457</v>
      </c>
      <c r="Y707" s="6" t="n">
        <v>1.68220715402708</v>
      </c>
      <c r="Z707" s="6" t="n">
        <v>-2.50896679347484</v>
      </c>
      <c r="AA707" s="6" t="n">
        <v>2.23071776126266</v>
      </c>
      <c r="AB707" s="6" t="n">
        <v>-3.41859070495266</v>
      </c>
      <c r="AC707" s="6" t="n">
        <v>-2.73851747558802</v>
      </c>
      <c r="AD707" s="6" t="n">
        <v>2.99786030620994</v>
      </c>
      <c r="AE707" s="6" t="n">
        <v>-2.53494514137059</v>
      </c>
      <c r="AF707" s="6" t="n">
        <v>1.30709562271102</v>
      </c>
      <c r="AG707" s="6" t="n">
        <v>1.5419278976991</v>
      </c>
      <c r="AH707" s="6" t="n">
        <v>2.73588713537194</v>
      </c>
      <c r="AI707" s="6" t="n">
        <v>-1.16352199673777</v>
      </c>
      <c r="AJ707" s="6" t="n">
        <v>74.4689180058425</v>
      </c>
      <c r="AK707" s="6" t="n">
        <v>0.145082028767324</v>
      </c>
      <c r="AL707" s="6" t="n">
        <v>1.05054005790272</v>
      </c>
      <c r="AN707" s="6" t="n">
        <v>1.29308297750118</v>
      </c>
      <c r="AO707" s="6" t="n">
        <v>1.29396438568698</v>
      </c>
      <c r="AP707" s="6" t="n">
        <v>0.133702944443488</v>
      </c>
      <c r="AQ707" s="6" t="n">
        <v>0</v>
      </c>
      <c r="AR707" s="6" t="n">
        <v>0</v>
      </c>
    </row>
    <row r="708" customFormat="false" ht="15" hidden="false" customHeight="false" outlineLevel="0" collapsed="false">
      <c r="D708" s="0" t="s">
        <v>834</v>
      </c>
      <c r="J708" s="6" t="n">
        <v>-1.22550099914667</v>
      </c>
      <c r="K708" s="6" t="n">
        <v>-0.679363138162629</v>
      </c>
      <c r="L708" s="6" t="n">
        <v>0.695560679354063</v>
      </c>
      <c r="M708" s="6" t="n">
        <v>0.576377146181936</v>
      </c>
      <c r="N708" s="6" t="n">
        <v>-2.63136245181841</v>
      </c>
      <c r="O708" s="6" t="n">
        <v>-0.161218702092543</v>
      </c>
      <c r="P708" s="6" t="n">
        <v>-0.745094060062833</v>
      </c>
      <c r="Q708" s="6" t="n">
        <v>-1.7262250460866</v>
      </c>
      <c r="R708" s="6" t="n">
        <v>-0.51266405185791</v>
      </c>
      <c r="S708" s="6" t="n">
        <v>-0.566629597104148</v>
      </c>
      <c r="T708" s="6" t="n">
        <v>1.9924813201636</v>
      </c>
      <c r="U708" s="6" t="n">
        <v>5</v>
      </c>
      <c r="V708" s="6" t="n">
        <v>-2.68453632397959</v>
      </c>
      <c r="W708" s="6" t="n">
        <v>-1.06389365086543</v>
      </c>
      <c r="X708" s="6" t="n">
        <v>3.72626390705403</v>
      </c>
      <c r="Y708" s="6" t="n">
        <v>-2.83580088985421</v>
      </c>
      <c r="Z708" s="6" t="n">
        <v>-4.08794467168372</v>
      </c>
      <c r="AA708" s="6" t="n">
        <v>1.518562664737</v>
      </c>
      <c r="AB708" s="6" t="n">
        <v>1.16928171855453</v>
      </c>
      <c r="AC708" s="6" t="n">
        <v>5</v>
      </c>
      <c r="AD708" s="6" t="n">
        <v>-0.393745465436308</v>
      </c>
      <c r="AE708" s="6" t="n">
        <v>-2.70431429471762</v>
      </c>
      <c r="AF708" s="6" t="n">
        <v>-0.0833767003438599</v>
      </c>
      <c r="AG708" s="6" t="n">
        <v>-1.18017877529336</v>
      </c>
      <c r="AH708" s="6" t="n">
        <v>0.780294213449391</v>
      </c>
      <c r="AI708" s="6" t="n">
        <v>-1.05409874990001</v>
      </c>
      <c r="AJ708" s="6" t="n">
        <v>60.2373964457814</v>
      </c>
      <c r="AK708" s="6" t="n">
        <v>0.0978946563161342</v>
      </c>
      <c r="AL708" s="6" t="n">
        <v>1.05393490988539</v>
      </c>
      <c r="AN708" s="6" t="n">
        <v>1.29219025934875</v>
      </c>
      <c r="AO708" s="6" t="n">
        <v>1.29237080083237</v>
      </c>
      <c r="AP708" s="6" t="n">
        <v>0.133161081817473</v>
      </c>
      <c r="AQ708" s="6" t="n">
        <v>0</v>
      </c>
      <c r="AR708" s="6" t="n">
        <v>0</v>
      </c>
    </row>
    <row r="709" customFormat="false" ht="15" hidden="false" customHeight="false" outlineLevel="0" collapsed="false">
      <c r="D709" s="0" t="s">
        <v>835</v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</v>
      </c>
      <c r="N709" s="6" t="n">
        <v>-0.469188205313462</v>
      </c>
      <c r="O709" s="6" t="n">
        <v>4.44706284013615</v>
      </c>
      <c r="P709" s="6" t="n">
        <v>0.0206865973162681</v>
      </c>
      <c r="Q709" s="6" t="n">
        <v>-1.69684505335095</v>
      </c>
      <c r="R709" s="6" t="n">
        <v>0.774712302346958</v>
      </c>
      <c r="S709" s="6" t="n">
        <v>3.76168331527135</v>
      </c>
      <c r="T709" s="6" t="n">
        <v>-1.40708473948795</v>
      </c>
      <c r="U709" s="6" t="n">
        <v>1.42089501108349</v>
      </c>
      <c r="V709" s="6" t="n">
        <v>1.13895066717846</v>
      </c>
      <c r="W709" s="6" t="n">
        <v>4.52572545675828</v>
      </c>
      <c r="X709" s="6" t="n">
        <v>-0.0711340107217958</v>
      </c>
      <c r="Y709" s="6" t="n">
        <v>-0.764053756887408</v>
      </c>
      <c r="Z709" s="6" t="n">
        <v>0.311162250685973</v>
      </c>
      <c r="AA709" s="6" t="n">
        <v>-2.98765022880816</v>
      </c>
      <c r="AB709" s="6" t="n">
        <v>-3.274524531462</v>
      </c>
      <c r="AC709" s="6" t="n">
        <v>-0.513082316608558</v>
      </c>
      <c r="AD709" s="6" t="n">
        <v>-1.62613089410746</v>
      </c>
      <c r="AE709" s="6" t="n">
        <v>0.718781995854598</v>
      </c>
      <c r="AF709" s="6" t="n">
        <v>1.95289595720148</v>
      </c>
      <c r="AG709" s="6" t="n">
        <v>3.32609464428331</v>
      </c>
      <c r="AH709" s="6" t="n">
        <v>1.9521163147586</v>
      </c>
      <c r="AI709" s="6" t="n">
        <v>-0.943123430883209</v>
      </c>
      <c r="AJ709" s="6" t="n">
        <v>64.491642765553</v>
      </c>
      <c r="AK709" s="6" t="n">
        <v>0.0747761201939333</v>
      </c>
      <c r="AL709" s="6" t="n">
        <v>1.05204399421697</v>
      </c>
      <c r="AN709" s="6" t="n">
        <v>1.29310542409544</v>
      </c>
      <c r="AO709" s="6" t="n">
        <v>1.29310542409544</v>
      </c>
      <c r="AP709" s="6" t="n">
        <v>0.134074669121239</v>
      </c>
      <c r="AQ709" s="6" t="n">
        <v>0</v>
      </c>
      <c r="AR709" s="6" t="n">
        <v>0</v>
      </c>
    </row>
    <row r="710" customFormat="false" ht="15" hidden="false" customHeight="false" outlineLevel="0" collapsed="false">
      <c r="D710" s="0" t="s">
        <v>836</v>
      </c>
      <c r="J710" s="6" t="n">
        <v>-3.73522401610336</v>
      </c>
      <c r="K710" s="6" t="n">
        <v>-1.11877714779566</v>
      </c>
      <c r="L710" s="6" t="n">
        <v>-3.08942699785709</v>
      </c>
      <c r="M710" s="6" t="n">
        <v>-0.58882937909623</v>
      </c>
      <c r="N710" s="6" t="n">
        <v>1.84249447197511</v>
      </c>
      <c r="O710" s="6" t="n">
        <v>3.54073936952019</v>
      </c>
      <c r="P710" s="6" t="n">
        <v>1.2611508904331</v>
      </c>
      <c r="Q710" s="6" t="n">
        <v>1.2300401875767</v>
      </c>
      <c r="R710" s="6" t="n">
        <v>-2.5778989865961</v>
      </c>
      <c r="S710" s="6" t="n">
        <v>1.72104799539194</v>
      </c>
      <c r="T710" s="6" t="n">
        <v>-0.399579733158249</v>
      </c>
      <c r="U710" s="6" t="n">
        <v>-0.431818206122954</v>
      </c>
      <c r="V710" s="6" t="n">
        <v>-0.585713671003845</v>
      </c>
      <c r="W710" s="6" t="n">
        <v>-2.69544897882577</v>
      </c>
      <c r="X710" s="6" t="n">
        <v>5</v>
      </c>
      <c r="Y710" s="6" t="n">
        <v>-2.02968624609912</v>
      </c>
      <c r="Z710" s="6" t="n">
        <v>3.95585602851919</v>
      </c>
      <c r="AA710" s="6" t="n">
        <v>4.03608886252578</v>
      </c>
      <c r="AB710" s="6" t="n">
        <v>-4.60802007698873</v>
      </c>
      <c r="AC710" s="6" t="n">
        <v>2.03210100709449</v>
      </c>
      <c r="AD710" s="6" t="n">
        <v>-0.198909449652419</v>
      </c>
      <c r="AE710" s="6" t="n">
        <v>-4.04799495888079</v>
      </c>
      <c r="AF710" s="6" t="n">
        <v>-2.56379384991391</v>
      </c>
      <c r="AG710" s="6" t="n">
        <v>-1.01498806522029</v>
      </c>
      <c r="AH710" s="6" t="n">
        <v>-1.62773870094361</v>
      </c>
      <c r="AI710" s="6" t="n">
        <v>-1.22552667538056</v>
      </c>
      <c r="AJ710" s="6" t="n">
        <v>69.4547733421422</v>
      </c>
      <c r="AK710" s="6" t="n">
        <v>0.136203527661214</v>
      </c>
      <c r="AL710" s="6" t="n">
        <v>1.07177453650895</v>
      </c>
      <c r="AN710" s="6" t="n">
        <v>1.28294468198948</v>
      </c>
      <c r="AO710" s="6" t="n">
        <v>1.28360091151068</v>
      </c>
      <c r="AP710" s="6" t="n">
        <v>0.132152987515383</v>
      </c>
      <c r="AQ710" s="6" t="n">
        <v>0</v>
      </c>
      <c r="AR710" s="6" t="n">
        <v>0</v>
      </c>
    </row>
    <row r="711" customFormat="false" ht="15" hidden="false" customHeight="false" outlineLevel="0" collapsed="false">
      <c r="D711" s="0" t="s">
        <v>837</v>
      </c>
      <c r="J711" s="6" t="n">
        <v>1.7011178964841</v>
      </c>
      <c r="K711" s="6" t="n">
        <v>0.880943094149189</v>
      </c>
      <c r="L711" s="6" t="n">
        <v>-1.41542521134599</v>
      </c>
      <c r="M711" s="6" t="n">
        <v>1.91184313589408</v>
      </c>
      <c r="N711" s="6" t="n">
        <v>-4.61427978745977</v>
      </c>
      <c r="O711" s="6" t="n">
        <v>1.2561270817864</v>
      </c>
      <c r="P711" s="6" t="n">
        <v>1.24089531973276</v>
      </c>
      <c r="Q711" s="6" t="n">
        <v>4.45030586718938</v>
      </c>
      <c r="R711" s="6" t="n">
        <v>-0.540493619916732</v>
      </c>
      <c r="S711" s="6" t="n">
        <v>0.0202393789096663</v>
      </c>
      <c r="T711" s="6" t="n">
        <v>1.40563443544279</v>
      </c>
      <c r="U711" s="6" t="n">
        <v>-2.01518572419046</v>
      </c>
      <c r="V711" s="6" t="n">
        <v>-2.06362338912269</v>
      </c>
      <c r="W711" s="6" t="n">
        <v>-2.63383346238514</v>
      </c>
      <c r="X711" s="6" t="n">
        <v>-2.75308507191118</v>
      </c>
      <c r="Y711" s="6" t="n">
        <v>-0.312253541934694</v>
      </c>
      <c r="Z711" s="6" t="n">
        <v>-0.498054111943317</v>
      </c>
      <c r="AA711" s="6" t="n">
        <v>-0.464062477922786</v>
      </c>
      <c r="AB711" s="6" t="n">
        <v>3.09858899215191</v>
      </c>
      <c r="AC711" s="6" t="n">
        <v>0.000682668544019611</v>
      </c>
      <c r="AD711" s="6" t="n">
        <v>2.28848198086256</v>
      </c>
      <c r="AE711" s="6" t="n">
        <v>0.985762284186003</v>
      </c>
      <c r="AF711" s="6" t="n">
        <v>-1.56195052117923</v>
      </c>
      <c r="AG711" s="6" t="n">
        <v>0.36018064570661</v>
      </c>
      <c r="AH711" s="6" t="n">
        <v>1.69047755086717</v>
      </c>
      <c r="AI711" s="6" t="n">
        <v>0.350252622186343</v>
      </c>
      <c r="AJ711" s="6" t="n">
        <v>61.3531651644501</v>
      </c>
      <c r="AK711" s="6" t="n">
        <v>0.105533571694497</v>
      </c>
      <c r="AL711" s="6" t="n">
        <v>1.06987584447951</v>
      </c>
      <c r="AN711" s="6" t="n">
        <v>1.28316199816747</v>
      </c>
      <c r="AO711" s="6" t="n">
        <v>1.28385811558658</v>
      </c>
      <c r="AP711" s="6" t="n">
        <v>0.132161300156049</v>
      </c>
      <c r="AQ711" s="6" t="n">
        <v>0</v>
      </c>
      <c r="AR711" s="6" t="n">
        <v>0</v>
      </c>
    </row>
    <row r="712" customFormat="false" ht="15" hidden="false" customHeight="false" outlineLevel="0" collapsed="false">
      <c r="D712" s="0" t="s">
        <v>838</v>
      </c>
      <c r="J712" s="6" t="n">
        <v>0.787880068034216</v>
      </c>
      <c r="K712" s="6" t="n">
        <v>1.8789120522223</v>
      </c>
      <c r="L712" s="6" t="n">
        <v>-0.906222972966733</v>
      </c>
      <c r="M712" s="6" t="n">
        <v>0.0755258617951398</v>
      </c>
      <c r="N712" s="6" t="n">
        <v>0.612939246746926</v>
      </c>
      <c r="O712" s="6" t="n">
        <v>1.88668973208537</v>
      </c>
      <c r="P712" s="6" t="n">
        <v>-1.58915571386918</v>
      </c>
      <c r="Q712" s="6" t="n">
        <v>-3.98093198859276</v>
      </c>
      <c r="R712" s="6" t="n">
        <v>-3.86533773253497</v>
      </c>
      <c r="S712" s="6" t="n">
        <v>-1.50645265792839</v>
      </c>
      <c r="T712" s="6" t="n">
        <v>-0.118895040033496</v>
      </c>
      <c r="U712" s="6" t="n">
        <v>-0.991088993701904</v>
      </c>
      <c r="V712" s="6" t="n">
        <v>1.23323685339017</v>
      </c>
      <c r="W712" s="6" t="n">
        <v>0.625787626731618</v>
      </c>
      <c r="X712" s="6" t="n">
        <v>-0.951313344927372</v>
      </c>
      <c r="Y712" s="6" t="n">
        <v>0.42917734326354</v>
      </c>
      <c r="Z712" s="6" t="n">
        <v>1.49458876250137</v>
      </c>
      <c r="AA712" s="6" t="n">
        <v>-1.17400914895924</v>
      </c>
      <c r="AB712" s="6" t="n">
        <v>0.565498271720412</v>
      </c>
      <c r="AC712" s="6" t="n">
        <v>-0.847329043510151</v>
      </c>
      <c r="AD712" s="6" t="n">
        <v>2.61791579865659</v>
      </c>
      <c r="AE712" s="6" t="n">
        <v>-0.319384499524053</v>
      </c>
      <c r="AF712" s="6" t="n">
        <v>-2.40610944678045</v>
      </c>
      <c r="AG712" s="6" t="n">
        <v>1.62973128746856</v>
      </c>
      <c r="AH712" s="6" t="n">
        <v>0.157917370978505</v>
      </c>
      <c r="AI712" s="6" t="n">
        <v>0.281586090321545</v>
      </c>
      <c r="AJ712" s="6" t="n">
        <v>77.8673321656226</v>
      </c>
      <c r="AK712" s="6" t="n">
        <v>0.187298926618719</v>
      </c>
      <c r="AL712" s="6" t="n">
        <v>1.06156990860574</v>
      </c>
      <c r="AN712" s="6" t="n">
        <v>1.2836623660448</v>
      </c>
      <c r="AO712" s="6" t="n">
        <v>1.28382673036239</v>
      </c>
      <c r="AP712" s="6" t="n">
        <v>0.131151817407758</v>
      </c>
      <c r="AQ712" s="6" t="n">
        <v>0</v>
      </c>
      <c r="AR712" s="6" t="n">
        <v>0</v>
      </c>
    </row>
    <row r="713" customFormat="false" ht="15" hidden="false" customHeight="false" outlineLevel="0" collapsed="false">
      <c r="D713" s="0" t="s">
        <v>839</v>
      </c>
      <c r="J713" s="6" t="n">
        <v>2.92669616735749</v>
      </c>
      <c r="K713" s="6" t="n">
        <v>0.327912604704202</v>
      </c>
      <c r="L713" s="6" t="n">
        <v>5</v>
      </c>
      <c r="M713" s="6" t="n">
        <v>-0.438089550913164</v>
      </c>
      <c r="N713" s="6" t="n">
        <v>0.041496210335858</v>
      </c>
      <c r="O713" s="6" t="n">
        <v>-2.54991533602041</v>
      </c>
      <c r="P713" s="6" t="n">
        <v>2.67264575778821</v>
      </c>
      <c r="Q713" s="6" t="n">
        <v>0.660008381479175</v>
      </c>
      <c r="R713" s="6" t="n">
        <v>2.24312868957898</v>
      </c>
      <c r="S713" s="6" t="n">
        <v>-1.32586681462642</v>
      </c>
      <c r="T713" s="6" t="n">
        <v>1.66729380392217</v>
      </c>
      <c r="U713" s="6" t="n">
        <v>3.65028054770978</v>
      </c>
      <c r="V713" s="6" t="n">
        <v>-0.621752337195922</v>
      </c>
      <c r="W713" s="6" t="n">
        <v>-2.03671059974349</v>
      </c>
      <c r="X713" s="6" t="n">
        <v>-2.58225399643529</v>
      </c>
      <c r="Y713" s="6" t="n">
        <v>4.1613370381658</v>
      </c>
      <c r="Z713" s="6" t="n">
        <v>2.56079142600337</v>
      </c>
      <c r="AA713" s="6" t="n">
        <v>-0.652128701782774</v>
      </c>
      <c r="AB713" s="6" t="n">
        <v>2.31725323049504</v>
      </c>
      <c r="AC713" s="6" t="n">
        <v>0.100671105468099</v>
      </c>
      <c r="AD713" s="6" t="n">
        <v>-0.128670669751511</v>
      </c>
      <c r="AE713" s="6" t="n">
        <v>-0.298785583538251</v>
      </c>
      <c r="AF713" s="6" t="n">
        <v>0.185014260714611</v>
      </c>
      <c r="AG713" s="6" t="n">
        <v>0.80719050551927</v>
      </c>
      <c r="AH713" s="6" t="n">
        <v>-0.25670456666423</v>
      </c>
      <c r="AI713" s="6" t="n">
        <v>-0.401924256697558</v>
      </c>
      <c r="AJ713" s="6" t="n">
        <v>64.8151127245023</v>
      </c>
      <c r="AK713" s="6" t="n">
        <v>0.114609485206963</v>
      </c>
      <c r="AL713" s="6" t="n">
        <v>1.06755847700969</v>
      </c>
      <c r="AN713" s="6" t="n">
        <v>1.28822616117136</v>
      </c>
      <c r="AO713" s="6" t="n">
        <v>1.28884846704777</v>
      </c>
      <c r="AP713" s="6" t="n">
        <v>0.132472172524067</v>
      </c>
      <c r="AQ713" s="6" t="n">
        <v>0</v>
      </c>
      <c r="AR713" s="6" t="n">
        <v>0</v>
      </c>
    </row>
    <row r="714" customFormat="false" ht="15" hidden="false" customHeight="false" outlineLevel="0" collapsed="false">
      <c r="D714" s="0" t="s">
        <v>840</v>
      </c>
      <c r="J714" s="6" t="n">
        <v>-0.384161270848793</v>
      </c>
      <c r="K714" s="6" t="n">
        <v>-1.43035157749396</v>
      </c>
      <c r="L714" s="6" t="n">
        <v>-1.12277024649243</v>
      </c>
      <c r="M714" s="6" t="n">
        <v>-0.477385571199314</v>
      </c>
      <c r="N714" s="6" t="n">
        <v>-2.08456370078927</v>
      </c>
      <c r="O714" s="6" t="n">
        <v>-0.618273273646853</v>
      </c>
      <c r="P714" s="6" t="n">
        <v>-1.83077868257226</v>
      </c>
      <c r="Q714" s="6" t="n">
        <v>3.20888773241</v>
      </c>
      <c r="R714" s="6" t="n">
        <v>1.3180580379038</v>
      </c>
      <c r="S714" s="6" t="n">
        <v>0.90923380196153</v>
      </c>
      <c r="T714" s="6" t="n">
        <v>0.921756922318311</v>
      </c>
      <c r="U714" s="6" t="n">
        <v>0.201574754830655</v>
      </c>
      <c r="V714" s="6" t="n">
        <v>-1.0680048209048</v>
      </c>
      <c r="W714" s="6" t="n">
        <v>0.723757878284342</v>
      </c>
      <c r="X714" s="6" t="n">
        <v>0.414707932585999</v>
      </c>
      <c r="Y714" s="6" t="n">
        <v>-0.242201570770804</v>
      </c>
      <c r="Z714" s="6" t="n">
        <v>-2.26603294666986</v>
      </c>
      <c r="AA714" s="6" t="n">
        <v>-4.73278563716207</v>
      </c>
      <c r="AB714" s="6" t="n">
        <v>0.493795465983421</v>
      </c>
      <c r="AC714" s="6" t="n">
        <v>1.01499686813758</v>
      </c>
      <c r="AD714" s="6" t="n">
        <v>1.76072658282497</v>
      </c>
      <c r="AE714" s="6" t="n">
        <v>1.26944777466454</v>
      </c>
      <c r="AF714" s="6" t="n">
        <v>1.66006883790185</v>
      </c>
      <c r="AG714" s="6" t="n">
        <v>4.74183087075995</v>
      </c>
      <c r="AH714" s="6" t="n">
        <v>-3.20246038100207</v>
      </c>
      <c r="AI714" s="6" t="n">
        <v>-2.9446382947809</v>
      </c>
      <c r="AJ714" s="6" t="n">
        <v>73.3463294366486</v>
      </c>
      <c r="AK714" s="6" t="n">
        <v>0.104643916686979</v>
      </c>
      <c r="AL714" s="6" t="n">
        <v>1.06852020168459</v>
      </c>
      <c r="AN714" s="6" t="n">
        <v>1.29247325474699</v>
      </c>
      <c r="AO714" s="6" t="n">
        <v>1.29270010190697</v>
      </c>
      <c r="AP714" s="6" t="n">
        <v>0.133302705751568</v>
      </c>
      <c r="AQ714" s="6" t="n">
        <v>0</v>
      </c>
      <c r="AR714" s="6" t="n">
        <v>0</v>
      </c>
    </row>
    <row r="715" customFormat="false" ht="15" hidden="false" customHeight="false" outlineLevel="0" collapsed="false">
      <c r="D715" s="0" t="s">
        <v>841</v>
      </c>
      <c r="J715" s="6" t="n">
        <v>-0.208884746086512</v>
      </c>
      <c r="K715" s="6" t="n">
        <v>1.0083634628339</v>
      </c>
      <c r="L715" s="6" t="n">
        <v>-0.15025438056245</v>
      </c>
      <c r="M715" s="6" t="n">
        <v>1.58116316630367</v>
      </c>
      <c r="N715" s="6" t="n">
        <v>0.111248827528251</v>
      </c>
      <c r="O715" s="6" t="n">
        <v>-0.191137526000809</v>
      </c>
      <c r="P715" s="6" t="n">
        <v>2.80642179091827</v>
      </c>
      <c r="Q715" s="6" t="n">
        <v>0.258305438882827</v>
      </c>
      <c r="R715" s="6" t="n">
        <v>-1.13346655366867</v>
      </c>
      <c r="S715" s="6" t="n">
        <v>1.73930457203184</v>
      </c>
      <c r="T715" s="6" t="n">
        <v>-2.53342315415874</v>
      </c>
      <c r="U715" s="6" t="n">
        <v>1.39873025759263</v>
      </c>
      <c r="V715" s="6" t="n">
        <v>-2.37349498033932</v>
      </c>
      <c r="W715" s="6" t="n">
        <v>-3.0331047033192</v>
      </c>
      <c r="X715" s="6" t="n">
        <v>1.17262869600309</v>
      </c>
      <c r="Y715" s="6" t="n">
        <v>-1.04310218918591</v>
      </c>
      <c r="Z715" s="6" t="n">
        <v>-1.05107111548528</v>
      </c>
      <c r="AA715" s="6" t="n">
        <v>0.956752944472787</v>
      </c>
      <c r="AB715" s="6" t="n">
        <v>-0.573279298867351</v>
      </c>
      <c r="AC715" s="6" t="n">
        <v>1.86109621870543</v>
      </c>
      <c r="AD715" s="6" t="n">
        <v>-1.19566021516546</v>
      </c>
      <c r="AE715" s="6" t="n">
        <v>0.355342810862984</v>
      </c>
      <c r="AF715" s="6" t="n">
        <v>-1.95236989249737</v>
      </c>
      <c r="AG715" s="6" t="n">
        <v>4.39502051043965</v>
      </c>
      <c r="AH715" s="6" t="n">
        <v>-0.0647720047904579</v>
      </c>
      <c r="AI715" s="6" t="n">
        <v>0.510374988002781</v>
      </c>
      <c r="AJ715" s="6" t="n">
        <v>74.526851658767</v>
      </c>
      <c r="AK715" s="6" t="n">
        <v>0.143907948878147</v>
      </c>
      <c r="AL715" s="6" t="n">
        <v>1.03663494946588</v>
      </c>
      <c r="AN715" s="6" t="n">
        <v>1.29998718380428</v>
      </c>
      <c r="AO715" s="6" t="n">
        <v>1.30106183531722</v>
      </c>
      <c r="AP715" s="6" t="n">
        <v>0.135069147807042</v>
      </c>
      <c r="AQ715" s="6" t="n">
        <v>0</v>
      </c>
      <c r="AR715" s="6" t="n">
        <v>0</v>
      </c>
    </row>
    <row r="716" customFormat="false" ht="15" hidden="false" customHeight="false" outlineLevel="0" collapsed="false">
      <c r="D716" s="0" t="s">
        <v>842</v>
      </c>
      <c r="J716" s="6" t="n">
        <v>-0.602290961607829</v>
      </c>
      <c r="K716" s="6" t="n">
        <v>-0.521599344780084</v>
      </c>
      <c r="L716" s="6" t="n">
        <v>-0.486730875498063</v>
      </c>
      <c r="M716" s="6" t="n">
        <v>0.929247658191639</v>
      </c>
      <c r="N716" s="6" t="n">
        <v>-3.54230153762646</v>
      </c>
      <c r="O716" s="6" t="n">
        <v>1.50494838201917</v>
      </c>
      <c r="P716" s="6" t="n">
        <v>3.46351881168968</v>
      </c>
      <c r="Q716" s="6" t="n">
        <v>0.224061817254711</v>
      </c>
      <c r="R716" s="6" t="n">
        <v>1.21472002685661</v>
      </c>
      <c r="S716" s="6" t="n">
        <v>-3.58761706912184</v>
      </c>
      <c r="T716" s="6" t="n">
        <v>-0.12406312627994</v>
      </c>
      <c r="U716" s="6" t="n">
        <v>-0.784169791355441</v>
      </c>
      <c r="V716" s="6" t="n">
        <v>-0.329650208099109</v>
      </c>
      <c r="W716" s="6" t="n">
        <v>0.289653516451784</v>
      </c>
      <c r="X716" s="6" t="n">
        <v>-0.529008434572126</v>
      </c>
      <c r="Y716" s="6" t="n">
        <v>-2.82220837489765</v>
      </c>
      <c r="Z716" s="6" t="n">
        <v>3.06450825612324</v>
      </c>
      <c r="AA716" s="6" t="n">
        <v>2.25106293067018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</v>
      </c>
      <c r="AF716" s="6" t="n">
        <v>0.648365548129733</v>
      </c>
      <c r="AG716" s="6" t="n">
        <v>2.81513207280657</v>
      </c>
      <c r="AH716" s="6" t="n">
        <v>-0.70866659847232</v>
      </c>
      <c r="AI716" s="6" t="n">
        <v>0.199761866012066</v>
      </c>
      <c r="AJ716" s="6" t="n">
        <v>68.1241866573152</v>
      </c>
      <c r="AK716" s="6" t="n">
        <v>0.143447573763717</v>
      </c>
      <c r="AL716" s="6" t="n">
        <v>1.11627905515094</v>
      </c>
      <c r="AN716" s="6" t="n">
        <v>1.26677884275091</v>
      </c>
      <c r="AO716" s="6" t="n">
        <v>1.26814031117631</v>
      </c>
      <c r="AP716" s="6" t="n">
        <v>0.129369562014296</v>
      </c>
      <c r="AQ716" s="6" t="n">
        <v>0</v>
      </c>
      <c r="AR716" s="6" t="n">
        <v>0</v>
      </c>
    </row>
    <row r="717" customFormat="false" ht="15" hidden="false" customHeight="false" outlineLevel="0" collapsed="false">
      <c r="D717" s="0" t="s">
        <v>843</v>
      </c>
      <c r="J717" s="6" t="n">
        <v>2.82124630754247</v>
      </c>
      <c r="K717" s="6" t="n">
        <v>-0.606038032069442</v>
      </c>
      <c r="L717" s="6" t="n">
        <v>1.67946110925528</v>
      </c>
      <c r="M717" s="6" t="n">
        <v>3.78304914882948</v>
      </c>
      <c r="N717" s="6" t="n">
        <v>0.380697957806693</v>
      </c>
      <c r="O717" s="6" t="n">
        <v>-0.460100793947342</v>
      </c>
      <c r="P717" s="6" t="n">
        <v>1.46820631049093</v>
      </c>
      <c r="Q717" s="6" t="n">
        <v>-1.6525563752519</v>
      </c>
      <c r="R717" s="6" t="n">
        <v>2.22155951667603</v>
      </c>
      <c r="S717" s="6" t="n">
        <v>-3.47236804934649</v>
      </c>
      <c r="T717" s="6" t="n">
        <v>-0.464064435088544</v>
      </c>
      <c r="U717" s="6" t="n">
        <v>-0.996166106171884</v>
      </c>
      <c r="V717" s="6" t="n">
        <v>0.0483001282221433</v>
      </c>
      <c r="W717" s="6" t="n">
        <v>3.0155210502406</v>
      </c>
      <c r="X717" s="6" t="n">
        <v>0.430704577233365</v>
      </c>
      <c r="Y717" s="6" t="n">
        <v>1.01052324601542</v>
      </c>
      <c r="Z717" s="6" t="n">
        <v>3.97254688008662</v>
      </c>
      <c r="AA717" s="6" t="n">
        <v>-2.09573130948741</v>
      </c>
      <c r="AB717" s="6" t="n">
        <v>1.4301819443869</v>
      </c>
      <c r="AC717" s="6" t="n">
        <v>-0.732096480512626</v>
      </c>
      <c r="AD717" s="6" t="n">
        <v>-0.574128184131635</v>
      </c>
      <c r="AE717" s="6" t="n">
        <v>0.979859658942511</v>
      </c>
      <c r="AF717" s="6" t="n">
        <v>3.24196009777993</v>
      </c>
      <c r="AG717" s="6" t="n">
        <v>0.0586888937114254</v>
      </c>
      <c r="AH717" s="6" t="n">
        <v>-5.03524315010895</v>
      </c>
      <c r="AI717" s="6" t="n">
        <v>2.60237170671283</v>
      </c>
      <c r="AJ717" s="6" t="n">
        <v>81.430735239463</v>
      </c>
      <c r="AK717" s="6" t="n">
        <v>0.13135647443732</v>
      </c>
      <c r="AL717" s="6" t="n">
        <v>1.07715884309178</v>
      </c>
      <c r="AN717" s="6" t="n">
        <v>1.28662951633281</v>
      </c>
      <c r="AO717" s="6" t="n">
        <v>1.28756068413134</v>
      </c>
      <c r="AP717" s="6" t="n">
        <v>0.132035184366858</v>
      </c>
      <c r="AQ717" s="6" t="n">
        <v>0</v>
      </c>
      <c r="AR717" s="6" t="n">
        <v>0</v>
      </c>
    </row>
    <row r="718" customFormat="false" ht="15" hidden="false" customHeight="false" outlineLevel="0" collapsed="false">
      <c r="D718" s="0" t="s">
        <v>844</v>
      </c>
      <c r="J718" s="6" t="n">
        <v>3.21655771259301</v>
      </c>
      <c r="K718" s="6" t="n">
        <v>1.48054710955008</v>
      </c>
      <c r="L718" s="6" t="n">
        <v>-1.63556407513819</v>
      </c>
      <c r="M718" s="6" t="n">
        <v>0.34195074737698</v>
      </c>
      <c r="N718" s="6" t="n">
        <v>0.187033290756844</v>
      </c>
      <c r="O718" s="6" t="n">
        <v>2.3416927769314</v>
      </c>
      <c r="P718" s="6" t="n">
        <v>-0.0330788645358638</v>
      </c>
      <c r="Q718" s="6" t="n">
        <v>2.27699011474389</v>
      </c>
      <c r="R718" s="6" t="n">
        <v>0.945673828136815</v>
      </c>
      <c r="S718" s="6" t="n">
        <v>5</v>
      </c>
      <c r="T718" s="6" t="n">
        <v>-1.26962431222526</v>
      </c>
      <c r="U718" s="6" t="n">
        <v>1.52969898625452</v>
      </c>
      <c r="V718" s="6" t="n">
        <v>-1.37377311830238</v>
      </c>
      <c r="W718" s="6" t="n">
        <v>0.215374853933251</v>
      </c>
      <c r="X718" s="6" t="n">
        <v>0.996962488083035</v>
      </c>
      <c r="Y718" s="6" t="n">
        <v>3.14354976459107</v>
      </c>
      <c r="Z718" s="6" t="n">
        <v>-0.266307288646475</v>
      </c>
      <c r="AA718" s="6" t="n">
        <v>-1.29716667154846</v>
      </c>
      <c r="AB718" s="6" t="n">
        <v>0.464142686942899</v>
      </c>
      <c r="AC718" s="6" t="n">
        <v>0.167942609585722</v>
      </c>
      <c r="AD718" s="6" t="n">
        <v>1.54957019424163</v>
      </c>
      <c r="AE718" s="6" t="n">
        <v>-1.96981827363816</v>
      </c>
      <c r="AF718" s="6" t="n">
        <v>0.121155973147178</v>
      </c>
      <c r="AG718" s="6" t="n">
        <v>-3.33976361633077</v>
      </c>
      <c r="AH718" s="6" t="n">
        <v>2.30152417394286</v>
      </c>
      <c r="AI718" s="6" t="n">
        <v>1.23611753865902</v>
      </c>
      <c r="AJ718" s="6" t="n">
        <v>66.7485584789611</v>
      </c>
      <c r="AK718" s="6" t="n">
        <v>0.14981040841502</v>
      </c>
      <c r="AL718" s="6" t="n">
        <v>1.08078570903243</v>
      </c>
      <c r="AN718" s="6" t="n">
        <v>1.27610695399795</v>
      </c>
      <c r="AO718" s="6" t="n">
        <v>1.27666077976774</v>
      </c>
      <c r="AP718" s="6" t="n">
        <v>0.130853221876186</v>
      </c>
      <c r="AQ718" s="6" t="n">
        <v>0</v>
      </c>
      <c r="AR718" s="6" t="n">
        <v>0</v>
      </c>
    </row>
    <row r="719" customFormat="false" ht="15" hidden="false" customHeight="false" outlineLevel="0" collapsed="false">
      <c r="D719" s="0" t="s">
        <v>845</v>
      </c>
      <c r="J719" s="6" t="n">
        <v>-0.67848409538931</v>
      </c>
      <c r="K719" s="6" t="n">
        <v>0.106633129448276</v>
      </c>
      <c r="L719" s="6" t="n">
        <v>0.110821259070817</v>
      </c>
      <c r="M719" s="6" t="n">
        <v>-2.52429594646609</v>
      </c>
      <c r="N719" s="6" t="n">
        <v>-3.44744031904443</v>
      </c>
      <c r="O719" s="6" t="n">
        <v>-1.04017429423395</v>
      </c>
      <c r="P719" s="6" t="n">
        <v>-1.10148645572071</v>
      </c>
      <c r="Q719" s="6" t="n">
        <v>-1.60080053290795</v>
      </c>
      <c r="R719" s="6" t="n">
        <v>3.74986034847209</v>
      </c>
      <c r="S719" s="6" t="n">
        <v>-1.32209534962645</v>
      </c>
      <c r="T719" s="6" t="n">
        <v>3.24354160537139</v>
      </c>
      <c r="U719" s="6" t="n">
        <v>-0.364550598708403</v>
      </c>
      <c r="V719" s="6" t="n">
        <v>0.0123010592342553</v>
      </c>
      <c r="W719" s="6" t="n">
        <v>0.757423506240864</v>
      </c>
      <c r="X719" s="6" t="n">
        <v>0.95692936121662</v>
      </c>
      <c r="Y719" s="6" t="n">
        <v>2.12754726512522</v>
      </c>
      <c r="Z719" s="6" t="n">
        <v>-3.5305777258739</v>
      </c>
      <c r="AA719" s="6" t="n">
        <v>3.00331087523884</v>
      </c>
      <c r="AB719" s="6" t="n">
        <v>2.0817759629812</v>
      </c>
      <c r="AC719" s="6" t="n">
        <v>2.43667913374959</v>
      </c>
      <c r="AD719" s="6" t="n">
        <v>-3.93694777788184</v>
      </c>
      <c r="AE719" s="6" t="n">
        <v>-1.95757188706776</v>
      </c>
      <c r="AF719" s="6" t="n">
        <v>2.7167786830402</v>
      </c>
      <c r="AG719" s="6" t="n">
        <v>0.940643473168563</v>
      </c>
      <c r="AH719" s="6" t="n">
        <v>-0.280229142901203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1.05541775614549</v>
      </c>
      <c r="AN719" s="6" t="n">
        <v>1.30482499742846</v>
      </c>
      <c r="AO719" s="6" t="n">
        <v>1.30495852203276</v>
      </c>
      <c r="AP719" s="6" t="n">
        <v>0.135102862982894</v>
      </c>
      <c r="AQ719" s="6" t="n">
        <v>0</v>
      </c>
      <c r="AR719" s="6" t="n">
        <v>0</v>
      </c>
    </row>
    <row r="720" customFormat="false" ht="15" hidden="false" customHeight="false" outlineLevel="0" collapsed="false">
      <c r="D720" s="0" t="s">
        <v>846</v>
      </c>
      <c r="J720" s="6" t="n">
        <v>-0.916744786418983</v>
      </c>
      <c r="K720" s="6" t="n">
        <v>2.51142836175033</v>
      </c>
      <c r="L720" s="6" t="n">
        <v>1.24421377803436</v>
      </c>
      <c r="M720" s="6" t="n">
        <v>-1.42903164109516</v>
      </c>
      <c r="N720" s="6" t="n">
        <v>2.2693596928589</v>
      </c>
      <c r="O720" s="6" t="n">
        <v>-1.46681391240173</v>
      </c>
      <c r="P720" s="6" t="n">
        <v>0.0118185734128466</v>
      </c>
      <c r="Q720" s="6" t="n">
        <v>-1.02533880347813</v>
      </c>
      <c r="R720" s="6" t="n">
        <v>-1.62415185538742</v>
      </c>
      <c r="S720" s="6" t="n">
        <v>4.60913420786283</v>
      </c>
      <c r="T720" s="6" t="n">
        <v>1.71409414308135</v>
      </c>
      <c r="U720" s="6" t="n">
        <v>1.64000365483261</v>
      </c>
      <c r="V720" s="6" t="n">
        <v>-1.41292743597349</v>
      </c>
      <c r="W720" s="6" t="n">
        <v>0.406044793191807</v>
      </c>
      <c r="X720" s="6" t="n">
        <v>-1.95945937628348</v>
      </c>
      <c r="Y720" s="6" t="n">
        <v>2.95851044841188</v>
      </c>
      <c r="Z720" s="6" t="n">
        <v>0.0887353088397382</v>
      </c>
      <c r="AA720" s="6" t="n">
        <v>-0.244282953317038</v>
      </c>
      <c r="AB720" s="6" t="n">
        <v>-0.416507989836341</v>
      </c>
      <c r="AC720" s="6" t="n">
        <v>0.25942927481279</v>
      </c>
      <c r="AD720" s="6" t="n">
        <v>-0.769742770049166</v>
      </c>
      <c r="AE720" s="6" t="n">
        <v>-3.57291879535458</v>
      </c>
      <c r="AF720" s="6" t="n">
        <v>1.7513810568441</v>
      </c>
      <c r="AG720" s="6" t="n">
        <v>-0.583930227875159</v>
      </c>
      <c r="AH720" s="6" t="n">
        <v>1.11310010629846</v>
      </c>
      <c r="AI720" s="6" t="n">
        <v>1.24649946961417</v>
      </c>
      <c r="AJ720" s="6" t="n">
        <v>64.9153529438857</v>
      </c>
      <c r="AK720" s="6" t="n">
        <v>0.180931601851044</v>
      </c>
      <c r="AL720" s="6" t="n">
        <v>1.0688912268388</v>
      </c>
      <c r="AN720" s="6" t="n">
        <v>1.28080053235192</v>
      </c>
      <c r="AO720" s="6" t="n">
        <v>1.28099718179648</v>
      </c>
      <c r="AP720" s="6" t="n">
        <v>0.130567668588547</v>
      </c>
      <c r="AQ720" s="6" t="n">
        <v>0</v>
      </c>
      <c r="AR720" s="6" t="n">
        <v>0</v>
      </c>
    </row>
    <row r="721" customFormat="false" ht="15" hidden="false" customHeight="false" outlineLevel="0" collapsed="false">
      <c r="D721" s="0" t="s">
        <v>847</v>
      </c>
      <c r="J721" s="6" t="n">
        <v>-6.83405781749997</v>
      </c>
      <c r="K721" s="6" t="n">
        <v>1.21222138243006</v>
      </c>
      <c r="L721" s="6" t="n">
        <v>-0.801006690601137</v>
      </c>
      <c r="M721" s="6" t="n">
        <v>-1.58861766730734</v>
      </c>
      <c r="N721" s="6" t="n">
        <v>-0.686452442791685</v>
      </c>
      <c r="O721" s="6" t="n">
        <v>2.79568524928672</v>
      </c>
      <c r="P721" s="6" t="n">
        <v>2.81530927985569</v>
      </c>
      <c r="Q721" s="6" t="n">
        <v>1.47683171063594</v>
      </c>
      <c r="R721" s="6" t="n">
        <v>-0.00420139215163524</v>
      </c>
      <c r="S721" s="6" t="n">
        <v>0.863712298873508</v>
      </c>
      <c r="T721" s="6" t="n">
        <v>-0.971801583027181</v>
      </c>
      <c r="U721" s="6" t="n">
        <v>0.82092305865474</v>
      </c>
      <c r="V721" s="6" t="n">
        <v>2.24573988301797</v>
      </c>
      <c r="W721" s="6" t="n">
        <v>3.57181778822963</v>
      </c>
      <c r="X721" s="6" t="n">
        <v>-2.15768044488801</v>
      </c>
      <c r="Y721" s="6" t="n">
        <v>0.689457682202496</v>
      </c>
      <c r="Z721" s="6" t="n">
        <v>-1.84370881290078</v>
      </c>
      <c r="AA721" s="6" t="n">
        <v>-2.63706779306582</v>
      </c>
      <c r="AB721" s="6" t="n">
        <v>1.82018066685611</v>
      </c>
      <c r="AC721" s="6" t="n">
        <v>-0.397469616471792</v>
      </c>
      <c r="AD721" s="6" t="n">
        <v>1.55309961312136</v>
      </c>
      <c r="AE721" s="6" t="n">
        <v>2.28965841657416</v>
      </c>
      <c r="AF721" s="6" t="n">
        <v>-4.14008074639926</v>
      </c>
      <c r="AG721" s="6" t="n">
        <v>0.385603891821614</v>
      </c>
      <c r="AH721" s="6" t="n">
        <v>-2.6970211893183</v>
      </c>
      <c r="AI721" s="6" t="n">
        <v>-0.180190307635959</v>
      </c>
      <c r="AJ721" s="6" t="n">
        <v>78.0198050376312</v>
      </c>
      <c r="AK721" s="6" t="n">
        <v>0.0976664988264592</v>
      </c>
      <c r="AL721" s="6" t="n">
        <v>1.0597659270607</v>
      </c>
      <c r="AN721" s="6" t="n">
        <v>1.25828743224212</v>
      </c>
      <c r="AO721" s="6" t="n">
        <v>1.25828743224212</v>
      </c>
      <c r="AP721" s="6" t="n">
        <v>0.133462060921711</v>
      </c>
      <c r="AQ721" s="6" t="n">
        <v>0</v>
      </c>
      <c r="AR721" s="6" t="n">
        <v>0</v>
      </c>
    </row>
    <row r="722" customFormat="false" ht="15" hidden="false" customHeight="false" outlineLevel="0" collapsed="false">
      <c r="D722" s="0" t="s">
        <v>848</v>
      </c>
      <c r="J722" s="6" t="n">
        <v>0.175066680134535</v>
      </c>
      <c r="K722" s="6" t="n">
        <v>2.43077062670891</v>
      </c>
      <c r="L722" s="6" t="n">
        <v>-1.20897166490679</v>
      </c>
      <c r="M722" s="6" t="n">
        <v>3.46565007347536</v>
      </c>
      <c r="N722" s="6" t="n">
        <v>-1.65908582449708</v>
      </c>
      <c r="O722" s="6" t="n">
        <v>2.81212012907502</v>
      </c>
      <c r="P722" s="6" t="n">
        <v>1.17227521701978</v>
      </c>
      <c r="Q722" s="6" t="n">
        <v>0.329579025889374</v>
      </c>
      <c r="R722" s="6" t="n">
        <v>0.710213256143543</v>
      </c>
      <c r="S722" s="6" t="n">
        <v>-0.553590530945322</v>
      </c>
      <c r="T722" s="6" t="n">
        <v>-0.688739635006199</v>
      </c>
      <c r="U722" s="6" t="n">
        <v>1.46383798548182</v>
      </c>
      <c r="V722" s="6" t="n">
        <v>2.16133213146855</v>
      </c>
      <c r="W722" s="6" t="n">
        <v>-0.890349504693612</v>
      </c>
      <c r="X722" s="6" t="n">
        <v>1.43332217615328</v>
      </c>
      <c r="Y722" s="6" t="n">
        <v>3.58312369056197</v>
      </c>
      <c r="Z722" s="6" t="n">
        <v>-1.18427801163062</v>
      </c>
      <c r="AA722" s="6" t="n">
        <v>1.09072272673436</v>
      </c>
      <c r="AB722" s="6" t="n">
        <v>-0.144742973368714</v>
      </c>
      <c r="AC722" s="6" t="n">
        <v>0.850391841370495</v>
      </c>
      <c r="AD722" s="6" t="n">
        <v>1.67039859496442</v>
      </c>
      <c r="AE722" s="6" t="n">
        <v>0.371093426695162</v>
      </c>
      <c r="AF722" s="6" t="n">
        <v>-3.60495207858552</v>
      </c>
      <c r="AG722" s="6" t="n">
        <v>3.86637095797942</v>
      </c>
      <c r="AH722" s="6" t="n">
        <v>0.941286281386616</v>
      </c>
      <c r="AI722" s="6" t="n">
        <v>-0.883443651893891</v>
      </c>
      <c r="AJ722" s="6" t="n">
        <v>81.5965183872286</v>
      </c>
      <c r="AK722" s="6" t="n">
        <v>0.105458883904342</v>
      </c>
      <c r="AL722" s="6" t="n">
        <v>1.02006286201985</v>
      </c>
      <c r="AN722" s="6" t="n">
        <v>1.31612657778139</v>
      </c>
      <c r="AO722" s="6" t="n">
        <v>1.31612657778139</v>
      </c>
      <c r="AP722" s="6" t="n">
        <v>0.138955471171006</v>
      </c>
      <c r="AQ722" s="6" t="n">
        <v>0</v>
      </c>
      <c r="AR722" s="6" t="n">
        <v>0</v>
      </c>
    </row>
    <row r="723" customFormat="false" ht="15" hidden="false" customHeight="false" outlineLevel="0" collapsed="false">
      <c r="D723" s="0" t="s">
        <v>849</v>
      </c>
      <c r="J723" s="6" t="n">
        <v>3.54025431727196</v>
      </c>
      <c r="K723" s="6" t="n">
        <v>-2.71079356881625</v>
      </c>
      <c r="L723" s="6" t="n">
        <v>-1.18219657279282</v>
      </c>
      <c r="M723" s="6" t="n">
        <v>0.782434396748069</v>
      </c>
      <c r="N723" s="6" t="n">
        <v>-1.7061780711461</v>
      </c>
      <c r="O723" s="6" t="n">
        <v>0.756072775393237</v>
      </c>
      <c r="P723" s="6" t="n">
        <v>1.22551609044289</v>
      </c>
      <c r="Q723" s="6" t="n">
        <v>-4.24338068246592</v>
      </c>
      <c r="R723" s="6" t="n">
        <v>-1.15982709127804</v>
      </c>
      <c r="S723" s="6" t="n">
        <v>-3.18351760923515</v>
      </c>
      <c r="T723" s="6" t="n">
        <v>1.52940275428945</v>
      </c>
      <c r="U723" s="6" t="n">
        <v>1.69244753903165</v>
      </c>
      <c r="V723" s="6" t="n">
        <v>0.8307257054582</v>
      </c>
      <c r="W723" s="6" t="n">
        <v>-0.839111320677308</v>
      </c>
      <c r="X723" s="6" t="n">
        <v>-1.39961518762169</v>
      </c>
      <c r="Y723" s="6" t="n">
        <v>-3.33065786047191</v>
      </c>
      <c r="Z723" s="6" t="n">
        <v>0.627969412930199</v>
      </c>
      <c r="AA723" s="6" t="n">
        <v>2.42500375184613</v>
      </c>
      <c r="AB723" s="6" t="n">
        <v>4.00715071231988</v>
      </c>
      <c r="AC723" s="6" t="n">
        <v>0.692217883533444</v>
      </c>
      <c r="AD723" s="6" t="n">
        <v>-0.807091635765766</v>
      </c>
      <c r="AE723" s="6" t="n">
        <v>-2.77610773090581</v>
      </c>
      <c r="AF723" s="6" t="n">
        <v>0.97049112890037</v>
      </c>
      <c r="AG723" s="6" t="n">
        <v>0.583356781565794</v>
      </c>
      <c r="AH723" s="6" t="n">
        <v>2.41977400347938</v>
      </c>
      <c r="AI723" s="6" t="n">
        <v>-3.19031265904738</v>
      </c>
      <c r="AJ723" s="6" t="n">
        <v>66.8112250591228</v>
      </c>
      <c r="AK723" s="6" t="n">
        <v>0.130087184573926</v>
      </c>
      <c r="AL723" s="6" t="n">
        <v>1.07218914834933</v>
      </c>
      <c r="AN723" s="6" t="n">
        <v>1.28243776582375</v>
      </c>
      <c r="AO723" s="6" t="n">
        <v>1.28332860411176</v>
      </c>
      <c r="AP723" s="6" t="n">
        <v>0.131316963560179</v>
      </c>
      <c r="AQ723" s="6" t="n">
        <v>0</v>
      </c>
      <c r="AR723" s="6" t="n">
        <v>0</v>
      </c>
    </row>
    <row r="724" customFormat="false" ht="15" hidden="false" customHeight="false" outlineLevel="0" collapsed="false">
      <c r="D724" s="0" t="s">
        <v>850</v>
      </c>
      <c r="J724" s="6" t="n">
        <v>3.72750205576602</v>
      </c>
      <c r="K724" s="6" t="n">
        <v>-0.831040885215833</v>
      </c>
      <c r="L724" s="6" t="n">
        <v>-1.57332250843413</v>
      </c>
      <c r="M724" s="6" t="n">
        <v>1.7656758519361</v>
      </c>
      <c r="N724" s="6" t="n">
        <v>-0.874833083044125</v>
      </c>
      <c r="O724" s="6" t="n">
        <v>-0.0656021463319097</v>
      </c>
      <c r="P724" s="6" t="n">
        <v>1.28650855344956</v>
      </c>
      <c r="Q724" s="6" t="n">
        <v>-4.84033580561709</v>
      </c>
      <c r="R724" s="6" t="n">
        <v>-1.39244527848645</v>
      </c>
      <c r="S724" s="6" t="n">
        <v>0.972291849252822</v>
      </c>
      <c r="T724" s="6" t="n">
        <v>-1.95236775893267</v>
      </c>
      <c r="U724" s="6" t="n">
        <v>-3.84558462947595</v>
      </c>
      <c r="V724" s="6" t="n">
        <v>-2.33788780994249</v>
      </c>
      <c r="W724" s="6" t="n">
        <v>0.512809839791876</v>
      </c>
      <c r="X724" s="6" t="n">
        <v>-0.483100145037628</v>
      </c>
      <c r="Y724" s="6" t="n">
        <v>-3.08017786660075</v>
      </c>
      <c r="Z724" s="6" t="n">
        <v>2.72617783717349</v>
      </c>
      <c r="AA724" s="6" t="n">
        <v>0.0356866568602609</v>
      </c>
      <c r="AB724" s="6" t="n">
        <v>-1.66421216451727</v>
      </c>
      <c r="AC724" s="6" t="n">
        <v>-0.26079870664469</v>
      </c>
      <c r="AD724" s="6" t="n">
        <v>-1.930071280002</v>
      </c>
      <c r="AE724" s="6" t="n">
        <v>2.1432033382749</v>
      </c>
      <c r="AF724" s="6" t="n">
        <v>-0.234197328111639</v>
      </c>
      <c r="AG724" s="6" t="n">
        <v>-0.329443781328966</v>
      </c>
      <c r="AH724" s="6" t="n">
        <v>0.0163458888031915</v>
      </c>
      <c r="AI724" s="6" t="n">
        <v>3.4340269538653</v>
      </c>
      <c r="AJ724" s="6" t="n">
        <v>73.0248390938872</v>
      </c>
      <c r="AK724" s="6" t="n">
        <v>0.191262459377163</v>
      </c>
      <c r="AL724" s="6" t="n">
        <v>1.03807835934139</v>
      </c>
      <c r="AN724" s="6" t="n">
        <v>1.29325973017248</v>
      </c>
      <c r="AO724" s="6" t="n">
        <v>1.29425645742853</v>
      </c>
      <c r="AP724" s="6" t="n">
        <v>0.132843635939165</v>
      </c>
      <c r="AQ724" s="6" t="n">
        <v>0</v>
      </c>
      <c r="AR724" s="6" t="n">
        <v>0</v>
      </c>
    </row>
    <row r="725" customFormat="false" ht="15" hidden="false" customHeight="false" outlineLevel="0" collapsed="false">
      <c r="D725" s="0" t="s">
        <v>851</v>
      </c>
      <c r="J725" s="6" t="n">
        <v>1.00382797338678</v>
      </c>
      <c r="K725" s="6" t="n">
        <v>0.316257472282472</v>
      </c>
      <c r="L725" s="6" t="n">
        <v>-1.96109873367769</v>
      </c>
      <c r="M725" s="6" t="n">
        <v>-0.355160424257057</v>
      </c>
      <c r="N725" s="6" t="n">
        <v>-2.34107570787467</v>
      </c>
      <c r="O725" s="6" t="n">
        <v>-5.62706766071968</v>
      </c>
      <c r="P725" s="6" t="n">
        <v>2.77380603702577</v>
      </c>
      <c r="Q725" s="6" t="n">
        <v>0.67108638474497</v>
      </c>
      <c r="R725" s="6" t="n">
        <v>0.0134336883359847</v>
      </c>
      <c r="S725" s="6" t="n">
        <v>-0.349666875915732</v>
      </c>
      <c r="T725" s="6" t="n">
        <v>-4.33328230387602</v>
      </c>
      <c r="U725" s="6" t="n">
        <v>1.80381457825382</v>
      </c>
      <c r="V725" s="6" t="n">
        <v>2.14302412997748</v>
      </c>
      <c r="W725" s="6" t="n">
        <v>0.624954783892944</v>
      </c>
      <c r="X725" s="6" t="n">
        <v>2.58509523216345</v>
      </c>
      <c r="Y725" s="6" t="n">
        <v>0.0504040221093872</v>
      </c>
      <c r="Z725" s="6" t="n">
        <v>-2.01097892470913</v>
      </c>
      <c r="AA725" s="6" t="n">
        <v>2.09404171908859</v>
      </c>
      <c r="AB725" s="6" t="n">
        <v>-0.927391428262365</v>
      </c>
      <c r="AC725" s="6" t="n">
        <v>1.05952003345013</v>
      </c>
      <c r="AD725" s="6" t="n">
        <v>-2.11992976691663</v>
      </c>
      <c r="AE725" s="6" t="n">
        <v>3.59376247002775</v>
      </c>
      <c r="AF725" s="6" t="n">
        <v>1.1799126644567</v>
      </c>
      <c r="AG725" s="6" t="n">
        <v>0.964099603478223</v>
      </c>
      <c r="AH725" s="6" t="n">
        <v>-5.31787307672125</v>
      </c>
      <c r="AI725" s="6" t="n">
        <v>-3.08271875028929</v>
      </c>
      <c r="AJ725" s="6" t="n">
        <v>82.5607584181167</v>
      </c>
      <c r="AK725" s="6" t="n">
        <v>0.13461595504106</v>
      </c>
      <c r="AL725" s="6" t="n">
        <v>1.03229504491534</v>
      </c>
      <c r="AN725" s="6" t="n">
        <v>1.27466408700791</v>
      </c>
      <c r="AO725" s="6" t="n">
        <v>1.28686052162885</v>
      </c>
      <c r="AP725" s="6" t="n">
        <v>0.136452072505985</v>
      </c>
      <c r="AQ725" s="6" t="n">
        <v>0</v>
      </c>
      <c r="AR725" s="6" t="n">
        <v>0</v>
      </c>
    </row>
    <row r="726" customFormat="false" ht="15" hidden="false" customHeight="false" outlineLevel="0" collapsed="false">
      <c r="D726" s="0" t="s">
        <v>852</v>
      </c>
      <c r="J726" s="6" t="n">
        <v>-0.620911152421953</v>
      </c>
      <c r="K726" s="6" t="n">
        <v>0.486465578986215</v>
      </c>
      <c r="L726" s="6" t="n">
        <v>0.907078060597204</v>
      </c>
      <c r="M726" s="6" t="n">
        <v>-1.29134325305229</v>
      </c>
      <c r="N726" s="6" t="n">
        <v>0.347313567214063</v>
      </c>
      <c r="O726" s="6" t="n">
        <v>-0.383130022305428</v>
      </c>
      <c r="P726" s="6" t="n">
        <v>-0.255633984499341</v>
      </c>
      <c r="Q726" s="6" t="n">
        <v>-4.73824751826261</v>
      </c>
      <c r="R726" s="6" t="n">
        <v>-3.75410125654683</v>
      </c>
      <c r="S726" s="6" t="n">
        <v>1.16406304263511</v>
      </c>
      <c r="T726" s="6" t="n">
        <v>-0.151017478568272</v>
      </c>
      <c r="U726" s="6" t="n">
        <v>0.492321467213449</v>
      </c>
      <c r="V726" s="6" t="n">
        <v>-1.43063659303392</v>
      </c>
      <c r="W726" s="6" t="n">
        <v>0.225639533729913</v>
      </c>
      <c r="X726" s="6" t="n">
        <v>0.432831490492357</v>
      </c>
      <c r="Y726" s="6" t="n">
        <v>-1.36599375801618</v>
      </c>
      <c r="Z726" s="6" t="n">
        <v>2.34141597515487</v>
      </c>
      <c r="AA726" s="6" t="n">
        <v>1.22453380035185</v>
      </c>
      <c r="AB726" s="6" t="n">
        <v>0.949430114533848</v>
      </c>
      <c r="AC726" s="6" t="n">
        <v>0.789098466781288</v>
      </c>
      <c r="AD726" s="6" t="n">
        <v>3.37801714694183</v>
      </c>
      <c r="AE726" s="6" t="n">
        <v>-2.38547679103013</v>
      </c>
      <c r="AF726" s="6" t="n">
        <v>1.55287938874766</v>
      </c>
      <c r="AG726" s="6" t="n">
        <v>0.920542162766296</v>
      </c>
      <c r="AH726" s="6" t="n">
        <v>0.455123376003459</v>
      </c>
      <c r="AI726" s="6" t="n">
        <v>-1.14830558243974</v>
      </c>
      <c r="AJ726" s="6" t="n">
        <v>71.5099963314234</v>
      </c>
      <c r="AK726" s="6" t="n">
        <v>0.18481721224844</v>
      </c>
      <c r="AL726" s="6" t="n">
        <v>1.10104587668591</v>
      </c>
      <c r="AN726" s="6" t="n">
        <v>1.27012678180186</v>
      </c>
      <c r="AO726" s="6" t="n">
        <v>1.27047019316731</v>
      </c>
      <c r="AP726" s="6" t="n">
        <v>0.128325325722279</v>
      </c>
      <c r="AQ726" s="6" t="n">
        <v>0</v>
      </c>
      <c r="AR726" s="6" t="n">
        <v>0</v>
      </c>
    </row>
    <row r="727" customFormat="false" ht="15" hidden="false" customHeight="false" outlineLevel="0" collapsed="false">
      <c r="D727" s="0" t="s">
        <v>853</v>
      </c>
      <c r="J727" s="6" t="n">
        <v>1.80972137298716</v>
      </c>
      <c r="K727" s="6" t="n">
        <v>0.210749756073968</v>
      </c>
      <c r="L727" s="6" t="n">
        <v>-4.20274090084339</v>
      </c>
      <c r="M727" s="6" t="n">
        <v>1.61296879453878</v>
      </c>
      <c r="N727" s="6" t="n">
        <v>-0.75573968977472</v>
      </c>
      <c r="O727" s="6" t="n">
        <v>2.90060746629143</v>
      </c>
      <c r="P727" s="6" t="n">
        <v>-0.526572510299481</v>
      </c>
      <c r="Q727" s="6" t="n">
        <v>1.57499150389387</v>
      </c>
      <c r="R727" s="6" t="n">
        <v>-0.2007204087754</v>
      </c>
      <c r="S727" s="6" t="n">
        <v>-1.69857503926292</v>
      </c>
      <c r="T727" s="6" t="n">
        <v>-1.78840181719969</v>
      </c>
      <c r="U727" s="6" t="n">
        <v>1.51526918033932</v>
      </c>
      <c r="V727" s="6" t="n">
        <v>-1.35838924692236</v>
      </c>
      <c r="W727" s="6" t="n">
        <v>-1.41310045382853</v>
      </c>
      <c r="X727" s="6" t="n">
        <v>-0.740875599059611</v>
      </c>
      <c r="Y727" s="6" t="n">
        <v>0.657445312563496</v>
      </c>
      <c r="Z727" s="6" t="n">
        <v>-0.201195160598361</v>
      </c>
      <c r="AA727" s="6" t="n">
        <v>2.70561093610402</v>
      </c>
      <c r="AB727" s="6" t="n">
        <v>-0.919894605306976</v>
      </c>
      <c r="AC727" s="6" t="n">
        <v>2.57274721275793</v>
      </c>
      <c r="AD727" s="6" t="n">
        <v>-0.320020401032461</v>
      </c>
      <c r="AE727" s="6" t="n">
        <v>-0.766909839909414</v>
      </c>
      <c r="AF727" s="6" t="n">
        <v>-0.921502875370902</v>
      </c>
      <c r="AG727" s="6" t="n">
        <v>-1.60432065425923</v>
      </c>
      <c r="AH727" s="6" t="n">
        <v>-3.31999524078841</v>
      </c>
      <c r="AI727" s="6" t="n">
        <v>-2.88748489499396</v>
      </c>
      <c r="AJ727" s="6" t="n">
        <v>74.6496587584694</v>
      </c>
      <c r="AK727" s="6" t="n">
        <v>0.106838398567763</v>
      </c>
      <c r="AL727" s="6" t="n">
        <v>1.01909176368139</v>
      </c>
      <c r="AN727" s="6" t="n">
        <v>1.31224725436121</v>
      </c>
      <c r="AO727" s="6" t="n">
        <v>1.31224725436121</v>
      </c>
      <c r="AP727" s="6" t="n">
        <v>0.138360006370431</v>
      </c>
      <c r="AQ727" s="6" t="n">
        <v>0</v>
      </c>
      <c r="AR727" s="6" t="n">
        <v>0</v>
      </c>
    </row>
    <row r="728" customFormat="false" ht="15" hidden="false" customHeight="false" outlineLevel="0" collapsed="false">
      <c r="D728" s="0" t="s">
        <v>854</v>
      </c>
      <c r="J728" s="6" t="n">
        <v>0.605704652412998</v>
      </c>
      <c r="K728" s="6" t="n">
        <v>-1.95839035555326</v>
      </c>
      <c r="L728" s="6" t="n">
        <v>-1.05598582643314</v>
      </c>
      <c r="M728" s="6" t="n">
        <v>5</v>
      </c>
      <c r="N728" s="6" t="n">
        <v>-1.15884592914124</v>
      </c>
      <c r="O728" s="6" t="n">
        <v>1.14157385883684</v>
      </c>
      <c r="P728" s="6" t="n">
        <v>-1.7220381572576</v>
      </c>
      <c r="Q728" s="6" t="n">
        <v>-0.795691592783999</v>
      </c>
      <c r="R728" s="6" t="n">
        <v>1.51536695673831</v>
      </c>
      <c r="S728" s="6" t="n">
        <v>-0.0307829719982137</v>
      </c>
      <c r="T728" s="6" t="n">
        <v>2.24568812388745</v>
      </c>
      <c r="U728" s="6" t="n">
        <v>-0.153861875974682</v>
      </c>
      <c r="V728" s="6" t="n">
        <v>-1.44501080369263</v>
      </c>
      <c r="W728" s="6" t="n">
        <v>2.69150219741598</v>
      </c>
      <c r="X728" s="6" t="n">
        <v>-2.44789717714539</v>
      </c>
      <c r="Y728" s="6" t="n">
        <v>-0.981955582794906</v>
      </c>
      <c r="Z728" s="6" t="n">
        <v>-1.44424328153228</v>
      </c>
      <c r="AA728" s="6" t="n">
        <v>1.2669762961869</v>
      </c>
      <c r="AB728" s="6" t="n">
        <v>0.255005596923045</v>
      </c>
      <c r="AC728" s="6" t="n">
        <v>2.49461015454667</v>
      </c>
      <c r="AD728" s="6" t="n">
        <v>0.0419507798441663</v>
      </c>
      <c r="AE728" s="6" t="n">
        <v>2.13513300769711</v>
      </c>
      <c r="AF728" s="6" t="n">
        <v>3.11522033913637</v>
      </c>
      <c r="AG728" s="6" t="n">
        <v>-1.56940398722517</v>
      </c>
      <c r="AH728" s="6" t="n">
        <v>-0.336864527205671</v>
      </c>
      <c r="AI728" s="6" t="n">
        <v>1.56749669298239</v>
      </c>
      <c r="AJ728" s="6" t="n">
        <v>69.3035563765427</v>
      </c>
      <c r="AK728" s="6" t="n">
        <v>0.11346865834305</v>
      </c>
      <c r="AL728" s="6" t="n">
        <v>1.01440017404244</v>
      </c>
      <c r="AN728" s="6" t="n">
        <v>1.30978571729818</v>
      </c>
      <c r="AO728" s="6" t="n">
        <v>1.30978571729818</v>
      </c>
      <c r="AP728" s="6" t="n">
        <v>0.138042634778046</v>
      </c>
      <c r="AQ728" s="6" t="n">
        <v>0</v>
      </c>
      <c r="AR728" s="6" t="n">
        <v>0</v>
      </c>
    </row>
    <row r="729" customFormat="false" ht="15" hidden="false" customHeight="false" outlineLevel="0" collapsed="false">
      <c r="D729" s="0" t="s">
        <v>855</v>
      </c>
      <c r="J729" s="6" t="n">
        <v>3.51361305086747</v>
      </c>
      <c r="K729" s="6" t="n">
        <v>2.3820561393339</v>
      </c>
      <c r="L729" s="6" t="n">
        <v>0.852296472590295</v>
      </c>
      <c r="M729" s="6" t="n">
        <v>1.1789704940391</v>
      </c>
      <c r="N729" s="6" t="n">
        <v>2.73089289303112</v>
      </c>
      <c r="O729" s="6" t="n">
        <v>1.89058474649072</v>
      </c>
      <c r="P729" s="6" t="n">
        <v>0.585419660480582</v>
      </c>
      <c r="Q729" s="6" t="n">
        <v>-1.24794803235305</v>
      </c>
      <c r="R729" s="6" t="n">
        <v>-0.800887521720337</v>
      </c>
      <c r="S729" s="6" t="n">
        <v>1.48236694849739</v>
      </c>
      <c r="T729" s="6" t="n">
        <v>0.605233188160412</v>
      </c>
      <c r="U729" s="6" t="n">
        <v>-1.49084275140626</v>
      </c>
      <c r="V729" s="6" t="n">
        <v>-0.381305525798155</v>
      </c>
      <c r="W729" s="6" t="n">
        <v>2.43755889461361</v>
      </c>
      <c r="X729" s="6" t="n">
        <v>2.1543610965394</v>
      </c>
      <c r="Y729" s="6" t="n">
        <v>-0.373827568213239</v>
      </c>
      <c r="Z729" s="6" t="n">
        <v>0.295035898591905</v>
      </c>
      <c r="AA729" s="6" t="n">
        <v>-2.01028461978534</v>
      </c>
      <c r="AB729" s="6" t="n">
        <v>-0.529433506744727</v>
      </c>
      <c r="AC729" s="6" t="n">
        <v>-1.15346186546222</v>
      </c>
      <c r="AD729" s="6" t="n">
        <v>-0.348454140276599</v>
      </c>
      <c r="AE729" s="6" t="n">
        <v>4.20610413273067</v>
      </c>
      <c r="AF729" s="6" t="n">
        <v>-2.47126186770289</v>
      </c>
      <c r="AG729" s="6" t="n">
        <v>-2.52777990015491</v>
      </c>
      <c r="AH729" s="6" t="n">
        <v>-0.092618497005854</v>
      </c>
      <c r="AI729" s="6" t="n">
        <v>-2.43857148056054</v>
      </c>
      <c r="AJ729" s="6" t="n">
        <v>70.7003472051415</v>
      </c>
      <c r="AK729" s="6" t="n">
        <v>0.17907253163224</v>
      </c>
      <c r="AL729" s="6" t="n">
        <v>1.0384487953766</v>
      </c>
      <c r="AN729" s="6" t="n">
        <v>1.29183511560177</v>
      </c>
      <c r="AO729" s="6" t="n">
        <v>1.29231598639201</v>
      </c>
      <c r="AP729" s="6" t="n">
        <v>0.133417707025796</v>
      </c>
      <c r="AQ729" s="6" t="n">
        <v>0</v>
      </c>
      <c r="AR729" s="6" t="n">
        <v>0</v>
      </c>
    </row>
    <row r="730" customFormat="false" ht="15" hidden="false" customHeight="false" outlineLevel="0" collapsed="false">
      <c r="D730" s="0" t="s">
        <v>856</v>
      </c>
      <c r="J730" s="6" t="n">
        <v>-0.110748222286382</v>
      </c>
      <c r="K730" s="6" t="n">
        <v>0.0501816831392762</v>
      </c>
      <c r="L730" s="6" t="n">
        <v>-1.12756655739107</v>
      </c>
      <c r="M730" s="6" t="n">
        <v>2.8499478976933</v>
      </c>
      <c r="N730" s="6" t="n">
        <v>-1.80293239004269</v>
      </c>
      <c r="O730" s="6" t="n">
        <v>2.15528305915784</v>
      </c>
      <c r="P730" s="6" t="n">
        <v>0.409653761267061</v>
      </c>
      <c r="Q730" s="6" t="n">
        <v>0.495003035581094</v>
      </c>
      <c r="R730" s="6" t="n">
        <v>0.34456279073917</v>
      </c>
      <c r="S730" s="6" t="n">
        <v>-3.6599881564266</v>
      </c>
      <c r="T730" s="6" t="n">
        <v>-1.84447025151252</v>
      </c>
      <c r="U730" s="6" t="n">
        <v>0.758978327037405</v>
      </c>
      <c r="V730" s="6" t="n">
        <v>1.9535707663603</v>
      </c>
      <c r="W730" s="6" t="n">
        <v>-0.659038227248504</v>
      </c>
      <c r="X730" s="6" t="n">
        <v>0.505858347366763</v>
      </c>
      <c r="Y730" s="6" t="n">
        <v>-0.0993520193077046</v>
      </c>
      <c r="Z730" s="6" t="n">
        <v>0.330883467774083</v>
      </c>
      <c r="AA730" s="6" t="n">
        <v>-0.926849097427293</v>
      </c>
      <c r="AB730" s="6" t="n">
        <v>2.6089107436902</v>
      </c>
      <c r="AC730" s="6" t="n">
        <v>-3.2169980798946</v>
      </c>
      <c r="AD730" s="6" t="n">
        <v>2.14336565690472</v>
      </c>
      <c r="AE730" s="6" t="n">
        <v>-4.35944776415485</v>
      </c>
      <c r="AF730" s="6" t="n">
        <v>-3.46638170433448</v>
      </c>
      <c r="AG730" s="6" t="n">
        <v>-4.28297887821605</v>
      </c>
      <c r="AH730" s="6" t="n">
        <v>3.36790323304783</v>
      </c>
      <c r="AI730" s="6" t="n">
        <v>2.92881786191788</v>
      </c>
      <c r="AJ730" s="6" t="n">
        <v>64.6351812277934</v>
      </c>
      <c r="AK730" s="6" t="n">
        <v>0.157594823838515</v>
      </c>
      <c r="AL730" s="6" t="n">
        <v>1.03615061573871</v>
      </c>
      <c r="AN730" s="6" t="n">
        <v>1.29237729145539</v>
      </c>
      <c r="AO730" s="6" t="n">
        <v>1.29241427097338</v>
      </c>
      <c r="AP730" s="6" t="n">
        <v>0.133913777952392</v>
      </c>
      <c r="AQ730" s="6" t="n">
        <v>0</v>
      </c>
      <c r="AR730" s="6" t="n">
        <v>0</v>
      </c>
    </row>
    <row r="731" customFormat="false" ht="15" hidden="false" customHeight="false" outlineLevel="0" collapsed="false">
      <c r="D731" s="0" t="s">
        <v>857</v>
      </c>
      <c r="J731" s="6" t="n">
        <v>-0.398534394196048</v>
      </c>
      <c r="K731" s="6" t="n">
        <v>2.1606033691545</v>
      </c>
      <c r="L731" s="6" t="n">
        <v>-0.686880551564587</v>
      </c>
      <c r="M731" s="6" t="n">
        <v>-2.50461904149965</v>
      </c>
      <c r="N731" s="6" t="n">
        <v>0.663470095266852</v>
      </c>
      <c r="O731" s="6" t="n">
        <v>-1.62070169260798</v>
      </c>
      <c r="P731" s="6" t="n">
        <v>-2.76294023894614</v>
      </c>
      <c r="Q731" s="6" t="n">
        <v>1.13529103934497</v>
      </c>
      <c r="R731" s="6" t="n">
        <v>1.21096879592132</v>
      </c>
      <c r="S731" s="6" t="n">
        <v>-1.23467666393577</v>
      </c>
      <c r="T731" s="6" t="n">
        <v>-1.8966546446791</v>
      </c>
      <c r="U731" s="6" t="n">
        <v>-2.28197173670557</v>
      </c>
      <c r="V731" s="6" t="n">
        <v>-1.8068945125712</v>
      </c>
      <c r="W731" s="6" t="n">
        <v>-0.665354137469559</v>
      </c>
      <c r="X731" s="6" t="n">
        <v>0.582033290193647</v>
      </c>
      <c r="Y731" s="6" t="n">
        <v>1.7047041692602</v>
      </c>
      <c r="Z731" s="6" t="n">
        <v>2.37124771875135</v>
      </c>
      <c r="AA731" s="6" t="n">
        <v>0.219364218909319</v>
      </c>
      <c r="AB731" s="6" t="n">
        <v>-1.28520791914806</v>
      </c>
      <c r="AC731" s="6" t="n">
        <v>0.177763837435335</v>
      </c>
      <c r="AD731" s="6" t="n">
        <v>0.751856312312478</v>
      </c>
      <c r="AE731" s="6" t="n">
        <v>3.544896247637</v>
      </c>
      <c r="AF731" s="6" t="n">
        <v>0.38323205292936</v>
      </c>
      <c r="AG731" s="6" t="n">
        <v>-2.78020868253548</v>
      </c>
      <c r="AH731" s="6" t="n">
        <v>-0.872627068473409</v>
      </c>
      <c r="AI731" s="6" t="n">
        <v>-3.13502107873932</v>
      </c>
      <c r="AJ731" s="6" t="n">
        <v>64.356377592045</v>
      </c>
      <c r="AK731" s="6" t="n">
        <v>0.0718645799539103</v>
      </c>
      <c r="AL731" s="6" t="n">
        <v>1.0326004224335</v>
      </c>
      <c r="AN731" s="6" t="n">
        <v>1.30601001407355</v>
      </c>
      <c r="AO731" s="6" t="n">
        <v>1.30619259646004</v>
      </c>
      <c r="AP731" s="6" t="n">
        <v>0.136080580806896</v>
      </c>
      <c r="AQ731" s="6" t="n">
        <v>0</v>
      </c>
      <c r="AR731" s="6" t="n">
        <v>0</v>
      </c>
    </row>
    <row r="732" customFormat="false" ht="15" hidden="false" customHeight="false" outlineLevel="0" collapsed="false">
      <c r="D732" s="0" t="s">
        <v>858</v>
      </c>
      <c r="J732" s="6" t="n">
        <v>-2.5845171544269</v>
      </c>
      <c r="K732" s="6" t="n">
        <v>-0.207610248976323</v>
      </c>
      <c r="L732" s="6" t="n">
        <v>-0.306820733611018</v>
      </c>
      <c r="M732" s="6" t="n">
        <v>1.44547484669651</v>
      </c>
      <c r="N732" s="6" t="n">
        <v>-3.52150113215086</v>
      </c>
      <c r="O732" s="6" t="n">
        <v>2.25763286742359</v>
      </c>
      <c r="P732" s="6" t="n">
        <v>-0.417674818107028</v>
      </c>
      <c r="Q732" s="6" t="n">
        <v>-3.76847183563698</v>
      </c>
      <c r="R732" s="6" t="n">
        <v>-2.20941196623688</v>
      </c>
      <c r="S732" s="6" t="n">
        <v>0.808670463404145</v>
      </c>
      <c r="T732" s="6" t="n">
        <v>-0.0499292574754453</v>
      </c>
      <c r="U732" s="6" t="n">
        <v>0.0318974920777555</v>
      </c>
      <c r="V732" s="6" t="n">
        <v>4.92118895708098</v>
      </c>
      <c r="W732" s="6" t="n">
        <v>-0.97688686852251</v>
      </c>
      <c r="X732" s="6" t="n">
        <v>1.12239922903963</v>
      </c>
      <c r="Y732" s="6" t="n">
        <v>1.57967451033261</v>
      </c>
      <c r="Z732" s="6" t="n">
        <v>1.19898326595233</v>
      </c>
      <c r="AA732" s="6" t="n">
        <v>-0.34193368421574</v>
      </c>
      <c r="AB732" s="6" t="n">
        <v>2.04044574321117</v>
      </c>
      <c r="AC732" s="6" t="n">
        <v>-0.136110690415837</v>
      </c>
      <c r="AD732" s="6" t="n">
        <v>-0.175781614847141</v>
      </c>
      <c r="AE732" s="6" t="n">
        <v>-2.42861142423551</v>
      </c>
      <c r="AF732" s="6" t="n">
        <v>-3.04090393456001</v>
      </c>
      <c r="AG732" s="6" t="n">
        <v>0.390758583519386</v>
      </c>
      <c r="AH732" s="6" t="n">
        <v>0.286302581030475</v>
      </c>
      <c r="AI732" s="6" t="n">
        <v>1.80875780810138</v>
      </c>
      <c r="AJ732" s="6" t="n">
        <v>65.1240400257432</v>
      </c>
      <c r="AK732" s="6" t="n">
        <v>0.100941072662229</v>
      </c>
      <c r="AL732" s="6" t="n">
        <v>1.03710375922007</v>
      </c>
      <c r="AN732" s="6" t="n">
        <v>1.29811784177809</v>
      </c>
      <c r="AO732" s="6" t="n">
        <v>1.29850022633036</v>
      </c>
      <c r="AP732" s="6" t="n">
        <v>0.134941818781305</v>
      </c>
      <c r="AQ732" s="6" t="n">
        <v>0</v>
      </c>
      <c r="AR732" s="6" t="n">
        <v>0</v>
      </c>
    </row>
    <row r="733" customFormat="false" ht="15" hidden="false" customHeight="false" outlineLevel="0" collapsed="false">
      <c r="D733" s="0" t="s">
        <v>859</v>
      </c>
      <c r="J733" s="6" t="n">
        <v>-0.973735340126938</v>
      </c>
      <c r="K733" s="6" t="n">
        <v>1.85191896092327</v>
      </c>
      <c r="L733" s="6" t="n">
        <v>-1.87515838004808</v>
      </c>
      <c r="M733" s="6" t="n">
        <v>-1.04538733643227</v>
      </c>
      <c r="N733" s="6" t="n">
        <v>2.17302580773855</v>
      </c>
      <c r="O733" s="6" t="n">
        <v>-0.0222815912089201</v>
      </c>
      <c r="P733" s="6" t="n">
        <v>1.41656186235218</v>
      </c>
      <c r="Q733" s="6" t="n">
        <v>-0.951324105562997</v>
      </c>
      <c r="R733" s="6" t="n">
        <v>-4.70986146466368</v>
      </c>
      <c r="S733" s="6" t="n">
        <v>1.31823181769376</v>
      </c>
      <c r="T733" s="6" t="n">
        <v>3.30816005834533</v>
      </c>
      <c r="U733" s="6" t="n">
        <v>-3.11938863792041</v>
      </c>
      <c r="V733" s="6" t="n">
        <v>0.121270344964622</v>
      </c>
      <c r="W733" s="6" t="n">
        <v>0.250161108466273</v>
      </c>
      <c r="X733" s="6" t="n">
        <v>-1.43076514400204</v>
      </c>
      <c r="Y733" s="6" t="n">
        <v>-4.85700178482793</v>
      </c>
      <c r="Z733" s="6" t="n">
        <v>0.686751100297408</v>
      </c>
      <c r="AA733" s="6" t="n">
        <v>-3.54297989859943</v>
      </c>
      <c r="AB733" s="6" t="n">
        <v>0.4500720256364</v>
      </c>
      <c r="AC733" s="6" t="n">
        <v>-0.176878857904349</v>
      </c>
      <c r="AD733" s="6" t="n">
        <v>0.469093703762142</v>
      </c>
      <c r="AE733" s="6" t="n">
        <v>-2.81382838839496</v>
      </c>
      <c r="AF733" s="6" t="n">
        <v>-3.39938323571236</v>
      </c>
      <c r="AG733" s="6" t="n">
        <v>-2.38831753559308</v>
      </c>
      <c r="AH733" s="6" t="n">
        <v>-0.724873039662136</v>
      </c>
      <c r="AI733" s="6" t="n">
        <v>-0.615990761985742</v>
      </c>
      <c r="AJ733" s="6" t="n">
        <v>82.0307254768683</v>
      </c>
      <c r="AK733" s="6" t="n">
        <v>0.123344193686008</v>
      </c>
      <c r="AL733" s="6" t="n">
        <v>1.04979360149357</v>
      </c>
      <c r="AN733" s="6" t="n">
        <v>1.29994981751904</v>
      </c>
      <c r="AO733" s="6" t="n">
        <v>1.30079139559594</v>
      </c>
      <c r="AP733" s="6" t="n">
        <v>0.134195866278979</v>
      </c>
      <c r="AQ733" s="6" t="n">
        <v>0</v>
      </c>
      <c r="AR733" s="6" t="n">
        <v>0</v>
      </c>
    </row>
    <row r="734" customFormat="false" ht="15" hidden="false" customHeight="false" outlineLevel="0" collapsed="false">
      <c r="D734" s="0" t="s">
        <v>860</v>
      </c>
      <c r="J734" s="6" t="n">
        <v>2.11824118126765</v>
      </c>
      <c r="K734" s="6" t="n">
        <v>-2.79274358637246</v>
      </c>
      <c r="L734" s="6" t="n">
        <v>2.08533889405066</v>
      </c>
      <c r="M734" s="6" t="n">
        <v>-1.16475049865695</v>
      </c>
      <c r="N734" s="6" t="n">
        <v>-0.227388085487495</v>
      </c>
      <c r="O734" s="6" t="n">
        <v>3.42900953189074</v>
      </c>
      <c r="P734" s="6" t="n">
        <v>-0.507777432463974</v>
      </c>
      <c r="Q734" s="6" t="n">
        <v>-0.391283101373348</v>
      </c>
      <c r="R734" s="6" t="n">
        <v>2.00485022716204</v>
      </c>
      <c r="S734" s="6" t="n">
        <v>0.0500283282201897</v>
      </c>
      <c r="T734" s="6" t="n">
        <v>2.47461313415092</v>
      </c>
      <c r="U734" s="6" t="n">
        <v>-1.08150733325278</v>
      </c>
      <c r="V734" s="6" t="n">
        <v>-4.55716346956184</v>
      </c>
      <c r="W734" s="6" t="n">
        <v>0.594813483212523</v>
      </c>
      <c r="X734" s="6" t="n">
        <v>-1.94167929584448</v>
      </c>
      <c r="Y734" s="6" t="n">
        <v>1.46413230339583</v>
      </c>
      <c r="Z734" s="6" t="n">
        <v>0.521489828654514</v>
      </c>
      <c r="AA734" s="6" t="n">
        <v>1.62536663699581</v>
      </c>
      <c r="AB734" s="6" t="n">
        <v>-2.86818111093574</v>
      </c>
      <c r="AC734" s="6" t="n">
        <v>-3.27010003539723</v>
      </c>
      <c r="AD734" s="6" t="n">
        <v>-4.74204584229339</v>
      </c>
      <c r="AE734" s="6" t="n">
        <v>-0.260084074493446</v>
      </c>
      <c r="AF734" s="6" t="n">
        <v>1.89757240057269</v>
      </c>
      <c r="AG734" s="6" t="n">
        <v>0.781662983010366</v>
      </c>
      <c r="AH734" s="6" t="n">
        <v>-1.50809825985808</v>
      </c>
      <c r="AI734" s="6" t="n">
        <v>1.51160888758184</v>
      </c>
      <c r="AJ734" s="6" t="n">
        <v>74.0082171717738</v>
      </c>
      <c r="AK734" s="6" t="n">
        <v>0.0803136991302334</v>
      </c>
      <c r="AL734" s="6" t="n">
        <v>1.03169662408945</v>
      </c>
      <c r="AN734" s="6" t="n">
        <v>1.30996041990054</v>
      </c>
      <c r="AO734" s="6" t="n">
        <v>1.31003889762532</v>
      </c>
      <c r="AP734" s="6" t="n">
        <v>0.137081687413174</v>
      </c>
      <c r="AQ734" s="6" t="n">
        <v>0</v>
      </c>
      <c r="AR734" s="6" t="n">
        <v>0</v>
      </c>
    </row>
    <row r="735" customFormat="false" ht="15" hidden="false" customHeight="false" outlineLevel="0" collapsed="false">
      <c r="D735" s="0" t="s">
        <v>861</v>
      </c>
      <c r="J735" s="6" t="n">
        <v>1.74858673295206</v>
      </c>
      <c r="K735" s="6" t="n">
        <v>-1.07124509994526</v>
      </c>
      <c r="L735" s="6" t="n">
        <v>1.06724704593238</v>
      </c>
      <c r="M735" s="6" t="n">
        <v>3.09002455686927</v>
      </c>
      <c r="N735" s="6" t="n">
        <v>-2.37029073472467</v>
      </c>
      <c r="O735" s="6" t="n">
        <v>4.4571563876995</v>
      </c>
      <c r="P735" s="6" t="n">
        <v>1.9478721369696</v>
      </c>
      <c r="Q735" s="6" t="n">
        <v>1.00257500283808</v>
      </c>
      <c r="R735" s="6" t="n">
        <v>2.78218522706526</v>
      </c>
      <c r="S735" s="6" t="n">
        <v>0.888767187922243</v>
      </c>
      <c r="T735" s="6" t="n">
        <v>1.09011814519274</v>
      </c>
      <c r="U735" s="6" t="n">
        <v>0.442911919044795</v>
      </c>
      <c r="V735" s="6" t="n">
        <v>0.146411597961166</v>
      </c>
      <c r="W735" s="6" t="n">
        <v>-0.929558185496873</v>
      </c>
      <c r="X735" s="6" t="n">
        <v>1.13742562689462</v>
      </c>
      <c r="Y735" s="6" t="n">
        <v>1.16622912861374</v>
      </c>
      <c r="Z735" s="6" t="n">
        <v>1.17923438927164</v>
      </c>
      <c r="AA735" s="6" t="n">
        <v>1.82967317399969</v>
      </c>
      <c r="AB735" s="6" t="n">
        <v>-2.83759621764977</v>
      </c>
      <c r="AC735" s="6" t="n">
        <v>0.403769918655341</v>
      </c>
      <c r="AD735" s="6" t="n">
        <v>-0.701170211192049</v>
      </c>
      <c r="AE735" s="6" t="n">
        <v>0.0415607775608222</v>
      </c>
      <c r="AF735" s="6" t="n">
        <v>-0.863628135602097</v>
      </c>
      <c r="AG735" s="6" t="n">
        <v>-5.2513692527937</v>
      </c>
      <c r="AH735" s="6" t="n">
        <v>-2.74403668262901</v>
      </c>
      <c r="AI735" s="6" t="n">
        <v>4.2207740975455</v>
      </c>
      <c r="AJ735" s="6" t="n">
        <v>77.0133827624904</v>
      </c>
      <c r="AK735" s="6" t="n">
        <v>0.0744110054525292</v>
      </c>
      <c r="AL735" s="6" t="n">
        <v>1.04486679620102</v>
      </c>
      <c r="AN735" s="6" t="n">
        <v>1.30717422083132</v>
      </c>
      <c r="AO735" s="6" t="n">
        <v>1.30751336553192</v>
      </c>
      <c r="AP735" s="6" t="n">
        <v>0.136179563140958</v>
      </c>
      <c r="AQ735" s="6" t="n">
        <v>0</v>
      </c>
      <c r="AR735" s="6" t="n">
        <v>0</v>
      </c>
    </row>
    <row r="736" customFormat="false" ht="15" hidden="false" customHeight="false" outlineLevel="0" collapsed="false">
      <c r="D736" s="0" t="s">
        <v>862</v>
      </c>
      <c r="J736" s="6" t="n">
        <v>0.952709657450598</v>
      </c>
      <c r="K736" s="6" t="n">
        <v>0.260948723439364</v>
      </c>
      <c r="L736" s="6" t="n">
        <v>-0.993815942421143</v>
      </c>
      <c r="M736" s="6" t="n">
        <v>4.04264244883724</v>
      </c>
      <c r="N736" s="6" t="n">
        <v>-0.726072067196724</v>
      </c>
      <c r="O736" s="6" t="n">
        <v>-0.391787237192696</v>
      </c>
      <c r="P736" s="6" t="n">
        <v>1.33578191196186</v>
      </c>
      <c r="Q736" s="6" t="n">
        <v>1.58906566412169</v>
      </c>
      <c r="R736" s="6" t="n">
        <v>1.36067715684384</v>
      </c>
      <c r="S736" s="6" t="n">
        <v>-1.5985814765493</v>
      </c>
      <c r="T736" s="6" t="n">
        <v>3.08658527968308</v>
      </c>
      <c r="U736" s="6" t="n">
        <v>-3.55931271233548</v>
      </c>
      <c r="V736" s="6" t="n">
        <v>-1.03656486627031</v>
      </c>
      <c r="W736" s="6" t="n">
        <v>4.20449226229697</v>
      </c>
      <c r="X736" s="6" t="n">
        <v>-1.96045868621145</v>
      </c>
      <c r="Y736" s="6" t="n">
        <v>1.49106393021344</v>
      </c>
      <c r="Z736" s="6" t="n">
        <v>-1.98889220478831</v>
      </c>
      <c r="AA736" s="6" t="n">
        <v>-1.51004148420365</v>
      </c>
      <c r="AB736" s="6" t="n">
        <v>0.397439575648892</v>
      </c>
      <c r="AC736" s="6" t="n">
        <v>-1.81221758422632</v>
      </c>
      <c r="AD736" s="6" t="n">
        <v>0.32785444420484</v>
      </c>
      <c r="AE736" s="6" t="n">
        <v>0.415106969386487</v>
      </c>
      <c r="AF736" s="6" t="n">
        <v>0.52448911832529</v>
      </c>
      <c r="AG736" s="6" t="n">
        <v>0.739076367919883</v>
      </c>
      <c r="AH736" s="6" t="n">
        <v>-1.15852256803166</v>
      </c>
      <c r="AI736" s="6" t="n">
        <v>-3.30802671578122</v>
      </c>
      <c r="AJ736" s="6" t="n">
        <v>80.0803406874693</v>
      </c>
      <c r="AK736" s="6" t="n">
        <v>0.0653527381564492</v>
      </c>
      <c r="AL736" s="6" t="n">
        <v>1.01539142187862</v>
      </c>
      <c r="AN736" s="6" t="n">
        <v>1.31553900456385</v>
      </c>
      <c r="AO736" s="6" t="n">
        <v>1.31553900456385</v>
      </c>
      <c r="AP736" s="6" t="n">
        <v>0.140448905359151</v>
      </c>
      <c r="AQ736" s="6" t="n">
        <v>0</v>
      </c>
      <c r="AR736" s="6" t="n">
        <v>0</v>
      </c>
    </row>
    <row r="737" customFormat="false" ht="15" hidden="false" customHeight="false" outlineLevel="0" collapsed="false">
      <c r="D737" s="0" t="s">
        <v>863</v>
      </c>
      <c r="J737" s="6" t="n">
        <v>2.92627773087977</v>
      </c>
      <c r="K737" s="6" t="n">
        <v>-2.51846452716373</v>
      </c>
      <c r="L737" s="6" t="n">
        <v>-2.47514355823588</v>
      </c>
      <c r="M737" s="6" t="n">
        <v>-2.49399277278091</v>
      </c>
      <c r="N737" s="6" t="n">
        <v>-0.599810403901337</v>
      </c>
      <c r="O737" s="6" t="n">
        <v>1.49502593047006</v>
      </c>
      <c r="P737" s="6" t="n">
        <v>-2.85187077860737</v>
      </c>
      <c r="Q737" s="6" t="n">
        <v>0.400699226135583</v>
      </c>
      <c r="R737" s="6" t="n">
        <v>-0.482832488185639</v>
      </c>
      <c r="S737" s="6" t="n">
        <v>2.69566794062265</v>
      </c>
      <c r="T737" s="6" t="n">
        <v>0.981696936765892</v>
      </c>
      <c r="U737" s="6" t="n">
        <v>0.201368920477013</v>
      </c>
      <c r="V737" s="6" t="n">
        <v>-0.411166818504024</v>
      </c>
      <c r="W737" s="6" t="n">
        <v>2.33860500629808</v>
      </c>
      <c r="X737" s="6" t="n">
        <v>1.13129813349749</v>
      </c>
      <c r="Y737" s="6" t="n">
        <v>0.000290172017702881</v>
      </c>
      <c r="Z737" s="6" t="n">
        <v>-2.01625929765353</v>
      </c>
      <c r="AA737" s="6" t="n">
        <v>-0.782855515203123</v>
      </c>
      <c r="AB737" s="6" t="n">
        <v>-3.95955051032438</v>
      </c>
      <c r="AC737" s="6" t="n">
        <v>2.09155487331936</v>
      </c>
      <c r="AD737" s="6" t="n">
        <v>-2.63309318656373</v>
      </c>
      <c r="AE737" s="6" t="n">
        <v>-0.271863960193106</v>
      </c>
      <c r="AF737" s="6" t="n">
        <v>1.64234241755685</v>
      </c>
      <c r="AG737" s="6" t="n">
        <v>0.750749362325688</v>
      </c>
      <c r="AH737" s="6" t="n">
        <v>-0.964769901703932</v>
      </c>
      <c r="AI737" s="6" t="n">
        <v>-1.27736025208678</v>
      </c>
      <c r="AJ737" s="6" t="n">
        <v>76.6461193157886</v>
      </c>
      <c r="AK737" s="6" t="n">
        <v>0.111760863617652</v>
      </c>
      <c r="AL737" s="6" t="n">
        <v>1.04676280329267</v>
      </c>
      <c r="AN737" s="6" t="n">
        <v>1.29959758516662</v>
      </c>
      <c r="AO737" s="6" t="n">
        <v>1.30034220220535</v>
      </c>
      <c r="AP737" s="6" t="n">
        <v>0.134941380189249</v>
      </c>
      <c r="AQ737" s="6" t="n">
        <v>0</v>
      </c>
      <c r="AR737" s="6" t="n">
        <v>0</v>
      </c>
    </row>
    <row r="738" customFormat="false" ht="15" hidden="false" customHeight="false" outlineLevel="0" collapsed="false">
      <c r="D738" s="0" t="s">
        <v>864</v>
      </c>
      <c r="J738" s="6" t="n">
        <v>1.70366254894706</v>
      </c>
      <c r="K738" s="6" t="n">
        <v>-2.86615734543515</v>
      </c>
      <c r="L738" s="6" t="n">
        <v>0.979578904397493</v>
      </c>
      <c r="M738" s="6" t="n">
        <v>3.84319781845451</v>
      </c>
      <c r="N738" s="6" t="n">
        <v>-1.10584775563247</v>
      </c>
      <c r="O738" s="6" t="n">
        <v>1.92702980027122</v>
      </c>
      <c r="P738" s="6" t="n">
        <v>-1.61543320433621</v>
      </c>
      <c r="Q738" s="6" t="n">
        <v>-0.992533668236881</v>
      </c>
      <c r="R738" s="6" t="n">
        <v>-1.35501284420155</v>
      </c>
      <c r="S738" s="6" t="n">
        <v>1.45273377007562</v>
      </c>
      <c r="T738" s="6" t="n">
        <v>0.988072255248346</v>
      </c>
      <c r="U738" s="6" t="n">
        <v>-0.404757813424823</v>
      </c>
      <c r="V738" s="6" t="n">
        <v>2.46564691642804</v>
      </c>
      <c r="W738" s="6" t="n">
        <v>-2.1217188471349</v>
      </c>
      <c r="X738" s="6" t="n">
        <v>-1.5970064535244</v>
      </c>
      <c r="Y738" s="6" t="n">
        <v>2.35340216212575</v>
      </c>
      <c r="Z738" s="6" t="n">
        <v>1.91107130913718</v>
      </c>
      <c r="AA738" s="6" t="n">
        <v>-0.925205936785187</v>
      </c>
      <c r="AB738" s="6" t="n">
        <v>2.26297310721768</v>
      </c>
      <c r="AC738" s="6" t="n">
        <v>0.794027599438797</v>
      </c>
      <c r="AD738" s="6" t="n">
        <v>-1.48444177917079</v>
      </c>
      <c r="AE738" s="6" t="n">
        <v>-0.0447065664312763</v>
      </c>
      <c r="AF738" s="6" t="n">
        <v>-3.75639080597611</v>
      </c>
      <c r="AG738" s="6" t="n">
        <v>0.735342121485971</v>
      </c>
      <c r="AH738" s="6" t="n">
        <v>-4.24700497445013</v>
      </c>
      <c r="AI738" s="6" t="n">
        <v>-0.504785556293483</v>
      </c>
      <c r="AJ738" s="6" t="n">
        <v>75.1892847671227</v>
      </c>
      <c r="AK738" s="6" t="n">
        <v>0.127046058003863</v>
      </c>
      <c r="AL738" s="6" t="n">
        <v>0.991587975937081</v>
      </c>
      <c r="AN738" s="6" t="n">
        <v>1.31702238593432</v>
      </c>
      <c r="AO738" s="6" t="n">
        <v>1.31702238593432</v>
      </c>
      <c r="AP738" s="6" t="n">
        <v>0.142635126116522</v>
      </c>
      <c r="AQ738" s="6" t="n">
        <v>0</v>
      </c>
      <c r="AR738" s="6" t="n">
        <v>0</v>
      </c>
    </row>
    <row r="739" customFormat="false" ht="15" hidden="false" customHeight="false" outlineLevel="0" collapsed="false">
      <c r="D739" s="0" t="s">
        <v>865</v>
      </c>
      <c r="J739" s="6" t="n">
        <v>-2.77573399875853</v>
      </c>
      <c r="K739" s="6" t="n">
        <v>1.4682321906913</v>
      </c>
      <c r="L739" s="6" t="n">
        <v>-3.31304093913954</v>
      </c>
      <c r="M739" s="6" t="n">
        <v>1.80414489539468</v>
      </c>
      <c r="N739" s="6" t="n">
        <v>-0.0481611054282091</v>
      </c>
      <c r="O739" s="6" t="n">
        <v>-1.58502640952668</v>
      </c>
      <c r="P739" s="6" t="n">
        <v>2.75441458419059</v>
      </c>
      <c r="Q739" s="6" t="n">
        <v>1.22810424526186</v>
      </c>
      <c r="R739" s="6" t="n">
        <v>1.61860885982067</v>
      </c>
      <c r="S739" s="6" t="n">
        <v>-1.96886122782816</v>
      </c>
      <c r="T739" s="6" t="n">
        <v>-0.575617555759748</v>
      </c>
      <c r="U739" s="6" t="n">
        <v>-4.33201003223285</v>
      </c>
      <c r="V739" s="6" t="n">
        <v>0.2642218489975</v>
      </c>
      <c r="W739" s="6" t="n">
        <v>-1.76321437944759</v>
      </c>
      <c r="X739" s="6" t="n">
        <v>4.10863691633274</v>
      </c>
      <c r="Y739" s="6" t="n">
        <v>3.54640717978527</v>
      </c>
      <c r="Z739" s="6" t="n">
        <v>1.61719570835537</v>
      </c>
      <c r="AA739" s="6" t="n">
        <v>2.04403879438229</v>
      </c>
      <c r="AB739" s="6" t="n">
        <v>1.120716993451</v>
      </c>
      <c r="AC739" s="6" t="n">
        <v>1.27611868702856</v>
      </c>
      <c r="AD739" s="6" t="n">
        <v>-0.171193751228394</v>
      </c>
      <c r="AE739" s="6" t="n">
        <v>-2.10615197797613</v>
      </c>
      <c r="AF739" s="6" t="n">
        <v>-0.532737803286293</v>
      </c>
      <c r="AG739" s="6" t="n">
        <v>1.65423255015615</v>
      </c>
      <c r="AH739" s="6" t="n">
        <v>1.75431413405465</v>
      </c>
      <c r="AI739" s="6" t="n">
        <v>-0.383802645037565</v>
      </c>
      <c r="AJ739" s="6" t="n">
        <v>72.4825007674675</v>
      </c>
      <c r="AK739" s="6" t="n">
        <v>0.146862428275299</v>
      </c>
      <c r="AL739" s="6" t="n">
        <v>1.01598949072217</v>
      </c>
      <c r="AN739" s="6" t="n">
        <v>1.31191067010233</v>
      </c>
      <c r="AO739" s="6" t="n">
        <v>1.31284637245497</v>
      </c>
      <c r="AP739" s="6" t="n">
        <v>0.137566719617893</v>
      </c>
      <c r="AQ739" s="6" t="n">
        <v>0</v>
      </c>
      <c r="AR739" s="6" t="n">
        <v>0</v>
      </c>
    </row>
    <row r="740" customFormat="false" ht="15" hidden="false" customHeight="false" outlineLevel="0" collapsed="false">
      <c r="D740" s="0" t="s">
        <v>866</v>
      </c>
      <c r="J740" s="6" t="n">
        <v>-3.23730313955093</v>
      </c>
      <c r="K740" s="6" t="n">
        <v>-2.56788573939769</v>
      </c>
      <c r="L740" s="6" t="n">
        <v>1.47760383291694</v>
      </c>
      <c r="M740" s="6" t="n">
        <v>0.490243918215041</v>
      </c>
      <c r="N740" s="6" t="n">
        <v>1.62439201327074</v>
      </c>
      <c r="O740" s="6" t="n">
        <v>-0.105873575700808</v>
      </c>
      <c r="P740" s="6" t="n">
        <v>0.127445954990697</v>
      </c>
      <c r="Q740" s="6" t="n">
        <v>-1.3171145238014</v>
      </c>
      <c r="R740" s="6" t="n">
        <v>5</v>
      </c>
      <c r="S740" s="6" t="n">
        <v>-0.560593516156693</v>
      </c>
      <c r="T740" s="6" t="n">
        <v>-2.95889532014211</v>
      </c>
      <c r="U740" s="6" t="n">
        <v>-1.40799967474983</v>
      </c>
      <c r="V740" s="6" t="n">
        <v>1.03675168890011</v>
      </c>
      <c r="W740" s="6" t="n">
        <v>0.964220784490033</v>
      </c>
      <c r="X740" s="6" t="n">
        <v>-0.663186310924105</v>
      </c>
      <c r="Y740" s="6" t="n">
        <v>-0.299471198626616</v>
      </c>
      <c r="Z740" s="6" t="n">
        <v>0.310868531485797</v>
      </c>
      <c r="AA740" s="6" t="n">
        <v>0.331115154775025</v>
      </c>
      <c r="AB740" s="6" t="n">
        <v>-3.53895763153447</v>
      </c>
      <c r="AC740" s="6" t="n">
        <v>4.11655975662967</v>
      </c>
      <c r="AD740" s="6" t="n">
        <v>1.98166658871339</v>
      </c>
      <c r="AE740" s="6" t="n">
        <v>3.63450715305612</v>
      </c>
      <c r="AF740" s="6" t="n">
        <v>-0.147367664175085</v>
      </c>
      <c r="AG740" s="6" t="n">
        <v>-1.883859695933</v>
      </c>
      <c r="AH740" s="6" t="n">
        <v>2.35219015017663</v>
      </c>
      <c r="AI740" s="6" t="n">
        <v>-1.1581666965849</v>
      </c>
      <c r="AJ740" s="6" t="n">
        <v>78.5068491009307</v>
      </c>
      <c r="AK740" s="6" t="n">
        <v>0.140680206008489</v>
      </c>
      <c r="AL740" s="6" t="n">
        <v>1.07197455083847</v>
      </c>
      <c r="AN740" s="6" t="n">
        <v>1.28681149342029</v>
      </c>
      <c r="AO740" s="6" t="n">
        <v>1.28773493593008</v>
      </c>
      <c r="AP740" s="6" t="n">
        <v>0.132223407347442</v>
      </c>
      <c r="AQ740" s="6" t="n">
        <v>0</v>
      </c>
      <c r="AR740" s="6" t="n">
        <v>0</v>
      </c>
    </row>
    <row r="741" customFormat="false" ht="15" hidden="false" customHeight="false" outlineLevel="0" collapsed="false">
      <c r="D741" s="0" t="s">
        <v>867</v>
      </c>
      <c r="J741" s="6" t="n">
        <v>-1.77677412768991</v>
      </c>
      <c r="K741" s="6" t="n">
        <v>-0.237261543873925</v>
      </c>
      <c r="L741" s="6" t="n">
        <v>0.769373389641917</v>
      </c>
      <c r="M741" s="6" t="n">
        <v>1.71320840643402</v>
      </c>
      <c r="N741" s="6" t="n">
        <v>-2.17502471546055</v>
      </c>
      <c r="O741" s="6" t="n">
        <v>-0.467270980282177</v>
      </c>
      <c r="P741" s="6" t="n">
        <v>-1.25177303817403</v>
      </c>
      <c r="Q741" s="6" t="n">
        <v>-4.41014630694815</v>
      </c>
      <c r="R741" s="6" t="n">
        <v>-0.935335103193776</v>
      </c>
      <c r="S741" s="6" t="n">
        <v>-0.882174244847711</v>
      </c>
      <c r="T741" s="6" t="n">
        <v>1.96303582100745</v>
      </c>
      <c r="U741" s="6" t="n">
        <v>-5.12715896087528</v>
      </c>
      <c r="V741" s="6" t="n">
        <v>2.18717351267354</v>
      </c>
      <c r="W741" s="6" t="n">
        <v>1.5017170754287</v>
      </c>
      <c r="X741" s="6" t="n">
        <v>2.33801693660099</v>
      </c>
      <c r="Y741" s="6" t="n">
        <v>0.0144981138419109</v>
      </c>
      <c r="Z741" s="6" t="n">
        <v>-0.629244653650517</v>
      </c>
      <c r="AA741" s="6" t="n">
        <v>-1.75030557060389</v>
      </c>
      <c r="AB741" s="6" t="n">
        <v>1.23757074383194</v>
      </c>
      <c r="AC741" s="6" t="n">
        <v>2.50954264317251</v>
      </c>
      <c r="AD741" s="6" t="n">
        <v>0.99493972353082</v>
      </c>
      <c r="AE741" s="6" t="n">
        <v>3.30083637641281</v>
      </c>
      <c r="AF741" s="6" t="n">
        <v>-0.110756840709788</v>
      </c>
      <c r="AG741" s="6" t="n">
        <v>-1.3025435804597</v>
      </c>
      <c r="AH741" s="6" t="n">
        <v>0.406845146616782</v>
      </c>
      <c r="AI741" s="6" t="n">
        <v>-4.62557644138218</v>
      </c>
      <c r="AJ741" s="6" t="n">
        <v>69.0755635113767</v>
      </c>
      <c r="AK741" s="6" t="n">
        <v>0.144681687973865</v>
      </c>
      <c r="AL741" s="6" t="n">
        <v>1.05810730479584</v>
      </c>
      <c r="AN741" s="6" t="n">
        <v>1.28980438204727</v>
      </c>
      <c r="AO741" s="6" t="n">
        <v>1.29024059269377</v>
      </c>
      <c r="AP741" s="6" t="n">
        <v>0.131917533585139</v>
      </c>
      <c r="AQ741" s="6" t="n">
        <v>0</v>
      </c>
      <c r="AR741" s="6" t="n">
        <v>0</v>
      </c>
    </row>
    <row r="742" customFormat="false" ht="15" hidden="false" customHeight="false" outlineLevel="0" collapsed="false">
      <c r="D742" s="0" t="s">
        <v>868</v>
      </c>
      <c r="J742" s="6" t="n">
        <v>0.135542760671667</v>
      </c>
      <c r="K742" s="6" t="n">
        <v>-1.78563874434289</v>
      </c>
      <c r="L742" s="6" t="n">
        <v>0.845520846495408</v>
      </c>
      <c r="M742" s="6" t="n">
        <v>1.1519108708735</v>
      </c>
      <c r="N742" s="6" t="n">
        <v>-1.09788129578231</v>
      </c>
      <c r="O742" s="6" t="n">
        <v>-0.754516945982471</v>
      </c>
      <c r="P742" s="6" t="n">
        <v>-0.0594902052229413</v>
      </c>
      <c r="Q742" s="6" t="n">
        <v>0.471763319148431</v>
      </c>
      <c r="R742" s="6" t="n">
        <v>-1.34186326729112</v>
      </c>
      <c r="S742" s="6" t="n">
        <v>-3.19575923179677</v>
      </c>
      <c r="T742" s="6" t="n">
        <v>0.733120414484133</v>
      </c>
      <c r="U742" s="6" t="n">
        <v>3.77864685874312</v>
      </c>
      <c r="V742" s="6" t="n">
        <v>-2.00591514629892</v>
      </c>
      <c r="W742" s="6" t="n">
        <v>0.585053022766525</v>
      </c>
      <c r="X742" s="6" t="n">
        <v>1.02182107317142</v>
      </c>
      <c r="Y742" s="6" t="n">
        <v>-3.8576293881007</v>
      </c>
      <c r="Z742" s="6" t="n">
        <v>-0.275200555538385</v>
      </c>
      <c r="AA742" s="6" t="n">
        <v>1.25402614749642</v>
      </c>
      <c r="AB742" s="6" t="n">
        <v>-2.38484591229653</v>
      </c>
      <c r="AC742" s="6" t="n">
        <v>3.34306083185592</v>
      </c>
      <c r="AD742" s="6" t="n">
        <v>-1.15799484201861</v>
      </c>
      <c r="AE742" s="6" t="n">
        <v>2.50021952850388</v>
      </c>
      <c r="AF742" s="6" t="n">
        <v>4.32194105270504</v>
      </c>
      <c r="AG742" s="6" t="n">
        <v>-3.78791546997868</v>
      </c>
      <c r="AH742" s="6" t="n">
        <v>1.7965510709168</v>
      </c>
      <c r="AI742" s="6" t="n">
        <v>1.47384145732004</v>
      </c>
      <c r="AJ742" s="6" t="n">
        <v>65.2405690387576</v>
      </c>
      <c r="AK742" s="6" t="n">
        <v>0.110136760841091</v>
      </c>
      <c r="AL742" s="6" t="n">
        <v>1.06817241121998</v>
      </c>
      <c r="AN742" s="6" t="n">
        <v>1.28804226167617</v>
      </c>
      <c r="AO742" s="6" t="n">
        <v>1.28876065579125</v>
      </c>
      <c r="AP742" s="6" t="n">
        <v>0.13234763412146</v>
      </c>
      <c r="AQ742" s="6" t="n">
        <v>0</v>
      </c>
      <c r="AR742" s="6" t="n">
        <v>0</v>
      </c>
    </row>
    <row r="743" customFormat="false" ht="15" hidden="false" customHeight="false" outlineLevel="0" collapsed="false">
      <c r="D743" s="0" t="s">
        <v>869</v>
      </c>
      <c r="J743" s="6" t="n">
        <v>-3.19996937588542</v>
      </c>
      <c r="K743" s="6" t="n">
        <v>0.648148692283889</v>
      </c>
      <c r="L743" s="6" t="n">
        <v>-1.35892006840532</v>
      </c>
      <c r="M743" s="6" t="n">
        <v>0.842742269712455</v>
      </c>
      <c r="N743" s="6" t="n">
        <v>-0.309536464036713</v>
      </c>
      <c r="O743" s="6" t="n">
        <v>1.76343703315016</v>
      </c>
      <c r="P743" s="6" t="n">
        <v>0.485890396110114</v>
      </c>
      <c r="Q743" s="6" t="n">
        <v>-1.48521552987873</v>
      </c>
      <c r="R743" s="6" t="n">
        <v>0.177962331162479</v>
      </c>
      <c r="S743" s="6" t="n">
        <v>-0.157441047587812</v>
      </c>
      <c r="T743" s="6" t="n">
        <v>0.28614194107912</v>
      </c>
      <c r="U743" s="6" t="n">
        <v>4.16519091391198</v>
      </c>
      <c r="V743" s="6" t="n">
        <v>-3.18325741656279</v>
      </c>
      <c r="W743" s="6" t="n">
        <v>-0.95256329086365</v>
      </c>
      <c r="X743" s="6" t="n">
        <v>-0.617696625982656</v>
      </c>
      <c r="Y743" s="6" t="n">
        <v>-3.74064492420181</v>
      </c>
      <c r="Z743" s="6" t="n">
        <v>0.42436359654103</v>
      </c>
      <c r="AA743" s="6" t="n">
        <v>1.73159332978957</v>
      </c>
      <c r="AB743" s="6" t="n">
        <v>-4.20175689398494</v>
      </c>
      <c r="AC743" s="6" t="n">
        <v>2.97455290887006</v>
      </c>
      <c r="AD743" s="6" t="n">
        <v>1.38727386151595</v>
      </c>
      <c r="AE743" s="6" t="n">
        <v>-0.511835616220761</v>
      </c>
      <c r="AF743" s="6" t="n">
        <v>-0.0983685001023282</v>
      </c>
      <c r="AG743" s="6" t="n">
        <v>-2.64943460129352</v>
      </c>
      <c r="AH743" s="6" t="n">
        <v>-0.818447839186833</v>
      </c>
      <c r="AI743" s="6" t="n">
        <v>0.269074576427971</v>
      </c>
      <c r="AJ743" s="6" t="n">
        <v>78.6181241565006</v>
      </c>
      <c r="AK743" s="6" t="n">
        <v>0.0903096265387552</v>
      </c>
      <c r="AL743" s="6" t="n">
        <v>1.04493077497812</v>
      </c>
      <c r="AN743" s="6" t="n">
        <v>1.30375410409701</v>
      </c>
      <c r="AO743" s="6" t="n">
        <v>1.30392499986783</v>
      </c>
      <c r="AP743" s="6" t="n">
        <v>0.135660592654633</v>
      </c>
      <c r="AQ743" s="6" t="n">
        <v>0</v>
      </c>
      <c r="AR743" s="6" t="n">
        <v>0</v>
      </c>
    </row>
    <row r="744" customFormat="false" ht="15" hidden="false" customHeight="false" outlineLevel="0" collapsed="false">
      <c r="D744" s="0" t="s">
        <v>870</v>
      </c>
      <c r="J744" s="6" t="n">
        <v>-0.0623756094080464</v>
      </c>
      <c r="K744" s="6" t="n">
        <v>-0.525832988201739</v>
      </c>
      <c r="L744" s="6" t="n">
        <v>-0.288014100732908</v>
      </c>
      <c r="M744" s="6" t="n">
        <v>0.982491004548402</v>
      </c>
      <c r="N744" s="6" t="n">
        <v>0.83937737821082</v>
      </c>
      <c r="O744" s="6" t="n">
        <v>-0.0557896648761373</v>
      </c>
      <c r="P744" s="6" t="n">
        <v>-0.324921933294056</v>
      </c>
      <c r="Q744" s="6" t="n">
        <v>-2.25155327100613</v>
      </c>
      <c r="R744" s="6" t="n">
        <v>-0.543249914929807</v>
      </c>
      <c r="S744" s="6" t="n">
        <v>-3.56550698568887</v>
      </c>
      <c r="T744" s="6" t="n">
        <v>-0.543352399404545</v>
      </c>
      <c r="U744" s="6" t="n">
        <v>-3.0133353719395</v>
      </c>
      <c r="V744" s="6" t="n">
        <v>1.03395956097763</v>
      </c>
      <c r="W744" s="6" t="n">
        <v>-1.65670876113193</v>
      </c>
      <c r="X744" s="6" t="n">
        <v>1.45203826631371</v>
      </c>
      <c r="Y744" s="6" t="n">
        <v>-3.44873583750016</v>
      </c>
      <c r="Z744" s="6" t="n">
        <v>-3.55731055744656</v>
      </c>
      <c r="AA744" s="6" t="n">
        <v>0.217406177621163</v>
      </c>
      <c r="AB744" s="6" t="n">
        <v>-1.03518492471638</v>
      </c>
      <c r="AC744" s="6" t="n">
        <v>-0.869849895108042</v>
      </c>
      <c r="AD744" s="6" t="n">
        <v>-2.39821032986859</v>
      </c>
      <c r="AE744" s="6" t="n">
        <v>-3.03672682074788</v>
      </c>
      <c r="AF744" s="6" t="n">
        <v>-0.999840830636338</v>
      </c>
      <c r="AG744" s="6" t="n">
        <v>2.19633046896512</v>
      </c>
      <c r="AH744" s="6" t="n">
        <v>-0.692273158416409</v>
      </c>
      <c r="AI744" s="6" t="n">
        <v>-0.251096443410077</v>
      </c>
      <c r="AJ744" s="6" t="n">
        <v>66.6411962068885</v>
      </c>
      <c r="AK744" s="6" t="n">
        <v>0.080094443376756</v>
      </c>
      <c r="AL744" s="6" t="n">
        <v>1.06268052108879</v>
      </c>
      <c r="AN744" s="6" t="n">
        <v>1.2933614270505</v>
      </c>
      <c r="AO744" s="6" t="n">
        <v>1.29358125932568</v>
      </c>
      <c r="AP744" s="6" t="n">
        <v>0.13320340822446</v>
      </c>
      <c r="AQ744" s="6" t="n">
        <v>0</v>
      </c>
      <c r="AR744" s="6" t="n">
        <v>0</v>
      </c>
    </row>
    <row r="745" customFormat="false" ht="15" hidden="false" customHeight="false" outlineLevel="0" collapsed="false">
      <c r="D745" s="0" t="s">
        <v>871</v>
      </c>
      <c r="J745" s="6" t="n">
        <v>0.223050450624679</v>
      </c>
      <c r="K745" s="6" t="n">
        <v>-0.815482702924066</v>
      </c>
      <c r="L745" s="6" t="n">
        <v>-1.83335706498444</v>
      </c>
      <c r="M745" s="6" t="n">
        <v>-1.48290809518982</v>
      </c>
      <c r="N745" s="6" t="n">
        <v>-1.50003173919141</v>
      </c>
      <c r="O745" s="6" t="n">
        <v>0.20689031237563</v>
      </c>
      <c r="P745" s="6" t="n">
        <v>1.1543806864387</v>
      </c>
      <c r="Q745" s="6" t="n">
        <v>1.72811327441</v>
      </c>
      <c r="R745" s="6" t="n">
        <v>-0.8793431253774</v>
      </c>
      <c r="S745" s="6" t="n">
        <v>1.28834270911387</v>
      </c>
      <c r="T745" s="6" t="n">
        <v>-2.66741123072133</v>
      </c>
      <c r="U745" s="6" t="n">
        <v>1.17439900308286</v>
      </c>
      <c r="V745" s="6" t="n">
        <v>-0.244416145037459</v>
      </c>
      <c r="W745" s="6" t="n">
        <v>-1.4321027250742</v>
      </c>
      <c r="X745" s="6" t="n">
        <v>-0.355101353516909</v>
      </c>
      <c r="Y745" s="6" t="n">
        <v>2.34189713262961</v>
      </c>
      <c r="Z745" s="6" t="n">
        <v>1.8593941164693</v>
      </c>
      <c r="AA745" s="6" t="n">
        <v>3.42071222483359</v>
      </c>
      <c r="AB745" s="6" t="n">
        <v>-2.22756703795327</v>
      </c>
      <c r="AC745" s="6" t="n">
        <v>-1.68599680520362</v>
      </c>
      <c r="AD745" s="6" t="n">
        <v>1.75136557341297</v>
      </c>
      <c r="AE745" s="6" t="n">
        <v>-1.63669704786682</v>
      </c>
      <c r="AF745" s="6" t="n">
        <v>-0.484408603422422</v>
      </c>
      <c r="AG745" s="6" t="n">
        <v>-2.78591836018875</v>
      </c>
      <c r="AH745" s="6" t="n">
        <v>-2.26392170211672</v>
      </c>
      <c r="AI745" s="6" t="n">
        <v>-0.909837066199528</v>
      </c>
      <c r="AJ745" s="6" t="n">
        <v>72.1426434323451</v>
      </c>
      <c r="AK745" s="6" t="n">
        <v>0.112827414654793</v>
      </c>
      <c r="AL745" s="6" t="n">
        <v>1.06025757848216</v>
      </c>
      <c r="AN745" s="6" t="n">
        <v>1.29191305594755</v>
      </c>
      <c r="AO745" s="6" t="n">
        <v>1.29266525330361</v>
      </c>
      <c r="AP745" s="6" t="n">
        <v>0.133532508050872</v>
      </c>
      <c r="AQ745" s="6" t="n">
        <v>0</v>
      </c>
      <c r="AR745" s="6" t="n">
        <v>0</v>
      </c>
    </row>
    <row r="746" customFormat="false" ht="15" hidden="false" customHeight="false" outlineLevel="0" collapsed="false">
      <c r="D746" s="0" t="s">
        <v>872</v>
      </c>
      <c r="J746" s="6" t="n">
        <v>-2.02923281476101</v>
      </c>
      <c r="K746" s="6" t="n">
        <v>4.08008370753694</v>
      </c>
      <c r="L746" s="6" t="n">
        <v>0.538689904514934</v>
      </c>
      <c r="M746" s="6" t="n">
        <v>-0.355679607672385</v>
      </c>
      <c r="N746" s="6" t="n">
        <v>2.23209003952097</v>
      </c>
      <c r="O746" s="6" t="n">
        <v>-1.32049705004878</v>
      </c>
      <c r="P746" s="6" t="n">
        <v>2.47174861310887</v>
      </c>
      <c r="Q746" s="6" t="n">
        <v>0.296625059719822</v>
      </c>
      <c r="R746" s="6" t="n">
        <v>-1.61319694290842</v>
      </c>
      <c r="S746" s="6" t="n">
        <v>-0.877997793438153</v>
      </c>
      <c r="T746" s="6" t="n">
        <v>-2.90705268680942</v>
      </c>
      <c r="U746" s="6" t="n">
        <v>0.253902712544136</v>
      </c>
      <c r="V746" s="6" t="n">
        <v>-1.62511349338653</v>
      </c>
      <c r="W746" s="6" t="n">
        <v>-3.87426053368002</v>
      </c>
      <c r="X746" s="6" t="n">
        <v>3.73728384431144</v>
      </c>
      <c r="Y746" s="6" t="n">
        <v>-0.20297461227518</v>
      </c>
      <c r="Z746" s="6" t="n">
        <v>-2.56192916820635</v>
      </c>
      <c r="AA746" s="6" t="n">
        <v>-0.529160517924856</v>
      </c>
      <c r="AB746" s="6" t="n">
        <v>0.76761374647834</v>
      </c>
      <c r="AC746" s="6" t="n">
        <v>0.276180182787833</v>
      </c>
      <c r="AD746" s="6" t="n">
        <v>1.04724942966201</v>
      </c>
      <c r="AE746" s="6" t="n">
        <v>1.09209225977976</v>
      </c>
      <c r="AF746" s="6" t="n">
        <v>0.637751240660406</v>
      </c>
      <c r="AG746" s="6" t="n">
        <v>0.253961570929732</v>
      </c>
      <c r="AH746" s="6" t="n">
        <v>2.67385253210837</v>
      </c>
      <c r="AI746" s="6" t="n">
        <v>-1.5646790880132</v>
      </c>
      <c r="AJ746" s="6" t="n">
        <v>71.0402096152774</v>
      </c>
      <c r="AK746" s="6" t="n">
        <v>0.135901382779994</v>
      </c>
      <c r="AL746" s="6" t="n">
        <v>1.08856041090536</v>
      </c>
      <c r="AN746" s="6" t="n">
        <v>1.27928041541003</v>
      </c>
      <c r="AO746" s="6" t="n">
        <v>1.27991034716792</v>
      </c>
      <c r="AP746" s="6" t="n">
        <v>0.131016459121926</v>
      </c>
      <c r="AQ746" s="6" t="n">
        <v>0</v>
      </c>
      <c r="AR746" s="6" t="n">
        <v>0</v>
      </c>
    </row>
    <row r="747" customFormat="false" ht="15" hidden="false" customHeight="false" outlineLevel="0" collapsed="false">
      <c r="D747" s="0" t="s">
        <v>873</v>
      </c>
      <c r="J747" s="6" t="n">
        <v>1.17909013569812</v>
      </c>
      <c r="K747" s="6" t="n">
        <v>-0.635299761766514</v>
      </c>
      <c r="L747" s="6" t="n">
        <v>-0.948486911887538</v>
      </c>
      <c r="M747" s="6" t="n">
        <v>0.749245357269262</v>
      </c>
      <c r="N747" s="6" t="n">
        <v>0.0959779570722649</v>
      </c>
      <c r="O747" s="6" t="n">
        <v>0.538785009734996</v>
      </c>
      <c r="P747" s="6" t="n">
        <v>-1.48362886514918</v>
      </c>
      <c r="Q747" s="6" t="n">
        <v>0.575231956461836</v>
      </c>
      <c r="R747" s="6" t="n">
        <v>2.47853007039083</v>
      </c>
      <c r="S747" s="6" t="n">
        <v>0.845243039942086</v>
      </c>
      <c r="T747" s="6" t="n">
        <v>2.70394372841024</v>
      </c>
      <c r="U747" s="6" t="n">
        <v>1.45814026787592</v>
      </c>
      <c r="V747" s="6" t="n">
        <v>1.14726817028515</v>
      </c>
      <c r="W747" s="6" t="n">
        <v>1.32838594194158</v>
      </c>
      <c r="X747" s="6" t="n">
        <v>1.00291436798456</v>
      </c>
      <c r="Y747" s="6" t="n">
        <v>-3.70622928583233</v>
      </c>
      <c r="Z747" s="6" t="n">
        <v>-0.979653567448847</v>
      </c>
      <c r="AA747" s="6" t="n">
        <v>1.11210231501699</v>
      </c>
      <c r="AB747" s="6" t="n">
        <v>0.0472982249776925</v>
      </c>
      <c r="AC747" s="6" t="n">
        <v>-2.35575865912978</v>
      </c>
      <c r="AD747" s="6" t="n">
        <v>-1.05361281272738</v>
      </c>
      <c r="AE747" s="6" t="n">
        <v>2.38771291433107</v>
      </c>
      <c r="AF747" s="6" t="n">
        <v>-3.44737699375342</v>
      </c>
      <c r="AG747" s="6" t="n">
        <v>-1.62864475290554</v>
      </c>
      <c r="AH747" s="6" t="n">
        <v>-0.340988511272185</v>
      </c>
      <c r="AI747" s="6" t="n">
        <v>2.50400461626649</v>
      </c>
      <c r="AJ747" s="6" t="n">
        <v>65.6063215862486</v>
      </c>
      <c r="AK747" s="6" t="n">
        <v>0.163144491343827</v>
      </c>
      <c r="AL747" s="6" t="n">
        <v>1.04296892284798</v>
      </c>
      <c r="AN747" s="6" t="n">
        <v>1.29180283824211</v>
      </c>
      <c r="AO747" s="6" t="n">
        <v>1.29184604012844</v>
      </c>
      <c r="AP747" s="6" t="n">
        <v>0.133080900010973</v>
      </c>
      <c r="AQ747" s="6" t="n">
        <v>0</v>
      </c>
      <c r="AR747" s="6" t="n">
        <v>0</v>
      </c>
    </row>
    <row r="748" customFormat="false" ht="15" hidden="false" customHeight="false" outlineLevel="0" collapsed="false">
      <c r="D748" s="0" t="s">
        <v>874</v>
      </c>
      <c r="J748" s="6" t="n">
        <v>1.94124595735234</v>
      </c>
      <c r="K748" s="6" t="n">
        <v>-1.90993521395016</v>
      </c>
      <c r="L748" s="6" t="n">
        <v>0.0530236073723602</v>
      </c>
      <c r="M748" s="6" t="n">
        <v>1.48191677927882</v>
      </c>
      <c r="N748" s="6" t="n">
        <v>-4.45938394532837</v>
      </c>
      <c r="O748" s="6" t="n">
        <v>2.6620646427425</v>
      </c>
      <c r="P748" s="6" t="n">
        <v>-2.2482868522878</v>
      </c>
      <c r="Q748" s="6" t="n">
        <v>1.31901074996186</v>
      </c>
      <c r="R748" s="6" t="n">
        <v>0.554520979834424</v>
      </c>
      <c r="S748" s="6" t="n">
        <v>-0.856063700219087</v>
      </c>
      <c r="T748" s="6" t="n">
        <v>-0.569332798120742</v>
      </c>
      <c r="U748" s="6" t="n">
        <v>1.31082647897442</v>
      </c>
      <c r="V748" s="6" t="n">
        <v>-2.76577765462496</v>
      </c>
      <c r="W748" s="6" t="n">
        <v>-0.32925527287135</v>
      </c>
      <c r="X748" s="6" t="n">
        <v>-0.401605135335423</v>
      </c>
      <c r="Y748" s="6" t="n">
        <v>-0.616809821409816</v>
      </c>
      <c r="Z748" s="6" t="n">
        <v>-0.383937872207042</v>
      </c>
      <c r="AA748" s="6" t="n">
        <v>2.42498942302254</v>
      </c>
      <c r="AB748" s="6" t="n">
        <v>-2.50629771440421</v>
      </c>
      <c r="AC748" s="6" t="n">
        <v>1.80766010440177</v>
      </c>
      <c r="AD748" s="6" t="n">
        <v>0.568068750460743</v>
      </c>
      <c r="AE748" s="6" t="n">
        <v>-0.0198674483965768</v>
      </c>
      <c r="AF748" s="6" t="n">
        <v>1.71973800082372</v>
      </c>
      <c r="AG748" s="6" t="n">
        <v>-3.53753522169967</v>
      </c>
      <c r="AH748" s="6" t="n">
        <v>1.67367408649521</v>
      </c>
      <c r="AI748" s="6" t="n">
        <v>1.2541426874836</v>
      </c>
      <c r="AJ748" s="6" t="n">
        <v>73.5417796552124</v>
      </c>
      <c r="AK748" s="6" t="n">
        <v>0.10435099470113</v>
      </c>
      <c r="AL748" s="6" t="n">
        <v>1.06778347215104</v>
      </c>
      <c r="AN748" s="6" t="n">
        <v>1.28978944388416</v>
      </c>
      <c r="AO748" s="6" t="n">
        <v>1.28987062427034</v>
      </c>
      <c r="AP748" s="6" t="n">
        <v>0.133235759576468</v>
      </c>
      <c r="AQ748" s="6" t="n">
        <v>0</v>
      </c>
      <c r="AR748" s="6" t="n">
        <v>0</v>
      </c>
    </row>
    <row r="749" customFormat="false" ht="15" hidden="false" customHeight="false" outlineLevel="0" collapsed="false">
      <c r="D749" s="0" t="s">
        <v>875</v>
      </c>
      <c r="J749" s="6" t="n">
        <v>-0.576165013975606</v>
      </c>
      <c r="K749" s="6" t="n">
        <v>-2.275893280561</v>
      </c>
      <c r="L749" s="6" t="n">
        <v>-0.908194732857332</v>
      </c>
      <c r="M749" s="6" t="n">
        <v>3.49663685406758</v>
      </c>
      <c r="N749" s="6" t="n">
        <v>-1.52884327193992</v>
      </c>
      <c r="O749" s="6" t="n">
        <v>1.16727051973758</v>
      </c>
      <c r="P749" s="6" t="n">
        <v>-1.71034864681804</v>
      </c>
      <c r="Q749" s="6" t="n">
        <v>1.43320460367527</v>
      </c>
      <c r="R749" s="6" t="n">
        <v>-1.63814137892423</v>
      </c>
      <c r="S749" s="6" t="n">
        <v>2.70753667694849</v>
      </c>
      <c r="T749" s="6" t="n">
        <v>-1.62736142212341</v>
      </c>
      <c r="U749" s="6" t="n">
        <v>-1.05207361799202</v>
      </c>
      <c r="V749" s="6" t="n">
        <v>-0.254989150011546</v>
      </c>
      <c r="W749" s="6" t="n">
        <v>-2.06724429117473</v>
      </c>
      <c r="X749" s="6" t="n">
        <v>1.26770643616997</v>
      </c>
      <c r="Y749" s="6" t="n">
        <v>-2.05029414364159</v>
      </c>
      <c r="Z749" s="6" t="n">
        <v>-2.43014229606181</v>
      </c>
      <c r="AA749" s="6" t="n">
        <v>-2.00744908840268</v>
      </c>
      <c r="AB749" s="6" t="n">
        <v>-2.4430010554996</v>
      </c>
      <c r="AC749" s="6" t="n">
        <v>0.336859710314614</v>
      </c>
      <c r="AD749" s="6" t="n">
        <v>-0.686457129407731</v>
      </c>
      <c r="AE749" s="6" t="n">
        <v>-0.456474669805984</v>
      </c>
      <c r="AF749" s="6" t="n">
        <v>-3.23914765724702</v>
      </c>
      <c r="AG749" s="6" t="n">
        <v>-1.00899421953996</v>
      </c>
      <c r="AH749" s="6" t="n">
        <v>1.24741316879678</v>
      </c>
      <c r="AI749" s="6" t="n">
        <v>2.00359202262273</v>
      </c>
      <c r="AJ749" s="6" t="n">
        <v>74.3290110702243</v>
      </c>
      <c r="AK749" s="6" t="n">
        <v>0.114921907972238</v>
      </c>
      <c r="AL749" s="6" t="n">
        <v>1.0569147301754</v>
      </c>
      <c r="AN749" s="6" t="n">
        <v>1.29405980974527</v>
      </c>
      <c r="AO749" s="6" t="n">
        <v>1.29430341550127</v>
      </c>
      <c r="AP749" s="6" t="n">
        <v>0.133926457681908</v>
      </c>
      <c r="AQ749" s="6" t="n">
        <v>0</v>
      </c>
      <c r="AR749" s="6" t="n">
        <v>0</v>
      </c>
    </row>
    <row r="750" customFormat="false" ht="15" hidden="false" customHeight="false" outlineLevel="0" collapsed="false">
      <c r="D750" s="0" t="s">
        <v>876</v>
      </c>
      <c r="J750" s="6" t="n">
        <v>-3.61878543604549</v>
      </c>
      <c r="K750" s="6" t="n">
        <v>2.90592539500682</v>
      </c>
      <c r="L750" s="6" t="n">
        <v>2.0100399462261</v>
      </c>
      <c r="M750" s="6" t="n">
        <v>1.03762579424004</v>
      </c>
      <c r="N750" s="6" t="n">
        <v>2.47425964358954</v>
      </c>
      <c r="O750" s="6" t="n">
        <v>0.282572688060721</v>
      </c>
      <c r="P750" s="6" t="n">
        <v>-2.54981811710642</v>
      </c>
      <c r="Q750" s="6" t="n">
        <v>0.4203493548887</v>
      </c>
      <c r="R750" s="6" t="n">
        <v>-4.15552793474519</v>
      </c>
      <c r="S750" s="6" t="n">
        <v>-0.739512231315558</v>
      </c>
      <c r="T750" s="6" t="n">
        <v>-2.48620972442092</v>
      </c>
      <c r="U750" s="6" t="n">
        <v>2.51924900101921</v>
      </c>
      <c r="V750" s="6" t="n">
        <v>-3.60662396351424</v>
      </c>
      <c r="W750" s="6" t="n">
        <v>-0.86541514944847</v>
      </c>
      <c r="X750" s="6" t="n">
        <v>-5.85905081182985</v>
      </c>
      <c r="Y750" s="6" t="n">
        <v>3.43455527115988</v>
      </c>
      <c r="Z750" s="6" t="n">
        <v>-1.99478064158895</v>
      </c>
      <c r="AA750" s="6" t="n">
        <v>2.22724638107398</v>
      </c>
      <c r="AB750" s="6" t="n">
        <v>0.0411844185398959</v>
      </c>
      <c r="AC750" s="6" t="n">
        <v>-0.746730757276866</v>
      </c>
      <c r="AD750" s="6" t="n">
        <v>-0.0312971161950136</v>
      </c>
      <c r="AE750" s="6" t="n">
        <v>0.67876342852308</v>
      </c>
      <c r="AF750" s="6" t="n">
        <v>-0.548830318230151</v>
      </c>
      <c r="AG750" s="6" t="n">
        <v>-2.6237506517244</v>
      </c>
      <c r="AH750" s="6" t="n">
        <v>1.71494748364045</v>
      </c>
      <c r="AI750" s="6" t="n">
        <v>1.3272050894162</v>
      </c>
      <c r="AJ750" s="6" t="n">
        <v>76.166402438362</v>
      </c>
      <c r="AK750" s="6" t="n">
        <v>0.136222007957372</v>
      </c>
      <c r="AL750" s="6" t="n">
        <v>1.04966036216164</v>
      </c>
      <c r="AN750" s="6" t="n">
        <v>1.29707834261288</v>
      </c>
      <c r="AO750" s="6" t="n">
        <v>1.2971939025142</v>
      </c>
      <c r="AP750" s="6" t="n">
        <v>0.134105748257289</v>
      </c>
      <c r="AQ750" s="6" t="n">
        <v>0</v>
      </c>
      <c r="AR750" s="6" t="n">
        <v>0</v>
      </c>
    </row>
    <row r="751" customFormat="false" ht="15" hidden="false" customHeight="false" outlineLevel="0" collapsed="false">
      <c r="D751" s="0" t="s">
        <v>877</v>
      </c>
      <c r="J751" s="6" t="n">
        <v>1.93579295653553</v>
      </c>
      <c r="K751" s="6" t="n">
        <v>1.50937873086179</v>
      </c>
      <c r="L751" s="6" t="n">
        <v>2.14935377493515</v>
      </c>
      <c r="M751" s="6" t="n">
        <v>-0.76593476241403</v>
      </c>
      <c r="N751" s="6" t="n">
        <v>-0.869403727257067</v>
      </c>
      <c r="O751" s="6" t="n">
        <v>0.306225285875197</v>
      </c>
      <c r="P751" s="6" t="n">
        <v>-3.26785768497193</v>
      </c>
      <c r="Q751" s="6" t="n">
        <v>0.562995489114301</v>
      </c>
      <c r="R751" s="6" t="n">
        <v>0.985501843549242</v>
      </c>
      <c r="S751" s="6" t="n">
        <v>2.14836327406302</v>
      </c>
      <c r="T751" s="6" t="n">
        <v>0.773726564191312</v>
      </c>
      <c r="U751" s="6" t="n">
        <v>1.71329530124024</v>
      </c>
      <c r="V751" s="6" t="n">
        <v>-1.49803265096244</v>
      </c>
      <c r="W751" s="6" t="n">
        <v>-2.3963792217546</v>
      </c>
      <c r="X751" s="6" t="n">
        <v>0.461978114146783</v>
      </c>
      <c r="Y751" s="6" t="n">
        <v>1.00479587666183</v>
      </c>
      <c r="Z751" s="6" t="n">
        <v>-1.58686876514388</v>
      </c>
      <c r="AA751" s="6" t="n">
        <v>-1.55075862210692</v>
      </c>
      <c r="AB751" s="6" t="n">
        <v>0.762210891488202</v>
      </c>
      <c r="AC751" s="6" t="n">
        <v>-1.05161647352877</v>
      </c>
      <c r="AD751" s="6" t="n">
        <v>2.28902756798793</v>
      </c>
      <c r="AE751" s="6" t="n">
        <v>-2.9351223868572</v>
      </c>
      <c r="AF751" s="6" t="n">
        <v>0.0432319292867913</v>
      </c>
      <c r="AG751" s="6" t="n">
        <v>1.03717898268325</v>
      </c>
      <c r="AH751" s="6" t="n">
        <v>-2.47090295074348</v>
      </c>
      <c r="AI751" s="6" t="n">
        <v>2.29079548440503</v>
      </c>
      <c r="AJ751" s="6" t="n">
        <v>64.8521972898166</v>
      </c>
      <c r="AK751" s="6" t="n">
        <v>0.112813094178153</v>
      </c>
      <c r="AL751" s="6" t="n">
        <v>1.009931594705</v>
      </c>
      <c r="AN751" s="6" t="n">
        <v>1.30814588222345</v>
      </c>
      <c r="AO751" s="6" t="n">
        <v>1.30814588222345</v>
      </c>
      <c r="AP751" s="6" t="n">
        <v>0.138324314982037</v>
      </c>
      <c r="AQ751" s="6" t="n">
        <v>0</v>
      </c>
      <c r="AR751" s="6" t="n">
        <v>0</v>
      </c>
    </row>
    <row r="752" customFormat="false" ht="15" hidden="false" customHeight="false" outlineLevel="0" collapsed="false">
      <c r="D752" s="0" t="s">
        <v>878</v>
      </c>
      <c r="J752" s="6" t="n">
        <v>0.480857251541588</v>
      </c>
      <c r="K752" s="6" t="n">
        <v>0.915628982269378</v>
      </c>
      <c r="L752" s="6" t="n">
        <v>1.36588632996373</v>
      </c>
      <c r="M752" s="6" t="n">
        <v>-0.336820440515881</v>
      </c>
      <c r="N752" s="6" t="n">
        <v>-0.858739232259785</v>
      </c>
      <c r="O752" s="6" t="n">
        <v>-0.210152438003891</v>
      </c>
      <c r="P752" s="6" t="n">
        <v>1.35733537061948</v>
      </c>
      <c r="Q752" s="6" t="n">
        <v>-5.0344630182527</v>
      </c>
      <c r="R752" s="6" t="n">
        <v>2.03315414231108</v>
      </c>
      <c r="S752" s="6" t="n">
        <v>-1.73067058418771</v>
      </c>
      <c r="T752" s="6" t="n">
        <v>-4.07248209143555</v>
      </c>
      <c r="U752" s="6" t="n">
        <v>-1.34531445934449</v>
      </c>
      <c r="V752" s="6" t="n">
        <v>-1.01411752535601</v>
      </c>
      <c r="W752" s="6" t="n">
        <v>-0.0446595360781541</v>
      </c>
      <c r="X752" s="6" t="n">
        <v>0.169779040393106</v>
      </c>
      <c r="Y752" s="6" t="n">
        <v>2.17293430517009</v>
      </c>
      <c r="Z752" s="6" t="n">
        <v>0.132450994880951</v>
      </c>
      <c r="AA752" s="6" t="n">
        <v>0.594155074179744</v>
      </c>
      <c r="AB752" s="6" t="n">
        <v>-1.69599689691439</v>
      </c>
      <c r="AC752" s="6" t="n">
        <v>-1.96997343675038</v>
      </c>
      <c r="AD752" s="6" t="n">
        <v>0.928180469856167</v>
      </c>
      <c r="AE752" s="6" t="n">
        <v>-5.64127117252138</v>
      </c>
      <c r="AF752" s="6" t="n">
        <v>-3.78211558808813</v>
      </c>
      <c r="AG752" s="6" t="n">
        <v>-1.52370904985438</v>
      </c>
      <c r="AH752" s="6" t="n">
        <v>1.25537631016199</v>
      </c>
      <c r="AI752" s="6" t="n">
        <v>-1.47959121800829</v>
      </c>
      <c r="AJ752" s="6" t="n">
        <v>75.4033252226074</v>
      </c>
      <c r="AK752" s="6" t="n">
        <v>0.154334895605342</v>
      </c>
      <c r="AL752" s="6" t="n">
        <v>1.06185401602516</v>
      </c>
      <c r="AN752" s="6" t="n">
        <v>1.28766266937876</v>
      </c>
      <c r="AO752" s="6" t="n">
        <v>1.28864606725302</v>
      </c>
      <c r="AP752" s="6" t="n">
        <v>0.131825517665031</v>
      </c>
      <c r="AQ752" s="6" t="n">
        <v>0</v>
      </c>
      <c r="AR752" s="6" t="n">
        <v>0</v>
      </c>
    </row>
    <row r="753" customFormat="false" ht="15" hidden="false" customHeight="false" outlineLevel="0" collapsed="false">
      <c r="D753" s="0" t="s">
        <v>879</v>
      </c>
      <c r="J753" s="6" t="n">
        <v>0.684133901376054</v>
      </c>
      <c r="K753" s="6" t="n">
        <v>-0.473610600827968</v>
      </c>
      <c r="L753" s="6" t="n">
        <v>-1.6571998203034</v>
      </c>
      <c r="M753" s="6" t="n">
        <v>0.779541631807189</v>
      </c>
      <c r="N753" s="6" t="n">
        <v>-0.651956615189799</v>
      </c>
      <c r="O753" s="6" t="n">
        <v>1.55735809910481</v>
      </c>
      <c r="P753" s="6" t="n">
        <v>-3.39490582408189</v>
      </c>
      <c r="Q753" s="6" t="n">
        <v>-1.12555462309172</v>
      </c>
      <c r="R753" s="6" t="n">
        <v>-2.21553680234617</v>
      </c>
      <c r="S753" s="6" t="n">
        <v>-3.0506794894697</v>
      </c>
      <c r="T753" s="6" t="n">
        <v>-1.93242482174176</v>
      </c>
      <c r="U753" s="6" t="n">
        <v>2.06073588192961</v>
      </c>
      <c r="V753" s="6" t="n">
        <v>1.3528902487136</v>
      </c>
      <c r="W753" s="6" t="n">
        <v>1.14658690158976</v>
      </c>
      <c r="X753" s="6" t="n">
        <v>-0.493851665444488</v>
      </c>
      <c r="Y753" s="6" t="n">
        <v>-1.51910001932753</v>
      </c>
      <c r="Z753" s="6" t="n">
        <v>1.15703176246272</v>
      </c>
      <c r="AA753" s="6" t="n">
        <v>0.299500916473317</v>
      </c>
      <c r="AB753" s="6" t="n">
        <v>1.11473366970451</v>
      </c>
      <c r="AC753" s="6" t="n">
        <v>1.47027359232367</v>
      </c>
      <c r="AD753" s="6" t="n">
        <v>-1.19019219771539</v>
      </c>
      <c r="AE753" s="6" t="n">
        <v>-0.745761048477583</v>
      </c>
      <c r="AF753" s="6" t="n">
        <v>-0.878748679281943</v>
      </c>
      <c r="AG753" s="6" t="n">
        <v>-0.607470450770295</v>
      </c>
      <c r="AH753" s="6" t="n">
        <v>-5.68834631587664</v>
      </c>
      <c r="AI753" s="6" t="n">
        <v>2.03703906159376</v>
      </c>
      <c r="AJ753" s="6" t="n">
        <v>80.0905409939805</v>
      </c>
      <c r="AK753" s="6" t="n">
        <v>0.168722341208743</v>
      </c>
      <c r="AL753" s="6" t="n">
        <v>1.03421843578613</v>
      </c>
      <c r="AN753" s="6" t="n">
        <v>1.30072313517233</v>
      </c>
      <c r="AO753" s="6" t="n">
        <v>1.30144345098515</v>
      </c>
      <c r="AP753" s="6" t="n">
        <v>0.134964998319071</v>
      </c>
      <c r="AQ753" s="6" t="n">
        <v>0</v>
      </c>
      <c r="AR753" s="6" t="n">
        <v>0</v>
      </c>
    </row>
    <row r="754" customFormat="false" ht="15" hidden="false" customHeight="false" outlineLevel="0" collapsed="false">
      <c r="D754" s="0" t="s">
        <v>880</v>
      </c>
      <c r="J754" s="6" t="n">
        <v>0.228029908221301</v>
      </c>
      <c r="K754" s="6" t="n">
        <v>1.13831238993582</v>
      </c>
      <c r="L754" s="6" t="n">
        <v>-3.0626534081683</v>
      </c>
      <c r="M754" s="6" t="n">
        <v>2.19032958566943</v>
      </c>
      <c r="N754" s="6" t="n">
        <v>2.47999929649698</v>
      </c>
      <c r="O754" s="6" t="n">
        <v>-2.36511210591867</v>
      </c>
      <c r="P754" s="6" t="n">
        <v>0.261183858051082</v>
      </c>
      <c r="Q754" s="6" t="n">
        <v>0.564015008360835</v>
      </c>
      <c r="R754" s="6" t="n">
        <v>0.115593236117576</v>
      </c>
      <c r="S754" s="6" t="n">
        <v>0.811112800393631</v>
      </c>
      <c r="T754" s="6" t="n">
        <v>1.67328246801311</v>
      </c>
      <c r="U754" s="6" t="n">
        <v>-0.703467055178319</v>
      </c>
      <c r="V754" s="6" t="n">
        <v>-1.12017399729881</v>
      </c>
      <c r="W754" s="6" t="n">
        <v>0.626065392048019</v>
      </c>
      <c r="X754" s="6" t="n">
        <v>-4.50617496502655</v>
      </c>
      <c r="Y754" s="6" t="n">
        <v>0.286456018114397</v>
      </c>
      <c r="Z754" s="6" t="n">
        <v>-1.15891602191681</v>
      </c>
      <c r="AA754" s="6" t="n">
        <v>-1.37623739553531</v>
      </c>
      <c r="AB754" s="6" t="n">
        <v>-0.615354725411273</v>
      </c>
      <c r="AC754" s="6" t="n">
        <v>0.515255059479237</v>
      </c>
      <c r="AD754" s="6" t="n">
        <v>-0.874465591700382</v>
      </c>
      <c r="AE754" s="6" t="n">
        <v>-1.56485867666448</v>
      </c>
      <c r="AF754" s="6" t="n">
        <v>-1.10418439948645</v>
      </c>
      <c r="AG754" s="6" t="n">
        <v>-0.0536102798528336</v>
      </c>
      <c r="AH754" s="6" t="n">
        <v>0.669246492702712</v>
      </c>
      <c r="AI754" s="6" t="n">
        <v>2.37033960288359</v>
      </c>
      <c r="AJ754" s="6" t="n">
        <v>81.7286528163615</v>
      </c>
      <c r="AK754" s="6" t="n">
        <v>0.172281315505219</v>
      </c>
      <c r="AL754" s="6" t="n">
        <v>1.09826844743517</v>
      </c>
      <c r="AN754" s="6" t="n">
        <v>1.27470166156861</v>
      </c>
      <c r="AO754" s="6" t="n">
        <v>1.27538217807404</v>
      </c>
      <c r="AP754" s="6" t="n">
        <v>0.129821285771874</v>
      </c>
      <c r="AQ754" s="6" t="n">
        <v>0</v>
      </c>
      <c r="AR754" s="6" t="n">
        <v>0</v>
      </c>
    </row>
    <row r="755" customFormat="false" ht="15" hidden="false" customHeight="false" outlineLevel="0" collapsed="false">
      <c r="D755" s="0" t="s">
        <v>881</v>
      </c>
      <c r="J755" s="6" t="n">
        <v>0.763218634259577</v>
      </c>
      <c r="K755" s="6" t="n">
        <v>3.00528210338646</v>
      </c>
      <c r="L755" s="6" t="n">
        <v>3.54315319211433</v>
      </c>
      <c r="M755" s="6" t="n">
        <v>1.51492393570257</v>
      </c>
      <c r="N755" s="6" t="n">
        <v>2.46726106497778</v>
      </c>
      <c r="O755" s="6" t="n">
        <v>-0.318836264945006</v>
      </c>
      <c r="P755" s="6" t="n">
        <v>0.78773153681697</v>
      </c>
      <c r="Q755" s="6" t="n">
        <v>-0.285281297138777</v>
      </c>
      <c r="R755" s="6" t="n">
        <v>2.04759435136368</v>
      </c>
      <c r="S755" s="6" t="n">
        <v>2.33681985983468</v>
      </c>
      <c r="T755" s="6" t="n">
        <v>2.71280489563988</v>
      </c>
      <c r="U755" s="6" t="n">
        <v>4.23841424423669</v>
      </c>
      <c r="V755" s="6" t="n">
        <v>1.44528822614136</v>
      </c>
      <c r="W755" s="6" t="n">
        <v>-1.93642328055932</v>
      </c>
      <c r="X755" s="6" t="n">
        <v>0.212102815571563</v>
      </c>
      <c r="Y755" s="6" t="n">
        <v>1.80324151350144</v>
      </c>
      <c r="Z755" s="6" t="n">
        <v>-2.20941491755771</v>
      </c>
      <c r="AA755" s="6" t="n">
        <v>0.696587734681354</v>
      </c>
      <c r="AB755" s="6" t="n">
        <v>-3.09607657188582</v>
      </c>
      <c r="AC755" s="6" t="n">
        <v>-0.623334689577259</v>
      </c>
      <c r="AD755" s="6" t="n">
        <v>2.12992936480856</v>
      </c>
      <c r="AE755" s="6" t="n">
        <v>1.87462928229928</v>
      </c>
      <c r="AF755" s="6" t="n">
        <v>2.1403418336673</v>
      </c>
      <c r="AG755" s="6" t="n">
        <v>-0.0200491236487085</v>
      </c>
      <c r="AH755" s="6" t="n">
        <v>0.463133169922974</v>
      </c>
      <c r="AI755" s="6" t="n">
        <v>-0.429174934850809</v>
      </c>
      <c r="AJ755" s="6" t="n">
        <v>71.0279056696055</v>
      </c>
      <c r="AK755" s="6" t="n">
        <v>0.141487375248524</v>
      </c>
      <c r="AL755" s="6" t="n">
        <v>0.976356050100552</v>
      </c>
      <c r="AN755" s="6" t="n">
        <v>1.31686624634329</v>
      </c>
      <c r="AO755" s="6" t="n">
        <v>1.31686624634329</v>
      </c>
      <c r="AP755" s="6" t="n">
        <v>0.145267128717601</v>
      </c>
      <c r="AQ755" s="6" t="n">
        <v>0</v>
      </c>
      <c r="AR755" s="6" t="n">
        <v>0</v>
      </c>
    </row>
    <row r="756" customFormat="false" ht="15" hidden="false" customHeight="false" outlineLevel="0" collapsed="false">
      <c r="D756" s="0" t="s">
        <v>882</v>
      </c>
      <c r="J756" s="6" t="n">
        <v>1.69857893934651</v>
      </c>
      <c r="K756" s="6" t="n">
        <v>-1.89155620343888</v>
      </c>
      <c r="L756" s="6" t="n">
        <v>0.0740754294379825</v>
      </c>
      <c r="M756" s="6" t="n">
        <v>0.0450541674655647</v>
      </c>
      <c r="N756" s="6" t="n">
        <v>-2.15784874210904</v>
      </c>
      <c r="O756" s="6" t="n">
        <v>0.147111998593944</v>
      </c>
      <c r="P756" s="6" t="n">
        <v>0.853817199405429</v>
      </c>
      <c r="Q756" s="6" t="n">
        <v>1.74862125286902</v>
      </c>
      <c r="R756" s="6" t="n">
        <v>0.236258506088234</v>
      </c>
      <c r="S756" s="6" t="n">
        <v>1.35680597755604</v>
      </c>
      <c r="T756" s="6" t="n">
        <v>0.102984799575206</v>
      </c>
      <c r="U756" s="6" t="n">
        <v>-1.51063810499331</v>
      </c>
      <c r="V756" s="6" t="n">
        <v>-0.613048176335126</v>
      </c>
      <c r="W756" s="6" t="n">
        <v>2.4251930469183</v>
      </c>
      <c r="X756" s="6" t="n">
        <v>2.10403373334665</v>
      </c>
      <c r="Y756" s="6" t="n">
        <v>2.25009211716648</v>
      </c>
      <c r="Z756" s="6" t="n">
        <v>0.759609889944708</v>
      </c>
      <c r="AA756" s="6" t="n">
        <v>3.08611764643727</v>
      </c>
      <c r="AB756" s="6" t="n">
        <v>1.67734138463681</v>
      </c>
      <c r="AC756" s="6" t="n">
        <v>-0.41460146626344</v>
      </c>
      <c r="AD756" s="6" t="n">
        <v>1.95303304883107</v>
      </c>
      <c r="AE756" s="6" t="n">
        <v>-0.400753801398156</v>
      </c>
      <c r="AF756" s="6" t="n">
        <v>-1.64707012986985</v>
      </c>
      <c r="AG756" s="6" t="n">
        <v>-1.6614394103183</v>
      </c>
      <c r="AH756" s="6" t="n">
        <v>3.71697829991294</v>
      </c>
      <c r="AI756" s="6" t="n">
        <v>4.44953436602772</v>
      </c>
      <c r="AJ756" s="6" t="n">
        <v>71.1619261598935</v>
      </c>
      <c r="AK756" s="6" t="n">
        <v>0.0654975216807684</v>
      </c>
      <c r="AL756" s="6" t="n">
        <v>1.01598939229019</v>
      </c>
      <c r="AN756" s="6" t="n">
        <v>1.31084332684138</v>
      </c>
      <c r="AO756" s="6" t="n">
        <v>1.31084332684138</v>
      </c>
      <c r="AP756" s="6" t="n">
        <v>0.139385910638542</v>
      </c>
      <c r="AQ756" s="6" t="n">
        <v>0</v>
      </c>
      <c r="AR756" s="6" t="n">
        <v>0</v>
      </c>
    </row>
    <row r="757" customFormat="false" ht="15" hidden="false" customHeight="false" outlineLevel="0" collapsed="false">
      <c r="D757" s="0" t="s">
        <v>883</v>
      </c>
      <c r="J757" s="6" t="n">
        <v>1.03286275911856</v>
      </c>
      <c r="K757" s="6" t="n">
        <v>-1.16652802323458</v>
      </c>
      <c r="L757" s="6" t="n">
        <v>0.768650092838285</v>
      </c>
      <c r="M757" s="6" t="n">
        <v>-2.69645825953262</v>
      </c>
      <c r="N757" s="6" t="n">
        <v>-1.85773388859504</v>
      </c>
      <c r="O757" s="6" t="n">
        <v>-0.0573083203792203</v>
      </c>
      <c r="P757" s="6" t="n">
        <v>-1.15154810939542</v>
      </c>
      <c r="Q757" s="6" t="n">
        <v>0.462571902692504</v>
      </c>
      <c r="R757" s="6" t="n">
        <v>2.92691929901863</v>
      </c>
      <c r="S757" s="6" t="n">
        <v>1.14824752304109</v>
      </c>
      <c r="T757" s="6" t="n">
        <v>0.747933915374616</v>
      </c>
      <c r="U757" s="6" t="n">
        <v>0.958355268143757</v>
      </c>
      <c r="V757" s="6" t="n">
        <v>-1.33105627638165</v>
      </c>
      <c r="W757" s="6" t="n">
        <v>3.27424877846005</v>
      </c>
      <c r="X757" s="6" t="n">
        <v>0.764749853071188</v>
      </c>
      <c r="Y757" s="6" t="n">
        <v>2.44506333372582</v>
      </c>
      <c r="Z757" s="6" t="n">
        <v>-2.23219707616945</v>
      </c>
      <c r="AA757" s="6" t="n">
        <v>-1.30112447991209</v>
      </c>
      <c r="AB757" s="6" t="n">
        <v>3.56555688821486</v>
      </c>
      <c r="AC757" s="6" t="n">
        <v>0.954927717058418</v>
      </c>
      <c r="AD757" s="6" t="n">
        <v>1.36921688739462</v>
      </c>
      <c r="AE757" s="6" t="n">
        <v>-2.97011121360456</v>
      </c>
      <c r="AF757" s="6" t="n">
        <v>0.558564483825006</v>
      </c>
      <c r="AG757" s="6" t="n">
        <v>0.596737670090725</v>
      </c>
      <c r="AH757" s="6" t="n">
        <v>-0.945044833963957</v>
      </c>
      <c r="AI757" s="6" t="n">
        <v>-0.751962331624485</v>
      </c>
      <c r="AJ757" s="6" t="n">
        <v>80.3019181742768</v>
      </c>
      <c r="AK757" s="6" t="n">
        <v>0.188569289683908</v>
      </c>
      <c r="AL757" s="6" t="n">
        <v>1.08116265725724</v>
      </c>
      <c r="AN757" s="6" t="n">
        <v>1.27791174781144</v>
      </c>
      <c r="AO757" s="6" t="n">
        <v>1.27891795531597</v>
      </c>
      <c r="AP757" s="6" t="n">
        <v>0.130027586215792</v>
      </c>
      <c r="AQ757" s="6" t="n">
        <v>0</v>
      </c>
      <c r="AR757" s="6" t="n">
        <v>0</v>
      </c>
    </row>
    <row r="758" customFormat="false" ht="15" hidden="false" customHeight="false" outlineLevel="0" collapsed="false">
      <c r="D758" s="0" t="s">
        <v>884</v>
      </c>
      <c r="J758" s="6" t="n">
        <v>1.30158793218504</v>
      </c>
      <c r="K758" s="6" t="n">
        <v>-3.17705226057831</v>
      </c>
      <c r="L758" s="6" t="n">
        <v>-0.859454388559459</v>
      </c>
      <c r="M758" s="6" t="n">
        <v>-1.60249809376686</v>
      </c>
      <c r="N758" s="6" t="n">
        <v>3.20009306425331</v>
      </c>
      <c r="O758" s="6" t="n">
        <v>-0.303697779787333</v>
      </c>
      <c r="P758" s="6" t="n">
        <v>-0.166815322213468</v>
      </c>
      <c r="Q758" s="6" t="n">
        <v>2.30391389779254</v>
      </c>
      <c r="R758" s="6" t="n">
        <v>-1.74697644004869</v>
      </c>
      <c r="S758" s="6" t="n">
        <v>-0.256150245124892</v>
      </c>
      <c r="T758" s="6" t="n">
        <v>-2.98408830718295</v>
      </c>
      <c r="U758" s="6" t="n">
        <v>-0.184715766163459</v>
      </c>
      <c r="V758" s="6" t="n">
        <v>-0.0995744549384588</v>
      </c>
      <c r="W758" s="6" t="n">
        <v>-0.870827682133028</v>
      </c>
      <c r="X758" s="6" t="n">
        <v>2.37100762143636</v>
      </c>
      <c r="Y758" s="6" t="n">
        <v>0.491958212450313</v>
      </c>
      <c r="Z758" s="6" t="n">
        <v>3.10710291881172</v>
      </c>
      <c r="AA758" s="6" t="n">
        <v>3.15926474516892</v>
      </c>
      <c r="AB758" s="6" t="n">
        <v>0.257264068604195</v>
      </c>
      <c r="AC758" s="6" t="n">
        <v>2.07302695567086</v>
      </c>
      <c r="AD758" s="6" t="n">
        <v>1.38311667657756</v>
      </c>
      <c r="AE758" s="6" t="n">
        <v>-0.996375638533714</v>
      </c>
      <c r="AF758" s="6" t="n">
        <v>0.0345795296304651</v>
      </c>
      <c r="AG758" s="6" t="n">
        <v>-0.408665010839913</v>
      </c>
      <c r="AH758" s="6" t="n">
        <v>1.38276641370379</v>
      </c>
      <c r="AI758" s="6" t="n">
        <v>0.577568078874315</v>
      </c>
      <c r="AJ758" s="6" t="n">
        <v>76.558340242013</v>
      </c>
      <c r="AK758" s="6" t="n">
        <v>0.151008968252414</v>
      </c>
      <c r="AL758" s="6" t="n">
        <v>1.00224758107447</v>
      </c>
      <c r="AN758" s="6" t="n">
        <v>1.31511182205564</v>
      </c>
      <c r="AO758" s="6" t="n">
        <v>1.31511182205564</v>
      </c>
      <c r="AP758" s="6" t="n">
        <v>0.140237177970678</v>
      </c>
      <c r="AQ758" s="6" t="n">
        <v>0</v>
      </c>
      <c r="AR758" s="6" t="n">
        <v>0</v>
      </c>
    </row>
    <row r="759" customFormat="false" ht="15" hidden="false" customHeight="false" outlineLevel="0" collapsed="false">
      <c r="D759" s="0" t="s">
        <v>885</v>
      </c>
      <c r="J759" s="6" t="n">
        <v>4.24528637832732</v>
      </c>
      <c r="K759" s="6" t="n">
        <v>1.64470790862637</v>
      </c>
      <c r="L759" s="6" t="n">
        <v>2.84915130347449</v>
      </c>
      <c r="M759" s="6" t="n">
        <v>2.7262793140261</v>
      </c>
      <c r="N759" s="6" t="n">
        <v>0.236140737987317</v>
      </c>
      <c r="O759" s="6" t="n">
        <v>0.573295109821557</v>
      </c>
      <c r="P759" s="6" t="n">
        <v>-2.2673917567454</v>
      </c>
      <c r="Q759" s="6" t="n">
        <v>0.744238077896858</v>
      </c>
      <c r="R759" s="6" t="n">
        <v>-0.315208707092058</v>
      </c>
      <c r="S759" s="6" t="n">
        <v>-0.532468092106199</v>
      </c>
      <c r="T759" s="6" t="n">
        <v>-1.45066857525286</v>
      </c>
      <c r="U759" s="6" t="n">
        <v>-0.953934531860822</v>
      </c>
      <c r="V759" s="6" t="n">
        <v>-1.63345972859962</v>
      </c>
      <c r="W759" s="6" t="n">
        <v>-0.511778823266205</v>
      </c>
      <c r="X759" s="6" t="n">
        <v>-0.125505791922196</v>
      </c>
      <c r="Y759" s="6" t="n">
        <v>0.923308050108686</v>
      </c>
      <c r="Z759" s="6" t="n">
        <v>-0.894114155516195</v>
      </c>
      <c r="AA759" s="6" t="n">
        <v>-2.48789904799066</v>
      </c>
      <c r="AB759" s="6" t="n">
        <v>0.292100664825006</v>
      </c>
      <c r="AC759" s="6" t="n">
        <v>-1.6142973381837</v>
      </c>
      <c r="AD759" s="6" t="n">
        <v>1.59595248893992</v>
      </c>
      <c r="AE759" s="6" t="n">
        <v>1.1319648327974</v>
      </c>
      <c r="AF759" s="6" t="n">
        <v>2.51439053247559</v>
      </c>
      <c r="AG759" s="6" t="n">
        <v>-2.2161851794816</v>
      </c>
      <c r="AH759" s="6" t="n">
        <v>2.02423541540665</v>
      </c>
      <c r="AI759" s="6" t="n">
        <v>-0.771699363340981</v>
      </c>
      <c r="AJ759" s="6" t="n">
        <v>76.1688977206579</v>
      </c>
      <c r="AK759" s="6" t="n">
        <v>0.0837089370497736</v>
      </c>
      <c r="AL759" s="6" t="n">
        <v>1.06129327195222</v>
      </c>
      <c r="AN759" s="6" t="n">
        <v>1.29760313241308</v>
      </c>
      <c r="AO759" s="6" t="n">
        <v>1.29795463676562</v>
      </c>
      <c r="AP759" s="6" t="n">
        <v>0.134471193437103</v>
      </c>
      <c r="AQ759" s="6" t="n">
        <v>0</v>
      </c>
      <c r="AR759" s="6" t="n">
        <v>0</v>
      </c>
    </row>
    <row r="760" customFormat="false" ht="15" hidden="false" customHeight="false" outlineLevel="0" collapsed="false">
      <c r="D760" s="0" t="s">
        <v>886</v>
      </c>
      <c r="J760" s="6" t="n">
        <v>-0.76105899602346</v>
      </c>
      <c r="K760" s="6" t="n">
        <v>-0.316201643750616</v>
      </c>
      <c r="L760" s="6" t="n">
        <v>3.13264836604446</v>
      </c>
      <c r="M760" s="6" t="n">
        <v>0.0393422879389807</v>
      </c>
      <c r="N760" s="6" t="n">
        <v>-0.894276774319976</v>
      </c>
      <c r="O760" s="6" t="n">
        <v>-1.83677199056447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</v>
      </c>
      <c r="T760" s="6" t="n">
        <v>1.67971096275483</v>
      </c>
      <c r="U760" s="6" t="n">
        <v>1.19158181433776</v>
      </c>
      <c r="V760" s="6" t="n">
        <v>-0.386858640869477</v>
      </c>
      <c r="W760" s="6" t="n">
        <v>1.38035599045758</v>
      </c>
      <c r="X760" s="6" t="n">
        <v>-1.76687041028739</v>
      </c>
      <c r="Y760" s="6" t="n">
        <v>2.08366256992744</v>
      </c>
      <c r="Z760" s="6" t="n">
        <v>-0.230295197779838</v>
      </c>
      <c r="AA760" s="6" t="n">
        <v>2.32767087855358</v>
      </c>
      <c r="AB760" s="6" t="n">
        <v>1.00281765341881</v>
      </c>
      <c r="AC760" s="6" t="n">
        <v>-4.24857750067588</v>
      </c>
      <c r="AD760" s="6" t="n">
        <v>-0.276089841097893</v>
      </c>
      <c r="AE760" s="6" t="n">
        <v>4.3832203926666</v>
      </c>
      <c r="AF760" s="6" t="n">
        <v>2.77986411644614</v>
      </c>
      <c r="AG760" s="6" t="n">
        <v>-0.0413042075535646</v>
      </c>
      <c r="AH760" s="6" t="n">
        <v>-1.07952250923365</v>
      </c>
      <c r="AI760" s="6" t="n">
        <v>-3.73543435798931</v>
      </c>
      <c r="AJ760" s="6" t="n">
        <v>64.2353658882985</v>
      </c>
      <c r="AK760" s="6" t="n">
        <v>0.127719080388901</v>
      </c>
      <c r="AL760" s="6" t="n">
        <v>1.04004508125286</v>
      </c>
      <c r="AN760" s="6" t="n">
        <v>1.29937313609646</v>
      </c>
      <c r="AO760" s="6" t="n">
        <v>1.29960402328453</v>
      </c>
      <c r="AP760" s="6" t="n">
        <v>0.134363760312718</v>
      </c>
      <c r="AQ760" s="6" t="n">
        <v>0</v>
      </c>
      <c r="AR760" s="6" t="n">
        <v>0</v>
      </c>
    </row>
    <row r="761" customFormat="false" ht="15" hidden="false" customHeight="false" outlineLevel="0" collapsed="false">
      <c r="D761" s="0" t="s">
        <v>887</v>
      </c>
      <c r="J761" s="6" t="n">
        <v>3.43578452210389</v>
      </c>
      <c r="K761" s="6" t="n">
        <v>1.5907539796953</v>
      </c>
      <c r="L761" s="6" t="n">
        <v>-1.36362615263345</v>
      </c>
      <c r="M761" s="6" t="n">
        <v>-1.64396423397643</v>
      </c>
      <c r="N761" s="6" t="n">
        <v>-1.0603178617012</v>
      </c>
      <c r="O761" s="6" t="n">
        <v>2.68183364109605</v>
      </c>
      <c r="P761" s="6" t="n">
        <v>3.19911666626745</v>
      </c>
      <c r="Q761" s="6" t="n">
        <v>0.168482511103449</v>
      </c>
      <c r="R761" s="6" t="n">
        <v>4.55474986740039</v>
      </c>
      <c r="S761" s="6" t="n">
        <v>0.747426500549992</v>
      </c>
      <c r="T761" s="6" t="n">
        <v>-2.01373141050381</v>
      </c>
      <c r="U761" s="6" t="n">
        <v>0.799115318976996</v>
      </c>
      <c r="V761" s="6" t="n">
        <v>-0.296643144032962</v>
      </c>
      <c r="W761" s="6" t="n">
        <v>-0.01436444328381</v>
      </c>
      <c r="X761" s="6" t="n">
        <v>-2.0691140510372</v>
      </c>
      <c r="Y761" s="6" t="n">
        <v>0.694806907205137</v>
      </c>
      <c r="Z761" s="6" t="n">
        <v>0.739686512071571</v>
      </c>
      <c r="AA761" s="6" t="n">
        <v>0.772382098088003</v>
      </c>
      <c r="AB761" s="6" t="n">
        <v>-0.188545060452583</v>
      </c>
      <c r="AC761" s="6" t="n">
        <v>2.00360438769128</v>
      </c>
      <c r="AD761" s="6" t="n">
        <v>1.37195236703053</v>
      </c>
      <c r="AE761" s="6" t="n">
        <v>-0.592680298710617</v>
      </c>
      <c r="AF761" s="6" t="n">
        <v>0.0051848509537021</v>
      </c>
      <c r="AG761" s="6" t="n">
        <v>2.18670214172321</v>
      </c>
      <c r="AH761" s="6" t="n">
        <v>3.13458696565817</v>
      </c>
      <c r="AI761" s="6" t="n">
        <v>-1.21343815126681</v>
      </c>
      <c r="AJ761" s="6" t="n">
        <v>70.672487741432</v>
      </c>
      <c r="AK761" s="6" t="n">
        <v>0.113077689065334</v>
      </c>
      <c r="AL761" s="6" t="n">
        <v>1.03219650948998</v>
      </c>
      <c r="AN761" s="6" t="n">
        <v>1.30294375008646</v>
      </c>
      <c r="AO761" s="6" t="n">
        <v>1.30352593067895</v>
      </c>
      <c r="AP761" s="6" t="n">
        <v>0.136006355318425</v>
      </c>
      <c r="AQ761" s="6" t="n">
        <v>0</v>
      </c>
      <c r="AR761" s="6" t="n">
        <v>0</v>
      </c>
    </row>
    <row r="762" customFormat="false" ht="15" hidden="false" customHeight="false" outlineLevel="0" collapsed="false">
      <c r="D762" s="0" t="s">
        <v>888</v>
      </c>
      <c r="J762" s="6" t="n">
        <v>-1.03649096706939</v>
      </c>
      <c r="K762" s="6" t="n">
        <v>0.512863712727842</v>
      </c>
      <c r="L762" s="6" t="n">
        <v>0.710447810579712</v>
      </c>
      <c r="M762" s="6" t="n">
        <v>-1.70568041503578</v>
      </c>
      <c r="N762" s="6" t="n">
        <v>3.30612509027967</v>
      </c>
      <c r="O762" s="6" t="n">
        <v>1.98274537230184</v>
      </c>
      <c r="P762" s="6" t="n">
        <v>0.287159067496252</v>
      </c>
      <c r="Q762" s="6" t="n">
        <v>2.15071367243775</v>
      </c>
      <c r="R762" s="6" t="n">
        <v>0.643649367945145</v>
      </c>
      <c r="S762" s="6" t="n">
        <v>1.81834460348023</v>
      </c>
      <c r="T762" s="6" t="n">
        <v>-0.380781517854098</v>
      </c>
      <c r="U762" s="6" t="n">
        <v>0.769897752409595</v>
      </c>
      <c r="V762" s="6" t="n">
        <v>-0.123016211292808</v>
      </c>
      <c r="W762" s="6" t="n">
        <v>0.164193569268241</v>
      </c>
      <c r="X762" s="6" t="n">
        <v>-0.0158867826374745</v>
      </c>
      <c r="Y762" s="6" t="n">
        <v>-4.4479255963674</v>
      </c>
      <c r="Z762" s="6" t="n">
        <v>-1.21867264533972</v>
      </c>
      <c r="AA762" s="6" t="n">
        <v>-2.4598433180215</v>
      </c>
      <c r="AB762" s="6" t="n">
        <v>-0.23151767074616</v>
      </c>
      <c r="AC762" s="6" t="n">
        <v>0.241940357256026</v>
      </c>
      <c r="AD762" s="6" t="n">
        <v>-0.831359724772967</v>
      </c>
      <c r="AE762" s="6" t="n">
        <v>-0.985726191474061</v>
      </c>
      <c r="AF762" s="6" t="n">
        <v>2.43852674553</v>
      </c>
      <c r="AG762" s="6" t="n">
        <v>1.65393065178522</v>
      </c>
      <c r="AH762" s="6" t="n">
        <v>-0.973683965344312</v>
      </c>
      <c r="AI762" s="6" t="n">
        <v>-0.0507617155784155</v>
      </c>
      <c r="AJ762" s="6" t="n">
        <v>62.2989332829079</v>
      </c>
      <c r="AK762" s="6" t="n">
        <v>0.12043650923577</v>
      </c>
      <c r="AL762" s="6" t="n">
        <v>1.05096094827853</v>
      </c>
      <c r="AN762" s="6" t="n">
        <v>1.28882666408397</v>
      </c>
      <c r="AO762" s="6" t="n">
        <v>1.28906153113257</v>
      </c>
      <c r="AP762" s="6" t="n">
        <v>0.133048245768077</v>
      </c>
      <c r="AQ762" s="6" t="n">
        <v>0</v>
      </c>
      <c r="AR762" s="6" t="n">
        <v>0</v>
      </c>
    </row>
    <row r="763" customFormat="false" ht="15" hidden="false" customHeight="false" outlineLevel="0" collapsed="false">
      <c r="D763" s="0" t="s">
        <v>889</v>
      </c>
      <c r="J763" s="6" t="n">
        <v>-1.18572015689681</v>
      </c>
      <c r="K763" s="6" t="n">
        <v>-2.286300297283</v>
      </c>
      <c r="L763" s="6" t="n">
        <v>2.22117742828071</v>
      </c>
      <c r="M763" s="6" t="n">
        <v>-3.34101604571903</v>
      </c>
      <c r="N763" s="6" t="n">
        <v>0.163556373469601</v>
      </c>
      <c r="O763" s="6" t="n">
        <v>-0.6363163899328</v>
      </c>
      <c r="P763" s="6" t="n">
        <v>1.99186239703003</v>
      </c>
      <c r="Q763" s="6" t="n">
        <v>2.91497671647593</v>
      </c>
      <c r="R763" s="6" t="n">
        <v>-0.831769261164778</v>
      </c>
      <c r="S763" s="6" t="n">
        <v>1.7173270080067</v>
      </c>
      <c r="T763" s="6" t="n">
        <v>-2.6067866983674</v>
      </c>
      <c r="U763" s="6" t="n">
        <v>-0.0173854573802227</v>
      </c>
      <c r="V763" s="6" t="n">
        <v>-2.14988657812394</v>
      </c>
      <c r="W763" s="6" t="n">
        <v>3.64737556851563</v>
      </c>
      <c r="X763" s="6" t="n">
        <v>-4.64811389525371</v>
      </c>
      <c r="Y763" s="6" t="n">
        <v>1.87015316425036</v>
      </c>
      <c r="Z763" s="6" t="n">
        <v>-0.00400353975034756</v>
      </c>
      <c r="AA763" s="6" t="n">
        <v>2.58417771753203</v>
      </c>
      <c r="AB763" s="6" t="n">
        <v>1.78964945908991</v>
      </c>
      <c r="AC763" s="6" t="n">
        <v>0.389441191191694</v>
      </c>
      <c r="AD763" s="6" t="n">
        <v>0.289849954588288</v>
      </c>
      <c r="AE763" s="6" t="n">
        <v>-3.18377929193051</v>
      </c>
      <c r="AF763" s="6" t="n">
        <v>-2.86021808236341</v>
      </c>
      <c r="AG763" s="6" t="n">
        <v>-0.25796177157336</v>
      </c>
      <c r="AH763" s="6" t="n">
        <v>-0.798052507805661</v>
      </c>
      <c r="AI763" s="6" t="n">
        <v>0.303518948119541</v>
      </c>
      <c r="AJ763" s="6" t="n">
        <v>72.1086801622953</v>
      </c>
      <c r="AK763" s="6" t="n">
        <v>0.0996708561437405</v>
      </c>
      <c r="AL763" s="6" t="n">
        <v>1.03157590137572</v>
      </c>
      <c r="AN763" s="6" t="n">
        <v>1.30773308634431</v>
      </c>
      <c r="AO763" s="6" t="n">
        <v>1.3083257519875</v>
      </c>
      <c r="AP763" s="6" t="n">
        <v>0.136327349122771</v>
      </c>
      <c r="AQ763" s="6" t="n">
        <v>0</v>
      </c>
      <c r="AR763" s="6" t="n">
        <v>0</v>
      </c>
    </row>
    <row r="764" customFormat="false" ht="15" hidden="false" customHeight="false" outlineLevel="0" collapsed="false">
      <c r="D764" s="0" t="s">
        <v>890</v>
      </c>
      <c r="J764" s="6" t="n">
        <v>-0.280226129984218</v>
      </c>
      <c r="K764" s="6" t="n">
        <v>0.432947541854112</v>
      </c>
      <c r="L764" s="6" t="n">
        <v>1.40923427130419</v>
      </c>
      <c r="M764" s="6" t="n">
        <v>-3.01624865568802</v>
      </c>
      <c r="N764" s="6" t="n">
        <v>-2.75899872700839</v>
      </c>
      <c r="O764" s="6" t="n">
        <v>-0.334604537168427</v>
      </c>
      <c r="P764" s="6" t="n">
        <v>0.511777185924207</v>
      </c>
      <c r="Q764" s="6" t="n">
        <v>0.0804329240608889</v>
      </c>
      <c r="R764" s="6" t="n">
        <v>-1.75457295142152</v>
      </c>
      <c r="S764" s="6" t="n">
        <v>-0.988782486260246</v>
      </c>
      <c r="T764" s="6" t="n">
        <v>-0.291977055288576</v>
      </c>
      <c r="U764" s="6" t="n">
        <v>-0.943660440009793</v>
      </c>
      <c r="V764" s="6" t="n">
        <v>-0.577745302681906</v>
      </c>
      <c r="W764" s="6" t="n">
        <v>1.63733708774575</v>
      </c>
      <c r="X764" s="6" t="n">
        <v>-3.7572206207399</v>
      </c>
      <c r="Y764" s="6" t="n">
        <v>-2.06744793155244</v>
      </c>
      <c r="Z764" s="6" t="n">
        <v>-3.24979237340935</v>
      </c>
      <c r="AA764" s="6" t="n">
        <v>1.56417046373656</v>
      </c>
      <c r="AB764" s="6" t="n">
        <v>3.30331426436915</v>
      </c>
      <c r="AC764" s="6" t="n">
        <v>0.496057715024686</v>
      </c>
      <c r="AD764" s="6" t="n">
        <v>-2.51365259533224</v>
      </c>
      <c r="AE764" s="6" t="n">
        <v>0.634692726239591</v>
      </c>
      <c r="AF764" s="6" t="n">
        <v>-2.15297309265103</v>
      </c>
      <c r="AG764" s="6" t="n">
        <v>0.23586437745521</v>
      </c>
      <c r="AH764" s="6" t="n">
        <v>-1.00183483053893</v>
      </c>
      <c r="AI764" s="6" t="n">
        <v>1.84696798035502</v>
      </c>
      <c r="AJ764" s="6" t="n">
        <v>59.1764231343358</v>
      </c>
      <c r="AK764" s="6" t="n">
        <v>0.0818679311801406</v>
      </c>
      <c r="AL764" s="6" t="n">
        <v>1.11450843315772</v>
      </c>
      <c r="AN764" s="6" t="n">
        <v>1.27484724775073</v>
      </c>
      <c r="AO764" s="6" t="n">
        <v>1.27528563725018</v>
      </c>
      <c r="AP764" s="6" t="n">
        <v>0.130006786798488</v>
      </c>
      <c r="AQ764" s="6" t="n">
        <v>0</v>
      </c>
      <c r="AR764" s="6" t="n">
        <v>0</v>
      </c>
    </row>
    <row r="765" customFormat="false" ht="15" hidden="false" customHeight="false" outlineLevel="0" collapsed="false">
      <c r="D765" s="0" t="s">
        <v>891</v>
      </c>
      <c r="J765" s="6" t="n">
        <v>-3.92911033813268</v>
      </c>
      <c r="K765" s="6" t="n">
        <v>-3.26420468890535</v>
      </c>
      <c r="L765" s="6" t="n">
        <v>1.27924206303788</v>
      </c>
      <c r="M765" s="6" t="n">
        <v>-2.5130016644028</v>
      </c>
      <c r="N765" s="6" t="n">
        <v>-0.269484595220979</v>
      </c>
      <c r="O765" s="6" t="n">
        <v>2.68416637762692</v>
      </c>
      <c r="P765" s="6" t="n">
        <v>0.505117027811753</v>
      </c>
      <c r="Q765" s="6" t="n">
        <v>-2.45600423205936</v>
      </c>
      <c r="R765" s="6" t="n">
        <v>-0.968875273631119</v>
      </c>
      <c r="S765" s="6" t="n">
        <v>-0.0773901312884743</v>
      </c>
      <c r="T765" s="6" t="n">
        <v>-2.64919922728543</v>
      </c>
      <c r="U765" s="6" t="n">
        <v>2.25704121049668</v>
      </c>
      <c r="V765" s="6" t="n">
        <v>-1.95968102530848</v>
      </c>
      <c r="W765" s="6" t="n">
        <v>0.295507101532733</v>
      </c>
      <c r="X765" s="6" t="n">
        <v>1.62206649957123</v>
      </c>
      <c r="Y765" s="6" t="n">
        <v>-0.354537527571645</v>
      </c>
      <c r="Z765" s="6" t="n">
        <v>3.08456110136442</v>
      </c>
      <c r="AA765" s="6" t="n">
        <v>-1.3728373214535</v>
      </c>
      <c r="AB765" s="6" t="n">
        <v>-1.5227333919089</v>
      </c>
      <c r="AC765" s="6" t="n">
        <v>-1.83692864479065</v>
      </c>
      <c r="AD765" s="6" t="n">
        <v>1.39716210695879</v>
      </c>
      <c r="AE765" s="6" t="n">
        <v>2.40502802111945</v>
      </c>
      <c r="AF765" s="6" t="n">
        <v>-2.44738412427116</v>
      </c>
      <c r="AG765" s="6" t="n">
        <v>-3.22564574581831</v>
      </c>
      <c r="AH765" s="6" t="n">
        <v>2.0895807931756</v>
      </c>
      <c r="AI765" s="6" t="n">
        <v>4.74793949362823</v>
      </c>
      <c r="AJ765" s="6" t="n">
        <v>79.7507289547016</v>
      </c>
      <c r="AK765" s="6" t="n">
        <v>0.145022535529361</v>
      </c>
      <c r="AL765" s="6" t="n">
        <v>1.0848319558897</v>
      </c>
      <c r="AN765" s="6" t="n">
        <v>1.27933674219404</v>
      </c>
      <c r="AO765" s="6" t="n">
        <v>1.28025615044843</v>
      </c>
      <c r="AP765" s="6" t="n">
        <v>0.130694257449967</v>
      </c>
      <c r="AQ765" s="6" t="n">
        <v>0</v>
      </c>
      <c r="AR765" s="6" t="n">
        <v>0</v>
      </c>
    </row>
    <row r="766" customFormat="false" ht="15" hidden="false" customHeight="false" outlineLevel="0" collapsed="false">
      <c r="D766" s="0" t="s">
        <v>892</v>
      </c>
      <c r="J766" s="6" t="n">
        <v>-0.718232055103733</v>
      </c>
      <c r="K766" s="6" t="n">
        <v>-1.35633728608884</v>
      </c>
      <c r="L766" s="6" t="n">
        <v>-0.970186889967987</v>
      </c>
      <c r="M766" s="6" t="n">
        <v>2.59759773465218</v>
      </c>
      <c r="N766" s="6" t="n">
        <v>2.75397189924546</v>
      </c>
      <c r="O766" s="6" t="n">
        <v>0.948397488644633</v>
      </c>
      <c r="P766" s="6" t="n">
        <v>-3.11735259718853</v>
      </c>
      <c r="Q766" s="6" t="n">
        <v>-2.36065045132683</v>
      </c>
      <c r="R766" s="6" t="n">
        <v>-1.11605752996729</v>
      </c>
      <c r="S766" s="6" t="n">
        <v>0.0137307268318557</v>
      </c>
      <c r="T766" s="6" t="n">
        <v>0.126672085376768</v>
      </c>
      <c r="U766" s="6" t="n">
        <v>-1.06091052249089</v>
      </c>
      <c r="V766" s="6" t="n">
        <v>-1.27528414215816</v>
      </c>
      <c r="W766" s="6" t="n">
        <v>-0.126653912705521</v>
      </c>
      <c r="X766" s="6" t="n">
        <v>1.1246918032026</v>
      </c>
      <c r="Y766" s="6" t="n">
        <v>-0.966975582318862</v>
      </c>
      <c r="Z766" s="6" t="n">
        <v>-0.73493682358847</v>
      </c>
      <c r="AA766" s="6" t="n">
        <v>-2.23158346104034</v>
      </c>
      <c r="AB766" s="6" t="n">
        <v>-1.59338879768751</v>
      </c>
      <c r="AC766" s="6" t="n">
        <v>0.705572698029483</v>
      </c>
      <c r="AD766" s="6" t="n">
        <v>0.0526036596081651</v>
      </c>
      <c r="AE766" s="6" t="n">
        <v>0.602176123930853</v>
      </c>
      <c r="AF766" s="6" t="n">
        <v>3.04084125174347</v>
      </c>
      <c r="AG766" s="6" t="n">
        <v>-0.978824067046138</v>
      </c>
      <c r="AH766" s="6" t="n">
        <v>2.58252706886534</v>
      </c>
      <c r="AI766" s="6" t="n">
        <v>0.784248364025156</v>
      </c>
      <c r="AJ766" s="6" t="n">
        <v>82.385702443128</v>
      </c>
      <c r="AK766" s="6" t="n">
        <v>0.0846524668836814</v>
      </c>
      <c r="AL766" s="6" t="n">
        <v>1.08354354850851</v>
      </c>
      <c r="AN766" s="6" t="n">
        <v>1.29158523981349</v>
      </c>
      <c r="AO766" s="6" t="n">
        <v>1.29172591283132</v>
      </c>
      <c r="AP766" s="6" t="n">
        <v>0.132897528208256</v>
      </c>
      <c r="AQ766" s="6" t="n">
        <v>0</v>
      </c>
      <c r="AR766" s="6" t="n">
        <v>0</v>
      </c>
    </row>
    <row r="767" customFormat="false" ht="15" hidden="false" customHeight="false" outlineLevel="0" collapsed="false">
      <c r="D767" s="0" t="s">
        <v>893</v>
      </c>
      <c r="J767" s="6" t="n">
        <v>-0.62379638398452</v>
      </c>
      <c r="K767" s="6" t="n">
        <v>-0.130303642038962</v>
      </c>
      <c r="L767" s="6" t="n">
        <v>1.80829835515131</v>
      </c>
      <c r="M767" s="6" t="n">
        <v>0.991006410742578</v>
      </c>
      <c r="N767" s="6" t="n">
        <v>2.25640620005265</v>
      </c>
      <c r="O767" s="6" t="n">
        <v>0.074252113827268</v>
      </c>
      <c r="P767" s="6" t="n">
        <v>2.85641809169965</v>
      </c>
      <c r="Q767" s="6" t="n">
        <v>-1.89447955347804</v>
      </c>
      <c r="R767" s="6" t="n">
        <v>2.70856583206391</v>
      </c>
      <c r="S767" s="6" t="n">
        <v>1.98781090206738</v>
      </c>
      <c r="T767" s="6" t="n">
        <v>-1.23307122311657</v>
      </c>
      <c r="U767" s="6" t="n">
        <v>0.255770517134264</v>
      </c>
      <c r="V767" s="6" t="n">
        <v>2.208973471666</v>
      </c>
      <c r="W767" s="6" t="n">
        <v>-1.00447825735204</v>
      </c>
      <c r="X767" s="6" t="n">
        <v>-0.697255425719486</v>
      </c>
      <c r="Y767" s="6" t="n">
        <v>0.17246019905235</v>
      </c>
      <c r="Z767" s="6" t="n">
        <v>-0.511696937462221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</v>
      </c>
      <c r="AE767" s="6" t="n">
        <v>-0.657490589830928</v>
      </c>
      <c r="AF767" s="6" t="n">
        <v>-3.3727632034784</v>
      </c>
      <c r="AG767" s="6" t="n">
        <v>1.62058422078017</v>
      </c>
      <c r="AH767" s="6" t="n">
        <v>-1.23815071271779</v>
      </c>
      <c r="AI767" s="6" t="n">
        <v>1.18901973183529</v>
      </c>
      <c r="AJ767" s="6" t="n">
        <v>64.0753027711485</v>
      </c>
      <c r="AK767" s="6" t="n">
        <v>0.139047861856686</v>
      </c>
      <c r="AL767" s="6" t="n">
        <v>1.01429834901305</v>
      </c>
      <c r="AN767" s="6" t="n">
        <v>1.30636449550357</v>
      </c>
      <c r="AO767" s="6" t="n">
        <v>1.30714093711036</v>
      </c>
      <c r="AP767" s="6" t="n">
        <v>0.136847147834693</v>
      </c>
      <c r="AQ767" s="6" t="n">
        <v>0</v>
      </c>
      <c r="AR767" s="6" t="n">
        <v>0</v>
      </c>
    </row>
    <row r="768" customFormat="false" ht="15" hidden="false" customHeight="false" outlineLevel="0" collapsed="false">
      <c r="D768" s="0" t="s">
        <v>894</v>
      </c>
      <c r="J768" s="6" t="n">
        <v>-2.88368764214905</v>
      </c>
      <c r="K768" s="6" t="n">
        <v>1.40257127233226</v>
      </c>
      <c r="L768" s="6" t="n">
        <v>-0.682504576873045</v>
      </c>
      <c r="M768" s="6" t="n">
        <v>1.72675845542532</v>
      </c>
      <c r="N768" s="6" t="n">
        <v>1.00820353304771</v>
      </c>
      <c r="O768" s="6" t="n">
        <v>-0.42390583075386</v>
      </c>
      <c r="P768" s="6" t="n">
        <v>-0.961622857623863</v>
      </c>
      <c r="Q768" s="6" t="n">
        <v>0.472574782230583</v>
      </c>
      <c r="R768" s="6" t="n">
        <v>2.68178602114627</v>
      </c>
      <c r="S768" s="6" t="n">
        <v>0.249285303428006</v>
      </c>
      <c r="T768" s="6" t="n">
        <v>-1.79960025360319</v>
      </c>
      <c r="U768" s="6" t="n">
        <v>-1.36814316030245</v>
      </c>
      <c r="V768" s="6" t="n">
        <v>0.246929186105756</v>
      </c>
      <c r="W768" s="6" t="n">
        <v>0.0774492089475844</v>
      </c>
      <c r="X768" s="6" t="n">
        <v>-0.655435236586881</v>
      </c>
      <c r="Y768" s="6" t="n">
        <v>-2.35920919909917</v>
      </c>
      <c r="Z768" s="6" t="n">
        <v>1.53359602048683</v>
      </c>
      <c r="AA768" s="6" t="n">
        <v>-1.08093398045761</v>
      </c>
      <c r="AB768" s="6" t="n">
        <v>0.709870208449829</v>
      </c>
      <c r="AC768" s="6" t="n">
        <v>1.35448678963389</v>
      </c>
      <c r="AD768" s="6" t="n">
        <v>0.28559379600293</v>
      </c>
      <c r="AE768" s="6" t="n">
        <v>1.18398246889303</v>
      </c>
      <c r="AF768" s="6" t="n">
        <v>-0.852603155389842</v>
      </c>
      <c r="AG768" s="6" t="n">
        <v>-0.466003463441494</v>
      </c>
      <c r="AH768" s="6" t="n">
        <v>-0.716389530820649</v>
      </c>
      <c r="AI768" s="6" t="n">
        <v>0.0703044473850684</v>
      </c>
      <c r="AJ768" s="6" t="n">
        <v>76.8685034047113</v>
      </c>
      <c r="AK768" s="6" t="n">
        <v>0.140477927561033</v>
      </c>
      <c r="AL768" s="6" t="n">
        <v>1.06069079017459</v>
      </c>
      <c r="AN768" s="6" t="n">
        <v>1.2918844800729</v>
      </c>
      <c r="AO768" s="6" t="n">
        <v>1.29245043302289</v>
      </c>
      <c r="AP768" s="6" t="n">
        <v>0.132992185024949</v>
      </c>
      <c r="AQ768" s="6" t="n">
        <v>0</v>
      </c>
      <c r="AR768" s="6" t="n">
        <v>0</v>
      </c>
    </row>
    <row r="769" customFormat="false" ht="15" hidden="false" customHeight="false" outlineLevel="0" collapsed="false">
      <c r="D769" s="0" t="s">
        <v>895</v>
      </c>
      <c r="J769" s="6" t="n">
        <v>2.38024068832178</v>
      </c>
      <c r="K769" s="6" t="n">
        <v>2.49236070106048</v>
      </c>
      <c r="L769" s="6" t="n">
        <v>4.08169198615513</v>
      </c>
      <c r="M769" s="6" t="n">
        <v>-1.89967648264962</v>
      </c>
      <c r="N769" s="6" t="n">
        <v>-1.94563142597906</v>
      </c>
      <c r="O769" s="6" t="n">
        <v>-1.97965862763296</v>
      </c>
      <c r="P769" s="6" t="n">
        <v>-1.60192380066144</v>
      </c>
      <c r="Q769" s="6" t="n">
        <v>1.56225322243939</v>
      </c>
      <c r="R769" s="6" t="n">
        <v>-0.259892566998578</v>
      </c>
      <c r="S769" s="6" t="n">
        <v>-1.03427413025664</v>
      </c>
      <c r="T769" s="6" t="n">
        <v>-0.754015779988403</v>
      </c>
      <c r="U769" s="6" t="n">
        <v>-0.856955368062937</v>
      </c>
      <c r="V769" s="6" t="n">
        <v>4.07659309285118</v>
      </c>
      <c r="W769" s="6" t="n">
        <v>-1.78615518372976</v>
      </c>
      <c r="X769" s="6" t="n">
        <v>2.82909602666914</v>
      </c>
      <c r="Y769" s="6" t="n">
        <v>1.00783325324509</v>
      </c>
      <c r="Z769" s="6" t="n">
        <v>3.56021385894992</v>
      </c>
      <c r="AA769" s="6" t="n">
        <v>-2.8395497724586</v>
      </c>
      <c r="AB769" s="6" t="n">
        <v>0.148194166349504</v>
      </c>
      <c r="AC769" s="6" t="n">
        <v>0.527300837293564</v>
      </c>
      <c r="AD769" s="6" t="n">
        <v>0.189493288949044</v>
      </c>
      <c r="AE769" s="6" t="n">
        <v>-2.74324575253258</v>
      </c>
      <c r="AF769" s="6" t="n">
        <v>0.661911916242421</v>
      </c>
      <c r="AG769" s="6" t="n">
        <v>-1.07651076188656</v>
      </c>
      <c r="AH769" s="6" t="n">
        <v>-0.0114337463965225</v>
      </c>
      <c r="AI769" s="6" t="n">
        <v>0.150321998729697</v>
      </c>
      <c r="AJ769" s="6" t="n">
        <v>76.2767005726427</v>
      </c>
      <c r="AK769" s="6" t="n">
        <v>0.174471435054563</v>
      </c>
      <c r="AL769" s="6" t="n">
        <v>1.04891224989689</v>
      </c>
      <c r="AN769" s="6" t="n">
        <v>1.2946320763514</v>
      </c>
      <c r="AO769" s="6" t="n">
        <v>1.2954401224931</v>
      </c>
      <c r="AP769" s="6" t="n">
        <v>0.133168584620107</v>
      </c>
      <c r="AQ769" s="6" t="n">
        <v>0</v>
      </c>
      <c r="AR769" s="6" t="n">
        <v>0</v>
      </c>
    </row>
    <row r="770" customFormat="false" ht="15" hidden="false" customHeight="false" outlineLevel="0" collapsed="false">
      <c r="D770" s="0" t="s">
        <v>896</v>
      </c>
      <c r="J770" s="6" t="n">
        <v>1.64684148997819</v>
      </c>
      <c r="K770" s="6" t="n">
        <v>2.15744507777515</v>
      </c>
      <c r="L770" s="6" t="n">
        <v>3.56189712427279</v>
      </c>
      <c r="M770" s="6" t="n">
        <v>-0.707467447359675</v>
      </c>
      <c r="N770" s="6" t="n">
        <v>1.16987620767127</v>
      </c>
      <c r="O770" s="6" t="n">
        <v>0.0149662295041924</v>
      </c>
      <c r="P770" s="6" t="n">
        <v>-2.57430959468251</v>
      </c>
      <c r="Q770" s="6" t="n">
        <v>-0.0274999019516508</v>
      </c>
      <c r="R770" s="6" t="n">
        <v>0.175674253150033</v>
      </c>
      <c r="S770" s="6" t="n">
        <v>-2.83842335860891</v>
      </c>
      <c r="T770" s="6" t="n">
        <v>0.00518531086952344</v>
      </c>
      <c r="U770" s="6" t="n">
        <v>-2.12149392119784</v>
      </c>
      <c r="V770" s="6" t="n">
        <v>-4.58800879386196</v>
      </c>
      <c r="W770" s="6" t="n">
        <v>3.30136283849404</v>
      </c>
      <c r="X770" s="6" t="n">
        <v>-0.661708138982121</v>
      </c>
      <c r="Y770" s="6" t="n">
        <v>0.286775082071247</v>
      </c>
      <c r="Z770" s="6" t="n">
        <v>3.87334760410437</v>
      </c>
      <c r="AA770" s="6" t="n">
        <v>-3.50618837463401</v>
      </c>
      <c r="AB770" s="6" t="n">
        <v>-1.54475632493687</v>
      </c>
      <c r="AC770" s="6" t="n">
        <v>-0.411831790470069</v>
      </c>
      <c r="AD770" s="6" t="n">
        <v>-2.04569528551143</v>
      </c>
      <c r="AE770" s="6" t="n">
        <v>-0.312804296564187</v>
      </c>
      <c r="AF770" s="6" t="n">
        <v>-1.40119542704158</v>
      </c>
      <c r="AG770" s="6" t="n">
        <v>-0.723698317650846</v>
      </c>
      <c r="AH770" s="6" t="n">
        <v>1.7756162200251</v>
      </c>
      <c r="AI770" s="6" t="n">
        <v>0.238995231968244</v>
      </c>
      <c r="AJ770" s="6" t="n">
        <v>75.1806992438375</v>
      </c>
      <c r="AK770" s="6" t="n">
        <v>0.119460377227961</v>
      </c>
      <c r="AL770" s="6" t="n">
        <v>1.04009308915156</v>
      </c>
      <c r="AN770" s="6" t="n">
        <v>1.30314230160182</v>
      </c>
      <c r="AO770" s="6" t="n">
        <v>1.3032032746</v>
      </c>
      <c r="AP770" s="6" t="n">
        <v>0.135270723969755</v>
      </c>
      <c r="AQ770" s="6" t="n">
        <v>0</v>
      </c>
      <c r="AR770" s="6" t="n">
        <v>0</v>
      </c>
    </row>
    <row r="771" customFormat="false" ht="15" hidden="false" customHeight="false" outlineLevel="0" collapsed="false">
      <c r="D771" s="0" t="s">
        <v>897</v>
      </c>
      <c r="J771" s="6" t="n">
        <v>3.33753167923723</v>
      </c>
      <c r="K771" s="6" t="n">
        <v>0.423486372734694</v>
      </c>
      <c r="L771" s="6" t="n">
        <v>1.40037167659242</v>
      </c>
      <c r="M771" s="6" t="n">
        <v>-0.987467606529828</v>
      </c>
      <c r="N771" s="6" t="n">
        <v>1.87163858298365</v>
      </c>
      <c r="O771" s="6" t="n">
        <v>2.94927029354912</v>
      </c>
      <c r="P771" s="6" t="n">
        <v>-0.20794333603871</v>
      </c>
      <c r="Q771" s="6" t="n">
        <v>2.30199728839402</v>
      </c>
      <c r="R771" s="6" t="n">
        <v>-5.08650125213654</v>
      </c>
      <c r="S771" s="6" t="n">
        <v>-2.33844083653413</v>
      </c>
      <c r="T771" s="6" t="n">
        <v>-1.36027529414066</v>
      </c>
      <c r="U771" s="6" t="n">
        <v>0.769926637174227</v>
      </c>
      <c r="V771" s="6" t="n">
        <v>-2.95328443208851</v>
      </c>
      <c r="W771" s="6" t="n">
        <v>0.060676170545007</v>
      </c>
      <c r="X771" s="6" t="n">
        <v>-3.36314338607214</v>
      </c>
      <c r="Y771" s="6" t="n">
        <v>0.0354486780847072</v>
      </c>
      <c r="Z771" s="6" t="n">
        <v>-5.46379317117292</v>
      </c>
      <c r="AA771" s="6" t="n">
        <v>-0.911524313311679</v>
      </c>
      <c r="AB771" s="6" t="n">
        <v>4.03715697969134</v>
      </c>
      <c r="AC771" s="6" t="n">
        <v>-0.946617608852154</v>
      </c>
      <c r="AD771" s="6" t="n">
        <v>-3.78559959583042</v>
      </c>
      <c r="AE771" s="6" t="n">
        <v>0.464728636825776</v>
      </c>
      <c r="AF771" s="6" t="n">
        <v>-6.07145373302365</v>
      </c>
      <c r="AG771" s="6" t="n">
        <v>-4.22439637812776</v>
      </c>
      <c r="AH771" s="6" t="n">
        <v>-0.098588324406345</v>
      </c>
      <c r="AI771" s="6" t="n">
        <v>-1.34037467648166</v>
      </c>
      <c r="AJ771" s="6" t="n">
        <v>79.0592329287816</v>
      </c>
      <c r="AK771" s="6" t="n">
        <v>0.135089426513002</v>
      </c>
      <c r="AL771" s="6" t="n">
        <v>1.05738508549583</v>
      </c>
      <c r="AN771" s="6" t="n">
        <v>1.29200041401665</v>
      </c>
      <c r="AO771" s="6" t="n">
        <v>1.29285474418741</v>
      </c>
      <c r="AP771" s="6" t="n">
        <v>0.133406332084262</v>
      </c>
      <c r="AQ771" s="6" t="n">
        <v>0</v>
      </c>
      <c r="AR771" s="6" t="n">
        <v>0</v>
      </c>
    </row>
    <row r="772" customFormat="false" ht="15" hidden="false" customHeight="false" outlineLevel="0" collapsed="false">
      <c r="D772" s="0" t="s">
        <v>898</v>
      </c>
      <c r="J772" s="6" t="n">
        <v>-0.64650251347329</v>
      </c>
      <c r="K772" s="6" t="n">
        <v>-1.15964722929652</v>
      </c>
      <c r="L772" s="6" t="n">
        <v>-0.480184743025986</v>
      </c>
      <c r="M772" s="6" t="n">
        <v>2.35439326258932</v>
      </c>
      <c r="N772" s="6" t="n">
        <v>3.03859757039671</v>
      </c>
      <c r="O772" s="6" t="n">
        <v>1.51147313985353</v>
      </c>
      <c r="P772" s="6" t="n">
        <v>1.31825919332692</v>
      </c>
      <c r="Q772" s="6" t="n">
        <v>-0.921613621391666</v>
      </c>
      <c r="R772" s="6" t="n">
        <v>0.16071960807885</v>
      </c>
      <c r="S772" s="6" t="n">
        <v>-0.747474369787853</v>
      </c>
      <c r="T772" s="6" t="n">
        <v>-0.535533453115008</v>
      </c>
      <c r="U772" s="6" t="n">
        <v>-2.20810276368925</v>
      </c>
      <c r="V772" s="6" t="n">
        <v>1.02785842703297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3.16779131414083</v>
      </c>
      <c r="AA772" s="6" t="n">
        <v>-1.05247776097559</v>
      </c>
      <c r="AB772" s="6" t="n">
        <v>4.18418814432067</v>
      </c>
      <c r="AC772" s="6" t="n">
        <v>-1.28541462589705</v>
      </c>
      <c r="AD772" s="6" t="n">
        <v>1.05311462638742</v>
      </c>
      <c r="AE772" s="6" t="n">
        <v>1.39558822669127</v>
      </c>
      <c r="AF772" s="6" t="n">
        <v>-1.62289421865898</v>
      </c>
      <c r="AG772" s="6" t="n">
        <v>1.58609845383901</v>
      </c>
      <c r="AH772" s="6" t="n">
        <v>-0.182298038781023</v>
      </c>
      <c r="AI772" s="6" t="n">
        <v>1.98722063112541</v>
      </c>
      <c r="AJ772" s="6" t="n">
        <v>74.1007908600264</v>
      </c>
      <c r="AK772" s="6" t="n">
        <v>0.170409509549632</v>
      </c>
      <c r="AL772" s="6" t="n">
        <v>1.04168184753482</v>
      </c>
      <c r="AN772" s="6" t="n">
        <v>1.2928135856347</v>
      </c>
      <c r="AO772" s="6" t="n">
        <v>1.29364115897917</v>
      </c>
      <c r="AP772" s="6" t="n">
        <v>0.13374022533658</v>
      </c>
      <c r="AQ772" s="6" t="n">
        <v>0</v>
      </c>
      <c r="AR772" s="6" t="n">
        <v>0</v>
      </c>
    </row>
    <row r="773" customFormat="false" ht="15" hidden="false" customHeight="false" outlineLevel="0" collapsed="false">
      <c r="D773" s="0" t="s">
        <v>899</v>
      </c>
      <c r="J773" s="6" t="n">
        <v>1.26646571405522</v>
      </c>
      <c r="K773" s="6" t="n">
        <v>0.856208555071796</v>
      </c>
      <c r="L773" s="6" t="n">
        <v>1.40131847925215</v>
      </c>
      <c r="M773" s="6" t="n">
        <v>0.564842564698896</v>
      </c>
      <c r="N773" s="6" t="n">
        <v>-0.704273178545268</v>
      </c>
      <c r="O773" s="6" t="n">
        <v>-0.501021222605423</v>
      </c>
      <c r="P773" s="6" t="n">
        <v>-0.279701761016534</v>
      </c>
      <c r="Q773" s="6" t="n">
        <v>4.81903453171529</v>
      </c>
      <c r="R773" s="6" t="n">
        <v>2.36859468766452</v>
      </c>
      <c r="S773" s="6" t="n">
        <v>1.61595607733147</v>
      </c>
      <c r="T773" s="6" t="n">
        <v>5</v>
      </c>
      <c r="U773" s="6" t="n">
        <v>-1.5247567195409</v>
      </c>
      <c r="V773" s="6" t="n">
        <v>-0.629372452057895</v>
      </c>
      <c r="W773" s="6" t="n">
        <v>-3.01098580458557</v>
      </c>
      <c r="X773" s="6" t="n">
        <v>1.37890848632708</v>
      </c>
      <c r="Y773" s="6" t="n">
        <v>0.824746200847496</v>
      </c>
      <c r="Z773" s="6" t="n">
        <v>-2.49028543169885</v>
      </c>
      <c r="AA773" s="6" t="n">
        <v>1.37929676592252</v>
      </c>
      <c r="AB773" s="6" t="n">
        <v>2.03887554487061</v>
      </c>
      <c r="AC773" s="6" t="n">
        <v>1.0076086246316</v>
      </c>
      <c r="AD773" s="6" t="n">
        <v>-1.94294272659865</v>
      </c>
      <c r="AE773" s="6" t="n">
        <v>-2.62075299574419</v>
      </c>
      <c r="AF773" s="6" t="n">
        <v>-1.2904030060434</v>
      </c>
      <c r="AG773" s="6" t="n">
        <v>0.522411871242778</v>
      </c>
      <c r="AH773" s="6" t="n">
        <v>1.01502707631136</v>
      </c>
      <c r="AI773" s="6" t="n">
        <v>0.23836772570388</v>
      </c>
      <c r="AJ773" s="6" t="n">
        <v>77.2665397535059</v>
      </c>
      <c r="AK773" s="6" t="n">
        <v>0.212444895364411</v>
      </c>
      <c r="AL773" s="6" t="n">
        <v>1.03766668116287</v>
      </c>
      <c r="AN773" s="6" t="n">
        <v>1.2936791099893</v>
      </c>
      <c r="AO773" s="6" t="n">
        <v>1.29453210909602</v>
      </c>
      <c r="AP773" s="6" t="n">
        <v>0.133396392327858</v>
      </c>
      <c r="AQ773" s="6" t="n">
        <v>0</v>
      </c>
      <c r="AR773" s="6" t="n">
        <v>0</v>
      </c>
    </row>
    <row r="774" customFormat="false" ht="15" hidden="false" customHeight="false" outlineLevel="0" collapsed="false">
      <c r="D774" s="0" t="s">
        <v>900</v>
      </c>
      <c r="J774" s="6" t="n">
        <v>-2.17323998645494</v>
      </c>
      <c r="K774" s="6" t="n">
        <v>3.14829736118445</v>
      </c>
      <c r="L774" s="6" t="n">
        <v>2.67609659524019</v>
      </c>
      <c r="M774" s="6" t="n">
        <v>2.21090782750667</v>
      </c>
      <c r="N774" s="6" t="n">
        <v>-1.6667009276377</v>
      </c>
      <c r="O774" s="6" t="n">
        <v>-0.797265084535962</v>
      </c>
      <c r="P774" s="6" t="n">
        <v>-2.26791553804959</v>
      </c>
      <c r="Q774" s="6" t="n">
        <v>-2.81635322457745</v>
      </c>
      <c r="R774" s="6" t="n">
        <v>-1.78996033969572</v>
      </c>
      <c r="S774" s="6" t="n">
        <v>-1.30599260745965</v>
      </c>
      <c r="T774" s="6" t="n">
        <v>-2.53561665946997</v>
      </c>
      <c r="U774" s="6" t="n">
        <v>-3.21051700244807</v>
      </c>
      <c r="V774" s="6" t="n">
        <v>1.03833882202241</v>
      </c>
      <c r="W774" s="6" t="n">
        <v>2.10009798553712</v>
      </c>
      <c r="X774" s="6" t="n">
        <v>-2.95522210811401</v>
      </c>
      <c r="Y774" s="6" t="n">
        <v>-2.50790824641604</v>
      </c>
      <c r="Z774" s="6" t="n">
        <v>-0.0841998575978646</v>
      </c>
      <c r="AA774" s="6" t="n">
        <v>-2.94856155736101</v>
      </c>
      <c r="AB774" s="6" t="n">
        <v>2.92176733167035</v>
      </c>
      <c r="AC774" s="6" t="n">
        <v>1.4109915770847</v>
      </c>
      <c r="AD774" s="6" t="n">
        <v>0.384807068323018</v>
      </c>
      <c r="AE774" s="6" t="n">
        <v>-0.612492030065672</v>
      </c>
      <c r="AF774" s="6" t="n">
        <v>1.05896004539375</v>
      </c>
      <c r="AG774" s="6" t="n">
        <v>-0.808396452034664</v>
      </c>
      <c r="AH774" s="6" t="n">
        <v>1.98495436492783</v>
      </c>
      <c r="AI774" s="6" t="n">
        <v>-3.79468294657934</v>
      </c>
      <c r="AJ774" s="6" t="n">
        <v>76.9673622214469</v>
      </c>
      <c r="AK774" s="6" t="n">
        <v>0.174930645896966</v>
      </c>
      <c r="AL774" s="6" t="n">
        <v>1.01106880658037</v>
      </c>
      <c r="AN774" s="6" t="n">
        <v>1.31506367348516</v>
      </c>
      <c r="AO774" s="6" t="n">
        <v>1.31550180220538</v>
      </c>
      <c r="AP774" s="6" t="n">
        <v>0.137562847892021</v>
      </c>
      <c r="AQ774" s="6" t="n">
        <v>0</v>
      </c>
      <c r="AR774" s="6" t="n">
        <v>0</v>
      </c>
    </row>
    <row r="775" customFormat="false" ht="15" hidden="false" customHeight="false" outlineLevel="0" collapsed="false">
      <c r="D775" s="0" t="s">
        <v>901</v>
      </c>
      <c r="J775" s="6" t="n">
        <v>0.0784496677044496</v>
      </c>
      <c r="K775" s="6" t="n">
        <v>0.719286421447244</v>
      </c>
      <c r="L775" s="6" t="n">
        <v>1.08919945212049</v>
      </c>
      <c r="M775" s="6" t="n">
        <v>-0.975148620849447</v>
      </c>
      <c r="N775" s="6" t="n">
        <v>-1.02577145199336</v>
      </c>
      <c r="O775" s="6" t="n">
        <v>0.773730298952971</v>
      </c>
      <c r="P775" s="6" t="n">
        <v>-3.117072321553</v>
      </c>
      <c r="Q775" s="6" t="n">
        <v>-0.271773635402555</v>
      </c>
      <c r="R775" s="6" t="n">
        <v>-1.17059515890997</v>
      </c>
      <c r="S775" s="6" t="n">
        <v>-0.341816224399128</v>
      </c>
      <c r="T775" s="6" t="n">
        <v>-3.51433433851768</v>
      </c>
      <c r="U775" s="6" t="n">
        <v>-1.19413416280689</v>
      </c>
      <c r="V775" s="6" t="n">
        <v>0.346877570911339</v>
      </c>
      <c r="W775" s="6" t="n">
        <v>-0.00157021843209049</v>
      </c>
      <c r="X775" s="6" t="n">
        <v>1.25482297644675</v>
      </c>
      <c r="Y775" s="6" t="n">
        <v>-1.05566028910401</v>
      </c>
      <c r="Z775" s="6" t="n">
        <v>1.587044862999</v>
      </c>
      <c r="AA775" s="6" t="n">
        <v>-0.20832663904655</v>
      </c>
      <c r="AB775" s="6" t="n">
        <v>-1.54345021776752</v>
      </c>
      <c r="AC775" s="6" t="n">
        <v>0.837197503899001</v>
      </c>
      <c r="AD775" s="6" t="n">
        <v>2.15215429906787</v>
      </c>
      <c r="AE775" s="6" t="n">
        <v>1.93010191716425</v>
      </c>
      <c r="AF775" s="6" t="n">
        <v>2.5827968831826</v>
      </c>
      <c r="AG775" s="6" t="n">
        <v>-1.03608829573206</v>
      </c>
      <c r="AH775" s="6" t="n">
        <v>-1.16390670859993</v>
      </c>
      <c r="AI775" s="6" t="n">
        <v>-2.14593028004034</v>
      </c>
      <c r="AJ775" s="6" t="n">
        <v>62.1218405163912</v>
      </c>
      <c r="AK775" s="6" t="n">
        <v>0.0962481599527501</v>
      </c>
      <c r="AL775" s="6" t="n">
        <v>1.0691594556863</v>
      </c>
      <c r="AN775" s="6" t="n">
        <v>1.28660387267026</v>
      </c>
      <c r="AO775" s="6" t="n">
        <v>1.28720892761164</v>
      </c>
      <c r="AP775" s="6" t="n">
        <v>0.132466568219317</v>
      </c>
      <c r="AQ775" s="6" t="n">
        <v>0</v>
      </c>
      <c r="AR775" s="6" t="n">
        <v>0</v>
      </c>
    </row>
    <row r="776" customFormat="false" ht="15" hidden="false" customHeight="false" outlineLevel="0" collapsed="false">
      <c r="D776" s="0" t="s">
        <v>902</v>
      </c>
      <c r="J776" s="6" t="n">
        <v>-1.92486477087733</v>
      </c>
      <c r="K776" s="6" t="n">
        <v>2.29573046310875</v>
      </c>
      <c r="L776" s="6" t="n">
        <v>-0.46795122865417</v>
      </c>
      <c r="M776" s="6" t="n">
        <v>-0.828885332475358</v>
      </c>
      <c r="N776" s="6" t="n">
        <v>2.24844307417658</v>
      </c>
      <c r="O776" s="6" t="n">
        <v>-3.05130637645867</v>
      </c>
      <c r="P776" s="6" t="n">
        <v>1.78924452229715</v>
      </c>
      <c r="Q776" s="6" t="n">
        <v>3.02488672507229</v>
      </c>
      <c r="R776" s="6" t="n">
        <v>-0.546126072311818</v>
      </c>
      <c r="S776" s="6" t="n">
        <v>-1.21136627006899</v>
      </c>
      <c r="T776" s="6" t="n">
        <v>1.2146730645665</v>
      </c>
      <c r="U776" s="6" t="n">
        <v>-4.36764807060371</v>
      </c>
      <c r="V776" s="6" t="n">
        <v>-2.9572129484049</v>
      </c>
      <c r="W776" s="6" t="n">
        <v>0.518373404698597</v>
      </c>
      <c r="X776" s="6" t="n">
        <v>0.883460355433138</v>
      </c>
      <c r="Y776" s="6" t="n">
        <v>-3.03639278685743</v>
      </c>
      <c r="Z776" s="6" t="n">
        <v>-1.59390970651746</v>
      </c>
      <c r="AA776" s="6" t="n">
        <v>-0.329237018871031</v>
      </c>
      <c r="AB776" s="6" t="n">
        <v>0.193572057576192</v>
      </c>
      <c r="AC776" s="6" t="n">
        <v>0.638483439660564</v>
      </c>
      <c r="AD776" s="6" t="n">
        <v>-0.815128834574388</v>
      </c>
      <c r="AE776" s="6" t="n">
        <v>1.96742192949751</v>
      </c>
      <c r="AF776" s="6" t="n">
        <v>-0.460586533473445</v>
      </c>
      <c r="AG776" s="6" t="n">
        <v>-0.203520176681572</v>
      </c>
      <c r="AH776" s="6" t="n">
        <v>5</v>
      </c>
      <c r="AI776" s="6" t="n">
        <v>1.26149789275998</v>
      </c>
      <c r="AJ776" s="6" t="n">
        <v>84.459994374686</v>
      </c>
      <c r="AK776" s="6" t="n">
        <v>0.0851533430818585</v>
      </c>
      <c r="AL776" s="6" t="n">
        <v>1.03559550581728</v>
      </c>
      <c r="AN776" s="6" t="n">
        <v>1.31555353089391</v>
      </c>
      <c r="AO776" s="6" t="n">
        <v>1.31612924764345</v>
      </c>
      <c r="AP776" s="6" t="n">
        <v>0.13742317196214</v>
      </c>
      <c r="AQ776" s="6" t="n">
        <v>0</v>
      </c>
      <c r="AR776" s="6" t="n">
        <v>0</v>
      </c>
    </row>
    <row r="777" customFormat="false" ht="15" hidden="false" customHeight="false" outlineLevel="0" collapsed="false">
      <c r="D777" s="0" t="s">
        <v>903</v>
      </c>
      <c r="J777" s="6" t="n">
        <v>3.91367691428818</v>
      </c>
      <c r="K777" s="6" t="n">
        <v>-0.494460483203813</v>
      </c>
      <c r="L777" s="6" t="n">
        <v>1.06892914075174</v>
      </c>
      <c r="M777" s="6" t="n">
        <v>-1.1105427394855</v>
      </c>
      <c r="N777" s="6" t="n">
        <v>0.324216350046255</v>
      </c>
      <c r="O777" s="6" t="n">
        <v>-0.923214585081045</v>
      </c>
      <c r="P777" s="6" t="n">
        <v>1.41120178213783</v>
      </c>
      <c r="Q777" s="6" t="n">
        <v>0.678989871304447</v>
      </c>
      <c r="R777" s="6" t="n">
        <v>-0.0157763874186345</v>
      </c>
      <c r="S777" s="6" t="n">
        <v>0.814860951606625</v>
      </c>
      <c r="T777" s="6" t="n">
        <v>-2.941075125968</v>
      </c>
      <c r="U777" s="6" t="n">
        <v>0.720028239378945</v>
      </c>
      <c r="V777" s="6" t="n">
        <v>-0.468675992584214</v>
      </c>
      <c r="W777" s="6" t="n">
        <v>2.39104159011363</v>
      </c>
      <c r="X777" s="6" t="n">
        <v>0.436580294860283</v>
      </c>
      <c r="Y777" s="6" t="n">
        <v>-2.13715639407145</v>
      </c>
      <c r="Z777" s="6" t="n">
        <v>2.70668927176298</v>
      </c>
      <c r="AA777" s="6" t="n">
        <v>-1.18717346209957</v>
      </c>
      <c r="AB777" s="6" t="n">
        <v>0.992935551419268</v>
      </c>
      <c r="AC777" s="6" t="n">
        <v>-2.29699354045938</v>
      </c>
      <c r="AD777" s="6" t="n">
        <v>-1.31124009263364</v>
      </c>
      <c r="AE777" s="6" t="n">
        <v>1.00095377756539</v>
      </c>
      <c r="AF777" s="6" t="n">
        <v>-0.738553604390026</v>
      </c>
      <c r="AG777" s="6" t="n">
        <v>1.89315335912979</v>
      </c>
      <c r="AH777" s="6" t="n">
        <v>0.186270920951225</v>
      </c>
      <c r="AI777" s="6" t="n">
        <v>-1.72329756757298</v>
      </c>
      <c r="AJ777" s="6" t="n">
        <v>76.1568300798185</v>
      </c>
      <c r="AK777" s="6" t="n">
        <v>0.148557709525289</v>
      </c>
      <c r="AL777" s="6" t="n">
        <v>1.05641128769133</v>
      </c>
      <c r="AN777" s="6" t="n">
        <v>1.29178150442245</v>
      </c>
      <c r="AO777" s="6" t="n">
        <v>1.29272664774021</v>
      </c>
      <c r="AP777" s="6" t="n">
        <v>0.133084969267792</v>
      </c>
      <c r="AQ777" s="6" t="n">
        <v>0</v>
      </c>
      <c r="AR777" s="6" t="n">
        <v>0</v>
      </c>
    </row>
    <row r="778" customFormat="false" ht="15" hidden="false" customHeight="false" outlineLevel="0" collapsed="false">
      <c r="D778" s="0" t="s">
        <v>904</v>
      </c>
      <c r="J778" s="6" t="n">
        <v>1.17618664439226</v>
      </c>
      <c r="K778" s="6" t="n">
        <v>-0.657777989237865</v>
      </c>
      <c r="L778" s="6" t="n">
        <v>-2.76129909978625</v>
      </c>
      <c r="M778" s="6" t="n">
        <v>1.93718673938089</v>
      </c>
      <c r="N778" s="6" t="n">
        <v>1.81305012703676</v>
      </c>
      <c r="O778" s="6" t="n">
        <v>-0.142178405844868</v>
      </c>
      <c r="P778" s="6" t="n">
        <v>-0.690538322931945</v>
      </c>
      <c r="Q778" s="6" t="n">
        <v>-0.647929242505582</v>
      </c>
      <c r="R778" s="6" t="n">
        <v>0.0870259698660833</v>
      </c>
      <c r="S778" s="6" t="n">
        <v>-1.32008748677334</v>
      </c>
      <c r="T778" s="6" t="n">
        <v>-3.45255443265233</v>
      </c>
      <c r="U778" s="6" t="n">
        <v>0.166148687012595</v>
      </c>
      <c r="V778" s="6" t="n">
        <v>0.184861801355884</v>
      </c>
      <c r="W778" s="6" t="n">
        <v>-0.0478436961928132</v>
      </c>
      <c r="X778" s="6" t="n">
        <v>-4.18690360468548</v>
      </c>
      <c r="Y778" s="6" t="n">
        <v>0.578002980487669</v>
      </c>
      <c r="Z778" s="6" t="n">
        <v>-0.358677058341619</v>
      </c>
      <c r="AA778" s="6" t="n">
        <v>-2.7827506198708</v>
      </c>
      <c r="AB778" s="6" t="n">
        <v>-0.136141593719745</v>
      </c>
      <c r="AC778" s="6" t="n">
        <v>1.99813420289768</v>
      </c>
      <c r="AD778" s="6" t="n">
        <v>0.918014284923363</v>
      </c>
      <c r="AE778" s="6" t="n">
        <v>-1.49301116873599</v>
      </c>
      <c r="AF778" s="6" t="n">
        <v>0.954986221097029</v>
      </c>
      <c r="AG778" s="6" t="n">
        <v>0.088828880794282</v>
      </c>
      <c r="AH778" s="6" t="n">
        <v>-6.51969591125762</v>
      </c>
      <c r="AI778" s="6" t="n">
        <v>1.84985183885288</v>
      </c>
      <c r="AJ778" s="6" t="n">
        <v>61.9079332489113</v>
      </c>
      <c r="AK778" s="6" t="n">
        <v>0.114663022567555</v>
      </c>
      <c r="AL778" s="6" t="n">
        <v>1.08089350530694</v>
      </c>
      <c r="AN778" s="6" t="n">
        <v>1.28170669926017</v>
      </c>
      <c r="AO778" s="6" t="n">
        <v>1.28212274031579</v>
      </c>
      <c r="AP778" s="6" t="n">
        <v>0.131409349264242</v>
      </c>
      <c r="AQ778" s="6" t="n">
        <v>0</v>
      </c>
      <c r="AR778" s="6" t="n">
        <v>0</v>
      </c>
    </row>
    <row r="779" customFormat="false" ht="15" hidden="false" customHeight="false" outlineLevel="0" collapsed="false">
      <c r="D779" s="0" t="s">
        <v>905</v>
      </c>
      <c r="J779" s="6" t="n">
        <v>0.125458576943436</v>
      </c>
      <c r="K779" s="6" t="n">
        <v>1.44023190027511</v>
      </c>
      <c r="L779" s="6" t="n">
        <v>1.79530251767239</v>
      </c>
      <c r="M779" s="6" t="n">
        <v>2.32462455322101</v>
      </c>
      <c r="N779" s="6" t="n">
        <v>3.27846418279941</v>
      </c>
      <c r="O779" s="6" t="n">
        <v>1.35014354403258</v>
      </c>
      <c r="P779" s="6" t="n">
        <v>-0.260374807137342</v>
      </c>
      <c r="Q779" s="6" t="n">
        <v>-4.0563743763313</v>
      </c>
      <c r="R779" s="6" t="n">
        <v>-1.08946085169058</v>
      </c>
      <c r="S779" s="6" t="n">
        <v>-1.70438947300475</v>
      </c>
      <c r="T779" s="6" t="n">
        <v>1.72380808692002</v>
      </c>
      <c r="U779" s="6" t="n">
        <v>-0.0727172186651022</v>
      </c>
      <c r="V779" s="6" t="n">
        <v>1.65509288988033</v>
      </c>
      <c r="W779" s="6" t="n">
        <v>0.32599254864178</v>
      </c>
      <c r="X779" s="6" t="n">
        <v>2.42570965595856</v>
      </c>
      <c r="Y779" s="6" t="n">
        <v>-4.71361569108441</v>
      </c>
      <c r="Z779" s="6" t="n">
        <v>-0.284369704409722</v>
      </c>
      <c r="AA779" s="6" t="n">
        <v>-0.753154979794942</v>
      </c>
      <c r="AB779" s="6" t="n">
        <v>-1.24892304752926</v>
      </c>
      <c r="AC779" s="6" t="n">
        <v>1.71449860281639</v>
      </c>
      <c r="AD779" s="6" t="n">
        <v>1.96909480650804</v>
      </c>
      <c r="AE779" s="6" t="n">
        <v>-0.562967561813873</v>
      </c>
      <c r="AF779" s="6" t="n">
        <v>-3.10323972218138</v>
      </c>
      <c r="AG779" s="6" t="n">
        <v>1.44697687159688</v>
      </c>
      <c r="AH779" s="6" t="n">
        <v>1.32717434142042</v>
      </c>
      <c r="AI779" s="6" t="n">
        <v>0.417980602701475</v>
      </c>
      <c r="AJ779" s="6" t="n">
        <v>69.8133003622974</v>
      </c>
      <c r="AK779" s="6" t="n">
        <v>0.0821083285175854</v>
      </c>
      <c r="AL779" s="6" t="n">
        <v>1.02354680041823</v>
      </c>
      <c r="AN779" s="6" t="n">
        <v>1.30950583416262</v>
      </c>
      <c r="AO779" s="6" t="n">
        <v>1.30950583416262</v>
      </c>
      <c r="AP779" s="6" t="n">
        <v>0.13690972229162</v>
      </c>
      <c r="AQ779" s="6" t="n">
        <v>0</v>
      </c>
      <c r="AR779" s="6" t="n">
        <v>0</v>
      </c>
    </row>
    <row r="780" customFormat="false" ht="15" hidden="false" customHeight="false" outlineLevel="0" collapsed="false">
      <c r="D780" s="0" t="s">
        <v>906</v>
      </c>
      <c r="J780" s="6" t="n">
        <v>0.503581125422795</v>
      </c>
      <c r="K780" s="6" t="n">
        <v>-2.77209466508194</v>
      </c>
      <c r="L780" s="6" t="n">
        <v>-1.3893822165417</v>
      </c>
      <c r="M780" s="6" t="n">
        <v>1.55273340980624</v>
      </c>
      <c r="N780" s="6" t="n">
        <v>-1.42112900133803</v>
      </c>
      <c r="O780" s="6" t="n">
        <v>2.75032498843491</v>
      </c>
      <c r="P780" s="6" t="n">
        <v>0.304300931099862</v>
      </c>
      <c r="Q780" s="6" t="n">
        <v>-1.21227763293254</v>
      </c>
      <c r="R780" s="6" t="n">
        <v>0.234722913926079</v>
      </c>
      <c r="S780" s="6" t="n">
        <v>-1.16937250187768</v>
      </c>
      <c r="T780" s="6" t="n">
        <v>2.36388807154904</v>
      </c>
      <c r="U780" s="6" t="n">
        <v>0.0624825824402657</v>
      </c>
      <c r="V780" s="6" t="n">
        <v>0.62336412271831</v>
      </c>
      <c r="W780" s="6" t="n">
        <v>2.62859235593892</v>
      </c>
      <c r="X780" s="6" t="n">
        <v>1.13069540224728</v>
      </c>
      <c r="Y780" s="6" t="n">
        <v>1.20513175188143</v>
      </c>
      <c r="Z780" s="6" t="n">
        <v>3.31402443990096</v>
      </c>
      <c r="AA780" s="6" t="n">
        <v>-0.66814726859832</v>
      </c>
      <c r="AB780" s="6" t="n">
        <v>3.45791025188714</v>
      </c>
      <c r="AC780" s="6" t="n">
        <v>1.3456447530167</v>
      </c>
      <c r="AD780" s="6" t="n">
        <v>-1.74567600314291</v>
      </c>
      <c r="AE780" s="6" t="n">
        <v>4.30945430802703</v>
      </c>
      <c r="AF780" s="6" t="n">
        <v>1.82645554056561</v>
      </c>
      <c r="AG780" s="6" t="n">
        <v>1.43422841771497</v>
      </c>
      <c r="AH780" s="6" t="n">
        <v>0.922460334995051</v>
      </c>
      <c r="AI780" s="6" t="n">
        <v>1.83708767891012</v>
      </c>
      <c r="AJ780" s="6" t="n">
        <v>58.3196241951004</v>
      </c>
      <c r="AK780" s="6" t="n">
        <v>0.0976059981450329</v>
      </c>
      <c r="AL780" s="6" t="n">
        <v>1.06707849302585</v>
      </c>
      <c r="AN780" s="6" t="n">
        <v>1.28291652169862</v>
      </c>
      <c r="AO780" s="6" t="n">
        <v>1.28330935958042</v>
      </c>
      <c r="AP780" s="6" t="n">
        <v>0.132338316888153</v>
      </c>
      <c r="AQ780" s="6" t="n">
        <v>0</v>
      </c>
      <c r="AR780" s="6" t="n">
        <v>0</v>
      </c>
    </row>
    <row r="781" customFormat="false" ht="15" hidden="false" customHeight="false" outlineLevel="0" collapsed="false">
      <c r="D781" s="0" t="s">
        <v>907</v>
      </c>
      <c r="J781" s="6" t="n">
        <v>-1.93052489340147</v>
      </c>
      <c r="K781" s="6" t="n">
        <v>0.996312115460735</v>
      </c>
      <c r="L781" s="6" t="n">
        <v>4.01788256328851</v>
      </c>
      <c r="M781" s="6" t="n">
        <v>-3.07456939013068</v>
      </c>
      <c r="N781" s="6" t="n">
        <v>-0.98673538283455</v>
      </c>
      <c r="O781" s="6" t="n">
        <v>-1.67496025842795</v>
      </c>
      <c r="P781" s="6" t="n">
        <v>-0.0786653234055274</v>
      </c>
      <c r="Q781" s="6" t="n">
        <v>-0.0128331608732785</v>
      </c>
      <c r="R781" s="6" t="n">
        <v>-1.70022182011295</v>
      </c>
      <c r="S781" s="6" t="n">
        <v>1.84673736704086</v>
      </c>
      <c r="T781" s="6" t="n">
        <v>0.966611503962054</v>
      </c>
      <c r="U781" s="6" t="n">
        <v>0.748886873426897</v>
      </c>
      <c r="V781" s="6" t="n">
        <v>-1.38483927365228</v>
      </c>
      <c r="W781" s="6" t="n">
        <v>2.51676598570865</v>
      </c>
      <c r="X781" s="6" t="n">
        <v>0.182359108991007</v>
      </c>
      <c r="Y781" s="6" t="n">
        <v>0.698096565268516</v>
      </c>
      <c r="Z781" s="6" t="n">
        <v>2.61077862641074</v>
      </c>
      <c r="AA781" s="6" t="n">
        <v>1.04763176717838</v>
      </c>
      <c r="AB781" s="6" t="n">
        <v>-0.264690404179913</v>
      </c>
      <c r="AC781" s="6" t="n">
        <v>3.13953537312756</v>
      </c>
      <c r="AD781" s="6" t="n">
        <v>-0.651449705518587</v>
      </c>
      <c r="AE781" s="6" t="n">
        <v>-0.888416991214984</v>
      </c>
      <c r="AF781" s="6" t="n">
        <v>0.750877128472637</v>
      </c>
      <c r="AG781" s="6" t="n">
        <v>2.54617342303583</v>
      </c>
      <c r="AH781" s="6" t="n">
        <v>0.547302208137738</v>
      </c>
      <c r="AI781" s="6" t="n">
        <v>-1.58258353431765</v>
      </c>
      <c r="AJ781" s="6" t="n">
        <v>68.8618398633558</v>
      </c>
      <c r="AK781" s="6" t="n">
        <v>0.141749184805123</v>
      </c>
      <c r="AL781" s="6" t="n">
        <v>1.13563037071523</v>
      </c>
      <c r="AN781" s="6" t="n">
        <v>1.26671739710225</v>
      </c>
      <c r="AO781" s="6" t="n">
        <v>1.26729078694956</v>
      </c>
      <c r="AP781" s="6" t="n">
        <v>0.128363596058313</v>
      </c>
      <c r="AQ781" s="6" t="n">
        <v>0</v>
      </c>
      <c r="AR781" s="6" t="n">
        <v>0</v>
      </c>
    </row>
    <row r="782" customFormat="false" ht="15" hidden="false" customHeight="false" outlineLevel="0" collapsed="false">
      <c r="D782" s="0" t="s">
        <v>908</v>
      </c>
      <c r="J782" s="6" t="n">
        <v>1.15046248304498</v>
      </c>
      <c r="K782" s="6" t="n">
        <v>0.127521874715674</v>
      </c>
      <c r="L782" s="6" t="n">
        <v>-3.04365493772208</v>
      </c>
      <c r="M782" s="6" t="n">
        <v>-2.97384070878766</v>
      </c>
      <c r="N782" s="6" t="n">
        <v>3.6233036842601</v>
      </c>
      <c r="O782" s="6" t="n">
        <v>0.597702812198835</v>
      </c>
      <c r="P782" s="6" t="n">
        <v>0.630195130415876</v>
      </c>
      <c r="Q782" s="6" t="n">
        <v>-3.21860884081059</v>
      </c>
      <c r="R782" s="6" t="n">
        <v>0.668246123690134</v>
      </c>
      <c r="S782" s="6" t="n">
        <v>2.05387884925662</v>
      </c>
      <c r="T782" s="6" t="n">
        <v>-3.55255833726665</v>
      </c>
      <c r="U782" s="6" t="n">
        <v>-0.843112328729344</v>
      </c>
      <c r="V782" s="6" t="n">
        <v>2.01524477221632</v>
      </c>
      <c r="W782" s="6" t="n">
        <v>-0.500869586231328</v>
      </c>
      <c r="X782" s="6" t="n">
        <v>0.815794196179582</v>
      </c>
      <c r="Y782" s="6" t="n">
        <v>0.802731975319719</v>
      </c>
      <c r="Z782" s="6" t="n">
        <v>4.01494282137074</v>
      </c>
      <c r="AA782" s="6" t="n">
        <v>-1.93277914811923</v>
      </c>
      <c r="AB782" s="6" t="n">
        <v>0.794019997760711</v>
      </c>
      <c r="AC782" s="6" t="n">
        <v>-0.321650466948984</v>
      </c>
      <c r="AD782" s="6" t="n">
        <v>4.34539784677012</v>
      </c>
      <c r="AE782" s="6" t="n">
        <v>-2.46527016807914</v>
      </c>
      <c r="AF782" s="6" t="n">
        <v>-3.41159945364526</v>
      </c>
      <c r="AG782" s="6" t="n">
        <v>-0.400888385105968</v>
      </c>
      <c r="AH782" s="6" t="n">
        <v>1.98041075384976</v>
      </c>
      <c r="AI782" s="6" t="n">
        <v>2.48396178065131</v>
      </c>
      <c r="AJ782" s="6" t="n">
        <v>68.0034140010959</v>
      </c>
      <c r="AK782" s="6" t="n">
        <v>0.149518367573532</v>
      </c>
      <c r="AL782" s="6" t="n">
        <v>1.05392226070365</v>
      </c>
      <c r="AN782" s="6" t="n">
        <v>1.28834395641186</v>
      </c>
      <c r="AO782" s="6" t="n">
        <v>1.28920591239331</v>
      </c>
      <c r="AP782" s="6" t="n">
        <v>0.132196297284501</v>
      </c>
      <c r="AQ782" s="6" t="n">
        <v>0</v>
      </c>
      <c r="AR782" s="6" t="n">
        <v>0</v>
      </c>
    </row>
    <row r="783" customFormat="false" ht="15" hidden="false" customHeight="false" outlineLevel="0" collapsed="false">
      <c r="D783" s="0" t="s">
        <v>909</v>
      </c>
      <c r="J783" s="6" t="n">
        <v>0.416936486277534</v>
      </c>
      <c r="K783" s="6" t="n">
        <v>-1.29088476835755</v>
      </c>
      <c r="L783" s="6" t="n">
        <v>0.883949236001219</v>
      </c>
      <c r="M783" s="6" t="n">
        <v>1.78427002513908</v>
      </c>
      <c r="N783" s="6" t="n">
        <v>-2.19272431116059</v>
      </c>
      <c r="O783" s="6" t="n">
        <v>3.77494561182032</v>
      </c>
      <c r="P783" s="6" t="n">
        <v>0.648566140533489</v>
      </c>
      <c r="Q783" s="6" t="n">
        <v>-0.917128069666209</v>
      </c>
      <c r="R783" s="6" t="n">
        <v>-1.16417044592585</v>
      </c>
      <c r="S783" s="6" t="n">
        <v>-2.17282655789409</v>
      </c>
      <c r="T783" s="6" t="n">
        <v>3.17096417857668</v>
      </c>
      <c r="U783" s="6" t="n">
        <v>-2.45039078244536</v>
      </c>
      <c r="V783" s="6" t="n">
        <v>3.57614675238117</v>
      </c>
      <c r="W783" s="6" t="n">
        <v>-2.30290175264416</v>
      </c>
      <c r="X783" s="6" t="n">
        <v>1.38662746209701</v>
      </c>
      <c r="Y783" s="6" t="n">
        <v>2.22225424194663</v>
      </c>
      <c r="Z783" s="6" t="n">
        <v>1.0307496108013</v>
      </c>
      <c r="AA783" s="6" t="n">
        <v>1.60639904647756</v>
      </c>
      <c r="AB783" s="6" t="n">
        <v>1.66209173563422</v>
      </c>
      <c r="AC783" s="6" t="n">
        <v>1.35603984632642</v>
      </c>
      <c r="AD783" s="6" t="n">
        <v>-1.57736677930417</v>
      </c>
      <c r="AE783" s="6" t="n">
        <v>-0.806030631932115</v>
      </c>
      <c r="AF783" s="6" t="n">
        <v>-2.24834938696397</v>
      </c>
      <c r="AG783" s="6" t="n">
        <v>-3.23790055385368</v>
      </c>
      <c r="AH783" s="6" t="n">
        <v>-2.28764881944724</v>
      </c>
      <c r="AI783" s="6" t="n">
        <v>2.26660513560177</v>
      </c>
      <c r="AJ783" s="6" t="n">
        <v>66.270448747944</v>
      </c>
      <c r="AK783" s="6" t="n">
        <v>0.106146446574828</v>
      </c>
      <c r="AL783" s="6" t="n">
        <v>1.07168400787311</v>
      </c>
      <c r="AN783" s="6" t="n">
        <v>1.28522650192717</v>
      </c>
      <c r="AO783" s="6" t="n">
        <v>1.28561066744241</v>
      </c>
      <c r="AP783" s="6" t="n">
        <v>0.132220015560076</v>
      </c>
      <c r="AQ783" s="6" t="n">
        <v>0</v>
      </c>
      <c r="AR783" s="6" t="n">
        <v>0</v>
      </c>
    </row>
    <row r="784" customFormat="false" ht="15" hidden="false" customHeight="false" outlineLevel="0" collapsed="false">
      <c r="D784" s="0" t="s">
        <v>910</v>
      </c>
      <c r="J784" s="6" t="n">
        <v>2.98251281960664</v>
      </c>
      <c r="K784" s="6" t="n">
        <v>0.498029756504959</v>
      </c>
      <c r="L784" s="6" t="n">
        <v>0.708641663523011</v>
      </c>
      <c r="M784" s="6" t="n">
        <v>-3.68486105951382</v>
      </c>
      <c r="N784" s="6" t="n">
        <v>-2.54826230609184</v>
      </c>
      <c r="O784" s="6" t="n">
        <v>0.628931750387601</v>
      </c>
      <c r="P784" s="6" t="n">
        <v>-3.41090486567373</v>
      </c>
      <c r="Q784" s="6" t="n">
        <v>2.68528063129144</v>
      </c>
      <c r="R784" s="6" t="n">
        <v>-1.77849162984867</v>
      </c>
      <c r="S784" s="6" t="n">
        <v>0.584707576543453</v>
      </c>
      <c r="T784" s="6" t="n">
        <v>3.56423612699743</v>
      </c>
      <c r="U784" s="6" t="n">
        <v>-4.51631376627723</v>
      </c>
      <c r="V784" s="6" t="n">
        <v>-2.67717490342629</v>
      </c>
      <c r="W784" s="6" t="n">
        <v>-0.770313909236408</v>
      </c>
      <c r="X784" s="6" t="n">
        <v>0.0522537697776511</v>
      </c>
      <c r="Y784" s="6" t="n">
        <v>0.795864734505713</v>
      </c>
      <c r="Z784" s="6" t="n">
        <v>-3.9296819684223</v>
      </c>
      <c r="AA784" s="6" t="n">
        <v>2.11364975563069</v>
      </c>
      <c r="AB784" s="6" t="n">
        <v>0.60927925073767</v>
      </c>
      <c r="AC784" s="6" t="n">
        <v>0.412356297547034</v>
      </c>
      <c r="AD784" s="6" t="n">
        <v>0.816513826126698</v>
      </c>
      <c r="AE784" s="6" t="n">
        <v>0.305658825244652</v>
      </c>
      <c r="AF784" s="6" t="n">
        <v>0.867871814543335</v>
      </c>
      <c r="AG784" s="6" t="n">
        <v>1.31211111040249</v>
      </c>
      <c r="AH784" s="6" t="n">
        <v>-0.286451854029202</v>
      </c>
      <c r="AI784" s="6" t="n">
        <v>-1.85854528495217</v>
      </c>
      <c r="AJ784" s="6" t="n">
        <v>75.6009783139269</v>
      </c>
      <c r="AK784" s="6" t="n">
        <v>0.151266255712295</v>
      </c>
      <c r="AL784" s="6" t="n">
        <v>1.05397917193543</v>
      </c>
      <c r="AN784" s="6" t="n">
        <v>1.2924988902928</v>
      </c>
      <c r="AO784" s="6" t="n">
        <v>1.29285784644437</v>
      </c>
      <c r="AP784" s="6" t="n">
        <v>0.132553989273644</v>
      </c>
      <c r="AQ784" s="6" t="n">
        <v>0</v>
      </c>
      <c r="AR784" s="6" t="n">
        <v>0</v>
      </c>
    </row>
    <row r="785" customFormat="false" ht="15" hidden="false" customHeight="false" outlineLevel="0" collapsed="false">
      <c r="D785" s="0" t="s">
        <v>911</v>
      </c>
      <c r="J785" s="6" t="n">
        <v>2.50418713613826</v>
      </c>
      <c r="K785" s="6" t="n">
        <v>-1.95285494889828</v>
      </c>
      <c r="L785" s="6" t="n">
        <v>1.83244311724955</v>
      </c>
      <c r="M785" s="6" t="n">
        <v>-1.45427252274487</v>
      </c>
      <c r="N785" s="6" t="n">
        <v>1.10134076551581</v>
      </c>
      <c r="O785" s="6" t="n">
        <v>1.09401852504843</v>
      </c>
      <c r="P785" s="6" t="n">
        <v>-1.24906584781656</v>
      </c>
      <c r="Q785" s="6" t="n">
        <v>0.0465084063272217</v>
      </c>
      <c r="R785" s="6" t="n">
        <v>-0.340657213422666</v>
      </c>
      <c r="S785" s="6" t="n">
        <v>1.66953987753332</v>
      </c>
      <c r="T785" s="6" t="n">
        <v>-1.87594869891565</v>
      </c>
      <c r="U785" s="6" t="n">
        <v>-0.737765207789286</v>
      </c>
      <c r="V785" s="6" t="n">
        <v>-0.972063632700734</v>
      </c>
      <c r="W785" s="6" t="n">
        <v>-0.193258676680579</v>
      </c>
      <c r="X785" s="6" t="n">
        <v>-0.706322706972807</v>
      </c>
      <c r="Y785" s="6" t="n">
        <v>-4.87972521407466</v>
      </c>
      <c r="Z785" s="6" t="n">
        <v>1.39977398586716</v>
      </c>
      <c r="AA785" s="6" t="n">
        <v>1.11560082611094</v>
      </c>
      <c r="AB785" s="6" t="n">
        <v>0.672580444464417</v>
      </c>
      <c r="AC785" s="6" t="n">
        <v>-0.271848404938142</v>
      </c>
      <c r="AD785" s="6" t="n">
        <v>-2.79270233021922</v>
      </c>
      <c r="AE785" s="6" t="n">
        <v>1.10680051955563</v>
      </c>
      <c r="AF785" s="6" t="n">
        <v>0.137132939907833</v>
      </c>
      <c r="AG785" s="6" t="n">
        <v>3.91995547654115</v>
      </c>
      <c r="AH785" s="6" t="n">
        <v>0.0251856543450646</v>
      </c>
      <c r="AI785" s="6" t="n">
        <v>-0.979457175129897</v>
      </c>
      <c r="AJ785" s="6" t="n">
        <v>66.7644845875954</v>
      </c>
      <c r="AK785" s="6" t="n">
        <v>0.127919791924967</v>
      </c>
      <c r="AL785" s="6" t="n">
        <v>1.06355606696376</v>
      </c>
      <c r="AN785" s="6" t="n">
        <v>1.28677331493529</v>
      </c>
      <c r="AO785" s="6" t="n">
        <v>1.28681850376657</v>
      </c>
      <c r="AP785" s="6" t="n">
        <v>0.132237687397702</v>
      </c>
      <c r="AQ785" s="6" t="n">
        <v>0</v>
      </c>
      <c r="AR785" s="6" t="n">
        <v>0</v>
      </c>
    </row>
    <row r="786" customFormat="false" ht="15" hidden="false" customHeight="false" outlineLevel="0" collapsed="false">
      <c r="D786" s="0" t="s">
        <v>912</v>
      </c>
      <c r="J786" s="6" t="n">
        <v>-0.134829609884202</v>
      </c>
      <c r="K786" s="6" t="n">
        <v>2.2350932423345</v>
      </c>
      <c r="L786" s="6" t="n">
        <v>0.184895267695731</v>
      </c>
      <c r="M786" s="6" t="n">
        <v>2.70317994371059</v>
      </c>
      <c r="N786" s="6" t="n">
        <v>0.910061189895124</v>
      </c>
      <c r="O786" s="6" t="n">
        <v>-1.16896015020306</v>
      </c>
      <c r="P786" s="6" t="n">
        <v>-2.26912673304154</v>
      </c>
      <c r="Q786" s="6" t="n">
        <v>1.72518765749718</v>
      </c>
      <c r="R786" s="6" t="n">
        <v>4.25793159422785</v>
      </c>
      <c r="S786" s="6" t="n">
        <v>2.5888044890725</v>
      </c>
      <c r="T786" s="6" t="n">
        <v>4.161194087412</v>
      </c>
      <c r="U786" s="6" t="n">
        <v>1.90630824875391</v>
      </c>
      <c r="V786" s="6" t="n">
        <v>0.756112509495681</v>
      </c>
      <c r="W786" s="6" t="n">
        <v>-0.910545683704637</v>
      </c>
      <c r="X786" s="6" t="n">
        <v>-0.982849790836124</v>
      </c>
      <c r="Y786" s="6" t="n">
        <v>0.487759202511989</v>
      </c>
      <c r="Z786" s="6" t="n">
        <v>0.158316234611038</v>
      </c>
      <c r="AA786" s="6" t="n">
        <v>-1.61661041299885</v>
      </c>
      <c r="AB786" s="6" t="n">
        <v>-1.19382777555074</v>
      </c>
      <c r="AC786" s="6" t="n">
        <v>-1.25729072046009</v>
      </c>
      <c r="AD786" s="6" t="n">
        <v>0.185324680481809</v>
      </c>
      <c r="AE786" s="6" t="n">
        <v>0.096824158509835</v>
      </c>
      <c r="AF786" s="6" t="n">
        <v>-4.33611184432899</v>
      </c>
      <c r="AG786" s="6" t="n">
        <v>-3.52154858864028</v>
      </c>
      <c r="AH786" s="6" t="n">
        <v>1.07718655530325</v>
      </c>
      <c r="AI786" s="6" t="n">
        <v>-1.48000923059465</v>
      </c>
      <c r="AJ786" s="6" t="n">
        <v>66.3700965295299</v>
      </c>
      <c r="AK786" s="6" t="n">
        <v>0.0702228761586932</v>
      </c>
      <c r="AL786" s="6" t="n">
        <v>1.12039746802127</v>
      </c>
      <c r="AN786" s="6" t="n">
        <v>1.27937708721757</v>
      </c>
      <c r="AO786" s="6" t="n">
        <v>1.27967112432701</v>
      </c>
      <c r="AP786" s="6" t="n">
        <v>0.130768122864559</v>
      </c>
      <c r="AQ786" s="6" t="n">
        <v>0</v>
      </c>
      <c r="AR786" s="6" t="n">
        <v>0</v>
      </c>
    </row>
    <row r="787" customFormat="false" ht="15" hidden="false" customHeight="false" outlineLevel="0" collapsed="false">
      <c r="D787" s="0" t="s">
        <v>913</v>
      </c>
      <c r="J787" s="6" t="n">
        <v>-0.256015111720124</v>
      </c>
      <c r="K787" s="6" t="n">
        <v>1.73554861470379</v>
      </c>
      <c r="L787" s="6" t="n">
        <v>0.579988761454316</v>
      </c>
      <c r="M787" s="6" t="n">
        <v>3.24019429313116</v>
      </c>
      <c r="N787" s="6" t="n">
        <v>-0.0454322478705305</v>
      </c>
      <c r="O787" s="6" t="n">
        <v>0.625129494659128</v>
      </c>
      <c r="P787" s="6" t="n">
        <v>-4.43652097765411</v>
      </c>
      <c r="Q787" s="6" t="n">
        <v>0.00741819858909708</v>
      </c>
      <c r="R787" s="6" t="n">
        <v>-2.2010130528007</v>
      </c>
      <c r="S787" s="6" t="n">
        <v>-1.08606432973912</v>
      </c>
      <c r="T787" s="6" t="n">
        <v>0.109314234524988</v>
      </c>
      <c r="U787" s="6" t="n">
        <v>-0.202986998971916</v>
      </c>
      <c r="V787" s="6" t="n">
        <v>2.12031739673078</v>
      </c>
      <c r="W787" s="6" t="n">
        <v>-1.60206067577331</v>
      </c>
      <c r="X787" s="6" t="n">
        <v>1.48164420750356</v>
      </c>
      <c r="Y787" s="6" t="n">
        <v>1.43359751471688</v>
      </c>
      <c r="Z787" s="6" t="n">
        <v>-1.03980160243335</v>
      </c>
      <c r="AA787" s="6" t="n">
        <v>0.788254363757097</v>
      </c>
      <c r="AB787" s="6" t="n">
        <v>-2.45187148223032</v>
      </c>
      <c r="AC787" s="6" t="n">
        <v>-2.13774025063995</v>
      </c>
      <c r="AD787" s="6" t="n">
        <v>1.38634478008944</v>
      </c>
      <c r="AE787" s="6" t="n">
        <v>2.65642850497589</v>
      </c>
      <c r="AF787" s="6" t="n">
        <v>1.97228805002397</v>
      </c>
      <c r="AG787" s="6" t="n">
        <v>3.44029626107443</v>
      </c>
      <c r="AH787" s="6" t="n">
        <v>1.34561238526955</v>
      </c>
      <c r="AI787" s="6" t="n">
        <v>-0.4877653915196</v>
      </c>
      <c r="AJ787" s="6" t="n">
        <v>75.5575900540711</v>
      </c>
      <c r="AK787" s="6" t="n">
        <v>0.170191460176046</v>
      </c>
      <c r="AL787" s="6" t="n">
        <v>1.10255762672571</v>
      </c>
      <c r="AN787" s="6" t="n">
        <v>1.27171656256677</v>
      </c>
      <c r="AO787" s="6" t="n">
        <v>1.27249701229968</v>
      </c>
      <c r="AP787" s="6" t="n">
        <v>0.129299627809124</v>
      </c>
      <c r="AQ787" s="6" t="n">
        <v>0</v>
      </c>
      <c r="AR787" s="6" t="n">
        <v>0</v>
      </c>
    </row>
    <row r="788" customFormat="false" ht="15" hidden="false" customHeight="false" outlineLevel="0" collapsed="false">
      <c r="D788" s="0" t="s">
        <v>914</v>
      </c>
      <c r="J788" s="6" t="n">
        <v>1.63896249833493</v>
      </c>
      <c r="K788" s="6" t="n">
        <v>-1.95787291901644</v>
      </c>
      <c r="L788" s="6" t="n">
        <v>0.61570945079795</v>
      </c>
      <c r="M788" s="6" t="n">
        <v>-1.53629786797794</v>
      </c>
      <c r="N788" s="6" t="n">
        <v>1.49975662837061</v>
      </c>
      <c r="O788" s="6" t="n">
        <v>1.1107895966462</v>
      </c>
      <c r="P788" s="6" t="n">
        <v>2.12798934496046</v>
      </c>
      <c r="Q788" s="6" t="n">
        <v>-2.20533505527631</v>
      </c>
      <c r="R788" s="6" t="n">
        <v>0.0888661586423913</v>
      </c>
      <c r="S788" s="6" t="n">
        <v>-1.44140169813212</v>
      </c>
      <c r="T788" s="6" t="n">
        <v>4.03242915086122</v>
      </c>
      <c r="U788" s="6" t="n">
        <v>1.64238802968849</v>
      </c>
      <c r="V788" s="6" t="n">
        <v>1.91632734407754</v>
      </c>
      <c r="W788" s="6" t="n">
        <v>0.194104922863789</v>
      </c>
      <c r="X788" s="6" t="n">
        <v>0.309237684319208</v>
      </c>
      <c r="Y788" s="6" t="n">
        <v>-0.25352948037402</v>
      </c>
      <c r="Z788" s="6" t="n">
        <v>-0.455405291673428</v>
      </c>
      <c r="AA788" s="6" t="n">
        <v>-1.9336593375208</v>
      </c>
      <c r="AB788" s="6" t="n">
        <v>-1.5728443394164</v>
      </c>
      <c r="AC788" s="6" t="n">
        <v>-4.06319745859708</v>
      </c>
      <c r="AD788" s="6" t="n">
        <v>-0.492123372475038</v>
      </c>
      <c r="AE788" s="6" t="n">
        <v>3.12672823023356</v>
      </c>
      <c r="AF788" s="6" t="n">
        <v>-0.578306179947935</v>
      </c>
      <c r="AG788" s="6" t="n">
        <v>4.20651631102925</v>
      </c>
      <c r="AH788" s="6" t="n">
        <v>1.20432077635773</v>
      </c>
      <c r="AI788" s="6" t="n">
        <v>-1.32314835728495</v>
      </c>
      <c r="AJ788" s="6" t="n">
        <v>77.0782045168805</v>
      </c>
      <c r="AK788" s="6" t="n">
        <v>0.0735258145327941</v>
      </c>
      <c r="AL788" s="6" t="n">
        <v>1.01365560281015</v>
      </c>
      <c r="AN788" s="6" t="n">
        <v>1.31450851261652</v>
      </c>
      <c r="AO788" s="6" t="n">
        <v>1.31450851261652</v>
      </c>
      <c r="AP788" s="6" t="n">
        <v>0.139803583954354</v>
      </c>
      <c r="AQ788" s="6" t="n">
        <v>0</v>
      </c>
      <c r="AR788" s="6" t="n">
        <v>0</v>
      </c>
    </row>
    <row r="789" customFormat="false" ht="15" hidden="false" customHeight="false" outlineLevel="0" collapsed="false">
      <c r="D789" s="0" t="s">
        <v>915</v>
      </c>
      <c r="J789" s="6" t="n">
        <v>-0.441174209321633</v>
      </c>
      <c r="K789" s="6" t="n">
        <v>-1.31805627973945</v>
      </c>
      <c r="L789" s="6" t="n">
        <v>0.136712471402311</v>
      </c>
      <c r="M789" s="6" t="n">
        <v>1.75008970457685</v>
      </c>
      <c r="N789" s="6" t="n">
        <v>-0.807945984176658</v>
      </c>
      <c r="O789" s="6" t="n">
        <v>-1.3328848933531</v>
      </c>
      <c r="P789" s="6" t="n">
        <v>1.41098466236173</v>
      </c>
      <c r="Q789" s="6" t="n">
        <v>-0.570653526086418</v>
      </c>
      <c r="R789" s="6" t="n">
        <v>-0.72699655277916</v>
      </c>
      <c r="S789" s="6" t="n">
        <v>0.609855971881932</v>
      </c>
      <c r="T789" s="6" t="n">
        <v>2.35399157019392</v>
      </c>
      <c r="U789" s="6" t="n">
        <v>0.360907599121754</v>
      </c>
      <c r="V789" s="6" t="n">
        <v>-2.88225607094658</v>
      </c>
      <c r="W789" s="6" t="n">
        <v>0.87463589734319</v>
      </c>
      <c r="X789" s="6" t="n">
        <v>-1.27480764929007</v>
      </c>
      <c r="Y789" s="6" t="n">
        <v>-0.879737344113598</v>
      </c>
      <c r="Z789" s="6" t="n">
        <v>1.66253332054948</v>
      </c>
      <c r="AA789" s="6" t="n">
        <v>-0.589984281636844</v>
      </c>
      <c r="AB789" s="6" t="n">
        <v>-2.02026895359801</v>
      </c>
      <c r="AC789" s="6" t="n">
        <v>-0.199460560245472</v>
      </c>
      <c r="AD789" s="6" t="n">
        <v>1.5690543668394</v>
      </c>
      <c r="AE789" s="6" t="n">
        <v>0.304596892632122</v>
      </c>
      <c r="AF789" s="6" t="n">
        <v>0.102882476642657</v>
      </c>
      <c r="AG789" s="6" t="n">
        <v>0.314204872395982</v>
      </c>
      <c r="AH789" s="6" t="n">
        <v>3.24871208117081</v>
      </c>
      <c r="AI789" s="6" t="n">
        <v>1.87236261090073</v>
      </c>
      <c r="AJ789" s="6" t="n">
        <v>57.9760811272477</v>
      </c>
      <c r="AK789" s="6" t="n">
        <v>0.136545300668531</v>
      </c>
      <c r="AL789" s="6" t="n">
        <v>1.02856193965339</v>
      </c>
      <c r="AN789" s="6" t="n">
        <v>1.29834879809843</v>
      </c>
      <c r="AO789" s="6" t="n">
        <v>1.29919267183585</v>
      </c>
      <c r="AP789" s="6" t="n">
        <v>0.134689563474475</v>
      </c>
      <c r="AQ789" s="6" t="n">
        <v>0</v>
      </c>
      <c r="AR789" s="6" t="n">
        <v>0</v>
      </c>
    </row>
    <row r="790" customFormat="false" ht="15" hidden="false" customHeight="false" outlineLevel="0" collapsed="false">
      <c r="D790" s="0" t="s">
        <v>916</v>
      </c>
      <c r="J790" s="6" t="n">
        <v>2.3434342353026</v>
      </c>
      <c r="K790" s="6" t="n">
        <v>-0.00288943229533719</v>
      </c>
      <c r="L790" s="6" t="n">
        <v>3.05738657473723</v>
      </c>
      <c r="M790" s="6" t="n">
        <v>-3.174878095586</v>
      </c>
      <c r="N790" s="6" t="n">
        <v>1.47410639173013</v>
      </c>
      <c r="O790" s="6" t="n">
        <v>-1.86573051982128</v>
      </c>
      <c r="P790" s="6" t="n">
        <v>2.80288984564413</v>
      </c>
      <c r="Q790" s="6" t="n">
        <v>0.791885977526763</v>
      </c>
      <c r="R790" s="6" t="n">
        <v>-2.65326259572575</v>
      </c>
      <c r="S790" s="6" t="n">
        <v>-1.23757859594607</v>
      </c>
      <c r="T790" s="6" t="n">
        <v>1.28533315977704</v>
      </c>
      <c r="U790" s="6" t="n">
        <v>-1.39516968209846</v>
      </c>
      <c r="V790" s="6" t="n">
        <v>-2.22855551277479</v>
      </c>
      <c r="W790" s="6" t="n">
        <v>-0.950135979993192</v>
      </c>
      <c r="X790" s="6" t="n">
        <v>1.82953399919887</v>
      </c>
      <c r="Y790" s="6" t="n">
        <v>0.218422856039163</v>
      </c>
      <c r="Z790" s="6" t="n">
        <v>-1.60689865960569</v>
      </c>
      <c r="AA790" s="6" t="n">
        <v>1.80624052364066</v>
      </c>
      <c r="AB790" s="6" t="n">
        <v>-2.36504775678064</v>
      </c>
      <c r="AC790" s="6" t="n">
        <v>0.979647295962743</v>
      </c>
      <c r="AD790" s="6" t="n">
        <v>-1.04781806872631</v>
      </c>
      <c r="AE790" s="6" t="n">
        <v>1.44581752370339</v>
      </c>
      <c r="AF790" s="6" t="n">
        <v>1.55937934121281</v>
      </c>
      <c r="AG790" s="6" t="n">
        <v>0.348392238234788</v>
      </c>
      <c r="AH790" s="6" t="n">
        <v>-0.323089898127185</v>
      </c>
      <c r="AI790" s="6" t="n">
        <v>2.45849838747297</v>
      </c>
      <c r="AJ790" s="6" t="n">
        <v>70.4964396351298</v>
      </c>
      <c r="AK790" s="6" t="n">
        <v>0.178783377225141</v>
      </c>
      <c r="AL790" s="6" t="n">
        <v>1.05896434518113</v>
      </c>
      <c r="AN790" s="6" t="n">
        <v>1.28530823410344</v>
      </c>
      <c r="AO790" s="6" t="n">
        <v>1.28622494801153</v>
      </c>
      <c r="AP790" s="6" t="n">
        <v>0.131558131699031</v>
      </c>
      <c r="AQ790" s="6" t="n">
        <v>0</v>
      </c>
      <c r="AR790" s="6" t="n">
        <v>0</v>
      </c>
    </row>
    <row r="791" customFormat="false" ht="15" hidden="false" customHeight="false" outlineLevel="0" collapsed="false">
      <c r="D791" s="0" t="s">
        <v>917</v>
      </c>
      <c r="J791" s="6" t="n">
        <v>-2.05812842537443</v>
      </c>
      <c r="K791" s="6" t="n">
        <v>-0.650240378377314</v>
      </c>
      <c r="L791" s="6" t="n">
        <v>-2.94341962746908</v>
      </c>
      <c r="M791" s="6" t="n">
        <v>-0.177134831982228</v>
      </c>
      <c r="N791" s="6" t="n">
        <v>-0.00106098668887358</v>
      </c>
      <c r="O791" s="6" t="n">
        <v>-3.60294315003126</v>
      </c>
      <c r="P791" s="6" t="n">
        <v>1.77122399853978</v>
      </c>
      <c r="Q791" s="6" t="n">
        <v>1.69896533392034</v>
      </c>
      <c r="R791" s="6" t="n">
        <v>2.82287949290338</v>
      </c>
      <c r="S791" s="6" t="n">
        <v>0.686613880735426</v>
      </c>
      <c r="T791" s="6" t="n">
        <v>1.61237077327973</v>
      </c>
      <c r="U791" s="6" t="n">
        <v>-6.11526966701505</v>
      </c>
      <c r="V791" s="6" t="n">
        <v>0.828101248275802</v>
      </c>
      <c r="W791" s="6" t="n">
        <v>1.32603246686399</v>
      </c>
      <c r="X791" s="6" t="n">
        <v>-0.696944793240662</v>
      </c>
      <c r="Y791" s="6" t="n">
        <v>-0.520113236277497</v>
      </c>
      <c r="Z791" s="6" t="n">
        <v>2.49009039499814</v>
      </c>
      <c r="AA791" s="6" t="n">
        <v>3.85805418332461</v>
      </c>
      <c r="AB791" s="6" t="n">
        <v>-0.105252879445166</v>
      </c>
      <c r="AC791" s="6" t="n">
        <v>-0.570519508334438</v>
      </c>
      <c r="AD791" s="6" t="n">
        <v>-1.46546364343123</v>
      </c>
      <c r="AE791" s="6" t="n">
        <v>1.01844739854075</v>
      </c>
      <c r="AF791" s="6" t="n">
        <v>-3.07372390877224</v>
      </c>
      <c r="AG791" s="6" t="n">
        <v>2.16466726907462</v>
      </c>
      <c r="AH791" s="6" t="n">
        <v>1.92538806979426</v>
      </c>
      <c r="AI791" s="6" t="n">
        <v>2.14062209843364</v>
      </c>
      <c r="AJ791" s="6" t="n">
        <v>75.1438519733617</v>
      </c>
      <c r="AK791" s="6" t="n">
        <v>0.134868494733986</v>
      </c>
      <c r="AL791" s="6" t="n">
        <v>1.0856361746162</v>
      </c>
      <c r="AN791" s="6" t="n">
        <v>1.27947052825951</v>
      </c>
      <c r="AO791" s="6" t="n">
        <v>1.28036558409195</v>
      </c>
      <c r="AP791" s="6" t="n">
        <v>0.131165500068327</v>
      </c>
      <c r="AQ791" s="6" t="n">
        <v>0</v>
      </c>
      <c r="AR791" s="6" t="n">
        <v>0</v>
      </c>
    </row>
    <row r="792" customFormat="false" ht="15" hidden="false" customHeight="false" outlineLevel="0" collapsed="false">
      <c r="D792" s="0" t="s">
        <v>918</v>
      </c>
      <c r="J792" s="6" t="n">
        <v>0.090930525732325</v>
      </c>
      <c r="K792" s="6" t="n">
        <v>-1.45398316787715</v>
      </c>
      <c r="L792" s="6" t="n">
        <v>0.0258116696707593</v>
      </c>
      <c r="M792" s="6" t="n">
        <v>0.267750510484719</v>
      </c>
      <c r="N792" s="6" t="n">
        <v>0.188596014083944</v>
      </c>
      <c r="O792" s="6" t="n">
        <v>-0.294226635730669</v>
      </c>
      <c r="P792" s="6" t="n">
        <v>-4.53851150119639</v>
      </c>
      <c r="Q792" s="6" t="n">
        <v>-0.968157978389614</v>
      </c>
      <c r="R792" s="6" t="n">
        <v>-1.19274956459078</v>
      </c>
      <c r="S792" s="6" t="n">
        <v>3.12789623553763</v>
      </c>
      <c r="T792" s="6" t="n">
        <v>-1.23349049108275</v>
      </c>
      <c r="U792" s="6" t="n">
        <v>-1.46215371182516</v>
      </c>
      <c r="V792" s="6" t="n">
        <v>1.32975112089766</v>
      </c>
      <c r="W792" s="6" t="n">
        <v>4.73508844625663</v>
      </c>
      <c r="X792" s="6" t="n">
        <v>-1.91394436020483</v>
      </c>
      <c r="Y792" s="6" t="n">
        <v>-0.367547347835712</v>
      </c>
      <c r="Z792" s="6" t="n">
        <v>0.953749578835724</v>
      </c>
      <c r="AA792" s="6" t="n">
        <v>1.97290029843283</v>
      </c>
      <c r="AB792" s="6" t="n">
        <v>0.0883358893730687</v>
      </c>
      <c r="AC792" s="6" t="n">
        <v>-1.46705597684611</v>
      </c>
      <c r="AD792" s="6" t="n">
        <v>-3.0117400889494</v>
      </c>
      <c r="AE792" s="6" t="n">
        <v>0.0742041485172324</v>
      </c>
      <c r="AF792" s="6" t="n">
        <v>-1.1102403908805</v>
      </c>
      <c r="AG792" s="6" t="n">
        <v>-1.96797787794103</v>
      </c>
      <c r="AH792" s="6" t="n">
        <v>-0.762596569898268</v>
      </c>
      <c r="AI792" s="6" t="n">
        <v>-1.97214154591527</v>
      </c>
      <c r="AJ792" s="6" t="n">
        <v>71.5955893673347</v>
      </c>
      <c r="AK792" s="6" t="n">
        <v>0.125100029729246</v>
      </c>
      <c r="AL792" s="6" t="n">
        <v>1.05130739643581</v>
      </c>
      <c r="AN792" s="6" t="n">
        <v>1.29624476869067</v>
      </c>
      <c r="AO792" s="6" t="n">
        <v>1.29666033022771</v>
      </c>
      <c r="AP792" s="6" t="n">
        <v>0.133644447401094</v>
      </c>
      <c r="AQ792" s="6" t="n">
        <v>0</v>
      </c>
      <c r="AR792" s="6" t="n">
        <v>0</v>
      </c>
    </row>
    <row r="793" customFormat="false" ht="15" hidden="false" customHeight="false" outlineLevel="0" collapsed="false">
      <c r="D793" s="0" t="s">
        <v>919</v>
      </c>
      <c r="J793" s="6" t="n">
        <v>-0.255542099146428</v>
      </c>
      <c r="K793" s="6" t="n">
        <v>-2.60720262838819</v>
      </c>
      <c r="L793" s="6" t="n">
        <v>-0.647534094983489</v>
      </c>
      <c r="M793" s="6" t="n">
        <v>-1.17805801227947</v>
      </c>
      <c r="N793" s="6" t="n">
        <v>-2.81323903231774</v>
      </c>
      <c r="O793" s="6" t="n">
        <v>-2.86930726227656</v>
      </c>
      <c r="P793" s="6" t="n">
        <v>0.609231446563448</v>
      </c>
      <c r="Q793" s="6" t="n">
        <v>-1.09659035163195</v>
      </c>
      <c r="R793" s="6" t="n">
        <v>1.75533503953116</v>
      </c>
      <c r="S793" s="6" t="n">
        <v>0.341497948294108</v>
      </c>
      <c r="T793" s="6" t="n">
        <v>0.75552409812619</v>
      </c>
      <c r="U793" s="6" t="n">
        <v>-2.20885234659293</v>
      </c>
      <c r="V793" s="6" t="n">
        <v>-2.37137384259342</v>
      </c>
      <c r="W793" s="6" t="n">
        <v>0.60891578260855</v>
      </c>
      <c r="X793" s="6" t="n">
        <v>-1.26465411982907</v>
      </c>
      <c r="Y793" s="6" t="n">
        <v>2.17864360283169</v>
      </c>
      <c r="Z793" s="6" t="n">
        <v>-1.47699462122517</v>
      </c>
      <c r="AA793" s="6" t="n">
        <v>0.251844134959363</v>
      </c>
      <c r="AB793" s="6" t="n">
        <v>-2.71658342162182</v>
      </c>
      <c r="AC793" s="6" t="n">
        <v>0.553878229600136</v>
      </c>
      <c r="AD793" s="6" t="n">
        <v>-3.36981300392202</v>
      </c>
      <c r="AE793" s="6" t="n">
        <v>-1.98895692175343</v>
      </c>
      <c r="AF793" s="6" t="n">
        <v>0.252047987098379</v>
      </c>
      <c r="AG793" s="6" t="n">
        <v>0.815948781439016</v>
      </c>
      <c r="AH793" s="6" t="n">
        <v>-0.0136456476943702</v>
      </c>
      <c r="AI793" s="6" t="n">
        <v>2.75611726120536</v>
      </c>
      <c r="AJ793" s="6" t="n">
        <v>73.2542356868303</v>
      </c>
      <c r="AK793" s="6" t="n">
        <v>0.122290870153003</v>
      </c>
      <c r="AL793" s="6" t="n">
        <v>1.0721665216818</v>
      </c>
      <c r="AN793" s="6" t="n">
        <v>1.28969762290803</v>
      </c>
      <c r="AO793" s="6" t="n">
        <v>1.28985201319969</v>
      </c>
      <c r="AP793" s="6" t="n">
        <v>0.132485638828299</v>
      </c>
      <c r="AQ793" s="6" t="n">
        <v>0</v>
      </c>
      <c r="AR793" s="6" t="n">
        <v>0</v>
      </c>
    </row>
    <row r="794" customFormat="false" ht="15" hidden="false" customHeight="false" outlineLevel="0" collapsed="false">
      <c r="D794" s="0" t="s">
        <v>920</v>
      </c>
      <c r="J794" s="6" t="n">
        <v>-1.4130930142999</v>
      </c>
      <c r="K794" s="6" t="n">
        <v>3.22647165850694</v>
      </c>
      <c r="L794" s="6" t="n">
        <v>1.29413257094241</v>
      </c>
      <c r="M794" s="6" t="n">
        <v>-1.48795598936413</v>
      </c>
      <c r="N794" s="6" t="n">
        <v>1.82118843995383</v>
      </c>
      <c r="O794" s="6" t="n">
        <v>2.28415227679257</v>
      </c>
      <c r="P794" s="6" t="n">
        <v>-1.7779419157357</v>
      </c>
      <c r="Q794" s="6" t="n">
        <v>-1.60276979823253</v>
      </c>
      <c r="R794" s="6" t="n">
        <v>2.24374989209862</v>
      </c>
      <c r="S794" s="6" t="n">
        <v>-2.87513492217829</v>
      </c>
      <c r="T794" s="6" t="n">
        <v>-3.38174636000257</v>
      </c>
      <c r="U794" s="6" t="n">
        <v>0.88678217311032</v>
      </c>
      <c r="V794" s="6" t="n">
        <v>-0.203845537546524</v>
      </c>
      <c r="W794" s="6" t="n">
        <v>1.35274479833711</v>
      </c>
      <c r="X794" s="6" t="n">
        <v>1.02124819956799</v>
      </c>
      <c r="Y794" s="6" t="n">
        <v>-4.0188972368072</v>
      </c>
      <c r="Z794" s="6" t="n">
        <v>1.28168270380191</v>
      </c>
      <c r="AA794" s="6" t="n">
        <v>-2.80902868405963</v>
      </c>
      <c r="AB794" s="6" t="n">
        <v>1.63843060526286</v>
      </c>
      <c r="AC794" s="6" t="n">
        <v>-1.96083087112789</v>
      </c>
      <c r="AD794" s="6" t="n">
        <v>-1.60074580916043</v>
      </c>
      <c r="AE794" s="6" t="n">
        <v>-0.601574627120349</v>
      </c>
      <c r="AF794" s="6" t="n">
        <v>1.78120945234726</v>
      </c>
      <c r="AG794" s="6" t="n">
        <v>-3.50246409720149</v>
      </c>
      <c r="AH794" s="6" t="n">
        <v>5</v>
      </c>
      <c r="AI794" s="6" t="n">
        <v>-0.91841779789113</v>
      </c>
      <c r="AJ794" s="6" t="n">
        <v>79.2492101596507</v>
      </c>
      <c r="AK794" s="6" t="n">
        <v>0.106219989351776</v>
      </c>
      <c r="AL794" s="6" t="n">
        <v>1.06743119776165</v>
      </c>
      <c r="AN794" s="6" t="n">
        <v>1.29217114491207</v>
      </c>
      <c r="AO794" s="6" t="n">
        <v>1.29223902726812</v>
      </c>
      <c r="AP794" s="6" t="n">
        <v>0.133138772744321</v>
      </c>
      <c r="AQ794" s="6" t="n">
        <v>0</v>
      </c>
      <c r="AR794" s="6" t="n">
        <v>0</v>
      </c>
    </row>
    <row r="795" customFormat="false" ht="15" hidden="false" customHeight="false" outlineLevel="0" collapsed="false">
      <c r="D795" s="0" t="s">
        <v>921</v>
      </c>
      <c r="J795" s="6" t="n">
        <v>-0.0256446612738272</v>
      </c>
      <c r="K795" s="6" t="n">
        <v>1.62685274194978</v>
      </c>
      <c r="L795" s="6" t="n">
        <v>2.84103118522266</v>
      </c>
      <c r="M795" s="6" t="n">
        <v>-0.74547762630688</v>
      </c>
      <c r="N795" s="6" t="n">
        <v>-0.244566641378673</v>
      </c>
      <c r="O795" s="6" t="n">
        <v>2.01384109663721</v>
      </c>
      <c r="P795" s="6" t="n">
        <v>-1.55708079449997</v>
      </c>
      <c r="Q795" s="6" t="n">
        <v>-0.345123607550817</v>
      </c>
      <c r="R795" s="6" t="n">
        <v>-0.980609304118984</v>
      </c>
      <c r="S795" s="6" t="n">
        <v>2.62942601116412</v>
      </c>
      <c r="T795" s="6" t="n">
        <v>-0.419615378414762</v>
      </c>
      <c r="U795" s="6" t="n">
        <v>-0.543009980010703</v>
      </c>
      <c r="V795" s="6" t="n">
        <v>-2.13424552022382</v>
      </c>
      <c r="W795" s="6" t="n">
        <v>1.46131044278931</v>
      </c>
      <c r="X795" s="6" t="n">
        <v>1.91778286596643</v>
      </c>
      <c r="Y795" s="6" t="n">
        <v>-1.63585417033387</v>
      </c>
      <c r="Z795" s="6" t="n">
        <v>0.797893740574685</v>
      </c>
      <c r="AA795" s="6" t="n">
        <v>2.08147644747984</v>
      </c>
      <c r="AB795" s="6" t="n">
        <v>3.39842474793059</v>
      </c>
      <c r="AC795" s="6" t="n">
        <v>-2.71065221595326</v>
      </c>
      <c r="AD795" s="6" t="n">
        <v>-3.25626984343615</v>
      </c>
      <c r="AE795" s="6" t="n">
        <v>0.149106240335925</v>
      </c>
      <c r="AF795" s="6" t="n">
        <v>2.59666561402027</v>
      </c>
      <c r="AG795" s="6" t="n">
        <v>-0.28181904756343</v>
      </c>
      <c r="AH795" s="6" t="n">
        <v>-0.103599976715943</v>
      </c>
      <c r="AI795" s="6" t="n">
        <v>1.26352386407875</v>
      </c>
      <c r="AJ795" s="6" t="n">
        <v>76.399998312539</v>
      </c>
      <c r="AK795" s="6" t="n">
        <v>0.0970264251816809</v>
      </c>
      <c r="AL795" s="6" t="n">
        <v>1.0700062322379</v>
      </c>
      <c r="AN795" s="6" t="n">
        <v>1.29058716023434</v>
      </c>
      <c r="AO795" s="6" t="n">
        <v>1.29092772708468</v>
      </c>
      <c r="AP795" s="6" t="n">
        <v>0.133209056056585</v>
      </c>
      <c r="AQ795" s="6" t="n">
        <v>0</v>
      </c>
      <c r="AR795" s="6" t="n">
        <v>0</v>
      </c>
    </row>
    <row r="796" customFormat="false" ht="15" hidden="false" customHeight="false" outlineLevel="0" collapsed="false">
      <c r="D796" s="0" t="s">
        <v>922</v>
      </c>
      <c r="J796" s="6" t="n">
        <v>0.103514830002218</v>
      </c>
      <c r="K796" s="6" t="n">
        <v>-2.87939202103284</v>
      </c>
      <c r="L796" s="6" t="n">
        <v>-4.11061821036968</v>
      </c>
      <c r="M796" s="6" t="n">
        <v>2.29695385041556</v>
      </c>
      <c r="N796" s="6" t="n">
        <v>-1.39076630677086</v>
      </c>
      <c r="O796" s="6" t="n">
        <v>-0.108195315818175</v>
      </c>
      <c r="P796" s="6" t="n">
        <v>-0.43472043447709</v>
      </c>
      <c r="Q796" s="6" t="n">
        <v>2.26700185753065</v>
      </c>
      <c r="R796" s="6" t="n">
        <v>-1.84997133259854</v>
      </c>
      <c r="S796" s="6" t="n">
        <v>0.231261519657535</v>
      </c>
      <c r="T796" s="6" t="n">
        <v>-1.51592068085846</v>
      </c>
      <c r="U796" s="6" t="n">
        <v>-1.6126872915822</v>
      </c>
      <c r="V796" s="6" t="n">
        <v>1.28833822252456</v>
      </c>
      <c r="W796" s="6" t="n">
        <v>0.662225303016013</v>
      </c>
      <c r="X796" s="6" t="n">
        <v>-3.07170011213622</v>
      </c>
      <c r="Y796" s="6" t="n">
        <v>-1.20967570571777</v>
      </c>
      <c r="Z796" s="6" t="n">
        <v>0.514785662815829</v>
      </c>
      <c r="AA796" s="6" t="n">
        <v>-1.89330951892782</v>
      </c>
      <c r="AB796" s="6" t="n">
        <v>-0.144547433805911</v>
      </c>
      <c r="AC796" s="6" t="n">
        <v>-0.0857585053603319</v>
      </c>
      <c r="AD796" s="6" t="n">
        <v>-0.65400571326761</v>
      </c>
      <c r="AE796" s="6" t="n">
        <v>-3.56999691106351</v>
      </c>
      <c r="AF796" s="6" t="n">
        <v>2.32211904579289</v>
      </c>
      <c r="AG796" s="6" t="n">
        <v>1.28764541226691</v>
      </c>
      <c r="AH796" s="6" t="n">
        <v>-1.30393542377721</v>
      </c>
      <c r="AI796" s="6" t="n">
        <v>-0.854679032485911</v>
      </c>
      <c r="AJ796" s="6" t="n">
        <v>56.4010758082816</v>
      </c>
      <c r="AK796" s="6" t="n">
        <v>0.144617333638362</v>
      </c>
      <c r="AL796" s="6" t="n">
        <v>1.01505656524277</v>
      </c>
      <c r="AN796" s="6" t="n">
        <v>1.30262235556046</v>
      </c>
      <c r="AO796" s="6" t="n">
        <v>1.30281341568834</v>
      </c>
      <c r="AP796" s="6" t="n">
        <v>0.136154515208008</v>
      </c>
      <c r="AQ796" s="6" t="n">
        <v>0</v>
      </c>
      <c r="AR796" s="6" t="n">
        <v>0</v>
      </c>
    </row>
    <row r="797" customFormat="false" ht="15" hidden="false" customHeight="false" outlineLevel="0" collapsed="false">
      <c r="D797" s="0" t="s">
        <v>923</v>
      </c>
      <c r="J797" s="6" t="n">
        <v>0.593977920817749</v>
      </c>
      <c r="K797" s="6" t="n">
        <v>0.945288425664262</v>
      </c>
      <c r="L797" s="6" t="n">
        <v>1.01657286568251</v>
      </c>
      <c r="M797" s="6" t="n">
        <v>-0.406339197259703</v>
      </c>
      <c r="N797" s="6" t="n">
        <v>-4.67948289440273</v>
      </c>
      <c r="O797" s="6" t="n">
        <v>0.859394700955536</v>
      </c>
      <c r="P797" s="6" t="n">
        <v>0.895357730207433</v>
      </c>
      <c r="Q797" s="6" t="n">
        <v>-1.92962625552862</v>
      </c>
      <c r="R797" s="6" t="n">
        <v>1.70465411954369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</v>
      </c>
      <c r="X797" s="6" t="n">
        <v>1.05456051753694</v>
      </c>
      <c r="Y797" s="6" t="n">
        <v>-1.48044918182846</v>
      </c>
      <c r="Z797" s="6" t="n">
        <v>-1.59027988455916</v>
      </c>
      <c r="AA797" s="6" t="n">
        <v>-0.929065759723282</v>
      </c>
      <c r="AB797" s="6" t="n">
        <v>2.57484211125027</v>
      </c>
      <c r="AC797" s="6" t="n">
        <v>-1.27220179288597</v>
      </c>
      <c r="AD797" s="6" t="n">
        <v>-0.535498013802701</v>
      </c>
      <c r="AE797" s="6" t="n">
        <v>-2.20615048771245</v>
      </c>
      <c r="AF797" s="6" t="n">
        <v>-1.81350749880473</v>
      </c>
      <c r="AG797" s="6" t="n">
        <v>-2.66272827256272</v>
      </c>
      <c r="AH797" s="6" t="n">
        <v>0.602748404234657</v>
      </c>
      <c r="AI797" s="6" t="n">
        <v>-2.333268198366</v>
      </c>
      <c r="AJ797" s="6" t="n">
        <v>72.0635527057443</v>
      </c>
      <c r="AK797" s="6" t="n">
        <v>0.154538005655018</v>
      </c>
      <c r="AL797" s="6" t="n">
        <v>1.00761401613405</v>
      </c>
      <c r="AN797" s="6" t="n">
        <v>1.31216531996304</v>
      </c>
      <c r="AO797" s="6" t="n">
        <v>1.31216531996304</v>
      </c>
      <c r="AP797" s="6" t="n">
        <v>0.138193248690573</v>
      </c>
      <c r="AQ797" s="6" t="n">
        <v>0</v>
      </c>
      <c r="AR797" s="6" t="n">
        <v>0</v>
      </c>
    </row>
    <row r="798" customFormat="false" ht="15" hidden="false" customHeight="false" outlineLevel="0" collapsed="false">
      <c r="D798" s="0" t="s">
        <v>924</v>
      </c>
      <c r="J798" s="6" t="n">
        <v>1.43468843916342</v>
      </c>
      <c r="K798" s="6" t="n">
        <v>-2.07758619730557</v>
      </c>
      <c r="L798" s="6" t="n">
        <v>0.482191051108499</v>
      </c>
      <c r="M798" s="6" t="n">
        <v>-2.16808314134221</v>
      </c>
      <c r="N798" s="6" t="n">
        <v>-2.68957404737387</v>
      </c>
      <c r="O798" s="6" t="n">
        <v>-3.47172517894164</v>
      </c>
      <c r="P798" s="6" t="n">
        <v>1.88776203777606</v>
      </c>
      <c r="Q798" s="6" t="n">
        <v>1.90397208483962</v>
      </c>
      <c r="R798" s="6" t="n">
        <v>1.57431347954715</v>
      </c>
      <c r="S798" s="6" t="n">
        <v>-2.66393955153087</v>
      </c>
      <c r="T798" s="6" t="n">
        <v>4.89372185955517</v>
      </c>
      <c r="U798" s="6" t="n">
        <v>0.185796713572988</v>
      </c>
      <c r="V798" s="6" t="n">
        <v>2.44951122193908</v>
      </c>
      <c r="W798" s="6" t="n">
        <v>-2.10685827374786</v>
      </c>
      <c r="X798" s="6" t="n">
        <v>-1.15750719783178</v>
      </c>
      <c r="Y798" s="6" t="n">
        <v>-2.80777044890684</v>
      </c>
      <c r="Z798" s="6" t="n">
        <v>-2.33270224170186</v>
      </c>
      <c r="AA798" s="6" t="n">
        <v>-1.88197566899848</v>
      </c>
      <c r="AB798" s="6" t="n">
        <v>1.84798059229378</v>
      </c>
      <c r="AC798" s="6" t="n">
        <v>0.063748915347873</v>
      </c>
      <c r="AD798" s="6" t="n">
        <v>1.35291177628168</v>
      </c>
      <c r="AE798" s="6" t="n">
        <v>0.651805552715173</v>
      </c>
      <c r="AF798" s="6" t="n">
        <v>-0.796775339070343</v>
      </c>
      <c r="AG798" s="6" t="n">
        <v>-2.67515563800272</v>
      </c>
      <c r="AH798" s="6" t="n">
        <v>-3.17283273873266</v>
      </c>
      <c r="AI798" s="6" t="n">
        <v>-0.752442603500239</v>
      </c>
      <c r="AJ798" s="6" t="n">
        <v>83.8228695999702</v>
      </c>
      <c r="AK798" s="6" t="n">
        <v>0.0891042035442737</v>
      </c>
      <c r="AL798" s="6" t="n">
        <v>1.08913119875391</v>
      </c>
      <c r="AN798" s="6" t="n">
        <v>1.28758104083332</v>
      </c>
      <c r="AO798" s="6" t="n">
        <v>1.28819351445548</v>
      </c>
      <c r="AP798" s="6" t="n">
        <v>0.13251932006534</v>
      </c>
      <c r="AQ798" s="6" t="n">
        <v>0</v>
      </c>
      <c r="AR798" s="6" t="n">
        <v>0</v>
      </c>
    </row>
    <row r="799" customFormat="false" ht="15" hidden="false" customHeight="false" outlineLevel="0" collapsed="false">
      <c r="D799" s="0" t="s">
        <v>925</v>
      </c>
      <c r="J799" s="6" t="n">
        <v>1.55225814865618</v>
      </c>
      <c r="K799" s="6" t="n">
        <v>0.00242025111593805</v>
      </c>
      <c r="L799" s="6" t="n">
        <v>2.20902691794781</v>
      </c>
      <c r="M799" s="6" t="n">
        <v>0.252238997624394</v>
      </c>
      <c r="N799" s="6" t="n">
        <v>-0.5282393744057</v>
      </c>
      <c r="O799" s="6" t="n">
        <v>-3.37462715635752</v>
      </c>
      <c r="P799" s="6" t="n">
        <v>-3.15006483296423</v>
      </c>
      <c r="Q799" s="6" t="n">
        <v>0.816216874822628</v>
      </c>
      <c r="R799" s="6" t="n">
        <v>-0.299650878183176</v>
      </c>
      <c r="S799" s="6" t="n">
        <v>-2.47480995036294</v>
      </c>
      <c r="T799" s="6" t="n">
        <v>4.06409442515214</v>
      </c>
      <c r="U799" s="6" t="n">
        <v>0.111112733811218</v>
      </c>
      <c r="V799" s="6" t="n">
        <v>2.59846658863576</v>
      </c>
      <c r="W799" s="6" t="n">
        <v>-3.49424097365914</v>
      </c>
      <c r="X799" s="6" t="n">
        <v>-0.267409915312713</v>
      </c>
      <c r="Y799" s="6" t="n">
        <v>-1.41341766188948</v>
      </c>
      <c r="Z799" s="6" t="n">
        <v>0.446237207937447</v>
      </c>
      <c r="AA799" s="6" t="n">
        <v>0.675779983776596</v>
      </c>
      <c r="AB799" s="6" t="n">
        <v>-1.19231403873725</v>
      </c>
      <c r="AC799" s="6" t="n">
        <v>-2.03337375703646</v>
      </c>
      <c r="AD799" s="6" t="n">
        <v>-4.11294595305964</v>
      </c>
      <c r="AE799" s="6" t="n">
        <v>1.83836884772508</v>
      </c>
      <c r="AF799" s="6" t="n">
        <v>-0.646566696436578</v>
      </c>
      <c r="AG799" s="6" t="n">
        <v>1.5633344684656</v>
      </c>
      <c r="AH799" s="6" t="n">
        <v>-1.14234675198555</v>
      </c>
      <c r="AI799" s="6" t="n">
        <v>-2.11227374603113</v>
      </c>
      <c r="AJ799" s="6" t="n">
        <v>60.0949845237572</v>
      </c>
      <c r="AK799" s="6" t="n">
        <v>0.02213577038959</v>
      </c>
      <c r="AL799" s="6" t="n">
        <v>1.09212458778002</v>
      </c>
      <c r="AN799" s="6" t="n">
        <v>1.28665077287579</v>
      </c>
      <c r="AO799" s="6" t="n">
        <v>1.28794172913268</v>
      </c>
      <c r="AP799" s="6" t="n">
        <v>0.132709034817187</v>
      </c>
      <c r="AQ799" s="6" t="n">
        <v>0</v>
      </c>
      <c r="AR799" s="6" t="n">
        <v>0</v>
      </c>
    </row>
    <row r="800" customFormat="false" ht="15" hidden="false" customHeight="false" outlineLevel="0" collapsed="false">
      <c r="D800" s="0" t="s">
        <v>926</v>
      </c>
      <c r="J800" s="6" t="n">
        <v>-0.942786093984715</v>
      </c>
      <c r="K800" s="6" t="n">
        <v>0.975872194986495</v>
      </c>
      <c r="L800" s="6" t="n">
        <v>0.455930443402527</v>
      </c>
      <c r="M800" s="6" t="n">
        <v>-1.41129358239952</v>
      </c>
      <c r="N800" s="6" t="n">
        <v>1.26316116345657</v>
      </c>
      <c r="O800" s="6" t="n">
        <v>3.6953466066268</v>
      </c>
      <c r="P800" s="6" t="n">
        <v>-3.46314662790329</v>
      </c>
      <c r="Q800" s="6" t="n">
        <v>1.27626043307569</v>
      </c>
      <c r="R800" s="6" t="n">
        <v>0.258400729487771</v>
      </c>
      <c r="S800" s="6" t="n">
        <v>-2.79009104594102</v>
      </c>
      <c r="T800" s="6" t="n">
        <v>1.72924658111202</v>
      </c>
      <c r="U800" s="6" t="n">
        <v>0.927259579126505</v>
      </c>
      <c r="V800" s="6" t="n">
        <v>-1.0127080797032</v>
      </c>
      <c r="W800" s="6" t="n">
        <v>0.110671093257912</v>
      </c>
      <c r="X800" s="6" t="n">
        <v>-1.34980169233717</v>
      </c>
      <c r="Y800" s="6" t="n">
        <v>0.70428288059297</v>
      </c>
      <c r="Z800" s="6" t="n">
        <v>-2.27363095253788</v>
      </c>
      <c r="AA800" s="6" t="n">
        <v>-1.69156589287662</v>
      </c>
      <c r="AB800" s="6" t="n">
        <v>1.31505093778854</v>
      </c>
      <c r="AC800" s="6" t="n">
        <v>2.45326426126284</v>
      </c>
      <c r="AD800" s="6" t="n">
        <v>-1.32304039695715</v>
      </c>
      <c r="AE800" s="6" t="n">
        <v>-0.935927465211526</v>
      </c>
      <c r="AF800" s="6" t="n">
        <v>0.315321311783475</v>
      </c>
      <c r="AG800" s="6" t="n">
        <v>0.170763324291818</v>
      </c>
      <c r="AH800" s="6" t="n">
        <v>-0.975373385861066</v>
      </c>
      <c r="AI800" s="6" t="n">
        <v>0.11558778707723</v>
      </c>
      <c r="AJ800" s="6" t="n">
        <v>70.0560592174292</v>
      </c>
      <c r="AK800" s="6" t="n">
        <v>0.160369709578817</v>
      </c>
      <c r="AL800" s="6" t="n">
        <v>1.0147805852881</v>
      </c>
      <c r="AN800" s="6" t="n">
        <v>1.30814437190685</v>
      </c>
      <c r="AO800" s="6" t="n">
        <v>1.30822792131972</v>
      </c>
      <c r="AP800" s="6" t="n">
        <v>0.137191724553345</v>
      </c>
      <c r="AQ800" s="6" t="n">
        <v>0</v>
      </c>
      <c r="AR800" s="6" t="n">
        <v>0</v>
      </c>
    </row>
    <row r="801" customFormat="false" ht="15" hidden="false" customHeight="false" outlineLevel="0" collapsed="false">
      <c r="D801" s="0" t="s">
        <v>927</v>
      </c>
      <c r="J801" s="6" t="n">
        <v>-0.689328138875734</v>
      </c>
      <c r="K801" s="6" t="n">
        <v>-1.17703136431637</v>
      </c>
      <c r="L801" s="6" t="n">
        <v>0.256939183028337</v>
      </c>
      <c r="M801" s="6" t="n">
        <v>0.0483964609659506</v>
      </c>
      <c r="N801" s="6" t="n">
        <v>-3.11124145536021</v>
      </c>
      <c r="O801" s="6" t="n">
        <v>0.848596916269271</v>
      </c>
      <c r="P801" s="6" t="n">
        <v>0.811977867200001</v>
      </c>
      <c r="Q801" s="6" t="n">
        <v>-2.64572322280517</v>
      </c>
      <c r="R801" s="6" t="n">
        <v>-4.08308624828815</v>
      </c>
      <c r="S801" s="6" t="n">
        <v>1.64310601040859</v>
      </c>
      <c r="T801" s="6" t="n">
        <v>1.92114312483578</v>
      </c>
      <c r="U801" s="6" t="n">
        <v>3.14305542565942</v>
      </c>
      <c r="V801" s="6" t="n">
        <v>-0.537143586020692</v>
      </c>
      <c r="W801" s="6" t="n">
        <v>-1.51654108791051</v>
      </c>
      <c r="X801" s="6" t="n">
        <v>2.93726318599709</v>
      </c>
      <c r="Y801" s="6" t="n">
        <v>1.82218942326544</v>
      </c>
      <c r="Z801" s="6" t="n">
        <v>-0.00272668638234856</v>
      </c>
      <c r="AA801" s="6" t="n">
        <v>-2.01513861339726</v>
      </c>
      <c r="AB801" s="6" t="n">
        <v>-0.790634683587711</v>
      </c>
      <c r="AC801" s="6" t="n">
        <v>-2.42441276259181</v>
      </c>
      <c r="AD801" s="6" t="n">
        <v>-1.97318663466505</v>
      </c>
      <c r="AE801" s="6" t="n">
        <v>-2.48708494121809</v>
      </c>
      <c r="AF801" s="6" t="n">
        <v>1.98213330761504</v>
      </c>
      <c r="AG801" s="6" t="n">
        <v>-0.340846792021961</v>
      </c>
      <c r="AH801" s="6" t="n">
        <v>1.05799575230435</v>
      </c>
      <c r="AI801" s="6" t="n">
        <v>-1.24949652499625</v>
      </c>
      <c r="AJ801" s="6" t="n">
        <v>73.8796577950741</v>
      </c>
      <c r="AK801" s="6" t="n">
        <v>0.143020174956884</v>
      </c>
      <c r="AL801" s="6" t="n">
        <v>1.06691625020875</v>
      </c>
      <c r="AN801" s="6" t="n">
        <v>1.2856004610356</v>
      </c>
      <c r="AO801" s="6" t="n">
        <v>1.28640060689912</v>
      </c>
      <c r="AP801" s="6" t="n">
        <v>0.131980540745056</v>
      </c>
      <c r="AQ801" s="6" t="n">
        <v>0</v>
      </c>
      <c r="AR801" s="6" t="n">
        <v>0</v>
      </c>
    </row>
    <row r="802" customFormat="false" ht="15" hidden="false" customHeight="false" outlineLevel="0" collapsed="false">
      <c r="D802" s="0" t="s">
        <v>928</v>
      </c>
      <c r="J802" s="6" t="n">
        <v>-2.21145772969873</v>
      </c>
      <c r="K802" s="6" t="n">
        <v>3.28348503452905</v>
      </c>
      <c r="L802" s="6" t="n">
        <v>0.942154435406315</v>
      </c>
      <c r="M802" s="6" t="n">
        <v>-1.43571451555347</v>
      </c>
      <c r="N802" s="6" t="n">
        <v>0.814705628661244</v>
      </c>
      <c r="O802" s="6" t="n">
        <v>5</v>
      </c>
      <c r="P802" s="6" t="n">
        <v>-2.61461551926855</v>
      </c>
      <c r="Q802" s="6" t="n">
        <v>0.692395370114982</v>
      </c>
      <c r="R802" s="6" t="n">
        <v>0.084156304123785</v>
      </c>
      <c r="S802" s="6" t="n">
        <v>-1.18588971511258</v>
      </c>
      <c r="T802" s="6" t="n">
        <v>0.463069401634754</v>
      </c>
      <c r="U802" s="6" t="n">
        <v>4.17583993606561</v>
      </c>
      <c r="V802" s="6" t="n">
        <v>-4.37297243521977</v>
      </c>
      <c r="W802" s="6" t="n">
        <v>3.12136112785688</v>
      </c>
      <c r="X802" s="6" t="n">
        <v>0.0264380567257225</v>
      </c>
      <c r="Y802" s="6" t="n">
        <v>-0.542736421003944</v>
      </c>
      <c r="Z802" s="6" t="n">
        <v>0.632147082753597</v>
      </c>
      <c r="AA802" s="6" t="n">
        <v>0.880255301565166</v>
      </c>
      <c r="AB802" s="6" t="n">
        <v>4.31896461075641</v>
      </c>
      <c r="AC802" s="6" t="n">
        <v>-1.91729398992052</v>
      </c>
      <c r="AD802" s="6" t="n">
        <v>1.53605346729043</v>
      </c>
      <c r="AE802" s="6" t="n">
        <v>-2.26557564365607</v>
      </c>
      <c r="AF802" s="6" t="n">
        <v>1.74508581021431</v>
      </c>
      <c r="AG802" s="6" t="n">
        <v>-1.14167845556465</v>
      </c>
      <c r="AH802" s="6" t="n">
        <v>2.2606487347643</v>
      </c>
      <c r="AI802" s="6" t="n">
        <v>0.716885481707069</v>
      </c>
      <c r="AJ802" s="6" t="n">
        <v>64.9870112164304</v>
      </c>
      <c r="AK802" s="6" t="n">
        <v>0.079644939469785</v>
      </c>
      <c r="AL802" s="6" t="n">
        <v>1.0492065930722</v>
      </c>
      <c r="AN802" s="6" t="n">
        <v>1.29687604096588</v>
      </c>
      <c r="AO802" s="6" t="n">
        <v>1.29743832930141</v>
      </c>
      <c r="AP802" s="6" t="n">
        <v>0.1344766108337</v>
      </c>
      <c r="AQ802" s="6" t="n">
        <v>0</v>
      </c>
      <c r="AR802" s="6" t="n">
        <v>0</v>
      </c>
    </row>
    <row r="803" customFormat="false" ht="15" hidden="false" customHeight="false" outlineLevel="0" collapsed="false">
      <c r="D803" s="0" t="s">
        <v>929</v>
      </c>
      <c r="J803" s="6" t="n">
        <v>4.43899717120751</v>
      </c>
      <c r="K803" s="6" t="n">
        <v>-0.0654285692599211</v>
      </c>
      <c r="L803" s="6" t="n">
        <v>-1.00086162496826</v>
      </c>
      <c r="M803" s="6" t="n">
        <v>-2.34474718989486</v>
      </c>
      <c r="N803" s="6" t="n">
        <v>0.466178245450893</v>
      </c>
      <c r="O803" s="6" t="n">
        <v>2.4327473668237</v>
      </c>
      <c r="P803" s="6" t="n">
        <v>0.819531799690352</v>
      </c>
      <c r="Q803" s="6" t="n">
        <v>-0.892518575791886</v>
      </c>
      <c r="R803" s="6" t="n">
        <v>-1.47637535262272</v>
      </c>
      <c r="S803" s="6" t="n">
        <v>-3.90238945416707</v>
      </c>
      <c r="T803" s="6" t="n">
        <v>1.08966585281127</v>
      </c>
      <c r="U803" s="6" t="n">
        <v>-1.33701787520984</v>
      </c>
      <c r="V803" s="6" t="n">
        <v>-3.17371896020973</v>
      </c>
      <c r="W803" s="6" t="n">
        <v>2.19865557445823</v>
      </c>
      <c r="X803" s="6" t="n">
        <v>-0.312007982517133</v>
      </c>
      <c r="Y803" s="6" t="n">
        <v>1.83315281442854</v>
      </c>
      <c r="Z803" s="6" t="n">
        <v>1.32751421954588</v>
      </c>
      <c r="AA803" s="6" t="n">
        <v>2.64359741978119</v>
      </c>
      <c r="AB803" s="6" t="n">
        <v>-0.27152983154115</v>
      </c>
      <c r="AC803" s="6" t="n">
        <v>-0.416869093826403</v>
      </c>
      <c r="AD803" s="6" t="n">
        <v>-2.28422639921356</v>
      </c>
      <c r="AE803" s="6" t="n">
        <v>-0.520078009796504</v>
      </c>
      <c r="AF803" s="6" t="n">
        <v>2.27436071374038</v>
      </c>
      <c r="AG803" s="6" t="n">
        <v>3.1440608667489</v>
      </c>
      <c r="AH803" s="6" t="n">
        <v>0.16738252233819</v>
      </c>
      <c r="AI803" s="6" t="n">
        <v>-4.06925135916776</v>
      </c>
      <c r="AJ803" s="6" t="n">
        <v>70.4243810231404</v>
      </c>
      <c r="AK803" s="6" t="n">
        <v>0.0180208992392487</v>
      </c>
      <c r="AL803" s="6" t="n">
        <v>1.024924423085</v>
      </c>
      <c r="AN803" s="6" t="n">
        <v>1.31336906122371</v>
      </c>
      <c r="AO803" s="6" t="n">
        <v>1.31336906122371</v>
      </c>
      <c r="AP803" s="6" t="n">
        <v>0.13880457914183</v>
      </c>
      <c r="AQ803" s="6" t="n">
        <v>0</v>
      </c>
      <c r="AR803" s="6" t="n">
        <v>0</v>
      </c>
    </row>
    <row r="804" customFormat="false" ht="15" hidden="false" customHeight="false" outlineLevel="0" collapsed="false">
      <c r="D804" s="0" t="s">
        <v>930</v>
      </c>
      <c r="J804" s="6" t="n">
        <v>-1.26083017827099</v>
      </c>
      <c r="K804" s="6" t="n">
        <v>3.23300334064243</v>
      </c>
      <c r="L804" s="6" t="n">
        <v>0.371682886808247</v>
      </c>
      <c r="M804" s="6" t="n">
        <v>-2.36425025103128</v>
      </c>
      <c r="N804" s="6" t="n">
        <v>-1.273391577319</v>
      </c>
      <c r="O804" s="6" t="n">
        <v>-0.107441075268644</v>
      </c>
      <c r="P804" s="6" t="n">
        <v>-1.39437509938879</v>
      </c>
      <c r="Q804" s="6" t="n">
        <v>2.86399445825895</v>
      </c>
      <c r="R804" s="6" t="n">
        <v>-2.7640044049275</v>
      </c>
      <c r="S804" s="6" t="n">
        <v>1.19526299152582</v>
      </c>
      <c r="T804" s="6" t="n">
        <v>-2.61046042506172</v>
      </c>
      <c r="U804" s="6" t="n">
        <v>3.08134273412855</v>
      </c>
      <c r="V804" s="6" t="n">
        <v>-1.84137800504401</v>
      </c>
      <c r="W804" s="6" t="n">
        <v>2.45490282730611</v>
      </c>
      <c r="X804" s="6" t="n">
        <v>-1.17645157379693</v>
      </c>
      <c r="Y804" s="6" t="n">
        <v>1.07634652685195</v>
      </c>
      <c r="Z804" s="6" t="n">
        <v>4.7555357456688</v>
      </c>
      <c r="AA804" s="6" t="n">
        <v>-0.710851432899056</v>
      </c>
      <c r="AB804" s="6" t="n">
        <v>1.5195439379608</v>
      </c>
      <c r="AC804" s="6" t="n">
        <v>4.04334246560848</v>
      </c>
      <c r="AD804" s="6" t="n">
        <v>-2.01636121932451</v>
      </c>
      <c r="AE804" s="6" t="n">
        <v>-0.423312755697486</v>
      </c>
      <c r="AF804" s="6" t="n">
        <v>0.00551222937937</v>
      </c>
      <c r="AG804" s="6" t="n">
        <v>2.29686994010112</v>
      </c>
      <c r="AH804" s="6" t="n">
        <v>0.487668148136646</v>
      </c>
      <c r="AI804" s="6" t="n">
        <v>1.92035784209741</v>
      </c>
      <c r="AJ804" s="6" t="n">
        <v>73.2119292301752</v>
      </c>
      <c r="AK804" s="6" t="n">
        <v>0.103579285661068</v>
      </c>
      <c r="AL804" s="6" t="n">
        <v>1.03963637302778</v>
      </c>
      <c r="AN804" s="6" t="n">
        <v>1.30436871025641</v>
      </c>
      <c r="AO804" s="6" t="n">
        <v>1.30456711955608</v>
      </c>
      <c r="AP804" s="6" t="n">
        <v>0.135574372012799</v>
      </c>
      <c r="AQ804" s="6" t="n">
        <v>0</v>
      </c>
      <c r="AR804" s="6" t="n">
        <v>0</v>
      </c>
    </row>
    <row r="805" customFormat="false" ht="15" hidden="false" customHeight="false" outlineLevel="0" collapsed="false">
      <c r="D805" s="0" t="s">
        <v>931</v>
      </c>
      <c r="J805" s="6" t="n">
        <v>0.971923197477412</v>
      </c>
      <c r="K805" s="6" t="n">
        <v>-0.687639389642727</v>
      </c>
      <c r="L805" s="6" t="n">
        <v>2.4705627003482</v>
      </c>
      <c r="M805" s="6" t="n">
        <v>-0.805303820331336</v>
      </c>
      <c r="N805" s="6" t="n">
        <v>-0.574366226112596</v>
      </c>
      <c r="O805" s="6" t="n">
        <v>-0.499161421558798</v>
      </c>
      <c r="P805" s="6" t="n">
        <v>1.74932836871734</v>
      </c>
      <c r="Q805" s="6" t="n">
        <v>-0.958922166224976</v>
      </c>
      <c r="R805" s="6" t="n">
        <v>-0.814835880280503</v>
      </c>
      <c r="S805" s="6" t="n">
        <v>0.62247275243393</v>
      </c>
      <c r="T805" s="6" t="n">
        <v>-1.01614831426486</v>
      </c>
      <c r="U805" s="6" t="n">
        <v>-3.20970456820317</v>
      </c>
      <c r="V805" s="6" t="n">
        <v>-0.973898797550958</v>
      </c>
      <c r="W805" s="6" t="n">
        <v>0.125426488781051</v>
      </c>
      <c r="X805" s="6" t="n">
        <v>4.7667240001717</v>
      </c>
      <c r="Y805" s="6" t="n">
        <v>0.599616691724397</v>
      </c>
      <c r="Z805" s="6" t="n">
        <v>-2.31351980555378</v>
      </c>
      <c r="AA805" s="6" t="n">
        <v>3.58919198239429</v>
      </c>
      <c r="AB805" s="6" t="n">
        <v>1.5926116210186</v>
      </c>
      <c r="AC805" s="6" t="n">
        <v>-1.14414789658618</v>
      </c>
      <c r="AD805" s="6" t="n">
        <v>4.15049154723402</v>
      </c>
      <c r="AE805" s="6" t="n">
        <v>3.11598231777498</v>
      </c>
      <c r="AF805" s="6" t="n">
        <v>1.62492590085045</v>
      </c>
      <c r="AG805" s="6" t="n">
        <v>-2.10521174830565</v>
      </c>
      <c r="AH805" s="6" t="n">
        <v>0.988742433907252</v>
      </c>
      <c r="AI805" s="6" t="n">
        <v>0.518358004636834</v>
      </c>
      <c r="AJ805" s="6" t="n">
        <v>75.9557244944687</v>
      </c>
      <c r="AK805" s="6" t="n">
        <v>0.175198470320842</v>
      </c>
      <c r="AL805" s="6" t="n">
        <v>1.06698350962893</v>
      </c>
      <c r="AN805" s="6" t="n">
        <v>1.28311526334364</v>
      </c>
      <c r="AO805" s="6" t="n">
        <v>1.28389320085281</v>
      </c>
      <c r="AP805" s="6" t="n">
        <v>0.131251076513144</v>
      </c>
      <c r="AQ805" s="6" t="n">
        <v>0</v>
      </c>
      <c r="AR805" s="6" t="n">
        <v>0</v>
      </c>
    </row>
    <row r="806" customFormat="false" ht="15" hidden="false" customHeight="false" outlineLevel="0" collapsed="false">
      <c r="D806" s="0" t="s">
        <v>932</v>
      </c>
      <c r="J806" s="6" t="n">
        <v>-0.786502061783768</v>
      </c>
      <c r="K806" s="6" t="n">
        <v>0.854489067748803</v>
      </c>
      <c r="L806" s="6" t="n">
        <v>-0.58644105253837</v>
      </c>
      <c r="M806" s="6" t="n">
        <v>-0.454916751109958</v>
      </c>
      <c r="N806" s="6" t="n">
        <v>0.0609563793187204</v>
      </c>
      <c r="O806" s="6" t="n">
        <v>0.158942078307138</v>
      </c>
      <c r="P806" s="6" t="n">
        <v>-0.196947147141196</v>
      </c>
      <c r="Q806" s="6" t="n">
        <v>-1.39183261382035</v>
      </c>
      <c r="R806" s="6" t="n">
        <v>0.437737358921287</v>
      </c>
      <c r="S806" s="6" t="n">
        <v>1.60206580168423</v>
      </c>
      <c r="T806" s="6" t="n">
        <v>-1.80283239179428</v>
      </c>
      <c r="U806" s="6" t="n">
        <v>-1.97501563348984</v>
      </c>
      <c r="V806" s="6" t="n">
        <v>0.200027566227699</v>
      </c>
      <c r="W806" s="6" t="n">
        <v>0.1397017465366</v>
      </c>
      <c r="X806" s="6" t="n">
        <v>-0.705310834570872</v>
      </c>
      <c r="Y806" s="6" t="n">
        <v>-1.98140643901094</v>
      </c>
      <c r="Z806" s="6" t="n">
        <v>0.620532007378114</v>
      </c>
      <c r="AA806" s="6" t="n">
        <v>0.679556775131707</v>
      </c>
      <c r="AB806" s="6" t="n">
        <v>2.60777328679071</v>
      </c>
      <c r="AC806" s="6" t="n">
        <v>0.557399081585003</v>
      </c>
      <c r="AD806" s="6" t="n">
        <v>1.27816894706856</v>
      </c>
      <c r="AE806" s="6" t="n">
        <v>1.13307240118049</v>
      </c>
      <c r="AF806" s="6" t="n">
        <v>-0.13499857019616</v>
      </c>
      <c r="AG806" s="6" t="n">
        <v>0.0464689883427038</v>
      </c>
      <c r="AH806" s="6" t="n">
        <v>0.953576470793429</v>
      </c>
      <c r="AI806" s="6" t="n">
        <v>-2.37700651833479</v>
      </c>
      <c r="AJ806" s="6" t="n">
        <v>75.9635528846488</v>
      </c>
      <c r="AK806" s="6" t="n">
        <v>0.191753473346557</v>
      </c>
      <c r="AL806" s="6" t="n">
        <v>1.04728710966406</v>
      </c>
      <c r="AN806" s="6" t="n">
        <v>1.29019373326883</v>
      </c>
      <c r="AO806" s="6" t="n">
        <v>1.2909355396832</v>
      </c>
      <c r="AP806" s="6" t="n">
        <v>0.13261664758806</v>
      </c>
      <c r="AQ806" s="6" t="n">
        <v>0</v>
      </c>
      <c r="AR806" s="6" t="n">
        <v>0</v>
      </c>
    </row>
    <row r="807" customFormat="false" ht="15" hidden="false" customHeight="false" outlineLevel="0" collapsed="false">
      <c r="D807" s="0" t="s">
        <v>933</v>
      </c>
      <c r="J807" s="6" t="n">
        <v>1.04519908336304</v>
      </c>
      <c r="K807" s="6" t="n">
        <v>2.68367535748449</v>
      </c>
      <c r="L807" s="6" t="n">
        <v>-0.26163541413188</v>
      </c>
      <c r="M807" s="6" t="n">
        <v>0.389600649094048</v>
      </c>
      <c r="N807" s="6" t="n">
        <v>-6.18961868758841</v>
      </c>
      <c r="O807" s="6" t="n">
        <v>-0.0914022890447688</v>
      </c>
      <c r="P807" s="6" t="n">
        <v>0.321061237513757</v>
      </c>
      <c r="Q807" s="6" t="n">
        <v>1.57489152958846</v>
      </c>
      <c r="R807" s="6" t="n">
        <v>3.10724519187713</v>
      </c>
      <c r="S807" s="6" t="n">
        <v>0.91491656336412</v>
      </c>
      <c r="T807" s="6" t="n">
        <v>-3.86449351583253</v>
      </c>
      <c r="U807" s="6" t="n">
        <v>-2.80516121745304</v>
      </c>
      <c r="V807" s="6" t="n">
        <v>0.89171914252083</v>
      </c>
      <c r="W807" s="6" t="n">
        <v>-0.8167803466579</v>
      </c>
      <c r="X807" s="6" t="n">
        <v>1.07819648495304</v>
      </c>
      <c r="Y807" s="6" t="n">
        <v>0.528313914841689</v>
      </c>
      <c r="Z807" s="6" t="n">
        <v>1.61879639587534</v>
      </c>
      <c r="AA807" s="6" t="n">
        <v>0.966455420457148</v>
      </c>
      <c r="AB807" s="6" t="n">
        <v>0.251372059630092</v>
      </c>
      <c r="AC807" s="6" t="n">
        <v>-0.537532304911755</v>
      </c>
      <c r="AD807" s="6" t="n">
        <v>-3.26777212699524</v>
      </c>
      <c r="AE807" s="6" t="n">
        <v>0.763712728835068</v>
      </c>
      <c r="AF807" s="6" t="n">
        <v>-1.52287556528261</v>
      </c>
      <c r="AG807" s="6" t="n">
        <v>-3.22457653959801</v>
      </c>
      <c r="AH807" s="6" t="n">
        <v>-0.465322384268169</v>
      </c>
      <c r="AI807" s="6" t="n">
        <v>-1.1053762959252</v>
      </c>
      <c r="AJ807" s="6" t="n">
        <v>75.0411155838538</v>
      </c>
      <c r="AK807" s="6" t="n">
        <v>0</v>
      </c>
      <c r="AL807" s="6" t="n">
        <v>1.04879471972991</v>
      </c>
      <c r="AN807" s="6" t="n">
        <v>1.29034952622285</v>
      </c>
      <c r="AO807" s="6" t="n">
        <v>1.29407271539452</v>
      </c>
      <c r="AP807" s="6" t="n">
        <v>0.137089377245639</v>
      </c>
      <c r="AQ807" s="6" t="n">
        <v>0</v>
      </c>
      <c r="AR807" s="6" t="n">
        <v>0</v>
      </c>
    </row>
    <row r="808" customFormat="false" ht="15" hidden="false" customHeight="false" outlineLevel="0" collapsed="false">
      <c r="D808" s="0" t="s">
        <v>934</v>
      </c>
      <c r="J808" s="6" t="n">
        <v>1.01530318848227</v>
      </c>
      <c r="K808" s="6" t="n">
        <v>-2.47622173626819</v>
      </c>
      <c r="L808" s="6" t="n">
        <v>-0.993389081861382</v>
      </c>
      <c r="M808" s="6" t="n">
        <v>3.43101460417979</v>
      </c>
      <c r="N808" s="6" t="n">
        <v>-0.733037434062881</v>
      </c>
      <c r="O808" s="6" t="n">
        <v>-0.0707591207810081</v>
      </c>
      <c r="P808" s="6" t="n">
        <v>-1.82907318042143</v>
      </c>
      <c r="Q808" s="6" t="n">
        <v>-2.3933994223991</v>
      </c>
      <c r="R808" s="6" t="n">
        <v>-2.84562531097151</v>
      </c>
      <c r="S808" s="6" t="n">
        <v>-1.94781608430425</v>
      </c>
      <c r="T808" s="6" t="n">
        <v>0.467610133609564</v>
      </c>
      <c r="U808" s="6" t="n">
        <v>0.230882849268211</v>
      </c>
      <c r="V808" s="6" t="n">
        <v>0.8128400289948</v>
      </c>
      <c r="W808" s="6" t="n">
        <v>1.85049736746476</v>
      </c>
      <c r="X808" s="6" t="n">
        <v>-1.28809576611921</v>
      </c>
      <c r="Y808" s="6" t="n">
        <v>-1.35834743367077</v>
      </c>
      <c r="Z808" s="6" t="n">
        <v>-1.90342835578156</v>
      </c>
      <c r="AA808" s="6" t="n">
        <v>-1.60740569305673</v>
      </c>
      <c r="AB808" s="6" t="n">
        <v>3.28204556332367</v>
      </c>
      <c r="AC808" s="6" t="n">
        <v>4.87722503295762</v>
      </c>
      <c r="AD808" s="6" t="n">
        <v>1.30444517360118</v>
      </c>
      <c r="AE808" s="6" t="n">
        <v>-3.71828501552768</v>
      </c>
      <c r="AF808" s="6" t="n">
        <v>-1.27009546228821</v>
      </c>
      <c r="AG808" s="6" t="n">
        <v>-1.63942860740611</v>
      </c>
      <c r="AH808" s="6" t="n">
        <v>-0.563253377588844</v>
      </c>
      <c r="AI808" s="6" t="n">
        <v>0.427239812094574</v>
      </c>
      <c r="AJ808" s="6" t="n">
        <v>74.1965035631429</v>
      </c>
      <c r="AK808" s="6" t="n">
        <v>0.0597446162238596</v>
      </c>
      <c r="AL808" s="6" t="n">
        <v>1.04810800904776</v>
      </c>
      <c r="AN808" s="6" t="n">
        <v>1.30585512808187</v>
      </c>
      <c r="AO808" s="6" t="n">
        <v>1.3062877416496</v>
      </c>
      <c r="AP808" s="6" t="n">
        <v>0.135654554678708</v>
      </c>
      <c r="AQ808" s="6" t="n">
        <v>0</v>
      </c>
      <c r="AR808" s="6" t="n">
        <v>0</v>
      </c>
    </row>
    <row r="809" customFormat="false" ht="15" hidden="false" customHeight="false" outlineLevel="0" collapsed="false">
      <c r="D809" s="0" t="s">
        <v>935</v>
      </c>
      <c r="J809" s="6" t="n">
        <v>3.49444202451259</v>
      </c>
      <c r="K809" s="6" t="n">
        <v>-0.0218242557266443</v>
      </c>
      <c r="L809" s="6" t="n">
        <v>-4.88300198739924</v>
      </c>
      <c r="M809" s="6" t="n">
        <v>0.741504989858739</v>
      </c>
      <c r="N809" s="6" t="n">
        <v>-0.0439992492665989</v>
      </c>
      <c r="O809" s="6" t="n">
        <v>3.87667253581314</v>
      </c>
      <c r="P809" s="6" t="n">
        <v>-0.0467332536954547</v>
      </c>
      <c r="Q809" s="6" t="n">
        <v>-4.23858516777535</v>
      </c>
      <c r="R809" s="6" t="n">
        <v>2.25999422588025</v>
      </c>
      <c r="S809" s="6" t="n">
        <v>0.977063254878839</v>
      </c>
      <c r="T809" s="6" t="n">
        <v>-2.34362890496764</v>
      </c>
      <c r="U809" s="6" t="n">
        <v>-0.0435005672328099</v>
      </c>
      <c r="V809" s="6" t="n">
        <v>-2.71151085132164</v>
      </c>
      <c r="W809" s="6" t="n">
        <v>2.257313331636</v>
      </c>
      <c r="X809" s="6" t="n">
        <v>-2.16031348995143</v>
      </c>
      <c r="Y809" s="6" t="n">
        <v>0.361672729774086</v>
      </c>
      <c r="Z809" s="6" t="n">
        <v>0.237541169471135</v>
      </c>
      <c r="AA809" s="6" t="n">
        <v>1.49065966065659</v>
      </c>
      <c r="AB809" s="6" t="n">
        <v>3.11091498316513</v>
      </c>
      <c r="AC809" s="6" t="n">
        <v>0.416769416656649</v>
      </c>
      <c r="AD809" s="6" t="n">
        <v>2.04604974194062</v>
      </c>
      <c r="AE809" s="6" t="n">
        <v>-1.49559013358935</v>
      </c>
      <c r="AF809" s="6" t="n">
        <v>-3.23128925970167</v>
      </c>
      <c r="AG809" s="6" t="n">
        <v>1.65247665840373</v>
      </c>
      <c r="AH809" s="6" t="n">
        <v>-1.50091973502248</v>
      </c>
      <c r="AI809" s="6" t="n">
        <v>-1.1719183170693</v>
      </c>
      <c r="AJ809" s="6" t="n">
        <v>81.4230344176637</v>
      </c>
      <c r="AK809" s="6" t="n">
        <v>0.123858719776094</v>
      </c>
      <c r="AL809" s="6" t="n">
        <v>1.03889869450781</v>
      </c>
      <c r="AN809" s="6" t="n">
        <v>1.30576067736679</v>
      </c>
      <c r="AO809" s="6" t="n">
        <v>1.30593367927306</v>
      </c>
      <c r="AP809" s="6" t="n">
        <v>0.135472117121912</v>
      </c>
      <c r="AQ809" s="6" t="n">
        <v>0</v>
      </c>
      <c r="AR809" s="6" t="n">
        <v>0</v>
      </c>
    </row>
    <row r="810" customFormat="false" ht="15" hidden="false" customHeight="false" outlineLevel="0" collapsed="false">
      <c r="D810" s="0" t="s">
        <v>936</v>
      </c>
      <c r="J810" s="6" t="n">
        <v>-3.32575368979367</v>
      </c>
      <c r="K810" s="6" t="n">
        <v>-1.19123347644685</v>
      </c>
      <c r="L810" s="6" t="n">
        <v>4.30303907075064</v>
      </c>
      <c r="M810" s="6" t="n">
        <v>1.93319025576663</v>
      </c>
      <c r="N810" s="6" t="n">
        <v>0.108978059415266</v>
      </c>
      <c r="O810" s="6" t="n">
        <v>-2.60113738596451</v>
      </c>
      <c r="P810" s="6" t="n">
        <v>0.246958281466578</v>
      </c>
      <c r="Q810" s="6" t="n">
        <v>-2.32968439599332</v>
      </c>
      <c r="R810" s="6" t="n">
        <v>0.0871160203841907</v>
      </c>
      <c r="S810" s="6" t="n">
        <v>0.13140450880848</v>
      </c>
      <c r="T810" s="6" t="n">
        <v>0.585694104985527</v>
      </c>
      <c r="U810" s="6" t="n">
        <v>-1.38252611300367</v>
      </c>
      <c r="V810" s="6" t="n">
        <v>0.374204637723915</v>
      </c>
      <c r="W810" s="6" t="n">
        <v>-2.75258705776303</v>
      </c>
      <c r="X810" s="6" t="n">
        <v>-1.68874938085362</v>
      </c>
      <c r="Y810" s="6" t="n">
        <v>-0.30563631325889</v>
      </c>
      <c r="Z810" s="6" t="n">
        <v>-4.91810838857119</v>
      </c>
      <c r="AA810" s="6" t="n">
        <v>0.0397098041614545</v>
      </c>
      <c r="AB810" s="6" t="n">
        <v>-2.58262051247464</v>
      </c>
      <c r="AC810" s="6" t="n">
        <v>-4.33438399804547</v>
      </c>
      <c r="AD810" s="6" t="n">
        <v>-1.62196883242106</v>
      </c>
      <c r="AE810" s="6" t="n">
        <v>-1.05472927167998</v>
      </c>
      <c r="AF810" s="6" t="n">
        <v>-3.73863197727012</v>
      </c>
      <c r="AG810" s="6" t="n">
        <v>-0.369737708775437</v>
      </c>
      <c r="AH810" s="6" t="n">
        <v>0.599118481386959</v>
      </c>
      <c r="AI810" s="6" t="n">
        <v>-0.00225352959788539</v>
      </c>
      <c r="AJ810" s="6" t="n">
        <v>73.677761104356</v>
      </c>
      <c r="AK810" s="6" t="n">
        <v>0.163997172847734</v>
      </c>
      <c r="AL810" s="6" t="n">
        <v>1.07994233441731</v>
      </c>
      <c r="AN810" s="6" t="n">
        <v>1.28119870255141</v>
      </c>
      <c r="AO810" s="6" t="n">
        <v>1.28165916904596</v>
      </c>
      <c r="AP810" s="6" t="n">
        <v>0.130625460689779</v>
      </c>
      <c r="AQ810" s="6" t="n">
        <v>0</v>
      </c>
      <c r="AR810" s="6" t="n">
        <v>0</v>
      </c>
    </row>
    <row r="811" customFormat="false" ht="15" hidden="false" customHeight="false" outlineLevel="0" collapsed="false">
      <c r="D811" s="0" t="s">
        <v>937</v>
      </c>
      <c r="J811" s="6" t="n">
        <v>-0.590379815343024</v>
      </c>
      <c r="K811" s="6" t="n">
        <v>-3.28505554046189</v>
      </c>
      <c r="L811" s="6" t="n">
        <v>-0.793641250710731</v>
      </c>
      <c r="M811" s="6" t="n">
        <v>-2.41280849872848</v>
      </c>
      <c r="N811" s="6" t="n">
        <v>0.657409949576955</v>
      </c>
      <c r="O811" s="6" t="n">
        <v>2.6262470210125</v>
      </c>
      <c r="P811" s="6" t="n">
        <v>0.426251134628927</v>
      </c>
      <c r="Q811" s="6" t="n">
        <v>0.0639010062194765</v>
      </c>
      <c r="R811" s="6" t="n">
        <v>3.59336203402817</v>
      </c>
      <c r="S811" s="6" t="n">
        <v>-1.13389649124099</v>
      </c>
      <c r="T811" s="6" t="n">
        <v>0.409028721096106</v>
      </c>
      <c r="U811" s="6" t="n">
        <v>2.03018571232233</v>
      </c>
      <c r="V811" s="6" t="n">
        <v>0.77770875057051</v>
      </c>
      <c r="W811" s="6" t="n">
        <v>1.16897142883365</v>
      </c>
      <c r="X811" s="6" t="n">
        <v>-0.46945574051544</v>
      </c>
      <c r="Y811" s="6" t="n">
        <v>0.528411192742391</v>
      </c>
      <c r="Z811" s="6" t="n">
        <v>-0.717748668073675</v>
      </c>
      <c r="AA811" s="6" t="n">
        <v>1.56867873205065</v>
      </c>
      <c r="AB811" s="6" t="n">
        <v>0.118675216797157</v>
      </c>
      <c r="AC811" s="6" t="n">
        <v>-3.61429285128605</v>
      </c>
      <c r="AD811" s="6" t="n">
        <v>-0.55908160972883</v>
      </c>
      <c r="AE811" s="6" t="n">
        <v>0.367625168599251</v>
      </c>
      <c r="AF811" s="6" t="n">
        <v>-1.51879476243898</v>
      </c>
      <c r="AG811" s="6" t="n">
        <v>-2.32123100013628</v>
      </c>
      <c r="AH811" s="6" t="n">
        <v>-2.13194472535441</v>
      </c>
      <c r="AI811" s="6" t="n">
        <v>-1.80312602539855</v>
      </c>
      <c r="AJ811" s="6" t="n">
        <v>72.5276699819157</v>
      </c>
      <c r="AK811" s="6" t="n">
        <v>0.0924430761724378</v>
      </c>
      <c r="AL811" s="6" t="n">
        <v>1.01251451418793</v>
      </c>
      <c r="AN811" s="6" t="n">
        <v>1.31352158365417</v>
      </c>
      <c r="AO811" s="6" t="n">
        <v>1.31352158365417</v>
      </c>
      <c r="AP811" s="6" t="n">
        <v>0.139034984818173</v>
      </c>
      <c r="AQ811" s="6" t="n">
        <v>0</v>
      </c>
      <c r="AR811" s="6" t="n">
        <v>0</v>
      </c>
    </row>
    <row r="812" customFormat="false" ht="15" hidden="false" customHeight="false" outlineLevel="0" collapsed="false">
      <c r="D812" s="0" t="s">
        <v>938</v>
      </c>
      <c r="J812" s="6" t="n">
        <v>4.59181036192389</v>
      </c>
      <c r="K812" s="6" t="n">
        <v>-0.536297449199101</v>
      </c>
      <c r="L812" s="6" t="n">
        <v>-2.46506760864336</v>
      </c>
      <c r="M812" s="6" t="n">
        <v>1.5245303726257</v>
      </c>
      <c r="N812" s="6" t="n">
        <v>-0.500583958821959</v>
      </c>
      <c r="O812" s="6" t="n">
        <v>0.712790599869063</v>
      </c>
      <c r="P812" s="6" t="n">
        <v>-0.176097835313529</v>
      </c>
      <c r="Q812" s="6" t="n">
        <v>0.947211564503288</v>
      </c>
      <c r="R812" s="6" t="n">
        <v>0.347547794127105</v>
      </c>
      <c r="S812" s="6" t="n">
        <v>-1.61389085412724</v>
      </c>
      <c r="T812" s="6" t="n">
        <v>-2.3690502744884</v>
      </c>
      <c r="U812" s="6" t="n">
        <v>-1.20533680925721</v>
      </c>
      <c r="V812" s="6" t="n">
        <v>0.613353768546829</v>
      </c>
      <c r="W812" s="6" t="n">
        <v>0.874387543897906</v>
      </c>
      <c r="X812" s="6" t="n">
        <v>3.09919163729256</v>
      </c>
      <c r="Y812" s="6" t="n">
        <v>-1.16553687885204</v>
      </c>
      <c r="Z812" s="6" t="n">
        <v>2.65855802589743</v>
      </c>
      <c r="AA812" s="6" t="n">
        <v>-0.814550069108227</v>
      </c>
      <c r="AB812" s="6" t="n">
        <v>-3.22250261368295</v>
      </c>
      <c r="AC812" s="6" t="n">
        <v>-2.57505127087164</v>
      </c>
      <c r="AD812" s="6" t="n">
        <v>1.96051448840585</v>
      </c>
      <c r="AE812" s="6" t="n">
        <v>2.20571295092227</v>
      </c>
      <c r="AF812" s="6" t="n">
        <v>-1.99184624292929</v>
      </c>
      <c r="AG812" s="6" t="n">
        <v>-1.30577671283509</v>
      </c>
      <c r="AH812" s="6" t="n">
        <v>1.83059884356862</v>
      </c>
      <c r="AI812" s="6" t="n">
        <v>0.152776019178108</v>
      </c>
      <c r="AJ812" s="6" t="n">
        <v>66.7077215746124</v>
      </c>
      <c r="AK812" s="6" t="n">
        <v>0.106005608378909</v>
      </c>
      <c r="AL812" s="6" t="n">
        <v>1.10503751834727</v>
      </c>
      <c r="AN812" s="6" t="n">
        <v>1.27579677719275</v>
      </c>
      <c r="AO812" s="6" t="n">
        <v>1.27638514469978</v>
      </c>
      <c r="AP812" s="6" t="n">
        <v>0.130749344325522</v>
      </c>
      <c r="AQ812" s="6" t="n">
        <v>0</v>
      </c>
      <c r="AR812" s="6" t="n">
        <v>0</v>
      </c>
    </row>
    <row r="813" customFormat="false" ht="15" hidden="false" customHeight="false" outlineLevel="0" collapsed="false">
      <c r="D813" s="0" t="s">
        <v>939</v>
      </c>
      <c r="J813" s="6" t="n">
        <v>0.263978167545696</v>
      </c>
      <c r="K813" s="6" t="n">
        <v>-2.93171421282888</v>
      </c>
      <c r="L813" s="6" t="n">
        <v>-2.58683426039706</v>
      </c>
      <c r="M813" s="6" t="n">
        <v>-2.98759026131325</v>
      </c>
      <c r="N813" s="6" t="n">
        <v>1.53368028303265</v>
      </c>
      <c r="O813" s="6" t="n">
        <v>-2.95164318281424</v>
      </c>
      <c r="P813" s="6" t="n">
        <v>-1.54703647958868</v>
      </c>
      <c r="Q813" s="6" t="n">
        <v>-5.29358699919646</v>
      </c>
      <c r="R813" s="6" t="n">
        <v>0.311197523601845</v>
      </c>
      <c r="S813" s="6" t="n">
        <v>-1.99882318745913</v>
      </c>
      <c r="T813" s="6" t="n">
        <v>-0.560903310046933</v>
      </c>
      <c r="U813" s="6" t="n">
        <v>-1.29858713400999</v>
      </c>
      <c r="V813" s="6" t="n">
        <v>2.67369390505863</v>
      </c>
      <c r="W813" s="6" t="n">
        <v>-0.70519942368056</v>
      </c>
      <c r="X813" s="6" t="n">
        <v>2.38704791055327</v>
      </c>
      <c r="Y813" s="6" t="n">
        <v>-2.82916779279561</v>
      </c>
      <c r="Z813" s="6" t="n">
        <v>-0.0552419431764285</v>
      </c>
      <c r="AA813" s="6" t="n">
        <v>4.08277822866292</v>
      </c>
      <c r="AB813" s="6" t="n">
        <v>1.45189992397389</v>
      </c>
      <c r="AC813" s="6" t="n">
        <v>0.403471970374004</v>
      </c>
      <c r="AD813" s="6" t="n">
        <v>-1.18461017787966</v>
      </c>
      <c r="AE813" s="6" t="n">
        <v>-1.59308138132003</v>
      </c>
      <c r="AF813" s="6" t="n">
        <v>-0.287730082159888</v>
      </c>
      <c r="AG813" s="6" t="n">
        <v>-0.508051663636454</v>
      </c>
      <c r="AH813" s="6" t="n">
        <v>-1.30649436557874</v>
      </c>
      <c r="AI813" s="6" t="n">
        <v>-1.60274552823923</v>
      </c>
      <c r="AJ813" s="6" t="n">
        <v>77.2769287337741</v>
      </c>
      <c r="AK813" s="6" t="n">
        <v>0.133359005653959</v>
      </c>
      <c r="AL813" s="6" t="n">
        <v>1.09761870620305</v>
      </c>
      <c r="AN813" s="6" t="n">
        <v>1.28196641904538</v>
      </c>
      <c r="AO813" s="6" t="n">
        <v>1.28246984991776</v>
      </c>
      <c r="AP813" s="6" t="n">
        <v>0.129852827224798</v>
      </c>
      <c r="AQ813" s="6" t="n">
        <v>0</v>
      </c>
      <c r="AR813" s="6" t="n">
        <v>0</v>
      </c>
    </row>
    <row r="814" customFormat="false" ht="15" hidden="false" customHeight="false" outlineLevel="0" collapsed="false">
      <c r="D814" s="0" t="s">
        <v>940</v>
      </c>
      <c r="J814" s="6" t="n">
        <v>-1.37658785741796</v>
      </c>
      <c r="K814" s="6" t="n">
        <v>-1.45567000844928</v>
      </c>
      <c r="L814" s="6" t="n">
        <v>-2.2576593955936</v>
      </c>
      <c r="M814" s="6" t="n">
        <v>-2.92292866773069</v>
      </c>
      <c r="N814" s="6" t="n">
        <v>-0.112855980818762</v>
      </c>
      <c r="O814" s="6" t="n">
        <v>-2.48969571736443</v>
      </c>
      <c r="P814" s="6" t="n">
        <v>-0.503603073433216</v>
      </c>
      <c r="Q814" s="6" t="n">
        <v>0.0268241694624468</v>
      </c>
      <c r="R814" s="6" t="n">
        <v>-3.93831861765636</v>
      </c>
      <c r="S814" s="6" t="n">
        <v>0.0985012438931049</v>
      </c>
      <c r="T814" s="6" t="n">
        <v>-0.995151298736147</v>
      </c>
      <c r="U814" s="6" t="n">
        <v>-3.0261626815911</v>
      </c>
      <c r="V814" s="6" t="n">
        <v>-0.83761284684936</v>
      </c>
      <c r="W814" s="6" t="n">
        <v>0.457250865696437</v>
      </c>
      <c r="X814" s="6" t="n">
        <v>-1.32484742814829</v>
      </c>
      <c r="Y814" s="6" t="n">
        <v>-2.20434350918892</v>
      </c>
      <c r="Z814" s="6" t="n">
        <v>0.582545003997367</v>
      </c>
      <c r="AA814" s="6" t="n">
        <v>-1.24369914577929</v>
      </c>
      <c r="AB814" s="6" t="n">
        <v>-1.93122021063873</v>
      </c>
      <c r="AC814" s="6" t="n">
        <v>0.25084439213771</v>
      </c>
      <c r="AD814" s="6" t="n">
        <v>0.0404553513917286</v>
      </c>
      <c r="AE814" s="6" t="n">
        <v>-3.59015539792679</v>
      </c>
      <c r="AF814" s="6" t="n">
        <v>-1.05733954901471</v>
      </c>
      <c r="AG814" s="6" t="n">
        <v>1.17115273674634</v>
      </c>
      <c r="AH814" s="6" t="n">
        <v>0.827912220008085</v>
      </c>
      <c r="AI814" s="6" t="n">
        <v>-0.794553366212724</v>
      </c>
      <c r="AJ814" s="6" t="n">
        <v>81.8767448102934</v>
      </c>
      <c r="AK814" s="6" t="n">
        <v>0.14214037321868</v>
      </c>
      <c r="AL814" s="6" t="n">
        <v>1.08631096989081</v>
      </c>
      <c r="AN814" s="6" t="n">
        <v>1.2847976160129</v>
      </c>
      <c r="AO814" s="6" t="n">
        <v>1.28509488019561</v>
      </c>
      <c r="AP814" s="6" t="n">
        <v>0.131026510645677</v>
      </c>
      <c r="AQ814" s="6" t="n">
        <v>0</v>
      </c>
      <c r="AR814" s="6" t="n">
        <v>0</v>
      </c>
    </row>
    <row r="815" customFormat="false" ht="15" hidden="false" customHeight="false" outlineLevel="0" collapsed="false">
      <c r="D815" s="0" t="s">
        <v>941</v>
      </c>
      <c r="J815" s="6" t="n">
        <v>-2.44072491691063</v>
      </c>
      <c r="K815" s="6" t="n">
        <v>0.823420284355662</v>
      </c>
      <c r="L815" s="6" t="n">
        <v>1.25928841555679</v>
      </c>
      <c r="M815" s="6" t="n">
        <v>0.338448041042883</v>
      </c>
      <c r="N815" s="6" t="n">
        <v>-2.67420300972849</v>
      </c>
      <c r="O815" s="6" t="n">
        <v>-0.328727915023971</v>
      </c>
      <c r="P815" s="6" t="n">
        <v>-0.563806108794795</v>
      </c>
      <c r="Q815" s="6" t="n">
        <v>-1.90312112699153</v>
      </c>
      <c r="R815" s="6" t="n">
        <v>3.21169952745003</v>
      </c>
      <c r="S815" s="6" t="n">
        <v>-0.120966552025364</v>
      </c>
      <c r="T815" s="6" t="n">
        <v>-1.95216819124572</v>
      </c>
      <c r="U815" s="6" t="n">
        <v>1.7019609810319</v>
      </c>
      <c r="V815" s="6" t="n">
        <v>2.22283397588375</v>
      </c>
      <c r="W815" s="6" t="n">
        <v>2.4452263015053</v>
      </c>
      <c r="X815" s="6" t="n">
        <v>-1.75736038335547</v>
      </c>
      <c r="Y815" s="6" t="n">
        <v>4.1174802138093</v>
      </c>
      <c r="Z815" s="6" t="n">
        <v>-1.23286138128518</v>
      </c>
      <c r="AA815" s="6" t="n">
        <v>-0.183339052117125</v>
      </c>
      <c r="AB815" s="6" t="n">
        <v>-0.635017363207933</v>
      </c>
      <c r="AC815" s="6" t="n">
        <v>1.64795135125442</v>
      </c>
      <c r="AD815" s="6" t="n">
        <v>0.173483228967034</v>
      </c>
      <c r="AE815" s="6" t="n">
        <v>-3.09857358585646</v>
      </c>
      <c r="AF815" s="6" t="n">
        <v>-0.799810417008683</v>
      </c>
      <c r="AG815" s="6" t="n">
        <v>-3.38760031597965</v>
      </c>
      <c r="AH815" s="6" t="n">
        <v>-1.04328021473417</v>
      </c>
      <c r="AI815" s="6" t="n">
        <v>0.540604556279647</v>
      </c>
      <c r="AJ815" s="6" t="n">
        <v>61.7216320957734</v>
      </c>
      <c r="AK815" s="6" t="n">
        <v>0.0872461713078278</v>
      </c>
      <c r="AL815" s="6" t="n">
        <v>1.08049010693343</v>
      </c>
      <c r="AN815" s="6" t="n">
        <v>1.2847796982035</v>
      </c>
      <c r="AO815" s="6" t="n">
        <v>1.2852747320276</v>
      </c>
      <c r="AP815" s="6" t="n">
        <v>0.131943615843465</v>
      </c>
      <c r="AQ815" s="6" t="n">
        <v>0</v>
      </c>
      <c r="AR815" s="6" t="n">
        <v>0</v>
      </c>
    </row>
    <row r="816" customFormat="false" ht="15" hidden="false" customHeight="false" outlineLevel="0" collapsed="false">
      <c r="D816" s="0" t="s">
        <v>942</v>
      </c>
      <c r="J816" s="6" t="n">
        <v>1.05881218468484</v>
      </c>
      <c r="K816" s="6" t="n">
        <v>1.63356261385147</v>
      </c>
      <c r="L816" s="6" t="n">
        <v>3.85945341807061</v>
      </c>
      <c r="M816" s="6" t="n">
        <v>1.1012998445357</v>
      </c>
      <c r="N816" s="6" t="n">
        <v>1.80667513102213</v>
      </c>
      <c r="O816" s="6" t="n">
        <v>-0.0527612505768533</v>
      </c>
      <c r="P816" s="6" t="n">
        <v>1.38944770183043</v>
      </c>
      <c r="Q816" s="6" t="n">
        <v>-0.323390283726739</v>
      </c>
      <c r="R816" s="6" t="n">
        <v>0.920358235556215</v>
      </c>
      <c r="S816" s="6" t="n">
        <v>0.862144866913453</v>
      </c>
      <c r="T816" s="6" t="n">
        <v>0.175704498716141</v>
      </c>
      <c r="U816" s="6" t="n">
        <v>0.588429130705409</v>
      </c>
      <c r="V816" s="6" t="n">
        <v>-0.400756395691925</v>
      </c>
      <c r="W816" s="6" t="n">
        <v>-0.133219742104324</v>
      </c>
      <c r="X816" s="6" t="n">
        <v>1.21617388156096</v>
      </c>
      <c r="Y816" s="6" t="n">
        <v>-1.38555026614522</v>
      </c>
      <c r="Z816" s="6" t="n">
        <v>-1.47006725823897</v>
      </c>
      <c r="AA816" s="6" t="n">
        <v>-0.632463217658361</v>
      </c>
      <c r="AB816" s="6" t="n">
        <v>-1.48167256063747</v>
      </c>
      <c r="AC816" s="6" t="n">
        <v>-1.32808306555329</v>
      </c>
      <c r="AD816" s="6" t="n">
        <v>0.477556213408673</v>
      </c>
      <c r="AE816" s="6" t="n">
        <v>-2.99212409723913</v>
      </c>
      <c r="AF816" s="6" t="n">
        <v>4.09712184962204</v>
      </c>
      <c r="AG816" s="6" t="n">
        <v>-1.28907239957067</v>
      </c>
      <c r="AH816" s="6" t="n">
        <v>0.364352633517816</v>
      </c>
      <c r="AI816" s="6" t="n">
        <v>-0.387803354994651</v>
      </c>
      <c r="AJ816" s="6" t="n">
        <v>77.1098589459569</v>
      </c>
      <c r="AK816" s="6" t="n">
        <v>0.196663824077466</v>
      </c>
      <c r="AL816" s="6" t="n">
        <v>1.04163302577947</v>
      </c>
      <c r="AN816" s="6" t="n">
        <v>1.2922586554208</v>
      </c>
      <c r="AO816" s="6" t="n">
        <v>1.29341286169707</v>
      </c>
      <c r="AP816" s="6" t="n">
        <v>0.133140548276629</v>
      </c>
      <c r="AQ816" s="6" t="n">
        <v>0</v>
      </c>
      <c r="AR816" s="6" t="n">
        <v>0</v>
      </c>
    </row>
    <row r="817" customFormat="false" ht="15" hidden="false" customHeight="false" outlineLevel="0" collapsed="false">
      <c r="D817" s="0" t="s">
        <v>943</v>
      </c>
      <c r="J817" s="6" t="n">
        <v>-0.244324171628684</v>
      </c>
      <c r="K817" s="6" t="n">
        <v>-0.745403515629021</v>
      </c>
      <c r="L817" s="6" t="n">
        <v>-1.28285395214935</v>
      </c>
      <c r="M817" s="6" t="n">
        <v>-0.106892720097018</v>
      </c>
      <c r="N817" s="6" t="n">
        <v>0.783835684639909</v>
      </c>
      <c r="O817" s="6" t="n">
        <v>-1.83483067979018</v>
      </c>
      <c r="P817" s="6" t="n">
        <v>1.67845781457058</v>
      </c>
      <c r="Q817" s="6" t="n">
        <v>4.75780528173153</v>
      </c>
      <c r="R817" s="6" t="n">
        <v>-0.898083179598896</v>
      </c>
      <c r="S817" s="6" t="n">
        <v>0.826710908792095</v>
      </c>
      <c r="T817" s="6" t="n">
        <v>0.816905699885992</v>
      </c>
      <c r="U817" s="6" t="n">
        <v>-0.56154930088059</v>
      </c>
      <c r="V817" s="6" t="n">
        <v>1.39820298027971</v>
      </c>
      <c r="W817" s="6" t="n">
        <v>-0.841928332835692</v>
      </c>
      <c r="X817" s="6" t="n">
        <v>-0.108324682713971</v>
      </c>
      <c r="Y817" s="6" t="n">
        <v>-4.21265571868678</v>
      </c>
      <c r="Z817" s="6" t="n">
        <v>0.696691712056256</v>
      </c>
      <c r="AA817" s="6" t="n">
        <v>-0.109084824860959</v>
      </c>
      <c r="AB817" s="6" t="n">
        <v>-0.81273129571551</v>
      </c>
      <c r="AC817" s="6" t="n">
        <v>-1.20189786699221</v>
      </c>
      <c r="AD817" s="6" t="n">
        <v>1.17039639310193</v>
      </c>
      <c r="AE817" s="6" t="n">
        <v>-0.753200629911254</v>
      </c>
      <c r="AF817" s="6" t="n">
        <v>-0.680545457998777</v>
      </c>
      <c r="AG817" s="6" t="n">
        <v>4.03607904965543</v>
      </c>
      <c r="AH817" s="6" t="n">
        <v>-1.60202161044316</v>
      </c>
      <c r="AI817" s="6" t="n">
        <v>-1.39389155146219</v>
      </c>
      <c r="AJ817" s="6" t="n">
        <v>74.4669351695168</v>
      </c>
      <c r="AK817" s="6" t="n">
        <v>0.159016848703349</v>
      </c>
      <c r="AL817" s="6" t="n">
        <v>1.03672790811642</v>
      </c>
      <c r="AN817" s="6" t="n">
        <v>1.30019589348355</v>
      </c>
      <c r="AO817" s="6" t="n">
        <v>1.30148929156792</v>
      </c>
      <c r="AP817" s="6" t="n">
        <v>0.134642439855622</v>
      </c>
      <c r="AQ817" s="6" t="n">
        <v>0</v>
      </c>
      <c r="AR817" s="6" t="n">
        <v>0</v>
      </c>
    </row>
    <row r="818" customFormat="false" ht="15" hidden="false" customHeight="false" outlineLevel="0" collapsed="false">
      <c r="D818" s="0" t="s">
        <v>944</v>
      </c>
      <c r="J818" s="6" t="n">
        <v>-0.00570409886251358</v>
      </c>
      <c r="K818" s="6" t="n">
        <v>-3.38051024016622</v>
      </c>
      <c r="L818" s="6" t="n">
        <v>2.11907598845299</v>
      </c>
      <c r="M818" s="6" t="n">
        <v>-2.33668645355245</v>
      </c>
      <c r="N818" s="6" t="n">
        <v>-0.185117157096393</v>
      </c>
      <c r="O818" s="6" t="n">
        <v>-1.70455187380752</v>
      </c>
      <c r="P818" s="6" t="n">
        <v>-1.64790578266492</v>
      </c>
      <c r="Q818" s="6" t="n">
        <v>-1.07596944249621</v>
      </c>
      <c r="R818" s="6" t="n">
        <v>0.613292118242554</v>
      </c>
      <c r="S818" s="6" t="n">
        <v>-1.00176804931279</v>
      </c>
      <c r="T818" s="6" t="n">
        <v>1.64060887821717</v>
      </c>
      <c r="U818" s="6" t="n">
        <v>-1.55061316721006</v>
      </c>
      <c r="V818" s="6" t="n">
        <v>-0.131717746776291</v>
      </c>
      <c r="W818" s="6" t="n">
        <v>-0.833387147392196</v>
      </c>
      <c r="X818" s="6" t="n">
        <v>4.43351214901606</v>
      </c>
      <c r="Y818" s="6" t="n">
        <v>-1.13258540254732</v>
      </c>
      <c r="Z818" s="6" t="n">
        <v>-2.22253541256425</v>
      </c>
      <c r="AA818" s="6" t="n">
        <v>-1.83236906281121</v>
      </c>
      <c r="AB818" s="6" t="n">
        <v>-0.641728705755804</v>
      </c>
      <c r="AC818" s="6" t="n">
        <v>1.54105450799642</v>
      </c>
      <c r="AD818" s="6" t="n">
        <v>-2.7344085269461</v>
      </c>
      <c r="AE818" s="6" t="n">
        <v>-0.815700642955551</v>
      </c>
      <c r="AF818" s="6" t="n">
        <v>-3.18255194347452</v>
      </c>
      <c r="AG818" s="6" t="n">
        <v>-0.0421101490458234</v>
      </c>
      <c r="AH818" s="6" t="n">
        <v>1.52054380535307</v>
      </c>
      <c r="AI818" s="6" t="n">
        <v>3.77485731225665</v>
      </c>
      <c r="AJ818" s="6" t="n">
        <v>72.9737533119663</v>
      </c>
      <c r="AK818" s="6" t="n">
        <v>0.0795250464453215</v>
      </c>
      <c r="AL818" s="6" t="n">
        <v>1.03292798209249</v>
      </c>
      <c r="AN818" s="6" t="n">
        <v>1.30993953681297</v>
      </c>
      <c r="AO818" s="6" t="n">
        <v>1.30993953681297</v>
      </c>
      <c r="AP818" s="6" t="n">
        <v>0.136673593366866</v>
      </c>
      <c r="AQ818" s="6" t="n">
        <v>0</v>
      </c>
      <c r="AR818" s="6" t="n">
        <v>0</v>
      </c>
    </row>
    <row r="819" customFormat="false" ht="15" hidden="false" customHeight="false" outlineLevel="0" collapsed="false">
      <c r="D819" s="0" t="s">
        <v>945</v>
      </c>
      <c r="J819" s="6" t="n">
        <v>-0.490223671774442</v>
      </c>
      <c r="K819" s="6" t="n">
        <v>-0.843687810828351</v>
      </c>
      <c r="L819" s="6" t="n">
        <v>2.46931389910099</v>
      </c>
      <c r="M819" s="6" t="n">
        <v>-2.41848090843727</v>
      </c>
      <c r="N819" s="6" t="n">
        <v>3.44452480588626</v>
      </c>
      <c r="O819" s="6" t="n">
        <v>-1.73373205282912</v>
      </c>
      <c r="P819" s="6" t="n">
        <v>1.54289180291743</v>
      </c>
      <c r="Q819" s="6" t="n">
        <v>-3.24074847983847</v>
      </c>
      <c r="R819" s="6" t="n">
        <v>1.54565389277098</v>
      </c>
      <c r="S819" s="6" t="n">
        <v>-2.24106717213164</v>
      </c>
      <c r="T819" s="6" t="n">
        <v>-0.405137001740729</v>
      </c>
      <c r="U819" s="6" t="n">
        <v>-1.40415594093208</v>
      </c>
      <c r="V819" s="6" t="n">
        <v>-3.14756182659889</v>
      </c>
      <c r="W819" s="6" t="n">
        <v>3.30362545234748</v>
      </c>
      <c r="X819" s="6" t="n">
        <v>0.0709419641552162</v>
      </c>
      <c r="Y819" s="6" t="n">
        <v>-0.496387895618109</v>
      </c>
      <c r="Z819" s="6" t="n">
        <v>1.3568456941037</v>
      </c>
      <c r="AA819" s="6" t="n">
        <v>0.583853376824031</v>
      </c>
      <c r="AB819" s="6" t="n">
        <v>-2.61161565174326</v>
      </c>
      <c r="AC819" s="6" t="n">
        <v>-0.574990035481552</v>
      </c>
      <c r="AD819" s="6" t="n">
        <v>-2.00116703217769</v>
      </c>
      <c r="AE819" s="6" t="n">
        <v>1.47497558982138</v>
      </c>
      <c r="AF819" s="6" t="n">
        <v>-2.25426507811177</v>
      </c>
      <c r="AG819" s="6" t="n">
        <v>-2.51246911045609</v>
      </c>
      <c r="AH819" s="6" t="n">
        <v>-0.74431888426357</v>
      </c>
      <c r="AI819" s="6" t="n">
        <v>-1.32321888656178</v>
      </c>
      <c r="AJ819" s="6" t="n">
        <v>69.0898001096017</v>
      </c>
      <c r="AK819" s="6" t="n">
        <v>0.0645176861957587</v>
      </c>
      <c r="AL819" s="6" t="n">
        <v>1.03886329064194</v>
      </c>
      <c r="AN819" s="6" t="n">
        <v>1.30594188870694</v>
      </c>
      <c r="AO819" s="6" t="n">
        <v>1.30753612691556</v>
      </c>
      <c r="AP819" s="6" t="n">
        <v>0.135690300281854</v>
      </c>
      <c r="AQ819" s="6" t="n">
        <v>0</v>
      </c>
      <c r="AR819" s="6" t="n">
        <v>0</v>
      </c>
    </row>
    <row r="820" customFormat="false" ht="15" hidden="false" customHeight="false" outlineLevel="0" collapsed="false">
      <c r="D820" s="0" t="s">
        <v>946</v>
      </c>
      <c r="J820" s="6" t="n">
        <v>2.48364793529816</v>
      </c>
      <c r="K820" s="6" t="n">
        <v>-0.181888507413802</v>
      </c>
      <c r="L820" s="6" t="n">
        <v>-2.79662942182106</v>
      </c>
      <c r="M820" s="6" t="n">
        <v>-0.855906510142488</v>
      </c>
      <c r="N820" s="6" t="n">
        <v>2.03690361601382</v>
      </c>
      <c r="O820" s="6" t="n">
        <v>1.62501709250039</v>
      </c>
      <c r="P820" s="6" t="n">
        <v>1.07352184336476</v>
      </c>
      <c r="Q820" s="6" t="n">
        <v>-1.13591071859021</v>
      </c>
      <c r="R820" s="6" t="n">
        <v>0.338827378355952</v>
      </c>
      <c r="S820" s="6" t="n">
        <v>-2.28168864377714</v>
      </c>
      <c r="T820" s="6" t="n">
        <v>-1.97509193207297</v>
      </c>
      <c r="U820" s="6" t="n">
        <v>0.680999168323545</v>
      </c>
      <c r="V820" s="6" t="n">
        <v>1.97250853187367</v>
      </c>
      <c r="W820" s="6" t="n">
        <v>-0.717561478220824</v>
      </c>
      <c r="X820" s="6" t="n">
        <v>-3.53702649672339</v>
      </c>
      <c r="Y820" s="6" t="n">
        <v>0.0621811727881881</v>
      </c>
      <c r="Z820" s="6" t="n">
        <v>4.36865757569885</v>
      </c>
      <c r="AA820" s="6" t="n">
        <v>0.104901560157772</v>
      </c>
      <c r="AB820" s="6" t="n">
        <v>2.30122318473823</v>
      </c>
      <c r="AC820" s="6" t="n">
        <v>1.15442898632271</v>
      </c>
      <c r="AD820" s="6" t="n">
        <v>-3.11399610769545</v>
      </c>
      <c r="AE820" s="6" t="n">
        <v>-0.561332695742062</v>
      </c>
      <c r="AF820" s="6" t="n">
        <v>4.50463127174114</v>
      </c>
      <c r="AG820" s="6" t="n">
        <v>0.572011074624791</v>
      </c>
      <c r="AH820" s="6" t="n">
        <v>0.0572618909817942</v>
      </c>
      <c r="AI820" s="6" t="n">
        <v>-1.52926551578786</v>
      </c>
      <c r="AJ820" s="6" t="n">
        <v>71.6863886599003</v>
      </c>
      <c r="AK820" s="6" t="n">
        <v>0.187413165070708</v>
      </c>
      <c r="AL820" s="6" t="n">
        <v>1.007633593609</v>
      </c>
      <c r="AN820" s="6" t="n">
        <v>1.30953683702813</v>
      </c>
      <c r="AO820" s="6" t="n">
        <v>1.30964035283745</v>
      </c>
      <c r="AP820" s="6" t="n">
        <v>0.137751412831293</v>
      </c>
      <c r="AQ820" s="6" t="n">
        <v>0</v>
      </c>
      <c r="AR820" s="6" t="n">
        <v>0</v>
      </c>
    </row>
    <row r="821" customFormat="false" ht="15" hidden="false" customHeight="false" outlineLevel="0" collapsed="false">
      <c r="D821" s="0" t="s">
        <v>947</v>
      </c>
      <c r="J821" s="6" t="n">
        <v>-0.451113804374416</v>
      </c>
      <c r="K821" s="6" t="n">
        <v>2.95291546880444</v>
      </c>
      <c r="L821" s="6" t="n">
        <v>2.00684099297644</v>
      </c>
      <c r="M821" s="6" t="n">
        <v>-1.01832846340917</v>
      </c>
      <c r="N821" s="6" t="n">
        <v>0.360916857642223</v>
      </c>
      <c r="O821" s="6" t="n">
        <v>3.23708235004399</v>
      </c>
      <c r="P821" s="6" t="n">
        <v>4.27303367198228</v>
      </c>
      <c r="Q821" s="6" t="n">
        <v>3.15445008581822</v>
      </c>
      <c r="R821" s="6" t="n">
        <v>2.27914682565019</v>
      </c>
      <c r="S821" s="6" t="n">
        <v>-0.66331101342337</v>
      </c>
      <c r="T821" s="6" t="n">
        <v>0.849894725406375</v>
      </c>
      <c r="U821" s="6" t="n">
        <v>1.40255382664971</v>
      </c>
      <c r="V821" s="6" t="n">
        <v>-0.208613818016861</v>
      </c>
      <c r="W821" s="6" t="n">
        <v>4.19122197566508</v>
      </c>
      <c r="X821" s="6" t="n">
        <v>1.28197769403938</v>
      </c>
      <c r="Y821" s="6" t="n">
        <v>5</v>
      </c>
      <c r="Z821" s="6" t="n">
        <v>0.462140110881684</v>
      </c>
      <c r="AA821" s="6" t="n">
        <v>-2.21207589578026</v>
      </c>
      <c r="AB821" s="6" t="n">
        <v>-2.93841743340589</v>
      </c>
      <c r="AC821" s="6" t="n">
        <v>1.46733829425502</v>
      </c>
      <c r="AD821" s="6" t="n">
        <v>4.386217367504</v>
      </c>
      <c r="AE821" s="6" t="n">
        <v>-0.667022844752626</v>
      </c>
      <c r="AF821" s="6" t="n">
        <v>-3.30224178453689</v>
      </c>
      <c r="AG821" s="6" t="n">
        <v>-2.61212183111669</v>
      </c>
      <c r="AH821" s="6" t="n">
        <v>-0.0807302294931788</v>
      </c>
      <c r="AI821" s="6" t="n">
        <v>1.48307303870257</v>
      </c>
      <c r="AJ821" s="6" t="n">
        <v>57.7841774969262</v>
      </c>
      <c r="AK821" s="6" t="n">
        <v>0.147964107936656</v>
      </c>
      <c r="AL821" s="6" t="n">
        <v>1.09920251391227</v>
      </c>
      <c r="AN821" s="6" t="n">
        <v>1.26958165211337</v>
      </c>
      <c r="AO821" s="6" t="n">
        <v>1.26983223406531</v>
      </c>
      <c r="AP821" s="6" t="n">
        <v>0.129472588361886</v>
      </c>
      <c r="AQ821" s="6" t="n">
        <v>0</v>
      </c>
      <c r="AR821" s="6" t="n">
        <v>0</v>
      </c>
    </row>
    <row r="822" customFormat="false" ht="15" hidden="false" customHeight="false" outlineLevel="0" collapsed="false">
      <c r="D822" s="0" t="s">
        <v>948</v>
      </c>
      <c r="J822" s="6" t="n">
        <v>-2.02062589092599</v>
      </c>
      <c r="K822" s="6" t="n">
        <v>1.98799506883691</v>
      </c>
      <c r="L822" s="6" t="n">
        <v>2.27773246446035</v>
      </c>
      <c r="M822" s="6" t="n">
        <v>0.302544078150352</v>
      </c>
      <c r="N822" s="6" t="n">
        <v>-4.66081773099096</v>
      </c>
      <c r="O822" s="6" t="n">
        <v>-0.445912186177809</v>
      </c>
      <c r="P822" s="6" t="n">
        <v>-0.899915235569575</v>
      </c>
      <c r="Q822" s="6" t="n">
        <v>0.430317281768094</v>
      </c>
      <c r="R822" s="6" t="n">
        <v>2.56037676259918</v>
      </c>
      <c r="S822" s="6" t="n">
        <v>1.60396837739314</v>
      </c>
      <c r="T822" s="6" t="n">
        <v>1.73535066465864</v>
      </c>
      <c r="U822" s="6" t="n">
        <v>0.19822514201938</v>
      </c>
      <c r="V822" s="6" t="n">
        <v>0.487256455159316</v>
      </c>
      <c r="W822" s="6" t="n">
        <v>-0.392759887435227</v>
      </c>
      <c r="X822" s="6" t="n">
        <v>0.0292379843071193</v>
      </c>
      <c r="Y822" s="6" t="n">
        <v>3.51062353404018</v>
      </c>
      <c r="Z822" s="6" t="n">
        <v>2.3495816009469</v>
      </c>
      <c r="AA822" s="6" t="n">
        <v>-2.48871905797651</v>
      </c>
      <c r="AB822" s="6" t="n">
        <v>-1.75979019880435</v>
      </c>
      <c r="AC822" s="6" t="n">
        <v>-0.79288594267609</v>
      </c>
      <c r="AD822" s="6" t="n">
        <v>-0.271507227046205</v>
      </c>
      <c r="AE822" s="6" t="n">
        <v>0.968073774356426</v>
      </c>
      <c r="AF822" s="6" t="n">
        <v>-2.08564816598629</v>
      </c>
      <c r="AG822" s="6" t="n">
        <v>-3.49109795573582</v>
      </c>
      <c r="AH822" s="6" t="n">
        <v>-2.84913707910879</v>
      </c>
      <c r="AI822" s="6" t="n">
        <v>2.5002516051552</v>
      </c>
      <c r="AJ822" s="6" t="n">
        <v>71.7387127445484</v>
      </c>
      <c r="AK822" s="6" t="n">
        <v>0.21654118207564</v>
      </c>
      <c r="AL822" s="6" t="n">
        <v>1.0143538461506</v>
      </c>
      <c r="AN822" s="6" t="n">
        <v>1.30480889403243</v>
      </c>
      <c r="AO822" s="6" t="n">
        <v>1.30494458689296</v>
      </c>
      <c r="AP822" s="6" t="n">
        <v>0.135960171116574</v>
      </c>
      <c r="AQ822" s="6" t="n">
        <v>0</v>
      </c>
      <c r="AR822" s="6" t="n">
        <v>0</v>
      </c>
    </row>
    <row r="823" customFormat="false" ht="15" hidden="false" customHeight="false" outlineLevel="0" collapsed="false">
      <c r="D823" s="0" t="s">
        <v>949</v>
      </c>
      <c r="J823" s="6" t="n">
        <v>2.30649231153996</v>
      </c>
      <c r="K823" s="6" t="n">
        <v>3.8055034345993</v>
      </c>
      <c r="L823" s="6" t="n">
        <v>4.04454520406769</v>
      </c>
      <c r="M823" s="6" t="n">
        <v>-2.3402051210917</v>
      </c>
      <c r="N823" s="6" t="n">
        <v>-2.60213258379</v>
      </c>
      <c r="O823" s="6" t="n">
        <v>0.0331181248054769</v>
      </c>
      <c r="P823" s="6" t="n">
        <v>3.32650398231614</v>
      </c>
      <c r="Q823" s="6" t="n">
        <v>-1.18414654145264</v>
      </c>
      <c r="R823" s="6" t="n">
        <v>2.72347143187885</v>
      </c>
      <c r="S823" s="6" t="n">
        <v>0.252517943297442</v>
      </c>
      <c r="T823" s="6" t="n">
        <v>-3.50050424020366</v>
      </c>
      <c r="U823" s="6" t="n">
        <v>0.977556918762374</v>
      </c>
      <c r="V823" s="6" t="n">
        <v>-0.0876848892381681</v>
      </c>
      <c r="W823" s="6" t="n">
        <v>0.0457789797210277</v>
      </c>
      <c r="X823" s="6" t="n">
        <v>3.16838282469977</v>
      </c>
      <c r="Y823" s="6" t="n">
        <v>-1.00476337313636</v>
      </c>
      <c r="Z823" s="6" t="n">
        <v>-0.0214005811829269</v>
      </c>
      <c r="AA823" s="6" t="n">
        <v>-0.332331202729745</v>
      </c>
      <c r="AB823" s="6" t="n">
        <v>-0.860868201930135</v>
      </c>
      <c r="AC823" s="6" t="n">
        <v>-1.40007266673457</v>
      </c>
      <c r="AD823" s="6" t="n">
        <v>-2.99612463012895</v>
      </c>
      <c r="AE823" s="6" t="n">
        <v>-0.262657043624325</v>
      </c>
      <c r="AF823" s="6" t="n">
        <v>-0.946188926464237</v>
      </c>
      <c r="AG823" s="6" t="n">
        <v>0.561607316994571</v>
      </c>
      <c r="AH823" s="6" t="n">
        <v>0.181330418290334</v>
      </c>
      <c r="AI823" s="6" t="n">
        <v>0.799181424881879</v>
      </c>
      <c r="AJ823" s="6" t="n">
        <v>77.0403216579083</v>
      </c>
      <c r="AK823" s="6" t="n">
        <v>0.0886464665348887</v>
      </c>
      <c r="AL823" s="6" t="n">
        <v>1.00548573090937</v>
      </c>
      <c r="AN823" s="6" t="n">
        <v>1.31689181433408</v>
      </c>
      <c r="AO823" s="6" t="n">
        <v>1.31689181433408</v>
      </c>
      <c r="AP823" s="6" t="n">
        <v>0.140847749776599</v>
      </c>
      <c r="AQ823" s="6" t="n">
        <v>0</v>
      </c>
      <c r="AR823" s="6" t="n">
        <v>0</v>
      </c>
    </row>
    <row r="824" customFormat="false" ht="15" hidden="false" customHeight="false" outlineLevel="0" collapsed="false">
      <c r="D824" s="0" t="s">
        <v>950</v>
      </c>
      <c r="J824" s="6" t="n">
        <v>-0.648851673957454</v>
      </c>
      <c r="K824" s="6" t="n">
        <v>-3.49657909854683</v>
      </c>
      <c r="L824" s="6" t="n">
        <v>-0.83802627584543</v>
      </c>
      <c r="M824" s="6" t="n">
        <v>2.51309958700379</v>
      </c>
      <c r="N824" s="6" t="n">
        <v>-3.32633853704612</v>
      </c>
      <c r="O824" s="6" t="n">
        <v>-0.537187706688411</v>
      </c>
      <c r="P824" s="6" t="n">
        <v>-0.529685760345905</v>
      </c>
      <c r="Q824" s="6" t="n">
        <v>-4.24370232808391</v>
      </c>
      <c r="R824" s="6" t="n">
        <v>-0.745728757855162</v>
      </c>
      <c r="S824" s="6" t="n">
        <v>3.50983183921644</v>
      </c>
      <c r="T824" s="6" t="n">
        <v>1.65893872590266</v>
      </c>
      <c r="U824" s="6" t="n">
        <v>1.42790662044662</v>
      </c>
      <c r="V824" s="6" t="n">
        <v>1.22319313998185</v>
      </c>
      <c r="W824" s="6" t="n">
        <v>4.37890259510055</v>
      </c>
      <c r="X824" s="6" t="n">
        <v>-3.55251092058672</v>
      </c>
      <c r="Y824" s="6" t="n">
        <v>1.50454275748294</v>
      </c>
      <c r="Z824" s="6" t="n">
        <v>1.49424511432954</v>
      </c>
      <c r="AA824" s="6" t="n">
        <v>-3.06909008691983</v>
      </c>
      <c r="AB824" s="6" t="n">
        <v>2.52811615737232</v>
      </c>
      <c r="AC824" s="6" t="n">
        <v>2.39735965770106</v>
      </c>
      <c r="AD824" s="6" t="n">
        <v>0.0560997565741548</v>
      </c>
      <c r="AE824" s="6" t="n">
        <v>2.92127423209853</v>
      </c>
      <c r="AF824" s="6" t="n">
        <v>0.242332706769941</v>
      </c>
      <c r="AG824" s="6" t="n">
        <v>4.08982588638614</v>
      </c>
      <c r="AH824" s="6" t="n">
        <v>-2.26964995078688</v>
      </c>
      <c r="AI824" s="6" t="n">
        <v>-3.4645502333471</v>
      </c>
      <c r="AJ824" s="6" t="n">
        <v>69.5980259693729</v>
      </c>
      <c r="AK824" s="6" t="n">
        <v>0.114825974827373</v>
      </c>
      <c r="AL824" s="6" t="n">
        <v>1.09589716010493</v>
      </c>
      <c r="AN824" s="6" t="n">
        <v>1.27987221343228</v>
      </c>
      <c r="AO824" s="6" t="n">
        <v>1.28073879216915</v>
      </c>
      <c r="AP824" s="6" t="n">
        <v>0.130577788820254</v>
      </c>
      <c r="AQ824" s="6" t="n">
        <v>0</v>
      </c>
      <c r="AR824" s="6" t="n">
        <v>0</v>
      </c>
    </row>
    <row r="825" customFormat="false" ht="15" hidden="false" customHeight="false" outlineLevel="0" collapsed="false">
      <c r="D825" s="0" t="s">
        <v>951</v>
      </c>
      <c r="J825" s="6" t="n">
        <v>-0.0054904218128712</v>
      </c>
      <c r="K825" s="6" t="n">
        <v>-0.51668615869493</v>
      </c>
      <c r="L825" s="6" t="n">
        <v>1.70070427055012</v>
      </c>
      <c r="M825" s="6" t="n">
        <v>1.04349598429877</v>
      </c>
      <c r="N825" s="6" t="n">
        <v>-0.595750553149767</v>
      </c>
      <c r="O825" s="6" t="n">
        <v>-5.21461237894633</v>
      </c>
      <c r="P825" s="6" t="n">
        <v>1.92647834703698</v>
      </c>
      <c r="Q825" s="6" t="n">
        <v>0.955576371458506</v>
      </c>
      <c r="R825" s="6" t="n">
        <v>0.410199901482599</v>
      </c>
      <c r="S825" s="6" t="n">
        <v>1.09986591175651</v>
      </c>
      <c r="T825" s="6" t="n">
        <v>-2.98878637898703</v>
      </c>
      <c r="U825" s="6" t="n">
        <v>1.63078139366801</v>
      </c>
      <c r="V825" s="6" t="n">
        <v>-2.36478658148642</v>
      </c>
      <c r="W825" s="6" t="n">
        <v>4.97094537579858</v>
      </c>
      <c r="X825" s="6" t="n">
        <v>-0.425567834728506</v>
      </c>
      <c r="Y825" s="6" t="n">
        <v>0.752361201553125</v>
      </c>
      <c r="Z825" s="6" t="n">
        <v>-5.120198334453</v>
      </c>
      <c r="AA825" s="6" t="n">
        <v>-0.694849299604635</v>
      </c>
      <c r="AB825" s="6" t="n">
        <v>-0.768262825630038</v>
      </c>
      <c r="AC825" s="6" t="n">
        <v>-1.37993024889983</v>
      </c>
      <c r="AD825" s="6" t="n">
        <v>3.48557735776094</v>
      </c>
      <c r="AE825" s="6" t="n">
        <v>0.842581346267599</v>
      </c>
      <c r="AF825" s="6" t="n">
        <v>0.325930340031535</v>
      </c>
      <c r="AG825" s="6" t="n">
        <v>-0.238371798953566</v>
      </c>
      <c r="AH825" s="6" t="n">
        <v>0.0186071922039997</v>
      </c>
      <c r="AI825" s="6" t="n">
        <v>0.399284100985833</v>
      </c>
      <c r="AJ825" s="6" t="n">
        <v>75.1958994546714</v>
      </c>
      <c r="AK825" s="6" t="n">
        <v>0.0726359326489828</v>
      </c>
      <c r="AL825" s="6" t="n">
        <v>1.09519369251818</v>
      </c>
      <c r="AN825" s="6" t="n">
        <v>1.26097239546716</v>
      </c>
      <c r="AO825" s="6" t="n">
        <v>1.2703285684824</v>
      </c>
      <c r="AP825" s="6" t="n">
        <v>0.132290325270006</v>
      </c>
      <c r="AQ825" s="6" t="n">
        <v>0</v>
      </c>
      <c r="AR825" s="6" t="n">
        <v>0</v>
      </c>
    </row>
    <row r="826" customFormat="false" ht="15" hidden="false" customHeight="false" outlineLevel="0" collapsed="false">
      <c r="D826" s="0" t="s">
        <v>952</v>
      </c>
      <c r="J826" s="6" t="n">
        <v>0.603425852203217</v>
      </c>
      <c r="K826" s="6" t="n">
        <v>0.729264774471838</v>
      </c>
      <c r="L826" s="6" t="n">
        <v>-3.02584592035928</v>
      </c>
      <c r="M826" s="6" t="n">
        <v>-2.70633056026106</v>
      </c>
      <c r="N826" s="6" t="n">
        <v>-0.503353254633163</v>
      </c>
      <c r="O826" s="6" t="n">
        <v>0.697406265557869</v>
      </c>
      <c r="P826" s="6" t="n">
        <v>-0.973686788309601</v>
      </c>
      <c r="Q826" s="6" t="n">
        <v>-1.56383364775656</v>
      </c>
      <c r="R826" s="6" t="n">
        <v>-0.880702697747008</v>
      </c>
      <c r="S826" s="6" t="n">
        <v>0.533112286757343</v>
      </c>
      <c r="T826" s="6" t="n">
        <v>0.327789737738041</v>
      </c>
      <c r="U826" s="6" t="n">
        <v>0.558912630232648</v>
      </c>
      <c r="V826" s="6" t="n">
        <v>-0.812394620660742</v>
      </c>
      <c r="W826" s="6" t="n">
        <v>-1.40519966039065</v>
      </c>
      <c r="X826" s="6" t="n">
        <v>-0.920453793874514</v>
      </c>
      <c r="Y826" s="6" t="n">
        <v>0.280507643071946</v>
      </c>
      <c r="Z826" s="6" t="n">
        <v>2.83336718822165</v>
      </c>
      <c r="AA826" s="6" t="n">
        <v>1.39600779258188</v>
      </c>
      <c r="AB826" s="6" t="n">
        <v>1.19100000822642</v>
      </c>
      <c r="AC826" s="6" t="n">
        <v>-2.0648324736642</v>
      </c>
      <c r="AD826" s="6" t="n">
        <v>1.89408185559502</v>
      </c>
      <c r="AE826" s="6" t="n">
        <v>1.40613125169375</v>
      </c>
      <c r="AF826" s="6" t="n">
        <v>1.70685233986771</v>
      </c>
      <c r="AG826" s="6" t="n">
        <v>-1.28738548284349</v>
      </c>
      <c r="AH826" s="6" t="n">
        <v>-0.331561516190875</v>
      </c>
      <c r="AI826" s="6" t="n">
        <v>-2.58903545504052</v>
      </c>
      <c r="AJ826" s="6" t="n">
        <v>79.789353279988</v>
      </c>
      <c r="AK826" s="6" t="n">
        <v>0.168045418414286</v>
      </c>
      <c r="AL826" s="6" t="n">
        <v>1.00855124953232</v>
      </c>
      <c r="AN826" s="6" t="n">
        <v>1.3162374610562</v>
      </c>
      <c r="AO826" s="6" t="n">
        <v>1.3162374610562</v>
      </c>
      <c r="AP826" s="6" t="n">
        <v>0.138496460181636</v>
      </c>
      <c r="AQ826" s="6" t="n">
        <v>0</v>
      </c>
      <c r="AR826" s="6" t="n">
        <v>0</v>
      </c>
    </row>
    <row r="827" customFormat="false" ht="15" hidden="false" customHeight="false" outlineLevel="0" collapsed="false">
      <c r="D827" s="0" t="s">
        <v>953</v>
      </c>
      <c r="J827" s="6" t="n">
        <v>0.620817673851331</v>
      </c>
      <c r="K827" s="6" t="n">
        <v>2.53648831519626</v>
      </c>
      <c r="L827" s="6" t="n">
        <v>-1.1370638867968</v>
      </c>
      <c r="M827" s="6" t="n">
        <v>-1.60197942937723</v>
      </c>
      <c r="N827" s="6" t="n">
        <v>-0.491095681907264</v>
      </c>
      <c r="O827" s="6" t="n">
        <v>0.71183833630449</v>
      </c>
      <c r="P827" s="6" t="n">
        <v>2.15466384943533</v>
      </c>
      <c r="Q827" s="6" t="n">
        <v>-0.058303438906813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-0.225726558501459</v>
      </c>
      <c r="V827" s="6" t="n">
        <v>-1.58455281522522</v>
      </c>
      <c r="W827" s="6" t="n">
        <v>1.79854000771571</v>
      </c>
      <c r="X827" s="6" t="n">
        <v>0.606058934091047</v>
      </c>
      <c r="Y827" s="6" t="n">
        <v>-0.0656828044676341</v>
      </c>
      <c r="Z827" s="6" t="n">
        <v>-2.48996100246586</v>
      </c>
      <c r="AA827" s="6" t="n">
        <v>1.87722546749067</v>
      </c>
      <c r="AB827" s="6" t="n">
        <v>-0.733685048637468</v>
      </c>
      <c r="AC827" s="6" t="n">
        <v>5</v>
      </c>
      <c r="AD827" s="6" t="n">
        <v>-3.47260097646624</v>
      </c>
      <c r="AE827" s="6" t="n">
        <v>-2.38769352425434</v>
      </c>
      <c r="AF827" s="6" t="n">
        <v>-1.65152660416129</v>
      </c>
      <c r="AG827" s="6" t="n">
        <v>-2.34185805030773</v>
      </c>
      <c r="AH827" s="6" t="n">
        <v>-0.0866389189049489</v>
      </c>
      <c r="AI827" s="6" t="n">
        <v>-1.20591438616892</v>
      </c>
      <c r="AJ827" s="6" t="n">
        <v>72.0826462000614</v>
      </c>
      <c r="AK827" s="6" t="n">
        <v>0.119309516734435</v>
      </c>
      <c r="AL827" s="6" t="n">
        <v>1.07123285558438</v>
      </c>
      <c r="AN827" s="6" t="n">
        <v>1.28560659759368</v>
      </c>
      <c r="AO827" s="6" t="n">
        <v>1.28667530525017</v>
      </c>
      <c r="AP827" s="6" t="n">
        <v>0.132323124753702</v>
      </c>
      <c r="AQ827" s="6" t="n">
        <v>0</v>
      </c>
      <c r="AR827" s="6" t="n">
        <v>0</v>
      </c>
    </row>
    <row r="828" customFormat="false" ht="15" hidden="false" customHeight="false" outlineLevel="0" collapsed="false">
      <c r="D828" s="0" t="s">
        <v>954</v>
      </c>
      <c r="J828" s="6" t="n">
        <v>-0.114523892701016</v>
      </c>
      <c r="K828" s="6" t="n">
        <v>-0.85938244466664</v>
      </c>
      <c r="L828" s="6" t="n">
        <v>-0.022008145620961</v>
      </c>
      <c r="M828" s="6" t="n">
        <v>-0.522231799951274</v>
      </c>
      <c r="N828" s="6" t="n">
        <v>3.35339387929306</v>
      </c>
      <c r="O828" s="6" t="n">
        <v>1.09338008320503</v>
      </c>
      <c r="P828" s="6" t="n">
        <v>-3.22158105866219</v>
      </c>
      <c r="Q828" s="6" t="n">
        <v>3.28562870928793</v>
      </c>
      <c r="R828" s="6" t="n">
        <v>0.320779079279256</v>
      </c>
      <c r="S828" s="6" t="n">
        <v>-5.76508365854354</v>
      </c>
      <c r="T828" s="6" t="n">
        <v>0.392851569866684</v>
      </c>
      <c r="U828" s="6" t="n">
        <v>-1.72382499421977</v>
      </c>
      <c r="V828" s="6" t="n">
        <v>1.20513168083863</v>
      </c>
      <c r="W828" s="6" t="n">
        <v>0.737144751793916</v>
      </c>
      <c r="X828" s="6" t="n">
        <v>3.49042659097682</v>
      </c>
      <c r="Y828" s="6" t="n">
        <v>4.53242969442779</v>
      </c>
      <c r="Z828" s="6" t="n">
        <v>-1.51698187536306</v>
      </c>
      <c r="AA828" s="6" t="n">
        <v>-0.759223551464303</v>
      </c>
      <c r="AB828" s="6" t="n">
        <v>1.0985416015396</v>
      </c>
      <c r="AC828" s="6" t="n">
        <v>3.6232681414858</v>
      </c>
      <c r="AD828" s="6" t="n">
        <v>-0.18353978230505</v>
      </c>
      <c r="AE828" s="6" t="n">
        <v>1.03892984436951</v>
      </c>
      <c r="AF828" s="6" t="n">
        <v>-3.67268560123484</v>
      </c>
      <c r="AG828" s="6" t="n">
        <v>5</v>
      </c>
      <c r="AH828" s="6" t="n">
        <v>0.950591937434573</v>
      </c>
      <c r="AI828" s="6" t="n">
        <v>-1.40606291714181</v>
      </c>
      <c r="AJ828" s="6" t="n">
        <v>77.2369486649663</v>
      </c>
      <c r="AK828" s="6" t="n">
        <v>0.124243392950644</v>
      </c>
      <c r="AL828" s="6" t="n">
        <v>1.00625456551505</v>
      </c>
      <c r="AN828" s="6" t="n">
        <v>1.31633963706305</v>
      </c>
      <c r="AO828" s="6" t="n">
        <v>1.31633963706305</v>
      </c>
      <c r="AP828" s="6" t="n">
        <v>0.140183898129713</v>
      </c>
      <c r="AQ828" s="6" t="n">
        <v>0</v>
      </c>
      <c r="AR828" s="6" t="n">
        <v>0</v>
      </c>
    </row>
    <row r="829" customFormat="false" ht="15" hidden="false" customHeight="false" outlineLevel="0" collapsed="false">
      <c r="D829" s="0" t="s">
        <v>955</v>
      </c>
      <c r="J829" s="6" t="n">
        <v>-0.4808172144736</v>
      </c>
      <c r="K829" s="6" t="n">
        <v>-1.2920620708149</v>
      </c>
      <c r="L829" s="6" t="n">
        <v>2.67258472907672</v>
      </c>
      <c r="M829" s="6" t="n">
        <v>1.08255608810916</v>
      </c>
      <c r="N829" s="6" t="n">
        <v>-1.18572095944481</v>
      </c>
      <c r="O829" s="6" t="n">
        <v>0.987330840398054</v>
      </c>
      <c r="P829" s="6" t="n">
        <v>-1.40199483531009</v>
      </c>
      <c r="Q829" s="6" t="n">
        <v>-3.29880607763572</v>
      </c>
      <c r="R829" s="6" t="n">
        <v>-0.471063817631322</v>
      </c>
      <c r="S829" s="6" t="n">
        <v>-1.3472956590229</v>
      </c>
      <c r="T829" s="6" t="n">
        <v>3.23985306498748</v>
      </c>
      <c r="U829" s="6" t="n">
        <v>-2.28957415716736</v>
      </c>
      <c r="V829" s="6" t="n">
        <v>-2.46219246609283</v>
      </c>
      <c r="W829" s="6" t="n">
        <v>3.02126141770847</v>
      </c>
      <c r="X829" s="6" t="n">
        <v>0.233445906081337</v>
      </c>
      <c r="Y829" s="6" t="n">
        <v>3.92517845755684</v>
      </c>
      <c r="Z829" s="6" t="n">
        <v>-1.49717466751709</v>
      </c>
      <c r="AA829" s="6" t="n">
        <v>-1.18249878441999</v>
      </c>
      <c r="AB829" s="6" t="n">
        <v>0.633628696484612</v>
      </c>
      <c r="AC829" s="6" t="n">
        <v>-0.505460346268667</v>
      </c>
      <c r="AD829" s="6" t="n">
        <v>-2.00316619507707</v>
      </c>
      <c r="AE829" s="6" t="n">
        <v>3.99293664182932</v>
      </c>
      <c r="AF829" s="6" t="n">
        <v>-3.12418605203342</v>
      </c>
      <c r="AG829" s="6" t="n">
        <v>-3.19342325683037</v>
      </c>
      <c r="AH829" s="6" t="n">
        <v>4.07369280981646</v>
      </c>
      <c r="AI829" s="6" t="n">
        <v>-1.68720476089946</v>
      </c>
      <c r="AJ829" s="6" t="n">
        <v>76.7707250564633</v>
      </c>
      <c r="AK829" s="6" t="n">
        <v>0.136097959120432</v>
      </c>
      <c r="AL829" s="6" t="n">
        <v>1.038884060617</v>
      </c>
      <c r="AN829" s="6" t="n">
        <v>1.30132309653425</v>
      </c>
      <c r="AO829" s="6" t="n">
        <v>1.30158431016565</v>
      </c>
      <c r="AP829" s="6" t="n">
        <v>0.134806003170919</v>
      </c>
      <c r="AQ829" s="6" t="n">
        <v>0</v>
      </c>
      <c r="AR829" s="6" t="n">
        <v>0</v>
      </c>
    </row>
    <row r="830" customFormat="false" ht="15" hidden="false" customHeight="false" outlineLevel="0" collapsed="false">
      <c r="D830" s="0" t="s">
        <v>956</v>
      </c>
      <c r="J830" s="6" t="n">
        <v>-2.15870276539992</v>
      </c>
      <c r="K830" s="6" t="n">
        <v>1.2464243667312</v>
      </c>
      <c r="L830" s="6" t="n">
        <v>0.395264070792171</v>
      </c>
      <c r="M830" s="6" t="n">
        <v>-2.38649159545016</v>
      </c>
      <c r="N830" s="6" t="n">
        <v>0.0052856028442254</v>
      </c>
      <c r="O830" s="6" t="n">
        <v>-0.0973178807518033</v>
      </c>
      <c r="P830" s="6" t="n">
        <v>0.940603185943851</v>
      </c>
      <c r="Q830" s="6" t="n">
        <v>-0.909656918532273</v>
      </c>
      <c r="R830" s="6" t="n">
        <v>2.53863723530342</v>
      </c>
      <c r="S830" s="6" t="n">
        <v>1.59466368891601</v>
      </c>
      <c r="T830" s="6" t="n">
        <v>-0.354986218019002</v>
      </c>
      <c r="U830" s="6" t="n">
        <v>1.60851282457564</v>
      </c>
      <c r="V830" s="6" t="n">
        <v>0.470368596132629</v>
      </c>
      <c r="W830" s="6" t="n">
        <v>1.04639416486725</v>
      </c>
      <c r="X830" s="6" t="n">
        <v>-2.14362530287568</v>
      </c>
      <c r="Y830" s="6" t="n">
        <v>-0.0794008270585218</v>
      </c>
      <c r="Z830" s="6" t="n">
        <v>1.91087098562202</v>
      </c>
      <c r="AA830" s="6" t="n">
        <v>2.66573358670623</v>
      </c>
      <c r="AB830" s="6" t="n">
        <v>0.781672458921612</v>
      </c>
      <c r="AC830" s="6" t="n">
        <v>0.893370982808982</v>
      </c>
      <c r="AD830" s="6" t="n">
        <v>2.16146595288501</v>
      </c>
      <c r="AE830" s="6" t="n">
        <v>-1.6091821186302</v>
      </c>
      <c r="AF830" s="6" t="n">
        <v>0.812344846894199</v>
      </c>
      <c r="AG830" s="6" t="n">
        <v>-0.318733701330809</v>
      </c>
      <c r="AH830" s="6" t="n">
        <v>-0.695122941321</v>
      </c>
      <c r="AI830" s="6" t="n">
        <v>-1.06774266621138</v>
      </c>
      <c r="AJ830" s="6" t="n">
        <v>70.9706544020722</v>
      </c>
      <c r="AK830" s="6" t="n">
        <v>0.150326298384754</v>
      </c>
      <c r="AL830" s="6" t="n">
        <v>1.08450170875654</v>
      </c>
      <c r="AN830" s="6" t="n">
        <v>1.27828974094336</v>
      </c>
      <c r="AO830" s="6" t="n">
        <v>1.27870900947401</v>
      </c>
      <c r="AP830" s="6" t="n">
        <v>0.130482645618645</v>
      </c>
      <c r="AQ830" s="6" t="n">
        <v>0</v>
      </c>
      <c r="AR830" s="6" t="n">
        <v>0</v>
      </c>
    </row>
    <row r="831" customFormat="false" ht="15" hidden="false" customHeight="false" outlineLevel="0" collapsed="false">
      <c r="D831" s="0" t="s">
        <v>957</v>
      </c>
      <c r="J831" s="6" t="n">
        <v>-0.880487229093593</v>
      </c>
      <c r="K831" s="6" t="n">
        <v>0.235085595820791</v>
      </c>
      <c r="L831" s="6" t="n">
        <v>1.30515596425043</v>
      </c>
      <c r="M831" s="6" t="n">
        <v>-0.584070871239931</v>
      </c>
      <c r="N831" s="6" t="n">
        <v>2.03269160064962</v>
      </c>
      <c r="O831" s="6" t="n">
        <v>-2.76536166051708</v>
      </c>
      <c r="P831" s="6" t="n">
        <v>-0.588475352082769</v>
      </c>
      <c r="Q831" s="6" t="n">
        <v>-1.56392991970643</v>
      </c>
      <c r="R831" s="6" t="n">
        <v>-2.07407481980098</v>
      </c>
      <c r="S831" s="6" t="n">
        <v>-1.60967063945961</v>
      </c>
      <c r="T831" s="6" t="n">
        <v>-0.633064802642129</v>
      </c>
      <c r="U831" s="6" t="n">
        <v>-0.489407464642698</v>
      </c>
      <c r="V831" s="6" t="n">
        <v>-3.11047881985332</v>
      </c>
      <c r="W831" s="6" t="n">
        <v>0.675024008732496</v>
      </c>
      <c r="X831" s="6" t="n">
        <v>1.50272938808517</v>
      </c>
      <c r="Y831" s="6" t="n">
        <v>1.48972344324377</v>
      </c>
      <c r="Z831" s="6" t="n">
        <v>1.00060202991282</v>
      </c>
      <c r="AA831" s="6" t="n">
        <v>1.77743068584605</v>
      </c>
      <c r="AB831" s="6" t="n">
        <v>2.36331363156854</v>
      </c>
      <c r="AC831" s="6" t="n">
        <v>-1.7874535560924</v>
      </c>
      <c r="AD831" s="6" t="n">
        <v>-2.08184434333705</v>
      </c>
      <c r="AE831" s="6" t="n">
        <v>-1.3537380097786</v>
      </c>
      <c r="AF831" s="6" t="n">
        <v>0.0326756651988941</v>
      </c>
      <c r="AG831" s="6" t="n">
        <v>-3.45250326183661</v>
      </c>
      <c r="AH831" s="6" t="n">
        <v>0.352859636170276</v>
      </c>
      <c r="AI831" s="6" t="n">
        <v>1.36831234586588</v>
      </c>
      <c r="AJ831" s="6" t="n">
        <v>64.6879850743</v>
      </c>
      <c r="AK831" s="6" t="n">
        <v>0.177308036741557</v>
      </c>
      <c r="AL831" s="6" t="n">
        <v>1.02457109976701</v>
      </c>
      <c r="AN831" s="6" t="n">
        <v>1.29987067414915</v>
      </c>
      <c r="AO831" s="6" t="n">
        <v>1.30182741669488</v>
      </c>
      <c r="AP831" s="6" t="n">
        <v>0.134762538721041</v>
      </c>
      <c r="AQ831" s="6" t="n">
        <v>0</v>
      </c>
      <c r="AR831" s="6" t="n">
        <v>0</v>
      </c>
    </row>
    <row r="832" customFormat="false" ht="15" hidden="false" customHeight="false" outlineLevel="0" collapsed="false">
      <c r="D832" s="0" t="s">
        <v>958</v>
      </c>
      <c r="J832" s="6" t="n">
        <v>-0.228652050021884</v>
      </c>
      <c r="K832" s="6" t="n">
        <v>-1.25166967096177</v>
      </c>
      <c r="L832" s="6" t="n">
        <v>-1.35324878473571</v>
      </c>
      <c r="M832" s="6" t="n">
        <v>5</v>
      </c>
      <c r="N832" s="6" t="n">
        <v>2.025166139712</v>
      </c>
      <c r="O832" s="6" t="n">
        <v>0.4612367972905</v>
      </c>
      <c r="P832" s="6" t="n">
        <v>1.41719077649082</v>
      </c>
      <c r="Q832" s="6" t="n">
        <v>-2.78806783313834</v>
      </c>
      <c r="R832" s="6" t="n">
        <v>-1.36747694676657</v>
      </c>
      <c r="S832" s="6" t="n">
        <v>0.234143351232116</v>
      </c>
      <c r="T832" s="6" t="n">
        <v>2.49137589160458</v>
      </c>
      <c r="U832" s="6" t="n">
        <v>-0.139217098603458</v>
      </c>
      <c r="V832" s="6" t="n">
        <v>2.48116825526608</v>
      </c>
      <c r="W832" s="6" t="n">
        <v>0.044199508000829</v>
      </c>
      <c r="X832" s="6" t="n">
        <v>1.55039987274185</v>
      </c>
      <c r="Y832" s="6" t="n">
        <v>-0.796306517927597</v>
      </c>
      <c r="Z832" s="6" t="n">
        <v>3.28077242346067</v>
      </c>
      <c r="AA832" s="6" t="n">
        <v>1.14576013720881</v>
      </c>
      <c r="AB832" s="6" t="n">
        <v>-1.56180593017374</v>
      </c>
      <c r="AC832" s="6" t="n">
        <v>0.248188528303789</v>
      </c>
      <c r="AD832" s="6" t="n">
        <v>3.13379641682669</v>
      </c>
      <c r="AE832" s="6" t="n">
        <v>3.26167077790578</v>
      </c>
      <c r="AF832" s="6" t="n">
        <v>-2.63415002523575</v>
      </c>
      <c r="AG832" s="6" t="n">
        <v>2.82629808221566</v>
      </c>
      <c r="AH832" s="6" t="n">
        <v>-0.245114096314849</v>
      </c>
      <c r="AI832" s="6" t="n">
        <v>1.24506207145836</v>
      </c>
      <c r="AJ832" s="6" t="n">
        <v>76.8496495666415</v>
      </c>
      <c r="AK832" s="6" t="n">
        <v>0.13087713875996</v>
      </c>
      <c r="AL832" s="6" t="n">
        <v>1.03756820808028</v>
      </c>
      <c r="AN832" s="6" t="n">
        <v>1.30240946423963</v>
      </c>
      <c r="AO832" s="6" t="n">
        <v>1.30293813062138</v>
      </c>
      <c r="AP832" s="6" t="n">
        <v>0.13513463510578</v>
      </c>
      <c r="AQ832" s="6" t="n">
        <v>0</v>
      </c>
      <c r="AR832" s="6" t="n">
        <v>0</v>
      </c>
    </row>
    <row r="833" customFormat="false" ht="15" hidden="false" customHeight="false" outlineLevel="0" collapsed="false">
      <c r="D833" s="0" t="s">
        <v>959</v>
      </c>
      <c r="J833" s="6" t="n">
        <v>0.062389277227908</v>
      </c>
      <c r="K833" s="6" t="n">
        <v>4.25569582120766</v>
      </c>
      <c r="L833" s="6" t="n">
        <v>0.864280196767152</v>
      </c>
      <c r="M833" s="6" t="n">
        <v>-0.946993743507568</v>
      </c>
      <c r="N833" s="6" t="n">
        <v>-2.28522840992628</v>
      </c>
      <c r="O833" s="6" t="n">
        <v>0.839534753935527</v>
      </c>
      <c r="P833" s="6" t="n">
        <v>3.22324055270699</v>
      </c>
      <c r="Q833" s="6" t="n">
        <v>-2.76325693671811</v>
      </c>
      <c r="R833" s="6" t="n">
        <v>-0.218448623489714</v>
      </c>
      <c r="S833" s="6" t="n">
        <v>2.23374833486707</v>
      </c>
      <c r="T833" s="6" t="n">
        <v>-0.526838589770506</v>
      </c>
      <c r="U833" s="6" t="n">
        <v>-0.0622485268025185</v>
      </c>
      <c r="V833" s="6" t="n">
        <v>-0.356951085927587</v>
      </c>
      <c r="W833" s="6" t="n">
        <v>-2.86955477998213</v>
      </c>
      <c r="X833" s="6" t="n">
        <v>-3.07174153118056</v>
      </c>
      <c r="Y833" s="6" t="n">
        <v>0.805212725511121</v>
      </c>
      <c r="Z833" s="6" t="n">
        <v>3.71546488032194</v>
      </c>
      <c r="AA833" s="6" t="n">
        <v>-1.64806402251415</v>
      </c>
      <c r="AB833" s="6" t="n">
        <v>1.1285334539034</v>
      </c>
      <c r="AC833" s="6" t="n">
        <v>-0.61822319403093</v>
      </c>
      <c r="AD833" s="6" t="n">
        <v>1.04327283564968</v>
      </c>
      <c r="AE833" s="6" t="n">
        <v>0.902145053745248</v>
      </c>
      <c r="AF833" s="6" t="n">
        <v>1.65468758058641</v>
      </c>
      <c r="AG833" s="6" t="n">
        <v>-2.50368546744067</v>
      </c>
      <c r="AH833" s="6" t="n">
        <v>0.431387372188206</v>
      </c>
      <c r="AI833" s="6" t="n">
        <v>2.86844012050836</v>
      </c>
      <c r="AJ833" s="6" t="n">
        <v>73.2524327170027</v>
      </c>
      <c r="AK833" s="6" t="n">
        <v>0.133460002585799</v>
      </c>
      <c r="AL833" s="6" t="n">
        <v>1.03855010911989</v>
      </c>
      <c r="AN833" s="6" t="n">
        <v>1.29840557482761</v>
      </c>
      <c r="AO833" s="6" t="n">
        <v>1.29930135164992</v>
      </c>
      <c r="AP833" s="6" t="n">
        <v>0.134706059066587</v>
      </c>
      <c r="AQ833" s="6" t="n">
        <v>0</v>
      </c>
      <c r="AR833" s="6" t="n">
        <v>0</v>
      </c>
    </row>
    <row r="834" customFormat="false" ht="15" hidden="false" customHeight="false" outlineLevel="0" collapsed="false">
      <c r="D834" s="0" t="s">
        <v>960</v>
      </c>
      <c r="J834" s="6" t="n">
        <v>-1.52417203057438</v>
      </c>
      <c r="K834" s="6" t="n">
        <v>1.38209613300125</v>
      </c>
      <c r="L834" s="6" t="n">
        <v>-0.687473268458447</v>
      </c>
      <c r="M834" s="6" t="n">
        <v>0.345357839790047</v>
      </c>
      <c r="N834" s="6" t="n">
        <v>0.175678205578844</v>
      </c>
      <c r="O834" s="6" t="n">
        <v>2.63652287920153</v>
      </c>
      <c r="P834" s="6" t="n">
        <v>-0.303292003774319</v>
      </c>
      <c r="Q834" s="6" t="n">
        <v>-2.83695589894077</v>
      </c>
      <c r="R834" s="6" t="n">
        <v>0.474078537087856</v>
      </c>
      <c r="S834" s="6" t="n">
        <v>-1.63537834366331</v>
      </c>
      <c r="T834" s="6" t="n">
        <v>0.215318676081245</v>
      </c>
      <c r="U834" s="6" t="n">
        <v>0.129739830665517</v>
      </c>
      <c r="V834" s="6" t="n">
        <v>0.189162523894435</v>
      </c>
      <c r="W834" s="6" t="n">
        <v>-0.753052908475935</v>
      </c>
      <c r="X834" s="6" t="n">
        <v>-0.14290999327484</v>
      </c>
      <c r="Y834" s="6" t="n">
        <v>-0.520444164467111</v>
      </c>
      <c r="Z834" s="6" t="n">
        <v>1.28808231515706</v>
      </c>
      <c r="AA834" s="6" t="n">
        <v>-2.53214397750795</v>
      </c>
      <c r="AB834" s="6" t="n">
        <v>1.8827608407717</v>
      </c>
      <c r="AC834" s="6" t="n">
        <v>-1.3059381078835</v>
      </c>
      <c r="AD834" s="6" t="n">
        <v>5</v>
      </c>
      <c r="AE834" s="6" t="n">
        <v>0.586320704655955</v>
      </c>
      <c r="AF834" s="6" t="n">
        <v>0.0988862832303575</v>
      </c>
      <c r="AG834" s="6" t="n">
        <v>-0.0404000360134519</v>
      </c>
      <c r="AH834" s="6" t="n">
        <v>3.48401167855452</v>
      </c>
      <c r="AI834" s="6" t="n">
        <v>-3.5165211808216</v>
      </c>
      <c r="AJ834" s="6" t="n">
        <v>74.4710423934651</v>
      </c>
      <c r="AK834" s="6" t="n">
        <v>0.0962492493709233</v>
      </c>
      <c r="AL834" s="6" t="n">
        <v>1.08348581466339</v>
      </c>
      <c r="AN834" s="6" t="n">
        <v>1.28443361167512</v>
      </c>
      <c r="AO834" s="6" t="n">
        <v>1.28493667734596</v>
      </c>
      <c r="AP834" s="6" t="n">
        <v>0.132097616027844</v>
      </c>
      <c r="AQ834" s="6" t="n">
        <v>0</v>
      </c>
      <c r="AR834" s="6" t="n">
        <v>0</v>
      </c>
    </row>
    <row r="835" customFormat="false" ht="15" hidden="false" customHeight="false" outlineLevel="0" collapsed="false">
      <c r="D835" s="0" t="s">
        <v>961</v>
      </c>
      <c r="J835" s="6" t="n">
        <v>-1.19149462951779</v>
      </c>
      <c r="K835" s="6" t="n">
        <v>0.754265898655727</v>
      </c>
      <c r="L835" s="6" t="n">
        <v>-0.0791355508187773</v>
      </c>
      <c r="M835" s="6" t="n">
        <v>0.24342108271179</v>
      </c>
      <c r="N835" s="6" t="n">
        <v>-4.21137004253953</v>
      </c>
      <c r="O835" s="6" t="n">
        <v>1.31976210244281</v>
      </c>
      <c r="P835" s="6" t="n">
        <v>-0.813552004092919</v>
      </c>
      <c r="Q835" s="6" t="n">
        <v>-1.61966670489537</v>
      </c>
      <c r="R835" s="6" t="n">
        <v>0.45462738115277</v>
      </c>
      <c r="S835" s="6" t="n">
        <v>-0.679347921663839</v>
      </c>
      <c r="T835" s="6" t="n">
        <v>-3.60275744689842</v>
      </c>
      <c r="U835" s="6" t="n">
        <v>-3.52274881081314</v>
      </c>
      <c r="V835" s="6" t="n">
        <v>-1.68814137306616</v>
      </c>
      <c r="W835" s="6" t="n">
        <v>-1.21716768974217</v>
      </c>
      <c r="X835" s="6" t="n">
        <v>-2.30721535648469</v>
      </c>
      <c r="Y835" s="6" t="n">
        <v>-1.33770417369164</v>
      </c>
      <c r="Z835" s="6" t="n">
        <v>-2.27631036939125</v>
      </c>
      <c r="AA835" s="6" t="n">
        <v>-0.222008971474759</v>
      </c>
      <c r="AB835" s="6" t="n">
        <v>-0.142476660123682</v>
      </c>
      <c r="AC835" s="6" t="n">
        <v>0.301211030960849</v>
      </c>
      <c r="AD835" s="6" t="n">
        <v>0.688300158349437</v>
      </c>
      <c r="AE835" s="6" t="n">
        <v>1.30206538467776</v>
      </c>
      <c r="AF835" s="6" t="n">
        <v>-3.40123632654225</v>
      </c>
      <c r="AG835" s="6" t="n">
        <v>-0.678709827323859</v>
      </c>
      <c r="AH835" s="6" t="n">
        <v>-1.83570316968872</v>
      </c>
      <c r="AI835" s="6" t="n">
        <v>1.99723564709012</v>
      </c>
      <c r="AJ835" s="6" t="n">
        <v>70.4681090949715</v>
      </c>
      <c r="AK835" s="6" t="n">
        <v>0.179349480813189</v>
      </c>
      <c r="AL835" s="6" t="n">
        <v>1.04030047674298</v>
      </c>
      <c r="AN835" s="6" t="n">
        <v>1.29212907844097</v>
      </c>
      <c r="AO835" s="6" t="n">
        <v>1.29221281917675</v>
      </c>
      <c r="AP835" s="6" t="n">
        <v>0.133245575559766</v>
      </c>
      <c r="AQ835" s="6" t="n">
        <v>0</v>
      </c>
      <c r="AR835" s="6" t="n">
        <v>0</v>
      </c>
    </row>
    <row r="836" customFormat="false" ht="15" hidden="false" customHeight="false" outlineLevel="0" collapsed="false">
      <c r="D836" s="0" t="s">
        <v>962</v>
      </c>
      <c r="J836" s="6" t="n">
        <v>-1.49350900457583</v>
      </c>
      <c r="K836" s="6" t="n">
        <v>-1.92047137662605</v>
      </c>
      <c r="L836" s="6" t="n">
        <v>-1.78670754370294</v>
      </c>
      <c r="M836" s="6" t="n">
        <v>-0.616804925818894</v>
      </c>
      <c r="N836" s="6" t="n">
        <v>-1.51859565642806</v>
      </c>
      <c r="O836" s="6" t="n">
        <v>-0.35217670994744</v>
      </c>
      <c r="P836" s="6" t="n">
        <v>-2.01941025054571</v>
      </c>
      <c r="Q836" s="6" t="n">
        <v>0.618732402383639</v>
      </c>
      <c r="R836" s="6" t="n">
        <v>-4.46355910155617</v>
      </c>
      <c r="S836" s="6" t="n">
        <v>-2.96341709008441</v>
      </c>
      <c r="T836" s="6" t="n">
        <v>1.73987408289583</v>
      </c>
      <c r="U836" s="6" t="n">
        <v>-1.02568361753612</v>
      </c>
      <c r="V836" s="6" t="n">
        <v>-1.10967013895474</v>
      </c>
      <c r="W836" s="6" t="n">
        <v>-1.65278972978098</v>
      </c>
      <c r="X836" s="6" t="n">
        <v>-3.48037474221402</v>
      </c>
      <c r="Y836" s="6" t="n">
        <v>-1.80300413505451</v>
      </c>
      <c r="Z836" s="6" t="n">
        <v>1.23885298381206</v>
      </c>
      <c r="AA836" s="6" t="n">
        <v>0.296933342551432</v>
      </c>
      <c r="AB836" s="6" t="n">
        <v>0.0606509313850852</v>
      </c>
      <c r="AC836" s="6" t="n">
        <v>0.049855314605678</v>
      </c>
      <c r="AD836" s="6" t="n">
        <v>1.14990765171951</v>
      </c>
      <c r="AE836" s="6" t="n">
        <v>3.62343760691979</v>
      </c>
      <c r="AF836" s="6" t="n">
        <v>0.193663528606962</v>
      </c>
      <c r="AG836" s="6" t="n">
        <v>1.76820867535449</v>
      </c>
      <c r="AH836" s="6" t="n">
        <v>-1.07004251519435</v>
      </c>
      <c r="AI836" s="6" t="n">
        <v>3.6592241621144</v>
      </c>
      <c r="AJ836" s="6" t="n">
        <v>72.889766535368</v>
      </c>
      <c r="AK836" s="6" t="n">
        <v>0.149344467359914</v>
      </c>
      <c r="AL836" s="6" t="n">
        <v>1.05192611890562</v>
      </c>
      <c r="AN836" s="6" t="n">
        <v>1.29365065446768</v>
      </c>
      <c r="AO836" s="6" t="n">
        <v>1.29381957690255</v>
      </c>
      <c r="AP836" s="6" t="n">
        <v>0.133495281511189</v>
      </c>
      <c r="AQ836" s="6" t="n">
        <v>0</v>
      </c>
      <c r="AR836" s="6" t="n">
        <v>0</v>
      </c>
    </row>
    <row r="837" customFormat="false" ht="15" hidden="false" customHeight="false" outlineLevel="0" collapsed="false">
      <c r="D837" s="0" t="s">
        <v>963</v>
      </c>
      <c r="J837" s="6" t="n">
        <v>0.782472284603722</v>
      </c>
      <c r="K837" s="6" t="n">
        <v>0.531620001226651</v>
      </c>
      <c r="L837" s="6" t="n">
        <v>-0.757489749753436</v>
      </c>
      <c r="M837" s="6" t="n">
        <v>3.34816651165094</v>
      </c>
      <c r="N837" s="6" t="n">
        <v>0.784181838906796</v>
      </c>
      <c r="O837" s="6" t="n">
        <v>0.232769639245397</v>
      </c>
      <c r="P837" s="6" t="n">
        <v>-0.0811052564649283</v>
      </c>
      <c r="Q837" s="6" t="n">
        <v>-0.756001069022478</v>
      </c>
      <c r="R837" s="6" t="n">
        <v>0.229351706086836</v>
      </c>
      <c r="S837" s="6" t="n">
        <v>2.5309208268054</v>
      </c>
      <c r="T837" s="6" t="n">
        <v>1.04759652524052</v>
      </c>
      <c r="U837" s="6" t="n">
        <v>1.85573926305388</v>
      </c>
      <c r="V837" s="6" t="n">
        <v>-0.859637506241194</v>
      </c>
      <c r="W837" s="6" t="n">
        <v>-1.47138330814346</v>
      </c>
      <c r="X837" s="6" t="n">
        <v>-1.34190263327222</v>
      </c>
      <c r="Y837" s="6" t="n">
        <v>-1.54312728121833</v>
      </c>
      <c r="Z837" s="6" t="n">
        <v>-1.45473127421674</v>
      </c>
      <c r="AA837" s="6" t="n">
        <v>0.740227122176348</v>
      </c>
      <c r="AB837" s="6" t="n">
        <v>0.424660767683708</v>
      </c>
      <c r="AC837" s="6" t="n">
        <v>3.10639090477464</v>
      </c>
      <c r="AD837" s="6" t="n">
        <v>1.61514037494304</v>
      </c>
      <c r="AE837" s="6" t="n">
        <v>-1.90692080477711</v>
      </c>
      <c r="AF837" s="6" t="n">
        <v>-3.42826946157116</v>
      </c>
      <c r="AG837" s="6" t="n">
        <v>-2.87367649695279</v>
      </c>
      <c r="AH837" s="6" t="n">
        <v>0.945856442617759</v>
      </c>
      <c r="AI837" s="6" t="n">
        <v>-1.69942282048937</v>
      </c>
      <c r="AJ837" s="6" t="n">
        <v>66.4167706230744</v>
      </c>
      <c r="AK837" s="6" t="n">
        <v>0.133586640658375</v>
      </c>
      <c r="AL837" s="6" t="n">
        <v>1.08355588033348</v>
      </c>
      <c r="AN837" s="6" t="n">
        <v>1.27942831055815</v>
      </c>
      <c r="AO837" s="6" t="n">
        <v>1.28013815638155</v>
      </c>
      <c r="AP837" s="6" t="n">
        <v>0.130742093210496</v>
      </c>
      <c r="AQ837" s="6" t="n">
        <v>0</v>
      </c>
      <c r="AR837" s="6" t="n">
        <v>0</v>
      </c>
    </row>
    <row r="838" customFormat="false" ht="15" hidden="false" customHeight="false" outlineLevel="0" collapsed="false">
      <c r="D838" s="0" t="s">
        <v>964</v>
      </c>
      <c r="J838" s="6" t="n">
        <v>-0.391993737702359</v>
      </c>
      <c r="K838" s="6" t="n">
        <v>-1.676014145588</v>
      </c>
      <c r="L838" s="6" t="n">
        <v>0.152675114627842</v>
      </c>
      <c r="M838" s="6" t="n">
        <v>0.0370662233781832</v>
      </c>
      <c r="N838" s="6" t="n">
        <v>3.36717584632768</v>
      </c>
      <c r="O838" s="6" t="n">
        <v>-1.38724075151754</v>
      </c>
      <c r="P838" s="6" t="n">
        <v>-0.908897118499415</v>
      </c>
      <c r="Q838" s="6" t="n">
        <v>2.08946768362595</v>
      </c>
      <c r="R838" s="6" t="n">
        <v>-0.694584605519427</v>
      </c>
      <c r="S838" s="6" t="n">
        <v>-2.87541689659309</v>
      </c>
      <c r="T838" s="6" t="n">
        <v>-0.775158250240836</v>
      </c>
      <c r="U838" s="6" t="n">
        <v>3.40477845667092</v>
      </c>
      <c r="V838" s="6" t="n">
        <v>0.102705477580764</v>
      </c>
      <c r="W838" s="6" t="n">
        <v>-1.11469254463505</v>
      </c>
      <c r="X838" s="6" t="n">
        <v>-2.432401695246</v>
      </c>
      <c r="Y838" s="6" t="n">
        <v>-0.544906456145712</v>
      </c>
      <c r="Z838" s="6" t="n">
        <v>1.43202665337615</v>
      </c>
      <c r="AA838" s="6" t="n">
        <v>-0.376150357385625</v>
      </c>
      <c r="AB838" s="6" t="n">
        <v>0.0492187211456229</v>
      </c>
      <c r="AC838" s="6" t="n">
        <v>-0.415450137865743</v>
      </c>
      <c r="AD838" s="6" t="n">
        <v>1.42019622642794</v>
      </c>
      <c r="AE838" s="6" t="n">
        <v>3.62099416968779</v>
      </c>
      <c r="AF838" s="6" t="n">
        <v>0.456598014466564</v>
      </c>
      <c r="AG838" s="6" t="n">
        <v>-0.900389620536641</v>
      </c>
      <c r="AH838" s="6" t="n">
        <v>-4.6274045048154</v>
      </c>
      <c r="AI838" s="6" t="n">
        <v>-3.43592306208058</v>
      </c>
      <c r="AJ838" s="6" t="n">
        <v>69.9706737764234</v>
      </c>
      <c r="AK838" s="6" t="n">
        <v>0.141428785388917</v>
      </c>
      <c r="AL838" s="6" t="n">
        <v>1.06091066534674</v>
      </c>
      <c r="AN838" s="6" t="n">
        <v>1.29007762323571</v>
      </c>
      <c r="AO838" s="6" t="n">
        <v>1.29092450661635</v>
      </c>
      <c r="AP838" s="6" t="n">
        <v>0.132726246638396</v>
      </c>
      <c r="AQ838" s="6" t="n">
        <v>0</v>
      </c>
      <c r="AR838" s="6" t="n">
        <v>0</v>
      </c>
    </row>
    <row r="839" customFormat="false" ht="15" hidden="false" customHeight="false" outlineLevel="0" collapsed="false">
      <c r="D839" s="0" t="s">
        <v>965</v>
      </c>
      <c r="J839" s="6" t="n">
        <v>1.29693064050656</v>
      </c>
      <c r="K839" s="6" t="n">
        <v>2.54624977056147</v>
      </c>
      <c r="L839" s="6" t="n">
        <v>0.430431512099738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-0.766845305417278</v>
      </c>
      <c r="Q839" s="6" t="n">
        <v>0.113538767367022</v>
      </c>
      <c r="R839" s="6" t="n">
        <v>-0.891585718388449</v>
      </c>
      <c r="S839" s="6" t="n">
        <v>-0.138544027790813</v>
      </c>
      <c r="T839" s="6" t="n">
        <v>-3.3206817454843</v>
      </c>
      <c r="U839" s="6" t="n">
        <v>-0.93839995131919</v>
      </c>
      <c r="V839" s="6" t="n">
        <v>0.882275259272624</v>
      </c>
      <c r="W839" s="6" t="n">
        <v>0.975306658777163</v>
      </c>
      <c r="X839" s="6" t="n">
        <v>0.961304107202244</v>
      </c>
      <c r="Y839" s="6" t="n">
        <v>2.6379336129545</v>
      </c>
      <c r="Z839" s="6" t="n">
        <v>-1.31932512092169</v>
      </c>
      <c r="AA839" s="6" t="n">
        <v>-2.34443394019109</v>
      </c>
      <c r="AB839" s="6" t="n">
        <v>-4.40477973076787</v>
      </c>
      <c r="AC839" s="6" t="n">
        <v>-2.11257001227157</v>
      </c>
      <c r="AD839" s="6" t="n">
        <v>2.1681606022059</v>
      </c>
      <c r="AE839" s="6" t="n">
        <v>-0.365879971505647</v>
      </c>
      <c r="AF839" s="6" t="n">
        <v>0.665033974053776</v>
      </c>
      <c r="AG839" s="6" t="n">
        <v>1.38102913536647</v>
      </c>
      <c r="AH839" s="6" t="n">
        <v>2.69970266064719</v>
      </c>
      <c r="AI839" s="6" t="n">
        <v>0.949395569203773</v>
      </c>
      <c r="AJ839" s="6" t="n">
        <v>74.3866840366899</v>
      </c>
      <c r="AK839" s="6" t="n">
        <v>0.115457102879497</v>
      </c>
      <c r="AL839" s="6" t="n">
        <v>1.01880398379427</v>
      </c>
      <c r="AN839" s="6" t="n">
        <v>1.311288537568</v>
      </c>
      <c r="AO839" s="6" t="n">
        <v>1.311288537568</v>
      </c>
      <c r="AP839" s="6" t="n">
        <v>0.138046800724528</v>
      </c>
      <c r="AQ839" s="6" t="n">
        <v>0</v>
      </c>
      <c r="AR839" s="6" t="n">
        <v>0</v>
      </c>
    </row>
    <row r="840" customFormat="false" ht="15" hidden="false" customHeight="false" outlineLevel="0" collapsed="false">
      <c r="D840" s="0" t="s">
        <v>966</v>
      </c>
      <c r="J840" s="6" t="n">
        <v>-1.9896496556763</v>
      </c>
      <c r="K840" s="6" t="n">
        <v>0.412467608227497</v>
      </c>
      <c r="L840" s="6" t="n">
        <v>-1.60563966655903</v>
      </c>
      <c r="M840" s="6" t="n">
        <v>0.470178813291883</v>
      </c>
      <c r="N840" s="6" t="n">
        <v>-0.755703590563814</v>
      </c>
      <c r="O840" s="6" t="n">
        <v>2.25036416975276</v>
      </c>
      <c r="P840" s="6" t="n">
        <v>-0.956990454752835</v>
      </c>
      <c r="Q840" s="6" t="n">
        <v>-0.91692653339197</v>
      </c>
      <c r="R840" s="6" t="n">
        <v>1.21305777166044</v>
      </c>
      <c r="S840" s="6" t="n">
        <v>1.86246075546887</v>
      </c>
      <c r="T840" s="6" t="n">
        <v>1.81529808079452</v>
      </c>
      <c r="U840" s="6" t="n">
        <v>-0.814697975328646</v>
      </c>
      <c r="V840" s="6" t="n">
        <v>1.27761525341835</v>
      </c>
      <c r="W840" s="6" t="n">
        <v>-0.217120989407135</v>
      </c>
      <c r="X840" s="6" t="n">
        <v>0.589529618272697</v>
      </c>
      <c r="Y840" s="6" t="n">
        <v>0.191755198196199</v>
      </c>
      <c r="Z840" s="6" t="n">
        <v>-1.50507233107635</v>
      </c>
      <c r="AA840" s="6" t="n">
        <v>1.61823115290227</v>
      </c>
      <c r="AB840" s="6" t="n">
        <v>3.96287097236142</v>
      </c>
      <c r="AC840" s="6" t="n">
        <v>1.40717806387523</v>
      </c>
      <c r="AD840" s="6" t="n">
        <v>-0.164180741441228</v>
      </c>
      <c r="AE840" s="6" t="n">
        <v>-2.88123059512279</v>
      </c>
      <c r="AF840" s="6" t="n">
        <v>2.60405103351622</v>
      </c>
      <c r="AG840" s="6" t="n">
        <v>-0.775214970263129</v>
      </c>
      <c r="AH840" s="6" t="n">
        <v>-3.08133085581403</v>
      </c>
      <c r="AI840" s="6" t="n">
        <v>-3.1838292668602</v>
      </c>
      <c r="AJ840" s="6" t="n">
        <v>77.5034404425632</v>
      </c>
      <c r="AK840" s="6" t="n">
        <v>0.123957787197453</v>
      </c>
      <c r="AL840" s="6" t="n">
        <v>1.02113975589294</v>
      </c>
      <c r="AN840" s="6" t="n">
        <v>1.31157173797421</v>
      </c>
      <c r="AO840" s="6" t="n">
        <v>1.31231745442228</v>
      </c>
      <c r="AP840" s="6" t="n">
        <v>0.137853895745535</v>
      </c>
      <c r="AQ840" s="6" t="n">
        <v>0</v>
      </c>
      <c r="AR840" s="6" t="n">
        <v>0</v>
      </c>
    </row>
    <row r="841" customFormat="false" ht="15" hidden="false" customHeight="false" outlineLevel="0" collapsed="false">
      <c r="D841" s="0" t="s">
        <v>967</v>
      </c>
      <c r="J841" s="6" t="n">
        <v>-3.78369757245758</v>
      </c>
      <c r="K841" s="6" t="n">
        <v>2.06767017640257</v>
      </c>
      <c r="L841" s="6" t="n">
        <v>0.738339935726269</v>
      </c>
      <c r="M841" s="6" t="n">
        <v>-1.76529591593623</v>
      </c>
      <c r="N841" s="6" t="n">
        <v>0.719324854777127</v>
      </c>
      <c r="O841" s="6" t="n">
        <v>2.77246495685564</v>
      </c>
      <c r="P841" s="6" t="n">
        <v>-1.20196591294437</v>
      </c>
      <c r="Q841" s="6" t="n">
        <v>-0.97731150110631</v>
      </c>
      <c r="R841" s="6" t="n">
        <v>2.59115936549197</v>
      </c>
      <c r="S841" s="6" t="n">
        <v>0.0400818301630679</v>
      </c>
      <c r="T841" s="6" t="n">
        <v>0.0812421222467048</v>
      </c>
      <c r="U841" s="6" t="n">
        <v>0.434448276206529</v>
      </c>
      <c r="V841" s="6" t="n">
        <v>-3.69429530980187</v>
      </c>
      <c r="W841" s="6" t="n">
        <v>0.625448995468815</v>
      </c>
      <c r="X841" s="6" t="n">
        <v>1.91711010557337</v>
      </c>
      <c r="Y841" s="6" t="n">
        <v>1.30022015148336</v>
      </c>
      <c r="Z841" s="6" t="n">
        <v>0.142104092626689</v>
      </c>
      <c r="AA841" s="6" t="n">
        <v>-1.55522735331885</v>
      </c>
      <c r="AB841" s="6" t="n">
        <v>1.76108706771143</v>
      </c>
      <c r="AC841" s="6" t="n">
        <v>-1.8956758834844</v>
      </c>
      <c r="AD841" s="6" t="n">
        <v>-1.00989588172613</v>
      </c>
      <c r="AE841" s="6" t="n">
        <v>-0.019168889767492</v>
      </c>
      <c r="AF841" s="6" t="n">
        <v>1.14717891158349</v>
      </c>
      <c r="AG841" s="6" t="n">
        <v>-1.74889738157917</v>
      </c>
      <c r="AH841" s="6" t="n">
        <v>-2.18684788652848</v>
      </c>
      <c r="AI841" s="6" t="n">
        <v>3.54775282709714</v>
      </c>
      <c r="AJ841" s="6" t="n">
        <v>78.0918368606841</v>
      </c>
      <c r="AK841" s="6" t="n">
        <v>0.0807295216442036</v>
      </c>
      <c r="AL841" s="6" t="n">
        <v>1.05317248712137</v>
      </c>
      <c r="AN841" s="6" t="n">
        <v>1.3011502103503</v>
      </c>
      <c r="AO841" s="6" t="n">
        <v>1.30116759838131</v>
      </c>
      <c r="AP841" s="6" t="n">
        <v>0.135160171460902</v>
      </c>
      <c r="AQ841" s="6" t="n">
        <v>0</v>
      </c>
      <c r="AR841" s="6" t="n">
        <v>0</v>
      </c>
    </row>
    <row r="842" customFormat="false" ht="15" hidden="false" customHeight="false" outlineLevel="0" collapsed="false">
      <c r="D842" s="0" t="s">
        <v>968</v>
      </c>
      <c r="J842" s="6" t="n">
        <v>-1.41583055055551</v>
      </c>
      <c r="K842" s="6" t="n">
        <v>4.2012717727491</v>
      </c>
      <c r="L842" s="6" t="n">
        <v>-0.00902106063894272</v>
      </c>
      <c r="M842" s="6" t="n">
        <v>-1.05527559406937</v>
      </c>
      <c r="N842" s="6" t="n">
        <v>-2.19158095580161</v>
      </c>
      <c r="O842" s="6" t="n">
        <v>-0.567530050333314</v>
      </c>
      <c r="P842" s="6" t="n">
        <v>0.394252036191872</v>
      </c>
      <c r="Q842" s="6" t="n">
        <v>-0.63628656787816</v>
      </c>
      <c r="R842" s="6" t="n">
        <v>-0.222927780301211</v>
      </c>
      <c r="S842" s="6" t="n">
        <v>1.56535549006169</v>
      </c>
      <c r="T842" s="6" t="n">
        <v>1.75299309526377</v>
      </c>
      <c r="U842" s="6" t="n">
        <v>-3.01485394651179</v>
      </c>
      <c r="V842" s="6" t="n">
        <v>1.01008805472286</v>
      </c>
      <c r="W842" s="6" t="n">
        <v>3.76246637433169</v>
      </c>
      <c r="X842" s="6" t="n">
        <v>1.77985154720008</v>
      </c>
      <c r="Y842" s="6" t="n">
        <v>0.0321486177543498</v>
      </c>
      <c r="Z842" s="6" t="n">
        <v>-5.17860861371722</v>
      </c>
      <c r="AA842" s="6" t="n">
        <v>-3.99592760288528</v>
      </c>
      <c r="AB842" s="6" t="n">
        <v>3.29605896110255</v>
      </c>
      <c r="AC842" s="6" t="n">
        <v>0.629824543586552</v>
      </c>
      <c r="AD842" s="6" t="n">
        <v>3.887067087846</v>
      </c>
      <c r="AE842" s="6" t="n">
        <v>1.34823694966957</v>
      </c>
      <c r="AF842" s="6" t="n">
        <v>-2.80184516273849</v>
      </c>
      <c r="AG842" s="6" t="n">
        <v>1.11424273825888</v>
      </c>
      <c r="AH842" s="6" t="n">
        <v>1.1327644475676</v>
      </c>
      <c r="AI842" s="6" t="n">
        <v>-2.05105195925844</v>
      </c>
      <c r="AJ842" s="6" t="n">
        <v>76.8385270921426</v>
      </c>
      <c r="AK842" s="6" t="n">
        <v>0.0587871704772732</v>
      </c>
      <c r="AL842" s="6" t="n">
        <v>1.06657749866525</v>
      </c>
      <c r="AN842" s="6" t="n">
        <v>1.29938320498654</v>
      </c>
      <c r="AO842" s="6" t="n">
        <v>1.2998404041228</v>
      </c>
      <c r="AP842" s="6" t="n">
        <v>0.13448681132246</v>
      </c>
      <c r="AQ842" s="6" t="n">
        <v>0</v>
      </c>
      <c r="AR842" s="6" t="n">
        <v>0</v>
      </c>
    </row>
    <row r="843" customFormat="false" ht="15" hidden="false" customHeight="false" outlineLevel="0" collapsed="false">
      <c r="D843" s="0" t="s">
        <v>969</v>
      </c>
      <c r="J843" s="6" t="n">
        <v>1.18360364988996</v>
      </c>
      <c r="K843" s="6" t="n">
        <v>-1.84031910838629</v>
      </c>
      <c r="L843" s="6" t="n">
        <v>0.683864379432576</v>
      </c>
      <c r="M843" s="6" t="n">
        <v>-1.65903936636731</v>
      </c>
      <c r="N843" s="6" t="n">
        <v>-1.01172779349985</v>
      </c>
      <c r="O843" s="6" t="n">
        <v>1.74467948038502</v>
      </c>
      <c r="P843" s="6" t="n">
        <v>-0.867804504444848</v>
      </c>
      <c r="Q843" s="6" t="n">
        <v>3.33342577429005</v>
      </c>
      <c r="R843" s="6" t="n">
        <v>-1.09995957877989</v>
      </c>
      <c r="S843" s="6" t="n">
        <v>0.918688289334121</v>
      </c>
      <c r="T843" s="6" t="n">
        <v>-0.887807142714475</v>
      </c>
      <c r="U843" s="6" t="n">
        <v>-0.159429898154624</v>
      </c>
      <c r="V843" s="6" t="n">
        <v>-2.12069205061737</v>
      </c>
      <c r="W843" s="6" t="n">
        <v>0.733050413963787</v>
      </c>
      <c r="X843" s="6" t="n">
        <v>1.56203212594822</v>
      </c>
      <c r="Y843" s="6" t="n">
        <v>-3.10864386640527</v>
      </c>
      <c r="Z843" s="6" t="n">
        <v>0.676975603947716</v>
      </c>
      <c r="AA843" s="6" t="n">
        <v>-2.10649025886857</v>
      </c>
      <c r="AB843" s="6" t="n">
        <v>1.32704852092997</v>
      </c>
      <c r="AC843" s="6" t="n">
        <v>1.38687806364728</v>
      </c>
      <c r="AD843" s="6" t="n">
        <v>1.25433453870916</v>
      </c>
      <c r="AE843" s="6" t="n">
        <v>0.853997265477398</v>
      </c>
      <c r="AF843" s="6" t="n">
        <v>2.33569427144319</v>
      </c>
      <c r="AG843" s="6" t="n">
        <v>-1.64393087251141</v>
      </c>
      <c r="AH843" s="6" t="n">
        <v>-0.975647799363836</v>
      </c>
      <c r="AI843" s="6" t="n">
        <v>-2.98811537768412</v>
      </c>
      <c r="AJ843" s="6" t="n">
        <v>75.4579819445326</v>
      </c>
      <c r="AK843" s="6" t="n">
        <v>0.109356315057174</v>
      </c>
      <c r="AL843" s="6" t="n">
        <v>1.1363352860233</v>
      </c>
      <c r="AN843" s="6" t="n">
        <v>1.26901167170636</v>
      </c>
      <c r="AO843" s="6" t="n">
        <v>1.2694008951932</v>
      </c>
      <c r="AP843" s="6" t="n">
        <v>0.129500814249256</v>
      </c>
      <c r="AQ843" s="6" t="n">
        <v>0</v>
      </c>
      <c r="AR843" s="6" t="n">
        <v>0</v>
      </c>
    </row>
    <row r="844" customFormat="false" ht="15" hidden="false" customHeight="false" outlineLevel="0" collapsed="false">
      <c r="D844" s="0" t="s">
        <v>970</v>
      </c>
      <c r="J844" s="6" t="n">
        <v>-0.30660960460446</v>
      </c>
      <c r="K844" s="6" t="n">
        <v>-0.409111227848182</v>
      </c>
      <c r="L844" s="6" t="n">
        <v>3.31507320086332</v>
      </c>
      <c r="M844" s="6" t="n">
        <v>-0.0277556266740563</v>
      </c>
      <c r="N844" s="6" t="n">
        <v>-0.405886324608726</v>
      </c>
      <c r="O844" s="6" t="n">
        <v>2.13390369737476</v>
      </c>
      <c r="P844" s="6" t="n">
        <v>-1.8466402345459</v>
      </c>
      <c r="Q844" s="6" t="n">
        <v>-0.521077405261399</v>
      </c>
      <c r="R844" s="6" t="n">
        <v>1.88841413565667</v>
      </c>
      <c r="S844" s="6" t="n">
        <v>-1.24029992305884</v>
      </c>
      <c r="T844" s="6" t="n">
        <v>2.26071659762253</v>
      </c>
      <c r="U844" s="6" t="n">
        <v>-3.37307538590637</v>
      </c>
      <c r="V844" s="6" t="n">
        <v>-1.38233106810745</v>
      </c>
      <c r="W844" s="6" t="n">
        <v>-1.2536758224515</v>
      </c>
      <c r="X844" s="6" t="n">
        <v>-0.925006467741278</v>
      </c>
      <c r="Y844" s="6" t="n">
        <v>1.26738305854081</v>
      </c>
      <c r="Z844" s="6" t="n">
        <v>-0.616889448962445</v>
      </c>
      <c r="AA844" s="6" t="n">
        <v>-1.51051684914746</v>
      </c>
      <c r="AB844" s="6" t="n">
        <v>-3.66205526136765</v>
      </c>
      <c r="AC844" s="6" t="n">
        <v>-0.157284600058623</v>
      </c>
      <c r="AD844" s="6" t="n">
        <v>-0.40382847305298</v>
      </c>
      <c r="AE844" s="6" t="n">
        <v>-0.722340936186406</v>
      </c>
      <c r="AF844" s="6" t="n">
        <v>-0.894242774026279</v>
      </c>
      <c r="AG844" s="6" t="n">
        <v>1.93633096322985</v>
      </c>
      <c r="AH844" s="6" t="n">
        <v>4.81181574918319</v>
      </c>
      <c r="AI844" s="6" t="n">
        <v>-0.450982449960106</v>
      </c>
      <c r="AJ844" s="6" t="n">
        <v>80.1771824947906</v>
      </c>
      <c r="AK844" s="6" t="n">
        <v>0.132586935275106</v>
      </c>
      <c r="AL844" s="6" t="n">
        <v>1.04955824915815</v>
      </c>
      <c r="AN844" s="6" t="n">
        <v>1.2967387935986</v>
      </c>
      <c r="AO844" s="6" t="n">
        <v>1.29715097004299</v>
      </c>
      <c r="AP844" s="6" t="n">
        <v>0.134382577104768</v>
      </c>
      <c r="AQ844" s="6" t="n">
        <v>0</v>
      </c>
      <c r="AR844" s="6" t="n">
        <v>0</v>
      </c>
    </row>
    <row r="845" customFormat="false" ht="15" hidden="false" customHeight="false" outlineLevel="0" collapsed="false">
      <c r="D845" s="0" t="s">
        <v>971</v>
      </c>
      <c r="J845" s="6" t="n">
        <v>-1.25248028634088</v>
      </c>
      <c r="K845" s="6" t="n">
        <v>-0.315749153170849</v>
      </c>
      <c r="L845" s="6" t="n">
        <v>-0.891166713905251</v>
      </c>
      <c r="M845" s="6" t="n">
        <v>-1.59594727344881</v>
      </c>
      <c r="N845" s="6" t="n">
        <v>1.0846667212566</v>
      </c>
      <c r="O845" s="6" t="n">
        <v>3.52260077862914</v>
      </c>
      <c r="P845" s="6" t="n">
        <v>0.0431623052179426</v>
      </c>
      <c r="Q845" s="6" t="n">
        <v>-2.35983803307913</v>
      </c>
      <c r="R845" s="6" t="n">
        <v>-1.07687939844458</v>
      </c>
      <c r="S845" s="6" t="n">
        <v>-1.65110495926859</v>
      </c>
      <c r="T845" s="6" t="n">
        <v>-1.09136816798589</v>
      </c>
      <c r="U845" s="6" t="n">
        <v>0.0114122434554017</v>
      </c>
      <c r="V845" s="6" t="n">
        <v>4.24490010491266</v>
      </c>
      <c r="W845" s="6" t="n">
        <v>-1.33144423971054</v>
      </c>
      <c r="X845" s="6" t="n">
        <v>-2.13688451369679</v>
      </c>
      <c r="Y845" s="6" t="n">
        <v>1.06450676896796</v>
      </c>
      <c r="Z845" s="6" t="n">
        <v>1.59014073200275</v>
      </c>
      <c r="AA845" s="6" t="n">
        <v>0.385579761209724</v>
      </c>
      <c r="AB845" s="6" t="n">
        <v>4.62958502920928</v>
      </c>
      <c r="AC845" s="6" t="n">
        <v>1.75135165264696</v>
      </c>
      <c r="AD845" s="6" t="n">
        <v>0.599910849385001</v>
      </c>
      <c r="AE845" s="6" t="n">
        <v>-5.56614400254937</v>
      </c>
      <c r="AF845" s="6" t="n">
        <v>4.07210688147103</v>
      </c>
      <c r="AG845" s="6" t="n">
        <v>0.314027041247354</v>
      </c>
      <c r="AH845" s="6" t="n">
        <v>-2.60380026969877</v>
      </c>
      <c r="AI845" s="6" t="n">
        <v>-2.06372703887179</v>
      </c>
      <c r="AJ845" s="6" t="n">
        <v>60.1848508757637</v>
      </c>
      <c r="AK845" s="6" t="n">
        <v>0.118559114530037</v>
      </c>
      <c r="AL845" s="6" t="n">
        <v>1.00239335577607</v>
      </c>
      <c r="AN845" s="6" t="n">
        <v>1.30921745520393</v>
      </c>
      <c r="AO845" s="6" t="n">
        <v>1.30921745520393</v>
      </c>
      <c r="AP845" s="6" t="n">
        <v>0.138436202845294</v>
      </c>
      <c r="AQ845" s="6" t="n">
        <v>0</v>
      </c>
      <c r="AR845" s="6" t="n">
        <v>0</v>
      </c>
    </row>
    <row r="846" customFormat="false" ht="15" hidden="false" customHeight="false" outlineLevel="0" collapsed="false">
      <c r="D846" s="0" t="s">
        <v>972</v>
      </c>
      <c r="J846" s="6" t="n">
        <v>-1.36005462149791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</v>
      </c>
      <c r="O846" s="6" t="n">
        <v>-2.29738260248613</v>
      </c>
      <c r="P846" s="6" t="n">
        <v>-2.28283952142642</v>
      </c>
      <c r="Q846" s="6" t="n">
        <v>0.127350705874158</v>
      </c>
      <c r="R846" s="6" t="n">
        <v>4.49846801807576</v>
      </c>
      <c r="S846" s="6" t="n">
        <v>-1.3368712595569</v>
      </c>
      <c r="T846" s="6" t="n">
        <v>-0.795880038307989</v>
      </c>
      <c r="U846" s="6" t="n">
        <v>2.66568972269493</v>
      </c>
      <c r="V846" s="6" t="n">
        <v>2.90510227728224</v>
      </c>
      <c r="W846" s="6" t="n">
        <v>1.76946866008871</v>
      </c>
      <c r="X846" s="6" t="n">
        <v>2.18910638495438</v>
      </c>
      <c r="Y846" s="6" t="n">
        <v>3.47532667610251</v>
      </c>
      <c r="Z846" s="6" t="n">
        <v>0.0537280739469719</v>
      </c>
      <c r="AA846" s="6" t="n">
        <v>-3.53171478601348</v>
      </c>
      <c r="AB846" s="6" t="n">
        <v>0.496434758352342</v>
      </c>
      <c r="AC846" s="6" t="n">
        <v>4.27891852636783</v>
      </c>
      <c r="AD846" s="6" t="n">
        <v>-0.409286819598246</v>
      </c>
      <c r="AE846" s="6" t="n">
        <v>2.69713970244799</v>
      </c>
      <c r="AF846" s="6" t="n">
        <v>-1.68957828376497</v>
      </c>
      <c r="AG846" s="6" t="n">
        <v>-1.11600080929135</v>
      </c>
      <c r="AH846" s="6" t="n">
        <v>-3.71732819126664</v>
      </c>
      <c r="AI846" s="6" t="n">
        <v>0.766130033150837</v>
      </c>
      <c r="AJ846" s="6" t="n">
        <v>66.8746089806079</v>
      </c>
      <c r="AK846" s="6" t="n">
        <v>0.168665937630712</v>
      </c>
      <c r="AL846" s="6" t="n">
        <v>1.09202543409636</v>
      </c>
      <c r="AN846" s="6" t="n">
        <v>1.27715151307845</v>
      </c>
      <c r="AO846" s="6" t="n">
        <v>1.27821394703639</v>
      </c>
      <c r="AP846" s="6" t="n">
        <v>0.129854376854209</v>
      </c>
      <c r="AQ846" s="6" t="n">
        <v>0</v>
      </c>
      <c r="AR846" s="6" t="n">
        <v>0</v>
      </c>
    </row>
    <row r="847" customFormat="false" ht="15" hidden="false" customHeight="false" outlineLevel="0" collapsed="false">
      <c r="D847" s="0" t="s">
        <v>973</v>
      </c>
      <c r="J847" s="6" t="n">
        <v>0.163931987149447</v>
      </c>
      <c r="K847" s="6" t="n">
        <v>1.65956751319037</v>
      </c>
      <c r="L847" s="6" t="n">
        <v>3.08385449190862</v>
      </c>
      <c r="M847" s="6" t="n">
        <v>1.84686454412526</v>
      </c>
      <c r="N847" s="6" t="n">
        <v>-1.69431248018609</v>
      </c>
      <c r="O847" s="6" t="n">
        <v>0.535878664810539</v>
      </c>
      <c r="P847" s="6" t="n">
        <v>0.665414183930549</v>
      </c>
      <c r="Q847" s="6" t="n">
        <v>-2.52322037400687</v>
      </c>
      <c r="R847" s="6" t="n">
        <v>-0.933395370296378</v>
      </c>
      <c r="S847" s="6" t="n">
        <v>0.526672058969195</v>
      </c>
      <c r="T847" s="6" t="n">
        <v>-0.620334748243125</v>
      </c>
      <c r="U847" s="6" t="n">
        <v>0.347619347184412</v>
      </c>
      <c r="V847" s="6" t="n">
        <v>-1.561091001695</v>
      </c>
      <c r="W847" s="6" t="n">
        <v>0.534383828650901</v>
      </c>
      <c r="X847" s="6" t="n">
        <v>-5.52192305697578</v>
      </c>
      <c r="Y847" s="6" t="n">
        <v>2.15364088781623</v>
      </c>
      <c r="Z847" s="6" t="n">
        <v>1.38999368397837</v>
      </c>
      <c r="AA847" s="6" t="n">
        <v>1.26646289746296</v>
      </c>
      <c r="AB847" s="6" t="n">
        <v>0.550485669227622</v>
      </c>
      <c r="AC847" s="6" t="n">
        <v>-0.24532515969149</v>
      </c>
      <c r="AD847" s="6" t="n">
        <v>0.769368025020838</v>
      </c>
      <c r="AE847" s="6" t="n">
        <v>-0.847597258815398</v>
      </c>
      <c r="AF847" s="6" t="n">
        <v>-2.63577856729524</v>
      </c>
      <c r="AG847" s="6" t="n">
        <v>-0.0540221183865619</v>
      </c>
      <c r="AH847" s="6" t="n">
        <v>1.30631555105783</v>
      </c>
      <c r="AI847" s="6" t="n">
        <v>-0.52514845443022</v>
      </c>
      <c r="AJ847" s="6" t="n">
        <v>70.3125049279305</v>
      </c>
      <c r="AK847" s="6" t="n">
        <v>0.100370018036764</v>
      </c>
      <c r="AL847" s="6" t="n">
        <v>1.08915498724363</v>
      </c>
      <c r="AN847" s="6" t="n">
        <v>1.28197116592665</v>
      </c>
      <c r="AO847" s="6" t="n">
        <v>1.28274376736501</v>
      </c>
      <c r="AP847" s="6" t="n">
        <v>0.131355333226463</v>
      </c>
      <c r="AQ847" s="6" t="n">
        <v>0</v>
      </c>
      <c r="AR847" s="6" t="n">
        <v>0</v>
      </c>
    </row>
    <row r="848" customFormat="false" ht="15" hidden="false" customHeight="false" outlineLevel="0" collapsed="false">
      <c r="D848" s="0" t="s">
        <v>974</v>
      </c>
      <c r="J848" s="6" t="n">
        <v>-0.19260162359732</v>
      </c>
      <c r="K848" s="6" t="n">
        <v>-1.60392163468335</v>
      </c>
      <c r="L848" s="6" t="n">
        <v>-0.433243849996366</v>
      </c>
      <c r="M848" s="6" t="n">
        <v>-1.15468750798399</v>
      </c>
      <c r="N848" s="6" t="n">
        <v>-2.86705030542597</v>
      </c>
      <c r="O848" s="6" t="n">
        <v>-1.89665497008539</v>
      </c>
      <c r="P848" s="6" t="n">
        <v>0.300136360554506</v>
      </c>
      <c r="Q848" s="6" t="n">
        <v>-4.97156015040213</v>
      </c>
      <c r="R848" s="6" t="n">
        <v>1.10588651290984</v>
      </c>
      <c r="S848" s="6" t="n">
        <v>0.00258916018267393</v>
      </c>
      <c r="T848" s="6" t="n">
        <v>0.14499420922977</v>
      </c>
      <c r="U848" s="6" t="n">
        <v>1.62515236200851</v>
      </c>
      <c r="V848" s="6" t="n">
        <v>-1.15926850567032</v>
      </c>
      <c r="W848" s="6" t="n">
        <v>-1.99276068033342</v>
      </c>
      <c r="X848" s="6" t="n">
        <v>-6.31111639793955</v>
      </c>
      <c r="Y848" s="6" t="n">
        <v>1.00822600953079</v>
      </c>
      <c r="Z848" s="6" t="n">
        <v>2.96488345014184</v>
      </c>
      <c r="AA848" s="6" t="n">
        <v>1.73116540416602</v>
      </c>
      <c r="AB848" s="6" t="n">
        <v>-1.22742843410944</v>
      </c>
      <c r="AC848" s="6" t="n">
        <v>1.04268505786509</v>
      </c>
      <c r="AD848" s="6" t="n">
        <v>-0.172483558873583</v>
      </c>
      <c r="AE848" s="6" t="n">
        <v>-2.31941326221286</v>
      </c>
      <c r="AF848" s="6" t="n">
        <v>-1.29195592059794</v>
      </c>
      <c r="AG848" s="6" t="n">
        <v>-2.48746185974653</v>
      </c>
      <c r="AH848" s="6" t="n">
        <v>-2.16676716670189</v>
      </c>
      <c r="AI848" s="6" t="n">
        <v>3.32784791076986</v>
      </c>
      <c r="AJ848" s="6" t="n">
        <v>79.6831537785697</v>
      </c>
      <c r="AK848" s="6" t="n">
        <v>0.191024385684913</v>
      </c>
      <c r="AL848" s="6" t="n">
        <v>1.04223277359825</v>
      </c>
      <c r="AN848" s="6" t="n">
        <v>1.29598136497599</v>
      </c>
      <c r="AO848" s="6" t="n">
        <v>1.29693676548793</v>
      </c>
      <c r="AP848" s="6" t="n">
        <v>0.133008062753873</v>
      </c>
      <c r="AQ848" s="6" t="n">
        <v>0</v>
      </c>
      <c r="AR848" s="6" t="n">
        <v>0</v>
      </c>
    </row>
    <row r="849" customFormat="false" ht="15" hidden="false" customHeight="false" outlineLevel="0" collapsed="false">
      <c r="D849" s="0" t="s">
        <v>975</v>
      </c>
      <c r="J849" s="6" t="n">
        <v>2.08710157104824</v>
      </c>
      <c r="K849" s="6" t="n">
        <v>0.76975356783933</v>
      </c>
      <c r="L849" s="6" t="n">
        <v>4.22403836154336</v>
      </c>
      <c r="M849" s="6" t="n">
        <v>0.802921270150003</v>
      </c>
      <c r="N849" s="6" t="n">
        <v>-0.131877250738828</v>
      </c>
      <c r="O849" s="6" t="n">
        <v>2.30299092603019</v>
      </c>
      <c r="P849" s="6" t="n">
        <v>-4.32183390226103</v>
      </c>
      <c r="Q849" s="6" t="n">
        <v>1.06081763540998</v>
      </c>
      <c r="R849" s="6" t="n">
        <v>-4.02893991503307</v>
      </c>
      <c r="S849" s="6" t="n">
        <v>-0.0288205853416357</v>
      </c>
      <c r="T849" s="6" t="n">
        <v>-0.848484091980546</v>
      </c>
      <c r="U849" s="6" t="n">
        <v>-0.463028441114247</v>
      </c>
      <c r="V849" s="6" t="n">
        <v>-0.788257380495891</v>
      </c>
      <c r="W849" s="6" t="n">
        <v>0.398809330847754</v>
      </c>
      <c r="X849" s="6" t="n">
        <v>1.72696583673991</v>
      </c>
      <c r="Y849" s="6" t="n">
        <v>0.0676296608044134</v>
      </c>
      <c r="Z849" s="6" t="n">
        <v>0.557403075546537</v>
      </c>
      <c r="AA849" s="6" t="n">
        <v>0.88809590593615</v>
      </c>
      <c r="AB849" s="6" t="n">
        <v>2.48661032017567</v>
      </c>
      <c r="AC849" s="6" t="n">
        <v>-0.822771163146124</v>
      </c>
      <c r="AD849" s="6" t="n">
        <v>-0.112427526229732</v>
      </c>
      <c r="AE849" s="6" t="n">
        <v>-1.3291384978592</v>
      </c>
      <c r="AF849" s="6" t="n">
        <v>-0.134790948108685</v>
      </c>
      <c r="AG849" s="6" t="n">
        <v>-0.997913803532387</v>
      </c>
      <c r="AH849" s="6" t="n">
        <v>2.59983410611314</v>
      </c>
      <c r="AI849" s="6" t="n">
        <v>-1.05513312922518</v>
      </c>
      <c r="AJ849" s="6" t="n">
        <v>60.8870530067406</v>
      </c>
      <c r="AK849" s="6" t="n">
        <v>0.0896811784328387</v>
      </c>
      <c r="AL849" s="6" t="n">
        <v>1.00013378978852</v>
      </c>
      <c r="AN849" s="6" t="n">
        <v>1.30756276823159</v>
      </c>
      <c r="AO849" s="6" t="n">
        <v>1.30756276823159</v>
      </c>
      <c r="AP849" s="6" t="n">
        <v>0.139700134726603</v>
      </c>
      <c r="AQ849" s="6" t="n">
        <v>0</v>
      </c>
      <c r="AR849" s="6" t="n">
        <v>0</v>
      </c>
    </row>
    <row r="850" customFormat="false" ht="15" hidden="false" customHeight="false" outlineLevel="0" collapsed="false">
      <c r="D850" s="0" t="s">
        <v>976</v>
      </c>
      <c r="J850" s="6" t="n">
        <v>3.09536082789744</v>
      </c>
      <c r="K850" s="6" t="n">
        <v>-2.62397315662603</v>
      </c>
      <c r="L850" s="6" t="n">
        <v>1.16638231440476</v>
      </c>
      <c r="M850" s="6" t="n">
        <v>3.30270438840227</v>
      </c>
      <c r="N850" s="6" t="n">
        <v>0.52211157920128</v>
      </c>
      <c r="O850" s="6" t="n">
        <v>-1.34104581535504</v>
      </c>
      <c r="P850" s="6" t="n">
        <v>-2.13636001818441</v>
      </c>
      <c r="Q850" s="6" t="n">
        <v>3.74543101674504</v>
      </c>
      <c r="R850" s="6" t="n">
        <v>1.19845706408192</v>
      </c>
      <c r="S850" s="6" t="n">
        <v>-1.14778379909459</v>
      </c>
      <c r="T850" s="6" t="n">
        <v>-2.28032172077311</v>
      </c>
      <c r="U850" s="6" t="n">
        <v>0.81892851415018</v>
      </c>
      <c r="V850" s="6" t="n">
        <v>-2.42378312045819</v>
      </c>
      <c r="W850" s="6" t="n">
        <v>-0.423068221885852</v>
      </c>
      <c r="X850" s="6" t="n">
        <v>0.236354613205817</v>
      </c>
      <c r="Y850" s="6" t="n">
        <v>2.070407179864</v>
      </c>
      <c r="Z850" s="6" t="n">
        <v>-1.35240563864849</v>
      </c>
      <c r="AA850" s="6" t="n">
        <v>-2.19247630643948</v>
      </c>
      <c r="AB850" s="6" t="n">
        <v>3.78916139162408</v>
      </c>
      <c r="AC850" s="6" t="n">
        <v>-0.633935602785831</v>
      </c>
      <c r="AD850" s="6" t="n">
        <v>-0.474811249537247</v>
      </c>
      <c r="AE850" s="6" t="n">
        <v>1.69487391140938</v>
      </c>
      <c r="AF850" s="6" t="n">
        <v>2.50805329828077</v>
      </c>
      <c r="AG850" s="6" t="n">
        <v>2.47241175136832</v>
      </c>
      <c r="AH850" s="6" t="n">
        <v>2.04742723497199</v>
      </c>
      <c r="AI850" s="6" t="n">
        <v>1.88480803557412</v>
      </c>
      <c r="AJ850" s="6" t="n">
        <v>74.043931150234</v>
      </c>
      <c r="AK850" s="6" t="n">
        <v>0.117073635320492</v>
      </c>
      <c r="AL850" s="6" t="n">
        <v>1.03319596271529</v>
      </c>
      <c r="AN850" s="6" t="n">
        <v>1.30720830663128</v>
      </c>
      <c r="AO850" s="6" t="n">
        <v>1.30774422404858</v>
      </c>
      <c r="AP850" s="6" t="n">
        <v>0.136302790528114</v>
      </c>
      <c r="AQ850" s="6" t="n">
        <v>0</v>
      </c>
      <c r="AR850" s="6" t="n">
        <v>0</v>
      </c>
    </row>
    <row r="851" customFormat="false" ht="15" hidden="false" customHeight="false" outlineLevel="0" collapsed="false">
      <c r="D851" s="0" t="s">
        <v>977</v>
      </c>
      <c r="J851" s="6" t="n">
        <v>0.404679598543066</v>
      </c>
      <c r="K851" s="6" t="n">
        <v>0.426716617985148</v>
      </c>
      <c r="L851" s="6" t="n">
        <v>-2.74971166398902</v>
      </c>
      <c r="M851" s="6" t="n">
        <v>0.854917259484885</v>
      </c>
      <c r="N851" s="6" t="n">
        <v>2.39988581784616</v>
      </c>
      <c r="O851" s="6" t="n">
        <v>3.73146919606038</v>
      </c>
      <c r="P851" s="6" t="n">
        <v>1.50115808889372</v>
      </c>
      <c r="Q851" s="6" t="n">
        <v>0.683494419449852</v>
      </c>
      <c r="R851" s="6" t="n">
        <v>-1.09895583082837</v>
      </c>
      <c r="S851" s="6" t="n">
        <v>1.00597645831742</v>
      </c>
      <c r="T851" s="6" t="n">
        <v>0.0747249197358731</v>
      </c>
      <c r="U851" s="6" t="n">
        <v>1.11628238244518</v>
      </c>
      <c r="V851" s="6" t="n">
        <v>2.06838841960372</v>
      </c>
      <c r="W851" s="6" t="n">
        <v>-2.86360746613467</v>
      </c>
      <c r="X851" s="6" t="n">
        <v>0.613085756613781</v>
      </c>
      <c r="Y851" s="6" t="n">
        <v>2.2240865787742</v>
      </c>
      <c r="Z851" s="6" t="n">
        <v>2.68420475470444</v>
      </c>
      <c r="AA851" s="6" t="n">
        <v>-2.09951310560356</v>
      </c>
      <c r="AB851" s="6" t="n">
        <v>3.09737099283331</v>
      </c>
      <c r="AC851" s="6" t="n">
        <v>-0.794963705106373</v>
      </c>
      <c r="AD851" s="6" t="n">
        <v>3.03774522683799</v>
      </c>
      <c r="AE851" s="6" t="n">
        <v>-0.0409904899745539</v>
      </c>
      <c r="AF851" s="6" t="n">
        <v>2.97024364002269</v>
      </c>
      <c r="AG851" s="6" t="n">
        <v>4.91913245480156</v>
      </c>
      <c r="AH851" s="6" t="n">
        <v>-3.89645324363615</v>
      </c>
      <c r="AI851" s="6" t="n">
        <v>1.05089282912423</v>
      </c>
      <c r="AJ851" s="6" t="n">
        <v>78.2043747191713</v>
      </c>
      <c r="AK851" s="6" t="n">
        <v>0.110132499973205</v>
      </c>
      <c r="AL851" s="6" t="n">
        <v>1.08403268968271</v>
      </c>
      <c r="AN851" s="6" t="n">
        <v>1.28555216004191</v>
      </c>
      <c r="AO851" s="6" t="n">
        <v>1.2863042836251</v>
      </c>
      <c r="AP851" s="6" t="n">
        <v>0.132318760546808</v>
      </c>
      <c r="AQ851" s="6" t="n">
        <v>0</v>
      </c>
      <c r="AR851" s="6" t="n">
        <v>0</v>
      </c>
    </row>
    <row r="852" customFormat="false" ht="15" hidden="false" customHeight="false" outlineLevel="0" collapsed="false">
      <c r="D852" s="0" t="s">
        <v>978</v>
      </c>
      <c r="J852" s="6" t="n">
        <v>1.71818125300769</v>
      </c>
      <c r="K852" s="6" t="n">
        <v>-0.75380213378295</v>
      </c>
      <c r="L852" s="6" t="n">
        <v>-0.549594938931207</v>
      </c>
      <c r="M852" s="6" t="n">
        <v>1.45037558940772</v>
      </c>
      <c r="N852" s="6" t="n">
        <v>-2.52403344954796</v>
      </c>
      <c r="O852" s="6" t="n">
        <v>-0.0104248564584005</v>
      </c>
      <c r="P852" s="6" t="n">
        <v>-0.986531788720764</v>
      </c>
      <c r="Q852" s="6" t="n">
        <v>1.6152299569132</v>
      </c>
      <c r="R852" s="6" t="n">
        <v>3.35245425197337</v>
      </c>
      <c r="S852" s="6" t="n">
        <v>1.40118326781423</v>
      </c>
      <c r="T852" s="6" t="n">
        <v>1.44877040405984</v>
      </c>
      <c r="U852" s="6" t="n">
        <v>-2.06246939733338</v>
      </c>
      <c r="V852" s="6" t="n">
        <v>-1.33382919913253</v>
      </c>
      <c r="W852" s="6" t="n">
        <v>2.17085647282528</v>
      </c>
      <c r="X852" s="6" t="n">
        <v>-1.98698691560906</v>
      </c>
      <c r="Y852" s="6" t="n">
        <v>-1.6439419999104</v>
      </c>
      <c r="Z852" s="6" t="n">
        <v>-3.84052871097272</v>
      </c>
      <c r="AA852" s="6" t="n">
        <v>-0.740926202997071</v>
      </c>
      <c r="AB852" s="6" t="n">
        <v>0.253468478890231</v>
      </c>
      <c r="AC852" s="6" t="n">
        <v>0.930625798083384</v>
      </c>
      <c r="AD852" s="6" t="n">
        <v>-2.78061081067737</v>
      </c>
      <c r="AE852" s="6" t="n">
        <v>2.59311531050337</v>
      </c>
      <c r="AF852" s="6" t="n">
        <v>1.12377319564047</v>
      </c>
      <c r="AG852" s="6" t="n">
        <v>-1.16989196078275</v>
      </c>
      <c r="AH852" s="6" t="n">
        <v>0.456740077608922</v>
      </c>
      <c r="AI852" s="6" t="n">
        <v>-0.306432784858604</v>
      </c>
      <c r="AJ852" s="6" t="n">
        <v>78.0217821247544</v>
      </c>
      <c r="AK852" s="6" t="n">
        <v>0.0316338633943412</v>
      </c>
      <c r="AL852" s="6" t="n">
        <v>1.05666723698974</v>
      </c>
      <c r="AN852" s="6" t="n">
        <v>1.30736781420249</v>
      </c>
      <c r="AO852" s="6" t="n">
        <v>1.3076981758908</v>
      </c>
      <c r="AP852" s="6" t="n">
        <v>0.136308427734871</v>
      </c>
      <c r="AQ852" s="6" t="n">
        <v>0</v>
      </c>
      <c r="AR852" s="6" t="n">
        <v>0</v>
      </c>
    </row>
    <row r="853" customFormat="false" ht="15" hidden="false" customHeight="false" outlineLevel="0" collapsed="false">
      <c r="D853" s="0" t="s">
        <v>979</v>
      </c>
      <c r="J853" s="6" t="n">
        <v>1.36085016096413</v>
      </c>
      <c r="K853" s="6" t="n">
        <v>-1.71459805314405</v>
      </c>
      <c r="L853" s="6" t="n">
        <v>2.54971574588447</v>
      </c>
      <c r="M853" s="6" t="n">
        <v>2.00812872704119</v>
      </c>
      <c r="N853" s="6" t="n">
        <v>-2.53232919914787</v>
      </c>
      <c r="O853" s="6" t="n">
        <v>-0.981554182784071</v>
      </c>
      <c r="P853" s="6" t="n">
        <v>-3.11186541867538</v>
      </c>
      <c r="Q853" s="6" t="n">
        <v>0.863543033693292</v>
      </c>
      <c r="R853" s="6" t="n">
        <v>0.764261291290747</v>
      </c>
      <c r="S853" s="6" t="n">
        <v>-1.77538786487631</v>
      </c>
      <c r="T853" s="6" t="n">
        <v>-0.600636687837939</v>
      </c>
      <c r="U853" s="6" t="n">
        <v>3.10275058662362</v>
      </c>
      <c r="V853" s="6" t="n">
        <v>1.9812474548194</v>
      </c>
      <c r="W853" s="6" t="n">
        <v>1.16563634247685</v>
      </c>
      <c r="X853" s="6" t="n">
        <v>-0.346053618055448</v>
      </c>
      <c r="Y853" s="6" t="n">
        <v>-2.7778033094824</v>
      </c>
      <c r="Z853" s="6" t="n">
        <v>-2.06821433911369</v>
      </c>
      <c r="AA853" s="6" t="n">
        <v>-1.09368014658509</v>
      </c>
      <c r="AB853" s="6" t="n">
        <v>-1.71033191002384</v>
      </c>
      <c r="AC853" s="6" t="n">
        <v>-0.243622458320551</v>
      </c>
      <c r="AD853" s="6" t="n">
        <v>-0.860571462527502</v>
      </c>
      <c r="AE853" s="6" t="n">
        <v>-2.41892366888428</v>
      </c>
      <c r="AF853" s="6" t="n">
        <v>-1.81351045818481</v>
      </c>
      <c r="AG853" s="6" t="n">
        <v>1.03130855785363</v>
      </c>
      <c r="AH853" s="6" t="n">
        <v>-1.11036593029744</v>
      </c>
      <c r="AI853" s="6" t="n">
        <v>-2.181121358889</v>
      </c>
      <c r="AJ853" s="6" t="n">
        <v>76.0592457806919</v>
      </c>
      <c r="AK853" s="6" t="n">
        <v>0.059076424142513</v>
      </c>
      <c r="AL853" s="6" t="n">
        <v>1.07269136716527</v>
      </c>
      <c r="AN853" s="6" t="n">
        <v>1.29818311736497</v>
      </c>
      <c r="AO853" s="6" t="n">
        <v>1.29841462196624</v>
      </c>
      <c r="AP853" s="6" t="n">
        <v>0.134198965039187</v>
      </c>
      <c r="AQ853" s="6" t="n">
        <v>0</v>
      </c>
      <c r="AR853" s="6" t="n">
        <v>0</v>
      </c>
    </row>
    <row r="854" customFormat="false" ht="15" hidden="false" customHeight="false" outlineLevel="0" collapsed="false">
      <c r="D854" s="0" t="s">
        <v>980</v>
      </c>
      <c r="J854" s="6" t="n">
        <v>-2.36866569957146</v>
      </c>
      <c r="K854" s="6" t="n">
        <v>3.13323904912318</v>
      </c>
      <c r="L854" s="6" t="n">
        <v>-2.77671853244585</v>
      </c>
      <c r="M854" s="6" t="n">
        <v>-1.79493249979325</v>
      </c>
      <c r="N854" s="6" t="n">
        <v>3.3796829301981</v>
      </c>
      <c r="O854" s="6" t="n">
        <v>-1.81364329969394</v>
      </c>
      <c r="P854" s="6" t="n">
        <v>-3.61385650606598</v>
      </c>
      <c r="Q854" s="6" t="n">
        <v>-1.37037398862251</v>
      </c>
      <c r="R854" s="6" t="n">
        <v>-0.28077781505152</v>
      </c>
      <c r="S854" s="6" t="n">
        <v>1.17570336410679</v>
      </c>
      <c r="T854" s="6" t="n">
        <v>-0.575773643601431</v>
      </c>
      <c r="U854" s="6" t="n">
        <v>-0.550710483735019</v>
      </c>
      <c r="V854" s="6" t="n">
        <v>-0.0832953015562282</v>
      </c>
      <c r="W854" s="6" t="n">
        <v>-2.03929068409206</v>
      </c>
      <c r="X854" s="6" t="n">
        <v>-1.72646276506541</v>
      </c>
      <c r="Y854" s="6" t="n">
        <v>-0.221871636165547</v>
      </c>
      <c r="Z854" s="6" t="n">
        <v>1.78250134694574</v>
      </c>
      <c r="AA854" s="6" t="n">
        <v>-0.566213233421938</v>
      </c>
      <c r="AB854" s="6" t="n">
        <v>-2.30508375658789</v>
      </c>
      <c r="AC854" s="6" t="n">
        <v>2.21333562927065</v>
      </c>
      <c r="AD854" s="6" t="n">
        <v>-1.48206710292805</v>
      </c>
      <c r="AE854" s="6" t="n">
        <v>2.63320909367796</v>
      </c>
      <c r="AF854" s="6" t="n">
        <v>-2.81855915211884</v>
      </c>
      <c r="AG854" s="6" t="n">
        <v>0.623667765893557</v>
      </c>
      <c r="AH854" s="6" t="n">
        <v>1.41411218342874</v>
      </c>
      <c r="AI854" s="6" t="n">
        <v>-0.318413461024981</v>
      </c>
      <c r="AJ854" s="6" t="n">
        <v>60.3506120721128</v>
      </c>
      <c r="AK854" s="6" t="n">
        <v>0.0255450583115525</v>
      </c>
      <c r="AL854" s="6" t="n">
        <v>1.06298924946028</v>
      </c>
      <c r="AN854" s="6" t="n">
        <v>1.29477237641405</v>
      </c>
      <c r="AO854" s="6" t="n">
        <v>1.29668079316432</v>
      </c>
      <c r="AP854" s="6" t="n">
        <v>0.134145473223134</v>
      </c>
      <c r="AQ854" s="6" t="n">
        <v>0</v>
      </c>
      <c r="AR854" s="6" t="n">
        <v>0</v>
      </c>
    </row>
    <row r="855" customFormat="false" ht="15" hidden="false" customHeight="false" outlineLevel="0" collapsed="false">
      <c r="D855" s="0" t="s">
        <v>981</v>
      </c>
      <c r="J855" s="6" t="n">
        <v>-4.71161731306354</v>
      </c>
      <c r="K855" s="6" t="n">
        <v>0.0652038747168835</v>
      </c>
      <c r="L855" s="6" t="n">
        <v>1.66054755993505</v>
      </c>
      <c r="M855" s="6" t="n">
        <v>-3.39319373572747</v>
      </c>
      <c r="N855" s="6" t="n">
        <v>0.665821131744962</v>
      </c>
      <c r="O855" s="6" t="n">
        <v>1.53161337180044</v>
      </c>
      <c r="P855" s="6" t="n">
        <v>0.866890324583663</v>
      </c>
      <c r="Q855" s="6" t="n">
        <v>-0.136058613412508</v>
      </c>
      <c r="R855" s="6" t="n">
        <v>-2.62342935902763</v>
      </c>
      <c r="S855" s="6" t="n">
        <v>5</v>
      </c>
      <c r="T855" s="6" t="n">
        <v>-2.03965198304872</v>
      </c>
      <c r="U855" s="6" t="n">
        <v>-0.334801854435824</v>
      </c>
      <c r="V855" s="6" t="n">
        <v>-0.367727669387173</v>
      </c>
      <c r="W855" s="6" t="n">
        <v>4.89068019146152</v>
      </c>
      <c r="X855" s="6" t="n">
        <v>3.04388586877825</v>
      </c>
      <c r="Y855" s="6" t="n">
        <v>-0.418187731788658</v>
      </c>
      <c r="Z855" s="6" t="n">
        <v>0.473966543739698</v>
      </c>
      <c r="AA855" s="6" t="n">
        <v>-0.320598323920038</v>
      </c>
      <c r="AB855" s="6" t="n">
        <v>1.18150226701678</v>
      </c>
      <c r="AC855" s="6" t="n">
        <v>2.80059269110616</v>
      </c>
      <c r="AD855" s="6" t="n">
        <v>-1.85531360159976</v>
      </c>
      <c r="AE855" s="6" t="n">
        <v>1.42428929091143</v>
      </c>
      <c r="AF855" s="6" t="n">
        <v>1.9917789046917</v>
      </c>
      <c r="AG855" s="6" t="n">
        <v>-0.870676543123978</v>
      </c>
      <c r="AH855" s="6" t="n">
        <v>-0.344273832687873</v>
      </c>
      <c r="AI855" s="6" t="n">
        <v>-1.11068129366212</v>
      </c>
      <c r="AJ855" s="6" t="n">
        <v>75.0618398318118</v>
      </c>
      <c r="AK855" s="6" t="n">
        <v>0.105096208639502</v>
      </c>
      <c r="AL855" s="6" t="n">
        <v>0.9987068213996</v>
      </c>
      <c r="AN855" s="6" t="n">
        <v>1.30603360492958</v>
      </c>
      <c r="AO855" s="6" t="n">
        <v>1.30603360492958</v>
      </c>
      <c r="AP855" s="6" t="n">
        <v>0.141149545848447</v>
      </c>
      <c r="AQ855" s="6" t="n">
        <v>0</v>
      </c>
      <c r="AR855" s="6" t="n">
        <v>0</v>
      </c>
    </row>
    <row r="856" customFormat="false" ht="15" hidden="false" customHeight="false" outlineLevel="0" collapsed="false">
      <c r="D856" s="0" t="s">
        <v>982</v>
      </c>
      <c r="J856" s="6" t="n">
        <v>2.95528589071406</v>
      </c>
      <c r="K856" s="6" t="n">
        <v>-3.53277786681274</v>
      </c>
      <c r="L856" s="6" t="n">
        <v>-5.85349759114476</v>
      </c>
      <c r="M856" s="6" t="n">
        <v>0.827842041047435</v>
      </c>
      <c r="N856" s="6" t="n">
        <v>0.175042705515653</v>
      </c>
      <c r="O856" s="6" t="n">
        <v>0.664801826310673</v>
      </c>
      <c r="P856" s="6" t="n">
        <v>1.26895624725918</v>
      </c>
      <c r="Q856" s="6" t="n">
        <v>-0.338313588082929</v>
      </c>
      <c r="R856" s="6" t="n">
        <v>1.88755957120258</v>
      </c>
      <c r="S856" s="6" t="n">
        <v>-1.72699738724013</v>
      </c>
      <c r="T856" s="6" t="n">
        <v>-0.88150408129761</v>
      </c>
      <c r="U856" s="6" t="n">
        <v>2.19302366830438</v>
      </c>
      <c r="V856" s="6" t="n">
        <v>-0.340579834914766</v>
      </c>
      <c r="W856" s="6" t="n">
        <v>-2.79303850630012</v>
      </c>
      <c r="X856" s="6" t="n">
        <v>3.07551340115818</v>
      </c>
      <c r="Y856" s="6" t="n">
        <v>-2.24311478567484</v>
      </c>
      <c r="Z856" s="6" t="n">
        <v>3.72085459165316</v>
      </c>
      <c r="AA856" s="6" t="n">
        <v>1.41899672608224</v>
      </c>
      <c r="AB856" s="6" t="n">
        <v>-2.21270886060059</v>
      </c>
      <c r="AC856" s="6" t="n">
        <v>1.60005491211764</v>
      </c>
      <c r="AD856" s="6" t="n">
        <v>-0.00674591057711008</v>
      </c>
      <c r="AE856" s="6" t="n">
        <v>0.447182201183314</v>
      </c>
      <c r="AF856" s="6" t="n">
        <v>-2.73928166666816</v>
      </c>
      <c r="AG856" s="6" t="n">
        <v>-4.65483911746183</v>
      </c>
      <c r="AH856" s="6" t="n">
        <v>-2.40586159212392</v>
      </c>
      <c r="AI856" s="6" t="n">
        <v>-4.15269141127207</v>
      </c>
      <c r="AJ856" s="6" t="n">
        <v>69.216937912749</v>
      </c>
      <c r="AK856" s="6" t="n">
        <v>0.11725269213234</v>
      </c>
      <c r="AL856" s="6" t="n">
        <v>1.04622400518157</v>
      </c>
      <c r="AN856" s="6" t="n">
        <v>1.28271793572009</v>
      </c>
      <c r="AO856" s="6" t="n">
        <v>1.29334967729296</v>
      </c>
      <c r="AP856" s="6" t="n">
        <v>0.133579711333723</v>
      </c>
      <c r="AQ856" s="6" t="n">
        <v>0</v>
      </c>
      <c r="AR856" s="6" t="n">
        <v>0</v>
      </c>
    </row>
    <row r="857" customFormat="false" ht="15" hidden="false" customHeight="false" outlineLevel="0" collapsed="false">
      <c r="D857" s="0" t="s">
        <v>983</v>
      </c>
      <c r="J857" s="6" t="n">
        <v>-0.719539281591562</v>
      </c>
      <c r="K857" s="6" t="n">
        <v>-0.695940434919761</v>
      </c>
      <c r="L857" s="6" t="n">
        <v>1.30292553333826</v>
      </c>
      <c r="M857" s="6" t="n">
        <v>-4.58052241110872</v>
      </c>
      <c r="N857" s="6" t="n">
        <v>1.29097212475058</v>
      </c>
      <c r="O857" s="6" t="n">
        <v>1.72198957609502</v>
      </c>
      <c r="P857" s="6" t="n">
        <v>-2.66890153160878</v>
      </c>
      <c r="Q857" s="6" t="n">
        <v>-1.97347976053242</v>
      </c>
      <c r="R857" s="6" t="n">
        <v>-1.02250137345425</v>
      </c>
      <c r="S857" s="6" t="n">
        <v>-5.88267361790356</v>
      </c>
      <c r="T857" s="6" t="n">
        <v>3.33047193950648</v>
      </c>
      <c r="U857" s="6" t="n">
        <v>0.246342290940322</v>
      </c>
      <c r="V857" s="6" t="n">
        <v>0.759873855914116</v>
      </c>
      <c r="W857" s="6" t="n">
        <v>-0.849520604616985</v>
      </c>
      <c r="X857" s="6" t="n">
        <v>-0.745604253587504</v>
      </c>
      <c r="Y857" s="6" t="n">
        <v>3.93922751997697</v>
      </c>
      <c r="Z857" s="6" t="n">
        <v>1.09549004308952</v>
      </c>
      <c r="AA857" s="6" t="n">
        <v>0.438953792137447</v>
      </c>
      <c r="AB857" s="6" t="n">
        <v>1.53813355980341</v>
      </c>
      <c r="AC857" s="6" t="n">
        <v>1.15571910248849</v>
      </c>
      <c r="AD857" s="6" t="n">
        <v>-1.98400722404629</v>
      </c>
      <c r="AE857" s="6" t="n">
        <v>-1.33662742152842</v>
      </c>
      <c r="AF857" s="6" t="n">
        <v>-0.319707227864696</v>
      </c>
      <c r="AG857" s="6" t="n">
        <v>1.45609696639136</v>
      </c>
      <c r="AH857" s="6" t="n">
        <v>-0.23279396487616</v>
      </c>
      <c r="AI857" s="6" t="n">
        <v>-2.50878395978411</v>
      </c>
      <c r="AJ857" s="6" t="n">
        <v>64.5058377672707</v>
      </c>
      <c r="AK857" s="6" t="n">
        <v>0.209972911199932</v>
      </c>
      <c r="AL857" s="6" t="n">
        <v>1.04278647777118</v>
      </c>
      <c r="AN857" s="6" t="n">
        <v>1.28468857716348</v>
      </c>
      <c r="AO857" s="6" t="n">
        <v>1.28515759929738</v>
      </c>
      <c r="AP857" s="6" t="n">
        <v>0.131219584086114</v>
      </c>
      <c r="AQ857" s="6" t="n">
        <v>0</v>
      </c>
      <c r="AR857" s="6" t="n">
        <v>0</v>
      </c>
    </row>
    <row r="858" customFormat="false" ht="15" hidden="false" customHeight="false" outlineLevel="0" collapsed="false">
      <c r="D858" s="0" t="s">
        <v>984</v>
      </c>
      <c r="J858" s="6" t="n">
        <v>-3.15547642616345</v>
      </c>
      <c r="K858" s="6" t="n">
        <v>-0.526201243762788</v>
      </c>
      <c r="L858" s="6" t="n">
        <v>1.30796812466557</v>
      </c>
      <c r="M858" s="6" t="n">
        <v>0.463163436817298</v>
      </c>
      <c r="N858" s="6" t="n">
        <v>-4.1834754168925</v>
      </c>
      <c r="O858" s="6" t="n">
        <v>1.08548634266217</v>
      </c>
      <c r="P858" s="6" t="n">
        <v>0.276659114077868</v>
      </c>
      <c r="Q858" s="6" t="n">
        <v>0.601731615448377</v>
      </c>
      <c r="R858" s="6" t="n">
        <v>-0.214313324816501</v>
      </c>
      <c r="S858" s="6" t="n">
        <v>0.244336764477184</v>
      </c>
      <c r="T858" s="6" t="n">
        <v>-2.97353435983502</v>
      </c>
      <c r="U858" s="6" t="n">
        <v>-0.167667895885874</v>
      </c>
      <c r="V858" s="6" t="n">
        <v>4.91472524006092</v>
      </c>
      <c r="W858" s="6" t="n">
        <v>3.36141965082112</v>
      </c>
      <c r="X858" s="6" t="n">
        <v>0.611100845839162</v>
      </c>
      <c r="Y858" s="6" t="n">
        <v>-1.80404336395357</v>
      </c>
      <c r="Z858" s="6" t="n">
        <v>0.694633351510521</v>
      </c>
      <c r="AA858" s="6" t="n">
        <v>-1.26317714145177</v>
      </c>
      <c r="AB858" s="6" t="n">
        <v>-2.29018076097111</v>
      </c>
      <c r="AC858" s="6" t="n">
        <v>-0.825877430143124</v>
      </c>
      <c r="AD858" s="6" t="n">
        <v>0.253805095075511</v>
      </c>
      <c r="AE858" s="6" t="n">
        <v>2.38597121324537</v>
      </c>
      <c r="AF858" s="6" t="n">
        <v>-3.17014608045141</v>
      </c>
      <c r="AG858" s="6" t="n">
        <v>0.83438696517273</v>
      </c>
      <c r="AH858" s="6" t="n">
        <v>-1.10104453601389</v>
      </c>
      <c r="AI858" s="6" t="n">
        <v>5</v>
      </c>
      <c r="AJ858" s="6" t="n">
        <v>63.8012328242527</v>
      </c>
      <c r="AK858" s="6" t="n">
        <v>0.129600719149139</v>
      </c>
      <c r="AL858" s="6" t="n">
        <v>0.994978560813017</v>
      </c>
      <c r="AN858" s="6" t="n">
        <v>1.31493568351368</v>
      </c>
      <c r="AO858" s="6" t="n">
        <v>1.31493568351368</v>
      </c>
      <c r="AP858" s="6" t="n">
        <v>0.140402807895295</v>
      </c>
      <c r="AQ858" s="6" t="n">
        <v>0</v>
      </c>
      <c r="AR858" s="6" t="n">
        <v>0</v>
      </c>
    </row>
    <row r="859" customFormat="false" ht="15" hidden="false" customHeight="false" outlineLevel="0" collapsed="false">
      <c r="D859" s="0" t="s">
        <v>985</v>
      </c>
      <c r="J859" s="6" t="n">
        <v>1.92182295963869</v>
      </c>
      <c r="K859" s="6" t="n">
        <v>-2.51742472004638</v>
      </c>
      <c r="L859" s="6" t="n">
        <v>3.01011623277733</v>
      </c>
      <c r="M859" s="6" t="n">
        <v>0.852707106561828</v>
      </c>
      <c r="N859" s="6" t="n">
        <v>-1.31642605637233</v>
      </c>
      <c r="O859" s="6" t="n">
        <v>2.15702561734289</v>
      </c>
      <c r="P859" s="6" t="n">
        <v>0.453497228077227</v>
      </c>
      <c r="Q859" s="6" t="n">
        <v>1.09970366790843</v>
      </c>
      <c r="R859" s="6" t="n">
        <v>-2.00912109570637</v>
      </c>
      <c r="S859" s="6" t="n">
        <v>-2.84852879689782</v>
      </c>
      <c r="T859" s="6" t="n">
        <v>3.41470111915697</v>
      </c>
      <c r="U859" s="6" t="n">
        <v>0.464540941999758</v>
      </c>
      <c r="V859" s="6" t="n">
        <v>0.0705816182069617</v>
      </c>
      <c r="W859" s="6" t="n">
        <v>0.835821400767206</v>
      </c>
      <c r="X859" s="6" t="n">
        <v>0.737692339408732</v>
      </c>
      <c r="Y859" s="6" t="n">
        <v>-3.50493753714808</v>
      </c>
      <c r="Z859" s="6" t="n">
        <v>-1.5318288372514</v>
      </c>
      <c r="AA859" s="6" t="n">
        <v>3.15077194502987</v>
      </c>
      <c r="AB859" s="6" t="n">
        <v>-1.98900163246816</v>
      </c>
      <c r="AC859" s="6" t="n">
        <v>1.91605440298972</v>
      </c>
      <c r="AD859" s="6" t="n">
        <v>1.30914548671979</v>
      </c>
      <c r="AE859" s="6" t="n">
        <v>-1.22903342773499</v>
      </c>
      <c r="AF859" s="6" t="n">
        <v>4.69073303540732</v>
      </c>
      <c r="AG859" s="6" t="n">
        <v>-0.471194494063415</v>
      </c>
      <c r="AH859" s="6" t="n">
        <v>-0.149024550010732</v>
      </c>
      <c r="AI859" s="6" t="n">
        <v>-1.01251548861196</v>
      </c>
      <c r="AJ859" s="6" t="n">
        <v>79.8199160608228</v>
      </c>
      <c r="AK859" s="6" t="n">
        <v>0.147808050772719</v>
      </c>
      <c r="AL859" s="6" t="n">
        <v>1.07123807277365</v>
      </c>
      <c r="AN859" s="6" t="n">
        <v>1.2841979081605</v>
      </c>
      <c r="AO859" s="6" t="n">
        <v>1.28475627328761</v>
      </c>
      <c r="AP859" s="6" t="n">
        <v>0.132085659740036</v>
      </c>
      <c r="AQ859" s="6" t="n">
        <v>0</v>
      </c>
      <c r="AR859" s="6" t="n">
        <v>0</v>
      </c>
    </row>
    <row r="860" customFormat="false" ht="15" hidden="false" customHeight="false" outlineLevel="0" collapsed="false">
      <c r="D860" s="0" t="s">
        <v>986</v>
      </c>
      <c r="J860" s="6" t="n">
        <v>-3.74231355132117</v>
      </c>
      <c r="K860" s="6" t="n">
        <v>-0.352333264454895</v>
      </c>
      <c r="L860" s="6" t="n">
        <v>-0.949401242912576</v>
      </c>
      <c r="M860" s="6" t="n">
        <v>3.52312761269264</v>
      </c>
      <c r="N860" s="6" t="n">
        <v>-0.232324519236835</v>
      </c>
      <c r="O860" s="6" t="n">
        <v>-1.45405924142875</v>
      </c>
      <c r="P860" s="6" t="n">
        <v>-0.190284800322178</v>
      </c>
      <c r="Q860" s="6" t="n">
        <v>-2.77855913662394</v>
      </c>
      <c r="R860" s="6" t="n">
        <v>2.85350738553738</v>
      </c>
      <c r="S860" s="6" t="n">
        <v>0.565711767949971</v>
      </c>
      <c r="T860" s="6" t="n">
        <v>1.64435342950537</v>
      </c>
      <c r="U860" s="6" t="n">
        <v>-1.28343232664505</v>
      </c>
      <c r="V860" s="6" t="n">
        <v>-4.50622568181819</v>
      </c>
      <c r="W860" s="6" t="n">
        <v>-1.66322726498138</v>
      </c>
      <c r="X860" s="6" t="n">
        <v>1.49995278314584</v>
      </c>
      <c r="Y860" s="6" t="n">
        <v>-3.00552608355267</v>
      </c>
      <c r="Z860" s="6" t="n">
        <v>0.270028386571948</v>
      </c>
      <c r="AA860" s="6" t="n">
        <v>-1.96916339341887</v>
      </c>
      <c r="AB860" s="6" t="n">
        <v>3.50100421837427</v>
      </c>
      <c r="AC860" s="6" t="n">
        <v>3.04131438603554</v>
      </c>
      <c r="AD860" s="6" t="n">
        <v>-2.88425639053118</v>
      </c>
      <c r="AE860" s="6" t="n">
        <v>-1.78688404225962</v>
      </c>
      <c r="AF860" s="6" t="n">
        <v>2.13083297991646</v>
      </c>
      <c r="AG860" s="6" t="n">
        <v>1.17092490517728</v>
      </c>
      <c r="AH860" s="6" t="n">
        <v>-2.18078554384813</v>
      </c>
      <c r="AI860" s="6" t="n">
        <v>-3.91160023351988</v>
      </c>
      <c r="AJ860" s="6" t="n">
        <v>83.4533788631269</v>
      </c>
      <c r="AK860" s="6" t="n">
        <v>0.149256448936915</v>
      </c>
      <c r="AL860" s="6" t="n">
        <v>1.01444506186227</v>
      </c>
      <c r="AN860" s="6" t="n">
        <v>1.3199536341195</v>
      </c>
      <c r="AO860" s="6" t="n">
        <v>1.32031598827003</v>
      </c>
      <c r="AP860" s="6" t="n">
        <v>0.13857543002851</v>
      </c>
      <c r="AQ860" s="6" t="n">
        <v>0</v>
      </c>
      <c r="AR860" s="6" t="n">
        <v>0</v>
      </c>
    </row>
    <row r="861" customFormat="false" ht="15" hidden="false" customHeight="false" outlineLevel="0" collapsed="false">
      <c r="D861" s="0" t="s">
        <v>987</v>
      </c>
      <c r="J861" s="6" t="n">
        <v>-0.165812575460203</v>
      </c>
      <c r="K861" s="6" t="n">
        <v>-0.26223654254278</v>
      </c>
      <c r="L861" s="6" t="n">
        <v>-0.870242553552792</v>
      </c>
      <c r="M861" s="6" t="n">
        <v>-2.20674949081722</v>
      </c>
      <c r="N861" s="6" t="n">
        <v>4.07411229501317</v>
      </c>
      <c r="O861" s="6" t="n">
        <v>0.224129307192815</v>
      </c>
      <c r="P861" s="6" t="n">
        <v>-1.04242019831665</v>
      </c>
      <c r="Q861" s="6" t="n">
        <v>-0.182020813172718</v>
      </c>
      <c r="R861" s="6" t="n">
        <v>-2.79182121323439</v>
      </c>
      <c r="S861" s="6" t="n">
        <v>-2.1218557652319</v>
      </c>
      <c r="T861" s="6" t="n">
        <v>-1.45521904170249</v>
      </c>
      <c r="U861" s="6" t="n">
        <v>0.549487973752565</v>
      </c>
      <c r="V861" s="6" t="n">
        <v>-2.33247721473351</v>
      </c>
      <c r="W861" s="6" t="n">
        <v>-1.10508056565579</v>
      </c>
      <c r="X861" s="6" t="n">
        <v>-2.33307632760893</v>
      </c>
      <c r="Y861" s="6" t="n">
        <v>0.0604151088483285</v>
      </c>
      <c r="Z861" s="6" t="n">
        <v>0.312382304811119</v>
      </c>
      <c r="AA861" s="6" t="n">
        <v>-2.1776580599443</v>
      </c>
      <c r="AB861" s="6" t="n">
        <v>0.0361988482908007</v>
      </c>
      <c r="AC861" s="6" t="n">
        <v>-1.79934771581494</v>
      </c>
      <c r="AD861" s="6" t="n">
        <v>1.30648057599743</v>
      </c>
      <c r="AE861" s="6" t="n">
        <v>0.248575827656681</v>
      </c>
      <c r="AF861" s="6" t="n">
        <v>-2.7730527021992</v>
      </c>
      <c r="AG861" s="6" t="n">
        <v>1.46324337633556</v>
      </c>
      <c r="AH861" s="6" t="n">
        <v>0.235768684950371</v>
      </c>
      <c r="AI861" s="6" t="n">
        <v>-0.648718257856624</v>
      </c>
      <c r="AJ861" s="6" t="n">
        <v>73.4962251652927</v>
      </c>
      <c r="AK861" s="6" t="n">
        <v>0.12973011080481</v>
      </c>
      <c r="AL861" s="6" t="n">
        <v>1.06293644497881</v>
      </c>
      <c r="AN861" s="6" t="n">
        <v>1.29039268800842</v>
      </c>
      <c r="AO861" s="6" t="n">
        <v>1.29102275770937</v>
      </c>
      <c r="AP861" s="6" t="n">
        <v>0.132861363913064</v>
      </c>
      <c r="AQ861" s="6" t="n">
        <v>0</v>
      </c>
      <c r="AR861" s="6" t="n">
        <v>0</v>
      </c>
    </row>
    <row r="862" customFormat="false" ht="15" hidden="false" customHeight="false" outlineLevel="0" collapsed="false">
      <c r="D862" s="0" t="s">
        <v>988</v>
      </c>
      <c r="J862" s="6" t="n">
        <v>1.18488971512912</v>
      </c>
      <c r="K862" s="6" t="n">
        <v>3.73398461735227</v>
      </c>
      <c r="L862" s="6" t="n">
        <v>0.408618473063718</v>
      </c>
      <c r="M862" s="6" t="n">
        <v>-0.637899079302298</v>
      </c>
      <c r="N862" s="6" t="n">
        <v>0.876996219528393</v>
      </c>
      <c r="O862" s="6" t="n">
        <v>-5.16301712453228</v>
      </c>
      <c r="P862" s="6" t="n">
        <v>0.159546361460367</v>
      </c>
      <c r="Q862" s="6" t="n">
        <v>0.383225815929436</v>
      </c>
      <c r="R862" s="6" t="n">
        <v>-0.350487271765968</v>
      </c>
      <c r="S862" s="6" t="n">
        <v>2.09167482003302</v>
      </c>
      <c r="T862" s="6" t="n">
        <v>2.28858583803255</v>
      </c>
      <c r="U862" s="6" t="n">
        <v>1.46012245844734</v>
      </c>
      <c r="V862" s="6" t="n">
        <v>-0.978790794271797</v>
      </c>
      <c r="W862" s="6" t="n">
        <v>-0.435429510329461</v>
      </c>
      <c r="X862" s="6" t="n">
        <v>-0.482049421106736</v>
      </c>
      <c r="Y862" s="6" t="n">
        <v>0.733347781707815</v>
      </c>
      <c r="Z862" s="6" t="n">
        <v>-1.02604675228674</v>
      </c>
      <c r="AA862" s="6" t="n">
        <v>-3.73164676125417</v>
      </c>
      <c r="AB862" s="6" t="n">
        <v>-4.47992395534682</v>
      </c>
      <c r="AC862" s="6" t="n">
        <v>1.86601161196271</v>
      </c>
      <c r="AD862" s="6" t="n">
        <v>1.02960776713344</v>
      </c>
      <c r="AE862" s="6" t="n">
        <v>0.464513003788791</v>
      </c>
      <c r="AF862" s="6" t="n">
        <v>2.67521466838228</v>
      </c>
      <c r="AG862" s="6" t="n">
        <v>-0.49826841162185</v>
      </c>
      <c r="AH862" s="6" t="n">
        <v>-2.44557947219087</v>
      </c>
      <c r="AI862" s="6" t="n">
        <v>3.11830389135215</v>
      </c>
      <c r="AJ862" s="6" t="n">
        <v>67.6859363792443</v>
      </c>
      <c r="AK862" s="6" t="n">
        <v>0.142561016450518</v>
      </c>
      <c r="AL862" s="6" t="n">
        <v>1.03568271738688</v>
      </c>
      <c r="AN862" s="6" t="n">
        <v>1.27289487681532</v>
      </c>
      <c r="AO862" s="6" t="n">
        <v>1.2817137321445</v>
      </c>
      <c r="AP862" s="6" t="n">
        <v>0.134437822591665</v>
      </c>
      <c r="AQ862" s="6" t="n">
        <v>0</v>
      </c>
      <c r="AR862" s="6" t="n">
        <v>0</v>
      </c>
    </row>
    <row r="863" customFormat="false" ht="15" hidden="false" customHeight="false" outlineLevel="0" collapsed="false">
      <c r="D863" s="0" t="s">
        <v>989</v>
      </c>
      <c r="J863" s="6" t="n">
        <v>-3.68856548613952</v>
      </c>
      <c r="K863" s="6" t="n">
        <v>1.25294224456744</v>
      </c>
      <c r="L863" s="6" t="n">
        <v>-0.520717014199397</v>
      </c>
      <c r="M863" s="6" t="n">
        <v>0.712743390630635</v>
      </c>
      <c r="N863" s="6" t="n">
        <v>0.385590920886065</v>
      </c>
      <c r="O863" s="6" t="n">
        <v>-1.6907632508443</v>
      </c>
      <c r="P863" s="6" t="n">
        <v>0.320178106886534</v>
      </c>
      <c r="Q863" s="6" t="n">
        <v>-2.35488151737507</v>
      </c>
      <c r="R863" s="6" t="n">
        <v>3.18476781875646</v>
      </c>
      <c r="S863" s="6" t="n">
        <v>2.05962975655859</v>
      </c>
      <c r="T863" s="6" t="n">
        <v>-1.53997738181922</v>
      </c>
      <c r="U863" s="6" t="n">
        <v>2.28041728646993</v>
      </c>
      <c r="V863" s="6" t="n">
        <v>-1.25934285176615</v>
      </c>
      <c r="W863" s="6" t="n">
        <v>3.91021305677182</v>
      </c>
      <c r="X863" s="6" t="n">
        <v>-0.0508917403796736</v>
      </c>
      <c r="Y863" s="6" t="n">
        <v>0.565975822868473</v>
      </c>
      <c r="Z863" s="6" t="n">
        <v>2.55527822250719</v>
      </c>
      <c r="AA863" s="6" t="n">
        <v>-1.08585792216361</v>
      </c>
      <c r="AB863" s="6" t="n">
        <v>-3.13822954481947</v>
      </c>
      <c r="AC863" s="6" t="n">
        <v>-0.597439857066312</v>
      </c>
      <c r="AD863" s="6" t="n">
        <v>1.41798004969017</v>
      </c>
      <c r="AE863" s="6" t="n">
        <v>2.75721552787958</v>
      </c>
      <c r="AF863" s="6" t="n">
        <v>-1.03758202460319</v>
      </c>
      <c r="AG863" s="6" t="n">
        <v>-2.8508958194174</v>
      </c>
      <c r="AH863" s="6" t="n">
        <v>1.18455871308645</v>
      </c>
      <c r="AI863" s="6" t="n">
        <v>4.16444979427126</v>
      </c>
      <c r="AJ863" s="6" t="n">
        <v>81.0145875960212</v>
      </c>
      <c r="AK863" s="6" t="n">
        <v>0.102117301117299</v>
      </c>
      <c r="AL863" s="6" t="n">
        <v>1.06790645129428</v>
      </c>
      <c r="AN863" s="6" t="n">
        <v>1.29598401601098</v>
      </c>
      <c r="AO863" s="6" t="n">
        <v>1.29704016197112</v>
      </c>
      <c r="AP863" s="6" t="n">
        <v>0.133628438578242</v>
      </c>
      <c r="AQ863" s="6" t="n">
        <v>0</v>
      </c>
      <c r="AR863" s="6" t="n">
        <v>0</v>
      </c>
    </row>
    <row r="864" customFormat="false" ht="15" hidden="false" customHeight="false" outlineLevel="0" collapsed="false">
      <c r="D864" s="0" t="s">
        <v>990</v>
      </c>
      <c r="J864" s="6" t="n">
        <v>-1.53604554462619</v>
      </c>
      <c r="K864" s="6" t="n">
        <v>-0.078239073369525</v>
      </c>
      <c r="L864" s="6" t="n">
        <v>5</v>
      </c>
      <c r="M864" s="6" t="n">
        <v>-4.22055381561583</v>
      </c>
      <c r="N864" s="6" t="n">
        <v>0.878317980817879</v>
      </c>
      <c r="O864" s="6" t="n">
        <v>-0.541971634447757</v>
      </c>
      <c r="P864" s="6" t="n">
        <v>2.12793088121622</v>
      </c>
      <c r="Q864" s="6" t="n">
        <v>1.17958433473404</v>
      </c>
      <c r="R864" s="6" t="n">
        <v>-2.232060631559</v>
      </c>
      <c r="S864" s="6" t="n">
        <v>-0.366435354273181</v>
      </c>
      <c r="T864" s="6" t="n">
        <v>2.64459008546957</v>
      </c>
      <c r="U864" s="6" t="n">
        <v>0.330417972610015</v>
      </c>
      <c r="V864" s="6" t="n">
        <v>-1.52843717988961</v>
      </c>
      <c r="W864" s="6" t="n">
        <v>-0.123813357060003</v>
      </c>
      <c r="X864" s="6" t="n">
        <v>4.09771647259156</v>
      </c>
      <c r="Y864" s="6" t="n">
        <v>2.56767940292621</v>
      </c>
      <c r="Z864" s="6" t="n">
        <v>-1.51052937234734</v>
      </c>
      <c r="AA864" s="6" t="n">
        <v>-0.937486416292118</v>
      </c>
      <c r="AB864" s="6" t="n">
        <v>1.77887949493852</v>
      </c>
      <c r="AC864" s="6" t="n">
        <v>0.228975516227557</v>
      </c>
      <c r="AD864" s="6" t="n">
        <v>5</v>
      </c>
      <c r="AE864" s="6" t="n">
        <v>1.05404236195374</v>
      </c>
      <c r="AF864" s="6" t="n">
        <v>3.84375009949886</v>
      </c>
      <c r="AG864" s="6" t="n">
        <v>1.94382971348615</v>
      </c>
      <c r="AH864" s="6" t="n">
        <v>5</v>
      </c>
      <c r="AI864" s="6" t="n">
        <v>3.73445467202239</v>
      </c>
      <c r="AJ864" s="6" t="n">
        <v>71.1562397324411</v>
      </c>
      <c r="AK864" s="6" t="n">
        <v>0.0713906834740079</v>
      </c>
      <c r="AL864" s="6" t="n">
        <v>1.07260973825929</v>
      </c>
      <c r="AN864" s="6" t="n">
        <v>1.29189904342507</v>
      </c>
      <c r="AO864" s="6" t="n">
        <v>1.29296032136165</v>
      </c>
      <c r="AP864" s="6" t="n">
        <v>0.133080687540148</v>
      </c>
      <c r="AQ864" s="6" t="n">
        <v>0</v>
      </c>
      <c r="AR864" s="6" t="n">
        <v>0</v>
      </c>
    </row>
    <row r="865" customFormat="false" ht="15" hidden="false" customHeight="false" outlineLevel="0" collapsed="false">
      <c r="D865" s="0" t="s">
        <v>991</v>
      </c>
      <c r="J865" s="6" t="n">
        <v>0.647281037677056</v>
      </c>
      <c r="K865" s="6" t="n">
        <v>2.55777971773416</v>
      </c>
      <c r="L865" s="6" t="n">
        <v>0.948901020385658</v>
      </c>
      <c r="M865" s="6" t="n">
        <v>-3.2210232588449</v>
      </c>
      <c r="N865" s="6" t="n">
        <v>-1.29093194337799</v>
      </c>
      <c r="O865" s="6" t="n">
        <v>-1.14159486584674</v>
      </c>
      <c r="P865" s="6" t="n">
        <v>-3.03308772703227</v>
      </c>
      <c r="Q865" s="6" t="n">
        <v>0.86887576376647</v>
      </c>
      <c r="R865" s="6" t="n">
        <v>-1.92168886034002</v>
      </c>
      <c r="S865" s="6" t="n">
        <v>1.26074704337961</v>
      </c>
      <c r="T865" s="6" t="n">
        <v>-0.309145623839173</v>
      </c>
      <c r="U865" s="6" t="n">
        <v>2.98215657315235</v>
      </c>
      <c r="V865" s="6" t="n">
        <v>1.08684964781346</v>
      </c>
      <c r="W865" s="6" t="n">
        <v>-0.0512521037822626</v>
      </c>
      <c r="X865" s="6" t="n">
        <v>-3.54493755871478</v>
      </c>
      <c r="Y865" s="6" t="n">
        <v>1.66574397122945</v>
      </c>
      <c r="Z865" s="6" t="n">
        <v>-1.21980917476879</v>
      </c>
      <c r="AA865" s="6" t="n">
        <v>-0.148362084096466</v>
      </c>
      <c r="AB865" s="6" t="n">
        <v>1.09276308113604</v>
      </c>
      <c r="AC865" s="6" t="n">
        <v>-1.85339856899978</v>
      </c>
      <c r="AD865" s="6" t="n">
        <v>-0.196567703599636</v>
      </c>
      <c r="AE865" s="6" t="n">
        <v>2.10028960050948</v>
      </c>
      <c r="AF865" s="6" t="n">
        <v>0.462177575520201</v>
      </c>
      <c r="AG865" s="6" t="n">
        <v>0.102397622224482</v>
      </c>
      <c r="AH865" s="6" t="n">
        <v>-0.800371159907513</v>
      </c>
      <c r="AI865" s="6" t="n">
        <v>0.736900912916004</v>
      </c>
      <c r="AJ865" s="6" t="n">
        <v>81.4358751208896</v>
      </c>
      <c r="AK865" s="6" t="n">
        <v>0.124261253125294</v>
      </c>
      <c r="AL865" s="6" t="n">
        <v>1.07127528073504</v>
      </c>
      <c r="AN865" s="6" t="n">
        <v>1.29284597490175</v>
      </c>
      <c r="AO865" s="6" t="n">
        <v>1.29312336788771</v>
      </c>
      <c r="AP865" s="6" t="n">
        <v>0.132521438462741</v>
      </c>
      <c r="AQ865" s="6" t="n">
        <v>0</v>
      </c>
      <c r="AR865" s="6" t="n">
        <v>0</v>
      </c>
    </row>
    <row r="866" customFormat="false" ht="15" hidden="false" customHeight="false" outlineLevel="0" collapsed="false">
      <c r="D866" s="0" t="s">
        <v>992</v>
      </c>
      <c r="J866" s="6" t="n">
        <v>1.32486004041306</v>
      </c>
      <c r="K866" s="6" t="n">
        <v>-0.667016117814981</v>
      </c>
      <c r="L866" s="6" t="n">
        <v>2.72952348887102</v>
      </c>
      <c r="M866" s="6" t="n">
        <v>3.04400977123898</v>
      </c>
      <c r="N866" s="6" t="n">
        <v>1.23952489772217</v>
      </c>
      <c r="O866" s="6" t="n">
        <v>-1.63474410528406</v>
      </c>
      <c r="P866" s="6" t="n">
        <v>-0.0548392500284625</v>
      </c>
      <c r="Q866" s="6" t="n">
        <v>0.711284584237367</v>
      </c>
      <c r="R866" s="6" t="n">
        <v>1.03842920522598</v>
      </c>
      <c r="S866" s="6" t="n">
        <v>0.741464543720869</v>
      </c>
      <c r="T866" s="6" t="n">
        <v>-2.57091373762794</v>
      </c>
      <c r="U866" s="6" t="n">
        <v>1.54910951217764</v>
      </c>
      <c r="V866" s="6" t="n">
        <v>-1.27342532119257</v>
      </c>
      <c r="W866" s="6" t="n">
        <v>0.504097623289627</v>
      </c>
      <c r="X866" s="6" t="n">
        <v>-0.0441236351547102</v>
      </c>
      <c r="Y866" s="6" t="n">
        <v>3.45135742171806</v>
      </c>
      <c r="Z866" s="6" t="n">
        <v>0.825367064703737</v>
      </c>
      <c r="AA866" s="6" t="n">
        <v>2.58277983653507</v>
      </c>
      <c r="AB866" s="6" t="n">
        <v>-3.42022913629619</v>
      </c>
      <c r="AC866" s="6" t="n">
        <v>-1.22697074549443</v>
      </c>
      <c r="AD866" s="6" t="n">
        <v>2.1938483965999</v>
      </c>
      <c r="AE866" s="6" t="n">
        <v>-0.0136914343674034</v>
      </c>
      <c r="AF866" s="6" t="n">
        <v>-2.83159234374862</v>
      </c>
      <c r="AG866" s="6" t="n">
        <v>0.410387151652535</v>
      </c>
      <c r="AH866" s="6" t="n">
        <v>-2.78298691442794</v>
      </c>
      <c r="AI866" s="6" t="n">
        <v>1.6885323749542</v>
      </c>
      <c r="AJ866" s="6" t="n">
        <v>66.2816926334934</v>
      </c>
      <c r="AK866" s="6" t="n">
        <v>0.125930180834621</v>
      </c>
      <c r="AL866" s="6" t="n">
        <v>0.999697772003326</v>
      </c>
      <c r="AN866" s="6" t="n">
        <v>1.3096548757435</v>
      </c>
      <c r="AO866" s="6" t="n">
        <v>1.3096548757435</v>
      </c>
      <c r="AP866" s="6" t="n">
        <v>0.139843753200825</v>
      </c>
      <c r="AQ866" s="6" t="n">
        <v>0</v>
      </c>
      <c r="AR866" s="6" t="n">
        <v>0</v>
      </c>
    </row>
    <row r="867" customFormat="false" ht="15" hidden="false" customHeight="false" outlineLevel="0" collapsed="false">
      <c r="D867" s="0" t="s">
        <v>993</v>
      </c>
      <c r="J867" s="6" t="n">
        <v>3.59942173954255</v>
      </c>
      <c r="K867" s="6" t="n">
        <v>2.70625158354152</v>
      </c>
      <c r="L867" s="6" t="n">
        <v>1.90198074091203</v>
      </c>
      <c r="M867" s="6" t="n">
        <v>1.35557820004362</v>
      </c>
      <c r="N867" s="6" t="n">
        <v>0.693542415834554</v>
      </c>
      <c r="O867" s="6" t="n">
        <v>0.768994694705608</v>
      </c>
      <c r="P867" s="6" t="n">
        <v>-0.624336619601251</v>
      </c>
      <c r="Q867" s="6" t="n">
        <v>3.56925016747425</v>
      </c>
      <c r="R867" s="6" t="n">
        <v>1.44524199134423</v>
      </c>
      <c r="S867" s="6" t="n">
        <v>-1.07084217225826</v>
      </c>
      <c r="T867" s="6" t="n">
        <v>-0.160459154664355</v>
      </c>
      <c r="U867" s="6" t="n">
        <v>-0.609409201448592</v>
      </c>
      <c r="V867" s="6" t="n">
        <v>0.30697294400202</v>
      </c>
      <c r="W867" s="6" t="n">
        <v>1.8868008215988</v>
      </c>
      <c r="X867" s="6" t="n">
        <v>3.61926471992159</v>
      </c>
      <c r="Y867" s="6" t="n">
        <v>0.526938599519223</v>
      </c>
      <c r="Z867" s="6" t="n">
        <v>-5.79081307247009</v>
      </c>
      <c r="AA867" s="6" t="n">
        <v>-0.599897015579748</v>
      </c>
      <c r="AB867" s="6" t="n">
        <v>-0.770965379517063</v>
      </c>
      <c r="AC867" s="6" t="n">
        <v>3.60240790232294</v>
      </c>
      <c r="AD867" s="6" t="n">
        <v>2.39121727567112</v>
      </c>
      <c r="AE867" s="6" t="n">
        <v>-1.48643503891952</v>
      </c>
      <c r="AF867" s="6" t="n">
        <v>-0.25001864556067</v>
      </c>
      <c r="AG867" s="6" t="n">
        <v>1.62222592415903</v>
      </c>
      <c r="AH867" s="6" t="n">
        <v>0.975372232788164</v>
      </c>
      <c r="AI867" s="6" t="n">
        <v>-1.71423853497863</v>
      </c>
      <c r="AJ867" s="6" t="n">
        <v>76.9338324463879</v>
      </c>
      <c r="AK867" s="6" t="n">
        <v>0.148115724222776</v>
      </c>
      <c r="AL867" s="6" t="n">
        <v>1.10050932371101</v>
      </c>
      <c r="AN867" s="6" t="n">
        <v>1.27476136337003</v>
      </c>
      <c r="AO867" s="6" t="n">
        <v>1.27554095310852</v>
      </c>
      <c r="AP867" s="6" t="n">
        <v>0.130111189725809</v>
      </c>
      <c r="AQ867" s="6" t="n">
        <v>0</v>
      </c>
      <c r="AR867" s="6" t="n">
        <v>0</v>
      </c>
    </row>
    <row r="868" customFormat="false" ht="15" hidden="false" customHeight="false" outlineLevel="0" collapsed="false">
      <c r="D868" s="0" t="s">
        <v>994</v>
      </c>
      <c r="J868" s="6" t="n">
        <v>1.669982881883</v>
      </c>
      <c r="K868" s="6" t="n">
        <v>1.56153290326161</v>
      </c>
      <c r="L868" s="6" t="n">
        <v>-0.572861508850881</v>
      </c>
      <c r="M868" s="6" t="n">
        <v>-1.58165225750598</v>
      </c>
      <c r="N868" s="6" t="n">
        <v>-2.20899697011666</v>
      </c>
      <c r="O868" s="6" t="n">
        <v>0.81365976320416</v>
      </c>
      <c r="P868" s="6" t="n">
        <v>-2.11137607567215</v>
      </c>
      <c r="Q868" s="6" t="n">
        <v>-1.02315250602333</v>
      </c>
      <c r="R868" s="6" t="n">
        <v>-0.876170668627496</v>
      </c>
      <c r="S868" s="6" t="n">
        <v>0.937695486818915</v>
      </c>
      <c r="T868" s="6" t="n">
        <v>-0.926933819964598</v>
      </c>
      <c r="U868" s="6" t="n">
        <v>3.81523151725951</v>
      </c>
      <c r="V868" s="6" t="n">
        <v>-0.98391003505917</v>
      </c>
      <c r="W868" s="6" t="n">
        <v>-2.00156583879101</v>
      </c>
      <c r="X868" s="6" t="n">
        <v>-3.17520179247188</v>
      </c>
      <c r="Y868" s="6" t="n">
        <v>-2.54335707258703</v>
      </c>
      <c r="Z868" s="6" t="n">
        <v>2.04218948253505</v>
      </c>
      <c r="AA868" s="6" t="n">
        <v>-0.883234276821756</v>
      </c>
      <c r="AB868" s="6" t="n">
        <v>1.22805472508438</v>
      </c>
      <c r="AC868" s="6" t="n">
        <v>5</v>
      </c>
      <c r="AD868" s="6" t="n">
        <v>0.332161150191518</v>
      </c>
      <c r="AE868" s="6" t="n">
        <v>2.33999642164674</v>
      </c>
      <c r="AF868" s="6" t="n">
        <v>1.33121604862342</v>
      </c>
      <c r="AG868" s="6" t="n">
        <v>-1.33744084970368</v>
      </c>
      <c r="AH868" s="6" t="n">
        <v>2.40585138200922</v>
      </c>
      <c r="AI868" s="6" t="n">
        <v>-2.43341999072309</v>
      </c>
      <c r="AJ868" s="6" t="n">
        <v>75.5593856837767</v>
      </c>
      <c r="AK868" s="6" t="n">
        <v>0.172654157815103</v>
      </c>
      <c r="AL868" s="6" t="n">
        <v>1.09243145178311</v>
      </c>
      <c r="AN868" s="6" t="n">
        <v>1.27462798396617</v>
      </c>
      <c r="AO868" s="6" t="n">
        <v>1.27509467976155</v>
      </c>
      <c r="AP868" s="6" t="n">
        <v>0.129571855459844</v>
      </c>
      <c r="AQ868" s="6" t="n">
        <v>0</v>
      </c>
      <c r="AR868" s="6" t="n">
        <v>0</v>
      </c>
    </row>
    <row r="869" customFormat="false" ht="15" hidden="false" customHeight="false" outlineLevel="0" collapsed="false">
      <c r="D869" s="0" t="s">
        <v>995</v>
      </c>
      <c r="J869" s="6" t="n">
        <v>-1.70065763287297</v>
      </c>
      <c r="K869" s="6" t="n">
        <v>-2.10008535048723</v>
      </c>
      <c r="L869" s="6" t="n">
        <v>-4.32698860091114</v>
      </c>
      <c r="M869" s="6" t="n">
        <v>1.04891812234985</v>
      </c>
      <c r="N869" s="6" t="n">
        <v>0.289863015303028</v>
      </c>
      <c r="O869" s="6" t="n">
        <v>-0.27969917536966</v>
      </c>
      <c r="P869" s="6" t="n">
        <v>1.32844277601705</v>
      </c>
      <c r="Q869" s="6" t="n">
        <v>1.20290628473962</v>
      </c>
      <c r="R869" s="6" t="n">
        <v>2.63222299924089</v>
      </c>
      <c r="S869" s="6" t="n">
        <v>-1.3041515917798</v>
      </c>
      <c r="T869" s="6" t="n">
        <v>2.55995823373773</v>
      </c>
      <c r="U869" s="6" t="n">
        <v>-0.722847555854728</v>
      </c>
      <c r="V869" s="6" t="n">
        <v>2.26806746395155</v>
      </c>
      <c r="W869" s="6" t="n">
        <v>-1.73197879787491</v>
      </c>
      <c r="X869" s="6" t="n">
        <v>1.87907862115209</v>
      </c>
      <c r="Y869" s="6" t="n">
        <v>-4.45276565887961</v>
      </c>
      <c r="Z869" s="6" t="n">
        <v>0.300144840629929</v>
      </c>
      <c r="AA869" s="6" t="n">
        <v>0.964917930745265</v>
      </c>
      <c r="AB869" s="6" t="n">
        <v>0.847884132189387</v>
      </c>
      <c r="AC869" s="6" t="n">
        <v>0.27210597230369</v>
      </c>
      <c r="AD869" s="6" t="n">
        <v>4.2206172652013</v>
      </c>
      <c r="AE869" s="6" t="n">
        <v>-4.28309741911034</v>
      </c>
      <c r="AF869" s="6" t="n">
        <v>-0.992892628668143</v>
      </c>
      <c r="AG869" s="6" t="n">
        <v>-1.96376445642112</v>
      </c>
      <c r="AH869" s="6" t="n">
        <v>1.24395736862725</v>
      </c>
      <c r="AI869" s="6" t="n">
        <v>2.48859997267192</v>
      </c>
      <c r="AJ869" s="6" t="n">
        <v>79.2313808623395</v>
      </c>
      <c r="AK869" s="6" t="n">
        <v>0.0547430921740107</v>
      </c>
      <c r="AL869" s="6" t="n">
        <v>1.02492409995198</v>
      </c>
      <c r="AN869" s="6" t="n">
        <v>1.31654055844221</v>
      </c>
      <c r="AO869" s="6" t="n">
        <v>1.31654055844221</v>
      </c>
      <c r="AP869" s="6" t="n">
        <v>0.139255548089915</v>
      </c>
      <c r="AQ869" s="6" t="n">
        <v>0</v>
      </c>
      <c r="AR869" s="6" t="n">
        <v>0</v>
      </c>
    </row>
    <row r="870" customFormat="false" ht="15" hidden="false" customHeight="false" outlineLevel="0" collapsed="false">
      <c r="D870" s="0" t="s">
        <v>996</v>
      </c>
      <c r="J870" s="6" t="n">
        <v>-1.30627983443891</v>
      </c>
      <c r="K870" s="6" t="n">
        <v>-0.569745211421173</v>
      </c>
      <c r="L870" s="6" t="n">
        <v>-1.86561222316402</v>
      </c>
      <c r="M870" s="6" t="n">
        <v>1.64297758088675</v>
      </c>
      <c r="N870" s="6" t="n">
        <v>2.38704771559793</v>
      </c>
      <c r="O870" s="6" t="n">
        <v>-0.685990671002977</v>
      </c>
      <c r="P870" s="6" t="n">
        <v>-2.62760125183274</v>
      </c>
      <c r="Q870" s="6" t="n">
        <v>2.54313614515385</v>
      </c>
      <c r="R870" s="6" t="n">
        <v>-0.793685939684131</v>
      </c>
      <c r="S870" s="6" t="n">
        <v>-2.04278528835836</v>
      </c>
      <c r="T870" s="6" t="n">
        <v>1.85146412558651</v>
      </c>
      <c r="U870" s="6" t="n">
        <v>1.28934770677417</v>
      </c>
      <c r="V870" s="6" t="n">
        <v>1.99807609336449</v>
      </c>
      <c r="W870" s="6" t="n">
        <v>1.71464321673566</v>
      </c>
      <c r="X870" s="6" t="n">
        <v>0.119301889930919</v>
      </c>
      <c r="Y870" s="6" t="n">
        <v>0.805434749929176</v>
      </c>
      <c r="Z870" s="6" t="n">
        <v>-1.69248301494552</v>
      </c>
      <c r="AA870" s="6" t="n">
        <v>-2.9774930205366</v>
      </c>
      <c r="AB870" s="6" t="n">
        <v>0.319345460634683</v>
      </c>
      <c r="AC870" s="6" t="n">
        <v>-2.07344992197672</v>
      </c>
      <c r="AD870" s="6" t="n">
        <v>2.18620186225298</v>
      </c>
      <c r="AE870" s="6" t="n">
        <v>-1.2175963707481</v>
      </c>
      <c r="AF870" s="6" t="n">
        <v>-0.642892136358941</v>
      </c>
      <c r="AG870" s="6" t="n">
        <v>2.85766921947332</v>
      </c>
      <c r="AH870" s="6" t="n">
        <v>-3.40326587233967</v>
      </c>
      <c r="AI870" s="6" t="n">
        <v>1.10410375139345</v>
      </c>
      <c r="AJ870" s="6" t="n">
        <v>64.5099074527212</v>
      </c>
      <c r="AK870" s="6" t="n">
        <v>0.154300238871026</v>
      </c>
      <c r="AL870" s="6" t="n">
        <v>1.01713995294586</v>
      </c>
      <c r="AN870" s="6" t="n">
        <v>1.30409578562509</v>
      </c>
      <c r="AO870" s="6" t="n">
        <v>1.30522450033322</v>
      </c>
      <c r="AP870" s="6" t="n">
        <v>0.136569455789903</v>
      </c>
      <c r="AQ870" s="6" t="n">
        <v>0</v>
      </c>
      <c r="AR870" s="6" t="n">
        <v>0</v>
      </c>
    </row>
    <row r="871" customFormat="false" ht="15" hidden="false" customHeight="false" outlineLevel="0" collapsed="false">
      <c r="D871" s="0" t="s">
        <v>997</v>
      </c>
      <c r="J871" s="6" t="n">
        <v>1.49110139058344</v>
      </c>
      <c r="K871" s="6" t="n">
        <v>-1.17781521255217</v>
      </c>
      <c r="L871" s="6" t="n">
        <v>-0.631317169780866</v>
      </c>
      <c r="M871" s="6" t="n">
        <v>1.94208734471445</v>
      </c>
      <c r="N871" s="6" t="n">
        <v>1.08996360459852</v>
      </c>
      <c r="O871" s="6" t="n">
        <v>2.53451719534254</v>
      </c>
      <c r="P871" s="6" t="n">
        <v>3.08579801059499</v>
      </c>
      <c r="Q871" s="6" t="n">
        <v>3.05708348592787</v>
      </c>
      <c r="R871" s="6" t="n">
        <v>-0.477106552240169</v>
      </c>
      <c r="S871" s="6" t="n">
        <v>-1.52629968979075</v>
      </c>
      <c r="T871" s="6" t="n">
        <v>-0.0519088926358016</v>
      </c>
      <c r="U871" s="6" t="n">
        <v>2.16976618584548</v>
      </c>
      <c r="V871" s="6" t="n">
        <v>2.61923618050809</v>
      </c>
      <c r="W871" s="6" t="n">
        <v>-0.0738433163394825</v>
      </c>
      <c r="X871" s="6" t="n">
        <v>0.4873160019868</v>
      </c>
      <c r="Y871" s="6" t="n">
        <v>-0.961149816505833</v>
      </c>
      <c r="Z871" s="6" t="n">
        <v>-0.10819494113568</v>
      </c>
      <c r="AA871" s="6" t="n">
        <v>-1.04471902689301</v>
      </c>
      <c r="AB871" s="6" t="n">
        <v>-1.27525925413195</v>
      </c>
      <c r="AC871" s="6" t="n">
        <v>0.484777005202548</v>
      </c>
      <c r="AD871" s="6" t="n">
        <v>3.79537586761974</v>
      </c>
      <c r="AE871" s="6" t="n">
        <v>-1.31716246583558</v>
      </c>
      <c r="AF871" s="6" t="n">
        <v>-3.62461622054972</v>
      </c>
      <c r="AG871" s="6" t="n">
        <v>0.61833610701085</v>
      </c>
      <c r="AH871" s="6" t="n">
        <v>-0.128255006719738</v>
      </c>
      <c r="AI871" s="6" t="n">
        <v>0.0453735090182457</v>
      </c>
      <c r="AJ871" s="6" t="n">
        <v>78.2680209368324</v>
      </c>
      <c r="AK871" s="6" t="n">
        <v>0.151665044696675</v>
      </c>
      <c r="AL871" s="6" t="n">
        <v>1.07475017861139</v>
      </c>
      <c r="AN871" s="6" t="n">
        <v>1.28257950612641</v>
      </c>
      <c r="AO871" s="6" t="n">
        <v>1.28298562579966</v>
      </c>
      <c r="AP871" s="6" t="n">
        <v>0.131690522790426</v>
      </c>
      <c r="AQ871" s="6" t="n">
        <v>0</v>
      </c>
      <c r="AR871" s="6" t="n">
        <v>0</v>
      </c>
    </row>
    <row r="872" customFormat="false" ht="15" hidden="false" customHeight="false" outlineLevel="0" collapsed="false">
      <c r="D872" s="0" t="s">
        <v>998</v>
      </c>
      <c r="J872" s="6" t="n">
        <v>0.741173604113775</v>
      </c>
      <c r="K872" s="6" t="n">
        <v>-0.634733097551717</v>
      </c>
      <c r="L872" s="6" t="n">
        <v>1.96677908667617</v>
      </c>
      <c r="M872" s="6" t="n">
        <v>1.02180586425023</v>
      </c>
      <c r="N872" s="6" t="n">
        <v>2.94690462458709</v>
      </c>
      <c r="O872" s="6" t="n">
        <v>0.599920106420578</v>
      </c>
      <c r="P872" s="6" t="n">
        <v>-1.04291226058538</v>
      </c>
      <c r="Q872" s="6" t="n">
        <v>3.04952574219221</v>
      </c>
      <c r="R872" s="6" t="n">
        <v>0.986761962289934</v>
      </c>
      <c r="S872" s="6" t="n">
        <v>0.795356871600142</v>
      </c>
      <c r="T872" s="6" t="n">
        <v>1.54176770642375</v>
      </c>
      <c r="U872" s="6" t="n">
        <v>-0.88999194813953</v>
      </c>
      <c r="V872" s="6" t="n">
        <v>-2.80483381563377</v>
      </c>
      <c r="W872" s="6" t="n">
        <v>3.10491752428134</v>
      </c>
      <c r="X872" s="6" t="n">
        <v>-0.647761029059652</v>
      </c>
      <c r="Y872" s="6" t="n">
        <v>3.39949453555135</v>
      </c>
      <c r="Z872" s="6" t="n">
        <v>-1.40736850522438</v>
      </c>
      <c r="AA872" s="6" t="n">
        <v>-0.154334744066987</v>
      </c>
      <c r="AB872" s="6" t="n">
        <v>0.496498448390835</v>
      </c>
      <c r="AC872" s="6" t="n">
        <v>3.34512181766629</v>
      </c>
      <c r="AD872" s="6" t="n">
        <v>-2.32241708762118</v>
      </c>
      <c r="AE872" s="6" t="n">
        <v>-1.07973555463646</v>
      </c>
      <c r="AF872" s="6" t="n">
        <v>1.79247570870778</v>
      </c>
      <c r="AG872" s="6" t="n">
        <v>1.13022861087149</v>
      </c>
      <c r="AH872" s="6" t="n">
        <v>-0.915785809615382</v>
      </c>
      <c r="AI872" s="6" t="n">
        <v>3.3406364334705</v>
      </c>
      <c r="AJ872" s="6" t="n">
        <v>83.4107725045228</v>
      </c>
      <c r="AK872" s="6" t="n">
        <v>0.0708781983403121</v>
      </c>
      <c r="AL872" s="6" t="n">
        <v>1.07663194417144</v>
      </c>
      <c r="AN872" s="6" t="n">
        <v>1.29625647149417</v>
      </c>
      <c r="AO872" s="6" t="n">
        <v>1.29656649715037</v>
      </c>
      <c r="AP872" s="6" t="n">
        <v>0.134184669824114</v>
      </c>
      <c r="AQ872" s="6" t="n">
        <v>0</v>
      </c>
      <c r="AR872" s="6" t="n">
        <v>0</v>
      </c>
    </row>
    <row r="873" customFormat="false" ht="15" hidden="false" customHeight="false" outlineLevel="0" collapsed="false">
      <c r="D873" s="0" t="s">
        <v>999</v>
      </c>
      <c r="J873" s="6" t="n">
        <v>-1.45361041595023</v>
      </c>
      <c r="K873" s="6" t="n">
        <v>-1.01865442707442</v>
      </c>
      <c r="L873" s="6" t="n">
        <v>1.27420855005327</v>
      </c>
      <c r="M873" s="6" t="n">
        <v>-3.09612705458546</v>
      </c>
      <c r="N873" s="6" t="n">
        <v>0.297828007499961</v>
      </c>
      <c r="O873" s="6" t="n">
        <v>-0.681503073002007</v>
      </c>
      <c r="P873" s="6" t="n">
        <v>0.952982594497719</v>
      </c>
      <c r="Q873" s="6" t="n">
        <v>-1.05458293180584</v>
      </c>
      <c r="R873" s="6" t="n">
        <v>-1.29314813939005</v>
      </c>
      <c r="S873" s="6" t="n">
        <v>-0.0816765652525837</v>
      </c>
      <c r="T873" s="6" t="n">
        <v>1.38852553961133</v>
      </c>
      <c r="U873" s="6" t="n">
        <v>1.13321515565377</v>
      </c>
      <c r="V873" s="6" t="n">
        <v>-1.06591484050644</v>
      </c>
      <c r="W873" s="6" t="n">
        <v>-0.931883517460832</v>
      </c>
      <c r="X873" s="6" t="n">
        <v>2.21438194262518</v>
      </c>
      <c r="Y873" s="6" t="n">
        <v>0.790819617516942</v>
      </c>
      <c r="Z873" s="6" t="n">
        <v>-1.86266902348933</v>
      </c>
      <c r="AA873" s="6" t="n">
        <v>-1.71167674669435</v>
      </c>
      <c r="AB873" s="6" t="n">
        <v>-1.01482073812416</v>
      </c>
      <c r="AC873" s="6" t="n">
        <v>-1.37274606989615</v>
      </c>
      <c r="AD873" s="6" t="n">
        <v>-3.2202865881695</v>
      </c>
      <c r="AE873" s="6" t="n">
        <v>5</v>
      </c>
      <c r="AF873" s="6" t="n">
        <v>2.32797191069684</v>
      </c>
      <c r="AG873" s="6" t="n">
        <v>0.714485587914158</v>
      </c>
      <c r="AH873" s="6" t="n">
        <v>2.34089529630109</v>
      </c>
      <c r="AI873" s="6" t="n">
        <v>0.631068806073594</v>
      </c>
      <c r="AJ873" s="6" t="n">
        <v>76.4361148615016</v>
      </c>
      <c r="AK873" s="6" t="n">
        <v>0.158867866538497</v>
      </c>
      <c r="AL873" s="6" t="n">
        <v>1.0796063876656</v>
      </c>
      <c r="AN873" s="6" t="n">
        <v>1.28105205473551</v>
      </c>
      <c r="AO873" s="6" t="n">
        <v>1.28129500500248</v>
      </c>
      <c r="AP873" s="6" t="n">
        <v>0.130707734767516</v>
      </c>
      <c r="AQ873" s="6" t="n">
        <v>0</v>
      </c>
      <c r="AR873" s="6" t="n">
        <v>0</v>
      </c>
    </row>
    <row r="874" customFormat="false" ht="15" hidden="false" customHeight="false" outlineLevel="0" collapsed="false">
      <c r="D874" s="0" t="s">
        <v>1000</v>
      </c>
      <c r="J874" s="6" t="n">
        <v>1.33240318929263</v>
      </c>
      <c r="K874" s="6" t="n">
        <v>3.75090409033786</v>
      </c>
      <c r="L874" s="6" t="n">
        <v>3.66748855031135</v>
      </c>
      <c r="M874" s="6" t="n">
        <v>-1.13988697721857</v>
      </c>
      <c r="N874" s="6" t="n">
        <v>-0.478107889071012</v>
      </c>
      <c r="O874" s="6" t="n">
        <v>-2.94769276823633</v>
      </c>
      <c r="P874" s="6" t="n">
        <v>-0.0206289246046418</v>
      </c>
      <c r="Q874" s="6" t="n">
        <v>-2.26283396768809</v>
      </c>
      <c r="R874" s="6" t="n">
        <v>0.797788166976546</v>
      </c>
      <c r="S874" s="6" t="n">
        <v>2.88188468947631</v>
      </c>
      <c r="T874" s="6" t="n">
        <v>2.32203867710369</v>
      </c>
      <c r="U874" s="6" t="n">
        <v>1.38037638262049</v>
      </c>
      <c r="V874" s="6" t="n">
        <v>1.58504153912326</v>
      </c>
      <c r="W874" s="6" t="n">
        <v>0.221480698952987</v>
      </c>
      <c r="X874" s="6" t="n">
        <v>1.24494126929748</v>
      </c>
      <c r="Y874" s="6" t="n">
        <v>1.12697827245483</v>
      </c>
      <c r="Z874" s="6" t="n">
        <v>1.23123536534278</v>
      </c>
      <c r="AA874" s="6" t="n">
        <v>-5.88949239889203</v>
      </c>
      <c r="AB874" s="6" t="n">
        <v>-0.815077158571453</v>
      </c>
      <c r="AC874" s="6" t="n">
        <v>-2.17717624847244</v>
      </c>
      <c r="AD874" s="6" t="n">
        <v>-3.96204817074148</v>
      </c>
      <c r="AE874" s="6" t="n">
        <v>3.33191765084649</v>
      </c>
      <c r="AF874" s="6" t="n">
        <v>-0.994445466503185</v>
      </c>
      <c r="AG874" s="6" t="n">
        <v>-3.35428676227169</v>
      </c>
      <c r="AH874" s="6" t="n">
        <v>-3.4817867581569</v>
      </c>
      <c r="AI874" s="6" t="n">
        <v>4.90864879913181</v>
      </c>
      <c r="AJ874" s="6" t="n">
        <v>77.7538458466521</v>
      </c>
      <c r="AK874" s="6" t="n">
        <v>0.108898160546642</v>
      </c>
      <c r="AL874" s="6" t="n">
        <v>1.03275558171479</v>
      </c>
      <c r="AN874" s="6" t="n">
        <v>1.31099497583635</v>
      </c>
      <c r="AO874" s="6" t="n">
        <v>1.31099497583635</v>
      </c>
      <c r="AP874" s="6" t="n">
        <v>0.136341935230988</v>
      </c>
      <c r="AQ874" s="6" t="n">
        <v>0</v>
      </c>
      <c r="AR874" s="6" t="n">
        <v>0</v>
      </c>
    </row>
    <row r="875" customFormat="false" ht="15" hidden="false" customHeight="false" outlineLevel="0" collapsed="false">
      <c r="D875" s="0" t="s">
        <v>1001</v>
      </c>
      <c r="J875" s="6" t="n">
        <v>-1.47637283105479</v>
      </c>
      <c r="K875" s="6" t="n">
        <v>0.913028372468765</v>
      </c>
      <c r="L875" s="6" t="n">
        <v>-2.69201863337519</v>
      </c>
      <c r="M875" s="6" t="n">
        <v>3.02911921880438</v>
      </c>
      <c r="N875" s="6" t="n">
        <v>-2.58064875930917</v>
      </c>
      <c r="O875" s="6" t="n">
        <v>2.25697540123018</v>
      </c>
      <c r="P875" s="6" t="n">
        <v>1.20991766552473</v>
      </c>
      <c r="Q875" s="6" t="n">
        <v>-0.767988429325304</v>
      </c>
      <c r="R875" s="6" t="n">
        <v>-0.0037344732762425</v>
      </c>
      <c r="S875" s="6" t="n">
        <v>-0.172185404577621</v>
      </c>
      <c r="T875" s="6" t="n">
        <v>-2.28882561603992</v>
      </c>
      <c r="U875" s="6" t="n">
        <v>1.03641829575951</v>
      </c>
      <c r="V875" s="6" t="n">
        <v>2.24359991992977</v>
      </c>
      <c r="W875" s="6" t="n">
        <v>-0.946802197327707</v>
      </c>
      <c r="X875" s="6" t="n">
        <v>-0.431294216833765</v>
      </c>
      <c r="Y875" s="6" t="n">
        <v>1.82040486807435</v>
      </c>
      <c r="Z875" s="6" t="n">
        <v>-1.6064193365193</v>
      </c>
      <c r="AA875" s="6" t="n">
        <v>0.153540552128485</v>
      </c>
      <c r="AB875" s="6" t="n">
        <v>-1.3943237808763</v>
      </c>
      <c r="AC875" s="6" t="n">
        <v>-2.44321009720732</v>
      </c>
      <c r="AD875" s="6" t="n">
        <v>2.00630308953381</v>
      </c>
      <c r="AE875" s="6" t="n">
        <v>0.399145619795672</v>
      </c>
      <c r="AF875" s="6" t="n">
        <v>1.18820960198163</v>
      </c>
      <c r="AG875" s="6" t="n">
        <v>-0.305158431948651</v>
      </c>
      <c r="AH875" s="6" t="n">
        <v>-2.30219036179475</v>
      </c>
      <c r="AI875" s="6" t="n">
        <v>0.441721076425326</v>
      </c>
      <c r="AJ875" s="6" t="n">
        <v>63.2683256495731</v>
      </c>
      <c r="AK875" s="6" t="n">
        <v>0.035701939195051</v>
      </c>
      <c r="AL875" s="6" t="n">
        <v>1.01392353277742</v>
      </c>
      <c r="AN875" s="6" t="n">
        <v>1.3099819493535</v>
      </c>
      <c r="AO875" s="6" t="n">
        <v>1.3099819493535</v>
      </c>
      <c r="AP875" s="6" t="n">
        <v>0.139122201247273</v>
      </c>
      <c r="AQ875" s="6" t="n">
        <v>0</v>
      </c>
      <c r="AR875" s="6" t="n">
        <v>0</v>
      </c>
    </row>
    <row r="876" customFormat="false" ht="15" hidden="false" customHeight="false" outlineLevel="0" collapsed="false">
      <c r="D876" s="0" t="s">
        <v>1002</v>
      </c>
      <c r="J876" s="6" t="n">
        <v>-1.13106188676895</v>
      </c>
      <c r="K876" s="6" t="n">
        <v>-2.88901625983505</v>
      </c>
      <c r="L876" s="6" t="n">
        <v>1.71602334253951</v>
      </c>
      <c r="M876" s="6" t="n">
        <v>0.00976911468224045</v>
      </c>
      <c r="N876" s="6" t="n">
        <v>-2.82763105783424</v>
      </c>
      <c r="O876" s="6" t="n">
        <v>0.875206259726045</v>
      </c>
      <c r="P876" s="6" t="n">
        <v>4.93869936437933</v>
      </c>
      <c r="Q876" s="6" t="n">
        <v>2.49599420959082</v>
      </c>
      <c r="R876" s="6" t="n">
        <v>5</v>
      </c>
      <c r="S876" s="6" t="n">
        <v>1.26586583776399</v>
      </c>
      <c r="T876" s="6" t="n">
        <v>1.70317911707257</v>
      </c>
      <c r="U876" s="6" t="n">
        <v>2.13927241063588</v>
      </c>
      <c r="V876" s="6" t="n">
        <v>1.77545623576955</v>
      </c>
      <c r="W876" s="6" t="n">
        <v>-1.3281083426101</v>
      </c>
      <c r="X876" s="6" t="n">
        <v>-0.851044159748749</v>
      </c>
      <c r="Y876" s="6" t="n">
        <v>2.33605446443071</v>
      </c>
      <c r="Z876" s="6" t="n">
        <v>0.344740771902523</v>
      </c>
      <c r="AA876" s="6" t="n">
        <v>-1.34158837685325</v>
      </c>
      <c r="AB876" s="6" t="n">
        <v>-1.5871744060692</v>
      </c>
      <c r="AC876" s="6" t="n">
        <v>0.931348516798201</v>
      </c>
      <c r="AD876" s="6" t="n">
        <v>1.63629291968677</v>
      </c>
      <c r="AE876" s="6" t="n">
        <v>-0.764882024588295</v>
      </c>
      <c r="AF876" s="6" t="n">
        <v>-2.58512646932882</v>
      </c>
      <c r="AG876" s="6" t="n">
        <v>-1.14693438316361</v>
      </c>
      <c r="AH876" s="6" t="n">
        <v>3.25142306856951</v>
      </c>
      <c r="AI876" s="6" t="n">
        <v>0.37590643731133</v>
      </c>
      <c r="AJ876" s="6" t="n">
        <v>71.1608777557231</v>
      </c>
      <c r="AK876" s="6" t="n">
        <v>0.151012230506246</v>
      </c>
      <c r="AL876" s="6" t="n">
        <v>1.07062148684965</v>
      </c>
      <c r="AN876" s="6" t="n">
        <v>1.28105431915452</v>
      </c>
      <c r="AO876" s="6" t="n">
        <v>1.28250184984614</v>
      </c>
      <c r="AP876" s="6" t="n">
        <v>0.131895482753819</v>
      </c>
      <c r="AQ876" s="6" t="n">
        <v>0</v>
      </c>
      <c r="AR876" s="6" t="n">
        <v>0</v>
      </c>
    </row>
    <row r="877" customFormat="false" ht="15" hidden="false" customHeight="false" outlineLevel="0" collapsed="false">
      <c r="D877" s="0" t="s">
        <v>1003</v>
      </c>
      <c r="J877" s="6" t="n">
        <v>-0.803020257981782</v>
      </c>
      <c r="K877" s="6" t="n">
        <v>0.199338155943515</v>
      </c>
      <c r="L877" s="6" t="n">
        <v>0.661249356972567</v>
      </c>
      <c r="M877" s="6" t="n">
        <v>-0.522833185482261</v>
      </c>
      <c r="N877" s="6" t="n">
        <v>-2.54688711855753</v>
      </c>
      <c r="O877" s="6" t="n">
        <v>1.91226253203973</v>
      </c>
      <c r="P877" s="6" t="n">
        <v>-3.87549109865553</v>
      </c>
      <c r="Q877" s="6" t="n">
        <v>0.035597612012064</v>
      </c>
      <c r="R877" s="6" t="n">
        <v>3.96727380157145</v>
      </c>
      <c r="S877" s="6" t="n">
        <v>-0.485623150665558</v>
      </c>
      <c r="T877" s="6" t="n">
        <v>1.77695384258087</v>
      </c>
      <c r="U877" s="6" t="n">
        <v>-0.932976763169736</v>
      </c>
      <c r="V877" s="6" t="n">
        <v>0.323099235472443</v>
      </c>
      <c r="W877" s="6" t="n">
        <v>-2.61930644592872</v>
      </c>
      <c r="X877" s="6" t="n">
        <v>0.288482869574154</v>
      </c>
      <c r="Y877" s="6" t="n">
        <v>2.01880843977123</v>
      </c>
      <c r="Z877" s="6" t="n">
        <v>3.88372619753529</v>
      </c>
      <c r="AA877" s="6" t="n">
        <v>0.432421813393006</v>
      </c>
      <c r="AB877" s="6" t="n">
        <v>-0.0243891359929937</v>
      </c>
      <c r="AC877" s="6" t="n">
        <v>-0.825673828922116</v>
      </c>
      <c r="AD877" s="6" t="n">
        <v>-1.98042996301432</v>
      </c>
      <c r="AE877" s="6" t="n">
        <v>4.13099045591064</v>
      </c>
      <c r="AF877" s="6" t="n">
        <v>0.303871749994686</v>
      </c>
      <c r="AG877" s="6" t="n">
        <v>0.242059028875731</v>
      </c>
      <c r="AH877" s="6" t="n">
        <v>-4.9673186126457</v>
      </c>
      <c r="AI877" s="6" t="n">
        <v>-1.90199640353694</v>
      </c>
      <c r="AJ877" s="6" t="n">
        <v>74.7196837041096</v>
      </c>
      <c r="AK877" s="6" t="n">
        <v>0.0730310672655419</v>
      </c>
      <c r="AL877" s="6" t="n">
        <v>1.03431297643781</v>
      </c>
      <c r="AN877" s="6" t="n">
        <v>1.30846777565386</v>
      </c>
      <c r="AO877" s="6" t="n">
        <v>1.31002767809172</v>
      </c>
      <c r="AP877" s="6" t="n">
        <v>0.137258955236417</v>
      </c>
      <c r="AQ877" s="6" t="n">
        <v>0</v>
      </c>
      <c r="AR877" s="6" t="n">
        <v>0</v>
      </c>
    </row>
    <row r="878" customFormat="false" ht="15" hidden="false" customHeight="false" outlineLevel="0" collapsed="false">
      <c r="D878" s="0" t="s">
        <v>1004</v>
      </c>
      <c r="J878" s="6" t="n">
        <v>0.110122823018875</v>
      </c>
      <c r="K878" s="6" t="n">
        <v>-4.69880012055377</v>
      </c>
      <c r="L878" s="6" t="n">
        <v>1.01064125429742</v>
      </c>
      <c r="M878" s="6" t="n">
        <v>0.84998901760758</v>
      </c>
      <c r="N878" s="6" t="n">
        <v>2.19968918828059</v>
      </c>
      <c r="O878" s="6" t="n">
        <v>-1.6760269560577</v>
      </c>
      <c r="P878" s="6" t="n">
        <v>0.0657020272349368</v>
      </c>
      <c r="Q878" s="6" t="n">
        <v>1.78192249988201</v>
      </c>
      <c r="R878" s="6" t="n">
        <v>-4.85545295539386</v>
      </c>
      <c r="S878" s="6" t="n">
        <v>5</v>
      </c>
      <c r="T878" s="6" t="n">
        <v>1.25809841269646</v>
      </c>
      <c r="U878" s="6" t="n">
        <v>-2.08203537452642</v>
      </c>
      <c r="V878" s="6" t="n">
        <v>1.34986545509476</v>
      </c>
      <c r="W878" s="6" t="n">
        <v>3.19398464710641</v>
      </c>
      <c r="X878" s="6" t="n">
        <v>-1.10308216289345</v>
      </c>
      <c r="Y878" s="6" t="n">
        <v>-1.1203129053924</v>
      </c>
      <c r="Z878" s="6" t="n">
        <v>0.0101840125105608</v>
      </c>
      <c r="AA878" s="6" t="n">
        <v>0.591394869548224</v>
      </c>
      <c r="AB878" s="6" t="n">
        <v>4.64120063400404</v>
      </c>
      <c r="AC878" s="6" t="n">
        <v>-0.433023950878438</v>
      </c>
      <c r="AD878" s="6" t="n">
        <v>2.21007721981818</v>
      </c>
      <c r="AE878" s="6" t="n">
        <v>-2.33264873600975</v>
      </c>
      <c r="AF878" s="6" t="n">
        <v>0.537557151098733</v>
      </c>
      <c r="AG878" s="6" t="n">
        <v>0.588049823775044</v>
      </c>
      <c r="AH878" s="6" t="n">
        <v>-0.631444417701545</v>
      </c>
      <c r="AI878" s="6" t="n">
        <v>1.33831506370021</v>
      </c>
      <c r="AJ878" s="6" t="n">
        <v>78.6933831285424</v>
      </c>
      <c r="AK878" s="6" t="n">
        <v>0.0791048021270849</v>
      </c>
      <c r="AL878" s="6" t="n">
        <v>1.04893625025273</v>
      </c>
      <c r="AN878" s="6" t="n">
        <v>1.30489767252675</v>
      </c>
      <c r="AO878" s="6" t="n">
        <v>1.30692140428691</v>
      </c>
      <c r="AP878" s="6" t="n">
        <v>0.135553564145885</v>
      </c>
      <c r="AQ878" s="6" t="n">
        <v>0</v>
      </c>
      <c r="AR878" s="6" t="n">
        <v>0</v>
      </c>
    </row>
    <row r="879" customFormat="false" ht="15" hidden="false" customHeight="false" outlineLevel="0" collapsed="false">
      <c r="D879" s="0" t="s">
        <v>1005</v>
      </c>
      <c r="J879" s="6" t="n">
        <v>0.387990371480132</v>
      </c>
      <c r="K879" s="6" t="n">
        <v>-0.902061712493991</v>
      </c>
      <c r="L879" s="6" t="n">
        <v>0.439981419255769</v>
      </c>
      <c r="M879" s="6" t="n">
        <v>-0.649848386141789</v>
      </c>
      <c r="N879" s="6" t="n">
        <v>0.0384704160455676</v>
      </c>
      <c r="O879" s="6" t="n">
        <v>-0.909843263225503</v>
      </c>
      <c r="P879" s="6" t="n">
        <v>5</v>
      </c>
      <c r="Q879" s="6" t="n">
        <v>2.120958657655</v>
      </c>
      <c r="R879" s="6" t="n">
        <v>2.03206969360828</v>
      </c>
      <c r="S879" s="6" t="n">
        <v>1.76004471131773</v>
      </c>
      <c r="T879" s="6" t="n">
        <v>1.72357466085848</v>
      </c>
      <c r="U879" s="6" t="n">
        <v>0.186052168762264</v>
      </c>
      <c r="V879" s="6" t="n">
        <v>-1.85629229209956</v>
      </c>
      <c r="W879" s="6" t="n">
        <v>-0.657112703814911</v>
      </c>
      <c r="X879" s="6" t="n">
        <v>-0.772773357498694</v>
      </c>
      <c r="Y879" s="6" t="n">
        <v>0.623868845711108</v>
      </c>
      <c r="Z879" s="6" t="n">
        <v>-3.00352628840083</v>
      </c>
      <c r="AA879" s="6" t="n">
        <v>-3.42677470897451</v>
      </c>
      <c r="AB879" s="6" t="n">
        <v>-1.84585598163574</v>
      </c>
      <c r="AC879" s="6" t="n">
        <v>-1.45166294741507</v>
      </c>
      <c r="AD879" s="6" t="n">
        <v>0.449353058267256</v>
      </c>
      <c r="AE879" s="6" t="n">
        <v>3.71960335184792</v>
      </c>
      <c r="AF879" s="6" t="n">
        <v>2.34952780140697</v>
      </c>
      <c r="AG879" s="6" t="n">
        <v>0.59469354704987</v>
      </c>
      <c r="AH879" s="6" t="n">
        <v>0.270153928406293</v>
      </c>
      <c r="AI879" s="6" t="n">
        <v>1.64092033539543</v>
      </c>
      <c r="AJ879" s="6" t="n">
        <v>66.4113497041855</v>
      </c>
      <c r="AK879" s="6" t="n">
        <v>0.140237141803222</v>
      </c>
      <c r="AL879" s="6" t="n">
        <v>1.10656046554939</v>
      </c>
      <c r="AN879" s="6" t="n">
        <v>1.27046712599894</v>
      </c>
      <c r="AO879" s="6" t="n">
        <v>1.27256421603353</v>
      </c>
      <c r="AP879" s="6" t="n">
        <v>0.129886785285155</v>
      </c>
      <c r="AQ879" s="6" t="n">
        <v>0</v>
      </c>
      <c r="AR879" s="6" t="n">
        <v>0</v>
      </c>
    </row>
    <row r="880" customFormat="false" ht="15" hidden="false" customHeight="false" outlineLevel="0" collapsed="false">
      <c r="D880" s="0" t="s">
        <v>1006</v>
      </c>
      <c r="J880" s="6" t="n">
        <v>-2.30465809449355</v>
      </c>
      <c r="K880" s="6" t="n">
        <v>-1.05548575219046</v>
      </c>
      <c r="L880" s="6" t="n">
        <v>1.61102905744003</v>
      </c>
      <c r="M880" s="6" t="n">
        <v>1.31321804192179</v>
      </c>
      <c r="N880" s="6" t="n">
        <v>1.38851361944323</v>
      </c>
      <c r="O880" s="6" t="n">
        <v>-0.845994652071655</v>
      </c>
      <c r="P880" s="6" t="n">
        <v>0.529381437681644</v>
      </c>
      <c r="Q880" s="6" t="n">
        <v>-2.73071408034131</v>
      </c>
      <c r="R880" s="6" t="n">
        <v>-4.60111802006936</v>
      </c>
      <c r="S880" s="6" t="n">
        <v>-0.58755495346039</v>
      </c>
      <c r="T880" s="6" t="n">
        <v>-0.535972003692204</v>
      </c>
      <c r="U880" s="6" t="n">
        <v>-0.996666128708811</v>
      </c>
      <c r="V880" s="6" t="n">
        <v>-3.15564083837093</v>
      </c>
      <c r="W880" s="6" t="n">
        <v>-4.11804508557073</v>
      </c>
      <c r="X880" s="6" t="n">
        <v>-3.07867478933493</v>
      </c>
      <c r="Y880" s="6" t="n">
        <v>0.162985126740408</v>
      </c>
      <c r="Z880" s="6" t="n">
        <v>1.10417908923193</v>
      </c>
      <c r="AA880" s="6" t="n">
        <v>3.96123747177256</v>
      </c>
      <c r="AB880" s="6" t="n">
        <v>-2.0053429951839</v>
      </c>
      <c r="AC880" s="6" t="n">
        <v>3.9980296753768</v>
      </c>
      <c r="AD880" s="6" t="n">
        <v>1.75675458343232</v>
      </c>
      <c r="AE880" s="6" t="n">
        <v>-1.69991065506107</v>
      </c>
      <c r="AF880" s="6" t="n">
        <v>1.57454674454908</v>
      </c>
      <c r="AG880" s="6" t="n">
        <v>0.430319576581189</v>
      </c>
      <c r="AH880" s="6" t="n">
        <v>1.4309076741061</v>
      </c>
      <c r="AI880" s="6" t="n">
        <v>-0.237424896582855</v>
      </c>
      <c r="AJ880" s="6" t="n">
        <v>75.8675136683115</v>
      </c>
      <c r="AK880" s="6" t="n">
        <v>0.132244038570253</v>
      </c>
      <c r="AL880" s="6" t="n">
        <v>1.05732589682473</v>
      </c>
      <c r="AN880" s="6" t="n">
        <v>1.29371480012668</v>
      </c>
      <c r="AO880" s="6" t="n">
        <v>1.29465657664662</v>
      </c>
      <c r="AP880" s="6" t="n">
        <v>0.133082823453406</v>
      </c>
      <c r="AQ880" s="6" t="n">
        <v>0</v>
      </c>
      <c r="AR880" s="6" t="n">
        <v>0</v>
      </c>
    </row>
    <row r="881" customFormat="false" ht="15" hidden="false" customHeight="false" outlineLevel="0" collapsed="false">
      <c r="D881" s="0" t="s">
        <v>1007</v>
      </c>
      <c r="J881" s="6" t="n">
        <v>0.433401409205496</v>
      </c>
      <c r="K881" s="6" t="n">
        <v>1.62756761161384</v>
      </c>
      <c r="L881" s="6" t="n">
        <v>2.62604847392806</v>
      </c>
      <c r="M881" s="6" t="n">
        <v>-2.69781701274156</v>
      </c>
      <c r="N881" s="6" t="n">
        <v>-2.59198502095135</v>
      </c>
      <c r="O881" s="6" t="n">
        <v>1.8971831268475</v>
      </c>
      <c r="P881" s="6" t="n">
        <v>0.0839631313588334</v>
      </c>
      <c r="Q881" s="6" t="n">
        <v>-3.89513017279782</v>
      </c>
      <c r="R881" s="6" t="n">
        <v>1.50346189576586</v>
      </c>
      <c r="S881" s="6" t="n">
        <v>-1.90963395919108</v>
      </c>
      <c r="T881" s="6" t="n">
        <v>-0.336471179770087</v>
      </c>
      <c r="U881" s="6" t="n">
        <v>1.72226795141262</v>
      </c>
      <c r="V881" s="6" t="n">
        <v>2.06305686499183</v>
      </c>
      <c r="W881" s="6" t="n">
        <v>1.01709665225797</v>
      </c>
      <c r="X881" s="6" t="n">
        <v>-0.864771085594158</v>
      </c>
      <c r="Y881" s="6" t="n">
        <v>0.482942939384912</v>
      </c>
      <c r="Z881" s="6" t="n">
        <v>2.92748764285623</v>
      </c>
      <c r="AA881" s="6" t="n">
        <v>-1.40159615950098</v>
      </c>
      <c r="AB881" s="6" t="n">
        <v>0.0877774709530777</v>
      </c>
      <c r="AC881" s="6" t="n">
        <v>-0.7474145842629</v>
      </c>
      <c r="AD881" s="6" t="n">
        <v>-2.2054749363892</v>
      </c>
      <c r="AE881" s="6" t="n">
        <v>2.13615116678549</v>
      </c>
      <c r="AF881" s="6" t="n">
        <v>0.149478121876909</v>
      </c>
      <c r="AG881" s="6" t="n">
        <v>1.53396719547536</v>
      </c>
      <c r="AH881" s="6" t="n">
        <v>0.976493509698791</v>
      </c>
      <c r="AI881" s="6" t="n">
        <v>1.26787103194188</v>
      </c>
      <c r="AJ881" s="6" t="n">
        <v>63.3954748652581</v>
      </c>
      <c r="AK881" s="6" t="n">
        <v>0.173287048558057</v>
      </c>
      <c r="AL881" s="6" t="n">
        <v>1.13271501594351</v>
      </c>
      <c r="AN881" s="6" t="n">
        <v>1.2594875978106</v>
      </c>
      <c r="AO881" s="6" t="n">
        <v>1.26040111886002</v>
      </c>
      <c r="AP881" s="6" t="n">
        <v>0.127163435483984</v>
      </c>
      <c r="AQ881" s="6" t="n">
        <v>0</v>
      </c>
      <c r="AR881" s="6" t="n">
        <v>0</v>
      </c>
    </row>
    <row r="882" customFormat="false" ht="15" hidden="false" customHeight="false" outlineLevel="0" collapsed="false">
      <c r="D882" s="0" t="s">
        <v>1008</v>
      </c>
      <c r="J882" s="6" t="n">
        <v>2.20221294367088</v>
      </c>
      <c r="K882" s="6" t="n">
        <v>-4.94423010003834</v>
      </c>
      <c r="L882" s="6" t="n">
        <v>0.464892032268262</v>
      </c>
      <c r="M882" s="6" t="n">
        <v>-2.26725327548792</v>
      </c>
      <c r="N882" s="6" t="n">
        <v>1.38356706708214</v>
      </c>
      <c r="O882" s="6" t="n">
        <v>0.0674992386275035</v>
      </c>
      <c r="P882" s="6" t="n">
        <v>4.96262102971886</v>
      </c>
      <c r="Q882" s="6" t="n">
        <v>-1.29850743455011</v>
      </c>
      <c r="R882" s="6" t="n">
        <v>0.501476844106273</v>
      </c>
      <c r="S882" s="6" t="n">
        <v>0.958221773515374</v>
      </c>
      <c r="T882" s="6" t="n">
        <v>2.79383217980044</v>
      </c>
      <c r="U882" s="6" t="n">
        <v>1.77553121965309</v>
      </c>
      <c r="V882" s="6" t="n">
        <v>1.37181674395044</v>
      </c>
      <c r="W882" s="6" t="n">
        <v>0.32547217266124</v>
      </c>
      <c r="X882" s="6" t="n">
        <v>3.26460698706688</v>
      </c>
      <c r="Y882" s="6" t="n">
        <v>-1.81932115652668</v>
      </c>
      <c r="Z882" s="6" t="n">
        <v>2.71868700639646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3.41246889034677</v>
      </c>
      <c r="AE882" s="6" t="n">
        <v>3.63998293155868</v>
      </c>
      <c r="AF882" s="6" t="n">
        <v>2.20846871965999</v>
      </c>
      <c r="AG882" s="6" t="n">
        <v>1.00292515956084</v>
      </c>
      <c r="AH882" s="6" t="n">
        <v>-0.377131451220737</v>
      </c>
      <c r="AI882" s="6" t="n">
        <v>-3.71600671075853</v>
      </c>
      <c r="AJ882" s="6" t="n">
        <v>58.4961808817111</v>
      </c>
      <c r="AK882" s="6" t="n">
        <v>0.0937721863226908</v>
      </c>
      <c r="AL882" s="6" t="n">
        <v>1.0882346525476</v>
      </c>
      <c r="AN882" s="6" t="n">
        <v>1.27682695540221</v>
      </c>
      <c r="AO882" s="6" t="n">
        <v>1.27881881007403</v>
      </c>
      <c r="AP882" s="6" t="n">
        <v>0.130517954106873</v>
      </c>
      <c r="AQ882" s="6" t="n">
        <v>0</v>
      </c>
      <c r="AR882" s="6" t="n">
        <v>0</v>
      </c>
    </row>
    <row r="883" customFormat="false" ht="15" hidden="false" customHeight="false" outlineLevel="0" collapsed="false">
      <c r="D883" s="0" t="s">
        <v>1009</v>
      </c>
      <c r="J883" s="6" t="n">
        <v>-0.94588987677244</v>
      </c>
      <c r="K883" s="6" t="n">
        <v>-5.54984406209178</v>
      </c>
      <c r="L883" s="6" t="n">
        <v>-3.03246198161794</v>
      </c>
      <c r="M883" s="6" t="n">
        <v>1.6838841281023</v>
      </c>
      <c r="N883" s="6" t="n">
        <v>0.445800357831956</v>
      </c>
      <c r="O883" s="6" t="n">
        <v>2.32178235858893</v>
      </c>
      <c r="P883" s="6" t="n">
        <v>-0.39548138785123</v>
      </c>
      <c r="Q883" s="6" t="n">
        <v>-2.38474239657969</v>
      </c>
      <c r="R883" s="6" t="n">
        <v>1.7136790286831</v>
      </c>
      <c r="S883" s="6" t="n">
        <v>-0.278434656624129</v>
      </c>
      <c r="T883" s="6" t="n">
        <v>-2.75814744618241</v>
      </c>
      <c r="U883" s="6" t="n">
        <v>-2.20615927448646</v>
      </c>
      <c r="V883" s="6" t="n">
        <v>-1.52639674883481</v>
      </c>
      <c r="W883" s="6" t="n">
        <v>0.0245326800320761</v>
      </c>
      <c r="X883" s="6" t="n">
        <v>0.900348240126913</v>
      </c>
      <c r="Y883" s="6" t="n">
        <v>-2.24048084074592</v>
      </c>
      <c r="Z883" s="6" t="n">
        <v>-2.19258303217564</v>
      </c>
      <c r="AA883" s="6" t="n">
        <v>-1.38197306915596</v>
      </c>
      <c r="AB883" s="6" t="n">
        <v>-0.445467527962076</v>
      </c>
      <c r="AC883" s="6" t="n">
        <v>-4.02054730996738</v>
      </c>
      <c r="AD883" s="6" t="n">
        <v>-2.13456561340892</v>
      </c>
      <c r="AE883" s="6" t="n">
        <v>-0.149082106518904</v>
      </c>
      <c r="AF883" s="6" t="n">
        <v>-1.33889955499046</v>
      </c>
      <c r="AG883" s="6" t="n">
        <v>-0.72036216531365</v>
      </c>
      <c r="AH883" s="6" t="n">
        <v>1.22103573360154</v>
      </c>
      <c r="AI883" s="6" t="n">
        <v>1.07049205303191</v>
      </c>
      <c r="AJ883" s="6" t="n">
        <v>70.0180447901269</v>
      </c>
      <c r="AK883" s="6" t="n">
        <v>0.0978742630805216</v>
      </c>
      <c r="AL883" s="6" t="n">
        <v>1.09958345679837</v>
      </c>
      <c r="AN883" s="6" t="n">
        <v>1.27761613373133</v>
      </c>
      <c r="AO883" s="6" t="n">
        <v>1.27791953505099</v>
      </c>
      <c r="AP883" s="6" t="n">
        <v>0.130266660367264</v>
      </c>
      <c r="AQ883" s="6" t="n">
        <v>0</v>
      </c>
      <c r="AR883" s="6" t="n">
        <v>0</v>
      </c>
    </row>
    <row r="884" customFormat="false" ht="15" hidden="false" customHeight="false" outlineLevel="0" collapsed="false">
      <c r="D884" s="0" t="s">
        <v>1010</v>
      </c>
      <c r="J884" s="6" t="n">
        <v>-1.65667625901094</v>
      </c>
      <c r="K884" s="6" t="n">
        <v>2.37360570022119</v>
      </c>
      <c r="L884" s="6" t="n">
        <v>-3.74260791992139</v>
      </c>
      <c r="M884" s="6" t="n">
        <v>-0.889247576026534</v>
      </c>
      <c r="N884" s="6" t="n">
        <v>-0.857500495642702</v>
      </c>
      <c r="O884" s="6" t="n">
        <v>-3.27977120732632</v>
      </c>
      <c r="P884" s="6" t="n">
        <v>2.49260641483276</v>
      </c>
      <c r="Q884" s="6" t="n">
        <v>0.415817908100723</v>
      </c>
      <c r="R884" s="6" t="n">
        <v>-1.89313097766308</v>
      </c>
      <c r="S884" s="6" t="n">
        <v>-0.820843884864615</v>
      </c>
      <c r="T884" s="6" t="n">
        <v>-0.360426319183446</v>
      </c>
      <c r="U884" s="6" t="n">
        <v>-5.41567118849327</v>
      </c>
      <c r="V884" s="6" t="n">
        <v>0.874863648675445</v>
      </c>
      <c r="W884" s="6" t="n">
        <v>-3.88990233058559</v>
      </c>
      <c r="X884" s="6" t="n">
        <v>2.71041324166172</v>
      </c>
      <c r="Y884" s="6" t="n">
        <v>-2.04688611169942</v>
      </c>
      <c r="Z884" s="6" t="n">
        <v>-2.32290261009829</v>
      </c>
      <c r="AA884" s="6" t="n">
        <v>4.11283668375499</v>
      </c>
      <c r="AB884" s="6" t="n">
        <v>0.887273774145979</v>
      </c>
      <c r="AC884" s="6" t="n">
        <v>0.338049606631063</v>
      </c>
      <c r="AD884" s="6" t="n">
        <v>-1.78362058290044</v>
      </c>
      <c r="AE884" s="6" t="n">
        <v>-0.430686883069424</v>
      </c>
      <c r="AF884" s="6" t="n">
        <v>-1.61073942695286</v>
      </c>
      <c r="AG884" s="6" t="n">
        <v>-0.848156227023108</v>
      </c>
      <c r="AH884" s="6" t="n">
        <v>2.85230631298803</v>
      </c>
      <c r="AI884" s="6" t="n">
        <v>-1.41341569665745</v>
      </c>
      <c r="AJ884" s="6" t="n">
        <v>79.7119243646031</v>
      </c>
      <c r="AK884" s="6" t="n">
        <v>0.15387002745342</v>
      </c>
      <c r="AL884" s="6" t="n">
        <v>1.01704882391417</v>
      </c>
      <c r="AN884" s="6" t="n">
        <v>1.31339345694561</v>
      </c>
      <c r="AO884" s="6" t="n">
        <v>1.31387364450603</v>
      </c>
      <c r="AP884" s="6" t="n">
        <v>0.137673071633637</v>
      </c>
      <c r="AQ884" s="6" t="n">
        <v>0</v>
      </c>
      <c r="AR884" s="6" t="n">
        <v>0</v>
      </c>
    </row>
    <row r="885" customFormat="false" ht="15" hidden="false" customHeight="false" outlineLevel="0" collapsed="false">
      <c r="D885" s="0" t="s">
        <v>1011</v>
      </c>
      <c r="J885" s="6" t="n">
        <v>-1.42495318293647</v>
      </c>
      <c r="K885" s="6" t="n">
        <v>0.275245993298285</v>
      </c>
      <c r="L885" s="6" t="n">
        <v>0.420969023374389</v>
      </c>
      <c r="M885" s="6" t="n">
        <v>0.915519968870369</v>
      </c>
      <c r="N885" s="6" t="n">
        <v>-1.703172225182</v>
      </c>
      <c r="O885" s="6" t="n">
        <v>0.788424099556831</v>
      </c>
      <c r="P885" s="6" t="n">
        <v>-2.5705501198071</v>
      </c>
      <c r="Q885" s="6" t="n">
        <v>2.79999182300796</v>
      </c>
      <c r="R885" s="6" t="n">
        <v>0.985115611581048</v>
      </c>
      <c r="S885" s="6" t="n">
        <v>-3.0068114382898</v>
      </c>
      <c r="T885" s="6" t="n">
        <v>0.960571414322164</v>
      </c>
      <c r="U885" s="6" t="n">
        <v>-3.40657951924796</v>
      </c>
      <c r="V885" s="6" t="n">
        <v>-1.38923454955556</v>
      </c>
      <c r="W885" s="6" t="n">
        <v>-5.2975492370916</v>
      </c>
      <c r="X885" s="6" t="n">
        <v>-3.14526863069625</v>
      </c>
      <c r="Y885" s="6" t="n">
        <v>3.17535201140668</v>
      </c>
      <c r="Z885" s="6" t="n">
        <v>-0.828294107729805</v>
      </c>
      <c r="AA885" s="6" t="n">
        <v>1.03731193563144</v>
      </c>
      <c r="AB885" s="6" t="n">
        <v>-0.0579892168760565</v>
      </c>
      <c r="AC885" s="6" t="n">
        <v>-3.73649090096069</v>
      </c>
      <c r="AD885" s="6" t="n">
        <v>2.70578975278636</v>
      </c>
      <c r="AE885" s="6" t="n">
        <v>-1.19836240153602</v>
      </c>
      <c r="AF885" s="6" t="n">
        <v>2.12219212842756</v>
      </c>
      <c r="AG885" s="6" t="n">
        <v>-0.90895929986726</v>
      </c>
      <c r="AH885" s="6" t="n">
        <v>-1.9583677982186</v>
      </c>
      <c r="AI885" s="6" t="n">
        <v>-0.389159125248767</v>
      </c>
      <c r="AJ885" s="6" t="n">
        <v>72.7453877517728</v>
      </c>
      <c r="AK885" s="6" t="n">
        <v>0.0882425481957179</v>
      </c>
      <c r="AL885" s="6" t="n">
        <v>1.10592104242123</v>
      </c>
      <c r="AN885" s="6" t="n">
        <v>1.28043378045932</v>
      </c>
      <c r="AO885" s="6" t="n">
        <v>1.28055158447648</v>
      </c>
      <c r="AP885" s="6" t="n">
        <v>0.131215650764917</v>
      </c>
      <c r="AQ885" s="6" t="n">
        <v>0</v>
      </c>
      <c r="AR885" s="6" t="n">
        <v>0</v>
      </c>
    </row>
    <row r="886" customFormat="false" ht="15" hidden="false" customHeight="false" outlineLevel="0" collapsed="false">
      <c r="D886" s="0" t="s">
        <v>1012</v>
      </c>
      <c r="J886" s="6" t="n">
        <v>-1.07547940939978</v>
      </c>
      <c r="K886" s="6" t="n">
        <v>1.78456111480293</v>
      </c>
      <c r="L886" s="6" t="n">
        <v>-2.0432710070788</v>
      </c>
      <c r="M886" s="6" t="n">
        <v>1.13070843467903</v>
      </c>
      <c r="N886" s="6" t="n">
        <v>0.203216120287939</v>
      </c>
      <c r="O886" s="6" t="n">
        <v>-3.1424091008573</v>
      </c>
      <c r="P886" s="6" t="n">
        <v>0.641999739541116</v>
      </c>
      <c r="Q886" s="6" t="n">
        <v>-2.73700354552497</v>
      </c>
      <c r="R886" s="6" t="n">
        <v>-2.7467274501393</v>
      </c>
      <c r="S886" s="6" t="n">
        <v>-0.261697123540209</v>
      </c>
      <c r="T886" s="6" t="n">
        <v>1.18435555128309</v>
      </c>
      <c r="U886" s="6" t="n">
        <v>0.413570696700017</v>
      </c>
      <c r="V886" s="6" t="n">
        <v>0.194296899446548</v>
      </c>
      <c r="W886" s="6" t="n">
        <v>0.858296604430528</v>
      </c>
      <c r="X886" s="6" t="n">
        <v>-2.59895198310118</v>
      </c>
      <c r="Y886" s="6" t="n">
        <v>0.209520725097486</v>
      </c>
      <c r="Z886" s="6" t="n">
        <v>3.11791676729677</v>
      </c>
      <c r="AA886" s="6" t="n">
        <v>-1.80830233358883</v>
      </c>
      <c r="AB886" s="6" t="n">
        <v>-1.75276753168287</v>
      </c>
      <c r="AC886" s="6" t="n">
        <v>-3.19535879847765</v>
      </c>
      <c r="AD886" s="6" t="n">
        <v>0.166001043960722</v>
      </c>
      <c r="AE886" s="6" t="n">
        <v>-1.08527826474906</v>
      </c>
      <c r="AF886" s="6" t="n">
        <v>2.26024886323745</v>
      </c>
      <c r="AG886" s="6" t="n">
        <v>-2.92425129510133</v>
      </c>
      <c r="AH886" s="6" t="n">
        <v>1.88381937248634</v>
      </c>
      <c r="AI886" s="6" t="n">
        <v>-0.191631510156516</v>
      </c>
      <c r="AJ886" s="6" t="n">
        <v>67.4019837009029</v>
      </c>
      <c r="AK886" s="6" t="n">
        <v>0.0906199638929637</v>
      </c>
      <c r="AL886" s="6" t="n">
        <v>1.03166824425587</v>
      </c>
      <c r="AN886" s="6" t="n">
        <v>1.30753674764626</v>
      </c>
      <c r="AO886" s="6" t="n">
        <v>1.30768379420973</v>
      </c>
      <c r="AP886" s="6" t="n">
        <v>0.135888440387025</v>
      </c>
      <c r="AQ886" s="6" t="n">
        <v>0</v>
      </c>
      <c r="AR886" s="6" t="n">
        <v>0</v>
      </c>
    </row>
    <row r="887" customFormat="false" ht="15" hidden="false" customHeight="false" outlineLevel="0" collapsed="false">
      <c r="D887" s="0" t="s">
        <v>1013</v>
      </c>
      <c r="J887" s="6" t="n">
        <v>0.939142954692777</v>
      </c>
      <c r="K887" s="6" t="n">
        <v>-0.45381416433055</v>
      </c>
      <c r="L887" s="6" t="n">
        <v>1.02298604657148</v>
      </c>
      <c r="M887" s="6" t="n">
        <v>-1.90881758910446</v>
      </c>
      <c r="N887" s="6" t="n">
        <v>2.05727329713929</v>
      </c>
      <c r="O887" s="6" t="n">
        <v>1.10884976630736</v>
      </c>
      <c r="P887" s="6" t="n">
        <v>-0.0949661451392183</v>
      </c>
      <c r="Q887" s="6" t="n">
        <v>-0.0776184510167838</v>
      </c>
      <c r="R887" s="6" t="n">
        <v>-0.643136113704421</v>
      </c>
      <c r="S887" s="6" t="n">
        <v>1.87218308364496</v>
      </c>
      <c r="T887" s="6" t="n">
        <v>-1.41994678956842</v>
      </c>
      <c r="U887" s="6" t="n">
        <v>0.14427990814393</v>
      </c>
      <c r="V887" s="6" t="n">
        <v>-1.76690815128069</v>
      </c>
      <c r="W887" s="6" t="n">
        <v>-2.08167636147037</v>
      </c>
      <c r="X887" s="6" t="n">
        <v>2.01178364156022</v>
      </c>
      <c r="Y887" s="6" t="n">
        <v>-4.70126422350217</v>
      </c>
      <c r="Z887" s="6" t="n">
        <v>0.740318392049127</v>
      </c>
      <c r="AA887" s="6" t="n">
        <v>-0.715029912664682</v>
      </c>
      <c r="AB887" s="6" t="n">
        <v>-0.637252449475013</v>
      </c>
      <c r="AC887" s="6" t="n">
        <v>-1.68887004003797</v>
      </c>
      <c r="AD887" s="6" t="n">
        <v>2.1177808982787</v>
      </c>
      <c r="AE887" s="6" t="n">
        <v>0.252818082061362</v>
      </c>
      <c r="AF887" s="6" t="n">
        <v>2.08100530515098</v>
      </c>
      <c r="AG887" s="6" t="n">
        <v>0.745241097834386</v>
      </c>
      <c r="AH887" s="6" t="n">
        <v>3.06654397723962</v>
      </c>
      <c r="AI887" s="6" t="n">
        <v>5</v>
      </c>
      <c r="AJ887" s="6" t="n">
        <v>78.4137206679384</v>
      </c>
      <c r="AK887" s="6" t="n">
        <v>0.139612430365771</v>
      </c>
      <c r="AL887" s="6" t="n">
        <v>1.03029821347955</v>
      </c>
      <c r="AN887" s="6" t="n">
        <v>1.3063611776778</v>
      </c>
      <c r="AO887" s="6" t="n">
        <v>1.3063667487238</v>
      </c>
      <c r="AP887" s="6" t="n">
        <v>0.135929684435727</v>
      </c>
      <c r="AQ887" s="6" t="n">
        <v>0</v>
      </c>
      <c r="AR887" s="6" t="n">
        <v>0</v>
      </c>
    </row>
    <row r="888" customFormat="false" ht="15" hidden="false" customHeight="false" outlineLevel="0" collapsed="false">
      <c r="D888" s="0" t="s">
        <v>1014</v>
      </c>
      <c r="J888" s="6" t="n">
        <v>-3.50590778181719</v>
      </c>
      <c r="K888" s="6" t="n">
        <v>-2.34331111622425</v>
      </c>
      <c r="L888" s="6" t="n">
        <v>2.07725476765348</v>
      </c>
      <c r="M888" s="6" t="n">
        <v>-0.466505322672252</v>
      </c>
      <c r="N888" s="6" t="n">
        <v>1.64355319883695</v>
      </c>
      <c r="O888" s="6" t="n">
        <v>0.456668928440981</v>
      </c>
      <c r="P888" s="6" t="n">
        <v>-1.23763515830042</v>
      </c>
      <c r="Q888" s="6" t="n">
        <v>-1.04003769335421</v>
      </c>
      <c r="R888" s="6" t="n">
        <v>-0.316411936315008</v>
      </c>
      <c r="S888" s="6" t="n">
        <v>-1.0589012639721</v>
      </c>
      <c r="T888" s="6" t="n">
        <v>-2.33467268159111</v>
      </c>
      <c r="U888" s="6" t="n">
        <v>-1.74694463194588</v>
      </c>
      <c r="V888" s="6" t="n">
        <v>-1.36369600983904</v>
      </c>
      <c r="W888" s="6" t="n">
        <v>0.964410696821151</v>
      </c>
      <c r="X888" s="6" t="n">
        <v>1.59624775701071</v>
      </c>
      <c r="Y888" s="6" t="n">
        <v>-0.0619665500123074</v>
      </c>
      <c r="Z888" s="6" t="n">
        <v>0.695460302551244</v>
      </c>
      <c r="AA888" s="6" t="n">
        <v>2.38389879104279</v>
      </c>
      <c r="AB888" s="6" t="n">
        <v>2.36023831935123</v>
      </c>
      <c r="AC888" s="6" t="n">
        <v>2.32051625407741</v>
      </c>
      <c r="AD888" s="6" t="n">
        <v>-1.33771494843667</v>
      </c>
      <c r="AE888" s="6" t="n">
        <v>-1.89521849503674</v>
      </c>
      <c r="AF888" s="6" t="n">
        <v>-1.23005825665462</v>
      </c>
      <c r="AG888" s="6" t="n">
        <v>-3.22874920409389</v>
      </c>
      <c r="AH888" s="6" t="n">
        <v>-1.99758750758571</v>
      </c>
      <c r="AI888" s="6" t="n">
        <v>0.895741941217389</v>
      </c>
      <c r="AJ888" s="6" t="n">
        <v>59.5159351238196</v>
      </c>
      <c r="AK888" s="6" t="n">
        <v>0.118863785407675</v>
      </c>
      <c r="AL888" s="6" t="n">
        <v>1.09789855987874</v>
      </c>
      <c r="AN888" s="6" t="n">
        <v>1.27524945918985</v>
      </c>
      <c r="AO888" s="6" t="n">
        <v>1.27545098922724</v>
      </c>
      <c r="AP888" s="6" t="n">
        <v>0.130400085320611</v>
      </c>
      <c r="AQ888" s="6" t="n">
        <v>0</v>
      </c>
      <c r="AR888" s="6" t="n">
        <v>0</v>
      </c>
    </row>
    <row r="889" customFormat="false" ht="15" hidden="false" customHeight="false" outlineLevel="0" collapsed="false">
      <c r="D889" s="0" t="s">
        <v>1015</v>
      </c>
      <c r="J889" s="6" t="n">
        <v>1.80790098248209</v>
      </c>
      <c r="K889" s="6" t="n">
        <v>0.879557106893426</v>
      </c>
      <c r="L889" s="6" t="n">
        <v>1.37210297136546</v>
      </c>
      <c r="M889" s="6" t="n">
        <v>0.922025468630785</v>
      </c>
      <c r="N889" s="6" t="n">
        <v>-1.84813782488141</v>
      </c>
      <c r="O889" s="6" t="n">
        <v>-1.04092942576067</v>
      </c>
      <c r="P889" s="6" t="n">
        <v>-2.11664679984557</v>
      </c>
      <c r="Q889" s="6" t="n">
        <v>-2.65971384835282</v>
      </c>
      <c r="R889" s="6" t="n">
        <v>-0.776431785786867</v>
      </c>
      <c r="S889" s="6" t="n">
        <v>-1.36862739280103</v>
      </c>
      <c r="T889" s="6" t="n">
        <v>-4.04821749666451</v>
      </c>
      <c r="U889" s="6" t="n">
        <v>2.32841108420355</v>
      </c>
      <c r="V889" s="6" t="n">
        <v>0.206119490325031</v>
      </c>
      <c r="W889" s="6" t="n">
        <v>-3.14870954136149</v>
      </c>
      <c r="X889" s="6" t="n">
        <v>0.922133163265641</v>
      </c>
      <c r="Y889" s="6" t="n">
        <v>-0.0466133856688022</v>
      </c>
      <c r="Z889" s="6" t="n">
        <v>0.649826490024633</v>
      </c>
      <c r="AA889" s="6" t="n">
        <v>-0.326800377806819</v>
      </c>
      <c r="AB889" s="6" t="n">
        <v>-0.641500882956102</v>
      </c>
      <c r="AC889" s="6" t="n">
        <v>0.443484013215593</v>
      </c>
      <c r="AD889" s="6" t="n">
        <v>3.90380650705287</v>
      </c>
      <c r="AE889" s="6" t="n">
        <v>-0.0398341777383562</v>
      </c>
      <c r="AF889" s="6" t="n">
        <v>-1.06396111232906</v>
      </c>
      <c r="AG889" s="6" t="n">
        <v>1.88759550624179</v>
      </c>
      <c r="AH889" s="6" t="n">
        <v>-3.52152240519614</v>
      </c>
      <c r="AI889" s="6" t="n">
        <v>0.410663607327516</v>
      </c>
      <c r="AJ889" s="6" t="n">
        <v>76.237260105074</v>
      </c>
      <c r="AK889" s="6" t="n">
        <v>0.145535988268641</v>
      </c>
      <c r="AL889" s="6" t="n">
        <v>1.04254668498388</v>
      </c>
      <c r="AN889" s="6" t="n">
        <v>1.30075177393171</v>
      </c>
      <c r="AO889" s="6" t="n">
        <v>1.30091537042059</v>
      </c>
      <c r="AP889" s="6" t="n">
        <v>0.134277801812996</v>
      </c>
      <c r="AQ889" s="6" t="n">
        <v>0</v>
      </c>
      <c r="AR889" s="6" t="n">
        <v>0</v>
      </c>
    </row>
    <row r="890" customFormat="false" ht="15" hidden="false" customHeight="false" outlineLevel="0" collapsed="false">
      <c r="D890" s="0" t="s">
        <v>1016</v>
      </c>
      <c r="J890" s="6" t="n">
        <v>-0.593675770685836</v>
      </c>
      <c r="K890" s="6" t="n">
        <v>-1.15553642133282</v>
      </c>
      <c r="L890" s="6" t="n">
        <v>-0.291076602572032</v>
      </c>
      <c r="M890" s="6" t="n">
        <v>0.472508691771162</v>
      </c>
      <c r="N890" s="6" t="n">
        <v>1.51239457777653</v>
      </c>
      <c r="O890" s="6" t="n">
        <v>-0.513953025350715</v>
      </c>
      <c r="P890" s="6" t="n">
        <v>-1.83159754570383</v>
      </c>
      <c r="Q890" s="6" t="n">
        <v>-2.65109514448214</v>
      </c>
      <c r="R890" s="6" t="n">
        <v>-4.67076692044605</v>
      </c>
      <c r="S890" s="6" t="n">
        <v>-1.93972223252906</v>
      </c>
      <c r="T890" s="6" t="n">
        <v>-2.1827148695471</v>
      </c>
      <c r="U890" s="6" t="n">
        <v>-1.93149722546408</v>
      </c>
      <c r="V890" s="6" t="n">
        <v>0.226179701065236</v>
      </c>
      <c r="W890" s="6" t="n">
        <v>-0.771766339100012</v>
      </c>
      <c r="X890" s="6" t="n">
        <v>0.601517520412425</v>
      </c>
      <c r="Y890" s="6" t="n">
        <v>2.30227671956041</v>
      </c>
      <c r="Z890" s="6" t="n">
        <v>-0.889045906808083</v>
      </c>
      <c r="AA890" s="6" t="n">
        <v>0.717931986276911</v>
      </c>
      <c r="AB890" s="6" t="n">
        <v>-1.42274327417145</v>
      </c>
      <c r="AC890" s="6" t="n">
        <v>-0.159981140335698</v>
      </c>
      <c r="AD890" s="6" t="n">
        <v>-0.406117739184149</v>
      </c>
      <c r="AE890" s="6" t="n">
        <v>-2.06334014749547</v>
      </c>
      <c r="AF890" s="6" t="n">
        <v>2.54070774222788</v>
      </c>
      <c r="AG890" s="6" t="n">
        <v>3.14390694368167</v>
      </c>
      <c r="AH890" s="6" t="n">
        <v>-0.998883249906935</v>
      </c>
      <c r="AI890" s="6" t="n">
        <v>0.623157431439154</v>
      </c>
      <c r="AJ890" s="6" t="n">
        <v>72.5615405421347</v>
      </c>
      <c r="AK890" s="6" t="n">
        <v>0.101022228845538</v>
      </c>
      <c r="AL890" s="6" t="n">
        <v>1.01255465123163</v>
      </c>
      <c r="AN890" s="6" t="n">
        <v>1.31348283602474</v>
      </c>
      <c r="AO890" s="6" t="n">
        <v>1.31348283602474</v>
      </c>
      <c r="AP890" s="6" t="n">
        <v>0.138805454087531</v>
      </c>
      <c r="AQ890" s="6" t="n">
        <v>0</v>
      </c>
      <c r="AR890" s="6" t="n">
        <v>0</v>
      </c>
    </row>
    <row r="891" customFormat="false" ht="15" hidden="false" customHeight="false" outlineLevel="0" collapsed="false">
      <c r="D891" s="0" t="s">
        <v>1017</v>
      </c>
      <c r="J891" s="6" t="n">
        <v>-3.05733867959924</v>
      </c>
      <c r="K891" s="6" t="n">
        <v>0.217256572828947</v>
      </c>
      <c r="L891" s="6" t="n">
        <v>2.79617507726269</v>
      </c>
      <c r="M891" s="6" t="n">
        <v>-2.06461895372104</v>
      </c>
      <c r="N891" s="6" t="n">
        <v>3.02613520580302</v>
      </c>
      <c r="O891" s="6" t="n">
        <v>-2.57167780914982</v>
      </c>
      <c r="P891" s="6" t="n">
        <v>1.4437674758063</v>
      </c>
      <c r="Q891" s="6" t="n">
        <v>-4.43207268889289</v>
      </c>
      <c r="R891" s="6" t="n">
        <v>4.97009686618061</v>
      </c>
      <c r="S891" s="6" t="n">
        <v>-0.311724261979689</v>
      </c>
      <c r="T891" s="6" t="n">
        <v>-1.62601061505672</v>
      </c>
      <c r="U891" s="6" t="n">
        <v>-1.19550987404708</v>
      </c>
      <c r="V891" s="6" t="n">
        <v>1.34675299515299</v>
      </c>
      <c r="W891" s="6" t="n">
        <v>-1.26846972763673</v>
      </c>
      <c r="X891" s="6" t="n">
        <v>-4.07734720123775</v>
      </c>
      <c r="Y891" s="6" t="n">
        <v>-0.658903089034744</v>
      </c>
      <c r="Z891" s="6" t="n">
        <v>-0.892563024732611</v>
      </c>
      <c r="AA891" s="6" t="n">
        <v>2.14227834897858</v>
      </c>
      <c r="AB891" s="6" t="n">
        <v>1.19250842755787</v>
      </c>
      <c r="AC891" s="6" t="n">
        <v>-0.538160098743458</v>
      </c>
      <c r="AD891" s="6" t="n">
        <v>2.51545762864035</v>
      </c>
      <c r="AE891" s="6" t="n">
        <v>-4.62210197681227</v>
      </c>
      <c r="AF891" s="6" t="n">
        <v>-1.29018665434801</v>
      </c>
      <c r="AG891" s="6" t="n">
        <v>-2.61540741180869</v>
      </c>
      <c r="AH891" s="6" t="n">
        <v>-0.29211228594617</v>
      </c>
      <c r="AI891" s="6" t="n">
        <v>1.8089747730301</v>
      </c>
      <c r="AJ891" s="6" t="n">
        <v>66.8527058931117</v>
      </c>
      <c r="AK891" s="6" t="n">
        <v>0.139011023235667</v>
      </c>
      <c r="AL891" s="6" t="n">
        <v>0.997802703505054</v>
      </c>
      <c r="AN891" s="6" t="n">
        <v>1.31585933962093</v>
      </c>
      <c r="AO891" s="6" t="n">
        <v>1.31585933962093</v>
      </c>
      <c r="AP891" s="6" t="n">
        <v>0.139405499835896</v>
      </c>
      <c r="AQ891" s="6" t="n">
        <v>0</v>
      </c>
      <c r="AR891" s="6" t="n">
        <v>0</v>
      </c>
    </row>
    <row r="892" customFormat="false" ht="15" hidden="false" customHeight="false" outlineLevel="0" collapsed="false">
      <c r="D892" s="0" t="s">
        <v>1018</v>
      </c>
      <c r="J892" s="6" t="n">
        <v>-1.83541842715052</v>
      </c>
      <c r="K892" s="6" t="n">
        <v>0.273680739346942</v>
      </c>
      <c r="L892" s="6" t="n">
        <v>-3.24584065904639</v>
      </c>
      <c r="M892" s="6" t="n">
        <v>-0.925071286582894</v>
      </c>
      <c r="N892" s="6" t="n">
        <v>3.94120656678682</v>
      </c>
      <c r="O892" s="6" t="n">
        <v>-1.56210267784171</v>
      </c>
      <c r="P892" s="6" t="n">
        <v>-2.12853526406673</v>
      </c>
      <c r="Q892" s="6" t="n">
        <v>4.13651268274867</v>
      </c>
      <c r="R892" s="6" t="n">
        <v>-3.84564214337446</v>
      </c>
      <c r="S892" s="6" t="n">
        <v>0.0873976563522795</v>
      </c>
      <c r="T892" s="6" t="n">
        <v>5</v>
      </c>
      <c r="U892" s="6" t="n">
        <v>2.22294342733505</v>
      </c>
      <c r="V892" s="6" t="n">
        <v>-1.03430668142624</v>
      </c>
      <c r="W892" s="6" t="n">
        <v>2.03478376164482</v>
      </c>
      <c r="X892" s="6" t="n">
        <v>4.24286610743526</v>
      </c>
      <c r="Y892" s="6" t="n">
        <v>2.46104774116924</v>
      </c>
      <c r="Z892" s="6" t="n">
        <v>0.245540977609311</v>
      </c>
      <c r="AA892" s="6" t="n">
        <v>3.09020619045564</v>
      </c>
      <c r="AB892" s="6" t="n">
        <v>-2.06134747282724</v>
      </c>
      <c r="AC892" s="6" t="n">
        <v>-1.24794503606407</v>
      </c>
      <c r="AD892" s="6" t="n">
        <v>1.2472318061255</v>
      </c>
      <c r="AE892" s="6" t="n">
        <v>-3.47309145204124</v>
      </c>
      <c r="AF892" s="6" t="n">
        <v>3.07491521805138</v>
      </c>
      <c r="AG892" s="6" t="n">
        <v>0.0478971307635034</v>
      </c>
      <c r="AH892" s="6" t="n">
        <v>-1.72243586820922</v>
      </c>
      <c r="AI892" s="6" t="n">
        <v>-0.690498333853458</v>
      </c>
      <c r="AJ892" s="6" t="n">
        <v>69.4750029120768</v>
      </c>
      <c r="AK892" s="6" t="n">
        <v>0.155861499015057</v>
      </c>
      <c r="AL892" s="6" t="n">
        <v>1.06226628869046</v>
      </c>
      <c r="AN892" s="6" t="n">
        <v>1.28853218486544</v>
      </c>
      <c r="AO892" s="6" t="n">
        <v>1.28926075608134</v>
      </c>
      <c r="AP892" s="6" t="n">
        <v>0.132348623410899</v>
      </c>
      <c r="AQ892" s="6" t="n">
        <v>0</v>
      </c>
      <c r="AR892" s="6" t="n">
        <v>0</v>
      </c>
    </row>
    <row r="893" customFormat="false" ht="15" hidden="false" customHeight="false" outlineLevel="0" collapsed="false">
      <c r="D893" s="0" t="s">
        <v>1019</v>
      </c>
      <c r="J893" s="6" t="n">
        <v>-0.497590091560724</v>
      </c>
      <c r="K893" s="6" t="n">
        <v>-1.02752970617989</v>
      </c>
      <c r="L893" s="6" t="n">
        <v>-2.26958299873262</v>
      </c>
      <c r="M893" s="6" t="n">
        <v>3.05362848927626</v>
      </c>
      <c r="N893" s="6" t="n">
        <v>3.03167475499199</v>
      </c>
      <c r="O893" s="6" t="n">
        <v>-2.63081012560797</v>
      </c>
      <c r="P893" s="6" t="n">
        <v>-1.67842323032335</v>
      </c>
      <c r="Q893" s="6" t="n">
        <v>1.84160637964193</v>
      </c>
      <c r="R893" s="6" t="n">
        <v>-2.26109400698614</v>
      </c>
      <c r="S893" s="6" t="n">
        <v>0.796478073571793</v>
      </c>
      <c r="T893" s="6" t="n">
        <v>0.22654900700656</v>
      </c>
      <c r="U893" s="6" t="n">
        <v>0.95558476439642</v>
      </c>
      <c r="V893" s="6" t="n">
        <v>-2.43274917117496</v>
      </c>
      <c r="W893" s="6" t="n">
        <v>2.14649869554743</v>
      </c>
      <c r="X893" s="6" t="n">
        <v>-0.318261330854954</v>
      </c>
      <c r="Y893" s="6" t="n">
        <v>-0.384620043878163</v>
      </c>
      <c r="Z893" s="6" t="n">
        <v>0.439603694282233</v>
      </c>
      <c r="AA893" s="6" t="n">
        <v>-0.541203015158949</v>
      </c>
      <c r="AB893" s="6" t="n">
        <v>-1.52748010729906</v>
      </c>
      <c r="AC893" s="6" t="n">
        <v>-4.73172509560347</v>
      </c>
      <c r="AD893" s="6" t="n">
        <v>-0.312356274008869</v>
      </c>
      <c r="AE893" s="6" t="n">
        <v>2.09772002713121</v>
      </c>
      <c r="AF893" s="6" t="n">
        <v>-1.3117069947528</v>
      </c>
      <c r="AG893" s="6" t="n">
        <v>2.40699382240324</v>
      </c>
      <c r="AH893" s="6" t="n">
        <v>1.61891748479522</v>
      </c>
      <c r="AI893" s="6" t="n">
        <v>-1.71362362741043</v>
      </c>
      <c r="AJ893" s="6" t="n">
        <v>81.4419796353819</v>
      </c>
      <c r="AK893" s="6" t="n">
        <v>0.0910826520310147</v>
      </c>
      <c r="AL893" s="6" t="n">
        <v>1.0216108707499</v>
      </c>
      <c r="AN893" s="6" t="n">
        <v>1.31661462165937</v>
      </c>
      <c r="AO893" s="6" t="n">
        <v>1.31661462165937</v>
      </c>
      <c r="AP893" s="6" t="n">
        <v>0.139191612585135</v>
      </c>
      <c r="AQ893" s="6" t="n">
        <v>0</v>
      </c>
      <c r="AR893" s="6" t="n">
        <v>0</v>
      </c>
    </row>
    <row r="894" customFormat="false" ht="15" hidden="false" customHeight="false" outlineLevel="0" collapsed="false">
      <c r="D894" s="0" t="s">
        <v>1020</v>
      </c>
      <c r="J894" s="6" t="n">
        <v>1.73882788299866</v>
      </c>
      <c r="K894" s="6" t="n">
        <v>0.466690912152299</v>
      </c>
      <c r="L894" s="6" t="n">
        <v>4.5361084459422</v>
      </c>
      <c r="M894" s="6" t="n">
        <v>-3.72527103197033</v>
      </c>
      <c r="N894" s="6" t="n">
        <v>2.26824495119173</v>
      </c>
      <c r="O894" s="6" t="n">
        <v>-2.2833709378569</v>
      </c>
      <c r="P894" s="6" t="n">
        <v>3.3736668423281</v>
      </c>
      <c r="Q894" s="6" t="n">
        <v>0.833033809042392</v>
      </c>
      <c r="R894" s="6" t="n">
        <v>-0.381034433852733</v>
      </c>
      <c r="S894" s="6" t="n">
        <v>0.000372777718398462</v>
      </c>
      <c r="T894" s="6" t="n">
        <v>-1.95166813016945</v>
      </c>
      <c r="U894" s="6" t="n">
        <v>1.85482549145404</v>
      </c>
      <c r="V894" s="6" t="n">
        <v>2.27327213396201</v>
      </c>
      <c r="W894" s="6" t="n">
        <v>-1.76328855735607</v>
      </c>
      <c r="X894" s="6" t="n">
        <v>-2.03992929479602</v>
      </c>
      <c r="Y894" s="6" t="n">
        <v>0.561479552837794</v>
      </c>
      <c r="Z894" s="6" t="n">
        <v>-1.17862029940048</v>
      </c>
      <c r="AA894" s="6" t="n">
        <v>1.55252729751066</v>
      </c>
      <c r="AB894" s="6" t="n">
        <v>1.60723836411816</v>
      </c>
      <c r="AC894" s="6" t="n">
        <v>0.935225820552551</v>
      </c>
      <c r="AD894" s="6" t="n">
        <v>-1.59810703269685</v>
      </c>
      <c r="AE894" s="6" t="n">
        <v>2.42195159504525</v>
      </c>
      <c r="AF894" s="6" t="n">
        <v>1.66960000229644</v>
      </c>
      <c r="AG894" s="6" t="n">
        <v>2.1620977347052</v>
      </c>
      <c r="AH894" s="6" t="n">
        <v>-2.50354848319137</v>
      </c>
      <c r="AI894" s="6" t="n">
        <v>-3.75702569931304</v>
      </c>
      <c r="AJ894" s="6" t="n">
        <v>63.0136732934695</v>
      </c>
      <c r="AK894" s="6" t="n">
        <v>0.167877055579057</v>
      </c>
      <c r="AL894" s="6" t="n">
        <v>1.06899329447334</v>
      </c>
      <c r="AN894" s="6" t="n">
        <v>1.28072071804591</v>
      </c>
      <c r="AO894" s="6" t="n">
        <v>1.28130893354207</v>
      </c>
      <c r="AP894" s="6" t="n">
        <v>0.130612248736727</v>
      </c>
      <c r="AQ894" s="6" t="n">
        <v>0</v>
      </c>
      <c r="AR894" s="6" t="n">
        <v>0</v>
      </c>
    </row>
    <row r="895" customFormat="false" ht="15" hidden="false" customHeight="false" outlineLevel="0" collapsed="false">
      <c r="D895" s="0" t="s">
        <v>1021</v>
      </c>
      <c r="J895" s="6" t="n">
        <v>-1.19253782428361</v>
      </c>
      <c r="K895" s="6" t="n">
        <v>-1.40538093496675</v>
      </c>
      <c r="L895" s="6" t="n">
        <v>1.97889621391174</v>
      </c>
      <c r="M895" s="6" t="n">
        <v>0.0366320221825339</v>
      </c>
      <c r="N895" s="6" t="n">
        <v>-1.76910282737541</v>
      </c>
      <c r="O895" s="6" t="n">
        <v>0.245681724617709</v>
      </c>
      <c r="P895" s="6" t="n">
        <v>2.18924911619236</v>
      </c>
      <c r="Q895" s="6" t="n">
        <v>-1.75617335379758</v>
      </c>
      <c r="R895" s="6" t="n">
        <v>0.055827260535323</v>
      </c>
      <c r="S895" s="6" t="n">
        <v>1.03172995797833</v>
      </c>
      <c r="T895" s="6" t="n">
        <v>-4.17538631719678</v>
      </c>
      <c r="U895" s="6" t="n">
        <v>0.441359594715667</v>
      </c>
      <c r="V895" s="6" t="n">
        <v>-0.963231875173508</v>
      </c>
      <c r="W895" s="6" t="n">
        <v>3.07253012293972</v>
      </c>
      <c r="X895" s="6" t="n">
        <v>1.11734453705587</v>
      </c>
      <c r="Y895" s="6" t="n">
        <v>1.44680417891369</v>
      </c>
      <c r="Z895" s="6" t="n">
        <v>0.0253278172941949</v>
      </c>
      <c r="AA895" s="6" t="n">
        <v>-0.156011968515648</v>
      </c>
      <c r="AB895" s="6" t="n">
        <v>1.09955579026672</v>
      </c>
      <c r="AC895" s="6" t="n">
        <v>1.92060903883995</v>
      </c>
      <c r="AD895" s="6" t="n">
        <v>0.893725785787537</v>
      </c>
      <c r="AE895" s="6" t="n">
        <v>1.06376546506929</v>
      </c>
      <c r="AF895" s="6" t="n">
        <v>0.130296248197076</v>
      </c>
      <c r="AG895" s="6" t="n">
        <v>-0.24747307568918</v>
      </c>
      <c r="AH895" s="6" t="n">
        <v>-1.80285870851449</v>
      </c>
      <c r="AI895" s="6" t="n">
        <v>-2.7333899251183</v>
      </c>
      <c r="AJ895" s="6" t="n">
        <v>73.8935735809491</v>
      </c>
      <c r="AK895" s="6" t="n">
        <v>0.120380127385437</v>
      </c>
      <c r="AL895" s="6" t="n">
        <v>1.04546454759523</v>
      </c>
      <c r="AN895" s="6" t="n">
        <v>1.29797316371898</v>
      </c>
      <c r="AO895" s="6" t="n">
        <v>1.29879203414411</v>
      </c>
      <c r="AP895" s="6" t="n">
        <v>0.13462322450622</v>
      </c>
      <c r="AQ895" s="6" t="n">
        <v>0</v>
      </c>
      <c r="AR895" s="6" t="n">
        <v>0</v>
      </c>
    </row>
    <row r="896" customFormat="false" ht="15" hidden="false" customHeight="false" outlineLevel="0" collapsed="false">
      <c r="D896" s="0" t="s">
        <v>1022</v>
      </c>
      <c r="J896" s="6" t="n">
        <v>-2.72539341995724</v>
      </c>
      <c r="K896" s="6" t="n">
        <v>-2.6852861198265</v>
      </c>
      <c r="L896" s="6" t="n">
        <v>-1.71213067535483</v>
      </c>
      <c r="M896" s="6" t="n">
        <v>2.70927380788489</v>
      </c>
      <c r="N896" s="6" t="n">
        <v>-0.636256981396861</v>
      </c>
      <c r="O896" s="6" t="n">
        <v>1.91629161707999</v>
      </c>
      <c r="P896" s="6" t="n">
        <v>-1.32419945098036</v>
      </c>
      <c r="Q896" s="6" t="n">
        <v>-0.716415727965911</v>
      </c>
      <c r="R896" s="6" t="n">
        <v>1.65399000349916</v>
      </c>
      <c r="S896" s="6" t="n">
        <v>2.22929327220166</v>
      </c>
      <c r="T896" s="6" t="n">
        <v>-0.874624113644095</v>
      </c>
      <c r="U896" s="6" t="n">
        <v>0.535431662530562</v>
      </c>
      <c r="V896" s="6" t="n">
        <v>2.23067298420928</v>
      </c>
      <c r="W896" s="6" t="n">
        <v>1.77926917737357</v>
      </c>
      <c r="X896" s="6" t="n">
        <v>-1.00604528376076</v>
      </c>
      <c r="Y896" s="6" t="n">
        <v>3.75259219769728</v>
      </c>
      <c r="Z896" s="6" t="n">
        <v>-1.37825071711769</v>
      </c>
      <c r="AA896" s="6" t="n">
        <v>0.975408337162144</v>
      </c>
      <c r="AB896" s="6" t="n">
        <v>1.12133418748446</v>
      </c>
      <c r="AC896" s="6" t="n">
        <v>1.72254203594148</v>
      </c>
      <c r="AD896" s="6" t="n">
        <v>-2.12992422155921</v>
      </c>
      <c r="AE896" s="6" t="n">
        <v>-2.19749048959245</v>
      </c>
      <c r="AF896" s="6" t="n">
        <v>-0.399587689458986</v>
      </c>
      <c r="AG896" s="6" t="n">
        <v>-0.386307692543103</v>
      </c>
      <c r="AH896" s="6" t="n">
        <v>-0.944042405287635</v>
      </c>
      <c r="AI896" s="6" t="n">
        <v>-2.62475845853422</v>
      </c>
      <c r="AJ896" s="6" t="n">
        <v>68.2848267366244</v>
      </c>
      <c r="AK896" s="6" t="n">
        <v>0.10285259790761</v>
      </c>
      <c r="AL896" s="6" t="n">
        <v>1.06079924071685</v>
      </c>
      <c r="AN896" s="6" t="n">
        <v>1.28981836377762</v>
      </c>
      <c r="AO896" s="6" t="n">
        <v>1.29020597946304</v>
      </c>
      <c r="AP896" s="6" t="n">
        <v>0.133488786668835</v>
      </c>
      <c r="AQ896" s="6" t="n">
        <v>0</v>
      </c>
      <c r="AR896" s="6" t="n">
        <v>0</v>
      </c>
    </row>
    <row r="897" customFormat="false" ht="15" hidden="false" customHeight="false" outlineLevel="0" collapsed="false">
      <c r="D897" s="0" t="s">
        <v>1023</v>
      </c>
      <c r="J897" s="6" t="n">
        <v>4.48729735680264</v>
      </c>
      <c r="K897" s="6" t="n">
        <v>-0.641917038884612</v>
      </c>
      <c r="L897" s="6" t="n">
        <v>1.25139556716134</v>
      </c>
      <c r="M897" s="6" t="n">
        <v>-1.98472782810734</v>
      </c>
      <c r="N897" s="6" t="n">
        <v>-0.457823325027248</v>
      </c>
      <c r="O897" s="6" t="n">
        <v>1.58350249107258</v>
      </c>
      <c r="P897" s="6" t="n">
        <v>-0.450999870043485</v>
      </c>
      <c r="Q897" s="6" t="n">
        <v>0.373866194008201</v>
      </c>
      <c r="R897" s="6" t="n">
        <v>1.59549285144373</v>
      </c>
      <c r="S897" s="6" t="n">
        <v>-2.9156559256799</v>
      </c>
      <c r="T897" s="6" t="n">
        <v>1.40694999005193</v>
      </c>
      <c r="U897" s="6" t="n">
        <v>1.57823707076322</v>
      </c>
      <c r="V897" s="6" t="n">
        <v>2.76929785288338</v>
      </c>
      <c r="W897" s="6" t="n">
        <v>-0.549341103779754</v>
      </c>
      <c r="X897" s="6" t="n">
        <v>-1.89183250600149</v>
      </c>
      <c r="Y897" s="6" t="n">
        <v>1.4265455199246</v>
      </c>
      <c r="Z897" s="6" t="n">
        <v>-0.941212045348687</v>
      </c>
      <c r="AA897" s="6" t="n">
        <v>2.44178722128605</v>
      </c>
      <c r="AB897" s="6" t="n">
        <v>-2.97596065232723</v>
      </c>
      <c r="AC897" s="6" t="n">
        <v>-0.719082935836548</v>
      </c>
      <c r="AD897" s="6" t="n">
        <v>2.0661881404732</v>
      </c>
      <c r="AE897" s="6" t="n">
        <v>1.935085275108</v>
      </c>
      <c r="AF897" s="6" t="n">
        <v>-0.967266801597542</v>
      </c>
      <c r="AG897" s="6" t="n">
        <v>1.7491938565029</v>
      </c>
      <c r="AH897" s="6" t="n">
        <v>1.85075975829627</v>
      </c>
      <c r="AI897" s="6" t="n">
        <v>-2.82612704460519</v>
      </c>
      <c r="AJ897" s="6" t="n">
        <v>72.3721660965792</v>
      </c>
      <c r="AK897" s="6" t="n">
        <v>0.118077700768179</v>
      </c>
      <c r="AL897" s="6" t="n">
        <v>1.0757218686949</v>
      </c>
      <c r="AN897" s="6" t="n">
        <v>1.28461540890035</v>
      </c>
      <c r="AO897" s="6" t="n">
        <v>1.28481734283421</v>
      </c>
      <c r="AP897" s="6" t="n">
        <v>0.132183970350578</v>
      </c>
      <c r="AQ897" s="6" t="n">
        <v>0</v>
      </c>
      <c r="AR897" s="6" t="n">
        <v>0</v>
      </c>
    </row>
    <row r="898" customFormat="false" ht="15" hidden="false" customHeight="false" outlineLevel="0" collapsed="false">
      <c r="D898" s="0" t="s">
        <v>1024</v>
      </c>
      <c r="J898" s="6" t="n">
        <v>0.27027251479823</v>
      </c>
      <c r="K898" s="6" t="n">
        <v>-0.000338965649308004</v>
      </c>
      <c r="L898" s="6" t="n">
        <v>0.544095415680902</v>
      </c>
      <c r="M898" s="6" t="n">
        <v>-0.354284657114889</v>
      </c>
      <c r="N898" s="6" t="n">
        <v>2.20242497215302</v>
      </c>
      <c r="O898" s="6" t="n">
        <v>0.613470205325069</v>
      </c>
      <c r="P898" s="6" t="n">
        <v>-0.154010311337863</v>
      </c>
      <c r="Q898" s="6" t="n">
        <v>-2.11378410616121</v>
      </c>
      <c r="R898" s="6" t="n">
        <v>-0.418715153398611</v>
      </c>
      <c r="S898" s="6" t="n">
        <v>-2.20657021146204</v>
      </c>
      <c r="T898" s="6" t="n">
        <v>-0.513155472084815</v>
      </c>
      <c r="U898" s="6" t="n">
        <v>-1.96359721869865</v>
      </c>
      <c r="V898" s="6" t="n">
        <v>-0.503061247835548</v>
      </c>
      <c r="W898" s="6" t="n">
        <v>0.0435845043370435</v>
      </c>
      <c r="X898" s="6" t="n">
        <v>0.154988999056137</v>
      </c>
      <c r="Y898" s="6" t="n">
        <v>1.48024445548212</v>
      </c>
      <c r="Z898" s="6" t="n">
        <v>-1.4591352980619</v>
      </c>
      <c r="AA898" s="6" t="n">
        <v>1.13570436235929</v>
      </c>
      <c r="AB898" s="6" t="n">
        <v>-1.16840823766672</v>
      </c>
      <c r="AC898" s="6" t="n">
        <v>2.7532043339731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</v>
      </c>
      <c r="AH898" s="6" t="n">
        <v>4.50523929706463</v>
      </c>
      <c r="AI898" s="6" t="n">
        <v>-0.96477834287272</v>
      </c>
      <c r="AJ898" s="6" t="n">
        <v>83.8490598438689</v>
      </c>
      <c r="AK898" s="6" t="n">
        <v>0.109598152404981</v>
      </c>
      <c r="AL898" s="6" t="n">
        <v>1.02172151256174</v>
      </c>
      <c r="AN898" s="6" t="n">
        <v>1.31691059193083</v>
      </c>
      <c r="AO898" s="6" t="n">
        <v>1.31691059193083</v>
      </c>
      <c r="AP898" s="6" t="n">
        <v>0.138647608106053</v>
      </c>
      <c r="AQ898" s="6" t="n">
        <v>0</v>
      </c>
      <c r="AR898" s="6" t="n">
        <v>0</v>
      </c>
    </row>
    <row r="899" customFormat="false" ht="15" hidden="false" customHeight="false" outlineLevel="0" collapsed="false">
      <c r="D899" s="0" t="s">
        <v>1025</v>
      </c>
      <c r="J899" s="6" t="n">
        <v>0.813771989631774</v>
      </c>
      <c r="K899" s="6" t="n">
        <v>1.09867719200762</v>
      </c>
      <c r="L899" s="6" t="n">
        <v>2.96012578043726</v>
      </c>
      <c r="M899" s="6" t="n">
        <v>3.07993302287813</v>
      </c>
      <c r="N899" s="6" t="n">
        <v>-1.84131070651037</v>
      </c>
      <c r="O899" s="6" t="n">
        <v>1.15850822695132</v>
      </c>
      <c r="P899" s="6" t="n">
        <v>-1.10181006795975</v>
      </c>
      <c r="Q899" s="6" t="n">
        <v>1.8859176354722</v>
      </c>
      <c r="R899" s="6" t="n">
        <v>3.41223402064589</v>
      </c>
      <c r="S899" s="6" t="n">
        <v>1.56448297551053</v>
      </c>
      <c r="T899" s="6" t="n">
        <v>-0.715599305715023</v>
      </c>
      <c r="U899" s="6" t="n">
        <v>2.10079549836933</v>
      </c>
      <c r="V899" s="6" t="n">
        <v>-0.18744230724281</v>
      </c>
      <c r="W899" s="6" t="n">
        <v>0.944808232798119</v>
      </c>
      <c r="X899" s="6" t="n">
        <v>2.26773225250781</v>
      </c>
      <c r="Y899" s="6" t="n">
        <v>-0.11129399591225</v>
      </c>
      <c r="Z899" s="6" t="n">
        <v>-1.02659164941002</v>
      </c>
      <c r="AA899" s="6" t="n">
        <v>1.51816749452738</v>
      </c>
      <c r="AB899" s="6" t="n">
        <v>-2.03539610667445</v>
      </c>
      <c r="AC899" s="6" t="n">
        <v>4.39283363844023</v>
      </c>
      <c r="AD899" s="6" t="n">
        <v>1.47333200711884</v>
      </c>
      <c r="AE899" s="6" t="n">
        <v>-1.35039307684981</v>
      </c>
      <c r="AF899" s="6" t="n">
        <v>-4.31342300549044</v>
      </c>
      <c r="AG899" s="6" t="n">
        <v>3.07118563284281</v>
      </c>
      <c r="AH899" s="6" t="n">
        <v>-1.22968855664127</v>
      </c>
      <c r="AI899" s="6" t="n">
        <v>1.37913721454944</v>
      </c>
      <c r="AJ899" s="6" t="n">
        <v>62.4329860727101</v>
      </c>
      <c r="AK899" s="6" t="n">
        <v>0.12538110185951</v>
      </c>
      <c r="AL899" s="6" t="n">
        <v>1.03196796066316</v>
      </c>
      <c r="AN899" s="6" t="n">
        <v>1.29781189247527</v>
      </c>
      <c r="AO899" s="6" t="n">
        <v>1.29825702702593</v>
      </c>
      <c r="AP899" s="6" t="n">
        <v>0.134909699952255</v>
      </c>
      <c r="AQ899" s="6" t="n">
        <v>0</v>
      </c>
      <c r="AR899" s="6" t="n">
        <v>0</v>
      </c>
    </row>
    <row r="900" customFormat="false" ht="15" hidden="false" customHeight="false" outlineLevel="0" collapsed="false">
      <c r="D900" s="0" t="s">
        <v>1026</v>
      </c>
      <c r="J900" s="6" t="n">
        <v>-1.8059289306723</v>
      </c>
      <c r="K900" s="6" t="n">
        <v>-1.13119706900398</v>
      </c>
      <c r="L900" s="6" t="n">
        <v>3.02126664501226</v>
      </c>
      <c r="M900" s="6" t="n">
        <v>1.63019316144703</v>
      </c>
      <c r="N900" s="6" t="n">
        <v>-0.0305707282935233</v>
      </c>
      <c r="O900" s="6" t="n">
        <v>1.1543829899961</v>
      </c>
      <c r="P900" s="6" t="n">
        <v>2.46592264038991</v>
      </c>
      <c r="Q900" s="6" t="n">
        <v>-1.39907426277508</v>
      </c>
      <c r="R900" s="6" t="n">
        <v>-2.89630095492168</v>
      </c>
      <c r="S900" s="6" t="n">
        <v>0.38649640570754</v>
      </c>
      <c r="T900" s="6" t="n">
        <v>0.114857573656988</v>
      </c>
      <c r="U900" s="6" t="n">
        <v>0.413407447128263</v>
      </c>
      <c r="V900" s="6" t="n">
        <v>-0.00743749735735893</v>
      </c>
      <c r="W900" s="6" t="n">
        <v>-2.45066833693811</v>
      </c>
      <c r="X900" s="6" t="n">
        <v>-0.0579412215756349</v>
      </c>
      <c r="Y900" s="6" t="n">
        <v>2.10602206293699</v>
      </c>
      <c r="Z900" s="6" t="n">
        <v>2.83533929614953</v>
      </c>
      <c r="AA900" s="6" t="n">
        <v>-0.682580213103886</v>
      </c>
      <c r="AB900" s="6" t="n">
        <v>1.29361316610782</v>
      </c>
      <c r="AC900" s="6" t="n">
        <v>-0.961601271356324</v>
      </c>
      <c r="AD900" s="6" t="n">
        <v>-1.30824346672764</v>
      </c>
      <c r="AE900" s="6" t="n">
        <v>1.12020857576069</v>
      </c>
      <c r="AF900" s="6" t="n">
        <v>0.919633018797493</v>
      </c>
      <c r="AG900" s="6" t="n">
        <v>-2.19564621075207</v>
      </c>
      <c r="AH900" s="6" t="n">
        <v>0.223466977614346</v>
      </c>
      <c r="AI900" s="6" t="n">
        <v>-0.434326387675585</v>
      </c>
      <c r="AJ900" s="6" t="n">
        <v>61.7361000165986</v>
      </c>
      <c r="AK900" s="6" t="n">
        <v>0.212794338776774</v>
      </c>
      <c r="AL900" s="6" t="n">
        <v>1.05065946194926</v>
      </c>
      <c r="AN900" s="6" t="n">
        <v>1.27865948725125</v>
      </c>
      <c r="AO900" s="6" t="n">
        <v>1.27995953012853</v>
      </c>
      <c r="AP900" s="6" t="n">
        <v>0.131132617703295</v>
      </c>
      <c r="AQ900" s="6" t="n">
        <v>0</v>
      </c>
      <c r="AR900" s="6" t="n">
        <v>0</v>
      </c>
    </row>
    <row r="901" customFormat="false" ht="15" hidden="false" customHeight="false" outlineLevel="0" collapsed="false">
      <c r="D901" s="0" t="s">
        <v>1027</v>
      </c>
      <c r="J901" s="6" t="n">
        <v>-2.72886671121765</v>
      </c>
      <c r="K901" s="6" t="n">
        <v>1.39821750979918</v>
      </c>
      <c r="L901" s="6" t="n">
        <v>-1.91289931749932</v>
      </c>
      <c r="M901" s="6" t="n">
        <v>0.712811854999961</v>
      </c>
      <c r="N901" s="6" t="n">
        <v>-3.08516968382459</v>
      </c>
      <c r="O901" s="6" t="n">
        <v>1.91498405075728</v>
      </c>
      <c r="P901" s="6" t="n">
        <v>-2.3543725233212</v>
      </c>
      <c r="Q901" s="6" t="n">
        <v>-1.07496997137913</v>
      </c>
      <c r="R901" s="6" t="n">
        <v>-2.34167816909455</v>
      </c>
      <c r="S901" s="6" t="n">
        <v>0.0746032331321493</v>
      </c>
      <c r="T901" s="6" t="n">
        <v>-0.739676864005838</v>
      </c>
      <c r="U901" s="6" t="n">
        <v>-2.65407899836095</v>
      </c>
      <c r="V901" s="6" t="n">
        <v>0.330776398505621</v>
      </c>
      <c r="W901" s="6" t="n">
        <v>-0.847694313193435</v>
      </c>
      <c r="X901" s="6" t="n">
        <v>-3.01884643014579</v>
      </c>
      <c r="Y901" s="6" t="n">
        <v>0.573895530287473</v>
      </c>
      <c r="Z901" s="6" t="n">
        <v>0.719494990549914</v>
      </c>
      <c r="AA901" s="6" t="n">
        <v>0.591669893686519</v>
      </c>
      <c r="AB901" s="6" t="n">
        <v>1.30241166910262</v>
      </c>
      <c r="AC901" s="6" t="n">
        <v>-1.89110431952757</v>
      </c>
      <c r="AD901" s="6" t="n">
        <v>-1.89209027636768</v>
      </c>
      <c r="AE901" s="6" t="n">
        <v>-0.873903618384353</v>
      </c>
      <c r="AF901" s="6" t="n">
        <v>-0.325173669246242</v>
      </c>
      <c r="AG901" s="6" t="n">
        <v>1.6946759497667</v>
      </c>
      <c r="AH901" s="6" t="n">
        <v>1.91771111710679</v>
      </c>
      <c r="AI901" s="6" t="n">
        <v>0.364562476266985</v>
      </c>
      <c r="AJ901" s="6" t="n">
        <v>73.3142174785746</v>
      </c>
      <c r="AK901" s="6" t="n">
        <v>0.17654874735011</v>
      </c>
      <c r="AL901" s="6" t="n">
        <v>1.0513500093464</v>
      </c>
      <c r="AN901" s="6" t="n">
        <v>1.28787685902038</v>
      </c>
      <c r="AO901" s="6" t="n">
        <v>1.28817569422167</v>
      </c>
      <c r="AP901" s="6" t="n">
        <v>0.132703644707919</v>
      </c>
      <c r="AQ901" s="6" t="n">
        <v>0</v>
      </c>
      <c r="AR901" s="6" t="n">
        <v>0</v>
      </c>
    </row>
    <row r="902" customFormat="false" ht="15" hidden="false" customHeight="false" outlineLevel="0" collapsed="false">
      <c r="D902" s="0" t="s">
        <v>1028</v>
      </c>
      <c r="J902" s="6" t="n">
        <v>-2.13115750842859</v>
      </c>
      <c r="K902" s="6" t="n">
        <v>-3.21993525903929</v>
      </c>
      <c r="L902" s="6" t="n">
        <v>0.693383275185026</v>
      </c>
      <c r="M902" s="6" t="n">
        <v>0.682625029855881</v>
      </c>
      <c r="N902" s="6" t="n">
        <v>1.47797091990294</v>
      </c>
      <c r="O902" s="6" t="n">
        <v>1.32037668549066</v>
      </c>
      <c r="P902" s="6" t="n">
        <v>3.59825731437975</v>
      </c>
      <c r="Q902" s="6" t="n">
        <v>1.21001621518899</v>
      </c>
      <c r="R902" s="6" t="n">
        <v>-1.43009317589728</v>
      </c>
      <c r="S902" s="6" t="n">
        <v>1.08273251884344</v>
      </c>
      <c r="T902" s="6" t="n">
        <v>-0.720391353141271</v>
      </c>
      <c r="U902" s="6" t="n">
        <v>0.77089782483491</v>
      </c>
      <c r="V902" s="6" t="n">
        <v>-3.21238131807238</v>
      </c>
      <c r="W902" s="6" t="n">
        <v>1.66517107493182</v>
      </c>
      <c r="X902" s="6" t="n">
        <v>-0.951147897226936</v>
      </c>
      <c r="Y902" s="6" t="n">
        <v>0.965736382680446</v>
      </c>
      <c r="Z902" s="6" t="n">
        <v>-1.31263107593349</v>
      </c>
      <c r="AA902" s="6" t="n">
        <v>1.03463106943496</v>
      </c>
      <c r="AB902" s="6" t="n">
        <v>-1.95220782231555</v>
      </c>
      <c r="AC902" s="6" t="n">
        <v>-0.150871729963268</v>
      </c>
      <c r="AD902" s="6" t="n">
        <v>1.72891361100122</v>
      </c>
      <c r="AE902" s="6" t="n">
        <v>0.718444565991314</v>
      </c>
      <c r="AF902" s="6" t="n">
        <v>-0.0153217927268853</v>
      </c>
      <c r="AG902" s="6" t="n">
        <v>-0.679664934150547</v>
      </c>
      <c r="AH902" s="6" t="n">
        <v>1.25196466724797</v>
      </c>
      <c r="AI902" s="6" t="n">
        <v>0.284509199426009</v>
      </c>
      <c r="AJ902" s="6" t="n">
        <v>62.3779835952648</v>
      </c>
      <c r="AK902" s="6" t="n">
        <v>0.0806259113017132</v>
      </c>
      <c r="AL902" s="6" t="n">
        <v>1.04590734898714</v>
      </c>
      <c r="AN902" s="6" t="n">
        <v>1.29496688895555</v>
      </c>
      <c r="AO902" s="6" t="n">
        <v>1.29532490181776</v>
      </c>
      <c r="AP902" s="6" t="n">
        <v>0.134747023154343</v>
      </c>
      <c r="AQ902" s="6" t="n">
        <v>0</v>
      </c>
      <c r="AR902" s="6" t="n">
        <v>0</v>
      </c>
    </row>
    <row r="903" customFormat="false" ht="15" hidden="false" customHeight="false" outlineLevel="0" collapsed="false">
      <c r="D903" s="0" t="s">
        <v>1029</v>
      </c>
      <c r="J903" s="6" t="n">
        <v>0.180559215020933</v>
      </c>
      <c r="K903" s="6" t="n">
        <v>-1.85840989860899</v>
      </c>
      <c r="L903" s="6" t="n">
        <v>1.72201706526624</v>
      </c>
      <c r="M903" s="6" t="n">
        <v>-0.391265119269797</v>
      </c>
      <c r="N903" s="6" t="n">
        <v>-3.14874815154754</v>
      </c>
      <c r="O903" s="6" t="n">
        <v>-0.139583714679093</v>
      </c>
      <c r="P903" s="6" t="n">
        <v>1.13200750947137</v>
      </c>
      <c r="Q903" s="6" t="n">
        <v>0.894174814656896</v>
      </c>
      <c r="R903" s="6" t="n">
        <v>-0.414928568745617</v>
      </c>
      <c r="S903" s="6" t="n">
        <v>1.80798228107889</v>
      </c>
      <c r="T903" s="6" t="n">
        <v>1.61570634234493</v>
      </c>
      <c r="U903" s="6" t="n">
        <v>3.63886656064478</v>
      </c>
      <c r="V903" s="6" t="n">
        <v>2.97806694305361</v>
      </c>
      <c r="W903" s="6" t="n">
        <v>2.55460608019931</v>
      </c>
      <c r="X903" s="6" t="n">
        <v>1.2084098251241</v>
      </c>
      <c r="Y903" s="6" t="n">
        <v>-2.66588787900441</v>
      </c>
      <c r="Z903" s="6" t="n">
        <v>-0.824523820030157</v>
      </c>
      <c r="AA903" s="6" t="n">
        <v>0.201306139341423</v>
      </c>
      <c r="AB903" s="6" t="n">
        <v>-1.57489663865941</v>
      </c>
      <c r="AC903" s="6" t="n">
        <v>0.977824134316803</v>
      </c>
      <c r="AD903" s="6" t="n">
        <v>-1.49184124367884</v>
      </c>
      <c r="AE903" s="6" t="n">
        <v>-0.0385532490391511</v>
      </c>
      <c r="AF903" s="6" t="n">
        <v>3.16487393832426</v>
      </c>
      <c r="AG903" s="6" t="n">
        <v>-2.03621677634267</v>
      </c>
      <c r="AH903" s="6" t="n">
        <v>-0.974824025235951</v>
      </c>
      <c r="AI903" s="6" t="n">
        <v>0.557512917529675</v>
      </c>
      <c r="AJ903" s="6" t="n">
        <v>77.1943903314784</v>
      </c>
      <c r="AK903" s="6" t="n">
        <v>0.140882029917074</v>
      </c>
      <c r="AL903" s="6" t="n">
        <v>1.05351164118577</v>
      </c>
      <c r="AN903" s="6" t="n">
        <v>1.29388134372892</v>
      </c>
      <c r="AO903" s="6" t="n">
        <v>1.29478602923504</v>
      </c>
      <c r="AP903" s="6" t="n">
        <v>0.133596588599982</v>
      </c>
      <c r="AQ903" s="6" t="n">
        <v>0</v>
      </c>
      <c r="AR903" s="6" t="n">
        <v>0</v>
      </c>
    </row>
    <row r="904" customFormat="false" ht="15" hidden="false" customHeight="false" outlineLevel="0" collapsed="false">
      <c r="D904" s="0" t="s">
        <v>1030</v>
      </c>
      <c r="J904" s="6" t="n">
        <v>-0.294212196889887</v>
      </c>
      <c r="K904" s="6" t="n">
        <v>-1.38845852101241</v>
      </c>
      <c r="L904" s="6" t="n">
        <v>-0.621349396909654</v>
      </c>
      <c r="M904" s="6" t="n">
        <v>-1.22402933764296</v>
      </c>
      <c r="N904" s="6" t="n">
        <v>-2.57547259783643</v>
      </c>
      <c r="O904" s="6" t="n">
        <v>-0.234284403660293</v>
      </c>
      <c r="P904" s="6" t="n">
        <v>0.0457959932528376</v>
      </c>
      <c r="Q904" s="6" t="n">
        <v>-1.38889327439764</v>
      </c>
      <c r="R904" s="6" t="n">
        <v>0.784973518244568</v>
      </c>
      <c r="S904" s="6" t="n">
        <v>-2.36480591150126</v>
      </c>
      <c r="T904" s="6" t="n">
        <v>0.941202009881321</v>
      </c>
      <c r="U904" s="6" t="n">
        <v>-0.0748374276275483</v>
      </c>
      <c r="V904" s="6" t="n">
        <v>-1.0434030842402</v>
      </c>
      <c r="W904" s="6" t="n">
        <v>0.985802883501468</v>
      </c>
      <c r="X904" s="6" t="n">
        <v>1.49683053758778</v>
      </c>
      <c r="Y904" s="6" t="n">
        <v>-0.740770765084101</v>
      </c>
      <c r="Z904" s="6" t="n">
        <v>-2.49247598288061</v>
      </c>
      <c r="AA904" s="6" t="n">
        <v>-0.0275722521651593</v>
      </c>
      <c r="AB904" s="6" t="n">
        <v>0.659784330628478</v>
      </c>
      <c r="AC904" s="6" t="n">
        <v>-1.12859033191602</v>
      </c>
      <c r="AD904" s="6" t="n">
        <v>-6.62418739702716</v>
      </c>
      <c r="AE904" s="6" t="n">
        <v>-5.37189384939273</v>
      </c>
      <c r="AF904" s="6" t="n">
        <v>-3.6148568791832</v>
      </c>
      <c r="AG904" s="6" t="n">
        <v>2.90872247106362</v>
      </c>
      <c r="AH904" s="6" t="n">
        <v>-0.786691993326181</v>
      </c>
      <c r="AI904" s="6" t="n">
        <v>-0.836591361602849</v>
      </c>
      <c r="AJ904" s="6" t="n">
        <v>71.8711373279274</v>
      </c>
      <c r="AK904" s="6" t="n">
        <v>0.115782550285252</v>
      </c>
      <c r="AL904" s="6" t="n">
        <v>1.02330987583527</v>
      </c>
      <c r="AN904" s="6" t="n">
        <v>1.31072751704755</v>
      </c>
      <c r="AO904" s="6" t="n">
        <v>1.31080711733471</v>
      </c>
      <c r="AP904" s="6" t="n">
        <v>0.136967744943478</v>
      </c>
      <c r="AQ904" s="6" t="n">
        <v>0</v>
      </c>
      <c r="AR904" s="6" t="n">
        <v>0</v>
      </c>
    </row>
    <row r="905" customFormat="false" ht="15" hidden="false" customHeight="false" outlineLevel="0" collapsed="false">
      <c r="D905" s="0" t="s">
        <v>1031</v>
      </c>
      <c r="J905" s="6" t="n">
        <v>2.24257350988925</v>
      </c>
      <c r="K905" s="6" t="n">
        <v>0.501385288524652</v>
      </c>
      <c r="L905" s="6" t="n">
        <v>-1.15088566371755</v>
      </c>
      <c r="M905" s="6" t="n">
        <v>2.62176163318982</v>
      </c>
      <c r="N905" s="6" t="n">
        <v>-1.10332832979573</v>
      </c>
      <c r="O905" s="6" t="n">
        <v>0.461464325539398</v>
      </c>
      <c r="P905" s="6" t="n">
        <v>-1.74344466928888</v>
      </c>
      <c r="Q905" s="6" t="n">
        <v>2.53058045166119</v>
      </c>
      <c r="R905" s="6" t="n">
        <v>-4.54418674501187</v>
      </c>
      <c r="S905" s="6" t="n">
        <v>-1.36785135124947</v>
      </c>
      <c r="T905" s="6" t="n">
        <v>-0.558055095334579</v>
      </c>
      <c r="U905" s="6" t="n">
        <v>0.114346183172582</v>
      </c>
      <c r="V905" s="6" t="n">
        <v>-2.22424864634449</v>
      </c>
      <c r="W905" s="6" t="n">
        <v>0.399369703126272</v>
      </c>
      <c r="X905" s="6" t="n">
        <v>0.101081665992108</v>
      </c>
      <c r="Y905" s="6" t="n">
        <v>2.87583413610731</v>
      </c>
      <c r="Z905" s="6" t="n">
        <v>1.23337262485002</v>
      </c>
      <c r="AA905" s="6" t="n">
        <v>1.23434504413162</v>
      </c>
      <c r="AB905" s="6" t="n">
        <v>-1.99675423690875</v>
      </c>
      <c r="AC905" s="6" t="n">
        <v>2.44009162500005</v>
      </c>
      <c r="AD905" s="6" t="n">
        <v>0.650815672685997</v>
      </c>
      <c r="AE905" s="6" t="n">
        <v>-1.52543780169038</v>
      </c>
      <c r="AF905" s="6" t="n">
        <v>1.08547021301214</v>
      </c>
      <c r="AG905" s="6" t="n">
        <v>0.412483821867754</v>
      </c>
      <c r="AH905" s="6" t="n">
        <v>1.07076287871542</v>
      </c>
      <c r="AI905" s="6" t="n">
        <v>2.73004947136176</v>
      </c>
      <c r="AJ905" s="6" t="n">
        <v>70.6706269938818</v>
      </c>
      <c r="AK905" s="6" t="n">
        <v>0.151039099046108</v>
      </c>
      <c r="AL905" s="6" t="n">
        <v>1.03849119121234</v>
      </c>
      <c r="AN905" s="6" t="n">
        <v>1.29757849660073</v>
      </c>
      <c r="AO905" s="6" t="n">
        <v>1.2977521936728</v>
      </c>
      <c r="AP905" s="6" t="n">
        <v>0.13452663161168</v>
      </c>
      <c r="AQ905" s="6" t="n">
        <v>0</v>
      </c>
      <c r="AR905" s="6" t="n">
        <v>0</v>
      </c>
    </row>
    <row r="906" customFormat="false" ht="15" hidden="false" customHeight="false" outlineLevel="0" collapsed="false">
      <c r="D906" s="0" t="s">
        <v>1032</v>
      </c>
      <c r="J906" s="6" t="n">
        <v>0.0430192164486418</v>
      </c>
      <c r="K906" s="6" t="n">
        <v>-1.86216321047984</v>
      </c>
      <c r="L906" s="6" t="n">
        <v>-0.515077262081088</v>
      </c>
      <c r="M906" s="6" t="n">
        <v>-0.255449074132349</v>
      </c>
      <c r="N906" s="6" t="n">
        <v>2.52068035786282</v>
      </c>
      <c r="O906" s="6" t="n">
        <v>0.550740108021483</v>
      </c>
      <c r="P906" s="6" t="n">
        <v>-0.949225404119884</v>
      </c>
      <c r="Q906" s="6" t="n">
        <v>-1.11553001203991</v>
      </c>
      <c r="R906" s="6" t="n">
        <v>4.08403871073404</v>
      </c>
      <c r="S906" s="6" t="n">
        <v>-2.13068794354362</v>
      </c>
      <c r="T906" s="6" t="n">
        <v>1.36487202658121</v>
      </c>
      <c r="U906" s="6" t="n">
        <v>-0.245716848833622</v>
      </c>
      <c r="V906" s="6" t="n">
        <v>1.93636343285602</v>
      </c>
      <c r="W906" s="6" t="n">
        <v>-0.699044371123865</v>
      </c>
      <c r="X906" s="6" t="n">
        <v>-4.35087451663665</v>
      </c>
      <c r="Y906" s="6" t="n">
        <v>-1.07488053566182</v>
      </c>
      <c r="Z906" s="6" t="n">
        <v>0.569797487224473</v>
      </c>
      <c r="AA906" s="6" t="n">
        <v>-1.33373977020316</v>
      </c>
      <c r="AB906" s="6" t="n">
        <v>0.951966432450785</v>
      </c>
      <c r="AC906" s="6" t="n">
        <v>1.48464480273761</v>
      </c>
      <c r="AD906" s="6" t="n">
        <v>-1.6035145244498</v>
      </c>
      <c r="AE906" s="6" t="n">
        <v>0.132107021140694</v>
      </c>
      <c r="AF906" s="6" t="n">
        <v>1.34298262631702</v>
      </c>
      <c r="AG906" s="6" t="n">
        <v>-2.30803641742338</v>
      </c>
      <c r="AH906" s="6" t="n">
        <v>-0.481396146786528</v>
      </c>
      <c r="AI906" s="6" t="n">
        <v>-3.97160859058552</v>
      </c>
      <c r="AJ906" s="6" t="n">
        <v>82.7175744510429</v>
      </c>
      <c r="AK906" s="6" t="n">
        <v>0.198173834298959</v>
      </c>
      <c r="AL906" s="6" t="n">
        <v>1.08382582376032</v>
      </c>
      <c r="AN906" s="6" t="n">
        <v>1.27532517015219</v>
      </c>
      <c r="AO906" s="6" t="n">
        <v>1.27647422089025</v>
      </c>
      <c r="AP906" s="6" t="n">
        <v>0.129798996407498</v>
      </c>
      <c r="AQ906" s="6" t="n">
        <v>0</v>
      </c>
      <c r="AR906" s="6" t="n">
        <v>0</v>
      </c>
    </row>
    <row r="907" customFormat="false" ht="15" hidden="false" customHeight="false" outlineLevel="0" collapsed="false">
      <c r="D907" s="0" t="s">
        <v>1033</v>
      </c>
      <c r="J907" s="6" t="n">
        <v>0.912806418275148</v>
      </c>
      <c r="K907" s="6" t="n">
        <v>-1.82521506890758</v>
      </c>
      <c r="L907" s="6" t="n">
        <v>-0.0398002465676441</v>
      </c>
      <c r="M907" s="6" t="n">
        <v>1.84007513629341</v>
      </c>
      <c r="N907" s="6" t="n">
        <v>2.74701974569823</v>
      </c>
      <c r="O907" s="6" t="n">
        <v>4.20685099459123</v>
      </c>
      <c r="P907" s="6" t="n">
        <v>-0.103310913549331</v>
      </c>
      <c r="Q907" s="6" t="n">
        <v>1.14754671752613</v>
      </c>
      <c r="R907" s="6" t="n">
        <v>3.09235022660773</v>
      </c>
      <c r="S907" s="6" t="n">
        <v>-0.682295378701293</v>
      </c>
      <c r="T907" s="6" t="n">
        <v>-1.86663860663162</v>
      </c>
      <c r="U907" s="6" t="n">
        <v>-0.759615857093959</v>
      </c>
      <c r="V907" s="6" t="n">
        <v>1.27447589796366</v>
      </c>
      <c r="W907" s="6" t="n">
        <v>1.52067758261329</v>
      </c>
      <c r="X907" s="6" t="n">
        <v>2.47053618176982</v>
      </c>
      <c r="Y907" s="6" t="n">
        <v>0.672705865898381</v>
      </c>
      <c r="Z907" s="6" t="n">
        <v>1.96195771297604</v>
      </c>
      <c r="AA907" s="6" t="n">
        <v>2.04292280275007</v>
      </c>
      <c r="AB907" s="6" t="n">
        <v>2.05533183536339</v>
      </c>
      <c r="AC907" s="6" t="n">
        <v>2.16688084423749</v>
      </c>
      <c r="AD907" s="6" t="n">
        <v>-0.686974690353988</v>
      </c>
      <c r="AE907" s="6" t="n">
        <v>2.59044449595698</v>
      </c>
      <c r="AF907" s="6" t="n">
        <v>1.15367268014738</v>
      </c>
      <c r="AG907" s="6" t="n">
        <v>2.30516856030683</v>
      </c>
      <c r="AH907" s="6" t="n">
        <v>-1.35269084194616</v>
      </c>
      <c r="AI907" s="6" t="n">
        <v>-2.12972678526615</v>
      </c>
      <c r="AJ907" s="6" t="n">
        <v>73.2958904151686</v>
      </c>
      <c r="AK907" s="6" t="n">
        <v>0.160348092291724</v>
      </c>
      <c r="AL907" s="6" t="n">
        <v>1.03780968737146</v>
      </c>
      <c r="AN907" s="6" t="n">
        <v>1.29735931875003</v>
      </c>
      <c r="AO907" s="6" t="n">
        <v>1.29814401145421</v>
      </c>
      <c r="AP907" s="6" t="n">
        <v>0.134519325170241</v>
      </c>
      <c r="AQ907" s="6" t="n">
        <v>0</v>
      </c>
      <c r="AR907" s="6" t="n">
        <v>0</v>
      </c>
    </row>
    <row r="908" customFormat="false" ht="15" hidden="false" customHeight="false" outlineLevel="0" collapsed="false">
      <c r="D908" s="0" t="s">
        <v>1034</v>
      </c>
      <c r="J908" s="6" t="n">
        <v>-1.55080476216083</v>
      </c>
      <c r="K908" s="6" t="n">
        <v>2.22922845461156</v>
      </c>
      <c r="L908" s="6" t="n">
        <v>-0.0599772404394589</v>
      </c>
      <c r="M908" s="6" t="n">
        <v>0.820792984777372</v>
      </c>
      <c r="N908" s="6" t="n">
        <v>-0.266458009597824</v>
      </c>
      <c r="O908" s="6" t="n">
        <v>0.55164942991051</v>
      </c>
      <c r="P908" s="6" t="n">
        <v>2.80150400170423</v>
      </c>
      <c r="Q908" s="6" t="n">
        <v>0.652842428483875</v>
      </c>
      <c r="R908" s="6" t="n">
        <v>0.011078588040491</v>
      </c>
      <c r="S908" s="6" t="n">
        <v>2.45633740346984</v>
      </c>
      <c r="T908" s="6" t="n">
        <v>-1.94213955751352</v>
      </c>
      <c r="U908" s="6" t="n">
        <v>-4.40017441448506</v>
      </c>
      <c r="V908" s="6" t="n">
        <v>0.897538499946422</v>
      </c>
      <c r="W908" s="6" t="n">
        <v>0.916286533087791</v>
      </c>
      <c r="X908" s="6" t="n">
        <v>2.4573378924088</v>
      </c>
      <c r="Y908" s="6" t="n">
        <v>-0.181054249573621</v>
      </c>
      <c r="Z908" s="6" t="n">
        <v>-2.18926607276153</v>
      </c>
      <c r="AA908" s="6" t="n">
        <v>0.89346908413135</v>
      </c>
      <c r="AB908" s="6" t="n">
        <v>-1.95104931983957</v>
      </c>
      <c r="AC908" s="6" t="n">
        <v>-0.913530717989231</v>
      </c>
      <c r="AD908" s="6" t="n">
        <v>-0.0270691658697312</v>
      </c>
      <c r="AE908" s="6" t="n">
        <v>1.0897372162143</v>
      </c>
      <c r="AF908" s="6" t="n">
        <v>2.94581265831752</v>
      </c>
      <c r="AG908" s="6" t="n">
        <v>0.261213033643471</v>
      </c>
      <c r="AH908" s="6" t="n">
        <v>0.917801463514929</v>
      </c>
      <c r="AI908" s="6" t="n">
        <v>-2.51563123381455</v>
      </c>
      <c r="AJ908" s="6" t="n">
        <v>68.0491151613155</v>
      </c>
      <c r="AK908" s="6" t="n">
        <v>0.18164567788107</v>
      </c>
      <c r="AL908" s="6" t="n">
        <v>1.06301599338967</v>
      </c>
      <c r="AN908" s="6" t="n">
        <v>1.27973702206006</v>
      </c>
      <c r="AO908" s="6" t="n">
        <v>1.28130579587807</v>
      </c>
      <c r="AP908" s="6" t="n">
        <v>0.131104753308459</v>
      </c>
      <c r="AQ908" s="6" t="n">
        <v>0</v>
      </c>
      <c r="AR908" s="6" t="n">
        <v>0</v>
      </c>
    </row>
    <row r="909" customFormat="false" ht="15" hidden="false" customHeight="false" outlineLevel="0" collapsed="false">
      <c r="D909" s="0" t="s">
        <v>1035</v>
      </c>
      <c r="J909" s="6" t="n">
        <v>4.52389268861798</v>
      </c>
      <c r="K909" s="6" t="n">
        <v>0.00567805834979155</v>
      </c>
      <c r="L909" s="6" t="n">
        <v>1.38307834836046</v>
      </c>
      <c r="M909" s="6" t="n">
        <v>3.62718739487319</v>
      </c>
      <c r="N909" s="6" t="n">
        <v>-2.78902141592609</v>
      </c>
      <c r="O909" s="6" t="n">
        <v>2.64790974207072</v>
      </c>
      <c r="P909" s="6" t="n">
        <v>0.679396016003273</v>
      </c>
      <c r="Q909" s="6" t="n">
        <v>-1.54000148529428</v>
      </c>
      <c r="R909" s="6" t="n">
        <v>0.0482970209987123</v>
      </c>
      <c r="S909" s="6" t="n">
        <v>2.51108611749408</v>
      </c>
      <c r="T909" s="6" t="n">
        <v>0.874150457330198</v>
      </c>
      <c r="U909" s="6" t="n">
        <v>-1.37642896555914</v>
      </c>
      <c r="V909" s="6" t="n">
        <v>-2.91657493209477</v>
      </c>
      <c r="W909" s="6" t="n">
        <v>5</v>
      </c>
      <c r="X909" s="6" t="n">
        <v>-2.24913514005906</v>
      </c>
      <c r="Y909" s="6" t="n">
        <v>-0.485405094683128</v>
      </c>
      <c r="Z909" s="6" t="n">
        <v>-0.86247539577875</v>
      </c>
      <c r="AA909" s="6" t="n">
        <v>2.65321377185206</v>
      </c>
      <c r="AB909" s="6" t="n">
        <v>1.25379072207991</v>
      </c>
      <c r="AC909" s="6" t="n">
        <v>1.58351760044437</v>
      </c>
      <c r="AD909" s="6" t="n">
        <v>-1.37898029542289</v>
      </c>
      <c r="AE909" s="6" t="n">
        <v>-2.1583722195806</v>
      </c>
      <c r="AF909" s="6" t="n">
        <v>5</v>
      </c>
      <c r="AG909" s="6" t="n">
        <v>0.400462504315627</v>
      </c>
      <c r="AH909" s="6" t="n">
        <v>-1.06706991804005</v>
      </c>
      <c r="AI909" s="6" t="n">
        <v>-2.95031157267357</v>
      </c>
      <c r="AJ909" s="6" t="n">
        <v>78.9857864096624</v>
      </c>
      <c r="AK909" s="6" t="n">
        <v>0.0527204334560401</v>
      </c>
      <c r="AL909" s="6" t="n">
        <v>1.09673641604485</v>
      </c>
      <c r="AN909" s="6" t="n">
        <v>1.28755043410956</v>
      </c>
      <c r="AO909" s="6" t="n">
        <v>1.28788534120866</v>
      </c>
      <c r="AP909" s="6" t="n">
        <v>0.132888704729322</v>
      </c>
      <c r="AQ909" s="6" t="n">
        <v>0</v>
      </c>
      <c r="AR909" s="6" t="n">
        <v>0</v>
      </c>
    </row>
    <row r="910" customFormat="false" ht="15" hidden="false" customHeight="false" outlineLevel="0" collapsed="false">
      <c r="D910" s="0" t="s">
        <v>1036</v>
      </c>
      <c r="J910" s="6" t="n">
        <v>0.583331303806185</v>
      </c>
      <c r="K910" s="6" t="n">
        <v>1.3428980154493</v>
      </c>
      <c r="L910" s="6" t="n">
        <v>0.415091954062746</v>
      </c>
      <c r="M910" s="6" t="n">
        <v>0.270043094791049</v>
      </c>
      <c r="N910" s="6" t="n">
        <v>-0.0634705312601839</v>
      </c>
      <c r="O910" s="6" t="n">
        <v>-0.757950023309869</v>
      </c>
      <c r="P910" s="6" t="n">
        <v>-0.724505060343501</v>
      </c>
      <c r="Q910" s="6" t="n">
        <v>-1.40351617330021</v>
      </c>
      <c r="R910" s="6" t="n">
        <v>1.7104932502902</v>
      </c>
      <c r="S910" s="6" t="n">
        <v>3.9723951026951</v>
      </c>
      <c r="T910" s="6" t="n">
        <v>2.0171037883617</v>
      </c>
      <c r="U910" s="6" t="n">
        <v>0.0774913911355313</v>
      </c>
      <c r="V910" s="6" t="n">
        <v>-1.95246551213102</v>
      </c>
      <c r="W910" s="6" t="n">
        <v>-0.806879742062228</v>
      </c>
      <c r="X910" s="6" t="n">
        <v>-1.24493205748361</v>
      </c>
      <c r="Y910" s="6" t="n">
        <v>-0.121048305457279</v>
      </c>
      <c r="Z910" s="6" t="n">
        <v>3.53309178048665</v>
      </c>
      <c r="AA910" s="6" t="n">
        <v>-0.256372048300476</v>
      </c>
      <c r="AB910" s="6" t="n">
        <v>0.319404904205715</v>
      </c>
      <c r="AC910" s="6" t="n">
        <v>-4.64538598754003</v>
      </c>
      <c r="AD910" s="6" t="n">
        <v>-1.70260107286835</v>
      </c>
      <c r="AE910" s="6" t="n">
        <v>-1.43649781435492</v>
      </c>
      <c r="AF910" s="6" t="n">
        <v>3.21992240616193</v>
      </c>
      <c r="AG910" s="6" t="n">
        <v>-0.228325794974911</v>
      </c>
      <c r="AH910" s="6" t="n">
        <v>-1.01468176287729</v>
      </c>
      <c r="AI910" s="6" t="n">
        <v>-0.573727950840735</v>
      </c>
      <c r="AJ910" s="6" t="n">
        <v>77.5658806390007</v>
      </c>
      <c r="AK910" s="6" t="n">
        <v>0.175963240940421</v>
      </c>
      <c r="AL910" s="6" t="n">
        <v>1.03004569503493</v>
      </c>
      <c r="AN910" s="6" t="n">
        <v>1.30329848072331</v>
      </c>
      <c r="AO910" s="6" t="n">
        <v>1.30371750392232</v>
      </c>
      <c r="AP910" s="6" t="n">
        <v>0.135090027614733</v>
      </c>
      <c r="AQ910" s="6" t="n">
        <v>0</v>
      </c>
      <c r="AR910" s="6" t="n">
        <v>0</v>
      </c>
    </row>
    <row r="911" customFormat="false" ht="15" hidden="false" customHeight="false" outlineLevel="0" collapsed="false">
      <c r="D911" s="0" t="s">
        <v>1037</v>
      </c>
      <c r="J911" s="6" t="n">
        <v>0.973366272708563</v>
      </c>
      <c r="K911" s="6" t="n">
        <v>0.173023755883254</v>
      </c>
      <c r="L911" s="6" t="n">
        <v>0.418744174707905</v>
      </c>
      <c r="M911" s="6" t="n">
        <v>-1.20417494531342</v>
      </c>
      <c r="N911" s="6" t="n">
        <v>0.685112344164008</v>
      </c>
      <c r="O911" s="6" t="n">
        <v>1.08585606539357</v>
      </c>
      <c r="P911" s="6" t="n">
        <v>0.159408634849234</v>
      </c>
      <c r="Q911" s="6" t="n">
        <v>3.63108831537209</v>
      </c>
      <c r="R911" s="6" t="n">
        <v>1.8936206705703</v>
      </c>
      <c r="S911" s="6" t="n">
        <v>-1.4750581994451</v>
      </c>
      <c r="T911" s="6" t="n">
        <v>2.36280294874125</v>
      </c>
      <c r="U911" s="6" t="n">
        <v>1.91786413718908</v>
      </c>
      <c r="V911" s="6" t="n">
        <v>4.74108093651222</v>
      </c>
      <c r="W911" s="6" t="n">
        <v>-1.24807136368976</v>
      </c>
      <c r="X911" s="6" t="n">
        <v>0.219222701313042</v>
      </c>
      <c r="Y911" s="6" t="n">
        <v>-0.357968411323059</v>
      </c>
      <c r="Z911" s="6" t="n">
        <v>2.37626651971825</v>
      </c>
      <c r="AA911" s="6" t="n">
        <v>3.40526105981125</v>
      </c>
      <c r="AB911" s="6" t="n">
        <v>-2.1184258158854</v>
      </c>
      <c r="AC911" s="6" t="n">
        <v>-2.02278956659502</v>
      </c>
      <c r="AD911" s="6" t="n">
        <v>0.777479325648256</v>
      </c>
      <c r="AE911" s="6" t="n">
        <v>0.233758828369998</v>
      </c>
      <c r="AF911" s="6" t="n">
        <v>-3.9294168529596</v>
      </c>
      <c r="AG911" s="6" t="n">
        <v>1.13931203663873</v>
      </c>
      <c r="AH911" s="6" t="n">
        <v>1.05336746864144</v>
      </c>
      <c r="AI911" s="6" t="n">
        <v>-0.285971447317052</v>
      </c>
      <c r="AJ911" s="6" t="n">
        <v>79.7953329357241</v>
      </c>
      <c r="AK911" s="6" t="n">
        <v>0.119909791555259</v>
      </c>
      <c r="AL911" s="6" t="n">
        <v>1.05678368544835</v>
      </c>
      <c r="AN911" s="6" t="n">
        <v>1.29556503253729</v>
      </c>
      <c r="AO911" s="6" t="n">
        <v>1.2958867026422</v>
      </c>
      <c r="AP911" s="6" t="n">
        <v>0.134017595390382</v>
      </c>
      <c r="AQ911" s="6" t="n">
        <v>0</v>
      </c>
      <c r="AR911" s="6" t="n">
        <v>0</v>
      </c>
    </row>
    <row r="912" customFormat="false" ht="15" hidden="false" customHeight="false" outlineLevel="0" collapsed="false">
      <c r="D912" s="0" t="s">
        <v>1038</v>
      </c>
      <c r="J912" s="6" t="n">
        <v>-0.223480912736445</v>
      </c>
      <c r="K912" s="6" t="n">
        <v>4.47472264159742</v>
      </c>
      <c r="L912" s="6" t="n">
        <v>-0.79604443440178</v>
      </c>
      <c r="M912" s="6" t="n">
        <v>1.5929497255655</v>
      </c>
      <c r="N912" s="6" t="n">
        <v>-1.35576683733462</v>
      </c>
      <c r="O912" s="6" t="n">
        <v>2.05072179052006</v>
      </c>
      <c r="P912" s="6" t="n">
        <v>0.174644809002228</v>
      </c>
      <c r="Q912" s="6" t="n">
        <v>0.226600689799932</v>
      </c>
      <c r="R912" s="6" t="n">
        <v>-2.20703080528802</v>
      </c>
      <c r="S912" s="6" t="n">
        <v>-0.969689233687518</v>
      </c>
      <c r="T912" s="6" t="n">
        <v>0.48261935748907</v>
      </c>
      <c r="U912" s="6" t="n">
        <v>-2.08273195559564</v>
      </c>
      <c r="V912" s="6" t="n">
        <v>-1.11518979358003</v>
      </c>
      <c r="W912" s="6" t="n">
        <v>-2.45645398379854</v>
      </c>
      <c r="X912" s="6" t="n">
        <v>-0.458558682230078</v>
      </c>
      <c r="Y912" s="6" t="n">
        <v>-0.553547256857979</v>
      </c>
      <c r="Z912" s="6" t="n">
        <v>1.01720734686088</v>
      </c>
      <c r="AA912" s="6" t="n">
        <v>4.29741830600845</v>
      </c>
      <c r="AB912" s="6" t="n">
        <v>0.314668018501569</v>
      </c>
      <c r="AC912" s="6" t="n">
        <v>-2.02709413460589</v>
      </c>
      <c r="AD912" s="6" t="n">
        <v>3.3569403672249</v>
      </c>
      <c r="AE912" s="6" t="n">
        <v>2.22438176708794</v>
      </c>
      <c r="AF912" s="6" t="n">
        <v>-0.428770638727323</v>
      </c>
      <c r="AG912" s="6" t="n">
        <v>0.437761620086509</v>
      </c>
      <c r="AH912" s="6" t="n">
        <v>2.85574471170944</v>
      </c>
      <c r="AI912" s="6" t="n">
        <v>-0.930871562980099</v>
      </c>
      <c r="AJ912" s="6" t="n">
        <v>78.1917761258519</v>
      </c>
      <c r="AK912" s="6" t="n">
        <v>0.15780575618301</v>
      </c>
      <c r="AL912" s="6" t="n">
        <v>1.02753305619929</v>
      </c>
      <c r="AN912" s="6" t="n">
        <v>1.30405305747242</v>
      </c>
      <c r="AO912" s="6" t="n">
        <v>1.30428431239267</v>
      </c>
      <c r="AP912" s="6" t="n">
        <v>0.136147253186339</v>
      </c>
      <c r="AQ912" s="6" t="n">
        <v>0</v>
      </c>
      <c r="AR912" s="6" t="n">
        <v>0</v>
      </c>
    </row>
    <row r="913" customFormat="false" ht="15" hidden="false" customHeight="false" outlineLevel="0" collapsed="false">
      <c r="D913" s="0" t="s">
        <v>1039</v>
      </c>
      <c r="J913" s="6" t="n">
        <v>-0.389831164540322</v>
      </c>
      <c r="K913" s="6" t="n">
        <v>1.80668817191456</v>
      </c>
      <c r="L913" s="6" t="n">
        <v>2.99614003928615</v>
      </c>
      <c r="M913" s="6" t="n">
        <v>0.394632264532591</v>
      </c>
      <c r="N913" s="6" t="n">
        <v>1.82536111107423</v>
      </c>
      <c r="O913" s="6" t="n">
        <v>0.959017834681816</v>
      </c>
      <c r="P913" s="6" t="n">
        <v>0.520833289641922</v>
      </c>
      <c r="Q913" s="6" t="n">
        <v>-0.243592467000009</v>
      </c>
      <c r="R913" s="6" t="n">
        <v>2.75879551106045</v>
      </c>
      <c r="S913" s="6" t="n">
        <v>1.01172053760629</v>
      </c>
      <c r="T913" s="6" t="n">
        <v>2.21797506169449</v>
      </c>
      <c r="U913" s="6" t="n">
        <v>-2.37497802928065</v>
      </c>
      <c r="V913" s="6" t="n">
        <v>0.720215315367727</v>
      </c>
      <c r="W913" s="6" t="n">
        <v>3.20220219052405</v>
      </c>
      <c r="X913" s="6" t="n">
        <v>-1.66397462925091</v>
      </c>
      <c r="Y913" s="6" t="n">
        <v>-1.35383005723233</v>
      </c>
      <c r="Z913" s="6" t="n">
        <v>-0.634882686566436</v>
      </c>
      <c r="AA913" s="6" t="n">
        <v>2.16267939184191</v>
      </c>
      <c r="AB913" s="6" t="n">
        <v>1.10604962602082</v>
      </c>
      <c r="AC913" s="6" t="n">
        <v>2.06502585885524</v>
      </c>
      <c r="AD913" s="6" t="n">
        <v>-3.48760106984854</v>
      </c>
      <c r="AE913" s="6" t="n">
        <v>-2.42638105580761</v>
      </c>
      <c r="AF913" s="6" t="n">
        <v>-2.22961090610655</v>
      </c>
      <c r="AG913" s="6" t="n">
        <v>-1.00640618043654</v>
      </c>
      <c r="AH913" s="6" t="n">
        <v>-2.29510044341226</v>
      </c>
      <c r="AI913" s="6" t="n">
        <v>-0.795998166225133</v>
      </c>
      <c r="AJ913" s="6" t="n">
        <v>73.1208813128088</v>
      </c>
      <c r="AK913" s="6" t="n">
        <v>0.193388018204414</v>
      </c>
      <c r="AL913" s="6" t="n">
        <v>1.08373337824396</v>
      </c>
      <c r="AN913" s="6" t="n">
        <v>1.2727980214983</v>
      </c>
      <c r="AO913" s="6" t="n">
        <v>1.27365158068015</v>
      </c>
      <c r="AP913" s="6" t="n">
        <v>0.12952214549905</v>
      </c>
      <c r="AQ913" s="6" t="n">
        <v>0</v>
      </c>
      <c r="AR913" s="6" t="n">
        <v>0</v>
      </c>
    </row>
    <row r="914" customFormat="false" ht="15" hidden="false" customHeight="false" outlineLevel="0" collapsed="false">
      <c r="D914" s="0" t="s">
        <v>1040</v>
      </c>
      <c r="J914" s="6" t="n">
        <v>-1.60625979733467</v>
      </c>
      <c r="K914" s="6" t="n">
        <v>-1.70802006228214</v>
      </c>
      <c r="L914" s="6" t="n">
        <v>-1.5452123913695</v>
      </c>
      <c r="M914" s="6" t="n">
        <v>-0.150082530087662</v>
      </c>
      <c r="N914" s="6" t="n">
        <v>0.45124444579001</v>
      </c>
      <c r="O914" s="6" t="n">
        <v>-0.0322533572266902</v>
      </c>
      <c r="P914" s="6" t="n">
        <v>-0.829426648342287</v>
      </c>
      <c r="Q914" s="6" t="n">
        <v>-0.381435691943649</v>
      </c>
      <c r="R914" s="6" t="n">
        <v>-2.88277544835501</v>
      </c>
      <c r="S914" s="6" t="n">
        <v>0.0911808850317902</v>
      </c>
      <c r="T914" s="6" t="n">
        <v>1.70429972906249</v>
      </c>
      <c r="U914" s="6" t="n">
        <v>0.0875432181676076</v>
      </c>
      <c r="V914" s="6" t="n">
        <v>2.22127206205307</v>
      </c>
      <c r="W914" s="6" t="n">
        <v>0.552862338188458</v>
      </c>
      <c r="X914" s="6" t="n">
        <v>-1.9151686977685</v>
      </c>
      <c r="Y914" s="6" t="n">
        <v>-1.65382019847042</v>
      </c>
      <c r="Z914" s="6" t="n">
        <v>-1.64586244208315</v>
      </c>
      <c r="AA914" s="6" t="n">
        <v>5</v>
      </c>
      <c r="AB914" s="6" t="n">
        <v>4.1270681811163</v>
      </c>
      <c r="AC914" s="6" t="n">
        <v>4.11934629674083</v>
      </c>
      <c r="AD914" s="6" t="n">
        <v>-0.970787270819697</v>
      </c>
      <c r="AE914" s="6" t="n">
        <v>-0.414597079652668</v>
      </c>
      <c r="AF914" s="6" t="n">
        <v>1.10877952712614</v>
      </c>
      <c r="AG914" s="6" t="n">
        <v>2.29780408679745</v>
      </c>
      <c r="AH914" s="6" t="n">
        <v>0.603525129624098</v>
      </c>
      <c r="AI914" s="6" t="n">
        <v>-1.9067485108135</v>
      </c>
      <c r="AJ914" s="6" t="n">
        <v>73.6626006095499</v>
      </c>
      <c r="AK914" s="6" t="n">
        <v>0.0703260972936414</v>
      </c>
      <c r="AL914" s="6" t="n">
        <v>1.0363595051828</v>
      </c>
      <c r="AN914" s="6" t="n">
        <v>1.30973034275573</v>
      </c>
      <c r="AO914" s="6" t="n">
        <v>1.30978849737381</v>
      </c>
      <c r="AP914" s="6" t="n">
        <v>0.136942141074263</v>
      </c>
      <c r="AQ914" s="6" t="n">
        <v>0</v>
      </c>
      <c r="AR914" s="6" t="n">
        <v>0</v>
      </c>
    </row>
    <row r="915" customFormat="false" ht="15" hidden="false" customHeight="false" outlineLevel="0" collapsed="false">
      <c r="D915" s="0" t="s">
        <v>1041</v>
      </c>
      <c r="J915" s="6" t="n">
        <v>0.83298141275816</v>
      </c>
      <c r="K915" s="6" t="n">
        <v>-0.385004127701903</v>
      </c>
      <c r="L915" s="6" t="n">
        <v>-0.71627321881098</v>
      </c>
      <c r="M915" s="6" t="n">
        <v>-0.206694922056191</v>
      </c>
      <c r="N915" s="6" t="n">
        <v>-0.434870433560643</v>
      </c>
      <c r="O915" s="6" t="n">
        <v>0.736078217923131</v>
      </c>
      <c r="P915" s="6" t="n">
        <v>0.853683011765111</v>
      </c>
      <c r="Q915" s="6" t="n">
        <v>-1.16035047728922</v>
      </c>
      <c r="R915" s="6" t="n">
        <v>-0.709620970748745</v>
      </c>
      <c r="S915" s="6" t="n">
        <v>-3.45031972566986</v>
      </c>
      <c r="T915" s="6" t="n">
        <v>2.99770653890151</v>
      </c>
      <c r="U915" s="6" t="n">
        <v>-1.23759541173656</v>
      </c>
      <c r="V915" s="6" t="n">
        <v>1.45560115543867</v>
      </c>
      <c r="W915" s="6" t="n">
        <v>-2.73419338354982</v>
      </c>
      <c r="X915" s="6" t="n">
        <v>-0.063927639939063</v>
      </c>
      <c r="Y915" s="6" t="n">
        <v>0.639904875552397</v>
      </c>
      <c r="Z915" s="6" t="n">
        <v>-0.438749895054792</v>
      </c>
      <c r="AA915" s="6" t="n">
        <v>-0.340858085454091</v>
      </c>
      <c r="AB915" s="6" t="n">
        <v>-0.380937595081784</v>
      </c>
      <c r="AC915" s="6" t="n">
        <v>2.62481018405303</v>
      </c>
      <c r="AD915" s="6" t="n">
        <v>0.414460425078627</v>
      </c>
      <c r="AE915" s="6" t="n">
        <v>2.81271754327679</v>
      </c>
      <c r="AF915" s="6" t="n">
        <v>0.311483526650424</v>
      </c>
      <c r="AG915" s="6" t="n">
        <v>1.20701520335831</v>
      </c>
      <c r="AH915" s="6" t="n">
        <v>0.90906060372597</v>
      </c>
      <c r="AI915" s="6" t="n">
        <v>2.58019421627234</v>
      </c>
      <c r="AJ915" s="6" t="n">
        <v>68.9858611202471</v>
      </c>
      <c r="AK915" s="6" t="n">
        <v>0.127763431846784</v>
      </c>
      <c r="AL915" s="6" t="n">
        <v>1.06543461239768</v>
      </c>
      <c r="AN915" s="6" t="n">
        <v>1.28628926821297</v>
      </c>
      <c r="AO915" s="6" t="n">
        <v>1.28697633980823</v>
      </c>
      <c r="AP915" s="6" t="n">
        <v>0.13240911324575</v>
      </c>
      <c r="AQ915" s="6" t="n">
        <v>0</v>
      </c>
      <c r="AR915" s="6" t="n">
        <v>0</v>
      </c>
    </row>
    <row r="916" customFormat="false" ht="15" hidden="false" customHeight="false" outlineLevel="0" collapsed="false">
      <c r="D916" s="0" t="s">
        <v>1042</v>
      </c>
      <c r="J916" s="6" t="n">
        <v>0.796719107937977</v>
      </c>
      <c r="K916" s="6" t="n">
        <v>0.615941710618606</v>
      </c>
      <c r="L916" s="6" t="n">
        <v>-0.188437127388601</v>
      </c>
      <c r="M916" s="6" t="n">
        <v>0.820698704951991</v>
      </c>
      <c r="N916" s="6" t="n">
        <v>1.81998139208985</v>
      </c>
      <c r="O916" s="6" t="n">
        <v>2.79118214144608</v>
      </c>
      <c r="P916" s="6" t="n">
        <v>2.62215614586797</v>
      </c>
      <c r="Q916" s="6" t="n">
        <v>2.23505396198352</v>
      </c>
      <c r="R916" s="6" t="n">
        <v>-4.12876228554379</v>
      </c>
      <c r="S916" s="6" t="n">
        <v>-1.15675637343192</v>
      </c>
      <c r="T916" s="6" t="n">
        <v>-0.0502457607603809</v>
      </c>
      <c r="U916" s="6" t="n">
        <v>0.77913557196344</v>
      </c>
      <c r="V916" s="6" t="n">
        <v>-0.864107017676714</v>
      </c>
      <c r="W916" s="6" t="n">
        <v>-1.29885400338466</v>
      </c>
      <c r="X916" s="6" t="n">
        <v>-3.1113928591927</v>
      </c>
      <c r="Y916" s="6" t="n">
        <v>-2.40296807738929</v>
      </c>
      <c r="Z916" s="6" t="n">
        <v>-1.50837117281379</v>
      </c>
      <c r="AA916" s="6" t="n">
        <v>-0.242801189955675</v>
      </c>
      <c r="AB916" s="6" t="n">
        <v>2.26728454736433</v>
      </c>
      <c r="AC916" s="6" t="n">
        <v>2.1695767998905</v>
      </c>
      <c r="AD916" s="6" t="n">
        <v>1.09948384451198</v>
      </c>
      <c r="AE916" s="6" t="n">
        <v>-0.158825699660095</v>
      </c>
      <c r="AF916" s="6" t="n">
        <v>0.934739311181249</v>
      </c>
      <c r="AG916" s="6" t="n">
        <v>-1.8280689707511</v>
      </c>
      <c r="AH916" s="6" t="n">
        <v>0.411958399648696</v>
      </c>
      <c r="AI916" s="6" t="n">
        <v>-1.54839877373507</v>
      </c>
      <c r="AJ916" s="6" t="n">
        <v>64.0857914879387</v>
      </c>
      <c r="AK916" s="6" t="n">
        <v>0.130565735536745</v>
      </c>
      <c r="AL916" s="6" t="n">
        <v>1.01504285135032</v>
      </c>
      <c r="AN916" s="6" t="n">
        <v>1.30623078222549</v>
      </c>
      <c r="AO916" s="6" t="n">
        <v>1.3064295494299</v>
      </c>
      <c r="AP916" s="6" t="n">
        <v>0.136967650691937</v>
      </c>
      <c r="AQ916" s="6" t="n">
        <v>0</v>
      </c>
      <c r="AR916" s="6" t="n">
        <v>0</v>
      </c>
    </row>
    <row r="917" customFormat="false" ht="15" hidden="false" customHeight="false" outlineLevel="0" collapsed="false">
      <c r="D917" s="0" t="s">
        <v>1043</v>
      </c>
      <c r="J917" s="6" t="n">
        <v>-0.340518749890559</v>
      </c>
      <c r="K917" s="6" t="n">
        <v>-0.907754501105871</v>
      </c>
      <c r="L917" s="6" t="n">
        <v>3.10943492685682</v>
      </c>
      <c r="M917" s="6" t="n">
        <v>-4.79493131386395</v>
      </c>
      <c r="N917" s="6" t="n">
        <v>-1.94877987040064</v>
      </c>
      <c r="O917" s="6" t="n">
        <v>-0.360981072441067</v>
      </c>
      <c r="P917" s="6" t="n">
        <v>1.44134969776898</v>
      </c>
      <c r="Q917" s="6" t="n">
        <v>1.34104510407772</v>
      </c>
      <c r="R917" s="6" t="n">
        <v>0.154162953726546</v>
      </c>
      <c r="S917" s="6" t="n">
        <v>0.00986407234859901</v>
      </c>
      <c r="T917" s="6" t="n">
        <v>0.448333310745924</v>
      </c>
      <c r="U917" s="6" t="n">
        <v>1.37179671313695</v>
      </c>
      <c r="V917" s="6" t="n">
        <v>-1.79162855180889</v>
      </c>
      <c r="W917" s="6" t="n">
        <v>2.61773950708169</v>
      </c>
      <c r="X917" s="6" t="n">
        <v>0.0275142786442909</v>
      </c>
      <c r="Y917" s="6" t="n">
        <v>-1.93004533434582</v>
      </c>
      <c r="Z917" s="6" t="n">
        <v>-3.14700105955671</v>
      </c>
      <c r="AA917" s="6" t="n">
        <v>-0.328345223039528</v>
      </c>
      <c r="AB917" s="6" t="n">
        <v>-0.487471344737831</v>
      </c>
      <c r="AC917" s="6" t="n">
        <v>-0.500461109215096</v>
      </c>
      <c r="AD917" s="6" t="n">
        <v>0.953315037884562</v>
      </c>
      <c r="AE917" s="6" t="n">
        <v>1.29726345056864</v>
      </c>
      <c r="AF917" s="6" t="n">
        <v>3.38562560575269</v>
      </c>
      <c r="AG917" s="6" t="n">
        <v>2.7999805480181</v>
      </c>
      <c r="AH917" s="6" t="n">
        <v>-0.296455713220446</v>
      </c>
      <c r="AI917" s="6" t="n">
        <v>3.06384204005538</v>
      </c>
      <c r="AJ917" s="6" t="n">
        <v>75.1131372881204</v>
      </c>
      <c r="AK917" s="6" t="n">
        <v>0.137998296750853</v>
      </c>
      <c r="AL917" s="6" t="n">
        <v>1.01470294867063</v>
      </c>
      <c r="AN917" s="6" t="n">
        <v>1.3033651241688</v>
      </c>
      <c r="AO917" s="6" t="n">
        <v>1.30733383147858</v>
      </c>
      <c r="AP917" s="6" t="n">
        <v>0.137363680375048</v>
      </c>
      <c r="AQ917" s="6" t="n">
        <v>0</v>
      </c>
      <c r="AR917" s="6" t="n">
        <v>0</v>
      </c>
    </row>
    <row r="918" customFormat="false" ht="15" hidden="false" customHeight="false" outlineLevel="0" collapsed="false">
      <c r="D918" s="0" t="s">
        <v>1044</v>
      </c>
      <c r="J918" s="6" t="n">
        <v>-2.81873589531344</v>
      </c>
      <c r="K918" s="6" t="n">
        <v>-2.62070409213224</v>
      </c>
      <c r="L918" s="6" t="n">
        <v>-1.29452385090457</v>
      </c>
      <c r="M918" s="6" t="n">
        <v>-1.16866124343769</v>
      </c>
      <c r="N918" s="6" t="n">
        <v>-1.9939644285326</v>
      </c>
      <c r="O918" s="6" t="n">
        <v>0.243489932393793</v>
      </c>
      <c r="P918" s="6" t="n">
        <v>-0.787659788856113</v>
      </c>
      <c r="Q918" s="6" t="n">
        <v>0.0364007488076277</v>
      </c>
      <c r="R918" s="6" t="n">
        <v>-2.8427313757079</v>
      </c>
      <c r="S918" s="6" t="n">
        <v>3.13306146163224</v>
      </c>
      <c r="T918" s="6" t="n">
        <v>-3.1973592500544</v>
      </c>
      <c r="U918" s="6" t="n">
        <v>0.742912775776971</v>
      </c>
      <c r="V918" s="6" t="n">
        <v>-3.04300110739064</v>
      </c>
      <c r="W918" s="6" t="n">
        <v>-1.80621796284725</v>
      </c>
      <c r="X918" s="6" t="n">
        <v>0.168722827907862</v>
      </c>
      <c r="Y918" s="6" t="n">
        <v>-1.1871730404443</v>
      </c>
      <c r="Z918" s="6" t="n">
        <v>-2.74186918211162</v>
      </c>
      <c r="AA918" s="6" t="n">
        <v>0.0540313639242973</v>
      </c>
      <c r="AB918" s="6" t="n">
        <v>-0.339898365432069</v>
      </c>
      <c r="AC918" s="6" t="n">
        <v>0.732503710490024</v>
      </c>
      <c r="AD918" s="6" t="n">
        <v>2.61062944507464</v>
      </c>
      <c r="AE918" s="6" t="n">
        <v>1.71611047191517</v>
      </c>
      <c r="AF918" s="6" t="n">
        <v>0.243785248273666</v>
      </c>
      <c r="AG918" s="6" t="n">
        <v>1.01192549097497</v>
      </c>
      <c r="AH918" s="6" t="n">
        <v>0.536238726649688</v>
      </c>
      <c r="AI918" s="6" t="n">
        <v>-0.446939782463819</v>
      </c>
      <c r="AJ918" s="6" t="n">
        <v>75.5348784759456</v>
      </c>
      <c r="AK918" s="6" t="n">
        <v>0.0807345896102161</v>
      </c>
      <c r="AL918" s="6" t="n">
        <v>1.0752954092045</v>
      </c>
      <c r="AN918" s="6" t="n">
        <v>1.29230810050747</v>
      </c>
      <c r="AO918" s="6" t="n">
        <v>1.29252731440211</v>
      </c>
      <c r="AP918" s="6" t="n">
        <v>0.133592004942325</v>
      </c>
      <c r="AQ918" s="6" t="n">
        <v>0</v>
      </c>
      <c r="AR918" s="6" t="n">
        <v>0</v>
      </c>
    </row>
    <row r="919" customFormat="false" ht="15" hidden="false" customHeight="false" outlineLevel="0" collapsed="false">
      <c r="D919" s="0" t="s">
        <v>1045</v>
      </c>
      <c r="J919" s="6" t="n">
        <v>-1.39701851198069</v>
      </c>
      <c r="K919" s="6" t="n">
        <v>2.12995167410829</v>
      </c>
      <c r="L919" s="6" t="n">
        <v>2.47935170721585</v>
      </c>
      <c r="M919" s="6" t="n">
        <v>0.706131881260633</v>
      </c>
      <c r="N919" s="6" t="n">
        <v>-2.19367244652868</v>
      </c>
      <c r="O919" s="6" t="n">
        <v>-1.40605802455562</v>
      </c>
      <c r="P919" s="6" t="n">
        <v>2.20992405960528</v>
      </c>
      <c r="Q919" s="6" t="n">
        <v>1.20892571483624</v>
      </c>
      <c r="R919" s="6" t="n">
        <v>0.949735198144574</v>
      </c>
      <c r="S919" s="6" t="n">
        <v>-1.3208384801374</v>
      </c>
      <c r="T919" s="6" t="n">
        <v>-1.09549329562948</v>
      </c>
      <c r="U919" s="6" t="n">
        <v>-0.969908243926008</v>
      </c>
      <c r="V919" s="6" t="n">
        <v>-0.805976521616241</v>
      </c>
      <c r="W919" s="6" t="n">
        <v>-0.321037927183027</v>
      </c>
      <c r="X919" s="6" t="n">
        <v>-1.56904475297368</v>
      </c>
      <c r="Y919" s="6" t="n">
        <v>-3.13586310851602</v>
      </c>
      <c r="Z919" s="6" t="n">
        <v>0.832198948235821</v>
      </c>
      <c r="AA919" s="6" t="n">
        <v>-1.19324239208277</v>
      </c>
      <c r="AB919" s="6" t="n">
        <v>2.93781114335123</v>
      </c>
      <c r="AC919" s="6" t="n">
        <v>3.3503173847546</v>
      </c>
      <c r="AD919" s="6" t="n">
        <v>-1.48958516131716</v>
      </c>
      <c r="AE919" s="6" t="n">
        <v>1.87436279899843</v>
      </c>
      <c r="AF919" s="6" t="n">
        <v>2.08061688730813</v>
      </c>
      <c r="AG919" s="6" t="n">
        <v>0.721455412866052</v>
      </c>
      <c r="AH919" s="6" t="n">
        <v>2.70127124757082</v>
      </c>
      <c r="AI919" s="6" t="n">
        <v>-1.17520279775865</v>
      </c>
      <c r="AJ919" s="6" t="n">
        <v>63.2543302755363</v>
      </c>
      <c r="AK919" s="6" t="n">
        <v>0.0745058165838865</v>
      </c>
      <c r="AL919" s="6" t="n">
        <v>1.03123342614598</v>
      </c>
      <c r="AN919" s="6" t="n">
        <v>1.30606665578419</v>
      </c>
      <c r="AO919" s="6" t="n">
        <v>1.30683831215696</v>
      </c>
      <c r="AP919" s="6" t="n">
        <v>0.136226239020595</v>
      </c>
      <c r="AQ919" s="6" t="n">
        <v>0</v>
      </c>
      <c r="AR919" s="6" t="n">
        <v>0</v>
      </c>
    </row>
    <row r="920" customFormat="false" ht="15" hidden="false" customHeight="false" outlineLevel="0" collapsed="false">
      <c r="D920" s="0" t="s">
        <v>1046</v>
      </c>
      <c r="J920" s="6" t="n">
        <v>-3.62061900768787</v>
      </c>
      <c r="K920" s="6" t="n">
        <v>-3.08249948038873</v>
      </c>
      <c r="L920" s="6" t="n">
        <v>-1.69711599702833</v>
      </c>
      <c r="M920" s="6" t="n">
        <v>1.59052634900922</v>
      </c>
      <c r="N920" s="6" t="n">
        <v>1.28730075542398</v>
      </c>
      <c r="O920" s="6" t="n">
        <v>-0.0793551681140537</v>
      </c>
      <c r="P920" s="6" t="n">
        <v>-1.50396748656738</v>
      </c>
      <c r="Q920" s="6" t="n">
        <v>-1.71068192401374</v>
      </c>
      <c r="R920" s="6" t="n">
        <v>-3.07795077453545</v>
      </c>
      <c r="S920" s="6" t="n">
        <v>-2.63757056575753</v>
      </c>
      <c r="T920" s="6" t="n">
        <v>0.0180649463024078</v>
      </c>
      <c r="U920" s="6" t="n">
        <v>-1.27133941902527</v>
      </c>
      <c r="V920" s="6" t="n">
        <v>-5.02707848966147</v>
      </c>
      <c r="W920" s="6" t="n">
        <v>1.22304389862598</v>
      </c>
      <c r="X920" s="6" t="n">
        <v>0.177093850506705</v>
      </c>
      <c r="Y920" s="6" t="n">
        <v>-1.27461926281141</v>
      </c>
      <c r="Z920" s="6" t="n">
        <v>-2.11887477649838</v>
      </c>
      <c r="AA920" s="6" t="n">
        <v>0.618189021079744</v>
      </c>
      <c r="AB920" s="6" t="n">
        <v>0.520696488382394</v>
      </c>
      <c r="AC920" s="6" t="n">
        <v>2.91336626276229</v>
      </c>
      <c r="AD920" s="6" t="n">
        <v>-2.66596316820342</v>
      </c>
      <c r="AE920" s="6" t="n">
        <v>1.63828572551054</v>
      </c>
      <c r="AF920" s="6" t="n">
        <v>2.36168369420232</v>
      </c>
      <c r="AG920" s="6" t="n">
        <v>5</v>
      </c>
      <c r="AH920" s="6" t="n">
        <v>-0.332978440829833</v>
      </c>
      <c r="AI920" s="6" t="n">
        <v>0.95556960362343</v>
      </c>
      <c r="AJ920" s="6" t="n">
        <v>61.0236076763689</v>
      </c>
      <c r="AK920" s="6" t="n">
        <v>0.13079334221248</v>
      </c>
      <c r="AL920" s="6" t="n">
        <v>1.01528330692828</v>
      </c>
      <c r="AN920" s="6" t="n">
        <v>1.3051425608098</v>
      </c>
      <c r="AO920" s="6" t="n">
        <v>1.305806383733</v>
      </c>
      <c r="AP920" s="6" t="n">
        <v>0.13661563347332</v>
      </c>
      <c r="AQ920" s="6" t="n">
        <v>0</v>
      </c>
      <c r="AR920" s="6" t="n">
        <v>0</v>
      </c>
    </row>
    <row r="921" customFormat="false" ht="15" hidden="false" customHeight="false" outlineLevel="0" collapsed="false">
      <c r="D921" s="0" t="s">
        <v>1047</v>
      </c>
      <c r="J921" s="6" t="n">
        <v>0.962381757152554</v>
      </c>
      <c r="K921" s="6" t="n">
        <v>3.38500914709495</v>
      </c>
      <c r="L921" s="6" t="n">
        <v>-3.98704430152159</v>
      </c>
      <c r="M921" s="6" t="n">
        <v>0.413474539349794</v>
      </c>
      <c r="N921" s="6" t="n">
        <v>-1.86815920475588</v>
      </c>
      <c r="O921" s="6" t="n">
        <v>0.0454084654605341</v>
      </c>
      <c r="P921" s="6" t="n">
        <v>1.42647118021819</v>
      </c>
      <c r="Q921" s="6" t="n">
        <v>-1.66795855078584</v>
      </c>
      <c r="R921" s="6" t="n">
        <v>-0.458573172524344</v>
      </c>
      <c r="S921" s="6" t="n">
        <v>-0.382182901331467</v>
      </c>
      <c r="T921" s="6" t="n">
        <v>-3.82889961712458</v>
      </c>
      <c r="U921" s="6" t="n">
        <v>-0.836728986162222</v>
      </c>
      <c r="V921" s="6" t="n">
        <v>0.346157069307744</v>
      </c>
      <c r="W921" s="6" t="n">
        <v>0.299065134322323</v>
      </c>
      <c r="X921" s="6" t="n">
        <v>0.880863769942281</v>
      </c>
      <c r="Y921" s="6" t="n">
        <v>0.385476444860894</v>
      </c>
      <c r="Z921" s="6" t="n">
        <v>2.05791305754932</v>
      </c>
      <c r="AA921" s="6" t="n">
        <v>1.30735657568469</v>
      </c>
      <c r="AB921" s="6" t="n">
        <v>1.65677297101613</v>
      </c>
      <c r="AC921" s="6" t="n">
        <v>3.7660543534279</v>
      </c>
      <c r="AD921" s="6" t="n">
        <v>3.25302068749444</v>
      </c>
      <c r="AE921" s="6" t="n">
        <v>-0.258264960079008</v>
      </c>
      <c r="AF921" s="6" t="n">
        <v>-0.0291477024586594</v>
      </c>
      <c r="AG921" s="6" t="n">
        <v>1.41023377190222</v>
      </c>
      <c r="AH921" s="6" t="n">
        <v>2.84519401085176</v>
      </c>
      <c r="AI921" s="6" t="n">
        <v>0.0146266235647186</v>
      </c>
      <c r="AJ921" s="6" t="n">
        <v>64.0471156211472</v>
      </c>
      <c r="AK921" s="6" t="n">
        <v>0.123105806089657</v>
      </c>
      <c r="AL921" s="6" t="n">
        <v>1.00526203311702</v>
      </c>
      <c r="AN921" s="6" t="n">
        <v>1.30765895811972</v>
      </c>
      <c r="AO921" s="6" t="n">
        <v>1.30765895811972</v>
      </c>
      <c r="AP921" s="6" t="n">
        <v>0.138564308341013</v>
      </c>
      <c r="AQ921" s="6" t="n">
        <v>0</v>
      </c>
      <c r="AR921" s="6" t="n">
        <v>0</v>
      </c>
    </row>
    <row r="922" customFormat="false" ht="15" hidden="false" customHeight="false" outlineLevel="0" collapsed="false">
      <c r="D922" s="0" t="s">
        <v>1048</v>
      </c>
      <c r="J922" s="6" t="n">
        <v>-1.06762557506585</v>
      </c>
      <c r="K922" s="6" t="n">
        <v>-1.35316745336471</v>
      </c>
      <c r="L922" s="6" t="n">
        <v>-2.25190979280796</v>
      </c>
      <c r="M922" s="6" t="n">
        <v>1.74316499051922</v>
      </c>
      <c r="N922" s="6" t="n">
        <v>-4.58226609342924</v>
      </c>
      <c r="O922" s="6" t="n">
        <v>2.50167484625714</v>
      </c>
      <c r="P922" s="6" t="n">
        <v>-0.840248838501108</v>
      </c>
      <c r="Q922" s="6" t="n">
        <v>-0.635825809859494</v>
      </c>
      <c r="R922" s="6" t="n">
        <v>2.06031781755242</v>
      </c>
      <c r="S922" s="6" t="n">
        <v>2.61558048493967</v>
      </c>
      <c r="T922" s="6" t="n">
        <v>-1.02407913148445</v>
      </c>
      <c r="U922" s="6" t="n">
        <v>-3.7468132379896</v>
      </c>
      <c r="V922" s="6" t="n">
        <v>0.349142535241266</v>
      </c>
      <c r="W922" s="6" t="n">
        <v>5</v>
      </c>
      <c r="X922" s="6" t="n">
        <v>-0.622157162293835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-1.14728026488567</v>
      </c>
      <c r="AC922" s="6" t="n">
        <v>-2.89853916035782</v>
      </c>
      <c r="AD922" s="6" t="n">
        <v>-0.262809164057843</v>
      </c>
      <c r="AE922" s="6" t="n">
        <v>1.75086621766043</v>
      </c>
      <c r="AF922" s="6" t="n">
        <v>1.68164249075544</v>
      </c>
      <c r="AG922" s="6" t="n">
        <v>-3.39307117274506</v>
      </c>
      <c r="AH922" s="6" t="n">
        <v>-0.60443771172923</v>
      </c>
      <c r="AI922" s="6" t="n">
        <v>-0.106317504205909</v>
      </c>
      <c r="AJ922" s="6" t="n">
        <v>70.8449141628845</v>
      </c>
      <c r="AK922" s="6" t="n">
        <v>0.166214347804317</v>
      </c>
      <c r="AL922" s="6" t="n">
        <v>1.05557925103139</v>
      </c>
      <c r="AN922" s="6" t="n">
        <v>1.28563697587814</v>
      </c>
      <c r="AO922" s="6" t="n">
        <v>1.28602212041299</v>
      </c>
      <c r="AP922" s="6" t="n">
        <v>0.132123733299673</v>
      </c>
      <c r="AQ922" s="6" t="n">
        <v>0</v>
      </c>
      <c r="AR922" s="6" t="n">
        <v>0</v>
      </c>
    </row>
    <row r="923" customFormat="false" ht="15" hidden="false" customHeight="false" outlineLevel="0" collapsed="false">
      <c r="D923" s="0" t="s">
        <v>1049</v>
      </c>
      <c r="J923" s="6" t="n">
        <v>-0.48888252324725</v>
      </c>
      <c r="K923" s="6" t="n">
        <v>-0.663637459984377</v>
      </c>
      <c r="L923" s="6" t="n">
        <v>1.56290055801335</v>
      </c>
      <c r="M923" s="6" t="n">
        <v>0.0871816321868508</v>
      </c>
      <c r="N923" s="6" t="n">
        <v>-4.27964446328329</v>
      </c>
      <c r="O923" s="6" t="n">
        <v>2.65284234172081</v>
      </c>
      <c r="P923" s="6" t="n">
        <v>-1.78834333875702</v>
      </c>
      <c r="Q923" s="6" t="n">
        <v>-1.42542071810551</v>
      </c>
      <c r="R923" s="6" t="n">
        <v>1.15127762054436</v>
      </c>
      <c r="S923" s="6" t="n">
        <v>-1.95516523778401</v>
      </c>
      <c r="T923" s="6" t="n">
        <v>0.534486676805652</v>
      </c>
      <c r="U923" s="6" t="n">
        <v>2.05040924461459</v>
      </c>
      <c r="V923" s="6" t="n">
        <v>-0.947164696509053</v>
      </c>
      <c r="W923" s="6" t="n">
        <v>0.934469032226406</v>
      </c>
      <c r="X923" s="6" t="n">
        <v>-0.733112829373909</v>
      </c>
      <c r="Y923" s="6" t="n">
        <v>-2.35146135730558</v>
      </c>
      <c r="Z923" s="6" t="n">
        <v>0.531385573447614</v>
      </c>
      <c r="AA923" s="6" t="n">
        <v>0.318034549926937</v>
      </c>
      <c r="AB923" s="6" t="n">
        <v>-1.85675102307515</v>
      </c>
      <c r="AC923" s="6" t="n">
        <v>-3.63155241297715</v>
      </c>
      <c r="AD923" s="6" t="n">
        <v>-2.1232402941732</v>
      </c>
      <c r="AE923" s="6" t="n">
        <v>0.43967601602948</v>
      </c>
      <c r="AF923" s="6" t="n">
        <v>0.584003197673599</v>
      </c>
      <c r="AG923" s="6" t="n">
        <v>-0.482155328941912</v>
      </c>
      <c r="AH923" s="6" t="n">
        <v>-0.122271167562384</v>
      </c>
      <c r="AI923" s="6" t="n">
        <v>2.91519910364637</v>
      </c>
      <c r="AJ923" s="6" t="n">
        <v>72.9093614348907</v>
      </c>
      <c r="AK923" s="6" t="n">
        <v>0.173684260570521</v>
      </c>
      <c r="AL923" s="6" t="n">
        <v>1.07295752646023</v>
      </c>
      <c r="AN923" s="6" t="n">
        <v>1.27873598991798</v>
      </c>
      <c r="AO923" s="6" t="n">
        <v>1.27925496716744</v>
      </c>
      <c r="AP923" s="6" t="n">
        <v>0.130782775992435</v>
      </c>
      <c r="AQ923" s="6" t="n">
        <v>0</v>
      </c>
      <c r="AR923" s="6" t="n">
        <v>0</v>
      </c>
    </row>
    <row r="924" customFormat="false" ht="15" hidden="false" customHeight="false" outlineLevel="0" collapsed="false">
      <c r="D924" s="0" t="s">
        <v>1050</v>
      </c>
      <c r="J924" s="6" t="n">
        <v>-1.66918969874995</v>
      </c>
      <c r="K924" s="6" t="n">
        <v>3.37156373438374</v>
      </c>
      <c r="L924" s="6" t="n">
        <v>0.726559041956677</v>
      </c>
      <c r="M924" s="6" t="n">
        <v>-2.44268897271257</v>
      </c>
      <c r="N924" s="6" t="n">
        <v>-4.80458747578575</v>
      </c>
      <c r="O924" s="6" t="n">
        <v>1.49600105028212</v>
      </c>
      <c r="P924" s="6" t="n">
        <v>-3.7137726514136</v>
      </c>
      <c r="Q924" s="6" t="n">
        <v>-3.43800893889723</v>
      </c>
      <c r="R924" s="6" t="n">
        <v>0.669017488686795</v>
      </c>
      <c r="S924" s="6" t="n">
        <v>-1.13720438716958</v>
      </c>
      <c r="T924" s="6" t="n">
        <v>0.379425330612259</v>
      </c>
      <c r="U924" s="6" t="n">
        <v>0.338545777283533</v>
      </c>
      <c r="V924" s="6" t="n">
        <v>3.0340135336123</v>
      </c>
      <c r="W924" s="6" t="n">
        <v>1.11060661635349</v>
      </c>
      <c r="X924" s="6" t="n">
        <v>1.90009551747086</v>
      </c>
      <c r="Y924" s="6" t="n">
        <v>-1.30930078722384</v>
      </c>
      <c r="Z924" s="6" t="n">
        <v>-3.33873144033566</v>
      </c>
      <c r="AA924" s="6" t="n">
        <v>1.17261937907121</v>
      </c>
      <c r="AB924" s="6" t="n">
        <v>-3.85991832181561</v>
      </c>
      <c r="AC924" s="6" t="n">
        <v>-1.09947370916858</v>
      </c>
      <c r="AD924" s="6" t="n">
        <v>2.83538360637948</v>
      </c>
      <c r="AE924" s="6" t="n">
        <v>2.4374997894163</v>
      </c>
      <c r="AF924" s="6" t="n">
        <v>-4.71722183921279</v>
      </c>
      <c r="AG924" s="6" t="n">
        <v>-0.783577998484112</v>
      </c>
      <c r="AH924" s="6" t="n">
        <v>-2.90114391239505</v>
      </c>
      <c r="AI924" s="6" t="n">
        <v>-0.367936202179788</v>
      </c>
      <c r="AJ924" s="6" t="n">
        <v>80.0415819980398</v>
      </c>
      <c r="AK924" s="6" t="n">
        <v>0.159223007767727</v>
      </c>
      <c r="AL924" s="6" t="n">
        <v>1.03025707165897</v>
      </c>
      <c r="AN924" s="6" t="n">
        <v>1.29981958272297</v>
      </c>
      <c r="AO924" s="6" t="n">
        <v>1.30297969827085</v>
      </c>
      <c r="AP924" s="6" t="n">
        <v>0.13485731135128</v>
      </c>
      <c r="AQ924" s="6" t="n">
        <v>0</v>
      </c>
      <c r="AR924" s="6" t="n">
        <v>0</v>
      </c>
    </row>
    <row r="925" customFormat="false" ht="15" hidden="false" customHeight="false" outlineLevel="0" collapsed="false">
      <c r="D925" s="0" t="s">
        <v>1051</v>
      </c>
      <c r="J925" s="6" t="n">
        <v>2.04838671828231</v>
      </c>
      <c r="K925" s="6" t="n">
        <v>1.37412070260685</v>
      </c>
      <c r="L925" s="6" t="n">
        <v>2.9814363423294</v>
      </c>
      <c r="M925" s="6" t="n">
        <v>1.92712068843102</v>
      </c>
      <c r="N925" s="6" t="n">
        <v>-0.50758860219204</v>
      </c>
      <c r="O925" s="6" t="n">
        <v>-0.157059539131825</v>
      </c>
      <c r="P925" s="6" t="n">
        <v>2.33453173016371</v>
      </c>
      <c r="Q925" s="6" t="n">
        <v>3.62756259276103</v>
      </c>
      <c r="R925" s="6" t="n">
        <v>-0.306499004298857</v>
      </c>
      <c r="S925" s="6" t="n">
        <v>-0.548081594818706</v>
      </c>
      <c r="T925" s="6" t="n">
        <v>-1.58292022004603</v>
      </c>
      <c r="U925" s="6" t="n">
        <v>-5.55249803893624</v>
      </c>
      <c r="V925" s="6" t="n">
        <v>-1.30571580594881</v>
      </c>
      <c r="W925" s="6" t="n">
        <v>-0.515942751989619</v>
      </c>
      <c r="X925" s="6" t="n">
        <v>-1.1141300275578</v>
      </c>
      <c r="Y925" s="6" t="n">
        <v>0.733717977942059</v>
      </c>
      <c r="Z925" s="6" t="n">
        <v>2.28651495020335</v>
      </c>
      <c r="AA925" s="6" t="n">
        <v>-2.70824332375314</v>
      </c>
      <c r="AB925" s="6" t="n">
        <v>-2.11671913031804</v>
      </c>
      <c r="AC925" s="6" t="n">
        <v>-1.994829863199</v>
      </c>
      <c r="AD925" s="6" t="n">
        <v>1.39171167218829</v>
      </c>
      <c r="AE925" s="6" t="n">
        <v>-0.553122462280526</v>
      </c>
      <c r="AF925" s="6" t="n">
        <v>0.35590954349038</v>
      </c>
      <c r="AG925" s="6" t="n">
        <v>1.73708772452565</v>
      </c>
      <c r="AH925" s="6" t="n">
        <v>0.463262700848836</v>
      </c>
      <c r="AI925" s="6" t="n">
        <v>1.77986601611188</v>
      </c>
      <c r="AJ925" s="6" t="n">
        <v>66.1842953944361</v>
      </c>
      <c r="AK925" s="6" t="n">
        <v>0.142266597578709</v>
      </c>
      <c r="AL925" s="6" t="n">
        <v>1.02566247876611</v>
      </c>
      <c r="AN925" s="6" t="n">
        <v>1.3018659514587</v>
      </c>
      <c r="AO925" s="6" t="n">
        <v>1.30260548814737</v>
      </c>
      <c r="AP925" s="6" t="n">
        <v>0.135355120517074</v>
      </c>
      <c r="AQ925" s="6" t="n">
        <v>0</v>
      </c>
      <c r="AR925" s="6" t="n">
        <v>0</v>
      </c>
    </row>
    <row r="926" customFormat="false" ht="15" hidden="false" customHeight="false" outlineLevel="0" collapsed="false">
      <c r="D926" s="0" t="s">
        <v>1052</v>
      </c>
      <c r="J926" s="6" t="n">
        <v>-1.1624774844465</v>
      </c>
      <c r="K926" s="6" t="n">
        <v>4.29884299732813</v>
      </c>
      <c r="L926" s="6" t="n">
        <v>-2.80884648358209</v>
      </c>
      <c r="M926" s="6" t="n">
        <v>-1.96061310653253</v>
      </c>
      <c r="N926" s="6" t="n">
        <v>3.9203579620352</v>
      </c>
      <c r="O926" s="6" t="n">
        <v>-0.51877380886381</v>
      </c>
      <c r="P926" s="6" t="n">
        <v>0.240357568583983</v>
      </c>
      <c r="Q926" s="6" t="n">
        <v>2.5444980412092</v>
      </c>
      <c r="R926" s="6" t="n">
        <v>-1.48778143531716</v>
      </c>
      <c r="S926" s="6" t="n">
        <v>-1.71045135729671</v>
      </c>
      <c r="T926" s="6" t="n">
        <v>-1.92302535710459</v>
      </c>
      <c r="U926" s="6" t="n">
        <v>2.71376750286366</v>
      </c>
      <c r="V926" s="6" t="n">
        <v>-0.157478565455345</v>
      </c>
      <c r="W926" s="6" t="n">
        <v>2.83671242683065</v>
      </c>
      <c r="X926" s="6" t="n">
        <v>-0.683536883050132</v>
      </c>
      <c r="Y926" s="6" t="n">
        <v>-0.212099145047429</v>
      </c>
      <c r="Z926" s="6" t="n">
        <v>2.31942248381639</v>
      </c>
      <c r="AA926" s="6" t="n">
        <v>1.83952579168543</v>
      </c>
      <c r="AB926" s="6" t="n">
        <v>-3.05558214529809</v>
      </c>
      <c r="AC926" s="6" t="n">
        <v>-0.599590453904865</v>
      </c>
      <c r="AD926" s="6" t="n">
        <v>-2.47554335707601</v>
      </c>
      <c r="AE926" s="6" t="n">
        <v>-2.98037733813217</v>
      </c>
      <c r="AF926" s="6" t="n">
        <v>-0.470754941999093</v>
      </c>
      <c r="AG926" s="6" t="n">
        <v>3.15306751305538</v>
      </c>
      <c r="AH926" s="6" t="n">
        <v>1.80536831801228</v>
      </c>
      <c r="AI926" s="6" t="n">
        <v>1.47512697424317</v>
      </c>
      <c r="AJ926" s="6" t="n">
        <v>72.9700878051034</v>
      </c>
      <c r="AK926" s="6" t="n">
        <v>0.119326406418086</v>
      </c>
      <c r="AL926" s="6" t="n">
        <v>1.01860014491172</v>
      </c>
      <c r="AN926" s="6" t="n">
        <v>1.31334189623269</v>
      </c>
      <c r="AO926" s="6" t="n">
        <v>1.31334189623269</v>
      </c>
      <c r="AP926" s="6" t="n">
        <v>0.137892721175452</v>
      </c>
      <c r="AQ926" s="6" t="n">
        <v>0</v>
      </c>
      <c r="AR926" s="6" t="n">
        <v>0</v>
      </c>
    </row>
    <row r="927" customFormat="false" ht="15" hidden="false" customHeight="false" outlineLevel="0" collapsed="false">
      <c r="D927" s="0" t="s">
        <v>1053</v>
      </c>
      <c r="J927" s="6" t="n">
        <v>2.40160810281519</v>
      </c>
      <c r="K927" s="6" t="n">
        <v>2.64339552413969</v>
      </c>
      <c r="L927" s="6" t="n">
        <v>-0.278110366835932</v>
      </c>
      <c r="M927" s="6" t="n">
        <v>1.66644569506226</v>
      </c>
      <c r="N927" s="6" t="n">
        <v>0.385483729302842</v>
      </c>
      <c r="O927" s="6" t="n">
        <v>-0.00464500680620247</v>
      </c>
      <c r="P927" s="6" t="n">
        <v>-0.669024047794533</v>
      </c>
      <c r="Q927" s="6" t="n">
        <v>0.637420950739422</v>
      </c>
      <c r="R927" s="6" t="n">
        <v>0.266367564964917</v>
      </c>
      <c r="S927" s="6" t="n">
        <v>-2.18183545690793</v>
      </c>
      <c r="T927" s="6" t="n">
        <v>-0.545462100504181</v>
      </c>
      <c r="U927" s="6" t="n">
        <v>0.245825658570266</v>
      </c>
      <c r="V927" s="6" t="n">
        <v>-1.72245871187036</v>
      </c>
      <c r="W927" s="6" t="n">
        <v>2.59456614258833</v>
      </c>
      <c r="X927" s="6" t="n">
        <v>0.658278368873265</v>
      </c>
      <c r="Y927" s="6" t="n">
        <v>-2.79963933247289</v>
      </c>
      <c r="Z927" s="6" t="n">
        <v>3.25210194983919</v>
      </c>
      <c r="AA927" s="6" t="n">
        <v>0.753993229577972</v>
      </c>
      <c r="AB927" s="6" t="n">
        <v>-2.80153421783773</v>
      </c>
      <c r="AC927" s="6" t="n">
        <v>-0.145085352725611</v>
      </c>
      <c r="AD927" s="6" t="n">
        <v>2.08314790044741</v>
      </c>
      <c r="AE927" s="6" t="n">
        <v>-0.282266680837365</v>
      </c>
      <c r="AF927" s="6" t="n">
        <v>-2.147329890356</v>
      </c>
      <c r="AG927" s="6" t="n">
        <v>0.266347714824534</v>
      </c>
      <c r="AH927" s="6" t="n">
        <v>1.74898844857304</v>
      </c>
      <c r="AI927" s="6" t="n">
        <v>-4.67326102520299</v>
      </c>
      <c r="AJ927" s="6" t="n">
        <v>79.7857344827058</v>
      </c>
      <c r="AK927" s="6" t="n">
        <v>0.111078719609483</v>
      </c>
      <c r="AL927" s="6" t="n">
        <v>1.05844758384123</v>
      </c>
      <c r="AN927" s="6" t="n">
        <v>1.297384175776</v>
      </c>
      <c r="AO927" s="6" t="n">
        <v>1.29772730014503</v>
      </c>
      <c r="AP927" s="6" t="n">
        <v>0.134138838051503</v>
      </c>
      <c r="AQ927" s="6" t="n">
        <v>0</v>
      </c>
      <c r="AR927" s="6" t="n">
        <v>0</v>
      </c>
    </row>
    <row r="928" customFormat="false" ht="15" hidden="false" customHeight="false" outlineLevel="0" collapsed="false">
      <c r="D928" s="0" t="s">
        <v>1054</v>
      </c>
      <c r="J928" s="6" t="n">
        <v>2.63327960867288</v>
      </c>
      <c r="K928" s="6" t="n">
        <v>-0.44182415763716</v>
      </c>
      <c r="L928" s="6" t="n">
        <v>1.23317795235631</v>
      </c>
      <c r="M928" s="6" t="n">
        <v>-1.04794013033105</v>
      </c>
      <c r="N928" s="6" t="n">
        <v>-0.218244364519098</v>
      </c>
      <c r="O928" s="6" t="n">
        <v>0.901042925775643</v>
      </c>
      <c r="P928" s="6" t="n">
        <v>-0.503559960341323</v>
      </c>
      <c r="Q928" s="6" t="n">
        <v>-0.130783522767204</v>
      </c>
      <c r="R928" s="6" t="n">
        <v>0.500257512393223</v>
      </c>
      <c r="S928" s="6" t="n">
        <v>0.0839006209566016</v>
      </c>
      <c r="T928" s="6" t="n">
        <v>-0.0888676329845098</v>
      </c>
      <c r="U928" s="6" t="n">
        <v>-1.96226991010276</v>
      </c>
      <c r="V928" s="6" t="n">
        <v>-0.553505887794188</v>
      </c>
      <c r="W928" s="6" t="n">
        <v>-0.0209949152185234</v>
      </c>
      <c r="X928" s="6" t="n">
        <v>2.59432041848411</v>
      </c>
      <c r="Y928" s="6" t="n">
        <v>-0.499730945450893</v>
      </c>
      <c r="Z928" s="6" t="n">
        <v>-1.03035185076361</v>
      </c>
      <c r="AA928" s="6" t="n">
        <v>-0.709816920389651</v>
      </c>
      <c r="AB928" s="6" t="n">
        <v>-0.972838509310027</v>
      </c>
      <c r="AC928" s="6" t="n">
        <v>-2.09201743602616</v>
      </c>
      <c r="AD928" s="6" t="n">
        <v>-3.2687300472992</v>
      </c>
      <c r="AE928" s="6" t="n">
        <v>-1.64494338329613</v>
      </c>
      <c r="AF928" s="6" t="n">
        <v>2.16385306473418</v>
      </c>
      <c r="AG928" s="6" t="n">
        <v>2.72476788136398</v>
      </c>
      <c r="AH928" s="6" t="n">
        <v>1.6529030082764</v>
      </c>
      <c r="AI928" s="6" t="n">
        <v>0.108450445957353</v>
      </c>
      <c r="AJ928" s="6" t="n">
        <v>76.5293101378599</v>
      </c>
      <c r="AK928" s="6" t="n">
        <v>0.0572506733854291</v>
      </c>
      <c r="AL928" s="6" t="n">
        <v>1.01357703807178</v>
      </c>
      <c r="AN928" s="6" t="n">
        <v>1.31591823898181</v>
      </c>
      <c r="AO928" s="6" t="n">
        <v>1.31591823898181</v>
      </c>
      <c r="AP928" s="6" t="n">
        <v>0.140413475881186</v>
      </c>
      <c r="AQ928" s="6" t="n">
        <v>0</v>
      </c>
      <c r="AR928" s="6" t="n">
        <v>0</v>
      </c>
    </row>
    <row r="929" customFormat="false" ht="15" hidden="false" customHeight="false" outlineLevel="0" collapsed="false">
      <c r="D929" s="0" t="s">
        <v>1055</v>
      </c>
      <c r="J929" s="6" t="n">
        <v>3.80744715785538</v>
      </c>
      <c r="K929" s="6" t="n">
        <v>1.22132613275566</v>
      </c>
      <c r="L929" s="6" t="n">
        <v>-1.7311382519839</v>
      </c>
      <c r="M929" s="6" t="n">
        <v>1.38461803008011</v>
      </c>
      <c r="N929" s="6" t="n">
        <v>-1.20015587720759</v>
      </c>
      <c r="O929" s="6" t="n">
        <v>-2.65439063351444</v>
      </c>
      <c r="P929" s="6" t="n">
        <v>-1.05316616129332</v>
      </c>
      <c r="Q929" s="6" t="n">
        <v>0.916421954426124</v>
      </c>
      <c r="R929" s="6" t="n">
        <v>-0.461144740431216</v>
      </c>
      <c r="S929" s="6" t="n">
        <v>1.38942272780321</v>
      </c>
      <c r="T929" s="6" t="n">
        <v>0.804032081625931</v>
      </c>
      <c r="U929" s="6" t="n">
        <v>0.660238571912872</v>
      </c>
      <c r="V929" s="6" t="n">
        <v>-0.9012577541776</v>
      </c>
      <c r="W929" s="6" t="n">
        <v>-0.307314360336493</v>
      </c>
      <c r="X929" s="6" t="n">
        <v>2.88687791831321</v>
      </c>
      <c r="Y929" s="6" t="n">
        <v>-4.87426645618665</v>
      </c>
      <c r="Z929" s="6" t="n">
        <v>-1.36755876071748</v>
      </c>
      <c r="AA929" s="6" t="n">
        <v>-0.219343956079086</v>
      </c>
      <c r="AB929" s="6" t="n">
        <v>-1.897649545342</v>
      </c>
      <c r="AC929" s="6" t="n">
        <v>3.46813357408112</v>
      </c>
      <c r="AD929" s="6" t="n">
        <v>-2.31250727640679</v>
      </c>
      <c r="AE929" s="6" t="n">
        <v>1.44607469456153</v>
      </c>
      <c r="AF929" s="6" t="n">
        <v>-2.43066463818017</v>
      </c>
      <c r="AG929" s="6" t="n">
        <v>-0.62943605042374</v>
      </c>
      <c r="AH929" s="6" t="n">
        <v>0.669212390276134</v>
      </c>
      <c r="AI929" s="6" t="n">
        <v>-0.909888432226608</v>
      </c>
      <c r="AJ929" s="6" t="n">
        <v>80.9569751097887</v>
      </c>
      <c r="AK929" s="6" t="n">
        <v>0.161596345141301</v>
      </c>
      <c r="AL929" s="6" t="n">
        <v>1.01808077338358</v>
      </c>
      <c r="AN929" s="6" t="n">
        <v>1.31611285171806</v>
      </c>
      <c r="AO929" s="6" t="n">
        <v>1.31651688695527</v>
      </c>
      <c r="AP929" s="6" t="n">
        <v>0.137648411781866</v>
      </c>
      <c r="AQ929" s="6" t="n">
        <v>0</v>
      </c>
      <c r="AR929" s="6" t="n">
        <v>0</v>
      </c>
    </row>
    <row r="930" customFormat="false" ht="15" hidden="false" customHeight="false" outlineLevel="0" collapsed="false">
      <c r="D930" s="0" t="s">
        <v>1056</v>
      </c>
      <c r="J930" s="6" t="n">
        <v>-1.12598788693794</v>
      </c>
      <c r="K930" s="6" t="n">
        <v>-1.12972006994692</v>
      </c>
      <c r="L930" s="6" t="n">
        <v>-0.971144067801524</v>
      </c>
      <c r="M930" s="6" t="n">
        <v>-0.998612096429969</v>
      </c>
      <c r="N930" s="6" t="n">
        <v>-0.587842703159231</v>
      </c>
      <c r="O930" s="6" t="n">
        <v>-1.58496029990767</v>
      </c>
      <c r="P930" s="6" t="n">
        <v>-0.710553081531647</v>
      </c>
      <c r="Q930" s="6" t="n">
        <v>1.99109858485782</v>
      </c>
      <c r="R930" s="6" t="n">
        <v>-0.515906344275319</v>
      </c>
      <c r="S930" s="6" t="n">
        <v>-1.62299447259312</v>
      </c>
      <c r="T930" s="6" t="n">
        <v>4.04945981532389</v>
      </c>
      <c r="U930" s="6" t="n">
        <v>-1.39591373530425</v>
      </c>
      <c r="V930" s="6" t="n">
        <v>-2.86621328736499</v>
      </c>
      <c r="W930" s="6" t="n">
        <v>2.78683656162865</v>
      </c>
      <c r="X930" s="6" t="n">
        <v>0.70821751544808</v>
      </c>
      <c r="Y930" s="6" t="n">
        <v>2.38276830377511</v>
      </c>
      <c r="Z930" s="6" t="n">
        <v>-2.52331554324784</v>
      </c>
      <c r="AA930" s="6" t="n">
        <v>-2.49169510773892</v>
      </c>
      <c r="AB930" s="6" t="n">
        <v>-0.993623920771481</v>
      </c>
      <c r="AC930" s="6" t="n">
        <v>1.59367281237664</v>
      </c>
      <c r="AD930" s="6" t="n">
        <v>2.68620910825536</v>
      </c>
      <c r="AE930" s="6" t="n">
        <v>-0.844280780616812</v>
      </c>
      <c r="AF930" s="6" t="n">
        <v>-0.926975008239172</v>
      </c>
      <c r="AG930" s="6" t="n">
        <v>-0.795429018049037</v>
      </c>
      <c r="AH930" s="6" t="n">
        <v>-0.556992240406482</v>
      </c>
      <c r="AI930" s="6" t="n">
        <v>-1.39998869376571</v>
      </c>
      <c r="AJ930" s="6" t="n">
        <v>78.960999811658</v>
      </c>
      <c r="AK930" s="6" t="n">
        <v>0.169998123232114</v>
      </c>
      <c r="AL930" s="6" t="n">
        <v>1.1225088356484</v>
      </c>
      <c r="AN930" s="6" t="n">
        <v>1.26835604578662</v>
      </c>
      <c r="AO930" s="6" t="n">
        <v>1.26852288298501</v>
      </c>
      <c r="AP930" s="6" t="n">
        <v>0.128838581629687</v>
      </c>
      <c r="AQ930" s="6" t="n">
        <v>0</v>
      </c>
      <c r="AR930" s="6" t="n">
        <v>0</v>
      </c>
    </row>
    <row r="931" customFormat="false" ht="15" hidden="false" customHeight="false" outlineLevel="0" collapsed="false">
      <c r="D931" s="0" t="s">
        <v>1057</v>
      </c>
      <c r="J931" s="6" t="n">
        <v>-0.832434098830452</v>
      </c>
      <c r="K931" s="6" t="n">
        <v>0.711003749280011</v>
      </c>
      <c r="L931" s="6" t="n">
        <v>-0.716512240934402</v>
      </c>
      <c r="M931" s="6" t="n">
        <v>1.51536540333153</v>
      </c>
      <c r="N931" s="6" t="n">
        <v>-0.0891851425104103</v>
      </c>
      <c r="O931" s="6" t="n">
        <v>-0.753788967472821</v>
      </c>
      <c r="P931" s="6" t="n">
        <v>1.04510035817568</v>
      </c>
      <c r="Q931" s="6" t="n">
        <v>1.23918363481301</v>
      </c>
      <c r="R931" s="6" t="n">
        <v>-0.680816523064312</v>
      </c>
      <c r="S931" s="6" t="n">
        <v>2.8233269388982</v>
      </c>
      <c r="T931" s="6" t="n">
        <v>-1.52289631200918</v>
      </c>
      <c r="U931" s="6" t="n">
        <v>3.76174324998517</v>
      </c>
      <c r="V931" s="6" t="n">
        <v>3.1862828906368</v>
      </c>
      <c r="W931" s="6" t="n">
        <v>4.36244560345522</v>
      </c>
      <c r="X931" s="6" t="n">
        <v>0.782594159648169</v>
      </c>
      <c r="Y931" s="6" t="n">
        <v>-0.426932812549174</v>
      </c>
      <c r="Z931" s="6" t="n">
        <v>-1.56855791736451</v>
      </c>
      <c r="AA931" s="6" t="n">
        <v>0.722832748860475</v>
      </c>
      <c r="AB931" s="6" t="n">
        <v>-3.32216693629558</v>
      </c>
      <c r="AC931" s="6" t="n">
        <v>-0.089398415327433</v>
      </c>
      <c r="AD931" s="6" t="n">
        <v>-3.33196924168322</v>
      </c>
      <c r="AE931" s="6" t="n">
        <v>-0.284107996533468</v>
      </c>
      <c r="AF931" s="6" t="n">
        <v>-1.71538263906258</v>
      </c>
      <c r="AG931" s="6" t="n">
        <v>0.803087454940677</v>
      </c>
      <c r="AH931" s="6" t="n">
        <v>-1.78641313964652</v>
      </c>
      <c r="AI931" s="6" t="n">
        <v>-0.0463653982794834</v>
      </c>
      <c r="AJ931" s="6" t="n">
        <v>68.1183247351258</v>
      </c>
      <c r="AK931" s="6" t="n">
        <v>0.0837835918087454</v>
      </c>
      <c r="AL931" s="6" t="n">
        <v>1.06339019126419</v>
      </c>
      <c r="AN931" s="6" t="n">
        <v>1.29339134190281</v>
      </c>
      <c r="AO931" s="6" t="n">
        <v>1.29419565199372</v>
      </c>
      <c r="AP931" s="6" t="n">
        <v>0.133702720342483</v>
      </c>
      <c r="AQ931" s="6" t="n">
        <v>0</v>
      </c>
      <c r="AR931" s="6" t="n">
        <v>0</v>
      </c>
    </row>
    <row r="932" customFormat="false" ht="15" hidden="false" customHeight="false" outlineLevel="0" collapsed="false">
      <c r="D932" s="0" t="s">
        <v>1058</v>
      </c>
      <c r="J932" s="6" t="n">
        <v>-0.915345660462366</v>
      </c>
      <c r="K932" s="6" t="n">
        <v>-1.7308268795602</v>
      </c>
      <c r="L932" s="6" t="n">
        <v>1.99451910088805</v>
      </c>
      <c r="M932" s="6" t="n">
        <v>0.0317305571692744</v>
      </c>
      <c r="N932" s="6" t="n">
        <v>-1.55641207460973</v>
      </c>
      <c r="O932" s="6" t="n">
        <v>1.36404961832859</v>
      </c>
      <c r="P932" s="6" t="n">
        <v>-0.699111619082368</v>
      </c>
      <c r="Q932" s="6" t="n">
        <v>0.526895097884986</v>
      </c>
      <c r="R932" s="6" t="n">
        <v>-2.0171637857014</v>
      </c>
      <c r="S932" s="6" t="n">
        <v>-1.383382882878</v>
      </c>
      <c r="T932" s="6" t="n">
        <v>1.33174722049328</v>
      </c>
      <c r="U932" s="6" t="n">
        <v>2.63966394133392</v>
      </c>
      <c r="V932" s="6" t="n">
        <v>-5.24066581629833</v>
      </c>
      <c r="W932" s="6" t="n">
        <v>-2.16107508785084</v>
      </c>
      <c r="X932" s="6" t="n">
        <v>-1.1616270375762</v>
      </c>
      <c r="Y932" s="6" t="n">
        <v>2.298325122867</v>
      </c>
      <c r="Z932" s="6" t="n">
        <v>2.79465729940736</v>
      </c>
      <c r="AA932" s="6" t="n">
        <v>-3.80894905332481</v>
      </c>
      <c r="AB932" s="6" t="n">
        <v>-3.12583040367082</v>
      </c>
      <c r="AC932" s="6" t="n">
        <v>0.352244521593824</v>
      </c>
      <c r="AD932" s="6" t="n">
        <v>0.251554271913498</v>
      </c>
      <c r="AE932" s="6" t="n">
        <v>0.694122931968317</v>
      </c>
      <c r="AF932" s="6" t="n">
        <v>-2.16591875605379</v>
      </c>
      <c r="AG932" s="6" t="n">
        <v>0.897803782474146</v>
      </c>
      <c r="AH932" s="6" t="n">
        <v>-0.470911608774035</v>
      </c>
      <c r="AI932" s="6" t="n">
        <v>0.0152634543154269</v>
      </c>
      <c r="AJ932" s="6" t="n">
        <v>72.8237104058743</v>
      </c>
      <c r="AK932" s="6" t="n">
        <v>0.18120604420625</v>
      </c>
      <c r="AL932" s="6" t="n">
        <v>1.0292540465718</v>
      </c>
      <c r="AN932" s="6" t="n">
        <v>1.29854450847087</v>
      </c>
      <c r="AO932" s="6" t="n">
        <v>1.29864963657384</v>
      </c>
      <c r="AP932" s="6" t="n">
        <v>0.135036058193252</v>
      </c>
      <c r="AQ932" s="6" t="n">
        <v>0</v>
      </c>
      <c r="AR932" s="6" t="n">
        <v>0</v>
      </c>
    </row>
    <row r="933" customFormat="false" ht="15" hidden="false" customHeight="false" outlineLevel="0" collapsed="false">
      <c r="D933" s="0" t="s">
        <v>1059</v>
      </c>
      <c r="J933" s="6" t="n">
        <v>-2.07621761472703</v>
      </c>
      <c r="K933" s="6" t="n">
        <v>-1.08583418922362</v>
      </c>
      <c r="L933" s="6" t="n">
        <v>-2.09858188996057</v>
      </c>
      <c r="M933" s="6" t="n">
        <v>-0.588231893239994</v>
      </c>
      <c r="N933" s="6" t="n">
        <v>2.89212921175824</v>
      </c>
      <c r="O933" s="6" t="n">
        <v>0.829931964747044</v>
      </c>
      <c r="P933" s="6" t="n">
        <v>1.46139660715622</v>
      </c>
      <c r="Q933" s="6" t="n">
        <v>-1.28788924955799</v>
      </c>
      <c r="R933" s="6" t="n">
        <v>-1.48844090982872</v>
      </c>
      <c r="S933" s="6" t="n">
        <v>0.411583916884751</v>
      </c>
      <c r="T933" s="6" t="n">
        <v>2.59272714133137</v>
      </c>
      <c r="U933" s="6" t="n">
        <v>-2.61422098531714</v>
      </c>
      <c r="V933" s="6" t="n">
        <v>-2.01399528948243</v>
      </c>
      <c r="W933" s="6" t="n">
        <v>0.254911795588581</v>
      </c>
      <c r="X933" s="6" t="n">
        <v>0.157192894977069</v>
      </c>
      <c r="Y933" s="6" t="n">
        <v>2.47051110469061</v>
      </c>
      <c r="Z933" s="6" t="n">
        <v>-1.25243052354446</v>
      </c>
      <c r="AA933" s="6" t="n">
        <v>3.0301803605515</v>
      </c>
      <c r="AB933" s="6" t="n">
        <v>1.42343041565305</v>
      </c>
      <c r="AC933" s="6" t="n">
        <v>-1.09011925464783</v>
      </c>
      <c r="AD933" s="6" t="n">
        <v>-1.8457024319347</v>
      </c>
      <c r="AE933" s="6" t="n">
        <v>0.354500209600987</v>
      </c>
      <c r="AF933" s="6" t="n">
        <v>1.11092224537622</v>
      </c>
      <c r="AG933" s="6" t="n">
        <v>-2.71484288240271</v>
      </c>
      <c r="AH933" s="6" t="n">
        <v>1.44981018048454</v>
      </c>
      <c r="AI933" s="6" t="n">
        <v>4.49554029046767</v>
      </c>
      <c r="AJ933" s="6" t="n">
        <v>73.8395031361209</v>
      </c>
      <c r="AK933" s="6" t="n">
        <v>0.168275635962248</v>
      </c>
      <c r="AL933" s="6" t="n">
        <v>1.0468581006183</v>
      </c>
      <c r="AN933" s="6" t="n">
        <v>1.29101075752881</v>
      </c>
      <c r="AO933" s="6" t="n">
        <v>1.29202533409775</v>
      </c>
      <c r="AP933" s="6" t="n">
        <v>0.133234585776531</v>
      </c>
      <c r="AQ933" s="6" t="n">
        <v>0</v>
      </c>
      <c r="AR933" s="6" t="n">
        <v>0</v>
      </c>
    </row>
    <row r="934" customFormat="false" ht="15" hidden="false" customHeight="false" outlineLevel="0" collapsed="false">
      <c r="D934" s="0" t="s">
        <v>1060</v>
      </c>
      <c r="J934" s="6" t="n">
        <v>1.48802534780129</v>
      </c>
      <c r="K934" s="6" t="n">
        <v>3.46345491683308</v>
      </c>
      <c r="L934" s="6" t="n">
        <v>1.68167091455827</v>
      </c>
      <c r="M934" s="6" t="n">
        <v>0.326719978564988</v>
      </c>
      <c r="N934" s="6" t="n">
        <v>-2.24283614075753</v>
      </c>
      <c r="O934" s="6" t="n">
        <v>-1.51252685047298</v>
      </c>
      <c r="P934" s="6" t="n">
        <v>1.96299718781959</v>
      </c>
      <c r="Q934" s="6" t="n">
        <v>-2.88113437557266</v>
      </c>
      <c r="R934" s="6" t="n">
        <v>2.62312303119865</v>
      </c>
      <c r="S934" s="6" t="n">
        <v>-0.32901264093205</v>
      </c>
      <c r="T934" s="6" t="n">
        <v>3.2812534094503</v>
      </c>
      <c r="U934" s="6" t="n">
        <v>0.374687666589952</v>
      </c>
      <c r="V934" s="6" t="n">
        <v>-0.0248056366306158</v>
      </c>
      <c r="W934" s="6" t="n">
        <v>0.0865675570337315</v>
      </c>
      <c r="X934" s="6" t="n">
        <v>-0.460887555636837</v>
      </c>
      <c r="Y934" s="6" t="n">
        <v>-1.10550728239381</v>
      </c>
      <c r="Z934" s="6" t="n">
        <v>-1.15172438834493</v>
      </c>
      <c r="AA934" s="6" t="n">
        <v>1.21562916024038</v>
      </c>
      <c r="AB934" s="6" t="n">
        <v>1.16665680452408</v>
      </c>
      <c r="AC934" s="6" t="n">
        <v>-0.0698385815084185</v>
      </c>
      <c r="AD934" s="6" t="n">
        <v>1.52459188920829</v>
      </c>
      <c r="AE934" s="6" t="n">
        <v>-1.91817429716878</v>
      </c>
      <c r="AF934" s="6" t="n">
        <v>0.259568578900612</v>
      </c>
      <c r="AG934" s="6" t="n">
        <v>-1.54325616363487</v>
      </c>
      <c r="AH934" s="6" t="n">
        <v>0.359929542801749</v>
      </c>
      <c r="AI934" s="6" t="n">
        <v>-4.14993020357674</v>
      </c>
      <c r="AJ934" s="6" t="n">
        <v>80.3074996302362</v>
      </c>
      <c r="AK934" s="6" t="n">
        <v>0.163823221593619</v>
      </c>
      <c r="AL934" s="6" t="n">
        <v>1.05327367685279</v>
      </c>
      <c r="AN934" s="6" t="n">
        <v>1.29306512387495</v>
      </c>
      <c r="AO934" s="6" t="n">
        <v>1.29427185380515</v>
      </c>
      <c r="AP934" s="6" t="n">
        <v>0.132925488015338</v>
      </c>
      <c r="AQ934" s="6" t="n">
        <v>0</v>
      </c>
      <c r="AR934" s="6" t="n">
        <v>0</v>
      </c>
    </row>
    <row r="935" customFormat="false" ht="15" hidden="false" customHeight="false" outlineLevel="0" collapsed="false">
      <c r="D935" s="0" t="s">
        <v>1061</v>
      </c>
      <c r="J935" s="6" t="n">
        <v>0.500818901821409</v>
      </c>
      <c r="K935" s="6" t="n">
        <v>-2.10459606925093</v>
      </c>
      <c r="L935" s="6" t="n">
        <v>-2.48178166664825</v>
      </c>
      <c r="M935" s="6" t="n">
        <v>1.25859799297589</v>
      </c>
      <c r="N935" s="6" t="n">
        <v>2.32526927300588</v>
      </c>
      <c r="O935" s="6" t="n">
        <v>-0.423323350741929</v>
      </c>
      <c r="P935" s="6" t="n">
        <v>2.84899185251799</v>
      </c>
      <c r="Q935" s="6" t="n">
        <v>0.930747641657408</v>
      </c>
      <c r="R935" s="6" t="n">
        <v>-2.88530592098364</v>
      </c>
      <c r="S935" s="6" t="n">
        <v>-2.80403595652734</v>
      </c>
      <c r="T935" s="6" t="n">
        <v>3.07001138873177</v>
      </c>
      <c r="U935" s="6" t="n">
        <v>0.935775252155714</v>
      </c>
      <c r="V935" s="6" t="n">
        <v>-1.32193298215099</v>
      </c>
      <c r="W935" s="6" t="n">
        <v>-1.92903227272123</v>
      </c>
      <c r="X935" s="6" t="n">
        <v>-1.18202044048803</v>
      </c>
      <c r="Y935" s="6" t="n">
        <v>-0.355122305248672</v>
      </c>
      <c r="Z935" s="6" t="n">
        <v>0.951683945972046</v>
      </c>
      <c r="AA935" s="6" t="n">
        <v>-3.85338783934581</v>
      </c>
      <c r="AB935" s="6" t="n">
        <v>-1.029317168417</v>
      </c>
      <c r="AC935" s="6" t="n">
        <v>1.14366225495986</v>
      </c>
      <c r="AD935" s="6" t="n">
        <v>-1.99756115933432</v>
      </c>
      <c r="AE935" s="6" t="n">
        <v>-1.42517705129986</v>
      </c>
      <c r="AF935" s="6" t="n">
        <v>-3.01916235120342</v>
      </c>
      <c r="AG935" s="6" t="n">
        <v>0.665076733922896</v>
      </c>
      <c r="AH935" s="6" t="n">
        <v>3.16147765529252</v>
      </c>
      <c r="AI935" s="6" t="n">
        <v>0.732935014991702</v>
      </c>
      <c r="AJ935" s="6" t="n">
        <v>82.8990662200485</v>
      </c>
      <c r="AK935" s="6" t="n">
        <v>0.102147328196042</v>
      </c>
      <c r="AL935" s="6" t="n">
        <v>1.04773187817798</v>
      </c>
      <c r="AN935" s="6" t="n">
        <v>1.30409144846579</v>
      </c>
      <c r="AO935" s="6" t="n">
        <v>1.30517644312429</v>
      </c>
      <c r="AP935" s="6" t="n">
        <v>0.135930320849393</v>
      </c>
      <c r="AQ935" s="6" t="n">
        <v>0</v>
      </c>
      <c r="AR935" s="6" t="n">
        <v>0</v>
      </c>
    </row>
    <row r="936" customFormat="false" ht="15" hidden="false" customHeight="false" outlineLevel="0" collapsed="false">
      <c r="D936" s="0" t="s">
        <v>1062</v>
      </c>
      <c r="J936" s="6" t="n">
        <v>1.82543034684678</v>
      </c>
      <c r="K936" s="6" t="n">
        <v>-2.2320148306333</v>
      </c>
      <c r="L936" s="6" t="n">
        <v>0.553714947889158</v>
      </c>
      <c r="M936" s="6" t="n">
        <v>-2.37313970080691</v>
      </c>
      <c r="N936" s="6" t="n">
        <v>-0.277503559519223</v>
      </c>
      <c r="O936" s="6" t="n">
        <v>-1.21349299600559</v>
      </c>
      <c r="P936" s="6" t="n">
        <v>1.09784312703518</v>
      </c>
      <c r="Q936" s="6" t="n">
        <v>0.0575041965563296</v>
      </c>
      <c r="R936" s="6" t="n">
        <v>5</v>
      </c>
      <c r="S936" s="6" t="n">
        <v>1.23554244297496</v>
      </c>
      <c r="T936" s="6" t="n">
        <v>-1.465431837387</v>
      </c>
      <c r="U936" s="6" t="n">
        <v>0.11082785070522</v>
      </c>
      <c r="V936" s="6" t="n">
        <v>-1.36183537810388</v>
      </c>
      <c r="W936" s="6" t="n">
        <v>-2.35586085240336</v>
      </c>
      <c r="X936" s="6" t="n">
        <v>-1.97248482956883</v>
      </c>
      <c r="Y936" s="6" t="n">
        <v>-1.77979516320334</v>
      </c>
      <c r="Z936" s="6" t="n">
        <v>0.53198294085475</v>
      </c>
      <c r="AA936" s="6" t="n">
        <v>1.43792804243864</v>
      </c>
      <c r="AB936" s="6" t="n">
        <v>-2.59064185235819</v>
      </c>
      <c r="AC936" s="6" t="n">
        <v>1.93639886592747</v>
      </c>
      <c r="AD936" s="6" t="n">
        <v>1.12350199085623</v>
      </c>
      <c r="AE936" s="6" t="n">
        <v>-0.445297234021369</v>
      </c>
      <c r="AF936" s="6" t="n">
        <v>-3.71148218474912</v>
      </c>
      <c r="AG936" s="6" t="n">
        <v>0.302530498120423</v>
      </c>
      <c r="AH936" s="6" t="n">
        <v>3.74482448029138</v>
      </c>
      <c r="AI936" s="6" t="n">
        <v>-2.43261809633821</v>
      </c>
      <c r="AJ936" s="6" t="n">
        <v>66.0524613394568</v>
      </c>
      <c r="AK936" s="6" t="n">
        <v>0.0454641549284676</v>
      </c>
      <c r="AL936" s="6" t="n">
        <v>1.05312620420424</v>
      </c>
      <c r="AN936" s="6" t="n">
        <v>1.30128481857818</v>
      </c>
      <c r="AO936" s="6" t="n">
        <v>1.3018627326285</v>
      </c>
      <c r="AP936" s="6" t="n">
        <v>0.134931941952202</v>
      </c>
      <c r="AQ936" s="6" t="n">
        <v>0</v>
      </c>
      <c r="AR936" s="6" t="n">
        <v>0</v>
      </c>
    </row>
    <row r="937" customFormat="false" ht="15" hidden="false" customHeight="false" outlineLevel="0" collapsed="false">
      <c r="D937" s="0" t="s">
        <v>1063</v>
      </c>
      <c r="J937" s="6" t="n">
        <v>-0.863367886258617</v>
      </c>
      <c r="K937" s="6" t="n">
        <v>-2.60238775626717</v>
      </c>
      <c r="L937" s="6" t="n">
        <v>3.42959761348587</v>
      </c>
      <c r="M937" s="6" t="n">
        <v>-2.32999894331555</v>
      </c>
      <c r="N937" s="6" t="n">
        <v>0.447781859878335</v>
      </c>
      <c r="O937" s="6" t="n">
        <v>-0.179890255730457</v>
      </c>
      <c r="P937" s="6" t="n">
        <v>-2.65877996287378</v>
      </c>
      <c r="Q937" s="6" t="n">
        <v>2.38734260228668</v>
      </c>
      <c r="R937" s="6" t="n">
        <v>3.42560942480165</v>
      </c>
      <c r="S937" s="6" t="n">
        <v>-2.36081506898233</v>
      </c>
      <c r="T937" s="6" t="n">
        <v>-1.40951645928473</v>
      </c>
      <c r="U937" s="6" t="n">
        <v>1.27107300526862</v>
      </c>
      <c r="V937" s="6" t="n">
        <v>1.30670876376144</v>
      </c>
      <c r="W937" s="6" t="n">
        <v>-0.0949907107680263</v>
      </c>
      <c r="X937" s="6" t="n">
        <v>0.985908836889392</v>
      </c>
      <c r="Y937" s="6" t="n">
        <v>1.17353086384072</v>
      </c>
      <c r="Z937" s="6" t="n">
        <v>1.1289596040861</v>
      </c>
      <c r="AA937" s="6" t="n">
        <v>-0.947846687670698</v>
      </c>
      <c r="AB937" s="6" t="n">
        <v>-1.60604637127814</v>
      </c>
      <c r="AC937" s="6" t="n">
        <v>1.67384875473341</v>
      </c>
      <c r="AD937" s="6" t="n">
        <v>0.268794151977673</v>
      </c>
      <c r="AE937" s="6" t="n">
        <v>1.7005556003862</v>
      </c>
      <c r="AF937" s="6" t="n">
        <v>1.6820072349181</v>
      </c>
      <c r="AG937" s="6" t="n">
        <v>0.45445209290883</v>
      </c>
      <c r="AH937" s="6" t="n">
        <v>0.891815807451959</v>
      </c>
      <c r="AI937" s="6" t="n">
        <v>0.488736366441895</v>
      </c>
      <c r="AJ937" s="6" t="n">
        <v>58.1903889438817</v>
      </c>
      <c r="AK937" s="6" t="n">
        <v>0.154691569173919</v>
      </c>
      <c r="AL937" s="6" t="n">
        <v>1.0496790130718</v>
      </c>
      <c r="AN937" s="6" t="n">
        <v>1.2879304547036</v>
      </c>
      <c r="AO937" s="6" t="n">
        <v>1.28819585451237</v>
      </c>
      <c r="AP937" s="6" t="n">
        <v>0.132444777869451</v>
      </c>
      <c r="AQ937" s="6" t="n">
        <v>0</v>
      </c>
      <c r="AR937" s="6" t="n">
        <v>0</v>
      </c>
    </row>
    <row r="938" customFormat="false" ht="15" hidden="false" customHeight="false" outlineLevel="0" collapsed="false">
      <c r="D938" s="0" t="s">
        <v>1064</v>
      </c>
      <c r="J938" s="6" t="n">
        <v>-1.77438985172188</v>
      </c>
      <c r="K938" s="6" t="n">
        <v>3.10094879213244</v>
      </c>
      <c r="L938" s="6" t="n">
        <v>1.15452209774751</v>
      </c>
      <c r="M938" s="6" t="n">
        <v>1.60397433443669</v>
      </c>
      <c r="N938" s="6" t="n">
        <v>0.651934459227053</v>
      </c>
      <c r="O938" s="6" t="n">
        <v>-4.38063921274349</v>
      </c>
      <c r="P938" s="6" t="n">
        <v>0.333516088302375</v>
      </c>
      <c r="Q938" s="6" t="n">
        <v>-0.316257687321062</v>
      </c>
      <c r="R938" s="6" t="n">
        <v>-4.12402318488056</v>
      </c>
      <c r="S938" s="6" t="n">
        <v>-1.77388537692346</v>
      </c>
      <c r="T938" s="6" t="n">
        <v>2.21251420095352</v>
      </c>
      <c r="U938" s="6" t="n">
        <v>0.76444958898351</v>
      </c>
      <c r="V938" s="6" t="n">
        <v>0.0638850722483361</v>
      </c>
      <c r="W938" s="6" t="n">
        <v>3.11462088579475</v>
      </c>
      <c r="X938" s="6" t="n">
        <v>-1.82186826057066</v>
      </c>
      <c r="Y938" s="6" t="n">
        <v>0.37807794971407</v>
      </c>
      <c r="Z938" s="6" t="n">
        <v>1.66022833993932</v>
      </c>
      <c r="AA938" s="6" t="n">
        <v>3.1903623213531</v>
      </c>
      <c r="AB938" s="6" t="n">
        <v>-0.254880370923062</v>
      </c>
      <c r="AC938" s="6" t="n">
        <v>0.096998664566226</v>
      </c>
      <c r="AD938" s="6" t="n">
        <v>1.45324633835945</v>
      </c>
      <c r="AE938" s="6" t="n">
        <v>-2.14755282070801</v>
      </c>
      <c r="AF938" s="6" t="n">
        <v>1.53201596262119</v>
      </c>
      <c r="AG938" s="6" t="n">
        <v>0.152748636181119</v>
      </c>
      <c r="AH938" s="6" t="n">
        <v>2.60247401431727</v>
      </c>
      <c r="AI938" s="6" t="n">
        <v>1.74101851324219</v>
      </c>
      <c r="AJ938" s="6" t="n">
        <v>59.1328216906966</v>
      </c>
      <c r="AK938" s="6" t="n">
        <v>0.0683202911171008</v>
      </c>
      <c r="AL938" s="6" t="n">
        <v>1.0696711881868</v>
      </c>
      <c r="AN938" s="6" t="n">
        <v>1.27535994372934</v>
      </c>
      <c r="AO938" s="6" t="n">
        <v>1.28110211099815</v>
      </c>
      <c r="AP938" s="6" t="n">
        <v>0.132654315186439</v>
      </c>
      <c r="AQ938" s="6" t="n">
        <v>0</v>
      </c>
      <c r="AR938" s="6" t="n">
        <v>0</v>
      </c>
    </row>
    <row r="939" customFormat="false" ht="15" hidden="false" customHeight="false" outlineLevel="0" collapsed="false">
      <c r="D939" s="0" t="s">
        <v>1065</v>
      </c>
      <c r="J939" s="6" t="n">
        <v>-0.819490884312074</v>
      </c>
      <c r="K939" s="6" t="n">
        <v>1.88301721443555</v>
      </c>
      <c r="L939" s="6" t="n">
        <v>0.428398069870624</v>
      </c>
      <c r="M939" s="6" t="n">
        <v>2.00367042560581</v>
      </c>
      <c r="N939" s="6" t="n">
        <v>-0.127127130235429</v>
      </c>
      <c r="O939" s="6" t="n">
        <v>-0.627478626800089</v>
      </c>
      <c r="P939" s="6" t="n">
        <v>1.65302996383766</v>
      </c>
      <c r="Q939" s="6" t="n">
        <v>-1.90005523329729</v>
      </c>
      <c r="R939" s="6" t="n">
        <v>-3.49459512208578</v>
      </c>
      <c r="S939" s="6" t="n">
        <v>0.122157600414225</v>
      </c>
      <c r="T939" s="6" t="n">
        <v>0.454933730188413</v>
      </c>
      <c r="U939" s="6" t="n">
        <v>2.16494401591519</v>
      </c>
      <c r="V939" s="6" t="n">
        <v>0.589272318494964</v>
      </c>
      <c r="W939" s="6" t="n">
        <v>1.83856246440757</v>
      </c>
      <c r="X939" s="6" t="n">
        <v>1.23581366383023</v>
      </c>
      <c r="Y939" s="6" t="n">
        <v>-2.30533785307427</v>
      </c>
      <c r="Z939" s="6" t="n">
        <v>4.06460595952316</v>
      </c>
      <c r="AA939" s="6" t="n">
        <v>3.32401641848647</v>
      </c>
      <c r="AB939" s="6" t="n">
        <v>1.13479056142344</v>
      </c>
      <c r="AC939" s="6" t="n">
        <v>1.31896230744997</v>
      </c>
      <c r="AD939" s="6" t="n">
        <v>-0.821373896214961</v>
      </c>
      <c r="AE939" s="6" t="n">
        <v>-0.258796562327922</v>
      </c>
      <c r="AF939" s="6" t="n">
        <v>2.39891208996131</v>
      </c>
      <c r="AG939" s="6" t="n">
        <v>-4.83755613764429</v>
      </c>
      <c r="AH939" s="6" t="n">
        <v>1.92595761390311</v>
      </c>
      <c r="AI939" s="6" t="n">
        <v>-3.07934121618588</v>
      </c>
      <c r="AJ939" s="6" t="n">
        <v>67.0546521727603</v>
      </c>
      <c r="AK939" s="6" t="n">
        <v>0.0954408667814303</v>
      </c>
      <c r="AL939" s="6" t="n">
        <v>1.01399723812458</v>
      </c>
      <c r="AN939" s="6" t="n">
        <v>1.31067623653351</v>
      </c>
      <c r="AO939" s="6" t="n">
        <v>1.31067623653351</v>
      </c>
      <c r="AP939" s="6" t="n">
        <v>0.137857020683771</v>
      </c>
      <c r="AQ939" s="6" t="n">
        <v>0</v>
      </c>
      <c r="AR939" s="6" t="n">
        <v>0</v>
      </c>
    </row>
    <row r="940" customFormat="false" ht="15" hidden="false" customHeight="false" outlineLevel="0" collapsed="false">
      <c r="D940" s="0" t="s">
        <v>1066</v>
      </c>
      <c r="J940" s="6" t="n">
        <v>2.88556281693486</v>
      </c>
      <c r="K940" s="6" t="n">
        <v>0.629843664877621</v>
      </c>
      <c r="L940" s="6" t="n">
        <v>-0.601347061051728</v>
      </c>
      <c r="M940" s="6" t="n">
        <v>1.68501323163724</v>
      </c>
      <c r="N940" s="6" t="n">
        <v>-1.47110949593374</v>
      </c>
      <c r="O940" s="6" t="n">
        <v>2.36741620017643</v>
      </c>
      <c r="P940" s="6" t="n">
        <v>-3.93109092737521</v>
      </c>
      <c r="Q940" s="6" t="n">
        <v>0.0197067978360206</v>
      </c>
      <c r="R940" s="6" t="n">
        <v>1.24606782418634</v>
      </c>
      <c r="S940" s="6" t="n">
        <v>-1.04431529949679</v>
      </c>
      <c r="T940" s="6" t="n">
        <v>-4.48339739575522</v>
      </c>
      <c r="U940" s="6" t="n">
        <v>0.578219550885285</v>
      </c>
      <c r="V940" s="6" t="n">
        <v>0.461897637330749</v>
      </c>
      <c r="W940" s="6" t="n">
        <v>-0.732370057019285</v>
      </c>
      <c r="X940" s="6" t="n">
        <v>-0.820570286333465</v>
      </c>
      <c r="Y940" s="6" t="n">
        <v>-4.14336358261541</v>
      </c>
      <c r="Z940" s="6" t="n">
        <v>4.09499214346507</v>
      </c>
      <c r="AA940" s="6" t="n">
        <v>-1.24920027989614</v>
      </c>
      <c r="AB940" s="6" t="n">
        <v>0.58460703147527</v>
      </c>
      <c r="AC940" s="6" t="n">
        <v>-0.409159097174297</v>
      </c>
      <c r="AD940" s="6" t="n">
        <v>0.104687207737986</v>
      </c>
      <c r="AE940" s="6" t="n">
        <v>-2.22168918663128</v>
      </c>
      <c r="AF940" s="6" t="n">
        <v>1.71150015867341</v>
      </c>
      <c r="AG940" s="6" t="n">
        <v>-0.300989184315016</v>
      </c>
      <c r="AH940" s="6" t="n">
        <v>1.90235274922029</v>
      </c>
      <c r="AI940" s="6" t="n">
        <v>1.66706244670511</v>
      </c>
      <c r="AJ940" s="6" t="n">
        <v>71.4363779108217</v>
      </c>
      <c r="AK940" s="6" t="n">
        <v>0.0783833971453213</v>
      </c>
      <c r="AL940" s="6" t="n">
        <v>1.05246882510732</v>
      </c>
      <c r="AN940" s="6" t="n">
        <v>1.29746805254404</v>
      </c>
      <c r="AO940" s="6" t="n">
        <v>1.29856936182934</v>
      </c>
      <c r="AP940" s="6" t="n">
        <v>0.134741871485348</v>
      </c>
      <c r="AQ940" s="6" t="n">
        <v>0</v>
      </c>
      <c r="AR940" s="6" t="n">
        <v>0</v>
      </c>
    </row>
    <row r="941" customFormat="false" ht="15" hidden="false" customHeight="false" outlineLevel="0" collapsed="false">
      <c r="D941" s="0" t="s">
        <v>1067</v>
      </c>
      <c r="J941" s="6" t="n">
        <v>-3.00014240548805</v>
      </c>
      <c r="K941" s="6" t="n">
        <v>-1.08488169333604</v>
      </c>
      <c r="L941" s="6" t="n">
        <v>-0.624981853009214</v>
      </c>
      <c r="M941" s="6" t="n">
        <v>1.94018310859207</v>
      </c>
      <c r="N941" s="6" t="n">
        <v>-4.27014760107538</v>
      </c>
      <c r="O941" s="6" t="n">
        <v>-0.014932263633602</v>
      </c>
      <c r="P941" s="6" t="n">
        <v>1.21824340025598</v>
      </c>
      <c r="Q941" s="6" t="n">
        <v>0.115990463079054</v>
      </c>
      <c r="R941" s="6" t="n">
        <v>3.22765491923572</v>
      </c>
      <c r="S941" s="6" t="n">
        <v>-0.868900560407283</v>
      </c>
      <c r="T941" s="6" t="n">
        <v>0.741321681492624</v>
      </c>
      <c r="U941" s="6" t="n">
        <v>-1.1602089992096</v>
      </c>
      <c r="V941" s="6" t="n">
        <v>2.04817414341259</v>
      </c>
      <c r="W941" s="6" t="n">
        <v>-1.04542015162254</v>
      </c>
      <c r="X941" s="6" t="n">
        <v>-1.30218872098459</v>
      </c>
      <c r="Y941" s="6" t="n">
        <v>3.14932036155279</v>
      </c>
      <c r="Z941" s="6" t="n">
        <v>2.7551517613738</v>
      </c>
      <c r="AA941" s="6" t="n">
        <v>-1.77863920694566</v>
      </c>
      <c r="AB941" s="6" t="n">
        <v>0.569210829338146</v>
      </c>
      <c r="AC941" s="6" t="n">
        <v>-0.266927481986872</v>
      </c>
      <c r="AD941" s="6" t="n">
        <v>2.71106413211177</v>
      </c>
      <c r="AE941" s="6" t="n">
        <v>0.949384295572411</v>
      </c>
      <c r="AF941" s="6" t="n">
        <v>0.755055248253626</v>
      </c>
      <c r="AG941" s="6" t="n">
        <v>0.975826079904999</v>
      </c>
      <c r="AH941" s="6" t="n">
        <v>-3.77294969833969</v>
      </c>
      <c r="AI941" s="6" t="n">
        <v>2.70563905276206</v>
      </c>
      <c r="AJ941" s="6" t="n">
        <v>79.9887875795161</v>
      </c>
      <c r="AK941" s="6" t="n">
        <v>0.1469166389907</v>
      </c>
      <c r="AL941" s="6" t="n">
        <v>1.04287755581981</v>
      </c>
      <c r="AN941" s="6" t="n">
        <v>1.29947708753162</v>
      </c>
      <c r="AO941" s="6" t="n">
        <v>1.30019176607362</v>
      </c>
      <c r="AP941" s="6" t="n">
        <v>0.134890880616069</v>
      </c>
      <c r="AQ941" s="6" t="n">
        <v>0</v>
      </c>
      <c r="AR941" s="6" t="n">
        <v>0</v>
      </c>
    </row>
    <row r="942" customFormat="false" ht="15" hidden="false" customHeight="false" outlineLevel="0" collapsed="false">
      <c r="D942" s="0" t="s">
        <v>1068</v>
      </c>
      <c r="J942" s="6" t="n">
        <v>1.82987765994438</v>
      </c>
      <c r="K942" s="6" t="n">
        <v>0.374695583706046</v>
      </c>
      <c r="L942" s="6" t="n">
        <v>-0.727800677783888</v>
      </c>
      <c r="M942" s="6" t="n">
        <v>3.96176240956065</v>
      </c>
      <c r="N942" s="6" t="n">
        <v>-0.249534285696423</v>
      </c>
      <c r="O942" s="6" t="n">
        <v>0.98965182396987</v>
      </c>
      <c r="P942" s="6" t="n">
        <v>2.23002818486851</v>
      </c>
      <c r="Q942" s="6" t="n">
        <v>-0.791935058226832</v>
      </c>
      <c r="R942" s="6" t="n">
        <v>-0.0582690781030671</v>
      </c>
      <c r="S942" s="6" t="n">
        <v>-1.34848073813961</v>
      </c>
      <c r="T942" s="6" t="n">
        <v>-1.18726070657687</v>
      </c>
      <c r="U942" s="6" t="n">
        <v>0.381558191961079</v>
      </c>
      <c r="V942" s="6" t="n">
        <v>2.53227921363152</v>
      </c>
      <c r="W942" s="6" t="n">
        <v>0.646258186161848</v>
      </c>
      <c r="X942" s="6" t="n">
        <v>-3.95243545870423</v>
      </c>
      <c r="Y942" s="6" t="n">
        <v>2.23514615681132</v>
      </c>
      <c r="Z942" s="6" t="n">
        <v>-2.34878698281675</v>
      </c>
      <c r="AA942" s="6" t="n">
        <v>0.901487134826852</v>
      </c>
      <c r="AB942" s="6" t="n">
        <v>-0.538974124522542</v>
      </c>
      <c r="AC942" s="6" t="n">
        <v>-3.11834103198386</v>
      </c>
      <c r="AD942" s="6" t="n">
        <v>-0.332423106903634</v>
      </c>
      <c r="AE942" s="6" t="n">
        <v>-0.659119136135309</v>
      </c>
      <c r="AF942" s="6" t="n">
        <v>2.26998264114953</v>
      </c>
      <c r="AG942" s="6" t="n">
        <v>-2.01496085441542</v>
      </c>
      <c r="AH942" s="6" t="n">
        <v>-0.183539159090198</v>
      </c>
      <c r="AI942" s="6" t="n">
        <v>-1.87407745592324</v>
      </c>
      <c r="AJ942" s="6" t="n">
        <v>81.8023842968785</v>
      </c>
      <c r="AK942" s="6" t="n">
        <v>0.113271127460844</v>
      </c>
      <c r="AL942" s="6" t="n">
        <v>1.06100271418566</v>
      </c>
      <c r="AN942" s="6" t="n">
        <v>1.29450554167923</v>
      </c>
      <c r="AO942" s="6" t="n">
        <v>1.29535400688949</v>
      </c>
      <c r="AP942" s="6" t="n">
        <v>0.133877504212625</v>
      </c>
      <c r="AQ942" s="6" t="n">
        <v>0</v>
      </c>
      <c r="AR942" s="6" t="n">
        <v>0</v>
      </c>
    </row>
    <row r="943" customFormat="false" ht="15" hidden="false" customHeight="false" outlineLevel="0" collapsed="false">
      <c r="D943" s="0" t="s">
        <v>1069</v>
      </c>
      <c r="J943" s="6" t="n">
        <v>0.20580918135276</v>
      </c>
      <c r="K943" s="6" t="n">
        <v>2.35481944917361</v>
      </c>
      <c r="L943" s="6" t="n">
        <v>0.634762805269743</v>
      </c>
      <c r="M943" s="6" t="n">
        <v>-0.672313833984268</v>
      </c>
      <c r="N943" s="6" t="n">
        <v>-1.20591141738458</v>
      </c>
      <c r="O943" s="6" t="n">
        <v>1.35716864109523</v>
      </c>
      <c r="P943" s="6" t="n">
        <v>0.507758441951519</v>
      </c>
      <c r="Q943" s="6" t="n">
        <v>-0.722968179925654</v>
      </c>
      <c r="R943" s="6" t="n">
        <v>0.19005601957669</v>
      </c>
      <c r="S943" s="6" t="n">
        <v>-5.27674863352649</v>
      </c>
      <c r="T943" s="6" t="n">
        <v>-1.23946524978747</v>
      </c>
      <c r="U943" s="6" t="n">
        <v>2.1708371280742</v>
      </c>
      <c r="V943" s="6" t="n">
        <v>-0.913312220654558</v>
      </c>
      <c r="W943" s="6" t="n">
        <v>-2.43107990111576</v>
      </c>
      <c r="X943" s="6" t="n">
        <v>-1.64565843593888</v>
      </c>
      <c r="Y943" s="6" t="n">
        <v>2.1221226418181</v>
      </c>
      <c r="Z943" s="6" t="n">
        <v>-2.93024459681324</v>
      </c>
      <c r="AA943" s="6" t="n">
        <v>-1.1265778840652</v>
      </c>
      <c r="AB943" s="6" t="n">
        <v>2.97073301451958</v>
      </c>
      <c r="AC943" s="6" t="n">
        <v>-0.807122023816237</v>
      </c>
      <c r="AD943" s="6" t="n">
        <v>-2.21350743927674</v>
      </c>
      <c r="AE943" s="6" t="n">
        <v>3.08226642773396</v>
      </c>
      <c r="AF943" s="6" t="n">
        <v>3.21604606951017</v>
      </c>
      <c r="AG943" s="6" t="n">
        <v>-0.225314810527107</v>
      </c>
      <c r="AH943" s="6" t="n">
        <v>1.38070968660584</v>
      </c>
      <c r="AI943" s="6" t="n">
        <v>5</v>
      </c>
      <c r="AJ943" s="6" t="n">
        <v>60.7551561769469</v>
      </c>
      <c r="AK943" s="6" t="n">
        <v>0.116316582404785</v>
      </c>
      <c r="AL943" s="6" t="n">
        <v>1.04488787904056</v>
      </c>
      <c r="AN943" s="6" t="n">
        <v>1.29167561574774</v>
      </c>
      <c r="AO943" s="6" t="n">
        <v>1.29177913817235</v>
      </c>
      <c r="AP943" s="6" t="n">
        <v>0.133612552965633</v>
      </c>
      <c r="AQ943" s="6" t="n">
        <v>0</v>
      </c>
      <c r="AR943" s="6" t="n">
        <v>0</v>
      </c>
    </row>
    <row r="944" customFormat="false" ht="15" hidden="false" customHeight="false" outlineLevel="0" collapsed="false">
      <c r="D944" s="0" t="s">
        <v>1070</v>
      </c>
      <c r="J944" s="6" t="n">
        <v>-2.74975784560324</v>
      </c>
      <c r="K944" s="6" t="n">
        <v>-0.657934417092873</v>
      </c>
      <c r="L944" s="6" t="n">
        <v>-1.75973925639488</v>
      </c>
      <c r="M944" s="6" t="n">
        <v>-1.40068690603647</v>
      </c>
      <c r="N944" s="6" t="n">
        <v>0.40167400386008</v>
      </c>
      <c r="O944" s="6" t="n">
        <v>3.90228644093306</v>
      </c>
      <c r="P944" s="6" t="n">
        <v>1.9971743037024</v>
      </c>
      <c r="Q944" s="6" t="n">
        <v>-2.13502348593985</v>
      </c>
      <c r="R944" s="6" t="n">
        <v>-0.430733839291607</v>
      </c>
      <c r="S944" s="6" t="n">
        <v>0.46021005612935</v>
      </c>
      <c r="T944" s="6" t="n">
        <v>2.85842269167276</v>
      </c>
      <c r="U944" s="6" t="n">
        <v>-2.69564969772495</v>
      </c>
      <c r="V944" s="6" t="n">
        <v>-1.76625933968456</v>
      </c>
      <c r="W944" s="6" t="n">
        <v>0.20382304689236</v>
      </c>
      <c r="X944" s="6" t="n">
        <v>0.822426898438243</v>
      </c>
      <c r="Y944" s="6" t="n">
        <v>-1.73015492838502</v>
      </c>
      <c r="Z944" s="6" t="n">
        <v>2.23222410052376</v>
      </c>
      <c r="AA944" s="6" t="n">
        <v>-0.946463130628337</v>
      </c>
      <c r="AB944" s="6" t="n">
        <v>-0.597525168415762</v>
      </c>
      <c r="AC944" s="6" t="n">
        <v>-1.31117425764811</v>
      </c>
      <c r="AD944" s="6" t="n">
        <v>-3.55652430462716</v>
      </c>
      <c r="AE944" s="6" t="n">
        <v>0.842878983137526</v>
      </c>
      <c r="AF944" s="6" t="n">
        <v>0.609161960121238</v>
      </c>
      <c r="AG944" s="6" t="n">
        <v>-4.85585035819675</v>
      </c>
      <c r="AH944" s="6" t="n">
        <v>-2.75483429055115</v>
      </c>
      <c r="AI944" s="6" t="n">
        <v>1.45863878498479</v>
      </c>
      <c r="AJ944" s="6" t="n">
        <v>80.6739599519552</v>
      </c>
      <c r="AK944" s="6" t="n">
        <v>0.12644628231892</v>
      </c>
      <c r="AL944" s="6" t="n">
        <v>1.04242117495019</v>
      </c>
      <c r="AN944" s="6" t="n">
        <v>1.30331666513839</v>
      </c>
      <c r="AO944" s="6" t="n">
        <v>1.30344770440727</v>
      </c>
      <c r="AP944" s="6" t="n">
        <v>0.13495754045281</v>
      </c>
      <c r="AQ944" s="6" t="n">
        <v>0</v>
      </c>
      <c r="AR944" s="6" t="n">
        <v>0</v>
      </c>
    </row>
    <row r="945" customFormat="false" ht="15" hidden="false" customHeight="false" outlineLevel="0" collapsed="false">
      <c r="D945" s="0" t="s">
        <v>1071</v>
      </c>
      <c r="J945" s="6" t="n">
        <v>0.211814483826805</v>
      </c>
      <c r="K945" s="6" t="n">
        <v>0.756530250743334</v>
      </c>
      <c r="L945" s="6" t="n">
        <v>0.0570430679980614</v>
      </c>
      <c r="M945" s="6" t="n">
        <v>3.07391732029277</v>
      </c>
      <c r="N945" s="6" t="n">
        <v>-1.93419216690333</v>
      </c>
      <c r="O945" s="6" t="n">
        <v>1.56124987239279</v>
      </c>
      <c r="P945" s="6" t="n">
        <v>-0.930346194866427</v>
      </c>
      <c r="Q945" s="6" t="n">
        <v>1.12019510792562</v>
      </c>
      <c r="R945" s="6" t="n">
        <v>-0.165297403281909</v>
      </c>
      <c r="S945" s="6" t="n">
        <v>-3.75834313270984</v>
      </c>
      <c r="T945" s="6" t="n">
        <v>-0.614218458857309</v>
      </c>
      <c r="U945" s="6" t="n">
        <v>-1.55081022352369</v>
      </c>
      <c r="V945" s="6" t="n">
        <v>3.03642844180393</v>
      </c>
      <c r="W945" s="6" t="n">
        <v>2.98878291128099</v>
      </c>
      <c r="X945" s="6" t="n">
        <v>1.02712371275068</v>
      </c>
      <c r="Y945" s="6" t="n">
        <v>0.335691271702188</v>
      </c>
      <c r="Z945" s="6" t="n">
        <v>-1.94534735517863</v>
      </c>
      <c r="AA945" s="6" t="n">
        <v>1.17926093831414</v>
      </c>
      <c r="AB945" s="6" t="n">
        <v>0.0503292407492524</v>
      </c>
      <c r="AC945" s="6" t="n">
        <v>-1.09916961764504</v>
      </c>
      <c r="AD945" s="6" t="n">
        <v>-1.02827204549732</v>
      </c>
      <c r="AE945" s="6" t="n">
        <v>1.27351110220367</v>
      </c>
      <c r="AF945" s="6" t="n">
        <v>0.462898159227461</v>
      </c>
      <c r="AG945" s="6" t="n">
        <v>0.952269462301162</v>
      </c>
      <c r="AH945" s="6" t="n">
        <v>3.42764510404786</v>
      </c>
      <c r="AI945" s="6" t="n">
        <v>0.931534797991445</v>
      </c>
      <c r="AJ945" s="6" t="n">
        <v>75.0897783700193</v>
      </c>
      <c r="AK945" s="6" t="n">
        <v>0.146071906215163</v>
      </c>
      <c r="AL945" s="6" t="n">
        <v>1.05950286525175</v>
      </c>
      <c r="AN945" s="6" t="n">
        <v>1.28896232745568</v>
      </c>
      <c r="AO945" s="6" t="n">
        <v>1.28905657485605</v>
      </c>
      <c r="AP945" s="6" t="n">
        <v>0.132863644538014</v>
      </c>
      <c r="AQ945" s="6" t="n">
        <v>0</v>
      </c>
      <c r="AR945" s="6" t="n">
        <v>0</v>
      </c>
    </row>
    <row r="946" customFormat="false" ht="15" hidden="false" customHeight="false" outlineLevel="0" collapsed="false">
      <c r="D946" s="0" t="s">
        <v>1072</v>
      </c>
      <c r="J946" s="6" t="n">
        <v>0.324080359399351</v>
      </c>
      <c r="K946" s="6" t="n">
        <v>3.67929620955558</v>
      </c>
      <c r="L946" s="6" t="n">
        <v>1.11369374542814</v>
      </c>
      <c r="M946" s="6" t="n">
        <v>-2.4184795066091</v>
      </c>
      <c r="N946" s="6" t="n">
        <v>-0.422065649492504</v>
      </c>
      <c r="O946" s="6" t="n">
        <v>-0.458934344171731</v>
      </c>
      <c r="P946" s="6" t="n">
        <v>2.36245213679651</v>
      </c>
      <c r="Q946" s="6" t="n">
        <v>2.38753134759474</v>
      </c>
      <c r="R946" s="6" t="n">
        <v>4.53354640925831</v>
      </c>
      <c r="S946" s="6" t="n">
        <v>4.21100307398844</v>
      </c>
      <c r="T946" s="6" t="n">
        <v>0.356150892327856</v>
      </c>
      <c r="U946" s="6" t="n">
        <v>0.786385713412464</v>
      </c>
      <c r="V946" s="6" t="n">
        <v>0.52567066372293</v>
      </c>
      <c r="W946" s="6" t="n">
        <v>1.53353419082731</v>
      </c>
      <c r="X946" s="6" t="n">
        <v>2.39126496925967</v>
      </c>
      <c r="Y946" s="6" t="n">
        <v>0.526989536072186</v>
      </c>
      <c r="Z946" s="6" t="n">
        <v>3.84611475899589</v>
      </c>
      <c r="AA946" s="6" t="n">
        <v>-1.90349373917765</v>
      </c>
      <c r="AB946" s="6" t="n">
        <v>1.76489758308534</v>
      </c>
      <c r="AC946" s="6" t="n">
        <v>-0.777111851130603</v>
      </c>
      <c r="AD946" s="6" t="n">
        <v>-1.36880672950572</v>
      </c>
      <c r="AE946" s="6" t="n">
        <v>0.207719545278219</v>
      </c>
      <c r="AF946" s="6" t="n">
        <v>-1.3159785399749</v>
      </c>
      <c r="AG946" s="6" t="n">
        <v>-3.25904656402489</v>
      </c>
      <c r="AH946" s="6" t="n">
        <v>3.06759745606027</v>
      </c>
      <c r="AI946" s="6" t="n">
        <v>-0.269090835237949</v>
      </c>
      <c r="AJ946" s="6" t="n">
        <v>69.7235109998106</v>
      </c>
      <c r="AK946" s="6" t="n">
        <v>0.126197351162663</v>
      </c>
      <c r="AL946" s="6" t="n">
        <v>1.00652319620117</v>
      </c>
      <c r="AN946" s="6" t="n">
        <v>1.3115544954338</v>
      </c>
      <c r="AO946" s="6" t="n">
        <v>1.3115544954338</v>
      </c>
      <c r="AP946" s="6" t="n">
        <v>0.138918831120507</v>
      </c>
      <c r="AQ946" s="6" t="n">
        <v>0</v>
      </c>
      <c r="AR946" s="6" t="n">
        <v>0</v>
      </c>
    </row>
    <row r="947" customFormat="false" ht="15" hidden="false" customHeight="false" outlineLevel="0" collapsed="false">
      <c r="D947" s="0" t="s">
        <v>1073</v>
      </c>
      <c r="J947" s="6" t="n">
        <v>3.282434539072</v>
      </c>
      <c r="K947" s="6" t="n">
        <v>-0.27139154321986</v>
      </c>
      <c r="L947" s="6" t="n">
        <v>-0.461140505096188</v>
      </c>
      <c r="M947" s="6" t="n">
        <v>-0.307845915945398</v>
      </c>
      <c r="N947" s="6" t="n">
        <v>0.36506184747534</v>
      </c>
      <c r="O947" s="6" t="n">
        <v>0.855315154172641</v>
      </c>
      <c r="P947" s="6" t="n">
        <v>-1.30035076339533</v>
      </c>
      <c r="Q947" s="6" t="n">
        <v>-1.34289189356107</v>
      </c>
      <c r="R947" s="6" t="n">
        <v>-0.651771449283689</v>
      </c>
      <c r="S947" s="6" t="n">
        <v>-1.8041130140216</v>
      </c>
      <c r="T947" s="6" t="n">
        <v>-5.09544904692919</v>
      </c>
      <c r="U947" s="6" t="n">
        <v>0.113383332903524</v>
      </c>
      <c r="V947" s="6" t="n">
        <v>0.88200745414508</v>
      </c>
      <c r="W947" s="6" t="n">
        <v>2.747287736641</v>
      </c>
      <c r="X947" s="6" t="n">
        <v>-0.576390849476331</v>
      </c>
      <c r="Y947" s="6" t="n">
        <v>4.81597723594069</v>
      </c>
      <c r="Z947" s="6" t="n">
        <v>-0.475365090699486</v>
      </c>
      <c r="AA947" s="6" t="n">
        <v>-1.66775639767962</v>
      </c>
      <c r="AB947" s="6" t="n">
        <v>1.18400118392289</v>
      </c>
      <c r="AC947" s="6" t="n">
        <v>-0.952886515492166</v>
      </c>
      <c r="AD947" s="6" t="n">
        <v>-1.37519864584629</v>
      </c>
      <c r="AE947" s="6" t="n">
        <v>1.99731199059052</v>
      </c>
      <c r="AF947" s="6" t="n">
        <v>1.53886862797856</v>
      </c>
      <c r="AG947" s="6" t="n">
        <v>1.21141541311217</v>
      </c>
      <c r="AH947" s="6" t="n">
        <v>0.823234519690729</v>
      </c>
      <c r="AI947" s="6" t="n">
        <v>0.0974919843982445</v>
      </c>
      <c r="AJ947" s="6" t="n">
        <v>72.4817762185439</v>
      </c>
      <c r="AK947" s="6" t="n">
        <v>0.0661597641709872</v>
      </c>
      <c r="AL947" s="6" t="n">
        <v>0.989585123722292</v>
      </c>
      <c r="AN947" s="6" t="n">
        <v>1.31856409473496</v>
      </c>
      <c r="AO947" s="6" t="n">
        <v>1.31856409473496</v>
      </c>
      <c r="AP947" s="6" t="n">
        <v>0.144010089999045</v>
      </c>
      <c r="AQ947" s="6" t="n">
        <v>0</v>
      </c>
      <c r="AR947" s="6" t="n">
        <v>0</v>
      </c>
    </row>
    <row r="948" customFormat="false" ht="15" hidden="false" customHeight="false" outlineLevel="0" collapsed="false">
      <c r="D948" s="0" t="s">
        <v>1074</v>
      </c>
      <c r="J948" s="6" t="n">
        <v>1.39893362740329</v>
      </c>
      <c r="K948" s="6" t="n">
        <v>0.537378061605612</v>
      </c>
      <c r="L948" s="6" t="n">
        <v>0.455222316746086</v>
      </c>
      <c r="M948" s="6" t="n">
        <v>-3.10465023651844</v>
      </c>
      <c r="N948" s="6" t="n">
        <v>-1.57994373566779</v>
      </c>
      <c r="O948" s="6" t="n">
        <v>-0.988892761754334</v>
      </c>
      <c r="P948" s="6" t="n">
        <v>0.691469648294466</v>
      </c>
      <c r="Q948" s="6" t="n">
        <v>-2.50407883483113</v>
      </c>
      <c r="R948" s="6" t="n">
        <v>1.49203064439059</v>
      </c>
      <c r="S948" s="6" t="n">
        <v>-1.38751276033599</v>
      </c>
      <c r="T948" s="6" t="n">
        <v>1.55141764919765</v>
      </c>
      <c r="U948" s="6" t="n">
        <v>0.269273866216118</v>
      </c>
      <c r="V948" s="6" t="n">
        <v>-2.4354298464048</v>
      </c>
      <c r="W948" s="6" t="n">
        <v>-0.563871345963812</v>
      </c>
      <c r="X948" s="6" t="n">
        <v>-0.131487974762728</v>
      </c>
      <c r="Y948" s="6" t="n">
        <v>-1.37652782561213</v>
      </c>
      <c r="Z948" s="6" t="n">
        <v>-3.71155416414496</v>
      </c>
      <c r="AA948" s="6" t="n">
        <v>1.76858302881785</v>
      </c>
      <c r="AB948" s="6" t="n">
        <v>2.33413989543574</v>
      </c>
      <c r="AC948" s="6" t="n">
        <v>4.07983068626086</v>
      </c>
      <c r="AD948" s="6" t="n">
        <v>1.22426901020987</v>
      </c>
      <c r="AE948" s="6" t="n">
        <v>1.28868477415105</v>
      </c>
      <c r="AF948" s="6" t="n">
        <v>3.69938758249915</v>
      </c>
      <c r="AG948" s="6" t="n">
        <v>-2.6896598134864</v>
      </c>
      <c r="AH948" s="6" t="n">
        <v>-1.49991274014934</v>
      </c>
      <c r="AI948" s="6" t="n">
        <v>-1.04328585655619</v>
      </c>
      <c r="AJ948" s="6" t="n">
        <v>70.4292837992312</v>
      </c>
      <c r="AK948" s="6" t="n">
        <v>0.109668695928526</v>
      </c>
      <c r="AL948" s="6" t="n">
        <v>1.08158256555851</v>
      </c>
      <c r="AN948" s="6" t="n">
        <v>1.28511808477428</v>
      </c>
      <c r="AO948" s="6" t="n">
        <v>1.28567355859323</v>
      </c>
      <c r="AP948" s="6" t="n">
        <v>0.131139445113981</v>
      </c>
      <c r="AQ948" s="6" t="n">
        <v>0</v>
      </c>
      <c r="AR948" s="6" t="n">
        <v>0</v>
      </c>
    </row>
    <row r="949" customFormat="false" ht="15" hidden="false" customHeight="false" outlineLevel="0" collapsed="false">
      <c r="D949" s="0" t="s">
        <v>1075</v>
      </c>
      <c r="J949" s="6" t="n">
        <v>-0.423391618713193</v>
      </c>
      <c r="K949" s="6" t="n">
        <v>1.36319481037199</v>
      </c>
      <c r="L949" s="6" t="n">
        <v>-2.8056112501956</v>
      </c>
      <c r="M949" s="6" t="n">
        <v>1.58615383369607</v>
      </c>
      <c r="N949" s="6" t="n">
        <v>-1.04549544503358</v>
      </c>
      <c r="O949" s="6" t="n">
        <v>1.99417901662287</v>
      </c>
      <c r="P949" s="6" t="n">
        <v>-5.19960417619151</v>
      </c>
      <c r="Q949" s="6" t="n">
        <v>-0.445759059721926</v>
      </c>
      <c r="R949" s="6" t="n">
        <v>0.456962127277461</v>
      </c>
      <c r="S949" s="6" t="n">
        <v>3.13223466878489</v>
      </c>
      <c r="T949" s="6" t="n">
        <v>3.60158319820429</v>
      </c>
      <c r="U949" s="6" t="n">
        <v>-4.54012633923505</v>
      </c>
      <c r="V949" s="6" t="n">
        <v>-0.693342313565373</v>
      </c>
      <c r="W949" s="6" t="n">
        <v>1.77219643297003</v>
      </c>
      <c r="X949" s="6" t="n">
        <v>-1.47594363764107</v>
      </c>
      <c r="Y949" s="6" t="n">
        <v>-1.88607993311788</v>
      </c>
      <c r="Z949" s="6" t="n">
        <v>-0.240368260661297</v>
      </c>
      <c r="AA949" s="6" t="n">
        <v>-0.863272011085704</v>
      </c>
      <c r="AB949" s="6" t="n">
        <v>0.441332415952053</v>
      </c>
      <c r="AC949" s="6" t="n">
        <v>-1.6631331012249</v>
      </c>
      <c r="AD949" s="6" t="n">
        <v>-0.431780383385698</v>
      </c>
      <c r="AE949" s="6" t="n">
        <v>0.197829804232648</v>
      </c>
      <c r="AF949" s="6" t="n">
        <v>2.17438994828491</v>
      </c>
      <c r="AG949" s="6" t="n">
        <v>-2.20433415083497</v>
      </c>
      <c r="AH949" s="6" t="n">
        <v>-2.04979828941633</v>
      </c>
      <c r="AI949" s="6" t="n">
        <v>2.7683432191577</v>
      </c>
      <c r="AJ949" s="6" t="n">
        <v>59.164978455256</v>
      </c>
      <c r="AK949" s="6" t="n">
        <v>0.198372495757533</v>
      </c>
      <c r="AL949" s="6" t="n">
        <v>1.01335829048616</v>
      </c>
      <c r="AN949" s="6" t="n">
        <v>1.2935160659011</v>
      </c>
      <c r="AO949" s="6" t="n">
        <v>1.29696627407738</v>
      </c>
      <c r="AP949" s="6" t="n">
        <v>0.134836387504635</v>
      </c>
      <c r="AQ949" s="6" t="n">
        <v>0</v>
      </c>
      <c r="AR949" s="6" t="n">
        <v>0</v>
      </c>
    </row>
    <row r="950" customFormat="false" ht="15" hidden="false" customHeight="false" outlineLevel="0" collapsed="false">
      <c r="D950" s="0" t="s">
        <v>1076</v>
      </c>
      <c r="J950" s="6" t="n">
        <v>-0.019964982368604</v>
      </c>
      <c r="K950" s="6" t="n">
        <v>0.684829587940364</v>
      </c>
      <c r="L950" s="6" t="n">
        <v>-3.28812331682193</v>
      </c>
      <c r="M950" s="6" t="n">
        <v>0.395115084666803</v>
      </c>
      <c r="N950" s="6" t="n">
        <v>-0.408718313308352</v>
      </c>
      <c r="O950" s="6" t="n">
        <v>1.31902179738852</v>
      </c>
      <c r="P950" s="6" t="n">
        <v>-0.169360004998144</v>
      </c>
      <c r="Q950" s="6" t="n">
        <v>-0.265021237954136</v>
      </c>
      <c r="R950" s="6" t="n">
        <v>4.36886772669228</v>
      </c>
      <c r="S950" s="6" t="n">
        <v>-0.488414006071416</v>
      </c>
      <c r="T950" s="6" t="n">
        <v>0.601499560608067</v>
      </c>
      <c r="U950" s="6" t="n">
        <v>-0.938915144641195</v>
      </c>
      <c r="V950" s="6" t="n">
        <v>3.33196707384523</v>
      </c>
      <c r="W950" s="6" t="n">
        <v>0.0392380169064744</v>
      </c>
      <c r="X950" s="6" t="n">
        <v>-1.79677567146561</v>
      </c>
      <c r="Y950" s="6" t="n">
        <v>0.0944135165227983</v>
      </c>
      <c r="Z950" s="6" t="n">
        <v>-1.05088165618416</v>
      </c>
      <c r="AA950" s="6" t="n">
        <v>-2.32630638467168</v>
      </c>
      <c r="AB950" s="6" t="n">
        <v>-1.24623958678625</v>
      </c>
      <c r="AC950" s="6" t="n">
        <v>1.53753429178382</v>
      </c>
      <c r="AD950" s="6" t="n">
        <v>-1.85684110838868</v>
      </c>
      <c r="AE950" s="6" t="n">
        <v>1.39131992811285</v>
      </c>
      <c r="AF950" s="6" t="n">
        <v>-1.99558365433784</v>
      </c>
      <c r="AG950" s="6" t="n">
        <v>0.41278535777711</v>
      </c>
      <c r="AH950" s="6" t="n">
        <v>-2.62178324515742</v>
      </c>
      <c r="AI950" s="6" t="n">
        <v>-1.48047966671292</v>
      </c>
      <c r="AJ950" s="6" t="n">
        <v>76.7755649110661</v>
      </c>
      <c r="AK950" s="6" t="n">
        <v>0.0841062396201615</v>
      </c>
      <c r="AL950" s="6" t="n">
        <v>1.04780307471998</v>
      </c>
      <c r="AN950" s="6" t="n">
        <v>1.30269631868353</v>
      </c>
      <c r="AO950" s="6" t="n">
        <v>1.30290911696234</v>
      </c>
      <c r="AP950" s="6" t="n">
        <v>0.13573036292718</v>
      </c>
      <c r="AQ950" s="6" t="n">
        <v>0</v>
      </c>
      <c r="AR950" s="6" t="n">
        <v>0</v>
      </c>
    </row>
    <row r="951" customFormat="false" ht="15" hidden="false" customHeight="false" outlineLevel="0" collapsed="false">
      <c r="D951" s="0" t="s">
        <v>1077</v>
      </c>
      <c r="J951" s="6" t="n">
        <v>-0.954575850919017</v>
      </c>
      <c r="K951" s="6" t="n">
        <v>2.59721917773739</v>
      </c>
      <c r="L951" s="6" t="n">
        <v>-2.91977577937962</v>
      </c>
      <c r="M951" s="6" t="n">
        <v>0.380669452206374</v>
      </c>
      <c r="N951" s="6" t="n">
        <v>0.765780967219516</v>
      </c>
      <c r="O951" s="6" t="n">
        <v>-2.92717224101456</v>
      </c>
      <c r="P951" s="6" t="n">
        <v>-1.13310309982212</v>
      </c>
      <c r="Q951" s="6" t="n">
        <v>-1.20420891940049</v>
      </c>
      <c r="R951" s="6" t="n">
        <v>0.653063412453093</v>
      </c>
      <c r="S951" s="6" t="n">
        <v>-3.14375868039934</v>
      </c>
      <c r="T951" s="6" t="n">
        <v>-0.445734557399139</v>
      </c>
      <c r="U951" s="6" t="n">
        <v>3.94671555857888</v>
      </c>
      <c r="V951" s="6" t="n">
        <v>0.193772208697494</v>
      </c>
      <c r="W951" s="6" t="n">
        <v>0.712271179018512</v>
      </c>
      <c r="X951" s="6" t="n">
        <v>1.68913978186128</v>
      </c>
      <c r="Y951" s="6" t="n">
        <v>0.95853116097338</v>
      </c>
      <c r="Z951" s="6" t="n">
        <v>1.33297555162153</v>
      </c>
      <c r="AA951" s="6" t="n">
        <v>1.01198897476613</v>
      </c>
      <c r="AB951" s="6" t="n">
        <v>-0.86954065644738</v>
      </c>
      <c r="AC951" s="6" t="n">
        <v>3.15499099283342</v>
      </c>
      <c r="AD951" s="6" t="n">
        <v>1.73860465726414</v>
      </c>
      <c r="AE951" s="6" t="n">
        <v>1.08378185464939</v>
      </c>
      <c r="AF951" s="6" t="n">
        <v>-0.35858413233322</v>
      </c>
      <c r="AG951" s="6" t="n">
        <v>3.02124465041551</v>
      </c>
      <c r="AH951" s="6" t="n">
        <v>-1.09854010166453</v>
      </c>
      <c r="AI951" s="6" t="n">
        <v>-0.383664816486235</v>
      </c>
      <c r="AJ951" s="6" t="n">
        <v>71.7574371708023</v>
      </c>
      <c r="AK951" s="6" t="n">
        <v>0.18940290090359</v>
      </c>
      <c r="AL951" s="6" t="n">
        <v>1.06790639302529</v>
      </c>
      <c r="AN951" s="6" t="n">
        <v>1.28409167030879</v>
      </c>
      <c r="AO951" s="6" t="n">
        <v>1.28432485822943</v>
      </c>
      <c r="AP951" s="6" t="n">
        <v>0.130902670411852</v>
      </c>
      <c r="AQ951" s="6" t="n">
        <v>0</v>
      </c>
      <c r="AR951" s="6" t="n">
        <v>0</v>
      </c>
    </row>
    <row r="952" customFormat="false" ht="15" hidden="false" customHeight="false" outlineLevel="0" collapsed="false">
      <c r="D952" s="0" t="s">
        <v>1078</v>
      </c>
      <c r="J952" s="6" t="n">
        <v>-0.899939390188222</v>
      </c>
      <c r="K952" s="6" t="n">
        <v>-1.36684719506308</v>
      </c>
      <c r="L952" s="6" t="n">
        <v>1.24215181935034</v>
      </c>
      <c r="M952" s="6" t="n">
        <v>4.09563071158579</v>
      </c>
      <c r="N952" s="6" t="n">
        <v>2.71820622962654</v>
      </c>
      <c r="O952" s="6" t="n">
        <v>1.87548872746697</v>
      </c>
      <c r="P952" s="6" t="n">
        <v>-1.14825973855652</v>
      </c>
      <c r="Q952" s="6" t="n">
        <v>1.75251749183931</v>
      </c>
      <c r="R952" s="6" t="n">
        <v>-0.324392252532302</v>
      </c>
      <c r="S952" s="6" t="n">
        <v>1.75123615666231</v>
      </c>
      <c r="T952" s="6" t="n">
        <v>-0.949602421750763</v>
      </c>
      <c r="U952" s="6" t="n">
        <v>-1.55718317694907</v>
      </c>
      <c r="V952" s="6" t="n">
        <v>0.952350814792018</v>
      </c>
      <c r="W952" s="6" t="n">
        <v>2.08181002709911</v>
      </c>
      <c r="X952" s="6" t="n">
        <v>-1.66939117274673</v>
      </c>
      <c r="Y952" s="6" t="n">
        <v>3.64105089256985</v>
      </c>
      <c r="Z952" s="6" t="n">
        <v>-3.312597176276</v>
      </c>
      <c r="AA952" s="6" t="n">
        <v>3.96659449207499</v>
      </c>
      <c r="AB952" s="6" t="n">
        <v>3.09201340510445</v>
      </c>
      <c r="AC952" s="6" t="n">
        <v>0.125738894829052</v>
      </c>
      <c r="AD952" s="6" t="n">
        <v>-5.43462596281289</v>
      </c>
      <c r="AE952" s="6" t="n">
        <v>1.9736021770206</v>
      </c>
      <c r="AF952" s="6" t="n">
        <v>0.207190225456099</v>
      </c>
      <c r="AG952" s="6" t="n">
        <v>1.751002184143</v>
      </c>
      <c r="AH952" s="6" t="n">
        <v>-4.36595607402168</v>
      </c>
      <c r="AI952" s="6" t="n">
        <v>4.21879370481319</v>
      </c>
      <c r="AJ952" s="6" t="n">
        <v>81.1908385867558</v>
      </c>
      <c r="AK952" s="6" t="n">
        <v>0.152237183271989</v>
      </c>
      <c r="AL952" s="6" t="n">
        <v>1.05555448806496</v>
      </c>
      <c r="AN952" s="6" t="n">
        <v>1.29221009537184</v>
      </c>
      <c r="AO952" s="6" t="n">
        <v>1.29250504538879</v>
      </c>
      <c r="AP952" s="6" t="n">
        <v>0.133432932624102</v>
      </c>
      <c r="AQ952" s="6" t="n">
        <v>0</v>
      </c>
      <c r="AR952" s="6" t="n">
        <v>0</v>
      </c>
    </row>
    <row r="953" customFormat="false" ht="15" hidden="false" customHeight="false" outlineLevel="0" collapsed="false">
      <c r="D953" s="0" t="s">
        <v>1079</v>
      </c>
      <c r="J953" s="6" t="n">
        <v>1.02014506927741</v>
      </c>
      <c r="K953" s="6" t="n">
        <v>-2.24915761524675</v>
      </c>
      <c r="L953" s="6" t="n">
        <v>2.09756777230248</v>
      </c>
      <c r="M953" s="6" t="n">
        <v>2.46485698122915</v>
      </c>
      <c r="N953" s="6" t="n">
        <v>-0.09251024067378</v>
      </c>
      <c r="O953" s="6" t="n">
        <v>3.0711477192155</v>
      </c>
      <c r="P953" s="6" t="n">
        <v>3.69068792150002</v>
      </c>
      <c r="Q953" s="6" t="n">
        <v>-1.65459106703994</v>
      </c>
      <c r="R953" s="6" t="n">
        <v>2.46022310591457</v>
      </c>
      <c r="S953" s="6" t="n">
        <v>2.22141471678923</v>
      </c>
      <c r="T953" s="6" t="n">
        <v>0.376896023980229</v>
      </c>
      <c r="U953" s="6" t="n">
        <v>1.04520471463071</v>
      </c>
      <c r="V953" s="6" t="n">
        <v>0.609520755070947</v>
      </c>
      <c r="W953" s="6" t="n">
        <v>0.021379315183972</v>
      </c>
      <c r="X953" s="6" t="n">
        <v>0.60078625902135</v>
      </c>
      <c r="Y953" s="6" t="n">
        <v>1.19849403461698</v>
      </c>
      <c r="Z953" s="6" t="n">
        <v>-1.986160492876</v>
      </c>
      <c r="AA953" s="6" t="n">
        <v>3.33018430384882</v>
      </c>
      <c r="AB953" s="6" t="n">
        <v>-2.0156723838239</v>
      </c>
      <c r="AC953" s="6" t="n">
        <v>0.913579596323646</v>
      </c>
      <c r="AD953" s="6" t="n">
        <v>-0.0803005102871178</v>
      </c>
      <c r="AE953" s="6" t="n">
        <v>-0.80278855520122</v>
      </c>
      <c r="AF953" s="6" t="n">
        <v>-1.81531759392481</v>
      </c>
      <c r="AG953" s="6" t="n">
        <v>-0.51405202584169</v>
      </c>
      <c r="AH953" s="6" t="n">
        <v>1.35625941120115</v>
      </c>
      <c r="AI953" s="6" t="n">
        <v>-1.56843717622232</v>
      </c>
      <c r="AJ953" s="6" t="n">
        <v>69.9046182852022</v>
      </c>
      <c r="AK953" s="6" t="n">
        <v>0.0792386762644431</v>
      </c>
      <c r="AL953" s="6" t="n">
        <v>1.08863683755576</v>
      </c>
      <c r="AN953" s="6" t="n">
        <v>1.2841914460317</v>
      </c>
      <c r="AO953" s="6" t="n">
        <v>1.28430800740353</v>
      </c>
      <c r="AP953" s="6" t="n">
        <v>0.132046582681297</v>
      </c>
      <c r="AQ953" s="6" t="n">
        <v>0</v>
      </c>
      <c r="AR953" s="6" t="n">
        <v>0</v>
      </c>
    </row>
    <row r="954" customFormat="false" ht="15" hidden="false" customHeight="false" outlineLevel="0" collapsed="false">
      <c r="D954" s="0" t="s">
        <v>1080</v>
      </c>
      <c r="J954" s="6" t="n">
        <v>-0.359720373047174</v>
      </c>
      <c r="K954" s="6" t="n">
        <v>-0.57532303960138</v>
      </c>
      <c r="L954" s="6" t="n">
        <v>-2.94265558268946</v>
      </c>
      <c r="M954" s="6" t="n">
        <v>-4.55051746307917</v>
      </c>
      <c r="N954" s="6" t="n">
        <v>0.433450721959865</v>
      </c>
      <c r="O954" s="6" t="n">
        <v>1.88403943497395</v>
      </c>
      <c r="P954" s="6" t="n">
        <v>0.562797146153192</v>
      </c>
      <c r="Q954" s="6" t="n">
        <v>-2.50968340546126</v>
      </c>
      <c r="R954" s="6" t="n">
        <v>0.904750228306301</v>
      </c>
      <c r="S954" s="6" t="n">
        <v>-4.67584365422776</v>
      </c>
      <c r="T954" s="6" t="n">
        <v>1.25859113282503</v>
      </c>
      <c r="U954" s="6" t="n">
        <v>-3.44909396489623</v>
      </c>
      <c r="V954" s="6" t="n">
        <v>-2.90274102891172</v>
      </c>
      <c r="W954" s="6" t="n">
        <v>-1.27240362568774</v>
      </c>
      <c r="X954" s="6" t="n">
        <v>-0.791687999708204</v>
      </c>
      <c r="Y954" s="6" t="n">
        <v>-1.66221130692862</v>
      </c>
      <c r="Z954" s="6" t="n">
        <v>3.61288268087489</v>
      </c>
      <c r="AA954" s="6" t="n">
        <v>-2.42374625336502</v>
      </c>
      <c r="AB954" s="6" t="n">
        <v>-0.683922223964361</v>
      </c>
      <c r="AC954" s="6" t="n">
        <v>5</v>
      </c>
      <c r="AD954" s="6" t="n">
        <v>1.79810131382042</v>
      </c>
      <c r="AE954" s="6" t="n">
        <v>2.19050719134471</v>
      </c>
      <c r="AF954" s="6" t="n">
        <v>-0.793735266066878</v>
      </c>
      <c r="AG954" s="6" t="n">
        <v>-3.02896629073752</v>
      </c>
      <c r="AH954" s="6" t="n">
        <v>-2.15983845545295</v>
      </c>
      <c r="AI954" s="6" t="n">
        <v>-0.526092649381952</v>
      </c>
      <c r="AJ954" s="6" t="n">
        <v>78.1580461121821</v>
      </c>
      <c r="AK954" s="6" t="n">
        <v>0.0158454031157051</v>
      </c>
      <c r="AL954" s="6" t="n">
        <v>1.06889090516562</v>
      </c>
      <c r="AN954" s="6" t="n">
        <v>1.2958670500804</v>
      </c>
      <c r="AO954" s="6" t="n">
        <v>1.30215904916425</v>
      </c>
      <c r="AP954" s="6" t="n">
        <v>0.134436046928964</v>
      </c>
      <c r="AQ954" s="6" t="n">
        <v>0</v>
      </c>
      <c r="AR954" s="6" t="n">
        <v>0</v>
      </c>
    </row>
    <row r="955" customFormat="false" ht="15" hidden="false" customHeight="false" outlineLevel="0" collapsed="false">
      <c r="D955" s="0" t="s">
        <v>1081</v>
      </c>
      <c r="J955" s="6" t="n">
        <v>2.73429282393972</v>
      </c>
      <c r="K955" s="6" t="n">
        <v>-1.83821370171258</v>
      </c>
      <c r="L955" s="6" t="n">
        <v>2.58520441580969</v>
      </c>
      <c r="M955" s="6" t="n">
        <v>-1.88796784680045</v>
      </c>
      <c r="N955" s="6" t="n">
        <v>2.13836263059872</v>
      </c>
      <c r="O955" s="6" t="n">
        <v>1.12767312116032</v>
      </c>
      <c r="P955" s="6" t="n">
        <v>0.423815669106269</v>
      </c>
      <c r="Q955" s="6" t="n">
        <v>0.564052166345621</v>
      </c>
      <c r="R955" s="6" t="n">
        <v>-0.62848443456425</v>
      </c>
      <c r="S955" s="6" t="n">
        <v>0.772836611092999</v>
      </c>
      <c r="T955" s="6" t="n">
        <v>0.796055204289898</v>
      </c>
      <c r="U955" s="6" t="n">
        <v>0.0582707403669948</v>
      </c>
      <c r="V955" s="6" t="n">
        <v>0.582854702402178</v>
      </c>
      <c r="W955" s="6" t="n">
        <v>2.21427329768453</v>
      </c>
      <c r="X955" s="6" t="n">
        <v>-4.59766136375974</v>
      </c>
      <c r="Y955" s="6" t="n">
        <v>1.26488181992514</v>
      </c>
      <c r="Z955" s="6" t="n">
        <v>1.91897490252799</v>
      </c>
      <c r="AA955" s="6" t="n">
        <v>-1.02960415377695</v>
      </c>
      <c r="AB955" s="6" t="n">
        <v>-2.16479922739646</v>
      </c>
      <c r="AC955" s="6" t="n">
        <v>3.67358492695064</v>
      </c>
      <c r="AD955" s="6" t="n">
        <v>-1.24015901063437</v>
      </c>
      <c r="AE955" s="6" t="n">
        <v>-2.1600076867689</v>
      </c>
      <c r="AF955" s="6" t="n">
        <v>-1.08675264983431</v>
      </c>
      <c r="AG955" s="6" t="n">
        <v>1.93414297555691</v>
      </c>
      <c r="AH955" s="6" t="n">
        <v>0.0409630673344205</v>
      </c>
      <c r="AI955" s="6" t="n">
        <v>1.87429173186142</v>
      </c>
      <c r="AJ955" s="6" t="n">
        <v>80.6918230045721</v>
      </c>
      <c r="AK955" s="6" t="n">
        <v>0.0994644070263176</v>
      </c>
      <c r="AL955" s="6" t="n">
        <v>1.06768366831245</v>
      </c>
      <c r="AN955" s="6" t="n">
        <v>1.29367154646603</v>
      </c>
      <c r="AO955" s="6" t="n">
        <v>1.29415802667303</v>
      </c>
      <c r="AP955" s="6" t="n">
        <v>0.133711900875912</v>
      </c>
      <c r="AQ955" s="6" t="n">
        <v>0</v>
      </c>
      <c r="AR955" s="6" t="n">
        <v>0</v>
      </c>
    </row>
    <row r="956" customFormat="false" ht="15" hidden="false" customHeight="false" outlineLevel="0" collapsed="false">
      <c r="D956" s="0" t="s">
        <v>1082</v>
      </c>
      <c r="J956" s="6" t="n">
        <v>-1.95885260127771</v>
      </c>
      <c r="K956" s="6" t="n">
        <v>-0.712036700648618</v>
      </c>
      <c r="L956" s="6" t="n">
        <v>1.80221674195648</v>
      </c>
      <c r="M956" s="6" t="n">
        <v>2.52440291725347</v>
      </c>
      <c r="N956" s="6" t="n">
        <v>-1.68672336230368</v>
      </c>
      <c r="O956" s="6" t="n">
        <v>-1.79197051698212</v>
      </c>
      <c r="P956" s="6" t="n">
        <v>0.727947651088895</v>
      </c>
      <c r="Q956" s="6" t="n">
        <v>-1.01078045981965</v>
      </c>
      <c r="R956" s="6" t="n">
        <v>1.39093689716012</v>
      </c>
      <c r="S956" s="6" t="n">
        <v>0.723548922916193</v>
      </c>
      <c r="T956" s="6" t="n">
        <v>1.76344324115279</v>
      </c>
      <c r="U956" s="6" t="n">
        <v>2.63406337280345</v>
      </c>
      <c r="V956" s="6" t="n">
        <v>1.99816176183924</v>
      </c>
      <c r="W956" s="6" t="n">
        <v>1.38474776804249</v>
      </c>
      <c r="X956" s="6" t="n">
        <v>-2.42609352145622</v>
      </c>
      <c r="Y956" s="6" t="n">
        <v>1.804487821762</v>
      </c>
      <c r="Z956" s="6" t="n">
        <v>3.05429109583501</v>
      </c>
      <c r="AA956" s="6" t="n">
        <v>1.08204431866413</v>
      </c>
      <c r="AB956" s="6" t="n">
        <v>1.671434682429</v>
      </c>
      <c r="AC956" s="6" t="n">
        <v>0.762160630817369</v>
      </c>
      <c r="AD956" s="6" t="n">
        <v>-3.04821308718471</v>
      </c>
      <c r="AE956" s="6" t="n">
        <v>-1.18888072581613</v>
      </c>
      <c r="AF956" s="6" t="n">
        <v>3.06650367205592</v>
      </c>
      <c r="AG956" s="6" t="n">
        <v>-0.809837778605315</v>
      </c>
      <c r="AH956" s="6" t="n">
        <v>-2.38029028974193</v>
      </c>
      <c r="AI956" s="6" t="n">
        <v>-2.12774147640049</v>
      </c>
      <c r="AJ956" s="6" t="n">
        <v>76.7065502853528</v>
      </c>
      <c r="AK956" s="6" t="n">
        <v>0.174305618735254</v>
      </c>
      <c r="AL956" s="6" t="n">
        <v>1.07824504856344</v>
      </c>
      <c r="AN956" s="6" t="n">
        <v>1.28032732137228</v>
      </c>
      <c r="AO956" s="6" t="n">
        <v>1.28064465074571</v>
      </c>
      <c r="AP956" s="6" t="n">
        <v>0.130711581381331</v>
      </c>
      <c r="AQ956" s="6" t="n">
        <v>0</v>
      </c>
      <c r="AR956" s="6" t="n">
        <v>0</v>
      </c>
    </row>
    <row r="957" customFormat="false" ht="15" hidden="false" customHeight="false" outlineLevel="0" collapsed="false">
      <c r="D957" s="0" t="s">
        <v>1083</v>
      </c>
      <c r="J957" s="6" t="n">
        <v>-1.4900945779929</v>
      </c>
      <c r="K957" s="6" t="n">
        <v>-0.34320472058555</v>
      </c>
      <c r="L957" s="6" t="n">
        <v>2.45120034814227</v>
      </c>
      <c r="M957" s="6" t="n">
        <v>-2.89438611874846</v>
      </c>
      <c r="N957" s="6" t="n">
        <v>-3.34001579717663</v>
      </c>
      <c r="O957" s="6" t="n">
        <v>-4.71362673045005</v>
      </c>
      <c r="P957" s="6" t="n">
        <v>2.1119963032477</v>
      </c>
      <c r="Q957" s="6" t="n">
        <v>-1.5354658090369</v>
      </c>
      <c r="R957" s="6" t="n">
        <v>0.115442839586277</v>
      </c>
      <c r="S957" s="6" t="n">
        <v>-2.38987808846762</v>
      </c>
      <c r="T957" s="6" t="n">
        <v>2.95023167282278</v>
      </c>
      <c r="U957" s="6" t="n">
        <v>-3.7141188498848</v>
      </c>
      <c r="V957" s="6" t="n">
        <v>2.43517549983798</v>
      </c>
      <c r="W957" s="6" t="n">
        <v>-3.37560426770635</v>
      </c>
      <c r="X957" s="6" t="n">
        <v>-1.62072511407386</v>
      </c>
      <c r="Y957" s="6" t="n">
        <v>-0.678818720334421</v>
      </c>
      <c r="Z957" s="6" t="n">
        <v>-3.78539549485348</v>
      </c>
      <c r="AA957" s="6" t="n">
        <v>0.303518378290264</v>
      </c>
      <c r="AB957" s="6" t="n">
        <v>-4.75868768474975</v>
      </c>
      <c r="AC957" s="6" t="n">
        <v>5</v>
      </c>
      <c r="AD957" s="6" t="n">
        <v>-0.122532359553887</v>
      </c>
      <c r="AE957" s="6" t="n">
        <v>0.221092654043293</v>
      </c>
      <c r="AF957" s="6" t="n">
        <v>0.541643072843088</v>
      </c>
      <c r="AG957" s="6" t="n">
        <v>4.44576511650173</v>
      </c>
      <c r="AH957" s="6" t="n">
        <v>0.693827565770582</v>
      </c>
      <c r="AI957" s="6" t="n">
        <v>1.96593365540373</v>
      </c>
      <c r="AJ957" s="6" t="n">
        <v>77.6150734031573</v>
      </c>
      <c r="AK957" s="6" t="n">
        <v>0.102951194148075</v>
      </c>
      <c r="AL957" s="6" t="n">
        <v>0.989065314682847</v>
      </c>
      <c r="AN957" s="6" t="n">
        <v>1.31472871627795</v>
      </c>
      <c r="AO957" s="6" t="n">
        <v>1.32134189137568</v>
      </c>
      <c r="AP957" s="6" t="n">
        <v>0.143342887929811</v>
      </c>
      <c r="AQ957" s="6" t="n">
        <v>0</v>
      </c>
      <c r="AR957" s="6" t="n">
        <v>0</v>
      </c>
    </row>
    <row r="958" customFormat="false" ht="15" hidden="false" customHeight="false" outlineLevel="0" collapsed="false">
      <c r="D958" s="0" t="s">
        <v>1084</v>
      </c>
      <c r="J958" s="6" t="n">
        <v>-0.378309868934452</v>
      </c>
      <c r="K958" s="6" t="n">
        <v>1.24409233315949</v>
      </c>
      <c r="L958" s="6" t="n">
        <v>-0.751127350184437</v>
      </c>
      <c r="M958" s="6" t="n">
        <v>1.9936238551324</v>
      </c>
      <c r="N958" s="6" t="n">
        <v>3.56466712043963</v>
      </c>
      <c r="O958" s="6" t="n">
        <v>0.481360938081312</v>
      </c>
      <c r="P958" s="6" t="n">
        <v>2.59061940669473</v>
      </c>
      <c r="Q958" s="6" t="n">
        <v>1.11660212591733</v>
      </c>
      <c r="R958" s="6" t="n">
        <v>0.533080694879939</v>
      </c>
      <c r="S958" s="6" t="n">
        <v>1.49287179219853</v>
      </c>
      <c r="T958" s="6" t="n">
        <v>-2.99019790620715</v>
      </c>
      <c r="U958" s="6" t="n">
        <v>-4.45322624681748</v>
      </c>
      <c r="V958" s="6" t="n">
        <v>-0.253444460426446</v>
      </c>
      <c r="W958" s="6" t="n">
        <v>-1.79143992426906</v>
      </c>
      <c r="X958" s="6" t="n">
        <v>2.41675051207092</v>
      </c>
      <c r="Y958" s="6" t="n">
        <v>-1.37516193225052</v>
      </c>
      <c r="Z958" s="6" t="n">
        <v>0.409095968030159</v>
      </c>
      <c r="AA958" s="6" t="n">
        <v>-0.463824076237645</v>
      </c>
      <c r="AB958" s="6" t="n">
        <v>-1.91105204445132</v>
      </c>
      <c r="AC958" s="6" t="n">
        <v>-1.27144830435502</v>
      </c>
      <c r="AD958" s="6" t="n">
        <v>-1.219343216103</v>
      </c>
      <c r="AE958" s="6" t="n">
        <v>3.1434344064641</v>
      </c>
      <c r="AF958" s="6" t="n">
        <v>1.03349897688625</v>
      </c>
      <c r="AG958" s="6" t="n">
        <v>-1.48384120961578</v>
      </c>
      <c r="AH958" s="6" t="n">
        <v>1.1107216277258</v>
      </c>
      <c r="AI958" s="6" t="n">
        <v>-1.7222008536319</v>
      </c>
      <c r="AJ958" s="6" t="n">
        <v>78.33602935677</v>
      </c>
      <c r="AK958" s="6" t="n">
        <v>0.124934622486971</v>
      </c>
      <c r="AL958" s="6" t="n">
        <v>1.03446281746844</v>
      </c>
      <c r="AN958" s="6" t="n">
        <v>1.30515935003467</v>
      </c>
      <c r="AO958" s="6" t="n">
        <v>1.30615628494346</v>
      </c>
      <c r="AP958" s="6" t="n">
        <v>0.135891261064693</v>
      </c>
      <c r="AQ958" s="6" t="n">
        <v>0</v>
      </c>
      <c r="AR958" s="6" t="n">
        <v>0</v>
      </c>
    </row>
    <row r="959" customFormat="false" ht="15" hidden="false" customHeight="false" outlineLevel="0" collapsed="false">
      <c r="D959" s="0" t="s">
        <v>1085</v>
      </c>
      <c r="J959" s="6" t="n">
        <v>0.668339571456176</v>
      </c>
      <c r="K959" s="6" t="n">
        <v>-0.471507952675061</v>
      </c>
      <c r="L959" s="6" t="n">
        <v>0.647912476169974</v>
      </c>
      <c r="M959" s="6" t="n">
        <v>-4.12099441890196</v>
      </c>
      <c r="N959" s="6" t="n">
        <v>1.82004673873832</v>
      </c>
      <c r="O959" s="6" t="n">
        <v>-3.77937473395655</v>
      </c>
      <c r="P959" s="6" t="n">
        <v>2.01853658436134</v>
      </c>
      <c r="Q959" s="6" t="n">
        <v>1.44338170277497</v>
      </c>
      <c r="R959" s="6" t="n">
        <v>1.23709093416266</v>
      </c>
      <c r="S959" s="6" t="n">
        <v>-0.124228093823349</v>
      </c>
      <c r="T959" s="6" t="n">
        <v>1.37392476499541</v>
      </c>
      <c r="U959" s="6" t="n">
        <v>-2.55134096360296</v>
      </c>
      <c r="V959" s="6" t="n">
        <v>-0.445510099215107</v>
      </c>
      <c r="W959" s="6" t="n">
        <v>-0.546824755407646</v>
      </c>
      <c r="X959" s="6" t="n">
        <v>-0.0525621281297687</v>
      </c>
      <c r="Y959" s="6" t="n">
        <v>-1.06226633851962</v>
      </c>
      <c r="Z959" s="6" t="n">
        <v>-3.26567894292988</v>
      </c>
      <c r="AA959" s="6" t="n">
        <v>3.83155221917589</v>
      </c>
      <c r="AB959" s="6" t="n">
        <v>0.288154163441906</v>
      </c>
      <c r="AC959" s="6" t="n">
        <v>1.45371233196902</v>
      </c>
      <c r="AD959" s="6" t="n">
        <v>0.324991483301941</v>
      </c>
      <c r="AE959" s="6" t="n">
        <v>-1.78305502805935</v>
      </c>
      <c r="AF959" s="6" t="n">
        <v>-1.53655852293153</v>
      </c>
      <c r="AG959" s="6" t="n">
        <v>-3.58507375938679</v>
      </c>
      <c r="AH959" s="6" t="n">
        <v>-0.89823878192791</v>
      </c>
      <c r="AI959" s="6" t="n">
        <v>-0.719916163780058</v>
      </c>
      <c r="AJ959" s="6" t="n">
        <v>79.4392728924665</v>
      </c>
      <c r="AK959" s="6" t="n">
        <v>0.165372287953059</v>
      </c>
      <c r="AL959" s="6" t="n">
        <v>1.11861074842435</v>
      </c>
      <c r="AN959" s="6" t="n">
        <v>1.26535465342365</v>
      </c>
      <c r="AO959" s="6" t="n">
        <v>1.26642464844655</v>
      </c>
      <c r="AP959" s="6" t="n">
        <v>0.128199622499469</v>
      </c>
      <c r="AQ959" s="6" t="n">
        <v>0</v>
      </c>
      <c r="AR959" s="6" t="n">
        <v>0</v>
      </c>
    </row>
    <row r="960" customFormat="false" ht="15" hidden="false" customHeight="false" outlineLevel="0" collapsed="false">
      <c r="D960" s="0" t="s">
        <v>1086</v>
      </c>
      <c r="J960" s="6" t="n">
        <v>-1.60739486334259</v>
      </c>
      <c r="K960" s="6" t="n">
        <v>-1.08759724759538</v>
      </c>
      <c r="L960" s="6" t="n">
        <v>2.77698868262724</v>
      </c>
      <c r="M960" s="6" t="n">
        <v>2.62743837248902</v>
      </c>
      <c r="N960" s="6" t="n">
        <v>2.39107550292891</v>
      </c>
      <c r="O960" s="6" t="n">
        <v>-0.863550329999429</v>
      </c>
      <c r="P960" s="6" t="n">
        <v>-2.04299066334357</v>
      </c>
      <c r="Q960" s="6" t="n">
        <v>-0.128940008661516</v>
      </c>
      <c r="R960" s="6" t="n">
        <v>-1.39015042613076</v>
      </c>
      <c r="S960" s="6" t="n">
        <v>-0.992764226349247</v>
      </c>
      <c r="T960" s="6" t="n">
        <v>2.13301859979734</v>
      </c>
      <c r="U960" s="6" t="n">
        <v>-0.165959023039975</v>
      </c>
      <c r="V960" s="6" t="n">
        <v>0.395559929235196</v>
      </c>
      <c r="W960" s="6" t="n">
        <v>-3.56417795888513</v>
      </c>
      <c r="X960" s="6" t="n">
        <v>1.00559697070005</v>
      </c>
      <c r="Y960" s="6" t="n">
        <v>0.455307292635619</v>
      </c>
      <c r="Z960" s="6" t="n">
        <v>-2.24450789788349</v>
      </c>
      <c r="AA960" s="6" t="n">
        <v>-1.27494365374634</v>
      </c>
      <c r="AB960" s="6" t="n">
        <v>-3.14110628381404</v>
      </c>
      <c r="AC960" s="6" t="n">
        <v>0.62664580003776</v>
      </c>
      <c r="AD960" s="6" t="n">
        <v>1.85254172058078</v>
      </c>
      <c r="AE960" s="6" t="n">
        <v>-1.77827550300661</v>
      </c>
      <c r="AF960" s="6" t="n">
        <v>2.58778286409533</v>
      </c>
      <c r="AG960" s="6" t="n">
        <v>0.29569454795083</v>
      </c>
      <c r="AH960" s="6" t="n">
        <v>-3.46446703608855</v>
      </c>
      <c r="AI960" s="6" t="n">
        <v>1.83941818920645</v>
      </c>
      <c r="AJ960" s="6" t="n">
        <v>63.6946605342155</v>
      </c>
      <c r="AK960" s="6" t="n">
        <v>0.1182494150812</v>
      </c>
      <c r="AL960" s="6" t="n">
        <v>1.04162495863249</v>
      </c>
      <c r="AN960" s="6" t="n">
        <v>1.29605256728467</v>
      </c>
      <c r="AO960" s="6" t="n">
        <v>1.29707820476501</v>
      </c>
      <c r="AP960" s="6" t="n">
        <v>0.13436344314714</v>
      </c>
      <c r="AQ960" s="6" t="n">
        <v>0</v>
      </c>
      <c r="AR960" s="6" t="n">
        <v>0</v>
      </c>
    </row>
    <row r="961" customFormat="false" ht="15" hidden="false" customHeight="false" outlineLevel="0" collapsed="false">
      <c r="D961" s="0" t="s">
        <v>1087</v>
      </c>
      <c r="J961" s="6" t="n">
        <v>-1.21441602815195</v>
      </c>
      <c r="K961" s="6" t="n">
        <v>0.97043041647609</v>
      </c>
      <c r="L961" s="6" t="n">
        <v>-1.56298797418285</v>
      </c>
      <c r="M961" s="6" t="n">
        <v>0.853298684756391</v>
      </c>
      <c r="N961" s="6" t="n">
        <v>1.52196828988219</v>
      </c>
      <c r="O961" s="6" t="n">
        <v>0.152704556253198</v>
      </c>
      <c r="P961" s="6" t="n">
        <v>1.51835757688909</v>
      </c>
      <c r="Q961" s="6" t="n">
        <v>0.994237219929707</v>
      </c>
      <c r="R961" s="6" t="n">
        <v>-1.42948181458697</v>
      </c>
      <c r="S961" s="6" t="n">
        <v>-0.730000489981579</v>
      </c>
      <c r="T961" s="6" t="n">
        <v>-1.84842011773902</v>
      </c>
      <c r="U961" s="6" t="n">
        <v>-1.08678926100907</v>
      </c>
      <c r="V961" s="6" t="n">
        <v>0.476602446498656</v>
      </c>
      <c r="W961" s="6" t="n">
        <v>3.16104884436829</v>
      </c>
      <c r="X961" s="6" t="n">
        <v>0.313526570727489</v>
      </c>
      <c r="Y961" s="6" t="n">
        <v>2.2927071133291</v>
      </c>
      <c r="Z961" s="6" t="n">
        <v>-1.90774002338702</v>
      </c>
      <c r="AA961" s="6" t="n">
        <v>0.61689194055611</v>
      </c>
      <c r="AB961" s="6" t="n">
        <v>-1.07390169870867</v>
      </c>
      <c r="AC961" s="6" t="n">
        <v>0.349347831405302</v>
      </c>
      <c r="AD961" s="6" t="n">
        <v>-0.634094453815931</v>
      </c>
      <c r="AE961" s="6" t="n">
        <v>1.66636052020125</v>
      </c>
      <c r="AF961" s="6" t="n">
        <v>-3.3665054876197</v>
      </c>
      <c r="AG961" s="6" t="n">
        <v>-1.78176163950808</v>
      </c>
      <c r="AH961" s="6" t="n">
        <v>2.55389261892013</v>
      </c>
      <c r="AI961" s="6" t="n">
        <v>-2.01582618335961</v>
      </c>
      <c r="AJ961" s="6" t="n">
        <v>70.2068132719108</v>
      </c>
      <c r="AK961" s="6" t="n">
        <v>0.0730435058618041</v>
      </c>
      <c r="AL961" s="6" t="n">
        <v>1.07628949299291</v>
      </c>
      <c r="AN961" s="6" t="n">
        <v>1.28951085991949</v>
      </c>
      <c r="AO961" s="6" t="n">
        <v>1.29028494398406</v>
      </c>
      <c r="AP961" s="6" t="n">
        <v>0.133260155149785</v>
      </c>
      <c r="AQ961" s="6" t="n">
        <v>0</v>
      </c>
      <c r="AR961" s="6" t="n">
        <v>0</v>
      </c>
    </row>
    <row r="962" customFormat="false" ht="15" hidden="false" customHeight="false" outlineLevel="0" collapsed="false">
      <c r="D962" s="0" t="s">
        <v>1088</v>
      </c>
      <c r="J962" s="6" t="n">
        <v>2.41578037098334</v>
      </c>
      <c r="K962" s="6" t="n">
        <v>-0.198946081766752</v>
      </c>
      <c r="L962" s="6" t="n">
        <v>2.11706985375264</v>
      </c>
      <c r="M962" s="6" t="n">
        <v>0.274139878994228</v>
      </c>
      <c r="N962" s="6" t="n">
        <v>-1.89575570530438</v>
      </c>
      <c r="O962" s="6" t="n">
        <v>-1.75713250691621</v>
      </c>
      <c r="P962" s="6" t="n">
        <v>-1.1021265619118</v>
      </c>
      <c r="Q962" s="6" t="n">
        <v>-3.47904116369451</v>
      </c>
      <c r="R962" s="6" t="n">
        <v>-2.87284437815208</v>
      </c>
      <c r="S962" s="6" t="n">
        <v>2.86092161364615</v>
      </c>
      <c r="T962" s="6" t="n">
        <v>2.82975517227931</v>
      </c>
      <c r="U962" s="6" t="n">
        <v>1.23557602067945</v>
      </c>
      <c r="V962" s="6" t="n">
        <v>-0.0811907533226148</v>
      </c>
      <c r="W962" s="6" t="n">
        <v>0.464013831819883</v>
      </c>
      <c r="X962" s="6" t="n">
        <v>0.510232716755102</v>
      </c>
      <c r="Y962" s="6" t="n">
        <v>0.771961256601209</v>
      </c>
      <c r="Z962" s="6" t="n">
        <v>1.21292317160366</v>
      </c>
      <c r="AA962" s="6" t="n">
        <v>-2.67487122644721</v>
      </c>
      <c r="AB962" s="6" t="n">
        <v>-2.78240484780532</v>
      </c>
      <c r="AC962" s="6" t="n">
        <v>-0.237875347605705</v>
      </c>
      <c r="AD962" s="6" t="n">
        <v>2.52878761423684</v>
      </c>
      <c r="AE962" s="6" t="n">
        <v>1.85611540790152</v>
      </c>
      <c r="AF962" s="6" t="n">
        <v>0.206384233459652</v>
      </c>
      <c r="AG962" s="6" t="n">
        <v>3.38123889383652</v>
      </c>
      <c r="AH962" s="6" t="n">
        <v>1.9453768346012</v>
      </c>
      <c r="AI962" s="6" t="n">
        <v>-2.14295985744486</v>
      </c>
      <c r="AJ962" s="6" t="n">
        <v>72.3089060593915</v>
      </c>
      <c r="AK962" s="6" t="n">
        <v>0.221569896591512</v>
      </c>
      <c r="AL962" s="6" t="n">
        <v>1.03786609456341</v>
      </c>
      <c r="AN962" s="6" t="n">
        <v>1.29249919805101</v>
      </c>
      <c r="AO962" s="6" t="n">
        <v>1.293457232915</v>
      </c>
      <c r="AP962" s="6" t="n">
        <v>0.132482781769457</v>
      </c>
      <c r="AQ962" s="6" t="n">
        <v>0</v>
      </c>
      <c r="AR962" s="6" t="n">
        <v>0</v>
      </c>
    </row>
    <row r="963" customFormat="false" ht="15" hidden="false" customHeight="false" outlineLevel="0" collapsed="false">
      <c r="D963" s="0" t="s">
        <v>1089</v>
      </c>
      <c r="J963" s="6" t="n">
        <v>1.21206185133505</v>
      </c>
      <c r="K963" s="6" t="n">
        <v>1.99924459447039</v>
      </c>
      <c r="L963" s="6" t="n">
        <v>-1.58626309074886</v>
      </c>
      <c r="M963" s="6" t="n">
        <v>-1.67113785056048</v>
      </c>
      <c r="N963" s="6" t="n">
        <v>-1.99478273020436</v>
      </c>
      <c r="O963" s="6" t="n">
        <v>0.534340611479817</v>
      </c>
      <c r="P963" s="6" t="n">
        <v>2.09545636530823</v>
      </c>
      <c r="Q963" s="6" t="n">
        <v>-2.72764917040216</v>
      </c>
      <c r="R963" s="6" t="n">
        <v>-5.04643041811534</v>
      </c>
      <c r="S963" s="6" t="n">
        <v>0.766142672544881</v>
      </c>
      <c r="T963" s="6" t="n">
        <v>4.26632023717508</v>
      </c>
      <c r="U963" s="6" t="n">
        <v>2.6005959138747</v>
      </c>
      <c r="V963" s="6" t="n">
        <v>3.95955020483694</v>
      </c>
      <c r="W963" s="6" t="n">
        <v>2.61711882022282</v>
      </c>
      <c r="X963" s="6" t="n">
        <v>0.872479109443041</v>
      </c>
      <c r="Y963" s="6" t="n">
        <v>0.764432975088067</v>
      </c>
      <c r="Z963" s="6" t="n">
        <v>-0.00426961302431448</v>
      </c>
      <c r="AA963" s="6" t="n">
        <v>-0.323106929035675</v>
      </c>
      <c r="AB963" s="6" t="n">
        <v>-2.59494125908191</v>
      </c>
      <c r="AC963" s="6" t="n">
        <v>2.6765971426916</v>
      </c>
      <c r="AD963" s="6" t="n">
        <v>-3.0461112927201</v>
      </c>
      <c r="AE963" s="6" t="n">
        <v>-2.03923148081718</v>
      </c>
      <c r="AF963" s="6" t="n">
        <v>2.5435111989751</v>
      </c>
      <c r="AG963" s="6" t="n">
        <v>-1.84580446831329</v>
      </c>
      <c r="AH963" s="6" t="n">
        <v>-0.819196464676731</v>
      </c>
      <c r="AI963" s="6" t="n">
        <v>-3.68550281830052</v>
      </c>
      <c r="AJ963" s="6" t="n">
        <v>64.1641601044065</v>
      </c>
      <c r="AK963" s="6" t="n">
        <v>0.0595648286682261</v>
      </c>
      <c r="AL963" s="6" t="n">
        <v>1.05490716581046</v>
      </c>
      <c r="AN963" s="6" t="n">
        <v>1.29547132676618</v>
      </c>
      <c r="AO963" s="6" t="n">
        <v>1.29604126820531</v>
      </c>
      <c r="AP963" s="6" t="n">
        <v>0.133845424021994</v>
      </c>
      <c r="AQ963" s="6" t="n">
        <v>0</v>
      </c>
      <c r="AR963" s="6" t="n">
        <v>0</v>
      </c>
    </row>
    <row r="964" customFormat="false" ht="15" hidden="false" customHeight="false" outlineLevel="0" collapsed="false">
      <c r="D964" s="0" t="s">
        <v>1090</v>
      </c>
      <c r="J964" s="6" t="n">
        <v>-3.47621152851202</v>
      </c>
      <c r="K964" s="6" t="n">
        <v>-4.28544617490216</v>
      </c>
      <c r="L964" s="6" t="n">
        <v>-1.63165970057934</v>
      </c>
      <c r="M964" s="6" t="n">
        <v>-0.0411638874449879</v>
      </c>
      <c r="N964" s="6" t="n">
        <v>-1.32446195561958</v>
      </c>
      <c r="O964" s="6" t="n">
        <v>-2.34910398540279</v>
      </c>
      <c r="P964" s="6" t="n">
        <v>0.664072634052532</v>
      </c>
      <c r="Q964" s="6" t="n">
        <v>-0.532270756656296</v>
      </c>
      <c r="R964" s="6" t="n">
        <v>-0.182916425085781</v>
      </c>
      <c r="S964" s="6" t="n">
        <v>-2.13204759918571</v>
      </c>
      <c r="T964" s="6" t="n">
        <v>3.77421180516498</v>
      </c>
      <c r="U964" s="6" t="n">
        <v>-0.495008681934874</v>
      </c>
      <c r="V964" s="6" t="n">
        <v>-2.13827797633244</v>
      </c>
      <c r="W964" s="6" t="n">
        <v>2.67809475608051</v>
      </c>
      <c r="X964" s="6" t="n">
        <v>-0.334272922753092</v>
      </c>
      <c r="Y964" s="6" t="n">
        <v>0.368871085023391</v>
      </c>
      <c r="Z964" s="6" t="n">
        <v>3.58510052185932</v>
      </c>
      <c r="AA964" s="6" t="n">
        <v>-0.761142543636262</v>
      </c>
      <c r="AB964" s="6" t="n">
        <v>4.7482461858182</v>
      </c>
      <c r="AC964" s="6" t="n">
        <v>-2.66094131076144</v>
      </c>
      <c r="AD964" s="6" t="n">
        <v>-0.10936626470517</v>
      </c>
      <c r="AE964" s="6" t="n">
        <v>1.55770546836442</v>
      </c>
      <c r="AF964" s="6" t="n">
        <v>1.14140163012038</v>
      </c>
      <c r="AG964" s="6" t="n">
        <v>1.83945332489435</v>
      </c>
      <c r="AH964" s="6" t="n">
        <v>2.20129331523147</v>
      </c>
      <c r="AI964" s="6" t="n">
        <v>-1.06779484897512</v>
      </c>
      <c r="AJ964" s="6" t="n">
        <v>80.5932480457985</v>
      </c>
      <c r="AK964" s="6" t="n">
        <v>0.0788758724051291</v>
      </c>
      <c r="AL964" s="6" t="n">
        <v>1.01239391591436</v>
      </c>
      <c r="AN964" s="6" t="n">
        <v>1.31867428195272</v>
      </c>
      <c r="AO964" s="6" t="n">
        <v>1.32109710080445</v>
      </c>
      <c r="AP964" s="6" t="n">
        <v>0.140667010381296</v>
      </c>
      <c r="AQ964" s="6" t="n">
        <v>0</v>
      </c>
      <c r="AR964" s="6" t="n">
        <v>0</v>
      </c>
    </row>
    <row r="965" customFormat="false" ht="15" hidden="false" customHeight="false" outlineLevel="0" collapsed="false">
      <c r="D965" s="0" t="s">
        <v>1091</v>
      </c>
      <c r="J965" s="6" t="n">
        <v>0.000393154654926754</v>
      </c>
      <c r="K965" s="6" t="n">
        <v>-0.0185741141524325</v>
      </c>
      <c r="L965" s="6" t="n">
        <v>2.59351975567791</v>
      </c>
      <c r="M965" s="6" t="n">
        <v>-2.90117028209799</v>
      </c>
      <c r="N965" s="6" t="n">
        <v>-1.62464210622692</v>
      </c>
      <c r="O965" s="6" t="n">
        <v>-0.0337091112115915</v>
      </c>
      <c r="P965" s="6" t="n">
        <v>-0.252523496073712</v>
      </c>
      <c r="Q965" s="6" t="n">
        <v>-0.781610409288887</v>
      </c>
      <c r="R965" s="6" t="n">
        <v>-3.13773913813814</v>
      </c>
      <c r="S965" s="6" t="n">
        <v>1.79501010952249</v>
      </c>
      <c r="T965" s="6" t="n">
        <v>1.14147165719717</v>
      </c>
      <c r="U965" s="6" t="n">
        <v>-0.416187908630239</v>
      </c>
      <c r="V965" s="6" t="n">
        <v>-2.81771093227671</v>
      </c>
      <c r="W965" s="6" t="n">
        <v>-1.16595198747244</v>
      </c>
      <c r="X965" s="6" t="n">
        <v>-1.2626570176675</v>
      </c>
      <c r="Y965" s="6" t="n">
        <v>2.65511490937824</v>
      </c>
      <c r="Z965" s="6" t="n">
        <v>2.06670068118649</v>
      </c>
      <c r="AA965" s="6" t="n">
        <v>0.869500259270321</v>
      </c>
      <c r="AB965" s="6" t="n">
        <v>-0.371792863551572</v>
      </c>
      <c r="AC965" s="6" t="n">
        <v>0.302017965536448</v>
      </c>
      <c r="AD965" s="6" t="n">
        <v>-1.34788437052016</v>
      </c>
      <c r="AE965" s="6" t="n">
        <v>-0.246011601573761</v>
      </c>
      <c r="AF965" s="6" t="n">
        <v>-1.77588256120481</v>
      </c>
      <c r="AG965" s="6" t="n">
        <v>-1.40132369050952</v>
      </c>
      <c r="AH965" s="6" t="n">
        <v>0.96718023727585</v>
      </c>
      <c r="AI965" s="6" t="n">
        <v>2.73120737463621</v>
      </c>
      <c r="AJ965" s="6" t="n">
        <v>83.1658687638261</v>
      </c>
      <c r="AK965" s="6" t="n">
        <v>0.0277076374926453</v>
      </c>
      <c r="AL965" s="6" t="n">
        <v>1.06865116426189</v>
      </c>
      <c r="AN965" s="6" t="n">
        <v>1.30568421447487</v>
      </c>
      <c r="AO965" s="6" t="n">
        <v>1.30571126869512</v>
      </c>
      <c r="AP965" s="6" t="n">
        <v>0.135455631838417</v>
      </c>
      <c r="AQ965" s="6" t="n">
        <v>0</v>
      </c>
      <c r="AR965" s="6" t="n">
        <v>0</v>
      </c>
    </row>
    <row r="966" customFormat="false" ht="15" hidden="false" customHeight="false" outlineLevel="0" collapsed="false">
      <c r="D966" s="0" t="s">
        <v>1092</v>
      </c>
      <c r="J966" s="6" t="n">
        <v>0.194102920527493</v>
      </c>
      <c r="K966" s="6" t="n">
        <v>-0.237094510720659</v>
      </c>
      <c r="L966" s="6" t="n">
        <v>-3.25474337197091</v>
      </c>
      <c r="M966" s="6" t="n">
        <v>1.35029705786632</v>
      </c>
      <c r="N966" s="6" t="n">
        <v>1.87884216428317</v>
      </c>
      <c r="O966" s="6" t="n">
        <v>-3.00849831280097</v>
      </c>
      <c r="P966" s="6" t="n">
        <v>1.79482429531467</v>
      </c>
      <c r="Q966" s="6" t="n">
        <v>-0.625013819703047</v>
      </c>
      <c r="R966" s="6" t="n">
        <v>-1.50622065825198</v>
      </c>
      <c r="S966" s="6" t="n">
        <v>-3.050837929226</v>
      </c>
      <c r="T966" s="6" t="n">
        <v>-2.04450064272994</v>
      </c>
      <c r="U966" s="6" t="n">
        <v>0.966007070744686</v>
      </c>
      <c r="V966" s="6" t="n">
        <v>-0.266172133320843</v>
      </c>
      <c r="W966" s="6" t="n">
        <v>2.20853566239652</v>
      </c>
      <c r="X966" s="6" t="n">
        <v>-0.390289606336488</v>
      </c>
      <c r="Y966" s="6" t="n">
        <v>0.66064605349465</v>
      </c>
      <c r="Z966" s="6" t="n">
        <v>1.35357189624422</v>
      </c>
      <c r="AA966" s="6" t="n">
        <v>-1.09812313190023</v>
      </c>
      <c r="AB966" s="6" t="n">
        <v>-0.164881856560255</v>
      </c>
      <c r="AC966" s="6" t="n">
        <v>3.10375006571841</v>
      </c>
      <c r="AD966" s="6" t="n">
        <v>-0.817570198482987</v>
      </c>
      <c r="AE966" s="6" t="n">
        <v>-2.51197077031282</v>
      </c>
      <c r="AF966" s="6" t="n">
        <v>0.805412207320059</v>
      </c>
      <c r="AG966" s="6" t="n">
        <v>-2.5881678921377</v>
      </c>
      <c r="AH966" s="6" t="n">
        <v>-0.100795406489377</v>
      </c>
      <c r="AI966" s="6" t="n">
        <v>-3.2845482344513</v>
      </c>
      <c r="AJ966" s="6" t="n">
        <v>76.5827233732708</v>
      </c>
      <c r="AK966" s="6" t="n">
        <v>0.13820885574784</v>
      </c>
      <c r="AL966" s="6" t="n">
        <v>1.01637123263178</v>
      </c>
      <c r="AN966" s="6" t="n">
        <v>1.31380720003088</v>
      </c>
      <c r="AO966" s="6" t="n">
        <v>1.31380720003088</v>
      </c>
      <c r="AP966" s="6" t="n">
        <v>0.138112504242481</v>
      </c>
      <c r="AQ966" s="6" t="n">
        <v>0</v>
      </c>
      <c r="AR966" s="6" t="n">
        <v>0</v>
      </c>
    </row>
    <row r="967" customFormat="false" ht="15" hidden="false" customHeight="false" outlineLevel="0" collapsed="false">
      <c r="D967" s="0" t="s">
        <v>1093</v>
      </c>
      <c r="J967" s="6" t="n">
        <v>-1.3301690897767</v>
      </c>
      <c r="K967" s="6" t="n">
        <v>0.170341553346979</v>
      </c>
      <c r="L967" s="6" t="n">
        <v>-3.65751712626073</v>
      </c>
      <c r="M967" s="6" t="n">
        <v>-2.72446758037027</v>
      </c>
      <c r="N967" s="6" t="n">
        <v>0.305247124125766</v>
      </c>
      <c r="O967" s="6" t="n">
        <v>0.752602935946183</v>
      </c>
      <c r="P967" s="6" t="n">
        <v>1.18529789909892</v>
      </c>
      <c r="Q967" s="6" t="n">
        <v>-0.564249902664461</v>
      </c>
      <c r="R967" s="6" t="n">
        <v>0.412669853306463</v>
      </c>
      <c r="S967" s="6" t="n">
        <v>0.312515480113027</v>
      </c>
      <c r="T967" s="6" t="n">
        <v>-0.105880751493834</v>
      </c>
      <c r="U967" s="6" t="n">
        <v>2.4960720189924</v>
      </c>
      <c r="V967" s="6" t="n">
        <v>1.24763551091003</v>
      </c>
      <c r="W967" s="6" t="n">
        <v>0.0832135157269989</v>
      </c>
      <c r="X967" s="6" t="n">
        <v>-1.4081355992884</v>
      </c>
      <c r="Y967" s="6" t="n">
        <v>3.61506997276346</v>
      </c>
      <c r="Z967" s="6" t="n">
        <v>-0.749158986832275</v>
      </c>
      <c r="AA967" s="6" t="n">
        <v>2.83527906180838</v>
      </c>
      <c r="AB967" s="6" t="n">
        <v>1.49607300352762</v>
      </c>
      <c r="AC967" s="6" t="n">
        <v>-0.742099583330365</v>
      </c>
      <c r="AD967" s="6" t="n">
        <v>-5.4313519091427</v>
      </c>
      <c r="AE967" s="6" t="n">
        <v>1.71481238991078</v>
      </c>
      <c r="AF967" s="6" t="n">
        <v>0.746534580825122</v>
      </c>
      <c r="AG967" s="6" t="n">
        <v>3.03209677918158</v>
      </c>
      <c r="AH967" s="6" t="n">
        <v>0.379385369984352</v>
      </c>
      <c r="AI967" s="6" t="n">
        <v>-1.11281105506481</v>
      </c>
      <c r="AJ967" s="6" t="n">
        <v>77.3161421367078</v>
      </c>
      <c r="AK967" s="6" t="n">
        <v>0.139444972369758</v>
      </c>
      <c r="AL967" s="6" t="n">
        <v>1.0573127142468</v>
      </c>
      <c r="AN967" s="6" t="n">
        <v>1.29144758926683</v>
      </c>
      <c r="AO967" s="6" t="n">
        <v>1.29222301222489</v>
      </c>
      <c r="AP967" s="6" t="n">
        <v>0.133032871588619</v>
      </c>
      <c r="AQ967" s="6" t="n">
        <v>0</v>
      </c>
      <c r="AR967" s="6" t="n">
        <v>0</v>
      </c>
    </row>
    <row r="968" customFormat="false" ht="15" hidden="false" customHeight="false" outlineLevel="0" collapsed="false">
      <c r="D968" s="0" t="s">
        <v>1094</v>
      </c>
      <c r="J968" s="6" t="n">
        <v>-0.733516367890892</v>
      </c>
      <c r="K968" s="6" t="n">
        <v>0.937322909980219</v>
      </c>
      <c r="L968" s="6" t="n">
        <v>0.0260314292041714</v>
      </c>
      <c r="M968" s="6" t="n">
        <v>-2.77601097205541</v>
      </c>
      <c r="N968" s="6" t="n">
        <v>-2.03178570455888</v>
      </c>
      <c r="O968" s="6" t="n">
        <v>-3.62799082248407</v>
      </c>
      <c r="P968" s="6" t="n">
        <v>2.87189728028058</v>
      </c>
      <c r="Q968" s="6" t="n">
        <v>0.904403133018474</v>
      </c>
      <c r="R968" s="6" t="n">
        <v>-1.09607334833681</v>
      </c>
      <c r="S968" s="6" t="n">
        <v>0.843983131685539</v>
      </c>
      <c r="T968" s="6" t="n">
        <v>0.819901048351528</v>
      </c>
      <c r="U968" s="6" t="n">
        <v>-4.6666354157488</v>
      </c>
      <c r="V968" s="6" t="n">
        <v>-0.635432305118809</v>
      </c>
      <c r="W968" s="6" t="n">
        <v>2.96627277821674</v>
      </c>
      <c r="X968" s="6" t="n">
        <v>0.0639278990198323</v>
      </c>
      <c r="Y968" s="6" t="n">
        <v>-0.953937838247768</v>
      </c>
      <c r="Z968" s="6" t="n">
        <v>-2.686121166817</v>
      </c>
      <c r="AA968" s="6" t="n">
        <v>3.9366028482798</v>
      </c>
      <c r="AB968" s="6" t="n">
        <v>-0.649457350436608</v>
      </c>
      <c r="AC968" s="6" t="n">
        <v>2.04663050012905</v>
      </c>
      <c r="AD968" s="6" t="n">
        <v>-0.877649266357235</v>
      </c>
      <c r="AE968" s="6" t="n">
        <v>-1.21513507640379</v>
      </c>
      <c r="AF968" s="6" t="n">
        <v>1.51587147148039</v>
      </c>
      <c r="AG968" s="6" t="n">
        <v>0.396379544566085</v>
      </c>
      <c r="AH968" s="6" t="n">
        <v>-0.261896823436272</v>
      </c>
      <c r="AI968" s="6" t="n">
        <v>-1.86579750867196</v>
      </c>
      <c r="AJ968" s="6" t="n">
        <v>65.6691255826445</v>
      </c>
      <c r="AK968" s="6" t="n">
        <v>0.107474978902149</v>
      </c>
      <c r="AL968" s="6" t="n">
        <v>1.03348806767584</v>
      </c>
      <c r="AN968" s="6" t="n">
        <v>1.29828815761524</v>
      </c>
      <c r="AO968" s="6" t="n">
        <v>1.29993650378481</v>
      </c>
      <c r="AP968" s="6" t="n">
        <v>0.134925730517441</v>
      </c>
      <c r="AQ968" s="6" t="n">
        <v>0</v>
      </c>
      <c r="AR968" s="6" t="n">
        <v>0</v>
      </c>
    </row>
    <row r="969" customFormat="false" ht="15" hidden="false" customHeight="false" outlineLevel="0" collapsed="false">
      <c r="D969" s="0" t="s">
        <v>1095</v>
      </c>
      <c r="J969" s="6" t="n">
        <v>0.332363337958594</v>
      </c>
      <c r="K969" s="6" t="n">
        <v>-2.5143387538459</v>
      </c>
      <c r="L969" s="6" t="n">
        <v>1.92330145839705</v>
      </c>
      <c r="M969" s="6" t="n">
        <v>-4.07648838564545</v>
      </c>
      <c r="N969" s="6" t="n">
        <v>3.05047412776264</v>
      </c>
      <c r="O969" s="6" t="n">
        <v>-0.43028152268069</v>
      </c>
      <c r="P969" s="6" t="n">
        <v>-4.21146632960917</v>
      </c>
      <c r="Q969" s="6" t="n">
        <v>-0.69645650651773</v>
      </c>
      <c r="R969" s="6" t="n">
        <v>0.885060825169255</v>
      </c>
      <c r="S969" s="6" t="n">
        <v>2.50796024154229</v>
      </c>
      <c r="T969" s="6" t="n">
        <v>0.867775318572403</v>
      </c>
      <c r="U969" s="6" t="n">
        <v>-1.0455523366314</v>
      </c>
      <c r="V969" s="6" t="n">
        <v>2.50186607173137</v>
      </c>
      <c r="W969" s="6" t="n">
        <v>0.588823703093463</v>
      </c>
      <c r="X969" s="6" t="n">
        <v>1.21082839699569</v>
      </c>
      <c r="Y969" s="6" t="n">
        <v>0.682253106368948</v>
      </c>
      <c r="Z969" s="6" t="n">
        <v>-3.79250708901071</v>
      </c>
      <c r="AA969" s="6" t="n">
        <v>-0.0834721734581089</v>
      </c>
      <c r="AB969" s="6" t="n">
        <v>2.99376086081255</v>
      </c>
      <c r="AC969" s="6" t="n">
        <v>-0.445375815828358</v>
      </c>
      <c r="AD969" s="6" t="n">
        <v>0.9207475808188</v>
      </c>
      <c r="AE969" s="6" t="n">
        <v>0.84918246531648</v>
      </c>
      <c r="AF969" s="6" t="n">
        <v>-0.69291828346154</v>
      </c>
      <c r="AG969" s="6" t="n">
        <v>-1.90164837617444</v>
      </c>
      <c r="AH969" s="6" t="n">
        <v>-1.68469039242288</v>
      </c>
      <c r="AI969" s="6" t="n">
        <v>-5.01440622620126</v>
      </c>
      <c r="AJ969" s="6" t="n">
        <v>71.9323962545186</v>
      </c>
      <c r="AK969" s="6" t="n">
        <v>0.0958728130265055</v>
      </c>
      <c r="AL969" s="6" t="n">
        <v>1.02195902608205</v>
      </c>
      <c r="AN969" s="6" t="n">
        <v>1.31051880809217</v>
      </c>
      <c r="AO969" s="6" t="n">
        <v>1.31051880809217</v>
      </c>
      <c r="AP969" s="6" t="n">
        <v>0.137243870689088</v>
      </c>
      <c r="AQ969" s="6" t="n">
        <v>0</v>
      </c>
      <c r="AR969" s="6" t="n">
        <v>0</v>
      </c>
    </row>
    <row r="970" customFormat="false" ht="15" hidden="false" customHeight="false" outlineLevel="0" collapsed="false">
      <c r="D970" s="0" t="s">
        <v>1096</v>
      </c>
      <c r="J970" s="6" t="n">
        <v>-0.320787276398406</v>
      </c>
      <c r="K970" s="6" t="n">
        <v>2.06145818905064</v>
      </c>
      <c r="L970" s="6" t="n">
        <v>0.380989829754016</v>
      </c>
      <c r="M970" s="6" t="n">
        <v>1.37338071989932</v>
      </c>
      <c r="N970" s="6" t="n">
        <v>1.52591043641633</v>
      </c>
      <c r="O970" s="6" t="n">
        <v>-1.115908470629</v>
      </c>
      <c r="P970" s="6" t="n">
        <v>-1.01214901201616</v>
      </c>
      <c r="Q970" s="6" t="n">
        <v>0.525948878280665</v>
      </c>
      <c r="R970" s="6" t="n">
        <v>-0.457585983223512</v>
      </c>
      <c r="S970" s="6" t="n">
        <v>-2.417845451843</v>
      </c>
      <c r="T970" s="6" t="n">
        <v>0.552738936114986</v>
      </c>
      <c r="U970" s="6" t="n">
        <v>-2.73487814142258</v>
      </c>
      <c r="V970" s="6" t="n">
        <v>-1.27166207483419</v>
      </c>
      <c r="W970" s="6" t="n">
        <v>-1.91756126269136</v>
      </c>
      <c r="X970" s="6" t="n">
        <v>2.59255694860342</v>
      </c>
      <c r="Y970" s="6" t="n">
        <v>-0.788744265565836</v>
      </c>
      <c r="Z970" s="6" t="n">
        <v>0.271024223697487</v>
      </c>
      <c r="AA970" s="6" t="n">
        <v>-1.23771652165179</v>
      </c>
      <c r="AB970" s="6" t="n">
        <v>0.370707443664371</v>
      </c>
      <c r="AC970" s="6" t="n">
        <v>-0.491372635121251</v>
      </c>
      <c r="AD970" s="6" t="n">
        <v>1.22588200374109</v>
      </c>
      <c r="AE970" s="6" t="n">
        <v>1.89519343987591</v>
      </c>
      <c r="AF970" s="6" t="n">
        <v>1.74272309382139</v>
      </c>
      <c r="AG970" s="6" t="n">
        <v>0.0672017883715392</v>
      </c>
      <c r="AH970" s="6" t="n">
        <v>0.967528258871353</v>
      </c>
      <c r="AI970" s="6" t="n">
        <v>0.0734776602236643</v>
      </c>
      <c r="AJ970" s="6" t="n">
        <v>70.6300085431644</v>
      </c>
      <c r="AK970" s="6" t="n">
        <v>0.0939112037910215</v>
      </c>
      <c r="AL970" s="6" t="n">
        <v>1.05979553762396</v>
      </c>
      <c r="AN970" s="6" t="n">
        <v>1.2956416210749</v>
      </c>
      <c r="AO970" s="6" t="n">
        <v>1.29630917040941</v>
      </c>
      <c r="AP970" s="6" t="n">
        <v>0.133730051068517</v>
      </c>
      <c r="AQ970" s="6" t="n">
        <v>0</v>
      </c>
      <c r="AR970" s="6" t="n">
        <v>0</v>
      </c>
    </row>
    <row r="971" customFormat="false" ht="15" hidden="false" customHeight="false" outlineLevel="0" collapsed="false">
      <c r="D971" s="0" t="s">
        <v>1097</v>
      </c>
      <c r="J971" s="6" t="n">
        <v>0.106341466876959</v>
      </c>
      <c r="K971" s="6" t="n">
        <v>-2.96769360419699</v>
      </c>
      <c r="L971" s="6" t="n">
        <v>1.49129448620981</v>
      </c>
      <c r="M971" s="6" t="n">
        <v>-2.62200458423095</v>
      </c>
      <c r="N971" s="6" t="n">
        <v>0.973545141038466</v>
      </c>
      <c r="O971" s="6" t="n">
        <v>-0.186411278343013</v>
      </c>
      <c r="P971" s="6" t="n">
        <v>0.200287999523373</v>
      </c>
      <c r="Q971" s="6" t="n">
        <v>-0.299073320886542</v>
      </c>
      <c r="R971" s="6" t="n">
        <v>-1.60913510908881</v>
      </c>
      <c r="S971" s="6" t="n">
        <v>-2.59820237350882</v>
      </c>
      <c r="T971" s="6" t="n">
        <v>4.98814382846458</v>
      </c>
      <c r="U971" s="6" t="n">
        <v>-1.02168311520262</v>
      </c>
      <c r="V971" s="6" t="n">
        <v>-0.68604233067247</v>
      </c>
      <c r="W971" s="6" t="n">
        <v>-1.25475166795054</v>
      </c>
      <c r="X971" s="6" t="n">
        <v>-2.59564266612154</v>
      </c>
      <c r="Y971" s="6" t="n">
        <v>-2.10468117570725</v>
      </c>
      <c r="Z971" s="6" t="n">
        <v>-0.059111735530958</v>
      </c>
      <c r="AA971" s="6" t="n">
        <v>0.623509680057263</v>
      </c>
      <c r="AB971" s="6" t="n">
        <v>-1.63847913074564</v>
      </c>
      <c r="AC971" s="6" t="n">
        <v>-2.09168454738247</v>
      </c>
      <c r="AD971" s="6" t="n">
        <v>0.116059744679965</v>
      </c>
      <c r="AE971" s="6" t="n">
        <v>-1.74889549722839</v>
      </c>
      <c r="AF971" s="6" t="n">
        <v>1.57793877187037</v>
      </c>
      <c r="AG971" s="6" t="n">
        <v>-0.40174730519634</v>
      </c>
      <c r="AH971" s="6" t="n">
        <v>-2.46171847758949</v>
      </c>
      <c r="AI971" s="6" t="n">
        <v>1.39892665066649</v>
      </c>
      <c r="AJ971" s="6" t="n">
        <v>74.1169669766542</v>
      </c>
      <c r="AK971" s="6" t="n">
        <v>0.0572518929482992</v>
      </c>
      <c r="AL971" s="6" t="n">
        <v>1.1118829372478</v>
      </c>
      <c r="AN971" s="6" t="n">
        <v>1.28289057609553</v>
      </c>
      <c r="AO971" s="6" t="n">
        <v>1.28358033530981</v>
      </c>
      <c r="AP971" s="6" t="n">
        <v>0.131630935990767</v>
      </c>
      <c r="AQ971" s="6" t="n">
        <v>0</v>
      </c>
      <c r="AR971" s="6" t="n">
        <v>0</v>
      </c>
    </row>
    <row r="972" customFormat="false" ht="15" hidden="false" customHeight="false" outlineLevel="0" collapsed="false">
      <c r="D972" s="0" t="s">
        <v>1098</v>
      </c>
      <c r="J972" s="6" t="n">
        <v>-0.995865748278231</v>
      </c>
      <c r="K972" s="6" t="n">
        <v>1.19159800231246</v>
      </c>
      <c r="L972" s="6" t="n">
        <v>-0.733917607680003</v>
      </c>
      <c r="M972" s="6" t="n">
        <v>-3.73332984654126</v>
      </c>
      <c r="N972" s="6" t="n">
        <v>-1.42465744652958</v>
      </c>
      <c r="O972" s="6" t="n">
        <v>-0.385058123283801</v>
      </c>
      <c r="P972" s="6" t="n">
        <v>-0.387110863676929</v>
      </c>
      <c r="Q972" s="6" t="n">
        <v>5</v>
      </c>
      <c r="R972" s="6" t="n">
        <v>-1.62809570983683</v>
      </c>
      <c r="S972" s="6" t="n">
        <v>2.69334967444259</v>
      </c>
      <c r="T972" s="6" t="n">
        <v>3.86151305877792</v>
      </c>
      <c r="U972" s="6" t="n">
        <v>-2.12972249684219</v>
      </c>
      <c r="V972" s="6" t="n">
        <v>0.0880441969402134</v>
      </c>
      <c r="W972" s="6" t="n">
        <v>-1.48363932160258</v>
      </c>
      <c r="X972" s="6" t="n">
        <v>0.48170565773231</v>
      </c>
      <c r="Y972" s="6" t="n">
        <v>1.99130725495721</v>
      </c>
      <c r="Z972" s="6" t="n">
        <v>1.49738425328523</v>
      </c>
      <c r="AA972" s="6" t="n">
        <v>4.07942956319679</v>
      </c>
      <c r="AB972" s="6" t="n">
        <v>-1.35578588150697</v>
      </c>
      <c r="AC972" s="6" t="n">
        <v>-0.251938835662672</v>
      </c>
      <c r="AD972" s="6" t="n">
        <v>-2.20231990023289</v>
      </c>
      <c r="AE972" s="6" t="n">
        <v>-0.0388229538709432</v>
      </c>
      <c r="AF972" s="6" t="n">
        <v>-2.33442179615319</v>
      </c>
      <c r="AG972" s="6" t="n">
        <v>-1.08191834393644</v>
      </c>
      <c r="AH972" s="6" t="n">
        <v>3.56445865123083</v>
      </c>
      <c r="AI972" s="6" t="n">
        <v>-1.77346212908379</v>
      </c>
      <c r="AJ972" s="6" t="n">
        <v>68.4271835866147</v>
      </c>
      <c r="AK972" s="6" t="n">
        <v>0.117034528614598</v>
      </c>
      <c r="AL972" s="6" t="n">
        <v>1.04234539482237</v>
      </c>
      <c r="AN972" s="6" t="n">
        <v>1.2991354335888</v>
      </c>
      <c r="AO972" s="6" t="n">
        <v>1.29938145825831</v>
      </c>
      <c r="AP972" s="6" t="n">
        <v>0.134154540496359</v>
      </c>
      <c r="AQ972" s="6" t="n">
        <v>0</v>
      </c>
      <c r="AR972" s="6" t="n">
        <v>0</v>
      </c>
    </row>
    <row r="973" customFormat="false" ht="15" hidden="false" customHeight="false" outlineLevel="0" collapsed="false">
      <c r="D973" s="0" t="s">
        <v>1099</v>
      </c>
      <c r="J973" s="6" t="n">
        <v>-2.48854624340954</v>
      </c>
      <c r="K973" s="6" t="n">
        <v>0.209946407114198</v>
      </c>
      <c r="L973" s="6" t="n">
        <v>-1.00792194098747</v>
      </c>
      <c r="M973" s="6" t="n">
        <v>1.69874545998952</v>
      </c>
      <c r="N973" s="6" t="n">
        <v>-1.15220552526175</v>
      </c>
      <c r="O973" s="6" t="n">
        <v>1.90069436079289</v>
      </c>
      <c r="P973" s="6" t="n">
        <v>1.84972415996896</v>
      </c>
      <c r="Q973" s="6" t="n">
        <v>0.838908583093704</v>
      </c>
      <c r="R973" s="6" t="n">
        <v>-2.13982290413984</v>
      </c>
      <c r="S973" s="6" t="n">
        <v>-0.491259447774144</v>
      </c>
      <c r="T973" s="6" t="n">
        <v>-2.55283901749311</v>
      </c>
      <c r="U973" s="6" t="n">
        <v>-0.338533445593511</v>
      </c>
      <c r="V973" s="6" t="n">
        <v>-0.597819235891358</v>
      </c>
      <c r="W973" s="6" t="n">
        <v>0.423621641612092</v>
      </c>
      <c r="X973" s="6" t="n">
        <v>-1.2053681319396</v>
      </c>
      <c r="Y973" s="6" t="n">
        <v>-2.11605711358207</v>
      </c>
      <c r="Z973" s="6" t="n">
        <v>-2.52226157405495</v>
      </c>
      <c r="AA973" s="6" t="n">
        <v>0.274937305131311</v>
      </c>
      <c r="AB973" s="6" t="n">
        <v>-0.925019594437941</v>
      </c>
      <c r="AC973" s="6" t="n">
        <v>2.2086880350151</v>
      </c>
      <c r="AD973" s="6" t="n">
        <v>2.83963158432172</v>
      </c>
      <c r="AE973" s="6" t="n">
        <v>1.30778331254732</v>
      </c>
      <c r="AF973" s="6" t="n">
        <v>-0.836824628217444</v>
      </c>
      <c r="AG973" s="6" t="n">
        <v>1.14406754657934</v>
      </c>
      <c r="AH973" s="6" t="n">
        <v>-0.787716383231555</v>
      </c>
      <c r="AI973" s="6" t="n">
        <v>-0.638721135475009</v>
      </c>
      <c r="AJ973" s="6" t="n">
        <v>77.2422099221926</v>
      </c>
      <c r="AK973" s="6" t="n">
        <v>0.0846905048326648</v>
      </c>
      <c r="AL973" s="6" t="n">
        <v>1.05895897850477</v>
      </c>
      <c r="AN973" s="6" t="n">
        <v>1.29670107619427</v>
      </c>
      <c r="AO973" s="6" t="n">
        <v>1.29689119346815</v>
      </c>
      <c r="AP973" s="6" t="n">
        <v>0.134736715351172</v>
      </c>
      <c r="AQ973" s="6" t="n">
        <v>0</v>
      </c>
      <c r="AR973" s="6" t="n">
        <v>0</v>
      </c>
    </row>
    <row r="974" customFormat="false" ht="15" hidden="false" customHeight="false" outlineLevel="0" collapsed="false">
      <c r="D974" s="0" t="s">
        <v>1100</v>
      </c>
      <c r="J974" s="6" t="n">
        <v>-2.61995244126381</v>
      </c>
      <c r="K974" s="6" t="n">
        <v>-0.323399988356737</v>
      </c>
      <c r="L974" s="6" t="n">
        <v>-3.01607472943343</v>
      </c>
      <c r="M974" s="6" t="n">
        <v>2.49968858895414</v>
      </c>
      <c r="N974" s="6" t="n">
        <v>1.90109484939599</v>
      </c>
      <c r="O974" s="6" t="n">
        <v>0.406368860844772</v>
      </c>
      <c r="P974" s="6" t="n">
        <v>0.970546613106844</v>
      </c>
      <c r="Q974" s="6" t="n">
        <v>0.940818339986483</v>
      </c>
      <c r="R974" s="6" t="n">
        <v>-3.25232188811379</v>
      </c>
      <c r="S974" s="6" t="n">
        <v>2.1331040492592</v>
      </c>
      <c r="T974" s="6" t="n">
        <v>0.322900861200179</v>
      </c>
      <c r="U974" s="6" t="n">
        <v>-0.372492175329417</v>
      </c>
      <c r="V974" s="6" t="n">
        <v>1.99057326224345</v>
      </c>
      <c r="W974" s="6" t="n">
        <v>-0.980442926871242</v>
      </c>
      <c r="X974" s="6" t="n">
        <v>2.99680542734642</v>
      </c>
      <c r="Y974" s="6" t="n">
        <v>-0.600225874560966</v>
      </c>
      <c r="Z974" s="6" t="n">
        <v>0.86899536442596</v>
      </c>
      <c r="AA974" s="6" t="n">
        <v>-2.15396499242637</v>
      </c>
      <c r="AB974" s="6" t="n">
        <v>-2.3926833510592</v>
      </c>
      <c r="AC974" s="6" t="n">
        <v>0.465317984490619</v>
      </c>
      <c r="AD974" s="6" t="n">
        <v>-3.66565513727716</v>
      </c>
      <c r="AE974" s="6" t="n">
        <v>-1.53381440501532</v>
      </c>
      <c r="AF974" s="6" t="n">
        <v>-0.247201779642906</v>
      </c>
      <c r="AG974" s="6" t="n">
        <v>-1.91729037982829</v>
      </c>
      <c r="AH974" s="6" t="n">
        <v>-1.75933289723957</v>
      </c>
      <c r="AI974" s="6" t="n">
        <v>-7.58566553902037</v>
      </c>
      <c r="AJ974" s="6" t="n">
        <v>78.3238262290465</v>
      </c>
      <c r="AK974" s="6" t="n">
        <v>0.111624930317623</v>
      </c>
      <c r="AL974" s="6" t="n">
        <v>1.07159930694821</v>
      </c>
      <c r="AN974" s="6" t="n">
        <v>1.28982014680579</v>
      </c>
      <c r="AO974" s="6" t="n">
        <v>1.29063843737242</v>
      </c>
      <c r="AP974" s="6" t="n">
        <v>0.133161885757393</v>
      </c>
      <c r="AQ974" s="6" t="n">
        <v>0</v>
      </c>
      <c r="AR974" s="6" t="n">
        <v>0</v>
      </c>
    </row>
    <row r="975" customFormat="false" ht="15" hidden="false" customHeight="false" outlineLevel="0" collapsed="false">
      <c r="D975" s="0" t="s">
        <v>1101</v>
      </c>
      <c r="J975" s="6" t="n">
        <v>0.450785661907335</v>
      </c>
      <c r="K975" s="6" t="n">
        <v>1.79413257762899</v>
      </c>
      <c r="L975" s="6" t="n">
        <v>-0.71154920698351</v>
      </c>
      <c r="M975" s="6" t="n">
        <v>-1.30303235201884</v>
      </c>
      <c r="N975" s="6" t="n">
        <v>-0.960149400912567</v>
      </c>
      <c r="O975" s="6" t="n">
        <v>-1.46132148336621</v>
      </c>
      <c r="P975" s="6" t="n">
        <v>-3.21565958096718</v>
      </c>
      <c r="Q975" s="6" t="n">
        <v>1.40550039854156</v>
      </c>
      <c r="R975" s="6" t="n">
        <v>1.10048432621594</v>
      </c>
      <c r="S975" s="6" t="n">
        <v>3.2577900380871</v>
      </c>
      <c r="T975" s="6" t="n">
        <v>-1.83204754907825</v>
      </c>
      <c r="U975" s="6" t="n">
        <v>0.632975645720143</v>
      </c>
      <c r="V975" s="6" t="n">
        <v>-1.24995200761866</v>
      </c>
      <c r="W975" s="6" t="n">
        <v>-0.782592720489828</v>
      </c>
      <c r="X975" s="6" t="n">
        <v>-0.274395367615907</v>
      </c>
      <c r="Y975" s="6" t="n">
        <v>-0.332424853524531</v>
      </c>
      <c r="Z975" s="6" t="n">
        <v>-0.289464683524743</v>
      </c>
      <c r="AA975" s="6" t="n">
        <v>-2.97336347192187</v>
      </c>
      <c r="AB975" s="6" t="n">
        <v>-3.10281693144869</v>
      </c>
      <c r="AC975" s="6" t="n">
        <v>-0.541651424394541</v>
      </c>
      <c r="AD975" s="6" t="n">
        <v>-0.634175891856621</v>
      </c>
      <c r="AE975" s="6" t="n">
        <v>0.708559314236461</v>
      </c>
      <c r="AF975" s="6" t="n">
        <v>-4.83914905946617</v>
      </c>
      <c r="AG975" s="6" t="n">
        <v>-1.72311653218873</v>
      </c>
      <c r="AH975" s="6" t="n">
        <v>1.82368794804551</v>
      </c>
      <c r="AI975" s="6" t="n">
        <v>-2.02280708645695</v>
      </c>
      <c r="AJ975" s="6" t="n">
        <v>73.3509290646444</v>
      </c>
      <c r="AK975" s="6" t="n">
        <v>0.0813029990007116</v>
      </c>
      <c r="AL975" s="6" t="n">
        <v>1.07342209455425</v>
      </c>
      <c r="AN975" s="6" t="n">
        <v>1.29500496889269</v>
      </c>
      <c r="AO975" s="6" t="n">
        <v>1.29502603902724</v>
      </c>
      <c r="AP975" s="6" t="n">
        <v>0.13341774296051</v>
      </c>
      <c r="AQ975" s="6" t="n">
        <v>0</v>
      </c>
      <c r="AR975" s="6" t="n">
        <v>0</v>
      </c>
    </row>
    <row r="976" customFormat="false" ht="15" hidden="false" customHeight="false" outlineLevel="0" collapsed="false">
      <c r="D976" s="0" t="s">
        <v>1102</v>
      </c>
      <c r="J976" s="6" t="n">
        <v>-1.82383312161746</v>
      </c>
      <c r="K976" s="6" t="n">
        <v>-3.39405605380825</v>
      </c>
      <c r="L976" s="6" t="n">
        <v>-3.28261199507822</v>
      </c>
      <c r="M976" s="6" t="n">
        <v>-2.12214234937725</v>
      </c>
      <c r="N976" s="6" t="n">
        <v>-2.32950399826979</v>
      </c>
      <c r="O976" s="6" t="n">
        <v>-1.92079699550896</v>
      </c>
      <c r="P976" s="6" t="n">
        <v>1.4011285120723</v>
      </c>
      <c r="Q976" s="6" t="n">
        <v>1.20798743301948</v>
      </c>
      <c r="R976" s="6" t="n">
        <v>-2.17092264984565</v>
      </c>
      <c r="S976" s="6" t="n">
        <v>-3.13036458976118</v>
      </c>
      <c r="T976" s="6" t="n">
        <v>2.05434877876864</v>
      </c>
      <c r="U976" s="6" t="n">
        <v>-0.74401878073323</v>
      </c>
      <c r="V976" s="6" t="n">
        <v>-1.82624549105678</v>
      </c>
      <c r="W976" s="6" t="n">
        <v>-4.9236846932738</v>
      </c>
      <c r="X976" s="6" t="n">
        <v>2.92106742207698</v>
      </c>
      <c r="Y976" s="6" t="n">
        <v>-2.63296392938795</v>
      </c>
      <c r="Z976" s="6" t="n">
        <v>0.459330533823641</v>
      </c>
      <c r="AA976" s="6" t="n">
        <v>-0.505789701858912</v>
      </c>
      <c r="AB976" s="6" t="n">
        <v>3.23452569120544</v>
      </c>
      <c r="AC976" s="6" t="n">
        <v>1.61357340991501</v>
      </c>
      <c r="AD976" s="6" t="n">
        <v>-1.40328386974026</v>
      </c>
      <c r="AE976" s="6" t="n">
        <v>2.30136489825056</v>
      </c>
      <c r="AF976" s="6" t="n">
        <v>-1.13335907080507</v>
      </c>
      <c r="AG976" s="6" t="n">
        <v>4.9517046084979</v>
      </c>
      <c r="AH976" s="6" t="n">
        <v>-3.31396120933261</v>
      </c>
      <c r="AI976" s="6" t="n">
        <v>0.984623921820386</v>
      </c>
      <c r="AJ976" s="6" t="n">
        <v>60.780148498234</v>
      </c>
      <c r="AK976" s="6" t="n">
        <v>0.098113876110286</v>
      </c>
      <c r="AL976" s="6" t="n">
        <v>1.05595568735671</v>
      </c>
      <c r="AN976" s="6" t="n">
        <v>1.2925785409957</v>
      </c>
      <c r="AO976" s="6" t="n">
        <v>1.29291338564063</v>
      </c>
      <c r="AP976" s="6" t="n">
        <v>0.133259616375498</v>
      </c>
      <c r="AQ976" s="6" t="n">
        <v>0</v>
      </c>
      <c r="AR976" s="6" t="n">
        <v>0</v>
      </c>
    </row>
    <row r="977" customFormat="false" ht="15" hidden="false" customHeight="false" outlineLevel="0" collapsed="false">
      <c r="D977" s="0" t="s">
        <v>1103</v>
      </c>
      <c r="J977" s="6" t="n">
        <v>-2.01161623420488</v>
      </c>
      <c r="K977" s="6" t="n">
        <v>-2.05513923288314</v>
      </c>
      <c r="L977" s="6" t="n">
        <v>0.410630536799314</v>
      </c>
      <c r="M977" s="6" t="n">
        <v>-1.38168629146066</v>
      </c>
      <c r="N977" s="6" t="n">
        <v>3.55907025514259</v>
      </c>
      <c r="O977" s="6" t="n">
        <v>0.479242732285374</v>
      </c>
      <c r="P977" s="6" t="n">
        <v>-1.80438757756074</v>
      </c>
      <c r="Q977" s="6" t="n">
        <v>1.67072794899977</v>
      </c>
      <c r="R977" s="6" t="n">
        <v>0.553342868330394</v>
      </c>
      <c r="S977" s="6" t="n">
        <v>-2.41740332299143</v>
      </c>
      <c r="T977" s="6" t="n">
        <v>-0.41188887798263</v>
      </c>
      <c r="U977" s="6" t="n">
        <v>-1.05837930153955</v>
      </c>
      <c r="V977" s="6" t="n">
        <v>-1.88631657503056</v>
      </c>
      <c r="W977" s="6" t="n">
        <v>-0.946498346786555</v>
      </c>
      <c r="X977" s="6" t="n">
        <v>-0.630533146472982</v>
      </c>
      <c r="Y977" s="6" t="n">
        <v>-1.29941798607252</v>
      </c>
      <c r="Z977" s="6" t="n">
        <v>0.958092793947616</v>
      </c>
      <c r="AA977" s="6" t="n">
        <v>-0.214810264588031</v>
      </c>
      <c r="AB977" s="6" t="n">
        <v>0.365161908490598</v>
      </c>
      <c r="AC977" s="6" t="n">
        <v>-1.42970718810448</v>
      </c>
      <c r="AD977" s="6" t="n">
        <v>-0.0947015645015631</v>
      </c>
      <c r="AE977" s="6" t="n">
        <v>2.92429529957059</v>
      </c>
      <c r="AF977" s="6" t="n">
        <v>2.3496272595924</v>
      </c>
      <c r="AG977" s="6" t="n">
        <v>-1.71212625799359</v>
      </c>
      <c r="AH977" s="6" t="n">
        <v>-3.92608423713236</v>
      </c>
      <c r="AI977" s="6" t="n">
        <v>1.28483734584029</v>
      </c>
      <c r="AJ977" s="6" t="n">
        <v>61.4494806011495</v>
      </c>
      <c r="AK977" s="6" t="n">
        <v>0.170137429254281</v>
      </c>
      <c r="AL977" s="6" t="n">
        <v>1.07899769080952</v>
      </c>
      <c r="AN977" s="6" t="n">
        <v>1.27625373462041</v>
      </c>
      <c r="AO977" s="6" t="n">
        <v>1.27663563596378</v>
      </c>
      <c r="AP977" s="6" t="n">
        <v>0.130410142449379</v>
      </c>
      <c r="AQ977" s="6" t="n">
        <v>0</v>
      </c>
      <c r="AR977" s="6" t="n">
        <v>0</v>
      </c>
    </row>
    <row r="978" customFormat="false" ht="15" hidden="false" customHeight="false" outlineLevel="0" collapsed="false">
      <c r="D978" s="0" t="s">
        <v>1104</v>
      </c>
      <c r="J978" s="6" t="n">
        <v>-2.30035567734273</v>
      </c>
      <c r="K978" s="6" t="n">
        <v>-1.21843011575451</v>
      </c>
      <c r="L978" s="6" t="n">
        <v>0.518837385179286</v>
      </c>
      <c r="M978" s="6" t="n">
        <v>1.61671183879545</v>
      </c>
      <c r="N978" s="6" t="n">
        <v>3.12969697950486</v>
      </c>
      <c r="O978" s="6" t="n">
        <v>3.34026703047298</v>
      </c>
      <c r="P978" s="6" t="n">
        <v>-0.5626610870954</v>
      </c>
      <c r="Q978" s="6" t="n">
        <v>0.202688508064802</v>
      </c>
      <c r="R978" s="6" t="n">
        <v>1.02994266889988</v>
      </c>
      <c r="S978" s="6" t="n">
        <v>-5.34193636946282</v>
      </c>
      <c r="T978" s="6" t="n">
        <v>-1.80316852414128</v>
      </c>
      <c r="U978" s="6" t="n">
        <v>-3.51680138839839</v>
      </c>
      <c r="V978" s="6" t="n">
        <v>-0.0796122378028734</v>
      </c>
      <c r="W978" s="6" t="n">
        <v>-1.93958658715333</v>
      </c>
      <c r="X978" s="6" t="n">
        <v>1.72398730188985</v>
      </c>
      <c r="Y978" s="6" t="n">
        <v>-4.87059339330598</v>
      </c>
      <c r="Z978" s="6" t="n">
        <v>1.68150401046103</v>
      </c>
      <c r="AA978" s="6" t="n">
        <v>2.47629076612916</v>
      </c>
      <c r="AB978" s="6" t="n">
        <v>0.349478424633897</v>
      </c>
      <c r="AC978" s="6" t="n">
        <v>-1.21235823647692</v>
      </c>
      <c r="AD978" s="6" t="n">
        <v>2.1452881726071</v>
      </c>
      <c r="AE978" s="6" t="n">
        <v>3.01959713356516</v>
      </c>
      <c r="AF978" s="6" t="n">
        <v>-0.00734928001699331</v>
      </c>
      <c r="AG978" s="6" t="n">
        <v>-2.13703692341785</v>
      </c>
      <c r="AH978" s="6" t="n">
        <v>-2.37981974716116</v>
      </c>
      <c r="AI978" s="6" t="n">
        <v>-2.26466251485155</v>
      </c>
      <c r="AJ978" s="6" t="n">
        <v>80.1079111223176</v>
      </c>
      <c r="AK978" s="6" t="n">
        <v>0.0691414060904229</v>
      </c>
      <c r="AL978" s="6" t="n">
        <v>1.06609563343129</v>
      </c>
      <c r="AN978" s="6" t="n">
        <v>1.29800806174161</v>
      </c>
      <c r="AO978" s="6" t="n">
        <v>1.29887155835116</v>
      </c>
      <c r="AP978" s="6" t="n">
        <v>0.13426184551613</v>
      </c>
      <c r="AQ978" s="6" t="n">
        <v>0</v>
      </c>
      <c r="AR978" s="6" t="n">
        <v>0</v>
      </c>
    </row>
    <row r="979" customFormat="false" ht="15" hidden="false" customHeight="false" outlineLevel="0" collapsed="false">
      <c r="D979" s="0" t="s">
        <v>1105</v>
      </c>
      <c r="J979" s="6" t="n">
        <v>0.848853721402678</v>
      </c>
      <c r="K979" s="6" t="n">
        <v>1.34382967757734</v>
      </c>
      <c r="L979" s="6" t="n">
        <v>-0.660711337379161</v>
      </c>
      <c r="M979" s="6" t="n">
        <v>-4.64843129821539</v>
      </c>
      <c r="N979" s="6" t="n">
        <v>-0.796273148877695</v>
      </c>
      <c r="O979" s="6" t="n">
        <v>-1.37531612091448</v>
      </c>
      <c r="P979" s="6" t="n">
        <v>-1.28347941464643</v>
      </c>
      <c r="Q979" s="6" t="n">
        <v>1.77736580273969</v>
      </c>
      <c r="R979" s="6" t="n">
        <v>3.32831523661573</v>
      </c>
      <c r="S979" s="6" t="n">
        <v>0.583370054323521</v>
      </c>
      <c r="T979" s="6" t="n">
        <v>-0.915187838802635</v>
      </c>
      <c r="U979" s="6" t="n">
        <v>-0.0954631456742278</v>
      </c>
      <c r="V979" s="6" t="n">
        <v>-2.69719876290671</v>
      </c>
      <c r="W979" s="6" t="n">
        <v>-2.41055889984553</v>
      </c>
      <c r="X979" s="6" t="n">
        <v>-0.983116411514695</v>
      </c>
      <c r="Y979" s="6" t="n">
        <v>1.23280712012046</v>
      </c>
      <c r="Z979" s="6" t="n">
        <v>-0.461981329226254</v>
      </c>
      <c r="AA979" s="6" t="n">
        <v>-0.860053288136518</v>
      </c>
      <c r="AB979" s="6" t="n">
        <v>2.02178792874125</v>
      </c>
      <c r="AC979" s="6" t="n">
        <v>-0.325385732527445</v>
      </c>
      <c r="AD979" s="6" t="n">
        <v>2.44494670695824</v>
      </c>
      <c r="AE979" s="6" t="n">
        <v>0.276067394276839</v>
      </c>
      <c r="AF979" s="6" t="n">
        <v>-3.6804680652965</v>
      </c>
      <c r="AG979" s="6" t="n">
        <v>0.627943984014324</v>
      </c>
      <c r="AH979" s="6" t="n">
        <v>0.147104103195652</v>
      </c>
      <c r="AI979" s="6" t="n">
        <v>3.12668062955758</v>
      </c>
      <c r="AJ979" s="6" t="n">
        <v>57.5767365279</v>
      </c>
      <c r="AK979" s="6" t="n">
        <v>0.148603181992278</v>
      </c>
      <c r="AL979" s="6" t="n">
        <v>0.976225131574376</v>
      </c>
      <c r="AN979" s="6" t="n">
        <v>1.30824340391445</v>
      </c>
      <c r="AO979" s="6" t="n">
        <v>1.30824340391445</v>
      </c>
      <c r="AP979" s="6" t="n">
        <v>0.142144495338716</v>
      </c>
      <c r="AQ979" s="6" t="n">
        <v>0</v>
      </c>
      <c r="AR979" s="6" t="n">
        <v>0</v>
      </c>
    </row>
    <row r="980" customFormat="false" ht="15" hidden="false" customHeight="false" outlineLevel="0" collapsed="false">
      <c r="D980" s="0" t="s">
        <v>1106</v>
      </c>
      <c r="J980" s="6" t="n">
        <v>-2.38478692660532</v>
      </c>
      <c r="K980" s="6" t="n">
        <v>2.08157417526573</v>
      </c>
      <c r="L980" s="6" t="n">
        <v>-1.21728558144029</v>
      </c>
      <c r="M980" s="6" t="n">
        <v>-1.71914468796207</v>
      </c>
      <c r="N980" s="6" t="n">
        <v>-0.84735917655399</v>
      </c>
      <c r="O980" s="6" t="n">
        <v>-0.0919047305649656</v>
      </c>
      <c r="P980" s="6" t="n">
        <v>3.00801705678697</v>
      </c>
      <c r="Q980" s="6" t="n">
        <v>-4.45406806200309</v>
      </c>
      <c r="R980" s="6" t="n">
        <v>0.533094217544699</v>
      </c>
      <c r="S980" s="6" t="n">
        <v>1.58670446701812</v>
      </c>
      <c r="T980" s="6" t="n">
        <v>-1.23585945159194</v>
      </c>
      <c r="U980" s="6" t="n">
        <v>0.0172335372274243</v>
      </c>
      <c r="V980" s="6" t="n">
        <v>-2.02423467561345</v>
      </c>
      <c r="W980" s="6" t="n">
        <v>-1.03593774068169</v>
      </c>
      <c r="X980" s="6" t="n">
        <v>-0.531288537862821</v>
      </c>
      <c r="Y980" s="6" t="n">
        <v>-0.774930976150852</v>
      </c>
      <c r="Z980" s="6" t="n">
        <v>-3.09788735401735</v>
      </c>
      <c r="AA980" s="6" t="n">
        <v>4.46191979481247</v>
      </c>
      <c r="AB980" s="6" t="n">
        <v>0.202828843735511</v>
      </c>
      <c r="AC980" s="6" t="n">
        <v>0.654085405030733</v>
      </c>
      <c r="AD980" s="6" t="n">
        <v>0.322269356760475</v>
      </c>
      <c r="AE980" s="6" t="n">
        <v>-1.18052671244813</v>
      </c>
      <c r="AF980" s="6" t="n">
        <v>3.1052422680257</v>
      </c>
      <c r="AG980" s="6" t="n">
        <v>-0.779602439754334</v>
      </c>
      <c r="AH980" s="6" t="n">
        <v>-3.96332443348572</v>
      </c>
      <c r="AI980" s="6" t="n">
        <v>-1.45058516820099</v>
      </c>
      <c r="AJ980" s="6" t="n">
        <v>75.2751487366693</v>
      </c>
      <c r="AK980" s="6" t="n">
        <v>0.150098058880626</v>
      </c>
      <c r="AL980" s="6" t="n">
        <v>1.05529122695007</v>
      </c>
      <c r="AN980" s="6" t="n">
        <v>1.29008404935246</v>
      </c>
      <c r="AO980" s="6" t="n">
        <v>1.29156214693939</v>
      </c>
      <c r="AP980" s="6" t="n">
        <v>0.132541602549383</v>
      </c>
      <c r="AQ980" s="6" t="n">
        <v>0</v>
      </c>
      <c r="AR980" s="6" t="n">
        <v>0</v>
      </c>
    </row>
    <row r="981" customFormat="false" ht="15" hidden="false" customHeight="false" outlineLevel="0" collapsed="false">
      <c r="D981" s="0" t="s">
        <v>1107</v>
      </c>
      <c r="J981" s="6" t="n">
        <v>1.8902553879666</v>
      </c>
      <c r="K981" s="6" t="n">
        <v>-0.982342709856787</v>
      </c>
      <c r="L981" s="6" t="n">
        <v>2.78534039310313</v>
      </c>
      <c r="M981" s="6" t="n">
        <v>-1.58997612912648</v>
      </c>
      <c r="N981" s="6" t="n">
        <v>-0.23366956508668</v>
      </c>
      <c r="O981" s="6" t="n">
        <v>-2.6159592995903</v>
      </c>
      <c r="P981" s="6" t="n">
        <v>0.0126385427251998</v>
      </c>
      <c r="Q981" s="6" t="n">
        <v>0.506676571027626</v>
      </c>
      <c r="R981" s="6" t="n">
        <v>-1.09318087804827</v>
      </c>
      <c r="S981" s="6" t="n">
        <v>-0.355762879471978</v>
      </c>
      <c r="T981" s="6" t="n">
        <v>0.353146927602274</v>
      </c>
      <c r="U981" s="6" t="n">
        <v>-1.49798378480684</v>
      </c>
      <c r="V981" s="6" t="n">
        <v>-2.59800897167719</v>
      </c>
      <c r="W981" s="6" t="n">
        <v>-1.79081004953429</v>
      </c>
      <c r="X981" s="6" t="n">
        <v>-0.884580131498523</v>
      </c>
      <c r="Y981" s="6" t="n">
        <v>1.49289043671724</v>
      </c>
      <c r="Z981" s="6" t="n">
        <v>-0.807459621460746</v>
      </c>
      <c r="AA981" s="6" t="n">
        <v>1.28121579285703</v>
      </c>
      <c r="AB981" s="6" t="n">
        <v>2.93552445789438</v>
      </c>
      <c r="AC981" s="6" t="n">
        <v>0.761853567326568</v>
      </c>
      <c r="AD981" s="6" t="n">
        <v>-0.285770894158858</v>
      </c>
      <c r="AE981" s="6" t="n">
        <v>0.913680877679068</v>
      </c>
      <c r="AF981" s="6" t="n">
        <v>-1.29520899711865</v>
      </c>
      <c r="AG981" s="6" t="n">
        <v>-3.06948608739092</v>
      </c>
      <c r="AH981" s="6" t="n">
        <v>0.977536532989177</v>
      </c>
      <c r="AI981" s="6" t="n">
        <v>0.731555084572424</v>
      </c>
      <c r="AJ981" s="6" t="n">
        <v>81.6497637151403</v>
      </c>
      <c r="AK981" s="6" t="n">
        <v>0.0246679650024269</v>
      </c>
      <c r="AL981" s="6" t="n">
        <v>1.0780553650027</v>
      </c>
      <c r="AN981" s="6" t="n">
        <v>1.3035565322014</v>
      </c>
      <c r="AO981" s="6" t="n">
        <v>1.3043290395733</v>
      </c>
      <c r="AP981" s="6" t="n">
        <v>0.135137739802081</v>
      </c>
      <c r="AQ981" s="6" t="n">
        <v>0</v>
      </c>
      <c r="AR981" s="6" t="n">
        <v>0</v>
      </c>
    </row>
    <row r="982" customFormat="false" ht="15" hidden="false" customHeight="false" outlineLevel="0" collapsed="false">
      <c r="D982" s="0" t="s">
        <v>1108</v>
      </c>
      <c r="J982" s="6" t="n">
        <v>0.413252059743535</v>
      </c>
      <c r="K982" s="6" t="n">
        <v>0.707573193888882</v>
      </c>
      <c r="L982" s="6" t="n">
        <v>1.3921968850368</v>
      </c>
      <c r="M982" s="6" t="n">
        <v>0.774019999361108</v>
      </c>
      <c r="N982" s="6" t="n">
        <v>-1.77090417410492</v>
      </c>
      <c r="O982" s="6" t="n">
        <v>0.125006452891589</v>
      </c>
      <c r="P982" s="6" t="n">
        <v>0.0879936803635881</v>
      </c>
      <c r="Q982" s="6" t="n">
        <v>0.54302810353162</v>
      </c>
      <c r="R982" s="6" t="n">
        <v>1.23950897700775</v>
      </c>
      <c r="S982" s="6" t="n">
        <v>-2.00779093845044</v>
      </c>
      <c r="T982" s="6" t="n">
        <v>-1.16576445651271</v>
      </c>
      <c r="U982" s="6" t="n">
        <v>1.45781703241253</v>
      </c>
      <c r="V982" s="6" t="n">
        <v>-1.06102346740376</v>
      </c>
      <c r="W982" s="6" t="n">
        <v>1.37966518007491</v>
      </c>
      <c r="X982" s="6" t="n">
        <v>-1.33854725669531</v>
      </c>
      <c r="Y982" s="6" t="n">
        <v>2.04737101734817</v>
      </c>
      <c r="Z982" s="6" t="n">
        <v>3.01257943063936</v>
      </c>
      <c r="AA982" s="6" t="n">
        <v>0.0464059523985029</v>
      </c>
      <c r="AB982" s="6" t="n">
        <v>3.62246116480592</v>
      </c>
      <c r="AC982" s="6" t="n">
        <v>-3.44887063295577</v>
      </c>
      <c r="AD982" s="6" t="n">
        <v>0.70033678225263</v>
      </c>
      <c r="AE982" s="6" t="n">
        <v>-0.804104862308239</v>
      </c>
      <c r="AF982" s="6" t="n">
        <v>-1.51573536857165</v>
      </c>
      <c r="AG982" s="6" t="n">
        <v>1.69043464017301</v>
      </c>
      <c r="AH982" s="6" t="n">
        <v>-0.884999942829754</v>
      </c>
      <c r="AI982" s="6" t="n">
        <v>0.238225856476808</v>
      </c>
      <c r="AJ982" s="6" t="n">
        <v>82.2545586487262</v>
      </c>
      <c r="AK982" s="6" t="n">
        <v>0.0957082553392818</v>
      </c>
      <c r="AL982" s="6" t="n">
        <v>1.0266010145283</v>
      </c>
      <c r="AN982" s="6" t="n">
        <v>1.31517140807709</v>
      </c>
      <c r="AO982" s="6" t="n">
        <v>1.31517140807709</v>
      </c>
      <c r="AP982" s="6" t="n">
        <v>0.138392680882931</v>
      </c>
      <c r="AQ982" s="6" t="n">
        <v>0</v>
      </c>
      <c r="AR982" s="6" t="n">
        <v>0</v>
      </c>
    </row>
    <row r="983" customFormat="false" ht="15" hidden="false" customHeight="false" outlineLevel="0" collapsed="false">
      <c r="D983" s="0" t="s">
        <v>1109</v>
      </c>
      <c r="J983" s="6" t="n">
        <v>2.08118524239437</v>
      </c>
      <c r="K983" s="6" t="n">
        <v>5</v>
      </c>
      <c r="L983" s="6" t="n">
        <v>-1.24259286213406</v>
      </c>
      <c r="M983" s="6" t="n">
        <v>-0.388688355934096</v>
      </c>
      <c r="N983" s="6" t="n">
        <v>1.37966370325066</v>
      </c>
      <c r="O983" s="6" t="n">
        <v>-0.316611519693211</v>
      </c>
      <c r="P983" s="6" t="n">
        <v>0.532869321102853</v>
      </c>
      <c r="Q983" s="6" t="n">
        <v>-0.891782777571154</v>
      </c>
      <c r="R983" s="6" t="n">
        <v>2.58975612130056</v>
      </c>
      <c r="S983" s="6" t="n">
        <v>0.345958181720931</v>
      </c>
      <c r="T983" s="6" t="n">
        <v>-4.42966711922978</v>
      </c>
      <c r="U983" s="6" t="n">
        <v>-0.246399359912496</v>
      </c>
      <c r="V983" s="6" t="n">
        <v>4.0313860511244</v>
      </c>
      <c r="W983" s="6" t="n">
        <v>-1.09279976991514</v>
      </c>
      <c r="X983" s="6" t="n">
        <v>-1.00901186745943</v>
      </c>
      <c r="Y983" s="6" t="n">
        <v>-5.58756202323998</v>
      </c>
      <c r="Z983" s="6" t="n">
        <v>-0.064348758768122</v>
      </c>
      <c r="AA983" s="6" t="n">
        <v>1.57845605194156</v>
      </c>
      <c r="AB983" s="6" t="n">
        <v>2.10225506576944</v>
      </c>
      <c r="AC983" s="6" t="n">
        <v>-1.08108013886459</v>
      </c>
      <c r="AD983" s="6" t="n">
        <v>-2.01735938518065</v>
      </c>
      <c r="AE983" s="6" t="n">
        <v>-4.78465407846386</v>
      </c>
      <c r="AF983" s="6" t="n">
        <v>0.300866794365156</v>
      </c>
      <c r="AG983" s="6" t="n">
        <v>-2.32306877288201</v>
      </c>
      <c r="AH983" s="6" t="n">
        <v>2.82488739032575</v>
      </c>
      <c r="AI983" s="6" t="n">
        <v>0.974852338268294</v>
      </c>
      <c r="AJ983" s="6" t="n">
        <v>67.1484568554479</v>
      </c>
      <c r="AK983" s="6" t="n">
        <v>0.106399464157286</v>
      </c>
      <c r="AL983" s="6" t="n">
        <v>1.06641869810074</v>
      </c>
      <c r="AN983" s="6" t="n">
        <v>1.28901921569501</v>
      </c>
      <c r="AO983" s="6" t="n">
        <v>1.28971947461046</v>
      </c>
      <c r="AP983" s="6" t="n">
        <v>0.132461668846842</v>
      </c>
      <c r="AQ983" s="6" t="n">
        <v>0</v>
      </c>
      <c r="AR983" s="6" t="n">
        <v>0</v>
      </c>
    </row>
    <row r="984" customFormat="false" ht="15" hidden="false" customHeight="false" outlineLevel="0" collapsed="false">
      <c r="D984" s="0" t="s">
        <v>1110</v>
      </c>
      <c r="J984" s="6" t="n">
        <v>-1.38089996102271</v>
      </c>
      <c r="K984" s="6" t="n">
        <v>2.26120827463528</v>
      </c>
      <c r="L984" s="6" t="n">
        <v>-4.45402902957339</v>
      </c>
      <c r="M984" s="6" t="n">
        <v>-0.529674095201137</v>
      </c>
      <c r="N984" s="6" t="n">
        <v>0.756419208688732</v>
      </c>
      <c r="O984" s="6" t="n">
        <v>-1.77759645397282</v>
      </c>
      <c r="P984" s="6" t="n">
        <v>-0.998415904053398</v>
      </c>
      <c r="Q984" s="6" t="n">
        <v>2.42914541986815</v>
      </c>
      <c r="R984" s="6" t="n">
        <v>0.155376497394416</v>
      </c>
      <c r="S984" s="6" t="n">
        <v>1.08937795253554</v>
      </c>
      <c r="T984" s="6" t="n">
        <v>-1.18225419285222</v>
      </c>
      <c r="U984" s="6" t="n">
        <v>2.4678904585555</v>
      </c>
      <c r="V984" s="6" t="n">
        <v>2.46480310456997</v>
      </c>
      <c r="W984" s="6" t="n">
        <v>-2.88786162646981</v>
      </c>
      <c r="X984" s="6" t="n">
        <v>1.36140387060386</v>
      </c>
      <c r="Y984" s="6" t="n">
        <v>1.07071716872945</v>
      </c>
      <c r="Z984" s="6" t="n">
        <v>-1.12999383609745</v>
      </c>
      <c r="AA984" s="6" t="n">
        <v>3.76874303063877</v>
      </c>
      <c r="AB984" s="6" t="n">
        <v>-1.78384642529624</v>
      </c>
      <c r="AC984" s="6" t="n">
        <v>1.80710545970684</v>
      </c>
      <c r="AD984" s="6" t="n">
        <v>-3.0068168106788</v>
      </c>
      <c r="AE984" s="6" t="n">
        <v>-4.36345769369624</v>
      </c>
      <c r="AF984" s="6" t="n">
        <v>1.14021477620262</v>
      </c>
      <c r="AG984" s="6" t="n">
        <v>-0.461210619191761</v>
      </c>
      <c r="AH984" s="6" t="n">
        <v>1.31918711772189</v>
      </c>
      <c r="AI984" s="6" t="n">
        <v>1.23089866217879</v>
      </c>
      <c r="AJ984" s="6" t="n">
        <v>68.3019136851994</v>
      </c>
      <c r="AK984" s="6" t="n">
        <v>0.112276781792933</v>
      </c>
      <c r="AL984" s="6" t="n">
        <v>1.06243397964295</v>
      </c>
      <c r="AN984" s="6" t="n">
        <v>1.29282205759661</v>
      </c>
      <c r="AO984" s="6" t="n">
        <v>1.293472068804</v>
      </c>
      <c r="AP984" s="6" t="n">
        <v>0.133107439752361</v>
      </c>
      <c r="AQ984" s="6" t="n">
        <v>0</v>
      </c>
      <c r="AR984" s="6" t="n">
        <v>0</v>
      </c>
    </row>
    <row r="985" customFormat="false" ht="15" hidden="false" customHeight="false" outlineLevel="0" collapsed="false">
      <c r="D985" s="0" t="s">
        <v>1111</v>
      </c>
      <c r="J985" s="6" t="n">
        <v>-0.569388640533758</v>
      </c>
      <c r="K985" s="6" t="n">
        <v>-0.285644054970679</v>
      </c>
      <c r="L985" s="6" t="n">
        <v>-4.0716243717902</v>
      </c>
      <c r="M985" s="6" t="n">
        <v>0.849171238845436</v>
      </c>
      <c r="N985" s="6" t="n">
        <v>-1.27528832321146</v>
      </c>
      <c r="O985" s="6" t="n">
        <v>-1.16317404038389</v>
      </c>
      <c r="P985" s="6" t="n">
        <v>-0.353072831725056</v>
      </c>
      <c r="Q985" s="6" t="n">
        <v>-2.27317916165746</v>
      </c>
      <c r="R985" s="6" t="n">
        <v>-2.26226466108426</v>
      </c>
      <c r="S985" s="6" t="n">
        <v>1.28515383798776</v>
      </c>
      <c r="T985" s="6" t="n">
        <v>0.0920247685316285</v>
      </c>
      <c r="U985" s="6" t="n">
        <v>-3.5556796719821</v>
      </c>
      <c r="V985" s="6" t="n">
        <v>0.146261072674145</v>
      </c>
      <c r="W985" s="6" t="n">
        <v>-3.37870257698434</v>
      </c>
      <c r="X985" s="6" t="n">
        <v>-0.930269341866415</v>
      </c>
      <c r="Y985" s="6" t="n">
        <v>0.575159515392048</v>
      </c>
      <c r="Z985" s="6" t="n">
        <v>1.93872150995708</v>
      </c>
      <c r="AA985" s="6" t="n">
        <v>-2.25684103318343</v>
      </c>
      <c r="AB985" s="6" t="n">
        <v>-0.477574754223912</v>
      </c>
      <c r="AC985" s="6" t="n">
        <v>0.843584988428655</v>
      </c>
      <c r="AD985" s="6" t="n">
        <v>0.978758895428245</v>
      </c>
      <c r="AE985" s="6" t="n">
        <v>0.787170852479612</v>
      </c>
      <c r="AF985" s="6" t="n">
        <v>-0.218263230312735</v>
      </c>
      <c r="AG985" s="6" t="n">
        <v>-1.4462447666853</v>
      </c>
      <c r="AH985" s="6" t="n">
        <v>-2.152558190651</v>
      </c>
      <c r="AI985" s="6" t="n">
        <v>4.5283819571461</v>
      </c>
      <c r="AJ985" s="6" t="n">
        <v>76.1837994701044</v>
      </c>
      <c r="AK985" s="6" t="n">
        <v>0.146440312103878</v>
      </c>
      <c r="AL985" s="6" t="n">
        <v>1.04664466411595</v>
      </c>
      <c r="AN985" s="6" t="n">
        <v>1.29780288943709</v>
      </c>
      <c r="AO985" s="6" t="n">
        <v>1.29851594872222</v>
      </c>
      <c r="AP985" s="6" t="n">
        <v>0.133797567995479</v>
      </c>
      <c r="AQ985" s="6" t="n">
        <v>0</v>
      </c>
      <c r="AR985" s="6" t="n">
        <v>0</v>
      </c>
    </row>
    <row r="986" customFormat="false" ht="15" hidden="false" customHeight="false" outlineLevel="0" collapsed="false">
      <c r="D986" s="0" t="s">
        <v>1112</v>
      </c>
      <c r="J986" s="6" t="n">
        <v>1.32475080495552</v>
      </c>
      <c r="K986" s="6" t="n">
        <v>0.710981683984386</v>
      </c>
      <c r="L986" s="6" t="n">
        <v>3.33403381822762</v>
      </c>
      <c r="M986" s="6" t="n">
        <v>-2.76380811789024</v>
      </c>
      <c r="N986" s="6" t="n">
        <v>-3.88800877978106</v>
      </c>
      <c r="O986" s="6" t="n">
        <v>0.0134145707434614</v>
      </c>
      <c r="P986" s="6" t="n">
        <v>0.686907152338264</v>
      </c>
      <c r="Q986" s="6" t="n">
        <v>0.194427938197984</v>
      </c>
      <c r="R986" s="6" t="n">
        <v>-0.5969605961357</v>
      </c>
      <c r="S986" s="6" t="n">
        <v>-0.697274186000698</v>
      </c>
      <c r="T986" s="6" t="n">
        <v>0.0557104394511607</v>
      </c>
      <c r="U986" s="6" t="n">
        <v>2.39988873953238</v>
      </c>
      <c r="V986" s="6" t="n">
        <v>-1.8234481796946</v>
      </c>
      <c r="W986" s="6" t="n">
        <v>0.0580652289168996</v>
      </c>
      <c r="X986" s="6" t="n">
        <v>-1.7346233046624</v>
      </c>
      <c r="Y986" s="6" t="n">
        <v>-0.874258571352997</v>
      </c>
      <c r="Z986" s="6" t="n">
        <v>0.279273778865045</v>
      </c>
      <c r="AA986" s="6" t="n">
        <v>-1.36921103917008</v>
      </c>
      <c r="AB986" s="6" t="n">
        <v>-2.97268172882154</v>
      </c>
      <c r="AC986" s="6" t="n">
        <v>-2.37267519997378</v>
      </c>
      <c r="AD986" s="6" t="n">
        <v>-1.54037122494219</v>
      </c>
      <c r="AE986" s="6" t="n">
        <v>-0.437351409275591</v>
      </c>
      <c r="AF986" s="6" t="n">
        <v>1.06732303197644</v>
      </c>
      <c r="AG986" s="6" t="n">
        <v>-0.861632760850625</v>
      </c>
      <c r="AH986" s="6" t="n">
        <v>-0.0931848458712781</v>
      </c>
      <c r="AI986" s="6" t="n">
        <v>0.187517880270806</v>
      </c>
      <c r="AJ986" s="6" t="n">
        <v>71.4217343116532</v>
      </c>
      <c r="AK986" s="6" t="n">
        <v>0.119054439724627</v>
      </c>
      <c r="AL986" s="6" t="n">
        <v>1.054820811119</v>
      </c>
      <c r="AN986" s="6" t="n">
        <v>1.29362584665253</v>
      </c>
      <c r="AO986" s="6" t="n">
        <v>1.29427727669837</v>
      </c>
      <c r="AP986" s="6" t="n">
        <v>0.133211360996133</v>
      </c>
      <c r="AQ986" s="6" t="n">
        <v>0</v>
      </c>
      <c r="AR986" s="6" t="n">
        <v>0</v>
      </c>
    </row>
    <row r="987" customFormat="false" ht="15" hidden="false" customHeight="false" outlineLevel="0" collapsed="false">
      <c r="D987" s="0" t="s">
        <v>1113</v>
      </c>
      <c r="J987" s="6" t="n">
        <v>-1.67217524591915</v>
      </c>
      <c r="K987" s="6" t="n">
        <v>1.3656794974512</v>
      </c>
      <c r="L987" s="6" t="n">
        <v>0.763526918281178</v>
      </c>
      <c r="M987" s="6" t="n">
        <v>0.708976974375478</v>
      </c>
      <c r="N987" s="6" t="n">
        <v>-0.610199310606115</v>
      </c>
      <c r="O987" s="6" t="n">
        <v>-1.10392017929771</v>
      </c>
      <c r="P987" s="6" t="n">
        <v>-0.221545040883664</v>
      </c>
      <c r="Q987" s="6" t="n">
        <v>0.217951304537369</v>
      </c>
      <c r="R987" s="6" t="n">
        <v>-1.66975828006731</v>
      </c>
      <c r="S987" s="6" t="n">
        <v>-3.15017914464372</v>
      </c>
      <c r="T987" s="6" t="n">
        <v>-0.282678509395971</v>
      </c>
      <c r="U987" s="6" t="n">
        <v>0.0941157403057922</v>
      </c>
      <c r="V987" s="6" t="n">
        <v>3.27229124856539</v>
      </c>
      <c r="W987" s="6" t="n">
        <v>-1.89144556749013</v>
      </c>
      <c r="X987" s="6" t="n">
        <v>-3.68711189086635</v>
      </c>
      <c r="Y987" s="6" t="n">
        <v>-5.61124321194066</v>
      </c>
      <c r="Z987" s="6" t="n">
        <v>-0.0291200086977677</v>
      </c>
      <c r="AA987" s="6" t="n">
        <v>-1.61065483297242</v>
      </c>
      <c r="AB987" s="6" t="n">
        <v>-1.11461499754574</v>
      </c>
      <c r="AC987" s="6" t="n">
        <v>-0.104077312000641</v>
      </c>
      <c r="AD987" s="6" t="n">
        <v>2.19098491386337</v>
      </c>
      <c r="AE987" s="6" t="n">
        <v>0.960506363590944</v>
      </c>
      <c r="AF987" s="6" t="n">
        <v>0.0755821939727522</v>
      </c>
      <c r="AG987" s="6" t="n">
        <v>-2.77970499502851</v>
      </c>
      <c r="AH987" s="6" t="n">
        <v>1.73936103805057</v>
      </c>
      <c r="AI987" s="6" t="n">
        <v>-3.5994902706159</v>
      </c>
      <c r="AJ987" s="6" t="n">
        <v>80.827508521295</v>
      </c>
      <c r="AK987" s="6" t="n">
        <v>0.134795871838809</v>
      </c>
      <c r="AL987" s="6" t="n">
        <v>1.09518131650726</v>
      </c>
      <c r="AN987" s="6" t="n">
        <v>1.28092797803928</v>
      </c>
      <c r="AO987" s="6" t="n">
        <v>1.28160131433648</v>
      </c>
      <c r="AP987" s="6" t="n">
        <v>0.130736622035208</v>
      </c>
      <c r="AQ987" s="6" t="n">
        <v>0</v>
      </c>
      <c r="AR987" s="6" t="n">
        <v>0</v>
      </c>
    </row>
    <row r="988" customFormat="false" ht="15" hidden="false" customHeight="false" outlineLevel="0" collapsed="false">
      <c r="D988" s="0" t="s">
        <v>1114</v>
      </c>
      <c r="J988" s="6" t="n">
        <v>0.55953593932652</v>
      </c>
      <c r="K988" s="6" t="n">
        <v>-0.743983866990066</v>
      </c>
      <c r="L988" s="6" t="n">
        <v>1.14646325916918</v>
      </c>
      <c r="M988" s="6" t="n">
        <v>2.65396978470593</v>
      </c>
      <c r="N988" s="6" t="n">
        <v>2.14564334355961</v>
      </c>
      <c r="O988" s="6" t="n">
        <v>-0.953462990649916</v>
      </c>
      <c r="P988" s="6" t="n">
        <v>1.02544497261784</v>
      </c>
      <c r="Q988" s="6" t="n">
        <v>1.55525849812092</v>
      </c>
      <c r="R988" s="6" t="n">
        <v>0.270834297994586</v>
      </c>
      <c r="S988" s="6" t="n">
        <v>2.86112080481334</v>
      </c>
      <c r="T988" s="6" t="n">
        <v>-3.68648376927153</v>
      </c>
      <c r="U988" s="6" t="n">
        <v>1.2260986447267</v>
      </c>
      <c r="V988" s="6" t="n">
        <v>0.775937873274755</v>
      </c>
      <c r="W988" s="6" t="n">
        <v>2.13247855383105</v>
      </c>
      <c r="X988" s="6" t="n">
        <v>-0.249294657044803</v>
      </c>
      <c r="Y988" s="6" t="n">
        <v>4.13785219121121</v>
      </c>
      <c r="Z988" s="6" t="n">
        <v>-1.08744545277337</v>
      </c>
      <c r="AA988" s="6" t="n">
        <v>-0.726939603551106</v>
      </c>
      <c r="AB988" s="6" t="n">
        <v>0.770421668931101</v>
      </c>
      <c r="AC988" s="6" t="n">
        <v>2.16013900462682</v>
      </c>
      <c r="AD988" s="6" t="n">
        <v>0.683265704360282</v>
      </c>
      <c r="AE988" s="6" t="n">
        <v>-1.42359207941188</v>
      </c>
      <c r="AF988" s="6" t="n">
        <v>-0.0536759742599344</v>
      </c>
      <c r="AG988" s="6" t="n">
        <v>-0.731278178983297</v>
      </c>
      <c r="AH988" s="6" t="n">
        <v>-1.50402134434306</v>
      </c>
      <c r="AI988" s="6" t="n">
        <v>2.59727408616701</v>
      </c>
      <c r="AJ988" s="6" t="n">
        <v>74.7068073979168</v>
      </c>
      <c r="AK988" s="6" t="n">
        <v>0.0905397425018421</v>
      </c>
      <c r="AL988" s="6" t="n">
        <v>1.03091868716147</v>
      </c>
      <c r="AN988" s="6" t="n">
        <v>1.31027618369553</v>
      </c>
      <c r="AO988" s="6" t="n">
        <v>1.31035713823062</v>
      </c>
      <c r="AP988" s="6" t="n">
        <v>0.137141782936192</v>
      </c>
      <c r="AQ988" s="6" t="n">
        <v>0</v>
      </c>
      <c r="AR988" s="6" t="n">
        <v>0</v>
      </c>
    </row>
    <row r="989" customFormat="false" ht="15" hidden="false" customHeight="false" outlineLevel="0" collapsed="false">
      <c r="D989" s="0" t="s">
        <v>1115</v>
      </c>
      <c r="J989" s="6" t="n">
        <v>-0.862733776161327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-2.92385219098347</v>
      </c>
      <c r="O989" s="6" t="n">
        <v>1.80996432866901</v>
      </c>
      <c r="P989" s="6" t="n">
        <v>-2.0205410796906</v>
      </c>
      <c r="Q989" s="6" t="n">
        <v>0.858583988126066</v>
      </c>
      <c r="R989" s="6" t="n">
        <v>0.183494853969999</v>
      </c>
      <c r="S989" s="6" t="n">
        <v>3.01027790470661</v>
      </c>
      <c r="T989" s="6" t="n">
        <v>4.007301194281</v>
      </c>
      <c r="U989" s="6" t="n">
        <v>1.42500172457067</v>
      </c>
      <c r="V989" s="6" t="n">
        <v>1.46599900653103</v>
      </c>
      <c r="W989" s="6" t="n">
        <v>-2.76019569621832</v>
      </c>
      <c r="X989" s="6" t="n">
        <v>-3.46484963803305</v>
      </c>
      <c r="Y989" s="6" t="n">
        <v>0.641671159704735</v>
      </c>
      <c r="Z989" s="6" t="n">
        <v>3.90956297451921</v>
      </c>
      <c r="AA989" s="6" t="n">
        <v>0.529237242438197</v>
      </c>
      <c r="AB989" s="6" t="n">
        <v>0.73289822952906</v>
      </c>
      <c r="AC989" s="6" t="n">
        <v>0.425138161752498</v>
      </c>
      <c r="AD989" s="6" t="n">
        <v>-2.3045104273826</v>
      </c>
      <c r="AE989" s="6" t="n">
        <v>-0.182687578387502</v>
      </c>
      <c r="AF989" s="6" t="n">
        <v>-2.08572160545282</v>
      </c>
      <c r="AG989" s="6" t="n">
        <v>0.159917688435881</v>
      </c>
      <c r="AH989" s="6" t="n">
        <v>0.903625216747731</v>
      </c>
      <c r="AI989" s="6" t="n">
        <v>-0.063801521289262</v>
      </c>
      <c r="AJ989" s="6" t="n">
        <v>67.3081907755729</v>
      </c>
      <c r="AK989" s="6" t="n">
        <v>0.119639502491859</v>
      </c>
      <c r="AL989" s="6" t="n">
        <v>1.03348972837881</v>
      </c>
      <c r="AN989" s="6" t="n">
        <v>1.29943079025848</v>
      </c>
      <c r="AO989" s="6" t="n">
        <v>1.30026639267203</v>
      </c>
      <c r="AP989" s="6" t="n">
        <v>0.13548228478692</v>
      </c>
      <c r="AQ989" s="6" t="n">
        <v>0</v>
      </c>
      <c r="AR989" s="6" t="n">
        <v>0</v>
      </c>
    </row>
    <row r="990" customFormat="false" ht="15" hidden="false" customHeight="false" outlineLevel="0" collapsed="false">
      <c r="D990" s="0" t="s">
        <v>1116</v>
      </c>
      <c r="J990" s="6" t="n">
        <v>-0.465955371071063</v>
      </c>
      <c r="K990" s="6" t="n">
        <v>-2.81218439560036</v>
      </c>
      <c r="L990" s="6" t="n">
        <v>0.807694614968037</v>
      </c>
      <c r="M990" s="6" t="n">
        <v>1.7967173861511</v>
      </c>
      <c r="N990" s="6" t="n">
        <v>-0.140003420327497</v>
      </c>
      <c r="O990" s="6" t="n">
        <v>5</v>
      </c>
      <c r="P990" s="6" t="n">
        <v>2.67007147474008</v>
      </c>
      <c r="Q990" s="6" t="n">
        <v>-0.474210666584344</v>
      </c>
      <c r="R990" s="6" t="n">
        <v>0.67022547103325</v>
      </c>
      <c r="S990" s="6" t="n">
        <v>-1.77767855132344</v>
      </c>
      <c r="T990" s="6" t="n">
        <v>1.34563667872565</v>
      </c>
      <c r="U990" s="6" t="n">
        <v>1.71669648392153</v>
      </c>
      <c r="V990" s="6" t="n">
        <v>1.28351427890722</v>
      </c>
      <c r="W990" s="6" t="n">
        <v>-0.474415754763716</v>
      </c>
      <c r="X990" s="6" t="n">
        <v>0.935262464835342</v>
      </c>
      <c r="Y990" s="6" t="n">
        <v>-0.744850066573484</v>
      </c>
      <c r="Z990" s="6" t="n">
        <v>1.12104627346176</v>
      </c>
      <c r="AA990" s="6" t="n">
        <v>-3.10842081918844</v>
      </c>
      <c r="AB990" s="6" t="n">
        <v>0.839498909609196</v>
      </c>
      <c r="AC990" s="6" t="n">
        <v>5</v>
      </c>
      <c r="AD990" s="6" t="n">
        <v>-0.517149587041302</v>
      </c>
      <c r="AE990" s="6" t="n">
        <v>-1.2695051415791</v>
      </c>
      <c r="AF990" s="6" t="n">
        <v>1.77503502172814</v>
      </c>
      <c r="AG990" s="6" t="n">
        <v>1.09278837061405</v>
      </c>
      <c r="AH990" s="6" t="n">
        <v>-0.76227142633305</v>
      </c>
      <c r="AI990" s="6" t="n">
        <v>-3.76788516814213</v>
      </c>
      <c r="AJ990" s="6" t="n">
        <v>68.5919998755094</v>
      </c>
      <c r="AK990" s="6" t="n">
        <v>0.100498600265984</v>
      </c>
      <c r="AL990" s="6" t="n">
        <v>1.05393078084235</v>
      </c>
      <c r="AN990" s="6" t="n">
        <v>1.29480475819448</v>
      </c>
      <c r="AO990" s="6" t="n">
        <v>1.29524697576366</v>
      </c>
      <c r="AP990" s="6" t="n">
        <v>0.133968093369715</v>
      </c>
      <c r="AQ990" s="6" t="n">
        <v>0</v>
      </c>
      <c r="AR990" s="6" t="n">
        <v>0</v>
      </c>
    </row>
    <row r="991" customFormat="false" ht="15" hidden="false" customHeight="false" outlineLevel="0" collapsed="false">
      <c r="D991" s="0" t="s">
        <v>1117</v>
      </c>
      <c r="J991" s="6" t="n">
        <v>3.74549685298837</v>
      </c>
      <c r="K991" s="6" t="n">
        <v>-2.28820911101346</v>
      </c>
      <c r="L991" s="6" t="n">
        <v>-2.93249552647268</v>
      </c>
      <c r="M991" s="6" t="n">
        <v>-1.21763007473838</v>
      </c>
      <c r="N991" s="6" t="n">
        <v>-1.23226404185559</v>
      </c>
      <c r="O991" s="6" t="n">
        <v>1.24282431931489</v>
      </c>
      <c r="P991" s="6" t="n">
        <v>-0.297541189185527</v>
      </c>
      <c r="Q991" s="6" t="n">
        <v>0.271507694116898</v>
      </c>
      <c r="R991" s="6" t="n">
        <v>-2.84693550484918</v>
      </c>
      <c r="S991" s="6" t="n">
        <v>-1.02799192859899</v>
      </c>
      <c r="T991" s="6" t="n">
        <v>-2.09694500141121</v>
      </c>
      <c r="U991" s="6" t="n">
        <v>-2.30001785943201</v>
      </c>
      <c r="V991" s="6" t="n">
        <v>-1.72020742688334</v>
      </c>
      <c r="W991" s="6" t="n">
        <v>2.10449907191152</v>
      </c>
      <c r="X991" s="6" t="n">
        <v>-0.138228137346831</v>
      </c>
      <c r="Y991" s="6" t="n">
        <v>-0.383396631727689</v>
      </c>
      <c r="Z991" s="6" t="n">
        <v>0.343834654371941</v>
      </c>
      <c r="AA991" s="6" t="n">
        <v>1.69890537152372</v>
      </c>
      <c r="AB991" s="6" t="n">
        <v>-1.91807762762782</v>
      </c>
      <c r="AC991" s="6" t="n">
        <v>1.96142859100582</v>
      </c>
      <c r="AD991" s="6" t="n">
        <v>2.30348412869673</v>
      </c>
      <c r="AE991" s="6" t="n">
        <v>0.539471348827072</v>
      </c>
      <c r="AF991" s="6" t="n">
        <v>3.83726588728511</v>
      </c>
      <c r="AG991" s="6" t="n">
        <v>-1.14550788857872</v>
      </c>
      <c r="AH991" s="6" t="n">
        <v>2.36630693716409</v>
      </c>
      <c r="AI991" s="6" t="n">
        <v>-1.19764076039784</v>
      </c>
      <c r="AJ991" s="6" t="n">
        <v>75.7090351794717</v>
      </c>
      <c r="AK991" s="6" t="n">
        <v>0.098637049002232</v>
      </c>
      <c r="AL991" s="6" t="n">
        <v>1.01531693196041</v>
      </c>
      <c r="AN991" s="6" t="n">
        <v>1.31661276382874</v>
      </c>
      <c r="AO991" s="6" t="n">
        <v>1.31661276382874</v>
      </c>
      <c r="AP991" s="6" t="n">
        <v>0.139200740323928</v>
      </c>
      <c r="AQ991" s="6" t="n">
        <v>0</v>
      </c>
      <c r="AR991" s="6" t="n">
        <v>0</v>
      </c>
    </row>
    <row r="992" customFormat="false" ht="15" hidden="false" customHeight="false" outlineLevel="0" collapsed="false">
      <c r="D992" s="0" t="s">
        <v>1118</v>
      </c>
      <c r="J992" s="6" t="n">
        <v>-0.634893051349267</v>
      </c>
      <c r="K992" s="6" t="n">
        <v>-2.64082485989188</v>
      </c>
      <c r="L992" s="6" t="n">
        <v>3.05726232576574</v>
      </c>
      <c r="M992" s="6" t="n">
        <v>-1.79347242568093</v>
      </c>
      <c r="N992" s="6" t="n">
        <v>-2.0325661341631</v>
      </c>
      <c r="O992" s="6" t="n">
        <v>-2.12919881310033</v>
      </c>
      <c r="P992" s="6" t="n">
        <v>2.28505007003086</v>
      </c>
      <c r="Q992" s="6" t="n">
        <v>-0.832559320127906</v>
      </c>
      <c r="R992" s="6" t="n">
        <v>-4.22642522661855</v>
      </c>
      <c r="S992" s="6" t="n">
        <v>-0.818781356256739</v>
      </c>
      <c r="T992" s="6" t="n">
        <v>-2.1885798247417</v>
      </c>
      <c r="U992" s="6" t="n">
        <v>-3.63314348606001</v>
      </c>
      <c r="V992" s="6" t="n">
        <v>3.8980086683754</v>
      </c>
      <c r="W992" s="6" t="n">
        <v>-4.62803097078011</v>
      </c>
      <c r="X992" s="6" t="n">
        <v>-1.53285993137832</v>
      </c>
      <c r="Y992" s="6" t="n">
        <v>-1.34573306206952</v>
      </c>
      <c r="Z992" s="6" t="n">
        <v>0.557818781903269</v>
      </c>
      <c r="AA992" s="6" t="n">
        <v>2.68725922808051</v>
      </c>
      <c r="AB992" s="6" t="n">
        <v>-3.73679376092152</v>
      </c>
      <c r="AC992" s="6" t="n">
        <v>2.05319287115286</v>
      </c>
      <c r="AD992" s="6" t="n">
        <v>0.797615599059729</v>
      </c>
      <c r="AE992" s="6" t="n">
        <v>-3.86712796960235</v>
      </c>
      <c r="AF992" s="6" t="n">
        <v>2.02578691132898</v>
      </c>
      <c r="AG992" s="6" t="n">
        <v>4.18307186418347</v>
      </c>
      <c r="AH992" s="6" t="n">
        <v>-2.72582279241641</v>
      </c>
      <c r="AI992" s="6" t="n">
        <v>-2.42455585784162</v>
      </c>
      <c r="AJ992" s="6" t="n">
        <v>65.7857697591508</v>
      </c>
      <c r="AK992" s="6" t="n">
        <v>0.114357954032562</v>
      </c>
      <c r="AL992" s="6" t="n">
        <v>1.04253951378977</v>
      </c>
      <c r="AN992" s="6" t="n">
        <v>1.29854387082003</v>
      </c>
      <c r="AO992" s="6" t="n">
        <v>1.29992931798243</v>
      </c>
      <c r="AP992" s="6" t="n">
        <v>0.134136076122885</v>
      </c>
      <c r="AQ992" s="6" t="n">
        <v>0</v>
      </c>
      <c r="AR992" s="6" t="n">
        <v>0</v>
      </c>
    </row>
    <row r="993" customFormat="false" ht="15" hidden="false" customHeight="false" outlineLevel="0" collapsed="false">
      <c r="D993" s="0" t="s">
        <v>1119</v>
      </c>
      <c r="J993" s="6" t="n">
        <v>-3.49677304349956</v>
      </c>
      <c r="K993" s="6" t="n">
        <v>1.42055622389132</v>
      </c>
      <c r="L993" s="6" t="n">
        <v>2.18314540371013</v>
      </c>
      <c r="M993" s="6" t="n">
        <v>-4.24484397997808</v>
      </c>
      <c r="N993" s="6" t="n">
        <v>-0.783097192668621</v>
      </c>
      <c r="O993" s="6" t="n">
        <v>0.243734362273999</v>
      </c>
      <c r="P993" s="6" t="n">
        <v>0.717679004057507</v>
      </c>
      <c r="Q993" s="6" t="n">
        <v>-3.132738081395</v>
      </c>
      <c r="R993" s="6" t="n">
        <v>2.37761827004576</v>
      </c>
      <c r="S993" s="6" t="n">
        <v>0.00229445625486956</v>
      </c>
      <c r="T993" s="6" t="n">
        <v>2.15915404383269</v>
      </c>
      <c r="U993" s="6" t="n">
        <v>0.296872699065086</v>
      </c>
      <c r="V993" s="6" t="n">
        <v>-4.26547798199506</v>
      </c>
      <c r="W993" s="6" t="n">
        <v>2.22697038388497</v>
      </c>
      <c r="X993" s="6" t="n">
        <v>0.578444999175476</v>
      </c>
      <c r="Y993" s="6" t="n">
        <v>2.43299057642262</v>
      </c>
      <c r="Z993" s="6" t="n">
        <v>-1.09127610699978</v>
      </c>
      <c r="AA993" s="6" t="n">
        <v>-1.78599698820763</v>
      </c>
      <c r="AB993" s="6" t="n">
        <v>-0.880583123593832</v>
      </c>
      <c r="AC993" s="6" t="n">
        <v>2.9608921003985</v>
      </c>
      <c r="AD993" s="6" t="n">
        <v>3.3967509223338</v>
      </c>
      <c r="AE993" s="6" t="n">
        <v>-0.0193344034334515</v>
      </c>
      <c r="AF993" s="6" t="n">
        <v>-1.65267853850268</v>
      </c>
      <c r="AG993" s="6" t="n">
        <v>-0.950792730381688</v>
      </c>
      <c r="AH993" s="6" t="n">
        <v>-2.75539963390519</v>
      </c>
      <c r="AI993" s="6" t="n">
        <v>1.76354094273958</v>
      </c>
      <c r="AJ993" s="6" t="n">
        <v>73.0820210399845</v>
      </c>
      <c r="AK993" s="6" t="n">
        <v>0.0665832593620871</v>
      </c>
      <c r="AL993" s="6" t="n">
        <v>1.08892130749777</v>
      </c>
      <c r="AN993" s="6" t="n">
        <v>1.28748701098225</v>
      </c>
      <c r="AO993" s="6" t="n">
        <v>1.28812488597862</v>
      </c>
      <c r="AP993" s="6" t="n">
        <v>0.131848308797393</v>
      </c>
      <c r="AQ993" s="6" t="n">
        <v>0</v>
      </c>
      <c r="AR993" s="6" t="n">
        <v>0</v>
      </c>
    </row>
    <row r="994" customFormat="false" ht="15" hidden="false" customHeight="false" outlineLevel="0" collapsed="false">
      <c r="D994" s="0" t="s">
        <v>1120</v>
      </c>
      <c r="J994" s="6" t="n">
        <v>2.11985231819578</v>
      </c>
      <c r="K994" s="6" t="n">
        <v>1.78750277874658</v>
      </c>
      <c r="L994" s="6" t="n">
        <v>-5.260447700847</v>
      </c>
      <c r="M994" s="6" t="n">
        <v>3.02330549972741</v>
      </c>
      <c r="N994" s="6" t="n">
        <v>0.477710182470159</v>
      </c>
      <c r="O994" s="6" t="n">
        <v>-0.547180871931038</v>
      </c>
      <c r="P994" s="6" t="n">
        <v>-0.188552440853363</v>
      </c>
      <c r="Q994" s="6" t="n">
        <v>-0.151953991603094</v>
      </c>
      <c r="R994" s="6" t="n">
        <v>-0.666877013656358</v>
      </c>
      <c r="S994" s="6" t="n">
        <v>-0.528130687141747</v>
      </c>
      <c r="T994" s="6" t="n">
        <v>1.09181425042891</v>
      </c>
      <c r="U994" s="6" t="n">
        <v>-1.35038314650712</v>
      </c>
      <c r="V994" s="6" t="n">
        <v>-0.469998172354735</v>
      </c>
      <c r="W994" s="6" t="n">
        <v>-2.95839239853931</v>
      </c>
      <c r="X994" s="6" t="n">
        <v>0.554997283379419</v>
      </c>
      <c r="Y994" s="6" t="n">
        <v>-0.285709914114906</v>
      </c>
      <c r="Z994" s="6" t="n">
        <v>0.113740752355582</v>
      </c>
      <c r="AA994" s="6" t="n">
        <v>-1.66241297762066</v>
      </c>
      <c r="AB994" s="6" t="n">
        <v>-0.478950145776559</v>
      </c>
      <c r="AC994" s="6" t="n">
        <v>-2.93910958215997</v>
      </c>
      <c r="AD994" s="6" t="n">
        <v>0.206625838078211</v>
      </c>
      <c r="AE994" s="6" t="n">
        <v>0.136687855595898</v>
      </c>
      <c r="AF994" s="6" t="n">
        <v>5</v>
      </c>
      <c r="AG994" s="6" t="n">
        <v>-0.56509529709403</v>
      </c>
      <c r="AH994" s="6" t="n">
        <v>1.17206245764216</v>
      </c>
      <c r="AI994" s="6" t="n">
        <v>-1.36664249905385</v>
      </c>
      <c r="AJ994" s="6" t="n">
        <v>73.498705055544</v>
      </c>
      <c r="AK994" s="6" t="n">
        <v>0.129697816578306</v>
      </c>
      <c r="AL994" s="6" t="n">
        <v>1.11971999360683</v>
      </c>
      <c r="AN994" s="6" t="n">
        <v>1.2722967513206</v>
      </c>
      <c r="AO994" s="6" t="n">
        <v>1.27277490349062</v>
      </c>
      <c r="AP994" s="6" t="n">
        <v>0.129437945970191</v>
      </c>
      <c r="AQ994" s="6" t="n">
        <v>0</v>
      </c>
      <c r="AR994" s="6" t="n">
        <v>0</v>
      </c>
    </row>
    <row r="995" customFormat="false" ht="15" hidden="false" customHeight="false" outlineLevel="0" collapsed="false">
      <c r="D995" s="0" t="s">
        <v>1121</v>
      </c>
      <c r="J995" s="6" t="n">
        <v>0.612193368674536</v>
      </c>
      <c r="K995" s="6" t="n">
        <v>-2.2948666752547</v>
      </c>
      <c r="L995" s="6" t="n">
        <v>0.88313838283918</v>
      </c>
      <c r="M995" s="6" t="n">
        <v>-1.23109144641313</v>
      </c>
      <c r="N995" s="6" t="n">
        <v>4.6128359257869</v>
      </c>
      <c r="O995" s="6" t="n">
        <v>-2.02439784995715</v>
      </c>
      <c r="P995" s="6" t="n">
        <v>-1.4918589505899</v>
      </c>
      <c r="Q995" s="6" t="n">
        <v>-2.37565597174878</v>
      </c>
      <c r="R995" s="6" t="n">
        <v>0.679953137611301</v>
      </c>
      <c r="S995" s="6" t="n">
        <v>0.957966973044761</v>
      </c>
      <c r="T995" s="6" t="n">
        <v>-0.664970248262725</v>
      </c>
      <c r="U995" s="6" t="n">
        <v>1.73852065919596</v>
      </c>
      <c r="V995" s="6" t="n">
        <v>1.81818816593144</v>
      </c>
      <c r="W995" s="6" t="n">
        <v>-1.35675160611996</v>
      </c>
      <c r="X995" s="6" t="n">
        <v>-0.479916439785871</v>
      </c>
      <c r="Y995" s="6" t="n">
        <v>-0.841737481132608</v>
      </c>
      <c r="Z995" s="6" t="n">
        <v>-1.10527345626863</v>
      </c>
      <c r="AA995" s="6" t="n">
        <v>-2.71011642162135</v>
      </c>
      <c r="AB995" s="6" t="n">
        <v>3.56329589897655</v>
      </c>
      <c r="AC995" s="6" t="n">
        <v>1.11241756824471</v>
      </c>
      <c r="AD995" s="6" t="n">
        <v>2.1354755635116</v>
      </c>
      <c r="AE995" s="6" t="n">
        <v>0.205554094509517</v>
      </c>
      <c r="AF995" s="6" t="n">
        <v>-2.79845832460389</v>
      </c>
      <c r="AG995" s="6" t="n">
        <v>-0.842158480962148</v>
      </c>
      <c r="AH995" s="6" t="n">
        <v>-1.62912317274754</v>
      </c>
      <c r="AI995" s="6" t="n">
        <v>1.92829429411742</v>
      </c>
      <c r="AJ995" s="6" t="n">
        <v>79.8022286530185</v>
      </c>
      <c r="AK995" s="6" t="n">
        <v>0.0925325298893567</v>
      </c>
      <c r="AL995" s="6" t="n">
        <v>1.05741653424419</v>
      </c>
      <c r="AN995" s="6" t="n">
        <v>1.30256546328837</v>
      </c>
      <c r="AO995" s="6" t="n">
        <v>1.3033604243393</v>
      </c>
      <c r="AP995" s="6" t="n">
        <v>0.134529141795312</v>
      </c>
      <c r="AQ995" s="6" t="n">
        <v>0</v>
      </c>
      <c r="AR995" s="6" t="n">
        <v>0</v>
      </c>
    </row>
    <row r="996" customFormat="false" ht="15" hidden="false" customHeight="false" outlineLevel="0" collapsed="false">
      <c r="D996" s="0" t="s">
        <v>1122</v>
      </c>
      <c r="J996" s="6" t="n">
        <v>1.63718623717902</v>
      </c>
      <c r="K996" s="6" t="n">
        <v>-2.40940278114625</v>
      </c>
      <c r="L996" s="6" t="n">
        <v>5</v>
      </c>
      <c r="M996" s="6" t="n">
        <v>-2.44585020122696</v>
      </c>
      <c r="N996" s="6" t="n">
        <v>0.114783685652773</v>
      </c>
      <c r="O996" s="6" t="n">
        <v>0.167267946851987</v>
      </c>
      <c r="P996" s="6" t="n">
        <v>-2.66034832001788</v>
      </c>
      <c r="Q996" s="6" t="n">
        <v>-0.933895343138097</v>
      </c>
      <c r="R996" s="6" t="n">
        <v>-3.29419919250952</v>
      </c>
      <c r="S996" s="6" t="n">
        <v>-1.7177124460103</v>
      </c>
      <c r="T996" s="6" t="n">
        <v>-1.13877905939707</v>
      </c>
      <c r="U996" s="6" t="n">
        <v>-5.93710281669471</v>
      </c>
      <c r="V996" s="6" t="n">
        <v>0.860420715374605</v>
      </c>
      <c r="W996" s="6" t="n">
        <v>1.45270983053745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1.96119332278806</v>
      </c>
      <c r="AB996" s="6" t="n">
        <v>-3.83368639381208</v>
      </c>
      <c r="AC996" s="6" t="n">
        <v>0.492041443834065</v>
      </c>
      <c r="AD996" s="6" t="n">
        <v>1.63615305094281</v>
      </c>
      <c r="AE996" s="6" t="n">
        <v>0.613448983031732</v>
      </c>
      <c r="AF996" s="6" t="n">
        <v>2.12372837618378</v>
      </c>
      <c r="AG996" s="6" t="n">
        <v>-1.34572971347983</v>
      </c>
      <c r="AH996" s="6" t="n">
        <v>2.77848056483264</v>
      </c>
      <c r="AI996" s="6" t="n">
        <v>-1.72064279895555</v>
      </c>
      <c r="AJ996" s="6" t="n">
        <v>67.9555307146243</v>
      </c>
      <c r="AK996" s="6" t="n">
        <v>0.128487692071969</v>
      </c>
      <c r="AL996" s="6" t="n">
        <v>1.1314287109491</v>
      </c>
      <c r="AN996" s="6" t="n">
        <v>1.26932678517652</v>
      </c>
      <c r="AO996" s="6" t="n">
        <v>1.2695477806498</v>
      </c>
      <c r="AP996" s="6" t="n">
        <v>0.128626025417869</v>
      </c>
      <c r="AQ996" s="6" t="n">
        <v>0</v>
      </c>
      <c r="AR996" s="6" t="n">
        <v>0</v>
      </c>
    </row>
    <row r="997" customFormat="false" ht="15" hidden="false" customHeight="false" outlineLevel="0" collapsed="false">
      <c r="D997" s="0" t="s">
        <v>1123</v>
      </c>
      <c r="J997" s="6" t="n">
        <v>2.12168882756257</v>
      </c>
      <c r="K997" s="6" t="n">
        <v>-0.531207495933433</v>
      </c>
      <c r="L997" s="6" t="n">
        <v>1.37078756707907</v>
      </c>
      <c r="M997" s="6" t="n">
        <v>1.78918495613373</v>
      </c>
      <c r="N997" s="6" t="n">
        <v>1.63186742094697</v>
      </c>
      <c r="O997" s="6" t="n">
        <v>-2.33323272072707</v>
      </c>
      <c r="P997" s="6" t="n">
        <v>-2.78785541257676</v>
      </c>
      <c r="Q997" s="6" t="n">
        <v>0.882706178202462</v>
      </c>
      <c r="R997" s="6" t="n">
        <v>1.07604175853735</v>
      </c>
      <c r="S997" s="6" t="n">
        <v>-2.89898949796103</v>
      </c>
      <c r="T997" s="6" t="n">
        <v>-1.30732503742771</v>
      </c>
      <c r="U997" s="6" t="n">
        <v>0.0509987310970032</v>
      </c>
      <c r="V997" s="6" t="n">
        <v>1.49435249602866</v>
      </c>
      <c r="W997" s="6" t="n">
        <v>-0.202456219358085</v>
      </c>
      <c r="X997" s="6" t="n">
        <v>4.06224095417985</v>
      </c>
      <c r="Y997" s="6" t="n">
        <v>2.44249207882291</v>
      </c>
      <c r="Z997" s="6" t="n">
        <v>-1.55703020501957</v>
      </c>
      <c r="AA997" s="6" t="n">
        <v>1.49684097514281</v>
      </c>
      <c r="AB997" s="6" t="n">
        <v>-4.04962234537256</v>
      </c>
      <c r="AC997" s="6" t="n">
        <v>-2.45007115853392</v>
      </c>
      <c r="AD997" s="6" t="n">
        <v>0.0454379871513088</v>
      </c>
      <c r="AE997" s="6" t="n">
        <v>-0.253061032455688</v>
      </c>
      <c r="AF997" s="6" t="n">
        <v>-0.499127867025977</v>
      </c>
      <c r="AG997" s="6" t="n">
        <v>-0.974110938361822</v>
      </c>
      <c r="AH997" s="6" t="n">
        <v>-4.13987558790598</v>
      </c>
      <c r="AI997" s="6" t="n">
        <v>1.32115437367951</v>
      </c>
      <c r="AJ997" s="6" t="n">
        <v>78.4757060881126</v>
      </c>
      <c r="AK997" s="6" t="n">
        <v>0.0587917281296079</v>
      </c>
      <c r="AL997" s="6" t="n">
        <v>1.07589452833147</v>
      </c>
      <c r="AN997" s="6" t="n">
        <v>1.29786603309692</v>
      </c>
      <c r="AO997" s="6" t="n">
        <v>1.29898672441796</v>
      </c>
      <c r="AP997" s="6" t="n">
        <v>0.134200431713962</v>
      </c>
      <c r="AQ997" s="6" t="n">
        <v>0</v>
      </c>
      <c r="AR997" s="6" t="n">
        <v>0</v>
      </c>
    </row>
    <row r="998" customFormat="false" ht="15" hidden="false" customHeight="false" outlineLevel="0" collapsed="false">
      <c r="D998" s="0" t="s">
        <v>1124</v>
      </c>
      <c r="J998" s="6" t="n">
        <v>-0.171859198733392</v>
      </c>
      <c r="K998" s="6" t="n">
        <v>2.02441605258666</v>
      </c>
      <c r="L998" s="6" t="n">
        <v>2.5862440508061</v>
      </c>
      <c r="M998" s="6" t="n">
        <v>-0.560699512309443</v>
      </c>
      <c r="N998" s="6" t="n">
        <v>1.38250161886607</v>
      </c>
      <c r="O998" s="6" t="n">
        <v>-0.851575875309008</v>
      </c>
      <c r="P998" s="6" t="n">
        <v>-1.34776518212162</v>
      </c>
      <c r="Q998" s="6" t="n">
        <v>-0.758446717449493</v>
      </c>
      <c r="R998" s="6" t="n">
        <v>-0.987648292762693</v>
      </c>
      <c r="S998" s="6" t="n">
        <v>-0.0246973324451392</v>
      </c>
      <c r="T998" s="6" t="n">
        <v>2.81541790836785</v>
      </c>
      <c r="U998" s="6" t="n">
        <v>1.73298085656039</v>
      </c>
      <c r="V998" s="6" t="n">
        <v>0.514870638455577</v>
      </c>
      <c r="W998" s="6" t="n">
        <v>2.14103594361922</v>
      </c>
      <c r="X998" s="6" t="n">
        <v>0.71855324075475</v>
      </c>
      <c r="Y998" s="6" t="n">
        <v>1.25995026395298</v>
      </c>
      <c r="Z998" s="6" t="n">
        <v>1.68214905781612</v>
      </c>
      <c r="AA998" s="6" t="n">
        <v>2.99592138390604</v>
      </c>
      <c r="AB998" s="6" t="n">
        <v>-2.53654754198718</v>
      </c>
      <c r="AC998" s="6" t="n">
        <v>-1.30403806574988</v>
      </c>
      <c r="AD998" s="6" t="n">
        <v>-0.158076624642958</v>
      </c>
      <c r="AE998" s="6" t="n">
        <v>0.331930026692315</v>
      </c>
      <c r="AF998" s="6" t="n">
        <v>0.969988143364739</v>
      </c>
      <c r="AG998" s="6" t="n">
        <v>-4.26777936678629</v>
      </c>
      <c r="AH998" s="6" t="n">
        <v>0.500369997363479</v>
      </c>
      <c r="AI998" s="6" t="n">
        <v>-5.60260131383564</v>
      </c>
      <c r="AJ998" s="6" t="n">
        <v>66.661598679394</v>
      </c>
      <c r="AK998" s="6" t="n">
        <v>0.127863178022203</v>
      </c>
      <c r="AL998" s="6" t="n">
        <v>1.01344700308237</v>
      </c>
      <c r="AN998" s="6" t="n">
        <v>1.30946168781539</v>
      </c>
      <c r="AO998" s="6" t="n">
        <v>1.30946168781539</v>
      </c>
      <c r="AP998" s="6" t="n">
        <v>0.137479608536665</v>
      </c>
      <c r="AQ998" s="6" t="n">
        <v>0</v>
      </c>
      <c r="AR998" s="6" t="n">
        <v>0</v>
      </c>
    </row>
    <row r="999" customFormat="false" ht="15" hidden="false" customHeight="false" outlineLevel="0" collapsed="false">
      <c r="D999" s="0" t="s">
        <v>1125</v>
      </c>
      <c r="J999" s="6" t="n">
        <v>0.431451798319288</v>
      </c>
      <c r="K999" s="6" t="n">
        <v>1.79686413427287</v>
      </c>
      <c r="L999" s="6" t="n">
        <v>-2.37560584309788</v>
      </c>
      <c r="M999" s="6" t="n">
        <v>0.138214496887235</v>
      </c>
      <c r="N999" s="6" t="n">
        <v>-0.218648918175041</v>
      </c>
      <c r="O999" s="6" t="n">
        <v>-0.70994497304372</v>
      </c>
      <c r="P999" s="6" t="n">
        <v>1.53538022857246</v>
      </c>
      <c r="Q999" s="6" t="n">
        <v>-2.54847352814311</v>
      </c>
      <c r="R999" s="6" t="n">
        <v>1.371823084358</v>
      </c>
      <c r="S999" s="6" t="n">
        <v>-2.2281918147121</v>
      </c>
      <c r="T999" s="6" t="n">
        <v>-0.558995955109252</v>
      </c>
      <c r="U999" s="6" t="n">
        <v>1.60711082699339</v>
      </c>
      <c r="V999" s="6" t="n">
        <v>0.98945209438354</v>
      </c>
      <c r="W999" s="6" t="n">
        <v>-3.87982844783253</v>
      </c>
      <c r="X999" s="6" t="n">
        <v>-1.49179499766106</v>
      </c>
      <c r="Y999" s="6" t="n">
        <v>1.53185521370208</v>
      </c>
      <c r="Z999" s="6" t="n">
        <v>2.71763111964643</v>
      </c>
      <c r="AA999" s="6" t="n">
        <v>0.320735144072848</v>
      </c>
      <c r="AB999" s="6" t="n">
        <v>-0.936659512514847</v>
      </c>
      <c r="AC999" s="6" t="n">
        <v>2.62272579679769</v>
      </c>
      <c r="AD999" s="6" t="n">
        <v>2.18548968102373</v>
      </c>
      <c r="AE999" s="6" t="n">
        <v>0.667315189253285</v>
      </c>
      <c r="AF999" s="6" t="n">
        <v>-1.17860459630802</v>
      </c>
      <c r="AG999" s="6" t="n">
        <v>-1.68326441357061</v>
      </c>
      <c r="AH999" s="6" t="n">
        <v>-3.43734759692586</v>
      </c>
      <c r="AI999" s="6" t="n">
        <v>3.83276890243008</v>
      </c>
      <c r="AJ999" s="6" t="n">
        <v>80.1341403335173</v>
      </c>
      <c r="AK999" s="6" t="n">
        <v>0.128024111051207</v>
      </c>
      <c r="AL999" s="6" t="n">
        <v>1.05815061215135</v>
      </c>
      <c r="AN999" s="6" t="n">
        <v>1.29497231808701</v>
      </c>
      <c r="AO999" s="6" t="n">
        <v>1.29612381953234</v>
      </c>
      <c r="AP999" s="6" t="n">
        <v>0.133536552118478</v>
      </c>
      <c r="AQ999" s="6" t="n">
        <v>0</v>
      </c>
      <c r="AR999" s="6" t="n">
        <v>0</v>
      </c>
    </row>
    <row r="1000" customFormat="false" ht="15" hidden="false" customHeight="false" outlineLevel="0" collapsed="false">
      <c r="D1000" s="0" t="s">
        <v>1126</v>
      </c>
      <c r="J1000" s="6" t="n">
        <v>3.11576838416334</v>
      </c>
      <c r="K1000" s="6" t="n">
        <v>1.57490561491992</v>
      </c>
      <c r="L1000" s="6" t="n">
        <v>0.563410940667032</v>
      </c>
      <c r="M1000" s="6" t="n">
        <v>1.44531303425252</v>
      </c>
      <c r="N1000" s="6" t="n">
        <v>0.969321975899099</v>
      </c>
      <c r="O1000" s="6" t="n">
        <v>0.434226006464738</v>
      </c>
      <c r="P1000" s="6" t="n">
        <v>-1.8088084130004</v>
      </c>
      <c r="Q1000" s="6" t="n">
        <v>3.62449751270662</v>
      </c>
      <c r="R1000" s="6" t="n">
        <v>-0.0661289263116624</v>
      </c>
      <c r="S1000" s="6" t="n">
        <v>0.268979911488386</v>
      </c>
      <c r="T1000" s="6" t="n">
        <v>-2.29163925119151</v>
      </c>
      <c r="U1000" s="6" t="n">
        <v>-0.557113300729864</v>
      </c>
      <c r="V1000" s="6" t="n">
        <v>0.767752463894242</v>
      </c>
      <c r="W1000" s="6" t="n">
        <v>1.56584749959848</v>
      </c>
      <c r="X1000" s="6" t="n">
        <v>-0.648862601136465</v>
      </c>
      <c r="Y1000" s="6" t="n">
        <v>-0.4661083086764</v>
      </c>
      <c r="Z1000" s="6" t="n">
        <v>0.684842172758387</v>
      </c>
      <c r="AA1000" s="6" t="n">
        <v>-0.585817438347778</v>
      </c>
      <c r="AB1000" s="6" t="n">
        <v>-3.77894772338495</v>
      </c>
      <c r="AC1000" s="6" t="n">
        <v>1.73269470641598</v>
      </c>
      <c r="AD1000" s="6" t="n">
        <v>-3.68876142126775</v>
      </c>
      <c r="AE1000" s="6" t="n">
        <v>0.172203883586531</v>
      </c>
      <c r="AF1000" s="6" t="n">
        <v>0.921649837589311</v>
      </c>
      <c r="AG1000" s="6" t="n">
        <v>-3.10161595164464</v>
      </c>
      <c r="AH1000" s="6" t="n">
        <v>1.00071744567357</v>
      </c>
      <c r="AI1000" s="6" t="n">
        <v>-2.21292641433566</v>
      </c>
      <c r="AJ1000" s="6" t="n">
        <v>73.8642312139611</v>
      </c>
      <c r="AK1000" s="6" t="n">
        <v>0.129304108176086</v>
      </c>
      <c r="AL1000" s="6" t="n">
        <v>1.04582684622875</v>
      </c>
      <c r="AN1000" s="6" t="n">
        <v>1.29815984978221</v>
      </c>
      <c r="AO1000" s="6" t="n">
        <v>1.29832364269176</v>
      </c>
      <c r="AP1000" s="6" t="n">
        <v>0.134424030191321</v>
      </c>
      <c r="AQ1000" s="6" t="n">
        <v>0</v>
      </c>
      <c r="AR1000" s="6" t="n">
        <v>0</v>
      </c>
    </row>
    <row r="1001" customFormat="false" ht="15" hidden="false" customHeight="false" outlineLevel="0" collapsed="false">
      <c r="D1001" s="0" t="s">
        <v>1127</v>
      </c>
      <c r="J1001" s="6" t="n">
        <v>1.66813029975329</v>
      </c>
      <c r="K1001" s="6" t="n">
        <v>3.7314601485038</v>
      </c>
      <c r="L1001" s="6" t="n">
        <v>3.06037694751314</v>
      </c>
      <c r="M1001" s="6" t="n">
        <v>-0.598038192578418</v>
      </c>
      <c r="N1001" s="6" t="n">
        <v>1.05731863984176</v>
      </c>
      <c r="O1001" s="6" t="n">
        <v>2.13743521110847</v>
      </c>
      <c r="P1001" s="6" t="n">
        <v>1.49329390190379</v>
      </c>
      <c r="Q1001" s="6" t="n">
        <v>2.9907989033279</v>
      </c>
      <c r="R1001" s="6" t="n">
        <v>1.09942628386229</v>
      </c>
      <c r="S1001" s="6" t="n">
        <v>-0.320839871191227</v>
      </c>
      <c r="T1001" s="6" t="n">
        <v>-1.07613277683687</v>
      </c>
      <c r="U1001" s="6" t="n">
        <v>-1.56397567652237</v>
      </c>
      <c r="V1001" s="6" t="n">
        <v>0.166545999898176</v>
      </c>
      <c r="W1001" s="6" t="n">
        <v>3.61355612823307</v>
      </c>
      <c r="X1001" s="6" t="n">
        <v>-0.132044341691784</v>
      </c>
      <c r="Y1001" s="6" t="n">
        <v>-0.314914961662553</v>
      </c>
      <c r="Z1001" s="6" t="n">
        <v>3.58582224717756</v>
      </c>
      <c r="AA1001" s="6" t="n">
        <v>-1.39477256648645</v>
      </c>
      <c r="AB1001" s="6" t="n">
        <v>-3.50601370372825</v>
      </c>
      <c r="AC1001" s="6" t="n">
        <v>1.60243248574034</v>
      </c>
      <c r="AD1001" s="6" t="n">
        <v>-1.87369833888616</v>
      </c>
      <c r="AE1001" s="6" t="n">
        <v>-3.31559024639585</v>
      </c>
      <c r="AF1001" s="6" t="n">
        <v>-0.186954304573965</v>
      </c>
      <c r="AG1001" s="6" t="n">
        <v>0.982277803585631</v>
      </c>
      <c r="AH1001" s="6" t="n">
        <v>1.40045009632936</v>
      </c>
      <c r="AI1001" s="6" t="n">
        <v>-1.30507564710721</v>
      </c>
      <c r="AJ1001" s="6" t="n">
        <v>78.2375355027267</v>
      </c>
      <c r="AK1001" s="6" t="n">
        <v>0.107536659701583</v>
      </c>
      <c r="AL1001" s="6" t="n">
        <v>1.00875488987061</v>
      </c>
      <c r="AN1001" s="6" t="n">
        <v>1.31584771430598</v>
      </c>
      <c r="AO1001" s="6" t="n">
        <v>1.31584771430598</v>
      </c>
      <c r="AP1001" s="6" t="n">
        <v>0.140341569645501</v>
      </c>
      <c r="AQ1001" s="6" t="n">
        <v>0</v>
      </c>
      <c r="AR1001" s="6" t="n">
        <v>0</v>
      </c>
    </row>
    <row r="1002" customFormat="false" ht="15" hidden="false" customHeight="false" outlineLevel="0" collapsed="false">
      <c r="D1002" s="0" t="s">
        <v>1128</v>
      </c>
      <c r="J1002" s="6" t="n">
        <v>0.687500898044036</v>
      </c>
      <c r="K1002" s="6" t="n">
        <v>-0.601440972426913</v>
      </c>
      <c r="L1002" s="6" t="n">
        <v>2.15778415699829</v>
      </c>
      <c r="M1002" s="6" t="n">
        <v>0.214309130475222</v>
      </c>
      <c r="N1002" s="6" t="n">
        <v>1.39775557546263</v>
      </c>
      <c r="O1002" s="6" t="n">
        <v>-2.06110132692152</v>
      </c>
      <c r="P1002" s="6" t="n">
        <v>-1.92097653697493</v>
      </c>
      <c r="Q1002" s="6" t="n">
        <v>-0.741512766759076</v>
      </c>
      <c r="R1002" s="6" t="n">
        <v>0.202722359558309</v>
      </c>
      <c r="S1002" s="6" t="n">
        <v>1.87379317713617</v>
      </c>
      <c r="T1002" s="6" t="n">
        <v>1.10518899739147</v>
      </c>
      <c r="U1002" s="6" t="n">
        <v>5</v>
      </c>
      <c r="V1002" s="6" t="n">
        <v>1.73009199457832</v>
      </c>
      <c r="W1002" s="6" t="n">
        <v>2.24207257284191</v>
      </c>
      <c r="X1002" s="6" t="n">
        <v>1.17362066729954</v>
      </c>
      <c r="Y1002" s="6" t="n">
        <v>1.83723073434075</v>
      </c>
      <c r="Z1002" s="6" t="n">
        <v>0.642307518968851</v>
      </c>
      <c r="AA1002" s="6" t="n">
        <v>-2.32686003556924</v>
      </c>
      <c r="AB1002" s="6" t="n">
        <v>0.845699209434184</v>
      </c>
      <c r="AC1002" s="6" t="n">
        <v>1.19551430251574</v>
      </c>
      <c r="AD1002" s="6" t="n">
        <v>-3.91347716710063</v>
      </c>
      <c r="AE1002" s="6" t="n">
        <v>-2.9632842745607</v>
      </c>
      <c r="AF1002" s="6" t="n">
        <v>-0.257405347600799</v>
      </c>
      <c r="AG1002" s="6" t="n">
        <v>-3.07811745417218</v>
      </c>
      <c r="AH1002" s="6" t="n">
        <v>4.28780092786171</v>
      </c>
      <c r="AI1002" s="6" t="n">
        <v>0.772881009823459</v>
      </c>
      <c r="AJ1002" s="6" t="n">
        <v>57.3599803610838</v>
      </c>
      <c r="AK1002" s="6" t="n">
        <v>0.154284612976131</v>
      </c>
      <c r="AL1002" s="6" t="n">
        <v>1.03509892381048</v>
      </c>
      <c r="AN1002" s="6" t="n">
        <v>1.2935246110328</v>
      </c>
      <c r="AO1002" s="6" t="n">
        <v>1.2950438611288</v>
      </c>
      <c r="AP1002" s="6" t="n">
        <v>0.133509189259059</v>
      </c>
      <c r="AQ1002" s="6" t="n">
        <v>0</v>
      </c>
      <c r="AR1002" s="6" t="n">
        <v>0</v>
      </c>
    </row>
    <row r="1003" customFormat="false" ht="15" hidden="false" customHeight="false" outlineLevel="0" collapsed="false">
      <c r="D1003" s="0" t="s">
        <v>1129</v>
      </c>
      <c r="J1003" s="6" t="n">
        <v>0.7032864558281</v>
      </c>
      <c r="K1003" s="6" t="n">
        <v>1.48520530632633</v>
      </c>
      <c r="L1003" s="6" t="n">
        <v>-1.85119038533524</v>
      </c>
      <c r="M1003" s="6" t="n">
        <v>3.01773674237152</v>
      </c>
      <c r="N1003" s="6" t="n">
        <v>2.08113038416944</v>
      </c>
      <c r="O1003" s="6" t="n">
        <v>1.93564216683248</v>
      </c>
      <c r="P1003" s="6" t="n">
        <v>-0.0943704727257397</v>
      </c>
      <c r="Q1003" s="6" t="n">
        <v>-0.703753267986518</v>
      </c>
      <c r="R1003" s="6" t="n">
        <v>0.256645980393009</v>
      </c>
      <c r="S1003" s="6" t="n">
        <v>-1.05241052733943</v>
      </c>
      <c r="T1003" s="6" t="n">
        <v>-2.09748130716515</v>
      </c>
      <c r="U1003" s="6" t="n">
        <v>-2.27291219430199</v>
      </c>
      <c r="V1003" s="6" t="n">
        <v>-1.46198299264113</v>
      </c>
      <c r="W1003" s="6" t="n">
        <v>1.75053348057231</v>
      </c>
      <c r="X1003" s="6" t="n">
        <v>2.03611612653127</v>
      </c>
      <c r="Y1003" s="6" t="n">
        <v>-1.14698573081494</v>
      </c>
      <c r="Z1003" s="6" t="n">
        <v>-3.22468815491405</v>
      </c>
      <c r="AA1003" s="6" t="n">
        <v>0.453229160402515</v>
      </c>
      <c r="AB1003" s="6" t="n">
        <v>-1.76073322184365</v>
      </c>
      <c r="AC1003" s="6" t="n">
        <v>1.52746799990066</v>
      </c>
      <c r="AD1003" s="6" t="n">
        <v>-2.15111137079527</v>
      </c>
      <c r="AE1003" s="6" t="n">
        <v>-0.845211438985089</v>
      </c>
      <c r="AF1003" s="6" t="n">
        <v>-1.31240812165389</v>
      </c>
      <c r="AG1003" s="6" t="n">
        <v>-2.59858055537991</v>
      </c>
      <c r="AH1003" s="6" t="n">
        <v>0.60929501543147</v>
      </c>
      <c r="AI1003" s="6" t="n">
        <v>0.661178659156143</v>
      </c>
      <c r="AJ1003" s="6" t="n">
        <v>80.6225852812511</v>
      </c>
      <c r="AK1003" s="6" t="n">
        <v>0.150464933001662</v>
      </c>
      <c r="AL1003" s="6" t="n">
        <v>1.06310488831155</v>
      </c>
      <c r="AN1003" s="6" t="n">
        <v>1.28812246983396</v>
      </c>
      <c r="AO1003" s="6" t="n">
        <v>1.28862880899753</v>
      </c>
      <c r="AP1003" s="6" t="n">
        <v>0.132486589780799</v>
      </c>
      <c r="AQ1003" s="6" t="n">
        <v>0</v>
      </c>
      <c r="AR1003" s="6" t="n">
        <v>0</v>
      </c>
    </row>
    <row r="1004" customFormat="false" ht="15" hidden="false" customHeight="false" outlineLevel="0" collapsed="false">
      <c r="D1004" s="0" t="s">
        <v>1130</v>
      </c>
      <c r="J1004" s="6" t="n">
        <v>1.51262883828459</v>
      </c>
      <c r="K1004" s="6" t="n">
        <v>-3.93482470865013</v>
      </c>
      <c r="L1004" s="6" t="n">
        <v>-1.87828902058005</v>
      </c>
      <c r="M1004" s="6" t="n">
        <v>4.26276748030231</v>
      </c>
      <c r="N1004" s="6" t="n">
        <v>0.594623653855167</v>
      </c>
      <c r="O1004" s="6" t="n">
        <v>-0.672144287373287</v>
      </c>
      <c r="P1004" s="6" t="n">
        <v>0.135300094841114</v>
      </c>
      <c r="Q1004" s="6" t="n">
        <v>-3.84983823398232</v>
      </c>
      <c r="R1004" s="6" t="n">
        <v>-0.337341986699948</v>
      </c>
      <c r="S1004" s="6" t="n">
        <v>-1.27549185703402</v>
      </c>
      <c r="T1004" s="6" t="n">
        <v>-1.09506236033337</v>
      </c>
      <c r="U1004" s="6" t="n">
        <v>-0.559815131892806</v>
      </c>
      <c r="V1004" s="6" t="n">
        <v>1.23759927208023</v>
      </c>
      <c r="W1004" s="6" t="n">
        <v>1.61099360316946</v>
      </c>
      <c r="X1004" s="6" t="n">
        <v>3.98843534021305</v>
      </c>
      <c r="Y1004" s="6" t="n">
        <v>2.04090442881002</v>
      </c>
      <c r="Z1004" s="6" t="n">
        <v>-1.21376860773867</v>
      </c>
      <c r="AA1004" s="6" t="n">
        <v>-0.0699856894920244</v>
      </c>
      <c r="AB1004" s="6" t="n">
        <v>-2.04910502575124</v>
      </c>
      <c r="AC1004" s="6" t="n">
        <v>-0.309129834941345</v>
      </c>
      <c r="AD1004" s="6" t="n">
        <v>0.110203745792403</v>
      </c>
      <c r="AE1004" s="6" t="n">
        <v>-0.802490468263428</v>
      </c>
      <c r="AF1004" s="6" t="n">
        <v>-5.00325476206579</v>
      </c>
      <c r="AG1004" s="6" t="n">
        <v>-4.93903784136832</v>
      </c>
      <c r="AH1004" s="6" t="n">
        <v>-0.717957265911052</v>
      </c>
      <c r="AI1004" s="6" t="n">
        <v>0.876936983206833</v>
      </c>
      <c r="AJ1004" s="6" t="n">
        <v>78.0351570409491</v>
      </c>
      <c r="AK1004" s="6" t="n">
        <v>0.0999063676506286</v>
      </c>
      <c r="AL1004" s="6" t="n">
        <v>1.04791264307579</v>
      </c>
      <c r="AN1004" s="6" t="n">
        <v>1.30332724600539</v>
      </c>
      <c r="AO1004" s="6" t="n">
        <v>1.30378400497879</v>
      </c>
      <c r="AP1004" s="6" t="n">
        <v>0.134660813759806</v>
      </c>
      <c r="AQ1004" s="6" t="n">
        <v>0</v>
      </c>
      <c r="AR1004" s="6" t="n">
        <v>0</v>
      </c>
    </row>
    <row r="1005" customFormat="false" ht="15" hidden="false" customHeight="false" outlineLevel="0" collapsed="false">
      <c r="D1005" s="0" t="s">
        <v>1131</v>
      </c>
      <c r="J1005" s="6" t="n">
        <v>0.739272833843404</v>
      </c>
      <c r="K1005" s="6" t="n">
        <v>0.468672492857992</v>
      </c>
      <c r="L1005" s="6" t="n">
        <v>0.298194073463858</v>
      </c>
      <c r="M1005" s="6" t="n">
        <v>-2.22080894288405</v>
      </c>
      <c r="N1005" s="6" t="n">
        <v>1.68155548719944</v>
      </c>
      <c r="O1005" s="6" t="n">
        <v>-0.951195527602359</v>
      </c>
      <c r="P1005" s="6" t="n">
        <v>-2.51002193852055</v>
      </c>
      <c r="Q1005" s="6" t="n">
        <v>-3.25602517252747</v>
      </c>
      <c r="R1005" s="6" t="n">
        <v>0.111066884268944</v>
      </c>
      <c r="S1005" s="6" t="n">
        <v>2.16990600890271</v>
      </c>
      <c r="T1005" s="6" t="n">
        <v>-2.04173170402025</v>
      </c>
      <c r="U1005" s="6" t="n">
        <v>-1.5268583172089</v>
      </c>
      <c r="V1005" s="6" t="n">
        <v>2.16755476985285</v>
      </c>
      <c r="W1005" s="6" t="n">
        <v>0.713553015001749</v>
      </c>
      <c r="X1005" s="6" t="n">
        <v>-1.29328831661662</v>
      </c>
      <c r="Y1005" s="6" t="n">
        <v>1.66308672209101</v>
      </c>
      <c r="Z1005" s="6" t="n">
        <v>-1.2406483982903</v>
      </c>
      <c r="AA1005" s="6" t="n">
        <v>0.919225474634717</v>
      </c>
      <c r="AB1005" s="6" t="n">
        <v>-3.22766531169146</v>
      </c>
      <c r="AC1005" s="6" t="n">
        <v>-2.00008361239263</v>
      </c>
      <c r="AD1005" s="6" t="n">
        <v>0.389125819255285</v>
      </c>
      <c r="AE1005" s="6" t="n">
        <v>-0.201277845173899</v>
      </c>
      <c r="AF1005" s="6" t="n">
        <v>-1.1721775320122</v>
      </c>
      <c r="AG1005" s="6" t="n">
        <v>-0.500330905799864</v>
      </c>
      <c r="AH1005" s="6" t="n">
        <v>2.00182114664798</v>
      </c>
      <c r="AI1005" s="6" t="n">
        <v>-2.39635886352254</v>
      </c>
      <c r="AJ1005" s="6" t="n">
        <v>80.8701011033502</v>
      </c>
      <c r="AK1005" s="6" t="n">
        <v>0.070946098352606</v>
      </c>
      <c r="AL1005" s="6" t="n">
        <v>1.06207504853259</v>
      </c>
      <c r="AN1005" s="6" t="n">
        <v>1.30226818814797</v>
      </c>
      <c r="AO1005" s="6" t="n">
        <v>1.30276129518215</v>
      </c>
      <c r="AP1005" s="6" t="n">
        <v>0.134440397899074</v>
      </c>
      <c r="AQ1005" s="6" t="n">
        <v>0</v>
      </c>
      <c r="AR1005" s="6" t="n">
        <v>0</v>
      </c>
    </row>
    <row r="1006" customFormat="false" ht="15" hidden="false" customHeight="false" outlineLevel="0" collapsed="false">
      <c r="D1006" s="0" t="s">
        <v>1132</v>
      </c>
      <c r="J1006" s="6" t="n">
        <v>2.77036240030695</v>
      </c>
      <c r="K1006" s="6" t="n">
        <v>-1.61370786199629</v>
      </c>
      <c r="L1006" s="6" t="n">
        <v>5</v>
      </c>
      <c r="M1006" s="6" t="n">
        <v>1.49996683811335</v>
      </c>
      <c r="N1006" s="6" t="n">
        <v>2.95687148709521</v>
      </c>
      <c r="O1006" s="6" t="n">
        <v>3.40097052450859</v>
      </c>
      <c r="P1006" s="6" t="n">
        <v>3.17183882635105</v>
      </c>
      <c r="Q1006" s="6" t="n">
        <v>-1.04035892133348</v>
      </c>
      <c r="R1006" s="6" t="n">
        <v>-1.14435778545911</v>
      </c>
      <c r="S1006" s="6" t="n">
        <v>-0.644466974443267</v>
      </c>
      <c r="T1006" s="6" t="n">
        <v>0.140092664079939</v>
      </c>
      <c r="U1006" s="6" t="n">
        <v>2.37266574089184</v>
      </c>
      <c r="V1006" s="6" t="n">
        <v>1.37144487220623</v>
      </c>
      <c r="W1006" s="6" t="n">
        <v>1.97246489708161</v>
      </c>
      <c r="X1006" s="6" t="n">
        <v>-1.35282080180478</v>
      </c>
      <c r="Y1006" s="6" t="n">
        <v>-3.59526988233044</v>
      </c>
      <c r="Z1006" s="6" t="n">
        <v>0.728448657130421</v>
      </c>
      <c r="AA1006" s="6" t="n">
        <v>0.66075181646264</v>
      </c>
      <c r="AB1006" s="6" t="n">
        <v>1.9262278116396</v>
      </c>
      <c r="AC1006" s="6" t="n">
        <v>-1.63310351062097</v>
      </c>
      <c r="AD1006" s="6" t="n">
        <v>-2.9332681867055</v>
      </c>
      <c r="AE1006" s="6" t="n">
        <v>0.972104498730261</v>
      </c>
      <c r="AF1006" s="6" t="n">
        <v>-0.47108121719899</v>
      </c>
      <c r="AG1006" s="6" t="n">
        <v>-0.440231991660414</v>
      </c>
      <c r="AH1006" s="6" t="n">
        <v>1.43713012611071</v>
      </c>
      <c r="AI1006" s="6" t="n">
        <v>-2.04513026643144</v>
      </c>
      <c r="AJ1006" s="6" t="n">
        <v>64.0684194971263</v>
      </c>
      <c r="AK1006" s="6" t="n">
        <v>0.116946369244353</v>
      </c>
      <c r="AL1006" s="6" t="n">
        <v>1.03896073726149</v>
      </c>
      <c r="AN1006" s="6" t="n">
        <v>1.29682281160523</v>
      </c>
      <c r="AO1006" s="6" t="n">
        <v>1.29689557836152</v>
      </c>
      <c r="AP1006" s="6" t="n">
        <v>0.134267189615453</v>
      </c>
      <c r="AQ1006" s="6" t="n">
        <v>0</v>
      </c>
      <c r="AR1006" s="6" t="n">
        <v>0</v>
      </c>
    </row>
    <row r="1007" customFormat="false" ht="15" hidden="false" customHeight="false" outlineLevel="0" collapsed="false">
      <c r="D1007" s="0" t="s">
        <v>1133</v>
      </c>
      <c r="J1007" s="6" t="n">
        <v>-2.66172510737752</v>
      </c>
      <c r="K1007" s="6" t="n">
        <v>0.119458786665481</v>
      </c>
      <c r="L1007" s="6" t="n">
        <v>0.836671860727662</v>
      </c>
      <c r="M1007" s="6" t="n">
        <v>0.334718939146172</v>
      </c>
      <c r="N1007" s="6" t="n">
        <v>-1.62980413180696</v>
      </c>
      <c r="O1007" s="6" t="n">
        <v>1.04081794057091</v>
      </c>
      <c r="P1007" s="6" t="n">
        <v>0.38929581536693</v>
      </c>
      <c r="Q1007" s="6" t="n">
        <v>-2.6766742978743</v>
      </c>
      <c r="R1007" s="6" t="n">
        <v>1.01224513155605</v>
      </c>
      <c r="S1007" s="6" t="n">
        <v>-1.04513595795054</v>
      </c>
      <c r="T1007" s="6" t="n">
        <v>0.112499538423822</v>
      </c>
      <c r="U1007" s="6" t="n">
        <v>-0.687472422205949</v>
      </c>
      <c r="V1007" s="6" t="n">
        <v>0.87219426855613</v>
      </c>
      <c r="W1007" s="6" t="n">
        <v>1.44829392312693</v>
      </c>
      <c r="X1007" s="6" t="n">
        <v>1.15570968034134</v>
      </c>
      <c r="Y1007" s="6" t="n">
        <v>-1.79398894508617</v>
      </c>
      <c r="Z1007" s="6" t="n">
        <v>2.38573359669995</v>
      </c>
      <c r="AA1007" s="6" t="n">
        <v>-2.41740124197536</v>
      </c>
      <c r="AB1007" s="6" t="n">
        <v>0.990083654663382</v>
      </c>
      <c r="AC1007" s="6" t="n">
        <v>1.75072235794561</v>
      </c>
      <c r="AD1007" s="6" t="n">
        <v>2.10511403066409</v>
      </c>
      <c r="AE1007" s="6" t="n">
        <v>0.760864134785564</v>
      </c>
      <c r="AF1007" s="6" t="n">
        <v>0.25764876870673</v>
      </c>
      <c r="AG1007" s="6" t="n">
        <v>-0.857325827661008</v>
      </c>
      <c r="AH1007" s="6" t="n">
        <v>-1.45471094920368</v>
      </c>
      <c r="AI1007" s="6" t="n">
        <v>4.37532910388249</v>
      </c>
      <c r="AJ1007" s="6" t="n">
        <v>80.0465471211484</v>
      </c>
      <c r="AK1007" s="6" t="n">
        <v>0.142329199080435</v>
      </c>
      <c r="AL1007" s="6" t="n">
        <v>1.08272344534074</v>
      </c>
      <c r="AN1007" s="6" t="n">
        <v>1.28160235759572</v>
      </c>
      <c r="AO1007" s="6" t="n">
        <v>1.28244028940972</v>
      </c>
      <c r="AP1007" s="6" t="n">
        <v>0.131200259520525</v>
      </c>
      <c r="AQ1007" s="6" t="n">
        <v>0</v>
      </c>
      <c r="AR1007" s="6" t="n">
        <v>0</v>
      </c>
    </row>
    <row r="1008" customFormat="false" ht="15" hidden="false" customHeight="false" outlineLevel="0" collapsed="false">
      <c r="D1008" s="0" t="s">
        <v>1134</v>
      </c>
      <c r="J1008" s="6" t="n">
        <v>2.55449607013129</v>
      </c>
      <c r="K1008" s="6" t="n">
        <v>-1.04875532823938</v>
      </c>
      <c r="L1008" s="6" t="n">
        <v>-0.118037148279373</v>
      </c>
      <c r="M1008" s="6" t="n">
        <v>-2.69455166300174</v>
      </c>
      <c r="N1008" s="6" t="n">
        <v>-2.15294275643442</v>
      </c>
      <c r="O1008" s="6" t="n">
        <v>0.821567152248092</v>
      </c>
      <c r="P1008" s="6" t="n">
        <v>0.170013496040052</v>
      </c>
      <c r="Q1008" s="6" t="n">
        <v>1.16796030599283</v>
      </c>
      <c r="R1008" s="6" t="n">
        <v>-5.42646422837158</v>
      </c>
      <c r="S1008" s="6" t="n">
        <v>-3.55973581167251</v>
      </c>
      <c r="T1008" s="6" t="n">
        <v>0.229206676689899</v>
      </c>
      <c r="U1008" s="6" t="n">
        <v>-0.0796148122879753</v>
      </c>
      <c r="V1008" s="6" t="n">
        <v>-2.85130245547682</v>
      </c>
      <c r="W1008" s="6" t="n">
        <v>-3.19787645010591</v>
      </c>
      <c r="X1008" s="6" t="n">
        <v>1.7431765183425</v>
      </c>
      <c r="Y1008" s="6" t="n">
        <v>1.46774717294147</v>
      </c>
      <c r="Z1008" s="6" t="n">
        <v>2.38763959383741</v>
      </c>
      <c r="AA1008" s="6" t="n">
        <v>-1.14254185616381</v>
      </c>
      <c r="AB1008" s="6" t="n">
        <v>-0.679551196856953</v>
      </c>
      <c r="AC1008" s="6" t="n">
        <v>2.00385222004156</v>
      </c>
      <c r="AD1008" s="6" t="n">
        <v>3.23276666890826</v>
      </c>
      <c r="AE1008" s="6" t="n">
        <v>0.621190533381146</v>
      </c>
      <c r="AF1008" s="6" t="n">
        <v>2.48653352022888</v>
      </c>
      <c r="AG1008" s="6" t="n">
        <v>-2.59908838229288</v>
      </c>
      <c r="AH1008" s="6" t="n">
        <v>-0.422356613221402</v>
      </c>
      <c r="AI1008" s="6" t="n">
        <v>-2.15914553829608</v>
      </c>
      <c r="AJ1008" s="6" t="n">
        <v>76.9136692442572</v>
      </c>
      <c r="AK1008" s="6" t="n">
        <v>0.0439553258679023</v>
      </c>
      <c r="AL1008" s="6" t="n">
        <v>1.0603986831575</v>
      </c>
      <c r="AN1008" s="6" t="n">
        <v>1.30260471492698</v>
      </c>
      <c r="AO1008" s="6" t="n">
        <v>1.30271636242617</v>
      </c>
      <c r="AP1008" s="6" t="n">
        <v>0.135149312846545</v>
      </c>
      <c r="AQ1008" s="6" t="n">
        <v>0</v>
      </c>
      <c r="AR1008" s="6" t="n">
        <v>0</v>
      </c>
    </row>
    <row r="1009" customFormat="false" ht="15" hidden="false" customHeight="false" outlineLevel="0" collapsed="false">
      <c r="D1009" s="0" t="s">
        <v>1135</v>
      </c>
      <c r="J1009" s="6" t="n">
        <v>-1.39546430045395</v>
      </c>
      <c r="K1009" s="6" t="n">
        <v>0.893683472429866</v>
      </c>
      <c r="L1009" s="6" t="n">
        <v>1.21055096420957</v>
      </c>
      <c r="M1009" s="6" t="n">
        <v>-1.32515813161789</v>
      </c>
      <c r="N1009" s="6" t="n">
        <v>0.854299699413016</v>
      </c>
      <c r="O1009" s="6" t="n">
        <v>0.177687421866413</v>
      </c>
      <c r="P1009" s="6" t="n">
        <v>-2.14869111917348</v>
      </c>
      <c r="Q1009" s="6" t="n">
        <v>2.38566185778626</v>
      </c>
      <c r="R1009" s="6" t="n">
        <v>0.317751502762656</v>
      </c>
      <c r="S1009" s="6" t="n">
        <v>0.0674470138708564</v>
      </c>
      <c r="T1009" s="6" t="n">
        <v>1.0047506722179</v>
      </c>
      <c r="U1009" s="6" t="n">
        <v>-1.80701165068646</v>
      </c>
      <c r="V1009" s="6" t="n">
        <v>0.312135761442664</v>
      </c>
      <c r="W1009" s="6" t="n">
        <v>1.97685650867706</v>
      </c>
      <c r="X1009" s="6" t="n">
        <v>-3.77168886675912</v>
      </c>
      <c r="Y1009" s="6" t="n">
        <v>-2.13908910669301</v>
      </c>
      <c r="Z1009" s="6" t="n">
        <v>2.03828890606333</v>
      </c>
      <c r="AA1009" s="6" t="n">
        <v>-2.4699119292214</v>
      </c>
      <c r="AB1009" s="6" t="n">
        <v>-0.508556506480833</v>
      </c>
      <c r="AC1009" s="6" t="n">
        <v>-1.56818974222146</v>
      </c>
      <c r="AD1009" s="6" t="n">
        <v>0.582613292398387</v>
      </c>
      <c r="AE1009" s="6" t="n">
        <v>-0.746224404922909</v>
      </c>
      <c r="AF1009" s="6" t="n">
        <v>-0.0105991580085672</v>
      </c>
      <c r="AG1009" s="6" t="n">
        <v>4.04479480177383</v>
      </c>
      <c r="AH1009" s="6" t="n">
        <v>2.65555315731098</v>
      </c>
      <c r="AI1009" s="6" t="n">
        <v>-1.56169461198084</v>
      </c>
      <c r="AJ1009" s="6" t="n">
        <v>64.3718834400356</v>
      </c>
      <c r="AK1009" s="6" t="n">
        <v>0.167581463030979</v>
      </c>
      <c r="AL1009" s="6" t="n">
        <v>0.999194274951097</v>
      </c>
      <c r="AN1009" s="6" t="n">
        <v>1.31187667607702</v>
      </c>
      <c r="AO1009" s="6" t="n">
        <v>1.31187667607702</v>
      </c>
      <c r="AP1009" s="6" t="n">
        <v>0.138672188186123</v>
      </c>
      <c r="AQ1009" s="6" t="n">
        <v>0</v>
      </c>
      <c r="AR1009" s="6" t="n">
        <v>0</v>
      </c>
    </row>
    <row r="1010" customFormat="false" ht="15" hidden="false" customHeight="false" outlineLevel="0" collapsed="false">
      <c r="D1010" s="0" t="s">
        <v>1136</v>
      </c>
      <c r="J1010" s="6" t="n">
        <v>-1.30602368519843</v>
      </c>
      <c r="K1010" s="6" t="n">
        <v>-2.70232666310237</v>
      </c>
      <c r="L1010" s="6" t="n">
        <v>0.00719710514151631</v>
      </c>
      <c r="M1010" s="6" t="n">
        <v>-4.32657526581343</v>
      </c>
      <c r="N1010" s="6" t="n">
        <v>-0.878875770919077</v>
      </c>
      <c r="O1010" s="6" t="n">
        <v>1.5473772333277</v>
      </c>
      <c r="P1010" s="6" t="n">
        <v>2.96629735161645</v>
      </c>
      <c r="Q1010" s="6" t="n">
        <v>0.148765376359703</v>
      </c>
      <c r="R1010" s="6" t="n">
        <v>-1.28858025931348</v>
      </c>
      <c r="S1010" s="6" t="n">
        <v>-2.22462791132334</v>
      </c>
      <c r="T1010" s="6" t="n">
        <v>0.724995430535872</v>
      </c>
      <c r="U1010" s="6" t="n">
        <v>2.51761964544132</v>
      </c>
      <c r="V1010" s="6" t="n">
        <v>-1.3568316357578</v>
      </c>
      <c r="W1010" s="6" t="n">
        <v>-0.975133251629891</v>
      </c>
      <c r="X1010" s="6" t="n">
        <v>-1.15060309098083</v>
      </c>
      <c r="Y1010" s="6" t="n">
        <v>-3.86776926206848</v>
      </c>
      <c r="Z1010" s="6" t="n">
        <v>0.202280833661054</v>
      </c>
      <c r="AA1010" s="6" t="n">
        <v>-0.201795307299375</v>
      </c>
      <c r="AB1010" s="6" t="n">
        <v>0.605427848949771</v>
      </c>
      <c r="AC1010" s="6" t="n">
        <v>1.61255854252928</v>
      </c>
      <c r="AD1010" s="6" t="n">
        <v>0.666014157863581</v>
      </c>
      <c r="AE1010" s="6" t="n">
        <v>-2.10231497010566</v>
      </c>
      <c r="AF1010" s="6" t="n">
        <v>-4.28135493187589</v>
      </c>
      <c r="AG1010" s="6" t="n">
        <v>-3.08269764681211</v>
      </c>
      <c r="AH1010" s="6" t="n">
        <v>-0.827194071491039</v>
      </c>
      <c r="AI1010" s="6" t="n">
        <v>-1.17035346957926</v>
      </c>
      <c r="AJ1010" s="6" t="n">
        <v>67.7365149041281</v>
      </c>
      <c r="AK1010" s="6" t="n">
        <v>0.159308635363105</v>
      </c>
      <c r="AL1010" s="6" t="n">
        <v>1.0789095007895</v>
      </c>
      <c r="AN1010" s="6" t="n">
        <v>1.27566477643324</v>
      </c>
      <c r="AO1010" s="6" t="n">
        <v>1.27679833353375</v>
      </c>
      <c r="AP1010" s="6" t="n">
        <v>0.13003493977674</v>
      </c>
      <c r="AQ1010" s="6" t="n">
        <v>0</v>
      </c>
      <c r="AR1010" s="6" t="n">
        <v>0</v>
      </c>
    </row>
    <row r="1011" customFormat="false" ht="15" hidden="false" customHeight="false" outlineLevel="0" collapsed="false">
      <c r="D1011" s="0" t="s">
        <v>1137</v>
      </c>
      <c r="J1011" s="6" t="n">
        <v>2.7927557008486</v>
      </c>
      <c r="K1011" s="6" t="n">
        <v>0.433841217266143</v>
      </c>
      <c r="L1011" s="6" t="n">
        <v>-0.163329284503272</v>
      </c>
      <c r="M1011" s="6" t="n">
        <v>-2.50109218558234</v>
      </c>
      <c r="N1011" s="6" t="n">
        <v>-0.00406885382904488</v>
      </c>
      <c r="O1011" s="6" t="n">
        <v>1.43580419177028</v>
      </c>
      <c r="P1011" s="6" t="n">
        <v>0.133400130101375</v>
      </c>
      <c r="Q1011" s="6" t="n">
        <v>1.38087608411033</v>
      </c>
      <c r="R1011" s="6" t="n">
        <v>1.21788188985014</v>
      </c>
      <c r="S1011" s="6" t="n">
        <v>0.468431758049707</v>
      </c>
      <c r="T1011" s="6" t="n">
        <v>-0.921645104778789</v>
      </c>
      <c r="U1011" s="6" t="n">
        <v>0.679565287527247</v>
      </c>
      <c r="V1011" s="6" t="n">
        <v>-0.652283730216149</v>
      </c>
      <c r="W1011" s="6" t="n">
        <v>4.00080974227743</v>
      </c>
      <c r="X1011" s="6" t="n">
        <v>0.653609553482161</v>
      </c>
      <c r="Y1011" s="6" t="n">
        <v>0.846334060316415</v>
      </c>
      <c r="Z1011" s="6" t="n">
        <v>1.60907393177256</v>
      </c>
      <c r="AA1011" s="6" t="n">
        <v>0.964176264807971</v>
      </c>
      <c r="AB1011" s="6" t="n">
        <v>-0.105119526231558</v>
      </c>
      <c r="AC1011" s="6" t="n">
        <v>0.19832674621112</v>
      </c>
      <c r="AD1011" s="6" t="n">
        <v>3.58506640560456</v>
      </c>
      <c r="AE1011" s="6" t="n">
        <v>3.10647684234402</v>
      </c>
      <c r="AF1011" s="6" t="n">
        <v>-2.74979872327809</v>
      </c>
      <c r="AG1011" s="6" t="n">
        <v>-1.53808087101911</v>
      </c>
      <c r="AH1011" s="6" t="n">
        <v>0.69829211749333</v>
      </c>
      <c r="AI1011" s="6" t="n">
        <v>-1.13508495438935</v>
      </c>
      <c r="AJ1011" s="6" t="n">
        <v>65.7180918684444</v>
      </c>
      <c r="AK1011" s="6" t="n">
        <v>0.100357519001298</v>
      </c>
      <c r="AL1011" s="6" t="n">
        <v>1.04957417960911</v>
      </c>
      <c r="AN1011" s="6" t="n">
        <v>1.29396075489052</v>
      </c>
      <c r="AO1011" s="6" t="n">
        <v>1.29401947521757</v>
      </c>
      <c r="AP1011" s="6" t="n">
        <v>0.133935786980623</v>
      </c>
      <c r="AQ1011" s="6" t="n">
        <v>0</v>
      </c>
      <c r="AR1011" s="6" t="n">
        <v>0</v>
      </c>
    </row>
    <row r="1012" customFormat="false" ht="15" hidden="false" customHeight="false" outlineLevel="0" collapsed="false">
      <c r="D1012" s="0" t="s">
        <v>1138</v>
      </c>
      <c r="J1012" s="6" t="n">
        <v>-0.3569185616938</v>
      </c>
      <c r="K1012" s="6" t="n">
        <v>0.971760496719784</v>
      </c>
      <c r="L1012" s="6" t="n">
        <v>4.00271227800878</v>
      </c>
      <c r="M1012" s="6" t="n">
        <v>-1.23859383464454</v>
      </c>
      <c r="N1012" s="6" t="n">
        <v>-0.102394777737214</v>
      </c>
      <c r="O1012" s="6" t="n">
        <v>0.848062784883055</v>
      </c>
      <c r="P1012" s="6" t="n">
        <v>0.223531550114326</v>
      </c>
      <c r="Q1012" s="6" t="n">
        <v>-0.0310582163189185</v>
      </c>
      <c r="R1012" s="6" t="n">
        <v>-1.55162877238716</v>
      </c>
      <c r="S1012" s="6" t="n">
        <v>0.370162405601731</v>
      </c>
      <c r="T1012" s="6" t="n">
        <v>-0.552521424459745</v>
      </c>
      <c r="U1012" s="6" t="n">
        <v>-0.296171699694395</v>
      </c>
      <c r="V1012" s="6" t="n">
        <v>-1.20499617737154</v>
      </c>
      <c r="W1012" s="6" t="n">
        <v>1.071203333633</v>
      </c>
      <c r="X1012" s="6" t="n">
        <v>-0.947279185041479</v>
      </c>
      <c r="Y1012" s="6" t="n">
        <v>-1.75102217591343</v>
      </c>
      <c r="Z1012" s="6" t="n">
        <v>0.480079183958784</v>
      </c>
      <c r="AA1012" s="6" t="n">
        <v>2.97435345555351</v>
      </c>
      <c r="AB1012" s="6" t="n">
        <v>-1.92727266427062</v>
      </c>
      <c r="AC1012" s="6" t="n">
        <v>-0.930415513119825</v>
      </c>
      <c r="AD1012" s="6" t="n">
        <v>-0.772495174867388</v>
      </c>
      <c r="AE1012" s="6" t="n">
        <v>1.37698371392565</v>
      </c>
      <c r="AF1012" s="6" t="n">
        <v>0.609881287998945</v>
      </c>
      <c r="AG1012" s="6" t="n">
        <v>-0.12257248194882</v>
      </c>
      <c r="AH1012" s="6" t="n">
        <v>2.53787762434904</v>
      </c>
      <c r="AI1012" s="6" t="n">
        <v>-0.254264089730027</v>
      </c>
      <c r="AJ1012" s="6" t="n">
        <v>69.6875569500618</v>
      </c>
      <c r="AK1012" s="6" t="n">
        <v>0.081764908946452</v>
      </c>
      <c r="AL1012" s="6" t="n">
        <v>1.07839560635113</v>
      </c>
      <c r="AN1012" s="6" t="n">
        <v>1.28743165703621</v>
      </c>
      <c r="AO1012" s="6" t="n">
        <v>1.28777897133583</v>
      </c>
      <c r="AP1012" s="6" t="n">
        <v>0.132637762977052</v>
      </c>
      <c r="AQ1012" s="6" t="n">
        <v>0</v>
      </c>
      <c r="AR1012" s="6" t="n">
        <v>0</v>
      </c>
    </row>
    <row r="1013" customFormat="false" ht="15" hidden="false" customHeight="false" outlineLevel="0" collapsed="false">
      <c r="D1013" s="0" t="s">
        <v>1139</v>
      </c>
      <c r="J1013" s="6" t="n">
        <v>-0.662356888474467</v>
      </c>
      <c r="K1013" s="6" t="n">
        <v>-1.54647098608163</v>
      </c>
      <c r="L1013" s="6" t="n">
        <v>-1.51544491260113</v>
      </c>
      <c r="M1013" s="6" t="n">
        <v>0.3272835031382</v>
      </c>
      <c r="N1013" s="6" t="n">
        <v>-3.12241873134896</v>
      </c>
      <c r="O1013" s="6" t="n">
        <v>-1.61145348202401</v>
      </c>
      <c r="P1013" s="6" t="n">
        <v>0.939040981692841</v>
      </c>
      <c r="Q1013" s="6" t="n">
        <v>-2.15984344480962</v>
      </c>
      <c r="R1013" s="6" t="n">
        <v>1.52991292657246</v>
      </c>
      <c r="S1013" s="6" t="n">
        <v>0.205175712415942</v>
      </c>
      <c r="T1013" s="6" t="n">
        <v>-1.78011333847255</v>
      </c>
      <c r="U1013" s="6" t="n">
        <v>1.79441880759445</v>
      </c>
      <c r="V1013" s="6" t="n">
        <v>0.0495029082054736</v>
      </c>
      <c r="W1013" s="6" t="n">
        <v>-0.257860705797453</v>
      </c>
      <c r="X1013" s="6" t="n">
        <v>2.29445275962642</v>
      </c>
      <c r="Y1013" s="6" t="n">
        <v>-0.402859824705979</v>
      </c>
      <c r="Z1013" s="6" t="n">
        <v>3.24029637402582</v>
      </c>
      <c r="AA1013" s="6" t="n">
        <v>1.10995334779724</v>
      </c>
      <c r="AB1013" s="6" t="n">
        <v>-2.5443089856648</v>
      </c>
      <c r="AC1013" s="6" t="n">
        <v>-1.73552556125232</v>
      </c>
      <c r="AD1013" s="6" t="n">
        <v>2.12803887709732</v>
      </c>
      <c r="AE1013" s="6" t="n">
        <v>-2.55980025164991</v>
      </c>
      <c r="AF1013" s="6" t="n">
        <v>-3.59444981081512</v>
      </c>
      <c r="AG1013" s="6" t="n">
        <v>-2.50345273064414</v>
      </c>
      <c r="AH1013" s="6" t="n">
        <v>0.148712723804434</v>
      </c>
      <c r="AI1013" s="6" t="n">
        <v>-1.03432079192403</v>
      </c>
      <c r="AJ1013" s="6" t="n">
        <v>67.4008075442724</v>
      </c>
      <c r="AK1013" s="6" t="n">
        <v>0.16843425278904</v>
      </c>
      <c r="AL1013" s="6" t="n">
        <v>1.08117214472191</v>
      </c>
      <c r="AN1013" s="6" t="n">
        <v>1.27706085337533</v>
      </c>
      <c r="AO1013" s="6" t="n">
        <v>1.27763781177973</v>
      </c>
      <c r="AP1013" s="6" t="n">
        <v>0.130364050769558</v>
      </c>
      <c r="AQ1013" s="6" t="n">
        <v>0</v>
      </c>
      <c r="AR1013" s="6" t="n">
        <v>0</v>
      </c>
    </row>
    <row r="1014" customFormat="false" ht="15" hidden="false" customHeight="false" outlineLevel="0" collapsed="false">
      <c r="D1014" s="0" t="s">
        <v>1140</v>
      </c>
      <c r="J1014" s="6" t="n">
        <v>-0.983857520018776</v>
      </c>
      <c r="K1014" s="6" t="n">
        <v>1.03683275648407</v>
      </c>
      <c r="L1014" s="6" t="n">
        <v>3.04997081302584</v>
      </c>
      <c r="M1014" s="6" t="n">
        <v>-2.06236647986313</v>
      </c>
      <c r="N1014" s="6" t="n">
        <v>0.697623755744122</v>
      </c>
      <c r="O1014" s="6" t="n">
        <v>0.615892089721074</v>
      </c>
      <c r="P1014" s="6" t="n">
        <v>-1.51940924360092</v>
      </c>
      <c r="Q1014" s="6" t="n">
        <v>-0.286430186040678</v>
      </c>
      <c r="R1014" s="6" t="n">
        <v>-2.92917526506417</v>
      </c>
      <c r="S1014" s="6" t="n">
        <v>1.58390940458267</v>
      </c>
      <c r="T1014" s="6" t="n">
        <v>-3.78993247648396</v>
      </c>
      <c r="U1014" s="6" t="n">
        <v>-0.245909361467236</v>
      </c>
      <c r="V1014" s="6" t="n">
        <v>-2.02955055562728</v>
      </c>
      <c r="W1014" s="6" t="n">
        <v>0.663558791940072</v>
      </c>
      <c r="X1014" s="6" t="n">
        <v>1.34844650374518</v>
      </c>
      <c r="Y1014" s="6" t="n">
        <v>-0.169704403445431</v>
      </c>
      <c r="Z1014" s="6" t="n">
        <v>-1.91713712918711</v>
      </c>
      <c r="AA1014" s="6" t="n">
        <v>-2.54144238959983</v>
      </c>
      <c r="AB1014" s="6" t="n">
        <v>2.70111504165935</v>
      </c>
      <c r="AC1014" s="6" t="n">
        <v>-0.66840231032514</v>
      </c>
      <c r="AD1014" s="6" t="n">
        <v>0.853414769871091</v>
      </c>
      <c r="AE1014" s="6" t="n">
        <v>-0.765926640907429</v>
      </c>
      <c r="AF1014" s="6" t="n">
        <v>-1.12670380726074</v>
      </c>
      <c r="AG1014" s="6" t="n">
        <v>0.374083463260428</v>
      </c>
      <c r="AH1014" s="6" t="n">
        <v>0.0660764304609157</v>
      </c>
      <c r="AI1014" s="6" t="n">
        <v>1.70307260210213</v>
      </c>
      <c r="AJ1014" s="6" t="n">
        <v>68.4294257075512</v>
      </c>
      <c r="AK1014" s="6" t="n">
        <v>0.136760613213899</v>
      </c>
      <c r="AL1014" s="6" t="n">
        <v>1.01236300446398</v>
      </c>
      <c r="AN1014" s="6" t="n">
        <v>1.31120490950614</v>
      </c>
      <c r="AO1014" s="6" t="n">
        <v>1.31123026369533</v>
      </c>
      <c r="AP1014" s="6" t="n">
        <v>0.137649386797893</v>
      </c>
      <c r="AQ1014" s="6" t="n">
        <v>0</v>
      </c>
      <c r="AR1014" s="6" t="n">
        <v>0</v>
      </c>
    </row>
    <row r="1015" customFormat="false" ht="15" hidden="false" customHeight="false" outlineLevel="0" collapsed="false">
      <c r="D1015" s="0" t="s">
        <v>1141</v>
      </c>
      <c r="J1015" s="6" t="n">
        <v>2.69391663888582</v>
      </c>
      <c r="K1015" s="6" t="n">
        <v>-0.199347315294631</v>
      </c>
      <c r="L1015" s="6" t="n">
        <v>0.0272011000100352</v>
      </c>
      <c r="M1015" s="6" t="n">
        <v>-0.727806981389147</v>
      </c>
      <c r="N1015" s="6" t="n">
        <v>-1.84237037559728</v>
      </c>
      <c r="O1015" s="6" t="n">
        <v>-3.26593116011599</v>
      </c>
      <c r="P1015" s="6" t="n">
        <v>-2.21239963684976</v>
      </c>
      <c r="Q1015" s="6" t="n">
        <v>0.319221682239111</v>
      </c>
      <c r="R1015" s="6" t="n">
        <v>0.653276813539676</v>
      </c>
      <c r="S1015" s="6" t="n">
        <v>-0.487342610369186</v>
      </c>
      <c r="T1015" s="6" t="n">
        <v>1.0255120770123</v>
      </c>
      <c r="U1015" s="6" t="n">
        <v>-2.88393114717399</v>
      </c>
      <c r="V1015" s="6" t="n">
        <v>-4.08146915452205</v>
      </c>
      <c r="W1015" s="6" t="n">
        <v>-1.05496011773593</v>
      </c>
      <c r="X1015" s="6" t="n">
        <v>-3.64136958599527</v>
      </c>
      <c r="Y1015" s="6" t="n">
        <v>-2.47373357069311</v>
      </c>
      <c r="Z1015" s="6" t="n">
        <v>0.462279872064098</v>
      </c>
      <c r="AA1015" s="6" t="n">
        <v>0.150500928526348</v>
      </c>
      <c r="AB1015" s="6" t="n">
        <v>-1.39544863756206</v>
      </c>
      <c r="AC1015" s="6" t="n">
        <v>-0.50245332749247</v>
      </c>
      <c r="AD1015" s="6" t="n">
        <v>0.354023677602444</v>
      </c>
      <c r="AE1015" s="6" t="n">
        <v>2.68451327929103</v>
      </c>
      <c r="AF1015" s="6" t="n">
        <v>-1.50164994174455</v>
      </c>
      <c r="AG1015" s="6" t="n">
        <v>-1.38029517602629</v>
      </c>
      <c r="AH1015" s="6" t="n">
        <v>-3.04410428506108</v>
      </c>
      <c r="AI1015" s="6" t="n">
        <v>-0.80370492638752</v>
      </c>
      <c r="AJ1015" s="6" t="n">
        <v>71.875043128719</v>
      </c>
      <c r="AK1015" s="6" t="n">
        <v>0.0876965692611383</v>
      </c>
      <c r="AL1015" s="6" t="n">
        <v>1.11477179601351</v>
      </c>
      <c r="AN1015" s="6" t="n">
        <v>1.27968505954662</v>
      </c>
      <c r="AO1015" s="6" t="n">
        <v>1.2803214524603</v>
      </c>
      <c r="AP1015" s="6" t="n">
        <v>0.130790797093315</v>
      </c>
      <c r="AQ1015" s="6" t="n">
        <v>0</v>
      </c>
      <c r="AR1015" s="6" t="n">
        <v>0</v>
      </c>
    </row>
    <row r="1016" customFormat="false" ht="15" hidden="false" customHeight="false" outlineLevel="0" collapsed="false">
      <c r="D1016" s="0" t="s">
        <v>1142</v>
      </c>
      <c r="J1016" s="6" t="n">
        <v>0.910939180788199</v>
      </c>
      <c r="K1016" s="6" t="n">
        <v>-0.491125477142774</v>
      </c>
      <c r="L1016" s="6" t="n">
        <v>0.000901514659600837</v>
      </c>
      <c r="M1016" s="6" t="n">
        <v>1.6878277181864</v>
      </c>
      <c r="N1016" s="6" t="n">
        <v>1.07197016780814</v>
      </c>
      <c r="O1016" s="6" t="n">
        <v>-0.0218898025668265</v>
      </c>
      <c r="P1016" s="6" t="n">
        <v>-0.495324681450589</v>
      </c>
      <c r="Q1016" s="6" t="n">
        <v>-1.19195229166175</v>
      </c>
      <c r="R1016" s="6" t="n">
        <v>-4.91373562940448</v>
      </c>
      <c r="S1016" s="6" t="n">
        <v>0.0185297252495115</v>
      </c>
      <c r="T1016" s="6" t="n">
        <v>-0.70120326338286</v>
      </c>
      <c r="U1016" s="6" t="n">
        <v>0.343857577512795</v>
      </c>
      <c r="V1016" s="6" t="n">
        <v>-1.44228559773754</v>
      </c>
      <c r="W1016" s="6" t="n">
        <v>-2.07526199608558</v>
      </c>
      <c r="X1016" s="6" t="n">
        <v>3.92625668969949</v>
      </c>
      <c r="Y1016" s="6" t="n">
        <v>-2.92697621601476</v>
      </c>
      <c r="Z1016" s="6" t="n">
        <v>1.59525161723777</v>
      </c>
      <c r="AA1016" s="6" t="n">
        <v>-0.652614113208066</v>
      </c>
      <c r="AB1016" s="6" t="n">
        <v>2.19999262061768</v>
      </c>
      <c r="AC1016" s="6" t="n">
        <v>-4.47890878116644</v>
      </c>
      <c r="AD1016" s="6" t="n">
        <v>-1.3741387297607</v>
      </c>
      <c r="AE1016" s="6" t="n">
        <v>3.46601083562624</v>
      </c>
      <c r="AF1016" s="6" t="n">
        <v>1.81147907470032</v>
      </c>
      <c r="AG1016" s="6" t="n">
        <v>2.55022551438704</v>
      </c>
      <c r="AH1016" s="6" t="n">
        <v>1.77123952646012</v>
      </c>
      <c r="AI1016" s="6" t="n">
        <v>-2.96621810103736</v>
      </c>
      <c r="AJ1016" s="6" t="n">
        <v>77.5456288292305</v>
      </c>
      <c r="AK1016" s="6" t="n">
        <v>0.117092948164726</v>
      </c>
      <c r="AL1016" s="6" t="n">
        <v>1.09229535664724</v>
      </c>
      <c r="AN1016" s="6" t="n">
        <v>1.28239540442874</v>
      </c>
      <c r="AO1016" s="6" t="n">
        <v>1.28315445262211</v>
      </c>
      <c r="AP1016" s="6" t="n">
        <v>0.131015657630803</v>
      </c>
      <c r="AQ1016" s="6" t="n">
        <v>0</v>
      </c>
      <c r="AR1016" s="6" t="n">
        <v>0</v>
      </c>
    </row>
    <row r="1017" customFormat="false" ht="15" hidden="false" customHeight="false" outlineLevel="0" collapsed="false">
      <c r="D1017" s="0" t="s">
        <v>1143</v>
      </c>
      <c r="J1017" s="6" t="n">
        <v>2.58679757042261</v>
      </c>
      <c r="K1017" s="6" t="n">
        <v>-0.891225433169369</v>
      </c>
      <c r="L1017" s="6" t="n">
        <v>-1.92994817317514</v>
      </c>
      <c r="M1017" s="6" t="n">
        <v>1.6574987298739</v>
      </c>
      <c r="N1017" s="6" t="n">
        <v>2.78073987691196</v>
      </c>
      <c r="O1017" s="6" t="n">
        <v>-2.4353925896248</v>
      </c>
      <c r="P1017" s="6" t="n">
        <v>1.58670840871395</v>
      </c>
      <c r="Q1017" s="6" t="n">
        <v>-1.98910666574833</v>
      </c>
      <c r="R1017" s="6" t="n">
        <v>0.0813676462004101</v>
      </c>
      <c r="S1017" s="6" t="n">
        <v>1.49938448152191</v>
      </c>
      <c r="T1017" s="6" t="n">
        <v>-2.14055061629354</v>
      </c>
      <c r="U1017" s="6" t="n">
        <v>0.715455417155829</v>
      </c>
      <c r="V1017" s="6" t="n">
        <v>2.54954802383144</v>
      </c>
      <c r="W1017" s="6" t="n">
        <v>1.13990510227101</v>
      </c>
      <c r="X1017" s="6" t="n">
        <v>-2.18900864679138</v>
      </c>
      <c r="Y1017" s="6" t="n">
        <v>-1.7358514659603</v>
      </c>
      <c r="Z1017" s="6" t="n">
        <v>-1.88540663824725</v>
      </c>
      <c r="AA1017" s="6" t="n">
        <v>2.57803308538192</v>
      </c>
      <c r="AB1017" s="6" t="n">
        <v>0.715318941858276</v>
      </c>
      <c r="AC1017" s="6" t="n">
        <v>-2.4429364018324</v>
      </c>
      <c r="AD1017" s="6" t="n">
        <v>-3.75676332386037</v>
      </c>
      <c r="AE1017" s="6" t="n">
        <v>1.12608988521681</v>
      </c>
      <c r="AF1017" s="6" t="n">
        <v>1.48141143876742</v>
      </c>
      <c r="AG1017" s="6" t="n">
        <v>-4.45191620496143</v>
      </c>
      <c r="AH1017" s="6" t="n">
        <v>-2.59964246910672</v>
      </c>
      <c r="AI1017" s="6" t="n">
        <v>-2.886467336637</v>
      </c>
      <c r="AJ1017" s="6" t="n">
        <v>79.2702835775855</v>
      </c>
      <c r="AK1017" s="6" t="n">
        <v>0.167419957690978</v>
      </c>
      <c r="AL1017" s="6" t="n">
        <v>1.03192063451573</v>
      </c>
      <c r="AN1017" s="6" t="n">
        <v>1.30452445619701</v>
      </c>
      <c r="AO1017" s="6" t="n">
        <v>1.30585667660678</v>
      </c>
      <c r="AP1017" s="6" t="n">
        <v>0.135053673812433</v>
      </c>
      <c r="AQ1017" s="6" t="n">
        <v>0</v>
      </c>
      <c r="AR1017" s="6" t="n">
        <v>0</v>
      </c>
    </row>
    <row r="1018" customFormat="false" ht="15" hidden="false" customHeight="false" outlineLevel="0" collapsed="false">
      <c r="D1018" s="0" t="s">
        <v>1144</v>
      </c>
      <c r="J1018" s="6" t="n">
        <v>-0.707963217468498</v>
      </c>
      <c r="K1018" s="6" t="n">
        <v>-1.44036369687975</v>
      </c>
      <c r="L1018" s="6" t="n">
        <v>0.752026108802958</v>
      </c>
      <c r="M1018" s="6" t="n">
        <v>-1.27996498239357</v>
      </c>
      <c r="N1018" s="6" t="n">
        <v>-1.01525967486769</v>
      </c>
      <c r="O1018" s="6" t="n">
        <v>1.73101202084727</v>
      </c>
      <c r="P1018" s="6" t="n">
        <v>-0.0754651409261943</v>
      </c>
      <c r="Q1018" s="6" t="n">
        <v>-1.50435058443896</v>
      </c>
      <c r="R1018" s="6" t="n">
        <v>-3.10731648122165</v>
      </c>
      <c r="S1018" s="6" t="n">
        <v>1.9120517461441</v>
      </c>
      <c r="T1018" s="6" t="n">
        <v>-1.77051362521587</v>
      </c>
      <c r="U1018" s="6" t="n">
        <v>-0.534631576279852</v>
      </c>
      <c r="V1018" s="6" t="n">
        <v>0.393435359132245</v>
      </c>
      <c r="W1018" s="6" t="n">
        <v>-0.318880764975721</v>
      </c>
      <c r="X1018" s="6" t="n">
        <v>0.684292797316508</v>
      </c>
      <c r="Y1018" s="6" t="n">
        <v>2.22366223452402</v>
      </c>
      <c r="Z1018" s="6" t="n">
        <v>1.31722747649946</v>
      </c>
      <c r="AA1018" s="6" t="n">
        <v>0.795859420359245</v>
      </c>
      <c r="AB1018" s="6" t="n">
        <v>2.32182054507155</v>
      </c>
      <c r="AC1018" s="6" t="n">
        <v>2.52971695920779</v>
      </c>
      <c r="AD1018" s="6" t="n">
        <v>-0.528720696268112</v>
      </c>
      <c r="AE1018" s="6" t="n">
        <v>-3.01456407335139</v>
      </c>
      <c r="AF1018" s="6" t="n">
        <v>-0.506605677956848</v>
      </c>
      <c r="AG1018" s="6" t="n">
        <v>0.972689249665794</v>
      </c>
      <c r="AH1018" s="6" t="n">
        <v>1.37507513012965</v>
      </c>
      <c r="AI1018" s="6" t="n">
        <v>-0.627865244041303</v>
      </c>
      <c r="AJ1018" s="6" t="n">
        <v>68.035574068774</v>
      </c>
      <c r="AK1018" s="6" t="n">
        <v>0.131446976880874</v>
      </c>
      <c r="AL1018" s="6" t="n">
        <v>1.06016843917387</v>
      </c>
      <c r="AN1018" s="6" t="n">
        <v>1.28693936727538</v>
      </c>
      <c r="AO1018" s="6" t="n">
        <v>1.28709339653753</v>
      </c>
      <c r="AP1018" s="6" t="n">
        <v>0.132577601639848</v>
      </c>
      <c r="AQ1018" s="6" t="n">
        <v>0</v>
      </c>
      <c r="AR1018" s="6" t="n">
        <v>0</v>
      </c>
    </row>
    <row r="1019" customFormat="false" ht="15" hidden="false" customHeight="false" outlineLevel="0" collapsed="false">
      <c r="D1019" s="0" t="s">
        <v>1145</v>
      </c>
      <c r="J1019" s="6" t="n">
        <v>1.08453160957422</v>
      </c>
      <c r="K1019" s="6" t="n">
        <v>1.98778532934096</v>
      </c>
      <c r="L1019" s="6" t="n">
        <v>0.56515668629448</v>
      </c>
      <c r="M1019" s="6" t="n">
        <v>0.26865419470373</v>
      </c>
      <c r="N1019" s="6" t="n">
        <v>1.87209158108214</v>
      </c>
      <c r="O1019" s="6" t="n">
        <v>2.5197233760525</v>
      </c>
      <c r="P1019" s="6" t="n">
        <v>0.143108567000799</v>
      </c>
      <c r="Q1019" s="6" t="n">
        <v>-0.268013322392038</v>
      </c>
      <c r="R1019" s="6" t="n">
        <v>0.521574951509089</v>
      </c>
      <c r="S1019" s="6" t="n">
        <v>1.10055841043545</v>
      </c>
      <c r="T1019" s="6" t="n">
        <v>2.34599997844357</v>
      </c>
      <c r="U1019" s="6" t="n">
        <v>-1.04558484505469</v>
      </c>
      <c r="V1019" s="6" t="n">
        <v>-1.25399256912174</v>
      </c>
      <c r="W1019" s="6" t="n">
        <v>-1.39879739997071</v>
      </c>
      <c r="X1019" s="6" t="n">
        <v>-1.62792561233342</v>
      </c>
      <c r="Y1019" s="6" t="n">
        <v>0.919711958021867</v>
      </c>
      <c r="Z1019" s="6" t="n">
        <v>-4.00353462667332</v>
      </c>
      <c r="AA1019" s="6" t="n">
        <v>0.181042846663461</v>
      </c>
      <c r="AB1019" s="6" t="n">
        <v>1.36432139571543</v>
      </c>
      <c r="AC1019" s="6" t="n">
        <v>1.18286996086794</v>
      </c>
      <c r="AD1019" s="6" t="n">
        <v>-1.49024486614913</v>
      </c>
      <c r="AE1019" s="6" t="n">
        <v>-2.18566246956603</v>
      </c>
      <c r="AF1019" s="6" t="n">
        <v>-1.27374573508184</v>
      </c>
      <c r="AG1019" s="6" t="n">
        <v>1.09970680776793</v>
      </c>
      <c r="AH1019" s="6" t="n">
        <v>-2.91269585769852</v>
      </c>
      <c r="AI1019" s="6" t="n">
        <v>-5.19635688948045</v>
      </c>
      <c r="AJ1019" s="6" t="n">
        <v>73.7325277881706</v>
      </c>
      <c r="AK1019" s="6" t="n">
        <v>0.113348593115757</v>
      </c>
      <c r="AL1019" s="6" t="n">
        <v>1.03735871430708</v>
      </c>
      <c r="AN1019" s="6" t="n">
        <v>1.30194644421824</v>
      </c>
      <c r="AO1019" s="6" t="n">
        <v>1.30212981504228</v>
      </c>
      <c r="AP1019" s="6" t="n">
        <v>0.135603173277584</v>
      </c>
      <c r="AQ1019" s="6" t="n">
        <v>0</v>
      </c>
      <c r="AR1019" s="6" t="n">
        <v>0</v>
      </c>
    </row>
    <row r="1020" customFormat="false" ht="15" hidden="false" customHeight="false" outlineLevel="0" collapsed="false">
      <c r="D1020" s="0" t="s">
        <v>1146</v>
      </c>
      <c r="J1020" s="6" t="n">
        <v>-2.25180089399148</v>
      </c>
      <c r="K1020" s="6" t="n">
        <v>-1.82695232452862</v>
      </c>
      <c r="L1020" s="6" t="n">
        <v>1.74424444448215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-1.19559722911469</v>
      </c>
      <c r="Q1020" s="6" t="n">
        <v>-3.27263011105557</v>
      </c>
      <c r="R1020" s="6" t="n">
        <v>2.5401857750227</v>
      </c>
      <c r="S1020" s="6" t="n">
        <v>-0.756807568117426</v>
      </c>
      <c r="T1020" s="6" t="n">
        <v>-1.07685795948133</v>
      </c>
      <c r="U1020" s="6" t="n">
        <v>1.63490033493274</v>
      </c>
      <c r="V1020" s="6" t="n">
        <v>0.689884243229173</v>
      </c>
      <c r="W1020" s="6" t="n">
        <v>-0.0398992613258351</v>
      </c>
      <c r="X1020" s="6" t="n">
        <v>4.03414372425024</v>
      </c>
      <c r="Y1020" s="6" t="n">
        <v>-0.442581202381291</v>
      </c>
      <c r="Z1020" s="6" t="n">
        <v>-1.02302631320125</v>
      </c>
      <c r="AA1020" s="6" t="n">
        <v>-0.844883544737602</v>
      </c>
      <c r="AB1020" s="6" t="n">
        <v>0.416975131665535</v>
      </c>
      <c r="AC1020" s="6" t="n">
        <v>0.166788839070333</v>
      </c>
      <c r="AD1020" s="6" t="n">
        <v>-1.751297138643</v>
      </c>
      <c r="AE1020" s="6" t="n">
        <v>1.88723339718918</v>
      </c>
      <c r="AF1020" s="6" t="n">
        <v>-1.73278344404468</v>
      </c>
      <c r="AG1020" s="6" t="n">
        <v>-2.36683342967492</v>
      </c>
      <c r="AH1020" s="6" t="n">
        <v>-0.344917472538657</v>
      </c>
      <c r="AI1020" s="6" t="n">
        <v>1.00511971950224</v>
      </c>
      <c r="AJ1020" s="6" t="n">
        <v>67.8513777889172</v>
      </c>
      <c r="AK1020" s="6" t="n">
        <v>0.123354249117649</v>
      </c>
      <c r="AL1020" s="6" t="n">
        <v>1.08391831713056</v>
      </c>
      <c r="AN1020" s="6" t="n">
        <v>1.28155623549238</v>
      </c>
      <c r="AO1020" s="6" t="n">
        <v>1.2823167794053</v>
      </c>
      <c r="AP1020" s="6" t="n">
        <v>0.13109891780434</v>
      </c>
      <c r="AQ1020" s="6" t="n">
        <v>0</v>
      </c>
      <c r="AR1020" s="6" t="n">
        <v>0</v>
      </c>
    </row>
    <row r="1021" customFormat="false" ht="15" hidden="false" customHeight="false" outlineLevel="0" collapsed="false">
      <c r="D1021" s="0" t="s">
        <v>1147</v>
      </c>
      <c r="J1021" s="6" t="n">
        <v>-0.903271677589641</v>
      </c>
      <c r="K1021" s="6" t="n">
        <v>-0.727628865273099</v>
      </c>
      <c r="L1021" s="6" t="n">
        <v>-0.127430387944194</v>
      </c>
      <c r="M1021" s="6" t="n">
        <v>-0.82596160794553</v>
      </c>
      <c r="N1021" s="6" t="n">
        <v>-1.00104114701004</v>
      </c>
      <c r="O1021" s="6" t="n">
        <v>2.71349640440775</v>
      </c>
      <c r="P1021" s="6" t="n">
        <v>-0.779304378900762</v>
      </c>
      <c r="Q1021" s="6" t="n">
        <v>0.792015623851912</v>
      </c>
      <c r="R1021" s="6" t="n">
        <v>-2.09515888436622</v>
      </c>
      <c r="S1021" s="6" t="n">
        <v>0.742031661713595</v>
      </c>
      <c r="T1021" s="6" t="n">
        <v>1.74005947264836</v>
      </c>
      <c r="U1021" s="6" t="n">
        <v>-0.37048366100367</v>
      </c>
      <c r="V1021" s="6" t="n">
        <v>-0.874282451118945</v>
      </c>
      <c r="W1021" s="6" t="n">
        <v>-1.57600360044355</v>
      </c>
      <c r="X1021" s="6" t="n">
        <v>-0.922416987098788</v>
      </c>
      <c r="Y1021" s="6" t="n">
        <v>1.8608772410199</v>
      </c>
      <c r="Z1021" s="6" t="n">
        <v>-1.33445407232433</v>
      </c>
      <c r="AA1021" s="6" t="n">
        <v>-0.529770402515164</v>
      </c>
      <c r="AB1021" s="6" t="n">
        <v>0.532309365528066</v>
      </c>
      <c r="AC1021" s="6" t="n">
        <v>1.89922621170367</v>
      </c>
      <c r="AD1021" s="6" t="n">
        <v>2.88470523250054</v>
      </c>
      <c r="AE1021" s="6" t="n">
        <v>-1.37225987137535</v>
      </c>
      <c r="AF1021" s="6" t="n">
        <v>-1.04247614285364</v>
      </c>
      <c r="AG1021" s="6" t="n">
        <v>1.57403650275714</v>
      </c>
      <c r="AH1021" s="6" t="n">
        <v>-1.41510796854377</v>
      </c>
      <c r="AI1021" s="6" t="n">
        <v>0.0452409058166673</v>
      </c>
      <c r="AJ1021" s="6" t="n">
        <v>73.7951587619644</v>
      </c>
      <c r="AK1021" s="6" t="n">
        <v>0.127876908058559</v>
      </c>
      <c r="AL1021" s="6" t="n">
        <v>1.04055002549713</v>
      </c>
      <c r="AN1021" s="6" t="n">
        <v>1.29881961399944</v>
      </c>
      <c r="AO1021" s="6" t="n">
        <v>1.29890992778492</v>
      </c>
      <c r="AP1021" s="6" t="n">
        <v>0.135198071673142</v>
      </c>
      <c r="AQ1021" s="6" t="n">
        <v>0</v>
      </c>
      <c r="AR1021" s="6" t="n">
        <v>0</v>
      </c>
    </row>
    <row r="1022" customFormat="false" ht="15" hidden="false" customHeight="false" outlineLevel="0" collapsed="false">
      <c r="D1022" s="0" t="s">
        <v>1148</v>
      </c>
      <c r="J1022" s="6" t="n">
        <v>-0.157802477274537</v>
      </c>
      <c r="K1022" s="6" t="n">
        <v>-0.758787746530743</v>
      </c>
      <c r="L1022" s="6" t="n">
        <v>0.215241649402748</v>
      </c>
      <c r="M1022" s="6" t="n">
        <v>0.430823473439873</v>
      </c>
      <c r="N1022" s="6" t="n">
        <v>-0.803432241379285</v>
      </c>
      <c r="O1022" s="6" t="n">
        <v>-0.73917033223341</v>
      </c>
      <c r="P1022" s="6" t="n">
        <v>0.486411178909874</v>
      </c>
      <c r="Q1022" s="6" t="n">
        <v>1.87089685019901</v>
      </c>
      <c r="R1022" s="6" t="n">
        <v>-1.17585895142314</v>
      </c>
      <c r="S1022" s="6" t="n">
        <v>0.234957805079517</v>
      </c>
      <c r="T1022" s="6" t="n">
        <v>-1.79078491446749</v>
      </c>
      <c r="U1022" s="6" t="n">
        <v>-2.70830805630142</v>
      </c>
      <c r="V1022" s="6" t="n">
        <v>-0.469609228705021</v>
      </c>
      <c r="W1022" s="6" t="n">
        <v>-2.52522576661819</v>
      </c>
      <c r="X1022" s="6" t="n">
        <v>-0.848085474848092</v>
      </c>
      <c r="Y1022" s="6" t="n">
        <v>-1.39112984065763</v>
      </c>
      <c r="Z1022" s="6" t="n">
        <v>-3.13997128077049</v>
      </c>
      <c r="AA1022" s="6" t="n">
        <v>1.30022640017948</v>
      </c>
      <c r="AB1022" s="6" t="n">
        <v>-0.20370543337618</v>
      </c>
      <c r="AC1022" s="6" t="n">
        <v>-0.767911395231804</v>
      </c>
      <c r="AD1022" s="6" t="n">
        <v>-0.0860094384436642</v>
      </c>
      <c r="AE1022" s="6" t="n">
        <v>1.60470336635957</v>
      </c>
      <c r="AF1022" s="6" t="n">
        <v>-2.63318177118003</v>
      </c>
      <c r="AG1022" s="6" t="n">
        <v>-0.520381970882791</v>
      </c>
      <c r="AH1022" s="6" t="n">
        <v>-2.16460077795013</v>
      </c>
      <c r="AI1022" s="6" t="n">
        <v>-1.10250785173906</v>
      </c>
      <c r="AJ1022" s="6" t="n">
        <v>66.6079630940277</v>
      </c>
      <c r="AK1022" s="6" t="n">
        <v>0.117180336094302</v>
      </c>
      <c r="AL1022" s="6" t="n">
        <v>1.07666736049968</v>
      </c>
      <c r="AN1022" s="6" t="n">
        <v>1.28445690957956</v>
      </c>
      <c r="AO1022" s="6" t="n">
        <v>1.28520286059194</v>
      </c>
      <c r="AP1022" s="6" t="n">
        <v>0.131908945001595</v>
      </c>
      <c r="AQ1022" s="6" t="n">
        <v>0</v>
      </c>
      <c r="AR1022" s="6" t="n">
        <v>0</v>
      </c>
    </row>
    <row r="1023" customFormat="false" ht="15" hidden="false" customHeight="false" outlineLevel="0" collapsed="false">
      <c r="D1023" s="0" t="s">
        <v>1149</v>
      </c>
      <c r="J1023" s="6" t="n">
        <v>-0.604850849556871</v>
      </c>
      <c r="K1023" s="6" t="n">
        <v>2.26296357260954</v>
      </c>
      <c r="L1023" s="6" t="n">
        <v>4.50434619481837</v>
      </c>
      <c r="M1023" s="6" t="n">
        <v>1.53230232447784</v>
      </c>
      <c r="N1023" s="6" t="n">
        <v>-2.22384363583661</v>
      </c>
      <c r="O1023" s="6" t="n">
        <v>-0.0252416018617137</v>
      </c>
      <c r="P1023" s="6" t="n">
        <v>1.9074705200274</v>
      </c>
      <c r="Q1023" s="6" t="n">
        <v>0.305418533722805</v>
      </c>
      <c r="R1023" s="6" t="n">
        <v>0.211920470578368</v>
      </c>
      <c r="S1023" s="6" t="n">
        <v>-1.52014785993613</v>
      </c>
      <c r="T1023" s="6" t="n">
        <v>0.0500405359855906</v>
      </c>
      <c r="U1023" s="6" t="n">
        <v>4.53527038488767</v>
      </c>
      <c r="V1023" s="6" t="n">
        <v>-2.58878054070773</v>
      </c>
      <c r="W1023" s="6" t="n">
        <v>2.89831205964094</v>
      </c>
      <c r="X1023" s="6" t="n">
        <v>-2.27209683035979</v>
      </c>
      <c r="Y1023" s="6" t="n">
        <v>-1.0550404089478</v>
      </c>
      <c r="Z1023" s="6" t="n">
        <v>-1.32738181836189</v>
      </c>
      <c r="AA1023" s="6" t="n">
        <v>0.770800537874669</v>
      </c>
      <c r="AB1023" s="6" t="n">
        <v>-3.23979750479734</v>
      </c>
      <c r="AC1023" s="6" t="n">
        <v>2.54332235324626</v>
      </c>
      <c r="AD1023" s="6" t="n">
        <v>4.04467513762506</v>
      </c>
      <c r="AE1023" s="6" t="n">
        <v>-3.33857933346145</v>
      </c>
      <c r="AF1023" s="6" t="n">
        <v>-1.07246095328524</v>
      </c>
      <c r="AG1023" s="6" t="n">
        <v>-0.729319573541222</v>
      </c>
      <c r="AH1023" s="6" t="n">
        <v>1.34496114781786</v>
      </c>
      <c r="AI1023" s="6" t="n">
        <v>3.6962323367826</v>
      </c>
      <c r="AJ1023" s="6" t="n">
        <v>71.7895361054259</v>
      </c>
      <c r="AK1023" s="6" t="n">
        <v>0.151622801332027</v>
      </c>
      <c r="AL1023" s="6" t="n">
        <v>1.09995217666474</v>
      </c>
      <c r="AN1023" s="6" t="n">
        <v>1.27285150719571</v>
      </c>
      <c r="AO1023" s="6" t="n">
        <v>1.27337076619163</v>
      </c>
      <c r="AP1023" s="6" t="n">
        <v>0.129932206916166</v>
      </c>
      <c r="AQ1023" s="6" t="n">
        <v>0</v>
      </c>
      <c r="AR1023" s="6" t="n">
        <v>0</v>
      </c>
    </row>
    <row r="1024" customFormat="false" ht="15" hidden="false" customHeight="false" outlineLevel="0" collapsed="false">
      <c r="D1024" s="0" t="s">
        <v>1150</v>
      </c>
      <c r="J1024" s="6" t="n">
        <v>-2.86570732137553</v>
      </c>
      <c r="K1024" s="6" t="n">
        <v>-0.248769350871459</v>
      </c>
      <c r="L1024" s="6" t="n">
        <v>-1.43142695259071</v>
      </c>
      <c r="M1024" s="6" t="n">
        <v>-1.18285835823024</v>
      </c>
      <c r="N1024" s="6" t="n">
        <v>0.3707357171008</v>
      </c>
      <c r="O1024" s="6" t="n">
        <v>0.43202400238493</v>
      </c>
      <c r="P1024" s="6" t="n">
        <v>-2.38429626509386</v>
      </c>
      <c r="Q1024" s="6" t="n">
        <v>-3.84465866161812</v>
      </c>
      <c r="R1024" s="6" t="n">
        <v>3.35323825104662</v>
      </c>
      <c r="S1024" s="6" t="n">
        <v>3.80559332396616</v>
      </c>
      <c r="T1024" s="6" t="n">
        <v>-0.170350007498</v>
      </c>
      <c r="U1024" s="6" t="n">
        <v>2.81680983033604</v>
      </c>
      <c r="V1024" s="6" t="n">
        <v>0.302969376715768</v>
      </c>
      <c r="W1024" s="6" t="n">
        <v>-0.793411922172615</v>
      </c>
      <c r="X1024" s="6" t="n">
        <v>1.11661856413186</v>
      </c>
      <c r="Y1024" s="6" t="n">
        <v>-1.39348916075645</v>
      </c>
      <c r="Z1024" s="6" t="n">
        <v>1.7027351322014</v>
      </c>
      <c r="AA1024" s="6" t="n">
        <v>1.42240131182431</v>
      </c>
      <c r="AB1024" s="6" t="n">
        <v>-0.80676678303429</v>
      </c>
      <c r="AC1024" s="6" t="n">
        <v>0.368336970944436</v>
      </c>
      <c r="AD1024" s="6" t="n">
        <v>0.491853886731555</v>
      </c>
      <c r="AE1024" s="6" t="n">
        <v>1.6437876722172</v>
      </c>
      <c r="AF1024" s="6" t="n">
        <v>-1.39256186530171</v>
      </c>
      <c r="AG1024" s="6" t="n">
        <v>1.64163936223107</v>
      </c>
      <c r="AH1024" s="6" t="n">
        <v>-1.1543194595818</v>
      </c>
      <c r="AI1024" s="6" t="n">
        <v>3.05978171000279</v>
      </c>
      <c r="AJ1024" s="6" t="n">
        <v>71.9132339241048</v>
      </c>
      <c r="AK1024" s="6" t="n">
        <v>0.105202941768525</v>
      </c>
      <c r="AL1024" s="6" t="n">
        <v>1.0612203356154</v>
      </c>
      <c r="AN1024" s="6" t="n">
        <v>1.29340574389394</v>
      </c>
      <c r="AO1024" s="6" t="n">
        <v>1.29367458911292</v>
      </c>
      <c r="AP1024" s="6" t="n">
        <v>0.133206849196546</v>
      </c>
      <c r="AQ1024" s="6" t="n">
        <v>0</v>
      </c>
      <c r="AR1024" s="6" t="n">
        <v>0</v>
      </c>
    </row>
    <row r="1025" customFormat="false" ht="15" hidden="false" customHeight="false" outlineLevel="0" collapsed="false">
      <c r="D1025" s="0" t="s">
        <v>1151</v>
      </c>
      <c r="J1025" s="6" t="n">
        <v>-5.01217006885829</v>
      </c>
      <c r="K1025" s="6" t="n">
        <v>3.5096369526417</v>
      </c>
      <c r="L1025" s="6" t="n">
        <v>-1.07444771336515</v>
      </c>
      <c r="M1025" s="6" t="n">
        <v>2.41562680724074</v>
      </c>
      <c r="N1025" s="6" t="n">
        <v>-2.72795403079753</v>
      </c>
      <c r="O1025" s="6" t="n">
        <v>-1.64585789517426</v>
      </c>
      <c r="P1025" s="6" t="n">
        <v>-2.23694148416526</v>
      </c>
      <c r="Q1025" s="6" t="n">
        <v>-3.07750311426772</v>
      </c>
      <c r="R1025" s="6" t="n">
        <v>-0.867461310446799</v>
      </c>
      <c r="S1025" s="6" t="n">
        <v>2.73033731264508</v>
      </c>
      <c r="T1025" s="6" t="n">
        <v>1.77680997219263</v>
      </c>
      <c r="U1025" s="6" t="n">
        <v>-1.10042786923083</v>
      </c>
      <c r="V1025" s="6" t="n">
        <v>1.05793756566097</v>
      </c>
      <c r="W1025" s="6" t="n">
        <v>0.356620061974167</v>
      </c>
      <c r="X1025" s="6" t="n">
        <v>-0.305596987134481</v>
      </c>
      <c r="Y1025" s="6" t="n">
        <v>-0.992281619206669</v>
      </c>
      <c r="Z1025" s="6" t="n">
        <v>1.58437148501392</v>
      </c>
      <c r="AA1025" s="6" t="n">
        <v>-1.11105556579899</v>
      </c>
      <c r="AB1025" s="6" t="n">
        <v>0.174976377952389</v>
      </c>
      <c r="AC1025" s="6" t="n">
        <v>3.43668077193181</v>
      </c>
      <c r="AD1025" s="6" t="n">
        <v>0.0130820086624139</v>
      </c>
      <c r="AE1025" s="6" t="n">
        <v>1.03095198796462</v>
      </c>
      <c r="AF1025" s="6" t="n">
        <v>1.01880938968246</v>
      </c>
      <c r="AG1025" s="6" t="n">
        <v>2.17817563766249</v>
      </c>
      <c r="AH1025" s="6" t="n">
        <v>3.25834316498881</v>
      </c>
      <c r="AI1025" s="6" t="n">
        <v>-0.24336137335081</v>
      </c>
      <c r="AJ1025" s="6" t="n">
        <v>71.8002126538882</v>
      </c>
      <c r="AK1025" s="6" t="n">
        <v>0.140819866849299</v>
      </c>
      <c r="AL1025" s="6" t="n">
        <v>1.07293418479205</v>
      </c>
      <c r="AN1025" s="6" t="n">
        <v>1.28723781539435</v>
      </c>
      <c r="AO1025" s="6" t="n">
        <v>1.28786343022327</v>
      </c>
      <c r="AP1025" s="6" t="n">
        <v>0.131196144272648</v>
      </c>
      <c r="AQ1025" s="6" t="n">
        <v>0</v>
      </c>
      <c r="AR1025" s="6" t="n">
        <v>0</v>
      </c>
    </row>
    <row r="1026" customFormat="false" ht="15" hidden="false" customHeight="false" outlineLevel="0" collapsed="false">
      <c r="D1026" s="0" t="s">
        <v>1152</v>
      </c>
      <c r="J1026" s="6" t="n">
        <v>0.377054604092118</v>
      </c>
      <c r="K1026" s="6" t="n">
        <v>-2.0149657157371</v>
      </c>
      <c r="L1026" s="6" t="n">
        <v>0.281371487906572</v>
      </c>
      <c r="M1026" s="6" t="n">
        <v>1.69935679990864</v>
      </c>
      <c r="N1026" s="6" t="n">
        <v>-1.43337050816115</v>
      </c>
      <c r="O1026" s="6" t="n">
        <v>1.4785498367447</v>
      </c>
      <c r="P1026" s="6" t="n">
        <v>-0.743800712756622</v>
      </c>
      <c r="Q1026" s="6" t="n">
        <v>4.00752464622976</v>
      </c>
      <c r="R1026" s="6" t="n">
        <v>-3.13105156592999</v>
      </c>
      <c r="S1026" s="6" t="n">
        <v>-1.48766891653921</v>
      </c>
      <c r="T1026" s="6" t="n">
        <v>-1.68680139225778</v>
      </c>
      <c r="U1026" s="6" t="n">
        <v>-1.68127878362527</v>
      </c>
      <c r="V1026" s="6" t="n">
        <v>1.47975290620645</v>
      </c>
      <c r="W1026" s="6" t="n">
        <v>-1.43184828566518</v>
      </c>
      <c r="X1026" s="6" t="n">
        <v>1.62961455164246</v>
      </c>
      <c r="Y1026" s="6" t="n">
        <v>1.23803297452497</v>
      </c>
      <c r="Z1026" s="6" t="n">
        <v>-1.64954037021616</v>
      </c>
      <c r="AA1026" s="6" t="n">
        <v>-3.54773001602805</v>
      </c>
      <c r="AB1026" s="6" t="n">
        <v>0.660811991267649</v>
      </c>
      <c r="AC1026" s="6" t="n">
        <v>-2.04855338437179</v>
      </c>
      <c r="AD1026" s="6" t="n">
        <v>2.68703072165613</v>
      </c>
      <c r="AE1026" s="6" t="n">
        <v>-0.128706691081316</v>
      </c>
      <c r="AF1026" s="6" t="n">
        <v>1.83489941079819</v>
      </c>
      <c r="AG1026" s="6" t="n">
        <v>-1.98674966878741</v>
      </c>
      <c r="AH1026" s="6" t="n">
        <v>1.244360630034</v>
      </c>
      <c r="AI1026" s="6" t="n">
        <v>-0.418065217985576</v>
      </c>
      <c r="AJ1026" s="6" t="n">
        <v>63.6506629713218</v>
      </c>
      <c r="AK1026" s="6" t="n">
        <v>0.0817192606694836</v>
      </c>
      <c r="AL1026" s="6" t="n">
        <v>1.05147439492197</v>
      </c>
      <c r="AN1026" s="6" t="n">
        <v>1.29392940334932</v>
      </c>
      <c r="AO1026" s="6" t="n">
        <v>1.29429043607422</v>
      </c>
      <c r="AP1026" s="6" t="n">
        <v>0.134316401603179</v>
      </c>
      <c r="AQ1026" s="6" t="n">
        <v>0</v>
      </c>
      <c r="AR1026" s="6" t="n">
        <v>0</v>
      </c>
    </row>
    <row r="1027" customFormat="false" ht="15" hidden="false" customHeight="false" outlineLevel="0" collapsed="false">
      <c r="D1027" s="0" t="s">
        <v>1153</v>
      </c>
      <c r="J1027" s="6" t="n">
        <v>3.77778211771848</v>
      </c>
      <c r="K1027" s="6" t="n">
        <v>-1.80307747340209</v>
      </c>
      <c r="L1027" s="6" t="n">
        <v>2.68731613609959</v>
      </c>
      <c r="M1027" s="6" t="n">
        <v>-1.61260553171611</v>
      </c>
      <c r="N1027" s="6" t="n">
        <v>-1.32539737205428</v>
      </c>
      <c r="O1027" s="6" t="n">
        <v>2.44914689841741</v>
      </c>
      <c r="P1027" s="6" t="n">
        <v>-0.78813932050445</v>
      </c>
      <c r="Q1027" s="6" t="n">
        <v>-1.46103309444477</v>
      </c>
      <c r="R1027" s="6" t="n">
        <v>-1.98918412159522</v>
      </c>
      <c r="S1027" s="6" t="n">
        <v>-0.52386999271523</v>
      </c>
      <c r="T1027" s="6" t="n">
        <v>1.74953239422407</v>
      </c>
      <c r="U1027" s="6" t="n">
        <v>3.64304908300192</v>
      </c>
      <c r="V1027" s="6" t="n">
        <v>1.85449063167636</v>
      </c>
      <c r="W1027" s="6" t="n">
        <v>-1.77437304063034</v>
      </c>
      <c r="X1027" s="6" t="n">
        <v>-1.07952162298062</v>
      </c>
      <c r="Y1027" s="6" t="n">
        <v>0.972995231504381</v>
      </c>
      <c r="Z1027" s="6" t="n">
        <v>-2.4524001879992</v>
      </c>
      <c r="AA1027" s="6" t="n">
        <v>-2.03977892119839</v>
      </c>
      <c r="AB1027" s="6" t="n">
        <v>-0.24912248374084</v>
      </c>
      <c r="AC1027" s="6" t="n">
        <v>1.06497766705125</v>
      </c>
      <c r="AD1027" s="6" t="n">
        <v>-0.65126196887702</v>
      </c>
      <c r="AE1027" s="6" t="n">
        <v>-2.1296972145531</v>
      </c>
      <c r="AF1027" s="6" t="n">
        <v>0.400076781462846</v>
      </c>
      <c r="AG1027" s="6" t="n">
        <v>-2.26463522295672</v>
      </c>
      <c r="AH1027" s="6" t="n">
        <v>1.03172644599756</v>
      </c>
      <c r="AI1027" s="6" t="n">
        <v>0.687105252710558</v>
      </c>
      <c r="AJ1027" s="6" t="n">
        <v>79.3149318799886</v>
      </c>
      <c r="AK1027" s="6" t="n">
        <v>0.0953092244980731</v>
      </c>
      <c r="AL1027" s="6" t="n">
        <v>1.04014922477754</v>
      </c>
      <c r="AN1027" s="6" t="n">
        <v>1.30589228413741</v>
      </c>
      <c r="AO1027" s="6" t="n">
        <v>1.30622770489981</v>
      </c>
      <c r="AP1027" s="6" t="n">
        <v>0.136177955814755</v>
      </c>
      <c r="AQ1027" s="6" t="n">
        <v>0</v>
      </c>
      <c r="AR1027" s="6" t="n">
        <v>0</v>
      </c>
    </row>
    <row r="1028" customFormat="false" ht="15" hidden="false" customHeight="false" outlineLevel="0" collapsed="false">
      <c r="D1028" s="0" t="s">
        <v>1154</v>
      </c>
      <c r="J1028" s="6" t="n">
        <v>3.82927778741538</v>
      </c>
      <c r="K1028" s="6" t="n">
        <v>1.41188938098429</v>
      </c>
      <c r="L1028" s="6" t="n">
        <v>2.47225829528596</v>
      </c>
      <c r="M1028" s="6" t="n">
        <v>1.45703559024627</v>
      </c>
      <c r="N1028" s="6" t="n">
        <v>0.0965348788708321</v>
      </c>
      <c r="O1028" s="6" t="n">
        <v>0.212240178710288</v>
      </c>
      <c r="P1028" s="6" t="n">
        <v>0.568203065263729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</v>
      </c>
      <c r="U1028" s="6" t="n">
        <v>3.06560660923558</v>
      </c>
      <c r="V1028" s="6" t="n">
        <v>2.63277078065436</v>
      </c>
      <c r="W1028" s="6" t="n">
        <v>1.75648295663738</v>
      </c>
      <c r="X1028" s="6" t="n">
        <v>-1.50733199352972</v>
      </c>
      <c r="Y1028" s="6" t="n">
        <v>1.96755383668211</v>
      </c>
      <c r="Z1028" s="6" t="n">
        <v>-0.458667686999646</v>
      </c>
      <c r="AA1028" s="6" t="n">
        <v>-0.193386488758207</v>
      </c>
      <c r="AB1028" s="6" t="n">
        <v>-2.59434143494757</v>
      </c>
      <c r="AC1028" s="6" t="n">
        <v>0.393414031813106</v>
      </c>
      <c r="AD1028" s="6" t="n">
        <v>0.914573793576286</v>
      </c>
      <c r="AE1028" s="6" t="n">
        <v>-0.0469455169133855</v>
      </c>
      <c r="AF1028" s="6" t="n">
        <v>0.596668202109887</v>
      </c>
      <c r="AG1028" s="6" t="n">
        <v>0.760851342743269</v>
      </c>
      <c r="AH1028" s="6" t="n">
        <v>-0.755952013487819</v>
      </c>
      <c r="AI1028" s="6" t="n">
        <v>-0.871714939628469</v>
      </c>
      <c r="AJ1028" s="6" t="n">
        <v>77.6174007439882</v>
      </c>
      <c r="AK1028" s="6" t="n">
        <v>0.151766679831524</v>
      </c>
      <c r="AL1028" s="6" t="n">
        <v>1.06168620827036</v>
      </c>
      <c r="AN1028" s="6" t="n">
        <v>1.28882988667729</v>
      </c>
      <c r="AO1028" s="6" t="n">
        <v>1.2897231170941</v>
      </c>
      <c r="AP1028" s="6" t="n">
        <v>0.132673866330342</v>
      </c>
      <c r="AQ1028" s="6" t="n">
        <v>0</v>
      </c>
      <c r="AR1028" s="6" t="n">
        <v>0</v>
      </c>
    </row>
    <row r="1029" customFormat="false" ht="15" hidden="false" customHeight="false" outlineLevel="0" collapsed="false">
      <c r="D1029" s="0" t="s">
        <v>1155</v>
      </c>
      <c r="J1029" s="6" t="n">
        <v>3.57418676361457</v>
      </c>
      <c r="K1029" s="6" t="n">
        <v>-0.0459137017886695</v>
      </c>
      <c r="L1029" s="6" t="n">
        <v>1.94959547946435</v>
      </c>
      <c r="M1029" s="6" t="n">
        <v>0.149278133000671</v>
      </c>
      <c r="N1029" s="6" t="n">
        <v>3.41632415415279</v>
      </c>
      <c r="O1029" s="6" t="n">
        <v>-0.051474742808887</v>
      </c>
      <c r="P1029" s="6" t="n">
        <v>0.557653372494953</v>
      </c>
      <c r="Q1029" s="6" t="n">
        <v>-1.92393447583979</v>
      </c>
      <c r="R1029" s="6" t="n">
        <v>0.36256947515021</v>
      </c>
      <c r="S1029" s="6" t="n">
        <v>2.41229025159463</v>
      </c>
      <c r="T1029" s="6" t="n">
        <v>-1.443759323528</v>
      </c>
      <c r="U1029" s="6" t="n">
        <v>2.09296287545326</v>
      </c>
      <c r="V1029" s="6" t="n">
        <v>-6.80469314331395</v>
      </c>
      <c r="W1029" s="6" t="n">
        <v>-2.49356754116631</v>
      </c>
      <c r="X1029" s="6" t="n">
        <v>1.89503664986463</v>
      </c>
      <c r="Y1029" s="6" t="n">
        <v>-0.588837878229671</v>
      </c>
      <c r="Z1029" s="6" t="n">
        <v>0.855146662436042</v>
      </c>
      <c r="AA1029" s="6" t="n">
        <v>2.92323082800871</v>
      </c>
      <c r="AB1029" s="6" t="n">
        <v>1.76317494903844</v>
      </c>
      <c r="AC1029" s="6" t="n">
        <v>-1.13202099595538</v>
      </c>
      <c r="AD1029" s="6" t="n">
        <v>-0.30817331443982</v>
      </c>
      <c r="AE1029" s="6" t="n">
        <v>0.881924780642826</v>
      </c>
      <c r="AF1029" s="6" t="n">
        <v>-0.278128201262444</v>
      </c>
      <c r="AG1029" s="6" t="n">
        <v>0.997405339392822</v>
      </c>
      <c r="AH1029" s="6" t="n">
        <v>-0.468626697428417</v>
      </c>
      <c r="AI1029" s="6" t="n">
        <v>-2.52989241657521</v>
      </c>
      <c r="AJ1029" s="6" t="n">
        <v>73.2437689028778</v>
      </c>
      <c r="AK1029" s="6" t="n">
        <v>0.0775411036621685</v>
      </c>
      <c r="AL1029" s="6" t="n">
        <v>1.06877994664748</v>
      </c>
      <c r="AN1029" s="6" t="n">
        <v>1.29385017341856</v>
      </c>
      <c r="AO1029" s="6" t="n">
        <v>1.29458031419019</v>
      </c>
      <c r="AP1029" s="6" t="n">
        <v>0.133388234865113</v>
      </c>
      <c r="AQ1029" s="6" t="n">
        <v>0</v>
      </c>
      <c r="AR1029" s="6" t="n">
        <v>0</v>
      </c>
    </row>
    <row r="1030" customFormat="false" ht="15" hidden="false" customHeight="false" outlineLevel="0" collapsed="false">
      <c r="D1030" s="0" t="s">
        <v>1156</v>
      </c>
      <c r="J1030" s="6" t="n">
        <v>-0.585827136398297</v>
      </c>
      <c r="K1030" s="6" t="n">
        <v>-2.43883212479556</v>
      </c>
      <c r="L1030" s="6" t="n">
        <v>-1.85903490461394</v>
      </c>
      <c r="M1030" s="6" t="n">
        <v>-1.10035081818731</v>
      </c>
      <c r="N1030" s="6" t="n">
        <v>0.532986678167327</v>
      </c>
      <c r="O1030" s="6" t="n">
        <v>-1.1374558895502</v>
      </c>
      <c r="P1030" s="6" t="n">
        <v>4.21738438659902</v>
      </c>
      <c r="Q1030" s="6" t="n">
        <v>-2.3715784728183</v>
      </c>
      <c r="R1030" s="6" t="n">
        <v>0.164691792912732</v>
      </c>
      <c r="S1030" s="6" t="n">
        <v>4.03750779053557</v>
      </c>
      <c r="T1030" s="6" t="n">
        <v>0.544838474323803</v>
      </c>
      <c r="U1030" s="6" t="n">
        <v>-0.643091576988526</v>
      </c>
      <c r="V1030" s="6" t="n">
        <v>1.00707381707622</v>
      </c>
      <c r="W1030" s="6" t="n">
        <v>0.334099290346802</v>
      </c>
      <c r="X1030" s="6" t="n">
        <v>1.50340303858283</v>
      </c>
      <c r="Y1030" s="6" t="n">
        <v>-2.84731236104583</v>
      </c>
      <c r="Z1030" s="6" t="n">
        <v>-0.472415441119236</v>
      </c>
      <c r="AA1030" s="6" t="n">
        <v>0.918059109505419</v>
      </c>
      <c r="AB1030" s="6" t="n">
        <v>1.73884845419625</v>
      </c>
      <c r="AC1030" s="6" t="n">
        <v>1.37974131925697</v>
      </c>
      <c r="AD1030" s="6" t="n">
        <v>2.4343385034093</v>
      </c>
      <c r="AE1030" s="6" t="n">
        <v>0.945424164168895</v>
      </c>
      <c r="AF1030" s="6" t="n">
        <v>-0.144456682555785</v>
      </c>
      <c r="AG1030" s="6" t="n">
        <v>-0.510787071731973</v>
      </c>
      <c r="AH1030" s="6" t="n">
        <v>-0.998494710808738</v>
      </c>
      <c r="AI1030" s="6" t="n">
        <v>1.451998202433</v>
      </c>
      <c r="AJ1030" s="6" t="n">
        <v>83.803665144528</v>
      </c>
      <c r="AK1030" s="6" t="n">
        <v>0.0809991531761811</v>
      </c>
      <c r="AL1030" s="6" t="n">
        <v>1.02634174513945</v>
      </c>
      <c r="AN1030" s="6" t="n">
        <v>1.31719181701724</v>
      </c>
      <c r="AO1030" s="6" t="n">
        <v>1.31719181701724</v>
      </c>
      <c r="AP1030" s="6" t="n">
        <v>0.1386543244097</v>
      </c>
      <c r="AQ1030" s="6" t="n">
        <v>0</v>
      </c>
      <c r="AR1030" s="6" t="n">
        <v>0</v>
      </c>
    </row>
    <row r="1031" customFormat="false" ht="15" hidden="false" customHeight="false" outlineLevel="0" collapsed="false">
      <c r="D1031" s="0" t="s">
        <v>1157</v>
      </c>
      <c r="J1031" s="6" t="n">
        <v>-2.70012116644182</v>
      </c>
      <c r="K1031" s="6" t="n">
        <v>-1.7324293406814</v>
      </c>
      <c r="L1031" s="6" t="n">
        <v>2.12772448774195</v>
      </c>
      <c r="M1031" s="6" t="n">
        <v>-2.18721195358881</v>
      </c>
      <c r="N1031" s="6" t="n">
        <v>1.22632436046036</v>
      </c>
      <c r="O1031" s="6" t="n">
        <v>-0.989936042266481</v>
      </c>
      <c r="P1031" s="6" t="n">
        <v>0.958627357940001</v>
      </c>
      <c r="Q1031" s="6" t="n">
        <v>1.0349795625603</v>
      </c>
      <c r="R1031" s="6" t="n">
        <v>-0.134499009002491</v>
      </c>
      <c r="S1031" s="6" t="n">
        <v>-0.657467534318686</v>
      </c>
      <c r="T1031" s="6" t="n">
        <v>0.518624668460283</v>
      </c>
      <c r="U1031" s="6" t="n">
        <v>0.948689889780442</v>
      </c>
      <c r="V1031" s="6" t="n">
        <v>0.153904156096999</v>
      </c>
      <c r="W1031" s="6" t="n">
        <v>4.48326234643752</v>
      </c>
      <c r="X1031" s="6" t="n">
        <v>1.9509782472444</v>
      </c>
      <c r="Y1031" s="6" t="n">
        <v>-0.727118946722008</v>
      </c>
      <c r="Z1031" s="6" t="n">
        <v>-1.67454999949352</v>
      </c>
      <c r="AA1031" s="6" t="n">
        <v>2.76334702919753</v>
      </c>
      <c r="AB1031" s="6" t="n">
        <v>-1.04877381959533</v>
      </c>
      <c r="AC1031" s="6" t="n">
        <v>-2.19010602271086</v>
      </c>
      <c r="AD1031" s="6" t="n">
        <v>2.0013466694044</v>
      </c>
      <c r="AE1031" s="6" t="n">
        <v>-0.200471054225819</v>
      </c>
      <c r="AF1031" s="6" t="n">
        <v>-1.32716309478404</v>
      </c>
      <c r="AG1031" s="6" t="n">
        <v>3.4227057289862</v>
      </c>
      <c r="AH1031" s="6" t="n">
        <v>1.23184039695467</v>
      </c>
      <c r="AI1031" s="6" t="n">
        <v>-2.31954015616663</v>
      </c>
      <c r="AJ1031" s="6" t="n">
        <v>68.8491560254078</v>
      </c>
      <c r="AK1031" s="6" t="n">
        <v>0.143736516892222</v>
      </c>
      <c r="AL1031" s="6" t="n">
        <v>1.01693075605144</v>
      </c>
      <c r="AN1031" s="6" t="n">
        <v>1.30869377227887</v>
      </c>
      <c r="AO1031" s="6" t="n">
        <v>1.30964134937577</v>
      </c>
      <c r="AP1031" s="6" t="n">
        <v>0.136999054320964</v>
      </c>
      <c r="AQ1031" s="6" t="n">
        <v>0</v>
      </c>
      <c r="AR1031" s="6" t="n">
        <v>0</v>
      </c>
    </row>
    <row r="1032" customFormat="false" ht="15" hidden="false" customHeight="false" outlineLevel="0" collapsed="false">
      <c r="D1032" s="0" t="s">
        <v>1158</v>
      </c>
      <c r="J1032" s="6" t="n">
        <v>1.31324038648448</v>
      </c>
      <c r="K1032" s="6" t="n">
        <v>2.31307010793089</v>
      </c>
      <c r="L1032" s="6" t="n">
        <v>2.90537320721808</v>
      </c>
      <c r="M1032" s="6" t="n">
        <v>0.564650598180582</v>
      </c>
      <c r="N1032" s="6" t="n">
        <v>-0.30940855758829</v>
      </c>
      <c r="O1032" s="6" t="n">
        <v>-1.63108028450427</v>
      </c>
      <c r="P1032" s="6" t="n">
        <v>4.52782852620493</v>
      </c>
      <c r="Q1032" s="6" t="n">
        <v>-3.23153743550194</v>
      </c>
      <c r="R1032" s="6" t="n">
        <v>-1.47661798710683</v>
      </c>
      <c r="S1032" s="6" t="n">
        <v>0.289892823890596</v>
      </c>
      <c r="T1032" s="6" t="n">
        <v>2.32243325207549</v>
      </c>
      <c r="U1032" s="6" t="n">
        <v>0.666748980661164</v>
      </c>
      <c r="V1032" s="6" t="n">
        <v>-1.7864643487597</v>
      </c>
      <c r="W1032" s="6" t="n">
        <v>1.0179498240094</v>
      </c>
      <c r="X1032" s="6" t="n">
        <v>0.987307932479657</v>
      </c>
      <c r="Y1032" s="6" t="n">
        <v>-1.06914887769685</v>
      </c>
      <c r="Z1032" s="6" t="n">
        <v>0.285168334888538</v>
      </c>
      <c r="AA1032" s="6" t="n">
        <v>0.651358212608275</v>
      </c>
      <c r="AB1032" s="6" t="n">
        <v>-2.19351888678079</v>
      </c>
      <c r="AC1032" s="6" t="n">
        <v>1.10848710091245</v>
      </c>
      <c r="AD1032" s="6" t="n">
        <v>0.939665116580515</v>
      </c>
      <c r="AE1032" s="6" t="n">
        <v>1.00734177705394</v>
      </c>
      <c r="AF1032" s="6" t="n">
        <v>0.393999234294398</v>
      </c>
      <c r="AG1032" s="6" t="n">
        <v>-1.04242488968641</v>
      </c>
      <c r="AH1032" s="6" t="n">
        <v>-0.12529826254108</v>
      </c>
      <c r="AI1032" s="6" t="n">
        <v>1.0430000283225</v>
      </c>
      <c r="AJ1032" s="6" t="n">
        <v>78.2741662394238</v>
      </c>
      <c r="AK1032" s="6" t="n">
        <v>0.147566426001462</v>
      </c>
      <c r="AL1032" s="6" t="n">
        <v>1.03198492895185</v>
      </c>
      <c r="AN1032" s="6" t="n">
        <v>1.30451392130581</v>
      </c>
      <c r="AO1032" s="6" t="n">
        <v>1.30624818711024</v>
      </c>
      <c r="AP1032" s="6" t="n">
        <v>0.135356608408044</v>
      </c>
      <c r="AQ1032" s="6" t="n">
        <v>0</v>
      </c>
      <c r="AR1032" s="6" t="n">
        <v>0</v>
      </c>
    </row>
    <row r="1033" customFormat="false" ht="15" hidden="false" customHeight="false" outlineLevel="0" collapsed="false">
      <c r="D1033" s="0" t="s">
        <v>1159</v>
      </c>
      <c r="J1033" s="6" t="n">
        <v>-0.258731256973479</v>
      </c>
      <c r="K1033" s="6" t="n">
        <v>1.60637046791761</v>
      </c>
      <c r="L1033" s="6" t="n">
        <v>-1.136541306324</v>
      </c>
      <c r="M1033" s="6" t="n">
        <v>-0.527605963622924</v>
      </c>
      <c r="N1033" s="6" t="n">
        <v>-0.897789457723455</v>
      </c>
      <c r="O1033" s="6" t="n">
        <v>5</v>
      </c>
      <c r="P1033" s="6" t="n">
        <v>-1.94536164325157</v>
      </c>
      <c r="Q1033" s="6" t="n">
        <v>-1.7860601828567</v>
      </c>
      <c r="R1033" s="6" t="n">
        <v>1.68740600874178</v>
      </c>
      <c r="S1033" s="6" t="n">
        <v>-2.49467424219336</v>
      </c>
      <c r="T1033" s="6" t="n">
        <v>-1.72525938042152</v>
      </c>
      <c r="U1033" s="6" t="n">
        <v>-1.76276966069559</v>
      </c>
      <c r="V1033" s="6" t="n">
        <v>-1.61352934390834</v>
      </c>
      <c r="W1033" s="6" t="n">
        <v>-0.790517986689706</v>
      </c>
      <c r="X1033" s="6" t="n">
        <v>-0.66646432014656</v>
      </c>
      <c r="Y1033" s="6" t="n">
        <v>1.68390973250615</v>
      </c>
      <c r="Z1033" s="6" t="n">
        <v>-1.2959070576511</v>
      </c>
      <c r="AA1033" s="6" t="n">
        <v>1.98762416728962</v>
      </c>
      <c r="AB1033" s="6" t="n">
        <v>1.98625027413846</v>
      </c>
      <c r="AC1033" s="6" t="n">
        <v>2.13412090719852</v>
      </c>
      <c r="AD1033" s="6" t="n">
        <v>-2.30339661194978</v>
      </c>
      <c r="AE1033" s="6" t="n">
        <v>-4.69625751753811</v>
      </c>
      <c r="AF1033" s="6" t="n">
        <v>0.213265789550353</v>
      </c>
      <c r="AG1033" s="6" t="n">
        <v>-1.37820578282356</v>
      </c>
      <c r="AH1033" s="6" t="n">
        <v>-2.03029943608504</v>
      </c>
      <c r="AI1033" s="6" t="n">
        <v>3.40819429566695</v>
      </c>
      <c r="AJ1033" s="6" t="n">
        <v>78.0861426946384</v>
      </c>
      <c r="AK1033" s="6" t="n">
        <v>0.126683480374608</v>
      </c>
      <c r="AL1033" s="6" t="n">
        <v>0.994405514117663</v>
      </c>
      <c r="AN1033" s="6" t="n">
        <v>1.31908300132204</v>
      </c>
      <c r="AO1033" s="6" t="n">
        <v>1.31908300132204</v>
      </c>
      <c r="AP1033" s="6" t="n">
        <v>0.142446775293977</v>
      </c>
      <c r="AQ1033" s="6" t="n">
        <v>0</v>
      </c>
      <c r="AR1033" s="6" t="n">
        <v>0</v>
      </c>
    </row>
    <row r="1034" customFormat="false" ht="15" hidden="false" customHeight="false" outlineLevel="0" collapsed="false">
      <c r="D1034" s="0" t="s">
        <v>1160</v>
      </c>
      <c r="J1034" s="6" t="n">
        <v>1.63734710714094</v>
      </c>
      <c r="K1034" s="6" t="n">
        <v>0.255633988737212</v>
      </c>
      <c r="L1034" s="6" t="n">
        <v>0.105373104412152</v>
      </c>
      <c r="M1034" s="6" t="n">
        <v>-1.61680381182919</v>
      </c>
      <c r="N1034" s="6" t="n">
        <v>0.47274641319754</v>
      </c>
      <c r="O1034" s="6" t="n">
        <v>0.92986580642543</v>
      </c>
      <c r="P1034" s="6" t="n">
        <v>2.12995070396648</v>
      </c>
      <c r="Q1034" s="6" t="n">
        <v>1.73687616212159</v>
      </c>
      <c r="R1034" s="6" t="n">
        <v>-0.579916358216934</v>
      </c>
      <c r="S1034" s="6" t="n">
        <v>-3.69198570976745</v>
      </c>
      <c r="T1034" s="6" t="n">
        <v>0.704869322136531</v>
      </c>
      <c r="U1034" s="6" t="n">
        <v>1.8336478453079</v>
      </c>
      <c r="V1034" s="6" t="n">
        <v>2.64708082052142</v>
      </c>
      <c r="W1034" s="6" t="n">
        <v>1.29460127087667</v>
      </c>
      <c r="X1034" s="6" t="n">
        <v>-0.677554572356335</v>
      </c>
      <c r="Y1034" s="6" t="n">
        <v>-2.0166924879555</v>
      </c>
      <c r="Z1034" s="6" t="n">
        <v>-4.61665143296713</v>
      </c>
      <c r="AA1034" s="6" t="n">
        <v>-1.28115713202151</v>
      </c>
      <c r="AB1034" s="6" t="n">
        <v>0.294355597354425</v>
      </c>
      <c r="AC1034" s="6" t="n">
        <v>1.45105204940378</v>
      </c>
      <c r="AD1034" s="6" t="n">
        <v>2.79307109591925</v>
      </c>
      <c r="AE1034" s="6" t="n">
        <v>0.433583613346772</v>
      </c>
      <c r="AF1034" s="6" t="n">
        <v>1.46761566774195</v>
      </c>
      <c r="AG1034" s="6" t="n">
        <v>-0.189836501080206</v>
      </c>
      <c r="AH1034" s="6" t="n">
        <v>-0.830135953117977</v>
      </c>
      <c r="AI1034" s="6" t="n">
        <v>2.11050016154108</v>
      </c>
      <c r="AJ1034" s="6" t="n">
        <v>69.345798062935</v>
      </c>
      <c r="AK1034" s="6" t="n">
        <v>0.181275012878074</v>
      </c>
      <c r="AL1034" s="6" t="n">
        <v>1.05729026406544</v>
      </c>
      <c r="AN1034" s="6" t="n">
        <v>1.28248800730319</v>
      </c>
      <c r="AO1034" s="6" t="n">
        <v>1.28369230628023</v>
      </c>
      <c r="AP1034" s="6" t="n">
        <v>0.131598487962454</v>
      </c>
      <c r="AQ1034" s="6" t="n">
        <v>0</v>
      </c>
      <c r="AR1034" s="6" t="n">
        <v>0</v>
      </c>
    </row>
    <row r="1035" customFormat="false" ht="15" hidden="false" customHeight="false" outlineLevel="0" collapsed="false">
      <c r="D1035" s="0" t="s">
        <v>1161</v>
      </c>
      <c r="J1035" s="6" t="n">
        <v>-1.05923500295827</v>
      </c>
      <c r="K1035" s="6" t="n">
        <v>0.0896528091737157</v>
      </c>
      <c r="L1035" s="6" t="n">
        <v>-1.6354020694248</v>
      </c>
      <c r="M1035" s="6" t="n">
        <v>0.771184011390079</v>
      </c>
      <c r="N1035" s="6" t="n">
        <v>-5.23662401656231</v>
      </c>
      <c r="O1035" s="6" t="n">
        <v>1.40253127253009</v>
      </c>
      <c r="P1035" s="6" t="n">
        <v>0.30471983276541</v>
      </c>
      <c r="Q1035" s="6" t="n">
        <v>1.93421857810196</v>
      </c>
      <c r="R1035" s="6" t="n">
        <v>-1.80861011757487</v>
      </c>
      <c r="S1035" s="6" t="n">
        <v>0.918883647852103</v>
      </c>
      <c r="T1035" s="6" t="n">
        <v>0.645308937697375</v>
      </c>
      <c r="U1035" s="6" t="n">
        <v>-0.616298108779168</v>
      </c>
      <c r="V1035" s="6" t="n">
        <v>-1.41073123965017</v>
      </c>
      <c r="W1035" s="6" t="n">
        <v>0.536826242415919</v>
      </c>
      <c r="X1035" s="6" t="n">
        <v>-1.24757262871693</v>
      </c>
      <c r="Y1035" s="6" t="n">
        <v>-2.23243421832702</v>
      </c>
      <c r="Z1035" s="6" t="n">
        <v>2.53984640555724</v>
      </c>
      <c r="AA1035" s="6" t="n">
        <v>0.41306920618445</v>
      </c>
      <c r="AB1035" s="6" t="n">
        <v>-0.603401913642513</v>
      </c>
      <c r="AC1035" s="6" t="n">
        <v>-1.77220877910107</v>
      </c>
      <c r="AD1035" s="6" t="n">
        <v>3.32138564568766</v>
      </c>
      <c r="AE1035" s="6" t="n">
        <v>-0.210318147883491</v>
      </c>
      <c r="AF1035" s="6" t="n">
        <v>-0.91065864696009</v>
      </c>
      <c r="AG1035" s="6" t="n">
        <v>-0.291377414776617</v>
      </c>
      <c r="AH1035" s="6" t="n">
        <v>0.122471972982416</v>
      </c>
      <c r="AI1035" s="6" t="n">
        <v>0.741601997007957</v>
      </c>
      <c r="AJ1035" s="6" t="n">
        <v>62.9449279907914</v>
      </c>
      <c r="AK1035" s="6" t="n">
        <v>0.118118741201842</v>
      </c>
      <c r="AL1035" s="6" t="n">
        <v>1.06398736034283</v>
      </c>
      <c r="AN1035" s="6" t="n">
        <v>1.28496257365728</v>
      </c>
      <c r="AO1035" s="6" t="n">
        <v>1.28536414984919</v>
      </c>
      <c r="AP1035" s="6" t="n">
        <v>0.132452317615956</v>
      </c>
      <c r="AQ1035" s="6" t="n">
        <v>0</v>
      </c>
      <c r="AR1035" s="6" t="n">
        <v>0</v>
      </c>
    </row>
    <row r="1036" customFormat="false" ht="15" hidden="false" customHeight="false" outlineLevel="0" collapsed="false">
      <c r="D1036" s="0" t="s">
        <v>1162</v>
      </c>
      <c r="J1036" s="6" t="n">
        <v>-2.91728074927729</v>
      </c>
      <c r="K1036" s="6" t="n">
        <v>-4.38297249576205</v>
      </c>
      <c r="L1036" s="6" t="n">
        <v>0.627403475990588</v>
      </c>
      <c r="M1036" s="6" t="n">
        <v>-2.78912518857572</v>
      </c>
      <c r="N1036" s="6" t="n">
        <v>1.23126439612344</v>
      </c>
      <c r="O1036" s="6" t="n">
        <v>2.09221239887769</v>
      </c>
      <c r="P1036" s="6" t="n">
        <v>1.95329029723802</v>
      </c>
      <c r="Q1036" s="6" t="n">
        <v>2.57151626677759</v>
      </c>
      <c r="R1036" s="6" t="n">
        <v>3.80227888148309</v>
      </c>
      <c r="S1036" s="6" t="n">
        <v>0.815452851212569</v>
      </c>
      <c r="T1036" s="6" t="n">
        <v>-1.72797639658743</v>
      </c>
      <c r="U1036" s="6" t="n">
        <v>0.763596229803661</v>
      </c>
      <c r="V1036" s="6" t="n">
        <v>1.37186170700355</v>
      </c>
      <c r="W1036" s="6" t="n">
        <v>-3.46593236938914</v>
      </c>
      <c r="X1036" s="6" t="n">
        <v>1.2434274640933</v>
      </c>
      <c r="Y1036" s="6" t="n">
        <v>-3.05350497893653</v>
      </c>
      <c r="Z1036" s="6" t="n">
        <v>3.2598329106626</v>
      </c>
      <c r="AA1036" s="6" t="n">
        <v>1.93975197829337</v>
      </c>
      <c r="AB1036" s="6" t="n">
        <v>0.795021932301674</v>
      </c>
      <c r="AC1036" s="6" t="n">
        <v>-0.207490792315282</v>
      </c>
      <c r="AD1036" s="6" t="n">
        <v>0.0083768573109822</v>
      </c>
      <c r="AE1036" s="6" t="n">
        <v>-0.665310318833041</v>
      </c>
      <c r="AF1036" s="6" t="n">
        <v>-1.2844739634909</v>
      </c>
      <c r="AG1036" s="6" t="n">
        <v>-0.829703509829681</v>
      </c>
      <c r="AH1036" s="6" t="n">
        <v>-0.588488836245568</v>
      </c>
      <c r="AI1036" s="6" t="n">
        <v>1.12545688579131</v>
      </c>
      <c r="AJ1036" s="6" t="n">
        <v>66.9222296399435</v>
      </c>
      <c r="AK1036" s="6" t="n">
        <v>0.176233518253538</v>
      </c>
      <c r="AL1036" s="6" t="n">
        <v>1.03172039712132</v>
      </c>
      <c r="AN1036" s="6" t="n">
        <v>1.2935278816031</v>
      </c>
      <c r="AO1036" s="6" t="n">
        <v>1.29360514581741</v>
      </c>
      <c r="AP1036" s="6" t="n">
        <v>0.13381133824009</v>
      </c>
      <c r="AQ1036" s="6" t="n">
        <v>0</v>
      </c>
      <c r="AR1036" s="6" t="n">
        <v>0</v>
      </c>
    </row>
    <row r="1037" customFormat="false" ht="15" hidden="false" customHeight="false" outlineLevel="0" collapsed="false">
      <c r="D1037" s="0" t="s">
        <v>1163</v>
      </c>
      <c r="J1037" s="6" t="n">
        <v>0.290741267337581</v>
      </c>
      <c r="K1037" s="6" t="n">
        <v>-0.121737544591481</v>
      </c>
      <c r="L1037" s="6" t="n">
        <v>-1.41078064722117</v>
      </c>
      <c r="M1037" s="6" t="n">
        <v>-2.55401029532111</v>
      </c>
      <c r="N1037" s="6" t="n">
        <v>3.50170012996468</v>
      </c>
      <c r="O1037" s="6" t="n">
        <v>3.44827881569242</v>
      </c>
      <c r="P1037" s="6" t="n">
        <v>-4.18939501134259</v>
      </c>
      <c r="Q1037" s="6" t="n">
        <v>0.308363893346496</v>
      </c>
      <c r="R1037" s="6" t="n">
        <v>-2.92350476498358</v>
      </c>
      <c r="S1037" s="6" t="n">
        <v>-3.84334937576677</v>
      </c>
      <c r="T1037" s="6" t="n">
        <v>-0.829976892657038</v>
      </c>
      <c r="U1037" s="6" t="n">
        <v>5</v>
      </c>
      <c r="V1037" s="6" t="n">
        <v>0.76843549131866</v>
      </c>
      <c r="W1037" s="6" t="n">
        <v>-0.00563696053844601</v>
      </c>
      <c r="X1037" s="6" t="n">
        <v>3.73658968533693</v>
      </c>
      <c r="Y1037" s="6" t="n">
        <v>2.19734577625544</v>
      </c>
      <c r="Z1037" s="6" t="n">
        <v>2.68983086200846</v>
      </c>
      <c r="AA1037" s="6" t="n">
        <v>1.34072264241007</v>
      </c>
      <c r="AB1037" s="6" t="n">
        <v>1.0377941432576</v>
      </c>
      <c r="AC1037" s="6" t="n">
        <v>-3.29639869084896</v>
      </c>
      <c r="AD1037" s="6" t="n">
        <v>0.46704328270456</v>
      </c>
      <c r="AE1037" s="6" t="n">
        <v>1.90851392482782</v>
      </c>
      <c r="AF1037" s="6" t="n">
        <v>-1.84554895987759</v>
      </c>
      <c r="AG1037" s="6" t="n">
        <v>-2.4783199601385</v>
      </c>
      <c r="AH1037" s="6" t="n">
        <v>-1.52376428355957</v>
      </c>
      <c r="AI1037" s="6" t="n">
        <v>1.76320113986759</v>
      </c>
      <c r="AJ1037" s="6" t="n">
        <v>67.3705105250016</v>
      </c>
      <c r="AK1037" s="6" t="n">
        <v>0.126334949047713</v>
      </c>
      <c r="AL1037" s="6" t="n">
        <v>1.06289281925721</v>
      </c>
      <c r="AN1037" s="6" t="n">
        <v>1.28713538780704</v>
      </c>
      <c r="AO1037" s="6" t="n">
        <v>1.28758796359183</v>
      </c>
      <c r="AP1037" s="6" t="n">
        <v>0.132307173978985</v>
      </c>
      <c r="AQ1037" s="6" t="n">
        <v>0</v>
      </c>
      <c r="AR1037" s="6" t="n">
        <v>0</v>
      </c>
    </row>
    <row r="1038" customFormat="false" ht="15" hidden="false" customHeight="false" outlineLevel="0" collapsed="false">
      <c r="D1038" s="0" t="s">
        <v>1164</v>
      </c>
      <c r="J1038" s="6" t="n">
        <v>-0.615763037182782</v>
      </c>
      <c r="K1038" s="6" t="n">
        <v>3.91987136520546</v>
      </c>
      <c r="L1038" s="6" t="n">
        <v>3.07363948466172</v>
      </c>
      <c r="M1038" s="6" t="n">
        <v>2.90459394762712</v>
      </c>
      <c r="N1038" s="6" t="n">
        <v>1.92673086164288</v>
      </c>
      <c r="O1038" s="6" t="n">
        <v>-0.977356520495995</v>
      </c>
      <c r="P1038" s="6" t="n">
        <v>0.319228389096078</v>
      </c>
      <c r="Q1038" s="6" t="n">
        <v>3.29912600382101</v>
      </c>
      <c r="R1038" s="6" t="n">
        <v>-0.547336336670465</v>
      </c>
      <c r="S1038" s="6" t="n">
        <v>-2.68195281247975</v>
      </c>
      <c r="T1038" s="6" t="n">
        <v>-2.35978101813562</v>
      </c>
      <c r="U1038" s="6" t="n">
        <v>-1.4844717953417</v>
      </c>
      <c r="V1038" s="6" t="n">
        <v>-1.06444747733807</v>
      </c>
      <c r="W1038" s="6" t="n">
        <v>2.65666688330425</v>
      </c>
      <c r="X1038" s="6" t="n">
        <v>0.124383413256293</v>
      </c>
      <c r="Y1038" s="6" t="n">
        <v>-1.13287225069871</v>
      </c>
      <c r="Z1038" s="6" t="n">
        <v>1.6706671345604</v>
      </c>
      <c r="AA1038" s="6" t="n">
        <v>-0.663546526151255</v>
      </c>
      <c r="AB1038" s="6" t="n">
        <v>-3.1122164226345</v>
      </c>
      <c r="AC1038" s="6" t="n">
        <v>-0.539168992074402</v>
      </c>
      <c r="AD1038" s="6" t="n">
        <v>0.520379063551513</v>
      </c>
      <c r="AE1038" s="6" t="n">
        <v>-2.2218440600706</v>
      </c>
      <c r="AF1038" s="6" t="n">
        <v>-1.69987164486364</v>
      </c>
      <c r="AG1038" s="6" t="n">
        <v>-1.31185229301721</v>
      </c>
      <c r="AH1038" s="6" t="n">
        <v>-2.94077727037019</v>
      </c>
      <c r="AI1038" s="6" t="n">
        <v>2.06774635808027</v>
      </c>
      <c r="AJ1038" s="6" t="n">
        <v>74.85585314286</v>
      </c>
      <c r="AK1038" s="6" t="n">
        <v>0.211737664743176</v>
      </c>
      <c r="AL1038" s="6" t="n">
        <v>1.06642719038341</v>
      </c>
      <c r="AN1038" s="6" t="n">
        <v>1.27971913595115</v>
      </c>
      <c r="AO1038" s="6" t="n">
        <v>1.27993068319056</v>
      </c>
      <c r="AP1038" s="6" t="n">
        <v>0.130570370213</v>
      </c>
      <c r="AQ1038" s="6" t="n">
        <v>0</v>
      </c>
      <c r="AR1038" s="6" t="n">
        <v>0</v>
      </c>
    </row>
    <row r="1039" customFormat="false" ht="15" hidden="false" customHeight="false" outlineLevel="0" collapsed="false">
      <c r="D1039" s="0" t="s">
        <v>1165</v>
      </c>
      <c r="J1039" s="6" t="n">
        <v>-0.550564086442025</v>
      </c>
      <c r="K1039" s="6" t="n">
        <v>-2.89476194802251</v>
      </c>
      <c r="L1039" s="6" t="n">
        <v>0.313044752535279</v>
      </c>
      <c r="M1039" s="6" t="n">
        <v>-0.679548513782528</v>
      </c>
      <c r="N1039" s="6" t="n">
        <v>-0.485781979930183</v>
      </c>
      <c r="O1039" s="6" t="n">
        <v>0.130999305018145</v>
      </c>
      <c r="P1039" s="6" t="n">
        <v>-0.609628455957687</v>
      </c>
      <c r="Q1039" s="6" t="n">
        <v>1.19088243996925</v>
      </c>
      <c r="R1039" s="6" t="n">
        <v>-3.03233709603889</v>
      </c>
      <c r="S1039" s="6" t="n">
        <v>5</v>
      </c>
      <c r="T1039" s="6" t="n">
        <v>1.4690527716324</v>
      </c>
      <c r="U1039" s="6" t="n">
        <v>0.176140318693471</v>
      </c>
      <c r="V1039" s="6" t="n">
        <v>-2.57641136429625</v>
      </c>
      <c r="W1039" s="6" t="n">
        <v>-0.972979396695445</v>
      </c>
      <c r="X1039" s="6" t="n">
        <v>0.765987408666374</v>
      </c>
      <c r="Y1039" s="6" t="n">
        <v>-1.8815965460564</v>
      </c>
      <c r="Z1039" s="6" t="n">
        <v>-0.885417788214009</v>
      </c>
      <c r="AA1039" s="6" t="n">
        <v>0.631856305317866</v>
      </c>
      <c r="AB1039" s="6" t="n">
        <v>1.16051226631003</v>
      </c>
      <c r="AC1039" s="6" t="n">
        <v>0.182449131047215</v>
      </c>
      <c r="AD1039" s="6" t="n">
        <v>0.66635660619613</v>
      </c>
      <c r="AE1039" s="6" t="n">
        <v>-3.943532214779</v>
      </c>
      <c r="AF1039" s="6" t="n">
        <v>0.000854280765609208</v>
      </c>
      <c r="AG1039" s="6" t="n">
        <v>-1.86007029098938</v>
      </c>
      <c r="AH1039" s="6" t="n">
        <v>2.48244991143795</v>
      </c>
      <c r="AI1039" s="6" t="n">
        <v>-2.60827977131143</v>
      </c>
      <c r="AJ1039" s="6" t="n">
        <v>71.1366213831819</v>
      </c>
      <c r="AK1039" s="6" t="n">
        <v>0.0386214694522595</v>
      </c>
      <c r="AL1039" s="6" t="n">
        <v>1.06762061037825</v>
      </c>
      <c r="AN1039" s="6" t="n">
        <v>1.29831913345499</v>
      </c>
      <c r="AO1039" s="6" t="n">
        <v>1.29837675817591</v>
      </c>
      <c r="AP1039" s="6" t="n">
        <v>0.13477923079886</v>
      </c>
      <c r="AQ1039" s="6" t="n">
        <v>0</v>
      </c>
      <c r="AR1039" s="6" t="n">
        <v>0</v>
      </c>
    </row>
    <row r="1040" customFormat="false" ht="15" hidden="false" customHeight="false" outlineLevel="0" collapsed="false">
      <c r="D1040" s="0" t="s">
        <v>1166</v>
      </c>
      <c r="J1040" s="6" t="n">
        <v>-0.476900198977126</v>
      </c>
      <c r="K1040" s="6" t="n">
        <v>1.92793041793933</v>
      </c>
      <c r="L1040" s="6" t="n">
        <v>-1.49170077656407</v>
      </c>
      <c r="M1040" s="6" t="n">
        <v>1.31040896249603</v>
      </c>
      <c r="N1040" s="6" t="n">
        <v>1.33146794744554</v>
      </c>
      <c r="O1040" s="6" t="n">
        <v>3.30781512279442</v>
      </c>
      <c r="P1040" s="6" t="n">
        <v>-0.113062103256436</v>
      </c>
      <c r="Q1040" s="6" t="n">
        <v>-2.08779723240376</v>
      </c>
      <c r="R1040" s="6" t="n">
        <v>2.66384410965736</v>
      </c>
      <c r="S1040" s="6" t="n">
        <v>-0.00953687431426847</v>
      </c>
      <c r="T1040" s="6" t="n">
        <v>-1.93112117074855</v>
      </c>
      <c r="U1040" s="6" t="n">
        <v>2.95292221925807</v>
      </c>
      <c r="V1040" s="6" t="n">
        <v>0.327527475991533</v>
      </c>
      <c r="W1040" s="6" t="n">
        <v>0.901178114761128</v>
      </c>
      <c r="X1040" s="6" t="n">
        <v>2.72453764364224</v>
      </c>
      <c r="Y1040" s="6" t="n">
        <v>0.0174810623358753</v>
      </c>
      <c r="Z1040" s="6" t="n">
        <v>2.89579043167028</v>
      </c>
      <c r="AA1040" s="6" t="n">
        <v>0.00595450267645426</v>
      </c>
      <c r="AB1040" s="6" t="n">
        <v>1.1029643871524</v>
      </c>
      <c r="AC1040" s="6" t="n">
        <v>-1.63880542106118</v>
      </c>
      <c r="AD1040" s="6" t="n">
        <v>-1.22228180693422</v>
      </c>
      <c r="AE1040" s="6" t="n">
        <v>-1.47472797965915</v>
      </c>
      <c r="AF1040" s="6" t="n">
        <v>-2.14099476853086</v>
      </c>
      <c r="AG1040" s="6" t="n">
        <v>-0.399420622504411</v>
      </c>
      <c r="AH1040" s="6" t="n">
        <v>-0.619863600756349</v>
      </c>
      <c r="AI1040" s="6" t="n">
        <v>3.42214274368326</v>
      </c>
      <c r="AJ1040" s="6" t="n">
        <v>75.301295596454</v>
      </c>
      <c r="AK1040" s="6" t="n">
        <v>0.156052572432024</v>
      </c>
      <c r="AL1040" s="6" t="n">
        <v>1.04764404838645</v>
      </c>
      <c r="AN1040" s="6" t="n">
        <v>1.29269399880665</v>
      </c>
      <c r="AO1040" s="6" t="n">
        <v>1.29338495072803</v>
      </c>
      <c r="AP1040" s="6" t="n">
        <v>0.133448440691441</v>
      </c>
      <c r="AQ1040" s="6" t="n">
        <v>0</v>
      </c>
      <c r="AR1040" s="6" t="n">
        <v>0</v>
      </c>
    </row>
    <row r="1041" customFormat="false" ht="15" hidden="false" customHeight="false" outlineLevel="0" collapsed="false">
      <c r="D1041" s="0" t="s">
        <v>1167</v>
      </c>
      <c r="J1041" s="6" t="n">
        <v>-3.69921561545079</v>
      </c>
      <c r="K1041" s="6" t="n">
        <v>-2.94310006725055</v>
      </c>
      <c r="L1041" s="6" t="n">
        <v>-2.11247651748102</v>
      </c>
      <c r="M1041" s="6" t="n">
        <v>-3.91984378593652</v>
      </c>
      <c r="N1041" s="6" t="n">
        <v>-2.85078455390247</v>
      </c>
      <c r="O1041" s="6" t="n">
        <v>-1.6480604840976</v>
      </c>
      <c r="P1041" s="6" t="n">
        <v>0.0965432418242946</v>
      </c>
      <c r="Q1041" s="6" t="n">
        <v>-2.76779083660416</v>
      </c>
      <c r="R1041" s="6" t="n">
        <v>1.53880593497708</v>
      </c>
      <c r="S1041" s="6" t="n">
        <v>1.26323711330096</v>
      </c>
      <c r="T1041" s="6" t="n">
        <v>2.51297911928863</v>
      </c>
      <c r="U1041" s="6" t="n">
        <v>2.04186922116219</v>
      </c>
      <c r="V1041" s="6" t="n">
        <v>2.02433685830905</v>
      </c>
      <c r="W1041" s="6" t="n">
        <v>-0.0703790618560496</v>
      </c>
      <c r="X1041" s="6" t="n">
        <v>-3.18867138130084</v>
      </c>
      <c r="Y1041" s="6" t="n">
        <v>-0.482729017986372</v>
      </c>
      <c r="Z1041" s="6" t="n">
        <v>-1.87008303796006</v>
      </c>
      <c r="AA1041" s="6" t="n">
        <v>-1.18196845080969</v>
      </c>
      <c r="AB1041" s="6" t="n">
        <v>5</v>
      </c>
      <c r="AC1041" s="6" t="n">
        <v>-0.263374821415839</v>
      </c>
      <c r="AD1041" s="6" t="n">
        <v>0.242932531401585</v>
      </c>
      <c r="AE1041" s="6" t="n">
        <v>1.61071294386519</v>
      </c>
      <c r="AF1041" s="6" t="n">
        <v>-2.51570012121613</v>
      </c>
      <c r="AG1041" s="6" t="n">
        <v>-2.07572862598955</v>
      </c>
      <c r="AH1041" s="6" t="n">
        <v>-0.961738288798464</v>
      </c>
      <c r="AI1041" s="6" t="n">
        <v>0.116151394579971</v>
      </c>
      <c r="AJ1041" s="6" t="n">
        <v>78.8973504312433</v>
      </c>
      <c r="AK1041" s="6" t="n">
        <v>0.0938771269124374</v>
      </c>
      <c r="AL1041" s="6" t="n">
        <v>1.05250547727466</v>
      </c>
      <c r="AN1041" s="6" t="n">
        <v>1.3031932920226</v>
      </c>
      <c r="AO1041" s="6" t="n">
        <v>1.3038559853011</v>
      </c>
      <c r="AP1041" s="6" t="n">
        <v>0.134370753903455</v>
      </c>
      <c r="AQ1041" s="6" t="n">
        <v>0</v>
      </c>
      <c r="AR1041" s="6" t="n">
        <v>0</v>
      </c>
    </row>
    <row r="1042" customFormat="false" ht="15" hidden="false" customHeight="false" outlineLevel="0" collapsed="false">
      <c r="D1042" s="0" t="s">
        <v>1168</v>
      </c>
      <c r="J1042" s="6" t="n">
        <v>0.101568222153268</v>
      </c>
      <c r="K1042" s="6" t="n">
        <v>-2.71307911689718</v>
      </c>
      <c r="L1042" s="6" t="n">
        <v>-3.08198523054831</v>
      </c>
      <c r="M1042" s="6" t="n">
        <v>-2.65923806315114</v>
      </c>
      <c r="N1042" s="6" t="n">
        <v>-1.96904418161356</v>
      </c>
      <c r="O1042" s="6" t="n">
        <v>-0.906115095129139</v>
      </c>
      <c r="P1042" s="6" t="n">
        <v>-1.33240830811299</v>
      </c>
      <c r="Q1042" s="6" t="n">
        <v>-3.07496848125776</v>
      </c>
      <c r="R1042" s="6" t="n">
        <v>5</v>
      </c>
      <c r="S1042" s="6" t="n">
        <v>1.59168880492427</v>
      </c>
      <c r="T1042" s="6" t="n">
        <v>-1.23968828657309</v>
      </c>
      <c r="U1042" s="6" t="n">
        <v>2.51530570730621</v>
      </c>
      <c r="V1042" s="6" t="n">
        <v>1.540860311842</v>
      </c>
      <c r="W1042" s="6" t="n">
        <v>-3.35843009081248</v>
      </c>
      <c r="X1042" s="6" t="n">
        <v>-0.882240421162032</v>
      </c>
      <c r="Y1042" s="6" t="n">
        <v>-0.85822511360798</v>
      </c>
      <c r="Z1042" s="6" t="n">
        <v>-3.63033902923623</v>
      </c>
      <c r="AA1042" s="6" t="n">
        <v>-1.47490968661564</v>
      </c>
      <c r="AB1042" s="6" t="n">
        <v>-1.39799409683797</v>
      </c>
      <c r="AC1042" s="6" t="n">
        <v>-2.85027868091789</v>
      </c>
      <c r="AD1042" s="6" t="n">
        <v>0.457976769365736</v>
      </c>
      <c r="AE1042" s="6" t="n">
        <v>-1.65214794812892</v>
      </c>
      <c r="AF1042" s="6" t="n">
        <v>-2.40382031219666</v>
      </c>
      <c r="AG1042" s="6" t="n">
        <v>-1.96563319654336</v>
      </c>
      <c r="AH1042" s="6" t="n">
        <v>-1.67637292560579</v>
      </c>
      <c r="AI1042" s="6" t="n">
        <v>-3.29225366771085</v>
      </c>
      <c r="AJ1042" s="6" t="n">
        <v>80.5388697009716</v>
      </c>
      <c r="AK1042" s="6" t="n">
        <v>0.17175868999386</v>
      </c>
      <c r="AL1042" s="6" t="n">
        <v>1.02908603955013</v>
      </c>
      <c r="AN1042" s="6" t="n">
        <v>1.30621860656387</v>
      </c>
      <c r="AO1042" s="6" t="n">
        <v>1.30646202194352</v>
      </c>
      <c r="AP1042" s="6" t="n">
        <v>0.135266501894939</v>
      </c>
      <c r="AQ1042" s="6" t="n">
        <v>0</v>
      </c>
      <c r="AR1042" s="6" t="n">
        <v>0</v>
      </c>
    </row>
    <row r="1043" customFormat="false" ht="15" hidden="false" customHeight="false" outlineLevel="0" collapsed="false">
      <c r="D1043" s="0" t="s">
        <v>1169</v>
      </c>
      <c r="J1043" s="6" t="n">
        <v>1.04694521014566</v>
      </c>
      <c r="K1043" s="6" t="n">
        <v>-0.0321322888262171</v>
      </c>
      <c r="L1043" s="6" t="n">
        <v>-2.06809396791072</v>
      </c>
      <c r="M1043" s="6" t="n">
        <v>1.28145037743773</v>
      </c>
      <c r="N1043" s="6" t="n">
        <v>-3.01327600329951</v>
      </c>
      <c r="O1043" s="6" t="n">
        <v>-2.24842646223715</v>
      </c>
      <c r="P1043" s="6" t="n">
        <v>-0.659387697738513</v>
      </c>
      <c r="Q1043" s="6" t="n">
        <v>-0.320125516543894</v>
      </c>
      <c r="R1043" s="6" t="n">
        <v>-0.362244450247233</v>
      </c>
      <c r="S1043" s="6" t="n">
        <v>-1.62499274204133</v>
      </c>
      <c r="T1043" s="6" t="n">
        <v>0.666486770056303</v>
      </c>
      <c r="U1043" s="6" t="n">
        <v>-1.44707195479267</v>
      </c>
      <c r="V1043" s="6" t="n">
        <v>-0.765623396193364</v>
      </c>
      <c r="W1043" s="6" t="n">
        <v>-1.15356313445007</v>
      </c>
      <c r="X1043" s="6" t="n">
        <v>0.0525139573126387</v>
      </c>
      <c r="Y1043" s="6" t="n">
        <v>-1.14897084077768</v>
      </c>
      <c r="Z1043" s="6" t="n">
        <v>-0.315312130049929</v>
      </c>
      <c r="AA1043" s="6" t="n">
        <v>2.38969064806438</v>
      </c>
      <c r="AB1043" s="6" t="n">
        <v>-2.3407042226656</v>
      </c>
      <c r="AC1043" s="6" t="n">
        <v>4.01334850835225</v>
      </c>
      <c r="AD1043" s="6" t="n">
        <v>-1.91014609268429</v>
      </c>
      <c r="AE1043" s="6" t="n">
        <v>-0.710029522671766</v>
      </c>
      <c r="AF1043" s="6" t="n">
        <v>-1.05216241639581</v>
      </c>
      <c r="AG1043" s="6" t="n">
        <v>-0.374425519948353</v>
      </c>
      <c r="AH1043" s="6" t="n">
        <v>-2.18911966460647</v>
      </c>
      <c r="AI1043" s="6" t="n">
        <v>-1.31267418085311</v>
      </c>
      <c r="AJ1043" s="6" t="n">
        <v>78.4353371673872</v>
      </c>
      <c r="AK1043" s="6" t="n">
        <v>0.0630991429883639</v>
      </c>
      <c r="AL1043" s="6" t="n">
        <v>1.02541219721327</v>
      </c>
      <c r="AN1043" s="6" t="n">
        <v>1.31283702484254</v>
      </c>
      <c r="AO1043" s="6" t="n">
        <v>1.31283702484254</v>
      </c>
      <c r="AP1043" s="6" t="n">
        <v>0.138963123919869</v>
      </c>
      <c r="AQ1043" s="6" t="n">
        <v>0</v>
      </c>
      <c r="AR1043" s="6" t="n">
        <v>0</v>
      </c>
    </row>
    <row r="1044" customFormat="false" ht="15" hidden="false" customHeight="false" outlineLevel="0" collapsed="false">
      <c r="D1044" s="0" t="s">
        <v>1170</v>
      </c>
      <c r="J1044" s="6" t="n">
        <v>-1.65733852570659</v>
      </c>
      <c r="K1044" s="6" t="n">
        <v>-1.36385452873227</v>
      </c>
      <c r="L1044" s="6" t="n">
        <v>-3.51218168277129</v>
      </c>
      <c r="M1044" s="6" t="n">
        <v>0.323175419201464</v>
      </c>
      <c r="N1044" s="6" t="n">
        <v>0.712552910009043</v>
      </c>
      <c r="O1044" s="6" t="n">
        <v>-1.93645247386648</v>
      </c>
      <c r="P1044" s="6" t="n">
        <v>-0.925165646101146</v>
      </c>
      <c r="Q1044" s="6" t="n">
        <v>0.738172391032401</v>
      </c>
      <c r="R1044" s="6" t="n">
        <v>-4.31637877263253</v>
      </c>
      <c r="S1044" s="6" t="n">
        <v>1.15665738980229</v>
      </c>
      <c r="T1044" s="6" t="n">
        <v>-1.98827085297304</v>
      </c>
      <c r="U1044" s="6" t="n">
        <v>-0.510125605237199</v>
      </c>
      <c r="V1044" s="6" t="n">
        <v>-2.22911228611691</v>
      </c>
      <c r="W1044" s="6" t="n">
        <v>2.31497205392568</v>
      </c>
      <c r="X1044" s="6" t="n">
        <v>-0.982065597170295</v>
      </c>
      <c r="Y1044" s="6" t="n">
        <v>-1.74396263183479</v>
      </c>
      <c r="Z1044" s="6" t="n">
        <v>-3.92348289829827</v>
      </c>
      <c r="AA1044" s="6" t="n">
        <v>-0.118896607890113</v>
      </c>
      <c r="AB1044" s="6" t="n">
        <v>1.31155635253699</v>
      </c>
      <c r="AC1044" s="6" t="n">
        <v>-0.687619014484355</v>
      </c>
      <c r="AD1044" s="6" t="n">
        <v>-0.156602720669127</v>
      </c>
      <c r="AE1044" s="6" t="n">
        <v>-1.91163391217375</v>
      </c>
      <c r="AF1044" s="6" t="n">
        <v>-2.88862617810216</v>
      </c>
      <c r="AG1044" s="6" t="n">
        <v>3.13352894139597</v>
      </c>
      <c r="AH1044" s="6" t="n">
        <v>1.95339669682695</v>
      </c>
      <c r="AI1044" s="6" t="n">
        <v>5</v>
      </c>
      <c r="AJ1044" s="6" t="n">
        <v>71.9070778481453</v>
      </c>
      <c r="AK1044" s="6" t="n">
        <v>0.195164562262348</v>
      </c>
      <c r="AL1044" s="6" t="n">
        <v>1.11325700188107</v>
      </c>
      <c r="AN1044" s="6" t="n">
        <v>1.26711622991438</v>
      </c>
      <c r="AO1044" s="6" t="n">
        <v>1.26750685138851</v>
      </c>
      <c r="AP1044" s="6" t="n">
        <v>0.128498248857453</v>
      </c>
      <c r="AQ1044" s="6" t="n">
        <v>0</v>
      </c>
      <c r="AR1044" s="6" t="n">
        <v>0</v>
      </c>
    </row>
    <row r="1045" customFormat="false" ht="15" hidden="false" customHeight="false" outlineLevel="0" collapsed="false">
      <c r="D1045" s="0" t="s">
        <v>1171</v>
      </c>
      <c r="J1045" s="6" t="n">
        <v>0.664494756125434</v>
      </c>
      <c r="K1045" s="6" t="n">
        <v>1.18518795906493</v>
      </c>
      <c r="L1045" s="6" t="n">
        <v>1.37683338176587</v>
      </c>
      <c r="M1045" s="6" t="n">
        <v>1.92479907152273</v>
      </c>
      <c r="N1045" s="6" t="n">
        <v>0.0850316110068869</v>
      </c>
      <c r="O1045" s="6" t="n">
        <v>0.110064886965205</v>
      </c>
      <c r="P1045" s="6" t="n">
        <v>-4.55395489463714</v>
      </c>
      <c r="Q1045" s="6" t="n">
        <v>-1.57535217828709</v>
      </c>
      <c r="R1045" s="6" t="n">
        <v>-3.0775266310046</v>
      </c>
      <c r="S1045" s="6" t="n">
        <v>-1.19501695034849</v>
      </c>
      <c r="T1045" s="6" t="n">
        <v>-3.07941532132206</v>
      </c>
      <c r="U1045" s="6" t="n">
        <v>1.30379255360442</v>
      </c>
      <c r="V1045" s="6" t="n">
        <v>2.04257934072188</v>
      </c>
      <c r="W1045" s="6" t="n">
        <v>-0.91093104252092</v>
      </c>
      <c r="X1045" s="6" t="n">
        <v>2.84038368392655</v>
      </c>
      <c r="Y1045" s="6" t="n">
        <v>2.84938012907028</v>
      </c>
      <c r="Z1045" s="6" t="n">
        <v>-1.53847120635363</v>
      </c>
      <c r="AA1045" s="6" t="n">
        <v>1.18757272833506</v>
      </c>
      <c r="AB1045" s="6" t="n">
        <v>-2.46524636959448</v>
      </c>
      <c r="AC1045" s="6" t="n">
        <v>1.46320843125366</v>
      </c>
      <c r="AD1045" s="6" t="n">
        <v>1.03041268219227</v>
      </c>
      <c r="AE1045" s="6" t="n">
        <v>-2.38243129642185</v>
      </c>
      <c r="AF1045" s="6" t="n">
        <v>1.47920306309689</v>
      </c>
      <c r="AG1045" s="6" t="n">
        <v>-0.180872522331336</v>
      </c>
      <c r="AH1045" s="6" t="n">
        <v>1.79436587445742</v>
      </c>
      <c r="AI1045" s="6" t="n">
        <v>-2.58245466390712</v>
      </c>
      <c r="AJ1045" s="6" t="n">
        <v>78.3575120826364</v>
      </c>
      <c r="AK1045" s="6" t="n">
        <v>0.129267393286846</v>
      </c>
      <c r="AL1045" s="6" t="n">
        <v>1.06611227936328</v>
      </c>
      <c r="AN1045" s="6" t="n">
        <v>1.29103292603981</v>
      </c>
      <c r="AO1045" s="6" t="n">
        <v>1.29192799463802</v>
      </c>
      <c r="AP1045" s="6" t="n">
        <v>0.132605161144821</v>
      </c>
      <c r="AQ1045" s="6" t="n">
        <v>0</v>
      </c>
      <c r="AR1045" s="6" t="n">
        <v>0</v>
      </c>
    </row>
    <row r="1046" customFormat="false" ht="15" hidden="false" customHeight="false" outlineLevel="0" collapsed="false">
      <c r="D1046" s="0" t="s">
        <v>1172</v>
      </c>
      <c r="J1046" s="6" t="n">
        <v>-0.496651943310261</v>
      </c>
      <c r="K1046" s="6" t="n">
        <v>0.903807659170483</v>
      </c>
      <c r="L1046" s="6" t="n">
        <v>3.55028505914627</v>
      </c>
      <c r="M1046" s="6" t="n">
        <v>3.05980351617582</v>
      </c>
      <c r="N1046" s="6" t="n">
        <v>-0.953130275147562</v>
      </c>
      <c r="O1046" s="6" t="n">
        <v>2.68736604818382</v>
      </c>
      <c r="P1046" s="6" t="n">
        <v>3.44338994694279</v>
      </c>
      <c r="Q1046" s="6" t="n">
        <v>0.927444942804601</v>
      </c>
      <c r="R1046" s="6" t="n">
        <v>0.600382401032005</v>
      </c>
      <c r="S1046" s="6" t="n">
        <v>-0.0286726989671578</v>
      </c>
      <c r="T1046" s="6" t="n">
        <v>0.227109512599293</v>
      </c>
      <c r="U1046" s="6" t="n">
        <v>3.43573839731069</v>
      </c>
      <c r="V1046" s="6" t="n">
        <v>3.50307847647699</v>
      </c>
      <c r="W1046" s="6" t="n">
        <v>-3.15391695295786</v>
      </c>
      <c r="X1046" s="6" t="n">
        <v>2.3081580587175</v>
      </c>
      <c r="Y1046" s="6" t="n">
        <v>1.83292199480846</v>
      </c>
      <c r="Z1046" s="6" t="n">
        <v>0.578938386036181</v>
      </c>
      <c r="AA1046" s="6" t="n">
        <v>-1.42428084818074</v>
      </c>
      <c r="AB1046" s="6" t="n">
        <v>0.333441515259324</v>
      </c>
      <c r="AC1046" s="6" t="n">
        <v>-0.27379288710319</v>
      </c>
      <c r="AD1046" s="6" t="n">
        <v>-0.990170689780427</v>
      </c>
      <c r="AE1046" s="6" t="n">
        <v>3.21393549025179</v>
      </c>
      <c r="AF1046" s="6" t="n">
        <v>-1.24700178901387</v>
      </c>
      <c r="AG1046" s="6" t="n">
        <v>-1.25253185715149</v>
      </c>
      <c r="AH1046" s="6" t="n">
        <v>-2.36399073929666</v>
      </c>
      <c r="AI1046" s="6" t="n">
        <v>-2.54118308765227</v>
      </c>
      <c r="AJ1046" s="6" t="n">
        <v>71.3963104947212</v>
      </c>
      <c r="AK1046" s="6" t="n">
        <v>0.0568828297828756</v>
      </c>
      <c r="AL1046" s="6" t="n">
        <v>1.01889902100365</v>
      </c>
      <c r="AN1046" s="6" t="n">
        <v>1.31202262909925</v>
      </c>
      <c r="AO1046" s="6" t="n">
        <v>1.31202262909925</v>
      </c>
      <c r="AP1046" s="6" t="n">
        <v>0.139094616852372</v>
      </c>
      <c r="AQ1046" s="6" t="n">
        <v>0</v>
      </c>
      <c r="AR1046" s="6" t="n">
        <v>0</v>
      </c>
    </row>
    <row r="1047" customFormat="false" ht="15" hidden="false" customHeight="false" outlineLevel="0" collapsed="false">
      <c r="D1047" s="0" t="s">
        <v>1173</v>
      </c>
      <c r="J1047" s="6" t="n">
        <v>-1.70477131809957</v>
      </c>
      <c r="K1047" s="6" t="n">
        <v>3.27590995193447</v>
      </c>
      <c r="L1047" s="6" t="n">
        <v>3.39578770648686</v>
      </c>
      <c r="M1047" s="6" t="n">
        <v>-1.04135654300983</v>
      </c>
      <c r="N1047" s="6" t="n">
        <v>-1.69222722620097</v>
      </c>
      <c r="O1047" s="6" t="n">
        <v>-0.287963962250875</v>
      </c>
      <c r="P1047" s="6" t="n">
        <v>-3.01765856154595</v>
      </c>
      <c r="Q1047" s="6" t="n">
        <v>-3.35190728067408</v>
      </c>
      <c r="R1047" s="6" t="n">
        <v>-2.10325781370306</v>
      </c>
      <c r="S1047" s="6" t="n">
        <v>-0.32963208764006</v>
      </c>
      <c r="T1047" s="6" t="n">
        <v>1.49191356931055</v>
      </c>
      <c r="U1047" s="6" t="n">
        <v>-2.15860903463698</v>
      </c>
      <c r="V1047" s="6" t="n">
        <v>-3.55967681314051</v>
      </c>
      <c r="W1047" s="6" t="n">
        <v>0.213123621183827</v>
      </c>
      <c r="X1047" s="6" t="n">
        <v>2.2756802591071</v>
      </c>
      <c r="Y1047" s="6" t="n">
        <v>0.359311482662784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0.07614982308207</v>
      </c>
      <c r="AD1047" s="6" t="n">
        <v>-1.13362203291045</v>
      </c>
      <c r="AE1047" s="6" t="n">
        <v>3.00257513924789</v>
      </c>
      <c r="AF1047" s="6" t="n">
        <v>-1.06588121764564</v>
      </c>
      <c r="AG1047" s="6" t="n">
        <v>-1.75399991250311</v>
      </c>
      <c r="AH1047" s="6" t="n">
        <v>0.739947305552493</v>
      </c>
      <c r="AI1047" s="6" t="n">
        <v>-2.24593261465581</v>
      </c>
      <c r="AJ1047" s="6" t="n">
        <v>57.2099877334259</v>
      </c>
      <c r="AK1047" s="6" t="n">
        <v>0.151460537552404</v>
      </c>
      <c r="AL1047" s="6" t="n">
        <v>1.04769968451899</v>
      </c>
      <c r="AN1047" s="6" t="n">
        <v>1.28888637711949</v>
      </c>
      <c r="AO1047" s="6" t="n">
        <v>1.28920271777605</v>
      </c>
      <c r="AP1047" s="6" t="n">
        <v>0.132074128401234</v>
      </c>
      <c r="AQ1047" s="6" t="n">
        <v>0</v>
      </c>
      <c r="AR1047" s="6" t="n">
        <v>0</v>
      </c>
    </row>
    <row r="1048" customFormat="false" ht="15" hidden="false" customHeight="false" outlineLevel="0" collapsed="false">
      <c r="D1048" s="0" t="s">
        <v>1174</v>
      </c>
      <c r="J1048" s="6" t="n">
        <v>-1.75017544000969</v>
      </c>
      <c r="K1048" s="6" t="n">
        <v>-2.0601608414984</v>
      </c>
      <c r="L1048" s="6" t="n">
        <v>1.70432919864795</v>
      </c>
      <c r="M1048" s="6" t="n">
        <v>0.364327511148338</v>
      </c>
      <c r="N1048" s="6" t="n">
        <v>-2.41928413378332</v>
      </c>
      <c r="O1048" s="6" t="n">
        <v>-1.20811993027315</v>
      </c>
      <c r="P1048" s="6" t="n">
        <v>2.08497405122922</v>
      </c>
      <c r="Q1048" s="6" t="n">
        <v>1.54374914938097</v>
      </c>
      <c r="R1048" s="6" t="n">
        <v>-0.133077567246528</v>
      </c>
      <c r="S1048" s="6" t="n">
        <v>-1.77409108462923</v>
      </c>
      <c r="T1048" s="6" t="n">
        <v>2.0349588317473</v>
      </c>
      <c r="U1048" s="6" t="n">
        <v>2.00356602680464</v>
      </c>
      <c r="V1048" s="6" t="n">
        <v>-0.302924040276043</v>
      </c>
      <c r="W1048" s="6" t="n">
        <v>-0.0346349609501243</v>
      </c>
      <c r="X1048" s="6" t="n">
        <v>1.85134217311298</v>
      </c>
      <c r="Y1048" s="6" t="n">
        <v>0.396743783850428</v>
      </c>
      <c r="Z1048" s="6" t="n">
        <v>-0.0991848687027257</v>
      </c>
      <c r="AA1048" s="6" t="n">
        <v>-3.84831287523693</v>
      </c>
      <c r="AB1048" s="6" t="n">
        <v>0.528946352270346</v>
      </c>
      <c r="AC1048" s="6" t="n">
        <v>-0.370732532405565</v>
      </c>
      <c r="AD1048" s="6" t="n">
        <v>-0.116718312527462</v>
      </c>
      <c r="AE1048" s="6" t="n">
        <v>-2.15148897402962</v>
      </c>
      <c r="AF1048" s="6" t="n">
        <v>-2.57659368809672</v>
      </c>
      <c r="AG1048" s="6" t="n">
        <v>-0.875931509210315</v>
      </c>
      <c r="AH1048" s="6" t="n">
        <v>1.71639343242722</v>
      </c>
      <c r="AI1048" s="6" t="n">
        <v>-3.15115750737869</v>
      </c>
      <c r="AJ1048" s="6" t="n">
        <v>81.8132136978928</v>
      </c>
      <c r="AK1048" s="6" t="n">
        <v>0.104626593667685</v>
      </c>
      <c r="AL1048" s="6" t="n">
        <v>1.04362226316723</v>
      </c>
      <c r="AN1048" s="6" t="n">
        <v>1.30637196165175</v>
      </c>
      <c r="AO1048" s="6" t="n">
        <v>1.307294216932</v>
      </c>
      <c r="AP1048" s="6" t="n">
        <v>0.136219338754147</v>
      </c>
      <c r="AQ1048" s="6" t="n">
        <v>0</v>
      </c>
      <c r="AR1048" s="6" t="n">
        <v>0</v>
      </c>
    </row>
    <row r="1049" customFormat="false" ht="15" hidden="false" customHeight="false" outlineLevel="0" collapsed="false">
      <c r="D1049" s="0" t="s">
        <v>1175</v>
      </c>
      <c r="J1049" s="6" t="n">
        <v>1.56026261700716</v>
      </c>
      <c r="K1049" s="6" t="n">
        <v>-0.213241446287217</v>
      </c>
      <c r="L1049" s="6" t="n">
        <v>1.97454513252458</v>
      </c>
      <c r="M1049" s="6" t="n">
        <v>0.134562503069508</v>
      </c>
      <c r="N1049" s="6" t="n">
        <v>-3.88640139813179</v>
      </c>
      <c r="O1049" s="6" t="n">
        <v>-0.807903334081897</v>
      </c>
      <c r="P1049" s="6" t="n">
        <v>1.00207677087264</v>
      </c>
      <c r="Q1049" s="6" t="n">
        <v>2.75492049685095</v>
      </c>
      <c r="R1049" s="6" t="n">
        <v>2.52939263561209</v>
      </c>
      <c r="S1049" s="6" t="n">
        <v>-2.02388030795385</v>
      </c>
      <c r="T1049" s="6" t="n">
        <v>1.46873900311963</v>
      </c>
      <c r="U1049" s="6" t="n">
        <v>0.641178387552784</v>
      </c>
      <c r="V1049" s="6" t="n">
        <v>-0.541904265487717</v>
      </c>
      <c r="W1049" s="6" t="n">
        <v>0.349498752241495</v>
      </c>
      <c r="X1049" s="6" t="n">
        <v>-3.11931004490647</v>
      </c>
      <c r="Y1049" s="6" t="n">
        <v>2.47939201110267</v>
      </c>
      <c r="Z1049" s="6" t="n">
        <v>1.03890115448346</v>
      </c>
      <c r="AA1049" s="6" t="n">
        <v>1.19030934699617</v>
      </c>
      <c r="AB1049" s="6" t="n">
        <v>-1.34160505824763</v>
      </c>
      <c r="AC1049" s="6" t="n">
        <v>2.33220782660837</v>
      </c>
      <c r="AD1049" s="6" t="n">
        <v>1.53010011246821</v>
      </c>
      <c r="AE1049" s="6" t="n">
        <v>1.16714539821997</v>
      </c>
      <c r="AF1049" s="6" t="n">
        <v>-1.60719226739777</v>
      </c>
      <c r="AG1049" s="6" t="n">
        <v>-4.11374249928679</v>
      </c>
      <c r="AH1049" s="6" t="n">
        <v>-2.1488055285553</v>
      </c>
      <c r="AI1049" s="6" t="n">
        <v>1.17703708652519</v>
      </c>
      <c r="AJ1049" s="6" t="n">
        <v>66.6721094388469</v>
      </c>
      <c r="AK1049" s="6" t="n">
        <v>0.103690306770409</v>
      </c>
      <c r="AL1049" s="6" t="n">
        <v>1.02871703154414</v>
      </c>
      <c r="AN1049" s="6" t="n">
        <v>1.30596276494157</v>
      </c>
      <c r="AO1049" s="6" t="n">
        <v>1.30596276494157</v>
      </c>
      <c r="AP1049" s="6" t="n">
        <v>0.136284177495037</v>
      </c>
      <c r="AQ1049" s="6" t="n">
        <v>0</v>
      </c>
      <c r="AR1049" s="6" t="n">
        <v>0</v>
      </c>
    </row>
    <row r="1050" customFormat="false" ht="15" hidden="false" customHeight="false" outlineLevel="0" collapsed="false">
      <c r="D1050" s="0" t="s">
        <v>1176</v>
      </c>
      <c r="J1050" s="6" t="n">
        <v>-1.67029690485965</v>
      </c>
      <c r="K1050" s="6" t="n">
        <v>2.25716651571573</v>
      </c>
      <c r="L1050" s="6" t="n">
        <v>-1.40985977134345</v>
      </c>
      <c r="M1050" s="6" t="n">
        <v>-2.98064581316159</v>
      </c>
      <c r="N1050" s="6" t="n">
        <v>-2.51577712322862</v>
      </c>
      <c r="O1050" s="6" t="n">
        <v>0.431534146882356</v>
      </c>
      <c r="P1050" s="6" t="n">
        <v>-2.2721023464902</v>
      </c>
      <c r="Q1050" s="6" t="n">
        <v>0.795770289148103</v>
      </c>
      <c r="R1050" s="6" t="n">
        <v>-3.91111574994165</v>
      </c>
      <c r="S1050" s="6" t="n">
        <v>3.47376099894987</v>
      </c>
      <c r="T1050" s="6" t="n">
        <v>1.1634453244271</v>
      </c>
      <c r="U1050" s="6" t="n">
        <v>-3.0608223872015</v>
      </c>
      <c r="V1050" s="6" t="n">
        <v>2.58372052686392</v>
      </c>
      <c r="W1050" s="6" t="n">
        <v>-1.7615366907198</v>
      </c>
      <c r="X1050" s="6" t="n">
        <v>-0.768076379676487</v>
      </c>
      <c r="Y1050" s="6" t="n">
        <v>1.0483116042837</v>
      </c>
      <c r="Z1050" s="6" t="n">
        <v>-0.635476204927975</v>
      </c>
      <c r="AA1050" s="6" t="n">
        <v>0.0608225482746752</v>
      </c>
      <c r="AB1050" s="6" t="n">
        <v>5</v>
      </c>
      <c r="AC1050" s="6" t="n">
        <v>-3.04494931666398</v>
      </c>
      <c r="AD1050" s="6" t="n">
        <v>0.173941202169404</v>
      </c>
      <c r="AE1050" s="6" t="n">
        <v>1.27291640841695</v>
      </c>
      <c r="AF1050" s="6" t="n">
        <v>-1.72053523283978</v>
      </c>
      <c r="AG1050" s="6" t="n">
        <v>-2.28805398802128</v>
      </c>
      <c r="AH1050" s="6" t="n">
        <v>-1.40852183131155</v>
      </c>
      <c r="AI1050" s="6" t="n">
        <v>0.619275841567199</v>
      </c>
      <c r="AJ1050" s="6" t="n">
        <v>68.0625023161802</v>
      </c>
      <c r="AK1050" s="6" t="n">
        <v>0.0525870809567493</v>
      </c>
      <c r="AL1050" s="6" t="n">
        <v>1.09196311005192</v>
      </c>
      <c r="AN1050" s="6" t="n">
        <v>1.28704936588301</v>
      </c>
      <c r="AO1050" s="6" t="n">
        <v>1.28730980667127</v>
      </c>
      <c r="AP1050" s="6" t="n">
        <v>0.132209581416459</v>
      </c>
      <c r="AQ1050" s="6" t="n">
        <v>0</v>
      </c>
      <c r="AR1050" s="6" t="n">
        <v>0</v>
      </c>
    </row>
    <row r="1051" customFormat="false" ht="15" hidden="false" customHeight="false" outlineLevel="0" collapsed="false">
      <c r="D1051" s="0" t="s">
        <v>1177</v>
      </c>
      <c r="J1051" s="6" t="n">
        <v>2.19476178605099</v>
      </c>
      <c r="K1051" s="6" t="n">
        <v>-1.63030075450926</v>
      </c>
      <c r="L1051" s="6" t="n">
        <v>-0.154085995322635</v>
      </c>
      <c r="M1051" s="6" t="n">
        <v>-0.907051387793006</v>
      </c>
      <c r="N1051" s="6" t="n">
        <v>0.40780804180843</v>
      </c>
      <c r="O1051" s="6" t="n">
        <v>1.40688358083354</v>
      </c>
      <c r="P1051" s="6" t="n">
        <v>-1.4120138907822</v>
      </c>
      <c r="Q1051" s="6" t="n">
        <v>2.64397479244675</v>
      </c>
      <c r="R1051" s="6" t="n">
        <v>-3.90773056407606</v>
      </c>
      <c r="S1051" s="6" t="n">
        <v>-2.43517433780991</v>
      </c>
      <c r="T1051" s="6" t="n">
        <v>2.49937855183447</v>
      </c>
      <c r="U1051" s="6" t="n">
        <v>-1.10387601318055</v>
      </c>
      <c r="V1051" s="6" t="n">
        <v>2.08460259737822</v>
      </c>
      <c r="W1051" s="6" t="n">
        <v>-1.47619782172006</v>
      </c>
      <c r="X1051" s="6" t="n">
        <v>3.19562643229789</v>
      </c>
      <c r="Y1051" s="6" t="n">
        <v>2.02812507123245</v>
      </c>
      <c r="Z1051" s="6" t="n">
        <v>1.68086580121875</v>
      </c>
      <c r="AA1051" s="6" t="n">
        <v>-0.994898956423133</v>
      </c>
      <c r="AB1051" s="6" t="n">
        <v>-1.82337445396487</v>
      </c>
      <c r="AC1051" s="6" t="n">
        <v>1.25879397454985</v>
      </c>
      <c r="AD1051" s="6" t="n">
        <v>-1.95512351806898</v>
      </c>
      <c r="AE1051" s="6" t="n">
        <v>-0.744703485948612</v>
      </c>
      <c r="AF1051" s="6" t="n">
        <v>-0.745656604588905</v>
      </c>
      <c r="AG1051" s="6" t="n">
        <v>3.74783146693043</v>
      </c>
      <c r="AH1051" s="6" t="n">
        <v>-1.95245543858563</v>
      </c>
      <c r="AI1051" s="6" t="n">
        <v>-4.46754722910205</v>
      </c>
      <c r="AJ1051" s="6" t="n">
        <v>71.4727631388318</v>
      </c>
      <c r="AK1051" s="6" t="n">
        <v>0.15755251695484</v>
      </c>
      <c r="AL1051" s="6" t="n">
        <v>1.05339231429329</v>
      </c>
      <c r="AN1051" s="6" t="n">
        <v>1.28911665772261</v>
      </c>
      <c r="AO1051" s="6" t="n">
        <v>1.28916814366193</v>
      </c>
      <c r="AP1051" s="6" t="n">
        <v>0.133048524021563</v>
      </c>
      <c r="AQ1051" s="6" t="n">
        <v>0</v>
      </c>
      <c r="AR1051" s="6" t="n">
        <v>0</v>
      </c>
    </row>
    <row r="1052" customFormat="false" ht="15" hidden="false" customHeight="false" outlineLevel="0" collapsed="false">
      <c r="D1052" s="0" t="s">
        <v>1178</v>
      </c>
      <c r="J1052" s="6" t="n">
        <v>-0.994642990887326</v>
      </c>
      <c r="K1052" s="6" t="n">
        <v>0.804945257507381</v>
      </c>
      <c r="L1052" s="6" t="n">
        <v>0.444422911294879</v>
      </c>
      <c r="M1052" s="6" t="n">
        <v>0.482360651291876</v>
      </c>
      <c r="N1052" s="6" t="n">
        <v>0.385177240300133</v>
      </c>
      <c r="O1052" s="6" t="n">
        <v>0.94114205255095</v>
      </c>
      <c r="P1052" s="6" t="n">
        <v>-0.793849813926688</v>
      </c>
      <c r="Q1052" s="6" t="n">
        <v>-0.0493179611142728</v>
      </c>
      <c r="R1052" s="6" t="n">
        <v>1.86535554705798</v>
      </c>
      <c r="S1052" s="6" t="n">
        <v>-2.67396811199482</v>
      </c>
      <c r="T1052" s="6" t="n">
        <v>1.62575311107789</v>
      </c>
      <c r="U1052" s="6" t="n">
        <v>2.25868680332162</v>
      </c>
      <c r="V1052" s="6" t="n">
        <v>-1.64394538680602</v>
      </c>
      <c r="W1052" s="6" t="n">
        <v>-0.00923253598431702</v>
      </c>
      <c r="X1052" s="6" t="n">
        <v>-0.575532990892006</v>
      </c>
      <c r="Y1052" s="6" t="n">
        <v>-2.26077193617505</v>
      </c>
      <c r="Z1052" s="6" t="n">
        <v>-1.07246025289261</v>
      </c>
      <c r="AA1052" s="6" t="n">
        <v>-1.48340836804234</v>
      </c>
      <c r="AB1052" s="6" t="n">
        <v>-1.0731980101608</v>
      </c>
      <c r="AC1052" s="6" t="n">
        <v>3.92580787332024</v>
      </c>
      <c r="AD1052" s="6" t="n">
        <v>-1.25617458269606</v>
      </c>
      <c r="AE1052" s="6" t="n">
        <v>1.73966506864807</v>
      </c>
      <c r="AF1052" s="6" t="n">
        <v>-0.16231154633777</v>
      </c>
      <c r="AG1052" s="6" t="n">
        <v>-1.45343516778501</v>
      </c>
      <c r="AH1052" s="6" t="n">
        <v>1.43244056403168</v>
      </c>
      <c r="AI1052" s="6" t="n">
        <v>0.626758832789216</v>
      </c>
      <c r="AJ1052" s="6" t="n">
        <v>74.8946912443462</v>
      </c>
      <c r="AK1052" s="6" t="n">
        <v>0.112443871855368</v>
      </c>
      <c r="AL1052" s="6" t="n">
        <v>1.07110769852676</v>
      </c>
      <c r="AN1052" s="6" t="n">
        <v>1.28892010193235</v>
      </c>
      <c r="AO1052" s="6" t="n">
        <v>1.28912376413327</v>
      </c>
      <c r="AP1052" s="6" t="n">
        <v>0.132713163722909</v>
      </c>
      <c r="AQ1052" s="6" t="n">
        <v>0</v>
      </c>
      <c r="AR1052" s="6" t="n">
        <v>0</v>
      </c>
    </row>
    <row r="1053" customFormat="false" ht="15" hidden="false" customHeight="false" outlineLevel="0" collapsed="false">
      <c r="D1053" s="0" t="s">
        <v>1179</v>
      </c>
      <c r="J1053" s="6" t="n">
        <v>1.65717522073566</v>
      </c>
      <c r="K1053" s="6" t="n">
        <v>-0.448947774373072</v>
      </c>
      <c r="L1053" s="6" t="n">
        <v>-1.80582647319908</v>
      </c>
      <c r="M1053" s="6" t="n">
        <v>1.77936046829281</v>
      </c>
      <c r="N1053" s="6" t="n">
        <v>-2.44958944547541</v>
      </c>
      <c r="O1053" s="6" t="n">
        <v>0.016789643487215</v>
      </c>
      <c r="P1053" s="6" t="n">
        <v>-0.559260371975585</v>
      </c>
      <c r="Q1053" s="6" t="n">
        <v>-1.63859606499616</v>
      </c>
      <c r="R1053" s="6" t="n">
        <v>-1.9145613255379</v>
      </c>
      <c r="S1053" s="6" t="n">
        <v>-3.79784075781081</v>
      </c>
      <c r="T1053" s="6" t="n">
        <v>-1.317766482163</v>
      </c>
      <c r="U1053" s="6" t="n">
        <v>-0.721632801891992</v>
      </c>
      <c r="V1053" s="6" t="n">
        <v>-1.47643440108024</v>
      </c>
      <c r="W1053" s="6" t="n">
        <v>3.09806997460016</v>
      </c>
      <c r="X1053" s="6" t="n">
        <v>-1.15707204958085</v>
      </c>
      <c r="Y1053" s="6" t="n">
        <v>-0.270016595039172</v>
      </c>
      <c r="Z1053" s="6" t="n">
        <v>0.588908132533948</v>
      </c>
      <c r="AA1053" s="6" t="n">
        <v>3.14142782992455</v>
      </c>
      <c r="AB1053" s="6" t="n">
        <v>-5.82834750586644</v>
      </c>
      <c r="AC1053" s="6" t="n">
        <v>-0.895745673797072</v>
      </c>
      <c r="AD1053" s="6" t="n">
        <v>2.27500253559348</v>
      </c>
      <c r="AE1053" s="6" t="n">
        <v>-2.30757962175382</v>
      </c>
      <c r="AF1053" s="6" t="n">
        <v>4.28488362611007</v>
      </c>
      <c r="AG1053" s="6" t="n">
        <v>2.06708381147707</v>
      </c>
      <c r="AH1053" s="6" t="n">
        <v>0.0826869348828407</v>
      </c>
      <c r="AI1053" s="6" t="n">
        <v>1.35624942793545</v>
      </c>
      <c r="AJ1053" s="6" t="n">
        <v>69.1374348583088</v>
      </c>
      <c r="AK1053" s="6" t="n">
        <v>0.13314912216782</v>
      </c>
      <c r="AL1053" s="6" t="n">
        <v>1.11303803450494</v>
      </c>
      <c r="AN1053" s="6" t="n">
        <v>1.27226072262106</v>
      </c>
      <c r="AO1053" s="6" t="n">
        <v>1.27317758187131</v>
      </c>
      <c r="AP1053" s="6" t="n">
        <v>0.129608462925344</v>
      </c>
      <c r="AQ1053" s="6" t="n">
        <v>0</v>
      </c>
      <c r="AR1053" s="6" t="n">
        <v>0</v>
      </c>
    </row>
    <row r="1054" customFormat="false" ht="15" hidden="false" customHeight="false" outlineLevel="0" collapsed="false">
      <c r="D1054" s="0" t="s">
        <v>1180</v>
      </c>
      <c r="J1054" s="6" t="n">
        <v>-0.50315001248083</v>
      </c>
      <c r="K1054" s="6" t="n">
        <v>-3.24718153283027</v>
      </c>
      <c r="L1054" s="6" t="n">
        <v>1.35224289415858</v>
      </c>
      <c r="M1054" s="6" t="n">
        <v>-0.872576183078245</v>
      </c>
      <c r="N1054" s="6" t="n">
        <v>-0.436635374398213</v>
      </c>
      <c r="O1054" s="6" t="n">
        <v>0.678383955511053</v>
      </c>
      <c r="P1054" s="6" t="n">
        <v>-3.41969229534798</v>
      </c>
      <c r="Q1054" s="6" t="n">
        <v>-1.31707193528207</v>
      </c>
      <c r="R1054" s="6" t="n">
        <v>4.76951661953151</v>
      </c>
      <c r="S1054" s="6" t="n">
        <v>-0.640924318405023</v>
      </c>
      <c r="T1054" s="6" t="n">
        <v>0.49581785545525</v>
      </c>
      <c r="U1054" s="6" t="n">
        <v>-0.0829577416470272</v>
      </c>
      <c r="V1054" s="6" t="n">
        <v>-4.10769454969903</v>
      </c>
      <c r="W1054" s="6" t="n">
        <v>-0.787006950669751</v>
      </c>
      <c r="X1054" s="6" t="n">
        <v>-2.14082234311118</v>
      </c>
      <c r="Y1054" s="6" t="n">
        <v>-0.272373452178337</v>
      </c>
      <c r="Z1054" s="6" t="n">
        <v>-1.4878631420802</v>
      </c>
      <c r="AA1054" s="6" t="n">
        <v>0.27210536084355</v>
      </c>
      <c r="AB1054" s="6" t="n">
        <v>0.681170199811677</v>
      </c>
      <c r="AC1054" s="6" t="n">
        <v>0.483262713801402</v>
      </c>
      <c r="AD1054" s="6" t="n">
        <v>-1.44793160201083</v>
      </c>
      <c r="AE1054" s="6" t="n">
        <v>-2.97590560734849</v>
      </c>
      <c r="AF1054" s="6" t="n">
        <v>1.85210473040012</v>
      </c>
      <c r="AG1054" s="6" t="n">
        <v>-0.119237701987037</v>
      </c>
      <c r="AH1054" s="6" t="n">
        <v>-0.953769203923104</v>
      </c>
      <c r="AI1054" s="6" t="n">
        <v>-0.0594405479405164</v>
      </c>
      <c r="AJ1054" s="6" t="n">
        <v>76.8786566796696</v>
      </c>
      <c r="AK1054" s="6" t="n">
        <v>0.0827003680222501</v>
      </c>
      <c r="AL1054" s="6" t="n">
        <v>1.04874341786606</v>
      </c>
      <c r="AN1054" s="6" t="n">
        <v>1.30337316121682</v>
      </c>
      <c r="AO1054" s="6" t="n">
        <v>1.30419843878683</v>
      </c>
      <c r="AP1054" s="6" t="n">
        <v>0.135549227284697</v>
      </c>
      <c r="AQ1054" s="6" t="n">
        <v>0</v>
      </c>
      <c r="AR1054" s="6" t="n">
        <v>0</v>
      </c>
    </row>
    <row r="1055" customFormat="false" ht="15" hidden="false" customHeight="false" outlineLevel="0" collapsed="false">
      <c r="D1055" s="0" t="s">
        <v>1181</v>
      </c>
      <c r="J1055" s="6" t="n">
        <v>0.570854344505103</v>
      </c>
      <c r="K1055" s="6" t="n">
        <v>0.45995894489578</v>
      </c>
      <c r="L1055" s="6" t="n">
        <v>-1.64286298022171</v>
      </c>
      <c r="M1055" s="6" t="n">
        <v>-0.220595855700976</v>
      </c>
      <c r="N1055" s="6" t="n">
        <v>2.04452224665695</v>
      </c>
      <c r="O1055" s="6" t="n">
        <v>5</v>
      </c>
      <c r="P1055" s="6" t="n">
        <v>-2.21045522954303</v>
      </c>
      <c r="Q1055" s="6" t="n">
        <v>0.91568396756188</v>
      </c>
      <c r="R1055" s="6" t="n">
        <v>2.70854486475351</v>
      </c>
      <c r="S1055" s="6" t="n">
        <v>-1.91993567294187</v>
      </c>
      <c r="T1055" s="6" t="n">
        <v>-2.30093168451084</v>
      </c>
      <c r="U1055" s="6" t="n">
        <v>0.929252398893643</v>
      </c>
      <c r="V1055" s="6" t="n">
        <v>-1.10203359008166</v>
      </c>
      <c r="W1055" s="6" t="n">
        <v>-0.948484348979309</v>
      </c>
      <c r="X1055" s="6" t="n">
        <v>0.657555359695016</v>
      </c>
      <c r="Y1055" s="6" t="n">
        <v>1.34925609122673</v>
      </c>
      <c r="Z1055" s="6" t="n">
        <v>-1.93623418329108</v>
      </c>
      <c r="AA1055" s="6" t="n">
        <v>-0.854704045728271</v>
      </c>
      <c r="AB1055" s="6" t="n">
        <v>2.52704222863926</v>
      </c>
      <c r="AC1055" s="6" t="n">
        <v>-1.19754450506974</v>
      </c>
      <c r="AD1055" s="6" t="n">
        <v>0.662009913580337</v>
      </c>
      <c r="AE1055" s="6" t="n">
        <v>-2.16334289040284</v>
      </c>
      <c r="AF1055" s="6" t="n">
        <v>-0.44756358380325</v>
      </c>
      <c r="AG1055" s="6" t="n">
        <v>2.02324962412877</v>
      </c>
      <c r="AH1055" s="6" t="n">
        <v>-1.15598117275239</v>
      </c>
      <c r="AI1055" s="6" t="n">
        <v>-2.464185027564</v>
      </c>
      <c r="AJ1055" s="6" t="n">
        <v>70.8333944152563</v>
      </c>
      <c r="AK1055" s="6" t="n">
        <v>0.118987451426201</v>
      </c>
      <c r="AL1055" s="6" t="n">
        <v>1.07267440385344</v>
      </c>
      <c r="AN1055" s="6" t="n">
        <v>1.2857861075517</v>
      </c>
      <c r="AO1055" s="6" t="n">
        <v>1.28701058896544</v>
      </c>
      <c r="AP1055" s="6" t="n">
        <v>0.132517737192806</v>
      </c>
      <c r="AQ1055" s="6" t="n">
        <v>0</v>
      </c>
      <c r="AR1055" s="6" t="n">
        <v>0</v>
      </c>
    </row>
    <row r="1056" customFormat="false" ht="15" hidden="false" customHeight="false" outlineLevel="0" collapsed="false">
      <c r="D1056" s="0" t="s">
        <v>1182</v>
      </c>
      <c r="J1056" s="6" t="n">
        <v>-3.44852623205013</v>
      </c>
      <c r="K1056" s="6" t="n">
        <v>0.529393444416292</v>
      </c>
      <c r="L1056" s="6" t="n">
        <v>3.04056626116367</v>
      </c>
      <c r="M1056" s="6" t="n">
        <v>0.471960311212159</v>
      </c>
      <c r="N1056" s="6" t="n">
        <v>-2.02781727037769</v>
      </c>
      <c r="O1056" s="6" t="n">
        <v>-1.09333348219316</v>
      </c>
      <c r="P1056" s="6" t="n">
        <v>1.48615373887937</v>
      </c>
      <c r="Q1056" s="6" t="n">
        <v>3.05553859904067</v>
      </c>
      <c r="R1056" s="6" t="n">
        <v>3.49444523830797</v>
      </c>
      <c r="S1056" s="6" t="n">
        <v>1.25982383445017</v>
      </c>
      <c r="T1056" s="6" t="n">
        <v>1.51918192400283</v>
      </c>
      <c r="U1056" s="6" t="n">
        <v>-0.307945127740327</v>
      </c>
      <c r="V1056" s="6" t="n">
        <v>4.30133887348249</v>
      </c>
      <c r="W1056" s="6" t="n">
        <v>0.95879959792507</v>
      </c>
      <c r="X1056" s="6" t="n">
        <v>1.14747850338092</v>
      </c>
      <c r="Y1056" s="6" t="n">
        <v>0.821169984381176</v>
      </c>
      <c r="Z1056" s="6" t="n">
        <v>0.345731072921645</v>
      </c>
      <c r="AA1056" s="6" t="n">
        <v>-1.09635803955757</v>
      </c>
      <c r="AB1056" s="6" t="n">
        <v>-0.925189436275986</v>
      </c>
      <c r="AC1056" s="6" t="n">
        <v>2.13427211074851</v>
      </c>
      <c r="AD1056" s="6" t="n">
        <v>-1.23127722361336</v>
      </c>
      <c r="AE1056" s="6" t="n">
        <v>-2.77019893525229</v>
      </c>
      <c r="AF1056" s="6" t="n">
        <v>-1.36004877711933</v>
      </c>
      <c r="AG1056" s="6" t="n">
        <v>0.0280936649071545</v>
      </c>
      <c r="AH1056" s="6" t="n">
        <v>2.28712012402061</v>
      </c>
      <c r="AI1056" s="6" t="n">
        <v>-0.579944679031025</v>
      </c>
      <c r="AJ1056" s="6" t="n">
        <v>63.5676409256061</v>
      </c>
      <c r="AK1056" s="6" t="n">
        <v>0.121226836515555</v>
      </c>
      <c r="AL1056" s="6" t="n">
        <v>1.03831774361441</v>
      </c>
      <c r="AN1056" s="6" t="n">
        <v>1.29790210573387</v>
      </c>
      <c r="AO1056" s="6" t="n">
        <v>1.29880241721599</v>
      </c>
      <c r="AP1056" s="6" t="n">
        <v>0.13470246396563</v>
      </c>
      <c r="AQ1056" s="6" t="n">
        <v>0</v>
      </c>
      <c r="AR1056" s="6" t="n">
        <v>0</v>
      </c>
    </row>
    <row r="1057" customFormat="false" ht="15" hidden="false" customHeight="false" outlineLevel="0" collapsed="false">
      <c r="D1057" s="0" t="s">
        <v>1183</v>
      </c>
      <c r="J1057" s="6" t="n">
        <v>2.38147549556063</v>
      </c>
      <c r="K1057" s="6" t="n">
        <v>1.09223222820861</v>
      </c>
      <c r="L1057" s="6" t="n">
        <v>-3.81512998629443</v>
      </c>
      <c r="M1057" s="6" t="n">
        <v>-1.89732211526453</v>
      </c>
      <c r="N1057" s="6" t="n">
        <v>-0.251494304342603</v>
      </c>
      <c r="O1057" s="6" t="n">
        <v>-0.674140062706076</v>
      </c>
      <c r="P1057" s="6" t="n">
        <v>0.0333976902113986</v>
      </c>
      <c r="Q1057" s="6" t="n">
        <v>-0.923799633424301</v>
      </c>
      <c r="R1057" s="6" t="n">
        <v>-3.99588847582092</v>
      </c>
      <c r="S1057" s="6" t="n">
        <v>-0.773590297895488</v>
      </c>
      <c r="T1057" s="6" t="n">
        <v>1.41587363998762</v>
      </c>
      <c r="U1057" s="6" t="n">
        <v>0.256920091731555</v>
      </c>
      <c r="V1057" s="6" t="n">
        <v>-0.513250881962286</v>
      </c>
      <c r="W1057" s="6" t="n">
        <v>1.46686874667158</v>
      </c>
      <c r="X1057" s="6" t="n">
        <v>-2.82784218586704</v>
      </c>
      <c r="Y1057" s="6" t="n">
        <v>0.66566913884862</v>
      </c>
      <c r="Z1057" s="6" t="n">
        <v>1.96660334164363</v>
      </c>
      <c r="AA1057" s="6" t="n">
        <v>-3.40177286289132</v>
      </c>
      <c r="AB1057" s="6" t="n">
        <v>-0.633308862965683</v>
      </c>
      <c r="AC1057" s="6" t="n">
        <v>-1.80902729536682</v>
      </c>
      <c r="AD1057" s="6" t="n">
        <v>-2.55534075931929</v>
      </c>
      <c r="AE1057" s="6" t="n">
        <v>-0.679481364474397</v>
      </c>
      <c r="AF1057" s="6" t="n">
        <v>1.83152422292201</v>
      </c>
      <c r="AG1057" s="6" t="n">
        <v>0.833095376596613</v>
      </c>
      <c r="AH1057" s="6" t="n">
        <v>-1.30007833110921</v>
      </c>
      <c r="AI1057" s="6" t="n">
        <v>0.0424701063013611</v>
      </c>
      <c r="AJ1057" s="6" t="n">
        <v>69.7416569007813</v>
      </c>
      <c r="AK1057" s="6" t="n">
        <v>0.198292645489261</v>
      </c>
      <c r="AL1057" s="6" t="n">
        <v>1.02249540948037</v>
      </c>
      <c r="AN1057" s="6" t="n">
        <v>1.30082644641809</v>
      </c>
      <c r="AO1057" s="6" t="n">
        <v>1.30134338109438</v>
      </c>
      <c r="AP1057" s="6" t="n">
        <v>0.134863433990456</v>
      </c>
      <c r="AQ1057" s="6" t="n">
        <v>0</v>
      </c>
      <c r="AR1057" s="6" t="n">
        <v>0</v>
      </c>
    </row>
    <row r="1058" customFormat="false" ht="15" hidden="false" customHeight="false" outlineLevel="0" collapsed="false">
      <c r="D1058" s="0" t="s">
        <v>1184</v>
      </c>
      <c r="J1058" s="6" t="n">
        <v>-0.93178025919004</v>
      </c>
      <c r="K1058" s="6" t="n">
        <v>0.0117909287394108</v>
      </c>
      <c r="L1058" s="6" t="n">
        <v>2.13698700872784</v>
      </c>
      <c r="M1058" s="6" t="n">
        <v>3.76406645871531</v>
      </c>
      <c r="N1058" s="6" t="n">
        <v>3.90672706466727</v>
      </c>
      <c r="O1058" s="6" t="n">
        <v>2.12987895315537</v>
      </c>
      <c r="P1058" s="6" t="n">
        <v>2.3045389799944</v>
      </c>
      <c r="Q1058" s="6" t="n">
        <v>-1.23962268596674</v>
      </c>
      <c r="R1058" s="6" t="n">
        <v>3.14440601615612</v>
      </c>
      <c r="S1058" s="6" t="n">
        <v>2.0166430280229</v>
      </c>
      <c r="T1058" s="6" t="n">
        <v>1.19045817710634</v>
      </c>
      <c r="U1058" s="6" t="n">
        <v>1.08457632224188</v>
      </c>
      <c r="V1058" s="6" t="n">
        <v>0.355034093741276</v>
      </c>
      <c r="W1058" s="6" t="n">
        <v>0.521876941382575</v>
      </c>
      <c r="X1058" s="6" t="n">
        <v>1.09205900619589</v>
      </c>
      <c r="Y1058" s="6" t="n">
        <v>-1.487368354844</v>
      </c>
      <c r="Z1058" s="6" t="n">
        <v>1.38230156778653</v>
      </c>
      <c r="AA1058" s="6" t="n">
        <v>-0.892478125019828</v>
      </c>
      <c r="AB1058" s="6" t="n">
        <v>-2.86609429143239</v>
      </c>
      <c r="AC1058" s="6" t="n">
        <v>-1.0975696732312</v>
      </c>
      <c r="AD1058" s="6" t="n">
        <v>-0.911659292919402</v>
      </c>
      <c r="AE1058" s="6" t="n">
        <v>-2.49257515481042</v>
      </c>
      <c r="AF1058" s="6" t="n">
        <v>-4.8837094806839</v>
      </c>
      <c r="AG1058" s="6" t="n">
        <v>0.0224816621270228</v>
      </c>
      <c r="AH1058" s="6" t="n">
        <v>-1.29375611388866</v>
      </c>
      <c r="AI1058" s="6" t="n">
        <v>1.04710945134127</v>
      </c>
      <c r="AJ1058" s="6" t="n">
        <v>74.3529197851268</v>
      </c>
      <c r="AK1058" s="6" t="n">
        <v>0.207006654313993</v>
      </c>
      <c r="AL1058" s="6" t="n">
        <v>1.05243853439846</v>
      </c>
      <c r="AN1058" s="6" t="n">
        <v>1.28281703241486</v>
      </c>
      <c r="AO1058" s="6" t="n">
        <v>1.28387262160751</v>
      </c>
      <c r="AP1058" s="6" t="n">
        <v>0.131583549720081</v>
      </c>
      <c r="AQ1058" s="6" t="n">
        <v>0</v>
      </c>
      <c r="AR1058" s="6" t="n">
        <v>0</v>
      </c>
    </row>
    <row r="1059" customFormat="false" ht="15" hidden="false" customHeight="false" outlineLevel="0" collapsed="false">
      <c r="D1059" s="0" t="s">
        <v>1185</v>
      </c>
      <c r="J1059" s="6" t="n">
        <v>4.04953745238345</v>
      </c>
      <c r="K1059" s="6" t="n">
        <v>2.49493271568824</v>
      </c>
      <c r="L1059" s="6" t="n">
        <v>0.0798398457834886</v>
      </c>
      <c r="M1059" s="6" t="n">
        <v>1.21093109516117</v>
      </c>
      <c r="N1059" s="6" t="n">
        <v>-1.0838956570696</v>
      </c>
      <c r="O1059" s="6" t="n">
        <v>1.41582742979933</v>
      </c>
      <c r="P1059" s="6" t="n">
        <v>0.249473947553307</v>
      </c>
      <c r="Q1059" s="6" t="n">
        <v>-0.191793774628362</v>
      </c>
      <c r="R1059" s="6" t="n">
        <v>1.74572232630853</v>
      </c>
      <c r="S1059" s="6" t="n">
        <v>0.512194313600813</v>
      </c>
      <c r="T1059" s="6" t="n">
        <v>1.09687113888942</v>
      </c>
      <c r="U1059" s="6" t="n">
        <v>-3.86818811547104</v>
      </c>
      <c r="V1059" s="6" t="n">
        <v>1.30454473019694</v>
      </c>
      <c r="W1059" s="6" t="n">
        <v>-1.54307350100249</v>
      </c>
      <c r="X1059" s="6" t="n">
        <v>-3.68665583785295</v>
      </c>
      <c r="Y1059" s="6" t="n">
        <v>3.36730438890325</v>
      </c>
      <c r="Z1059" s="6" t="n">
        <v>1.69052704490554</v>
      </c>
      <c r="AA1059" s="6" t="n">
        <v>-1.2173595415413</v>
      </c>
      <c r="AB1059" s="6" t="n">
        <v>0.256862857977901</v>
      </c>
      <c r="AC1059" s="6" t="n">
        <v>-1.07002623435239</v>
      </c>
      <c r="AD1059" s="6" t="n">
        <v>-1.67444461350298</v>
      </c>
      <c r="AE1059" s="6" t="n">
        <v>0.976461098379702</v>
      </c>
      <c r="AF1059" s="6" t="n">
        <v>-1.80281105519989</v>
      </c>
      <c r="AG1059" s="6" t="n">
        <v>0.938940616838145</v>
      </c>
      <c r="AH1059" s="6" t="n">
        <v>-2.91608829412849</v>
      </c>
      <c r="AI1059" s="6" t="n">
        <v>-2.69729699191082</v>
      </c>
      <c r="AJ1059" s="6" t="n">
        <v>73.7384175715284</v>
      </c>
      <c r="AK1059" s="6" t="n">
        <v>0.126246586595563</v>
      </c>
      <c r="AL1059" s="6" t="n">
        <v>1.05176153712671</v>
      </c>
      <c r="AN1059" s="6" t="n">
        <v>1.29394546265026</v>
      </c>
      <c r="AO1059" s="6" t="n">
        <v>1.29413606063133</v>
      </c>
      <c r="AP1059" s="6" t="n">
        <v>0.133826946013334</v>
      </c>
      <c r="AQ1059" s="6" t="n">
        <v>0</v>
      </c>
      <c r="AR1059" s="6" t="n">
        <v>0</v>
      </c>
    </row>
    <row r="1060" customFormat="false" ht="15" hidden="false" customHeight="false" outlineLevel="0" collapsed="false">
      <c r="D1060" s="0" t="s">
        <v>1186</v>
      </c>
      <c r="J1060" s="6" t="n">
        <v>-0.0354219248300818</v>
      </c>
      <c r="K1060" s="6" t="n">
        <v>-2.61840687505414</v>
      </c>
      <c r="L1060" s="6" t="n">
        <v>2.1047273739864</v>
      </c>
      <c r="M1060" s="6" t="n">
        <v>-1.27973008536685</v>
      </c>
      <c r="N1060" s="6" t="n">
        <v>0.524607470567183</v>
      </c>
      <c r="O1060" s="6" t="n">
        <v>-0.614862127741181</v>
      </c>
      <c r="P1060" s="6" t="n">
        <v>-0.128765239739523</v>
      </c>
      <c r="Q1060" s="6" t="n">
        <v>3.95994282498083</v>
      </c>
      <c r="R1060" s="6" t="n">
        <v>-3.38800907171976</v>
      </c>
      <c r="S1060" s="6" t="n">
        <v>0.145524820239666</v>
      </c>
      <c r="T1060" s="6" t="n">
        <v>-0.0111188692868913</v>
      </c>
      <c r="U1060" s="6" t="n">
        <v>1.5321831108146</v>
      </c>
      <c r="V1060" s="6" t="n">
        <v>-2.48999032584524</v>
      </c>
      <c r="W1060" s="6" t="n">
        <v>2.62475091997685</v>
      </c>
      <c r="X1060" s="6" t="n">
        <v>-1.65732325135575</v>
      </c>
      <c r="Y1060" s="6" t="n">
        <v>0.910446984967894</v>
      </c>
      <c r="Z1060" s="6" t="n">
        <v>-0.0956928878794843</v>
      </c>
      <c r="AA1060" s="6" t="n">
        <v>-0.0143606182665203</v>
      </c>
      <c r="AB1060" s="6" t="n">
        <v>0.892751349983304</v>
      </c>
      <c r="AC1060" s="6" t="n">
        <v>1.99359091198247</v>
      </c>
      <c r="AD1060" s="6" t="n">
        <v>1.94590085145834</v>
      </c>
      <c r="AE1060" s="6" t="n">
        <v>1.5803978970286</v>
      </c>
      <c r="AF1060" s="6" t="n">
        <v>-2.53461805671529</v>
      </c>
      <c r="AG1060" s="6" t="n">
        <v>1.12880131506737</v>
      </c>
      <c r="AH1060" s="6" t="n">
        <v>-1.07516789112437</v>
      </c>
      <c r="AI1060" s="6" t="n">
        <v>-0.744499562884121</v>
      </c>
      <c r="AJ1060" s="6" t="n">
        <v>77.1261610553408</v>
      </c>
      <c r="AK1060" s="6" t="n">
        <v>0.179179318498609</v>
      </c>
      <c r="AL1060" s="6" t="n">
        <v>1.06778428681118</v>
      </c>
      <c r="AN1060" s="6" t="n">
        <v>1.28371873044477</v>
      </c>
      <c r="AO1060" s="6" t="n">
        <v>1.28470554888152</v>
      </c>
      <c r="AP1060" s="6" t="n">
        <v>0.131521839725302</v>
      </c>
      <c r="AQ1060" s="6" t="n">
        <v>0</v>
      </c>
      <c r="AR1060" s="6" t="n">
        <v>0</v>
      </c>
    </row>
    <row r="1061" customFormat="false" ht="15" hidden="false" customHeight="false" outlineLevel="0" collapsed="false">
      <c r="D1061" s="0" t="s">
        <v>1187</v>
      </c>
      <c r="J1061" s="6" t="n">
        <v>-0.25433064774939</v>
      </c>
      <c r="K1061" s="6" t="n">
        <v>0.725159756437792</v>
      </c>
      <c r="L1061" s="6" t="n">
        <v>1.79352677705913</v>
      </c>
      <c r="M1061" s="6" t="n">
        <v>0.302570713202913</v>
      </c>
      <c r="N1061" s="6" t="n">
        <v>2.95756650374131</v>
      </c>
      <c r="O1061" s="6" t="n">
        <v>-0.252000612819852</v>
      </c>
      <c r="P1061" s="6" t="n">
        <v>-1.52948255952792</v>
      </c>
      <c r="Q1061" s="6" t="n">
        <v>-1.33600806612226</v>
      </c>
      <c r="R1061" s="6" t="n">
        <v>1.86793441199696</v>
      </c>
      <c r="S1061" s="6" t="n">
        <v>-0.171667417327827</v>
      </c>
      <c r="T1061" s="6" t="n">
        <v>-2.78354518578759</v>
      </c>
      <c r="U1061" s="6" t="n">
        <v>0.429409595840352</v>
      </c>
      <c r="V1061" s="6" t="n">
        <v>-2.34428942082027</v>
      </c>
      <c r="W1061" s="6" t="n">
        <v>-1.03416259245102</v>
      </c>
      <c r="X1061" s="6" t="n">
        <v>0.314334298445271</v>
      </c>
      <c r="Y1061" s="6" t="n">
        <v>-2.35797898866007</v>
      </c>
      <c r="Z1061" s="6" t="n">
        <v>1.44438603753226</v>
      </c>
      <c r="AA1061" s="6" t="n">
        <v>-1.17500999952152</v>
      </c>
      <c r="AB1061" s="6" t="n">
        <v>-2.89253457404509</v>
      </c>
      <c r="AC1061" s="6" t="n">
        <v>-1.62048334538723</v>
      </c>
      <c r="AD1061" s="6" t="n">
        <v>0.570632449731921</v>
      </c>
      <c r="AE1061" s="6" t="n">
        <v>-1.10950404737057</v>
      </c>
      <c r="AF1061" s="6" t="n">
        <v>0.788670388624399</v>
      </c>
      <c r="AG1061" s="6" t="n">
        <v>0.376957862071272</v>
      </c>
      <c r="AH1061" s="6" t="n">
        <v>1.60752353987352</v>
      </c>
      <c r="AI1061" s="6" t="n">
        <v>-3.10409335990195</v>
      </c>
      <c r="AJ1061" s="6" t="n">
        <v>80.9463376030408</v>
      </c>
      <c r="AK1061" s="6" t="n">
        <v>0.103030437683586</v>
      </c>
      <c r="AL1061" s="6" t="n">
        <v>1.02879517719155</v>
      </c>
      <c r="AN1061" s="6" t="n">
        <v>1.31447995311258</v>
      </c>
      <c r="AO1061" s="6" t="n">
        <v>1.31477666668075</v>
      </c>
      <c r="AP1061" s="6" t="n">
        <v>0.137577509655026</v>
      </c>
      <c r="AQ1061" s="6" t="n">
        <v>0</v>
      </c>
      <c r="AR1061" s="6" t="n">
        <v>0</v>
      </c>
    </row>
    <row r="1062" customFormat="false" ht="15" hidden="false" customHeight="false" outlineLevel="0" collapsed="false">
      <c r="D1062" s="0" t="s">
        <v>1188</v>
      </c>
      <c r="J1062" s="6" t="n">
        <v>-0.492434751030259</v>
      </c>
      <c r="K1062" s="6" t="n">
        <v>1.61434045096886</v>
      </c>
      <c r="L1062" s="6" t="n">
        <v>1.19716509335883</v>
      </c>
      <c r="M1062" s="6" t="n">
        <v>-3.77912944231158</v>
      </c>
      <c r="N1062" s="6" t="n">
        <v>3.00629739063502</v>
      </c>
      <c r="O1062" s="6" t="n">
        <v>-0.146242064721929</v>
      </c>
      <c r="P1062" s="6" t="n">
        <v>-2.6666871921195</v>
      </c>
      <c r="Q1062" s="6" t="n">
        <v>-1.43524263150234</v>
      </c>
      <c r="R1062" s="6" t="n">
        <v>1.17394934645704</v>
      </c>
      <c r="S1062" s="6" t="n">
        <v>-1.56414847750723</v>
      </c>
      <c r="T1062" s="6" t="n">
        <v>2.87650419327805</v>
      </c>
      <c r="U1062" s="6" t="n">
        <v>-3.67855706396318</v>
      </c>
      <c r="V1062" s="6" t="n">
        <v>-0.853664783011901</v>
      </c>
      <c r="W1062" s="6" t="n">
        <v>-0.406068524978364</v>
      </c>
      <c r="X1062" s="6" t="n">
        <v>-1.14298230232348</v>
      </c>
      <c r="Y1062" s="6" t="n">
        <v>1.07823605603315</v>
      </c>
      <c r="Z1062" s="6" t="n">
        <v>-0.124080083875765</v>
      </c>
      <c r="AA1062" s="6" t="n">
        <v>-1.48480226420966</v>
      </c>
      <c r="AB1062" s="6" t="n">
        <v>-1.07238709933677</v>
      </c>
      <c r="AC1062" s="6" t="n">
        <v>-1.7961155102538</v>
      </c>
      <c r="AD1062" s="6" t="n">
        <v>-3.40158664954616</v>
      </c>
      <c r="AE1062" s="6" t="n">
        <v>-1.05464047387059</v>
      </c>
      <c r="AF1062" s="6" t="n">
        <v>0.511867604553275</v>
      </c>
      <c r="AG1062" s="6" t="n">
        <v>2.19355167896608</v>
      </c>
      <c r="AH1062" s="6" t="n">
        <v>1.27328889839097</v>
      </c>
      <c r="AI1062" s="6" t="n">
        <v>0.0354246646735203</v>
      </c>
      <c r="AJ1062" s="6" t="n">
        <v>63.9214306699976</v>
      </c>
      <c r="AK1062" s="6" t="n">
        <v>0.116229250689737</v>
      </c>
      <c r="AL1062" s="6" t="n">
        <v>1.01660978051576</v>
      </c>
      <c r="AN1062" s="6" t="n">
        <v>1.3079632619536</v>
      </c>
      <c r="AO1062" s="6" t="n">
        <v>1.30806452970359</v>
      </c>
      <c r="AP1062" s="6" t="n">
        <v>0.136462358838898</v>
      </c>
      <c r="AQ1062" s="6" t="n">
        <v>0</v>
      </c>
      <c r="AR1062" s="6" t="n">
        <v>0</v>
      </c>
    </row>
    <row r="1063" customFormat="false" ht="15" hidden="false" customHeight="false" outlineLevel="0" collapsed="false">
      <c r="D1063" s="0" t="s">
        <v>1189</v>
      </c>
      <c r="J1063" s="6" t="n">
        <v>-1.51583817551159</v>
      </c>
      <c r="K1063" s="6" t="n">
        <v>-1.64134084969881</v>
      </c>
      <c r="L1063" s="6" t="n">
        <v>2.21573936846405</v>
      </c>
      <c r="M1063" s="6" t="n">
        <v>4.27850570207303</v>
      </c>
      <c r="N1063" s="6" t="n">
        <v>-0.265654643808161</v>
      </c>
      <c r="O1063" s="6" t="n">
        <v>1.31241892834008</v>
      </c>
      <c r="P1063" s="6" t="n">
        <v>2.64160447851162</v>
      </c>
      <c r="Q1063" s="6" t="n">
        <v>0.776719123892868</v>
      </c>
      <c r="R1063" s="6" t="n">
        <v>-2.44146497646802</v>
      </c>
      <c r="S1063" s="6" t="n">
        <v>-0.134372575659626</v>
      </c>
      <c r="T1063" s="6" t="n">
        <v>0.703577796135449</v>
      </c>
      <c r="U1063" s="6" t="n">
        <v>1.15424042358052</v>
      </c>
      <c r="V1063" s="6" t="n">
        <v>-0.495907074643684</v>
      </c>
      <c r="W1063" s="6" t="n">
        <v>-1.0318900781019</v>
      </c>
      <c r="X1063" s="6" t="n">
        <v>-2.86791415414247</v>
      </c>
      <c r="Y1063" s="6" t="n">
        <v>0.810368401681919</v>
      </c>
      <c r="Z1063" s="6" t="n">
        <v>0.885570853311069</v>
      </c>
      <c r="AA1063" s="6" t="n">
        <v>-1.38376998880698</v>
      </c>
      <c r="AB1063" s="6" t="n">
        <v>-3.77394726169885</v>
      </c>
      <c r="AC1063" s="6" t="n">
        <v>-0.0943708126863902</v>
      </c>
      <c r="AD1063" s="6" t="n">
        <v>2.38408925878547</v>
      </c>
      <c r="AE1063" s="6" t="n">
        <v>2.97371214701227</v>
      </c>
      <c r="AF1063" s="6" t="n">
        <v>0.701811391420425</v>
      </c>
      <c r="AG1063" s="6" t="n">
        <v>-0.182571070923033</v>
      </c>
      <c r="AH1063" s="6" t="n">
        <v>0.680883488428783</v>
      </c>
      <c r="AI1063" s="6" t="n">
        <v>1.57504978741812</v>
      </c>
      <c r="AJ1063" s="6" t="n">
        <v>76.6626884246198</v>
      </c>
      <c r="AK1063" s="6" t="n">
        <v>0.138932551804633</v>
      </c>
      <c r="AL1063" s="6" t="n">
        <v>0.980667841357655</v>
      </c>
      <c r="AN1063" s="6" t="n">
        <v>1.3221642184676</v>
      </c>
      <c r="AO1063" s="6" t="n">
        <v>1.3221642184676</v>
      </c>
      <c r="AP1063" s="6" t="n">
        <v>0.145369679232392</v>
      </c>
      <c r="AQ1063" s="6" t="n">
        <v>0</v>
      </c>
      <c r="AR1063" s="6" t="n">
        <v>0</v>
      </c>
    </row>
    <row r="1064" customFormat="false" ht="15" hidden="false" customHeight="false" outlineLevel="0" collapsed="false">
      <c r="D1064" s="0" t="s">
        <v>1190</v>
      </c>
      <c r="J1064" s="6" t="n">
        <v>0.897479501509732</v>
      </c>
      <c r="K1064" s="6" t="n">
        <v>-1.309475452887</v>
      </c>
      <c r="L1064" s="6" t="n">
        <v>-0.0212010267877041</v>
      </c>
      <c r="M1064" s="6" t="n">
        <v>3.27816857988639</v>
      </c>
      <c r="N1064" s="6" t="n">
        <v>2.32071375706034</v>
      </c>
      <c r="O1064" s="6" t="n">
        <v>1.48058186184078</v>
      </c>
      <c r="P1064" s="6" t="n">
        <v>-1.91565279202793</v>
      </c>
      <c r="Q1064" s="6" t="n">
        <v>1.1004834657777</v>
      </c>
      <c r="R1064" s="6" t="n">
        <v>0.427671967195321</v>
      </c>
      <c r="S1064" s="6" t="n">
        <v>0.974744925074426</v>
      </c>
      <c r="T1064" s="6" t="n">
        <v>0.215975304314022</v>
      </c>
      <c r="U1064" s="6" t="n">
        <v>-0.817986418057639</v>
      </c>
      <c r="V1064" s="6" t="n">
        <v>3.28588168625802</v>
      </c>
      <c r="W1064" s="6" t="n">
        <v>0.708426362634831</v>
      </c>
      <c r="X1064" s="6" t="n">
        <v>0.420839746919262</v>
      </c>
      <c r="Y1064" s="6" t="n">
        <v>-0.105256389844158</v>
      </c>
      <c r="Z1064" s="6" t="n">
        <v>3.29694330517717</v>
      </c>
      <c r="AA1064" s="6" t="n">
        <v>3.64143585591552</v>
      </c>
      <c r="AB1064" s="6" t="n">
        <v>3.36607989967778</v>
      </c>
      <c r="AC1064" s="6" t="n">
        <v>-0.65600701518496</v>
      </c>
      <c r="AD1064" s="6" t="n">
        <v>1.65923522837424</v>
      </c>
      <c r="AE1064" s="6" t="n">
        <v>0.231917349704251</v>
      </c>
      <c r="AF1064" s="6" t="n">
        <v>-0.682733785107413</v>
      </c>
      <c r="AG1064" s="6" t="n">
        <v>2.30540842832936</v>
      </c>
      <c r="AH1064" s="6" t="n">
        <v>-0.161901078926263</v>
      </c>
      <c r="AI1064" s="6" t="n">
        <v>4.80980046881005</v>
      </c>
      <c r="AJ1064" s="6" t="n">
        <v>73.4377569708334</v>
      </c>
      <c r="AK1064" s="6" t="n">
        <v>0.0810694870514413</v>
      </c>
      <c r="AL1064" s="6" t="n">
        <v>1.05863334646291</v>
      </c>
      <c r="AN1064" s="6" t="n">
        <v>1.29658122848458</v>
      </c>
      <c r="AO1064" s="6" t="n">
        <v>1.29699135667348</v>
      </c>
      <c r="AP1064" s="6" t="n">
        <v>0.134471194132706</v>
      </c>
      <c r="AQ1064" s="6" t="n">
        <v>0</v>
      </c>
      <c r="AR1064" s="6" t="n">
        <v>0</v>
      </c>
    </row>
    <row r="1065" customFormat="false" ht="15" hidden="false" customHeight="false" outlineLevel="0" collapsed="false">
      <c r="D1065" s="0" t="s">
        <v>1191</v>
      </c>
      <c r="J1065" s="6" t="n">
        <v>0.684105930788895</v>
      </c>
      <c r="K1065" s="6" t="n">
        <v>2.23313302462232</v>
      </c>
      <c r="L1065" s="6" t="n">
        <v>1.17963574635783</v>
      </c>
      <c r="M1065" s="6" t="n">
        <v>2.36739288650564</v>
      </c>
      <c r="N1065" s="6" t="n">
        <v>-0.989444177176808</v>
      </c>
      <c r="O1065" s="6" t="n">
        <v>-1.17555492931839</v>
      </c>
      <c r="P1065" s="6" t="n">
        <v>3.29245577645089</v>
      </c>
      <c r="Q1065" s="6" t="n">
        <v>1.71282526473736</v>
      </c>
      <c r="R1065" s="6" t="n">
        <v>-1.70107281431792</v>
      </c>
      <c r="S1065" s="6" t="n">
        <v>0.910910655600549</v>
      </c>
      <c r="T1065" s="6" t="n">
        <v>-2.08265978798767</v>
      </c>
      <c r="U1065" s="6" t="n">
        <v>2.29593237979285</v>
      </c>
      <c r="V1065" s="6" t="n">
        <v>-0.478003780491302</v>
      </c>
      <c r="W1065" s="6" t="n">
        <v>0.879783394183499</v>
      </c>
      <c r="X1065" s="6" t="n">
        <v>-0.267380191353323</v>
      </c>
      <c r="Y1065" s="6" t="n">
        <v>1.73871750581712</v>
      </c>
      <c r="Z1065" s="6" t="n">
        <v>-1.26343751150734</v>
      </c>
      <c r="AA1065" s="6" t="n">
        <v>1.25490391046866</v>
      </c>
      <c r="AB1065" s="6" t="n">
        <v>-2.12897811197675</v>
      </c>
      <c r="AC1065" s="6" t="n">
        <v>1.22650380603699</v>
      </c>
      <c r="AD1065" s="6" t="n">
        <v>-0.0607462471533201</v>
      </c>
      <c r="AE1065" s="6" t="n">
        <v>-3.31025874465491</v>
      </c>
      <c r="AF1065" s="6" t="n">
        <v>-1.96297984730845</v>
      </c>
      <c r="AG1065" s="6" t="n">
        <v>-0.300505711879442</v>
      </c>
      <c r="AH1065" s="6" t="n">
        <v>-0.111101487641215</v>
      </c>
      <c r="AI1065" s="6" t="n">
        <v>-0.282702417144786</v>
      </c>
      <c r="AJ1065" s="6" t="n">
        <v>64.4731670447638</v>
      </c>
      <c r="AK1065" s="6" t="n">
        <v>0.119174987869095</v>
      </c>
      <c r="AL1065" s="6" t="n">
        <v>1.05254832446324</v>
      </c>
      <c r="AN1065" s="6" t="n">
        <v>1.29140484983401</v>
      </c>
      <c r="AO1065" s="6" t="n">
        <v>1.29301879021687</v>
      </c>
      <c r="AP1065" s="6" t="n">
        <v>0.133374291092743</v>
      </c>
      <c r="AQ1065" s="6" t="n">
        <v>0</v>
      </c>
      <c r="AR1065" s="6" t="n">
        <v>0</v>
      </c>
    </row>
    <row r="1066" customFormat="false" ht="15" hidden="false" customHeight="false" outlineLevel="0" collapsed="false">
      <c r="D1066" s="0" t="s">
        <v>1192</v>
      </c>
      <c r="J1066" s="6" t="n">
        <v>-0.484582379683267</v>
      </c>
      <c r="K1066" s="6" t="n">
        <v>3.36782739781389</v>
      </c>
      <c r="L1066" s="6" t="n">
        <v>0.605845652700463</v>
      </c>
      <c r="M1066" s="6" t="n">
        <v>-3.78653296358115</v>
      </c>
      <c r="N1066" s="6" t="n">
        <v>-0.550480622760031</v>
      </c>
      <c r="O1066" s="6" t="n">
        <v>3.15254254150369</v>
      </c>
      <c r="P1066" s="6" t="n">
        <v>0.268161782178136</v>
      </c>
      <c r="Q1066" s="6" t="n">
        <v>-2.79764316926111</v>
      </c>
      <c r="R1066" s="6" t="n">
        <v>0.335422050847917</v>
      </c>
      <c r="S1066" s="6" t="n">
        <v>-0.0555287235208016</v>
      </c>
      <c r="T1066" s="6" t="n">
        <v>-2.44522869462094</v>
      </c>
      <c r="U1066" s="6" t="n">
        <v>1.15764907672165</v>
      </c>
      <c r="V1066" s="6" t="n">
        <v>-0.150940544954113</v>
      </c>
      <c r="W1066" s="6" t="n">
        <v>0.0500822948534744</v>
      </c>
      <c r="X1066" s="6" t="n">
        <v>1.0069062105621</v>
      </c>
      <c r="Y1066" s="6" t="n">
        <v>-2.35004646930239</v>
      </c>
      <c r="Z1066" s="6" t="n">
        <v>-1.70686353605111</v>
      </c>
      <c r="AA1066" s="6" t="n">
        <v>1.52358661801829</v>
      </c>
      <c r="AB1066" s="6" t="n">
        <v>1.33945084596929</v>
      </c>
      <c r="AC1066" s="6" t="n">
        <v>-0.209192756382758</v>
      </c>
      <c r="AD1066" s="6" t="n">
        <v>-6.67222126582662</v>
      </c>
      <c r="AE1066" s="6" t="n">
        <v>-3.35575729756138</v>
      </c>
      <c r="AF1066" s="6" t="n">
        <v>1.66795010827652</v>
      </c>
      <c r="AG1066" s="6" t="n">
        <v>0.278325692993156</v>
      </c>
      <c r="AH1066" s="6" t="n">
        <v>1.30595778227297</v>
      </c>
      <c r="AI1066" s="6" t="n">
        <v>2.14275846203039</v>
      </c>
      <c r="AJ1066" s="6" t="n">
        <v>66.5075171683209</v>
      </c>
      <c r="AK1066" s="6" t="n">
        <v>0.142582879553798</v>
      </c>
      <c r="AL1066" s="6" t="n">
        <v>1.03849246210676</v>
      </c>
      <c r="AN1066" s="6" t="n">
        <v>1.29439789025997</v>
      </c>
      <c r="AO1066" s="6" t="n">
        <v>1.29462407269475</v>
      </c>
      <c r="AP1066" s="6" t="n">
        <v>0.133212177936505</v>
      </c>
      <c r="AQ1066" s="6" t="n">
        <v>0</v>
      </c>
      <c r="AR1066" s="6" t="n">
        <v>0</v>
      </c>
    </row>
    <row r="1067" customFormat="false" ht="15" hidden="false" customHeight="false" outlineLevel="0" collapsed="false">
      <c r="D1067" s="0" t="s">
        <v>1193</v>
      </c>
      <c r="J1067" s="6" t="n">
        <v>0.459789094234942</v>
      </c>
      <c r="K1067" s="6" t="n">
        <v>3.86629368326421</v>
      </c>
      <c r="L1067" s="6" t="n">
        <v>-1.34961917359495</v>
      </c>
      <c r="M1067" s="6" t="n">
        <v>-1.00058978710967</v>
      </c>
      <c r="N1067" s="6" t="n">
        <v>2.74601419314443</v>
      </c>
      <c r="O1067" s="6" t="n">
        <v>3.08986244003885</v>
      </c>
      <c r="P1067" s="6" t="n">
        <v>-4.86996950175485</v>
      </c>
      <c r="Q1067" s="6" t="n">
        <v>-1.0128861197893</v>
      </c>
      <c r="R1067" s="6" t="n">
        <v>-1.82704294401209</v>
      </c>
      <c r="S1067" s="6" t="n">
        <v>0.698739102854468</v>
      </c>
      <c r="T1067" s="6" t="n">
        <v>-1.17395563807851</v>
      </c>
      <c r="U1067" s="6" t="n">
        <v>-0.386321385472819</v>
      </c>
      <c r="V1067" s="6" t="n">
        <v>2.32910927324967</v>
      </c>
      <c r="W1067" s="6" t="n">
        <v>-0.277536469512449</v>
      </c>
      <c r="X1067" s="6" t="n">
        <v>-1.22204362517117</v>
      </c>
      <c r="Y1067" s="6" t="n">
        <v>-1.1835275423898</v>
      </c>
      <c r="Z1067" s="6" t="n">
        <v>1.73877001161383</v>
      </c>
      <c r="AA1067" s="6" t="n">
        <v>1.24944803410045</v>
      </c>
      <c r="AB1067" s="6" t="n">
        <v>2.33976243422739</v>
      </c>
      <c r="AC1067" s="6" t="n">
        <v>3.1398321809408</v>
      </c>
      <c r="AD1067" s="6" t="n">
        <v>-0.668745388968927</v>
      </c>
      <c r="AE1067" s="6" t="n">
        <v>1.1479706460547</v>
      </c>
      <c r="AF1067" s="6" t="n">
        <v>-1.66647937080902</v>
      </c>
      <c r="AG1067" s="6" t="n">
        <v>-1.94314806007102</v>
      </c>
      <c r="AH1067" s="6" t="n">
        <v>1.48765746405427</v>
      </c>
      <c r="AI1067" s="6" t="n">
        <v>-2.36241273758908</v>
      </c>
      <c r="AJ1067" s="6" t="n">
        <v>75.8071147041856</v>
      </c>
      <c r="AK1067" s="6" t="n">
        <v>0.147431251555023</v>
      </c>
      <c r="AL1067" s="6" t="n">
        <v>1.06288592011519</v>
      </c>
      <c r="AN1067" s="6" t="n">
        <v>1.28492703232697</v>
      </c>
      <c r="AO1067" s="6" t="n">
        <v>1.28673303880969</v>
      </c>
      <c r="AP1067" s="6" t="n">
        <v>0.132215734995571</v>
      </c>
      <c r="AQ1067" s="6" t="n">
        <v>0</v>
      </c>
      <c r="AR1067" s="6" t="n">
        <v>0</v>
      </c>
    </row>
    <row r="1068" customFormat="false" ht="15" hidden="false" customHeight="false" outlineLevel="0" collapsed="false">
      <c r="D1068" s="0" t="s">
        <v>1194</v>
      </c>
      <c r="J1068" s="6" t="n">
        <v>2.26835641747742</v>
      </c>
      <c r="K1068" s="6" t="n">
        <v>-0.743195972099134</v>
      </c>
      <c r="L1068" s="6" t="n">
        <v>2.15593422079115</v>
      </c>
      <c r="M1068" s="6" t="n">
        <v>0.817004618661059</v>
      </c>
      <c r="N1068" s="6" t="n">
        <v>0.573068110252654</v>
      </c>
      <c r="O1068" s="6" t="n">
        <v>1.0963904008124</v>
      </c>
      <c r="P1068" s="6" t="n">
        <v>0.573302127807776</v>
      </c>
      <c r="Q1068" s="6" t="n">
        <v>-1.87690177848585</v>
      </c>
      <c r="R1068" s="6" t="n">
        <v>-0.836400704922526</v>
      </c>
      <c r="S1068" s="6" t="n">
        <v>-2.70332309765697</v>
      </c>
      <c r="T1068" s="6" t="n">
        <v>0.328804319348618</v>
      </c>
      <c r="U1068" s="6" t="n">
        <v>1.64415396730339</v>
      </c>
      <c r="V1068" s="6" t="n">
        <v>1.62293102960922</v>
      </c>
      <c r="W1068" s="6" t="n">
        <v>0.0108100079377045</v>
      </c>
      <c r="X1068" s="6" t="n">
        <v>-0.664174245074548</v>
      </c>
      <c r="Y1068" s="6" t="n">
        <v>1.99385205442933</v>
      </c>
      <c r="Z1068" s="6" t="n">
        <v>-1.44787968604148</v>
      </c>
      <c r="AA1068" s="6" t="n">
        <v>0.344683949897223</v>
      </c>
      <c r="AB1068" s="6" t="n">
        <v>-1.11606214938427</v>
      </c>
      <c r="AC1068" s="6" t="n">
        <v>-1.51830638168411</v>
      </c>
      <c r="AD1068" s="6" t="n">
        <v>2.8858395695597</v>
      </c>
      <c r="AE1068" s="6" t="n">
        <v>-2.12116224224815</v>
      </c>
      <c r="AF1068" s="6" t="n">
        <v>-0.649248744033032</v>
      </c>
      <c r="AG1068" s="6" t="n">
        <v>1.00568259693791</v>
      </c>
      <c r="AH1068" s="6" t="n">
        <v>-4.38346413681216</v>
      </c>
      <c r="AI1068" s="6" t="n">
        <v>3.23513742777649</v>
      </c>
      <c r="AJ1068" s="6" t="n">
        <v>69.2113217110713</v>
      </c>
      <c r="AK1068" s="6" t="n">
        <v>0.119078232573713</v>
      </c>
      <c r="AL1068" s="6" t="n">
        <v>1.05994932127571</v>
      </c>
      <c r="AN1068" s="6" t="n">
        <v>1.28935055715603</v>
      </c>
      <c r="AO1068" s="6" t="n">
        <v>1.28974466135687</v>
      </c>
      <c r="AP1068" s="6" t="n">
        <v>0.132907759884031</v>
      </c>
      <c r="AQ1068" s="6" t="n">
        <v>0</v>
      </c>
      <c r="AR1068" s="6" t="n">
        <v>0</v>
      </c>
    </row>
    <row r="1069" customFormat="false" ht="15" hidden="false" customHeight="false" outlineLevel="0" collapsed="false">
      <c r="D1069" s="0" t="s">
        <v>1195</v>
      </c>
      <c r="J1069" s="6" t="n">
        <v>3.75295767107306</v>
      </c>
      <c r="K1069" s="6" t="n">
        <v>1.43931476802582</v>
      </c>
      <c r="L1069" s="6" t="n">
        <v>-1.53020992040036</v>
      </c>
      <c r="M1069" s="6" t="n">
        <v>-2.27030167879581</v>
      </c>
      <c r="N1069" s="6" t="n">
        <v>-1.80369743542634</v>
      </c>
      <c r="O1069" s="6" t="n">
        <v>-0.978648312103865</v>
      </c>
      <c r="P1069" s="6" t="n">
        <v>1.86578448941518</v>
      </c>
      <c r="Q1069" s="6" t="n">
        <v>-2.90404887341135</v>
      </c>
      <c r="R1069" s="6" t="n">
        <v>5</v>
      </c>
      <c r="S1069" s="6" t="n">
        <v>-2.36311452526711</v>
      </c>
      <c r="T1069" s="6" t="n">
        <v>-2.07931953214429</v>
      </c>
      <c r="U1069" s="6" t="n">
        <v>1.81391997379272</v>
      </c>
      <c r="V1069" s="6" t="n">
        <v>-4.08777929322742</v>
      </c>
      <c r="W1069" s="6" t="n">
        <v>-5.29014287204584</v>
      </c>
      <c r="X1069" s="6" t="n">
        <v>2.27167957354271</v>
      </c>
      <c r="Y1069" s="6" t="n">
        <v>0.46862028391297</v>
      </c>
      <c r="Z1069" s="6" t="n">
        <v>-0.221048341791006</v>
      </c>
      <c r="AA1069" s="6" t="n">
        <v>0.482696252642279</v>
      </c>
      <c r="AB1069" s="6" t="n">
        <v>3.29860640674545</v>
      </c>
      <c r="AC1069" s="6" t="n">
        <v>-1.46730296746198</v>
      </c>
      <c r="AD1069" s="6" t="n">
        <v>1.76795715801324</v>
      </c>
      <c r="AE1069" s="6" t="n">
        <v>-0.757510691722355</v>
      </c>
      <c r="AF1069" s="6" t="n">
        <v>-0.310323142409585</v>
      </c>
      <c r="AG1069" s="6" t="n">
        <v>0.0741627962793287</v>
      </c>
      <c r="AH1069" s="6" t="n">
        <v>-1.03133400382291</v>
      </c>
      <c r="AI1069" s="6" t="n">
        <v>3.43143907969406</v>
      </c>
      <c r="AJ1069" s="6" t="n">
        <v>63.9687484402234</v>
      </c>
      <c r="AK1069" s="6" t="n">
        <v>0.142967080063573</v>
      </c>
      <c r="AL1069" s="6" t="n">
        <v>1.00301659473202</v>
      </c>
      <c r="AN1069" s="6" t="n">
        <v>1.31096161485166</v>
      </c>
      <c r="AO1069" s="6" t="n">
        <v>1.31096161485166</v>
      </c>
      <c r="AP1069" s="6" t="n">
        <v>0.138178706039307</v>
      </c>
      <c r="AQ1069" s="6" t="n">
        <v>0</v>
      </c>
      <c r="AR1069" s="6" t="n">
        <v>0</v>
      </c>
    </row>
    <row r="1070" customFormat="false" ht="15" hidden="false" customHeight="false" outlineLevel="0" collapsed="false">
      <c r="D1070" s="0" t="s">
        <v>1196</v>
      </c>
      <c r="J1070" s="6" t="n">
        <v>0.444546572450149</v>
      </c>
      <c r="K1070" s="6" t="n">
        <v>0.995913889994973</v>
      </c>
      <c r="L1070" s="6" t="n">
        <v>1.38969913469263</v>
      </c>
      <c r="M1070" s="6" t="n">
        <v>1.71384555641252</v>
      </c>
      <c r="N1070" s="6" t="n">
        <v>-0.23815996189322</v>
      </c>
      <c r="O1070" s="6" t="n">
        <v>-1.70252619435149</v>
      </c>
      <c r="P1070" s="6" t="n">
        <v>0.479775063275097</v>
      </c>
      <c r="Q1070" s="6" t="n">
        <v>0.635078190240386</v>
      </c>
      <c r="R1070" s="6" t="n">
        <v>2.33574070304194</v>
      </c>
      <c r="S1070" s="6" t="n">
        <v>-2.38829560281447</v>
      </c>
      <c r="T1070" s="6" t="n">
        <v>2.72481355545383</v>
      </c>
      <c r="U1070" s="6" t="n">
        <v>3.04558025693421</v>
      </c>
      <c r="V1070" s="6" t="n">
        <v>-1.1122356719211</v>
      </c>
      <c r="W1070" s="6" t="n">
        <v>0.291402700066123</v>
      </c>
      <c r="X1070" s="6" t="n">
        <v>-2.11079475300664</v>
      </c>
      <c r="Y1070" s="6" t="n">
        <v>1.72263204128343</v>
      </c>
      <c r="Z1070" s="6" t="n">
        <v>-2.92280462701558</v>
      </c>
      <c r="AA1070" s="6" t="n">
        <v>0.492578462936091</v>
      </c>
      <c r="AB1070" s="6" t="n">
        <v>-1.29286476180344</v>
      </c>
      <c r="AC1070" s="6" t="n">
        <v>-2.45132444196397</v>
      </c>
      <c r="AD1070" s="6" t="n">
        <v>-1.52359363771686</v>
      </c>
      <c r="AE1070" s="6" t="n">
        <v>0.922863617203137</v>
      </c>
      <c r="AF1070" s="6" t="n">
        <v>-2.1824318567685</v>
      </c>
      <c r="AG1070" s="6" t="n">
        <v>1.98083039200077</v>
      </c>
      <c r="AH1070" s="6" t="n">
        <v>2.53165773515209</v>
      </c>
      <c r="AI1070" s="6" t="n">
        <v>2.05605817292846</v>
      </c>
      <c r="AJ1070" s="6" t="n">
        <v>74.1173851253264</v>
      </c>
      <c r="AK1070" s="6" t="n">
        <v>0.108292138029707</v>
      </c>
      <c r="AL1070" s="6" t="n">
        <v>1.01916775788166</v>
      </c>
      <c r="AN1070" s="6" t="n">
        <v>1.31191339979254</v>
      </c>
      <c r="AO1070" s="6" t="n">
        <v>1.31191339979254</v>
      </c>
      <c r="AP1070" s="6" t="n">
        <v>0.138190107690738</v>
      </c>
      <c r="AQ1070" s="6" t="n">
        <v>0</v>
      </c>
      <c r="AR1070" s="6" t="n">
        <v>0</v>
      </c>
    </row>
    <row r="1071" customFormat="false" ht="15" hidden="false" customHeight="false" outlineLevel="0" collapsed="false">
      <c r="D1071" s="0" t="s">
        <v>1197</v>
      </c>
      <c r="J1071" s="6" t="n">
        <v>0.573032822991684</v>
      </c>
      <c r="K1071" s="6" t="n">
        <v>3.59785212248398</v>
      </c>
      <c r="L1071" s="6" t="n">
        <v>1.5055872185706</v>
      </c>
      <c r="M1071" s="6" t="n">
        <v>1.74553886302894</v>
      </c>
      <c r="N1071" s="6" t="n">
        <v>-1.19076799517015</v>
      </c>
      <c r="O1071" s="6" t="n">
        <v>1.98077309767481</v>
      </c>
      <c r="P1071" s="6" t="n">
        <v>2.58876254001305</v>
      </c>
      <c r="Q1071" s="6" t="n">
        <v>0.300146038949284</v>
      </c>
      <c r="R1071" s="6" t="n">
        <v>-1.61074335917368</v>
      </c>
      <c r="S1071" s="6" t="n">
        <v>-1.23591856010222</v>
      </c>
      <c r="T1071" s="6" t="n">
        <v>0.94627286307889</v>
      </c>
      <c r="U1071" s="6" t="n">
        <v>2.22040948225784</v>
      </c>
      <c r="V1071" s="6" t="n">
        <v>-1.69087920195213</v>
      </c>
      <c r="W1071" s="6" t="n">
        <v>3.40343165177582</v>
      </c>
      <c r="X1071" s="6" t="n">
        <v>-1.64486227520627</v>
      </c>
      <c r="Y1071" s="6" t="n">
        <v>1.49168664237921</v>
      </c>
      <c r="Z1071" s="6" t="n">
        <v>3.01073828690815</v>
      </c>
      <c r="AA1071" s="6" t="n">
        <v>-2.98270408335371</v>
      </c>
      <c r="AB1071" s="6" t="n">
        <v>0.256530503685033</v>
      </c>
      <c r="AC1071" s="6" t="n">
        <v>3.01871548101742</v>
      </c>
      <c r="AD1071" s="6" t="n">
        <v>1.85354911940989</v>
      </c>
      <c r="AE1071" s="6" t="n">
        <v>0.906522336872275</v>
      </c>
      <c r="AF1071" s="6" t="n">
        <v>1.15102974376846</v>
      </c>
      <c r="AG1071" s="6" t="n">
        <v>1.73442870257872</v>
      </c>
      <c r="AH1071" s="6" t="n">
        <v>0.0282156245581836</v>
      </c>
      <c r="AI1071" s="6" t="n">
        <v>-3.41866075453903</v>
      </c>
      <c r="AJ1071" s="6" t="n">
        <v>78.9313656113013</v>
      </c>
      <c r="AK1071" s="6" t="n">
        <v>0.168263649747403</v>
      </c>
      <c r="AL1071" s="6" t="n">
        <v>1.02916403464915</v>
      </c>
      <c r="AN1071" s="6" t="n">
        <v>1.30236924700287</v>
      </c>
      <c r="AO1071" s="6" t="n">
        <v>1.30240822353467</v>
      </c>
      <c r="AP1071" s="6" t="n">
        <v>0.135721459804472</v>
      </c>
      <c r="AQ1071" s="6" t="n">
        <v>0</v>
      </c>
      <c r="AR1071" s="6" t="n">
        <v>0</v>
      </c>
    </row>
    <row r="1072" customFormat="false" ht="15" hidden="false" customHeight="false" outlineLevel="0" collapsed="false">
      <c r="D1072" s="0" t="s">
        <v>1198</v>
      </c>
      <c r="J1072" s="6" t="n">
        <v>2.5451213061735</v>
      </c>
      <c r="K1072" s="6" t="n">
        <v>-3.58470905305198</v>
      </c>
      <c r="L1072" s="6" t="n">
        <v>2.3807960469771</v>
      </c>
      <c r="M1072" s="6" t="n">
        <v>2.64991003947775</v>
      </c>
      <c r="N1072" s="6" t="n">
        <v>-2.15020639857438</v>
      </c>
      <c r="O1072" s="6" t="n">
        <v>-0.133204346076197</v>
      </c>
      <c r="P1072" s="6" t="n">
        <v>0.960160472467621</v>
      </c>
      <c r="Q1072" s="6" t="n">
        <v>-1.82038535629389</v>
      </c>
      <c r="R1072" s="6" t="n">
        <v>2.10821559473795</v>
      </c>
      <c r="S1072" s="6" t="n">
        <v>-5.69350058568085</v>
      </c>
      <c r="T1072" s="6" t="n">
        <v>-0.518519737301652</v>
      </c>
      <c r="U1072" s="6" t="n">
        <v>-0.632301151448964</v>
      </c>
      <c r="V1072" s="6" t="n">
        <v>-1.4376182290517</v>
      </c>
      <c r="W1072" s="6" t="n">
        <v>0.500750570977675</v>
      </c>
      <c r="X1072" s="6" t="n">
        <v>-5.93598662745228</v>
      </c>
      <c r="Y1072" s="6" t="n">
        <v>0.871940347403063</v>
      </c>
      <c r="Z1072" s="6" t="n">
        <v>-0.191043836333115</v>
      </c>
      <c r="AA1072" s="6" t="n">
        <v>3.66797596149298</v>
      </c>
      <c r="AB1072" s="6" t="n">
        <v>2.39247007943817</v>
      </c>
      <c r="AC1072" s="6" t="n">
        <v>1.1252289835058</v>
      </c>
      <c r="AD1072" s="6" t="n">
        <v>-2.06275930420126</v>
      </c>
      <c r="AE1072" s="6" t="n">
        <v>-1.2602235190477</v>
      </c>
      <c r="AF1072" s="6" t="n">
        <v>-2.21388701277402</v>
      </c>
      <c r="AG1072" s="6" t="n">
        <v>1.15826075533368</v>
      </c>
      <c r="AH1072" s="6" t="n">
        <v>0.539268698641458</v>
      </c>
      <c r="AI1072" s="6" t="n">
        <v>-2.12577599548441</v>
      </c>
      <c r="AJ1072" s="6" t="n">
        <v>80.8215889734254</v>
      </c>
      <c r="AK1072" s="6" t="n">
        <v>0.0327952095407822</v>
      </c>
      <c r="AL1072" s="6" t="n">
        <v>1.08937392571177</v>
      </c>
      <c r="AN1072" s="6" t="n">
        <v>1.29527735495281</v>
      </c>
      <c r="AO1072" s="6" t="n">
        <v>1.29581610913817</v>
      </c>
      <c r="AP1072" s="6" t="n">
        <v>0.133766883706922</v>
      </c>
      <c r="AQ1072" s="6" t="n">
        <v>0</v>
      </c>
      <c r="AR1072" s="6" t="n">
        <v>0</v>
      </c>
    </row>
    <row r="1073" customFormat="false" ht="15" hidden="false" customHeight="false" outlineLevel="0" collapsed="false">
      <c r="D1073" s="0" t="s">
        <v>1199</v>
      </c>
      <c r="J1073" s="6" t="n">
        <v>2.01661011848263</v>
      </c>
      <c r="K1073" s="6" t="n">
        <v>3.13763859565498</v>
      </c>
      <c r="L1073" s="6" t="n">
        <v>-1.03887408858044</v>
      </c>
      <c r="M1073" s="6" t="n">
        <v>-0.0509927512422222</v>
      </c>
      <c r="N1073" s="6" t="n">
        <v>0.213692246398657</v>
      </c>
      <c r="O1073" s="6" t="n">
        <v>2.29934557307526</v>
      </c>
      <c r="P1073" s="6" t="n">
        <v>-2.25372774098242</v>
      </c>
      <c r="Q1073" s="6" t="n">
        <v>2.85453347523065</v>
      </c>
      <c r="R1073" s="6" t="n">
        <v>-1.26186694895814</v>
      </c>
      <c r="S1073" s="6" t="n">
        <v>-2.32781692641949</v>
      </c>
      <c r="T1073" s="6" t="n">
        <v>2.95828514605053</v>
      </c>
      <c r="U1073" s="6" t="n">
        <v>0.910512132699158</v>
      </c>
      <c r="V1073" s="6" t="n">
        <v>-1.14293897917898</v>
      </c>
      <c r="W1073" s="6" t="n">
        <v>-1.60274948271238</v>
      </c>
      <c r="X1073" s="6" t="n">
        <v>2.04493739153884</v>
      </c>
      <c r="Y1073" s="6" t="n">
        <v>3.31313784650627</v>
      </c>
      <c r="Z1073" s="6" t="n">
        <v>-1.16295489131079</v>
      </c>
      <c r="AA1073" s="6" t="n">
        <v>-3.11711127754232</v>
      </c>
      <c r="AB1073" s="6" t="n">
        <v>-1.34786951036624</v>
      </c>
      <c r="AC1073" s="6" t="n">
        <v>2.61360910677604</v>
      </c>
      <c r="AD1073" s="6" t="n">
        <v>-3.41872801774412</v>
      </c>
      <c r="AE1073" s="6" t="n">
        <v>-1.17756893167474</v>
      </c>
      <c r="AF1073" s="6" t="n">
        <v>1.51869203979192</v>
      </c>
      <c r="AG1073" s="6" t="n">
        <v>-2.96798879508699</v>
      </c>
      <c r="AH1073" s="6" t="n">
        <v>-4.35879244870235</v>
      </c>
      <c r="AI1073" s="6" t="n">
        <v>2.31445644386685</v>
      </c>
      <c r="AJ1073" s="6" t="n">
        <v>71.7883378568491</v>
      </c>
      <c r="AK1073" s="6" t="n">
        <v>0.0174566946646643</v>
      </c>
      <c r="AL1073" s="6" t="n">
        <v>1.04004071670896</v>
      </c>
      <c r="AN1073" s="6" t="n">
        <v>1.30832357269032</v>
      </c>
      <c r="AO1073" s="6" t="n">
        <v>1.30832357269032</v>
      </c>
      <c r="AP1073" s="6" t="n">
        <v>0.1376268474293</v>
      </c>
      <c r="AQ1073" s="6" t="n">
        <v>0</v>
      </c>
      <c r="AR1073" s="6" t="n">
        <v>0</v>
      </c>
    </row>
    <row r="1074" customFormat="false" ht="15" hidden="false" customHeight="false" outlineLevel="0" collapsed="false">
      <c r="D1074" s="0" t="s">
        <v>1200</v>
      </c>
      <c r="J1074" s="6" t="n">
        <v>-1.22599105101637</v>
      </c>
      <c r="K1074" s="6" t="n">
        <v>-2.43385123142733</v>
      </c>
      <c r="L1074" s="6" t="n">
        <v>0.243828713184951</v>
      </c>
      <c r="M1074" s="6" t="n">
        <v>-0.038953899302139</v>
      </c>
      <c r="N1074" s="6" t="n">
        <v>0.736177854508081</v>
      </c>
      <c r="O1074" s="6" t="n">
        <v>3.87622950974483</v>
      </c>
      <c r="P1074" s="6" t="n">
        <v>2.52040171207646</v>
      </c>
      <c r="Q1074" s="6" t="n">
        <v>-2.98992549119264</v>
      </c>
      <c r="R1074" s="6" t="n">
        <v>4.76989787581657</v>
      </c>
      <c r="S1074" s="6" t="n">
        <v>1.05526535631371</v>
      </c>
      <c r="T1074" s="6" t="n">
        <v>-0.43714079732436</v>
      </c>
      <c r="U1074" s="6" t="n">
        <v>-0.240719991824598</v>
      </c>
      <c r="V1074" s="6" t="n">
        <v>-1.49028752440009</v>
      </c>
      <c r="W1074" s="6" t="n">
        <v>-0.285588988191559</v>
      </c>
      <c r="X1074" s="6" t="n">
        <v>-1.59247178509221</v>
      </c>
      <c r="Y1074" s="6" t="n">
        <v>-2.49276696676695</v>
      </c>
      <c r="Z1074" s="6" t="n">
        <v>4.98662671855947</v>
      </c>
      <c r="AA1074" s="6" t="n">
        <v>-0.143751588473028</v>
      </c>
      <c r="AB1074" s="6" t="n">
        <v>2.18048079329462</v>
      </c>
      <c r="AC1074" s="6" t="n">
        <v>-1.39721002332943</v>
      </c>
      <c r="AD1074" s="6" t="n">
        <v>-0.953814663989797</v>
      </c>
      <c r="AE1074" s="6" t="n">
        <v>-1.27403260203128</v>
      </c>
      <c r="AF1074" s="6" t="n">
        <v>3.09240346843871</v>
      </c>
      <c r="AG1074" s="6" t="n">
        <v>2.65216890448699</v>
      </c>
      <c r="AH1074" s="6" t="n">
        <v>-1.15588221830787</v>
      </c>
      <c r="AI1074" s="6" t="n">
        <v>1.04730052495816</v>
      </c>
      <c r="AJ1074" s="6" t="n">
        <v>81.1468919760408</v>
      </c>
      <c r="AK1074" s="6" t="n">
        <v>0.0801539598797532</v>
      </c>
      <c r="AL1074" s="6" t="n">
        <v>1.01264512212695</v>
      </c>
      <c r="AN1074" s="6" t="n">
        <v>1.31887513536994</v>
      </c>
      <c r="AO1074" s="6" t="n">
        <v>1.31887513536994</v>
      </c>
      <c r="AP1074" s="6" t="n">
        <v>0.140607636937421</v>
      </c>
      <c r="AQ1074" s="6" t="n">
        <v>0</v>
      </c>
      <c r="AR1074" s="6" t="n">
        <v>0</v>
      </c>
    </row>
    <row r="1075" customFormat="false" ht="15" hidden="false" customHeight="false" outlineLevel="0" collapsed="false">
      <c r="D1075" s="0" t="s">
        <v>1201</v>
      </c>
      <c r="J1075" s="6" t="n">
        <v>-0.343397810243309</v>
      </c>
      <c r="K1075" s="6" t="n">
        <v>-1.94481578692257</v>
      </c>
      <c r="L1075" s="6" t="n">
        <v>0.368071014773512</v>
      </c>
      <c r="M1075" s="6" t="n">
        <v>1.24557643908451</v>
      </c>
      <c r="N1075" s="6" t="n">
        <v>3.3996585732325</v>
      </c>
      <c r="O1075" s="6" t="n">
        <v>1.34939167392101</v>
      </c>
      <c r="P1075" s="6" t="n">
        <v>-2.27232935944414</v>
      </c>
      <c r="Q1075" s="6" t="n">
        <v>1.78853294712188</v>
      </c>
      <c r="R1075" s="6" t="n">
        <v>1.33608790389445</v>
      </c>
      <c r="S1075" s="6" t="n">
        <v>2.45940468978188</v>
      </c>
      <c r="T1075" s="6" t="n">
        <v>-1.55131411990881</v>
      </c>
      <c r="U1075" s="6" t="n">
        <v>-1.49442188847457</v>
      </c>
      <c r="V1075" s="6" t="n">
        <v>1.37500823409341</v>
      </c>
      <c r="W1075" s="6" t="n">
        <v>1.12448833233677</v>
      </c>
      <c r="X1075" s="6" t="n">
        <v>0.104731175835729</v>
      </c>
      <c r="Y1075" s="6" t="n">
        <v>0.198719402732292</v>
      </c>
      <c r="Z1075" s="6" t="n">
        <v>-2.3484873123258</v>
      </c>
      <c r="AA1075" s="6" t="n">
        <v>3.99027816056248</v>
      </c>
      <c r="AB1075" s="6" t="n">
        <v>0.301745145462445</v>
      </c>
      <c r="AC1075" s="6" t="n">
        <v>-2.89632778056019</v>
      </c>
      <c r="AD1075" s="6" t="n">
        <v>-0.232911784168668</v>
      </c>
      <c r="AE1075" s="6" t="n">
        <v>-0.287027496665968</v>
      </c>
      <c r="AF1075" s="6" t="n">
        <v>2.85040142490353</v>
      </c>
      <c r="AG1075" s="6" t="n">
        <v>-0.563805419236858</v>
      </c>
      <c r="AH1075" s="6" t="n">
        <v>4.41014947142998</v>
      </c>
      <c r="AI1075" s="6" t="n">
        <v>1.33747105039368</v>
      </c>
      <c r="AJ1075" s="6" t="n">
        <v>80.405873388939</v>
      </c>
      <c r="AK1075" s="6" t="n">
        <v>0.17837947796349</v>
      </c>
      <c r="AL1075" s="6" t="n">
        <v>1.05607633066899</v>
      </c>
      <c r="AN1075" s="6" t="n">
        <v>1.28912440268821</v>
      </c>
      <c r="AO1075" s="6" t="n">
        <v>1.28949965885272</v>
      </c>
      <c r="AP1075" s="6" t="n">
        <v>0.132627954349001</v>
      </c>
      <c r="AQ1075" s="6" t="n">
        <v>0</v>
      </c>
      <c r="AR1075" s="6" t="n">
        <v>0</v>
      </c>
    </row>
    <row r="1076" customFormat="false" ht="15" hidden="false" customHeight="false" outlineLevel="0" collapsed="false">
      <c r="D1076" s="0" t="s">
        <v>1202</v>
      </c>
      <c r="J1076" s="6" t="n">
        <v>-0.965296626914363</v>
      </c>
      <c r="K1076" s="6" t="n">
        <v>1.97135387376174</v>
      </c>
      <c r="L1076" s="6" t="n">
        <v>-0.0208653565985578</v>
      </c>
      <c r="M1076" s="6" t="n">
        <v>1.74916878095835</v>
      </c>
      <c r="N1076" s="6" t="n">
        <v>-0.231542795803238</v>
      </c>
      <c r="O1076" s="6" t="n">
        <v>0.725398646714241</v>
      </c>
      <c r="P1076" s="6" t="n">
        <v>-4.21515994409602</v>
      </c>
      <c r="Q1076" s="6" t="n">
        <v>-2.89826361369755</v>
      </c>
      <c r="R1076" s="6" t="n">
        <v>0.0449197499661489</v>
      </c>
      <c r="S1076" s="6" t="n">
        <v>2.75959976602265</v>
      </c>
      <c r="T1076" s="6" t="n">
        <v>0.205605840248258</v>
      </c>
      <c r="U1076" s="6" t="n">
        <v>1.77648581266446</v>
      </c>
      <c r="V1076" s="6" t="n">
        <v>0.898907100215501</v>
      </c>
      <c r="W1076" s="6" t="n">
        <v>3.19272655304695</v>
      </c>
      <c r="X1076" s="6" t="n">
        <v>2.02358828811768</v>
      </c>
      <c r="Y1076" s="6" t="n">
        <v>0.0209314989953256</v>
      </c>
      <c r="Z1076" s="6" t="n">
        <v>1.66998844261454</v>
      </c>
      <c r="AA1076" s="6" t="n">
        <v>2.21695176094098</v>
      </c>
      <c r="AB1076" s="6" t="n">
        <v>-1.37315884960711</v>
      </c>
      <c r="AC1076" s="6" t="n">
        <v>0.400350727804193</v>
      </c>
      <c r="AD1076" s="6" t="n">
        <v>-1.01151073044389</v>
      </c>
      <c r="AE1076" s="6" t="n">
        <v>-2.80624655161406</v>
      </c>
      <c r="AF1076" s="6" t="n">
        <v>-4.8169446538842</v>
      </c>
      <c r="AG1076" s="6" t="n">
        <v>1.03563489915038</v>
      </c>
      <c r="AH1076" s="6" t="n">
        <v>-0.165465939001736</v>
      </c>
      <c r="AI1076" s="6" t="n">
        <v>-0.442678788794981</v>
      </c>
      <c r="AJ1076" s="6" t="n">
        <v>76.9898336269656</v>
      </c>
      <c r="AK1076" s="6" t="n">
        <v>0.041347928654058</v>
      </c>
      <c r="AL1076" s="6" t="n">
        <v>1.01827112461774</v>
      </c>
      <c r="AN1076" s="6" t="n">
        <v>1.31573176105312</v>
      </c>
      <c r="AO1076" s="6" t="n">
        <v>1.31573176105312</v>
      </c>
      <c r="AP1076" s="6" t="n">
        <v>0.139793496527471</v>
      </c>
      <c r="AQ1076" s="6" t="n">
        <v>0</v>
      </c>
      <c r="AR1076" s="6" t="n">
        <v>0</v>
      </c>
    </row>
    <row r="1077" customFormat="false" ht="15" hidden="false" customHeight="false" outlineLevel="0" collapsed="false">
      <c r="D1077" s="0" t="s">
        <v>1203</v>
      </c>
      <c r="J1077" s="6" t="n">
        <v>0.295842500881311</v>
      </c>
      <c r="K1077" s="6" t="n">
        <v>1.95934107113697</v>
      </c>
      <c r="L1077" s="6" t="n">
        <v>-1.62097163395103</v>
      </c>
      <c r="M1077" s="6" t="n">
        <v>1.33151950677926</v>
      </c>
      <c r="N1077" s="6" t="n">
        <v>-0.00304948296549341</v>
      </c>
      <c r="O1077" s="6" t="n">
        <v>-0.205877247851556</v>
      </c>
      <c r="P1077" s="6" t="n">
        <v>0.84166586895015</v>
      </c>
      <c r="Q1077" s="6" t="n">
        <v>0.883468257179979</v>
      </c>
      <c r="R1077" s="6" t="n">
        <v>3.4139437210171</v>
      </c>
      <c r="S1077" s="6" t="n">
        <v>1.20081296538162</v>
      </c>
      <c r="T1077" s="6" t="n">
        <v>-2.47325434384421</v>
      </c>
      <c r="U1077" s="6" t="n">
        <v>3.43511956355815</v>
      </c>
      <c r="V1077" s="6" t="n">
        <v>1.85470643482178</v>
      </c>
      <c r="W1077" s="6" t="n">
        <v>-1.13931673577632</v>
      </c>
      <c r="X1077" s="6" t="n">
        <v>2.53949573374855</v>
      </c>
      <c r="Y1077" s="6" t="n">
        <v>2.72424058768074</v>
      </c>
      <c r="Z1077" s="6" t="n">
        <v>-0.857872699058209</v>
      </c>
      <c r="AA1077" s="6" t="n">
        <v>-1.37441093824959</v>
      </c>
      <c r="AB1077" s="6" t="n">
        <v>-1.14652765553888</v>
      </c>
      <c r="AC1077" s="6" t="n">
        <v>0.552592360488026</v>
      </c>
      <c r="AD1077" s="6" t="n">
        <v>-1.72107437483723</v>
      </c>
      <c r="AE1077" s="6" t="n">
        <v>3.38575632250632</v>
      </c>
      <c r="AF1077" s="6" t="n">
        <v>0.233161672839055</v>
      </c>
      <c r="AG1077" s="6" t="n">
        <v>0.391854226292516</v>
      </c>
      <c r="AH1077" s="6" t="n">
        <v>-2.40757818610384</v>
      </c>
      <c r="AI1077" s="6" t="n">
        <v>-2.41638984778355</v>
      </c>
      <c r="AJ1077" s="6" t="n">
        <v>77.3175842008358</v>
      </c>
      <c r="AK1077" s="6" t="n">
        <v>0.150236496402336</v>
      </c>
      <c r="AL1077" s="6" t="n">
        <v>1.01323427659706</v>
      </c>
      <c r="AN1077" s="6" t="n">
        <v>1.31453099852503</v>
      </c>
      <c r="AO1077" s="6" t="n">
        <v>1.31453099852503</v>
      </c>
      <c r="AP1077" s="6" t="n">
        <v>0.138449885360468</v>
      </c>
      <c r="AQ1077" s="6" t="n">
        <v>0</v>
      </c>
      <c r="AR1077" s="6" t="n">
        <v>0</v>
      </c>
    </row>
    <row r="1078" customFormat="false" ht="15" hidden="false" customHeight="false" outlineLevel="0" collapsed="false">
      <c r="D1078" s="0" t="s">
        <v>1204</v>
      </c>
      <c r="J1078" s="6" t="n">
        <v>-0.751009864591989</v>
      </c>
      <c r="K1078" s="6" t="n">
        <v>0.0473731477530177</v>
      </c>
      <c r="L1078" s="6" t="n">
        <v>1.91582574518316</v>
      </c>
      <c r="M1078" s="6" t="n">
        <v>-0.193595537701953</v>
      </c>
      <c r="N1078" s="6" t="n">
        <v>1.59817647639317</v>
      </c>
      <c r="O1078" s="6" t="n">
        <v>-0.118038707452222</v>
      </c>
      <c r="P1078" s="6" t="n">
        <v>-0.658101247948377</v>
      </c>
      <c r="Q1078" s="6" t="n">
        <v>-3.07323247560865</v>
      </c>
      <c r="R1078" s="6" t="n">
        <v>-0.440908396055301</v>
      </c>
      <c r="S1078" s="6" t="n">
        <v>1.41105773295186</v>
      </c>
      <c r="T1078" s="6" t="n">
        <v>0.725365265862119</v>
      </c>
      <c r="U1078" s="6" t="n">
        <v>-1.29778716212884</v>
      </c>
      <c r="V1078" s="6" t="n">
        <v>1.86940598890646</v>
      </c>
      <c r="W1078" s="6" t="n">
        <v>3.06623448607209</v>
      </c>
      <c r="X1078" s="6" t="n">
        <v>-0.190413390756329</v>
      </c>
      <c r="Y1078" s="6" t="n">
        <v>2.54954533879725</v>
      </c>
      <c r="Z1078" s="6" t="n">
        <v>4.10693678456529</v>
      </c>
      <c r="AA1078" s="6" t="n">
        <v>1.3862078135807</v>
      </c>
      <c r="AB1078" s="6" t="n">
        <v>1.44097300800113</v>
      </c>
      <c r="AC1078" s="6" t="n">
        <v>0.812053889703185</v>
      </c>
      <c r="AD1078" s="6" t="n">
        <v>-1.33748267192235</v>
      </c>
      <c r="AE1078" s="6" t="n">
        <v>-1.48410580716043</v>
      </c>
      <c r="AF1078" s="6" t="n">
        <v>2.45667841497328</v>
      </c>
      <c r="AG1078" s="6" t="n">
        <v>-0.480215068108384</v>
      </c>
      <c r="AH1078" s="6" t="n">
        <v>-2.5183055029108</v>
      </c>
      <c r="AI1078" s="6" t="n">
        <v>-0.759561345298299</v>
      </c>
      <c r="AJ1078" s="6" t="n">
        <v>75.7114432043813</v>
      </c>
      <c r="AK1078" s="6" t="n">
        <v>0.0859129177036685</v>
      </c>
      <c r="AL1078" s="6" t="n">
        <v>1.09290006065531</v>
      </c>
      <c r="AN1078" s="6" t="n">
        <v>1.28582706320898</v>
      </c>
      <c r="AO1078" s="6" t="n">
        <v>1.28635225111959</v>
      </c>
      <c r="AP1078" s="6" t="n">
        <v>0.131804832654117</v>
      </c>
      <c r="AQ1078" s="6" t="n">
        <v>0</v>
      </c>
      <c r="AR1078" s="6" t="n">
        <v>0</v>
      </c>
    </row>
    <row r="1079" customFormat="false" ht="15" hidden="false" customHeight="false" outlineLevel="0" collapsed="false">
      <c r="D1079" s="0" t="s">
        <v>1205</v>
      </c>
      <c r="J1079" s="6" t="n">
        <v>-0.773421851836876</v>
      </c>
      <c r="K1079" s="6" t="n">
        <v>-1.87871501873027</v>
      </c>
      <c r="L1079" s="6" t="n">
        <v>4.03500909779721</v>
      </c>
      <c r="M1079" s="6" t="n">
        <v>-0.268052171230303</v>
      </c>
      <c r="N1079" s="6" t="n">
        <v>0.657588706525568</v>
      </c>
      <c r="O1079" s="6" t="n">
        <v>3.41205232110457</v>
      </c>
      <c r="P1079" s="6" t="n">
        <v>-1.73637841688071</v>
      </c>
      <c r="Q1079" s="6" t="n">
        <v>1.27141042941919</v>
      </c>
      <c r="R1079" s="6" t="n">
        <v>0.964548384932468</v>
      </c>
      <c r="S1079" s="6" t="n">
        <v>-0.0110075223855853</v>
      </c>
      <c r="T1079" s="6" t="n">
        <v>1.15101089639821</v>
      </c>
      <c r="U1079" s="6" t="n">
        <v>1.37571057358188</v>
      </c>
      <c r="V1079" s="6" t="n">
        <v>-0.819045976331415</v>
      </c>
      <c r="W1079" s="6" t="n">
        <v>0.159425925374256</v>
      </c>
      <c r="X1079" s="6" t="n">
        <v>1.5480973205251</v>
      </c>
      <c r="Y1079" s="6" t="n">
        <v>0.442545664377657</v>
      </c>
      <c r="Z1079" s="6" t="n">
        <v>-0.234958776167732</v>
      </c>
      <c r="AA1079" s="6" t="n">
        <v>0.704298763206714</v>
      </c>
      <c r="AB1079" s="6" t="n">
        <v>-2.04850552281799</v>
      </c>
      <c r="AC1079" s="6" t="n">
        <v>2.5652107665249</v>
      </c>
      <c r="AD1079" s="6" t="n">
        <v>-1.70139958913709</v>
      </c>
      <c r="AE1079" s="6" t="n">
        <v>0.0661802801683853</v>
      </c>
      <c r="AF1079" s="6" t="n">
        <v>-3.84377677143012</v>
      </c>
      <c r="AG1079" s="6" t="n">
        <v>0.114827374382424</v>
      </c>
      <c r="AH1079" s="6" t="n">
        <v>-1.28167741331855</v>
      </c>
      <c r="AI1079" s="6" t="n">
        <v>2.49109031375357</v>
      </c>
      <c r="AJ1079" s="6" t="n">
        <v>76.0207557460182</v>
      </c>
      <c r="AK1079" s="6" t="n">
        <v>0.117901722923272</v>
      </c>
      <c r="AL1079" s="6" t="n">
        <v>1.02813815810425</v>
      </c>
      <c r="AN1079" s="6" t="n">
        <v>1.30850920454481</v>
      </c>
      <c r="AO1079" s="6" t="n">
        <v>1.30868377161541</v>
      </c>
      <c r="AP1079" s="6" t="n">
        <v>0.137082697062779</v>
      </c>
      <c r="AQ1079" s="6" t="n">
        <v>0</v>
      </c>
      <c r="AR1079" s="6" t="n">
        <v>0</v>
      </c>
    </row>
    <row r="1080" customFormat="false" ht="15" hidden="false" customHeight="false" outlineLevel="0" collapsed="false">
      <c r="D1080" s="0" t="s">
        <v>1206</v>
      </c>
      <c r="J1080" s="6" t="n">
        <v>-1.2396293946876</v>
      </c>
      <c r="K1080" s="6" t="n">
        <v>3.40103626846854</v>
      </c>
      <c r="L1080" s="6" t="n">
        <v>1.96281340483816</v>
      </c>
      <c r="M1080" s="6" t="n">
        <v>-2.08793129835768</v>
      </c>
      <c r="N1080" s="6" t="n">
        <v>-0.17648379800849</v>
      </c>
      <c r="O1080" s="6" t="n">
        <v>0.181685767521217</v>
      </c>
      <c r="P1080" s="6" t="n">
        <v>-0.940338382589003</v>
      </c>
      <c r="Q1080" s="6" t="n">
        <v>1.90983611838936</v>
      </c>
      <c r="R1080" s="6" t="n">
        <v>0.865502874900054</v>
      </c>
      <c r="S1080" s="6" t="n">
        <v>-1.357545368706</v>
      </c>
      <c r="T1080" s="6" t="n">
        <v>2.33121800072968</v>
      </c>
      <c r="U1080" s="6" t="n">
        <v>-4.01893078964749</v>
      </c>
      <c r="V1080" s="6" t="n">
        <v>0.764836729736045</v>
      </c>
      <c r="W1080" s="6" t="n">
        <v>1.45738130433781</v>
      </c>
      <c r="X1080" s="6" t="n">
        <v>-1.94071973425998</v>
      </c>
      <c r="Y1080" s="6" t="n">
        <v>2.33424202671729</v>
      </c>
      <c r="Z1080" s="6" t="n">
        <v>-0.151632204316919</v>
      </c>
      <c r="AA1080" s="6" t="n">
        <v>0.0656833506427622</v>
      </c>
      <c r="AB1080" s="6" t="n">
        <v>0.888798546240882</v>
      </c>
      <c r="AC1080" s="6" t="n">
        <v>-3.81101275381864</v>
      </c>
      <c r="AD1080" s="6" t="n">
        <v>0.810566999327033</v>
      </c>
      <c r="AE1080" s="6" t="n">
        <v>-1.68115247809975</v>
      </c>
      <c r="AF1080" s="6" t="n">
        <v>-4.15287768904757</v>
      </c>
      <c r="AG1080" s="6" t="n">
        <v>-1.15959135503774</v>
      </c>
      <c r="AH1080" s="6" t="n">
        <v>0.610353977242222</v>
      </c>
      <c r="AI1080" s="6" t="n">
        <v>2.50936975153171</v>
      </c>
      <c r="AJ1080" s="6" t="n">
        <v>61.5818769948112</v>
      </c>
      <c r="AK1080" s="6" t="n">
        <v>0.0828266208953216</v>
      </c>
      <c r="AL1080" s="6" t="n">
        <v>1.04415879901922</v>
      </c>
      <c r="AN1080" s="6" t="n">
        <v>1.29767327214882</v>
      </c>
      <c r="AO1080" s="6" t="n">
        <v>1.29790017599092</v>
      </c>
      <c r="AP1080" s="6" t="n">
        <v>0.134300482896251</v>
      </c>
      <c r="AQ1080" s="6" t="n">
        <v>0</v>
      </c>
      <c r="AR1080" s="6" t="n">
        <v>0</v>
      </c>
    </row>
    <row r="1081" customFormat="false" ht="15" hidden="false" customHeight="false" outlineLevel="0" collapsed="false">
      <c r="D1081" s="0" t="s">
        <v>1207</v>
      </c>
      <c r="J1081" s="6" t="n">
        <v>-0.702619352539045</v>
      </c>
      <c r="K1081" s="6" t="n">
        <v>-1.29804912533946</v>
      </c>
      <c r="L1081" s="6" t="n">
        <v>-0.278262316536457</v>
      </c>
      <c r="M1081" s="6" t="n">
        <v>0.425633665855846</v>
      </c>
      <c r="N1081" s="6" t="n">
        <v>0.441135221249463</v>
      </c>
      <c r="O1081" s="6" t="n">
        <v>-0.197652989511807</v>
      </c>
      <c r="P1081" s="6" t="n">
        <v>-6.61619689729281</v>
      </c>
      <c r="Q1081" s="6" t="n">
        <v>-2.91514097774888</v>
      </c>
      <c r="R1081" s="6" t="n">
        <v>-1.33234826811604</v>
      </c>
      <c r="S1081" s="6" t="n">
        <v>2.17567859058156</v>
      </c>
      <c r="T1081" s="6" t="n">
        <v>3.85062730104737</v>
      </c>
      <c r="U1081" s="6" t="n">
        <v>0.616276923387084</v>
      </c>
      <c r="V1081" s="6" t="n">
        <v>0.85105528571111</v>
      </c>
      <c r="W1081" s="6" t="n">
        <v>0.392276881009035</v>
      </c>
      <c r="X1081" s="6" t="n">
        <v>0.550563996336778</v>
      </c>
      <c r="Y1081" s="6" t="n">
        <v>1.03196677038542</v>
      </c>
      <c r="Z1081" s="6" t="n">
        <v>2.75600123344887</v>
      </c>
      <c r="AA1081" s="6" t="n">
        <v>3.71673116109082</v>
      </c>
      <c r="AB1081" s="6" t="n">
        <v>-1.80287577523663</v>
      </c>
      <c r="AC1081" s="6" t="n">
        <v>2.15408267555233</v>
      </c>
      <c r="AD1081" s="6" t="n">
        <v>-2.15527228271281</v>
      </c>
      <c r="AE1081" s="6" t="n">
        <v>1.03471538142571</v>
      </c>
      <c r="AF1081" s="6" t="n">
        <v>-2.66409806406925</v>
      </c>
      <c r="AG1081" s="6" t="n">
        <v>-1.18615415788962</v>
      </c>
      <c r="AH1081" s="6" t="n">
        <v>-0.455475562590253</v>
      </c>
      <c r="AI1081" s="6" t="n">
        <v>-2.39592708615821</v>
      </c>
      <c r="AJ1081" s="6" t="n">
        <v>72.111926804129</v>
      </c>
      <c r="AK1081" s="6" t="n">
        <v>0.0630113101589554</v>
      </c>
      <c r="AL1081" s="6" t="n">
        <v>1.03169455526084</v>
      </c>
      <c r="AN1081" s="6" t="n">
        <v>1.28529667189976</v>
      </c>
      <c r="AO1081" s="6" t="n">
        <v>1.29373727684296</v>
      </c>
      <c r="AP1081" s="6" t="n">
        <v>0.136679226815154</v>
      </c>
      <c r="AQ1081" s="6" t="n">
        <v>0</v>
      </c>
      <c r="AR1081" s="6" t="n">
        <v>0</v>
      </c>
    </row>
    <row r="1082" customFormat="false" ht="15" hidden="false" customHeight="false" outlineLevel="0" collapsed="false">
      <c r="D1082" s="0" t="s">
        <v>1208</v>
      </c>
      <c r="J1082" s="6" t="n">
        <v>1.11136583667611</v>
      </c>
      <c r="K1082" s="6" t="n">
        <v>-1.12110309298089</v>
      </c>
      <c r="L1082" s="6" t="n">
        <v>-0.414760399207921</v>
      </c>
      <c r="M1082" s="6" t="n">
        <v>2.87874814461696</v>
      </c>
      <c r="N1082" s="6" t="n">
        <v>-1.56055095201052</v>
      </c>
      <c r="O1082" s="6" t="n">
        <v>3.52528981896293</v>
      </c>
      <c r="P1082" s="6" t="n">
        <v>-0.780966104250887</v>
      </c>
      <c r="Q1082" s="6" t="n">
        <v>2.79515925760927</v>
      </c>
      <c r="R1082" s="6" t="n">
        <v>2.15610326633813</v>
      </c>
      <c r="S1082" s="6" t="n">
        <v>-1.60804756761032</v>
      </c>
      <c r="T1082" s="6" t="n">
        <v>-2.09168006825714</v>
      </c>
      <c r="U1082" s="6" t="n">
        <v>-3.08536413662702</v>
      </c>
      <c r="V1082" s="6" t="n">
        <v>-1.85247443904327</v>
      </c>
      <c r="W1082" s="6" t="n">
        <v>-0.780059415697748</v>
      </c>
      <c r="X1082" s="6" t="n">
        <v>-0.795241612379423</v>
      </c>
      <c r="Y1082" s="6" t="n">
        <v>-5.60616601652897</v>
      </c>
      <c r="Z1082" s="6" t="n">
        <v>-2.15479791413744</v>
      </c>
      <c r="AA1082" s="6" t="n">
        <v>-0.210595995571656</v>
      </c>
      <c r="AB1082" s="6" t="n">
        <v>-1.28678014976851</v>
      </c>
      <c r="AC1082" s="6" t="n">
        <v>-0.903393374861852</v>
      </c>
      <c r="AD1082" s="6" t="n">
        <v>-0.481892397877838</v>
      </c>
      <c r="AE1082" s="6" t="n">
        <v>-0.27141529404851</v>
      </c>
      <c r="AF1082" s="6" t="n">
        <v>-0.445582125934288</v>
      </c>
      <c r="AG1082" s="6" t="n">
        <v>-0.814477087710407</v>
      </c>
      <c r="AH1082" s="6" t="n">
        <v>2.28610325548186</v>
      </c>
      <c r="AI1082" s="6" t="n">
        <v>0.072387931345352</v>
      </c>
      <c r="AJ1082" s="6" t="n">
        <v>74.3614886580987</v>
      </c>
      <c r="AK1082" s="6" t="n">
        <v>0.145209614403175</v>
      </c>
      <c r="AL1082" s="6" t="n">
        <v>1.07005950908824</v>
      </c>
      <c r="AN1082" s="6" t="n">
        <v>1.28369460882824</v>
      </c>
      <c r="AO1082" s="6" t="n">
        <v>1.28458848423239</v>
      </c>
      <c r="AP1082" s="6" t="n">
        <v>0.131724282808524</v>
      </c>
      <c r="AQ1082" s="6" t="n">
        <v>0</v>
      </c>
      <c r="AR1082" s="6" t="n">
        <v>0</v>
      </c>
    </row>
    <row r="1083" customFormat="false" ht="15" hidden="false" customHeight="false" outlineLevel="0" collapsed="false">
      <c r="D1083" s="0" t="s">
        <v>1209</v>
      </c>
      <c r="J1083" s="6" t="n">
        <v>-4.14364501433373</v>
      </c>
      <c r="K1083" s="6" t="n">
        <v>-0.878936253774577</v>
      </c>
      <c r="L1083" s="6" t="n">
        <v>-0.158416297000002</v>
      </c>
      <c r="M1083" s="6" t="n">
        <v>1.15231222637643</v>
      </c>
      <c r="N1083" s="6" t="n">
        <v>-1.13979729516483</v>
      </c>
      <c r="O1083" s="6" t="n">
        <v>-1.81920657808414</v>
      </c>
      <c r="P1083" s="6" t="n">
        <v>2.49170927573636</v>
      </c>
      <c r="Q1083" s="6" t="n">
        <v>-1.32893642936859</v>
      </c>
      <c r="R1083" s="6" t="n">
        <v>2.64311559923219</v>
      </c>
      <c r="S1083" s="6" t="n">
        <v>2.95756092989789</v>
      </c>
      <c r="T1083" s="6" t="n">
        <v>-1.1950480079521</v>
      </c>
      <c r="U1083" s="6" t="n">
        <v>1.87835910661177</v>
      </c>
      <c r="V1083" s="6" t="n">
        <v>-2.11142697472528</v>
      </c>
      <c r="W1083" s="6" t="n">
        <v>0.17862432709972</v>
      </c>
      <c r="X1083" s="6" t="n">
        <v>-0.442528100440704</v>
      </c>
      <c r="Y1083" s="6" t="n">
        <v>-2.28156660449259</v>
      </c>
      <c r="Z1083" s="6" t="n">
        <v>-0.3068034317314</v>
      </c>
      <c r="AA1083" s="6" t="n">
        <v>1.33081668171276</v>
      </c>
      <c r="AB1083" s="6" t="n">
        <v>-0.506681061461987</v>
      </c>
      <c r="AC1083" s="6" t="n">
        <v>2.60747461058001</v>
      </c>
      <c r="AD1083" s="6" t="n">
        <v>-0.892800032441596</v>
      </c>
      <c r="AE1083" s="6" t="n">
        <v>0.482033472968596</v>
      </c>
      <c r="AF1083" s="6" t="n">
        <v>2.45257174163336</v>
      </c>
      <c r="AG1083" s="6" t="n">
        <v>2.83550630630719</v>
      </c>
      <c r="AH1083" s="6" t="n">
        <v>-3.18693534213008</v>
      </c>
      <c r="AI1083" s="6" t="n">
        <v>2.00833987101368</v>
      </c>
      <c r="AJ1083" s="6" t="n">
        <v>64.3447035991045</v>
      </c>
      <c r="AK1083" s="6" t="n">
        <v>0.136936252356266</v>
      </c>
      <c r="AL1083" s="6" t="n">
        <v>1.05275811917394</v>
      </c>
      <c r="AN1083" s="6" t="n">
        <v>1.29054855114501</v>
      </c>
      <c r="AO1083" s="6" t="n">
        <v>1.29163588140235</v>
      </c>
      <c r="AP1083" s="6" t="n">
        <v>0.132879528118636</v>
      </c>
      <c r="AQ1083" s="6" t="n">
        <v>0</v>
      </c>
      <c r="AR1083" s="6" t="n">
        <v>0</v>
      </c>
    </row>
    <row r="1084" customFormat="false" ht="15" hidden="false" customHeight="false" outlineLevel="0" collapsed="false">
      <c r="D1084" s="0" t="s">
        <v>1210</v>
      </c>
      <c r="J1084" s="6" t="n">
        <v>1.49594124289854</v>
      </c>
      <c r="K1084" s="6" t="n">
        <v>-0.030474227839464</v>
      </c>
      <c r="L1084" s="6" t="n">
        <v>-1.96872846556954</v>
      </c>
      <c r="M1084" s="6" t="n">
        <v>1.62322501726372</v>
      </c>
      <c r="N1084" s="6" t="n">
        <v>0.400536456989285</v>
      </c>
      <c r="O1084" s="6" t="n">
        <v>-0.260928841791182</v>
      </c>
      <c r="P1084" s="6" t="n">
        <v>0.554884596599343</v>
      </c>
      <c r="Q1084" s="6" t="n">
        <v>0.488385526459354</v>
      </c>
      <c r="R1084" s="6" t="n">
        <v>-6.4102563500866</v>
      </c>
      <c r="S1084" s="6" t="n">
        <v>2.03515286945765</v>
      </c>
      <c r="T1084" s="6" t="n">
        <v>-2.45519485673134</v>
      </c>
      <c r="U1084" s="6" t="n">
        <v>0.689917684547063</v>
      </c>
      <c r="V1084" s="6" t="n">
        <v>1.76747659139609</v>
      </c>
      <c r="W1084" s="6" t="n">
        <v>-0.234001182758666</v>
      </c>
      <c r="X1084" s="6" t="n">
        <v>2.47863986236641</v>
      </c>
      <c r="Y1084" s="6" t="n">
        <v>2.59297708178055</v>
      </c>
      <c r="Z1084" s="6" t="n">
        <v>1.79241515457024</v>
      </c>
      <c r="AA1084" s="6" t="n">
        <v>2.02360947680646</v>
      </c>
      <c r="AB1084" s="6" t="n">
        <v>0.17583852651413</v>
      </c>
      <c r="AC1084" s="6" t="n">
        <v>1.78077802831358</v>
      </c>
      <c r="AD1084" s="6" t="n">
        <v>1.4167541250941</v>
      </c>
      <c r="AE1084" s="6" t="n">
        <v>-2.52353980553784</v>
      </c>
      <c r="AF1084" s="6" t="n">
        <v>-0.22389617819647</v>
      </c>
      <c r="AG1084" s="6" t="n">
        <v>3.52296425387152</v>
      </c>
      <c r="AH1084" s="6" t="n">
        <v>3.53950911813018</v>
      </c>
      <c r="AI1084" s="6" t="n">
        <v>-0.387112815144963</v>
      </c>
      <c r="AJ1084" s="6" t="n">
        <v>77.0381092068228</v>
      </c>
      <c r="AK1084" s="6" t="n">
        <v>0.140983761513273</v>
      </c>
      <c r="AL1084" s="6" t="n">
        <v>1.08590085942968</v>
      </c>
      <c r="AN1084" s="6" t="n">
        <v>1.28102454486797</v>
      </c>
      <c r="AO1084" s="6" t="n">
        <v>1.28175500943102</v>
      </c>
      <c r="AP1084" s="6" t="n">
        <v>0.130991028228638</v>
      </c>
      <c r="AQ1084" s="6" t="n">
        <v>0</v>
      </c>
      <c r="AR1084" s="6" t="n">
        <v>0</v>
      </c>
    </row>
    <row r="1085" customFormat="false" ht="15" hidden="false" customHeight="false" outlineLevel="0" collapsed="false">
      <c r="D1085" s="0" t="s">
        <v>1211</v>
      </c>
      <c r="J1085" s="6" t="n">
        <v>-0.489584541562194</v>
      </c>
      <c r="K1085" s="6" t="n">
        <v>2.62682158600606</v>
      </c>
      <c r="L1085" s="6" t="n">
        <v>-0.124968351239254</v>
      </c>
      <c r="M1085" s="6" t="n">
        <v>1.14012924476331</v>
      </c>
      <c r="N1085" s="6" t="n">
        <v>-1.32592656663836</v>
      </c>
      <c r="O1085" s="6" t="n">
        <v>3.39958689843459</v>
      </c>
      <c r="P1085" s="6" t="n">
        <v>5</v>
      </c>
      <c r="Q1085" s="6" t="n">
        <v>-0.445928409270039</v>
      </c>
      <c r="R1085" s="6" t="n">
        <v>0.675283178455259</v>
      </c>
      <c r="S1085" s="6" t="n">
        <v>0.642592696003528</v>
      </c>
      <c r="T1085" s="6" t="n">
        <v>-2.91171869163166</v>
      </c>
      <c r="U1085" s="6" t="n">
        <v>3.00117472841383</v>
      </c>
      <c r="V1085" s="6" t="n">
        <v>1.60557100814107</v>
      </c>
      <c r="W1085" s="6" t="n">
        <v>2.3660569555227</v>
      </c>
      <c r="X1085" s="6" t="n">
        <v>0.00972503383250256</v>
      </c>
      <c r="Y1085" s="6" t="n">
        <v>-2.06033015830989</v>
      </c>
      <c r="Z1085" s="6" t="n">
        <v>2.71011997614234</v>
      </c>
      <c r="AA1085" s="6" t="n">
        <v>0.936967821553965</v>
      </c>
      <c r="AB1085" s="6" t="n">
        <v>-1.94345083832428</v>
      </c>
      <c r="AC1085" s="6" t="n">
        <v>-0.885869422392769</v>
      </c>
      <c r="AD1085" s="6" t="n">
        <v>2.99985496663357</v>
      </c>
      <c r="AE1085" s="6" t="n">
        <v>3.01502877309852</v>
      </c>
      <c r="AF1085" s="6" t="n">
        <v>2.41801167170267</v>
      </c>
      <c r="AG1085" s="6" t="n">
        <v>-2.68108007141896</v>
      </c>
      <c r="AH1085" s="6" t="n">
        <v>4.74399482355341</v>
      </c>
      <c r="AI1085" s="6" t="n">
        <v>2.90377777786287</v>
      </c>
      <c r="AJ1085" s="6" t="n">
        <v>72.8082339657736</v>
      </c>
      <c r="AK1085" s="6" t="n">
        <v>0.121075463042829</v>
      </c>
      <c r="AL1085" s="6" t="n">
        <v>1.1044108481939</v>
      </c>
      <c r="AN1085" s="6" t="n">
        <v>1.27622716901776</v>
      </c>
      <c r="AO1085" s="6" t="n">
        <v>1.27628313496885</v>
      </c>
      <c r="AP1085" s="6" t="n">
        <v>0.130347011187818</v>
      </c>
      <c r="AQ1085" s="6" t="n">
        <v>0</v>
      </c>
      <c r="AR1085" s="6" t="n">
        <v>0</v>
      </c>
    </row>
    <row r="1086" customFormat="false" ht="15" hidden="false" customHeight="false" outlineLevel="0" collapsed="false">
      <c r="D1086" s="0" t="s">
        <v>1212</v>
      </c>
      <c r="J1086" s="6" t="n">
        <v>-0.0916009331661528</v>
      </c>
      <c r="K1086" s="6" t="n">
        <v>-1.48021349049132</v>
      </c>
      <c r="L1086" s="6" t="n">
        <v>-0.339056266123831</v>
      </c>
      <c r="M1086" s="6" t="n">
        <v>-3.2046150156908</v>
      </c>
      <c r="N1086" s="6" t="n">
        <v>0.0532906859277546</v>
      </c>
      <c r="O1086" s="6" t="n">
        <v>0.816688928722205</v>
      </c>
      <c r="P1086" s="6" t="n">
        <v>-1.99879732543944</v>
      </c>
      <c r="Q1086" s="6" t="n">
        <v>-2.30087138743977</v>
      </c>
      <c r="R1086" s="6" t="n">
        <v>0.377723162333851</v>
      </c>
      <c r="S1086" s="6" t="n">
        <v>2.73372755614183</v>
      </c>
      <c r="T1086" s="6" t="n">
        <v>-1.10179117616758</v>
      </c>
      <c r="U1086" s="6" t="n">
        <v>-0.893102768714613</v>
      </c>
      <c r="V1086" s="6" t="n">
        <v>2.04480539145795</v>
      </c>
      <c r="W1086" s="6" t="n">
        <v>1.19672764883496</v>
      </c>
      <c r="X1086" s="6" t="n">
        <v>-0.268946310632266</v>
      </c>
      <c r="Y1086" s="6" t="n">
        <v>3.032855483725</v>
      </c>
      <c r="Z1086" s="6" t="n">
        <v>1.36751694068849</v>
      </c>
      <c r="AA1086" s="6" t="n">
        <v>1.25391459672133</v>
      </c>
      <c r="AB1086" s="6" t="n">
        <v>0.948871978025696</v>
      </c>
      <c r="AC1086" s="6" t="n">
        <v>0.876933660901855</v>
      </c>
      <c r="AD1086" s="6" t="n">
        <v>1.44875041631786</v>
      </c>
      <c r="AE1086" s="6" t="n">
        <v>0.285150768085864</v>
      </c>
      <c r="AF1086" s="6" t="n">
        <v>1.76893142822106</v>
      </c>
      <c r="AG1086" s="6" t="n">
        <v>2.05923703399137</v>
      </c>
      <c r="AH1086" s="6" t="n">
        <v>-0.988878031489887</v>
      </c>
      <c r="AI1086" s="6" t="n">
        <v>-2.31499251016689</v>
      </c>
      <c r="AJ1086" s="6" t="n">
        <v>77.6809466749973</v>
      </c>
      <c r="AK1086" s="6" t="n">
        <v>0.197421180512319</v>
      </c>
      <c r="AL1086" s="6" t="n">
        <v>1.04449937287851</v>
      </c>
      <c r="AN1086" s="6" t="n">
        <v>1.29173240361455</v>
      </c>
      <c r="AO1086" s="6" t="n">
        <v>1.29186382482181</v>
      </c>
      <c r="AP1086" s="6" t="n">
        <v>0.132491860075317</v>
      </c>
      <c r="AQ1086" s="6" t="n">
        <v>0</v>
      </c>
      <c r="AR1086" s="6" t="n">
        <v>0</v>
      </c>
    </row>
    <row r="1087" customFormat="false" ht="15" hidden="false" customHeight="false" outlineLevel="0" collapsed="false">
      <c r="D1087" s="0" t="s">
        <v>1213</v>
      </c>
      <c r="J1087" s="6" t="n">
        <v>5</v>
      </c>
      <c r="K1087" s="6" t="n">
        <v>-2.7056390839215</v>
      </c>
      <c r="L1087" s="6" t="n">
        <v>-0.242051598960041</v>
      </c>
      <c r="M1087" s="6" t="n">
        <v>-3.03555965539698</v>
      </c>
      <c r="N1087" s="6" t="n">
        <v>-0.625647718438689</v>
      </c>
      <c r="O1087" s="6" t="n">
        <v>-1.16671308232529</v>
      </c>
      <c r="P1087" s="6" t="n">
        <v>-1.2850660212266</v>
      </c>
      <c r="Q1087" s="6" t="n">
        <v>0.354536544567749</v>
      </c>
      <c r="R1087" s="6" t="n">
        <v>-0.421605714569408</v>
      </c>
      <c r="S1087" s="6" t="n">
        <v>1.01597288441608</v>
      </c>
      <c r="T1087" s="6" t="n">
        <v>-0.952553390141896</v>
      </c>
      <c r="U1087" s="6" t="n">
        <v>0.689748583479331</v>
      </c>
      <c r="V1087" s="6" t="n">
        <v>2.06842594991961</v>
      </c>
      <c r="W1087" s="6" t="n">
        <v>2.70125015759398</v>
      </c>
      <c r="X1087" s="6" t="n">
        <v>0.983404697143195</v>
      </c>
      <c r="Y1087" s="6" t="n">
        <v>0.467882805549752</v>
      </c>
      <c r="Z1087" s="6" t="n">
        <v>0.0490868445438605</v>
      </c>
      <c r="AA1087" s="6" t="n">
        <v>-1.12972856095497</v>
      </c>
      <c r="AB1087" s="6" t="n">
        <v>-0.570287883261374</v>
      </c>
      <c r="AC1087" s="6" t="n">
        <v>1.00334934487404</v>
      </c>
      <c r="AD1087" s="6" t="n">
        <v>-2.66800114066719</v>
      </c>
      <c r="AE1087" s="6" t="n">
        <v>4.54934453835458</v>
      </c>
      <c r="AF1087" s="6" t="n">
        <v>-0.870985249867943</v>
      </c>
      <c r="AG1087" s="6" t="n">
        <v>2.62937461509916</v>
      </c>
      <c r="AH1087" s="6" t="n">
        <v>-1.05607069472884</v>
      </c>
      <c r="AI1087" s="6" t="n">
        <v>-1.51267534605178</v>
      </c>
      <c r="AJ1087" s="6" t="n">
        <v>76.9002367606707</v>
      </c>
      <c r="AK1087" s="6" t="n">
        <v>0.134594341160121</v>
      </c>
      <c r="AL1087" s="6" t="n">
        <v>1.10876161534373</v>
      </c>
      <c r="AN1087" s="6" t="n">
        <v>1.27655727232737</v>
      </c>
      <c r="AO1087" s="6" t="n">
        <v>1.27749598722897</v>
      </c>
      <c r="AP1087" s="6" t="n">
        <v>0.129997116242563</v>
      </c>
      <c r="AQ1087" s="6" t="n">
        <v>0</v>
      </c>
      <c r="AR1087" s="6" t="n">
        <v>0</v>
      </c>
    </row>
    <row r="1088" customFormat="false" ht="15" hidden="false" customHeight="false" outlineLevel="0" collapsed="false">
      <c r="D1088" s="0" t="s">
        <v>1214</v>
      </c>
      <c r="J1088" s="6" t="n">
        <v>1.29624287403699</v>
      </c>
      <c r="K1088" s="6" t="n">
        <v>-0.189200239932728</v>
      </c>
      <c r="L1088" s="6" t="n">
        <v>0.547448908200629</v>
      </c>
      <c r="M1088" s="6" t="n">
        <v>3.82173132400602</v>
      </c>
      <c r="N1088" s="6" t="n">
        <v>-0.286971261163559</v>
      </c>
      <c r="O1088" s="6" t="n">
        <v>-0.615209872515244</v>
      </c>
      <c r="P1088" s="6" t="n">
        <v>1.98597173945172</v>
      </c>
      <c r="Q1088" s="6" t="n">
        <v>-2.3322029913551</v>
      </c>
      <c r="R1088" s="6" t="n">
        <v>2.96705251697534</v>
      </c>
      <c r="S1088" s="6" t="n">
        <v>1.69089225077058</v>
      </c>
      <c r="T1088" s="6" t="n">
        <v>0.0939596982492611</v>
      </c>
      <c r="U1088" s="6" t="n">
        <v>1.50646680523705</v>
      </c>
      <c r="V1088" s="6" t="n">
        <v>3.12143134243275</v>
      </c>
      <c r="W1088" s="6" t="n">
        <v>-0.82701338357479</v>
      </c>
      <c r="X1088" s="6" t="n">
        <v>0.750905013740237</v>
      </c>
      <c r="Y1088" s="6" t="n">
        <v>-1.13722297385993</v>
      </c>
      <c r="Z1088" s="6" t="n">
        <v>-0.465596646259762</v>
      </c>
      <c r="AA1088" s="6" t="n">
        <v>1.83029256824971</v>
      </c>
      <c r="AB1088" s="6" t="n">
        <v>-0.655134165805348</v>
      </c>
      <c r="AC1088" s="6" t="n">
        <v>-0.558245102098333</v>
      </c>
      <c r="AD1088" s="6" t="n">
        <v>4.27691225448751</v>
      </c>
      <c r="AE1088" s="6" t="n">
        <v>-1.84327723409386</v>
      </c>
      <c r="AF1088" s="6" t="n">
        <v>3.92069135920595</v>
      </c>
      <c r="AG1088" s="6" t="n">
        <v>2.59607081121074</v>
      </c>
      <c r="AH1088" s="6" t="n">
        <v>-0.270963091687544</v>
      </c>
      <c r="AI1088" s="6" t="n">
        <v>-1.46358248265831</v>
      </c>
      <c r="AJ1088" s="6" t="n">
        <v>62.0260211651565</v>
      </c>
      <c r="AK1088" s="6" t="n">
        <v>0.0772676221222384</v>
      </c>
      <c r="AL1088" s="6" t="n">
        <v>1.07513546890425</v>
      </c>
      <c r="AN1088" s="6" t="n">
        <v>1.28654088026559</v>
      </c>
      <c r="AO1088" s="6" t="n">
        <v>1.28766860121049</v>
      </c>
      <c r="AP1088" s="6" t="n">
        <v>0.132163739689021</v>
      </c>
      <c r="AQ1088" s="6" t="n">
        <v>0</v>
      </c>
      <c r="AR1088" s="6" t="n">
        <v>0</v>
      </c>
    </row>
    <row r="1089" customFormat="false" ht="15" hidden="false" customHeight="false" outlineLevel="0" collapsed="false">
      <c r="D1089" s="0" t="s">
        <v>1215</v>
      </c>
      <c r="J1089" s="6" t="n">
        <v>-0.00480834000624671</v>
      </c>
      <c r="K1089" s="6" t="n">
        <v>-0.634987680815627</v>
      </c>
      <c r="L1089" s="6" t="n">
        <v>-0.714548018289692</v>
      </c>
      <c r="M1089" s="6" t="n">
        <v>0.265387652887647</v>
      </c>
      <c r="N1089" s="6" t="n">
        <v>-0.524434092150344</v>
      </c>
      <c r="O1089" s="6" t="n">
        <v>-1.23706047657234</v>
      </c>
      <c r="P1089" s="6" t="n">
        <v>-1.49586726027244</v>
      </c>
      <c r="Q1089" s="6" t="n">
        <v>-0.104542279044713</v>
      </c>
      <c r="R1089" s="6" t="n">
        <v>1.90843268192117</v>
      </c>
      <c r="S1089" s="6" t="n">
        <v>0.152606160568619</v>
      </c>
      <c r="T1089" s="6" t="n">
        <v>0.936653444030418</v>
      </c>
      <c r="U1089" s="6" t="n">
        <v>1.21139923030108</v>
      </c>
      <c r="V1089" s="6" t="n">
        <v>-2.22401102217829</v>
      </c>
      <c r="W1089" s="6" t="n">
        <v>0.286067316637489</v>
      </c>
      <c r="X1089" s="6" t="n">
        <v>2.51163012853939</v>
      </c>
      <c r="Y1089" s="6" t="n">
        <v>-4.32316882453818</v>
      </c>
      <c r="Z1089" s="6" t="n">
        <v>0.460437902348849</v>
      </c>
      <c r="AA1089" s="6" t="n">
        <v>4.6003835194666</v>
      </c>
      <c r="AB1089" s="6" t="n">
        <v>-2.4336970238317</v>
      </c>
      <c r="AC1089" s="6" t="n">
        <v>-3.57161102610202</v>
      </c>
      <c r="AD1089" s="6" t="n">
        <v>1.23423173069836</v>
      </c>
      <c r="AE1089" s="6" t="n">
        <v>1.48275072049588</v>
      </c>
      <c r="AF1089" s="6" t="n">
        <v>1.64205522208228</v>
      </c>
      <c r="AG1089" s="6" t="n">
        <v>0.931921877045842</v>
      </c>
      <c r="AH1089" s="6" t="n">
        <v>0.52884389136021</v>
      </c>
      <c r="AI1089" s="6" t="n">
        <v>3.18214803950251</v>
      </c>
      <c r="AJ1089" s="6" t="n">
        <v>66.4493066808888</v>
      </c>
      <c r="AK1089" s="6" t="n">
        <v>0.0785956967337388</v>
      </c>
      <c r="AL1089" s="6" t="n">
        <v>1.01847032659997</v>
      </c>
      <c r="AN1089" s="6" t="n">
        <v>1.30866108915707</v>
      </c>
      <c r="AO1089" s="6" t="n">
        <v>1.30866108915707</v>
      </c>
      <c r="AP1089" s="6" t="n">
        <v>0.137873074310221</v>
      </c>
      <c r="AQ1089" s="6" t="n">
        <v>0</v>
      </c>
      <c r="AR1089" s="6" t="n">
        <v>0</v>
      </c>
    </row>
    <row r="1090" customFormat="false" ht="15" hidden="false" customHeight="false" outlineLevel="0" collapsed="false">
      <c r="D1090" s="0" t="s">
        <v>1216</v>
      </c>
      <c r="J1090" s="6" t="n">
        <v>0.435750558233156</v>
      </c>
      <c r="K1090" s="6" t="n">
        <v>1.03986628103536</v>
      </c>
      <c r="L1090" s="6" t="n">
        <v>0.943204073917528</v>
      </c>
      <c r="M1090" s="6" t="n">
        <v>3.28240566084285</v>
      </c>
      <c r="N1090" s="6" t="n">
        <v>-0.701628550813542</v>
      </c>
      <c r="O1090" s="6" t="n">
        <v>0.0892834858396741</v>
      </c>
      <c r="P1090" s="6" t="n">
        <v>0.270235087311843</v>
      </c>
      <c r="Q1090" s="6" t="n">
        <v>0.90813670462479</v>
      </c>
      <c r="R1090" s="6" t="n">
        <v>1.62057607344024</v>
      </c>
      <c r="S1090" s="6" t="n">
        <v>-0.401122518730019</v>
      </c>
      <c r="T1090" s="6" t="n">
        <v>-3.00222627321052</v>
      </c>
      <c r="U1090" s="6" t="n">
        <v>-1.1525510250766</v>
      </c>
      <c r="V1090" s="6" t="n">
        <v>1.73523980266497</v>
      </c>
      <c r="W1090" s="6" t="n">
        <v>2.41241149062116</v>
      </c>
      <c r="X1090" s="6" t="n">
        <v>-3.35523987742047</v>
      </c>
      <c r="Y1090" s="6" t="n">
        <v>-2.83030047853033</v>
      </c>
      <c r="Z1090" s="6" t="n">
        <v>0.734602530869396</v>
      </c>
      <c r="AA1090" s="6" t="n">
        <v>2.27207658826099</v>
      </c>
      <c r="AB1090" s="6" t="n">
        <v>-3.96762335720656</v>
      </c>
      <c r="AC1090" s="6" t="n">
        <v>1.59340361189604</v>
      </c>
      <c r="AD1090" s="6" t="n">
        <v>-0.814223715190222</v>
      </c>
      <c r="AE1090" s="6" t="n">
        <v>-1.27208664337506</v>
      </c>
      <c r="AF1090" s="6" t="n">
        <v>3.12699388761514</v>
      </c>
      <c r="AG1090" s="6" t="n">
        <v>1.35705438540959</v>
      </c>
      <c r="AH1090" s="6" t="n">
        <v>-2.99154020532651</v>
      </c>
      <c r="AI1090" s="6" t="n">
        <v>3.55699607407516</v>
      </c>
      <c r="AJ1090" s="6" t="n">
        <v>75.5482836114756</v>
      </c>
      <c r="AK1090" s="6" t="n">
        <v>0.131069465541196</v>
      </c>
      <c r="AL1090" s="6" t="n">
        <v>1.08565580326724</v>
      </c>
      <c r="AN1090" s="6" t="n">
        <v>1.28173575795496</v>
      </c>
      <c r="AO1090" s="6" t="n">
        <v>1.28269156040268</v>
      </c>
      <c r="AP1090" s="6" t="n">
        <v>0.1312401867126</v>
      </c>
      <c r="AQ1090" s="6" t="n">
        <v>0</v>
      </c>
      <c r="AR1090" s="6" t="n">
        <v>0</v>
      </c>
    </row>
    <row r="1091" customFormat="false" ht="15" hidden="false" customHeight="false" outlineLevel="0" collapsed="false">
      <c r="D1091" s="0" t="s">
        <v>1217</v>
      </c>
      <c r="J1091" s="6" t="n">
        <v>-0.0890348384073637</v>
      </c>
      <c r="K1091" s="6" t="n">
        <v>0.718172400320897</v>
      </c>
      <c r="L1091" s="6" t="n">
        <v>-0.383605241377141</v>
      </c>
      <c r="M1091" s="6" t="n">
        <v>-0.829564086576621</v>
      </c>
      <c r="N1091" s="6" t="n">
        <v>-1.60200572584863</v>
      </c>
      <c r="O1091" s="6" t="n">
        <v>-0.367850809281022</v>
      </c>
      <c r="P1091" s="6" t="n">
        <v>1.58052139346516</v>
      </c>
      <c r="Q1091" s="6" t="n">
        <v>-2.85850320060363</v>
      </c>
      <c r="R1091" s="6" t="n">
        <v>3.70489055152859</v>
      </c>
      <c r="S1091" s="6" t="n">
        <v>1.00990964605552</v>
      </c>
      <c r="T1091" s="6" t="n">
        <v>-0.501145316580721</v>
      </c>
      <c r="U1091" s="6" t="n">
        <v>-2.47406283145276</v>
      </c>
      <c r="V1091" s="6" t="n">
        <v>-1.29337530766735</v>
      </c>
      <c r="W1091" s="6" t="n">
        <v>-1.13093995346672</v>
      </c>
      <c r="X1091" s="6" t="n">
        <v>2.65099214955294</v>
      </c>
      <c r="Y1091" s="6" t="n">
        <v>-2.70904128395947</v>
      </c>
      <c r="Z1091" s="6" t="n">
        <v>1.83779310993972</v>
      </c>
      <c r="AA1091" s="6" t="n">
        <v>-1.12456768871518</v>
      </c>
      <c r="AB1091" s="6" t="n">
        <v>3.61152213361853</v>
      </c>
      <c r="AC1091" s="6" t="n">
        <v>-2.14683204273209</v>
      </c>
      <c r="AD1091" s="6" t="n">
        <v>0.43434493506678</v>
      </c>
      <c r="AE1091" s="6" t="n">
        <v>-0.979834701330712</v>
      </c>
      <c r="AF1091" s="6" t="n">
        <v>1.72437791952172</v>
      </c>
      <c r="AG1091" s="6" t="n">
        <v>0.135641350742869</v>
      </c>
      <c r="AH1091" s="6" t="n">
        <v>0.243060113765436</v>
      </c>
      <c r="AI1091" s="6" t="n">
        <v>-0.149170826959138</v>
      </c>
      <c r="AJ1091" s="6" t="n">
        <v>69.4989554096262</v>
      </c>
      <c r="AK1091" s="6" t="n">
        <v>0.118259309781358</v>
      </c>
      <c r="AL1091" s="6" t="n">
        <v>1.07064140675288</v>
      </c>
      <c r="AN1091" s="6" t="n">
        <v>1.28647626860994</v>
      </c>
      <c r="AO1091" s="6" t="n">
        <v>1.28750614513684</v>
      </c>
      <c r="AP1091" s="6" t="n">
        <v>0.131978541477445</v>
      </c>
      <c r="AQ1091" s="6" t="n">
        <v>0</v>
      </c>
      <c r="AR1091" s="6" t="n">
        <v>0</v>
      </c>
    </row>
    <row r="1092" customFormat="false" ht="15" hidden="false" customHeight="false" outlineLevel="0" collapsed="false">
      <c r="D1092" s="0" t="s">
        <v>1218</v>
      </c>
      <c r="J1092" s="6" t="n">
        <v>3.70021273355417</v>
      </c>
      <c r="K1092" s="6" t="n">
        <v>-3.56793837437928</v>
      </c>
      <c r="L1092" s="6" t="n">
        <v>-3.00791161798631</v>
      </c>
      <c r="M1092" s="6" t="n">
        <v>1.80427285313647</v>
      </c>
      <c r="N1092" s="6" t="n">
        <v>-1.67724912615732</v>
      </c>
      <c r="O1092" s="6" t="n">
        <v>1.04271236299365</v>
      </c>
      <c r="P1092" s="6" t="n">
        <v>-1.74708778527975</v>
      </c>
      <c r="Q1092" s="6" t="n">
        <v>-0.842902942997871</v>
      </c>
      <c r="R1092" s="6" t="n">
        <v>0.778033333441373</v>
      </c>
      <c r="S1092" s="6" t="n">
        <v>0.260945023135218</v>
      </c>
      <c r="T1092" s="6" t="n">
        <v>-0.333885825565475</v>
      </c>
      <c r="U1092" s="6" t="n">
        <v>-1.87326388670593</v>
      </c>
      <c r="V1092" s="6" t="n">
        <v>-2.66386007589824</v>
      </c>
      <c r="W1092" s="6" t="n">
        <v>0.350651136721964</v>
      </c>
      <c r="X1092" s="6" t="n">
        <v>-3.38681409078334</v>
      </c>
      <c r="Y1092" s="6" t="n">
        <v>1.44910449401572</v>
      </c>
      <c r="Z1092" s="6" t="n">
        <v>1.8208252828733</v>
      </c>
      <c r="AA1092" s="6" t="n">
        <v>0.856279028438071</v>
      </c>
      <c r="AB1092" s="6" t="n">
        <v>3.56137003408467</v>
      </c>
      <c r="AC1092" s="6" t="n">
        <v>-1.29170120501427</v>
      </c>
      <c r="AD1092" s="6" t="n">
        <v>-0.614134341439803</v>
      </c>
      <c r="AE1092" s="6" t="n">
        <v>5</v>
      </c>
      <c r="AF1092" s="6" t="n">
        <v>-1.65569617628726</v>
      </c>
      <c r="AG1092" s="6" t="n">
        <v>-1.89984681381377</v>
      </c>
      <c r="AH1092" s="6" t="n">
        <v>0.175136726449618</v>
      </c>
      <c r="AI1092" s="6" t="n">
        <v>1.39909630132715</v>
      </c>
      <c r="AJ1092" s="6" t="n">
        <v>81.2586067270172</v>
      </c>
      <c r="AK1092" s="6" t="n">
        <v>0.126238775330917</v>
      </c>
      <c r="AL1092" s="6" t="n">
        <v>1.08739000287471</v>
      </c>
      <c r="AN1092" s="6" t="n">
        <v>1.28354044310247</v>
      </c>
      <c r="AO1092" s="6" t="n">
        <v>1.2837763158348</v>
      </c>
      <c r="AP1092" s="6" t="n">
        <v>0.131630327633934</v>
      </c>
      <c r="AQ1092" s="6" t="n">
        <v>0</v>
      </c>
      <c r="AR1092" s="6" t="n">
        <v>0</v>
      </c>
    </row>
    <row r="1093" customFormat="false" ht="15" hidden="false" customHeight="false" outlineLevel="0" collapsed="false">
      <c r="D1093" s="0" t="s">
        <v>1219</v>
      </c>
      <c r="J1093" s="6" t="n">
        <v>-2.02041850704863</v>
      </c>
      <c r="K1093" s="6" t="n">
        <v>-0.122386472005176</v>
      </c>
      <c r="L1093" s="6" t="n">
        <v>4.83146179266343</v>
      </c>
      <c r="M1093" s="6" t="n">
        <v>0.31275215989988</v>
      </c>
      <c r="N1093" s="6" t="n">
        <v>-1.33591797277552</v>
      </c>
      <c r="O1093" s="6" t="n">
        <v>2.43767619748919</v>
      </c>
      <c r="P1093" s="6" t="n">
        <v>-2.06323452889253</v>
      </c>
      <c r="Q1093" s="6" t="n">
        <v>0.221274078492535</v>
      </c>
      <c r="R1093" s="6" t="n">
        <v>-0.145972018406181</v>
      </c>
      <c r="S1093" s="6" t="n">
        <v>2.80783656997285</v>
      </c>
      <c r="T1093" s="6" t="n">
        <v>2.80855214655366</v>
      </c>
      <c r="U1093" s="6" t="n">
        <v>-2.14499160056318</v>
      </c>
      <c r="V1093" s="6" t="n">
        <v>1.52982362039995</v>
      </c>
      <c r="W1093" s="6" t="n">
        <v>-2.33534310005708</v>
      </c>
      <c r="X1093" s="6" t="n">
        <v>1.59170377420763</v>
      </c>
      <c r="Y1093" s="6" t="n">
        <v>0.878860120210288</v>
      </c>
      <c r="Z1093" s="6" t="n">
        <v>0.0747539571936976</v>
      </c>
      <c r="AA1093" s="6" t="n">
        <v>0.432804563765913</v>
      </c>
      <c r="AB1093" s="6" t="n">
        <v>0.0892290094616903</v>
      </c>
      <c r="AC1093" s="6" t="n">
        <v>0.148363181993477</v>
      </c>
      <c r="AD1093" s="6" t="n">
        <v>-0.295212974347181</v>
      </c>
      <c r="AE1093" s="6" t="n">
        <v>0.704032799618055</v>
      </c>
      <c r="AF1093" s="6" t="n">
        <v>-0.334650096711805</v>
      </c>
      <c r="AG1093" s="6" t="n">
        <v>-0.196541506681667</v>
      </c>
      <c r="AH1093" s="6" t="n">
        <v>0.0220688735343415</v>
      </c>
      <c r="AI1093" s="6" t="n">
        <v>-1.27782929298726</v>
      </c>
      <c r="AJ1093" s="6" t="n">
        <v>71.2434108716392</v>
      </c>
      <c r="AK1093" s="6" t="n">
        <v>0.1152198704014</v>
      </c>
      <c r="AL1093" s="6" t="n">
        <v>1.07646139324629</v>
      </c>
      <c r="AN1093" s="6" t="n">
        <v>1.28417143861391</v>
      </c>
      <c r="AO1093" s="6" t="n">
        <v>1.28426496055889</v>
      </c>
      <c r="AP1093" s="6" t="n">
        <v>0.132249377766667</v>
      </c>
      <c r="AQ1093" s="6" t="n">
        <v>0</v>
      </c>
      <c r="AR1093" s="6" t="n">
        <v>0</v>
      </c>
    </row>
    <row r="1094" customFormat="false" ht="15" hidden="false" customHeight="false" outlineLevel="0" collapsed="false">
      <c r="D1094" s="0" t="s">
        <v>1220</v>
      </c>
      <c r="J1094" s="6" t="n">
        <v>2.56726238926859</v>
      </c>
      <c r="K1094" s="6" t="n">
        <v>-2.12647286743626</v>
      </c>
      <c r="L1094" s="6" t="n">
        <v>-1.9364671695069</v>
      </c>
      <c r="M1094" s="6" t="n">
        <v>2.905821389494</v>
      </c>
      <c r="N1094" s="6" t="n">
        <v>-0.1421525568365</v>
      </c>
      <c r="O1094" s="6" t="n">
        <v>3.58438853937693</v>
      </c>
      <c r="P1094" s="6" t="n">
        <v>-2.8691640059222</v>
      </c>
      <c r="Q1094" s="6" t="n">
        <v>-1.31016303514374</v>
      </c>
      <c r="R1094" s="6" t="n">
        <v>0.997993676886082</v>
      </c>
      <c r="S1094" s="6" t="n">
        <v>2.80144990910431</v>
      </c>
      <c r="T1094" s="6" t="n">
        <v>2.76732004635195</v>
      </c>
      <c r="U1094" s="6" t="n">
        <v>-0.610350312359433</v>
      </c>
      <c r="V1094" s="6" t="n">
        <v>-0.503235411944307</v>
      </c>
      <c r="W1094" s="6" t="n">
        <v>1.16896873795171</v>
      </c>
      <c r="X1094" s="6" t="n">
        <v>2.05366081220922</v>
      </c>
      <c r="Y1094" s="6" t="n">
        <v>1.29380254652427</v>
      </c>
      <c r="Z1094" s="6" t="n">
        <v>-0.436231387255183</v>
      </c>
      <c r="AA1094" s="6" t="n">
        <v>0.557375963827421</v>
      </c>
      <c r="AB1094" s="6" t="n">
        <v>-0.485216766012779</v>
      </c>
      <c r="AC1094" s="6" t="n">
        <v>2.38268937759429</v>
      </c>
      <c r="AD1094" s="6" t="n">
        <v>-1.76310318586449</v>
      </c>
      <c r="AE1094" s="6" t="n">
        <v>-0.218368699534591</v>
      </c>
      <c r="AF1094" s="6" t="n">
        <v>-3.73702813371295</v>
      </c>
      <c r="AG1094" s="6" t="n">
        <v>0.860493690221644</v>
      </c>
      <c r="AH1094" s="6" t="n">
        <v>1.90731277562459</v>
      </c>
      <c r="AI1094" s="6" t="n">
        <v>0.355959239626083</v>
      </c>
      <c r="AJ1094" s="6" t="n">
        <v>80.4532554911861</v>
      </c>
      <c r="AK1094" s="6" t="n">
        <v>0.0834560381278612</v>
      </c>
      <c r="AL1094" s="6" t="n">
        <v>1.04039553437389</v>
      </c>
      <c r="AN1094" s="6" t="n">
        <v>1.30932505749361</v>
      </c>
      <c r="AO1094" s="6" t="n">
        <v>1.3093985769918</v>
      </c>
      <c r="AP1094" s="6" t="n">
        <v>0.136771628108694</v>
      </c>
      <c r="AQ1094" s="6" t="n">
        <v>0</v>
      </c>
      <c r="AR1094" s="6" t="n">
        <v>0</v>
      </c>
    </row>
    <row r="1095" customFormat="false" ht="15" hidden="false" customHeight="false" outlineLevel="0" collapsed="false">
      <c r="D1095" s="0" t="s">
        <v>1221</v>
      </c>
      <c r="J1095" s="6" t="n">
        <v>-3.78050611396322</v>
      </c>
      <c r="K1095" s="6" t="n">
        <v>1.40252101442777</v>
      </c>
      <c r="L1095" s="6" t="n">
        <v>3.04217651132286</v>
      </c>
      <c r="M1095" s="6" t="n">
        <v>-0.753073628450247</v>
      </c>
      <c r="N1095" s="6" t="n">
        <v>1.37300577967661</v>
      </c>
      <c r="O1095" s="6" t="n">
        <v>-1.13682438355113</v>
      </c>
      <c r="P1095" s="6" t="n">
        <v>-1.63868951464486</v>
      </c>
      <c r="Q1095" s="6" t="n">
        <v>-1.42311655332699</v>
      </c>
      <c r="R1095" s="6" t="n">
        <v>-3.84555717134651</v>
      </c>
      <c r="S1095" s="6" t="n">
        <v>-1.37360857925172</v>
      </c>
      <c r="T1095" s="6" t="n">
        <v>0.379512060597325</v>
      </c>
      <c r="U1095" s="6" t="n">
        <v>0.477007745460346</v>
      </c>
      <c r="V1095" s="6" t="n">
        <v>4.98408688586001</v>
      </c>
      <c r="W1095" s="6" t="n">
        <v>-1.50598816308613</v>
      </c>
      <c r="X1095" s="6" t="n">
        <v>5</v>
      </c>
      <c r="Y1095" s="6" t="n">
        <v>0.890575358736095</v>
      </c>
      <c r="Z1095" s="6" t="n">
        <v>-1.4162665487138</v>
      </c>
      <c r="AA1095" s="6" t="n">
        <v>1.10616388221788</v>
      </c>
      <c r="AB1095" s="6" t="n">
        <v>0.916929528611437</v>
      </c>
      <c r="AC1095" s="6" t="n">
        <v>1.5283567457705</v>
      </c>
      <c r="AD1095" s="6" t="n">
        <v>-1.84166504091165</v>
      </c>
      <c r="AE1095" s="6" t="n">
        <v>-0.315299864613454</v>
      </c>
      <c r="AF1095" s="6" t="n">
        <v>-1.0825345273006</v>
      </c>
      <c r="AG1095" s="6" t="n">
        <v>-4.25979973034517</v>
      </c>
      <c r="AH1095" s="6" t="n">
        <v>0.0307247551673433</v>
      </c>
      <c r="AI1095" s="6" t="n">
        <v>-3.53784451923188</v>
      </c>
      <c r="AJ1095" s="6" t="n">
        <v>58.5095871342657</v>
      </c>
      <c r="AK1095" s="6" t="n">
        <v>0.143138607911346</v>
      </c>
      <c r="AL1095" s="6" t="n">
        <v>1.03200972055962</v>
      </c>
      <c r="AN1095" s="6" t="n">
        <v>1.29574883164016</v>
      </c>
      <c r="AO1095" s="6" t="n">
        <v>1.29675979845468</v>
      </c>
      <c r="AP1095" s="6" t="n">
        <v>0.134126192500622</v>
      </c>
      <c r="AQ1095" s="6" t="n">
        <v>0</v>
      </c>
      <c r="AR1095" s="6" t="n">
        <v>0</v>
      </c>
    </row>
    <row r="1096" customFormat="false" ht="15" hidden="false" customHeight="false" outlineLevel="0" collapsed="false">
      <c r="D1096" s="0" t="s">
        <v>1222</v>
      </c>
      <c r="J1096" s="6" t="n">
        <v>0.352287375628274</v>
      </c>
      <c r="K1096" s="6" t="n">
        <v>2.08287688933139</v>
      </c>
      <c r="L1096" s="6" t="n">
        <v>-0.917648180318319</v>
      </c>
      <c r="M1096" s="6" t="n">
        <v>1.01709924652979</v>
      </c>
      <c r="N1096" s="6" t="n">
        <v>3.06652339939487</v>
      </c>
      <c r="O1096" s="6" t="n">
        <v>0.964082589005507</v>
      </c>
      <c r="P1096" s="6" t="n">
        <v>0.465264028505089</v>
      </c>
      <c r="Q1096" s="6" t="n">
        <v>-0.344059838665228</v>
      </c>
      <c r="R1096" s="6" t="n">
        <v>-2.77531754725447</v>
      </c>
      <c r="S1096" s="6" t="n">
        <v>1.06138978575298</v>
      </c>
      <c r="T1096" s="6" t="n">
        <v>-1.78481629790091</v>
      </c>
      <c r="U1096" s="6" t="n">
        <v>-2.25484828323644</v>
      </c>
      <c r="V1096" s="6" t="n">
        <v>0.429771094829619</v>
      </c>
      <c r="W1096" s="6" t="n">
        <v>1.19587599555597</v>
      </c>
      <c r="X1096" s="6" t="n">
        <v>4.44857507392758</v>
      </c>
      <c r="Y1096" s="6" t="n">
        <v>-0.322828043657812</v>
      </c>
      <c r="Z1096" s="6" t="n">
        <v>2.10581440474411</v>
      </c>
      <c r="AA1096" s="6" t="n">
        <v>0.974094136345351</v>
      </c>
      <c r="AB1096" s="6" t="n">
        <v>-0.886165393005521</v>
      </c>
      <c r="AC1096" s="6" t="n">
        <v>2.27019682868925</v>
      </c>
      <c r="AD1096" s="6" t="n">
        <v>-0.143243555671321</v>
      </c>
      <c r="AE1096" s="6" t="n">
        <v>1.43413716267142</v>
      </c>
      <c r="AF1096" s="6" t="n">
        <v>0.798274649309147</v>
      </c>
      <c r="AG1096" s="6" t="n">
        <v>-0.578608296169821</v>
      </c>
      <c r="AH1096" s="6" t="n">
        <v>1.44536371155586</v>
      </c>
      <c r="AI1096" s="6" t="n">
        <v>0.332671849884957</v>
      </c>
      <c r="AJ1096" s="6" t="n">
        <v>68.0342999792313</v>
      </c>
      <c r="AK1096" s="6" t="n">
        <v>0.174836992320883</v>
      </c>
      <c r="AL1096" s="6" t="n">
        <v>1.00229692312569</v>
      </c>
      <c r="AN1096" s="6" t="n">
        <v>1.31094431989432</v>
      </c>
      <c r="AO1096" s="6" t="n">
        <v>1.31094431989432</v>
      </c>
      <c r="AP1096" s="6" t="n">
        <v>0.138350147317117</v>
      </c>
      <c r="AQ1096" s="6" t="n">
        <v>0</v>
      </c>
      <c r="AR1096" s="6" t="n">
        <v>0</v>
      </c>
    </row>
    <row r="1097" customFormat="false" ht="15" hidden="false" customHeight="false" outlineLevel="0" collapsed="false">
      <c r="D1097" s="0" t="s">
        <v>1223</v>
      </c>
      <c r="J1097" s="6" t="n">
        <v>2.05363338852821</v>
      </c>
      <c r="K1097" s="6" t="n">
        <v>0.732054580786481</v>
      </c>
      <c r="L1097" s="6" t="n">
        <v>0.245817276270132</v>
      </c>
      <c r="M1097" s="6" t="n">
        <v>-3.61145399515617</v>
      </c>
      <c r="N1097" s="6" t="n">
        <v>2.09761198638906</v>
      </c>
      <c r="O1097" s="6" t="n">
        <v>-1.97125190422732</v>
      </c>
      <c r="P1097" s="6" t="n">
        <v>3.76570632842274</v>
      </c>
      <c r="Q1097" s="6" t="n">
        <v>-2.24913607792992</v>
      </c>
      <c r="R1097" s="6" t="n">
        <v>-2.19084085975627</v>
      </c>
      <c r="S1097" s="6" t="n">
        <v>-0.832321753165801</v>
      </c>
      <c r="T1097" s="6" t="n">
        <v>-2.24884781089357</v>
      </c>
      <c r="U1097" s="6" t="n">
        <v>1.97748912847579</v>
      </c>
      <c r="V1097" s="6" t="n">
        <v>-0.393146775418569</v>
      </c>
      <c r="W1097" s="6" t="n">
        <v>1.12257370028481</v>
      </c>
      <c r="X1097" s="6" t="n">
        <v>0.198584599356889</v>
      </c>
      <c r="Y1097" s="6" t="n">
        <v>1.31301647875977</v>
      </c>
      <c r="Z1097" s="6" t="n">
        <v>-1.78633360947752</v>
      </c>
      <c r="AA1097" s="6" t="n">
        <v>-0.784587845665129</v>
      </c>
      <c r="AB1097" s="6" t="n">
        <v>0.336538046499062</v>
      </c>
      <c r="AC1097" s="6" t="n">
        <v>-0.875162518406536</v>
      </c>
      <c r="AD1097" s="6" t="n">
        <v>-0.860224592577578</v>
      </c>
      <c r="AE1097" s="6" t="n">
        <v>-2.38341190237621</v>
      </c>
      <c r="AF1097" s="6" t="n">
        <v>4.23682363659005</v>
      </c>
      <c r="AG1097" s="6" t="n">
        <v>2.25260350082277</v>
      </c>
      <c r="AH1097" s="6" t="n">
        <v>3.00997538954605</v>
      </c>
      <c r="AI1097" s="6" t="n">
        <v>2.05245817658026</v>
      </c>
      <c r="AJ1097" s="6" t="n">
        <v>75.297969826495</v>
      </c>
      <c r="AK1097" s="6" t="n">
        <v>0.165763589660192</v>
      </c>
      <c r="AL1097" s="6" t="n">
        <v>1.06675422748081</v>
      </c>
      <c r="AN1097" s="6" t="n">
        <v>1.28473146570772</v>
      </c>
      <c r="AO1097" s="6" t="n">
        <v>1.28644335775421</v>
      </c>
      <c r="AP1097" s="6" t="n">
        <v>0.131135113473974</v>
      </c>
      <c r="AQ1097" s="6" t="n">
        <v>0</v>
      </c>
      <c r="AR1097" s="6" t="n">
        <v>0</v>
      </c>
    </row>
    <row r="1098" customFormat="false" ht="15" hidden="false" customHeight="false" outlineLevel="0" collapsed="false">
      <c r="D1098" s="0" t="s">
        <v>1224</v>
      </c>
      <c r="J1098" s="6" t="n">
        <v>1.26863387382791</v>
      </c>
      <c r="K1098" s="6" t="n">
        <v>0.393990692540852</v>
      </c>
      <c r="L1098" s="6" t="n">
        <v>-3.19993327776843</v>
      </c>
      <c r="M1098" s="6" t="n">
        <v>-3.65981059716355</v>
      </c>
      <c r="N1098" s="6" t="n">
        <v>-1.98541736826915</v>
      </c>
      <c r="O1098" s="6" t="n">
        <v>1.15595195398356</v>
      </c>
      <c r="P1098" s="6" t="n">
        <v>-0.42018536769593</v>
      </c>
      <c r="Q1098" s="6" t="n">
        <v>1.04551475239847</v>
      </c>
      <c r="R1098" s="6" t="n">
        <v>1.51489164688535</v>
      </c>
      <c r="S1098" s="6" t="n">
        <v>0.474525873798011</v>
      </c>
      <c r="T1098" s="6" t="n">
        <v>0.0764205763971775</v>
      </c>
      <c r="U1098" s="6" t="n">
        <v>-2.78349689134687</v>
      </c>
      <c r="V1098" s="6" t="n">
        <v>3.50552479236531</v>
      </c>
      <c r="W1098" s="6" t="n">
        <v>-1.69960419002916</v>
      </c>
      <c r="X1098" s="6" t="n">
        <v>-1.76867616983845</v>
      </c>
      <c r="Y1098" s="6" t="n">
        <v>0.821825054367407</v>
      </c>
      <c r="Z1098" s="6" t="n">
        <v>5</v>
      </c>
      <c r="AA1098" s="6" t="n">
        <v>2.31042886555703</v>
      </c>
      <c r="AB1098" s="6" t="n">
        <v>1.37030616222997</v>
      </c>
      <c r="AC1098" s="6" t="n">
        <v>-0.902254561277371</v>
      </c>
      <c r="AD1098" s="6" t="n">
        <v>-1.28183752836322</v>
      </c>
      <c r="AE1098" s="6" t="n">
        <v>0.0830111931137641</v>
      </c>
      <c r="AF1098" s="6" t="n">
        <v>-5.00657677272192</v>
      </c>
      <c r="AG1098" s="6" t="n">
        <v>1.87729347262695</v>
      </c>
      <c r="AH1098" s="6" t="n">
        <v>-2.09180215380819</v>
      </c>
      <c r="AI1098" s="6" t="n">
        <v>-0.019172574359719</v>
      </c>
      <c r="AJ1098" s="6" t="n">
        <v>74.9031848275996</v>
      </c>
      <c r="AK1098" s="6" t="n">
        <v>0.13518154020929</v>
      </c>
      <c r="AL1098" s="6" t="n">
        <v>1.04264658580176</v>
      </c>
      <c r="AN1098" s="6" t="n">
        <v>1.29839763425524</v>
      </c>
      <c r="AO1098" s="6" t="n">
        <v>1.2984086182926</v>
      </c>
      <c r="AP1098" s="6" t="n">
        <v>0.134088477184302</v>
      </c>
      <c r="AQ1098" s="6" t="n">
        <v>0</v>
      </c>
      <c r="AR1098" s="6" t="n">
        <v>0</v>
      </c>
    </row>
    <row r="1099" customFormat="false" ht="15" hidden="false" customHeight="false" outlineLevel="0" collapsed="false">
      <c r="D1099" s="0" t="s">
        <v>1225</v>
      </c>
      <c r="J1099" s="6" t="n">
        <v>2.81888654322639</v>
      </c>
      <c r="K1099" s="6" t="n">
        <v>-0.895310307131506</v>
      </c>
      <c r="L1099" s="6" t="n">
        <v>-2.90402101132814</v>
      </c>
      <c r="M1099" s="6" t="n">
        <v>-1.25808893194509</v>
      </c>
      <c r="N1099" s="6" t="n">
        <v>-1.88117763317272</v>
      </c>
      <c r="O1099" s="6" t="n">
        <v>0.445780494120809</v>
      </c>
      <c r="P1099" s="6" t="n">
        <v>1.42009217284428</v>
      </c>
      <c r="Q1099" s="6" t="n">
        <v>-4.53813530705912</v>
      </c>
      <c r="R1099" s="6" t="n">
        <v>1.5962112090725</v>
      </c>
      <c r="S1099" s="6" t="n">
        <v>2.58194418786565</v>
      </c>
      <c r="T1099" s="6" t="n">
        <v>-0.0202378674617289</v>
      </c>
      <c r="U1099" s="6" t="n">
        <v>-0.523568950633092</v>
      </c>
      <c r="V1099" s="6" t="n">
        <v>-2.53244035695352</v>
      </c>
      <c r="W1099" s="6" t="n">
        <v>-0.497421127469152</v>
      </c>
      <c r="X1099" s="6" t="n">
        <v>1.50160210993056</v>
      </c>
      <c r="Y1099" s="6" t="n">
        <v>-1.47477897116955</v>
      </c>
      <c r="Z1099" s="6" t="n">
        <v>1.42520325178848</v>
      </c>
      <c r="AA1099" s="6" t="n">
        <v>1.67030244591435</v>
      </c>
      <c r="AB1099" s="6" t="n">
        <v>0.84977433358878</v>
      </c>
      <c r="AC1099" s="6" t="n">
        <v>1.61391049303981</v>
      </c>
      <c r="AD1099" s="6" t="n">
        <v>-1.49812947015433</v>
      </c>
      <c r="AE1099" s="6" t="n">
        <v>-0.90429474558641</v>
      </c>
      <c r="AF1099" s="6" t="n">
        <v>1.87352974014649</v>
      </c>
      <c r="AG1099" s="6" t="n">
        <v>-0.0786940079490263</v>
      </c>
      <c r="AH1099" s="6" t="n">
        <v>-2.52989185656609</v>
      </c>
      <c r="AI1099" s="6" t="n">
        <v>3.50114674648573</v>
      </c>
      <c r="AJ1099" s="6" t="n">
        <v>61.7783868280445</v>
      </c>
      <c r="AK1099" s="6" t="n">
        <v>0.13473885485786</v>
      </c>
      <c r="AL1099" s="6" t="n">
        <v>1.04260531465072</v>
      </c>
      <c r="AN1099" s="6" t="n">
        <v>1.2918497427562</v>
      </c>
      <c r="AO1099" s="6" t="n">
        <v>1.29251406239738</v>
      </c>
      <c r="AP1099" s="6" t="n">
        <v>0.133209671803559</v>
      </c>
      <c r="AQ1099" s="6" t="n">
        <v>0</v>
      </c>
      <c r="AR1099" s="6" t="n">
        <v>0</v>
      </c>
    </row>
    <row r="1100" customFormat="false" ht="15" hidden="false" customHeight="false" outlineLevel="0" collapsed="false">
      <c r="D1100" s="0" t="s">
        <v>1226</v>
      </c>
      <c r="J1100" s="6" t="n">
        <v>1.95284242246171</v>
      </c>
      <c r="K1100" s="6" t="n">
        <v>-0.00758193596476186</v>
      </c>
      <c r="L1100" s="6" t="n">
        <v>-2.81266216876681</v>
      </c>
      <c r="M1100" s="6" t="n">
        <v>1.6746743014236</v>
      </c>
      <c r="N1100" s="6" t="n">
        <v>-0.0704658132334234</v>
      </c>
      <c r="O1100" s="6" t="n">
        <v>-0.968624415377903</v>
      </c>
      <c r="P1100" s="6" t="n">
        <v>-1.64742916083995</v>
      </c>
      <c r="Q1100" s="6" t="n">
        <v>0.124357924585738</v>
      </c>
      <c r="R1100" s="6" t="n">
        <v>3.43122115789116</v>
      </c>
      <c r="S1100" s="6" t="n">
        <v>1.56579501445041</v>
      </c>
      <c r="T1100" s="6" t="n">
        <v>-1.41610022137997</v>
      </c>
      <c r="U1100" s="6" t="n">
        <v>-0.0430611356011813</v>
      </c>
      <c r="V1100" s="6" t="n">
        <v>2.33743337257936</v>
      </c>
      <c r="W1100" s="6" t="n">
        <v>-2.56212023312201</v>
      </c>
      <c r="X1100" s="6" t="n">
        <v>2.89842305463072</v>
      </c>
      <c r="Y1100" s="6" t="n">
        <v>0.0684386436122839</v>
      </c>
      <c r="Z1100" s="6" t="n">
        <v>-0.846418044948629</v>
      </c>
      <c r="AA1100" s="6" t="n">
        <v>2.5159027863305</v>
      </c>
      <c r="AB1100" s="6" t="n">
        <v>-1.65596168374329</v>
      </c>
      <c r="AC1100" s="6" t="n">
        <v>0.141352361924642</v>
      </c>
      <c r="AD1100" s="6" t="n">
        <v>2.38923162505516</v>
      </c>
      <c r="AE1100" s="6" t="n">
        <v>0.376345460198812</v>
      </c>
      <c r="AF1100" s="6" t="n">
        <v>0.848476611601352</v>
      </c>
      <c r="AG1100" s="6" t="n">
        <v>0.643703920470037</v>
      </c>
      <c r="AH1100" s="6" t="n">
        <v>-0.421454129057343</v>
      </c>
      <c r="AI1100" s="6" t="n">
        <v>0.0239869273355702</v>
      </c>
      <c r="AJ1100" s="6" t="n">
        <v>69.4486823710937</v>
      </c>
      <c r="AK1100" s="6" t="n">
        <v>0.151055165225736</v>
      </c>
      <c r="AL1100" s="6" t="n">
        <v>1.01570634866293</v>
      </c>
      <c r="AN1100" s="6" t="n">
        <v>1.30973304871458</v>
      </c>
      <c r="AO1100" s="6" t="n">
        <v>1.30973304871458</v>
      </c>
      <c r="AP1100" s="6" t="n">
        <v>0.137232178549732</v>
      </c>
      <c r="AQ1100" s="6" t="n">
        <v>0</v>
      </c>
      <c r="AR1100" s="6" t="n">
        <v>0</v>
      </c>
    </row>
    <row r="1101" customFormat="false" ht="15" hidden="false" customHeight="false" outlineLevel="0" collapsed="false">
      <c r="D1101" s="0" t="s">
        <v>1227</v>
      </c>
      <c r="J1101" s="6" t="n">
        <v>-0.640634327142097</v>
      </c>
      <c r="K1101" s="6" t="n">
        <v>-0.0856434368510236</v>
      </c>
      <c r="L1101" s="6" t="n">
        <v>0.886732942423181</v>
      </c>
      <c r="M1101" s="6" t="n">
        <v>-1.97954400935549</v>
      </c>
      <c r="N1101" s="6" t="n">
        <v>0.282563267936861</v>
      </c>
      <c r="O1101" s="6" t="n">
        <v>1.37311715358596</v>
      </c>
      <c r="P1101" s="6" t="n">
        <v>-2.923697750426</v>
      </c>
      <c r="Q1101" s="6" t="n">
        <v>5</v>
      </c>
      <c r="R1101" s="6" t="n">
        <v>3.17305524349512</v>
      </c>
      <c r="S1101" s="6" t="n">
        <v>0.0894390879145865</v>
      </c>
      <c r="T1101" s="6" t="n">
        <v>-1.27235316915014</v>
      </c>
      <c r="U1101" s="6" t="n">
        <v>1.10777690427715</v>
      </c>
      <c r="V1101" s="6" t="n">
        <v>-1.69397785705476</v>
      </c>
      <c r="W1101" s="6" t="n">
        <v>1.66187601987328</v>
      </c>
      <c r="X1101" s="6" t="n">
        <v>-0.480538701331306</v>
      </c>
      <c r="Y1101" s="6" t="n">
        <v>0.840066892663908</v>
      </c>
      <c r="Z1101" s="6" t="n">
        <v>-0.115221201596341</v>
      </c>
      <c r="AA1101" s="6" t="n">
        <v>0.229578218121533</v>
      </c>
      <c r="AB1101" s="6" t="n">
        <v>1.51331099092317</v>
      </c>
      <c r="AC1101" s="6" t="n">
        <v>0.549174952836993</v>
      </c>
      <c r="AD1101" s="6" t="n">
        <v>0.481135308049714</v>
      </c>
      <c r="AE1101" s="6" t="n">
        <v>5</v>
      </c>
      <c r="AF1101" s="6" t="n">
        <v>-4.1208516857078</v>
      </c>
      <c r="AG1101" s="6" t="n">
        <v>-0.467473410550767</v>
      </c>
      <c r="AH1101" s="6" t="n">
        <v>1.27202625635124</v>
      </c>
      <c r="AI1101" s="6" t="n">
        <v>-3.73802483312913</v>
      </c>
      <c r="AJ1101" s="6" t="n">
        <v>74.9273969843545</v>
      </c>
      <c r="AK1101" s="6" t="n">
        <v>0.113543601577747</v>
      </c>
      <c r="AL1101" s="6" t="n">
        <v>1.07182998890833</v>
      </c>
      <c r="AN1101" s="6" t="n">
        <v>1.28828802292376</v>
      </c>
      <c r="AO1101" s="6" t="n">
        <v>1.28872318060781</v>
      </c>
      <c r="AP1101" s="6" t="n">
        <v>0.132667023638768</v>
      </c>
      <c r="AQ1101" s="6" t="n">
        <v>0</v>
      </c>
      <c r="AR1101" s="6" t="n">
        <v>0</v>
      </c>
    </row>
    <row r="1102" customFormat="false" ht="15" hidden="false" customHeight="false" outlineLevel="0" collapsed="false">
      <c r="D1102" s="0" t="s">
        <v>1228</v>
      </c>
      <c r="J1102" s="6" t="n">
        <v>0.68888352436568</v>
      </c>
      <c r="K1102" s="6" t="n">
        <v>-0.916590922325107</v>
      </c>
      <c r="L1102" s="6" t="n">
        <v>2.2304170361563</v>
      </c>
      <c r="M1102" s="6" t="n">
        <v>1.43335560534978</v>
      </c>
      <c r="N1102" s="6" t="n">
        <v>-1.23211143374848</v>
      </c>
      <c r="O1102" s="6" t="n">
        <v>-2.32180281696008</v>
      </c>
      <c r="P1102" s="6" t="n">
        <v>-2.20928315732184</v>
      </c>
      <c r="Q1102" s="6" t="n">
        <v>-0.0669493675321374</v>
      </c>
      <c r="R1102" s="6" t="n">
        <v>-1.6483372676238</v>
      </c>
      <c r="S1102" s="6" t="n">
        <v>-0.85384504467043</v>
      </c>
      <c r="T1102" s="6" t="n">
        <v>-1.71722686299437</v>
      </c>
      <c r="U1102" s="6" t="n">
        <v>-2.30802209339847</v>
      </c>
      <c r="V1102" s="6" t="n">
        <v>0.0803795729682074</v>
      </c>
      <c r="W1102" s="6" t="n">
        <v>-0.563307934725555</v>
      </c>
      <c r="X1102" s="6" t="n">
        <v>-1.27025352222625</v>
      </c>
      <c r="Y1102" s="6" t="n">
        <v>2.09285081143275</v>
      </c>
      <c r="Z1102" s="6" t="n">
        <v>4.98011455997408</v>
      </c>
      <c r="AA1102" s="6" t="n">
        <v>0.434823603901343</v>
      </c>
      <c r="AB1102" s="6" t="n">
        <v>1.62949744168722</v>
      </c>
      <c r="AC1102" s="6" t="n">
        <v>-1.66219723807517</v>
      </c>
      <c r="AD1102" s="6" t="n">
        <v>1.95314367028502</v>
      </c>
      <c r="AE1102" s="6" t="n">
        <v>0.185879009831802</v>
      </c>
      <c r="AF1102" s="6" t="n">
        <v>3.62883081431301</v>
      </c>
      <c r="AG1102" s="6" t="n">
        <v>-0.875266016243229</v>
      </c>
      <c r="AH1102" s="6" t="n">
        <v>2.07490710912556</v>
      </c>
      <c r="AI1102" s="6" t="n">
        <v>-4.89819166715266</v>
      </c>
      <c r="AJ1102" s="6" t="n">
        <v>72.3217213007771</v>
      </c>
      <c r="AK1102" s="6" t="n">
        <v>0.128996552531637</v>
      </c>
      <c r="AL1102" s="6" t="n">
        <v>1.05540902552979</v>
      </c>
      <c r="AN1102" s="6" t="n">
        <v>1.29652920056448</v>
      </c>
      <c r="AO1102" s="6" t="n">
        <v>1.2970440251444</v>
      </c>
      <c r="AP1102" s="6" t="n">
        <v>0.133499044277569</v>
      </c>
      <c r="AQ1102" s="6" t="n">
        <v>0</v>
      </c>
      <c r="AR1102" s="6" t="n">
        <v>0</v>
      </c>
    </row>
    <row r="1103" customFormat="false" ht="15" hidden="false" customHeight="false" outlineLevel="0" collapsed="false">
      <c r="D1103" s="0" t="s">
        <v>1229</v>
      </c>
      <c r="J1103" s="6" t="n">
        <v>0.998308616128811</v>
      </c>
      <c r="K1103" s="6" t="n">
        <v>-1.37899321228643</v>
      </c>
      <c r="L1103" s="6" t="n">
        <v>-1.12856910752565</v>
      </c>
      <c r="M1103" s="6" t="n">
        <v>-0.843108090672507</v>
      </c>
      <c r="N1103" s="6" t="n">
        <v>-1.36705639687799</v>
      </c>
      <c r="O1103" s="6" t="n">
        <v>-3.16960133067784</v>
      </c>
      <c r="P1103" s="6" t="n">
        <v>1.2648132494502</v>
      </c>
      <c r="Q1103" s="6" t="n">
        <v>-0.14513890623199</v>
      </c>
      <c r="R1103" s="6" t="n">
        <v>-2.48040340249065</v>
      </c>
      <c r="S1103" s="6" t="n">
        <v>2.55754673941499</v>
      </c>
      <c r="T1103" s="6" t="n">
        <v>-0.631584932530409</v>
      </c>
      <c r="U1103" s="6" t="n">
        <v>1.15475891819083</v>
      </c>
      <c r="V1103" s="6" t="n">
        <v>1.82949170848256</v>
      </c>
      <c r="W1103" s="6" t="n">
        <v>-0.701567208802758</v>
      </c>
      <c r="X1103" s="6" t="n">
        <v>1.84309570268558</v>
      </c>
      <c r="Y1103" s="6" t="n">
        <v>4.79643922408893</v>
      </c>
      <c r="Z1103" s="6" t="n">
        <v>2.91413326298025</v>
      </c>
      <c r="AA1103" s="6" t="n">
        <v>1.13228171636376</v>
      </c>
      <c r="AB1103" s="6" t="n">
        <v>-4.83796582357851</v>
      </c>
      <c r="AC1103" s="6" t="n">
        <v>1.11527862441828</v>
      </c>
      <c r="AD1103" s="6" t="n">
        <v>1.43774805365117</v>
      </c>
      <c r="AE1103" s="6" t="n">
        <v>-2.45584653255669</v>
      </c>
      <c r="AF1103" s="6" t="n">
        <v>1.46787283234419</v>
      </c>
      <c r="AG1103" s="6" t="n">
        <v>3.32212556242202</v>
      </c>
      <c r="AH1103" s="6" t="n">
        <v>-0.357066965021799</v>
      </c>
      <c r="AI1103" s="6" t="n">
        <v>0.237661434796711</v>
      </c>
      <c r="AJ1103" s="6" t="n">
        <v>66.3612228294944</v>
      </c>
      <c r="AK1103" s="6" t="n">
        <v>0.185986393760298</v>
      </c>
      <c r="AL1103" s="6" t="n">
        <v>1.02183238879691</v>
      </c>
      <c r="AN1103" s="6" t="n">
        <v>1.30186316075475</v>
      </c>
      <c r="AO1103" s="6" t="n">
        <v>1.30197949864032</v>
      </c>
      <c r="AP1103" s="6" t="n">
        <v>0.135233563172958</v>
      </c>
      <c r="AQ1103" s="6" t="n">
        <v>0</v>
      </c>
      <c r="AR1103" s="6" t="n">
        <v>0</v>
      </c>
    </row>
    <row r="1104" customFormat="false" ht="15" hidden="false" customHeight="false" outlineLevel="0" collapsed="false">
      <c r="D1104" s="0" t="s">
        <v>1230</v>
      </c>
      <c r="J1104" s="6" t="n">
        <v>0.133368561790378</v>
      </c>
      <c r="K1104" s="6" t="n">
        <v>4.41142703900344</v>
      </c>
      <c r="L1104" s="6" t="n">
        <v>-0.0892734708897756</v>
      </c>
      <c r="M1104" s="6" t="n">
        <v>3.00279040508053</v>
      </c>
      <c r="N1104" s="6" t="n">
        <v>3.99818442622314</v>
      </c>
      <c r="O1104" s="6" t="n">
        <v>-1.46361073001675</v>
      </c>
      <c r="P1104" s="6" t="n">
        <v>0.617566490727029</v>
      </c>
      <c r="Q1104" s="6" t="n">
        <v>2.44314610709817</v>
      </c>
      <c r="R1104" s="6" t="n">
        <v>0.698543301502089</v>
      </c>
      <c r="S1104" s="6" t="n">
        <v>-0.619318354916814</v>
      </c>
      <c r="T1104" s="6" t="n">
        <v>3.38644303672323</v>
      </c>
      <c r="U1104" s="6" t="n">
        <v>0.663454540668465</v>
      </c>
      <c r="V1104" s="6" t="n">
        <v>-0.260759240091935</v>
      </c>
      <c r="W1104" s="6" t="n">
        <v>2.06053630981578</v>
      </c>
      <c r="X1104" s="6" t="n">
        <v>2.66799149719457</v>
      </c>
      <c r="Y1104" s="6" t="n">
        <v>-3.00043127268685</v>
      </c>
      <c r="Z1104" s="6" t="n">
        <v>1.35705526197483</v>
      </c>
      <c r="AA1104" s="6" t="n">
        <v>1.63669059311138</v>
      </c>
      <c r="AB1104" s="6" t="n">
        <v>1.61359537555511</v>
      </c>
      <c r="AC1104" s="6" t="n">
        <v>-1.44528611085653</v>
      </c>
      <c r="AD1104" s="6" t="n">
        <v>0.153621407311452</v>
      </c>
      <c r="AE1104" s="6" t="n">
        <v>1.35223397924023</v>
      </c>
      <c r="AF1104" s="6" t="n">
        <v>0.409915411603915</v>
      </c>
      <c r="AG1104" s="6" t="n">
        <v>-1.1671233646785</v>
      </c>
      <c r="AH1104" s="6" t="n">
        <v>0.526351090182488</v>
      </c>
      <c r="AI1104" s="6" t="n">
        <v>1.32644526460062</v>
      </c>
      <c r="AJ1104" s="6" t="n">
        <v>55.4440445015885</v>
      </c>
      <c r="AK1104" s="6" t="n">
        <v>0.171760157584604</v>
      </c>
      <c r="AL1104" s="6" t="n">
        <v>1.05094373187441</v>
      </c>
      <c r="AN1104" s="6" t="n">
        <v>1.28485026117056</v>
      </c>
      <c r="AO1104" s="6" t="n">
        <v>1.28520563092112</v>
      </c>
      <c r="AP1104" s="6" t="n">
        <v>0.131521453874689</v>
      </c>
      <c r="AQ1104" s="6" t="n">
        <v>0</v>
      </c>
      <c r="AR1104" s="6" t="n">
        <v>0</v>
      </c>
    </row>
    <row r="1105" customFormat="false" ht="15" hidden="false" customHeight="false" outlineLevel="0" collapsed="false">
      <c r="D1105" s="0" t="s">
        <v>1231</v>
      </c>
      <c r="J1105" s="6" t="n">
        <v>3.35521730023828</v>
      </c>
      <c r="K1105" s="6" t="n">
        <v>-1.70829194132377</v>
      </c>
      <c r="L1105" s="6" t="n">
        <v>0.738997312792904</v>
      </c>
      <c r="M1105" s="6" t="n">
        <v>-1.17757411552936</v>
      </c>
      <c r="N1105" s="6" t="n">
        <v>-1.76178657253486</v>
      </c>
      <c r="O1105" s="6" t="n">
        <v>-5.02852075307681</v>
      </c>
      <c r="P1105" s="6" t="n">
        <v>0.651840996213067</v>
      </c>
      <c r="Q1105" s="6" t="n">
        <v>-3.95813492155256</v>
      </c>
      <c r="R1105" s="6" t="n">
        <v>-2.75040464258952</v>
      </c>
      <c r="S1105" s="6" t="n">
        <v>-1.52159092233587</v>
      </c>
      <c r="T1105" s="6" t="n">
        <v>-0.141902943917933</v>
      </c>
      <c r="U1105" s="6" t="n">
        <v>-2.77100728388552</v>
      </c>
      <c r="V1105" s="6" t="n">
        <v>0.743274139845962</v>
      </c>
      <c r="W1105" s="6" t="n">
        <v>-0.0432506219452288</v>
      </c>
      <c r="X1105" s="6" t="n">
        <v>-1.24301685799984</v>
      </c>
      <c r="Y1105" s="6" t="n">
        <v>-2.39961924004897</v>
      </c>
      <c r="Z1105" s="6" t="n">
        <v>-0.634511046695179</v>
      </c>
      <c r="AA1105" s="6" t="n">
        <v>-2.82740457203091</v>
      </c>
      <c r="AB1105" s="6" t="n">
        <v>1.53226618633383</v>
      </c>
      <c r="AC1105" s="6" t="n">
        <v>0.61208408935487</v>
      </c>
      <c r="AD1105" s="6" t="n">
        <v>-1.66633436613163</v>
      </c>
      <c r="AE1105" s="6" t="n">
        <v>3.01028483795555</v>
      </c>
      <c r="AF1105" s="6" t="n">
        <v>2.80142886360411</v>
      </c>
      <c r="AG1105" s="6" t="n">
        <v>-2.79790484859673</v>
      </c>
      <c r="AH1105" s="6" t="n">
        <v>2.61109155081355</v>
      </c>
      <c r="AI1105" s="6" t="n">
        <v>-0.0552591823594609</v>
      </c>
      <c r="AJ1105" s="6" t="n">
        <v>67.8669626285694</v>
      </c>
      <c r="AK1105" s="6" t="n">
        <v>0.142576526212203</v>
      </c>
      <c r="AL1105" s="6" t="n">
        <v>1.07385194094341</v>
      </c>
      <c r="AN1105" s="6" t="n">
        <v>1.26085664694757</v>
      </c>
      <c r="AO1105" s="6" t="n">
        <v>1.26938781607979</v>
      </c>
      <c r="AP1105" s="6" t="n">
        <v>0.130718620958779</v>
      </c>
      <c r="AQ1105" s="6" t="n">
        <v>0</v>
      </c>
      <c r="AR1105" s="6" t="n">
        <v>0</v>
      </c>
    </row>
    <row r="1106" customFormat="false" ht="15" hidden="false" customHeight="false" outlineLevel="0" collapsed="false">
      <c r="D1106" s="0" t="s">
        <v>1232</v>
      </c>
      <c r="J1106" s="6" t="n">
        <v>-1.66050089164918</v>
      </c>
      <c r="K1106" s="6" t="n">
        <v>2.48166967895957</v>
      </c>
      <c r="L1106" s="6" t="n">
        <v>2.70093226175042</v>
      </c>
      <c r="M1106" s="6" t="n">
        <v>1.32028674505574</v>
      </c>
      <c r="N1106" s="6" t="n">
        <v>-1.78426257243431</v>
      </c>
      <c r="O1106" s="6" t="n">
        <v>-1.5340266936073</v>
      </c>
      <c r="P1106" s="6" t="n">
        <v>2.79377870444377</v>
      </c>
      <c r="Q1106" s="6" t="n">
        <v>-2.64446358128331</v>
      </c>
      <c r="R1106" s="6" t="n">
        <v>1.03253417253782</v>
      </c>
      <c r="S1106" s="6" t="n">
        <v>0.100691359371502</v>
      </c>
      <c r="T1106" s="6" t="n">
        <v>0.972473922647229</v>
      </c>
      <c r="U1106" s="6" t="n">
        <v>-0.438904611403763</v>
      </c>
      <c r="V1106" s="6" t="n">
        <v>-0.372833730603292</v>
      </c>
      <c r="W1106" s="6" t="n">
        <v>-2.31836760485142</v>
      </c>
      <c r="X1106" s="6" t="n">
        <v>4.88114062292688</v>
      </c>
      <c r="Y1106" s="6" t="n">
        <v>0.477487316315074</v>
      </c>
      <c r="Z1106" s="6" t="n">
        <v>1.88429938406634</v>
      </c>
      <c r="AA1106" s="6" t="n">
        <v>0.654037661694907</v>
      </c>
      <c r="AB1106" s="6" t="n">
        <v>-0.560486062256546</v>
      </c>
      <c r="AC1106" s="6" t="n">
        <v>1.4156107652744</v>
      </c>
      <c r="AD1106" s="6" t="n">
        <v>0.224253855031389</v>
      </c>
      <c r="AE1106" s="6" t="n">
        <v>0.745886462065327</v>
      </c>
      <c r="AF1106" s="6" t="n">
        <v>1.43509173746046</v>
      </c>
      <c r="AG1106" s="6" t="n">
        <v>-1.90802505911321</v>
      </c>
      <c r="AH1106" s="6" t="n">
        <v>-1.21188301445543</v>
      </c>
      <c r="AI1106" s="6" t="n">
        <v>3.2367115366859</v>
      </c>
      <c r="AJ1106" s="6" t="n">
        <v>69.5086021491478</v>
      </c>
      <c r="AK1106" s="6" t="n">
        <v>0.103648079306797</v>
      </c>
      <c r="AL1106" s="6" t="n">
        <v>1.02781594514622</v>
      </c>
      <c r="AN1106" s="6" t="n">
        <v>1.30825182818447</v>
      </c>
      <c r="AO1106" s="6" t="n">
        <v>1.30922106406168</v>
      </c>
      <c r="AP1106" s="6" t="n">
        <v>0.1363704723633</v>
      </c>
      <c r="AQ1106" s="6" t="n">
        <v>0</v>
      </c>
      <c r="AR1106" s="6" t="n">
        <v>0</v>
      </c>
    </row>
    <row r="1107" customFormat="false" ht="15" hidden="false" customHeight="false" outlineLevel="0" collapsed="false">
      <c r="D1107" s="0" t="s">
        <v>1233</v>
      </c>
      <c r="J1107" s="6" t="n">
        <v>2.93515589688975</v>
      </c>
      <c r="K1107" s="6" t="n">
        <v>-2.65235222292897</v>
      </c>
      <c r="L1107" s="6" t="n">
        <v>1.14936616011998</v>
      </c>
      <c r="M1107" s="6" t="n">
        <v>0.45109016685974</v>
      </c>
      <c r="N1107" s="6" t="n">
        <v>1.66966523934662</v>
      </c>
      <c r="O1107" s="6" t="n">
        <v>0.659961268068182</v>
      </c>
      <c r="P1107" s="6" t="n">
        <v>-1.50598117854155</v>
      </c>
      <c r="Q1107" s="6" t="n">
        <v>-0.978993054696147</v>
      </c>
      <c r="R1107" s="6" t="n">
        <v>-2.78174000099828</v>
      </c>
      <c r="S1107" s="6" t="n">
        <v>-0.278094841902121</v>
      </c>
      <c r="T1107" s="6" t="n">
        <v>4.19495096940045</v>
      </c>
      <c r="U1107" s="6" t="n">
        <v>-2.24940171524488</v>
      </c>
      <c r="V1107" s="6" t="n">
        <v>-1.61006041524921</v>
      </c>
      <c r="W1107" s="6" t="n">
        <v>3.36380817887966</v>
      </c>
      <c r="X1107" s="6" t="n">
        <v>2.36659683702059</v>
      </c>
      <c r="Y1107" s="6" t="n">
        <v>0.547562317670082</v>
      </c>
      <c r="Z1107" s="6" t="n">
        <v>2.207701901234</v>
      </c>
      <c r="AA1107" s="6" t="n">
        <v>1.21991212351721</v>
      </c>
      <c r="AB1107" s="6" t="n">
        <v>0.661813327243885</v>
      </c>
      <c r="AC1107" s="6" t="n">
        <v>-0.555117040680165</v>
      </c>
      <c r="AD1107" s="6" t="n">
        <v>-2.55671206848687</v>
      </c>
      <c r="AE1107" s="6" t="n">
        <v>-0.491779980137013</v>
      </c>
      <c r="AF1107" s="6" t="n">
        <v>1.82264417488475</v>
      </c>
      <c r="AG1107" s="6" t="n">
        <v>2.33219395441545</v>
      </c>
      <c r="AH1107" s="6" t="n">
        <v>0.594253624969715</v>
      </c>
      <c r="AI1107" s="6" t="n">
        <v>-0.144216870316949</v>
      </c>
      <c r="AJ1107" s="6" t="n">
        <v>78.9817935120218</v>
      </c>
      <c r="AK1107" s="6" t="n">
        <v>0.203580868873844</v>
      </c>
      <c r="AL1107" s="6" t="n">
        <v>1.0758856389771</v>
      </c>
      <c r="AN1107" s="6" t="n">
        <v>1.27706917030527</v>
      </c>
      <c r="AO1107" s="6" t="n">
        <v>1.27782951049553</v>
      </c>
      <c r="AP1107" s="6" t="n">
        <v>0.130037780487145</v>
      </c>
      <c r="AQ1107" s="6" t="n">
        <v>0</v>
      </c>
      <c r="AR1107" s="6" t="n">
        <v>0</v>
      </c>
    </row>
    <row r="1108" customFormat="false" ht="15" hidden="false" customHeight="false" outlineLevel="0" collapsed="false">
      <c r="D1108" s="0" t="s">
        <v>1234</v>
      </c>
      <c r="J1108" s="6" t="n">
        <v>-0.661711832407256</v>
      </c>
      <c r="K1108" s="6" t="n">
        <v>-3.55772279303747</v>
      </c>
      <c r="L1108" s="6" t="n">
        <v>0.87520713801621</v>
      </c>
      <c r="M1108" s="6" t="n">
        <v>0.129098407377111</v>
      </c>
      <c r="N1108" s="6" t="n">
        <v>2.03320878859792</v>
      </c>
      <c r="O1108" s="6" t="n">
        <v>2.27171374758635</v>
      </c>
      <c r="P1108" s="6" t="n">
        <v>-1.70390422679734</v>
      </c>
      <c r="Q1108" s="6" t="n">
        <v>1.64386564959816</v>
      </c>
      <c r="R1108" s="6" t="n">
        <v>0.403206536194935</v>
      </c>
      <c r="S1108" s="6" t="n">
        <v>-3.00659931154203</v>
      </c>
      <c r="T1108" s="6" t="n">
        <v>-1.09752489094365</v>
      </c>
      <c r="U1108" s="6" t="n">
        <v>-1.5794071112351</v>
      </c>
      <c r="V1108" s="6" t="n">
        <v>-0.466160191786277</v>
      </c>
      <c r="W1108" s="6" t="n">
        <v>2.02825241250806</v>
      </c>
      <c r="X1108" s="6" t="n">
        <v>0.159893749212349</v>
      </c>
      <c r="Y1108" s="6" t="n">
        <v>0.987087732756698</v>
      </c>
      <c r="Z1108" s="6" t="n">
        <v>-5.20983027002516</v>
      </c>
      <c r="AA1108" s="6" t="n">
        <v>0.732770729562025</v>
      </c>
      <c r="AB1108" s="6" t="n">
        <v>-2.72284122092607</v>
      </c>
      <c r="AC1108" s="6" t="n">
        <v>-0.632738975775902</v>
      </c>
      <c r="AD1108" s="6" t="n">
        <v>-1.2864872799481</v>
      </c>
      <c r="AE1108" s="6" t="n">
        <v>0.646800505870727</v>
      </c>
      <c r="AF1108" s="6" t="n">
        <v>2.5391675791943</v>
      </c>
      <c r="AG1108" s="6" t="n">
        <v>0.641431717459833</v>
      </c>
      <c r="AH1108" s="6" t="n">
        <v>-1.99347868315116</v>
      </c>
      <c r="AI1108" s="6" t="n">
        <v>-0.850286518834808</v>
      </c>
      <c r="AJ1108" s="6" t="n">
        <v>78.0256186206294</v>
      </c>
      <c r="AK1108" s="6" t="n">
        <v>0.0282403740363527</v>
      </c>
      <c r="AL1108" s="6" t="n">
        <v>1.0931778993402</v>
      </c>
      <c r="AN1108" s="6" t="n">
        <v>1.29184122288712</v>
      </c>
      <c r="AO1108" s="6" t="n">
        <v>1.29213586011077</v>
      </c>
      <c r="AP1108" s="6" t="n">
        <v>0.133921493046546</v>
      </c>
      <c r="AQ1108" s="6" t="n">
        <v>0</v>
      </c>
      <c r="AR1108" s="6" t="n">
        <v>0</v>
      </c>
    </row>
    <row r="1109" customFormat="false" ht="15" hidden="false" customHeight="false" outlineLevel="0" collapsed="false">
      <c r="D1109" s="0" t="s">
        <v>1235</v>
      </c>
      <c r="J1109" s="6" t="n">
        <v>0.663581012070871</v>
      </c>
      <c r="K1109" s="6" t="n">
        <v>-1.34786686508066</v>
      </c>
      <c r="L1109" s="6" t="n">
        <v>-3.57636274185697</v>
      </c>
      <c r="M1109" s="6" t="n">
        <v>-3.4023254199698</v>
      </c>
      <c r="N1109" s="6" t="n">
        <v>0.809608962206632</v>
      </c>
      <c r="O1109" s="6" t="n">
        <v>4.56689263970442</v>
      </c>
      <c r="P1109" s="6" t="n">
        <v>1.94732597260146</v>
      </c>
      <c r="Q1109" s="6" t="n">
        <v>0.459444587081064</v>
      </c>
      <c r="R1109" s="6" t="n">
        <v>0.640007220786516</v>
      </c>
      <c r="S1109" s="6" t="n">
        <v>0.448301173581717</v>
      </c>
      <c r="T1109" s="6" t="n">
        <v>0.892390364882896</v>
      </c>
      <c r="U1109" s="6" t="n">
        <v>3.80580141029807</v>
      </c>
      <c r="V1109" s="6" t="n">
        <v>-2.71989097714786</v>
      </c>
      <c r="W1109" s="6" t="n">
        <v>-2.04833739400213</v>
      </c>
      <c r="X1109" s="6" t="n">
        <v>1.42213497903677</v>
      </c>
      <c r="Y1109" s="6" t="n">
        <v>5</v>
      </c>
      <c r="Z1109" s="6" t="n">
        <v>3.05542420288698</v>
      </c>
      <c r="AA1109" s="6" t="n">
        <v>1.47218480783699</v>
      </c>
      <c r="AB1109" s="6" t="n">
        <v>-1.48985428768707</v>
      </c>
      <c r="AC1109" s="6" t="n">
        <v>1.90798453684274</v>
      </c>
      <c r="AD1109" s="6" t="n">
        <v>0.818241910407703</v>
      </c>
      <c r="AE1109" s="6" t="n">
        <v>-0.581565047404751</v>
      </c>
      <c r="AF1109" s="6" t="n">
        <v>1.18059394224385</v>
      </c>
      <c r="AG1109" s="6" t="n">
        <v>-1.48404535684275</v>
      </c>
      <c r="AH1109" s="6" t="n">
        <v>-4.02270040381251</v>
      </c>
      <c r="AI1109" s="6" t="n">
        <v>0.75463278148788</v>
      </c>
      <c r="AJ1109" s="6" t="n">
        <v>76.8716894101071</v>
      </c>
      <c r="AK1109" s="6" t="n">
        <v>0.180847188006774</v>
      </c>
      <c r="AL1109" s="6" t="n">
        <v>1.07090898659466</v>
      </c>
      <c r="AN1109" s="6" t="n">
        <v>1.28177971039392</v>
      </c>
      <c r="AO1109" s="6" t="n">
        <v>1.28251086551957</v>
      </c>
      <c r="AP1109" s="6" t="n">
        <v>0.130657951292069</v>
      </c>
      <c r="AQ1109" s="6" t="n">
        <v>0</v>
      </c>
      <c r="AR1109" s="6" t="n">
        <v>0</v>
      </c>
    </row>
    <row r="1110" customFormat="false" ht="15" hidden="false" customHeight="false" outlineLevel="0" collapsed="false">
      <c r="D1110" s="0" t="s">
        <v>1236</v>
      </c>
      <c r="J1110" s="6" t="n">
        <v>1.56516750416793</v>
      </c>
      <c r="K1110" s="6" t="n">
        <v>-3.73844377857877</v>
      </c>
      <c r="L1110" s="6" t="n">
        <v>-3.02839045584202</v>
      </c>
      <c r="M1110" s="6" t="n">
        <v>-1.9386680954382</v>
      </c>
      <c r="N1110" s="6" t="n">
        <v>1.17827552642242</v>
      </c>
      <c r="O1110" s="6" t="n">
        <v>-0.521738215622854</v>
      </c>
      <c r="P1110" s="6" t="n">
        <v>-1.63281002461265</v>
      </c>
      <c r="Q1110" s="6" t="n">
        <v>-0.105448820072373</v>
      </c>
      <c r="R1110" s="6" t="n">
        <v>3.44491487725927</v>
      </c>
      <c r="S1110" s="6" t="n">
        <v>1.13256758097549</v>
      </c>
      <c r="T1110" s="6" t="n">
        <v>-4.01017035191558</v>
      </c>
      <c r="U1110" s="6" t="n">
        <v>-0.650916991862041</v>
      </c>
      <c r="V1110" s="6" t="n">
        <v>-0.801056536309069</v>
      </c>
      <c r="W1110" s="6" t="n">
        <v>-0.819855999570814</v>
      </c>
      <c r="X1110" s="6" t="n">
        <v>3.43531424143121</v>
      </c>
      <c r="Y1110" s="6" t="n">
        <v>2.32927868803153</v>
      </c>
      <c r="Z1110" s="6" t="n">
        <v>-0.66931298416103</v>
      </c>
      <c r="AA1110" s="6" t="n">
        <v>1.15378151260661</v>
      </c>
      <c r="AB1110" s="6" t="n">
        <v>-0.780132694066672</v>
      </c>
      <c r="AC1110" s="6" t="n">
        <v>-0.189344963979789</v>
      </c>
      <c r="AD1110" s="6" t="n">
        <v>-2.85013861899341</v>
      </c>
      <c r="AE1110" s="6" t="n">
        <v>-1.24385632338577</v>
      </c>
      <c r="AF1110" s="6" t="n">
        <v>-2.74326651489826</v>
      </c>
      <c r="AG1110" s="6" t="n">
        <v>3.94253641742859</v>
      </c>
      <c r="AH1110" s="6" t="n">
        <v>-0.279601055910893</v>
      </c>
      <c r="AI1110" s="6" t="n">
        <v>0.203219536092326</v>
      </c>
      <c r="AJ1110" s="6" t="n">
        <v>67.4266896225842</v>
      </c>
      <c r="AK1110" s="6" t="n">
        <v>0.167891471235796</v>
      </c>
      <c r="AL1110" s="6" t="n">
        <v>1.05442191443711</v>
      </c>
      <c r="AN1110" s="6" t="n">
        <v>1.28836680284702</v>
      </c>
      <c r="AO1110" s="6" t="n">
        <v>1.28872352474021</v>
      </c>
      <c r="AP1110" s="6" t="n">
        <v>0.132227558141827</v>
      </c>
      <c r="AQ1110" s="6" t="n">
        <v>0</v>
      </c>
      <c r="AR1110" s="6" t="n">
        <v>0</v>
      </c>
    </row>
    <row r="1111" customFormat="false" ht="15" hidden="false" customHeight="false" outlineLevel="0" collapsed="false">
      <c r="D1111" s="0" t="s">
        <v>1237</v>
      </c>
      <c r="J1111" s="6" t="n">
        <v>-0.743914390756615</v>
      </c>
      <c r="K1111" s="6" t="n">
        <v>-1.24908146388909</v>
      </c>
      <c r="L1111" s="6" t="n">
        <v>-0.665062934629542</v>
      </c>
      <c r="M1111" s="6" t="n">
        <v>2.12830757977961</v>
      </c>
      <c r="N1111" s="6" t="n">
        <v>1.19756025081634</v>
      </c>
      <c r="O1111" s="6" t="n">
        <v>0.156025742961252</v>
      </c>
      <c r="P1111" s="6" t="n">
        <v>-2.84157430432544</v>
      </c>
      <c r="Q1111" s="6" t="n">
        <v>1.37157967942362</v>
      </c>
      <c r="R1111" s="6" t="n">
        <v>0.493817561055034</v>
      </c>
      <c r="S1111" s="6" t="n">
        <v>-0.45736827616747</v>
      </c>
      <c r="T1111" s="6" t="n">
        <v>-2.20358263431603</v>
      </c>
      <c r="U1111" s="6" t="n">
        <v>-0.147053807973428</v>
      </c>
      <c r="V1111" s="6" t="n">
        <v>1.50062393973441</v>
      </c>
      <c r="W1111" s="6" t="n">
        <v>0.470222935231173</v>
      </c>
      <c r="X1111" s="6" t="n">
        <v>2.54278419106737</v>
      </c>
      <c r="Y1111" s="6" t="n">
        <v>1.23942777883378</v>
      </c>
      <c r="Z1111" s="6" t="n">
        <v>0.699079811032276</v>
      </c>
      <c r="AA1111" s="6" t="n">
        <v>-0.374421217363024</v>
      </c>
      <c r="AB1111" s="6" t="n">
        <v>2.52596520644707</v>
      </c>
      <c r="AC1111" s="6" t="n">
        <v>1.1177911822922</v>
      </c>
      <c r="AD1111" s="6" t="n">
        <v>-0.532682503087162</v>
      </c>
      <c r="AE1111" s="6" t="n">
        <v>-3.28188740890299</v>
      </c>
      <c r="AF1111" s="6" t="n">
        <v>-0.698355429189955</v>
      </c>
      <c r="AG1111" s="6" t="n">
        <v>-0.853082684087648</v>
      </c>
      <c r="AH1111" s="6" t="n">
        <v>-1.34474308373295</v>
      </c>
      <c r="AI1111" s="6" t="n">
        <v>-2.26107262523128</v>
      </c>
      <c r="AJ1111" s="6" t="n">
        <v>75.904857930295</v>
      </c>
      <c r="AK1111" s="6" t="n">
        <v>0.112478711618565</v>
      </c>
      <c r="AL1111" s="6" t="n">
        <v>1.05212864505149</v>
      </c>
      <c r="AN1111" s="6" t="n">
        <v>1.29865023385425</v>
      </c>
      <c r="AO1111" s="6" t="n">
        <v>1.29878621975964</v>
      </c>
      <c r="AP1111" s="6" t="n">
        <v>0.134592321912657</v>
      </c>
      <c r="AQ1111" s="6" t="n">
        <v>0</v>
      </c>
      <c r="AR1111" s="6" t="n">
        <v>0</v>
      </c>
    </row>
    <row r="1112" customFormat="false" ht="15" hidden="false" customHeight="false" outlineLevel="0" collapsed="false">
      <c r="D1112" s="0" t="s">
        <v>1238</v>
      </c>
      <c r="J1112" s="6" t="n">
        <v>-1.41710336332947</v>
      </c>
      <c r="K1112" s="6" t="n">
        <v>-2.05212440919669</v>
      </c>
      <c r="L1112" s="6" t="n">
        <v>0.15122219700949</v>
      </c>
      <c r="M1112" s="6" t="n">
        <v>0.508122453746848</v>
      </c>
      <c r="N1112" s="6" t="n">
        <v>-0.445774293293345</v>
      </c>
      <c r="O1112" s="6" t="n">
        <v>0.565633554855459</v>
      </c>
      <c r="P1112" s="6" t="n">
        <v>0.257263803606719</v>
      </c>
      <c r="Q1112" s="6" t="n">
        <v>-0.568278993711959</v>
      </c>
      <c r="R1112" s="6" t="n">
        <v>-2.32992167949793</v>
      </c>
      <c r="S1112" s="6" t="n">
        <v>-2.26467564548546</v>
      </c>
      <c r="T1112" s="6" t="n">
        <v>1.06622806258247</v>
      </c>
      <c r="U1112" s="6" t="n">
        <v>-1.05480594428427</v>
      </c>
      <c r="V1112" s="6" t="n">
        <v>-0.232686401486347</v>
      </c>
      <c r="W1112" s="6" t="n">
        <v>-1.67647453066088</v>
      </c>
      <c r="X1112" s="6" t="n">
        <v>0.732156558495746</v>
      </c>
      <c r="Y1112" s="6" t="n">
        <v>-1.90130829283973</v>
      </c>
      <c r="Z1112" s="6" t="n">
        <v>2.40230206343632</v>
      </c>
      <c r="AA1112" s="6" t="n">
        <v>-1.31420633633036</v>
      </c>
      <c r="AB1112" s="6" t="n">
        <v>-3.52739650667156</v>
      </c>
      <c r="AC1112" s="6" t="n">
        <v>2.44724739734296</v>
      </c>
      <c r="AD1112" s="6" t="n">
        <v>2.83870652064976</v>
      </c>
      <c r="AE1112" s="6" t="n">
        <v>0.787584939263332</v>
      </c>
      <c r="AF1112" s="6" t="n">
        <v>-1.52511821799028</v>
      </c>
      <c r="AG1112" s="6" t="n">
        <v>1.05297764432716</v>
      </c>
      <c r="AH1112" s="6" t="n">
        <v>-0.0201993474535264</v>
      </c>
      <c r="AI1112" s="6" t="n">
        <v>-3.52423055708845</v>
      </c>
      <c r="AJ1112" s="6" t="n">
        <v>72.4621650689425</v>
      </c>
      <c r="AK1112" s="6" t="n">
        <v>0.0822514173972904</v>
      </c>
      <c r="AL1112" s="6" t="n">
        <v>1.03096161418482</v>
      </c>
      <c r="AN1112" s="6" t="n">
        <v>1.30963144007428</v>
      </c>
      <c r="AO1112" s="6" t="n">
        <v>1.30987728237908</v>
      </c>
      <c r="AP1112" s="6" t="n">
        <v>0.137104508500999</v>
      </c>
      <c r="AQ1112" s="6" t="n">
        <v>0</v>
      </c>
      <c r="AR1112" s="6" t="n">
        <v>0</v>
      </c>
    </row>
    <row r="1113" customFormat="false" ht="15" hidden="false" customHeight="false" outlineLevel="0" collapsed="false">
      <c r="D1113" s="0" t="s">
        <v>1239</v>
      </c>
      <c r="J1113" s="6" t="n">
        <v>0.122079162050708</v>
      </c>
      <c r="K1113" s="6" t="n">
        <v>-0.855868771058237</v>
      </c>
      <c r="L1113" s="6" t="n">
        <v>-1.45817499144846</v>
      </c>
      <c r="M1113" s="6" t="n">
        <v>-2.11143665906158</v>
      </c>
      <c r="N1113" s="6" t="n">
        <v>-1.78005786603766</v>
      </c>
      <c r="O1113" s="6" t="n">
        <v>1.69365292963492</v>
      </c>
      <c r="P1113" s="6" t="n">
        <v>-1.7333851072128</v>
      </c>
      <c r="Q1113" s="6" t="n">
        <v>0.424018205696892</v>
      </c>
      <c r="R1113" s="6" t="n">
        <v>-1.06056391002409</v>
      </c>
      <c r="S1113" s="6" t="n">
        <v>-1.02558828630995</v>
      </c>
      <c r="T1113" s="6" t="n">
        <v>0.250555787526482</v>
      </c>
      <c r="U1113" s="6" t="n">
        <v>-2.35918656905634</v>
      </c>
      <c r="V1113" s="6" t="n">
        <v>3.15913365474962</v>
      </c>
      <c r="W1113" s="6" t="n">
        <v>-3.67843911016382</v>
      </c>
      <c r="X1113" s="6" t="n">
        <v>-0.968301181709129</v>
      </c>
      <c r="Y1113" s="6" t="n">
        <v>0.0932548517492362</v>
      </c>
      <c r="Z1113" s="6" t="n">
        <v>-0.520883797670475</v>
      </c>
      <c r="AA1113" s="6" t="n">
        <v>0.663854912731262</v>
      </c>
      <c r="AB1113" s="6" t="n">
        <v>-3.52671634093863</v>
      </c>
      <c r="AC1113" s="6" t="n">
        <v>1.67394999365013</v>
      </c>
      <c r="AD1113" s="6" t="n">
        <v>0.986673372280857</v>
      </c>
      <c r="AE1113" s="6" t="n">
        <v>-1.38066945800463</v>
      </c>
      <c r="AF1113" s="6" t="n">
        <v>2.0808489795984</v>
      </c>
      <c r="AG1113" s="6" t="n">
        <v>-1.81331795570409</v>
      </c>
      <c r="AH1113" s="6" t="n">
        <v>2.48559574650061</v>
      </c>
      <c r="AI1113" s="6" t="n">
        <v>-2.16358103506435</v>
      </c>
      <c r="AJ1113" s="6" t="n">
        <v>75.8774132498968</v>
      </c>
      <c r="AK1113" s="6" t="n">
        <v>0.104167403268847</v>
      </c>
      <c r="AL1113" s="6" t="n">
        <v>1.00823468433425</v>
      </c>
      <c r="AN1113" s="6" t="n">
        <v>1.31510378822787</v>
      </c>
      <c r="AO1113" s="6" t="n">
        <v>1.31510378822787</v>
      </c>
      <c r="AP1113" s="6" t="n">
        <v>0.140000838405944</v>
      </c>
      <c r="AQ1113" s="6" t="n">
        <v>0</v>
      </c>
      <c r="AR1113" s="6" t="n">
        <v>0</v>
      </c>
    </row>
    <row r="1114" customFormat="false" ht="15" hidden="false" customHeight="false" outlineLevel="0" collapsed="false">
      <c r="D1114" s="0" t="s">
        <v>1240</v>
      </c>
      <c r="J1114" s="6" t="n">
        <v>0.730045662124393</v>
      </c>
      <c r="K1114" s="6" t="n">
        <v>-2.77603750018004</v>
      </c>
      <c r="L1114" s="6" t="n">
        <v>1.40814614308884</v>
      </c>
      <c r="M1114" s="6" t="n">
        <v>-0.526923964443131</v>
      </c>
      <c r="N1114" s="6" t="n">
        <v>2.50143015762627</v>
      </c>
      <c r="O1114" s="6" t="n">
        <v>-3.25901148565454</v>
      </c>
      <c r="P1114" s="6" t="n">
        <v>0.837876152777754</v>
      </c>
      <c r="Q1114" s="6" t="n">
        <v>0.235882580950762</v>
      </c>
      <c r="R1114" s="6" t="n">
        <v>0.554093585111275</v>
      </c>
      <c r="S1114" s="6" t="n">
        <v>-2.8869039843246</v>
      </c>
      <c r="T1114" s="6" t="n">
        <v>0.0500805855209657</v>
      </c>
      <c r="U1114" s="6" t="n">
        <v>-0.589030857760281</v>
      </c>
      <c r="V1114" s="6" t="n">
        <v>0.0697976490412541</v>
      </c>
      <c r="W1114" s="6" t="n">
        <v>-0.542904111663997</v>
      </c>
      <c r="X1114" s="6" t="n">
        <v>-2.25824281603222</v>
      </c>
      <c r="Y1114" s="6" t="n">
        <v>-1.1051438109955</v>
      </c>
      <c r="Z1114" s="6" t="n">
        <v>0.000356569056007463</v>
      </c>
      <c r="AA1114" s="6" t="n">
        <v>-1.46754115445684</v>
      </c>
      <c r="AB1114" s="6" t="n">
        <v>-1.58853580987358</v>
      </c>
      <c r="AC1114" s="6" t="n">
        <v>-0.204933367962836</v>
      </c>
      <c r="AD1114" s="6" t="n">
        <v>-3.00322103065565</v>
      </c>
      <c r="AE1114" s="6" t="n">
        <v>2.29125946743715</v>
      </c>
      <c r="AF1114" s="6" t="n">
        <v>-1.70350922036511</v>
      </c>
      <c r="AG1114" s="6" t="n">
        <v>0.828203855965766</v>
      </c>
      <c r="AH1114" s="6" t="n">
        <v>4.58613850584966</v>
      </c>
      <c r="AI1114" s="6" t="n">
        <v>2.46411368394902</v>
      </c>
      <c r="AJ1114" s="6" t="n">
        <v>76.718880423604</v>
      </c>
      <c r="AK1114" s="6" t="n">
        <v>0.127110935527974</v>
      </c>
      <c r="AL1114" s="6" t="n">
        <v>1.05517972544341</v>
      </c>
      <c r="AN1114" s="6" t="n">
        <v>1.29612642229356</v>
      </c>
      <c r="AO1114" s="6" t="n">
        <v>1.29621309363136</v>
      </c>
      <c r="AP1114" s="6" t="n">
        <v>0.133937104742818</v>
      </c>
      <c r="AQ1114" s="6" t="n">
        <v>0</v>
      </c>
      <c r="AR1114" s="6" t="n">
        <v>0</v>
      </c>
    </row>
    <row r="1115" customFormat="false" ht="15" hidden="false" customHeight="false" outlineLevel="0" collapsed="false">
      <c r="D1115" s="0" t="s">
        <v>1241</v>
      </c>
      <c r="J1115" s="6" t="n">
        <v>0.5286815766904</v>
      </c>
      <c r="K1115" s="6" t="n">
        <v>-3.64641266875323</v>
      </c>
      <c r="L1115" s="6" t="n">
        <v>-0.423699344863595</v>
      </c>
      <c r="M1115" s="6" t="n">
        <v>-2.42786679135352</v>
      </c>
      <c r="N1115" s="6" t="n">
        <v>-1.06631071302216</v>
      </c>
      <c r="O1115" s="6" t="n">
        <v>-0.00632359416446731</v>
      </c>
      <c r="P1115" s="6" t="n">
        <v>3.63174536075982</v>
      </c>
      <c r="Q1115" s="6" t="n">
        <v>-1.115113338118</v>
      </c>
      <c r="R1115" s="6" t="n">
        <v>0.215073596119309</v>
      </c>
      <c r="S1115" s="6" t="n">
        <v>2.16878090494395</v>
      </c>
      <c r="T1115" s="6" t="n">
        <v>-1.82178271730686</v>
      </c>
      <c r="U1115" s="6" t="n">
        <v>-1.09806176473619</v>
      </c>
      <c r="V1115" s="6" t="n">
        <v>-2.12432154676336</v>
      </c>
      <c r="W1115" s="6" t="n">
        <v>-0.271218718753477</v>
      </c>
      <c r="X1115" s="6" t="n">
        <v>-1.88518495969321</v>
      </c>
      <c r="Y1115" s="6" t="n">
        <v>-0.37715195735677</v>
      </c>
      <c r="Z1115" s="6" t="n">
        <v>-0.474939383335707</v>
      </c>
      <c r="AA1115" s="6" t="n">
        <v>2.84337460989381</v>
      </c>
      <c r="AB1115" s="6" t="n">
        <v>-1.43569913342942</v>
      </c>
      <c r="AC1115" s="6" t="n">
        <v>-0.588627384737501</v>
      </c>
      <c r="AD1115" s="6" t="n">
        <v>-0.637143808053879</v>
      </c>
      <c r="AE1115" s="6" t="n">
        <v>1.36049485289122</v>
      </c>
      <c r="AF1115" s="6" t="n">
        <v>0.332188981399005</v>
      </c>
      <c r="AG1115" s="6" t="n">
        <v>-1.1982532452946</v>
      </c>
      <c r="AH1115" s="6" t="n">
        <v>-0.399055324214448</v>
      </c>
      <c r="AI1115" s="6" t="n">
        <v>1.75453408947435</v>
      </c>
      <c r="AJ1115" s="6" t="n">
        <v>79.3264958643245</v>
      </c>
      <c r="AK1115" s="6" t="n">
        <v>0.124257584880942</v>
      </c>
      <c r="AL1115" s="6" t="n">
        <v>1.08025307811434</v>
      </c>
      <c r="AN1115" s="6" t="n">
        <v>1.28416206837211</v>
      </c>
      <c r="AO1115" s="6" t="n">
        <v>1.28592378336306</v>
      </c>
      <c r="AP1115" s="6" t="n">
        <v>0.131724499655828</v>
      </c>
      <c r="AQ1115" s="6" t="n">
        <v>0</v>
      </c>
      <c r="AR1115" s="6" t="n">
        <v>0</v>
      </c>
    </row>
    <row r="1116" customFormat="false" ht="15" hidden="false" customHeight="false" outlineLevel="0" collapsed="false">
      <c r="D1116" s="0" t="s">
        <v>1242</v>
      </c>
      <c r="J1116" s="6" t="n">
        <v>-2.10339008870117</v>
      </c>
      <c r="K1116" s="6" t="n">
        <v>1.33161775404453</v>
      </c>
      <c r="L1116" s="6" t="n">
        <v>0.360031412415293</v>
      </c>
      <c r="M1116" s="6" t="n">
        <v>-1.8008556236655</v>
      </c>
      <c r="N1116" s="6" t="n">
        <v>1.5467037379746</v>
      </c>
      <c r="O1116" s="6" t="n">
        <v>0.538763343000243</v>
      </c>
      <c r="P1116" s="6" t="n">
        <v>1.41884551064857</v>
      </c>
      <c r="Q1116" s="6" t="n">
        <v>0.968337894344996</v>
      </c>
      <c r="R1116" s="6" t="n">
        <v>1.31928579373227</v>
      </c>
      <c r="S1116" s="6" t="n">
        <v>0.925331737387674</v>
      </c>
      <c r="T1116" s="6" t="n">
        <v>-1.20368813587429</v>
      </c>
      <c r="U1116" s="6" t="n">
        <v>0.563849419965498</v>
      </c>
      <c r="V1116" s="6" t="n">
        <v>-0.474336907458684</v>
      </c>
      <c r="W1116" s="6" t="n">
        <v>-0.977959675138128</v>
      </c>
      <c r="X1116" s="6" t="n">
        <v>-3.21544001135848</v>
      </c>
      <c r="Y1116" s="6" t="n">
        <v>2.11123758205497</v>
      </c>
      <c r="Z1116" s="6" t="n">
        <v>0.196515895241212</v>
      </c>
      <c r="AA1116" s="6" t="n">
        <v>-1.43773866197486</v>
      </c>
      <c r="AB1116" s="6" t="n">
        <v>0.609290381663476</v>
      </c>
      <c r="AC1116" s="6" t="n">
        <v>-0.191465922261781</v>
      </c>
      <c r="AD1116" s="6" t="n">
        <v>1.72043274358086</v>
      </c>
      <c r="AE1116" s="6" t="n">
        <v>2.6703118107861</v>
      </c>
      <c r="AF1116" s="6" t="n">
        <v>-5.2347748785279</v>
      </c>
      <c r="AG1116" s="6" t="n">
        <v>0.867821922426398</v>
      </c>
      <c r="AH1116" s="6" t="n">
        <v>0.0920850560035236</v>
      </c>
      <c r="AI1116" s="6" t="n">
        <v>0.155626036342866</v>
      </c>
      <c r="AJ1116" s="6" t="n">
        <v>75.1839624449356</v>
      </c>
      <c r="AK1116" s="6" t="n">
        <v>0.144257454036926</v>
      </c>
      <c r="AL1116" s="6" t="n">
        <v>1.06748717621157</v>
      </c>
      <c r="AN1116" s="6" t="n">
        <v>1.28569313619983</v>
      </c>
      <c r="AO1116" s="6" t="n">
        <v>1.28673246466973</v>
      </c>
      <c r="AP1116" s="6" t="n">
        <v>0.132241073979517</v>
      </c>
      <c r="AQ1116" s="6" t="n">
        <v>0</v>
      </c>
      <c r="AR1116" s="6" t="n">
        <v>0</v>
      </c>
    </row>
    <row r="1117" customFormat="false" ht="15" hidden="false" customHeight="false" outlineLevel="0" collapsed="false">
      <c r="D1117" s="0" t="s">
        <v>1243</v>
      </c>
      <c r="J1117" s="6" t="n">
        <v>0.898741722874524</v>
      </c>
      <c r="K1117" s="6" t="n">
        <v>-3.09390636275142</v>
      </c>
      <c r="L1117" s="6" t="n">
        <v>1.60857147288977</v>
      </c>
      <c r="M1117" s="6" t="n">
        <v>0.686771952941653</v>
      </c>
      <c r="N1117" s="6" t="n">
        <v>-0.328215131729806</v>
      </c>
      <c r="O1117" s="6" t="n">
        <v>-1.8293763929623</v>
      </c>
      <c r="P1117" s="6" t="n">
        <v>2.11120797478342</v>
      </c>
      <c r="Q1117" s="6" t="n">
        <v>0.708737942929693</v>
      </c>
      <c r="R1117" s="6" t="n">
        <v>-1.7280726975515</v>
      </c>
      <c r="S1117" s="6" t="n">
        <v>3.40822113358565</v>
      </c>
      <c r="T1117" s="6" t="n">
        <v>1.93909640387272</v>
      </c>
      <c r="U1117" s="6" t="n">
        <v>-2.00236957749714</v>
      </c>
      <c r="V1117" s="6" t="n">
        <v>0.180116177668083</v>
      </c>
      <c r="W1117" s="6" t="n">
        <v>0.0133055419059221</v>
      </c>
      <c r="X1117" s="6" t="n">
        <v>2.54281421182334</v>
      </c>
      <c r="Y1117" s="6" t="n">
        <v>2.85542537052596</v>
      </c>
      <c r="Z1117" s="6" t="n">
        <v>0.0224682697164346</v>
      </c>
      <c r="AA1117" s="6" t="n">
        <v>-0.289748603113913</v>
      </c>
      <c r="AB1117" s="6" t="n">
        <v>-1.04938027199918</v>
      </c>
      <c r="AC1117" s="6" t="n">
        <v>-3.15711748402083</v>
      </c>
      <c r="AD1117" s="6" t="n">
        <v>0.826287542174514</v>
      </c>
      <c r="AE1117" s="6" t="n">
        <v>1.36626233047534</v>
      </c>
      <c r="AF1117" s="6" t="n">
        <v>2.20352137939012</v>
      </c>
      <c r="AG1117" s="6" t="n">
        <v>2.05027118738188</v>
      </c>
      <c r="AH1117" s="6" t="n">
        <v>3.62099493873862</v>
      </c>
      <c r="AI1117" s="6" t="n">
        <v>2.36805184923309</v>
      </c>
      <c r="AJ1117" s="6" t="n">
        <v>74.4310025031797</v>
      </c>
      <c r="AK1117" s="6" t="n">
        <v>0.139550114675391</v>
      </c>
      <c r="AL1117" s="6" t="n">
        <v>1.02985886906003</v>
      </c>
      <c r="AN1117" s="6" t="n">
        <v>1.30614279420872</v>
      </c>
      <c r="AO1117" s="6" t="n">
        <v>1.30726091763733</v>
      </c>
      <c r="AP1117" s="6" t="n">
        <v>0.136026440105332</v>
      </c>
      <c r="AQ1117" s="6" t="n">
        <v>0</v>
      </c>
      <c r="AR1117" s="6" t="n">
        <v>0</v>
      </c>
    </row>
    <row r="1118" customFormat="false" ht="15" hidden="false" customHeight="false" outlineLevel="0" collapsed="false">
      <c r="D1118" s="0" t="s">
        <v>1244</v>
      </c>
      <c r="J1118" s="6" t="n">
        <v>-1.18009697920533</v>
      </c>
      <c r="K1118" s="6" t="n">
        <v>-1.99497182914887</v>
      </c>
      <c r="L1118" s="6" t="n">
        <v>1.09154097026206</v>
      </c>
      <c r="M1118" s="6" t="n">
        <v>0.278773357375351</v>
      </c>
      <c r="N1118" s="6" t="n">
        <v>-0.0710130668046635</v>
      </c>
      <c r="O1118" s="6" t="n">
        <v>-3.61441328890287</v>
      </c>
      <c r="P1118" s="6" t="n">
        <v>-0.912981298011815</v>
      </c>
      <c r="Q1118" s="6" t="n">
        <v>0.39586253914869</v>
      </c>
      <c r="R1118" s="6" t="n">
        <v>1.49722928850553</v>
      </c>
      <c r="S1118" s="6" t="n">
        <v>-2.50809662904451</v>
      </c>
      <c r="T1118" s="6" t="n">
        <v>0.584563441802146</v>
      </c>
      <c r="U1118" s="6" t="n">
        <v>-0.0628440357949648</v>
      </c>
      <c r="V1118" s="6" t="n">
        <v>1.02999597942717</v>
      </c>
      <c r="W1118" s="6" t="n">
        <v>3.21727140621947</v>
      </c>
      <c r="X1118" s="6" t="n">
        <v>0.504254024015806</v>
      </c>
      <c r="Y1118" s="6" t="n">
        <v>2.81060019138089</v>
      </c>
      <c r="Z1118" s="6" t="n">
        <v>1.00989002294225</v>
      </c>
      <c r="AA1118" s="6" t="n">
        <v>0.301095811162951</v>
      </c>
      <c r="AB1118" s="6" t="n">
        <v>-0.185069142259757</v>
      </c>
      <c r="AC1118" s="6" t="n">
        <v>4.80413871807495</v>
      </c>
      <c r="AD1118" s="6" t="n">
        <v>0.657810442035183</v>
      </c>
      <c r="AE1118" s="6" t="n">
        <v>-0.749909180566203</v>
      </c>
      <c r="AF1118" s="6" t="n">
        <v>-1.43920416259025</v>
      </c>
      <c r="AG1118" s="6" t="n">
        <v>0.639349126543918</v>
      </c>
      <c r="AH1118" s="6" t="n">
        <v>-2.44250358763201</v>
      </c>
      <c r="AI1118" s="6" t="n">
        <v>0.124025520757498</v>
      </c>
      <c r="AJ1118" s="6" t="n">
        <v>67.9248933156638</v>
      </c>
      <c r="AK1118" s="6" t="n">
        <v>0.106764100634963</v>
      </c>
      <c r="AL1118" s="6" t="n">
        <v>1.07485536720075</v>
      </c>
      <c r="AN1118" s="6" t="n">
        <v>1.28364784325723</v>
      </c>
      <c r="AO1118" s="6" t="n">
        <v>1.28564952452231</v>
      </c>
      <c r="AP1118" s="6" t="n">
        <v>0.132429703091758</v>
      </c>
      <c r="AQ1118" s="6" t="n">
        <v>0</v>
      </c>
      <c r="AR1118" s="6" t="n">
        <v>0</v>
      </c>
    </row>
    <row r="1119" customFormat="false" ht="15" hidden="false" customHeight="false" outlineLevel="0" collapsed="false">
      <c r="D1119" s="0" t="s">
        <v>1245</v>
      </c>
      <c r="J1119" s="6" t="n">
        <v>0.282810743878988</v>
      </c>
      <c r="K1119" s="6" t="n">
        <v>1.64612504400827</v>
      </c>
      <c r="L1119" s="6" t="n">
        <v>-2.82803755947052</v>
      </c>
      <c r="M1119" s="6" t="n">
        <v>1.07390324920406</v>
      </c>
      <c r="N1119" s="6" t="n">
        <v>-1.09724987668847</v>
      </c>
      <c r="O1119" s="6" t="n">
        <v>2.72061801581374</v>
      </c>
      <c r="P1119" s="6" t="n">
        <v>0.572537384285584</v>
      </c>
      <c r="Q1119" s="6" t="n">
        <v>0.424945040688467</v>
      </c>
      <c r="R1119" s="6" t="n">
        <v>1.99587119108498</v>
      </c>
      <c r="S1119" s="6" t="n">
        <v>-0.926821576326197</v>
      </c>
      <c r="T1119" s="6" t="n">
        <v>0.528694011605847</v>
      </c>
      <c r="U1119" s="6" t="n">
        <v>-2.07242223935489</v>
      </c>
      <c r="V1119" s="6" t="n">
        <v>-0.663428557257172</v>
      </c>
      <c r="W1119" s="6" t="n">
        <v>0.507607921749029</v>
      </c>
      <c r="X1119" s="6" t="n">
        <v>1.98766080078041</v>
      </c>
      <c r="Y1119" s="6" t="n">
        <v>-0.609938801821118</v>
      </c>
      <c r="Z1119" s="6" t="n">
        <v>-0.388591467952789</v>
      </c>
      <c r="AA1119" s="6" t="n">
        <v>-0.749413066655688</v>
      </c>
      <c r="AB1119" s="6" t="n">
        <v>2.10193570657073</v>
      </c>
      <c r="AC1119" s="6" t="n">
        <v>-2.86128851372617</v>
      </c>
      <c r="AD1119" s="6" t="n">
        <v>-2.57415390186277</v>
      </c>
      <c r="AE1119" s="6" t="n">
        <v>1.90854939079209</v>
      </c>
      <c r="AF1119" s="6" t="n">
        <v>0.692858728447612</v>
      </c>
      <c r="AG1119" s="6" t="n">
        <v>-0.267444707919443</v>
      </c>
      <c r="AH1119" s="6" t="n">
        <v>0.836472114884697</v>
      </c>
      <c r="AI1119" s="6" t="n">
        <v>0.304695985838196</v>
      </c>
      <c r="AJ1119" s="6" t="n">
        <v>70.3750003678957</v>
      </c>
      <c r="AK1119" s="6" t="n">
        <v>0.194041772679297</v>
      </c>
      <c r="AL1119" s="6" t="n">
        <v>1.0379234134598</v>
      </c>
      <c r="AN1119" s="6" t="n">
        <v>1.29009986618145</v>
      </c>
      <c r="AO1119" s="6" t="n">
        <v>1.29062025310772</v>
      </c>
      <c r="AP1119" s="6" t="n">
        <v>0.133305818585993</v>
      </c>
      <c r="AQ1119" s="6" t="n">
        <v>0</v>
      </c>
      <c r="AR1119" s="6" t="n">
        <v>0</v>
      </c>
    </row>
    <row r="1120" customFormat="false" ht="15" hidden="false" customHeight="false" outlineLevel="0" collapsed="false">
      <c r="D1120" s="0" t="s">
        <v>1246</v>
      </c>
      <c r="J1120" s="6" t="n">
        <v>-2.17906984646841</v>
      </c>
      <c r="K1120" s="6" t="n">
        <v>1.11834015555561</v>
      </c>
      <c r="L1120" s="6" t="n">
        <v>0.452823238233474</v>
      </c>
      <c r="M1120" s="6" t="n">
        <v>-1.66513407377426</v>
      </c>
      <c r="N1120" s="6" t="n">
        <v>-1.5351289261884</v>
      </c>
      <c r="O1120" s="6" t="n">
        <v>-1.68046885644492</v>
      </c>
      <c r="P1120" s="6" t="n">
        <v>-2.33543826683556</v>
      </c>
      <c r="Q1120" s="6" t="n">
        <v>-0.679655810539558</v>
      </c>
      <c r="R1120" s="6" t="n">
        <v>-2.25854591452422</v>
      </c>
      <c r="S1120" s="6" t="n">
        <v>-4.12025381360546</v>
      </c>
      <c r="T1120" s="6" t="n">
        <v>-0.206991404805667</v>
      </c>
      <c r="U1120" s="6" t="n">
        <v>2.45561013377686</v>
      </c>
      <c r="V1120" s="6" t="n">
        <v>3.9307397242558</v>
      </c>
      <c r="W1120" s="6" t="n">
        <v>-5.11760715612441</v>
      </c>
      <c r="X1120" s="6" t="n">
        <v>4.23478959013688</v>
      </c>
      <c r="Y1120" s="6" t="n">
        <v>-2.12872722052754</v>
      </c>
      <c r="Z1120" s="6" t="n">
        <v>-0.761265667928207</v>
      </c>
      <c r="AA1120" s="6" t="n">
        <v>-2.43699086545236</v>
      </c>
      <c r="AB1120" s="6" t="n">
        <v>-0.436336234808424</v>
      </c>
      <c r="AC1120" s="6" t="n">
        <v>-0.401643688656214</v>
      </c>
      <c r="AD1120" s="6" t="n">
        <v>-1.43089931385221</v>
      </c>
      <c r="AE1120" s="6" t="n">
        <v>3.38409375099828</v>
      </c>
      <c r="AF1120" s="6" t="n">
        <v>0.942602334643699</v>
      </c>
      <c r="AG1120" s="6" t="n">
        <v>0.344734641115002</v>
      </c>
      <c r="AH1120" s="6" t="n">
        <v>1.24688756116334</v>
      </c>
      <c r="AI1120" s="6" t="n">
        <v>-0.585579431350587</v>
      </c>
      <c r="AJ1120" s="6" t="n">
        <v>75.7168278219273</v>
      </c>
      <c r="AK1120" s="6" t="n">
        <v>0.130394075042259</v>
      </c>
      <c r="AL1120" s="6" t="n">
        <v>0.990861827825992</v>
      </c>
      <c r="AN1120" s="6" t="n">
        <v>1.32058002931876</v>
      </c>
      <c r="AO1120" s="6" t="n">
        <v>1.32058002931876</v>
      </c>
      <c r="AP1120" s="6" t="n">
        <v>0.14259715661276</v>
      </c>
      <c r="AQ1120" s="6" t="n">
        <v>0</v>
      </c>
      <c r="AR1120" s="6" t="n">
        <v>0</v>
      </c>
    </row>
    <row r="1121" customFormat="false" ht="15" hidden="false" customHeight="false" outlineLevel="0" collapsed="false">
      <c r="D1121" s="0" t="s">
        <v>1247</v>
      </c>
      <c r="J1121" s="6" t="n">
        <v>0.164586383986662</v>
      </c>
      <c r="K1121" s="6" t="n">
        <v>-1.16189938395392</v>
      </c>
      <c r="L1121" s="6" t="n">
        <v>-0.526073698957856</v>
      </c>
      <c r="M1121" s="6" t="n">
        <v>-4.28577942182047</v>
      </c>
      <c r="N1121" s="6" t="n">
        <v>2.9298186883649</v>
      </c>
      <c r="O1121" s="6" t="n">
        <v>-0.248143020135533</v>
      </c>
      <c r="P1121" s="6" t="n">
        <v>0.242205300775226</v>
      </c>
      <c r="Q1121" s="6" t="n">
        <v>2.37499932453794</v>
      </c>
      <c r="R1121" s="6" t="n">
        <v>-4.19533181807154</v>
      </c>
      <c r="S1121" s="6" t="n">
        <v>-0.930816694742827</v>
      </c>
      <c r="T1121" s="6" t="n">
        <v>-0.532650929650381</v>
      </c>
      <c r="U1121" s="6" t="n">
        <v>-1.99085631934341</v>
      </c>
      <c r="V1121" s="6" t="n">
        <v>-0.68179607878461</v>
      </c>
      <c r="W1121" s="6" t="n">
        <v>-3.95107681258754</v>
      </c>
      <c r="X1121" s="6" t="n">
        <v>-2.63235049610054</v>
      </c>
      <c r="Y1121" s="6" t="n">
        <v>2.06719424664683</v>
      </c>
      <c r="Z1121" s="6" t="n">
        <v>-0.88538997626351</v>
      </c>
      <c r="AA1121" s="6" t="n">
        <v>0.77932751350579</v>
      </c>
      <c r="AB1121" s="6" t="n">
        <v>-0.118652180556844</v>
      </c>
      <c r="AC1121" s="6" t="n">
        <v>0.428263698395072</v>
      </c>
      <c r="AD1121" s="6" t="n">
        <v>-0.888265360662479</v>
      </c>
      <c r="AE1121" s="6" t="n">
        <v>1.10574859048947</v>
      </c>
      <c r="AF1121" s="6" t="n">
        <v>1.20256494064287</v>
      </c>
      <c r="AG1121" s="6" t="n">
        <v>-1.73476288798342</v>
      </c>
      <c r="AH1121" s="6" t="n">
        <v>-2.31766565921043</v>
      </c>
      <c r="AI1121" s="6" t="n">
        <v>4.76505036048908</v>
      </c>
      <c r="AJ1121" s="6" t="n">
        <v>62.8915890938517</v>
      </c>
      <c r="AK1121" s="6" t="n">
        <v>0.134752342777394</v>
      </c>
      <c r="AL1121" s="6" t="n">
        <v>1.03729577884761</v>
      </c>
      <c r="AN1121" s="6" t="n">
        <v>1.2961739858856</v>
      </c>
      <c r="AO1121" s="6" t="n">
        <v>1.29664172905531</v>
      </c>
      <c r="AP1121" s="6" t="n">
        <v>0.133883201604106</v>
      </c>
      <c r="AQ1121" s="6" t="n">
        <v>0</v>
      </c>
      <c r="AR1121" s="6" t="n">
        <v>0</v>
      </c>
    </row>
    <row r="1122" customFormat="false" ht="15" hidden="false" customHeight="false" outlineLevel="0" collapsed="false">
      <c r="D1122" s="0" t="s">
        <v>1248</v>
      </c>
      <c r="J1122" s="6" t="n">
        <v>-1.31489334562461</v>
      </c>
      <c r="K1122" s="6" t="n">
        <v>0.402518894361905</v>
      </c>
      <c r="L1122" s="6" t="n">
        <v>1.36959591143915</v>
      </c>
      <c r="M1122" s="6" t="n">
        <v>-1.51773371099349</v>
      </c>
      <c r="N1122" s="6" t="n">
        <v>-1.99195696872348</v>
      </c>
      <c r="O1122" s="6" t="n">
        <v>1.39804333645722</v>
      </c>
      <c r="P1122" s="6" t="n">
        <v>2.79445846509305</v>
      </c>
      <c r="Q1122" s="6" t="n">
        <v>-1.37128759952106</v>
      </c>
      <c r="R1122" s="6" t="n">
        <v>0.587693660620257</v>
      </c>
      <c r="S1122" s="6" t="n">
        <v>-1.25833660887983</v>
      </c>
      <c r="T1122" s="6" t="n">
        <v>-0.149887294779121</v>
      </c>
      <c r="U1122" s="6" t="n">
        <v>3.24479993029563</v>
      </c>
      <c r="V1122" s="6" t="n">
        <v>1.63582360042555</v>
      </c>
      <c r="W1122" s="6" t="n">
        <v>2.67485748567017</v>
      </c>
      <c r="X1122" s="6" t="n">
        <v>0.00723388316430111</v>
      </c>
      <c r="Y1122" s="6" t="n">
        <v>0.047259162594334</v>
      </c>
      <c r="Z1122" s="6" t="n">
        <v>-0.750211392975358</v>
      </c>
      <c r="AA1122" s="6" t="n">
        <v>0.214582773120202</v>
      </c>
      <c r="AB1122" s="6" t="n">
        <v>-1.36971382634813</v>
      </c>
      <c r="AC1122" s="6" t="n">
        <v>-1.41046776778083</v>
      </c>
      <c r="AD1122" s="6" t="n">
        <v>-1.39440629615676</v>
      </c>
      <c r="AE1122" s="6" t="n">
        <v>-2.43318042467603</v>
      </c>
      <c r="AF1122" s="6" t="n">
        <v>-1.07654085098012</v>
      </c>
      <c r="AG1122" s="6" t="n">
        <v>1.51008743668893</v>
      </c>
      <c r="AH1122" s="6" t="n">
        <v>-0.604238679626009</v>
      </c>
      <c r="AI1122" s="6" t="n">
        <v>-1.1622935048783</v>
      </c>
      <c r="AJ1122" s="6" t="n">
        <v>74.0522490022533</v>
      </c>
      <c r="AK1122" s="6" t="n">
        <v>0.0924990483730786</v>
      </c>
      <c r="AL1122" s="6" t="n">
        <v>1.03277923238395</v>
      </c>
      <c r="AN1122" s="6" t="n">
        <v>1.30702732267795</v>
      </c>
      <c r="AO1122" s="6" t="n">
        <v>1.30718279422408</v>
      </c>
      <c r="AP1122" s="6" t="n">
        <v>0.136607078654111</v>
      </c>
      <c r="AQ1122" s="6" t="n">
        <v>0</v>
      </c>
      <c r="AR1122" s="6" t="n">
        <v>0</v>
      </c>
    </row>
    <row r="1123" customFormat="false" ht="15" hidden="false" customHeight="false" outlineLevel="0" collapsed="false">
      <c r="D1123" s="0" t="s">
        <v>1249</v>
      </c>
      <c r="J1123" s="6" t="n">
        <v>-3.13756676805242</v>
      </c>
      <c r="K1123" s="6" t="n">
        <v>-1.33190290768608</v>
      </c>
      <c r="L1123" s="6" t="n">
        <v>0.246405186722024</v>
      </c>
      <c r="M1123" s="6" t="n">
        <v>0.859661527475531</v>
      </c>
      <c r="N1123" s="6" t="n">
        <v>-1.36046884256701</v>
      </c>
      <c r="O1123" s="6" t="n">
        <v>-1.70584987620004</v>
      </c>
      <c r="P1123" s="6" t="n">
        <v>-2.04411687573617</v>
      </c>
      <c r="Q1123" s="6" t="n">
        <v>-1.05194743364053</v>
      </c>
      <c r="R1123" s="6" t="n">
        <v>-1.83452002432842</v>
      </c>
      <c r="S1123" s="6" t="n">
        <v>0.135014591215305</v>
      </c>
      <c r="T1123" s="6" t="n">
        <v>-1.19611066754158</v>
      </c>
      <c r="U1123" s="6" t="n">
        <v>-1.53448308587609</v>
      </c>
      <c r="V1123" s="6" t="n">
        <v>-1.07801101202474</v>
      </c>
      <c r="W1123" s="6" t="n">
        <v>-0.577517411076432</v>
      </c>
      <c r="X1123" s="6" t="n">
        <v>0.576590824930037</v>
      </c>
      <c r="Y1123" s="6" t="n">
        <v>-0.390514242835475</v>
      </c>
      <c r="Z1123" s="6" t="n">
        <v>0.395451624213109</v>
      </c>
      <c r="AA1123" s="6" t="n">
        <v>-3.03806148528015</v>
      </c>
      <c r="AB1123" s="6" t="n">
        <v>4.63559063662282</v>
      </c>
      <c r="AC1123" s="6" t="n">
        <v>1.69427790824567</v>
      </c>
      <c r="AD1123" s="6" t="n">
        <v>-0.394153850213087</v>
      </c>
      <c r="AE1123" s="6" t="n">
        <v>-4.07848162864527</v>
      </c>
      <c r="AF1123" s="6" t="n">
        <v>-3.05540207885272</v>
      </c>
      <c r="AG1123" s="6" t="n">
        <v>2.90249052095205</v>
      </c>
      <c r="AH1123" s="6" t="n">
        <v>-3.601312983272</v>
      </c>
      <c r="AI1123" s="6" t="n">
        <v>-0.781551602669399</v>
      </c>
      <c r="AJ1123" s="6" t="n">
        <v>84.7321910018902</v>
      </c>
      <c r="AK1123" s="6" t="n">
        <v>0.190112747582022</v>
      </c>
      <c r="AL1123" s="6" t="n">
        <v>1.03371441155683</v>
      </c>
      <c r="AN1123" s="6" t="n">
        <v>1.30371902392028</v>
      </c>
      <c r="AO1123" s="6" t="n">
        <v>1.30425792441973</v>
      </c>
      <c r="AP1123" s="6" t="n">
        <v>0.135026015551151</v>
      </c>
      <c r="AQ1123" s="6" t="n">
        <v>0</v>
      </c>
      <c r="AR1123" s="6" t="n">
        <v>0</v>
      </c>
    </row>
    <row r="1124" customFormat="false" ht="15" hidden="false" customHeight="false" outlineLevel="0" collapsed="false">
      <c r="D1124" s="0" t="s">
        <v>1250</v>
      </c>
      <c r="J1124" s="6" t="n">
        <v>-3.90938714955417</v>
      </c>
      <c r="K1124" s="6" t="n">
        <v>-0.88777953314674</v>
      </c>
      <c r="L1124" s="6" t="n">
        <v>-1.51902930580402</v>
      </c>
      <c r="M1124" s="6" t="n">
        <v>2.31219527096467</v>
      </c>
      <c r="N1124" s="6" t="n">
        <v>2.54676412918112</v>
      </c>
      <c r="O1124" s="6" t="n">
        <v>3.09380379445583</v>
      </c>
      <c r="P1124" s="6" t="n">
        <v>-0.869983798937879</v>
      </c>
      <c r="Q1124" s="6" t="n">
        <v>-1.16146644674419</v>
      </c>
      <c r="R1124" s="6" t="n">
        <v>-0.61516605074072</v>
      </c>
      <c r="S1124" s="6" t="n">
        <v>0.130169141888513</v>
      </c>
      <c r="T1124" s="6" t="n">
        <v>-2.35345787295601</v>
      </c>
      <c r="U1124" s="6" t="n">
        <v>-2.40560338083976</v>
      </c>
      <c r="V1124" s="6" t="n">
        <v>4.05166329388957</v>
      </c>
      <c r="W1124" s="6" t="n">
        <v>1.7610442883485</v>
      </c>
      <c r="X1124" s="6" t="n">
        <v>-1.59984975048531</v>
      </c>
      <c r="Y1124" s="6" t="n">
        <v>-0.754070248645942</v>
      </c>
      <c r="Z1124" s="6" t="n">
        <v>3.36311737686969</v>
      </c>
      <c r="AA1124" s="6" t="n">
        <v>-0.581562695765096</v>
      </c>
      <c r="AB1124" s="6" t="n">
        <v>-1.12697031441834</v>
      </c>
      <c r="AC1124" s="6" t="n">
        <v>2.23818012503285</v>
      </c>
      <c r="AD1124" s="6" t="n">
        <v>-1.10439192558575</v>
      </c>
      <c r="AE1124" s="6" t="n">
        <v>1.95688792714775</v>
      </c>
      <c r="AF1124" s="6" t="n">
        <v>0.540820272712062</v>
      </c>
      <c r="AG1124" s="6" t="n">
        <v>-0.602868190437693</v>
      </c>
      <c r="AH1124" s="6" t="n">
        <v>-1.80929863641282</v>
      </c>
      <c r="AI1124" s="6" t="n">
        <v>-0.476393783000282</v>
      </c>
      <c r="AJ1124" s="6" t="n">
        <v>62.1384893161741</v>
      </c>
      <c r="AK1124" s="6" t="n">
        <v>0.157012390568764</v>
      </c>
      <c r="AL1124" s="6" t="n">
        <v>1.03720877067737</v>
      </c>
      <c r="AN1124" s="6" t="n">
        <v>1.29073860976862</v>
      </c>
      <c r="AO1124" s="6" t="n">
        <v>1.29139748956567</v>
      </c>
      <c r="AP1124" s="6" t="n">
        <v>0.133673446961884</v>
      </c>
      <c r="AQ1124" s="6" t="n">
        <v>0</v>
      </c>
      <c r="AR1124" s="6" t="n">
        <v>0</v>
      </c>
    </row>
    <row r="1125" customFormat="false" ht="15" hidden="false" customHeight="false" outlineLevel="0" collapsed="false">
      <c r="D1125" s="0" t="s">
        <v>1251</v>
      </c>
      <c r="J1125" s="6" t="n">
        <v>-2.13458745593184</v>
      </c>
      <c r="K1125" s="6" t="n">
        <v>-0.925869879292426</v>
      </c>
      <c r="L1125" s="6" t="n">
        <v>1.60316121634482</v>
      </c>
      <c r="M1125" s="6" t="n">
        <v>-1.7386509793485</v>
      </c>
      <c r="N1125" s="6" t="n">
        <v>2.25754611326731</v>
      </c>
      <c r="O1125" s="6" t="n">
        <v>-4.27208418124153</v>
      </c>
      <c r="P1125" s="6" t="n">
        <v>0.711833750114607</v>
      </c>
      <c r="Q1125" s="6" t="n">
        <v>-1.19102156833487</v>
      </c>
      <c r="R1125" s="6" t="n">
        <v>-1.37848844288085</v>
      </c>
      <c r="S1125" s="6" t="n">
        <v>2.12871937652874</v>
      </c>
      <c r="T1125" s="6" t="n">
        <v>4.2164021954009</v>
      </c>
      <c r="U1125" s="6" t="n">
        <v>-2.26166470356892</v>
      </c>
      <c r="V1125" s="6" t="n">
        <v>-1.2683681193737</v>
      </c>
      <c r="W1125" s="6" t="n">
        <v>-2.44122827160933</v>
      </c>
      <c r="X1125" s="6" t="n">
        <v>5</v>
      </c>
      <c r="Y1125" s="6" t="n">
        <v>1.15923322626077</v>
      </c>
      <c r="Z1125" s="6" t="n">
        <v>-1.1807434871701</v>
      </c>
      <c r="AA1125" s="6" t="n">
        <v>-1.76379188307722</v>
      </c>
      <c r="AB1125" s="6" t="n">
        <v>0.272481367187918</v>
      </c>
      <c r="AC1125" s="6" t="n">
        <v>0.250102766008741</v>
      </c>
      <c r="AD1125" s="6" t="n">
        <v>-2.5105973199339</v>
      </c>
      <c r="AE1125" s="6" t="n">
        <v>1.75619526395322</v>
      </c>
      <c r="AF1125" s="6" t="n">
        <v>-0.560864668143074</v>
      </c>
      <c r="AG1125" s="6" t="n">
        <v>3.04060593174238</v>
      </c>
      <c r="AH1125" s="6" t="n">
        <v>-3.05855809790379</v>
      </c>
      <c r="AI1125" s="6" t="n">
        <v>-1.71624919272447</v>
      </c>
      <c r="AJ1125" s="6" t="n">
        <v>64.2130834422259</v>
      </c>
      <c r="AK1125" s="6" t="n">
        <v>0.117909930450405</v>
      </c>
      <c r="AL1125" s="6" t="n">
        <v>1.03041549209178</v>
      </c>
      <c r="AN1125" s="6" t="n">
        <v>1.28906459582327</v>
      </c>
      <c r="AO1125" s="6" t="n">
        <v>1.29452160262535</v>
      </c>
      <c r="AP1125" s="6" t="n">
        <v>0.135204335391786</v>
      </c>
      <c r="AQ1125" s="6" t="n">
        <v>0</v>
      </c>
      <c r="AR1125" s="6" t="n">
        <v>0</v>
      </c>
    </row>
    <row r="1126" customFormat="false" ht="15" hidden="false" customHeight="false" outlineLevel="0" collapsed="false">
      <c r="D1126" s="0" t="s">
        <v>1252</v>
      </c>
      <c r="J1126" s="6" t="n">
        <v>1.65038523052034</v>
      </c>
      <c r="K1126" s="6" t="n">
        <v>-0.255434116884975</v>
      </c>
      <c r="L1126" s="6" t="n">
        <v>-2.24198114696165</v>
      </c>
      <c r="M1126" s="6" t="n">
        <v>-0.141938468690677</v>
      </c>
      <c r="N1126" s="6" t="n">
        <v>-3.13089460629807</v>
      </c>
      <c r="O1126" s="6" t="n">
        <v>0.690841866451962</v>
      </c>
      <c r="P1126" s="6" t="n">
        <v>-2.45653774224202</v>
      </c>
      <c r="Q1126" s="6" t="n">
        <v>-0.0199134491738209</v>
      </c>
      <c r="R1126" s="6" t="n">
        <v>1.44449521771496</v>
      </c>
      <c r="S1126" s="6" t="n">
        <v>2.78172194662471</v>
      </c>
      <c r="T1126" s="6" t="n">
        <v>-1.00685705067544</v>
      </c>
      <c r="U1126" s="6" t="n">
        <v>0.505172093476084</v>
      </c>
      <c r="V1126" s="6" t="n">
        <v>-0.592224222649656</v>
      </c>
      <c r="W1126" s="6" t="n">
        <v>0.53273413079029</v>
      </c>
      <c r="X1126" s="6" t="n">
        <v>-0.125585010407263</v>
      </c>
      <c r="Y1126" s="6" t="n">
        <v>-2.91610191420197</v>
      </c>
      <c r="Z1126" s="6" t="n">
        <v>-0.807611310081247</v>
      </c>
      <c r="AA1126" s="6" t="n">
        <v>4.63593587821031</v>
      </c>
      <c r="AB1126" s="6" t="n">
        <v>0.129810935213313</v>
      </c>
      <c r="AC1126" s="6" t="n">
        <v>-1.2792800044494</v>
      </c>
      <c r="AD1126" s="6" t="n">
        <v>0.441105159159414</v>
      </c>
      <c r="AE1126" s="6" t="n">
        <v>1.74221351996936</v>
      </c>
      <c r="AF1126" s="6" t="n">
        <v>0.807836934189939</v>
      </c>
      <c r="AG1126" s="6" t="n">
        <v>-1.03142990126039</v>
      </c>
      <c r="AH1126" s="6" t="n">
        <v>-0.179747656866768</v>
      </c>
      <c r="AI1126" s="6" t="n">
        <v>-0.548157654134534</v>
      </c>
      <c r="AJ1126" s="6" t="n">
        <v>80.038036482634</v>
      </c>
      <c r="AK1126" s="6" t="n">
        <v>0.15739666657072</v>
      </c>
      <c r="AL1126" s="6" t="n">
        <v>1.02678187233716</v>
      </c>
      <c r="AN1126" s="6" t="n">
        <v>1.30730483730381</v>
      </c>
      <c r="AO1126" s="6" t="n">
        <v>1.3078778182109</v>
      </c>
      <c r="AP1126" s="6" t="n">
        <v>0.136418564882268</v>
      </c>
      <c r="AQ1126" s="6" t="n">
        <v>0</v>
      </c>
      <c r="AR1126" s="6" t="n">
        <v>0</v>
      </c>
    </row>
    <row r="1127" customFormat="false" ht="15" hidden="false" customHeight="false" outlineLevel="0" collapsed="false">
      <c r="D1127" s="0" t="s">
        <v>1253</v>
      </c>
      <c r="J1127" s="6" t="n">
        <v>-0.0767482610508771</v>
      </c>
      <c r="K1127" s="6" t="n">
        <v>-2.72445844052712</v>
      </c>
      <c r="L1127" s="6" t="n">
        <v>-5.38139682907012</v>
      </c>
      <c r="M1127" s="6" t="n">
        <v>2.09381329684209</v>
      </c>
      <c r="N1127" s="6" t="n">
        <v>-0.306622458936157</v>
      </c>
      <c r="O1127" s="6" t="n">
        <v>1.03490372191224</v>
      </c>
      <c r="P1127" s="6" t="n">
        <v>-0.0724280106946064</v>
      </c>
      <c r="Q1127" s="6" t="n">
        <v>-0.433102843316243</v>
      </c>
      <c r="R1127" s="6" t="n">
        <v>4.13734274533247</v>
      </c>
      <c r="S1127" s="6" t="n">
        <v>-0.929507262628886</v>
      </c>
      <c r="T1127" s="6" t="n">
        <v>3.59564053449553</v>
      </c>
      <c r="U1127" s="6" t="n">
        <v>-2.17120721378341</v>
      </c>
      <c r="V1127" s="6" t="n">
        <v>-2.1275549270936</v>
      </c>
      <c r="W1127" s="6" t="n">
        <v>-0.306393509578636</v>
      </c>
      <c r="X1127" s="6" t="n">
        <v>0.896069614424842</v>
      </c>
      <c r="Y1127" s="6" t="n">
        <v>0.812722421001106</v>
      </c>
      <c r="Z1127" s="6" t="n">
        <v>2.43943310617951</v>
      </c>
      <c r="AA1127" s="6" t="n">
        <v>1.29830629021008</v>
      </c>
      <c r="AB1127" s="6" t="n">
        <v>-0.74106644371391</v>
      </c>
      <c r="AC1127" s="6" t="n">
        <v>-0.842529256545586</v>
      </c>
      <c r="AD1127" s="6" t="n">
        <v>-0.707901168836637</v>
      </c>
      <c r="AE1127" s="6" t="n">
        <v>-2.52910002585021</v>
      </c>
      <c r="AF1127" s="6" t="n">
        <v>1.27392031713626</v>
      </c>
      <c r="AG1127" s="6" t="n">
        <v>-3.51252683666968</v>
      </c>
      <c r="AH1127" s="6" t="n">
        <v>0.0347903575421414</v>
      </c>
      <c r="AI1127" s="6" t="n">
        <v>0.417133769034568</v>
      </c>
      <c r="AJ1127" s="6" t="n">
        <v>70.8958168574867</v>
      </c>
      <c r="AK1127" s="6" t="n">
        <v>0.105857965616502</v>
      </c>
      <c r="AL1127" s="6" t="n">
        <v>1.08011500174385</v>
      </c>
      <c r="AN1127" s="6" t="n">
        <v>1.28437943397602</v>
      </c>
      <c r="AO1127" s="6" t="n">
        <v>1.28477049860112</v>
      </c>
      <c r="AP1127" s="6" t="n">
        <v>0.131842951117233</v>
      </c>
      <c r="AQ1127" s="6" t="n">
        <v>0</v>
      </c>
      <c r="AR1127" s="6" t="n">
        <v>0</v>
      </c>
    </row>
    <row r="1128" customFormat="false" ht="15" hidden="false" customHeight="false" outlineLevel="0" collapsed="false">
      <c r="D1128" s="0" t="s">
        <v>1254</v>
      </c>
      <c r="J1128" s="6" t="n">
        <v>2.53416308281812</v>
      </c>
      <c r="K1128" s="6" t="n">
        <v>-0.116971954451321</v>
      </c>
      <c r="L1128" s="6" t="n">
        <v>1.1013174178662</v>
      </c>
      <c r="M1128" s="6" t="n">
        <v>1.99787312456225</v>
      </c>
      <c r="N1128" s="6" t="n">
        <v>1.83572483056318</v>
      </c>
      <c r="O1128" s="6" t="n">
        <v>-3.78539755496019</v>
      </c>
      <c r="P1128" s="6" t="n">
        <v>1.80216592496764</v>
      </c>
      <c r="Q1128" s="6" t="n">
        <v>-0.24090868291696</v>
      </c>
      <c r="R1128" s="6" t="n">
        <v>1.12063318407729</v>
      </c>
      <c r="S1128" s="6" t="n">
        <v>-2.4407246479285</v>
      </c>
      <c r="T1128" s="6" t="n">
        <v>-0.276036693779052</v>
      </c>
      <c r="U1128" s="6" t="n">
        <v>0.646342688467881</v>
      </c>
      <c r="V1128" s="6" t="n">
        <v>5</v>
      </c>
      <c r="W1128" s="6" t="n">
        <v>-1.36146969056062</v>
      </c>
      <c r="X1128" s="6" t="n">
        <v>-1.9614258324202</v>
      </c>
      <c r="Y1128" s="6" t="n">
        <v>2.09845732904362</v>
      </c>
      <c r="Z1128" s="6" t="n">
        <v>1.14555016388983</v>
      </c>
      <c r="AA1128" s="6" t="n">
        <v>1.26662984609756</v>
      </c>
      <c r="AB1128" s="6" t="n">
        <v>3.57818840796674</v>
      </c>
      <c r="AC1128" s="6" t="n">
        <v>3.55388445677416</v>
      </c>
      <c r="AD1128" s="6" t="n">
        <v>0.772583674649268</v>
      </c>
      <c r="AE1128" s="6" t="n">
        <v>-1.41558101928953</v>
      </c>
      <c r="AF1128" s="6" t="n">
        <v>-0.413357783219378</v>
      </c>
      <c r="AG1128" s="6" t="n">
        <v>3.51641188706039</v>
      </c>
      <c r="AH1128" s="6" t="n">
        <v>-0.0430052352924302</v>
      </c>
      <c r="AI1128" s="6" t="n">
        <v>0.752175256428761</v>
      </c>
      <c r="AJ1128" s="6" t="n">
        <v>77.5571450730945</v>
      </c>
      <c r="AK1128" s="6" t="n">
        <v>0.151549704347677</v>
      </c>
      <c r="AL1128" s="6" t="n">
        <v>1.0607661462595</v>
      </c>
      <c r="AN1128" s="6" t="n">
        <v>1.28499128223973</v>
      </c>
      <c r="AO1128" s="6" t="n">
        <v>1.28684144608631</v>
      </c>
      <c r="AP1128" s="6" t="n">
        <v>0.132670815622113</v>
      </c>
      <c r="AQ1128" s="6" t="n">
        <v>0</v>
      </c>
      <c r="AR1128" s="6" t="n">
        <v>0</v>
      </c>
    </row>
    <row r="1129" customFormat="false" ht="15" hidden="false" customHeight="false" outlineLevel="0" collapsed="false">
      <c r="D1129" s="0" t="s">
        <v>1255</v>
      </c>
      <c r="J1129" s="6" t="n">
        <v>0.756790629046958</v>
      </c>
      <c r="K1129" s="6" t="n">
        <v>-0.148561227876451</v>
      </c>
      <c r="L1129" s="6" t="n">
        <v>-1.01545079667279</v>
      </c>
      <c r="M1129" s="6" t="n">
        <v>-1.3023339755118</v>
      </c>
      <c r="N1129" s="6" t="n">
        <v>0.346583113344019</v>
      </c>
      <c r="O1129" s="6" t="n">
        <v>-0.35197517806623</v>
      </c>
      <c r="P1129" s="6" t="n">
        <v>0.558170824338818</v>
      </c>
      <c r="Q1129" s="6" t="n">
        <v>-0.915766109123888</v>
      </c>
      <c r="R1129" s="6" t="n">
        <v>-1.96488438644409</v>
      </c>
      <c r="S1129" s="6" t="n">
        <v>1.19655628585724</v>
      </c>
      <c r="T1129" s="6" t="n">
        <v>3.0169227926338</v>
      </c>
      <c r="U1129" s="6" t="n">
        <v>0.381114580691443</v>
      </c>
      <c r="V1129" s="6" t="n">
        <v>2.32647539360926</v>
      </c>
      <c r="W1129" s="6" t="n">
        <v>-0.984383700671306</v>
      </c>
      <c r="X1129" s="6" t="n">
        <v>-0.928006799863498</v>
      </c>
      <c r="Y1129" s="6" t="n">
        <v>-5.55174209646955</v>
      </c>
      <c r="Z1129" s="6" t="n">
        <v>2.45745489327409</v>
      </c>
      <c r="AA1129" s="6" t="n">
        <v>2.9252743339719</v>
      </c>
      <c r="AB1129" s="6" t="n">
        <v>-0.96418416510347</v>
      </c>
      <c r="AC1129" s="6" t="n">
        <v>1.85928586640337</v>
      </c>
      <c r="AD1129" s="6" t="n">
        <v>-3.12331578903658</v>
      </c>
      <c r="AE1129" s="6" t="n">
        <v>-3.70211640720478</v>
      </c>
      <c r="AF1129" s="6" t="n">
        <v>0.0184409107845653</v>
      </c>
      <c r="AG1129" s="6" t="n">
        <v>0.599452355547101</v>
      </c>
      <c r="AH1129" s="6" t="n">
        <v>0.350147641139052</v>
      </c>
      <c r="AI1129" s="6" t="n">
        <v>-0.943474447737732</v>
      </c>
      <c r="AJ1129" s="6" t="n">
        <v>63.4159352298618</v>
      </c>
      <c r="AK1129" s="6" t="n">
        <v>0.124334330788479</v>
      </c>
      <c r="AL1129" s="6" t="n">
        <v>1.03647029030671</v>
      </c>
      <c r="AN1129" s="6" t="n">
        <v>1.29801306334401</v>
      </c>
      <c r="AO1129" s="6" t="n">
        <v>1.2984199491566</v>
      </c>
      <c r="AP1129" s="6" t="n">
        <v>0.134224536338766</v>
      </c>
      <c r="AQ1129" s="6" t="n">
        <v>0</v>
      </c>
      <c r="AR1129" s="6" t="n">
        <v>0</v>
      </c>
    </row>
    <row r="1130" customFormat="false" ht="15" hidden="false" customHeight="false" outlineLevel="0" collapsed="false">
      <c r="D1130" s="0" t="s">
        <v>1256</v>
      </c>
      <c r="J1130" s="6" t="n">
        <v>0.389933281267043</v>
      </c>
      <c r="K1130" s="6" t="n">
        <v>0.543799982665137</v>
      </c>
      <c r="L1130" s="6" t="n">
        <v>-2.25207855848845</v>
      </c>
      <c r="M1130" s="6" t="n">
        <v>2.06285894103606</v>
      </c>
      <c r="N1130" s="6" t="n">
        <v>-0.590804702583278</v>
      </c>
      <c r="O1130" s="6" t="n">
        <v>-1.89866062898031</v>
      </c>
      <c r="P1130" s="6" t="n">
        <v>-0.296284216574582</v>
      </c>
      <c r="Q1130" s="6" t="n">
        <v>-3.49404496048435</v>
      </c>
      <c r="R1130" s="6" t="n">
        <v>1.50894096722299</v>
      </c>
      <c r="S1130" s="6" t="n">
        <v>-2.76702263215428</v>
      </c>
      <c r="T1130" s="6" t="n">
        <v>-1.88795863595098</v>
      </c>
      <c r="U1130" s="6" t="n">
        <v>0.60177227233788</v>
      </c>
      <c r="V1130" s="6" t="n">
        <v>0.802346736317329</v>
      </c>
      <c r="W1130" s="6" t="n">
        <v>2.8354366853395</v>
      </c>
      <c r="X1130" s="6" t="n">
        <v>1.55706586817157</v>
      </c>
      <c r="Y1130" s="6" t="n">
        <v>5</v>
      </c>
      <c r="Z1130" s="6" t="n">
        <v>-2.84313526746226</v>
      </c>
      <c r="AA1130" s="6" t="n">
        <v>-4.45074206705703</v>
      </c>
      <c r="AB1130" s="6" t="n">
        <v>-0.20314573543672</v>
      </c>
      <c r="AC1130" s="6" t="n">
        <v>-2.67966043933205</v>
      </c>
      <c r="AD1130" s="6" t="n">
        <v>-1.11764234129916</v>
      </c>
      <c r="AE1130" s="6" t="n">
        <v>-0.0248366949641732</v>
      </c>
      <c r="AF1130" s="6" t="n">
        <v>-0.574446643010296</v>
      </c>
      <c r="AG1130" s="6" t="n">
        <v>-1.61558668982712</v>
      </c>
      <c r="AH1130" s="6" t="n">
        <v>-0.595059261855547</v>
      </c>
      <c r="AI1130" s="6" t="n">
        <v>4.30448869225876</v>
      </c>
      <c r="AJ1130" s="6" t="n">
        <v>79.1024014112465</v>
      </c>
      <c r="AK1130" s="6" t="n">
        <v>0.0996297988046588</v>
      </c>
      <c r="AL1130" s="6" t="n">
        <v>1.05832436311538</v>
      </c>
      <c r="AN1130" s="6" t="n">
        <v>1.30023394304205</v>
      </c>
      <c r="AO1130" s="6" t="n">
        <v>1.30102498859647</v>
      </c>
      <c r="AP1130" s="6" t="n">
        <v>0.134113913249975</v>
      </c>
      <c r="AQ1130" s="6" t="n">
        <v>0</v>
      </c>
      <c r="AR1130" s="6" t="n">
        <v>0</v>
      </c>
    </row>
    <row r="1131" customFormat="false" ht="15" hidden="false" customHeight="false" outlineLevel="0" collapsed="false">
      <c r="D1131" s="0" t="s">
        <v>1257</v>
      </c>
      <c r="J1131" s="6" t="n">
        <v>1.05726810071711</v>
      </c>
      <c r="K1131" s="6" t="n">
        <v>0.285940091408339</v>
      </c>
      <c r="L1131" s="6" t="n">
        <v>-0.0459870636008611</v>
      </c>
      <c r="M1131" s="6" t="n">
        <v>0.0287336367639216</v>
      </c>
      <c r="N1131" s="6" t="n">
        <v>-0.695443964542158</v>
      </c>
      <c r="O1131" s="6" t="n">
        <v>-0.484398044329462</v>
      </c>
      <c r="P1131" s="6" t="n">
        <v>-1.96038012736664</v>
      </c>
      <c r="Q1131" s="6" t="n">
        <v>-0.53027091801281</v>
      </c>
      <c r="R1131" s="6" t="n">
        <v>3.54781196078904</v>
      </c>
      <c r="S1131" s="6" t="n">
        <v>3.73735007380702</v>
      </c>
      <c r="T1131" s="6" t="n">
        <v>0.111624873838149</v>
      </c>
      <c r="U1131" s="6" t="n">
        <v>-0.215136166402078</v>
      </c>
      <c r="V1131" s="6" t="n">
        <v>0.452299604196717</v>
      </c>
      <c r="W1131" s="6" t="n">
        <v>0.580164516990935</v>
      </c>
      <c r="X1131" s="6" t="n">
        <v>-0.385921518010281</v>
      </c>
      <c r="Y1131" s="6" t="n">
        <v>2.00180293552701</v>
      </c>
      <c r="Z1131" s="6" t="n">
        <v>-0.702850003071981</v>
      </c>
      <c r="AA1131" s="6" t="n">
        <v>2.52898438280745</v>
      </c>
      <c r="AB1131" s="6" t="n">
        <v>1.71832931182579</v>
      </c>
      <c r="AC1131" s="6" t="n">
        <v>-0.458697877644688</v>
      </c>
      <c r="AD1131" s="6" t="n">
        <v>3.59049832902616</v>
      </c>
      <c r="AE1131" s="6" t="n">
        <v>-1.42132087321824</v>
      </c>
      <c r="AF1131" s="6" t="n">
        <v>1.3191751202643</v>
      </c>
      <c r="AG1131" s="6" t="n">
        <v>-2.17822540942613</v>
      </c>
      <c r="AH1131" s="6" t="n">
        <v>0.513479553295515</v>
      </c>
      <c r="AI1131" s="6" t="n">
        <v>-0.891817332807273</v>
      </c>
      <c r="AJ1131" s="6" t="n">
        <v>68.7983022299221</v>
      </c>
      <c r="AK1131" s="6" t="n">
        <v>0.0702795743742717</v>
      </c>
      <c r="AL1131" s="6" t="n">
        <v>1.13132296232028</v>
      </c>
      <c r="AN1131" s="6" t="n">
        <v>1.27659489783377</v>
      </c>
      <c r="AO1131" s="6" t="n">
        <v>1.27689349624301</v>
      </c>
      <c r="AP1131" s="6" t="n">
        <v>0.130547288183142</v>
      </c>
      <c r="AQ1131" s="6" t="n">
        <v>0</v>
      </c>
      <c r="AR1131" s="6" t="n">
        <v>0</v>
      </c>
    </row>
    <row r="1132" customFormat="false" ht="15" hidden="false" customHeight="false" outlineLevel="0" collapsed="false">
      <c r="D1132" s="0" t="s">
        <v>1258</v>
      </c>
      <c r="J1132" s="6" t="n">
        <v>-0.073920564007243</v>
      </c>
      <c r="K1132" s="6" t="n">
        <v>-0.886820727999171</v>
      </c>
      <c r="L1132" s="6" t="n">
        <v>-2.11484465804997</v>
      </c>
      <c r="M1132" s="6" t="n">
        <v>-0.246271348535359</v>
      </c>
      <c r="N1132" s="6" t="n">
        <v>-4.0956962707603</v>
      </c>
      <c r="O1132" s="6" t="n">
        <v>2.89118881176946</v>
      </c>
      <c r="P1132" s="6" t="n">
        <v>0.387857769345208</v>
      </c>
      <c r="Q1132" s="6" t="n">
        <v>3.23267529563216</v>
      </c>
      <c r="R1132" s="6" t="n">
        <v>-0.773145595832208</v>
      </c>
      <c r="S1132" s="6" t="n">
        <v>2.55557860734769</v>
      </c>
      <c r="T1132" s="6" t="n">
        <v>-1.7072676757063</v>
      </c>
      <c r="U1132" s="6" t="n">
        <v>0.530142704902851</v>
      </c>
      <c r="V1132" s="6" t="n">
        <v>3.31220567869234</v>
      </c>
      <c r="W1132" s="6" t="n">
        <v>-2.29608349223902</v>
      </c>
      <c r="X1132" s="6" t="n">
        <v>0.763795150444957</v>
      </c>
      <c r="Y1132" s="6" t="n">
        <v>-0.334367142830875</v>
      </c>
      <c r="Z1132" s="6" t="n">
        <v>2.54472893003924</v>
      </c>
      <c r="AA1132" s="6" t="n">
        <v>-2.57598371451284</v>
      </c>
      <c r="AB1132" s="6" t="n">
        <v>-2.82457869688025</v>
      </c>
      <c r="AC1132" s="6" t="n">
        <v>-0.874454439283531</v>
      </c>
      <c r="AD1132" s="6" t="n">
        <v>1.25913624230731</v>
      </c>
      <c r="AE1132" s="6" t="n">
        <v>2.5106533616582</v>
      </c>
      <c r="AF1132" s="6" t="n">
        <v>0.925675464161778</v>
      </c>
      <c r="AG1132" s="6" t="n">
        <v>0.660419831946443</v>
      </c>
      <c r="AH1132" s="6" t="n">
        <v>-2.71281992856229</v>
      </c>
      <c r="AI1132" s="6" t="n">
        <v>0.528150295710049</v>
      </c>
      <c r="AJ1132" s="6" t="n">
        <v>81.0596836803871</v>
      </c>
      <c r="AK1132" s="6" t="n">
        <v>0.12561060920828</v>
      </c>
      <c r="AL1132" s="6" t="n">
        <v>1.01809408003373</v>
      </c>
      <c r="AN1132" s="6" t="n">
        <v>1.31625724829118</v>
      </c>
      <c r="AO1132" s="6" t="n">
        <v>1.31630663325582</v>
      </c>
      <c r="AP1132" s="6" t="n">
        <v>0.138848527919165</v>
      </c>
      <c r="AQ1132" s="6" t="n">
        <v>0</v>
      </c>
      <c r="AR1132" s="6" t="n">
        <v>0</v>
      </c>
    </row>
    <row r="1133" customFormat="false" ht="15" hidden="false" customHeight="false" outlineLevel="0" collapsed="false">
      <c r="D1133" s="0" t="s">
        <v>1259</v>
      </c>
      <c r="J1133" s="6" t="n">
        <v>4.29774266186564</v>
      </c>
      <c r="K1133" s="6" t="n">
        <v>0.174179923572543</v>
      </c>
      <c r="L1133" s="6" t="n">
        <v>-1.04319543494752</v>
      </c>
      <c r="M1133" s="6" t="n">
        <v>1.78087777948886</v>
      </c>
      <c r="N1133" s="6" t="n">
        <v>-0.430898282444182</v>
      </c>
      <c r="O1133" s="6" t="n">
        <v>1.64118965285073</v>
      </c>
      <c r="P1133" s="6" t="n">
        <v>0.688921298117758</v>
      </c>
      <c r="Q1133" s="6" t="n">
        <v>2.06549237373485</v>
      </c>
      <c r="R1133" s="6" t="n">
        <v>0.32594206225065</v>
      </c>
      <c r="S1133" s="6" t="n">
        <v>-0.744309525817373</v>
      </c>
      <c r="T1133" s="6" t="n">
        <v>4.0680608802909</v>
      </c>
      <c r="U1133" s="6" t="n">
        <v>3.70881610124218</v>
      </c>
      <c r="V1133" s="6" t="n">
        <v>2.52632935020667</v>
      </c>
      <c r="W1133" s="6" t="n">
        <v>-1.22413054565271</v>
      </c>
      <c r="X1133" s="6" t="n">
        <v>-3.74551146723525</v>
      </c>
      <c r="Y1133" s="6" t="n">
        <v>0.0895735572531532</v>
      </c>
      <c r="Z1133" s="6" t="n">
        <v>-1.2997125122988</v>
      </c>
      <c r="AA1133" s="6" t="n">
        <v>-0.59371527525102</v>
      </c>
      <c r="AB1133" s="6" t="n">
        <v>2.94120424443438</v>
      </c>
      <c r="AC1133" s="6" t="n">
        <v>-0.3774636394043</v>
      </c>
      <c r="AD1133" s="6" t="n">
        <v>-0.0960683163359283</v>
      </c>
      <c r="AE1133" s="6" t="n">
        <v>-1.30040080303918</v>
      </c>
      <c r="AF1133" s="6" t="n">
        <v>-2.3181137125981</v>
      </c>
      <c r="AG1133" s="6" t="n">
        <v>-0.387344086666637</v>
      </c>
      <c r="AH1133" s="6" t="n">
        <v>-2.13514868921194</v>
      </c>
      <c r="AI1133" s="6" t="n">
        <v>-1.58421676158278</v>
      </c>
      <c r="AJ1133" s="6" t="n">
        <v>77.2169080767496</v>
      </c>
      <c r="AK1133" s="6" t="n">
        <v>0.0874971352206538</v>
      </c>
      <c r="AL1133" s="6" t="n">
        <v>1.09458243801035</v>
      </c>
      <c r="AN1133" s="6" t="n">
        <v>1.28308462722313</v>
      </c>
      <c r="AO1133" s="6" t="n">
        <v>1.28357184712174</v>
      </c>
      <c r="AP1133" s="6" t="n">
        <v>0.132270434663242</v>
      </c>
      <c r="AQ1133" s="6" t="n">
        <v>0</v>
      </c>
      <c r="AR1133" s="6" t="n">
        <v>0</v>
      </c>
    </row>
    <row r="1134" customFormat="false" ht="15" hidden="false" customHeight="false" outlineLevel="0" collapsed="false">
      <c r="D1134" s="0" t="s">
        <v>1260</v>
      </c>
      <c r="J1134" s="6" t="n">
        <v>0.178462450679225</v>
      </c>
      <c r="K1134" s="6" t="n">
        <v>1.90471557977344</v>
      </c>
      <c r="L1134" s="6" t="n">
        <v>-3.05083582986403</v>
      </c>
      <c r="M1134" s="6" t="n">
        <v>0.223404744143751</v>
      </c>
      <c r="N1134" s="6" t="n">
        <v>-1.0456686957275</v>
      </c>
      <c r="O1134" s="6" t="n">
        <v>-0.182806745164806</v>
      </c>
      <c r="P1134" s="6" t="n">
        <v>2.06162738881583</v>
      </c>
      <c r="Q1134" s="6" t="n">
        <v>0.0896492107939229</v>
      </c>
      <c r="R1134" s="6" t="n">
        <v>-0.58657257283542</v>
      </c>
      <c r="S1134" s="6" t="n">
        <v>-0.386699468576833</v>
      </c>
      <c r="T1134" s="6" t="n">
        <v>2.833573454575</v>
      </c>
      <c r="U1134" s="6" t="n">
        <v>0.746371496912325</v>
      </c>
      <c r="V1134" s="6" t="n">
        <v>2.27699666452802</v>
      </c>
      <c r="W1134" s="6" t="n">
        <v>0.373600316302061</v>
      </c>
      <c r="X1134" s="6" t="n">
        <v>-1.78380978777784</v>
      </c>
      <c r="Y1134" s="6" t="n">
        <v>2.98476364417024</v>
      </c>
      <c r="Z1134" s="6" t="n">
        <v>4.1760516996719</v>
      </c>
      <c r="AA1134" s="6" t="n">
        <v>-3.8578963855047</v>
      </c>
      <c r="AB1134" s="6" t="n">
        <v>-0.913904400010657</v>
      </c>
      <c r="AC1134" s="6" t="n">
        <v>2.35811257965285</v>
      </c>
      <c r="AD1134" s="6" t="n">
        <v>0.413026911713949</v>
      </c>
      <c r="AE1134" s="6" t="n">
        <v>-2.26083509409926</v>
      </c>
      <c r="AF1134" s="6" t="n">
        <v>-0.0427739318865862</v>
      </c>
      <c r="AG1134" s="6" t="n">
        <v>-0.396703665527802</v>
      </c>
      <c r="AH1134" s="6" t="n">
        <v>-0.890405856924545</v>
      </c>
      <c r="AI1134" s="6" t="n">
        <v>-0.772091157708906</v>
      </c>
      <c r="AJ1134" s="6" t="n">
        <v>78.5521332182829</v>
      </c>
      <c r="AK1134" s="6" t="n">
        <v>0.165756439995307</v>
      </c>
      <c r="AL1134" s="6" t="n">
        <v>1.041817367783</v>
      </c>
      <c r="AN1134" s="6" t="n">
        <v>1.29661801010011</v>
      </c>
      <c r="AO1134" s="6" t="n">
        <v>1.29774522806901</v>
      </c>
      <c r="AP1134" s="6" t="n">
        <v>0.134313906355698</v>
      </c>
      <c r="AQ1134" s="6" t="n">
        <v>0</v>
      </c>
      <c r="AR1134" s="6" t="n">
        <v>0</v>
      </c>
    </row>
    <row r="1135" customFormat="false" ht="15" hidden="false" customHeight="false" outlineLevel="0" collapsed="false">
      <c r="D1135" s="0" t="s">
        <v>1261</v>
      </c>
      <c r="J1135" s="6" t="n">
        <v>0.607126755243036</v>
      </c>
      <c r="K1135" s="6" t="n">
        <v>1.19420113049481</v>
      </c>
      <c r="L1135" s="6" t="n">
        <v>1.37239221091947</v>
      </c>
      <c r="M1135" s="6" t="n">
        <v>-3.28883052296519</v>
      </c>
      <c r="N1135" s="6" t="n">
        <v>-0.602295795816943</v>
      </c>
      <c r="O1135" s="6" t="n">
        <v>0.459350951900216</v>
      </c>
      <c r="P1135" s="6" t="n">
        <v>1.82318285045259</v>
      </c>
      <c r="Q1135" s="6" t="n">
        <v>-0.679611124882502</v>
      </c>
      <c r="R1135" s="6" t="n">
        <v>-1.21272207980299</v>
      </c>
      <c r="S1135" s="6" t="n">
        <v>3.05328467081467</v>
      </c>
      <c r="T1135" s="6" t="n">
        <v>-0.563492638377288</v>
      </c>
      <c r="U1135" s="6" t="n">
        <v>2.77458837221792</v>
      </c>
      <c r="V1135" s="6" t="n">
        <v>-0.137429529367028</v>
      </c>
      <c r="W1135" s="6" t="n">
        <v>-0.889530191532498</v>
      </c>
      <c r="X1135" s="6" t="n">
        <v>0.563880601804199</v>
      </c>
      <c r="Y1135" s="6" t="n">
        <v>3.44089418667012</v>
      </c>
      <c r="Z1135" s="6" t="n">
        <v>0.202258080321882</v>
      </c>
      <c r="AA1135" s="6" t="n">
        <v>4.52498280738516</v>
      </c>
      <c r="AB1135" s="6" t="n">
        <v>1.68752771986834</v>
      </c>
      <c r="AC1135" s="6" t="n">
        <v>0.740072407441129</v>
      </c>
      <c r="AD1135" s="6" t="n">
        <v>-0.510648227805314</v>
      </c>
      <c r="AE1135" s="6" t="n">
        <v>2.90059038810233</v>
      </c>
      <c r="AF1135" s="6" t="n">
        <v>0.448603250547012</v>
      </c>
      <c r="AG1135" s="6" t="n">
        <v>-1.69854804822435</v>
      </c>
      <c r="AH1135" s="6" t="n">
        <v>-5.59435866624464</v>
      </c>
      <c r="AI1135" s="6" t="n">
        <v>-0.300879212157804</v>
      </c>
      <c r="AJ1135" s="6" t="n">
        <v>75.7865169750776</v>
      </c>
      <c r="AK1135" s="6" t="n">
        <v>0.10570750235599</v>
      </c>
      <c r="AL1135" s="6" t="n">
        <v>1.04430075100331</v>
      </c>
      <c r="AN1135" s="6" t="n">
        <v>1.30137668361023</v>
      </c>
      <c r="AO1135" s="6" t="n">
        <v>1.30193119737438</v>
      </c>
      <c r="AP1135" s="6" t="n">
        <v>0.134684614137274</v>
      </c>
      <c r="AQ1135" s="6" t="n">
        <v>0</v>
      </c>
      <c r="AR1135" s="6" t="n">
        <v>0</v>
      </c>
    </row>
    <row r="1136" customFormat="false" ht="15" hidden="false" customHeight="false" outlineLevel="0" collapsed="false">
      <c r="D1136" s="0" t="s">
        <v>1262</v>
      </c>
      <c r="J1136" s="6" t="n">
        <v>1.27866694228758</v>
      </c>
      <c r="K1136" s="6" t="n">
        <v>-0.975527065143688</v>
      </c>
      <c r="L1136" s="6" t="n">
        <v>1.09879894301608</v>
      </c>
      <c r="M1136" s="6" t="n">
        <v>-3.38490741186534</v>
      </c>
      <c r="N1136" s="6" t="n">
        <v>-2.25880385786686</v>
      </c>
      <c r="O1136" s="6" t="n">
        <v>0.533357734824523</v>
      </c>
      <c r="P1136" s="6" t="n">
        <v>0.689993674118337</v>
      </c>
      <c r="Q1136" s="6" t="n">
        <v>-0.466725791977365</v>
      </c>
      <c r="R1136" s="6" t="n">
        <v>-1.71326886280677</v>
      </c>
      <c r="S1136" s="6" t="n">
        <v>-1.46974783137874</v>
      </c>
      <c r="T1136" s="6" t="n">
        <v>-2.79626489575666</v>
      </c>
      <c r="U1136" s="6" t="n">
        <v>1.54280507236251</v>
      </c>
      <c r="V1136" s="6" t="n">
        <v>-1.24479375898437</v>
      </c>
      <c r="W1136" s="6" t="n">
        <v>1.71381365554156</v>
      </c>
      <c r="X1136" s="6" t="n">
        <v>-1.14948189719992</v>
      </c>
      <c r="Y1136" s="6" t="n">
        <v>1.205447082016</v>
      </c>
      <c r="Z1136" s="6" t="n">
        <v>-1.73925008715458</v>
      </c>
      <c r="AA1136" s="6" t="n">
        <v>-1.90440544666549</v>
      </c>
      <c r="AB1136" s="6" t="n">
        <v>2.05435448402507</v>
      </c>
      <c r="AC1136" s="6" t="n">
        <v>-0.774671512981228</v>
      </c>
      <c r="AD1136" s="6" t="n">
        <v>0.600834783595961</v>
      </c>
      <c r="AE1136" s="6" t="n">
        <v>-1.73279748144772</v>
      </c>
      <c r="AF1136" s="6" t="n">
        <v>3.21015397686749</v>
      </c>
      <c r="AG1136" s="6" t="n">
        <v>0.364747477082959</v>
      </c>
      <c r="AH1136" s="6" t="n">
        <v>-1.81199001196132</v>
      </c>
      <c r="AI1136" s="6" t="n">
        <v>-0.0324331226946387</v>
      </c>
      <c r="AJ1136" s="6" t="n">
        <v>73.8231333389854</v>
      </c>
      <c r="AK1136" s="6" t="n">
        <v>0.145659324603175</v>
      </c>
      <c r="AL1136" s="6" t="n">
        <v>1.06849032152789</v>
      </c>
      <c r="AN1136" s="6" t="n">
        <v>1.2850202165188</v>
      </c>
      <c r="AO1136" s="6" t="n">
        <v>1.28589646686691</v>
      </c>
      <c r="AP1136" s="6" t="n">
        <v>0.131604848174093</v>
      </c>
      <c r="AQ1136" s="6" t="n">
        <v>0</v>
      </c>
      <c r="AR1136" s="6" t="n">
        <v>0</v>
      </c>
    </row>
    <row r="1137" customFormat="false" ht="15" hidden="false" customHeight="false" outlineLevel="0" collapsed="false">
      <c r="D1137" s="0" t="s">
        <v>1263</v>
      </c>
      <c r="J1137" s="6" t="n">
        <v>-0.719527776957745</v>
      </c>
      <c r="K1137" s="6" t="n">
        <v>-2.29508916341244</v>
      </c>
      <c r="L1137" s="6" t="n">
        <v>2.25448717790653</v>
      </c>
      <c r="M1137" s="6" t="n">
        <v>1.5048087070552</v>
      </c>
      <c r="N1137" s="6" t="n">
        <v>-0.209940147766463</v>
      </c>
      <c r="O1137" s="6" t="n">
        <v>0.0506260674655827</v>
      </c>
      <c r="P1137" s="6" t="n">
        <v>-1.13561553842284</v>
      </c>
      <c r="Q1137" s="6" t="n">
        <v>-5.67595976658698</v>
      </c>
      <c r="R1137" s="6" t="n">
        <v>-1.84177823824957</v>
      </c>
      <c r="S1137" s="6" t="n">
        <v>-3.05110169570481</v>
      </c>
      <c r="T1137" s="6" t="n">
        <v>0.354887079242715</v>
      </c>
      <c r="U1137" s="6" t="n">
        <v>0.250048859771565</v>
      </c>
      <c r="V1137" s="6" t="n">
        <v>1.64321213430724</v>
      </c>
      <c r="W1137" s="6" t="n">
        <v>1.26847573935426</v>
      </c>
      <c r="X1137" s="6" t="n">
        <v>0.639848596227949</v>
      </c>
      <c r="Y1137" s="6" t="n">
        <v>2.03859757201303</v>
      </c>
      <c r="Z1137" s="6" t="n">
        <v>1.79792790491151</v>
      </c>
      <c r="AA1137" s="6" t="n">
        <v>-0.632441356170917</v>
      </c>
      <c r="AB1137" s="6" t="n">
        <v>0.958002758158817</v>
      </c>
      <c r="AC1137" s="6" t="n">
        <v>-0.775323424050677</v>
      </c>
      <c r="AD1137" s="6" t="n">
        <v>2.92463099070013</v>
      </c>
      <c r="AE1137" s="6" t="n">
        <v>-0.756146570137963</v>
      </c>
      <c r="AF1137" s="6" t="n">
        <v>4.18334195151074</v>
      </c>
      <c r="AG1137" s="6" t="n">
        <v>0.611489340219337</v>
      </c>
      <c r="AH1137" s="6" t="n">
        <v>-0.218699997659733</v>
      </c>
      <c r="AI1137" s="6" t="n">
        <v>-1.50489141476257</v>
      </c>
      <c r="AJ1137" s="6" t="n">
        <v>71.3652194235545</v>
      </c>
      <c r="AK1137" s="6" t="n">
        <v>0.125437149723728</v>
      </c>
      <c r="AL1137" s="6" t="n">
        <v>1.11204925579451</v>
      </c>
      <c r="AN1137" s="6" t="n">
        <v>1.27418518063087</v>
      </c>
      <c r="AO1137" s="6" t="n">
        <v>1.27485261218384</v>
      </c>
      <c r="AP1137" s="6" t="n">
        <v>0.129416385039792</v>
      </c>
      <c r="AQ1137" s="6" t="n">
        <v>0</v>
      </c>
      <c r="AR1137" s="6" t="n">
        <v>0</v>
      </c>
    </row>
    <row r="1138" customFormat="false" ht="15" hidden="false" customHeight="false" outlineLevel="0" collapsed="false">
      <c r="D1138" s="0" t="s">
        <v>1264</v>
      </c>
      <c r="J1138" s="6" t="n">
        <v>-1.99140124044311</v>
      </c>
      <c r="K1138" s="6" t="n">
        <v>-1.90699846849932</v>
      </c>
      <c r="L1138" s="6" t="n">
        <v>-1.9114937205431</v>
      </c>
      <c r="M1138" s="6" t="n">
        <v>-0.782223132763781</v>
      </c>
      <c r="N1138" s="6" t="n">
        <v>0.566582418866178</v>
      </c>
      <c r="O1138" s="6" t="n">
        <v>1.68769240490774</v>
      </c>
      <c r="P1138" s="6" t="n">
        <v>-2.86916623849275</v>
      </c>
      <c r="Q1138" s="6" t="n">
        <v>2.42631671832615</v>
      </c>
      <c r="R1138" s="6" t="n">
        <v>1.93805116649861</v>
      </c>
      <c r="S1138" s="6" t="n">
        <v>0.909422732821448</v>
      </c>
      <c r="T1138" s="6" t="n">
        <v>-2.4205071908549</v>
      </c>
      <c r="U1138" s="6" t="n">
        <v>-2.9211242148141</v>
      </c>
      <c r="V1138" s="6" t="n">
        <v>3.04500341160098</v>
      </c>
      <c r="W1138" s="6" t="n">
        <v>2.77262601016568</v>
      </c>
      <c r="X1138" s="6" t="n">
        <v>-0.400236179771695</v>
      </c>
      <c r="Y1138" s="6" t="n">
        <v>-2.12771162605725</v>
      </c>
      <c r="Z1138" s="6" t="n">
        <v>0.567338003720805</v>
      </c>
      <c r="AA1138" s="6" t="n">
        <v>-3.19629194966721</v>
      </c>
      <c r="AB1138" s="6" t="n">
        <v>-3.19899474747295</v>
      </c>
      <c r="AC1138" s="6" t="n">
        <v>2.34024263599268</v>
      </c>
      <c r="AD1138" s="6" t="n">
        <v>1.39559187815563</v>
      </c>
      <c r="AE1138" s="6" t="n">
        <v>-1.5933104686454</v>
      </c>
      <c r="AF1138" s="6" t="n">
        <v>3.67243017293679</v>
      </c>
      <c r="AG1138" s="6" t="n">
        <v>-1.22940260370143</v>
      </c>
      <c r="AH1138" s="6" t="n">
        <v>2.50577184267063</v>
      </c>
      <c r="AI1138" s="6" t="n">
        <v>-0.489315502203374</v>
      </c>
      <c r="AJ1138" s="6" t="n">
        <v>57.3017087190822</v>
      </c>
      <c r="AK1138" s="6" t="n">
        <v>0.0888641262809302</v>
      </c>
      <c r="AL1138" s="6" t="n">
        <v>1.02572648723856</v>
      </c>
      <c r="AN1138" s="6" t="n">
        <v>1.29984270924294</v>
      </c>
      <c r="AO1138" s="6" t="n">
        <v>1.30056229297912</v>
      </c>
      <c r="AP1138" s="6" t="n">
        <v>0.135941276864415</v>
      </c>
      <c r="AQ1138" s="6" t="n">
        <v>0</v>
      </c>
      <c r="AR1138" s="6" t="n">
        <v>0</v>
      </c>
    </row>
    <row r="1139" customFormat="false" ht="15" hidden="false" customHeight="false" outlineLevel="0" collapsed="false">
      <c r="D1139" s="0" t="s">
        <v>1265</v>
      </c>
      <c r="J1139" s="6" t="n">
        <v>0.635583462246791</v>
      </c>
      <c r="K1139" s="6" t="n">
        <v>-0.190113501079679</v>
      </c>
      <c r="L1139" s="6" t="n">
        <v>9.3022030748123E-005</v>
      </c>
      <c r="M1139" s="6" t="n">
        <v>-2.72837407655265</v>
      </c>
      <c r="N1139" s="6" t="n">
        <v>-0.350899115455866</v>
      </c>
      <c r="O1139" s="6" t="n">
        <v>3.40092014531649</v>
      </c>
      <c r="P1139" s="6" t="n">
        <v>-1.63192785415709</v>
      </c>
      <c r="Q1139" s="6" t="n">
        <v>0.23977435510913</v>
      </c>
      <c r="R1139" s="6" t="n">
        <v>2.06810242966059</v>
      </c>
      <c r="S1139" s="6" t="n">
        <v>2.37598946463509</v>
      </c>
      <c r="T1139" s="6" t="n">
        <v>2.79652213076253</v>
      </c>
      <c r="U1139" s="6" t="n">
        <v>1.07661719208105</v>
      </c>
      <c r="V1139" s="6" t="n">
        <v>-1.03756074311749</v>
      </c>
      <c r="W1139" s="6" t="n">
        <v>1.07969108150234</v>
      </c>
      <c r="X1139" s="6" t="n">
        <v>2.59603950993164</v>
      </c>
      <c r="Y1139" s="6" t="n">
        <v>-5.20094746947916</v>
      </c>
      <c r="Z1139" s="6" t="n">
        <v>-0.245882728376229</v>
      </c>
      <c r="AA1139" s="6" t="n">
        <v>1.51149185537529</v>
      </c>
      <c r="AB1139" s="6" t="n">
        <v>1.52885594382394</v>
      </c>
      <c r="AC1139" s="6" t="n">
        <v>2.41789649110098</v>
      </c>
      <c r="AD1139" s="6" t="n">
        <v>-2.22546329097667</v>
      </c>
      <c r="AE1139" s="6" t="n">
        <v>-0.87401502276795</v>
      </c>
      <c r="AF1139" s="6" t="n">
        <v>-1.63787002000446</v>
      </c>
      <c r="AG1139" s="6" t="n">
        <v>0.974430894913722</v>
      </c>
      <c r="AH1139" s="6" t="n">
        <v>-0.900267711325383</v>
      </c>
      <c r="AI1139" s="6" t="n">
        <v>1.83736236177801</v>
      </c>
      <c r="AJ1139" s="6" t="n">
        <v>79.2463356949345</v>
      </c>
      <c r="AK1139" s="6" t="n">
        <v>0.0850064896202965</v>
      </c>
      <c r="AL1139" s="6" t="n">
        <v>1.00944607898947</v>
      </c>
      <c r="AN1139" s="6" t="n">
        <v>1.31632369787572</v>
      </c>
      <c r="AO1139" s="6" t="n">
        <v>1.31632369787572</v>
      </c>
      <c r="AP1139" s="6" t="n">
        <v>0.140365459295526</v>
      </c>
      <c r="AQ1139" s="6" t="n">
        <v>0</v>
      </c>
      <c r="AR1139" s="6" t="n">
        <v>0</v>
      </c>
    </row>
    <row r="1140" customFormat="false" ht="15" hidden="false" customHeight="false" outlineLevel="0" collapsed="false">
      <c r="D1140" s="0" t="s">
        <v>1266</v>
      </c>
      <c r="J1140" s="6" t="n">
        <v>4.46536434576975</v>
      </c>
      <c r="K1140" s="6" t="n">
        <v>5</v>
      </c>
      <c r="L1140" s="6" t="n">
        <v>2.10011049796806</v>
      </c>
      <c r="M1140" s="6" t="n">
        <v>2.34849995823306</v>
      </c>
      <c r="N1140" s="6" t="n">
        <v>0.380085063684403</v>
      </c>
      <c r="O1140" s="6" t="n">
        <v>1.49375386233876</v>
      </c>
      <c r="P1140" s="6" t="n">
        <v>1.45581667256104</v>
      </c>
      <c r="Q1140" s="6" t="n">
        <v>-2.717231849734</v>
      </c>
      <c r="R1140" s="6" t="n">
        <v>0.480713732568354</v>
      </c>
      <c r="S1140" s="6" t="n">
        <v>1.23371855537772</v>
      </c>
      <c r="T1140" s="6" t="n">
        <v>1.88453661656632</v>
      </c>
      <c r="U1140" s="6" t="n">
        <v>1.94906326231363</v>
      </c>
      <c r="V1140" s="6" t="n">
        <v>3.32856140813864</v>
      </c>
      <c r="W1140" s="6" t="n">
        <v>-3.5420190666187</v>
      </c>
      <c r="X1140" s="6" t="n">
        <v>2.66422522105315</v>
      </c>
      <c r="Y1140" s="6" t="n">
        <v>-0.577931554099709</v>
      </c>
      <c r="Z1140" s="6" t="n">
        <v>-0.685547790576169</v>
      </c>
      <c r="AA1140" s="6" t="n">
        <v>1.73908116876488</v>
      </c>
      <c r="AB1140" s="6" t="n">
        <v>-3.46673702272081</v>
      </c>
      <c r="AC1140" s="6" t="n">
        <v>-2.57956879967743</v>
      </c>
      <c r="AD1140" s="6" t="n">
        <v>0.655044212887198</v>
      </c>
      <c r="AE1140" s="6" t="n">
        <v>-0.30073411588374</v>
      </c>
      <c r="AF1140" s="6" t="n">
        <v>2.16387619254514</v>
      </c>
      <c r="AG1140" s="6" t="n">
        <v>-1.62164281433143</v>
      </c>
      <c r="AH1140" s="6" t="n">
        <v>1.84520640506891</v>
      </c>
      <c r="AI1140" s="6" t="n">
        <v>0.675986832775998</v>
      </c>
      <c r="AJ1140" s="6" t="n">
        <v>71.2697592136515</v>
      </c>
      <c r="AK1140" s="6" t="n">
        <v>0.084242411374369</v>
      </c>
      <c r="AL1140" s="6" t="n">
        <v>1.05929009290365</v>
      </c>
      <c r="AN1140" s="6" t="n">
        <v>1.2938993280355</v>
      </c>
      <c r="AO1140" s="6" t="n">
        <v>1.29421915636785</v>
      </c>
      <c r="AP1140" s="6" t="n">
        <v>0.13375653504393</v>
      </c>
      <c r="AQ1140" s="6" t="n">
        <v>0</v>
      </c>
      <c r="AR1140" s="6" t="n">
        <v>0</v>
      </c>
    </row>
    <row r="1141" customFormat="false" ht="15" hidden="false" customHeight="false" outlineLevel="0" collapsed="false">
      <c r="D1141" s="0" t="s">
        <v>1267</v>
      </c>
      <c r="J1141" s="6" t="n">
        <v>-0.628346104417266</v>
      </c>
      <c r="K1141" s="6" t="n">
        <v>-0.606114091428787</v>
      </c>
      <c r="L1141" s="6" t="n">
        <v>5</v>
      </c>
      <c r="M1141" s="6" t="n">
        <v>3.50153851022047</v>
      </c>
      <c r="N1141" s="6" t="n">
        <v>1.10419541273205</v>
      </c>
      <c r="O1141" s="6" t="n">
        <v>-0.527609255703839</v>
      </c>
      <c r="P1141" s="6" t="n">
        <v>0.536157073534612</v>
      </c>
      <c r="Q1141" s="6" t="n">
        <v>-2.70694537412087</v>
      </c>
      <c r="R1141" s="6" t="n">
        <v>1.16301774170783</v>
      </c>
      <c r="S1141" s="6" t="n">
        <v>2.84072390316761</v>
      </c>
      <c r="T1141" s="6" t="n">
        <v>1.97985132911051</v>
      </c>
      <c r="U1141" s="6" t="n">
        <v>0.701162058652813</v>
      </c>
      <c r="V1141" s="6" t="n">
        <v>0.275043311820059</v>
      </c>
      <c r="W1141" s="6" t="n">
        <v>4.60179500985498</v>
      </c>
      <c r="X1141" s="6" t="n">
        <v>-0.879086654278479</v>
      </c>
      <c r="Y1141" s="6" t="n">
        <v>-3.5270964792073</v>
      </c>
      <c r="Z1141" s="6" t="n">
        <v>-2.09584303719286</v>
      </c>
      <c r="AA1141" s="6" t="n">
        <v>0.463407437750229</v>
      </c>
      <c r="AB1141" s="6" t="n">
        <v>0.121888597352143</v>
      </c>
      <c r="AC1141" s="6" t="n">
        <v>2.65045509816681</v>
      </c>
      <c r="AD1141" s="6" t="n">
        <v>0.540939549461557</v>
      </c>
      <c r="AE1141" s="6" t="n">
        <v>1.241931102455</v>
      </c>
      <c r="AF1141" s="6" t="n">
        <v>-0.50429427735614</v>
      </c>
      <c r="AG1141" s="6" t="n">
        <v>-0.67470819917488</v>
      </c>
      <c r="AH1141" s="6" t="n">
        <v>4.17478850019982</v>
      </c>
      <c r="AI1141" s="6" t="n">
        <v>3.2466539996725</v>
      </c>
      <c r="AJ1141" s="6" t="n">
        <v>64.1275674894876</v>
      </c>
      <c r="AK1141" s="6" t="n">
        <v>0.0890885380678855</v>
      </c>
      <c r="AL1141" s="6" t="n">
        <v>1.05912697268888</v>
      </c>
      <c r="AN1141" s="6" t="n">
        <v>1.29264352800559</v>
      </c>
      <c r="AO1141" s="6" t="n">
        <v>1.29320492068354</v>
      </c>
      <c r="AP1141" s="6" t="n">
        <v>0.13298147583139</v>
      </c>
      <c r="AQ1141" s="6" t="n">
        <v>0</v>
      </c>
      <c r="AR1141" s="6" t="n">
        <v>0</v>
      </c>
    </row>
    <row r="1142" customFormat="false" ht="15" hidden="false" customHeight="false" outlineLevel="0" collapsed="false">
      <c r="D1142" s="0" t="s">
        <v>1268</v>
      </c>
      <c r="J1142" s="6" t="n">
        <v>-2.40679471782981</v>
      </c>
      <c r="K1142" s="6" t="n">
        <v>0.551038891183252</v>
      </c>
      <c r="L1142" s="6" t="n">
        <v>-0.576133362480795</v>
      </c>
      <c r="M1142" s="6" t="n">
        <v>5</v>
      </c>
      <c r="N1142" s="6" t="n">
        <v>-2.45431093276112</v>
      </c>
      <c r="O1142" s="6" t="n">
        <v>-0.192777639787166</v>
      </c>
      <c r="P1142" s="6" t="n">
        <v>2.62785764143333</v>
      </c>
      <c r="Q1142" s="6" t="n">
        <v>-1.21021869213844</v>
      </c>
      <c r="R1142" s="6" t="n">
        <v>1.90225996469915</v>
      </c>
      <c r="S1142" s="6" t="n">
        <v>3.49069781806321</v>
      </c>
      <c r="T1142" s="6" t="n">
        <v>-0.216325534446172</v>
      </c>
      <c r="U1142" s="6" t="n">
        <v>-2.28859512820086</v>
      </c>
      <c r="V1142" s="6" t="n">
        <v>1.26336108459189</v>
      </c>
      <c r="W1142" s="6" t="n">
        <v>0.143426184600779</v>
      </c>
      <c r="X1142" s="6" t="n">
        <v>-0.139010172532585</v>
      </c>
      <c r="Y1142" s="6" t="n">
        <v>-1.13091682913997</v>
      </c>
      <c r="Z1142" s="6" t="n">
        <v>2.16776100082174</v>
      </c>
      <c r="AA1142" s="6" t="n">
        <v>-0.727265870818631</v>
      </c>
      <c r="AB1142" s="6" t="n">
        <v>-2.16193606736776</v>
      </c>
      <c r="AC1142" s="6" t="n">
        <v>-1.16521267565476</v>
      </c>
      <c r="AD1142" s="6" t="n">
        <v>-3.17822999452067</v>
      </c>
      <c r="AE1142" s="6" t="n">
        <v>0.557914705456041</v>
      </c>
      <c r="AF1142" s="6" t="n">
        <v>-0.917534003827143</v>
      </c>
      <c r="AG1142" s="6" t="n">
        <v>-0.495966964531074</v>
      </c>
      <c r="AH1142" s="6" t="n">
        <v>-1.4630968588778</v>
      </c>
      <c r="AI1142" s="6" t="n">
        <v>-1.68761584355212</v>
      </c>
      <c r="AJ1142" s="6" t="n">
        <v>80.1535921519559</v>
      </c>
      <c r="AK1142" s="6" t="n">
        <v>0.158988374438127</v>
      </c>
      <c r="AL1142" s="6" t="n">
        <v>1.05919659481083</v>
      </c>
      <c r="AN1142" s="6" t="n">
        <v>1.28926703944967</v>
      </c>
      <c r="AO1142" s="6" t="n">
        <v>1.29078088753049</v>
      </c>
      <c r="AP1142" s="6" t="n">
        <v>0.132672618738263</v>
      </c>
      <c r="AQ1142" s="6" t="n">
        <v>0</v>
      </c>
      <c r="AR1142" s="6" t="n">
        <v>0</v>
      </c>
    </row>
    <row r="1143" customFormat="false" ht="15" hidden="false" customHeight="false" outlineLevel="0" collapsed="false">
      <c r="D1143" s="0" t="s">
        <v>1269</v>
      </c>
      <c r="J1143" s="6" t="n">
        <v>-2.25189812306811</v>
      </c>
      <c r="K1143" s="6" t="n">
        <v>3.49008324580725</v>
      </c>
      <c r="L1143" s="6" t="n">
        <v>-2.9009019557455</v>
      </c>
      <c r="M1143" s="6" t="n">
        <v>-0.790692772359313</v>
      </c>
      <c r="N1143" s="6" t="n">
        <v>0.988008683161673</v>
      </c>
      <c r="O1143" s="6" t="n">
        <v>2.4629813253953</v>
      </c>
      <c r="P1143" s="6" t="n">
        <v>2.03308363009241</v>
      </c>
      <c r="Q1143" s="6" t="n">
        <v>1.72879699700224</v>
      </c>
      <c r="R1143" s="6" t="n">
        <v>-2.9354636198082</v>
      </c>
      <c r="S1143" s="6" t="n">
        <v>-0.575204933250351</v>
      </c>
      <c r="T1143" s="6" t="n">
        <v>-1.39619749857961</v>
      </c>
      <c r="U1143" s="6" t="n">
        <v>-1.0870825655243</v>
      </c>
      <c r="V1143" s="6" t="n">
        <v>-2.03511248149638</v>
      </c>
      <c r="W1143" s="6" t="n">
        <v>-1.25529255623598</v>
      </c>
      <c r="X1143" s="6" t="n">
        <v>0.136477072583056</v>
      </c>
      <c r="Y1143" s="6" t="n">
        <v>2.75132444479998</v>
      </c>
      <c r="Z1143" s="6" t="n">
        <v>-0.833435557341796</v>
      </c>
      <c r="AA1143" s="6" t="n">
        <v>1.57717123571031</v>
      </c>
      <c r="AB1143" s="6" t="n">
        <v>1.11539571883749</v>
      </c>
      <c r="AC1143" s="6" t="n">
        <v>1.68984776717905</v>
      </c>
      <c r="AD1143" s="6" t="n">
        <v>0.167679193838698</v>
      </c>
      <c r="AE1143" s="6" t="n">
        <v>-0.299709553458794</v>
      </c>
      <c r="AF1143" s="6" t="n">
        <v>3.21172220455616</v>
      </c>
      <c r="AG1143" s="6" t="n">
        <v>-0.245213590310673</v>
      </c>
      <c r="AH1143" s="6" t="n">
        <v>2.01627585999418</v>
      </c>
      <c r="AI1143" s="6" t="n">
        <v>-1.17508166299425</v>
      </c>
      <c r="AJ1143" s="6" t="n">
        <v>67.7161459562097</v>
      </c>
      <c r="AK1143" s="6" t="n">
        <v>0.108498731441501</v>
      </c>
      <c r="AL1143" s="6" t="n">
        <v>1.09837346985281</v>
      </c>
      <c r="AN1143" s="6" t="n">
        <v>1.27584693498887</v>
      </c>
      <c r="AO1143" s="6" t="n">
        <v>1.27628095914166</v>
      </c>
      <c r="AP1143" s="6" t="n">
        <v>0.131116306884896</v>
      </c>
      <c r="AQ1143" s="6" t="n">
        <v>0</v>
      </c>
      <c r="AR1143" s="6" t="n">
        <v>0</v>
      </c>
    </row>
    <row r="1144" customFormat="false" ht="15" hidden="false" customHeight="false" outlineLevel="0" collapsed="false">
      <c r="D1144" s="0" t="s">
        <v>1270</v>
      </c>
      <c r="J1144" s="6" t="n">
        <v>0.787189109392465</v>
      </c>
      <c r="K1144" s="6" t="n">
        <v>-0.324921394972148</v>
      </c>
      <c r="L1144" s="6" t="n">
        <v>0.0152994350386269</v>
      </c>
      <c r="M1144" s="6" t="n">
        <v>-0.729692989949536</v>
      </c>
      <c r="N1144" s="6" t="n">
        <v>0.546912910681042</v>
      </c>
      <c r="O1144" s="6" t="n">
        <v>1.89939920303659</v>
      </c>
      <c r="P1144" s="6" t="n">
        <v>2.2253019719675</v>
      </c>
      <c r="Q1144" s="6" t="n">
        <v>2.66368706532132</v>
      </c>
      <c r="R1144" s="6" t="n">
        <v>1.81285846512045</v>
      </c>
      <c r="S1144" s="6" t="n">
        <v>1.9642230567812</v>
      </c>
      <c r="T1144" s="6" t="n">
        <v>1.55173425259902</v>
      </c>
      <c r="U1144" s="6" t="n">
        <v>3.47159140853823</v>
      </c>
      <c r="V1144" s="6" t="n">
        <v>-0.887821111011701</v>
      </c>
      <c r="W1144" s="6" t="n">
        <v>-2.24177574182255</v>
      </c>
      <c r="X1144" s="6" t="n">
        <v>0.39625141900627</v>
      </c>
      <c r="Y1144" s="6" t="n">
        <v>1.28948645554444</v>
      </c>
      <c r="Z1144" s="6" t="n">
        <v>-0.459580437617143</v>
      </c>
      <c r="AA1144" s="6" t="n">
        <v>-1.42759970441533</v>
      </c>
      <c r="AB1144" s="6" t="n">
        <v>1.09761964989515</v>
      </c>
      <c r="AC1144" s="6" t="n">
        <v>1.21204453168002</v>
      </c>
      <c r="AD1144" s="6" t="n">
        <v>-0.923710732668856</v>
      </c>
      <c r="AE1144" s="6" t="n">
        <v>-2.44964815536435</v>
      </c>
      <c r="AF1144" s="6" t="n">
        <v>3.85141445120594</v>
      </c>
      <c r="AG1144" s="6" t="n">
        <v>2.61379785097036</v>
      </c>
      <c r="AH1144" s="6" t="n">
        <v>-1.20796209547617</v>
      </c>
      <c r="AI1144" s="6" t="n">
        <v>-0.999879660263105</v>
      </c>
      <c r="AJ1144" s="6" t="n">
        <v>78.2613886548037</v>
      </c>
      <c r="AK1144" s="6" t="n">
        <v>0.142556978846473</v>
      </c>
      <c r="AL1144" s="6" t="n">
        <v>1.04176664905024</v>
      </c>
      <c r="AN1144" s="6" t="n">
        <v>1.2981385441384</v>
      </c>
      <c r="AO1144" s="6" t="n">
        <v>1.29838428539028</v>
      </c>
      <c r="AP1144" s="6" t="n">
        <v>0.134890503405106</v>
      </c>
      <c r="AQ1144" s="6" t="n">
        <v>0</v>
      </c>
      <c r="AR1144" s="6" t="n">
        <v>0</v>
      </c>
    </row>
    <row r="1145" customFormat="false" ht="15" hidden="false" customHeight="false" outlineLevel="0" collapsed="false">
      <c r="D1145" s="0" t="s">
        <v>1271</v>
      </c>
      <c r="J1145" s="6" t="n">
        <v>-0.0261102820255184</v>
      </c>
      <c r="K1145" s="6" t="n">
        <v>3.486713309451</v>
      </c>
      <c r="L1145" s="6" t="n">
        <v>-0.88350043407819</v>
      </c>
      <c r="M1145" s="6" t="n">
        <v>-0.0608332814571078</v>
      </c>
      <c r="N1145" s="6" t="n">
        <v>1.81629106764629</v>
      </c>
      <c r="O1145" s="6" t="n">
        <v>-3.99125874818004</v>
      </c>
      <c r="P1145" s="6" t="n">
        <v>1.3113268813804</v>
      </c>
      <c r="Q1145" s="6" t="n">
        <v>-2.81843199275642</v>
      </c>
      <c r="R1145" s="6" t="n">
        <v>3.71489721889444</v>
      </c>
      <c r="S1145" s="6" t="n">
        <v>1.67204893068436</v>
      </c>
      <c r="T1145" s="6" t="n">
        <v>-0.223838361383598</v>
      </c>
      <c r="U1145" s="6" t="n">
        <v>1.43695563804676</v>
      </c>
      <c r="V1145" s="6" t="n">
        <v>1.52620013015487</v>
      </c>
      <c r="W1145" s="6" t="n">
        <v>3.31925097046323</v>
      </c>
      <c r="X1145" s="6" t="n">
        <v>-1.67278405523874</v>
      </c>
      <c r="Y1145" s="6" t="n">
        <v>0.781959184613613</v>
      </c>
      <c r="Z1145" s="6" t="n">
        <v>0.480302656666816</v>
      </c>
      <c r="AA1145" s="6" t="n">
        <v>3.65206592991412</v>
      </c>
      <c r="AB1145" s="6" t="n">
        <v>-1.23305055267155</v>
      </c>
      <c r="AC1145" s="6" t="n">
        <v>-1.71583430560962</v>
      </c>
      <c r="AD1145" s="6" t="n">
        <v>1.34040993331613</v>
      </c>
      <c r="AE1145" s="6" t="n">
        <v>-0.381781310482841</v>
      </c>
      <c r="AF1145" s="6" t="n">
        <v>2.43601348541417</v>
      </c>
      <c r="AG1145" s="6" t="n">
        <v>0.809480930532204</v>
      </c>
      <c r="AH1145" s="6" t="n">
        <v>0.491181150796354</v>
      </c>
      <c r="AI1145" s="6" t="n">
        <v>0.66944720095369</v>
      </c>
      <c r="AJ1145" s="6" t="n">
        <v>75.3713001309745</v>
      </c>
      <c r="AK1145" s="6" t="n">
        <v>0.0624626877429135</v>
      </c>
      <c r="AL1145" s="6" t="n">
        <v>1.08737248386253</v>
      </c>
      <c r="AN1145" s="6" t="n">
        <v>1.28215274308914</v>
      </c>
      <c r="AO1145" s="6" t="n">
        <v>1.28536935145159</v>
      </c>
      <c r="AP1145" s="6" t="n">
        <v>0.132790364976064</v>
      </c>
      <c r="AQ1145" s="6" t="n">
        <v>0</v>
      </c>
      <c r="AR1145" s="6" t="n">
        <v>0</v>
      </c>
    </row>
    <row r="1146" customFormat="false" ht="15" hidden="false" customHeight="false" outlineLevel="0" collapsed="false">
      <c r="D1146" s="0" t="s">
        <v>1272</v>
      </c>
      <c r="J1146" s="6" t="n">
        <v>0.634492891295147</v>
      </c>
      <c r="K1146" s="6" t="n">
        <v>5</v>
      </c>
      <c r="L1146" s="6" t="n">
        <v>-0.924397367531353</v>
      </c>
      <c r="M1146" s="6" t="n">
        <v>-0.691717005139147</v>
      </c>
      <c r="N1146" s="6" t="n">
        <v>-1.92081348028637</v>
      </c>
      <c r="O1146" s="6" t="n">
        <v>-2.03371971285566</v>
      </c>
      <c r="P1146" s="6" t="n">
        <v>2.10848805679797</v>
      </c>
      <c r="Q1146" s="6" t="n">
        <v>-0.858679643745115</v>
      </c>
      <c r="R1146" s="6" t="n">
        <v>-1.66069318605692</v>
      </c>
      <c r="S1146" s="6" t="n">
        <v>1.52947031466242</v>
      </c>
      <c r="T1146" s="6" t="n">
        <v>-0.792488394437438</v>
      </c>
      <c r="U1146" s="6" t="n">
        <v>-2.53317749903265</v>
      </c>
      <c r="V1146" s="6" t="n">
        <v>0.591022267036727</v>
      </c>
      <c r="W1146" s="6" t="n">
        <v>-1.7022567865375</v>
      </c>
      <c r="X1146" s="6" t="n">
        <v>2.28846832411596</v>
      </c>
      <c r="Y1146" s="6" t="n">
        <v>0.154219317643965</v>
      </c>
      <c r="Z1146" s="6" t="n">
        <v>-1.73501299076493</v>
      </c>
      <c r="AA1146" s="6" t="n">
        <v>-1.2320467683194</v>
      </c>
      <c r="AB1146" s="6" t="n">
        <v>-0.0577759078553175</v>
      </c>
      <c r="AC1146" s="6" t="n">
        <v>-0.95702486899426</v>
      </c>
      <c r="AD1146" s="6" t="n">
        <v>0.665618193899957</v>
      </c>
      <c r="AE1146" s="6" t="n">
        <v>0.899376378351043</v>
      </c>
      <c r="AF1146" s="6" t="n">
        <v>1.5835480322545</v>
      </c>
      <c r="AG1146" s="6" t="n">
        <v>-3.83466507392635</v>
      </c>
      <c r="AH1146" s="6" t="n">
        <v>0.326521018490731</v>
      </c>
      <c r="AI1146" s="6" t="n">
        <v>-0.574292406760667</v>
      </c>
      <c r="AJ1146" s="6" t="n">
        <v>62.7213561678704</v>
      </c>
      <c r="AK1146" s="6" t="n">
        <v>0.0926984799026636</v>
      </c>
      <c r="AL1146" s="6" t="n">
        <v>1.11356066078705</v>
      </c>
      <c r="AN1146" s="6" t="n">
        <v>1.27549827228959</v>
      </c>
      <c r="AO1146" s="6" t="n">
        <v>1.2758418141954</v>
      </c>
      <c r="AP1146" s="6" t="n">
        <v>0.130290719247247</v>
      </c>
      <c r="AQ1146" s="6" t="n">
        <v>0</v>
      </c>
      <c r="AR1146" s="6" t="n">
        <v>0</v>
      </c>
    </row>
    <row r="1147" customFormat="false" ht="15" hidden="false" customHeight="false" outlineLevel="0" collapsed="false">
      <c r="D1147" s="0" t="s">
        <v>1273</v>
      </c>
      <c r="J1147" s="6" t="n">
        <v>-1.21239178118784</v>
      </c>
      <c r="K1147" s="6" t="n">
        <v>-4.00298519212781</v>
      </c>
      <c r="L1147" s="6" t="n">
        <v>-1.48428595121938</v>
      </c>
      <c r="M1147" s="6" t="n">
        <v>-5.7136199789713</v>
      </c>
      <c r="N1147" s="6" t="n">
        <v>1.25643134056952</v>
      </c>
      <c r="O1147" s="6" t="n">
        <v>-2.52500419657261</v>
      </c>
      <c r="P1147" s="6" t="n">
        <v>1.46588738581978</v>
      </c>
      <c r="Q1147" s="6" t="n">
        <v>0.156237617134272</v>
      </c>
      <c r="R1147" s="6" t="n">
        <v>1.60208409840697</v>
      </c>
      <c r="S1147" s="6" t="n">
        <v>0.951369145230837</v>
      </c>
      <c r="T1147" s="6" t="n">
        <v>0.233143057492482</v>
      </c>
      <c r="U1147" s="6" t="n">
        <v>-0.540623822605733</v>
      </c>
      <c r="V1147" s="6" t="n">
        <v>1.10053936216375</v>
      </c>
      <c r="W1147" s="6" t="n">
        <v>-3.36417106132794</v>
      </c>
      <c r="X1147" s="6" t="n">
        <v>0.841246129722351</v>
      </c>
      <c r="Y1147" s="6" t="n">
        <v>-2.28053382642712</v>
      </c>
      <c r="Z1147" s="6" t="n">
        <v>-2.78272247031754</v>
      </c>
      <c r="AA1147" s="6" t="n">
        <v>0.079493290919191</v>
      </c>
      <c r="AB1147" s="6" t="n">
        <v>-0.119996736624629</v>
      </c>
      <c r="AC1147" s="6" t="n">
        <v>-1.06224879128359</v>
      </c>
      <c r="AD1147" s="6" t="n">
        <v>-1.25475125231601</v>
      </c>
      <c r="AE1147" s="6" t="n">
        <v>-0.769770542486026</v>
      </c>
      <c r="AF1147" s="6" t="n">
        <v>0.786997671683531</v>
      </c>
      <c r="AG1147" s="6" t="n">
        <v>-0.524574158164017</v>
      </c>
      <c r="AH1147" s="6" t="n">
        <v>4.34311473547952</v>
      </c>
      <c r="AI1147" s="6" t="n">
        <v>2.65149576059976</v>
      </c>
      <c r="AJ1147" s="6" t="n">
        <v>66.9892895398561</v>
      </c>
      <c r="AK1147" s="6" t="n">
        <v>0.103415896106839</v>
      </c>
      <c r="AL1147" s="6" t="n">
        <v>1.03484547019816</v>
      </c>
      <c r="AN1147" s="6" t="n">
        <v>1.2810767299368</v>
      </c>
      <c r="AO1147" s="6" t="n">
        <v>1.29302525228895</v>
      </c>
      <c r="AP1147" s="6" t="n">
        <v>0.134519801763189</v>
      </c>
      <c r="AQ1147" s="6" t="n">
        <v>0</v>
      </c>
      <c r="AR1147" s="6" t="n">
        <v>0</v>
      </c>
    </row>
    <row r="1148" customFormat="false" ht="15" hidden="false" customHeight="false" outlineLevel="0" collapsed="false">
      <c r="D1148" s="0" t="s">
        <v>1274</v>
      </c>
      <c r="J1148" s="6" t="n">
        <v>-0.05601971800113</v>
      </c>
      <c r="K1148" s="6" t="n">
        <v>0.0287784456223859</v>
      </c>
      <c r="L1148" s="6" t="n">
        <v>-1.75763759757378</v>
      </c>
      <c r="M1148" s="6" t="n">
        <v>0.477269787144333</v>
      </c>
      <c r="N1148" s="6" t="n">
        <v>-0.413391135504605</v>
      </c>
      <c r="O1148" s="6" t="n">
        <v>0.266765679607665</v>
      </c>
      <c r="P1148" s="6" t="n">
        <v>-0.54742340339</v>
      </c>
      <c r="Q1148" s="6" t="n">
        <v>0.594452008295825</v>
      </c>
      <c r="R1148" s="6" t="n">
        <v>-6.01006005932285</v>
      </c>
      <c r="S1148" s="6" t="n">
        <v>0.669588600928586</v>
      </c>
      <c r="T1148" s="6" t="n">
        <v>2.03348583605482</v>
      </c>
      <c r="U1148" s="6" t="n">
        <v>-2.37120568904981</v>
      </c>
      <c r="V1148" s="6" t="n">
        <v>-0.371259393546664</v>
      </c>
      <c r="W1148" s="6" t="n">
        <v>0.36717790702683</v>
      </c>
      <c r="X1148" s="6" t="n">
        <v>2.53237630337131</v>
      </c>
      <c r="Y1148" s="6" t="n">
        <v>1.18574055385967</v>
      </c>
      <c r="Z1148" s="6" t="n">
        <v>2.61017260530712</v>
      </c>
      <c r="AA1148" s="6" t="n">
        <v>-2.47626645493088</v>
      </c>
      <c r="AB1148" s="6" t="n">
        <v>-0.713983221723252</v>
      </c>
      <c r="AC1148" s="6" t="n">
        <v>1.80718029333054</v>
      </c>
      <c r="AD1148" s="6" t="n">
        <v>0.197130224854121</v>
      </c>
      <c r="AE1148" s="6" t="n">
        <v>-1.72355668239199</v>
      </c>
      <c r="AF1148" s="6" t="n">
        <v>-1.2083744844813</v>
      </c>
      <c r="AG1148" s="6" t="n">
        <v>-0.335534621736251</v>
      </c>
      <c r="AH1148" s="6" t="n">
        <v>1.88666479985212</v>
      </c>
      <c r="AI1148" s="6" t="n">
        <v>-1.61263766589796</v>
      </c>
      <c r="AJ1148" s="6" t="n">
        <v>73.9404139867273</v>
      </c>
      <c r="AK1148" s="6" t="n">
        <v>0.163823149953738</v>
      </c>
      <c r="AL1148" s="6" t="n">
        <v>1.02936869301088</v>
      </c>
      <c r="AN1148" s="6" t="n">
        <v>1.30242958036173</v>
      </c>
      <c r="AO1148" s="6" t="n">
        <v>1.30253022359143</v>
      </c>
      <c r="AP1148" s="6" t="n">
        <v>0.135265985863737</v>
      </c>
      <c r="AQ1148" s="6" t="n">
        <v>0</v>
      </c>
      <c r="AR1148" s="6" t="n">
        <v>0</v>
      </c>
    </row>
    <row r="1149" customFormat="false" ht="15" hidden="false" customHeight="false" outlineLevel="0" collapsed="false">
      <c r="D1149" s="0" t="s">
        <v>1275</v>
      </c>
      <c r="J1149" s="6" t="n">
        <v>-2.52740531849834</v>
      </c>
      <c r="K1149" s="6" t="n">
        <v>-0.381587998688686</v>
      </c>
      <c r="L1149" s="6" t="n">
        <v>1.11319716034812</v>
      </c>
      <c r="M1149" s="6" t="n">
        <v>-2.81863211022251</v>
      </c>
      <c r="N1149" s="6" t="n">
        <v>2.69036216012982</v>
      </c>
      <c r="O1149" s="6" t="n">
        <v>0.910219802361178</v>
      </c>
      <c r="P1149" s="6" t="n">
        <v>-3.6425821172365</v>
      </c>
      <c r="Q1149" s="6" t="n">
        <v>-2.64801329904092</v>
      </c>
      <c r="R1149" s="6" t="n">
        <v>-0.264274337797824</v>
      </c>
      <c r="S1149" s="6" t="n">
        <v>2.85487995325775</v>
      </c>
      <c r="T1149" s="6" t="n">
        <v>-1.03372793363468</v>
      </c>
      <c r="U1149" s="6" t="n">
        <v>-1.66215759802547</v>
      </c>
      <c r="V1149" s="6" t="n">
        <v>2.42240534467811</v>
      </c>
      <c r="W1149" s="6" t="n">
        <v>-0.437167229802424</v>
      </c>
      <c r="X1149" s="6" t="n">
        <v>1.06100759582931</v>
      </c>
      <c r="Y1149" s="6" t="n">
        <v>4.58796848894644</v>
      </c>
      <c r="Z1149" s="6" t="n">
        <v>0.0338172953617894</v>
      </c>
      <c r="AA1149" s="6" t="n">
        <v>-1.20157112518963</v>
      </c>
      <c r="AB1149" s="6" t="n">
        <v>-0.321030159247262</v>
      </c>
      <c r="AC1149" s="6" t="n">
        <v>1.68764946789097</v>
      </c>
      <c r="AD1149" s="6" t="n">
        <v>-2.87220682394245</v>
      </c>
      <c r="AE1149" s="6" t="n">
        <v>-1.54797720794485</v>
      </c>
      <c r="AF1149" s="6" t="n">
        <v>1.19818686104678</v>
      </c>
      <c r="AG1149" s="6" t="n">
        <v>0.885291001631437</v>
      </c>
      <c r="AH1149" s="6" t="n">
        <v>-2.03958998909074</v>
      </c>
      <c r="AI1149" s="6" t="n">
        <v>3.57933667937192</v>
      </c>
      <c r="AJ1149" s="6" t="n">
        <v>74.8264802502695</v>
      </c>
      <c r="AK1149" s="6" t="n">
        <v>0.151246000626929</v>
      </c>
      <c r="AL1149" s="6" t="n">
        <v>1.04252739863245</v>
      </c>
      <c r="AN1149" s="6" t="n">
        <v>1.29728340889018</v>
      </c>
      <c r="AO1149" s="6" t="n">
        <v>1.29777384405487</v>
      </c>
      <c r="AP1149" s="6" t="n">
        <v>0.133718297222259</v>
      </c>
      <c r="AQ1149" s="6" t="n">
        <v>0</v>
      </c>
      <c r="AR1149" s="6" t="n">
        <v>0</v>
      </c>
    </row>
    <row r="1150" customFormat="false" ht="15" hidden="false" customHeight="false" outlineLevel="0" collapsed="false">
      <c r="D1150" s="0" t="s">
        <v>1276</v>
      </c>
      <c r="J1150" s="6" t="n">
        <v>2.70672242957756</v>
      </c>
      <c r="K1150" s="6" t="n">
        <v>0.466778458155268</v>
      </c>
      <c r="L1150" s="6" t="n">
        <v>1.80480707734091</v>
      </c>
      <c r="M1150" s="6" t="n">
        <v>2.32335454325876</v>
      </c>
      <c r="N1150" s="6" t="n">
        <v>2.2245708985024</v>
      </c>
      <c r="O1150" s="6" t="n">
        <v>-1.90759288994106</v>
      </c>
      <c r="P1150" s="6" t="n">
        <v>-1.96524429344589</v>
      </c>
      <c r="Q1150" s="6" t="n">
        <v>-3.89282223565784</v>
      </c>
      <c r="R1150" s="6" t="n">
        <v>-1.21737386050214</v>
      </c>
      <c r="S1150" s="6" t="n">
        <v>-5.0664171749708</v>
      </c>
      <c r="T1150" s="6" t="n">
        <v>0.657271563330381</v>
      </c>
      <c r="U1150" s="6" t="n">
        <v>-1.78302799186239</v>
      </c>
      <c r="V1150" s="6" t="n">
        <v>0.872039305560293</v>
      </c>
      <c r="W1150" s="6" t="n">
        <v>-0.80048254368041</v>
      </c>
      <c r="X1150" s="6" t="n">
        <v>-1.47811044786666</v>
      </c>
      <c r="Y1150" s="6" t="n">
        <v>0.352458612707608</v>
      </c>
      <c r="Z1150" s="6" t="n">
        <v>-0.151400204447461</v>
      </c>
      <c r="AA1150" s="6" t="n">
        <v>-2.02411719543901</v>
      </c>
      <c r="AB1150" s="6" t="n">
        <v>-2.46352363656015</v>
      </c>
      <c r="AC1150" s="6" t="n">
        <v>-1.01745339900949</v>
      </c>
      <c r="AD1150" s="6" t="n">
        <v>3.42354733478224</v>
      </c>
      <c r="AE1150" s="6" t="n">
        <v>-0.229734664302178</v>
      </c>
      <c r="AF1150" s="6" t="n">
        <v>-1.77950589275986</v>
      </c>
      <c r="AG1150" s="6" t="n">
        <v>-1.57394778206842</v>
      </c>
      <c r="AH1150" s="6" t="n">
        <v>-1.12083805966707</v>
      </c>
      <c r="AI1150" s="6" t="n">
        <v>0.568881148640481</v>
      </c>
      <c r="AJ1150" s="6" t="n">
        <v>67.0595706820281</v>
      </c>
      <c r="AK1150" s="6" t="n">
        <v>0.0774901875008603</v>
      </c>
      <c r="AL1150" s="6" t="n">
        <v>1.03238339833931</v>
      </c>
      <c r="AN1150" s="6" t="n">
        <v>1.30635896112254</v>
      </c>
      <c r="AO1150" s="6" t="n">
        <v>1.30740258825894</v>
      </c>
      <c r="AP1150" s="6" t="n">
        <v>0.13576471620051</v>
      </c>
      <c r="AQ1150" s="6" t="n">
        <v>0</v>
      </c>
      <c r="AR1150" s="6" t="n">
        <v>0</v>
      </c>
    </row>
    <row r="1151" customFormat="false" ht="15" hidden="false" customHeight="false" outlineLevel="0" collapsed="false">
      <c r="D1151" s="0" t="s">
        <v>1277</v>
      </c>
      <c r="J1151" s="6" t="n">
        <v>2.82874442037644</v>
      </c>
      <c r="K1151" s="6" t="n">
        <v>0.101640966559307</v>
      </c>
      <c r="L1151" s="6" t="n">
        <v>-3.42359401106696</v>
      </c>
      <c r="M1151" s="6" t="n">
        <v>-4.1191071740717</v>
      </c>
      <c r="N1151" s="6" t="n">
        <v>-0.705592077151591</v>
      </c>
      <c r="O1151" s="6" t="n">
        <v>0.196219516766753</v>
      </c>
      <c r="P1151" s="6" t="n">
        <v>2.34659628631523</v>
      </c>
      <c r="Q1151" s="6" t="n">
        <v>0.193596305212283</v>
      </c>
      <c r="R1151" s="6" t="n">
        <v>2.70669424415481</v>
      </c>
      <c r="S1151" s="6" t="n">
        <v>-3.34888308178516</v>
      </c>
      <c r="T1151" s="6" t="n">
        <v>-0.839413216013824</v>
      </c>
      <c r="U1151" s="6" t="n">
        <v>4.08835612105625</v>
      </c>
      <c r="V1151" s="6" t="n">
        <v>1.53723150371457</v>
      </c>
      <c r="W1151" s="6" t="n">
        <v>-3.06557250389311</v>
      </c>
      <c r="X1151" s="6" t="n">
        <v>-2.18479658523999</v>
      </c>
      <c r="Y1151" s="6" t="n">
        <v>-0.974060940564567</v>
      </c>
      <c r="Z1151" s="6" t="n">
        <v>-1.69244648780111</v>
      </c>
      <c r="AA1151" s="6" t="n">
        <v>0.156352727610985</v>
      </c>
      <c r="AB1151" s="6" t="n">
        <v>2.30301360681357</v>
      </c>
      <c r="AC1151" s="6" t="n">
        <v>-1.84367972282212</v>
      </c>
      <c r="AD1151" s="6" t="n">
        <v>-2.00867277112332</v>
      </c>
      <c r="AE1151" s="6" t="n">
        <v>0.990148463646642</v>
      </c>
      <c r="AF1151" s="6" t="n">
        <v>-1.10685243287785</v>
      </c>
      <c r="AG1151" s="6" t="n">
        <v>-3.1390931965294</v>
      </c>
      <c r="AH1151" s="6" t="n">
        <v>2.56780527792181</v>
      </c>
      <c r="AI1151" s="6" t="n">
        <v>3.4112817049163</v>
      </c>
      <c r="AJ1151" s="6" t="n">
        <v>65.6992816604059</v>
      </c>
      <c r="AK1151" s="6" t="n">
        <v>0.128859962648543</v>
      </c>
      <c r="AL1151" s="6" t="n">
        <v>1.02661583961215</v>
      </c>
      <c r="AN1151" s="6" t="n">
        <v>1.30146613718451</v>
      </c>
      <c r="AO1151" s="6" t="n">
        <v>1.30278542795692</v>
      </c>
      <c r="AP1151" s="6" t="n">
        <v>0.13502392795362</v>
      </c>
      <c r="AQ1151" s="6" t="n">
        <v>0</v>
      </c>
      <c r="AR1151" s="6" t="n">
        <v>0</v>
      </c>
    </row>
    <row r="1152" customFormat="false" ht="15" hidden="false" customHeight="false" outlineLevel="0" collapsed="false">
      <c r="D1152" s="0" t="s">
        <v>1278</v>
      </c>
      <c r="J1152" s="6" t="n">
        <v>-0.891429978177222</v>
      </c>
      <c r="K1152" s="6" t="n">
        <v>0.26348389106824</v>
      </c>
      <c r="L1152" s="6" t="n">
        <v>-0.693646527559684</v>
      </c>
      <c r="M1152" s="6" t="n">
        <v>-3.40192965210082</v>
      </c>
      <c r="N1152" s="6" t="n">
        <v>0.938106557066935</v>
      </c>
      <c r="O1152" s="6" t="n">
        <v>0.697306288301505</v>
      </c>
      <c r="P1152" s="6" t="n">
        <v>-2.18907827770963</v>
      </c>
      <c r="Q1152" s="6" t="n">
        <v>1.10042476822599</v>
      </c>
      <c r="R1152" s="6" t="n">
        <v>-0.25698041252296</v>
      </c>
      <c r="S1152" s="6" t="n">
        <v>1.35753111908493</v>
      </c>
      <c r="T1152" s="6" t="n">
        <v>1.19535716796648</v>
      </c>
      <c r="U1152" s="6" t="n">
        <v>-2.85672736557291</v>
      </c>
      <c r="V1152" s="6" t="n">
        <v>-0.509923547663362</v>
      </c>
      <c r="W1152" s="6" t="n">
        <v>-2.11107114574964</v>
      </c>
      <c r="X1152" s="6" t="n">
        <v>0.35331787474372</v>
      </c>
      <c r="Y1152" s="6" t="n">
        <v>1.6222788615773</v>
      </c>
      <c r="Z1152" s="6" t="n">
        <v>1.42218362609509</v>
      </c>
      <c r="AA1152" s="6" t="n">
        <v>-0.526875303999525</v>
      </c>
      <c r="AB1152" s="6" t="n">
        <v>-1.96111428390471</v>
      </c>
      <c r="AC1152" s="6" t="n">
        <v>-2.20084936149908</v>
      </c>
      <c r="AD1152" s="6" t="n">
        <v>-0.155013861510345</v>
      </c>
      <c r="AE1152" s="6" t="n">
        <v>-1.27557352456831</v>
      </c>
      <c r="AF1152" s="6" t="n">
        <v>-1.58356253732853</v>
      </c>
      <c r="AG1152" s="6" t="n">
        <v>0.645309708012236</v>
      </c>
      <c r="AH1152" s="6" t="n">
        <v>-3.13363067307658</v>
      </c>
      <c r="AI1152" s="6" t="n">
        <v>1.88109915513864</v>
      </c>
      <c r="AJ1152" s="6" t="n">
        <v>83.1022040498024</v>
      </c>
      <c r="AK1152" s="6" t="n">
        <v>0.122692734952734</v>
      </c>
      <c r="AL1152" s="6" t="n">
        <v>1.09803191548073</v>
      </c>
      <c r="AN1152" s="6" t="n">
        <v>1.28141620031078</v>
      </c>
      <c r="AO1152" s="6" t="n">
        <v>1.28172669261248</v>
      </c>
      <c r="AP1152" s="6" t="n">
        <v>0.130904600995737</v>
      </c>
      <c r="AQ1152" s="6" t="n">
        <v>0</v>
      </c>
      <c r="AR1152" s="6" t="n">
        <v>0</v>
      </c>
    </row>
    <row r="1153" customFormat="false" ht="15" hidden="false" customHeight="false" outlineLevel="0" collapsed="false">
      <c r="D1153" s="0" t="s">
        <v>1279</v>
      </c>
      <c r="J1153" s="6" t="n">
        <v>-1.06396499994531</v>
      </c>
      <c r="K1153" s="6" t="n">
        <v>0.981834580669797</v>
      </c>
      <c r="L1153" s="6" t="n">
        <v>0.708560321739391</v>
      </c>
      <c r="M1153" s="6" t="n">
        <v>-1.95995902846967</v>
      </c>
      <c r="N1153" s="6" t="n">
        <v>-0.398710214935319</v>
      </c>
      <c r="O1153" s="6" t="n">
        <v>-0.946635761702725</v>
      </c>
      <c r="P1153" s="6" t="n">
        <v>-1.30551240508076</v>
      </c>
      <c r="Q1153" s="6" t="n">
        <v>-0.102614734678048</v>
      </c>
      <c r="R1153" s="6" t="n">
        <v>0.241614977187331</v>
      </c>
      <c r="S1153" s="6" t="n">
        <v>-0.043847694440979</v>
      </c>
      <c r="T1153" s="6" t="n">
        <v>-0.176130508358587</v>
      </c>
      <c r="U1153" s="6" t="n">
        <v>0.426694287212142</v>
      </c>
      <c r="V1153" s="6" t="n">
        <v>-0.727911739391575</v>
      </c>
      <c r="W1153" s="6" t="n">
        <v>0.352807967670818</v>
      </c>
      <c r="X1153" s="6" t="n">
        <v>1.91890638371546</v>
      </c>
      <c r="Y1153" s="6" t="n">
        <v>-2.25733275363631</v>
      </c>
      <c r="Z1153" s="6" t="n">
        <v>1.41863496634929</v>
      </c>
      <c r="AA1153" s="6" t="n">
        <v>0.433523752232958</v>
      </c>
      <c r="AB1153" s="6" t="n">
        <v>-2.41635558653183</v>
      </c>
      <c r="AC1153" s="6" t="n">
        <v>-0.269257713848215</v>
      </c>
      <c r="AD1153" s="6" t="n">
        <v>1.75534203218518</v>
      </c>
      <c r="AE1153" s="6" t="n">
        <v>2.11195312243419</v>
      </c>
      <c r="AF1153" s="6" t="n">
        <v>2.67770873311245</v>
      </c>
      <c r="AG1153" s="6" t="n">
        <v>-0.906671203481186</v>
      </c>
      <c r="AH1153" s="6" t="n">
        <v>-1.47802221498205</v>
      </c>
      <c r="AI1153" s="6" t="n">
        <v>-0.142932926752575</v>
      </c>
      <c r="AJ1153" s="6" t="n">
        <v>74.9577825195894</v>
      </c>
      <c r="AK1153" s="6" t="n">
        <v>0.120666586598603</v>
      </c>
      <c r="AL1153" s="6" t="n">
        <v>1.03117278150447</v>
      </c>
      <c r="AN1153" s="6" t="n">
        <v>1.30882637132219</v>
      </c>
      <c r="AO1153" s="6" t="n">
        <v>1.30884627986895</v>
      </c>
      <c r="AP1153" s="6" t="n">
        <v>0.136162974213189</v>
      </c>
      <c r="AQ1153" s="6" t="n">
        <v>0</v>
      </c>
      <c r="AR1153" s="6" t="n">
        <v>0</v>
      </c>
    </row>
    <row r="1154" customFormat="false" ht="15" hidden="false" customHeight="false" outlineLevel="0" collapsed="false">
      <c r="D1154" s="0" t="s">
        <v>1280</v>
      </c>
      <c r="J1154" s="6" t="n">
        <v>0.400235202437796</v>
      </c>
      <c r="K1154" s="6" t="n">
        <v>-0.707875514279042</v>
      </c>
      <c r="L1154" s="6" t="n">
        <v>0.538228821816582</v>
      </c>
      <c r="M1154" s="6" t="n">
        <v>0.353748206845712</v>
      </c>
      <c r="N1154" s="6" t="n">
        <v>1.53660929007524</v>
      </c>
      <c r="O1154" s="6" t="n">
        <v>5</v>
      </c>
      <c r="P1154" s="6" t="n">
        <v>3.76102788042743</v>
      </c>
      <c r="Q1154" s="6" t="n">
        <v>-0.646009031335637</v>
      </c>
      <c r="R1154" s="6" t="n">
        <v>-0.929000548626655</v>
      </c>
      <c r="S1154" s="6" t="n">
        <v>0.0701416642799063</v>
      </c>
      <c r="T1154" s="6" t="n">
        <v>0.565331895223266</v>
      </c>
      <c r="U1154" s="6" t="n">
        <v>-1.23834011133889</v>
      </c>
      <c r="V1154" s="6" t="n">
        <v>-1.9465654304211</v>
      </c>
      <c r="W1154" s="6" t="n">
        <v>-2.81205450203216</v>
      </c>
      <c r="X1154" s="6" t="n">
        <v>-0.897620381754194</v>
      </c>
      <c r="Y1154" s="6" t="n">
        <v>1.65196642330733</v>
      </c>
      <c r="Z1154" s="6" t="n">
        <v>0.659329894156226</v>
      </c>
      <c r="AA1154" s="6" t="n">
        <v>-1.17468423840539</v>
      </c>
      <c r="AB1154" s="6" t="n">
        <v>-3.13565986859218</v>
      </c>
      <c r="AC1154" s="6" t="n">
        <v>2.94435132953234</v>
      </c>
      <c r="AD1154" s="6" t="n">
        <v>-0.0168716366123904</v>
      </c>
      <c r="AE1154" s="6" t="n">
        <v>1.85359684569757</v>
      </c>
      <c r="AF1154" s="6" t="n">
        <v>-0.886224479587099</v>
      </c>
      <c r="AG1154" s="6" t="n">
        <v>0.547873790127114</v>
      </c>
      <c r="AH1154" s="6" t="n">
        <v>4.16148201143173</v>
      </c>
      <c r="AI1154" s="6" t="n">
        <v>1.74362012659124</v>
      </c>
      <c r="AJ1154" s="6" t="n">
        <v>78.1792934104765</v>
      </c>
      <c r="AK1154" s="6" t="n">
        <v>0.101017002499038</v>
      </c>
      <c r="AL1154" s="6" t="n">
        <v>1.08585890593181</v>
      </c>
      <c r="AN1154" s="6" t="n">
        <v>1.28858179443766</v>
      </c>
      <c r="AO1154" s="6" t="n">
        <v>1.28872623006287</v>
      </c>
      <c r="AP1154" s="6" t="n">
        <v>0.132359355084884</v>
      </c>
      <c r="AQ1154" s="6" t="n">
        <v>0</v>
      </c>
      <c r="AR1154" s="6" t="n">
        <v>0</v>
      </c>
    </row>
    <row r="1155" customFormat="false" ht="15" hidden="false" customHeight="false" outlineLevel="0" collapsed="false">
      <c r="D1155" s="0" t="s">
        <v>1281</v>
      </c>
      <c r="J1155" s="6" t="n">
        <v>-1.98382587643007</v>
      </c>
      <c r="K1155" s="6" t="n">
        <v>-1.27494471295339</v>
      </c>
      <c r="L1155" s="6" t="n">
        <v>1.05919764625927</v>
      </c>
      <c r="M1155" s="6" t="n">
        <v>-1.45160559871546</v>
      </c>
      <c r="N1155" s="6" t="n">
        <v>1.94303065913031</v>
      </c>
      <c r="O1155" s="6" t="n">
        <v>-3.36111831205295</v>
      </c>
      <c r="P1155" s="6" t="n">
        <v>-3.60362641136697</v>
      </c>
      <c r="Q1155" s="6" t="n">
        <v>0.335245304838864</v>
      </c>
      <c r="R1155" s="6" t="n">
        <v>1.60683765817317</v>
      </c>
      <c r="S1155" s="6" t="n">
        <v>0.568121060401848</v>
      </c>
      <c r="T1155" s="6" t="n">
        <v>0.89649527321581</v>
      </c>
      <c r="U1155" s="6" t="n">
        <v>2.04113509228611</v>
      </c>
      <c r="V1155" s="6" t="n">
        <v>0.49296476398782</v>
      </c>
      <c r="W1155" s="6" t="n">
        <v>3.43961551958566</v>
      </c>
      <c r="X1155" s="6" t="n">
        <v>-0.305142467513867</v>
      </c>
      <c r="Y1155" s="6" t="n">
        <v>1.49244957558156</v>
      </c>
      <c r="Z1155" s="6" t="n">
        <v>0.389643653496711</v>
      </c>
      <c r="AA1155" s="6" t="n">
        <v>-2.43879481876651</v>
      </c>
      <c r="AB1155" s="6" t="n">
        <v>-1.55221116570162</v>
      </c>
      <c r="AC1155" s="6" t="n">
        <v>0.015585382832069</v>
      </c>
      <c r="AD1155" s="6" t="n">
        <v>-2.12715630733382</v>
      </c>
      <c r="AE1155" s="6" t="n">
        <v>-1.28513793532447</v>
      </c>
      <c r="AF1155" s="6" t="n">
        <v>1.0216559940564</v>
      </c>
      <c r="AG1155" s="6" t="n">
        <v>1.90991754415419</v>
      </c>
      <c r="AH1155" s="6" t="n">
        <v>-2.02942804176168</v>
      </c>
      <c r="AI1155" s="6" t="n">
        <v>2.0420549242594</v>
      </c>
      <c r="AJ1155" s="6" t="n">
        <v>82.304220233056</v>
      </c>
      <c r="AK1155" s="6" t="n">
        <v>0.176391372418171</v>
      </c>
      <c r="AL1155" s="6" t="n">
        <v>1.04449000389302</v>
      </c>
      <c r="AN1155" s="6" t="n">
        <v>1.29551183078136</v>
      </c>
      <c r="AO1155" s="6" t="n">
        <v>1.29577635703095</v>
      </c>
      <c r="AP1155" s="6" t="n">
        <v>0.133947737161528</v>
      </c>
      <c r="AQ1155" s="6" t="n">
        <v>0</v>
      </c>
      <c r="AR1155" s="6" t="n">
        <v>0</v>
      </c>
    </row>
    <row r="1156" customFormat="false" ht="15" hidden="false" customHeight="false" outlineLevel="0" collapsed="false">
      <c r="D1156" s="0" t="s">
        <v>1282</v>
      </c>
      <c r="J1156" s="6" t="n">
        <v>1.80484407396548</v>
      </c>
      <c r="K1156" s="6" t="n">
        <v>0.870045480264094</v>
      </c>
      <c r="L1156" s="6" t="n">
        <v>0.766422672915875</v>
      </c>
      <c r="M1156" s="6" t="n">
        <v>0.245827795561695</v>
      </c>
      <c r="N1156" s="6" t="n">
        <v>-2.45292025646804</v>
      </c>
      <c r="O1156" s="6" t="n">
        <v>1.9364885374719</v>
      </c>
      <c r="P1156" s="6" t="n">
        <v>3.59849015122909</v>
      </c>
      <c r="Q1156" s="6" t="n">
        <v>1.98160283980889</v>
      </c>
      <c r="R1156" s="6" t="n">
        <v>-1.50969343791067</v>
      </c>
      <c r="S1156" s="6" t="n">
        <v>0.690393020663526</v>
      </c>
      <c r="T1156" s="6" t="n">
        <v>0.453804741211299</v>
      </c>
      <c r="U1156" s="6" t="n">
        <v>0.111813502263225</v>
      </c>
      <c r="V1156" s="6" t="n">
        <v>-2.02304518916544</v>
      </c>
      <c r="W1156" s="6" t="n">
        <v>-0.369748125711206</v>
      </c>
      <c r="X1156" s="6" t="n">
        <v>-0.913570468157042</v>
      </c>
      <c r="Y1156" s="6" t="n">
        <v>-1.62002342500473</v>
      </c>
      <c r="Z1156" s="6" t="n">
        <v>2.86148424944228</v>
      </c>
      <c r="AA1156" s="6" t="n">
        <v>-5.05430159303509</v>
      </c>
      <c r="AB1156" s="6" t="n">
        <v>-4.10151874500155</v>
      </c>
      <c r="AC1156" s="6" t="n">
        <v>0.726008724478824</v>
      </c>
      <c r="AD1156" s="6" t="n">
        <v>-0.44719455986896</v>
      </c>
      <c r="AE1156" s="6" t="n">
        <v>0.451896070552003</v>
      </c>
      <c r="AF1156" s="6" t="n">
        <v>-1.20453235874117</v>
      </c>
      <c r="AG1156" s="6" t="n">
        <v>1.11386058557251</v>
      </c>
      <c r="AH1156" s="6" t="n">
        <v>-3.52925203434706</v>
      </c>
      <c r="AI1156" s="6" t="n">
        <v>2.67675682443041</v>
      </c>
      <c r="AJ1156" s="6" t="n">
        <v>61.1291017083872</v>
      </c>
      <c r="AK1156" s="6" t="n">
        <v>0.161035208025038</v>
      </c>
      <c r="AL1156" s="6" t="n">
        <v>1.03538284939134</v>
      </c>
      <c r="AN1156" s="6" t="n">
        <v>1.29083906880773</v>
      </c>
      <c r="AO1156" s="6" t="n">
        <v>1.29088715864477</v>
      </c>
      <c r="AP1156" s="6" t="n">
        <v>0.133735189968304</v>
      </c>
      <c r="AQ1156" s="6" t="n">
        <v>0</v>
      </c>
      <c r="AR1156" s="6" t="n">
        <v>0</v>
      </c>
    </row>
    <row r="1157" customFormat="false" ht="15" hidden="false" customHeight="false" outlineLevel="0" collapsed="false">
      <c r="D1157" s="0" t="s">
        <v>1283</v>
      </c>
      <c r="J1157" s="6" t="n">
        <v>-0.463822936625134</v>
      </c>
      <c r="K1157" s="6" t="n">
        <v>-2.50845431626599</v>
      </c>
      <c r="L1157" s="6" t="n">
        <v>-1.95819852423416</v>
      </c>
      <c r="M1157" s="6" t="n">
        <v>-4.1450925500056</v>
      </c>
      <c r="N1157" s="6" t="n">
        <v>0.472984156460727</v>
      </c>
      <c r="O1157" s="6" t="n">
        <v>-3.08559768585236</v>
      </c>
      <c r="P1157" s="6" t="n">
        <v>-0.508288916712594</v>
      </c>
      <c r="Q1157" s="6" t="n">
        <v>-4.47761609824493</v>
      </c>
      <c r="R1157" s="6" t="n">
        <v>-0.971717282635207</v>
      </c>
      <c r="S1157" s="6" t="n">
        <v>1.65000016468069</v>
      </c>
      <c r="T1157" s="6" t="n">
        <v>0.996977921534632</v>
      </c>
      <c r="U1157" s="6" t="n">
        <v>0.701878737743856</v>
      </c>
      <c r="V1157" s="6" t="n">
        <v>0.254832679671002</v>
      </c>
      <c r="W1157" s="6" t="n">
        <v>1.24615834922273</v>
      </c>
      <c r="X1157" s="6" t="n">
        <v>-1.17733744975522</v>
      </c>
      <c r="Y1157" s="6" t="n">
        <v>-0.30645864442202</v>
      </c>
      <c r="Z1157" s="6" t="n">
        <v>2.43980209972871</v>
      </c>
      <c r="AA1157" s="6" t="n">
        <v>-3.08261935088153</v>
      </c>
      <c r="AB1157" s="6" t="n">
        <v>-1.89102169719377</v>
      </c>
      <c r="AC1157" s="6" t="n">
        <v>1.62573987267758</v>
      </c>
      <c r="AD1157" s="6" t="n">
        <v>-0.468342980718993</v>
      </c>
      <c r="AE1157" s="6" t="n">
        <v>1.52937592201085</v>
      </c>
      <c r="AF1157" s="6" t="n">
        <v>-1.68697995435904</v>
      </c>
      <c r="AG1157" s="6" t="n">
        <v>1.66675543961143</v>
      </c>
      <c r="AH1157" s="6" t="n">
        <v>0.662834297463495</v>
      </c>
      <c r="AI1157" s="6" t="n">
        <v>3.33250120500028</v>
      </c>
      <c r="AJ1157" s="6" t="n">
        <v>77.839899548487</v>
      </c>
      <c r="AK1157" s="6" t="n">
        <v>0.0544723107848023</v>
      </c>
      <c r="AL1157" s="6" t="n">
        <v>0.987849603882818</v>
      </c>
      <c r="AN1157" s="6" t="n">
        <v>1.32088269826156</v>
      </c>
      <c r="AO1157" s="6" t="n">
        <v>1.32088269826156</v>
      </c>
      <c r="AP1157" s="6" t="n">
        <v>0.144684739012473</v>
      </c>
      <c r="AQ1157" s="6" t="n">
        <v>0</v>
      </c>
      <c r="AR1157" s="6" t="n">
        <v>0</v>
      </c>
    </row>
    <row r="1158" customFormat="false" ht="15" hidden="false" customHeight="false" outlineLevel="0" collapsed="false">
      <c r="D1158" s="0" t="s">
        <v>1284</v>
      </c>
      <c r="J1158" s="6" t="n">
        <v>2.11823165509394</v>
      </c>
      <c r="K1158" s="6" t="n">
        <v>-0.0676860166478365</v>
      </c>
      <c r="L1158" s="6" t="n">
        <v>-0.321419974849575</v>
      </c>
      <c r="M1158" s="6" t="n">
        <v>1.79785770213955</v>
      </c>
      <c r="N1158" s="6" t="n">
        <v>2.06675396304708</v>
      </c>
      <c r="O1158" s="6" t="n">
        <v>1.49003479643853</v>
      </c>
      <c r="P1158" s="6" t="n">
        <v>1.12205819738545</v>
      </c>
      <c r="Q1158" s="6" t="n">
        <v>-2.11867612214423</v>
      </c>
      <c r="R1158" s="6" t="n">
        <v>-1.58770275098578</v>
      </c>
      <c r="S1158" s="6" t="n">
        <v>-0.592750778698444</v>
      </c>
      <c r="T1158" s="6" t="n">
        <v>-2.6381280292945</v>
      </c>
      <c r="U1158" s="6" t="n">
        <v>-0.929446966936498</v>
      </c>
      <c r="V1158" s="6" t="n">
        <v>-1.11582598344221</v>
      </c>
      <c r="W1158" s="6" t="n">
        <v>0.304544788209886</v>
      </c>
      <c r="X1158" s="6" t="n">
        <v>1.04056833974232</v>
      </c>
      <c r="Y1158" s="6" t="n">
        <v>-0.624144044590753</v>
      </c>
      <c r="Z1158" s="6" t="n">
        <v>-2.19820459539735</v>
      </c>
      <c r="AA1158" s="6" t="n">
        <v>-0.104588694041205</v>
      </c>
      <c r="AB1158" s="6" t="n">
        <v>2.45522317097892</v>
      </c>
      <c r="AC1158" s="6" t="n">
        <v>0.354368505984734</v>
      </c>
      <c r="AD1158" s="6" t="n">
        <v>1.39295293509173</v>
      </c>
      <c r="AE1158" s="6" t="n">
        <v>0.51885804875345</v>
      </c>
      <c r="AF1158" s="6" t="n">
        <v>0.410964970378866</v>
      </c>
      <c r="AG1158" s="6" t="n">
        <v>-2.06851745143929</v>
      </c>
      <c r="AH1158" s="6" t="n">
        <v>-0.268919247945804</v>
      </c>
      <c r="AI1158" s="6" t="n">
        <v>-1.28142150043589</v>
      </c>
      <c r="AJ1158" s="6" t="n">
        <v>73.2199451138767</v>
      </c>
      <c r="AK1158" s="6" t="n">
        <v>0.132310891658645</v>
      </c>
      <c r="AL1158" s="6" t="n">
        <v>1.05256780434458</v>
      </c>
      <c r="AN1158" s="6" t="n">
        <v>1.29204422770659</v>
      </c>
      <c r="AO1158" s="6" t="n">
        <v>1.29258462930865</v>
      </c>
      <c r="AP1158" s="6" t="n">
        <v>0.133319622183795</v>
      </c>
      <c r="AQ1158" s="6" t="n">
        <v>0</v>
      </c>
      <c r="AR1158" s="6" t="n">
        <v>0</v>
      </c>
    </row>
    <row r="1159" customFormat="false" ht="15" hidden="false" customHeight="false" outlineLevel="0" collapsed="false">
      <c r="D1159" s="0" t="s">
        <v>1285</v>
      </c>
      <c r="J1159" s="6" t="n">
        <v>-1.6830046312691</v>
      </c>
      <c r="K1159" s="6" t="n">
        <v>-1.27681496564905</v>
      </c>
      <c r="L1159" s="6" t="n">
        <v>-1.46886692995217</v>
      </c>
      <c r="M1159" s="6" t="n">
        <v>-0.63991243682009</v>
      </c>
      <c r="N1159" s="6" t="n">
        <v>-0.502446215769001</v>
      </c>
      <c r="O1159" s="6" t="n">
        <v>0.625959188288048</v>
      </c>
      <c r="P1159" s="6" t="n">
        <v>1.53940508884025</v>
      </c>
      <c r="Q1159" s="6" t="n">
        <v>1.64561835586406</v>
      </c>
      <c r="R1159" s="6" t="n">
        <v>0.215689940391755</v>
      </c>
      <c r="S1159" s="6" t="n">
        <v>0.439484356094495</v>
      </c>
      <c r="T1159" s="6" t="n">
        <v>-1.65450057699307</v>
      </c>
      <c r="U1159" s="6" t="n">
        <v>3.32378925481107</v>
      </c>
      <c r="V1159" s="6" t="n">
        <v>-1.32990034360515</v>
      </c>
      <c r="W1159" s="6" t="n">
        <v>-1.35425835640302</v>
      </c>
      <c r="X1159" s="6" t="n">
        <v>0.521763215166833</v>
      </c>
      <c r="Y1159" s="6" t="n">
        <v>4.38288391897469</v>
      </c>
      <c r="Z1159" s="6" t="n">
        <v>-3.33284431953476</v>
      </c>
      <c r="AA1159" s="6" t="n">
        <v>0.304819072725087</v>
      </c>
      <c r="AB1159" s="6" t="n">
        <v>-0.404860615477897</v>
      </c>
      <c r="AC1159" s="6" t="n">
        <v>-0.313166409726439</v>
      </c>
      <c r="AD1159" s="6" t="n">
        <v>-2.9606045599111</v>
      </c>
      <c r="AE1159" s="6" t="n">
        <v>1.16117721796842</v>
      </c>
      <c r="AF1159" s="6" t="n">
        <v>2.38798287344822</v>
      </c>
      <c r="AG1159" s="6" t="n">
        <v>-4.97415444283756</v>
      </c>
      <c r="AH1159" s="6" t="n">
        <v>-0.653125040840448</v>
      </c>
      <c r="AI1159" s="6" t="n">
        <v>-0.0829859453004042</v>
      </c>
      <c r="AJ1159" s="6" t="n">
        <v>78.3021942636002</v>
      </c>
      <c r="AK1159" s="6" t="n">
        <v>0.0960401910692805</v>
      </c>
      <c r="AL1159" s="6" t="n">
        <v>1.03589881787069</v>
      </c>
      <c r="AN1159" s="6" t="n">
        <v>1.308546679623</v>
      </c>
      <c r="AO1159" s="6" t="n">
        <v>1.30875215462235</v>
      </c>
      <c r="AP1159" s="6" t="n">
        <v>0.136929474091625</v>
      </c>
      <c r="AQ1159" s="6" t="n">
        <v>0</v>
      </c>
      <c r="AR1159" s="6" t="n">
        <v>0</v>
      </c>
    </row>
    <row r="1160" customFormat="false" ht="15" hidden="false" customHeight="false" outlineLevel="0" collapsed="false">
      <c r="D1160" s="0" t="s">
        <v>1286</v>
      </c>
      <c r="J1160" s="6" t="n">
        <v>-5.46376772759682</v>
      </c>
      <c r="K1160" s="6" t="n">
        <v>-1.43014536231683</v>
      </c>
      <c r="L1160" s="6" t="n">
        <v>-0.0630975902679593</v>
      </c>
      <c r="M1160" s="6" t="n">
        <v>0.0544291514345646</v>
      </c>
      <c r="N1160" s="6" t="n">
        <v>-2.10258809137503</v>
      </c>
      <c r="O1160" s="6" t="n">
        <v>-1.23940887265927</v>
      </c>
      <c r="P1160" s="6" t="n">
        <v>0.0789197991884862</v>
      </c>
      <c r="Q1160" s="6" t="n">
        <v>-4.43036685333803</v>
      </c>
      <c r="R1160" s="6" t="n">
        <v>-2.03244970858928</v>
      </c>
      <c r="S1160" s="6" t="n">
        <v>-2.30197178422447</v>
      </c>
      <c r="T1160" s="6" t="n">
        <v>0.45038793420388</v>
      </c>
      <c r="U1160" s="6" t="n">
        <v>-3.50956902776859</v>
      </c>
      <c r="V1160" s="6" t="n">
        <v>1.83305402994673</v>
      </c>
      <c r="W1160" s="6" t="n">
        <v>-3.83800819952876</v>
      </c>
      <c r="X1160" s="6" t="n">
        <v>0.359214669624204</v>
      </c>
      <c r="Y1160" s="6" t="n">
        <v>-3.22610062658597</v>
      </c>
      <c r="Z1160" s="6" t="n">
        <v>-1.38085588986207</v>
      </c>
      <c r="AA1160" s="6" t="n">
        <v>-1.13635433764076</v>
      </c>
      <c r="AB1160" s="6" t="n">
        <v>-0.769390824561681</v>
      </c>
      <c r="AC1160" s="6" t="n">
        <v>-0.701830060394404</v>
      </c>
      <c r="AD1160" s="6" t="n">
        <v>-0.248142748891937</v>
      </c>
      <c r="AE1160" s="6" t="n">
        <v>-0.74287887450888</v>
      </c>
      <c r="AF1160" s="6" t="n">
        <v>-0.354172229720582</v>
      </c>
      <c r="AG1160" s="6" t="n">
        <v>0.133663945271856</v>
      </c>
      <c r="AH1160" s="6" t="n">
        <v>-3.11363104501203</v>
      </c>
      <c r="AI1160" s="6" t="n">
        <v>2.58714364067192</v>
      </c>
      <c r="AJ1160" s="6" t="n">
        <v>67.9367011808915</v>
      </c>
      <c r="AK1160" s="6" t="n">
        <v>0.100760535606387</v>
      </c>
      <c r="AL1160" s="6" t="n">
        <v>1.03404735770506</v>
      </c>
      <c r="AN1160" s="6" t="n">
        <v>1.28378183607305</v>
      </c>
      <c r="AO1160" s="6" t="n">
        <v>1.28378183607305</v>
      </c>
      <c r="AP1160" s="6" t="n">
        <v>0.134732130316121</v>
      </c>
      <c r="AQ1160" s="6" t="n">
        <v>0</v>
      </c>
      <c r="AR1160" s="6" t="n">
        <v>0</v>
      </c>
    </row>
    <row r="1161" customFormat="false" ht="15" hidden="false" customHeight="false" outlineLevel="0" collapsed="false">
      <c r="D1161" s="0" t="s">
        <v>1287</v>
      </c>
      <c r="J1161" s="6" t="n">
        <v>0.891921647098921</v>
      </c>
      <c r="K1161" s="6" t="n">
        <v>-2.96935700729257</v>
      </c>
      <c r="L1161" s="6" t="n">
        <v>1.23063765165174</v>
      </c>
      <c r="M1161" s="6" t="n">
        <v>1.37204998787666</v>
      </c>
      <c r="N1161" s="6" t="n">
        <v>2.56383062952048</v>
      </c>
      <c r="O1161" s="6" t="n">
        <v>2.28051511089672</v>
      </c>
      <c r="P1161" s="6" t="n">
        <v>0.991466751965073</v>
      </c>
      <c r="Q1161" s="6" t="n">
        <v>0.995214103328667</v>
      </c>
      <c r="R1161" s="6" t="n">
        <v>0.390313959054038</v>
      </c>
      <c r="S1161" s="6" t="n">
        <v>-1.68922106981263</v>
      </c>
      <c r="T1161" s="6" t="n">
        <v>-1.65764333707467</v>
      </c>
      <c r="U1161" s="6" t="n">
        <v>1.99649603841399</v>
      </c>
      <c r="V1161" s="6" t="n">
        <v>-1.15724146961327</v>
      </c>
      <c r="W1161" s="6" t="n">
        <v>-1.15120408418254</v>
      </c>
      <c r="X1161" s="6" t="n">
        <v>1.43239645221304</v>
      </c>
      <c r="Y1161" s="6" t="n">
        <v>2.76420311306665</v>
      </c>
      <c r="Z1161" s="6" t="n">
        <v>-2.01228465310049</v>
      </c>
      <c r="AA1161" s="6" t="n">
        <v>-2.43911073451148</v>
      </c>
      <c r="AB1161" s="6" t="n">
        <v>0.398471906724122</v>
      </c>
      <c r="AC1161" s="6" t="n">
        <v>5</v>
      </c>
      <c r="AD1161" s="6" t="n">
        <v>2.49840194493258</v>
      </c>
      <c r="AE1161" s="6" t="n">
        <v>2.23255843740567</v>
      </c>
      <c r="AF1161" s="6" t="n">
        <v>2.65548526213601</v>
      </c>
      <c r="AG1161" s="6" t="n">
        <v>2.64708541453415</v>
      </c>
      <c r="AH1161" s="6" t="n">
        <v>-0.745114947248102</v>
      </c>
      <c r="AI1161" s="6" t="n">
        <v>0.73863571059173</v>
      </c>
      <c r="AJ1161" s="6" t="n">
        <v>62.6747425964386</v>
      </c>
      <c r="AK1161" s="6" t="n">
        <v>0.139976333672708</v>
      </c>
      <c r="AL1161" s="6" t="n">
        <v>1.04573098188791</v>
      </c>
      <c r="AN1161" s="6" t="n">
        <v>1.288611221438</v>
      </c>
      <c r="AO1161" s="6" t="n">
        <v>1.28904859009551</v>
      </c>
      <c r="AP1161" s="6" t="n">
        <v>0.133420732984662</v>
      </c>
      <c r="AQ1161" s="6" t="n">
        <v>0</v>
      </c>
      <c r="AR1161" s="6" t="n">
        <v>0</v>
      </c>
    </row>
    <row r="1162" customFormat="false" ht="15" hidden="false" customHeight="false" outlineLevel="0" collapsed="false">
      <c r="D1162" s="0" t="s">
        <v>1288</v>
      </c>
      <c r="J1162" s="6" t="n">
        <v>0.476579658571981</v>
      </c>
      <c r="K1162" s="6" t="n">
        <v>0.00794687608528209</v>
      </c>
      <c r="L1162" s="6" t="n">
        <v>-0.641924093480507</v>
      </c>
      <c r="M1162" s="6" t="n">
        <v>-1.16595026673239</v>
      </c>
      <c r="N1162" s="6" t="n">
        <v>-0.342080035718208</v>
      </c>
      <c r="O1162" s="6" t="n">
        <v>0.218966510158687</v>
      </c>
      <c r="P1162" s="6" t="n">
        <v>-1.25461502502433</v>
      </c>
      <c r="Q1162" s="6" t="n">
        <v>-4.60276596330444</v>
      </c>
      <c r="R1162" s="6" t="n">
        <v>1.07469046083624</v>
      </c>
      <c r="S1162" s="6" t="n">
        <v>1.50328208590047</v>
      </c>
      <c r="T1162" s="6" t="n">
        <v>0.382133031076962</v>
      </c>
      <c r="U1162" s="6" t="n">
        <v>-1.09394043660221</v>
      </c>
      <c r="V1162" s="6" t="n">
        <v>-3.23682402320315</v>
      </c>
      <c r="W1162" s="6" t="n">
        <v>0.149632374107507</v>
      </c>
      <c r="X1162" s="6" t="n">
        <v>2.08354104957771</v>
      </c>
      <c r="Y1162" s="6" t="n">
        <v>-2.23312438279715</v>
      </c>
      <c r="Z1162" s="6" t="n">
        <v>-2.47077757144573</v>
      </c>
      <c r="AA1162" s="6" t="n">
        <v>-0.859186817877625</v>
      </c>
      <c r="AB1162" s="6" t="n">
        <v>-0.694155850485199</v>
      </c>
      <c r="AC1162" s="6" t="n">
        <v>-0.860930157018492</v>
      </c>
      <c r="AD1162" s="6" t="n">
        <v>-3.10280371072134</v>
      </c>
      <c r="AE1162" s="6" t="n">
        <v>1.53447204289901</v>
      </c>
      <c r="AF1162" s="6" t="n">
        <v>-2.15925101931285</v>
      </c>
      <c r="AG1162" s="6" t="n">
        <v>-1.00580015432294</v>
      </c>
      <c r="AH1162" s="6" t="n">
        <v>-0.320812069797152</v>
      </c>
      <c r="AI1162" s="6" t="n">
        <v>-0.172250687676099</v>
      </c>
      <c r="AJ1162" s="6" t="n">
        <v>70.4542606673477</v>
      </c>
      <c r="AK1162" s="6" t="n">
        <v>0.154314147638113</v>
      </c>
      <c r="AL1162" s="6" t="n">
        <v>1.07166157292425</v>
      </c>
      <c r="AN1162" s="6" t="n">
        <v>1.28304573083017</v>
      </c>
      <c r="AO1162" s="6" t="n">
        <v>1.28351195983833</v>
      </c>
      <c r="AP1162" s="6" t="n">
        <v>0.130832446224916</v>
      </c>
      <c r="AQ1162" s="6" t="n">
        <v>0</v>
      </c>
      <c r="AR1162" s="6" t="n">
        <v>0</v>
      </c>
    </row>
    <row r="1163" customFormat="false" ht="15" hidden="false" customHeight="false" outlineLevel="0" collapsed="false">
      <c r="D1163" s="0" t="s">
        <v>1289</v>
      </c>
      <c r="J1163" s="6" t="n">
        <v>-1.13886955481851</v>
      </c>
      <c r="K1163" s="6" t="n">
        <v>-1.71492939499136</v>
      </c>
      <c r="L1163" s="6" t="n">
        <v>0.321027463445011</v>
      </c>
      <c r="M1163" s="6" t="n">
        <v>-1.84419864244407</v>
      </c>
      <c r="N1163" s="6" t="n">
        <v>0.963945460764204</v>
      </c>
      <c r="O1163" s="6" t="n">
        <v>-2.55266905296028</v>
      </c>
      <c r="P1163" s="6" t="n">
        <v>-1.64207037747617</v>
      </c>
      <c r="Q1163" s="6" t="n">
        <v>-0.471444180234682</v>
      </c>
      <c r="R1163" s="6" t="n">
        <v>0.879616451222748</v>
      </c>
      <c r="S1163" s="6" t="n">
        <v>-2.06629757220297</v>
      </c>
      <c r="T1163" s="6" t="n">
        <v>-1.16796501995688</v>
      </c>
      <c r="U1163" s="6" t="n">
        <v>-0.219690739267633</v>
      </c>
      <c r="V1163" s="6" t="n">
        <v>4.56789756599092</v>
      </c>
      <c r="W1163" s="6" t="n">
        <v>-3.41666271942444</v>
      </c>
      <c r="X1163" s="6" t="n">
        <v>-1.36043775310204</v>
      </c>
      <c r="Y1163" s="6" t="n">
        <v>-3.08918439650459</v>
      </c>
      <c r="Z1163" s="6" t="n">
        <v>-0.869001896414795</v>
      </c>
      <c r="AA1163" s="6" t="n">
        <v>-3.12597749242366</v>
      </c>
      <c r="AB1163" s="6" t="n">
        <v>-1.62786100124194</v>
      </c>
      <c r="AC1163" s="6" t="n">
        <v>2.08052314292235</v>
      </c>
      <c r="AD1163" s="6" t="n">
        <v>-1.95978958569191</v>
      </c>
      <c r="AE1163" s="6" t="n">
        <v>-3.33747170559746</v>
      </c>
      <c r="AF1163" s="6" t="n">
        <v>1.26631942236988</v>
      </c>
      <c r="AG1163" s="6" t="n">
        <v>1.56973984149505</v>
      </c>
      <c r="AH1163" s="6" t="n">
        <v>-2.22503889545288</v>
      </c>
      <c r="AI1163" s="6" t="n">
        <v>-1.08700183012311</v>
      </c>
      <c r="AJ1163" s="6" t="n">
        <v>81.9163289715779</v>
      </c>
      <c r="AK1163" s="6" t="n">
        <v>0.0913668201535816</v>
      </c>
      <c r="AL1163" s="6" t="n">
        <v>1.00450368495034</v>
      </c>
      <c r="AN1163" s="6" t="n">
        <v>1.32056230069903</v>
      </c>
      <c r="AO1163" s="6" t="n">
        <v>1.32056230069903</v>
      </c>
      <c r="AP1163" s="6" t="n">
        <v>0.141821031797013</v>
      </c>
      <c r="AQ1163" s="6" t="n">
        <v>0</v>
      </c>
      <c r="AR1163" s="6" t="n">
        <v>0</v>
      </c>
    </row>
    <row r="1164" customFormat="false" ht="15" hidden="false" customHeight="false" outlineLevel="0" collapsed="false">
      <c r="D1164" s="0" t="s">
        <v>1290</v>
      </c>
      <c r="J1164" s="6" t="n">
        <v>-1.89735837246822</v>
      </c>
      <c r="K1164" s="6" t="n">
        <v>3.21472173604224</v>
      </c>
      <c r="L1164" s="6" t="n">
        <v>-2.37595453634873</v>
      </c>
      <c r="M1164" s="6" t="n">
        <v>3.3463466039555</v>
      </c>
      <c r="N1164" s="6" t="n">
        <v>0.807966944895273</v>
      </c>
      <c r="O1164" s="6" t="n">
        <v>0.534015463465809</v>
      </c>
      <c r="P1164" s="6" t="n">
        <v>-0.173272621229544</v>
      </c>
      <c r="Q1164" s="6" t="n">
        <v>-2.77337415617564</v>
      </c>
      <c r="R1164" s="6" t="n">
        <v>-1.12213684428244</v>
      </c>
      <c r="S1164" s="6" t="n">
        <v>-2.03816554119326</v>
      </c>
      <c r="T1164" s="6" t="n">
        <v>-1.77456277552364</v>
      </c>
      <c r="U1164" s="6" t="n">
        <v>-1.29417788027762</v>
      </c>
      <c r="V1164" s="6" t="n">
        <v>1.08876192035052</v>
      </c>
      <c r="W1164" s="6" t="n">
        <v>1.4496499493806</v>
      </c>
      <c r="X1164" s="6" t="n">
        <v>-0.0364872282923711</v>
      </c>
      <c r="Y1164" s="6" t="n">
        <v>0.784424121330415</v>
      </c>
      <c r="Z1164" s="6" t="n">
        <v>0.486619192415327</v>
      </c>
      <c r="AA1164" s="6" t="n">
        <v>0.620929263333485</v>
      </c>
      <c r="AB1164" s="6" t="n">
        <v>-3.61445130741871</v>
      </c>
      <c r="AC1164" s="6" t="n">
        <v>0.188742663371651</v>
      </c>
      <c r="AD1164" s="6" t="n">
        <v>-3.63273494138798</v>
      </c>
      <c r="AE1164" s="6" t="n">
        <v>0.292753758879044</v>
      </c>
      <c r="AF1164" s="6" t="n">
        <v>-2.98736239168321</v>
      </c>
      <c r="AG1164" s="6" t="n">
        <v>1.41942408369199</v>
      </c>
      <c r="AH1164" s="6" t="n">
        <v>-2.92856247051368</v>
      </c>
      <c r="AI1164" s="6" t="n">
        <v>-0.309955372554147</v>
      </c>
      <c r="AJ1164" s="6" t="n">
        <v>81.082591310259</v>
      </c>
      <c r="AK1164" s="6" t="n">
        <v>0.186723606885468</v>
      </c>
      <c r="AL1164" s="6" t="n">
        <v>1.0222817774693</v>
      </c>
      <c r="AN1164" s="6" t="n">
        <v>1.30694806158394</v>
      </c>
      <c r="AO1164" s="6" t="n">
        <v>1.30711983135803</v>
      </c>
      <c r="AP1164" s="6" t="n">
        <v>0.136099536338167</v>
      </c>
      <c r="AQ1164" s="6" t="n">
        <v>0</v>
      </c>
      <c r="AR1164" s="6" t="n">
        <v>0</v>
      </c>
    </row>
    <row r="1165" customFormat="false" ht="15" hidden="false" customHeight="false" outlineLevel="0" collapsed="false">
      <c r="D1165" s="0" t="s">
        <v>1291</v>
      </c>
      <c r="J1165" s="6" t="n">
        <v>4.44398423675029</v>
      </c>
      <c r="K1165" s="6" t="n">
        <v>-2.97462364468262</v>
      </c>
      <c r="L1165" s="6" t="n">
        <v>2.10882220067755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0.11088421846785</v>
      </c>
      <c r="Q1165" s="6" t="n">
        <v>-0.626643449101047</v>
      </c>
      <c r="R1165" s="6" t="n">
        <v>-0.494712300443041</v>
      </c>
      <c r="S1165" s="6" t="n">
        <v>2.14107886604503</v>
      </c>
      <c r="T1165" s="6" t="n">
        <v>-0.76289997251036</v>
      </c>
      <c r="U1165" s="6" t="n">
        <v>0.983575795679836</v>
      </c>
      <c r="V1165" s="6" t="n">
        <v>4.47909131377646</v>
      </c>
      <c r="W1165" s="6" t="n">
        <v>1.05679311247526</v>
      </c>
      <c r="X1165" s="6" t="n">
        <v>0.687575580077941</v>
      </c>
      <c r="Y1165" s="6" t="n">
        <v>1.54998209711927</v>
      </c>
      <c r="Z1165" s="6" t="n">
        <v>1.08174690683365</v>
      </c>
      <c r="AA1165" s="6" t="n">
        <v>1.05463608124021</v>
      </c>
      <c r="AB1165" s="6" t="n">
        <v>-2.80747175222489</v>
      </c>
      <c r="AC1165" s="6" t="n">
        <v>1.53352574462939</v>
      </c>
      <c r="AD1165" s="6" t="n">
        <v>0.357598946578494</v>
      </c>
      <c r="AE1165" s="6" t="n">
        <v>-1.60050400870376</v>
      </c>
      <c r="AF1165" s="6" t="n">
        <v>-1.53372871969235</v>
      </c>
      <c r="AG1165" s="6" t="n">
        <v>-2.88917012383839</v>
      </c>
      <c r="AH1165" s="6" t="n">
        <v>1.09356174096335</v>
      </c>
      <c r="AI1165" s="6" t="n">
        <v>-0.232604925852058</v>
      </c>
      <c r="AJ1165" s="6" t="n">
        <v>78.0527560847764</v>
      </c>
      <c r="AK1165" s="6" t="n">
        <v>0.135060524734345</v>
      </c>
      <c r="AL1165" s="6" t="n">
        <v>1.07977715744302</v>
      </c>
      <c r="AN1165" s="6" t="n">
        <v>1.28564309114278</v>
      </c>
      <c r="AO1165" s="6" t="n">
        <v>1.28632364694553</v>
      </c>
      <c r="AP1165" s="6" t="n">
        <v>0.131820311781661</v>
      </c>
      <c r="AQ1165" s="6" t="n">
        <v>0</v>
      </c>
      <c r="AR1165" s="6" t="n">
        <v>0</v>
      </c>
    </row>
    <row r="1166" customFormat="false" ht="15" hidden="false" customHeight="false" outlineLevel="0" collapsed="false">
      <c r="D1166" s="0" t="s">
        <v>1292</v>
      </c>
      <c r="J1166" s="6" t="n">
        <v>4.45300643651654</v>
      </c>
      <c r="K1166" s="6" t="n">
        <v>-0.0381112900992597</v>
      </c>
      <c r="L1166" s="6" t="n">
        <v>3.2597110167447</v>
      </c>
      <c r="M1166" s="6" t="n">
        <v>1.94381432561967</v>
      </c>
      <c r="N1166" s="6" t="n">
        <v>1.59243285950134</v>
      </c>
      <c r="O1166" s="6" t="n">
        <v>1.11403534089703</v>
      </c>
      <c r="P1166" s="6" t="n">
        <v>0.922856013131042</v>
      </c>
      <c r="Q1166" s="6" t="n">
        <v>-3.57422794509567</v>
      </c>
      <c r="R1166" s="6" t="n">
        <v>-1.22741840000461</v>
      </c>
      <c r="S1166" s="6" t="n">
        <v>2.21336581069192</v>
      </c>
      <c r="T1166" s="6" t="n">
        <v>0.833180644840874</v>
      </c>
      <c r="U1166" s="6" t="n">
        <v>4.67675153007329</v>
      </c>
      <c r="V1166" s="6" t="n">
        <v>-1.08734698085275</v>
      </c>
      <c r="W1166" s="6" t="n">
        <v>0.784931679920447</v>
      </c>
      <c r="X1166" s="6" t="n">
        <v>-0.661966381398695</v>
      </c>
      <c r="Y1166" s="6" t="n">
        <v>-3.64204484395377</v>
      </c>
      <c r="Z1166" s="6" t="n">
        <v>0.0851536984397642</v>
      </c>
      <c r="AA1166" s="6" t="n">
        <v>2.35586804584807</v>
      </c>
      <c r="AB1166" s="6" t="n">
        <v>-2.47331916864262</v>
      </c>
      <c r="AC1166" s="6" t="n">
        <v>-1.13517054715303</v>
      </c>
      <c r="AD1166" s="6" t="n">
        <v>-3.59170384799638</v>
      </c>
      <c r="AE1166" s="6" t="n">
        <v>0.395243157838987</v>
      </c>
      <c r="AF1166" s="6" t="n">
        <v>2.44903699143797</v>
      </c>
      <c r="AG1166" s="6" t="n">
        <v>-3.05067925877022</v>
      </c>
      <c r="AH1166" s="6" t="n">
        <v>-2.50301921278021</v>
      </c>
      <c r="AI1166" s="6" t="n">
        <v>0.124898974363577</v>
      </c>
      <c r="AJ1166" s="6" t="n">
        <v>77.2078197817971</v>
      </c>
      <c r="AK1166" s="6" t="n">
        <v>0.124296784157579</v>
      </c>
      <c r="AL1166" s="6" t="n">
        <v>1.01645846838816</v>
      </c>
      <c r="AN1166" s="6" t="n">
        <v>1.31524440399575</v>
      </c>
      <c r="AO1166" s="6" t="n">
        <v>1.31531330678459</v>
      </c>
      <c r="AP1166" s="6" t="n">
        <v>0.137829092907563</v>
      </c>
      <c r="AQ1166" s="6" t="n">
        <v>0</v>
      </c>
      <c r="AR1166" s="6" t="n">
        <v>0</v>
      </c>
    </row>
    <row r="1167" customFormat="false" ht="15" hidden="false" customHeight="false" outlineLevel="0" collapsed="false">
      <c r="D1167" s="0" t="s">
        <v>1293</v>
      </c>
      <c r="J1167" s="6" t="n">
        <v>2.04021955756803</v>
      </c>
      <c r="K1167" s="6" t="n">
        <v>-2.61052990433538</v>
      </c>
      <c r="L1167" s="6" t="n">
        <v>-0.261824247973037</v>
      </c>
      <c r="M1167" s="6" t="n">
        <v>2.41916041777085</v>
      </c>
      <c r="N1167" s="6" t="n">
        <v>-0.50629873616974</v>
      </c>
      <c r="O1167" s="6" t="n">
        <v>-2.52001347781751</v>
      </c>
      <c r="P1167" s="6" t="n">
        <v>3.49628084166067</v>
      </c>
      <c r="Q1167" s="6" t="n">
        <v>-0.187995163832846</v>
      </c>
      <c r="R1167" s="6" t="n">
        <v>-1.72279913349988</v>
      </c>
      <c r="S1167" s="6" t="n">
        <v>-1.26423290847996</v>
      </c>
      <c r="T1167" s="6" t="n">
        <v>4.34609048180801</v>
      </c>
      <c r="U1167" s="6" t="n">
        <v>3.08697620529752</v>
      </c>
      <c r="V1167" s="6" t="n">
        <v>-0.0274324436697428</v>
      </c>
      <c r="W1167" s="6" t="n">
        <v>0.54171854259026</v>
      </c>
      <c r="X1167" s="6" t="n">
        <v>2.89664362045133</v>
      </c>
      <c r="Y1167" s="6" t="n">
        <v>0.148167782349648</v>
      </c>
      <c r="Z1167" s="6" t="n">
        <v>-3.21281909285643</v>
      </c>
      <c r="AA1167" s="6" t="n">
        <v>3.57523307132382</v>
      </c>
      <c r="AB1167" s="6" t="n">
        <v>0.534398255630701</v>
      </c>
      <c r="AC1167" s="6" t="n">
        <v>-5.54566539544078</v>
      </c>
      <c r="AD1167" s="6" t="n">
        <v>2.73953251946006</v>
      </c>
      <c r="AE1167" s="6" t="n">
        <v>0.0518316435503997</v>
      </c>
      <c r="AF1167" s="6" t="n">
        <v>-0.328879897945933</v>
      </c>
      <c r="AG1167" s="6" t="n">
        <v>3.54312805527689</v>
      </c>
      <c r="AH1167" s="6" t="n">
        <v>-1.17866054969196</v>
      </c>
      <c r="AI1167" s="6" t="n">
        <v>-3.88437659896394</v>
      </c>
      <c r="AJ1167" s="6" t="n">
        <v>68.6282168478576</v>
      </c>
      <c r="AK1167" s="6" t="n">
        <v>0.157234429090997</v>
      </c>
      <c r="AL1167" s="6" t="n">
        <v>1.06080335720132</v>
      </c>
      <c r="AN1167" s="6" t="n">
        <v>1.28685249469294</v>
      </c>
      <c r="AO1167" s="6" t="n">
        <v>1.28804366417009</v>
      </c>
      <c r="AP1167" s="6" t="n">
        <v>0.132049105617091</v>
      </c>
      <c r="AQ1167" s="6" t="n">
        <v>0</v>
      </c>
      <c r="AR1167" s="6" t="n">
        <v>0</v>
      </c>
    </row>
    <row r="1168" customFormat="false" ht="15" hidden="false" customHeight="false" outlineLevel="0" collapsed="false">
      <c r="D1168" s="0" t="s">
        <v>1294</v>
      </c>
      <c r="J1168" s="6" t="n">
        <v>-0.328541895009469</v>
      </c>
      <c r="K1168" s="6" t="n">
        <v>1.54111750780241</v>
      </c>
      <c r="L1168" s="6" t="n">
        <v>-0.376404720980061</v>
      </c>
      <c r="M1168" s="6" t="n">
        <v>0.950909660884482</v>
      </c>
      <c r="N1168" s="6" t="n">
        <v>-3.84737176694832</v>
      </c>
      <c r="O1168" s="6" t="n">
        <v>3.1514541351878</v>
      </c>
      <c r="P1168" s="6" t="n">
        <v>0.851622970909964</v>
      </c>
      <c r="Q1168" s="6" t="n">
        <v>-4.45056488053031</v>
      </c>
      <c r="R1168" s="6" t="n">
        <v>1.36789223074391</v>
      </c>
      <c r="S1168" s="6" t="n">
        <v>-0.153421945760207</v>
      </c>
      <c r="T1168" s="6" t="n">
        <v>-2.84228634352374</v>
      </c>
      <c r="U1168" s="6" t="n">
        <v>-3.43075099283316</v>
      </c>
      <c r="V1168" s="6" t="n">
        <v>2.00402575765919</v>
      </c>
      <c r="W1168" s="6" t="n">
        <v>1.35673539853957</v>
      </c>
      <c r="X1168" s="6" t="n">
        <v>-0.508549730103801</v>
      </c>
      <c r="Y1168" s="6" t="n">
        <v>-1.8345955146823</v>
      </c>
      <c r="Z1168" s="6" t="n">
        <v>-0.553026054069153</v>
      </c>
      <c r="AA1168" s="6" t="n">
        <v>1.15163957276046</v>
      </c>
      <c r="AB1168" s="6" t="n">
        <v>0.0694373591279457</v>
      </c>
      <c r="AC1168" s="6" t="n">
        <v>-1.54325298373862</v>
      </c>
      <c r="AD1168" s="6" t="n">
        <v>-0.122458985896545</v>
      </c>
      <c r="AE1168" s="6" t="n">
        <v>0.306907956722308</v>
      </c>
      <c r="AF1168" s="6" t="n">
        <v>2.77341348353956</v>
      </c>
      <c r="AG1168" s="6" t="n">
        <v>-0.34759663320857</v>
      </c>
      <c r="AH1168" s="6" t="n">
        <v>1.09811183243801</v>
      </c>
      <c r="AI1168" s="6" t="n">
        <v>-2.61792086833038</v>
      </c>
      <c r="AJ1168" s="6" t="n">
        <v>71.1541731586618</v>
      </c>
      <c r="AK1168" s="6" t="n">
        <v>0.116956168343471</v>
      </c>
      <c r="AL1168" s="6" t="n">
        <v>1.00373517228536</v>
      </c>
      <c r="AN1168" s="6" t="n">
        <v>1.31370858883642</v>
      </c>
      <c r="AO1168" s="6" t="n">
        <v>1.31370858883642</v>
      </c>
      <c r="AP1168" s="6" t="n">
        <v>0.13932379731945</v>
      </c>
      <c r="AQ1168" s="6" t="n">
        <v>0</v>
      </c>
      <c r="AR1168" s="6" t="n">
        <v>0</v>
      </c>
    </row>
    <row r="1169" customFormat="false" ht="15" hidden="false" customHeight="false" outlineLevel="0" collapsed="false">
      <c r="D1169" s="0" t="s">
        <v>1295</v>
      </c>
      <c r="J1169" s="6" t="n">
        <v>2.90096781940517</v>
      </c>
      <c r="K1169" s="6" t="n">
        <v>0.382101486507412</v>
      </c>
      <c r="L1169" s="6" t="n">
        <v>-1.87188373711861</v>
      </c>
      <c r="M1169" s="6" t="n">
        <v>-1.17049114396546</v>
      </c>
      <c r="N1169" s="6" t="n">
        <v>-1.70332619564247</v>
      </c>
      <c r="O1169" s="6" t="n">
        <v>0.559901822954426</v>
      </c>
      <c r="P1169" s="6" t="n">
        <v>0.306616731812313</v>
      </c>
      <c r="Q1169" s="6" t="n">
        <v>-3.60005668408726</v>
      </c>
      <c r="R1169" s="6" t="n">
        <v>1.78282888267283</v>
      </c>
      <c r="S1169" s="6" t="n">
        <v>0.331863353041485</v>
      </c>
      <c r="T1169" s="6" t="n">
        <v>-1.73459588778364</v>
      </c>
      <c r="U1169" s="6" t="n">
        <v>3.23933597707515</v>
      </c>
      <c r="V1169" s="6" t="n">
        <v>-0.153143778075785</v>
      </c>
      <c r="W1169" s="6" t="n">
        <v>0.828014543557109</v>
      </c>
      <c r="X1169" s="6" t="n">
        <v>0.670989967417104</v>
      </c>
      <c r="Y1169" s="6" t="n">
        <v>-1.27307221692862</v>
      </c>
      <c r="Z1169" s="6" t="n">
        <v>1.86456261888347</v>
      </c>
      <c r="AA1169" s="6" t="n">
        <v>1.77350806132045</v>
      </c>
      <c r="AB1169" s="6" t="n">
        <v>-3.40127712107066</v>
      </c>
      <c r="AC1169" s="6" t="n">
        <v>1.97857438118665</v>
      </c>
      <c r="AD1169" s="6" t="n">
        <v>1.98108957671489</v>
      </c>
      <c r="AE1169" s="6" t="n">
        <v>-4.17847150965246</v>
      </c>
      <c r="AF1169" s="6" t="n">
        <v>-0.842352692466707</v>
      </c>
      <c r="AG1169" s="6" t="n">
        <v>-0.10605878212714</v>
      </c>
      <c r="AH1169" s="6" t="n">
        <v>0.218895741702949</v>
      </c>
      <c r="AI1169" s="6" t="n">
        <v>-0.356936664111162</v>
      </c>
      <c r="AJ1169" s="6" t="n">
        <v>73.9919786518335</v>
      </c>
      <c r="AK1169" s="6" t="n">
        <v>0.0327998000653052</v>
      </c>
      <c r="AL1169" s="6" t="n">
        <v>1.0795479674065</v>
      </c>
      <c r="AN1169" s="6" t="n">
        <v>1.29522953930766</v>
      </c>
      <c r="AO1169" s="6" t="n">
        <v>1.29538419054898</v>
      </c>
      <c r="AP1169" s="6" t="n">
        <v>0.133828746185591</v>
      </c>
      <c r="AQ1169" s="6" t="n">
        <v>0</v>
      </c>
      <c r="AR1169" s="6" t="n">
        <v>0</v>
      </c>
    </row>
    <row r="1170" customFormat="false" ht="15" hidden="false" customHeight="false" outlineLevel="0" collapsed="false">
      <c r="D1170" s="0" t="s">
        <v>1296</v>
      </c>
      <c r="J1170" s="6" t="n">
        <v>-0.931179502951669</v>
      </c>
      <c r="K1170" s="6" t="n">
        <v>-0.0709074935001791</v>
      </c>
      <c r="L1170" s="6" t="n">
        <v>3.91499028989363</v>
      </c>
      <c r="M1170" s="6" t="n">
        <v>1.73348639368714</v>
      </c>
      <c r="N1170" s="6" t="n">
        <v>-0.220320379079594</v>
      </c>
      <c r="O1170" s="6" t="n">
        <v>-2.71037017778816</v>
      </c>
      <c r="P1170" s="6" t="n">
        <v>-0.692668300078082</v>
      </c>
      <c r="Q1170" s="6" t="n">
        <v>1.81492341207318</v>
      </c>
      <c r="R1170" s="6" t="n">
        <v>-0.974309123656316</v>
      </c>
      <c r="S1170" s="6" t="n">
        <v>1.41966893151851</v>
      </c>
      <c r="T1170" s="6" t="n">
        <v>-1.17746912275366</v>
      </c>
      <c r="U1170" s="6" t="n">
        <v>-1.09200954131992</v>
      </c>
      <c r="V1170" s="6" t="n">
        <v>1.35383276891301</v>
      </c>
      <c r="W1170" s="6" t="n">
        <v>-2.53874624243944</v>
      </c>
      <c r="X1170" s="6" t="n">
        <v>0.411344977955203</v>
      </c>
      <c r="Y1170" s="6" t="n">
        <v>-0.809290773901451</v>
      </c>
      <c r="Z1170" s="6" t="n">
        <v>-0.102219195870352</v>
      </c>
      <c r="AA1170" s="6" t="n">
        <v>-0.338728850603774</v>
      </c>
      <c r="AB1170" s="6" t="n">
        <v>-0.800767616519072</v>
      </c>
      <c r="AC1170" s="6" t="n">
        <v>1.3587237133303</v>
      </c>
      <c r="AD1170" s="6" t="n">
        <v>0.804487566711232</v>
      </c>
      <c r="AE1170" s="6" t="n">
        <v>-0.672084480049566</v>
      </c>
      <c r="AF1170" s="6" t="n">
        <v>1.02016239139795</v>
      </c>
      <c r="AG1170" s="6" t="n">
        <v>3.05549776203985</v>
      </c>
      <c r="AH1170" s="6" t="n">
        <v>3.21423662941039</v>
      </c>
      <c r="AI1170" s="6" t="n">
        <v>1.57348723393082</v>
      </c>
      <c r="AJ1170" s="6" t="n">
        <v>68.8403170869439</v>
      </c>
      <c r="AK1170" s="6" t="n">
        <v>0.100824595053117</v>
      </c>
      <c r="AL1170" s="6" t="n">
        <v>1.03484015922895</v>
      </c>
      <c r="AN1170" s="6" t="n">
        <v>1.30652026772141</v>
      </c>
      <c r="AO1170" s="6" t="n">
        <v>1.30749462762784</v>
      </c>
      <c r="AP1170" s="6" t="n">
        <v>0.135978255014828</v>
      </c>
      <c r="AQ1170" s="6" t="n">
        <v>0</v>
      </c>
      <c r="AR1170" s="6" t="n">
        <v>0</v>
      </c>
    </row>
    <row r="1171" customFormat="false" ht="15" hidden="false" customHeight="false" outlineLevel="0" collapsed="false">
      <c r="D1171" s="0" t="s">
        <v>1297</v>
      </c>
      <c r="J1171" s="6" t="n">
        <v>1.57987909641884</v>
      </c>
      <c r="K1171" s="6" t="n">
        <v>0.544041783782</v>
      </c>
      <c r="L1171" s="6" t="n">
        <v>-0.0493130148664452</v>
      </c>
      <c r="M1171" s="6" t="n">
        <v>1.37201095896303</v>
      </c>
      <c r="N1171" s="6" t="n">
        <v>0.202908244626952</v>
      </c>
      <c r="O1171" s="6" t="n">
        <v>1.27768961560464</v>
      </c>
      <c r="P1171" s="6" t="n">
        <v>2.26558876198092</v>
      </c>
      <c r="Q1171" s="6" t="n">
        <v>1.96098023986965</v>
      </c>
      <c r="R1171" s="6" t="n">
        <v>-1.39358871035775</v>
      </c>
      <c r="S1171" s="6" t="n">
        <v>-2.01989206096007</v>
      </c>
      <c r="T1171" s="6" t="n">
        <v>-0.598998927511133</v>
      </c>
      <c r="U1171" s="6" t="n">
        <v>0.826947997927982</v>
      </c>
      <c r="V1171" s="6" t="n">
        <v>-3.06998200068698</v>
      </c>
      <c r="W1171" s="6" t="n">
        <v>-1.19498844733835</v>
      </c>
      <c r="X1171" s="6" t="n">
        <v>-0.191176780155683</v>
      </c>
      <c r="Y1171" s="6" t="n">
        <v>1.08077826782486</v>
      </c>
      <c r="Z1171" s="6" t="n">
        <v>1.00438839193312</v>
      </c>
      <c r="AA1171" s="6" t="n">
        <v>-1.64711644548996</v>
      </c>
      <c r="AB1171" s="6" t="n">
        <v>-1.07485055782054</v>
      </c>
      <c r="AC1171" s="6" t="n">
        <v>1.87958244694079</v>
      </c>
      <c r="AD1171" s="6" t="n">
        <v>-0.744165352478553</v>
      </c>
      <c r="AE1171" s="6" t="n">
        <v>-2.72566841243974</v>
      </c>
      <c r="AF1171" s="6" t="n">
        <v>0.899571757961567</v>
      </c>
      <c r="AG1171" s="6" t="n">
        <v>2.66913483329513</v>
      </c>
      <c r="AH1171" s="6" t="n">
        <v>-0.061266425523598</v>
      </c>
      <c r="AI1171" s="6" t="n">
        <v>-4.155162827354</v>
      </c>
      <c r="AJ1171" s="6" t="n">
        <v>56.4259095656913</v>
      </c>
      <c r="AK1171" s="6" t="n">
        <v>0.121023429051245</v>
      </c>
      <c r="AL1171" s="6" t="n">
        <v>1.04194270976678</v>
      </c>
      <c r="AN1171" s="6" t="n">
        <v>1.28924957736036</v>
      </c>
      <c r="AO1171" s="6" t="n">
        <v>1.28982466574695</v>
      </c>
      <c r="AP1171" s="6" t="n">
        <v>0.133658195647124</v>
      </c>
      <c r="AQ1171" s="6" t="n">
        <v>0</v>
      </c>
      <c r="AR1171" s="6" t="n">
        <v>0</v>
      </c>
    </row>
    <row r="1172" customFormat="false" ht="15" hidden="false" customHeight="false" outlineLevel="0" collapsed="false">
      <c r="D1172" s="0" t="s">
        <v>1298</v>
      </c>
      <c r="J1172" s="6" t="n">
        <v>-1.11769340176436</v>
      </c>
      <c r="K1172" s="6" t="n">
        <v>1.68180192725444</v>
      </c>
      <c r="L1172" s="6" t="n">
        <v>-2.41414285703777</v>
      </c>
      <c r="M1172" s="6" t="n">
        <v>-1.3440849251757</v>
      </c>
      <c r="N1172" s="6" t="n">
        <v>0.992230998969227</v>
      </c>
      <c r="O1172" s="6" t="n">
        <v>0.767570000110686</v>
      </c>
      <c r="P1172" s="6" t="n">
        <v>3.372311509735</v>
      </c>
      <c r="Q1172" s="6" t="n">
        <v>-2.00822613583843</v>
      </c>
      <c r="R1172" s="6" t="n">
        <v>-3.7157421358157</v>
      </c>
      <c r="S1172" s="6" t="n">
        <v>-1.52315101510281</v>
      </c>
      <c r="T1172" s="6" t="n">
        <v>3.37105948941858</v>
      </c>
      <c r="U1172" s="6" t="n">
        <v>0.0715084229286679</v>
      </c>
      <c r="V1172" s="6" t="n">
        <v>1.86536456096725</v>
      </c>
      <c r="W1172" s="6" t="n">
        <v>1.67599499187994</v>
      </c>
      <c r="X1172" s="6" t="n">
        <v>0.109167475343234</v>
      </c>
      <c r="Y1172" s="6" t="n">
        <v>-1.30511379172746</v>
      </c>
      <c r="Z1172" s="6" t="n">
        <v>-0.117899073471462</v>
      </c>
      <c r="AA1172" s="6" t="n">
        <v>1.43388887647893</v>
      </c>
      <c r="AB1172" s="6" t="n">
        <v>-1.74550302877125</v>
      </c>
      <c r="AC1172" s="6" t="n">
        <v>0.952423908656842</v>
      </c>
      <c r="AD1172" s="6" t="n">
        <v>0.013751706261176</v>
      </c>
      <c r="AE1172" s="6" t="n">
        <v>-1.96419774945859</v>
      </c>
      <c r="AF1172" s="6" t="n">
        <v>-1.24247635016472</v>
      </c>
      <c r="AG1172" s="6" t="n">
        <v>0.194690280673465</v>
      </c>
      <c r="AH1172" s="6" t="n">
        <v>1.08139328648404</v>
      </c>
      <c r="AI1172" s="6" t="n">
        <v>1.12192785420995</v>
      </c>
      <c r="AJ1172" s="6" t="n">
        <v>66.3500072348425</v>
      </c>
      <c r="AK1172" s="6" t="n">
        <v>0.0900479905303205</v>
      </c>
      <c r="AL1172" s="6" t="n">
        <v>1.04481040993046</v>
      </c>
      <c r="AN1172" s="6" t="n">
        <v>1.29672791787649</v>
      </c>
      <c r="AO1172" s="6" t="n">
        <v>1.2975543115588</v>
      </c>
      <c r="AP1172" s="6" t="n">
        <v>0.134481868268873</v>
      </c>
      <c r="AQ1172" s="6" t="n">
        <v>0</v>
      </c>
      <c r="AR1172" s="6" t="n">
        <v>0</v>
      </c>
    </row>
    <row r="1173" customFormat="false" ht="15" hidden="false" customHeight="false" outlineLevel="0" collapsed="false">
      <c r="D1173" s="0" t="s">
        <v>1299</v>
      </c>
      <c r="J1173" s="6" t="n">
        <v>0.428940376094925</v>
      </c>
      <c r="K1173" s="6" t="n">
        <v>2.51736186182358</v>
      </c>
      <c r="L1173" s="6" t="n">
        <v>-1.17052712035214</v>
      </c>
      <c r="M1173" s="6" t="n">
        <v>-1.34972454931357</v>
      </c>
      <c r="N1173" s="6" t="n">
        <v>0.692198169886041</v>
      </c>
      <c r="O1173" s="6" t="n">
        <v>-0.411643208280505</v>
      </c>
      <c r="P1173" s="6" t="n">
        <v>-0.163179716609166</v>
      </c>
      <c r="Q1173" s="6" t="n">
        <v>2.99702763951419</v>
      </c>
      <c r="R1173" s="6" t="n">
        <v>-1.12096507329684</v>
      </c>
      <c r="S1173" s="6" t="n">
        <v>-0.813553611570176</v>
      </c>
      <c r="T1173" s="6" t="n">
        <v>3.65588702041879</v>
      </c>
      <c r="U1173" s="6" t="n">
        <v>1.381734239617</v>
      </c>
      <c r="V1173" s="6" t="n">
        <v>-3.8224902656106</v>
      </c>
      <c r="W1173" s="6" t="n">
        <v>-0.161546258402592</v>
      </c>
      <c r="X1173" s="6" t="n">
        <v>1.77267562640343</v>
      </c>
      <c r="Y1173" s="6" t="n">
        <v>0.905572515153306</v>
      </c>
      <c r="Z1173" s="6" t="n">
        <v>0.850729860490238</v>
      </c>
      <c r="AA1173" s="6" t="n">
        <v>2.85575900584392</v>
      </c>
      <c r="AB1173" s="6" t="n">
        <v>2.0141682266147</v>
      </c>
      <c r="AC1173" s="6" t="n">
        <v>5</v>
      </c>
      <c r="AD1173" s="6" t="n">
        <v>2.3077943840784</v>
      </c>
      <c r="AE1173" s="6" t="n">
        <v>-2.25682869367762</v>
      </c>
      <c r="AF1173" s="6" t="n">
        <v>0.859067699070013</v>
      </c>
      <c r="AG1173" s="6" t="n">
        <v>-2.93158006764996</v>
      </c>
      <c r="AH1173" s="6" t="n">
        <v>-1.35884683755764</v>
      </c>
      <c r="AI1173" s="6" t="n">
        <v>1.22799612146565</v>
      </c>
      <c r="AJ1173" s="6" t="n">
        <v>75.1258744495843</v>
      </c>
      <c r="AK1173" s="6" t="n">
        <v>0.059120813059536</v>
      </c>
      <c r="AL1173" s="6" t="n">
        <v>1.03870387428877</v>
      </c>
      <c r="AN1173" s="6" t="n">
        <v>1.30976342302412</v>
      </c>
      <c r="AO1173" s="6" t="n">
        <v>1.30976342302412</v>
      </c>
      <c r="AP1173" s="6" t="n">
        <v>0.137027844573381</v>
      </c>
      <c r="AQ1173" s="6" t="n">
        <v>0</v>
      </c>
      <c r="AR1173" s="6" t="n">
        <v>0</v>
      </c>
    </row>
    <row r="1174" customFormat="false" ht="15" hidden="false" customHeight="false" outlineLevel="0" collapsed="false">
      <c r="D1174" s="0" t="s">
        <v>1300</v>
      </c>
      <c r="J1174" s="6" t="n">
        <v>2.42757377722987</v>
      </c>
      <c r="K1174" s="6" t="n">
        <v>-0.724302979624254</v>
      </c>
      <c r="L1174" s="6" t="n">
        <v>-2.82470063911159</v>
      </c>
      <c r="M1174" s="6" t="n">
        <v>-1.97629145212108</v>
      </c>
      <c r="N1174" s="6" t="n">
        <v>1.88576931970681</v>
      </c>
      <c r="O1174" s="6" t="n">
        <v>2.8279180017836</v>
      </c>
      <c r="P1174" s="6" t="n">
        <v>-1.54441684135931</v>
      </c>
      <c r="Q1174" s="6" t="n">
        <v>-3.78439824886913</v>
      </c>
      <c r="R1174" s="6" t="n">
        <v>-3.37377948317752</v>
      </c>
      <c r="S1174" s="6" t="n">
        <v>2.96078900486861</v>
      </c>
      <c r="T1174" s="6" t="n">
        <v>-2.57034957967401</v>
      </c>
      <c r="U1174" s="6" t="n">
        <v>-2.9828127498459</v>
      </c>
      <c r="V1174" s="6" t="n">
        <v>1.44165879475947</v>
      </c>
      <c r="W1174" s="6" t="n">
        <v>2.94766676862635</v>
      </c>
      <c r="X1174" s="6" t="n">
        <v>-0.489181470888918</v>
      </c>
      <c r="Y1174" s="6" t="n">
        <v>1.84823676800618</v>
      </c>
      <c r="Z1174" s="6" t="n">
        <v>2.53620891417781</v>
      </c>
      <c r="AA1174" s="6" t="n">
        <v>3.807362665858</v>
      </c>
      <c r="AB1174" s="6" t="n">
        <v>-4.19901292741217</v>
      </c>
      <c r="AC1174" s="6" t="n">
        <v>0.00448877182405414</v>
      </c>
      <c r="AD1174" s="6" t="n">
        <v>-1.11405147857371</v>
      </c>
      <c r="AE1174" s="6" t="n">
        <v>-4.43078501002782</v>
      </c>
      <c r="AF1174" s="6" t="n">
        <v>3.1394007789293</v>
      </c>
      <c r="AG1174" s="6" t="n">
        <v>3.07380375583864</v>
      </c>
      <c r="AH1174" s="6" t="n">
        <v>1.15502911409907</v>
      </c>
      <c r="AI1174" s="6" t="n">
        <v>-2.60755929808338</v>
      </c>
      <c r="AJ1174" s="6" t="n">
        <v>78.4479985985805</v>
      </c>
      <c r="AK1174" s="6" t="n">
        <v>0.0888031533468701</v>
      </c>
      <c r="AL1174" s="6" t="n">
        <v>1.08341376018814</v>
      </c>
      <c r="AN1174" s="6" t="n">
        <v>1.28760086553908</v>
      </c>
      <c r="AO1174" s="6" t="n">
        <v>1.28812186680926</v>
      </c>
      <c r="AP1174" s="6" t="n">
        <v>0.132172159872904</v>
      </c>
      <c r="AQ1174" s="6" t="n">
        <v>0</v>
      </c>
      <c r="AR1174" s="6" t="n">
        <v>0</v>
      </c>
    </row>
    <row r="1175" customFormat="false" ht="15" hidden="false" customHeight="false" outlineLevel="0" collapsed="false">
      <c r="D1175" s="0" t="s">
        <v>1301</v>
      </c>
      <c r="J1175" s="6" t="n">
        <v>2.23699422281067</v>
      </c>
      <c r="K1175" s="6" t="n">
        <v>-1.96232153866271</v>
      </c>
      <c r="L1175" s="6" t="n">
        <v>0.590133826661416</v>
      </c>
      <c r="M1175" s="6" t="n">
        <v>0.290296721961471</v>
      </c>
      <c r="N1175" s="6" t="n">
        <v>-0.331472323683183</v>
      </c>
      <c r="O1175" s="6" t="n">
        <v>0.918506937882423</v>
      </c>
      <c r="P1175" s="6" t="n">
        <v>-1.27609581288985</v>
      </c>
      <c r="Q1175" s="6" t="n">
        <v>-2.38975806748556</v>
      </c>
      <c r="R1175" s="6" t="n">
        <v>3.23037891202768</v>
      </c>
      <c r="S1175" s="6" t="n">
        <v>-1.60507866637417</v>
      </c>
      <c r="T1175" s="6" t="n">
        <v>3.3994232627564</v>
      </c>
      <c r="U1175" s="6" t="n">
        <v>-1.07597778509163</v>
      </c>
      <c r="V1175" s="6" t="n">
        <v>-1.149629632358</v>
      </c>
      <c r="W1175" s="6" t="n">
        <v>-0.707800414930313</v>
      </c>
      <c r="X1175" s="6" t="n">
        <v>0.443534876108978</v>
      </c>
      <c r="Y1175" s="6" t="n">
        <v>-2.22613992464469</v>
      </c>
      <c r="Z1175" s="6" t="n">
        <v>-2.12303633291586</v>
      </c>
      <c r="AA1175" s="6" t="n">
        <v>-1.53914050843211</v>
      </c>
      <c r="AB1175" s="6" t="n">
        <v>-0.616836711305135</v>
      </c>
      <c r="AC1175" s="6" t="n">
        <v>1.39284039008588</v>
      </c>
      <c r="AD1175" s="6" t="n">
        <v>4.29584218681818</v>
      </c>
      <c r="AE1175" s="6" t="n">
        <v>-0.408702337425291</v>
      </c>
      <c r="AF1175" s="6" t="n">
        <v>-2.29703445313104</v>
      </c>
      <c r="AG1175" s="6" t="n">
        <v>0.128957867391158</v>
      </c>
      <c r="AH1175" s="6" t="n">
        <v>-0.696858054399358</v>
      </c>
      <c r="AI1175" s="6" t="n">
        <v>1.89989906268053</v>
      </c>
      <c r="AJ1175" s="6" t="n">
        <v>67.0877270151837</v>
      </c>
      <c r="AK1175" s="6" t="n">
        <v>0.141169918728823</v>
      </c>
      <c r="AL1175" s="6" t="n">
        <v>1.04616363754964</v>
      </c>
      <c r="AN1175" s="6" t="n">
        <v>1.29274524263662</v>
      </c>
      <c r="AO1175" s="6" t="n">
        <v>1.2928729362355</v>
      </c>
      <c r="AP1175" s="6" t="n">
        <v>0.133397780231915</v>
      </c>
      <c r="AQ1175" s="6" t="n">
        <v>0</v>
      </c>
      <c r="AR1175" s="6" t="n">
        <v>0</v>
      </c>
    </row>
    <row r="1176" customFormat="false" ht="15" hidden="false" customHeight="false" outlineLevel="0" collapsed="false">
      <c r="D1176" s="0" t="s">
        <v>1302</v>
      </c>
      <c r="J1176" s="6" t="n">
        <v>-0.658444904438278</v>
      </c>
      <c r="K1176" s="6" t="n">
        <v>-1.27785887720331</v>
      </c>
      <c r="L1176" s="6" t="n">
        <v>0.243210270636423</v>
      </c>
      <c r="M1176" s="6" t="n">
        <v>-3.16708662363078</v>
      </c>
      <c r="N1176" s="6" t="n">
        <v>-2.4121113282184</v>
      </c>
      <c r="O1176" s="6" t="n">
        <v>-2.78104630341978</v>
      </c>
      <c r="P1176" s="6" t="n">
        <v>-0.220213295966542</v>
      </c>
      <c r="Q1176" s="6" t="n">
        <v>0.0477583369527051</v>
      </c>
      <c r="R1176" s="6" t="n">
        <v>1.69705389399795</v>
      </c>
      <c r="S1176" s="6" t="n">
        <v>-1.3658413394671</v>
      </c>
      <c r="T1176" s="6" t="n">
        <v>-4.87137718436922</v>
      </c>
      <c r="U1176" s="6" t="n">
        <v>-0.805009234811117</v>
      </c>
      <c r="V1176" s="6" t="n">
        <v>-0.327196913751866</v>
      </c>
      <c r="W1176" s="6" t="n">
        <v>-2.29669254740598</v>
      </c>
      <c r="X1176" s="6" t="n">
        <v>0.445463902497967</v>
      </c>
      <c r="Y1176" s="6" t="n">
        <v>-1.21792234581832</v>
      </c>
      <c r="Z1176" s="6" t="n">
        <v>-0.38464290484874</v>
      </c>
      <c r="AA1176" s="6" t="n">
        <v>0.912701231009991</v>
      </c>
      <c r="AB1176" s="6" t="n">
        <v>-2.54826222292473</v>
      </c>
      <c r="AC1176" s="6" t="n">
        <v>-1.12439228337004</v>
      </c>
      <c r="AD1176" s="6" t="n">
        <v>-0.445362293521695</v>
      </c>
      <c r="AE1176" s="6" t="n">
        <v>-0.105907952512305</v>
      </c>
      <c r="AF1176" s="6" t="n">
        <v>2.9804689132836</v>
      </c>
      <c r="AG1176" s="6" t="n">
        <v>0.962562982243825</v>
      </c>
      <c r="AH1176" s="6" t="n">
        <v>0.761311146449115</v>
      </c>
      <c r="AI1176" s="6" t="n">
        <v>-2.56194035633583</v>
      </c>
      <c r="AJ1176" s="6" t="n">
        <v>66.6758026822139</v>
      </c>
      <c r="AK1176" s="6" t="n">
        <v>0.164853923882948</v>
      </c>
      <c r="AL1176" s="6" t="n">
        <v>1.01067159045755</v>
      </c>
      <c r="AN1176" s="6" t="n">
        <v>1.3103450110604</v>
      </c>
      <c r="AO1176" s="6" t="n">
        <v>1.3103450110604</v>
      </c>
      <c r="AP1176" s="6" t="n">
        <v>0.136873731991818</v>
      </c>
      <c r="AQ1176" s="6" t="n">
        <v>0</v>
      </c>
      <c r="AR1176" s="6" t="n">
        <v>0</v>
      </c>
    </row>
    <row r="1177" customFormat="false" ht="15" hidden="false" customHeight="false" outlineLevel="0" collapsed="false">
      <c r="D1177" s="0" t="s">
        <v>1303</v>
      </c>
      <c r="J1177" s="6" t="n">
        <v>2.41197054022804</v>
      </c>
      <c r="K1177" s="6" t="n">
        <v>2.80971911091785</v>
      </c>
      <c r="L1177" s="6" t="n">
        <v>-1.77132109671507</v>
      </c>
      <c r="M1177" s="6" t="n">
        <v>2.55839971571714</v>
      </c>
      <c r="N1177" s="6" t="n">
        <v>2.43960695972344</v>
      </c>
      <c r="O1177" s="6" t="n">
        <v>0.854521126930621</v>
      </c>
      <c r="P1177" s="6" t="n">
        <v>-4.1606198978283</v>
      </c>
      <c r="Q1177" s="6" t="n">
        <v>1.54291215454203</v>
      </c>
      <c r="R1177" s="6" t="n">
        <v>-1.09335164738857</v>
      </c>
      <c r="S1177" s="6" t="n">
        <v>0.353755016538663</v>
      </c>
      <c r="T1177" s="6" t="n">
        <v>1.61188967170175</v>
      </c>
      <c r="U1177" s="6" t="n">
        <v>1.11379279120017</v>
      </c>
      <c r="V1177" s="6" t="n">
        <v>-0.0659539095227371</v>
      </c>
      <c r="W1177" s="6" t="n">
        <v>2.92058615824485</v>
      </c>
      <c r="X1177" s="6" t="n">
        <v>-2.79851649051877</v>
      </c>
      <c r="Y1177" s="6" t="n">
        <v>1.36707914125623</v>
      </c>
      <c r="Z1177" s="6" t="n">
        <v>1.77518660653982</v>
      </c>
      <c r="AA1177" s="6" t="n">
        <v>-1.44174852214348</v>
      </c>
      <c r="AB1177" s="6" t="n">
        <v>0.107201019081631</v>
      </c>
      <c r="AC1177" s="6" t="n">
        <v>-4.74519668003138</v>
      </c>
      <c r="AD1177" s="6" t="n">
        <v>-5.10930533378645</v>
      </c>
      <c r="AE1177" s="6" t="n">
        <v>0.137154273711418</v>
      </c>
      <c r="AF1177" s="6" t="n">
        <v>2.82565079731205</v>
      </c>
      <c r="AG1177" s="6" t="n">
        <v>1.67401659607264</v>
      </c>
      <c r="AH1177" s="6" t="n">
        <v>0.369410261798165</v>
      </c>
      <c r="AI1177" s="6" t="n">
        <v>0.263207979953618</v>
      </c>
      <c r="AJ1177" s="6" t="n">
        <v>56.7914123702923</v>
      </c>
      <c r="AK1177" s="6" t="n">
        <v>0.0742871299264919</v>
      </c>
      <c r="AL1177" s="6" t="n">
        <v>0.99389071000027</v>
      </c>
      <c r="AN1177" s="6" t="n">
        <v>1.30641547936595</v>
      </c>
      <c r="AO1177" s="6" t="n">
        <v>1.30641547936595</v>
      </c>
      <c r="AP1177" s="6" t="n">
        <v>0.14030812034027</v>
      </c>
      <c r="AQ1177" s="6" t="n">
        <v>0</v>
      </c>
      <c r="AR1177" s="6" t="n">
        <v>0</v>
      </c>
    </row>
    <row r="1178" customFormat="false" ht="15" hidden="false" customHeight="false" outlineLevel="0" collapsed="false">
      <c r="D1178" s="0" t="s">
        <v>1304</v>
      </c>
      <c r="J1178" s="6" t="n">
        <v>-0.805521432245424</v>
      </c>
      <c r="K1178" s="6" t="n">
        <v>-0.304736932558134</v>
      </c>
      <c r="L1178" s="6" t="n">
        <v>0.617026619443412</v>
      </c>
      <c r="M1178" s="6" t="n">
        <v>-1.22604358606606</v>
      </c>
      <c r="N1178" s="6" t="n">
        <v>-2.16292590625532</v>
      </c>
      <c r="O1178" s="6" t="n">
        <v>-1.91775873858762</v>
      </c>
      <c r="P1178" s="6" t="n">
        <v>-2.77790483734137</v>
      </c>
      <c r="Q1178" s="6" t="n">
        <v>0.447855566213237</v>
      </c>
      <c r="R1178" s="6" t="n">
        <v>2.38264659606985</v>
      </c>
      <c r="S1178" s="6" t="n">
        <v>-2.28516873476915</v>
      </c>
      <c r="T1178" s="6" t="n">
        <v>-2.68681354733016</v>
      </c>
      <c r="U1178" s="6" t="n">
        <v>-1.05535044545422</v>
      </c>
      <c r="V1178" s="6" t="n">
        <v>1.67978461138386</v>
      </c>
      <c r="W1178" s="6" t="n">
        <v>-0.637242316235448</v>
      </c>
      <c r="X1178" s="6" t="n">
        <v>-0.772771405671295</v>
      </c>
      <c r="Y1178" s="6" t="n">
        <v>-1.8480083532541</v>
      </c>
      <c r="Z1178" s="6" t="n">
        <v>-2.91351165005199</v>
      </c>
      <c r="AA1178" s="6" t="n">
        <v>2.12664569160411</v>
      </c>
      <c r="AB1178" s="6" t="n">
        <v>1.87316028420892</v>
      </c>
      <c r="AC1178" s="6" t="n">
        <v>-1.92083751995738</v>
      </c>
      <c r="AD1178" s="6" t="n">
        <v>-0.846892045364316</v>
      </c>
      <c r="AE1178" s="6" t="n">
        <v>0.674142715778102</v>
      </c>
      <c r="AF1178" s="6" t="n">
        <v>-2.98724350299463</v>
      </c>
      <c r="AG1178" s="6" t="n">
        <v>0.97527453434675</v>
      </c>
      <c r="AH1178" s="6" t="n">
        <v>-2.67481221545287</v>
      </c>
      <c r="AI1178" s="6" t="n">
        <v>-1.42281755894653</v>
      </c>
      <c r="AJ1178" s="6" t="n">
        <v>66.4745233398293</v>
      </c>
      <c r="AK1178" s="6" t="n">
        <v>0.116199526157837</v>
      </c>
      <c r="AL1178" s="6" t="n">
        <v>1.03649918267003</v>
      </c>
      <c r="AN1178" s="6" t="n">
        <v>1.3037536567502</v>
      </c>
      <c r="AO1178" s="6" t="n">
        <v>1.303870196566</v>
      </c>
      <c r="AP1178" s="6" t="n">
        <v>0.135140667614428</v>
      </c>
      <c r="AQ1178" s="6" t="n">
        <v>0</v>
      </c>
      <c r="AR1178" s="6" t="n">
        <v>0</v>
      </c>
    </row>
    <row r="1179" customFormat="false" ht="15" hidden="false" customHeight="false" outlineLevel="0" collapsed="false">
      <c r="D1179" s="0" t="s">
        <v>1305</v>
      </c>
      <c r="J1179" s="6" t="n">
        <v>-2.19207419462903</v>
      </c>
      <c r="K1179" s="6" t="n">
        <v>-0.564978106485884</v>
      </c>
      <c r="L1179" s="6" t="n">
        <v>-0.942152941487605</v>
      </c>
      <c r="M1179" s="6" t="n">
        <v>-2.84716308507105</v>
      </c>
      <c r="N1179" s="6" t="n">
        <v>0.0168605652995744</v>
      </c>
      <c r="O1179" s="6" t="n">
        <v>1.59802323935881</v>
      </c>
      <c r="P1179" s="6" t="n">
        <v>-0.720744545707869</v>
      </c>
      <c r="Q1179" s="6" t="n">
        <v>0.502408970097593</v>
      </c>
      <c r="R1179" s="6" t="n">
        <v>-2.42157090768024</v>
      </c>
      <c r="S1179" s="6" t="n">
        <v>0.48780384508193</v>
      </c>
      <c r="T1179" s="6" t="n">
        <v>1.14898516502429</v>
      </c>
      <c r="U1179" s="6" t="n">
        <v>0.112878178475553</v>
      </c>
      <c r="V1179" s="6" t="n">
        <v>0.814358060186713</v>
      </c>
      <c r="W1179" s="6" t="n">
        <v>-0.181663124352059</v>
      </c>
      <c r="X1179" s="6" t="n">
        <v>0.54957369184322</v>
      </c>
      <c r="Y1179" s="6" t="n">
        <v>4.62637934646733</v>
      </c>
      <c r="Z1179" s="6" t="n">
        <v>-1.33696239538679</v>
      </c>
      <c r="AA1179" s="6" t="n">
        <v>-0.953088456916707</v>
      </c>
      <c r="AB1179" s="6" t="n">
        <v>-1.32581928190691</v>
      </c>
      <c r="AC1179" s="6" t="n">
        <v>-0.310206002986531</v>
      </c>
      <c r="AD1179" s="6" t="n">
        <v>1.32826517597021</v>
      </c>
      <c r="AE1179" s="6" t="n">
        <v>0.514307394495937</v>
      </c>
      <c r="AF1179" s="6" t="n">
        <v>-0.319413634662461</v>
      </c>
      <c r="AG1179" s="6" t="n">
        <v>2.04088688179168</v>
      </c>
      <c r="AH1179" s="6" t="n">
        <v>-4.25941694504759</v>
      </c>
      <c r="AI1179" s="6" t="n">
        <v>3.86592103467933</v>
      </c>
      <c r="AJ1179" s="6" t="n">
        <v>76.1344559519</v>
      </c>
      <c r="AK1179" s="6" t="n">
        <v>0.093211420501152</v>
      </c>
      <c r="AL1179" s="6" t="n">
        <v>1.07109257024926</v>
      </c>
      <c r="AN1179" s="6" t="n">
        <v>1.29111665479492</v>
      </c>
      <c r="AO1179" s="6" t="n">
        <v>1.29116174365996</v>
      </c>
      <c r="AP1179" s="6" t="n">
        <v>0.133283185516212</v>
      </c>
      <c r="AQ1179" s="6" t="n">
        <v>0</v>
      </c>
      <c r="AR1179" s="6" t="n">
        <v>0</v>
      </c>
    </row>
    <row r="1180" customFormat="false" ht="15" hidden="false" customHeight="false" outlineLevel="0" collapsed="false">
      <c r="D1180" s="0" t="s">
        <v>1306</v>
      </c>
      <c r="J1180" s="6" t="n">
        <v>-2.19204161086352</v>
      </c>
      <c r="K1180" s="6" t="n">
        <v>0.286686193447799</v>
      </c>
      <c r="L1180" s="6" t="n">
        <v>0.226482017712383</v>
      </c>
      <c r="M1180" s="6" t="n">
        <v>1.82393378360745</v>
      </c>
      <c r="N1180" s="6" t="n">
        <v>-1.43324654488617</v>
      </c>
      <c r="O1180" s="6" t="n">
        <v>-1.84493731967216</v>
      </c>
      <c r="P1180" s="6" t="n">
        <v>1.99841186703855</v>
      </c>
      <c r="Q1180" s="6" t="n">
        <v>-0.308841621815803</v>
      </c>
      <c r="R1180" s="6" t="n">
        <v>-2.17363261522517</v>
      </c>
      <c r="S1180" s="6" t="n">
        <v>2.4370061053567</v>
      </c>
      <c r="T1180" s="6" t="n">
        <v>-1.5209887323209</v>
      </c>
      <c r="U1180" s="6" t="n">
        <v>1.39903312893252</v>
      </c>
      <c r="V1180" s="6" t="n">
        <v>-1.08390511769913</v>
      </c>
      <c r="W1180" s="6" t="n">
        <v>-0.231746570462447</v>
      </c>
      <c r="X1180" s="6" t="n">
        <v>-1.10162034494368</v>
      </c>
      <c r="Y1180" s="6" t="n">
        <v>0.435904678515693</v>
      </c>
      <c r="Z1180" s="6" t="n">
        <v>-1.61113101593529</v>
      </c>
      <c r="AA1180" s="6" t="n">
        <v>-1.36585450253685</v>
      </c>
      <c r="AB1180" s="6" t="n">
        <v>1.38370932243597</v>
      </c>
      <c r="AC1180" s="6" t="n">
        <v>1.5119231294394</v>
      </c>
      <c r="AD1180" s="6" t="n">
        <v>0.845495886548392</v>
      </c>
      <c r="AE1180" s="6" t="n">
        <v>-1.15424262590947</v>
      </c>
      <c r="AF1180" s="6" t="n">
        <v>-1.6486091325198</v>
      </c>
      <c r="AG1180" s="6" t="n">
        <v>-1.49198973703932</v>
      </c>
      <c r="AH1180" s="6" t="n">
        <v>2.52428771619174</v>
      </c>
      <c r="AI1180" s="6" t="n">
        <v>-1.58322654323915</v>
      </c>
      <c r="AJ1180" s="6" t="n">
        <v>71.7316666954396</v>
      </c>
      <c r="AK1180" s="6" t="n">
        <v>0.0931643337772024</v>
      </c>
      <c r="AL1180" s="6" t="n">
        <v>1.05183959645998</v>
      </c>
      <c r="AN1180" s="6" t="n">
        <v>1.2994692078906</v>
      </c>
      <c r="AO1180" s="6" t="n">
        <v>1.30068242672979</v>
      </c>
      <c r="AP1180" s="6" t="n">
        <v>0.134658654198301</v>
      </c>
      <c r="AQ1180" s="6" t="n">
        <v>0</v>
      </c>
      <c r="AR1180" s="6" t="n">
        <v>0</v>
      </c>
    </row>
    <row r="1181" customFormat="false" ht="15" hidden="false" customHeight="false" outlineLevel="0" collapsed="false">
      <c r="D1181" s="0" t="s">
        <v>1307</v>
      </c>
      <c r="J1181" s="6" t="n">
        <v>0.996171444902253</v>
      </c>
      <c r="K1181" s="6" t="n">
        <v>-0.878515897766755</v>
      </c>
      <c r="L1181" s="6" t="n">
        <v>1.02741656054727</v>
      </c>
      <c r="M1181" s="6" t="n">
        <v>2.68658197309099</v>
      </c>
      <c r="N1181" s="6" t="n">
        <v>5</v>
      </c>
      <c r="O1181" s="6" t="n">
        <v>1.05626586098832</v>
      </c>
      <c r="P1181" s="6" t="n">
        <v>1.59922160251451</v>
      </c>
      <c r="Q1181" s="6" t="n">
        <v>0.0972709472984041</v>
      </c>
      <c r="R1181" s="6" t="n">
        <v>-0.136460395903576</v>
      </c>
      <c r="S1181" s="6" t="n">
        <v>-3.17986113163998</v>
      </c>
      <c r="T1181" s="6" t="n">
        <v>-2.75315808580392</v>
      </c>
      <c r="U1181" s="6" t="n">
        <v>1.83121899386425</v>
      </c>
      <c r="V1181" s="6" t="n">
        <v>0.233586630983824</v>
      </c>
      <c r="W1181" s="6" t="n">
        <v>2.3377886808273</v>
      </c>
      <c r="X1181" s="6" t="n">
        <v>-1.00807867809902</v>
      </c>
      <c r="Y1181" s="6" t="n">
        <v>4.59964832397645</v>
      </c>
      <c r="Z1181" s="6" t="n">
        <v>-4.06378866763132</v>
      </c>
      <c r="AA1181" s="6" t="n">
        <v>1.76005036962809</v>
      </c>
      <c r="AB1181" s="6" t="n">
        <v>-4.94069770694033</v>
      </c>
      <c r="AC1181" s="6" t="n">
        <v>1.30459381069053</v>
      </c>
      <c r="AD1181" s="6" t="n">
        <v>-1.87254690966838</v>
      </c>
      <c r="AE1181" s="6" t="n">
        <v>-1.19051231238033</v>
      </c>
      <c r="AF1181" s="6" t="n">
        <v>-2.03053047282354</v>
      </c>
      <c r="AG1181" s="6" t="n">
        <v>-0.0719263482468908</v>
      </c>
      <c r="AH1181" s="6" t="n">
        <v>1.33227249326547</v>
      </c>
      <c r="AI1181" s="6" t="n">
        <v>1.14340924399543</v>
      </c>
      <c r="AJ1181" s="6" t="n">
        <v>81.4814827836953</v>
      </c>
      <c r="AK1181" s="6" t="n">
        <v>0.129738059027145</v>
      </c>
      <c r="AL1181" s="6" t="n">
        <v>1.08885315494685</v>
      </c>
      <c r="AN1181" s="6" t="n">
        <v>1.28089459805921</v>
      </c>
      <c r="AO1181" s="6" t="n">
        <v>1.28237044866154</v>
      </c>
      <c r="AP1181" s="6" t="n">
        <v>0.131501089268349</v>
      </c>
      <c r="AQ1181" s="6" t="n">
        <v>0</v>
      </c>
      <c r="AR1181" s="6" t="n">
        <v>0</v>
      </c>
    </row>
    <row r="1182" customFormat="false" ht="15" hidden="false" customHeight="false" outlineLevel="0" collapsed="false">
      <c r="D1182" s="0" t="s">
        <v>1308</v>
      </c>
      <c r="J1182" s="6" t="n">
        <v>1.5945198098166</v>
      </c>
      <c r="K1182" s="6" t="n">
        <v>-3.30546236954556</v>
      </c>
      <c r="L1182" s="6" t="n">
        <v>-0.765520788926617</v>
      </c>
      <c r="M1182" s="6" t="n">
        <v>1.62505236938948</v>
      </c>
      <c r="N1182" s="6" t="n">
        <v>-2.80450338898247</v>
      </c>
      <c r="O1182" s="6" t="n">
        <v>-4.2335925555461</v>
      </c>
      <c r="P1182" s="6" t="n">
        <v>4.30583358927988</v>
      </c>
      <c r="Q1182" s="6" t="n">
        <v>-4.20605417241476</v>
      </c>
      <c r="R1182" s="6" t="n">
        <v>2.42140669722891</v>
      </c>
      <c r="S1182" s="6" t="n">
        <v>-2.25246861866295</v>
      </c>
      <c r="T1182" s="6" t="n">
        <v>0.483405628604225</v>
      </c>
      <c r="U1182" s="6" t="n">
        <v>1.29761767498485</v>
      </c>
      <c r="V1182" s="6" t="n">
        <v>-0.0644789993971637</v>
      </c>
      <c r="W1182" s="6" t="n">
        <v>0.533647891771324</v>
      </c>
      <c r="X1182" s="6" t="n">
        <v>-3.37389012505899</v>
      </c>
      <c r="Y1182" s="6" t="n">
        <v>-0.856863843871702</v>
      </c>
      <c r="Z1182" s="6" t="n">
        <v>2.66333931769322</v>
      </c>
      <c r="AA1182" s="6" t="n">
        <v>-0.154013693550748</v>
      </c>
      <c r="AB1182" s="6" t="n">
        <v>-1.46525679700277</v>
      </c>
      <c r="AC1182" s="6" t="n">
        <v>-1.80733475774189</v>
      </c>
      <c r="AD1182" s="6" t="n">
        <v>1.68511619369266</v>
      </c>
      <c r="AE1182" s="6" t="n">
        <v>-0.773788089002247</v>
      </c>
      <c r="AF1182" s="6" t="n">
        <v>0.300184148181196</v>
      </c>
      <c r="AG1182" s="6" t="n">
        <v>-1.04055065322872</v>
      </c>
      <c r="AH1182" s="6" t="n">
        <v>-0.339952257204772</v>
      </c>
      <c r="AI1182" s="6" t="n">
        <v>0.283580634991181</v>
      </c>
      <c r="AJ1182" s="6" t="n">
        <v>66.9660490407773</v>
      </c>
      <c r="AK1182" s="6" t="n">
        <v>0.124109580225389</v>
      </c>
      <c r="AL1182" s="6" t="n">
        <v>1.04893190090074</v>
      </c>
      <c r="AN1182" s="6" t="n">
        <v>1.28264925113351</v>
      </c>
      <c r="AO1182" s="6" t="n">
        <v>1.28645716364092</v>
      </c>
      <c r="AP1182" s="6" t="n">
        <v>0.133276474510277</v>
      </c>
      <c r="AQ1182" s="6" t="n">
        <v>0</v>
      </c>
      <c r="AR1182" s="6" t="n">
        <v>0</v>
      </c>
    </row>
    <row r="1183" customFormat="false" ht="15" hidden="false" customHeight="false" outlineLevel="0" collapsed="false">
      <c r="D1183" s="0" t="s">
        <v>1309</v>
      </c>
      <c r="J1183" s="6" t="n">
        <v>-2.1524187652653</v>
      </c>
      <c r="K1183" s="6" t="n">
        <v>-2.14080402623268</v>
      </c>
      <c r="L1183" s="6" t="n">
        <v>0.304811102162599</v>
      </c>
      <c r="M1183" s="6" t="n">
        <v>0.584267587584113</v>
      </c>
      <c r="N1183" s="6" t="n">
        <v>-2.71979248635888</v>
      </c>
      <c r="O1183" s="6" t="n">
        <v>-1.32249165430934</v>
      </c>
      <c r="P1183" s="6" t="n">
        <v>2.5136303357033</v>
      </c>
      <c r="Q1183" s="6" t="n">
        <v>0.229703958498542</v>
      </c>
      <c r="R1183" s="6" t="n">
        <v>-0.90485196645543</v>
      </c>
      <c r="S1183" s="6" t="n">
        <v>2.72272383061841</v>
      </c>
      <c r="T1183" s="6" t="n">
        <v>2.36009811096235</v>
      </c>
      <c r="U1183" s="6" t="n">
        <v>2.79241265948648</v>
      </c>
      <c r="V1183" s="6" t="n">
        <v>-2.12500760767531</v>
      </c>
      <c r="W1183" s="6" t="n">
        <v>0.588679775174138</v>
      </c>
      <c r="X1183" s="6" t="n">
        <v>-2.09123713984478</v>
      </c>
      <c r="Y1183" s="6" t="n">
        <v>3.27699090883651</v>
      </c>
      <c r="Z1183" s="6" t="n">
        <v>-0.655172843856752</v>
      </c>
      <c r="AA1183" s="6" t="n">
        <v>3.33197076678096</v>
      </c>
      <c r="AB1183" s="6" t="n">
        <v>1.03527236847443</v>
      </c>
      <c r="AC1183" s="6" t="n">
        <v>-2.85603619027985</v>
      </c>
      <c r="AD1183" s="6" t="n">
        <v>0.347640910474596</v>
      </c>
      <c r="AE1183" s="6" t="n">
        <v>-0.218627663987474</v>
      </c>
      <c r="AF1183" s="6" t="n">
        <v>-2.59218163971119</v>
      </c>
      <c r="AG1183" s="6" t="n">
        <v>0.26212228415401</v>
      </c>
      <c r="AH1183" s="6" t="n">
        <v>3.65876258300874</v>
      </c>
      <c r="AI1183" s="6" t="n">
        <v>0.366554292268866</v>
      </c>
      <c r="AJ1183" s="6" t="n">
        <v>67.445904556295</v>
      </c>
      <c r="AK1183" s="6" t="n">
        <v>0.0911498549559707</v>
      </c>
      <c r="AL1183" s="6" t="n">
        <v>1.04167110946951</v>
      </c>
      <c r="AN1183" s="6" t="n">
        <v>1.30138751769367</v>
      </c>
      <c r="AO1183" s="6" t="n">
        <v>1.30246847249612</v>
      </c>
      <c r="AP1183" s="6" t="n">
        <v>0.1354111345163</v>
      </c>
      <c r="AQ1183" s="6" t="n">
        <v>0</v>
      </c>
      <c r="AR1183" s="6" t="n">
        <v>0</v>
      </c>
    </row>
    <row r="1184" customFormat="false" ht="15" hidden="false" customHeight="false" outlineLevel="0" collapsed="false">
      <c r="D1184" s="0" t="s">
        <v>1310</v>
      </c>
      <c r="J1184" s="6" t="n">
        <v>1.52665123481603</v>
      </c>
      <c r="K1184" s="6" t="n">
        <v>-2.02295840194369</v>
      </c>
      <c r="L1184" s="6" t="n">
        <v>-2.20243200712386</v>
      </c>
      <c r="M1184" s="6" t="n">
        <v>2.56581089271315</v>
      </c>
      <c r="N1184" s="6" t="n">
        <v>-1.31574121087208</v>
      </c>
      <c r="O1184" s="6" t="n">
        <v>0.0750705388366144</v>
      </c>
      <c r="P1184" s="6" t="n">
        <v>1.2970435850488</v>
      </c>
      <c r="Q1184" s="6" t="n">
        <v>-0.0301479609202929</v>
      </c>
      <c r="R1184" s="6" t="n">
        <v>1.25939346963173</v>
      </c>
      <c r="S1184" s="6" t="n">
        <v>-1.65324319852648</v>
      </c>
      <c r="T1184" s="6" t="n">
        <v>0.249904444743607</v>
      </c>
      <c r="U1184" s="6" t="n">
        <v>0.325006806588043</v>
      </c>
      <c r="V1184" s="6" t="n">
        <v>-1.53614022367692</v>
      </c>
      <c r="W1184" s="6" t="n">
        <v>1.54554025793041</v>
      </c>
      <c r="X1184" s="6" t="n">
        <v>1.89716497377574</v>
      </c>
      <c r="Y1184" s="6" t="n">
        <v>-1.54061641846858</v>
      </c>
      <c r="Z1184" s="6" t="n">
        <v>-0.973001902693811</v>
      </c>
      <c r="AA1184" s="6" t="n">
        <v>1.73529356138184</v>
      </c>
      <c r="AB1184" s="6" t="n">
        <v>-0.369197680407156</v>
      </c>
      <c r="AC1184" s="6" t="n">
        <v>2.38830153010583</v>
      </c>
      <c r="AD1184" s="6" t="n">
        <v>3.12553021208526</v>
      </c>
      <c r="AE1184" s="6" t="n">
        <v>-1.24110787276465</v>
      </c>
      <c r="AF1184" s="6" t="n">
        <v>2.00070673340273</v>
      </c>
      <c r="AG1184" s="6" t="n">
        <v>-1.00005347504601</v>
      </c>
      <c r="AH1184" s="6" t="n">
        <v>1.61705282773432</v>
      </c>
      <c r="AI1184" s="6" t="n">
        <v>-0.465165755173342</v>
      </c>
      <c r="AJ1184" s="6" t="n">
        <v>61.2391406044207</v>
      </c>
      <c r="AK1184" s="6" t="n">
        <v>0.109062680157282</v>
      </c>
      <c r="AL1184" s="6" t="n">
        <v>1.05602948091087</v>
      </c>
      <c r="AN1184" s="6" t="n">
        <v>1.28924016175385</v>
      </c>
      <c r="AO1184" s="6" t="n">
        <v>1.28999708496639</v>
      </c>
      <c r="AP1184" s="6" t="n">
        <v>0.133043151256917</v>
      </c>
      <c r="AQ1184" s="6" t="n">
        <v>0</v>
      </c>
      <c r="AR1184" s="6" t="n">
        <v>0</v>
      </c>
    </row>
    <row r="1185" customFormat="false" ht="15" hidden="false" customHeight="false" outlineLevel="0" collapsed="false">
      <c r="D1185" s="0" t="s">
        <v>1311</v>
      </c>
      <c r="J1185" s="6" t="n">
        <v>-0.958265197701068</v>
      </c>
      <c r="K1185" s="6" t="n">
        <v>-0.246680817275644</v>
      </c>
      <c r="L1185" s="6" t="n">
        <v>-0.677341353046624</v>
      </c>
      <c r="M1185" s="6" t="n">
        <v>-0.967102179366873</v>
      </c>
      <c r="N1185" s="6" t="n">
        <v>-0.73436773845583</v>
      </c>
      <c r="O1185" s="6" t="n">
        <v>3.64885398218751</v>
      </c>
      <c r="P1185" s="6" t="n">
        <v>2.38142023467298</v>
      </c>
      <c r="Q1185" s="6" t="n">
        <v>1.73351448578154</v>
      </c>
      <c r="R1185" s="6" t="n">
        <v>-3.36830623515875</v>
      </c>
      <c r="S1185" s="6" t="n">
        <v>2.24798509116546</v>
      </c>
      <c r="T1185" s="6" t="n">
        <v>-3.95413659555789</v>
      </c>
      <c r="U1185" s="6" t="n">
        <v>-0.983223909162669</v>
      </c>
      <c r="V1185" s="6" t="n">
        <v>2.12975077743936</v>
      </c>
      <c r="W1185" s="6" t="n">
        <v>1.19498690458021</v>
      </c>
      <c r="X1185" s="6" t="n">
        <v>0.538904610161135</v>
      </c>
      <c r="Y1185" s="6" t="n">
        <v>2.04427853458186</v>
      </c>
      <c r="Z1185" s="6" t="n">
        <v>2.04646543525597</v>
      </c>
      <c r="AA1185" s="6" t="n">
        <v>-0.976134011434709</v>
      </c>
      <c r="AB1185" s="6" t="n">
        <v>-0.682753678186414</v>
      </c>
      <c r="AC1185" s="6" t="n">
        <v>2.86019771758657</v>
      </c>
      <c r="AD1185" s="6" t="n">
        <v>-0.98160789541359</v>
      </c>
      <c r="AE1185" s="6" t="n">
        <v>-4.76178192700505</v>
      </c>
      <c r="AF1185" s="6" t="n">
        <v>0.291915570199599</v>
      </c>
      <c r="AG1185" s="6" t="n">
        <v>-1.19558635940604</v>
      </c>
      <c r="AH1185" s="6" t="n">
        <v>-2.03336909141666</v>
      </c>
      <c r="AI1185" s="6" t="n">
        <v>-4.73357251917365</v>
      </c>
      <c r="AJ1185" s="6" t="n">
        <v>74.9817209732488</v>
      </c>
      <c r="AK1185" s="6" t="n">
        <v>0.142906614257528</v>
      </c>
      <c r="AL1185" s="6" t="n">
        <v>1.08320998238285</v>
      </c>
      <c r="AN1185" s="6" t="n">
        <v>1.28046456543694</v>
      </c>
      <c r="AO1185" s="6" t="n">
        <v>1.28091295693229</v>
      </c>
      <c r="AP1185" s="6" t="n">
        <v>0.131328066745532</v>
      </c>
      <c r="AQ1185" s="6" t="n">
        <v>0</v>
      </c>
      <c r="AR1185" s="6" t="n">
        <v>0</v>
      </c>
    </row>
    <row r="1186" customFormat="false" ht="15" hidden="false" customHeight="false" outlineLevel="0" collapsed="false">
      <c r="D1186" s="0" t="s">
        <v>1312</v>
      </c>
      <c r="J1186" s="6" t="n">
        <v>2.0884904087415</v>
      </c>
      <c r="K1186" s="6" t="n">
        <v>-0.171871429830463</v>
      </c>
      <c r="L1186" s="6" t="n">
        <v>-0.679754485500096</v>
      </c>
      <c r="M1186" s="6" t="n">
        <v>-1.25045616829739</v>
      </c>
      <c r="N1186" s="6" t="n">
        <v>-1.13938135998136</v>
      </c>
      <c r="O1186" s="6" t="n">
        <v>3.02130673048641</v>
      </c>
      <c r="P1186" s="6" t="n">
        <v>-1.31374907083867</v>
      </c>
      <c r="Q1186" s="6" t="n">
        <v>1.32550993844672</v>
      </c>
      <c r="R1186" s="6" t="n">
        <v>1.20740779075756</v>
      </c>
      <c r="S1186" s="6" t="n">
        <v>-1.39067094868766</v>
      </c>
      <c r="T1186" s="6" t="n">
        <v>-1.60317012434994</v>
      </c>
      <c r="U1186" s="6" t="n">
        <v>-0.862537765074537</v>
      </c>
      <c r="V1186" s="6" t="n">
        <v>-0.0839821966927294</v>
      </c>
      <c r="W1186" s="6" t="n">
        <v>-0.24597736739869</v>
      </c>
      <c r="X1186" s="6" t="n">
        <v>2.02996103189072</v>
      </c>
      <c r="Y1186" s="6" t="n">
        <v>-0.855408090988315</v>
      </c>
      <c r="Z1186" s="6" t="n">
        <v>-2.39656207163566</v>
      </c>
      <c r="AA1186" s="6" t="n">
        <v>1.25687297901379</v>
      </c>
      <c r="AB1186" s="6" t="n">
        <v>-4.1218108372268</v>
      </c>
      <c r="AC1186" s="6" t="n">
        <v>0.987635010439217</v>
      </c>
      <c r="AD1186" s="6" t="n">
        <v>1.18534638504506</v>
      </c>
      <c r="AE1186" s="6" t="n">
        <v>0.134097194452345</v>
      </c>
      <c r="AF1186" s="6" t="n">
        <v>0.418177355351707</v>
      </c>
      <c r="AG1186" s="6" t="n">
        <v>-2.19002062394286</v>
      </c>
      <c r="AH1186" s="6" t="n">
        <v>-2.49687198646938</v>
      </c>
      <c r="AI1186" s="6" t="n">
        <v>-2.05283990330401</v>
      </c>
      <c r="AJ1186" s="6" t="n">
        <v>69.47965943353</v>
      </c>
      <c r="AK1186" s="6" t="n">
        <v>0.0962275688511305</v>
      </c>
      <c r="AL1186" s="6" t="n">
        <v>1.03110059872229</v>
      </c>
      <c r="AN1186" s="6" t="n">
        <v>1.30496359685614</v>
      </c>
      <c r="AO1186" s="6" t="n">
        <v>1.30512753995337</v>
      </c>
      <c r="AP1186" s="6" t="n">
        <v>0.136403794279074</v>
      </c>
      <c r="AQ1186" s="6" t="n">
        <v>0</v>
      </c>
      <c r="AR1186" s="6" t="n">
        <v>0</v>
      </c>
    </row>
    <row r="1187" customFormat="false" ht="15" hidden="false" customHeight="false" outlineLevel="0" collapsed="false">
      <c r="D1187" s="0" t="s">
        <v>1313</v>
      </c>
      <c r="J1187" s="6" t="n">
        <v>-0.0718579061594981</v>
      </c>
      <c r="K1187" s="6" t="n">
        <v>-1.15973881752327</v>
      </c>
      <c r="L1187" s="6" t="n">
        <v>-3.63197065255219</v>
      </c>
      <c r="M1187" s="6" t="n">
        <v>-2.32318988582091</v>
      </c>
      <c r="N1187" s="6" t="n">
        <v>-0.661490520871928</v>
      </c>
      <c r="O1187" s="6" t="n">
        <v>-1.23641222669258</v>
      </c>
      <c r="P1187" s="6" t="n">
        <v>1.03991058230113</v>
      </c>
      <c r="Q1187" s="6" t="n">
        <v>-0.176428600042412</v>
      </c>
      <c r="R1187" s="6" t="n">
        <v>1.48133827907069</v>
      </c>
      <c r="S1187" s="6" t="n">
        <v>1.41024005441184</v>
      </c>
      <c r="T1187" s="6" t="n">
        <v>-2.11450275228286</v>
      </c>
      <c r="U1187" s="6" t="n">
        <v>0.439495259378036</v>
      </c>
      <c r="V1187" s="6" t="n">
        <v>1.235051661806</v>
      </c>
      <c r="W1187" s="6" t="n">
        <v>0.380309736814567</v>
      </c>
      <c r="X1187" s="6" t="n">
        <v>-1.76493917946447</v>
      </c>
      <c r="Y1187" s="6" t="n">
        <v>-0.827217867785649</v>
      </c>
      <c r="Z1187" s="6" t="n">
        <v>2.35516205847569</v>
      </c>
      <c r="AA1187" s="6" t="n">
        <v>-0.0465235284858781</v>
      </c>
      <c r="AB1187" s="6" t="n">
        <v>0.262473527169364</v>
      </c>
      <c r="AC1187" s="6" t="n">
        <v>-0.711047983982473</v>
      </c>
      <c r="AD1187" s="6" t="n">
        <v>1.364438067091</v>
      </c>
      <c r="AE1187" s="6" t="n">
        <v>1.20998617380053</v>
      </c>
      <c r="AF1187" s="6" t="n">
        <v>-0.640636395357791</v>
      </c>
      <c r="AG1187" s="6" t="n">
        <v>2.32059483460947</v>
      </c>
      <c r="AH1187" s="6" t="n">
        <v>-1.68354961359064</v>
      </c>
      <c r="AI1187" s="6" t="n">
        <v>-3.5275609780594</v>
      </c>
      <c r="AJ1187" s="6" t="n">
        <v>78.2924378621487</v>
      </c>
      <c r="AK1187" s="6" t="n">
        <v>0.120813171870905</v>
      </c>
      <c r="AL1187" s="6" t="n">
        <v>1.07599781975191</v>
      </c>
      <c r="AN1187" s="6" t="n">
        <v>1.28844809765512</v>
      </c>
      <c r="AO1187" s="6" t="n">
        <v>1.28894095623356</v>
      </c>
      <c r="AP1187" s="6" t="n">
        <v>0.132296896728544</v>
      </c>
      <c r="AQ1187" s="6" t="n">
        <v>0</v>
      </c>
      <c r="AR1187" s="6" t="n">
        <v>0</v>
      </c>
    </row>
    <row r="1188" customFormat="false" ht="15" hidden="false" customHeight="false" outlineLevel="0" collapsed="false">
      <c r="D1188" s="0" t="s">
        <v>1314</v>
      </c>
      <c r="J1188" s="6" t="n">
        <v>-0.385196430179417</v>
      </c>
      <c r="K1188" s="6" t="n">
        <v>-2.44619385434181</v>
      </c>
      <c r="L1188" s="6" t="n">
        <v>-1.08254248963239</v>
      </c>
      <c r="M1188" s="6" t="n">
        <v>0.142237419310524</v>
      </c>
      <c r="N1188" s="6" t="n">
        <v>2.77510044380422</v>
      </c>
      <c r="O1188" s="6" t="n">
        <v>2.82638866437425</v>
      </c>
      <c r="P1188" s="6" t="n">
        <v>0.0912170413530816</v>
      </c>
      <c r="Q1188" s="6" t="n">
        <v>-0.17855600801005</v>
      </c>
      <c r="R1188" s="6" t="n">
        <v>-2.74822114997379</v>
      </c>
      <c r="S1188" s="6" t="n">
        <v>1.00350938305829</v>
      </c>
      <c r="T1188" s="6" t="n">
        <v>-3.19319206798366</v>
      </c>
      <c r="U1188" s="6" t="n">
        <v>1.36758482027592</v>
      </c>
      <c r="V1188" s="6" t="n">
        <v>0.578032326889503</v>
      </c>
      <c r="W1188" s="6" t="n">
        <v>0.820083092695304</v>
      </c>
      <c r="X1188" s="6" t="n">
        <v>3.9100741680883</v>
      </c>
      <c r="Y1188" s="6" t="n">
        <v>1.39090125350995</v>
      </c>
      <c r="Z1188" s="6" t="n">
        <v>0.0729131281430598</v>
      </c>
      <c r="AA1188" s="6" t="n">
        <v>-0.901830831571226</v>
      </c>
      <c r="AB1188" s="6" t="n">
        <v>-0.167064806795897</v>
      </c>
      <c r="AC1188" s="6" t="n">
        <v>-2.00325719589397</v>
      </c>
      <c r="AD1188" s="6" t="n">
        <v>-1.00812433079485</v>
      </c>
      <c r="AE1188" s="6" t="n">
        <v>-0.0211617828286632</v>
      </c>
      <c r="AF1188" s="6" t="n">
        <v>-0.627980125443404</v>
      </c>
      <c r="AG1188" s="6" t="n">
        <v>-2.75256698111786</v>
      </c>
      <c r="AH1188" s="6" t="n">
        <v>-0.511994288975914</v>
      </c>
      <c r="AI1188" s="6" t="n">
        <v>0.14659121749689</v>
      </c>
      <c r="AJ1188" s="6" t="n">
        <v>67.774808593256</v>
      </c>
      <c r="AK1188" s="6" t="n">
        <v>0.180472548188144</v>
      </c>
      <c r="AL1188" s="6" t="n">
        <v>1.05884212069731</v>
      </c>
      <c r="AN1188" s="6" t="n">
        <v>1.28096106318389</v>
      </c>
      <c r="AO1188" s="6" t="n">
        <v>1.28203313972136</v>
      </c>
      <c r="AP1188" s="6" t="n">
        <v>0.131704274527771</v>
      </c>
      <c r="AQ1188" s="6" t="n">
        <v>0</v>
      </c>
      <c r="AR1188" s="6" t="n">
        <v>0</v>
      </c>
    </row>
    <row r="1189" customFormat="false" ht="15" hidden="false" customHeight="false" outlineLevel="0" collapsed="false">
      <c r="D1189" s="0" t="s">
        <v>1315</v>
      </c>
      <c r="J1189" s="6" t="n">
        <v>1.91270894754727</v>
      </c>
      <c r="K1189" s="6" t="n">
        <v>4.19136205128374</v>
      </c>
      <c r="L1189" s="6" t="n">
        <v>-1.31206168412155</v>
      </c>
      <c r="M1189" s="6" t="n">
        <v>4.06684854007413</v>
      </c>
      <c r="N1189" s="6" t="n">
        <v>-0.646742041383653</v>
      </c>
      <c r="O1189" s="6" t="n">
        <v>-2.4119816283443</v>
      </c>
      <c r="P1189" s="6" t="n">
        <v>2.5287116746802</v>
      </c>
      <c r="Q1189" s="6" t="n">
        <v>3.52054620197505</v>
      </c>
      <c r="R1189" s="6" t="n">
        <v>2.60658980856751</v>
      </c>
      <c r="S1189" s="6" t="n">
        <v>2.11803945225803</v>
      </c>
      <c r="T1189" s="6" t="n">
        <v>-0.405865759594701</v>
      </c>
      <c r="U1189" s="6" t="n">
        <v>3.52797102796687</v>
      </c>
      <c r="V1189" s="6" t="n">
        <v>2.69555466226873</v>
      </c>
      <c r="W1189" s="6" t="n">
        <v>-1.73866700567914</v>
      </c>
      <c r="X1189" s="6" t="n">
        <v>3.35373307854526</v>
      </c>
      <c r="Y1189" s="6" t="n">
        <v>-1.3506180153827</v>
      </c>
      <c r="Z1189" s="6" t="n">
        <v>4.65981348201147</v>
      </c>
      <c r="AA1189" s="6" t="n">
        <v>1.18952543300042</v>
      </c>
      <c r="AB1189" s="6" t="n">
        <v>-0.144043023860587</v>
      </c>
      <c r="AC1189" s="6" t="n">
        <v>0.735428173604933</v>
      </c>
      <c r="AD1189" s="6" t="n">
        <v>0.276169426576726</v>
      </c>
      <c r="AE1189" s="6" t="n">
        <v>-0.9246121455993</v>
      </c>
      <c r="AF1189" s="6" t="n">
        <v>-3.43798427890163</v>
      </c>
      <c r="AG1189" s="6" t="n">
        <v>-0.633024796870276</v>
      </c>
      <c r="AH1189" s="6" t="n">
        <v>1.01528226807515</v>
      </c>
      <c r="AI1189" s="6" t="n">
        <v>0.12053765947227</v>
      </c>
      <c r="AJ1189" s="6" t="n">
        <v>76.0134468757837</v>
      </c>
      <c r="AK1189" s="6" t="n">
        <v>0.123959058261556</v>
      </c>
      <c r="AL1189" s="6" t="n">
        <v>1.00345807085398</v>
      </c>
      <c r="AN1189" s="6" t="n">
        <v>1.31574726392114</v>
      </c>
      <c r="AO1189" s="6" t="n">
        <v>1.31574726392114</v>
      </c>
      <c r="AP1189" s="6" t="n">
        <v>0.140550816524173</v>
      </c>
      <c r="AQ1189" s="6" t="n">
        <v>0</v>
      </c>
      <c r="AR1189" s="6" t="n">
        <v>0</v>
      </c>
    </row>
    <row r="1190" customFormat="false" ht="15" hidden="false" customHeight="false" outlineLevel="0" collapsed="false">
      <c r="D1190" s="0" t="s">
        <v>1316</v>
      </c>
      <c r="J1190" s="6" t="n">
        <v>-3.85905175879028</v>
      </c>
      <c r="K1190" s="6" t="n">
        <v>0.466230628318079</v>
      </c>
      <c r="L1190" s="6" t="n">
        <v>-0.382581364401686</v>
      </c>
      <c r="M1190" s="6" t="n">
        <v>-0.359642993231813</v>
      </c>
      <c r="N1190" s="6" t="n">
        <v>-0.909682324328551</v>
      </c>
      <c r="O1190" s="6" t="n">
        <v>-1.5442218205133</v>
      </c>
      <c r="P1190" s="6" t="n">
        <v>-1.98157726215726</v>
      </c>
      <c r="Q1190" s="6" t="n">
        <v>-0.119946055796284</v>
      </c>
      <c r="R1190" s="6" t="n">
        <v>-0.276915924161055</v>
      </c>
      <c r="S1190" s="6" t="n">
        <v>1.22270100686054</v>
      </c>
      <c r="T1190" s="6" t="n">
        <v>-1.82177505280636</v>
      </c>
      <c r="U1190" s="6" t="n">
        <v>-1.63888016406523</v>
      </c>
      <c r="V1190" s="6" t="n">
        <v>-0.768192562533014</v>
      </c>
      <c r="W1190" s="6" t="n">
        <v>-2.81823307122556</v>
      </c>
      <c r="X1190" s="6" t="n">
        <v>-1.46988119105862</v>
      </c>
      <c r="Y1190" s="6" t="n">
        <v>2.04316604271038</v>
      </c>
      <c r="Z1190" s="6" t="n">
        <v>-3.74831403833034</v>
      </c>
      <c r="AA1190" s="6" t="n">
        <v>-1.1599191258201</v>
      </c>
      <c r="AB1190" s="6" t="n">
        <v>-0.976134243591033</v>
      </c>
      <c r="AC1190" s="6" t="n">
        <v>-0.0866911908094698</v>
      </c>
      <c r="AD1190" s="6" t="n">
        <v>0.81065081961603</v>
      </c>
      <c r="AE1190" s="6" t="n">
        <v>4.62761466596527</v>
      </c>
      <c r="AF1190" s="6" t="n">
        <v>-1.17610655883694</v>
      </c>
      <c r="AG1190" s="6" t="n">
        <v>2.28348922352884</v>
      </c>
      <c r="AH1190" s="6" t="n">
        <v>-0.572335355031909</v>
      </c>
      <c r="AI1190" s="6" t="n">
        <v>3.75999905887163</v>
      </c>
      <c r="AJ1190" s="6" t="n">
        <v>66.9569554414365</v>
      </c>
      <c r="AK1190" s="6" t="n">
        <v>0.113050766925209</v>
      </c>
      <c r="AL1190" s="6" t="n">
        <v>1.01526698569602</v>
      </c>
      <c r="AN1190" s="6" t="n">
        <v>1.31351144807373</v>
      </c>
      <c r="AO1190" s="6" t="n">
        <v>1.31351144807373</v>
      </c>
      <c r="AP1190" s="6" t="n">
        <v>0.138044832926704</v>
      </c>
      <c r="AQ1190" s="6" t="n">
        <v>0</v>
      </c>
      <c r="AR1190" s="6" t="n">
        <v>0</v>
      </c>
    </row>
    <row r="1191" customFormat="false" ht="15" hidden="false" customHeight="false" outlineLevel="0" collapsed="false">
      <c r="D1191" s="0" t="s">
        <v>1317</v>
      </c>
      <c r="J1191" s="6" t="n">
        <v>-0.927660946595532</v>
      </c>
      <c r="K1191" s="6" t="n">
        <v>-1.7811148283076</v>
      </c>
      <c r="L1191" s="6" t="n">
        <v>-0.290042771715861</v>
      </c>
      <c r="M1191" s="6" t="n">
        <v>-2.79826725682164</v>
      </c>
      <c r="N1191" s="6" t="n">
        <v>-1.39920652063747</v>
      </c>
      <c r="O1191" s="6" t="n">
        <v>-0.211888558830527</v>
      </c>
      <c r="P1191" s="6" t="n">
        <v>-0.899529549365889</v>
      </c>
      <c r="Q1191" s="6" t="n">
        <v>2.78728593781671</v>
      </c>
      <c r="R1191" s="6" t="n">
        <v>-0.743661799303444</v>
      </c>
      <c r="S1191" s="6" t="n">
        <v>4.07828713867489</v>
      </c>
      <c r="T1191" s="6" t="n">
        <v>-0.748149734883067</v>
      </c>
      <c r="U1191" s="6" t="n">
        <v>2.68873321225683</v>
      </c>
      <c r="V1191" s="6" t="n">
        <v>0.901093063426632</v>
      </c>
      <c r="W1191" s="6" t="n">
        <v>-4.7286512254691</v>
      </c>
      <c r="X1191" s="6" t="n">
        <v>4.28588676017168</v>
      </c>
      <c r="Y1191" s="6" t="n">
        <v>1.85542681521583</v>
      </c>
      <c r="Z1191" s="6" t="n">
        <v>-0.895940494389733</v>
      </c>
      <c r="AA1191" s="6" t="n">
        <v>3.37521342918384</v>
      </c>
      <c r="AB1191" s="6" t="n">
        <v>-1.69940147353471</v>
      </c>
      <c r="AC1191" s="6" t="n">
        <v>-0.444918713234049</v>
      </c>
      <c r="AD1191" s="6" t="n">
        <v>-1.26254075507682</v>
      </c>
      <c r="AE1191" s="6" t="n">
        <v>1.88486423884673</v>
      </c>
      <c r="AF1191" s="6" t="n">
        <v>-2.21145158935809</v>
      </c>
      <c r="AG1191" s="6" t="n">
        <v>-1.1437793799013</v>
      </c>
      <c r="AH1191" s="6" t="n">
        <v>-1.08384165249693</v>
      </c>
      <c r="AI1191" s="6" t="n">
        <v>-1.29255203902049</v>
      </c>
      <c r="AJ1191" s="6" t="n">
        <v>75.4754983216124</v>
      </c>
      <c r="AK1191" s="6" t="n">
        <v>0.0688941817089339</v>
      </c>
      <c r="AL1191" s="6" t="n">
        <v>1.02303173293971</v>
      </c>
      <c r="AN1191" s="6" t="n">
        <v>1.31395701893814</v>
      </c>
      <c r="AO1191" s="6" t="n">
        <v>1.31395701893814</v>
      </c>
      <c r="AP1191" s="6" t="n">
        <v>0.138557389768543</v>
      </c>
      <c r="AQ1191" s="6" t="n">
        <v>0</v>
      </c>
      <c r="AR1191" s="6" t="n">
        <v>0</v>
      </c>
    </row>
    <row r="1192" customFormat="false" ht="15" hidden="false" customHeight="false" outlineLevel="0" collapsed="false">
      <c r="D1192" s="0" t="s">
        <v>1318</v>
      </c>
      <c r="J1192" s="6" t="n">
        <v>3.49561097231631</v>
      </c>
      <c r="K1192" s="6" t="n">
        <v>-2.09091684182942</v>
      </c>
      <c r="L1192" s="6" t="n">
        <v>-1.71514216771717</v>
      </c>
      <c r="M1192" s="6" t="n">
        <v>1.72073998971973</v>
      </c>
      <c r="N1192" s="6" t="n">
        <v>0.788942850729901</v>
      </c>
      <c r="O1192" s="6" t="n">
        <v>-1.70663868475817</v>
      </c>
      <c r="P1192" s="6" t="n">
        <v>3.39671266428918</v>
      </c>
      <c r="Q1192" s="6" t="n">
        <v>2.91936736921957</v>
      </c>
      <c r="R1192" s="6" t="n">
        <v>0.425680132630797</v>
      </c>
      <c r="S1192" s="6" t="n">
        <v>0.731921005037855</v>
      </c>
      <c r="T1192" s="6" t="n">
        <v>1.21887502719761</v>
      </c>
      <c r="U1192" s="6" t="n">
        <v>-3.53899476294056</v>
      </c>
      <c r="V1192" s="6" t="n">
        <v>1.05592045036213</v>
      </c>
      <c r="W1192" s="6" t="n">
        <v>-1.32875882741558</v>
      </c>
      <c r="X1192" s="6" t="n">
        <v>1.10106497743199</v>
      </c>
      <c r="Y1192" s="6" t="n">
        <v>-1.16522449211713</v>
      </c>
      <c r="Z1192" s="6" t="n">
        <v>-1.51344965642682</v>
      </c>
      <c r="AA1192" s="6" t="n">
        <v>1.26454275509929</v>
      </c>
      <c r="AB1192" s="6" t="n">
        <v>-2.05273268998648</v>
      </c>
      <c r="AC1192" s="6" t="n">
        <v>-2.33963300992423</v>
      </c>
      <c r="AD1192" s="6" t="n">
        <v>1.65286818462737</v>
      </c>
      <c r="AE1192" s="6" t="n">
        <v>-2.52764392196799</v>
      </c>
      <c r="AF1192" s="6" t="n">
        <v>-1.82319110746197</v>
      </c>
      <c r="AG1192" s="6" t="n">
        <v>1.43504323461166</v>
      </c>
      <c r="AH1192" s="6" t="n">
        <v>0.772849930083751</v>
      </c>
      <c r="AI1192" s="6" t="n">
        <v>2.52726649821575</v>
      </c>
      <c r="AJ1192" s="6" t="n">
        <v>74.4522385948169</v>
      </c>
      <c r="AK1192" s="6" t="n">
        <v>0.0874892932243519</v>
      </c>
      <c r="AL1192" s="6" t="n">
        <v>1.07108976558909</v>
      </c>
      <c r="AN1192" s="6" t="n">
        <v>1.2924736469524</v>
      </c>
      <c r="AO1192" s="6" t="n">
        <v>1.29422864006281</v>
      </c>
      <c r="AP1192" s="6" t="n">
        <v>0.133387672994742</v>
      </c>
      <c r="AQ1192" s="6" t="n">
        <v>0</v>
      </c>
      <c r="AR1192" s="6" t="n">
        <v>0</v>
      </c>
    </row>
    <row r="1193" customFormat="false" ht="15" hidden="false" customHeight="false" outlineLevel="0" collapsed="false">
      <c r="D1193" s="0" t="s">
        <v>1319</v>
      </c>
      <c r="J1193" s="6" t="n">
        <v>-0.873544095772045</v>
      </c>
      <c r="K1193" s="6" t="n">
        <v>-0.10972468520226</v>
      </c>
      <c r="L1193" s="6" t="n">
        <v>-0.939771595540389</v>
      </c>
      <c r="M1193" s="6" t="n">
        <v>1.56038448568376</v>
      </c>
      <c r="N1193" s="6" t="n">
        <v>1.22114742316903</v>
      </c>
      <c r="O1193" s="6" t="n">
        <v>2.21807521650914</v>
      </c>
      <c r="P1193" s="6" t="n">
        <v>-0.511198526845259</v>
      </c>
      <c r="Q1193" s="6" t="n">
        <v>0.0810957440315476</v>
      </c>
      <c r="R1193" s="6" t="n">
        <v>1.35605241328946</v>
      </c>
      <c r="S1193" s="6" t="n">
        <v>-1.07925136206428</v>
      </c>
      <c r="T1193" s="6" t="n">
        <v>0.432255174062275</v>
      </c>
      <c r="U1193" s="6" t="n">
        <v>-0.490451024265561</v>
      </c>
      <c r="V1193" s="6" t="n">
        <v>-1.71128208861709</v>
      </c>
      <c r="W1193" s="6" t="n">
        <v>0.842750186970662</v>
      </c>
      <c r="X1193" s="6" t="n">
        <v>0.820919364908021</v>
      </c>
      <c r="Y1193" s="6" t="n">
        <v>0.815296095154959</v>
      </c>
      <c r="Z1193" s="6" t="n">
        <v>-2.91781793354806</v>
      </c>
      <c r="AA1193" s="6" t="n">
        <v>-2.74198146858494</v>
      </c>
      <c r="AB1193" s="6" t="n">
        <v>0.320053205482765</v>
      </c>
      <c r="AC1193" s="6" t="n">
        <v>-1.34465660500484</v>
      </c>
      <c r="AD1193" s="6" t="n">
        <v>2.76602018242004</v>
      </c>
      <c r="AE1193" s="6" t="n">
        <v>1.75336976905448</v>
      </c>
      <c r="AF1193" s="6" t="n">
        <v>0.899722672160707</v>
      </c>
      <c r="AG1193" s="6" t="n">
        <v>-1.99238743541894</v>
      </c>
      <c r="AH1193" s="6" t="n">
        <v>-2.52267560188393</v>
      </c>
      <c r="AI1193" s="6" t="n">
        <v>1.67525854221075</v>
      </c>
      <c r="AJ1193" s="6" t="n">
        <v>73.1387121383429</v>
      </c>
      <c r="AK1193" s="6" t="n">
        <v>0.161181587480477</v>
      </c>
      <c r="AL1193" s="6" t="n">
        <v>0.997115839205833</v>
      </c>
      <c r="AN1193" s="6" t="n">
        <v>1.31631838684051</v>
      </c>
      <c r="AO1193" s="6" t="n">
        <v>1.31631838684051</v>
      </c>
      <c r="AP1193" s="6" t="n">
        <v>0.140460228765808</v>
      </c>
      <c r="AQ1193" s="6" t="n">
        <v>0</v>
      </c>
      <c r="AR1193" s="6" t="n">
        <v>0</v>
      </c>
    </row>
    <row r="1194" customFormat="false" ht="15" hidden="false" customHeight="false" outlineLevel="0" collapsed="false">
      <c r="D1194" s="0" t="s">
        <v>1320</v>
      </c>
      <c r="J1194" s="6" t="n">
        <v>-0.169506447423315</v>
      </c>
      <c r="K1194" s="6" t="n">
        <v>-0.00135104482336322</v>
      </c>
      <c r="L1194" s="6" t="n">
        <v>-1.95034036703591</v>
      </c>
      <c r="M1194" s="6" t="n">
        <v>0.945934988011124</v>
      </c>
      <c r="N1194" s="6" t="n">
        <v>4.34966818727106</v>
      </c>
      <c r="O1194" s="6" t="n">
        <v>-0.1351441608805</v>
      </c>
      <c r="P1194" s="6" t="n">
        <v>0.535900860310778</v>
      </c>
      <c r="Q1194" s="6" t="n">
        <v>-0.994287101309837</v>
      </c>
      <c r="R1194" s="6" t="n">
        <v>-1.33811643231031</v>
      </c>
      <c r="S1194" s="6" t="n">
        <v>-2.74314956741126</v>
      </c>
      <c r="T1194" s="6" t="n">
        <v>1.64615763883356</v>
      </c>
      <c r="U1194" s="6" t="n">
        <v>1.19923113391197</v>
      </c>
      <c r="V1194" s="6" t="n">
        <v>-2.03200838819947</v>
      </c>
      <c r="W1194" s="6" t="n">
        <v>0.0731799867457212</v>
      </c>
      <c r="X1194" s="6" t="n">
        <v>4.0036561387402</v>
      </c>
      <c r="Y1194" s="6" t="n">
        <v>-0.428825909443635</v>
      </c>
      <c r="Z1194" s="6" t="n">
        <v>-1.44732179803828</v>
      </c>
      <c r="AA1194" s="6" t="n">
        <v>1.09228746876419</v>
      </c>
      <c r="AB1194" s="6" t="n">
        <v>-0.656626143546809</v>
      </c>
      <c r="AC1194" s="6" t="n">
        <v>-0.439665882729116</v>
      </c>
      <c r="AD1194" s="6" t="n">
        <v>-0.174307950063455</v>
      </c>
      <c r="AE1194" s="6" t="n">
        <v>2.059909664326</v>
      </c>
      <c r="AF1194" s="6" t="n">
        <v>2.41879601319579</v>
      </c>
      <c r="AG1194" s="6" t="n">
        <v>-1.67056104475065</v>
      </c>
      <c r="AH1194" s="6" t="n">
        <v>-1.69328998457063</v>
      </c>
      <c r="AI1194" s="6" t="n">
        <v>2.67744728503414</v>
      </c>
      <c r="AJ1194" s="6" t="n">
        <v>70.4204475230592</v>
      </c>
      <c r="AK1194" s="6" t="n">
        <v>0.072613134278499</v>
      </c>
      <c r="AL1194" s="6" t="n">
        <v>1.06981885220628</v>
      </c>
      <c r="AN1194" s="6" t="n">
        <v>1.29286753743104</v>
      </c>
      <c r="AO1194" s="6" t="n">
        <v>1.29371150340519</v>
      </c>
      <c r="AP1194" s="6" t="n">
        <v>0.133530979898408</v>
      </c>
      <c r="AQ1194" s="6" t="n">
        <v>0</v>
      </c>
      <c r="AR1194" s="6" t="n">
        <v>0</v>
      </c>
    </row>
    <row r="1195" customFormat="false" ht="15" hidden="false" customHeight="false" outlineLevel="0" collapsed="false">
      <c r="D1195" s="0" t="s">
        <v>1321</v>
      </c>
      <c r="J1195" s="6" t="n">
        <v>0.249785968452295</v>
      </c>
      <c r="K1195" s="6" t="n">
        <v>-0.753082424970314</v>
      </c>
      <c r="L1195" s="6" t="n">
        <v>1.79766177539045</v>
      </c>
      <c r="M1195" s="6" t="n">
        <v>-0.671838097659273</v>
      </c>
      <c r="N1195" s="6" t="n">
        <v>-2.24228247218578</v>
      </c>
      <c r="O1195" s="6" t="n">
        <v>-1.77573234986579</v>
      </c>
      <c r="P1195" s="6" t="n">
        <v>-0.294864730533109</v>
      </c>
      <c r="Q1195" s="6" t="n">
        <v>0.77043694413037</v>
      </c>
      <c r="R1195" s="6" t="n">
        <v>0.329555287144622</v>
      </c>
      <c r="S1195" s="6" t="n">
        <v>-2.91012127272871</v>
      </c>
      <c r="T1195" s="6" t="n">
        <v>2.10783088045867</v>
      </c>
      <c r="U1195" s="6" t="n">
        <v>0.663447079617809</v>
      </c>
      <c r="V1195" s="6" t="n">
        <v>-0.705469855806058</v>
      </c>
      <c r="W1195" s="6" t="n">
        <v>-0.115197238908634</v>
      </c>
      <c r="X1195" s="6" t="n">
        <v>-1.57295364622056</v>
      </c>
      <c r="Y1195" s="6" t="n">
        <v>3.2835295654891</v>
      </c>
      <c r="Z1195" s="6" t="n">
        <v>-0.313035710152469</v>
      </c>
      <c r="AA1195" s="6" t="n">
        <v>0.237500142397285</v>
      </c>
      <c r="AB1195" s="6" t="n">
        <v>-1.38210412185369</v>
      </c>
      <c r="AC1195" s="6" t="n">
        <v>-2.68780538732829</v>
      </c>
      <c r="AD1195" s="6" t="n">
        <v>-0.737666963418509</v>
      </c>
      <c r="AE1195" s="6" t="n">
        <v>0.926939128483159</v>
      </c>
      <c r="AF1195" s="6" t="n">
        <v>-1.66277614600399</v>
      </c>
      <c r="AG1195" s="6" t="n">
        <v>2.11118776530938</v>
      </c>
      <c r="AH1195" s="6" t="n">
        <v>-0.265980796767448</v>
      </c>
      <c r="AI1195" s="6" t="n">
        <v>1.69780396099366</v>
      </c>
      <c r="AJ1195" s="6" t="n">
        <v>71.1080326274107</v>
      </c>
      <c r="AK1195" s="6" t="n">
        <v>0.0911267646433304</v>
      </c>
      <c r="AL1195" s="6" t="n">
        <v>1.06776655239551</v>
      </c>
      <c r="AN1195" s="6" t="n">
        <v>1.29394183618453</v>
      </c>
      <c r="AO1195" s="6" t="n">
        <v>1.29475287623964</v>
      </c>
      <c r="AP1195" s="6" t="n">
        <v>0.133529565804299</v>
      </c>
      <c r="AQ1195" s="6" t="n">
        <v>0</v>
      </c>
      <c r="AR1195" s="6" t="n">
        <v>0</v>
      </c>
    </row>
    <row r="1196" customFormat="false" ht="15" hidden="false" customHeight="false" outlineLevel="0" collapsed="false">
      <c r="D1196" s="0" t="s">
        <v>1322</v>
      </c>
      <c r="J1196" s="6" t="n">
        <v>-1.68619728763183</v>
      </c>
      <c r="K1196" s="6" t="n">
        <v>-3.35487588916729</v>
      </c>
      <c r="L1196" s="6" t="n">
        <v>1.59020146805131</v>
      </c>
      <c r="M1196" s="6" t="n">
        <v>-0.232445674045953</v>
      </c>
      <c r="N1196" s="6" t="n">
        <v>0.0872968891832736</v>
      </c>
      <c r="O1196" s="6" t="n">
        <v>-2.20581941584795</v>
      </c>
      <c r="P1196" s="6" t="n">
        <v>2.62067636661122</v>
      </c>
      <c r="Q1196" s="6" t="n">
        <v>4.44321954698295</v>
      </c>
      <c r="R1196" s="6" t="n">
        <v>-1.53662250743988</v>
      </c>
      <c r="S1196" s="6" t="n">
        <v>-1.27939249575764</v>
      </c>
      <c r="T1196" s="6" t="n">
        <v>2.10509903886669</v>
      </c>
      <c r="U1196" s="6" t="n">
        <v>0.0363877918234964</v>
      </c>
      <c r="V1196" s="6" t="n">
        <v>2.15394999625932</v>
      </c>
      <c r="W1196" s="6" t="n">
        <v>-2.89385055977299</v>
      </c>
      <c r="X1196" s="6" t="n">
        <v>2.31000471342102</v>
      </c>
      <c r="Y1196" s="6" t="n">
        <v>2.25700764196945</v>
      </c>
      <c r="Z1196" s="6" t="n">
        <v>-1.34353985453131</v>
      </c>
      <c r="AA1196" s="6" t="n">
        <v>3.68065415269159</v>
      </c>
      <c r="AB1196" s="6" t="n">
        <v>-2.74610374684996</v>
      </c>
      <c r="AC1196" s="6" t="n">
        <v>-0.130529889727595</v>
      </c>
      <c r="AD1196" s="6" t="n">
        <v>0.200187383633545</v>
      </c>
      <c r="AE1196" s="6" t="n">
        <v>0.920798629606917</v>
      </c>
      <c r="AF1196" s="6" t="n">
        <v>1.20310526519502</v>
      </c>
      <c r="AG1196" s="6" t="n">
        <v>-4.5743290721461</v>
      </c>
      <c r="AH1196" s="6" t="n">
        <v>0.482550549065305</v>
      </c>
      <c r="AI1196" s="6" t="n">
        <v>-2.27478568742891</v>
      </c>
      <c r="AJ1196" s="6" t="n">
        <v>73.7163202641716</v>
      </c>
      <c r="AK1196" s="6" t="n">
        <v>0.134648249110438</v>
      </c>
      <c r="AL1196" s="6" t="n">
        <v>1.05166390694679</v>
      </c>
      <c r="AN1196" s="6" t="n">
        <v>1.2954299684903</v>
      </c>
      <c r="AO1196" s="6" t="n">
        <v>1.29696021128046</v>
      </c>
      <c r="AP1196" s="6" t="n">
        <v>0.133849673111177</v>
      </c>
      <c r="AQ1196" s="6" t="n">
        <v>0</v>
      </c>
      <c r="AR1196" s="6" t="n">
        <v>0</v>
      </c>
    </row>
    <row r="1197" customFormat="false" ht="15" hidden="false" customHeight="false" outlineLevel="0" collapsed="false">
      <c r="D1197" s="0" t="s">
        <v>1323</v>
      </c>
      <c r="J1197" s="6" t="n">
        <v>0.220831486873392</v>
      </c>
      <c r="K1197" s="6" t="n">
        <v>-3.21713557328986</v>
      </c>
      <c r="L1197" s="6" t="n">
        <v>-1.76516410999437</v>
      </c>
      <c r="M1197" s="6" t="n">
        <v>-2.81629648933639</v>
      </c>
      <c r="N1197" s="6" t="n">
        <v>0.155657196949969</v>
      </c>
      <c r="O1197" s="6" t="n">
        <v>-5.83196729972715</v>
      </c>
      <c r="P1197" s="6" t="n">
        <v>-2.8613741721961</v>
      </c>
      <c r="Q1197" s="6" t="n">
        <v>3.33050629933536</v>
      </c>
      <c r="R1197" s="6" t="n">
        <v>-0.341974514198748</v>
      </c>
      <c r="S1197" s="6" t="n">
        <v>-2.53870314585995</v>
      </c>
      <c r="T1197" s="6" t="n">
        <v>1.3371734076185</v>
      </c>
      <c r="U1197" s="6" t="n">
        <v>3.91038060581362</v>
      </c>
      <c r="V1197" s="6" t="n">
        <v>-3.72120420109967</v>
      </c>
      <c r="W1197" s="6" t="n">
        <v>-2.06776655138453</v>
      </c>
      <c r="X1197" s="6" t="n">
        <v>1.37458048987202</v>
      </c>
      <c r="Y1197" s="6" t="n">
        <v>-2.04019440250115</v>
      </c>
      <c r="Z1197" s="6" t="n">
        <v>4.69824782841284</v>
      </c>
      <c r="AA1197" s="6" t="n">
        <v>0.481567101282731</v>
      </c>
      <c r="AB1197" s="6" t="n">
        <v>0.967129764537208</v>
      </c>
      <c r="AC1197" s="6" t="n">
        <v>2.48283366811762</v>
      </c>
      <c r="AD1197" s="6" t="n">
        <v>-2.77817785817396</v>
      </c>
      <c r="AE1197" s="6" t="n">
        <v>0.608348510929331</v>
      </c>
      <c r="AF1197" s="6" t="n">
        <v>-0.256709244657443</v>
      </c>
      <c r="AG1197" s="6" t="n">
        <v>-1.9888322399123</v>
      </c>
      <c r="AH1197" s="6" t="n">
        <v>-4.10885371498501</v>
      </c>
      <c r="AI1197" s="6" t="n">
        <v>-3.09979985229725</v>
      </c>
      <c r="AJ1197" s="6" t="n">
        <v>70.2627219910043</v>
      </c>
      <c r="AK1197" s="6" t="n">
        <v>0.104206272888168</v>
      </c>
      <c r="AL1197" s="6" t="n">
        <v>1.08632530620949</v>
      </c>
      <c r="AN1197" s="6" t="n">
        <v>1.24994153432505</v>
      </c>
      <c r="AO1197" s="6" t="n">
        <v>1.25192078359008</v>
      </c>
      <c r="AP1197" s="6" t="n">
        <v>0.131264297103296</v>
      </c>
      <c r="AQ1197" s="6" t="n">
        <v>0</v>
      </c>
      <c r="AR1197" s="6" t="n">
        <v>0</v>
      </c>
    </row>
    <row r="1198" customFormat="false" ht="15" hidden="false" customHeight="false" outlineLevel="0" collapsed="false">
      <c r="D1198" s="0" t="s">
        <v>1324</v>
      </c>
      <c r="J1198" s="6" t="n">
        <v>-1.91903618820799</v>
      </c>
      <c r="K1198" s="6" t="n">
        <v>3.04533863090924</v>
      </c>
      <c r="L1198" s="6" t="n">
        <v>1.14567969859911</v>
      </c>
      <c r="M1198" s="6" t="n">
        <v>0.145834727664707</v>
      </c>
      <c r="N1198" s="6" t="n">
        <v>1.81828028935766</v>
      </c>
      <c r="O1198" s="6" t="n">
        <v>0.543944044753985</v>
      </c>
      <c r="P1198" s="6" t="n">
        <v>1.06036220340438</v>
      </c>
      <c r="Q1198" s="6" t="n">
        <v>1.28767946217917</v>
      </c>
      <c r="R1198" s="6" t="n">
        <v>0.472928827686384</v>
      </c>
      <c r="S1198" s="6" t="n">
        <v>0.140447240378218</v>
      </c>
      <c r="T1198" s="6" t="n">
        <v>-2.45588581512441</v>
      </c>
      <c r="U1198" s="6" t="n">
        <v>-4.13319730788166</v>
      </c>
      <c r="V1198" s="6" t="n">
        <v>0.670330047366141</v>
      </c>
      <c r="W1198" s="6" t="n">
        <v>0.687129327328668</v>
      </c>
      <c r="X1198" s="6" t="n">
        <v>3.50391771711425</v>
      </c>
      <c r="Y1198" s="6" t="n">
        <v>3.54540640295929</v>
      </c>
      <c r="Z1198" s="6" t="n">
        <v>1.45529168056509</v>
      </c>
      <c r="AA1198" s="6" t="n">
        <v>0.232341857944085</v>
      </c>
      <c r="AB1198" s="6" t="n">
        <v>-1.43894774339708</v>
      </c>
      <c r="AC1198" s="6" t="n">
        <v>0.350073973693723</v>
      </c>
      <c r="AD1198" s="6" t="n">
        <v>0.264715277456319</v>
      </c>
      <c r="AE1198" s="6" t="n">
        <v>0.0182979436404696</v>
      </c>
      <c r="AF1198" s="6" t="n">
        <v>1.53932626796271</v>
      </c>
      <c r="AG1198" s="6" t="n">
        <v>1.99287659081265</v>
      </c>
      <c r="AH1198" s="6" t="n">
        <v>-2.17212761406786</v>
      </c>
      <c r="AI1198" s="6" t="n">
        <v>3.27583066745195</v>
      </c>
      <c r="AJ1198" s="6" t="n">
        <v>64.7206464850697</v>
      </c>
      <c r="AK1198" s="6" t="n">
        <v>0.0956965937849339</v>
      </c>
      <c r="AL1198" s="6" t="n">
        <v>1.02382472419578</v>
      </c>
      <c r="AN1198" s="6" t="n">
        <v>1.30601653038772</v>
      </c>
      <c r="AO1198" s="6" t="n">
        <v>1.30645096016078</v>
      </c>
      <c r="AP1198" s="6" t="n">
        <v>0.136672844768504</v>
      </c>
      <c r="AQ1198" s="6" t="n">
        <v>0</v>
      </c>
      <c r="AR1198" s="6" t="n">
        <v>0</v>
      </c>
    </row>
    <row r="1199" customFormat="false" ht="15" hidden="false" customHeight="false" outlineLevel="0" collapsed="false">
      <c r="D1199" s="0" t="s">
        <v>1325</v>
      </c>
      <c r="J1199" s="6" t="n">
        <v>-1.72933134006525</v>
      </c>
      <c r="K1199" s="6" t="n">
        <v>-1.16070699664607</v>
      </c>
      <c r="L1199" s="6" t="n">
        <v>4.55728223121801</v>
      </c>
      <c r="M1199" s="6" t="n">
        <v>-0.923311553653932</v>
      </c>
      <c r="N1199" s="6" t="n">
        <v>0.587068883060042</v>
      </c>
      <c r="O1199" s="6" t="n">
        <v>1.56329342664265</v>
      </c>
      <c r="P1199" s="6" t="n">
        <v>-2.40256264122348</v>
      </c>
      <c r="Q1199" s="6" t="n">
        <v>2.42016378198762</v>
      </c>
      <c r="R1199" s="6" t="n">
        <v>0.514982627410262</v>
      </c>
      <c r="S1199" s="6" t="n">
        <v>-3.07535350867693</v>
      </c>
      <c r="T1199" s="6" t="n">
        <v>-2.27060839523577</v>
      </c>
      <c r="U1199" s="6" t="n">
        <v>2.43812956497492</v>
      </c>
      <c r="V1199" s="6" t="n">
        <v>2.02917880934108</v>
      </c>
      <c r="W1199" s="6" t="n">
        <v>0.381790390632505</v>
      </c>
      <c r="X1199" s="6" t="n">
        <v>2.08275495352551</v>
      </c>
      <c r="Y1199" s="6" t="n">
        <v>-3.4474314550848</v>
      </c>
      <c r="Z1199" s="6" t="n">
        <v>1.58333186243564</v>
      </c>
      <c r="AA1199" s="6" t="n">
        <v>-1.50114086767219</v>
      </c>
      <c r="AB1199" s="6" t="n">
        <v>-1.61324546673292</v>
      </c>
      <c r="AC1199" s="6" t="n">
        <v>-1.7543642811234</v>
      </c>
      <c r="AD1199" s="6" t="n">
        <v>-1.80962398215237</v>
      </c>
      <c r="AE1199" s="6" t="n">
        <v>-1.54534494041893</v>
      </c>
      <c r="AF1199" s="6" t="n">
        <v>-0.0282619721768881</v>
      </c>
      <c r="AG1199" s="6" t="n">
        <v>1.67235649619638</v>
      </c>
      <c r="AH1199" s="6" t="n">
        <v>-0.304732091897358</v>
      </c>
      <c r="AI1199" s="6" t="n">
        <v>3.07221312618711</v>
      </c>
      <c r="AJ1199" s="6" t="n">
        <v>71.7203393143646</v>
      </c>
      <c r="AK1199" s="6" t="n">
        <v>0.10102536908361</v>
      </c>
      <c r="AL1199" s="6" t="n">
        <v>1.00078858841775</v>
      </c>
      <c r="AN1199" s="6" t="n">
        <v>1.31638165907138</v>
      </c>
      <c r="AO1199" s="6" t="n">
        <v>1.31638165907138</v>
      </c>
      <c r="AP1199" s="6" t="n">
        <v>0.141000245045047</v>
      </c>
      <c r="AQ1199" s="6" t="n">
        <v>0</v>
      </c>
      <c r="AR1199" s="6" t="n">
        <v>0</v>
      </c>
    </row>
    <row r="1200" customFormat="false" ht="15" hidden="false" customHeight="false" outlineLevel="0" collapsed="false">
      <c r="D1200" s="0" t="s">
        <v>1326</v>
      </c>
      <c r="J1200" s="6" t="n">
        <v>0.708253722930044</v>
      </c>
      <c r="K1200" s="6" t="n">
        <v>0.807831847413052</v>
      </c>
      <c r="L1200" s="6" t="n">
        <v>0.02118446407534</v>
      </c>
      <c r="M1200" s="6" t="n">
        <v>-0.337561652183869</v>
      </c>
      <c r="N1200" s="6" t="n">
        <v>-0.889844631746394</v>
      </c>
      <c r="O1200" s="6" t="n">
        <v>-1.227081161937</v>
      </c>
      <c r="P1200" s="6" t="n">
        <v>2.84090653407806</v>
      </c>
      <c r="Q1200" s="6" t="n">
        <v>2.10109174900251</v>
      </c>
      <c r="R1200" s="6" t="n">
        <v>0.27701859795832</v>
      </c>
      <c r="S1200" s="6" t="n">
        <v>2.85006430796036</v>
      </c>
      <c r="T1200" s="6" t="n">
        <v>-0.997703563265857</v>
      </c>
      <c r="U1200" s="6" t="n">
        <v>0.0782999553657365</v>
      </c>
      <c r="V1200" s="6" t="n">
        <v>1.80215516581526</v>
      </c>
      <c r="W1200" s="6" t="n">
        <v>2.94490956118722</v>
      </c>
      <c r="X1200" s="6" t="n">
        <v>0.037618053610145</v>
      </c>
      <c r="Y1200" s="6" t="n">
        <v>0.72729164861175</v>
      </c>
      <c r="Z1200" s="6" t="n">
        <v>-1.21967726862703</v>
      </c>
      <c r="AA1200" s="6" t="n">
        <v>1.77693351556195</v>
      </c>
      <c r="AB1200" s="6" t="n">
        <v>-1.71818049028591</v>
      </c>
      <c r="AC1200" s="6" t="n">
        <v>-2.43154875414316</v>
      </c>
      <c r="AD1200" s="6" t="n">
        <v>2.26908866734419</v>
      </c>
      <c r="AE1200" s="6" t="n">
        <v>-2.30391954638527</v>
      </c>
      <c r="AF1200" s="6" t="n">
        <v>2.34300439819319</v>
      </c>
      <c r="AG1200" s="6" t="n">
        <v>-2.27174656772726</v>
      </c>
      <c r="AH1200" s="6" t="n">
        <v>-2.53080035271636</v>
      </c>
      <c r="AI1200" s="6" t="n">
        <v>2.65596208984543</v>
      </c>
      <c r="AJ1200" s="6" t="n">
        <v>69.2630021355641</v>
      </c>
      <c r="AK1200" s="6" t="n">
        <v>0.089023384971614</v>
      </c>
      <c r="AL1200" s="6" t="n">
        <v>1.07943142067399</v>
      </c>
      <c r="AN1200" s="6" t="n">
        <v>1.28696075522566</v>
      </c>
      <c r="AO1200" s="6" t="n">
        <v>1.28858054536686</v>
      </c>
      <c r="AP1200" s="6" t="n">
        <v>0.132519239247923</v>
      </c>
      <c r="AQ1200" s="6" t="n">
        <v>0</v>
      </c>
      <c r="AR1200" s="6" t="n">
        <v>0</v>
      </c>
    </row>
    <row r="1201" customFormat="false" ht="15" hidden="false" customHeight="false" outlineLevel="0" collapsed="false">
      <c r="D1201" s="0" t="s">
        <v>1327</v>
      </c>
      <c r="J1201" s="6" t="n">
        <v>2.55392303717965</v>
      </c>
      <c r="K1201" s="6" t="n">
        <v>-0.76434229366004</v>
      </c>
      <c r="L1201" s="6" t="n">
        <v>-3.86328690749917</v>
      </c>
      <c r="M1201" s="6" t="n">
        <v>0.479100882792789</v>
      </c>
      <c r="N1201" s="6" t="n">
        <v>0.032449983315752</v>
      </c>
      <c r="O1201" s="6" t="n">
        <v>2.88333345038764</v>
      </c>
      <c r="P1201" s="6" t="n">
        <v>-0.798153854634846</v>
      </c>
      <c r="Q1201" s="6" t="n">
        <v>-0.919257363410146</v>
      </c>
      <c r="R1201" s="6" t="n">
        <v>-5.02369345288902</v>
      </c>
      <c r="S1201" s="6" t="n">
        <v>0.85185319455931</v>
      </c>
      <c r="T1201" s="6" t="n">
        <v>-0.197368607556707</v>
      </c>
      <c r="U1201" s="6" t="n">
        <v>2.64270836320015</v>
      </c>
      <c r="V1201" s="6" t="n">
        <v>-0.7830110290635</v>
      </c>
      <c r="W1201" s="6" t="n">
        <v>-1.52741414078472</v>
      </c>
      <c r="X1201" s="6" t="n">
        <v>1.38572164225615</v>
      </c>
      <c r="Y1201" s="6" t="n">
        <v>0.955355748712786</v>
      </c>
      <c r="Z1201" s="6" t="n">
        <v>0.925757366088778</v>
      </c>
      <c r="AA1201" s="6" t="n">
        <v>-1.40838749164514</v>
      </c>
      <c r="AB1201" s="6" t="n">
        <v>-1.76340750254115</v>
      </c>
      <c r="AC1201" s="6" t="n">
        <v>-2.26113669012284</v>
      </c>
      <c r="AD1201" s="6" t="n">
        <v>0.20831769502789</v>
      </c>
      <c r="AE1201" s="6" t="n">
        <v>0.419166308484721</v>
      </c>
      <c r="AF1201" s="6" t="n">
        <v>-0.218482734443328</v>
      </c>
      <c r="AG1201" s="6" t="n">
        <v>-0.145774456937567</v>
      </c>
      <c r="AH1201" s="6" t="n">
        <v>0.681304311467839</v>
      </c>
      <c r="AI1201" s="6" t="n">
        <v>-0.163687670814225</v>
      </c>
      <c r="AJ1201" s="6" t="n">
        <v>64.0349198784989</v>
      </c>
      <c r="AK1201" s="6" t="n">
        <v>0.0895510416985201</v>
      </c>
      <c r="AL1201" s="6" t="n">
        <v>1.00568092882343</v>
      </c>
      <c r="AN1201" s="6" t="n">
        <v>1.30927705740944</v>
      </c>
      <c r="AO1201" s="6" t="n">
        <v>1.30927705740944</v>
      </c>
      <c r="AP1201" s="6" t="n">
        <v>0.139145079865933</v>
      </c>
      <c r="AQ1201" s="6" t="n">
        <v>0</v>
      </c>
      <c r="AR1201" s="6" t="n">
        <v>0</v>
      </c>
    </row>
    <row r="1202" customFormat="false" ht="15" hidden="false" customHeight="false" outlineLevel="0" collapsed="false">
      <c r="D1202" s="0" t="s">
        <v>1328</v>
      </c>
      <c r="J1202" s="6" t="n">
        <v>-1.59483763861617</v>
      </c>
      <c r="K1202" s="6" t="n">
        <v>-1.84971230334688</v>
      </c>
      <c r="L1202" s="6" t="n">
        <v>-1.1676315537522</v>
      </c>
      <c r="M1202" s="6" t="n">
        <v>-2.48744661221002</v>
      </c>
      <c r="N1202" s="6" t="n">
        <v>1.32073188030868</v>
      </c>
      <c r="O1202" s="6" t="n">
        <v>2.02849878605816</v>
      </c>
      <c r="P1202" s="6" t="n">
        <v>3.53044225703641</v>
      </c>
      <c r="Q1202" s="6" t="n">
        <v>-0.814555122885428</v>
      </c>
      <c r="R1202" s="6" t="n">
        <v>-1.89769921935371</v>
      </c>
      <c r="S1202" s="6" t="n">
        <v>0.910814212826084</v>
      </c>
      <c r="T1202" s="6" t="n">
        <v>-2.91037806259255</v>
      </c>
      <c r="U1202" s="6" t="n">
        <v>0.269119911650306</v>
      </c>
      <c r="V1202" s="6" t="n">
        <v>0.223334048423691</v>
      </c>
      <c r="W1202" s="6" t="n">
        <v>2.34785885650068</v>
      </c>
      <c r="X1202" s="6" t="n">
        <v>-2.29474882185378</v>
      </c>
      <c r="Y1202" s="6" t="n">
        <v>2.23833823825579</v>
      </c>
      <c r="Z1202" s="6" t="n">
        <v>-2.55171733393984</v>
      </c>
      <c r="AA1202" s="6" t="n">
        <v>-1.79857482093247</v>
      </c>
      <c r="AB1202" s="6" t="n">
        <v>-1.76645071784215</v>
      </c>
      <c r="AC1202" s="6" t="n">
        <v>0.286587341767536</v>
      </c>
      <c r="AD1202" s="6" t="n">
        <v>-0.173181945029608</v>
      </c>
      <c r="AE1202" s="6" t="n">
        <v>1.81211362665102</v>
      </c>
      <c r="AF1202" s="6" t="n">
        <v>-1.8129524363136</v>
      </c>
      <c r="AG1202" s="6" t="n">
        <v>1.09679694347294</v>
      </c>
      <c r="AH1202" s="6" t="n">
        <v>3.8653939791426</v>
      </c>
      <c r="AI1202" s="6" t="n">
        <v>-0.84099671411579</v>
      </c>
      <c r="AJ1202" s="6" t="n">
        <v>82.3336446608773</v>
      </c>
      <c r="AK1202" s="6" t="n">
        <v>0.0943400515084473</v>
      </c>
      <c r="AL1202" s="6" t="n">
        <v>1.07801008892848</v>
      </c>
      <c r="AN1202" s="6" t="n">
        <v>1.29040857619071</v>
      </c>
      <c r="AO1202" s="6" t="n">
        <v>1.29047333388659</v>
      </c>
      <c r="AP1202" s="6" t="n">
        <v>0.133136324722048</v>
      </c>
      <c r="AQ1202" s="6" t="n">
        <v>0</v>
      </c>
      <c r="AR1202" s="6" t="n">
        <v>0</v>
      </c>
    </row>
    <row r="1203" customFormat="false" ht="15" hidden="false" customHeight="false" outlineLevel="0" collapsed="false">
      <c r="D1203" s="0" t="s">
        <v>1329</v>
      </c>
      <c r="J1203" s="6" t="n">
        <v>-2.61161579650984</v>
      </c>
      <c r="K1203" s="6" t="n">
        <v>-1.40001423694916</v>
      </c>
      <c r="L1203" s="6" t="n">
        <v>-2.70494485755655</v>
      </c>
      <c r="M1203" s="6" t="n">
        <v>1.27429383743273</v>
      </c>
      <c r="N1203" s="6" t="n">
        <v>3.0819752441192</v>
      </c>
      <c r="O1203" s="6" t="n">
        <v>-1.34043655492172</v>
      </c>
      <c r="P1203" s="6" t="n">
        <v>-0.479593792464937</v>
      </c>
      <c r="Q1203" s="6" t="n">
        <v>-2.04662571008954</v>
      </c>
      <c r="R1203" s="6" t="n">
        <v>1.2633645739196</v>
      </c>
      <c r="S1203" s="6" t="n">
        <v>2.29190687558796</v>
      </c>
      <c r="T1203" s="6" t="n">
        <v>3.88689611049866</v>
      </c>
      <c r="U1203" s="6" t="n">
        <v>1.43653838258899</v>
      </c>
      <c r="V1203" s="6" t="n">
        <v>-0.42367309899527</v>
      </c>
      <c r="W1203" s="6" t="n">
        <v>-0.831235754897675</v>
      </c>
      <c r="X1203" s="6" t="n">
        <v>1.93914277028913</v>
      </c>
      <c r="Y1203" s="6" t="n">
        <v>1.95341289169676</v>
      </c>
      <c r="Z1203" s="6" t="n">
        <v>-1.03034623908443</v>
      </c>
      <c r="AA1203" s="6" t="n">
        <v>-1.40654774022504</v>
      </c>
      <c r="AB1203" s="6" t="n">
        <v>-1.19611800799741</v>
      </c>
      <c r="AC1203" s="6" t="n">
        <v>0.561314764870574</v>
      </c>
      <c r="AD1203" s="6" t="n">
        <v>1.97294427177637</v>
      </c>
      <c r="AE1203" s="6" t="n">
        <v>0.167413996429212</v>
      </c>
      <c r="AF1203" s="6" t="n">
        <v>1.72183568994697</v>
      </c>
      <c r="AG1203" s="6" t="n">
        <v>2.02441938796104</v>
      </c>
      <c r="AH1203" s="6" t="n">
        <v>-4.8237469689044</v>
      </c>
      <c r="AI1203" s="6" t="n">
        <v>3.04041596322934</v>
      </c>
      <c r="AJ1203" s="6" t="n">
        <v>77.2040964177959</v>
      </c>
      <c r="AK1203" s="6" t="n">
        <v>0.150941194277451</v>
      </c>
      <c r="AL1203" s="6" t="n">
        <v>1.06318055245413</v>
      </c>
      <c r="AN1203" s="6" t="n">
        <v>1.29025793225172</v>
      </c>
      <c r="AO1203" s="6" t="n">
        <v>1.29130271306301</v>
      </c>
      <c r="AP1203" s="6" t="n">
        <v>0.132560901371378</v>
      </c>
      <c r="AQ1203" s="6" t="n">
        <v>0</v>
      </c>
      <c r="AR1203" s="6" t="n">
        <v>0</v>
      </c>
    </row>
    <row r="1204" customFormat="false" ht="15" hidden="false" customHeight="false" outlineLevel="0" collapsed="false">
      <c r="D1204" s="0" t="s">
        <v>1330</v>
      </c>
      <c r="J1204" s="6" t="n">
        <v>1.54803894291664</v>
      </c>
      <c r="K1204" s="6" t="n">
        <v>-1.95797648662901</v>
      </c>
      <c r="L1204" s="6" t="n">
        <v>-4.83516342132831</v>
      </c>
      <c r="M1204" s="6" t="n">
        <v>1.6924679471952</v>
      </c>
      <c r="N1204" s="6" t="n">
        <v>2.63714800743487</v>
      </c>
      <c r="O1204" s="6" t="n">
        <v>0.402015386860866</v>
      </c>
      <c r="P1204" s="6" t="n">
        <v>0.198874995552466</v>
      </c>
      <c r="Q1204" s="6" t="n">
        <v>-2.87407229681526</v>
      </c>
      <c r="R1204" s="6" t="n">
        <v>2.2691944522784</v>
      </c>
      <c r="S1204" s="6" t="n">
        <v>-1.24860103026897</v>
      </c>
      <c r="T1204" s="6" t="n">
        <v>0.83139936702608</v>
      </c>
      <c r="U1204" s="6" t="n">
        <v>-0.319967652544063</v>
      </c>
      <c r="V1204" s="6" t="n">
        <v>0.655420995831787</v>
      </c>
      <c r="W1204" s="6" t="n">
        <v>-0.55820470477863</v>
      </c>
      <c r="X1204" s="6" t="n">
        <v>1.41141659349831</v>
      </c>
      <c r="Y1204" s="6" t="n">
        <v>1.13214988432335</v>
      </c>
      <c r="Z1204" s="6" t="n">
        <v>-0.296630577520901</v>
      </c>
      <c r="AA1204" s="6" t="n">
        <v>-3.96290136053444</v>
      </c>
      <c r="AB1204" s="6" t="n">
        <v>-0.779395576732863</v>
      </c>
      <c r="AC1204" s="6" t="n">
        <v>2.5484463007692</v>
      </c>
      <c r="AD1204" s="6" t="n">
        <v>-1.1573670117488</v>
      </c>
      <c r="AE1204" s="6" t="n">
        <v>0.123473544637841</v>
      </c>
      <c r="AF1204" s="6" t="n">
        <v>-0.225492239269016</v>
      </c>
      <c r="AG1204" s="6" t="n">
        <v>1.02625593291499</v>
      </c>
      <c r="AH1204" s="6" t="n">
        <v>1.66174546640094</v>
      </c>
      <c r="AI1204" s="6" t="n">
        <v>1.16589545489427</v>
      </c>
      <c r="AJ1204" s="6" t="n">
        <v>80.5262797557553</v>
      </c>
      <c r="AK1204" s="6" t="n">
        <v>0.00837713127762842</v>
      </c>
      <c r="AL1204" s="6" t="n">
        <v>1.03717555203298</v>
      </c>
      <c r="AN1204" s="6" t="n">
        <v>1.31284864250468</v>
      </c>
      <c r="AO1204" s="6" t="n">
        <v>1.31284864250468</v>
      </c>
      <c r="AP1204" s="6" t="n">
        <v>0.138861333317426</v>
      </c>
      <c r="AQ1204" s="6" t="n">
        <v>0</v>
      </c>
      <c r="AR1204" s="6" t="n">
        <v>0</v>
      </c>
    </row>
    <row r="1205" customFormat="false" ht="15" hidden="false" customHeight="false" outlineLevel="0" collapsed="false">
      <c r="D1205" s="0" t="s">
        <v>1331</v>
      </c>
      <c r="J1205" s="6" t="n">
        <v>-0.620389772910533</v>
      </c>
      <c r="K1205" s="6" t="n">
        <v>0.272755447670246</v>
      </c>
      <c r="L1205" s="6" t="n">
        <v>1.07137984192997</v>
      </c>
      <c r="M1205" s="6" t="n">
        <v>-0.270908625664485</v>
      </c>
      <c r="N1205" s="6" t="n">
        <v>1.46593701869523</v>
      </c>
      <c r="O1205" s="6" t="n">
        <v>0.833139461307695</v>
      </c>
      <c r="P1205" s="6" t="n">
        <v>-0.600101139844553</v>
      </c>
      <c r="Q1205" s="6" t="n">
        <v>3.12920416011158</v>
      </c>
      <c r="R1205" s="6" t="n">
        <v>-1.62373887580878</v>
      </c>
      <c r="S1205" s="6" t="n">
        <v>-0.797331717398042</v>
      </c>
      <c r="T1205" s="6" t="n">
        <v>-0.353888237410354</v>
      </c>
      <c r="U1205" s="6" t="n">
        <v>-1.59088134077263</v>
      </c>
      <c r="V1205" s="6" t="n">
        <v>0.242596118576044</v>
      </c>
      <c r="W1205" s="6" t="n">
        <v>-2.76889991285355</v>
      </c>
      <c r="X1205" s="6" t="n">
        <v>2.83043785842286</v>
      </c>
      <c r="Y1205" s="6" t="n">
        <v>1.50124627586654</v>
      </c>
      <c r="Z1205" s="6" t="n">
        <v>4.5675528344011</v>
      </c>
      <c r="AA1205" s="6" t="n">
        <v>-0.651981413879415</v>
      </c>
      <c r="AB1205" s="6" t="n">
        <v>1.16284419055538</v>
      </c>
      <c r="AC1205" s="6" t="n">
        <v>0.780581161746002</v>
      </c>
      <c r="AD1205" s="6" t="n">
        <v>-1.88192919759967</v>
      </c>
      <c r="AE1205" s="6" t="n">
        <v>3.80298787283318</v>
      </c>
      <c r="AF1205" s="6" t="n">
        <v>-1.57181463517679</v>
      </c>
      <c r="AG1205" s="6" t="n">
        <v>0.163440360002491</v>
      </c>
      <c r="AH1205" s="6" t="n">
        <v>-1.41481461726242</v>
      </c>
      <c r="AI1205" s="6" t="n">
        <v>-1.68757642473046</v>
      </c>
      <c r="AJ1205" s="6" t="n">
        <v>78.0467544868756</v>
      </c>
      <c r="AK1205" s="6" t="n">
        <v>0.110965057843124</v>
      </c>
      <c r="AL1205" s="6" t="n">
        <v>1.01897492158448</v>
      </c>
      <c r="AN1205" s="6" t="n">
        <v>1.31529122179489</v>
      </c>
      <c r="AO1205" s="6" t="n">
        <v>1.31529122179489</v>
      </c>
      <c r="AP1205" s="6" t="n">
        <v>0.138685968390443</v>
      </c>
      <c r="AQ1205" s="6" t="n">
        <v>0</v>
      </c>
      <c r="AR1205" s="6" t="n">
        <v>0</v>
      </c>
    </row>
    <row r="1206" customFormat="false" ht="15" hidden="false" customHeight="false" outlineLevel="0" collapsed="false">
      <c r="D1206" s="0" t="s">
        <v>1332</v>
      </c>
      <c r="J1206" s="6" t="n">
        <v>-0.704013732324708</v>
      </c>
      <c r="K1206" s="6" t="n">
        <v>-0.172751281223896</v>
      </c>
      <c r="L1206" s="6" t="n">
        <v>3.43523748160931</v>
      </c>
      <c r="M1206" s="6" t="n">
        <v>3.37942305961194</v>
      </c>
      <c r="N1206" s="6" t="n">
        <v>0.823734174641395</v>
      </c>
      <c r="O1206" s="6" t="n">
        <v>-3.08405041517032</v>
      </c>
      <c r="P1206" s="6" t="n">
        <v>0.735018618151283</v>
      </c>
      <c r="Q1206" s="6" t="n">
        <v>-0.157819108917353</v>
      </c>
      <c r="R1206" s="6" t="n">
        <v>1.22948030883281</v>
      </c>
      <c r="S1206" s="6" t="n">
        <v>-3.03175337936915</v>
      </c>
      <c r="T1206" s="6" t="n">
        <v>-1.25517131560109</v>
      </c>
      <c r="U1206" s="6" t="n">
        <v>1.9963585055615</v>
      </c>
      <c r="V1206" s="6" t="n">
        <v>3.79128330229852</v>
      </c>
      <c r="W1206" s="6" t="n">
        <v>4.77041371554994</v>
      </c>
      <c r="X1206" s="6" t="n">
        <v>0.0504167633823187</v>
      </c>
      <c r="Y1206" s="6" t="n">
        <v>-1.50070724914344</v>
      </c>
      <c r="Z1206" s="6" t="n">
        <v>-0.451088414783737</v>
      </c>
      <c r="AA1206" s="6" t="n">
        <v>3.82022853785868</v>
      </c>
      <c r="AB1206" s="6" t="n">
        <v>0.179563753345888</v>
      </c>
      <c r="AC1206" s="6" t="n">
        <v>1.63354833944592</v>
      </c>
      <c r="AD1206" s="6" t="n">
        <v>0.497502439338268</v>
      </c>
      <c r="AE1206" s="6" t="n">
        <v>-2.22026895399362</v>
      </c>
      <c r="AF1206" s="6" t="n">
        <v>2.00971625264545</v>
      </c>
      <c r="AG1206" s="6" t="n">
        <v>2.05699731825429</v>
      </c>
      <c r="AH1206" s="6" t="n">
        <v>-2.41172335310446</v>
      </c>
      <c r="AI1206" s="6" t="n">
        <v>0.757341751468353</v>
      </c>
      <c r="AJ1206" s="6" t="n">
        <v>76.296938564789</v>
      </c>
      <c r="AK1206" s="6" t="n">
        <v>0.0522692225360112</v>
      </c>
      <c r="AL1206" s="6" t="n">
        <v>1.02413178741717</v>
      </c>
      <c r="AN1206" s="6" t="n">
        <v>1.31404379835291</v>
      </c>
      <c r="AO1206" s="6" t="n">
        <v>1.31404379835291</v>
      </c>
      <c r="AP1206" s="6" t="n">
        <v>0.139092534068009</v>
      </c>
      <c r="AQ1206" s="6" t="n">
        <v>0</v>
      </c>
      <c r="AR1206" s="6" t="n">
        <v>0</v>
      </c>
    </row>
    <row r="1207" customFormat="false" ht="15" hidden="false" customHeight="false" outlineLevel="0" collapsed="false">
      <c r="D1207" s="0" t="s">
        <v>1333</v>
      </c>
      <c r="J1207" s="6" t="n">
        <v>2.18819959268118</v>
      </c>
      <c r="K1207" s="6" t="n">
        <v>-2.49829859508928</v>
      </c>
      <c r="L1207" s="6" t="n">
        <v>-2.69843659691426</v>
      </c>
      <c r="M1207" s="6" t="n">
        <v>1.37650090989479</v>
      </c>
      <c r="N1207" s="6" t="n">
        <v>4.78660903590152</v>
      </c>
      <c r="O1207" s="6" t="n">
        <v>0.981711107043969</v>
      </c>
      <c r="P1207" s="6" t="n">
        <v>0.455100462053455</v>
      </c>
      <c r="Q1207" s="6" t="n">
        <v>0.0633312539213991</v>
      </c>
      <c r="R1207" s="6" t="n">
        <v>-0.328710935043641</v>
      </c>
      <c r="S1207" s="6" t="n">
        <v>0.384855353917804</v>
      </c>
      <c r="T1207" s="6" t="n">
        <v>-3.01862386542297</v>
      </c>
      <c r="U1207" s="6" t="n">
        <v>0.66387767419095</v>
      </c>
      <c r="V1207" s="6" t="n">
        <v>-3.37871633399839</v>
      </c>
      <c r="W1207" s="6" t="n">
        <v>2.57121937871156</v>
      </c>
      <c r="X1207" s="6" t="n">
        <v>-2.33544165451973</v>
      </c>
      <c r="Y1207" s="6" t="n">
        <v>1.61510871207551</v>
      </c>
      <c r="Z1207" s="6" t="n">
        <v>-2.15295667080339</v>
      </c>
      <c r="AA1207" s="6" t="n">
        <v>-2.4468736345833</v>
      </c>
      <c r="AB1207" s="6" t="n">
        <v>2.88010673433715</v>
      </c>
      <c r="AC1207" s="6" t="n">
        <v>-2.97268607196003</v>
      </c>
      <c r="AD1207" s="6" t="n">
        <v>1.94320788385274</v>
      </c>
      <c r="AE1207" s="6" t="n">
        <v>0.340556381420995</v>
      </c>
      <c r="AF1207" s="6" t="n">
        <v>1.96762883499378</v>
      </c>
      <c r="AG1207" s="6" t="n">
        <v>-1.06587499546105</v>
      </c>
      <c r="AH1207" s="6" t="n">
        <v>-2.24222046352812</v>
      </c>
      <c r="AI1207" s="6" t="n">
        <v>1.16833476773052</v>
      </c>
      <c r="AJ1207" s="6" t="n">
        <v>77.1995344100531</v>
      </c>
      <c r="AK1207" s="6" t="n">
        <v>0.088363112850647</v>
      </c>
      <c r="AL1207" s="6" t="n">
        <v>1.04413025734189</v>
      </c>
      <c r="AN1207" s="6" t="n">
        <v>1.30467426023833</v>
      </c>
      <c r="AO1207" s="6" t="n">
        <v>1.30525137923997</v>
      </c>
      <c r="AP1207" s="6" t="n">
        <v>0.136117242282839</v>
      </c>
      <c r="AQ1207" s="6" t="n">
        <v>0</v>
      </c>
      <c r="AR1207" s="6" t="n">
        <v>0</v>
      </c>
    </row>
    <row r="1208" customFormat="false" ht="15" hidden="false" customHeight="false" outlineLevel="0" collapsed="false">
      <c r="D1208" s="0" t="s">
        <v>1334</v>
      </c>
      <c r="J1208" s="6" t="n">
        <v>-2.128082620226</v>
      </c>
      <c r="K1208" s="6" t="n">
        <v>1.97631017731384</v>
      </c>
      <c r="L1208" s="6" t="n">
        <v>-2.7537840840108</v>
      </c>
      <c r="M1208" s="6" t="n">
        <v>-2.31476556815844</v>
      </c>
      <c r="N1208" s="6" t="n">
        <v>2.3482600684834</v>
      </c>
      <c r="O1208" s="6" t="n">
        <v>-3.27041710353813</v>
      </c>
      <c r="P1208" s="6" t="n">
        <v>3.2443772042262</v>
      </c>
      <c r="Q1208" s="6" t="n">
        <v>0.720958813347178</v>
      </c>
      <c r="R1208" s="6" t="n">
        <v>1.99093764944341</v>
      </c>
      <c r="S1208" s="6" t="n">
        <v>0.52956482755395</v>
      </c>
      <c r="T1208" s="6" t="n">
        <v>0.382166402172011</v>
      </c>
      <c r="U1208" s="6" t="n">
        <v>0.428600883215425</v>
      </c>
      <c r="V1208" s="6" t="n">
        <v>2.55216202184676</v>
      </c>
      <c r="W1208" s="6" t="n">
        <v>-4.12330318876583</v>
      </c>
      <c r="X1208" s="6" t="n">
        <v>1.81749990020334</v>
      </c>
      <c r="Y1208" s="6" t="n">
        <v>-4.2831558761338</v>
      </c>
      <c r="Z1208" s="6" t="n">
        <v>0.131646301943137</v>
      </c>
      <c r="AA1208" s="6" t="n">
        <v>0.943174773109714</v>
      </c>
      <c r="AB1208" s="6" t="n">
        <v>0.210360112987437</v>
      </c>
      <c r="AC1208" s="6" t="n">
        <v>-1.12158311669496</v>
      </c>
      <c r="AD1208" s="6" t="n">
        <v>-0.429932655461328</v>
      </c>
      <c r="AE1208" s="6" t="n">
        <v>-1.92991361116882</v>
      </c>
      <c r="AF1208" s="6" t="n">
        <v>-0.114405299235004</v>
      </c>
      <c r="AG1208" s="6" t="n">
        <v>-1.3198379049655</v>
      </c>
      <c r="AH1208" s="6" t="n">
        <v>2.34233523051996</v>
      </c>
      <c r="AI1208" s="6" t="n">
        <v>3.02522964059495</v>
      </c>
      <c r="AJ1208" s="6" t="n">
        <v>73.7732256132665</v>
      </c>
      <c r="AK1208" s="6" t="n">
        <v>0.124161043252598</v>
      </c>
      <c r="AL1208" s="6" t="n">
        <v>1.07164208281799</v>
      </c>
      <c r="AN1208" s="6" t="n">
        <v>1.28754412400069</v>
      </c>
      <c r="AO1208" s="6" t="n">
        <v>1.28820823737393</v>
      </c>
      <c r="AP1208" s="6" t="n">
        <v>0.132096060658434</v>
      </c>
      <c r="AQ1208" s="6" t="n">
        <v>0</v>
      </c>
      <c r="AR1208" s="6" t="n">
        <v>0</v>
      </c>
    </row>
    <row r="1209" customFormat="false" ht="15" hidden="false" customHeight="false" outlineLevel="0" collapsed="false">
      <c r="D1209" s="0" t="s">
        <v>1335</v>
      </c>
      <c r="J1209" s="6" t="n">
        <v>-0.682009065464603</v>
      </c>
      <c r="K1209" s="6" t="n">
        <v>5</v>
      </c>
      <c r="L1209" s="6" t="n">
        <v>-1.23016192569664</v>
      </c>
      <c r="M1209" s="6" t="n">
        <v>-1.35607249426347</v>
      </c>
      <c r="N1209" s="6" t="n">
        <v>0.0466012140302724</v>
      </c>
      <c r="O1209" s="6" t="n">
        <v>-1.64723843900925</v>
      </c>
      <c r="P1209" s="6" t="n">
        <v>0.865816634841652</v>
      </c>
      <c r="Q1209" s="6" t="n">
        <v>-0.0562198304293777</v>
      </c>
      <c r="R1209" s="6" t="n">
        <v>1.84978199358396</v>
      </c>
      <c r="S1209" s="6" t="n">
        <v>0.205865569388736</v>
      </c>
      <c r="T1209" s="6" t="n">
        <v>2.47682669247</v>
      </c>
      <c r="U1209" s="6" t="n">
        <v>-3.99783112472668</v>
      </c>
      <c r="V1209" s="6" t="n">
        <v>-0.376172103725221</v>
      </c>
      <c r="W1209" s="6" t="n">
        <v>-6.34499504626798</v>
      </c>
      <c r="X1209" s="6" t="n">
        <v>-0.664599550281833</v>
      </c>
      <c r="Y1209" s="6" t="n">
        <v>-0.724231686598018</v>
      </c>
      <c r="Z1209" s="6" t="n">
        <v>2.11628436301689</v>
      </c>
      <c r="AA1209" s="6" t="n">
        <v>2.97128190109021</v>
      </c>
      <c r="AB1209" s="6" t="n">
        <v>-3.42370998566678</v>
      </c>
      <c r="AC1209" s="6" t="n">
        <v>0.247384945220358</v>
      </c>
      <c r="AD1209" s="6" t="n">
        <v>-2.09033511896222</v>
      </c>
      <c r="AE1209" s="6" t="n">
        <v>-0.59662642589533</v>
      </c>
      <c r="AF1209" s="6" t="n">
        <v>0.861380954068198</v>
      </c>
      <c r="AG1209" s="6" t="n">
        <v>0.610578008811769</v>
      </c>
      <c r="AH1209" s="6" t="n">
        <v>-1.70758052553241</v>
      </c>
      <c r="AI1209" s="6" t="n">
        <v>0.352557902187674</v>
      </c>
      <c r="AJ1209" s="6" t="n">
        <v>82.3610700298661</v>
      </c>
      <c r="AK1209" s="6" t="n">
        <v>0.114400544330215</v>
      </c>
      <c r="AL1209" s="6" t="n">
        <v>1.06036573481726</v>
      </c>
      <c r="AN1209" s="6" t="n">
        <v>1.29787556850885</v>
      </c>
      <c r="AO1209" s="6" t="n">
        <v>1.29897032180006</v>
      </c>
      <c r="AP1209" s="6" t="n">
        <v>0.133765898103213</v>
      </c>
      <c r="AQ1209" s="6" t="n">
        <v>0</v>
      </c>
      <c r="AR1209" s="6" t="n">
        <v>0</v>
      </c>
    </row>
    <row r="1210" customFormat="false" ht="15" hidden="false" customHeight="false" outlineLevel="0" collapsed="false">
      <c r="D1210" s="0" t="s">
        <v>1336</v>
      </c>
      <c r="J1210" s="6" t="n">
        <v>-0.402473381472191</v>
      </c>
      <c r="K1210" s="6" t="n">
        <v>-0.866225470226983</v>
      </c>
      <c r="L1210" s="6" t="n">
        <v>2.7780042489132</v>
      </c>
      <c r="M1210" s="6" t="n">
        <v>1.52162739277645</v>
      </c>
      <c r="N1210" s="6" t="n">
        <v>-2.19753805136172</v>
      </c>
      <c r="O1210" s="6" t="n">
        <v>-2.02107925731692</v>
      </c>
      <c r="P1210" s="6" t="n">
        <v>-2.1523345494866</v>
      </c>
      <c r="Q1210" s="6" t="n">
        <v>-2.16984458443281</v>
      </c>
      <c r="R1210" s="6" t="n">
        <v>-0.544265363508157</v>
      </c>
      <c r="S1210" s="6" t="n">
        <v>3.98564027278574</v>
      </c>
      <c r="T1210" s="6" t="n">
        <v>1.84085647180553</v>
      </c>
      <c r="U1210" s="6" t="n">
        <v>0.918604961271718</v>
      </c>
      <c r="V1210" s="6" t="n">
        <v>-2.54647112861379</v>
      </c>
      <c r="W1210" s="6" t="n">
        <v>1.6479441576189</v>
      </c>
      <c r="X1210" s="6" t="n">
        <v>-3.44579674395083</v>
      </c>
      <c r="Y1210" s="6" t="n">
        <v>-0.780094228361067</v>
      </c>
      <c r="Z1210" s="6" t="n">
        <v>-0.76588701527633</v>
      </c>
      <c r="AA1210" s="6" t="n">
        <v>1.03303640649037</v>
      </c>
      <c r="AB1210" s="6" t="n">
        <v>1.47212006403973</v>
      </c>
      <c r="AC1210" s="6" t="n">
        <v>1.02796749284023</v>
      </c>
      <c r="AD1210" s="6" t="n">
        <v>-2.40998469166226</v>
      </c>
      <c r="AE1210" s="6" t="n">
        <v>1.91117671213921</v>
      </c>
      <c r="AF1210" s="6" t="n">
        <v>1.18011346082853</v>
      </c>
      <c r="AG1210" s="6" t="n">
        <v>-4.5344164124308</v>
      </c>
      <c r="AH1210" s="6" t="n">
        <v>-1.08344659289166</v>
      </c>
      <c r="AI1210" s="6" t="n">
        <v>-2.86282026907492</v>
      </c>
      <c r="AJ1210" s="6" t="n">
        <v>65.8108823175707</v>
      </c>
      <c r="AK1210" s="6" t="n">
        <v>0.167449389384128</v>
      </c>
      <c r="AL1210" s="6" t="n">
        <v>1.08074144080085</v>
      </c>
      <c r="AN1210" s="6" t="n">
        <v>1.28042808645127</v>
      </c>
      <c r="AO1210" s="6" t="n">
        <v>1.28131950137974</v>
      </c>
      <c r="AP1210" s="6" t="n">
        <v>0.130149394123746</v>
      </c>
      <c r="AQ1210" s="6" t="n">
        <v>0</v>
      </c>
      <c r="AR1210" s="6" t="n">
        <v>0</v>
      </c>
    </row>
    <row r="1211" customFormat="false" ht="15" hidden="false" customHeight="false" outlineLevel="0" collapsed="false">
      <c r="D1211" s="0" t="s">
        <v>1337</v>
      </c>
      <c r="J1211" s="6" t="n">
        <v>1.34499428439731</v>
      </c>
      <c r="K1211" s="6" t="n">
        <v>-2.70338665153299</v>
      </c>
      <c r="L1211" s="6" t="n">
        <v>0.298380072155156</v>
      </c>
      <c r="M1211" s="6" t="n">
        <v>-2.30287436519307</v>
      </c>
      <c r="N1211" s="6" t="n">
        <v>-0.0420910293016466</v>
      </c>
      <c r="O1211" s="6" t="n">
        <v>-2.46278779141654</v>
      </c>
      <c r="P1211" s="6" t="n">
        <v>-2.20294402659026</v>
      </c>
      <c r="Q1211" s="6" t="n">
        <v>-1.96437543202279</v>
      </c>
      <c r="R1211" s="6" t="n">
        <v>3.69471573385424</v>
      </c>
      <c r="S1211" s="6" t="n">
        <v>-1.16847755985163</v>
      </c>
      <c r="T1211" s="6" t="n">
        <v>-3.51599120402915</v>
      </c>
      <c r="U1211" s="6" t="n">
        <v>-1.16027796046925</v>
      </c>
      <c r="V1211" s="6" t="n">
        <v>0.926456201497364</v>
      </c>
      <c r="W1211" s="6" t="n">
        <v>0.594157334588881</v>
      </c>
      <c r="X1211" s="6" t="n">
        <v>0.225122865680759</v>
      </c>
      <c r="Y1211" s="6" t="n">
        <v>-0.114154221026494</v>
      </c>
      <c r="Z1211" s="6" t="n">
        <v>-3.9240442472811</v>
      </c>
      <c r="AA1211" s="6" t="n">
        <v>-3.43113667998746</v>
      </c>
      <c r="AB1211" s="6" t="n">
        <v>-0.564471168852787</v>
      </c>
      <c r="AC1211" s="6" t="n">
        <v>-0.384441162567349</v>
      </c>
      <c r="AD1211" s="6" t="n">
        <v>-3.75184933055435</v>
      </c>
      <c r="AE1211" s="6" t="n">
        <v>-0.231298503260117</v>
      </c>
      <c r="AF1211" s="6" t="n">
        <v>-0.793457279148371</v>
      </c>
      <c r="AG1211" s="6" t="n">
        <v>1.17077474084995</v>
      </c>
      <c r="AH1211" s="6" t="n">
        <v>0.178627902200432</v>
      </c>
      <c r="AI1211" s="6" t="n">
        <v>-4.75663287242196</v>
      </c>
      <c r="AJ1211" s="6" t="n">
        <v>76.9609009693829</v>
      </c>
      <c r="AK1211" s="6" t="n">
        <v>0.119936432108559</v>
      </c>
      <c r="AL1211" s="6" t="n">
        <v>1.03271559217813</v>
      </c>
      <c r="AN1211" s="6" t="n">
        <v>1.30979468345955</v>
      </c>
      <c r="AO1211" s="6" t="n">
        <v>1.31051962888943</v>
      </c>
      <c r="AP1211" s="6" t="n">
        <v>0.136183955650104</v>
      </c>
      <c r="AQ1211" s="6" t="n">
        <v>0</v>
      </c>
      <c r="AR1211" s="6" t="n">
        <v>0</v>
      </c>
    </row>
    <row r="1212" customFormat="false" ht="15" hidden="false" customHeight="false" outlineLevel="0" collapsed="false">
      <c r="D1212" s="0" t="s">
        <v>1338</v>
      </c>
      <c r="J1212" s="6" t="n">
        <v>2.30498777618866</v>
      </c>
      <c r="K1212" s="6" t="n">
        <v>-1.66013916082419</v>
      </c>
      <c r="L1212" s="6" t="n">
        <v>-3.19926354831098</v>
      </c>
      <c r="M1212" s="6" t="n">
        <v>3.55800608144536</v>
      </c>
      <c r="N1212" s="6" t="n">
        <v>-3.50853851472021</v>
      </c>
      <c r="O1212" s="6" t="n">
        <v>-0.95184648429036</v>
      </c>
      <c r="P1212" s="6" t="n">
        <v>-0.265320708263476</v>
      </c>
      <c r="Q1212" s="6" t="n">
        <v>0.861429316722834</v>
      </c>
      <c r="R1212" s="6" t="n">
        <v>0.912148034139545</v>
      </c>
      <c r="S1212" s="6" t="n">
        <v>-4.37469931999618</v>
      </c>
      <c r="T1212" s="6" t="n">
        <v>1.45914030376791</v>
      </c>
      <c r="U1212" s="6" t="n">
        <v>2.9572555833548</v>
      </c>
      <c r="V1212" s="6" t="n">
        <v>-0.0472712661292212</v>
      </c>
      <c r="W1212" s="6" t="n">
        <v>4.30730696755301</v>
      </c>
      <c r="X1212" s="6" t="n">
        <v>-1.5583407057076</v>
      </c>
      <c r="Y1212" s="6" t="n">
        <v>1.1924693460848</v>
      </c>
      <c r="Z1212" s="6" t="n">
        <v>-3.9135869576181</v>
      </c>
      <c r="AA1212" s="6" t="n">
        <v>1.55565468797569</v>
      </c>
      <c r="AB1212" s="6" t="n">
        <v>2.38493445196502</v>
      </c>
      <c r="AC1212" s="6" t="n">
        <v>-1.63905318135152</v>
      </c>
      <c r="AD1212" s="6" t="n">
        <v>-4.9568450624861</v>
      </c>
      <c r="AE1212" s="6" t="n">
        <v>-1.20155355093605</v>
      </c>
      <c r="AF1212" s="6" t="n">
        <v>1.63192754570465</v>
      </c>
      <c r="AG1212" s="6" t="n">
        <v>-0.603129097781426</v>
      </c>
      <c r="AH1212" s="6" t="n">
        <v>2.87194814653457</v>
      </c>
      <c r="AI1212" s="6" t="n">
        <v>1.65434261595462</v>
      </c>
      <c r="AJ1212" s="6" t="n">
        <v>61.6679188270084</v>
      </c>
      <c r="AK1212" s="6" t="n">
        <v>0.102273461140079</v>
      </c>
      <c r="AL1212" s="6" t="n">
        <v>1.05446258932575</v>
      </c>
      <c r="AN1212" s="6" t="n">
        <v>1.29289317700935</v>
      </c>
      <c r="AO1212" s="6" t="n">
        <v>1.29345320273053</v>
      </c>
      <c r="AP1212" s="6" t="n">
        <v>0.133486090935636</v>
      </c>
      <c r="AQ1212" s="6" t="n">
        <v>0</v>
      </c>
      <c r="AR1212" s="6" t="n">
        <v>0</v>
      </c>
    </row>
    <row r="1213" customFormat="false" ht="15" hidden="false" customHeight="false" outlineLevel="0" collapsed="false">
      <c r="D1213" s="0" t="s">
        <v>1339</v>
      </c>
      <c r="J1213" s="6" t="n">
        <v>0.318947883474028</v>
      </c>
      <c r="K1213" s="6" t="n">
        <v>-2.48104232261742</v>
      </c>
      <c r="L1213" s="6" t="n">
        <v>-2.4173991983712</v>
      </c>
      <c r="M1213" s="6" t="n">
        <v>1.11656638026813</v>
      </c>
      <c r="N1213" s="6" t="n">
        <v>-0.430677961590446</v>
      </c>
      <c r="O1213" s="6" t="n">
        <v>0.141252583195132</v>
      </c>
      <c r="P1213" s="6" t="n">
        <v>-1.047358132466</v>
      </c>
      <c r="Q1213" s="6" t="n">
        <v>0.773440384810615</v>
      </c>
      <c r="R1213" s="6" t="n">
        <v>-0.561091350494371</v>
      </c>
      <c r="S1213" s="6" t="n">
        <v>-2.36221680966102</v>
      </c>
      <c r="T1213" s="6" t="n">
        <v>-1.11511904004195</v>
      </c>
      <c r="U1213" s="6" t="n">
        <v>-2.65320122385695</v>
      </c>
      <c r="V1213" s="6" t="n">
        <v>1.11421504471231</v>
      </c>
      <c r="W1213" s="6" t="n">
        <v>-0.809460843930727</v>
      </c>
      <c r="X1213" s="6" t="n">
        <v>2.38877641546856</v>
      </c>
      <c r="Y1213" s="6" t="n">
        <v>1.39766124182562</v>
      </c>
      <c r="Z1213" s="6" t="n">
        <v>-2.04591489612472</v>
      </c>
      <c r="AA1213" s="6" t="n">
        <v>2.1869116181677</v>
      </c>
      <c r="AB1213" s="6" t="n">
        <v>-2.82264412640143</v>
      </c>
      <c r="AC1213" s="6" t="n">
        <v>0.477722413393112</v>
      </c>
      <c r="AD1213" s="6" t="n">
        <v>-2.62360823890166</v>
      </c>
      <c r="AE1213" s="6" t="n">
        <v>0.582423828049757</v>
      </c>
      <c r="AF1213" s="6" t="n">
        <v>2.2545626886634</v>
      </c>
      <c r="AG1213" s="6" t="n">
        <v>2.17998215582587</v>
      </c>
      <c r="AH1213" s="6" t="n">
        <v>0.383184649466596</v>
      </c>
      <c r="AI1213" s="6" t="n">
        <v>-2.71362422268758</v>
      </c>
      <c r="AJ1213" s="6" t="n">
        <v>70.3674468196114</v>
      </c>
      <c r="AK1213" s="6" t="n">
        <v>0.150033186605357</v>
      </c>
      <c r="AL1213" s="6" t="n">
        <v>1.06573191591628</v>
      </c>
      <c r="AN1213" s="6" t="n">
        <v>1.28576504906447</v>
      </c>
      <c r="AO1213" s="6" t="n">
        <v>1.28622027223299</v>
      </c>
      <c r="AP1213" s="6" t="n">
        <v>0.132237963477219</v>
      </c>
      <c r="AQ1213" s="6" t="n">
        <v>0</v>
      </c>
      <c r="AR1213" s="6" t="n">
        <v>0</v>
      </c>
    </row>
    <row r="1214" customFormat="false" ht="15" hidden="false" customHeight="false" outlineLevel="0" collapsed="false">
      <c r="D1214" s="0" t="s">
        <v>1340</v>
      </c>
      <c r="J1214" s="6" t="n">
        <v>0.558881748448912</v>
      </c>
      <c r="K1214" s="6" t="n">
        <v>-0.232001702525818</v>
      </c>
      <c r="L1214" s="6" t="n">
        <v>-3.78810870540127</v>
      </c>
      <c r="M1214" s="6" t="n">
        <v>3.08661383797313</v>
      </c>
      <c r="N1214" s="6" t="n">
        <v>1.36871138410411</v>
      </c>
      <c r="O1214" s="6" t="n">
        <v>-0.098838296962792</v>
      </c>
      <c r="P1214" s="6" t="n">
        <v>-2.14424981428739</v>
      </c>
      <c r="Q1214" s="6" t="n">
        <v>2.33399704867024</v>
      </c>
      <c r="R1214" s="6" t="n">
        <v>-0.612936572747695</v>
      </c>
      <c r="S1214" s="6" t="n">
        <v>1.69031110548046</v>
      </c>
      <c r="T1214" s="6" t="n">
        <v>-1.14850567108509</v>
      </c>
      <c r="U1214" s="6" t="n">
        <v>1.37806065397512</v>
      </c>
      <c r="V1214" s="6" t="n">
        <v>0.419743250525437</v>
      </c>
      <c r="W1214" s="6" t="n">
        <v>-1.29259050664097</v>
      </c>
      <c r="X1214" s="6" t="n">
        <v>-3.03991110132837</v>
      </c>
      <c r="Y1214" s="6" t="n">
        <v>-0.283557123478344</v>
      </c>
      <c r="Z1214" s="6" t="n">
        <v>-0.890595505612087</v>
      </c>
      <c r="AA1214" s="6" t="n">
        <v>-0.7598383053911</v>
      </c>
      <c r="AB1214" s="6" t="n">
        <v>-1.50111913228453</v>
      </c>
      <c r="AC1214" s="6" t="n">
        <v>-1.18389463539599</v>
      </c>
      <c r="AD1214" s="6" t="n">
        <v>2.06943433176552</v>
      </c>
      <c r="AE1214" s="6" t="n">
        <v>-4.25786484614546</v>
      </c>
      <c r="AF1214" s="6" t="n">
        <v>1.00879179040491</v>
      </c>
      <c r="AG1214" s="6" t="n">
        <v>1.0728192862026</v>
      </c>
      <c r="AH1214" s="6" t="n">
        <v>0.859388422695399</v>
      </c>
      <c r="AI1214" s="6" t="n">
        <v>-2.27511950291081</v>
      </c>
      <c r="AJ1214" s="6" t="n">
        <v>71.8754999979194</v>
      </c>
      <c r="AK1214" s="6" t="n">
        <v>0.120728862192284</v>
      </c>
      <c r="AL1214" s="6" t="n">
        <v>1.04113997697508</v>
      </c>
      <c r="AN1214" s="6" t="n">
        <v>1.30069500421545</v>
      </c>
      <c r="AO1214" s="6" t="n">
        <v>1.30088373632069</v>
      </c>
      <c r="AP1214" s="6" t="n">
        <v>0.13508575605786</v>
      </c>
      <c r="AQ1214" s="6" t="n">
        <v>0</v>
      </c>
      <c r="AR1214" s="6" t="n">
        <v>0</v>
      </c>
    </row>
    <row r="1215" customFormat="false" ht="15" hidden="false" customHeight="false" outlineLevel="0" collapsed="false">
      <c r="D1215" s="0" t="s">
        <v>1341</v>
      </c>
      <c r="J1215" s="6" t="n">
        <v>3.76283242907771</v>
      </c>
      <c r="K1215" s="6" t="n">
        <v>-0.121652387140217</v>
      </c>
      <c r="L1215" s="6" t="n">
        <v>2.3873903442686</v>
      </c>
      <c r="M1215" s="6" t="n">
        <v>-0.0552239809265319</v>
      </c>
      <c r="N1215" s="6" t="n">
        <v>-0.717525477043574</v>
      </c>
      <c r="O1215" s="6" t="n">
        <v>-1.95864580331915</v>
      </c>
      <c r="P1215" s="6" t="n">
        <v>-0.237780160820379</v>
      </c>
      <c r="Q1215" s="6" t="n">
        <v>1.38337357253466</v>
      </c>
      <c r="R1215" s="6" t="n">
        <v>0.539698264098577</v>
      </c>
      <c r="S1215" s="6" t="n">
        <v>1.19974834491965</v>
      </c>
      <c r="T1215" s="6" t="n">
        <v>0.323842013634853</v>
      </c>
      <c r="U1215" s="6" t="n">
        <v>0.599262524580462</v>
      </c>
      <c r="V1215" s="6" t="n">
        <v>-2.55865622163953</v>
      </c>
      <c r="W1215" s="6" t="n">
        <v>-0.757958760814878</v>
      </c>
      <c r="X1215" s="6" t="n">
        <v>2.26027063678196</v>
      </c>
      <c r="Y1215" s="6" t="n">
        <v>3.34217193344554</v>
      </c>
      <c r="Z1215" s="6" t="n">
        <v>1.43449325281718</v>
      </c>
      <c r="AA1215" s="6" t="n">
        <v>-1.70246578976735</v>
      </c>
      <c r="AB1215" s="6" t="n">
        <v>2.1938914055986</v>
      </c>
      <c r="AC1215" s="6" t="n">
        <v>-0.201965590724736</v>
      </c>
      <c r="AD1215" s="6" t="n">
        <v>0.308153251571992</v>
      </c>
      <c r="AE1215" s="6" t="n">
        <v>2.98738873751958</v>
      </c>
      <c r="AF1215" s="6" t="n">
        <v>-1.27610850228373</v>
      </c>
      <c r="AG1215" s="6" t="n">
        <v>2.13859925072274</v>
      </c>
      <c r="AH1215" s="6" t="n">
        <v>0.879266674365181</v>
      </c>
      <c r="AI1215" s="6" t="n">
        <v>1.41368262563398</v>
      </c>
      <c r="AJ1215" s="6" t="n">
        <v>80.3510834484938</v>
      </c>
      <c r="AK1215" s="6" t="n">
        <v>0.0692776683154651</v>
      </c>
      <c r="AL1215" s="6" t="n">
        <v>1.08774928306129</v>
      </c>
      <c r="AN1215" s="6" t="n">
        <v>1.29298459909595</v>
      </c>
      <c r="AO1215" s="6" t="n">
        <v>1.29393447894809</v>
      </c>
      <c r="AP1215" s="6" t="n">
        <v>0.133417335558547</v>
      </c>
      <c r="AQ1215" s="6" t="n">
        <v>0</v>
      </c>
      <c r="AR1215" s="6" t="n">
        <v>0</v>
      </c>
    </row>
    <row r="1216" customFormat="false" ht="15" hidden="false" customHeight="false" outlineLevel="0" collapsed="false">
      <c r="D1216" s="0" t="s">
        <v>1342</v>
      </c>
      <c r="J1216" s="6" t="n">
        <v>-0.488901584732528</v>
      </c>
      <c r="K1216" s="6" t="n">
        <v>0.31809733087951</v>
      </c>
      <c r="L1216" s="6" t="n">
        <v>0.311665479900392</v>
      </c>
      <c r="M1216" s="6" t="n">
        <v>-2.09900724324471</v>
      </c>
      <c r="N1216" s="6" t="n">
        <v>-1.42929448818184</v>
      </c>
      <c r="O1216" s="6" t="n">
        <v>-0.360829064528818</v>
      </c>
      <c r="P1216" s="6" t="n">
        <v>1.44527067607465</v>
      </c>
      <c r="Q1216" s="6" t="n">
        <v>-0.582794741926475</v>
      </c>
      <c r="R1216" s="6" t="n">
        <v>1.07330938995038</v>
      </c>
      <c r="S1216" s="6" t="n">
        <v>0.758224677833765</v>
      </c>
      <c r="T1216" s="6" t="n">
        <v>-0.460439993856634</v>
      </c>
      <c r="U1216" s="6" t="n">
        <v>-2.42730501522332</v>
      </c>
      <c r="V1216" s="6" t="n">
        <v>-1.86257373348131</v>
      </c>
      <c r="W1216" s="6" t="n">
        <v>-0.978608462863523</v>
      </c>
      <c r="X1216" s="6" t="n">
        <v>1.83739485665385</v>
      </c>
      <c r="Y1216" s="6" t="n">
        <v>0.467440923862775</v>
      </c>
      <c r="Z1216" s="6" t="n">
        <v>-2.88186608229521</v>
      </c>
      <c r="AA1216" s="6" t="n">
        <v>2.09302441981688</v>
      </c>
      <c r="AB1216" s="6" t="n">
        <v>-0.770935357817946</v>
      </c>
      <c r="AC1216" s="6" t="n">
        <v>-1.90230391737532</v>
      </c>
      <c r="AD1216" s="6" t="n">
        <v>0.546975009622448</v>
      </c>
      <c r="AE1216" s="6" t="n">
        <v>-2.21398416701421</v>
      </c>
      <c r="AF1216" s="6" t="n">
        <v>-0.0353744049673777</v>
      </c>
      <c r="AG1216" s="6" t="n">
        <v>0.851798469970517</v>
      </c>
      <c r="AH1216" s="6" t="n">
        <v>-0.714327274125166</v>
      </c>
      <c r="AI1216" s="6" t="n">
        <v>-2.98635561079581</v>
      </c>
      <c r="AJ1216" s="6" t="n">
        <v>75.1385158066756</v>
      </c>
      <c r="AK1216" s="6" t="n">
        <v>0.119636726893863</v>
      </c>
      <c r="AL1216" s="6" t="n">
        <v>1.06017715653455</v>
      </c>
      <c r="AN1216" s="6" t="n">
        <v>1.29281284060714</v>
      </c>
      <c r="AO1216" s="6" t="n">
        <v>1.29381775255786</v>
      </c>
      <c r="AP1216" s="6" t="n">
        <v>0.133215448361598</v>
      </c>
      <c r="AQ1216" s="6" t="n">
        <v>0</v>
      </c>
      <c r="AR1216" s="6" t="n">
        <v>0</v>
      </c>
    </row>
    <row r="1217" customFormat="false" ht="15" hidden="false" customHeight="false" outlineLevel="0" collapsed="false">
      <c r="D1217" s="0" t="s">
        <v>1343</v>
      </c>
      <c r="J1217" s="6" t="n">
        <v>-1.01315804594</v>
      </c>
      <c r="K1217" s="6" t="n">
        <v>-1.18884552469292</v>
      </c>
      <c r="L1217" s="6" t="n">
        <v>-2.72506073851582</v>
      </c>
      <c r="M1217" s="6" t="n">
        <v>-2.32866055707057</v>
      </c>
      <c r="N1217" s="6" t="n">
        <v>2.36110034363463</v>
      </c>
      <c r="O1217" s="6" t="n">
        <v>-0.394133119907328</v>
      </c>
      <c r="P1217" s="6" t="n">
        <v>-1.62812326344813</v>
      </c>
      <c r="Q1217" s="6" t="n">
        <v>0.485271625363831</v>
      </c>
      <c r="R1217" s="6" t="n">
        <v>0.883134809139621</v>
      </c>
      <c r="S1217" s="6" t="n">
        <v>-2.44446658196907</v>
      </c>
      <c r="T1217" s="6" t="n">
        <v>-1.88942024968533</v>
      </c>
      <c r="U1217" s="6" t="n">
        <v>-3.24986826066547</v>
      </c>
      <c r="V1217" s="6" t="n">
        <v>4.73158865126822</v>
      </c>
      <c r="W1217" s="6" t="n">
        <v>-4.28559627549337</v>
      </c>
      <c r="X1217" s="6" t="n">
        <v>-4.16532152124702</v>
      </c>
      <c r="Y1217" s="6" t="n">
        <v>2.68232457988338</v>
      </c>
      <c r="Z1217" s="6" t="n">
        <v>-0.717963693515593</v>
      </c>
      <c r="AA1217" s="6" t="n">
        <v>0.965263773318133</v>
      </c>
      <c r="AB1217" s="6" t="n">
        <v>-1.47109522667673</v>
      </c>
      <c r="AC1217" s="6" t="n">
        <v>-0.497317241219057</v>
      </c>
      <c r="AD1217" s="6" t="n">
        <v>0.587901599941604</v>
      </c>
      <c r="AE1217" s="6" t="n">
        <v>-0.511512650388171</v>
      </c>
      <c r="AF1217" s="6" t="n">
        <v>-3.08804340084186</v>
      </c>
      <c r="AG1217" s="6" t="n">
        <v>2.60684014394397</v>
      </c>
      <c r="AH1217" s="6" t="n">
        <v>3.54657262504143</v>
      </c>
      <c r="AI1217" s="6" t="n">
        <v>-0.807505081486236</v>
      </c>
      <c r="AJ1217" s="6" t="n">
        <v>78.0478706606812</v>
      </c>
      <c r="AK1217" s="6" t="n">
        <v>0.102088106832985</v>
      </c>
      <c r="AL1217" s="6" t="n">
        <v>1.05575722176307</v>
      </c>
      <c r="AN1217" s="6" t="n">
        <v>1.29940348248652</v>
      </c>
      <c r="AO1217" s="6" t="n">
        <v>1.29975856936623</v>
      </c>
      <c r="AP1217" s="6" t="n">
        <v>0.134439734398285</v>
      </c>
      <c r="AQ1217" s="6" t="n">
        <v>0</v>
      </c>
      <c r="AR1217" s="6" t="n">
        <v>0</v>
      </c>
    </row>
    <row r="1218" customFormat="false" ht="15" hidden="false" customHeight="false" outlineLevel="0" collapsed="false">
      <c r="D1218" s="0" t="s">
        <v>1344</v>
      </c>
      <c r="J1218" s="6" t="n">
        <v>2.70875895646491</v>
      </c>
      <c r="K1218" s="6" t="n">
        <v>2.20163757507394</v>
      </c>
      <c r="L1218" s="6" t="n">
        <v>2.78003432120696</v>
      </c>
      <c r="M1218" s="6" t="n">
        <v>-2.71744046546507</v>
      </c>
      <c r="N1218" s="6" t="n">
        <v>-0.673201141762525</v>
      </c>
      <c r="O1218" s="6" t="n">
        <v>2.18416022597848</v>
      </c>
      <c r="P1218" s="6" t="n">
        <v>0.327224570027718</v>
      </c>
      <c r="Q1218" s="6" t="n">
        <v>-2.02364922424552</v>
      </c>
      <c r="R1218" s="6" t="n">
        <v>4.90977034758693</v>
      </c>
      <c r="S1218" s="6" t="n">
        <v>2.84145729536522</v>
      </c>
      <c r="T1218" s="6" t="n">
        <v>0.325109550234747</v>
      </c>
      <c r="U1218" s="6" t="n">
        <v>1.4602571629989</v>
      </c>
      <c r="V1218" s="6" t="n">
        <v>3.15494938604143</v>
      </c>
      <c r="W1218" s="6" t="n">
        <v>-3.09161817814967</v>
      </c>
      <c r="X1218" s="6" t="n">
        <v>-3.19736645555848</v>
      </c>
      <c r="Y1218" s="6" t="n">
        <v>-2.54071318433176</v>
      </c>
      <c r="Z1218" s="6" t="n">
        <v>-0.479405511191984</v>
      </c>
      <c r="AA1218" s="6" t="n">
        <v>-0.299984931262203</v>
      </c>
      <c r="AB1218" s="6" t="n">
        <v>3.33664656430339</v>
      </c>
      <c r="AC1218" s="6" t="n">
        <v>-1.53002188812481</v>
      </c>
      <c r="AD1218" s="6" t="n">
        <v>2.19115632316866</v>
      </c>
      <c r="AE1218" s="6" t="n">
        <v>-1.86742261635743</v>
      </c>
      <c r="AF1218" s="6" t="n">
        <v>-0.526059595162505</v>
      </c>
      <c r="AG1218" s="6" t="n">
        <v>-0.756367019099816</v>
      </c>
      <c r="AH1218" s="6" t="n">
        <v>-0.752979243515924</v>
      </c>
      <c r="AI1218" s="6" t="n">
        <v>0.600832256770857</v>
      </c>
      <c r="AJ1218" s="6" t="n">
        <v>74.7842360995663</v>
      </c>
      <c r="AK1218" s="6" t="n">
        <v>0.204636893487069</v>
      </c>
      <c r="AL1218" s="6" t="n">
        <v>1.04377612798579</v>
      </c>
      <c r="AN1218" s="6" t="n">
        <v>1.28750891788262</v>
      </c>
      <c r="AO1218" s="6" t="n">
        <v>1.28800008940597</v>
      </c>
      <c r="AP1218" s="6" t="n">
        <v>0.132136474196725</v>
      </c>
      <c r="AQ1218" s="6" t="n">
        <v>0</v>
      </c>
      <c r="AR1218" s="6" t="n">
        <v>0</v>
      </c>
    </row>
    <row r="1219" customFormat="false" ht="15" hidden="false" customHeight="false" outlineLevel="0" collapsed="false">
      <c r="D1219" s="0" t="s">
        <v>1345</v>
      </c>
      <c r="J1219" s="6" t="n">
        <v>-0.669777547037317</v>
      </c>
      <c r="K1219" s="6" t="n">
        <v>-0.781956557494988</v>
      </c>
      <c r="L1219" s="6" t="n">
        <v>-0.724697710985286</v>
      </c>
      <c r="M1219" s="6" t="n">
        <v>-1.52753539833286</v>
      </c>
      <c r="N1219" s="6" t="n">
        <v>-0.258214800661241</v>
      </c>
      <c r="O1219" s="6" t="n">
        <v>0.0895785731876113</v>
      </c>
      <c r="P1219" s="6" t="n">
        <v>-4.34926236777442</v>
      </c>
      <c r="Q1219" s="6" t="n">
        <v>-0.723530008761593</v>
      </c>
      <c r="R1219" s="6" t="n">
        <v>0.782860751310997</v>
      </c>
      <c r="S1219" s="6" t="n">
        <v>2.48958609697368</v>
      </c>
      <c r="T1219" s="6" t="n">
        <v>0.903502845051961</v>
      </c>
      <c r="U1219" s="6" t="n">
        <v>1.37623215527539</v>
      </c>
      <c r="V1219" s="6" t="n">
        <v>-0.443232258563855</v>
      </c>
      <c r="W1219" s="6" t="n">
        <v>0.402583192985381</v>
      </c>
      <c r="X1219" s="6" t="n">
        <v>1.16018193984047</v>
      </c>
      <c r="Y1219" s="6" t="n">
        <v>-0.2321547474355</v>
      </c>
      <c r="Z1219" s="6" t="n">
        <v>1.54363361669466</v>
      </c>
      <c r="AA1219" s="6" t="n">
        <v>-0.844969170325744</v>
      </c>
      <c r="AB1219" s="6" t="n">
        <v>-1.56668808097792</v>
      </c>
      <c r="AC1219" s="6" t="n">
        <v>0.26428662575572</v>
      </c>
      <c r="AD1219" s="6" t="n">
        <v>-2.87365581660071</v>
      </c>
      <c r="AE1219" s="6" t="n">
        <v>4.67509065133543</v>
      </c>
      <c r="AF1219" s="6" t="n">
        <v>-1.6625536835637</v>
      </c>
      <c r="AG1219" s="6" t="n">
        <v>-0.286500621311168</v>
      </c>
      <c r="AH1219" s="6" t="n">
        <v>4.97298387592672</v>
      </c>
      <c r="AI1219" s="6" t="n">
        <v>1.26430934038809</v>
      </c>
      <c r="AJ1219" s="6" t="n">
        <v>75.2682743734138</v>
      </c>
      <c r="AK1219" s="6" t="n">
        <v>0.137922704103021</v>
      </c>
      <c r="AL1219" s="6" t="n">
        <v>1.06035541243374</v>
      </c>
      <c r="AN1219" s="6" t="n">
        <v>1.29203783135516</v>
      </c>
      <c r="AO1219" s="6" t="n">
        <v>1.29250735018938</v>
      </c>
      <c r="AP1219" s="6" t="n">
        <v>0.132848714119929</v>
      </c>
      <c r="AQ1219" s="6" t="n">
        <v>0</v>
      </c>
      <c r="AR1219" s="6" t="n">
        <v>0</v>
      </c>
    </row>
    <row r="1220" customFormat="false" ht="15" hidden="false" customHeight="false" outlineLevel="0" collapsed="false">
      <c r="D1220" s="0" t="s">
        <v>1346</v>
      </c>
      <c r="J1220" s="6" t="n">
        <v>-0.0360467513212995</v>
      </c>
      <c r="K1220" s="6" t="n">
        <v>0.913499912141769</v>
      </c>
      <c r="L1220" s="6" t="n">
        <v>0.888937753017174</v>
      </c>
      <c r="M1220" s="6" t="n">
        <v>0.681084512204276</v>
      </c>
      <c r="N1220" s="6" t="n">
        <v>1.74488048991245</v>
      </c>
      <c r="O1220" s="6" t="n">
        <v>-0.736564785772504</v>
      </c>
      <c r="P1220" s="6" t="n">
        <v>-1.49650610732249</v>
      </c>
      <c r="Q1220" s="6" t="n">
        <v>-0.685393487969013</v>
      </c>
      <c r="R1220" s="6" t="n">
        <v>-2.97284335713994</v>
      </c>
      <c r="S1220" s="6" t="n">
        <v>-1.03940501846748</v>
      </c>
      <c r="T1220" s="6" t="n">
        <v>-0.243089150273662</v>
      </c>
      <c r="U1220" s="6" t="n">
        <v>3.0853516983598</v>
      </c>
      <c r="V1220" s="6" t="n">
        <v>0.638278606298706</v>
      </c>
      <c r="W1220" s="6" t="n">
        <v>1.95260866474375</v>
      </c>
      <c r="X1220" s="6" t="n">
        <v>-0.659047945599719</v>
      </c>
      <c r="Y1220" s="6" t="n">
        <v>-0.976720982655267</v>
      </c>
      <c r="Z1220" s="6" t="n">
        <v>0.0602179382072646</v>
      </c>
      <c r="AA1220" s="6" t="n">
        <v>0.384510262546985</v>
      </c>
      <c r="AB1220" s="6" t="n">
        <v>1.16489685926482</v>
      </c>
      <c r="AC1220" s="6" t="n">
        <v>0.551247536545667</v>
      </c>
      <c r="AD1220" s="6" t="n">
        <v>-0.263245936095144</v>
      </c>
      <c r="AE1220" s="6" t="n">
        <v>0.0989613416319638</v>
      </c>
      <c r="AF1220" s="6" t="n">
        <v>3.44116380634992</v>
      </c>
      <c r="AG1220" s="6" t="n">
        <v>0.632334511244741</v>
      </c>
      <c r="AH1220" s="6" t="n">
        <v>2.27473878977438</v>
      </c>
      <c r="AI1220" s="6" t="n">
        <v>2.75631086111654</v>
      </c>
      <c r="AJ1220" s="6" t="n">
        <v>76.419963819084</v>
      </c>
      <c r="AK1220" s="6" t="n">
        <v>0.126315953433736</v>
      </c>
      <c r="AL1220" s="6" t="n">
        <v>1.00269312222704</v>
      </c>
      <c r="AN1220" s="6" t="n">
        <v>1.3164003084242</v>
      </c>
      <c r="AO1220" s="6" t="n">
        <v>1.3164003084242</v>
      </c>
      <c r="AP1220" s="6" t="n">
        <v>0.140527195332784</v>
      </c>
      <c r="AQ1220" s="6" t="n">
        <v>0</v>
      </c>
      <c r="AR1220" s="6" t="n">
        <v>0</v>
      </c>
    </row>
    <row r="1221" customFormat="false" ht="15" hidden="false" customHeight="false" outlineLevel="0" collapsed="false">
      <c r="D1221" s="0" t="s">
        <v>1347</v>
      </c>
      <c r="J1221" s="6" t="n">
        <v>-0.610678914597288</v>
      </c>
      <c r="K1221" s="6" t="n">
        <v>1.41168991745584</v>
      </c>
      <c r="L1221" s="6" t="n">
        <v>2.93728043331559</v>
      </c>
      <c r="M1221" s="6" t="n">
        <v>-0.91651686624147</v>
      </c>
      <c r="N1221" s="6" t="n">
        <v>4.59893681155341</v>
      </c>
      <c r="O1221" s="6" t="n">
        <v>1.78392971399478</v>
      </c>
      <c r="P1221" s="6" t="n">
        <v>-0.0405486165204911</v>
      </c>
      <c r="Q1221" s="6" t="n">
        <v>2.3424233792887</v>
      </c>
      <c r="R1221" s="6" t="n">
        <v>-0.916216241201995</v>
      </c>
      <c r="S1221" s="6" t="n">
        <v>-0.812821137052188</v>
      </c>
      <c r="T1221" s="6" t="n">
        <v>-0.0162833379235984</v>
      </c>
      <c r="U1221" s="6" t="n">
        <v>0.254711277802252</v>
      </c>
      <c r="V1221" s="6" t="n">
        <v>-0.6797310721447</v>
      </c>
      <c r="W1221" s="6" t="n">
        <v>2.11268266203408</v>
      </c>
      <c r="X1221" s="6" t="n">
        <v>-0.548139726528502</v>
      </c>
      <c r="Y1221" s="6" t="n">
        <v>1.12292989767878</v>
      </c>
      <c r="Z1221" s="6" t="n">
        <v>-1.15371677769062</v>
      </c>
      <c r="AA1221" s="6" t="n">
        <v>0.354748206503582</v>
      </c>
      <c r="AB1221" s="6" t="n">
        <v>-0.647560565310131</v>
      </c>
      <c r="AC1221" s="6" t="n">
        <v>2.75840519668222</v>
      </c>
      <c r="AD1221" s="6" t="n">
        <v>-1.05161071327761</v>
      </c>
      <c r="AE1221" s="6" t="n">
        <v>-0.0431469137821815</v>
      </c>
      <c r="AF1221" s="6" t="n">
        <v>1.23238496583309</v>
      </c>
      <c r="AG1221" s="6" t="n">
        <v>-0.459436803170382</v>
      </c>
      <c r="AH1221" s="6" t="n">
        <v>-0.163396523149237</v>
      </c>
      <c r="AI1221" s="6" t="n">
        <v>-6.16401328173329</v>
      </c>
      <c r="AJ1221" s="6" t="n">
        <v>76.8480634550751</v>
      </c>
      <c r="AK1221" s="6" t="n">
        <v>0.054588987733234</v>
      </c>
      <c r="AL1221" s="6" t="n">
        <v>1.01998441462057</v>
      </c>
      <c r="AN1221" s="6" t="n">
        <v>1.31487118822551</v>
      </c>
      <c r="AO1221" s="6" t="n">
        <v>1.31487118822551</v>
      </c>
      <c r="AP1221" s="6" t="n">
        <v>0.139797056334827</v>
      </c>
      <c r="AQ1221" s="6" t="n">
        <v>0</v>
      </c>
      <c r="AR1221" s="6" t="n">
        <v>0</v>
      </c>
    </row>
    <row r="1222" customFormat="false" ht="15" hidden="false" customHeight="false" outlineLevel="0" collapsed="false">
      <c r="D1222" s="0" t="s">
        <v>1348</v>
      </c>
      <c r="J1222" s="6" t="n">
        <v>2.2860097550956</v>
      </c>
      <c r="K1222" s="6" t="n">
        <v>-0.945027801976272</v>
      </c>
      <c r="L1222" s="6" t="n">
        <v>1.89929593019347</v>
      </c>
      <c r="M1222" s="6" t="n">
        <v>-2.92957960460861</v>
      </c>
      <c r="N1222" s="6" t="n">
        <v>1.67937214066471</v>
      </c>
      <c r="O1222" s="6" t="n">
        <v>2.10300539496589</v>
      </c>
      <c r="P1222" s="6" t="n">
        <v>2.13746931293425</v>
      </c>
      <c r="Q1222" s="6" t="n">
        <v>-3.77896229846578</v>
      </c>
      <c r="R1222" s="6" t="n">
        <v>-0.65025482860204</v>
      </c>
      <c r="S1222" s="6" t="n">
        <v>4.21190879388516</v>
      </c>
      <c r="T1222" s="6" t="n">
        <v>-0.410298764658244</v>
      </c>
      <c r="U1222" s="6" t="n">
        <v>-1.35230349249533</v>
      </c>
      <c r="V1222" s="6" t="n">
        <v>1.21624384346997</v>
      </c>
      <c r="W1222" s="6" t="n">
        <v>0.692570184810263</v>
      </c>
      <c r="X1222" s="6" t="n">
        <v>2.18505339226129</v>
      </c>
      <c r="Y1222" s="6" t="n">
        <v>0.014497539685868</v>
      </c>
      <c r="Z1222" s="6" t="n">
        <v>0.176244511678654</v>
      </c>
      <c r="AA1222" s="6" t="n">
        <v>-4.54725084875998</v>
      </c>
      <c r="AB1222" s="6" t="n">
        <v>3.57840665775554</v>
      </c>
      <c r="AC1222" s="6" t="n">
        <v>0.514951794152294</v>
      </c>
      <c r="AD1222" s="6" t="n">
        <v>0.559732236282219</v>
      </c>
      <c r="AE1222" s="6" t="n">
        <v>-1.15547086346561</v>
      </c>
      <c r="AF1222" s="6" t="n">
        <v>2.11287819201116</v>
      </c>
      <c r="AG1222" s="6" t="n">
        <v>2.28051803279832</v>
      </c>
      <c r="AH1222" s="6" t="n">
        <v>0.320434498383835</v>
      </c>
      <c r="AI1222" s="6" t="n">
        <v>2.93113916177485</v>
      </c>
      <c r="AJ1222" s="6" t="n">
        <v>71.5476595272803</v>
      </c>
      <c r="AK1222" s="6" t="n">
        <v>0.112005500960638</v>
      </c>
      <c r="AL1222" s="6" t="n">
        <v>0.993356761516492</v>
      </c>
      <c r="AN1222" s="6" t="n">
        <v>1.31544424885344</v>
      </c>
      <c r="AO1222" s="6" t="n">
        <v>1.31544424885344</v>
      </c>
      <c r="AP1222" s="6" t="n">
        <v>0.141285830565054</v>
      </c>
      <c r="AQ1222" s="6" t="n">
        <v>0</v>
      </c>
      <c r="AR1222" s="6" t="n">
        <v>0</v>
      </c>
    </row>
    <row r="1223" customFormat="false" ht="15" hidden="false" customHeight="false" outlineLevel="0" collapsed="false">
      <c r="D1223" s="0" t="s">
        <v>1349</v>
      </c>
      <c r="J1223" s="6" t="n">
        <v>0.300500547199706</v>
      </c>
      <c r="K1223" s="6" t="n">
        <v>-2.03651558723872</v>
      </c>
      <c r="L1223" s="6" t="n">
        <v>2.24891432273404</v>
      </c>
      <c r="M1223" s="6" t="n">
        <v>0.315232516673932</v>
      </c>
      <c r="N1223" s="6" t="n">
        <v>-0.101309691575734</v>
      </c>
      <c r="O1223" s="6" t="n">
        <v>-0.827746720282608</v>
      </c>
      <c r="P1223" s="6" t="n">
        <v>-0.69730530133005</v>
      </c>
      <c r="Q1223" s="6" t="n">
        <v>1.25458775815412</v>
      </c>
      <c r="R1223" s="6" t="n">
        <v>-0.406086697399269</v>
      </c>
      <c r="S1223" s="6" t="n">
        <v>1.21897784974584</v>
      </c>
      <c r="T1223" s="6" t="n">
        <v>-1.77761289031</v>
      </c>
      <c r="U1223" s="6" t="n">
        <v>-0.151442211535576</v>
      </c>
      <c r="V1223" s="6" t="n">
        <v>0.431219321742425</v>
      </c>
      <c r="W1223" s="6" t="n">
        <v>0.484191263850248</v>
      </c>
      <c r="X1223" s="6" t="n">
        <v>-0.372323659198423</v>
      </c>
      <c r="Y1223" s="6" t="n">
        <v>-3.53935822340971</v>
      </c>
      <c r="Z1223" s="6" t="n">
        <v>-0.679670328822899</v>
      </c>
      <c r="AA1223" s="6" t="n">
        <v>-2.78176363311666</v>
      </c>
      <c r="AB1223" s="6" t="n">
        <v>-1.13788183558047</v>
      </c>
      <c r="AC1223" s="6" t="n">
        <v>2.59691390787371</v>
      </c>
      <c r="AD1223" s="6" t="n">
        <v>0.692029381075463</v>
      </c>
      <c r="AE1223" s="6" t="n">
        <v>1.93812058811417</v>
      </c>
      <c r="AF1223" s="6" t="n">
        <v>0.244602297791153</v>
      </c>
      <c r="AG1223" s="6" t="n">
        <v>3.73906003541927</v>
      </c>
      <c r="AH1223" s="6" t="n">
        <v>-0.535039966167278</v>
      </c>
      <c r="AI1223" s="6" t="n">
        <v>-0.0294375042731511</v>
      </c>
      <c r="AJ1223" s="6" t="n">
        <v>74.845424009727</v>
      </c>
      <c r="AK1223" s="6" t="n">
        <v>0.123513269057069</v>
      </c>
      <c r="AL1223" s="6" t="n">
        <v>1.03443418089595</v>
      </c>
      <c r="AN1223" s="6" t="n">
        <v>1.3062439651341</v>
      </c>
      <c r="AO1223" s="6" t="n">
        <v>1.30642812475941</v>
      </c>
      <c r="AP1223" s="6" t="n">
        <v>0.135914026173451</v>
      </c>
      <c r="AQ1223" s="6" t="n">
        <v>0</v>
      </c>
      <c r="AR1223" s="6" t="n">
        <v>0</v>
      </c>
    </row>
    <row r="1224" customFormat="false" ht="15" hidden="false" customHeight="false" outlineLevel="0" collapsed="false">
      <c r="D1224" s="0" t="s">
        <v>1350</v>
      </c>
      <c r="J1224" s="6" t="n">
        <v>3.49687737932177</v>
      </c>
      <c r="K1224" s="6" t="n">
        <v>-0.673275867758439</v>
      </c>
      <c r="L1224" s="6" t="n">
        <v>1.57848107650287</v>
      </c>
      <c r="M1224" s="6" t="n">
        <v>-3.38933530476115</v>
      </c>
      <c r="N1224" s="6" t="n">
        <v>4.92255392523404</v>
      </c>
      <c r="O1224" s="6" t="n">
        <v>-1.06344493615309</v>
      </c>
      <c r="P1224" s="6" t="n">
        <v>-2.09469376646774</v>
      </c>
      <c r="Q1224" s="6" t="n">
        <v>-1.83556660107602</v>
      </c>
      <c r="R1224" s="6" t="n">
        <v>-1.66556585241526</v>
      </c>
      <c r="S1224" s="6" t="n">
        <v>2.80493079477736</v>
      </c>
      <c r="T1224" s="6" t="n">
        <v>-2.13510202885655</v>
      </c>
      <c r="U1224" s="6" t="n">
        <v>2.19874172653735</v>
      </c>
      <c r="V1224" s="6" t="n">
        <v>-1.28019687588082</v>
      </c>
      <c r="W1224" s="6" t="n">
        <v>-0.231757831642549</v>
      </c>
      <c r="X1224" s="6" t="n">
        <v>2.98345040460381</v>
      </c>
      <c r="Y1224" s="6" t="n">
        <v>-4.91556572805433</v>
      </c>
      <c r="Z1224" s="6" t="n">
        <v>0.564877372110317</v>
      </c>
      <c r="AA1224" s="6" t="n">
        <v>2.01924820618536</v>
      </c>
      <c r="AB1224" s="6" t="n">
        <v>0.125201141115382</v>
      </c>
      <c r="AC1224" s="6" t="n">
        <v>4.11266482213004</v>
      </c>
      <c r="AD1224" s="6" t="n">
        <v>2.35519673503902</v>
      </c>
      <c r="AE1224" s="6" t="n">
        <v>-0.0968033420004775</v>
      </c>
      <c r="AF1224" s="6" t="n">
        <v>0.16274908599852</v>
      </c>
      <c r="AG1224" s="6" t="n">
        <v>3.97371535651572</v>
      </c>
      <c r="AH1224" s="6" t="n">
        <v>-1.79362658827915</v>
      </c>
      <c r="AI1224" s="6" t="n">
        <v>0.377782100507319</v>
      </c>
      <c r="AJ1224" s="6" t="n">
        <v>77.4886205269243</v>
      </c>
      <c r="AK1224" s="6" t="n">
        <v>0.146858284501215</v>
      </c>
      <c r="AL1224" s="6" t="n">
        <v>1.07864812341381</v>
      </c>
      <c r="AN1224" s="6" t="n">
        <v>1.28524751733913</v>
      </c>
      <c r="AO1224" s="6" t="n">
        <v>1.28627843972483</v>
      </c>
      <c r="AP1224" s="6" t="n">
        <v>0.130776691000636</v>
      </c>
      <c r="AQ1224" s="6" t="n">
        <v>0</v>
      </c>
      <c r="AR1224" s="6" t="n">
        <v>0</v>
      </c>
    </row>
    <row r="1225" customFormat="false" ht="15" hidden="false" customHeight="false" outlineLevel="0" collapsed="false">
      <c r="D1225" s="0" t="s">
        <v>1351</v>
      </c>
      <c r="J1225" s="6" t="n">
        <v>-0.391113849701145</v>
      </c>
      <c r="K1225" s="6" t="n">
        <v>-1.42238425234071</v>
      </c>
      <c r="L1225" s="6" t="n">
        <v>1.98221505602176</v>
      </c>
      <c r="M1225" s="6" t="n">
        <v>0.962489129561729</v>
      </c>
      <c r="N1225" s="6" t="n">
        <v>-3.39212019386845</v>
      </c>
      <c r="O1225" s="6" t="n">
        <v>1.87931600366633</v>
      </c>
      <c r="P1225" s="6" t="n">
        <v>-0.423530800668266</v>
      </c>
      <c r="Q1225" s="6" t="n">
        <v>2.83113821685543</v>
      </c>
      <c r="R1225" s="6" t="n">
        <v>1.17802084348502</v>
      </c>
      <c r="S1225" s="6" t="n">
        <v>1.9188005663533</v>
      </c>
      <c r="T1225" s="6" t="n">
        <v>4.61034176696021</v>
      </c>
      <c r="U1225" s="6" t="n">
        <v>2.23961151149304</v>
      </c>
      <c r="V1225" s="6" t="n">
        <v>0.492259420898534</v>
      </c>
      <c r="W1225" s="6" t="n">
        <v>-2.17378100929583</v>
      </c>
      <c r="X1225" s="6" t="n">
        <v>1.94711549587891</v>
      </c>
      <c r="Y1225" s="6" t="n">
        <v>4.31222136903685</v>
      </c>
      <c r="Z1225" s="6" t="n">
        <v>-1.97587806232262</v>
      </c>
      <c r="AA1225" s="6" t="n">
        <v>3.49130598200297</v>
      </c>
      <c r="AB1225" s="6" t="n">
        <v>0.686587588312148</v>
      </c>
      <c r="AC1225" s="6" t="n">
        <v>-1.86923903258396</v>
      </c>
      <c r="AD1225" s="6" t="n">
        <v>-0.250124608420333</v>
      </c>
      <c r="AE1225" s="6" t="n">
        <v>0.295251142790744</v>
      </c>
      <c r="AF1225" s="6" t="n">
        <v>0.497744875793081</v>
      </c>
      <c r="AG1225" s="6" t="n">
        <v>0.583216690003799</v>
      </c>
      <c r="AH1225" s="6" t="n">
        <v>1.72629169992453</v>
      </c>
      <c r="AI1225" s="6" t="n">
        <v>-0.0504118768868774</v>
      </c>
      <c r="AJ1225" s="6" t="n">
        <v>65.7589565442025</v>
      </c>
      <c r="AK1225" s="6" t="n">
        <v>0.149638034680377</v>
      </c>
      <c r="AL1225" s="6" t="n">
        <v>1.01078643157198</v>
      </c>
      <c r="AN1225" s="6" t="n">
        <v>1.30719489862656</v>
      </c>
      <c r="AO1225" s="6" t="n">
        <v>1.30795805213877</v>
      </c>
      <c r="AP1225" s="6" t="n">
        <v>0.137599440491356</v>
      </c>
      <c r="AQ1225" s="6" t="n">
        <v>0</v>
      </c>
      <c r="AR1225" s="6" t="n">
        <v>0</v>
      </c>
    </row>
    <row r="1226" customFormat="false" ht="15" hidden="false" customHeight="false" outlineLevel="0" collapsed="false">
      <c r="D1226" s="0" t="s">
        <v>1352</v>
      </c>
      <c r="J1226" s="6" t="n">
        <v>3.36798770160267</v>
      </c>
      <c r="K1226" s="6" t="n">
        <v>1.86215914290678</v>
      </c>
      <c r="L1226" s="6" t="n">
        <v>1.06911486547274</v>
      </c>
      <c r="M1226" s="6" t="n">
        <v>0.634152008210183</v>
      </c>
      <c r="N1226" s="6" t="n">
        <v>-1.61515367630614</v>
      </c>
      <c r="O1226" s="6" t="n">
        <v>-3.28363649163955</v>
      </c>
      <c r="P1226" s="6" t="n">
        <v>1.04107959903835</v>
      </c>
      <c r="Q1226" s="6" t="n">
        <v>-1.42366799516844</v>
      </c>
      <c r="R1226" s="6" t="n">
        <v>0.907552170306031</v>
      </c>
      <c r="S1226" s="6" t="n">
        <v>1.47256860053845</v>
      </c>
      <c r="T1226" s="6" t="n">
        <v>-1.09462080312246</v>
      </c>
      <c r="U1226" s="6" t="n">
        <v>2.94469111472928</v>
      </c>
      <c r="V1226" s="6" t="n">
        <v>0.176422408680741</v>
      </c>
      <c r="W1226" s="6" t="n">
        <v>1.43881436692786</v>
      </c>
      <c r="X1226" s="6" t="n">
        <v>0.272789780754065</v>
      </c>
      <c r="Y1226" s="6" t="n">
        <v>-0.196966656432813</v>
      </c>
      <c r="Z1226" s="6" t="n">
        <v>0.432243225167954</v>
      </c>
      <c r="AA1226" s="6" t="n">
        <v>-0.527929851482171</v>
      </c>
      <c r="AB1226" s="6" t="n">
        <v>2.43383291769745</v>
      </c>
      <c r="AC1226" s="6" t="n">
        <v>0.756812562417029</v>
      </c>
      <c r="AD1226" s="6" t="n">
        <v>-1.46641474896365</v>
      </c>
      <c r="AE1226" s="6" t="n">
        <v>1.46821933347591</v>
      </c>
      <c r="AF1226" s="6" t="n">
        <v>0.0460310757550499</v>
      </c>
      <c r="AG1226" s="6" t="n">
        <v>-1.98197600236454</v>
      </c>
      <c r="AH1226" s="6" t="n">
        <v>1.42553846393133</v>
      </c>
      <c r="AI1226" s="6" t="n">
        <v>-2.30837959150314</v>
      </c>
      <c r="AJ1226" s="6" t="n">
        <v>62.2463744452566</v>
      </c>
      <c r="AK1226" s="6" t="n">
        <v>0.14772921210435</v>
      </c>
      <c r="AL1226" s="6" t="n">
        <v>1.03442318788806</v>
      </c>
      <c r="AN1226" s="6" t="n">
        <v>1.29664212395637</v>
      </c>
      <c r="AO1226" s="6" t="n">
        <v>1.29702007909793</v>
      </c>
      <c r="AP1226" s="6" t="n">
        <v>0.134003445523858</v>
      </c>
      <c r="AQ1226" s="6" t="n">
        <v>0</v>
      </c>
      <c r="AR1226" s="6" t="n">
        <v>0</v>
      </c>
    </row>
    <row r="1227" customFormat="false" ht="15" hidden="false" customHeight="false" outlineLevel="0" collapsed="false">
      <c r="D1227" s="0" t="s">
        <v>1353</v>
      </c>
      <c r="J1227" s="6" t="n">
        <v>0.64250345976778</v>
      </c>
      <c r="K1227" s="6" t="n">
        <v>3.51407390363876</v>
      </c>
      <c r="L1227" s="6" t="n">
        <v>1.60475547806544</v>
      </c>
      <c r="M1227" s="6" t="n">
        <v>2.47334953486746</v>
      </c>
      <c r="N1227" s="6" t="n">
        <v>0.342697013106992</v>
      </c>
      <c r="O1227" s="6" t="n">
        <v>1.78783818661782</v>
      </c>
      <c r="P1227" s="6" t="n">
        <v>1.98352273498831</v>
      </c>
      <c r="Q1227" s="6" t="n">
        <v>1.97913471096125</v>
      </c>
      <c r="R1227" s="6" t="n">
        <v>0.0207416731869772</v>
      </c>
      <c r="S1227" s="6" t="n">
        <v>1.5879330406307</v>
      </c>
      <c r="T1227" s="6" t="n">
        <v>1.47316213003434</v>
      </c>
      <c r="U1227" s="6" t="n">
        <v>-0.559703366889715</v>
      </c>
      <c r="V1227" s="6" t="n">
        <v>-2.14172027646576</v>
      </c>
      <c r="W1227" s="6" t="n">
        <v>2.22508327429704</v>
      </c>
      <c r="X1227" s="6" t="n">
        <v>1.92729935066204</v>
      </c>
      <c r="Y1227" s="6" t="n">
        <v>3.07592606695927</v>
      </c>
      <c r="Z1227" s="6" t="n">
        <v>0.582590626393472</v>
      </c>
      <c r="AA1227" s="6" t="n">
        <v>2.08944025452796</v>
      </c>
      <c r="AB1227" s="6" t="n">
        <v>-1.61331244892966</v>
      </c>
      <c r="AC1227" s="6" t="n">
        <v>-0.65742970941315</v>
      </c>
      <c r="AD1227" s="6" t="n">
        <v>-0.262421445147267</v>
      </c>
      <c r="AE1227" s="6" t="n">
        <v>-2.49595369602826</v>
      </c>
      <c r="AF1227" s="6" t="n">
        <v>-0.177564187522158</v>
      </c>
      <c r="AG1227" s="6" t="n">
        <v>3.20210517306237</v>
      </c>
      <c r="AH1227" s="6" t="n">
        <v>-1.37471310320758</v>
      </c>
      <c r="AI1227" s="6" t="n">
        <v>-1.27135738396354</v>
      </c>
      <c r="AJ1227" s="6" t="n">
        <v>79.8088169828297</v>
      </c>
      <c r="AK1227" s="6" t="n">
        <v>0.126098212225743</v>
      </c>
      <c r="AL1227" s="6" t="n">
        <v>1.05711873584916</v>
      </c>
      <c r="AN1227" s="6" t="n">
        <v>1.29317308858734</v>
      </c>
      <c r="AO1227" s="6" t="n">
        <v>1.29374165826434</v>
      </c>
      <c r="AP1227" s="6" t="n">
        <v>0.133856857505672</v>
      </c>
      <c r="AQ1227" s="6" t="n">
        <v>0</v>
      </c>
      <c r="AR1227" s="6" t="n">
        <v>0</v>
      </c>
    </row>
    <row r="1228" customFormat="false" ht="15" hidden="false" customHeight="false" outlineLevel="0" collapsed="false">
      <c r="D1228" s="0" t="s">
        <v>1354</v>
      </c>
      <c r="J1228" s="6" t="n">
        <v>-1.27049452492729</v>
      </c>
      <c r="K1228" s="6" t="n">
        <v>-1.1282206199364</v>
      </c>
      <c r="L1228" s="6" t="n">
        <v>0.190712842414357</v>
      </c>
      <c r="M1228" s="6" t="n">
        <v>-1.41949223895359</v>
      </c>
      <c r="N1228" s="6" t="n">
        <v>-0.0726872286297324</v>
      </c>
      <c r="O1228" s="6" t="n">
        <v>-1.07323706571703</v>
      </c>
      <c r="P1228" s="6" t="n">
        <v>-0.202809168008869</v>
      </c>
      <c r="Q1228" s="6" t="n">
        <v>-6.01634500290739</v>
      </c>
      <c r="R1228" s="6" t="n">
        <v>0.239077817732455</v>
      </c>
      <c r="S1228" s="6" t="n">
        <v>0.082027962845782</v>
      </c>
      <c r="T1228" s="6" t="n">
        <v>-1.45035784529813</v>
      </c>
      <c r="U1228" s="6" t="n">
        <v>0.485909659002704</v>
      </c>
      <c r="V1228" s="6" t="n">
        <v>3.03325024448486</v>
      </c>
      <c r="W1228" s="6" t="n">
        <v>-1.28657588917659</v>
      </c>
      <c r="X1228" s="6" t="n">
        <v>2.23987835219957</v>
      </c>
      <c r="Y1228" s="6" t="n">
        <v>2.68950115607863</v>
      </c>
      <c r="Z1228" s="6" t="n">
        <v>0.327706121949601</v>
      </c>
      <c r="AA1228" s="6" t="n">
        <v>-1.87224002653209</v>
      </c>
      <c r="AB1228" s="6" t="n">
        <v>-0.303614663765501</v>
      </c>
      <c r="AC1228" s="6" t="n">
        <v>2.26788524091999</v>
      </c>
      <c r="AD1228" s="6" t="n">
        <v>-3.67548726535033</v>
      </c>
      <c r="AE1228" s="6" t="n">
        <v>1.12081718554595</v>
      </c>
      <c r="AF1228" s="6" t="n">
        <v>-0.237511003804766</v>
      </c>
      <c r="AG1228" s="6" t="n">
        <v>-3.58029614907874</v>
      </c>
      <c r="AH1228" s="6" t="n">
        <v>-0.441022092814847</v>
      </c>
      <c r="AI1228" s="6" t="n">
        <v>1.10060081916302</v>
      </c>
      <c r="AJ1228" s="6" t="n">
        <v>74.8567038980273</v>
      </c>
      <c r="AK1228" s="6" t="n">
        <v>0.13949196874705</v>
      </c>
      <c r="AL1228" s="6" t="n">
        <v>1.07803846966146</v>
      </c>
      <c r="AN1228" s="6" t="n">
        <v>1.28468920906881</v>
      </c>
      <c r="AO1228" s="6" t="n">
        <v>1.28559443892878</v>
      </c>
      <c r="AP1228" s="6" t="n">
        <v>0.130928301966439</v>
      </c>
      <c r="AQ1228" s="6" t="n">
        <v>0</v>
      </c>
      <c r="AR1228" s="6" t="n">
        <v>0</v>
      </c>
    </row>
    <row r="1229" customFormat="false" ht="15" hidden="false" customHeight="false" outlineLevel="0" collapsed="false">
      <c r="D1229" s="0" t="s">
        <v>1355</v>
      </c>
      <c r="J1229" s="6" t="n">
        <v>1.85673721133598</v>
      </c>
      <c r="K1229" s="6" t="n">
        <v>-0.256429080153288</v>
      </c>
      <c r="L1229" s="6" t="n">
        <v>-1.46692552681438</v>
      </c>
      <c r="M1229" s="6" t="n">
        <v>0.414471027890973</v>
      </c>
      <c r="N1229" s="6" t="n">
        <v>2.45328179327144</v>
      </c>
      <c r="O1229" s="6" t="n">
        <v>1.38820840754636</v>
      </c>
      <c r="P1229" s="6" t="n">
        <v>3.29210893090379</v>
      </c>
      <c r="Q1229" s="6" t="n">
        <v>2.67754471461266</v>
      </c>
      <c r="R1229" s="6" t="n">
        <v>-0.606295443685347</v>
      </c>
      <c r="S1229" s="6" t="n">
        <v>0.168822577209668</v>
      </c>
      <c r="T1229" s="6" t="n">
        <v>-0.877731686490245</v>
      </c>
      <c r="U1229" s="6" t="n">
        <v>3.90616737852143</v>
      </c>
      <c r="V1229" s="6" t="n">
        <v>-0.837280529613597</v>
      </c>
      <c r="W1229" s="6" t="n">
        <v>3.17914156101272</v>
      </c>
      <c r="X1229" s="6" t="n">
        <v>0.605896213253009</v>
      </c>
      <c r="Y1229" s="6" t="n">
        <v>-2.90745444623781</v>
      </c>
      <c r="Z1229" s="6" t="n">
        <v>-2.92693900811318</v>
      </c>
      <c r="AA1229" s="6" t="n">
        <v>-1.51287288640027</v>
      </c>
      <c r="AB1229" s="6" t="n">
        <v>3.12298781574249</v>
      </c>
      <c r="AC1229" s="6" t="n">
        <v>0.740273009094513</v>
      </c>
      <c r="AD1229" s="6" t="n">
        <v>0.066079694492175</v>
      </c>
      <c r="AE1229" s="6" t="n">
        <v>-1.00177588337314</v>
      </c>
      <c r="AF1229" s="6" t="n">
        <v>-3.50553082925774</v>
      </c>
      <c r="AG1229" s="6" t="n">
        <v>0.392909290794798</v>
      </c>
      <c r="AH1229" s="6" t="n">
        <v>0.162787985338516</v>
      </c>
      <c r="AI1229" s="6" t="n">
        <v>0.398084050495268</v>
      </c>
      <c r="AJ1229" s="6" t="n">
        <v>76.2114198352212</v>
      </c>
      <c r="AK1229" s="6" t="n">
        <v>0.0399434775651369</v>
      </c>
      <c r="AL1229" s="6" t="n">
        <v>1.02909217937859</v>
      </c>
      <c r="AN1229" s="6" t="n">
        <v>1.31204540494146</v>
      </c>
      <c r="AO1229" s="6" t="n">
        <v>1.31204540494146</v>
      </c>
      <c r="AP1229" s="6" t="n">
        <v>0.138719240810915</v>
      </c>
      <c r="AQ1229" s="6" t="n">
        <v>0</v>
      </c>
      <c r="AR1229" s="6" t="n">
        <v>0</v>
      </c>
    </row>
    <row r="1230" customFormat="false" ht="15" hidden="false" customHeight="false" outlineLevel="0" collapsed="false">
      <c r="D1230" s="0" t="s">
        <v>1356</v>
      </c>
      <c r="J1230" s="6" t="n">
        <v>3.34061897949076</v>
      </c>
      <c r="K1230" s="6" t="n">
        <v>2.98658739228262</v>
      </c>
      <c r="L1230" s="6" t="n">
        <v>-0.467032531997088</v>
      </c>
      <c r="M1230" s="6" t="n">
        <v>0.871246274081584</v>
      </c>
      <c r="N1230" s="6" t="n">
        <v>-0.482204719761661</v>
      </c>
      <c r="O1230" s="6" t="n">
        <v>-1.02280139127518</v>
      </c>
      <c r="P1230" s="6" t="n">
        <v>-2.79767745237153</v>
      </c>
      <c r="Q1230" s="6" t="n">
        <v>-4.13721009329454</v>
      </c>
      <c r="R1230" s="6" t="n">
        <v>-2.72432185416549</v>
      </c>
      <c r="S1230" s="6" t="n">
        <v>-1.59523618880286</v>
      </c>
      <c r="T1230" s="6" t="n">
        <v>-1.93686047579119</v>
      </c>
      <c r="U1230" s="6" t="n">
        <v>-0.149175821021474</v>
      </c>
      <c r="V1230" s="6" t="n">
        <v>5</v>
      </c>
      <c r="W1230" s="6" t="n">
        <v>-1.62971055962028</v>
      </c>
      <c r="X1230" s="6" t="n">
        <v>1.69354062206531</v>
      </c>
      <c r="Y1230" s="6" t="n">
        <v>1.42796087957875</v>
      </c>
      <c r="Z1230" s="6" t="n">
        <v>2.95524045656102</v>
      </c>
      <c r="AA1230" s="6" t="n">
        <v>-1.04167880567393</v>
      </c>
      <c r="AB1230" s="6" t="n">
        <v>-1.42351577700961</v>
      </c>
      <c r="AC1230" s="6" t="n">
        <v>4.54261363265944</v>
      </c>
      <c r="AD1230" s="6" t="n">
        <v>1.01492467843298</v>
      </c>
      <c r="AE1230" s="6" t="n">
        <v>-1.6764406645596</v>
      </c>
      <c r="AF1230" s="6" t="n">
        <v>4.46033738958449</v>
      </c>
      <c r="AG1230" s="6" t="n">
        <v>-1.96578609054595</v>
      </c>
      <c r="AH1230" s="6" t="n">
        <v>-1.54796310786898</v>
      </c>
      <c r="AI1230" s="6" t="n">
        <v>-3.83407936691919</v>
      </c>
      <c r="AJ1230" s="6" t="n">
        <v>64.5641059894155</v>
      </c>
      <c r="AK1230" s="6" t="n">
        <v>0.124304180994899</v>
      </c>
      <c r="AL1230" s="6" t="n">
        <v>1.00691337653073</v>
      </c>
      <c r="AN1230" s="6" t="n">
        <v>1.31028283924802</v>
      </c>
      <c r="AO1230" s="6" t="n">
        <v>1.31028283924802</v>
      </c>
      <c r="AP1230" s="6" t="n">
        <v>0.137950681235915</v>
      </c>
      <c r="AQ1230" s="6" t="n">
        <v>0</v>
      </c>
      <c r="AR1230" s="6" t="n">
        <v>0</v>
      </c>
    </row>
    <row r="1231" customFormat="false" ht="15" hidden="false" customHeight="false" outlineLevel="0" collapsed="false">
      <c r="D1231" s="0" t="s">
        <v>1357</v>
      </c>
      <c r="J1231" s="6" t="n">
        <v>1.52599083974495</v>
      </c>
      <c r="K1231" s="6" t="n">
        <v>-1.08544168781349</v>
      </c>
      <c r="L1231" s="6" t="n">
        <v>-1.08733806354802</v>
      </c>
      <c r="M1231" s="6" t="n">
        <v>-0.519269068306208</v>
      </c>
      <c r="N1231" s="6" t="n">
        <v>-0.701577098980385</v>
      </c>
      <c r="O1231" s="6" t="n">
        <v>-1.43408917698919</v>
      </c>
      <c r="P1231" s="6" t="n">
        <v>2.00672681505374</v>
      </c>
      <c r="Q1231" s="6" t="n">
        <v>-2.45000007558067</v>
      </c>
      <c r="R1231" s="6" t="n">
        <v>-3.39055350829989</v>
      </c>
      <c r="S1231" s="6" t="n">
        <v>1.98091170511091</v>
      </c>
      <c r="T1231" s="6" t="n">
        <v>1.25477797076387</v>
      </c>
      <c r="U1231" s="6" t="n">
        <v>3.10987900457145</v>
      </c>
      <c r="V1231" s="6" t="n">
        <v>-0.806091829855786</v>
      </c>
      <c r="W1231" s="6" t="n">
        <v>-0.201348604896116</v>
      </c>
      <c r="X1231" s="6" t="n">
        <v>-0.814610096321351</v>
      </c>
      <c r="Y1231" s="6" t="n">
        <v>-0.602845936651833</v>
      </c>
      <c r="Z1231" s="6" t="n">
        <v>2.85880159591253</v>
      </c>
      <c r="AA1231" s="6" t="n">
        <v>-1.9241677209293</v>
      </c>
      <c r="AB1231" s="6" t="n">
        <v>0.764184720650577</v>
      </c>
      <c r="AC1231" s="6" t="n">
        <v>-0.0177073083560765</v>
      </c>
      <c r="AD1231" s="6" t="n">
        <v>-3.45483658948745</v>
      </c>
      <c r="AE1231" s="6" t="n">
        <v>3.73178756709102</v>
      </c>
      <c r="AF1231" s="6" t="n">
        <v>-1.3201304918857</v>
      </c>
      <c r="AG1231" s="6" t="n">
        <v>0.523424110927192</v>
      </c>
      <c r="AH1231" s="6" t="n">
        <v>1.81488573607344</v>
      </c>
      <c r="AI1231" s="6" t="n">
        <v>0.154030900560872</v>
      </c>
      <c r="AJ1231" s="6" t="n">
        <v>80.1198807171272</v>
      </c>
      <c r="AK1231" s="6" t="n">
        <v>0.159715259903645</v>
      </c>
      <c r="AL1231" s="6" t="n">
        <v>1.05714203604389</v>
      </c>
      <c r="AN1231" s="6" t="n">
        <v>1.29161797383179</v>
      </c>
      <c r="AO1231" s="6" t="n">
        <v>1.29279472449222</v>
      </c>
      <c r="AP1231" s="6" t="n">
        <v>0.132715380232653</v>
      </c>
      <c r="AQ1231" s="6" t="n">
        <v>0</v>
      </c>
      <c r="AR1231" s="6" t="n">
        <v>0</v>
      </c>
    </row>
    <row r="1232" customFormat="false" ht="15" hidden="false" customHeight="false" outlineLevel="0" collapsed="false">
      <c r="D1232" s="0" t="s">
        <v>1358</v>
      </c>
      <c r="J1232" s="6" t="n">
        <v>2.67630169464624</v>
      </c>
      <c r="K1232" s="6" t="n">
        <v>0.186360105499116</v>
      </c>
      <c r="L1232" s="6" t="n">
        <v>-2.07865383787069</v>
      </c>
      <c r="M1232" s="6" t="n">
        <v>3.62523343930689</v>
      </c>
      <c r="N1232" s="6" t="n">
        <v>-0.939415003536601</v>
      </c>
      <c r="O1232" s="6" t="n">
        <v>-1.20272241237231</v>
      </c>
      <c r="P1232" s="6" t="n">
        <v>-0.657517368927534</v>
      </c>
      <c r="Q1232" s="6" t="n">
        <v>3.35846274807973</v>
      </c>
      <c r="R1232" s="6" t="n">
        <v>0.181255022270593</v>
      </c>
      <c r="S1232" s="6" t="n">
        <v>-0.524117827972909</v>
      </c>
      <c r="T1232" s="6" t="n">
        <v>-0.832764720247419</v>
      </c>
      <c r="U1232" s="6" t="n">
        <v>1.00823379937947</v>
      </c>
      <c r="V1232" s="6" t="n">
        <v>2.94398012245481</v>
      </c>
      <c r="W1232" s="6" t="n">
        <v>-0.167381030957969</v>
      </c>
      <c r="X1232" s="6" t="n">
        <v>2.13939594698269</v>
      </c>
      <c r="Y1232" s="6" t="n">
        <v>0.122363041332453</v>
      </c>
      <c r="Z1232" s="6" t="n">
        <v>-2.28455348723501</v>
      </c>
      <c r="AA1232" s="6" t="n">
        <v>1.84636639444701</v>
      </c>
      <c r="AB1232" s="6" t="n">
        <v>1.2229641270254</v>
      </c>
      <c r="AC1232" s="6" t="n">
        <v>-0.44538174726954</v>
      </c>
      <c r="AD1232" s="6" t="n">
        <v>-1.34351264051318</v>
      </c>
      <c r="AE1232" s="6" t="n">
        <v>1.47719581458057</v>
      </c>
      <c r="AF1232" s="6" t="n">
        <v>-1.30625903957263</v>
      </c>
      <c r="AG1232" s="6" t="n">
        <v>0.368698655869582</v>
      </c>
      <c r="AH1232" s="6" t="n">
        <v>-3.38256233745549</v>
      </c>
      <c r="AI1232" s="6" t="n">
        <v>-0.66043090066512</v>
      </c>
      <c r="AJ1232" s="6" t="n">
        <v>73.7335558967505</v>
      </c>
      <c r="AK1232" s="6" t="n">
        <v>0.132030932658588</v>
      </c>
      <c r="AL1232" s="6" t="n">
        <v>1.05750368450713</v>
      </c>
      <c r="AN1232" s="6" t="n">
        <v>1.293805998574</v>
      </c>
      <c r="AO1232" s="6" t="n">
        <v>1.2945119591752</v>
      </c>
      <c r="AP1232" s="6" t="n">
        <v>0.13339433322523</v>
      </c>
      <c r="AQ1232" s="6" t="n">
        <v>0</v>
      </c>
      <c r="AR1232" s="6" t="n">
        <v>0</v>
      </c>
    </row>
    <row r="1233" customFormat="false" ht="15" hidden="false" customHeight="false" outlineLevel="0" collapsed="false">
      <c r="D1233" s="0" t="s">
        <v>1359</v>
      </c>
      <c r="J1233" s="6" t="n">
        <v>0.781727816126491</v>
      </c>
      <c r="K1233" s="6" t="n">
        <v>2.13985052917297</v>
      </c>
      <c r="L1233" s="6" t="n">
        <v>-1.06359662834236</v>
      </c>
      <c r="M1233" s="6" t="n">
        <v>-4.00646862605302</v>
      </c>
      <c r="N1233" s="6" t="n">
        <v>4.76943480482483</v>
      </c>
      <c r="O1233" s="6" t="n">
        <v>3.31955142672409</v>
      </c>
      <c r="P1233" s="6" t="n">
        <v>2.2928286969357</v>
      </c>
      <c r="Q1233" s="6" t="n">
        <v>0.15909869278719</v>
      </c>
      <c r="R1233" s="6" t="n">
        <v>-0.979684564283214</v>
      </c>
      <c r="S1233" s="6" t="n">
        <v>2.15219509950677</v>
      </c>
      <c r="T1233" s="6" t="n">
        <v>-2.30607472028886</v>
      </c>
      <c r="U1233" s="6" t="n">
        <v>-1.98727034169857</v>
      </c>
      <c r="V1233" s="6" t="n">
        <v>-2.79072759567541</v>
      </c>
      <c r="W1233" s="6" t="n">
        <v>-1.73039229995908</v>
      </c>
      <c r="X1233" s="6" t="n">
        <v>-1.97237892861542</v>
      </c>
      <c r="Y1233" s="6" t="n">
        <v>-1.67967949152015</v>
      </c>
      <c r="Z1233" s="6" t="n">
        <v>-3.43630227400858</v>
      </c>
      <c r="AA1233" s="6" t="n">
        <v>2.19335247517672</v>
      </c>
      <c r="AB1233" s="6" t="n">
        <v>-4.74570888495357</v>
      </c>
      <c r="AC1233" s="6" t="n">
        <v>0.801910320161188</v>
      </c>
      <c r="AD1233" s="6" t="n">
        <v>-0.0929552562598777</v>
      </c>
      <c r="AE1233" s="6" t="n">
        <v>0.518242563883282</v>
      </c>
      <c r="AF1233" s="6" t="n">
        <v>-0.226343144465948</v>
      </c>
      <c r="AG1233" s="6" t="n">
        <v>-0.568844948635309</v>
      </c>
      <c r="AH1233" s="6" t="n">
        <v>1.73000533121391</v>
      </c>
      <c r="AI1233" s="6" t="n">
        <v>3.39378530227521</v>
      </c>
      <c r="AJ1233" s="6" t="n">
        <v>61.3237136058861</v>
      </c>
      <c r="AK1233" s="6" t="n">
        <v>0.0867109811723421</v>
      </c>
      <c r="AL1233" s="6" t="n">
        <v>1.05252253755443</v>
      </c>
      <c r="AN1233" s="6" t="n">
        <v>1.29227466472672</v>
      </c>
      <c r="AO1233" s="6" t="n">
        <v>1.29263811187059</v>
      </c>
      <c r="AP1233" s="6" t="n">
        <v>0.13323751836079</v>
      </c>
      <c r="AQ1233" s="6" t="n">
        <v>0</v>
      </c>
      <c r="AR1233" s="6" t="n">
        <v>0</v>
      </c>
    </row>
    <row r="1234" customFormat="false" ht="15" hidden="false" customHeight="false" outlineLevel="0" collapsed="false">
      <c r="D1234" s="0" t="s">
        <v>1360</v>
      </c>
      <c r="J1234" s="6" t="n">
        <v>-0.061517541249928</v>
      </c>
      <c r="K1234" s="6" t="n">
        <v>0.159270874577198</v>
      </c>
      <c r="L1234" s="6" t="n">
        <v>-1.31568277174755</v>
      </c>
      <c r="M1234" s="6" t="n">
        <v>-0.0653422060040399</v>
      </c>
      <c r="N1234" s="6" t="n">
        <v>-3.10737503516596</v>
      </c>
      <c r="O1234" s="6" t="n">
        <v>2.43056182332173</v>
      </c>
      <c r="P1234" s="6" t="n">
        <v>-0.959064413487312</v>
      </c>
      <c r="Q1234" s="6" t="n">
        <v>0.237880537168279</v>
      </c>
      <c r="R1234" s="6" t="n">
        <v>0.894018187032151</v>
      </c>
      <c r="S1234" s="6" t="n">
        <v>0.120738255684801</v>
      </c>
      <c r="T1234" s="6" t="n">
        <v>2.85138843146547</v>
      </c>
      <c r="U1234" s="6" t="n">
        <v>-0.251431280609574</v>
      </c>
      <c r="V1234" s="6" t="n">
        <v>2.03542354360602</v>
      </c>
      <c r="W1234" s="6" t="n">
        <v>1.20718485350424</v>
      </c>
      <c r="X1234" s="6" t="n">
        <v>2.99391074795664</v>
      </c>
      <c r="Y1234" s="6" t="n">
        <v>1.2552621304765</v>
      </c>
      <c r="Z1234" s="6" t="n">
        <v>-4.27522622090662</v>
      </c>
      <c r="AA1234" s="6" t="n">
        <v>-2.15261658948222</v>
      </c>
      <c r="AB1234" s="6" t="n">
        <v>-1.87026062859035</v>
      </c>
      <c r="AC1234" s="6" t="n">
        <v>3.39561076027587</v>
      </c>
      <c r="AD1234" s="6" t="n">
        <v>1.25140015684132</v>
      </c>
      <c r="AE1234" s="6" t="n">
        <v>2.12289037880939</v>
      </c>
      <c r="AF1234" s="6" t="n">
        <v>0.00552786983801695</v>
      </c>
      <c r="AG1234" s="6" t="n">
        <v>-1.10131252629705</v>
      </c>
      <c r="AH1234" s="6" t="n">
        <v>0.925906478056008</v>
      </c>
      <c r="AI1234" s="6" t="n">
        <v>-3.0608430189806</v>
      </c>
      <c r="AJ1234" s="6" t="n">
        <v>77.1932974296881</v>
      </c>
      <c r="AK1234" s="6" t="n">
        <v>0.149795239563947</v>
      </c>
      <c r="AL1234" s="6" t="n">
        <v>1.03692310642373</v>
      </c>
      <c r="AN1234" s="6" t="n">
        <v>1.29969032650816</v>
      </c>
      <c r="AO1234" s="6" t="n">
        <v>1.29981304013864</v>
      </c>
      <c r="AP1234" s="6" t="n">
        <v>0.135215663071107</v>
      </c>
      <c r="AQ1234" s="6" t="n">
        <v>0</v>
      </c>
      <c r="AR1234" s="6" t="n">
        <v>0</v>
      </c>
    </row>
    <row r="1235" customFormat="false" ht="15" hidden="false" customHeight="false" outlineLevel="0" collapsed="false">
      <c r="D1235" s="0" t="s">
        <v>1361</v>
      </c>
      <c r="J1235" s="6" t="n">
        <v>2.36665376994286</v>
      </c>
      <c r="K1235" s="6" t="n">
        <v>-1.40627709618577</v>
      </c>
      <c r="L1235" s="6" t="n">
        <v>-0.910797723819474</v>
      </c>
      <c r="M1235" s="6" t="n">
        <v>1.02762434867934</v>
      </c>
      <c r="N1235" s="6" t="n">
        <v>5</v>
      </c>
      <c r="O1235" s="6" t="n">
        <v>-1.24910987315099</v>
      </c>
      <c r="P1235" s="6" t="n">
        <v>0.959504304311169</v>
      </c>
      <c r="Q1235" s="6" t="n">
        <v>-0.335210047632548</v>
      </c>
      <c r="R1235" s="6" t="n">
        <v>0.3542503891057</v>
      </c>
      <c r="S1235" s="6" t="n">
        <v>-1.18291087738462</v>
      </c>
      <c r="T1235" s="6" t="n">
        <v>-2.74749815415171</v>
      </c>
      <c r="U1235" s="6" t="n">
        <v>1.30754071011798</v>
      </c>
      <c r="V1235" s="6" t="n">
        <v>-3.67944178602533</v>
      </c>
      <c r="W1235" s="6" t="n">
        <v>-0.872817725795473</v>
      </c>
      <c r="X1235" s="6" t="n">
        <v>4.11780623035814</v>
      </c>
      <c r="Y1235" s="6" t="n">
        <v>1.07340267898628</v>
      </c>
      <c r="Z1235" s="6" t="n">
        <v>0.162996883252131</v>
      </c>
      <c r="AA1235" s="6" t="n">
        <v>1.01113030821007</v>
      </c>
      <c r="AB1235" s="6" t="n">
        <v>-1.17928703976751</v>
      </c>
      <c r="AC1235" s="6" t="n">
        <v>-0.42491993554294</v>
      </c>
      <c r="AD1235" s="6" t="n">
        <v>-0.651521299244247</v>
      </c>
      <c r="AE1235" s="6" t="n">
        <v>2.40528154989259</v>
      </c>
      <c r="AF1235" s="6" t="n">
        <v>1.83283538805431</v>
      </c>
      <c r="AG1235" s="6" t="n">
        <v>-0.26476030384329</v>
      </c>
      <c r="AH1235" s="6" t="n">
        <v>-1.07610078234592</v>
      </c>
      <c r="AI1235" s="6" t="n">
        <v>-0.0254074334665276</v>
      </c>
      <c r="AJ1235" s="6" t="n">
        <v>59.2741518539729</v>
      </c>
      <c r="AK1235" s="6" t="n">
        <v>0.113590876832913</v>
      </c>
      <c r="AL1235" s="6" t="n">
        <v>1.02283161674041</v>
      </c>
      <c r="AN1235" s="6" t="n">
        <v>1.3036176546575</v>
      </c>
      <c r="AO1235" s="6" t="n">
        <v>1.3036176546575</v>
      </c>
      <c r="AP1235" s="6" t="n">
        <v>0.13599274353115</v>
      </c>
      <c r="AQ1235" s="6" t="n">
        <v>0</v>
      </c>
      <c r="AR1235" s="6" t="n">
        <v>0</v>
      </c>
    </row>
    <row r="1236" customFormat="false" ht="15" hidden="false" customHeight="false" outlineLevel="0" collapsed="false">
      <c r="D1236" s="0" t="s">
        <v>1362</v>
      </c>
      <c r="J1236" s="6" t="n">
        <v>-5.7470409486148</v>
      </c>
      <c r="K1236" s="6" t="n">
        <v>-1.06962119730829</v>
      </c>
      <c r="L1236" s="6" t="n">
        <v>1.09408918512317</v>
      </c>
      <c r="M1236" s="6" t="n">
        <v>-0.863854381962149</v>
      </c>
      <c r="N1236" s="6" t="n">
        <v>1.94725834520236</v>
      </c>
      <c r="O1236" s="6" t="n">
        <v>0.574414792153456</v>
      </c>
      <c r="P1236" s="6" t="n">
        <v>0.156248213136021</v>
      </c>
      <c r="Q1236" s="6" t="n">
        <v>0.596974724237562</v>
      </c>
      <c r="R1236" s="6" t="n">
        <v>-0.935476697376109</v>
      </c>
      <c r="S1236" s="6" t="n">
        <v>0.128683733506586</v>
      </c>
      <c r="T1236" s="6" t="n">
        <v>0.98785932954332</v>
      </c>
      <c r="U1236" s="6" t="n">
        <v>1.05321564838993</v>
      </c>
      <c r="V1236" s="6" t="n">
        <v>-1.13934427038361</v>
      </c>
      <c r="W1236" s="6" t="n">
        <v>-3.14454958070293</v>
      </c>
      <c r="X1236" s="6" t="n">
        <v>-1.11319538699114</v>
      </c>
      <c r="Y1236" s="6" t="n">
        <v>-0.666600602862962</v>
      </c>
      <c r="Z1236" s="6" t="n">
        <v>-0.0485945120962796</v>
      </c>
      <c r="AA1236" s="6" t="n">
        <v>-0.64432196886154</v>
      </c>
      <c r="AB1236" s="6" t="n">
        <v>-1.0268289415156</v>
      </c>
      <c r="AC1236" s="6" t="n">
        <v>-0.973464359545683</v>
      </c>
      <c r="AD1236" s="6" t="n">
        <v>-1.3051864774316</v>
      </c>
      <c r="AE1236" s="6" t="n">
        <v>1.35425998609332</v>
      </c>
      <c r="AF1236" s="6" t="n">
        <v>-2.79369847607491</v>
      </c>
      <c r="AG1236" s="6" t="n">
        <v>-0.753293423686538</v>
      </c>
      <c r="AH1236" s="6" t="n">
        <v>2.83474162055027</v>
      </c>
      <c r="AI1236" s="6" t="n">
        <v>-0.84108555520787</v>
      </c>
      <c r="AJ1236" s="6" t="n">
        <v>70.739389345582</v>
      </c>
      <c r="AK1236" s="6" t="n">
        <v>0.0879677507947797</v>
      </c>
      <c r="AL1236" s="6" t="n">
        <v>1.05286453891215</v>
      </c>
      <c r="AN1236" s="6" t="n">
        <v>1.27722064899992</v>
      </c>
      <c r="AO1236" s="6" t="n">
        <v>1.27722064899992</v>
      </c>
      <c r="AP1236" s="6" t="n">
        <v>0.134058390445381</v>
      </c>
      <c r="AQ1236" s="6" t="n">
        <v>0</v>
      </c>
      <c r="AR1236" s="6" t="n">
        <v>0</v>
      </c>
    </row>
    <row r="1237" customFormat="false" ht="15" hidden="false" customHeight="false" outlineLevel="0" collapsed="false">
      <c r="D1237" s="0" t="s">
        <v>1363</v>
      </c>
      <c r="J1237" s="6" t="n">
        <v>-1.00344770783153</v>
      </c>
      <c r="K1237" s="6" t="n">
        <v>-5.67192030873003</v>
      </c>
      <c r="L1237" s="6" t="n">
        <v>1.74229713180093</v>
      </c>
      <c r="M1237" s="6" t="n">
        <v>2.3808674876063</v>
      </c>
      <c r="N1237" s="6" t="n">
        <v>-0.253190618964755</v>
      </c>
      <c r="O1237" s="6" t="n">
        <v>-2.983120646932</v>
      </c>
      <c r="P1237" s="6" t="n">
        <v>-1.65511121644854</v>
      </c>
      <c r="Q1237" s="6" t="n">
        <v>-2.65829807572971</v>
      </c>
      <c r="R1237" s="6" t="n">
        <v>0.445459456637945</v>
      </c>
      <c r="S1237" s="6" t="n">
        <v>-0.741894085170405</v>
      </c>
      <c r="T1237" s="6" t="n">
        <v>-1.29094013598445</v>
      </c>
      <c r="U1237" s="6" t="n">
        <v>-3.83477530826439</v>
      </c>
      <c r="V1237" s="6" t="n">
        <v>-1.79154373007435</v>
      </c>
      <c r="W1237" s="6" t="n">
        <v>1.8867284460317</v>
      </c>
      <c r="X1237" s="6" t="n">
        <v>0.650783890650474</v>
      </c>
      <c r="Y1237" s="6" t="n">
        <v>-1.53064914789204</v>
      </c>
      <c r="Z1237" s="6" t="n">
        <v>0.129473470577952</v>
      </c>
      <c r="AA1237" s="6" t="n">
        <v>-0.920386818732165</v>
      </c>
      <c r="AB1237" s="6" t="n">
        <v>-0.728632799473484</v>
      </c>
      <c r="AC1237" s="6" t="n">
        <v>-0.789784785586671</v>
      </c>
      <c r="AD1237" s="6" t="n">
        <v>0.934908624332613</v>
      </c>
      <c r="AE1237" s="6" t="n">
        <v>1.35624371724619</v>
      </c>
      <c r="AF1237" s="6" t="n">
        <v>-2.74067523898907</v>
      </c>
      <c r="AG1237" s="6" t="n">
        <v>-3.03637818778791</v>
      </c>
      <c r="AH1237" s="6" t="n">
        <v>-2.92538275763687</v>
      </c>
      <c r="AI1237" s="6" t="n">
        <v>-2.44280908917872</v>
      </c>
      <c r="AJ1237" s="6" t="n">
        <v>75.3372635736238</v>
      </c>
      <c r="AK1237" s="6" t="n">
        <v>0.0414807015462431</v>
      </c>
      <c r="AL1237" s="6" t="n">
        <v>1.07085706466987</v>
      </c>
      <c r="AN1237" s="6" t="n">
        <v>1.28652453638174</v>
      </c>
      <c r="AO1237" s="6" t="n">
        <v>1.29980150211481</v>
      </c>
      <c r="AP1237" s="6" t="n">
        <v>0.133772976126638</v>
      </c>
      <c r="AQ1237" s="6" t="n">
        <v>0</v>
      </c>
      <c r="AR1237" s="6" t="n">
        <v>0</v>
      </c>
    </row>
    <row r="1238" customFormat="false" ht="15" hidden="false" customHeight="false" outlineLevel="0" collapsed="false">
      <c r="D1238" s="0" t="s">
        <v>1364</v>
      </c>
      <c r="J1238" s="6" t="n">
        <v>4.14255066353691</v>
      </c>
      <c r="K1238" s="6" t="n">
        <v>2.29027374023147</v>
      </c>
      <c r="L1238" s="6" t="n">
        <v>2.73414295667858</v>
      </c>
      <c r="M1238" s="6" t="n">
        <v>-0.576037436124648</v>
      </c>
      <c r="N1238" s="6" t="n">
        <v>-0.222299230196775</v>
      </c>
      <c r="O1238" s="6" t="n">
        <v>1.28707315683707</v>
      </c>
      <c r="P1238" s="6" t="n">
        <v>0.695362938831136</v>
      </c>
      <c r="Q1238" s="6" t="n">
        <v>-0.482200374017939</v>
      </c>
      <c r="R1238" s="6" t="n">
        <v>-0.102947760610847</v>
      </c>
      <c r="S1238" s="6" t="n">
        <v>4.1681673467549</v>
      </c>
      <c r="T1238" s="6" t="n">
        <v>-0.391383763948507</v>
      </c>
      <c r="U1238" s="6" t="n">
        <v>1.85165190006858</v>
      </c>
      <c r="V1238" s="6" t="n">
        <v>1.10033581759342</v>
      </c>
      <c r="W1238" s="6" t="n">
        <v>2.76858823203834</v>
      </c>
      <c r="X1238" s="6" t="n">
        <v>-1.13448213248675</v>
      </c>
      <c r="Y1238" s="6" t="n">
        <v>-1.36855876957296</v>
      </c>
      <c r="Z1238" s="6" t="n">
        <v>2.07257233691191</v>
      </c>
      <c r="AA1238" s="6" t="n">
        <v>-1.9750446257864</v>
      </c>
      <c r="AB1238" s="6" t="n">
        <v>1.69585200313773</v>
      </c>
      <c r="AC1238" s="6" t="n">
        <v>0.686453263417037</v>
      </c>
      <c r="AD1238" s="6" t="n">
        <v>-0.912136089577099</v>
      </c>
      <c r="AE1238" s="6" t="n">
        <v>1.19306000766741</v>
      </c>
      <c r="AF1238" s="6" t="n">
        <v>1.17769026970675</v>
      </c>
      <c r="AG1238" s="6" t="n">
        <v>1.75709672123182</v>
      </c>
      <c r="AH1238" s="6" t="n">
        <v>2.63849897231818</v>
      </c>
      <c r="AI1238" s="6" t="n">
        <v>-2.09849973439181</v>
      </c>
      <c r="AJ1238" s="6" t="n">
        <v>75.7314963754982</v>
      </c>
      <c r="AK1238" s="6" t="n">
        <v>0.187025436664531</v>
      </c>
      <c r="AL1238" s="6" t="n">
        <v>1.08669736559081</v>
      </c>
      <c r="AN1238" s="6" t="n">
        <v>1.27266635201045</v>
      </c>
      <c r="AO1238" s="6" t="n">
        <v>1.27360149439183</v>
      </c>
      <c r="AP1238" s="6" t="n">
        <v>0.12973766997966</v>
      </c>
      <c r="AQ1238" s="6" t="n">
        <v>0</v>
      </c>
      <c r="AR1238" s="6" t="n">
        <v>0</v>
      </c>
    </row>
    <row r="1239" customFormat="false" ht="15" hidden="false" customHeight="false" outlineLevel="0" collapsed="false">
      <c r="D1239" s="0" t="s">
        <v>1365</v>
      </c>
      <c r="J1239" s="6" t="n">
        <v>-1.55949927006479</v>
      </c>
      <c r="K1239" s="6" t="n">
        <v>2.25241715865452</v>
      </c>
      <c r="L1239" s="6" t="n">
        <v>-0.796047025164232</v>
      </c>
      <c r="M1239" s="6" t="n">
        <v>-2.82263260138235</v>
      </c>
      <c r="N1239" s="6" t="n">
        <v>0.268287868752675</v>
      </c>
      <c r="O1239" s="6" t="n">
        <v>-3.30731967641455</v>
      </c>
      <c r="P1239" s="6" t="n">
        <v>-0.331786481470953</v>
      </c>
      <c r="Q1239" s="6" t="n">
        <v>1.50325593411641</v>
      </c>
      <c r="R1239" s="6" t="n">
        <v>1.2991106024231</v>
      </c>
      <c r="S1239" s="6" t="n">
        <v>-1.40214984263066</v>
      </c>
      <c r="T1239" s="6" t="n">
        <v>1.94712394409186</v>
      </c>
      <c r="U1239" s="6" t="n">
        <v>-0.282140313031232</v>
      </c>
      <c r="V1239" s="6" t="n">
        <v>1.90664832506486</v>
      </c>
      <c r="W1239" s="6" t="n">
        <v>-0.788478488377704</v>
      </c>
      <c r="X1239" s="6" t="n">
        <v>0.649230687933574</v>
      </c>
      <c r="Y1239" s="6" t="n">
        <v>0.545241039768365</v>
      </c>
      <c r="Z1239" s="6" t="n">
        <v>0.474696219313729</v>
      </c>
      <c r="AA1239" s="6" t="n">
        <v>-0.489328889502219</v>
      </c>
      <c r="AB1239" s="6" t="n">
        <v>1.96587024010972</v>
      </c>
      <c r="AC1239" s="6" t="n">
        <v>1.07938280617066</v>
      </c>
      <c r="AD1239" s="6" t="n">
        <v>-3.20161702802909</v>
      </c>
      <c r="AE1239" s="6" t="n">
        <v>-3.40150412086492</v>
      </c>
      <c r="AF1239" s="6" t="n">
        <v>-2.87487268508629</v>
      </c>
      <c r="AG1239" s="6" t="n">
        <v>1.83503522285802</v>
      </c>
      <c r="AH1239" s="6" t="n">
        <v>0.952616390868877</v>
      </c>
      <c r="AI1239" s="6" t="n">
        <v>4.1558262885177</v>
      </c>
      <c r="AJ1239" s="6" t="n">
        <v>76.465136155277</v>
      </c>
      <c r="AK1239" s="6" t="n">
        <v>0.102531850447459</v>
      </c>
      <c r="AL1239" s="6" t="n">
        <v>1.07201152346128</v>
      </c>
      <c r="AN1239" s="6" t="n">
        <v>1.29161684695576</v>
      </c>
      <c r="AO1239" s="6" t="n">
        <v>1.29215350473605</v>
      </c>
      <c r="AP1239" s="6" t="n">
        <v>0.132977403038473</v>
      </c>
      <c r="AQ1239" s="6" t="n">
        <v>0</v>
      </c>
      <c r="AR1239" s="6" t="n">
        <v>0</v>
      </c>
    </row>
    <row r="1240" customFormat="false" ht="15" hidden="false" customHeight="false" outlineLevel="0" collapsed="false">
      <c r="D1240" s="0" t="s">
        <v>1366</v>
      </c>
      <c r="J1240" s="6" t="n">
        <v>1.058765306527</v>
      </c>
      <c r="K1240" s="6" t="n">
        <v>2.57889346800029</v>
      </c>
      <c r="L1240" s="6" t="n">
        <v>0.337878430160069</v>
      </c>
      <c r="M1240" s="6" t="n">
        <v>-1.83582919763567</v>
      </c>
      <c r="N1240" s="6" t="n">
        <v>-3.50375599233594</v>
      </c>
      <c r="O1240" s="6" t="n">
        <v>1.41452440628546</v>
      </c>
      <c r="P1240" s="6" t="n">
        <v>4.35271725770247</v>
      </c>
      <c r="Q1240" s="6" t="n">
        <v>0.335597419252349</v>
      </c>
      <c r="R1240" s="6" t="n">
        <v>-0.833572897257355</v>
      </c>
      <c r="S1240" s="6" t="n">
        <v>2.66923478760659</v>
      </c>
      <c r="T1240" s="6" t="n">
        <v>-2.63573967525742</v>
      </c>
      <c r="U1240" s="6" t="n">
        <v>0.2325432447092</v>
      </c>
      <c r="V1240" s="6" t="n">
        <v>0.523253983516098</v>
      </c>
      <c r="W1240" s="6" t="n">
        <v>-0.993328484557366</v>
      </c>
      <c r="X1240" s="6" t="n">
        <v>0.428713010148272</v>
      </c>
      <c r="Y1240" s="6" t="n">
        <v>2.18894542805522</v>
      </c>
      <c r="Z1240" s="6" t="n">
        <v>0.493780193599726</v>
      </c>
      <c r="AA1240" s="6" t="n">
        <v>-0.547281804741685</v>
      </c>
      <c r="AB1240" s="6" t="n">
        <v>1.21980953173238</v>
      </c>
      <c r="AC1240" s="6" t="n">
        <v>0.819585450652212</v>
      </c>
      <c r="AD1240" s="6" t="n">
        <v>-3.20938422801751</v>
      </c>
      <c r="AE1240" s="6" t="n">
        <v>-0.926206568972306</v>
      </c>
      <c r="AF1240" s="6" t="n">
        <v>-2.04907080575631</v>
      </c>
      <c r="AG1240" s="6" t="n">
        <v>-0.340778645914646</v>
      </c>
      <c r="AH1240" s="6" t="n">
        <v>1.00879343475985</v>
      </c>
      <c r="AI1240" s="6" t="n">
        <v>0.462643231433427</v>
      </c>
      <c r="AJ1240" s="6" t="n">
        <v>75.936851898974</v>
      </c>
      <c r="AK1240" s="6" t="n">
        <v>0.15312952648446</v>
      </c>
      <c r="AL1240" s="6" t="n">
        <v>1.07305218798773</v>
      </c>
      <c r="AN1240" s="6" t="n">
        <v>1.28167253600728</v>
      </c>
      <c r="AO1240" s="6" t="n">
        <v>1.28262994804844</v>
      </c>
      <c r="AP1240" s="6" t="n">
        <v>0.131473136378935</v>
      </c>
      <c r="AQ1240" s="6" t="n">
        <v>0</v>
      </c>
      <c r="AR1240" s="6" t="n">
        <v>0</v>
      </c>
    </row>
    <row r="1241" customFormat="false" ht="15" hidden="false" customHeight="false" outlineLevel="0" collapsed="false">
      <c r="D1241" s="0" t="s">
        <v>1367</v>
      </c>
      <c r="J1241" s="6" t="n">
        <v>-1.1684160801941</v>
      </c>
      <c r="K1241" s="6" t="n">
        <v>-2.78313561343171</v>
      </c>
      <c r="L1241" s="6" t="n">
        <v>-0.438671515977093</v>
      </c>
      <c r="M1241" s="6" t="n">
        <v>4.04314635487459</v>
      </c>
      <c r="N1241" s="6" t="n">
        <v>-0.035945905749583</v>
      </c>
      <c r="O1241" s="6" t="n">
        <v>1.04178322662147</v>
      </c>
      <c r="P1241" s="6" t="n">
        <v>-1.43634847543433</v>
      </c>
      <c r="Q1241" s="6" t="n">
        <v>-0.56316922543622</v>
      </c>
      <c r="R1241" s="6" t="n">
        <v>-1.61318892015456</v>
      </c>
      <c r="S1241" s="6" t="n">
        <v>1.30561982355926</v>
      </c>
      <c r="T1241" s="6" t="n">
        <v>0.216348084814005</v>
      </c>
      <c r="U1241" s="6" t="n">
        <v>1.50394170070981</v>
      </c>
      <c r="V1241" s="6" t="n">
        <v>-0.960194442768901</v>
      </c>
      <c r="W1241" s="6" t="n">
        <v>-1.64714144249155</v>
      </c>
      <c r="X1241" s="6" t="n">
        <v>0.240291881118761</v>
      </c>
      <c r="Y1241" s="6" t="n">
        <v>0.350258313139984</v>
      </c>
      <c r="Z1241" s="6" t="n">
        <v>-1.4636681848228</v>
      </c>
      <c r="AA1241" s="6" t="n">
        <v>0.331618270413182</v>
      </c>
      <c r="AB1241" s="6" t="n">
        <v>-0.697652917110613</v>
      </c>
      <c r="AC1241" s="6" t="n">
        <v>0.181236738232294</v>
      </c>
      <c r="AD1241" s="6" t="n">
        <v>2.32541760301494</v>
      </c>
      <c r="AE1241" s="6" t="n">
        <v>-2.41503402333318</v>
      </c>
      <c r="AF1241" s="6" t="n">
        <v>-3.03176316163531</v>
      </c>
      <c r="AG1241" s="6" t="n">
        <v>2.7011851823817</v>
      </c>
      <c r="AH1241" s="6" t="n">
        <v>-0.735781260607477</v>
      </c>
      <c r="AI1241" s="6" t="n">
        <v>1.08677069373253</v>
      </c>
      <c r="AJ1241" s="6" t="n">
        <v>80.1353626194453</v>
      </c>
      <c r="AK1241" s="6" t="n">
        <v>0.1278881523775</v>
      </c>
      <c r="AL1241" s="6" t="n">
        <v>1.03801269917017</v>
      </c>
      <c r="AN1241" s="6" t="n">
        <v>1.30447897916848</v>
      </c>
      <c r="AO1241" s="6" t="n">
        <v>1.30479207877248</v>
      </c>
      <c r="AP1241" s="6" t="n">
        <v>0.13585281268046</v>
      </c>
      <c r="AQ1241" s="6" t="n">
        <v>0</v>
      </c>
      <c r="AR1241" s="6" t="n">
        <v>0</v>
      </c>
    </row>
    <row r="1242" customFormat="false" ht="15" hidden="false" customHeight="false" outlineLevel="0" collapsed="false">
      <c r="D1242" s="0" t="s">
        <v>1368</v>
      </c>
      <c r="J1242" s="6" t="n">
        <v>-0.264777040793609</v>
      </c>
      <c r="K1242" s="6" t="n">
        <v>1.04673096150768</v>
      </c>
      <c r="L1242" s="6" t="n">
        <v>-2.56012432054951</v>
      </c>
      <c r="M1242" s="6" t="n">
        <v>-2.40644674883754</v>
      </c>
      <c r="N1242" s="6" t="n">
        <v>-1.85979035460798</v>
      </c>
      <c r="O1242" s="6" t="n">
        <v>1.5044591018978</v>
      </c>
      <c r="P1242" s="6" t="n">
        <v>3.19812953169163</v>
      </c>
      <c r="Q1242" s="6" t="n">
        <v>-0.295909731423421</v>
      </c>
      <c r="R1242" s="6" t="n">
        <v>-0.187324220684892</v>
      </c>
      <c r="S1242" s="6" t="n">
        <v>4.60696296461004</v>
      </c>
      <c r="T1242" s="6" t="n">
        <v>-0.0985205462947215</v>
      </c>
      <c r="U1242" s="6" t="n">
        <v>4.19518204163652</v>
      </c>
      <c r="V1242" s="6" t="n">
        <v>-1.39582980239279</v>
      </c>
      <c r="W1242" s="6" t="n">
        <v>-0.937305765982635</v>
      </c>
      <c r="X1242" s="6" t="n">
        <v>-0.812529091326721</v>
      </c>
      <c r="Y1242" s="6" t="n">
        <v>-1.96231824834717</v>
      </c>
      <c r="Z1242" s="6" t="n">
        <v>-1.19977493370556</v>
      </c>
      <c r="AA1242" s="6" t="n">
        <v>1.6189086572665</v>
      </c>
      <c r="AB1242" s="6" t="n">
        <v>1.19088185866398</v>
      </c>
      <c r="AC1242" s="6" t="n">
        <v>-2.69088552284635</v>
      </c>
      <c r="AD1242" s="6" t="n">
        <v>0.820957272854315</v>
      </c>
      <c r="AE1242" s="6" t="n">
        <v>-3.42300116502083</v>
      </c>
      <c r="AF1242" s="6" t="n">
        <v>-0.643485390527046</v>
      </c>
      <c r="AG1242" s="6" t="n">
        <v>-2.21551898967751</v>
      </c>
      <c r="AH1242" s="6" t="n">
        <v>2.43572584703551</v>
      </c>
      <c r="AI1242" s="6" t="n">
        <v>-2.28829984499293</v>
      </c>
      <c r="AJ1242" s="6" t="n">
        <v>74.8986856664261</v>
      </c>
      <c r="AK1242" s="6" t="n">
        <v>0.0786671634427024</v>
      </c>
      <c r="AL1242" s="6" t="n">
        <v>1.00901184267669</v>
      </c>
      <c r="AN1242" s="6" t="n">
        <v>1.31506490662224</v>
      </c>
      <c r="AO1242" s="6" t="n">
        <v>1.31506490662224</v>
      </c>
      <c r="AP1242" s="6" t="n">
        <v>0.140113520182375</v>
      </c>
      <c r="AQ1242" s="6" t="n">
        <v>0</v>
      </c>
      <c r="AR1242" s="6" t="n">
        <v>0</v>
      </c>
    </row>
    <row r="1243" customFormat="false" ht="15" hidden="false" customHeight="false" outlineLevel="0" collapsed="false">
      <c r="D1243" s="0" t="s">
        <v>1369</v>
      </c>
      <c r="J1243" s="6" t="n">
        <v>-1.92800588785854</v>
      </c>
      <c r="K1243" s="6" t="n">
        <v>4.48785659488792</v>
      </c>
      <c r="L1243" s="6" t="n">
        <v>1.65977992354632</v>
      </c>
      <c r="M1243" s="6" t="n">
        <v>-2.9435465292754</v>
      </c>
      <c r="N1243" s="6" t="n">
        <v>-1.31081936289559</v>
      </c>
      <c r="O1243" s="6" t="n">
        <v>1.30577747432435</v>
      </c>
      <c r="P1243" s="6" t="n">
        <v>-1.98356989429921</v>
      </c>
      <c r="Q1243" s="6" t="n">
        <v>-2.10791569787014</v>
      </c>
      <c r="R1243" s="6" t="n">
        <v>-0.385768273363155</v>
      </c>
      <c r="S1243" s="6" t="n">
        <v>-0.164462599142205</v>
      </c>
      <c r="T1243" s="6" t="n">
        <v>-0.491082569936815</v>
      </c>
      <c r="U1243" s="6" t="n">
        <v>2.6160627128654</v>
      </c>
      <c r="V1243" s="6" t="n">
        <v>-1.44186092354967</v>
      </c>
      <c r="W1243" s="6" t="n">
        <v>-0.60395565013118</v>
      </c>
      <c r="X1243" s="6" t="n">
        <v>3.89220657335687</v>
      </c>
      <c r="Y1243" s="6" t="n">
        <v>0.403169472445398</v>
      </c>
      <c r="Z1243" s="6" t="n">
        <v>-2.4177713941514</v>
      </c>
      <c r="AA1243" s="6" t="n">
        <v>3.07677988735246</v>
      </c>
      <c r="AB1243" s="6" t="n">
        <v>-1.68870663416188</v>
      </c>
      <c r="AC1243" s="6" t="n">
        <v>0.560484012377788</v>
      </c>
      <c r="AD1243" s="6" t="n">
        <v>-3.32806194210911</v>
      </c>
      <c r="AE1243" s="6" t="n">
        <v>1.79968501738292</v>
      </c>
      <c r="AF1243" s="6" t="n">
        <v>-1.2772823582368</v>
      </c>
      <c r="AG1243" s="6" t="n">
        <v>-2.31418648596094</v>
      </c>
      <c r="AH1243" s="6" t="n">
        <v>0.310951806272573</v>
      </c>
      <c r="AI1243" s="6" t="n">
        <v>1.98807929088357</v>
      </c>
      <c r="AJ1243" s="6" t="n">
        <v>61.6178699265578</v>
      </c>
      <c r="AK1243" s="6" t="n">
        <v>0.12435820875679</v>
      </c>
      <c r="AL1243" s="6" t="n">
        <v>1.05523312979932</v>
      </c>
      <c r="AN1243" s="6" t="n">
        <v>1.28766765429273</v>
      </c>
      <c r="AO1243" s="6" t="n">
        <v>1.2880778794122</v>
      </c>
      <c r="AP1243" s="6" t="n">
        <v>0.132307207576355</v>
      </c>
      <c r="AQ1243" s="6" t="n">
        <v>0</v>
      </c>
      <c r="AR1243" s="6" t="n">
        <v>0</v>
      </c>
    </row>
    <row r="1244" customFormat="false" ht="15" hidden="false" customHeight="false" outlineLevel="0" collapsed="false">
      <c r="D1244" s="0" t="s">
        <v>1370</v>
      </c>
      <c r="J1244" s="6" t="n">
        <v>1.51774539436316</v>
      </c>
      <c r="K1244" s="6" t="n">
        <v>1.39949310955324</v>
      </c>
      <c r="L1244" s="6" t="n">
        <v>-1.9050694390441</v>
      </c>
      <c r="M1244" s="6" t="n">
        <v>-1.3794698568709</v>
      </c>
      <c r="N1244" s="6" t="n">
        <v>-0.0531263484826964</v>
      </c>
      <c r="O1244" s="6" t="n">
        <v>1.20659694692153</v>
      </c>
      <c r="P1244" s="6" t="n">
        <v>0.060257773113678</v>
      </c>
      <c r="Q1244" s="6" t="n">
        <v>-2.29311660988346</v>
      </c>
      <c r="R1244" s="6" t="n">
        <v>-2.03215126710266</v>
      </c>
      <c r="S1244" s="6" t="n">
        <v>-2.19803021740793</v>
      </c>
      <c r="T1244" s="6" t="n">
        <v>-2.47727366672086</v>
      </c>
      <c r="U1244" s="6" t="n">
        <v>-2.58962720903985</v>
      </c>
      <c r="V1244" s="6" t="n">
        <v>2.41003366636922</v>
      </c>
      <c r="W1244" s="6" t="n">
        <v>1.35677412812457</v>
      </c>
      <c r="X1244" s="6" t="n">
        <v>-3.17470695844811</v>
      </c>
      <c r="Y1244" s="6" t="n">
        <v>1.5948823012767</v>
      </c>
      <c r="Z1244" s="6" t="n">
        <v>-0.356495330959463</v>
      </c>
      <c r="AA1244" s="6" t="n">
        <v>0.505797292208264</v>
      </c>
      <c r="AB1244" s="6" t="n">
        <v>-4.51386665484429</v>
      </c>
      <c r="AC1244" s="6" t="n">
        <v>2.44243441966587</v>
      </c>
      <c r="AD1244" s="6" t="n">
        <v>-1.31917710269244</v>
      </c>
      <c r="AE1244" s="6" t="n">
        <v>1.20659176676837</v>
      </c>
      <c r="AF1244" s="6" t="n">
        <v>-0.665617826760414</v>
      </c>
      <c r="AG1244" s="6" t="n">
        <v>-4.67068597167564</v>
      </c>
      <c r="AH1244" s="6" t="n">
        <v>-2.34972783369154</v>
      </c>
      <c r="AI1244" s="6" t="n">
        <v>2.86299993384322</v>
      </c>
      <c r="AJ1244" s="6" t="n">
        <v>65.3307486459478</v>
      </c>
      <c r="AK1244" s="6" t="n">
        <v>0.0712305755525396</v>
      </c>
      <c r="AL1244" s="6" t="n">
        <v>1.06206605016217</v>
      </c>
      <c r="AN1244" s="6" t="n">
        <v>1.29225607482006</v>
      </c>
      <c r="AO1244" s="6" t="n">
        <v>1.29228261429733</v>
      </c>
      <c r="AP1244" s="6" t="n">
        <v>0.133345160503437</v>
      </c>
      <c r="AQ1244" s="6" t="n">
        <v>0</v>
      </c>
      <c r="AR1244" s="6" t="n">
        <v>0</v>
      </c>
    </row>
    <row r="1245" customFormat="false" ht="15" hidden="false" customHeight="false" outlineLevel="0" collapsed="false">
      <c r="D1245" s="0" t="s">
        <v>1371</v>
      </c>
      <c r="J1245" s="6" t="n">
        <v>-5.39780682662412</v>
      </c>
      <c r="K1245" s="6" t="n">
        <v>4.04225958919442</v>
      </c>
      <c r="L1245" s="6" t="n">
        <v>0.129280614281413</v>
      </c>
      <c r="M1245" s="6" t="n">
        <v>0.494481708391093</v>
      </c>
      <c r="N1245" s="6" t="n">
        <v>-1.08736481912747</v>
      </c>
      <c r="O1245" s="6" t="n">
        <v>0.118643181331419</v>
      </c>
      <c r="P1245" s="6" t="n">
        <v>-0.0389707722351295</v>
      </c>
      <c r="Q1245" s="6" t="n">
        <v>2.68740763616104</v>
      </c>
      <c r="R1245" s="6" t="n">
        <v>2.39451563974642</v>
      </c>
      <c r="S1245" s="6" t="n">
        <v>-3.61546925845234</v>
      </c>
      <c r="T1245" s="6" t="n">
        <v>-3.2214216094128</v>
      </c>
      <c r="U1245" s="6" t="n">
        <v>-1.60730654655685</v>
      </c>
      <c r="V1245" s="6" t="n">
        <v>-1.56001027300518</v>
      </c>
      <c r="W1245" s="6" t="n">
        <v>2.17863713002984</v>
      </c>
      <c r="X1245" s="6" t="n">
        <v>3.7729448483579</v>
      </c>
      <c r="Y1245" s="6" t="n">
        <v>0.104629049567662</v>
      </c>
      <c r="Z1245" s="6" t="n">
        <v>1.97888064999767</v>
      </c>
      <c r="AA1245" s="6" t="n">
        <v>0.705119552074797</v>
      </c>
      <c r="AB1245" s="6" t="n">
        <v>-1.91531718240489</v>
      </c>
      <c r="AC1245" s="6" t="n">
        <v>-0.845949648733157</v>
      </c>
      <c r="AD1245" s="6" t="n">
        <v>-2.08044831612785</v>
      </c>
      <c r="AE1245" s="6" t="n">
        <v>-1.49411913257329</v>
      </c>
      <c r="AF1245" s="6" t="n">
        <v>2.94679323688215</v>
      </c>
      <c r="AG1245" s="6" t="n">
        <v>0.759115770899276</v>
      </c>
      <c r="AH1245" s="6" t="n">
        <v>-1.21352789229298</v>
      </c>
      <c r="AI1245" s="6" t="n">
        <v>-0.116893410533976</v>
      </c>
      <c r="AJ1245" s="6" t="n">
        <v>80.7471283858279</v>
      </c>
      <c r="AK1245" s="6" t="n">
        <v>0.184546111346696</v>
      </c>
      <c r="AL1245" s="6" t="n">
        <v>1.0701062946231</v>
      </c>
      <c r="AN1245" s="6" t="n">
        <v>1.28220299215535</v>
      </c>
      <c r="AO1245" s="6" t="n">
        <v>1.28331650841002</v>
      </c>
      <c r="AP1245" s="6" t="n">
        <v>0.130970849990097</v>
      </c>
      <c r="AQ1245" s="6" t="n">
        <v>0</v>
      </c>
      <c r="AR1245" s="6" t="n">
        <v>0</v>
      </c>
    </row>
    <row r="1246" customFormat="false" ht="15" hidden="false" customHeight="false" outlineLevel="0" collapsed="false">
      <c r="D1246" s="0" t="s">
        <v>1372</v>
      </c>
      <c r="J1246" s="6" t="n">
        <v>-3.72415162730579</v>
      </c>
      <c r="K1246" s="6" t="n">
        <v>-0.694390340003963</v>
      </c>
      <c r="L1246" s="6" t="n">
        <v>-1.99591350914601</v>
      </c>
      <c r="M1246" s="6" t="n">
        <v>-0.958498195725048</v>
      </c>
      <c r="N1246" s="6" t="n">
        <v>-0.103275753395741</v>
      </c>
      <c r="O1246" s="6" t="n">
        <v>0.84432124833011</v>
      </c>
      <c r="P1246" s="6" t="n">
        <v>1.31346233810284</v>
      </c>
      <c r="Q1246" s="6" t="n">
        <v>0.591168038210386</v>
      </c>
      <c r="R1246" s="6" t="n">
        <v>2.98733167461779</v>
      </c>
      <c r="S1246" s="6" t="n">
        <v>-0.284699096314297</v>
      </c>
      <c r="T1246" s="6" t="n">
        <v>0.208401111695015</v>
      </c>
      <c r="U1246" s="6" t="n">
        <v>2.67075537177987</v>
      </c>
      <c r="V1246" s="6" t="n">
        <v>0.838902185085169</v>
      </c>
      <c r="W1246" s="6" t="n">
        <v>-1.86364226726122</v>
      </c>
      <c r="X1246" s="6" t="n">
        <v>-3.7622297605869</v>
      </c>
      <c r="Y1246" s="6" t="n">
        <v>-0.58869972442107</v>
      </c>
      <c r="Z1246" s="6" t="n">
        <v>2.10346160057957</v>
      </c>
      <c r="AA1246" s="6" t="n">
        <v>3.99996712674266</v>
      </c>
      <c r="AB1246" s="6" t="n">
        <v>1.44317154324905</v>
      </c>
      <c r="AC1246" s="6" t="n">
        <v>-1.49998206637799</v>
      </c>
      <c r="AD1246" s="6" t="n">
        <v>4.25246574026212</v>
      </c>
      <c r="AE1246" s="6" t="n">
        <v>2.36582011775504</v>
      </c>
      <c r="AF1246" s="6" t="n">
        <v>0.0332438592943984</v>
      </c>
      <c r="AG1246" s="6" t="n">
        <v>0.598930056482079</v>
      </c>
      <c r="AH1246" s="6" t="n">
        <v>1.04164124806764</v>
      </c>
      <c r="AI1246" s="6" t="n">
        <v>-0.279011143948262</v>
      </c>
      <c r="AJ1246" s="6" t="n">
        <v>76.9488167035007</v>
      </c>
      <c r="AK1246" s="6" t="n">
        <v>0.142206618347383</v>
      </c>
      <c r="AL1246" s="6" t="n">
        <v>1.04469806126181</v>
      </c>
      <c r="AN1246" s="6" t="n">
        <v>1.29688881405786</v>
      </c>
      <c r="AO1246" s="6" t="n">
        <v>1.29748423941146</v>
      </c>
      <c r="AP1246" s="6" t="n">
        <v>0.134590645244173</v>
      </c>
      <c r="AQ1246" s="6" t="n">
        <v>0</v>
      </c>
      <c r="AR1246" s="6" t="n">
        <v>0</v>
      </c>
    </row>
    <row r="1247" customFormat="false" ht="15" hidden="false" customHeight="false" outlineLevel="0" collapsed="false">
      <c r="D1247" s="0" t="s">
        <v>1373</v>
      </c>
      <c r="J1247" s="6" t="n">
        <v>-1.24439713404521</v>
      </c>
      <c r="K1247" s="6" t="n">
        <v>2.44422162777517</v>
      </c>
      <c r="L1247" s="6" t="n">
        <v>2.84443379280482</v>
      </c>
      <c r="M1247" s="6" t="n">
        <v>3.46574308752427</v>
      </c>
      <c r="N1247" s="6" t="n">
        <v>-0.309043043484993</v>
      </c>
      <c r="O1247" s="6" t="n">
        <v>0.136621299366436</v>
      </c>
      <c r="P1247" s="6" t="n">
        <v>-2.6603981743714</v>
      </c>
      <c r="Q1247" s="6" t="n">
        <v>0.783813705023632</v>
      </c>
      <c r="R1247" s="6" t="n">
        <v>-0.989450036538613</v>
      </c>
      <c r="S1247" s="6" t="n">
        <v>-0.224850068335542</v>
      </c>
      <c r="T1247" s="6" t="n">
        <v>1.60066650061051</v>
      </c>
      <c r="U1247" s="6" t="n">
        <v>0.0925411016333859</v>
      </c>
      <c r="V1247" s="6" t="n">
        <v>-0.890483916137946</v>
      </c>
      <c r="W1247" s="6" t="n">
        <v>-3.56854872817366</v>
      </c>
      <c r="X1247" s="6" t="n">
        <v>-4.54718309084416</v>
      </c>
      <c r="Y1247" s="6" t="n">
        <v>-3.7730785288873</v>
      </c>
      <c r="Z1247" s="6" t="n">
        <v>-2.66065167841654</v>
      </c>
      <c r="AA1247" s="6" t="n">
        <v>-0.903707758018118</v>
      </c>
      <c r="AB1247" s="6" t="n">
        <v>-4.67697343958393</v>
      </c>
      <c r="AC1247" s="6" t="n">
        <v>1.10374878283249</v>
      </c>
      <c r="AD1247" s="6" t="n">
        <v>-0.317804973935233</v>
      </c>
      <c r="AE1247" s="6" t="n">
        <v>-0.688640046166945</v>
      </c>
      <c r="AF1247" s="6" t="n">
        <v>0.516728652629744</v>
      </c>
      <c r="AG1247" s="6" t="n">
        <v>0.539600204712229</v>
      </c>
      <c r="AH1247" s="6" t="n">
        <v>2.45159730382372</v>
      </c>
      <c r="AI1247" s="6" t="n">
        <v>0.390541109963524</v>
      </c>
      <c r="AJ1247" s="6" t="n">
        <v>67.3486792834302</v>
      </c>
      <c r="AK1247" s="6" t="n">
        <v>0.106619695679854</v>
      </c>
      <c r="AL1247" s="6" t="n">
        <v>1.06048719880507</v>
      </c>
      <c r="AN1247" s="6" t="n">
        <v>1.29195840655671</v>
      </c>
      <c r="AO1247" s="6" t="n">
        <v>1.29227555660877</v>
      </c>
      <c r="AP1247" s="6" t="n">
        <v>0.133032770445203</v>
      </c>
      <c r="AQ1247" s="6" t="n">
        <v>0</v>
      </c>
      <c r="AR1247" s="6" t="n">
        <v>0</v>
      </c>
    </row>
    <row r="1248" customFormat="false" ht="15" hidden="false" customHeight="false" outlineLevel="0" collapsed="false">
      <c r="D1248" s="0" t="s">
        <v>1374</v>
      </c>
      <c r="J1248" s="6" t="n">
        <v>-0.202803369354925</v>
      </c>
      <c r="K1248" s="6" t="n">
        <v>-0.409946252309925</v>
      </c>
      <c r="L1248" s="6" t="n">
        <v>-1.58553118753558</v>
      </c>
      <c r="M1248" s="6" t="n">
        <v>2.35049562872114</v>
      </c>
      <c r="N1248" s="6" t="n">
        <v>-2.34995113729338</v>
      </c>
      <c r="O1248" s="6" t="n">
        <v>1.57993762495969</v>
      </c>
      <c r="P1248" s="6" t="n">
        <v>-0.681292785970989</v>
      </c>
      <c r="Q1248" s="6" t="n">
        <v>0.258787826824383</v>
      </c>
      <c r="R1248" s="6" t="n">
        <v>0.603697046632163</v>
      </c>
      <c r="S1248" s="6" t="n">
        <v>-0.617235611548011</v>
      </c>
      <c r="T1248" s="6" t="n">
        <v>1.82548333483282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</v>
      </c>
      <c r="Y1248" s="6" t="n">
        <v>-0.0197150867876215</v>
      </c>
      <c r="Z1248" s="6" t="n">
        <v>0.657690777141817</v>
      </c>
      <c r="AA1248" s="6" t="n">
        <v>-0.867062752387993</v>
      </c>
      <c r="AB1248" s="6" t="n">
        <v>1.61743538501781</v>
      </c>
      <c r="AC1248" s="6" t="n">
        <v>-3.20731425372526</v>
      </c>
      <c r="AD1248" s="6" t="n">
        <v>3.21536557147448</v>
      </c>
      <c r="AE1248" s="6" t="n">
        <v>2.73138679207716</v>
      </c>
      <c r="AF1248" s="6" t="n">
        <v>-2.68359805016713</v>
      </c>
      <c r="AG1248" s="6" t="n">
        <v>1.30186609505232</v>
      </c>
      <c r="AH1248" s="6" t="n">
        <v>2.40228843314515</v>
      </c>
      <c r="AI1248" s="6" t="n">
        <v>-0.343634848825344</v>
      </c>
      <c r="AJ1248" s="6" t="n">
        <v>81.6112831845036</v>
      </c>
      <c r="AK1248" s="6" t="n">
        <v>0.155862551723771</v>
      </c>
      <c r="AL1248" s="6" t="n">
        <v>0.987122305581655</v>
      </c>
      <c r="AN1248" s="6" t="n">
        <v>1.3222437543116</v>
      </c>
      <c r="AO1248" s="6" t="n">
        <v>1.3222437543116</v>
      </c>
      <c r="AP1248" s="6" t="n">
        <v>0.144105016355962</v>
      </c>
      <c r="AQ1248" s="6" t="n">
        <v>0</v>
      </c>
      <c r="AR1248" s="6" t="n">
        <v>0</v>
      </c>
    </row>
    <row r="1249" customFormat="false" ht="15" hidden="false" customHeight="false" outlineLevel="0" collapsed="false">
      <c r="D1249" s="0" t="s">
        <v>1375</v>
      </c>
      <c r="J1249" s="6" t="n">
        <v>-2.65065991659123</v>
      </c>
      <c r="K1249" s="6" t="n">
        <v>2.96171601573787</v>
      </c>
      <c r="L1249" s="6" t="n">
        <v>-2.57242907320669</v>
      </c>
      <c r="M1249" s="6" t="n">
        <v>4.0591627680373</v>
      </c>
      <c r="N1249" s="6" t="n">
        <v>2.74512470817843</v>
      </c>
      <c r="O1249" s="6" t="n">
        <v>1.41209641232642</v>
      </c>
      <c r="P1249" s="6" t="n">
        <v>1.56999403175512</v>
      </c>
      <c r="Q1249" s="6" t="n">
        <v>0.160936892350056</v>
      </c>
      <c r="R1249" s="6" t="n">
        <v>-0.324326634757223</v>
      </c>
      <c r="S1249" s="6" t="n">
        <v>-0.802907756326614</v>
      </c>
      <c r="T1249" s="6" t="n">
        <v>-1.49524945717947</v>
      </c>
      <c r="U1249" s="6" t="n">
        <v>2.87209144355633</v>
      </c>
      <c r="V1249" s="6" t="n">
        <v>-3.71964974056716</v>
      </c>
      <c r="W1249" s="6" t="n">
        <v>-0.109886648503111</v>
      </c>
      <c r="X1249" s="6" t="n">
        <v>3.08561824602526</v>
      </c>
      <c r="Y1249" s="6" t="n">
        <v>0.741496858595407</v>
      </c>
      <c r="Z1249" s="6" t="n">
        <v>0.769368376912653</v>
      </c>
      <c r="AA1249" s="6" t="n">
        <v>2.32532380718803</v>
      </c>
      <c r="AB1249" s="6" t="n">
        <v>-0.352352740621105</v>
      </c>
      <c r="AC1249" s="6" t="n">
        <v>1.50242028060351</v>
      </c>
      <c r="AD1249" s="6" t="n">
        <v>1.8923974177206</v>
      </c>
      <c r="AE1249" s="6" t="n">
        <v>1.36908125744129</v>
      </c>
      <c r="AF1249" s="6" t="n">
        <v>-1.11329196300892</v>
      </c>
      <c r="AG1249" s="6" t="n">
        <v>-3.54349468799321</v>
      </c>
      <c r="AH1249" s="6" t="n">
        <v>0.933339233155814</v>
      </c>
      <c r="AI1249" s="6" t="n">
        <v>-1.82470708564172</v>
      </c>
      <c r="AJ1249" s="6" t="n">
        <v>71.5551634253899</v>
      </c>
      <c r="AK1249" s="6" t="n">
        <v>0.112933747248887</v>
      </c>
      <c r="AL1249" s="6" t="n">
        <v>1.05696159408413</v>
      </c>
      <c r="AN1249" s="6" t="n">
        <v>1.29155324735708</v>
      </c>
      <c r="AO1249" s="6" t="n">
        <v>1.29226524682253</v>
      </c>
      <c r="AP1249" s="6" t="n">
        <v>0.133632526151271</v>
      </c>
      <c r="AQ1249" s="6" t="n">
        <v>0</v>
      </c>
      <c r="AR1249" s="6" t="n">
        <v>0</v>
      </c>
    </row>
    <row r="1250" customFormat="false" ht="15" hidden="false" customHeight="false" outlineLevel="0" collapsed="false">
      <c r="D1250" s="0" t="s">
        <v>1376</v>
      </c>
      <c r="J1250" s="6" t="n">
        <v>1.37105416338033</v>
      </c>
      <c r="K1250" s="6" t="n">
        <v>-0.0604426453251445</v>
      </c>
      <c r="L1250" s="6" t="n">
        <v>-1.89558220826236</v>
      </c>
      <c r="M1250" s="6" t="n">
        <v>3.88699442343194</v>
      </c>
      <c r="N1250" s="6" t="n">
        <v>-2.4718181014608</v>
      </c>
      <c r="O1250" s="6" t="n">
        <v>0.793030922712868</v>
      </c>
      <c r="P1250" s="6" t="n">
        <v>1.86315650140739</v>
      </c>
      <c r="Q1250" s="6" t="n">
        <v>2.88786264601424</v>
      </c>
      <c r="R1250" s="6" t="n">
        <v>-0.626366082093746</v>
      </c>
      <c r="S1250" s="6" t="n">
        <v>1.17047336142806</v>
      </c>
      <c r="T1250" s="6" t="n">
        <v>-1.70251893539574</v>
      </c>
      <c r="U1250" s="6" t="n">
        <v>-0.650959603555983</v>
      </c>
      <c r="V1250" s="6" t="n">
        <v>-2.89816460836408</v>
      </c>
      <c r="W1250" s="6" t="n">
        <v>-2.48500322978058</v>
      </c>
      <c r="X1250" s="6" t="n">
        <v>-2.7774248288926</v>
      </c>
      <c r="Y1250" s="6" t="n">
        <v>-1.24843346732397</v>
      </c>
      <c r="Z1250" s="6" t="n">
        <v>1.07052899582286</v>
      </c>
      <c r="AA1250" s="6" t="n">
        <v>2.64880413680511</v>
      </c>
      <c r="AB1250" s="6" t="n">
        <v>5</v>
      </c>
      <c r="AC1250" s="6" t="n">
        <v>0.949697088808345</v>
      </c>
      <c r="AD1250" s="6" t="n">
        <v>-0.271549537800092</v>
      </c>
      <c r="AE1250" s="6" t="n">
        <v>0.883774321811045</v>
      </c>
      <c r="AF1250" s="6" t="n">
        <v>2.86787745571949</v>
      </c>
      <c r="AG1250" s="6" t="n">
        <v>1.0911492327442</v>
      </c>
      <c r="AH1250" s="6" t="n">
        <v>2.3096113683769</v>
      </c>
      <c r="AI1250" s="6" t="n">
        <v>4.1766061797108</v>
      </c>
      <c r="AJ1250" s="6" t="n">
        <v>77.519969325763</v>
      </c>
      <c r="AK1250" s="6" t="n">
        <v>0.150460044157291</v>
      </c>
      <c r="AL1250" s="6" t="n">
        <v>1.06237433613102</v>
      </c>
      <c r="AN1250" s="6" t="n">
        <v>1.28741717824598</v>
      </c>
      <c r="AO1250" s="6" t="n">
        <v>1.28849177508134</v>
      </c>
      <c r="AP1250" s="6" t="n">
        <v>0.132711181126254</v>
      </c>
      <c r="AQ1250" s="6" t="n">
        <v>0</v>
      </c>
      <c r="AR1250" s="6" t="n">
        <v>0</v>
      </c>
    </row>
    <row r="1251" customFormat="false" ht="15" hidden="false" customHeight="false" outlineLevel="0" collapsed="false">
      <c r="D1251" s="0" t="s">
        <v>1377</v>
      </c>
      <c r="J1251" s="6" t="n">
        <v>0.0950183278781847</v>
      </c>
      <c r="K1251" s="6" t="n">
        <v>0.526463462048879</v>
      </c>
      <c r="L1251" s="6" t="n">
        <v>-1.43481443799156</v>
      </c>
      <c r="M1251" s="6" t="n">
        <v>-1.88296173203854</v>
      </c>
      <c r="N1251" s="6" t="n">
        <v>-0.314418356850272</v>
      </c>
      <c r="O1251" s="6" t="n">
        <v>3.26956300336674</v>
      </c>
      <c r="P1251" s="6" t="n">
        <v>-0.194077692620378</v>
      </c>
      <c r="Q1251" s="6" t="n">
        <v>-2.09615145098061</v>
      </c>
      <c r="R1251" s="6" t="n">
        <v>2.54386118243397</v>
      </c>
      <c r="S1251" s="6" t="n">
        <v>-1.67060767121615</v>
      </c>
      <c r="T1251" s="6" t="n">
        <v>-1.15553953345373</v>
      </c>
      <c r="U1251" s="6" t="n">
        <v>0.361181656040308</v>
      </c>
      <c r="V1251" s="6" t="n">
        <v>-3.38454325052215</v>
      </c>
      <c r="W1251" s="6" t="n">
        <v>-0.0582547879024019</v>
      </c>
      <c r="X1251" s="6" t="n">
        <v>-3.13101273715371</v>
      </c>
      <c r="Y1251" s="6" t="n">
        <v>-1.43019435216865</v>
      </c>
      <c r="Z1251" s="6" t="n">
        <v>-3.24224219001405</v>
      </c>
      <c r="AA1251" s="6" t="n">
        <v>1.68849412741027</v>
      </c>
      <c r="AB1251" s="6" t="n">
        <v>-2.98500419337117</v>
      </c>
      <c r="AC1251" s="6" t="n">
        <v>1.10076515193092</v>
      </c>
      <c r="AD1251" s="6" t="n">
        <v>1.64080023934814</v>
      </c>
      <c r="AE1251" s="6" t="n">
        <v>0.0560403290037798</v>
      </c>
      <c r="AF1251" s="6" t="n">
        <v>2.89095448881654</v>
      </c>
      <c r="AG1251" s="6" t="n">
        <v>0.519591666980447</v>
      </c>
      <c r="AH1251" s="6" t="n">
        <v>2.72697353671478</v>
      </c>
      <c r="AI1251" s="6" t="n">
        <v>-1.09777773943222</v>
      </c>
      <c r="AJ1251" s="6" t="n">
        <v>70.6548236171976</v>
      </c>
      <c r="AK1251" s="6" t="n">
        <v>0.113975500394758</v>
      </c>
      <c r="AL1251" s="6" t="n">
        <v>1.03497619208336</v>
      </c>
      <c r="AN1251" s="6" t="n">
        <v>1.30195147439284</v>
      </c>
      <c r="AO1251" s="6" t="n">
        <v>1.30203055931643</v>
      </c>
      <c r="AP1251" s="6" t="n">
        <v>0.135358159154702</v>
      </c>
      <c r="AQ1251" s="6" t="n">
        <v>0</v>
      </c>
      <c r="AR1251" s="6" t="n">
        <v>0</v>
      </c>
    </row>
    <row r="1252" customFormat="false" ht="15" hidden="false" customHeight="false" outlineLevel="0" collapsed="false">
      <c r="D1252" s="0" t="s">
        <v>1378</v>
      </c>
      <c r="J1252" s="6" t="n">
        <v>3.36959885851036</v>
      </c>
      <c r="K1252" s="6" t="n">
        <v>-2.23091857338962</v>
      </c>
      <c r="L1252" s="6" t="n">
        <v>2.47179583511689</v>
      </c>
      <c r="M1252" s="6" t="n">
        <v>-4.49182284007915</v>
      </c>
      <c r="N1252" s="6" t="n">
        <v>2.2328812835354</v>
      </c>
      <c r="O1252" s="6" t="n">
        <v>0.632481910020126</v>
      </c>
      <c r="P1252" s="6" t="n">
        <v>-0.474415580782078</v>
      </c>
      <c r="Q1252" s="6" t="n">
        <v>-1.26496392494313</v>
      </c>
      <c r="R1252" s="6" t="n">
        <v>1.48985899843509</v>
      </c>
      <c r="S1252" s="6" t="n">
        <v>-0.936380939089586</v>
      </c>
      <c r="T1252" s="6" t="n">
        <v>-2.29926680368318</v>
      </c>
      <c r="U1252" s="6" t="n">
        <v>-0.946467929873308</v>
      </c>
      <c r="V1252" s="6" t="n">
        <v>-2.28686212612574</v>
      </c>
      <c r="W1252" s="6" t="n">
        <v>-1.36055120205616</v>
      </c>
      <c r="X1252" s="6" t="n">
        <v>-2.71176273788168</v>
      </c>
      <c r="Y1252" s="6" t="n">
        <v>0.56990719667862</v>
      </c>
      <c r="Z1252" s="6" t="n">
        <v>-0.151930228987837</v>
      </c>
      <c r="AA1252" s="6" t="n">
        <v>-1.92484250281556</v>
      </c>
      <c r="AB1252" s="6" t="n">
        <v>-0.678450142111421</v>
      </c>
      <c r="AC1252" s="6" t="n">
        <v>1.79351535774709</v>
      </c>
      <c r="AD1252" s="6" t="n">
        <v>-0.127547400227884</v>
      </c>
      <c r="AE1252" s="6" t="n">
        <v>4.25693487081027</v>
      </c>
      <c r="AF1252" s="6" t="n">
        <v>-1.02084556937514</v>
      </c>
      <c r="AG1252" s="6" t="n">
        <v>1.20990194499331</v>
      </c>
      <c r="AH1252" s="6" t="n">
        <v>0.902274863265333</v>
      </c>
      <c r="AI1252" s="6" t="n">
        <v>1.11995373585268</v>
      </c>
      <c r="AJ1252" s="6" t="n">
        <v>77.0665852861035</v>
      </c>
      <c r="AK1252" s="6" t="n">
        <v>0.126544111365856</v>
      </c>
      <c r="AL1252" s="6" t="n">
        <v>1.02326079628913</v>
      </c>
      <c r="AN1252" s="6" t="n">
        <v>1.30639727953511</v>
      </c>
      <c r="AO1252" s="6" t="n">
        <v>1.31169440004269</v>
      </c>
      <c r="AP1252" s="6" t="n">
        <v>0.136876509619305</v>
      </c>
      <c r="AQ1252" s="6" t="n">
        <v>0</v>
      </c>
      <c r="AR1252" s="6" t="n">
        <v>0</v>
      </c>
    </row>
    <row r="1253" customFormat="false" ht="15" hidden="false" customHeight="false" outlineLevel="0" collapsed="false">
      <c r="D1253" s="0" t="s">
        <v>1379</v>
      </c>
      <c r="J1253" s="6" t="n">
        <v>-2.77731194135906</v>
      </c>
      <c r="K1253" s="6" t="n">
        <v>2.31170539591034</v>
      </c>
      <c r="L1253" s="6" t="n">
        <v>-1.25963426981455</v>
      </c>
      <c r="M1253" s="6" t="n">
        <v>-0.0969537884516238</v>
      </c>
      <c r="N1253" s="6" t="n">
        <v>-0.13777255335329</v>
      </c>
      <c r="O1253" s="6" t="n">
        <v>-1.1763435613409</v>
      </c>
      <c r="P1253" s="6" t="n">
        <v>3.14022296726578</v>
      </c>
      <c r="Q1253" s="6" t="n">
        <v>0.135399648546601</v>
      </c>
      <c r="R1253" s="6" t="n">
        <v>0.834691993035621</v>
      </c>
      <c r="S1253" s="6" t="n">
        <v>0.354150861504788</v>
      </c>
      <c r="T1253" s="6" t="n">
        <v>-1.24546896516544</v>
      </c>
      <c r="U1253" s="6" t="n">
        <v>0.281838210589979</v>
      </c>
      <c r="V1253" s="6" t="n">
        <v>2.62720077461189</v>
      </c>
      <c r="W1253" s="6" t="n">
        <v>-3.14672101818368</v>
      </c>
      <c r="X1253" s="6" t="n">
        <v>3.40513456834386</v>
      </c>
      <c r="Y1253" s="6" t="n">
        <v>-0.734831259202416</v>
      </c>
      <c r="Z1253" s="6" t="n">
        <v>-0.0834909294091747</v>
      </c>
      <c r="AA1253" s="6" t="n">
        <v>1.73393418802535</v>
      </c>
      <c r="AB1253" s="6" t="n">
        <v>1.92423800370648</v>
      </c>
      <c r="AC1253" s="6" t="n">
        <v>-0.503871394567503</v>
      </c>
      <c r="AD1253" s="6" t="n">
        <v>-2.99436342636581</v>
      </c>
      <c r="AE1253" s="6" t="n">
        <v>1.53080376357102</v>
      </c>
      <c r="AF1253" s="6" t="n">
        <v>-0.993347210199618</v>
      </c>
      <c r="AG1253" s="6" t="n">
        <v>-2.00118645227583</v>
      </c>
      <c r="AH1253" s="6" t="n">
        <v>1.46501140036445</v>
      </c>
      <c r="AI1253" s="6" t="n">
        <v>-0.135578260986703</v>
      </c>
      <c r="AJ1253" s="6" t="n">
        <v>71.7080865441605</v>
      </c>
      <c r="AK1253" s="6" t="n">
        <v>0.0806839203619319</v>
      </c>
      <c r="AL1253" s="6" t="n">
        <v>1.08988430653542</v>
      </c>
      <c r="AN1253" s="6" t="n">
        <v>1.28518066041623</v>
      </c>
      <c r="AO1253" s="6" t="n">
        <v>1.28689880995916</v>
      </c>
      <c r="AP1253" s="6" t="n">
        <v>0.132322231399138</v>
      </c>
      <c r="AQ1253" s="6" t="n">
        <v>0</v>
      </c>
      <c r="AR1253" s="6" t="n">
        <v>0</v>
      </c>
    </row>
    <row r="1254" customFormat="false" ht="15" hidden="false" customHeight="false" outlineLevel="0" collapsed="false">
      <c r="D1254" s="0" t="s">
        <v>1380</v>
      </c>
      <c r="J1254" s="6" t="n">
        <v>-3.15908345458503</v>
      </c>
      <c r="K1254" s="6" t="n">
        <v>-1.77755772624974</v>
      </c>
      <c r="L1254" s="6" t="n">
        <v>-0.584215333966305</v>
      </c>
      <c r="M1254" s="6" t="n">
        <v>-0.489765506971286</v>
      </c>
      <c r="N1254" s="6" t="n">
        <v>1.05178470030149</v>
      </c>
      <c r="O1254" s="6" t="n">
        <v>1.63759630599667</v>
      </c>
      <c r="P1254" s="6" t="n">
        <v>-0.490942056706733</v>
      </c>
      <c r="Q1254" s="6" t="n">
        <v>1.08650200573241</v>
      </c>
      <c r="R1254" s="6" t="n">
        <v>0.0811126657018651</v>
      </c>
      <c r="S1254" s="6" t="n">
        <v>0.838365536731596</v>
      </c>
      <c r="T1254" s="6" t="n">
        <v>2.62537081525536</v>
      </c>
      <c r="U1254" s="6" t="n">
        <v>2.435213092465</v>
      </c>
      <c r="V1254" s="6" t="n">
        <v>-1.78740672606458</v>
      </c>
      <c r="W1254" s="6" t="n">
        <v>-0.608882107110983</v>
      </c>
      <c r="X1254" s="6" t="n">
        <v>1.55705419296123</v>
      </c>
      <c r="Y1254" s="6" t="n">
        <v>1.67256487913363</v>
      </c>
      <c r="Z1254" s="6" t="n">
        <v>2.60522490712955</v>
      </c>
      <c r="AA1254" s="6" t="n">
        <v>1.65237263974389</v>
      </c>
      <c r="AB1254" s="6" t="n">
        <v>-0.422908495399016</v>
      </c>
      <c r="AC1254" s="6" t="n">
        <v>-0.123071188296126</v>
      </c>
      <c r="AD1254" s="6" t="n">
        <v>-3.65907884430846</v>
      </c>
      <c r="AE1254" s="6" t="n">
        <v>0.342738918410229</v>
      </c>
      <c r="AF1254" s="6" t="n">
        <v>-1.31662768883817</v>
      </c>
      <c r="AG1254" s="6" t="n">
        <v>-1.03589308058988</v>
      </c>
      <c r="AH1254" s="6" t="n">
        <v>-1.01548379305083</v>
      </c>
      <c r="AI1254" s="6" t="n">
        <v>0.747557346735489</v>
      </c>
      <c r="AJ1254" s="6" t="n">
        <v>78.0789799562334</v>
      </c>
      <c r="AK1254" s="6" t="n">
        <v>0.0292043428700326</v>
      </c>
      <c r="AL1254" s="6" t="n">
        <v>1.06561538080444</v>
      </c>
      <c r="AN1254" s="6" t="n">
        <v>1.30184877105887</v>
      </c>
      <c r="AO1254" s="6" t="n">
        <v>1.30229254033706</v>
      </c>
      <c r="AP1254" s="6" t="n">
        <v>0.135867817842603</v>
      </c>
      <c r="AQ1254" s="6" t="n">
        <v>0</v>
      </c>
      <c r="AR1254" s="6" t="n">
        <v>0</v>
      </c>
    </row>
    <row r="1255" customFormat="false" ht="15" hidden="false" customHeight="false" outlineLevel="0" collapsed="false">
      <c r="D1255" s="0" t="s">
        <v>1381</v>
      </c>
      <c r="J1255" s="6" t="n">
        <v>-0.990338377593353</v>
      </c>
      <c r="K1255" s="6" t="n">
        <v>-1.70847692200763</v>
      </c>
      <c r="L1255" s="6" t="n">
        <v>2.1240324429762</v>
      </c>
      <c r="M1255" s="6" t="n">
        <v>-1.48116751113109</v>
      </c>
      <c r="N1255" s="6" t="n">
        <v>1.89521553351809</v>
      </c>
      <c r="O1255" s="6" t="n">
        <v>1.91711043065548</v>
      </c>
      <c r="P1255" s="6" t="n">
        <v>2.33688634000311</v>
      </c>
      <c r="Q1255" s="6" t="n">
        <v>0.866068497267325</v>
      </c>
      <c r="R1255" s="6" t="n">
        <v>1.82915504900035</v>
      </c>
      <c r="S1255" s="6" t="n">
        <v>0.117341772567251</v>
      </c>
      <c r="T1255" s="6" t="n">
        <v>0.288229719971833</v>
      </c>
      <c r="U1255" s="6" t="n">
        <v>1.48977063461465</v>
      </c>
      <c r="V1255" s="6" t="n">
        <v>1.22995053657515</v>
      </c>
      <c r="W1255" s="6" t="n">
        <v>0.932570290577018</v>
      </c>
      <c r="X1255" s="6" t="n">
        <v>0.990910701893769</v>
      </c>
      <c r="Y1255" s="6" t="n">
        <v>1.47251301919214</v>
      </c>
      <c r="Z1255" s="6" t="n">
        <v>2.45043418172527</v>
      </c>
      <c r="AA1255" s="6" t="n">
        <v>-0.0312852028198954</v>
      </c>
      <c r="AB1255" s="6" t="n">
        <v>0.539984742806062</v>
      </c>
      <c r="AC1255" s="6" t="n">
        <v>3.76661119284108</v>
      </c>
      <c r="AD1255" s="6" t="n">
        <v>-0.0645122788300084</v>
      </c>
      <c r="AE1255" s="6" t="n">
        <v>-0.937802737470757</v>
      </c>
      <c r="AF1255" s="6" t="n">
        <v>0.122056378004029</v>
      </c>
      <c r="AG1255" s="6" t="n">
        <v>2.44779358164731</v>
      </c>
      <c r="AH1255" s="6" t="n">
        <v>-3.59194251451688</v>
      </c>
      <c r="AI1255" s="6" t="n">
        <v>-0.484653089902451</v>
      </c>
      <c r="AJ1255" s="6" t="n">
        <v>82.6799609591032</v>
      </c>
      <c r="AK1255" s="6" t="n">
        <v>0.0865544829602188</v>
      </c>
      <c r="AL1255" s="6" t="n">
        <v>1.04023895723033</v>
      </c>
      <c r="AN1255" s="6" t="n">
        <v>1.30912224752994</v>
      </c>
      <c r="AO1255" s="6" t="n">
        <v>1.30921624958245</v>
      </c>
      <c r="AP1255" s="6" t="n">
        <v>0.136948244397554</v>
      </c>
      <c r="AQ1255" s="6" t="n">
        <v>0</v>
      </c>
      <c r="AR1255" s="6" t="n">
        <v>0</v>
      </c>
    </row>
    <row r="1256" customFormat="false" ht="15" hidden="false" customHeight="false" outlineLevel="0" collapsed="false">
      <c r="D1256" s="0" t="s">
        <v>1382</v>
      </c>
      <c r="J1256" s="6" t="n">
        <v>-1.7007412989616</v>
      </c>
      <c r="K1256" s="6" t="n">
        <v>0.862967140217691</v>
      </c>
      <c r="L1256" s="6" t="n">
        <v>0.423379661071157</v>
      </c>
      <c r="M1256" s="6" t="n">
        <v>-4.07170082519504</v>
      </c>
      <c r="N1256" s="6" t="n">
        <v>1.8607910365789</v>
      </c>
      <c r="O1256" s="6" t="n">
        <v>-0.240871722976957</v>
      </c>
      <c r="P1256" s="6" t="n">
        <v>-0.326152878166668</v>
      </c>
      <c r="Q1256" s="6" t="n">
        <v>-0.360158403687379</v>
      </c>
      <c r="R1256" s="6" t="n">
        <v>-0.402213078024528</v>
      </c>
      <c r="S1256" s="6" t="n">
        <v>-2.86598807171495</v>
      </c>
      <c r="T1256" s="6" t="n">
        <v>1.71274779256375</v>
      </c>
      <c r="U1256" s="6" t="n">
        <v>-0.900103452515588</v>
      </c>
      <c r="V1256" s="6" t="n">
        <v>-2.06069814919485</v>
      </c>
      <c r="W1256" s="6" t="n">
        <v>-2.20875121219937</v>
      </c>
      <c r="X1256" s="6" t="n">
        <v>1.87707831284088</v>
      </c>
      <c r="Y1256" s="6" t="n">
        <v>-0.627238081686729</v>
      </c>
      <c r="Z1256" s="6" t="n">
        <v>0.357339008717587</v>
      </c>
      <c r="AA1256" s="6" t="n">
        <v>-0.587297067821933</v>
      </c>
      <c r="AB1256" s="6" t="n">
        <v>-2.79328891518711</v>
      </c>
      <c r="AC1256" s="6" t="n">
        <v>0.578301663221157</v>
      </c>
      <c r="AD1256" s="6" t="n">
        <v>-2.74595458034518</v>
      </c>
      <c r="AE1256" s="6" t="n">
        <v>-1.25307530054439</v>
      </c>
      <c r="AF1256" s="6" t="n">
        <v>1.02551354231448</v>
      </c>
      <c r="AG1256" s="6" t="n">
        <v>0.82121414729359</v>
      </c>
      <c r="AH1256" s="6" t="n">
        <v>0.190217405814355</v>
      </c>
      <c r="AI1256" s="6" t="n">
        <v>1.34551142431177</v>
      </c>
      <c r="AJ1256" s="6" t="n">
        <v>78.5929763346783</v>
      </c>
      <c r="AK1256" s="6" t="n">
        <v>0.166373406177818</v>
      </c>
      <c r="AL1256" s="6" t="n">
        <v>1.0530309680303</v>
      </c>
      <c r="AN1256" s="6" t="n">
        <v>1.29213061222399</v>
      </c>
      <c r="AO1256" s="6" t="n">
        <v>1.29290181772114</v>
      </c>
      <c r="AP1256" s="6" t="n">
        <v>0.132643384941792</v>
      </c>
      <c r="AQ1256" s="6" t="n">
        <v>0</v>
      </c>
      <c r="AR1256" s="6" t="n">
        <v>0</v>
      </c>
    </row>
    <row r="1257" customFormat="false" ht="15" hidden="false" customHeight="false" outlineLevel="0" collapsed="false">
      <c r="D1257" s="0" t="s">
        <v>1383</v>
      </c>
      <c r="J1257" s="6" t="n">
        <v>-3.65828831927727</v>
      </c>
      <c r="K1257" s="6" t="n">
        <v>-1.07537336018415</v>
      </c>
      <c r="L1257" s="6" t="n">
        <v>-3.66262140926661</v>
      </c>
      <c r="M1257" s="6" t="n">
        <v>-0.801065428957932</v>
      </c>
      <c r="N1257" s="6" t="n">
        <v>0.698997371757052</v>
      </c>
      <c r="O1257" s="6" t="n">
        <v>2.6576098895322</v>
      </c>
      <c r="P1257" s="6" t="n">
        <v>-3.34702662723075</v>
      </c>
      <c r="Q1257" s="6" t="n">
        <v>-1.44759296857742</v>
      </c>
      <c r="R1257" s="6" t="n">
        <v>-2.13517373089162</v>
      </c>
      <c r="S1257" s="6" t="n">
        <v>0.0161741988223527</v>
      </c>
      <c r="T1257" s="6" t="n">
        <v>-3.37875873178414</v>
      </c>
      <c r="U1257" s="6" t="n">
        <v>-3.69917864764649</v>
      </c>
      <c r="V1257" s="6" t="n">
        <v>-0.516132894782781</v>
      </c>
      <c r="W1257" s="6" t="n">
        <v>5</v>
      </c>
      <c r="X1257" s="6" t="n">
        <v>1.85922742738283</v>
      </c>
      <c r="Y1257" s="6" t="n">
        <v>1.7661883323714</v>
      </c>
      <c r="Z1257" s="6" t="n">
        <v>-1.85567793137828</v>
      </c>
      <c r="AA1257" s="6" t="n">
        <v>-0.214198260084571</v>
      </c>
      <c r="AB1257" s="6" t="n">
        <v>0.785659197495475</v>
      </c>
      <c r="AC1257" s="6" t="n">
        <v>0.472514690102866</v>
      </c>
      <c r="AD1257" s="6" t="n">
        <v>-0.461861752351152</v>
      </c>
      <c r="AE1257" s="6" t="n">
        <v>1.84208990052059</v>
      </c>
      <c r="AF1257" s="6" t="n">
        <v>0.787236469479079</v>
      </c>
      <c r="AG1257" s="6" t="n">
        <v>5</v>
      </c>
      <c r="AH1257" s="6" t="n">
        <v>-0.485670861611254</v>
      </c>
      <c r="AI1257" s="6" t="n">
        <v>0.184242395852558</v>
      </c>
      <c r="AJ1257" s="6" t="n">
        <v>80.6389924207007</v>
      </c>
      <c r="AK1257" s="6" t="n">
        <v>0.130593462245995</v>
      </c>
      <c r="AL1257" s="6" t="n">
        <v>1.02335270172019</v>
      </c>
      <c r="AN1257" s="6" t="n">
        <v>1.31206613328813</v>
      </c>
      <c r="AO1257" s="6" t="n">
        <v>1.31240154364336</v>
      </c>
      <c r="AP1257" s="6" t="n">
        <v>0.13757076037656</v>
      </c>
      <c r="AQ1257" s="6" t="n">
        <v>0</v>
      </c>
      <c r="AR1257" s="6" t="n">
        <v>0</v>
      </c>
    </row>
    <row r="1258" customFormat="false" ht="15" hidden="false" customHeight="false" outlineLevel="0" collapsed="false">
      <c r="D1258" s="0" t="s">
        <v>1384</v>
      </c>
      <c r="J1258" s="6" t="n">
        <v>0.175184894788761</v>
      </c>
      <c r="K1258" s="6" t="n">
        <v>0.810450215813886</v>
      </c>
      <c r="L1258" s="6" t="n">
        <v>-1.51477242637799</v>
      </c>
      <c r="M1258" s="6" t="n">
        <v>-0.234772544766744</v>
      </c>
      <c r="N1258" s="6" t="n">
        <v>-0.223588449621124</v>
      </c>
      <c r="O1258" s="6" t="n">
        <v>-2.11658626419234</v>
      </c>
      <c r="P1258" s="6" t="n">
        <v>0.453360773416734</v>
      </c>
      <c r="Q1258" s="6" t="n">
        <v>-2.37536714053243</v>
      </c>
      <c r="R1258" s="6" t="n">
        <v>5</v>
      </c>
      <c r="S1258" s="6" t="n">
        <v>1.85591446621713</v>
      </c>
      <c r="T1258" s="6" t="n">
        <v>-0.855396481809391</v>
      </c>
      <c r="U1258" s="6" t="n">
        <v>-0.260042390385619</v>
      </c>
      <c r="V1258" s="6" t="n">
        <v>-5.48384721571269</v>
      </c>
      <c r="W1258" s="6" t="n">
        <v>1.40992028520787</v>
      </c>
      <c r="X1258" s="6" t="n">
        <v>2.79070806193148</v>
      </c>
      <c r="Y1258" s="6" t="n">
        <v>-0.999822952225076</v>
      </c>
      <c r="Z1258" s="6" t="n">
        <v>1.57396585493142</v>
      </c>
      <c r="AA1258" s="6" t="n">
        <v>0.282135706048488</v>
      </c>
      <c r="AB1258" s="6" t="n">
        <v>2.18778783270479</v>
      </c>
      <c r="AC1258" s="6" t="n">
        <v>-0.258421590062407</v>
      </c>
      <c r="AD1258" s="6" t="n">
        <v>0.403540093324799</v>
      </c>
      <c r="AE1258" s="6" t="n">
        <v>1.09570898688276</v>
      </c>
      <c r="AF1258" s="6" t="n">
        <v>-2.38364246326197</v>
      </c>
      <c r="AG1258" s="6" t="n">
        <v>-1.49679610385704</v>
      </c>
      <c r="AH1258" s="6" t="n">
        <v>-0.345711924926287</v>
      </c>
      <c r="AI1258" s="6" t="n">
        <v>-2.76373149893484</v>
      </c>
      <c r="AJ1258" s="6" t="n">
        <v>62.1827272784876</v>
      </c>
      <c r="AK1258" s="6" t="n">
        <v>0.0462623141939244</v>
      </c>
      <c r="AL1258" s="6" t="n">
        <v>1.08257686826707</v>
      </c>
      <c r="AN1258" s="6" t="n">
        <v>1.29019303603114</v>
      </c>
      <c r="AO1258" s="6" t="n">
        <v>1.29059110805835</v>
      </c>
      <c r="AP1258" s="6" t="n">
        <v>0.132618586232535</v>
      </c>
      <c r="AQ1258" s="6" t="n">
        <v>0</v>
      </c>
      <c r="AR1258" s="6" t="n">
        <v>0</v>
      </c>
    </row>
    <row r="1259" customFormat="false" ht="15" hidden="false" customHeight="false" outlineLevel="0" collapsed="false">
      <c r="D1259" s="0" t="s">
        <v>1385</v>
      </c>
      <c r="J1259" s="6" t="n">
        <v>1.29659169507024</v>
      </c>
      <c r="K1259" s="6" t="n">
        <v>-0.898334021923407</v>
      </c>
      <c r="L1259" s="6" t="n">
        <v>0.0461433810993719</v>
      </c>
      <c r="M1259" s="6" t="n">
        <v>0.105354444406999</v>
      </c>
      <c r="N1259" s="6" t="n">
        <v>-1.64937525409512</v>
      </c>
      <c r="O1259" s="6" t="n">
        <v>1.19595948047903</v>
      </c>
      <c r="P1259" s="6" t="n">
        <v>-0.115789893162384</v>
      </c>
      <c r="Q1259" s="6" t="n">
        <v>0.202110628113625</v>
      </c>
      <c r="R1259" s="6" t="n">
        <v>-2.01377660649709</v>
      </c>
      <c r="S1259" s="6" t="n">
        <v>-2.31066178717047</v>
      </c>
      <c r="T1259" s="6" t="n">
        <v>0.0793993227255072</v>
      </c>
      <c r="U1259" s="6" t="n">
        <v>-0.247916905507524</v>
      </c>
      <c r="V1259" s="6" t="n">
        <v>-2.23045692915802</v>
      </c>
      <c r="W1259" s="6" t="n">
        <v>-0.361115157789491</v>
      </c>
      <c r="X1259" s="6" t="n">
        <v>-0.263566335171959</v>
      </c>
      <c r="Y1259" s="6" t="n">
        <v>-1.48385234743408</v>
      </c>
      <c r="Z1259" s="6" t="n">
        <v>0.352942988732185</v>
      </c>
      <c r="AA1259" s="6" t="n">
        <v>1.30705462627026</v>
      </c>
      <c r="AB1259" s="6" t="n">
        <v>-1.04207936719611</v>
      </c>
      <c r="AC1259" s="6" t="n">
        <v>0.490249432194537</v>
      </c>
      <c r="AD1259" s="6" t="n">
        <v>0.344036331591829</v>
      </c>
      <c r="AE1259" s="6" t="n">
        <v>0.599550804941489</v>
      </c>
      <c r="AF1259" s="6" t="n">
        <v>-1.96064209225006</v>
      </c>
      <c r="AG1259" s="6" t="n">
        <v>1.12162641794072</v>
      </c>
      <c r="AH1259" s="6" t="n">
        <v>-0.350342237174943</v>
      </c>
      <c r="AI1259" s="6" t="n">
        <v>0.441017243285048</v>
      </c>
      <c r="AJ1259" s="6" t="n">
        <v>56.6532886270201</v>
      </c>
      <c r="AK1259" s="6" t="n">
        <v>0.15791683881151</v>
      </c>
      <c r="AL1259" s="6" t="n">
        <v>1.06635493560964</v>
      </c>
      <c r="AN1259" s="6" t="n">
        <v>1.27816459165834</v>
      </c>
      <c r="AO1259" s="6" t="n">
        <v>1.27859806402921</v>
      </c>
      <c r="AP1259" s="6" t="n">
        <v>0.131170259333329</v>
      </c>
      <c r="AQ1259" s="6" t="n">
        <v>0</v>
      </c>
      <c r="AR1259" s="6" t="n">
        <v>0</v>
      </c>
    </row>
    <row r="1260" customFormat="false" ht="15" hidden="false" customHeight="false" outlineLevel="0" collapsed="false">
      <c r="D1260" s="0" t="s">
        <v>1386</v>
      </c>
      <c r="J1260" s="6" t="n">
        <v>1.46519689166189</v>
      </c>
      <c r="K1260" s="6" t="n">
        <v>-2.82043511635679</v>
      </c>
      <c r="L1260" s="6" t="n">
        <v>-0.0160684570780203</v>
      </c>
      <c r="M1260" s="6" t="n">
        <v>-3.26975311612487</v>
      </c>
      <c r="N1260" s="6" t="n">
        <v>3.14365882206037</v>
      </c>
      <c r="O1260" s="6" t="n">
        <v>-1.42272167139941</v>
      </c>
      <c r="P1260" s="6" t="n">
        <v>4.43463565297193</v>
      </c>
      <c r="Q1260" s="6" t="n">
        <v>3.34256564052285</v>
      </c>
      <c r="R1260" s="6" t="n">
        <v>-1.94530156941493</v>
      </c>
      <c r="S1260" s="6" t="n">
        <v>-2.13018313901942</v>
      </c>
      <c r="T1260" s="6" t="n">
        <v>-2.58903563360794</v>
      </c>
      <c r="U1260" s="6" t="n">
        <v>0.25937709399938</v>
      </c>
      <c r="V1260" s="6" t="n">
        <v>1.27096420228179</v>
      </c>
      <c r="W1260" s="6" t="n">
        <v>2.39596484677501</v>
      </c>
      <c r="X1260" s="6" t="n">
        <v>-0.341605723517655</v>
      </c>
      <c r="Y1260" s="6" t="n">
        <v>-1.29184163241686</v>
      </c>
      <c r="Z1260" s="6" t="n">
        <v>3.20793971811435</v>
      </c>
      <c r="AA1260" s="6" t="n">
        <v>-2.97440929219727</v>
      </c>
      <c r="AB1260" s="6" t="n">
        <v>-1.2471122093793</v>
      </c>
      <c r="AC1260" s="6" t="n">
        <v>-1.0905137791202</v>
      </c>
      <c r="AD1260" s="6" t="n">
        <v>1.48416605101727</v>
      </c>
      <c r="AE1260" s="6" t="n">
        <v>-1.64607578799503</v>
      </c>
      <c r="AF1260" s="6" t="n">
        <v>0.653173763128779</v>
      </c>
      <c r="AG1260" s="6" t="n">
        <v>-0.797811152175266</v>
      </c>
      <c r="AH1260" s="6" t="n">
        <v>0.631589418286515</v>
      </c>
      <c r="AI1260" s="6" t="n">
        <v>-2.1709946420172</v>
      </c>
      <c r="AJ1260" s="6" t="n">
        <v>74.3867621012988</v>
      </c>
      <c r="AK1260" s="6" t="n">
        <v>0.145834000784566</v>
      </c>
      <c r="AL1260" s="6" t="n">
        <v>1.06366560013396</v>
      </c>
      <c r="AN1260" s="6" t="n">
        <v>1.2872845168584</v>
      </c>
      <c r="AO1260" s="6" t="n">
        <v>1.28957332389389</v>
      </c>
      <c r="AP1260" s="6" t="n">
        <v>0.132297929483129</v>
      </c>
      <c r="AQ1260" s="6" t="n">
        <v>0</v>
      </c>
      <c r="AR1260" s="6" t="n">
        <v>0</v>
      </c>
    </row>
    <row r="1261" customFormat="false" ht="15" hidden="false" customHeight="false" outlineLevel="0" collapsed="false">
      <c r="D1261" s="0" t="s">
        <v>1387</v>
      </c>
      <c r="J1261" s="6" t="n">
        <v>1.95858426739106</v>
      </c>
      <c r="K1261" s="6" t="n">
        <v>0.607002253213263</v>
      </c>
      <c r="L1261" s="6" t="n">
        <v>0.581004836542212</v>
      </c>
      <c r="M1261" s="6" t="n">
        <v>0.5818883375811</v>
      </c>
      <c r="N1261" s="6" t="n">
        <v>0.852122633215549</v>
      </c>
      <c r="O1261" s="6" t="n">
        <v>1.21525865923558</v>
      </c>
      <c r="P1261" s="6" t="n">
        <v>0.828088278298698</v>
      </c>
      <c r="Q1261" s="6" t="n">
        <v>-1.44735589025197</v>
      </c>
      <c r="R1261" s="6" t="n">
        <v>-1.69534895445706</v>
      </c>
      <c r="S1261" s="6" t="n">
        <v>0.133485627345835</v>
      </c>
      <c r="T1261" s="6" t="n">
        <v>2.30542886555271</v>
      </c>
      <c r="U1261" s="6" t="n">
        <v>-0.793387278634422</v>
      </c>
      <c r="V1261" s="6" t="n">
        <v>-0.853245372000135</v>
      </c>
      <c r="W1261" s="6" t="n">
        <v>-1.55424235611392</v>
      </c>
      <c r="X1261" s="6" t="n">
        <v>-0.459850343125717</v>
      </c>
      <c r="Y1261" s="6" t="n">
        <v>1.36035862085321</v>
      </c>
      <c r="Z1261" s="6" t="n">
        <v>0.431845515661191</v>
      </c>
      <c r="AA1261" s="6" t="n">
        <v>-0.306826787809785</v>
      </c>
      <c r="AB1261" s="6" t="n">
        <v>0.302293383656509</v>
      </c>
      <c r="AC1261" s="6" t="n">
        <v>4.07301244298423</v>
      </c>
      <c r="AD1261" s="6" t="n">
        <v>1.04417069630983</v>
      </c>
      <c r="AE1261" s="6" t="n">
        <v>1.01968547520662</v>
      </c>
      <c r="AF1261" s="6" t="n">
        <v>0.985857476972608</v>
      </c>
      <c r="AG1261" s="6" t="n">
        <v>-0.321982486225523</v>
      </c>
      <c r="AH1261" s="6" t="n">
        <v>2.61653420202704</v>
      </c>
      <c r="AI1261" s="6" t="n">
        <v>1.11702982213448</v>
      </c>
      <c r="AJ1261" s="6" t="n">
        <v>78.7239160995915</v>
      </c>
      <c r="AK1261" s="6" t="n">
        <v>0.169441229469261</v>
      </c>
      <c r="AL1261" s="6" t="n">
        <v>1.07632377545869</v>
      </c>
      <c r="AN1261" s="6" t="n">
        <v>1.27958520920902</v>
      </c>
      <c r="AO1261" s="6" t="n">
        <v>1.28060968188015</v>
      </c>
      <c r="AP1261" s="6" t="n">
        <v>0.130855575370972</v>
      </c>
      <c r="AQ1261" s="6" t="n">
        <v>0</v>
      </c>
      <c r="AR1261" s="6" t="n">
        <v>0</v>
      </c>
    </row>
    <row r="1262" customFormat="false" ht="15" hidden="false" customHeight="false" outlineLevel="0" collapsed="false">
      <c r="D1262" s="0" t="s">
        <v>1388</v>
      </c>
      <c r="J1262" s="6" t="n">
        <v>2.21023959810718</v>
      </c>
      <c r="K1262" s="6" t="n">
        <v>1.353333451322</v>
      </c>
      <c r="L1262" s="6" t="n">
        <v>-2.44365768619202</v>
      </c>
      <c r="M1262" s="6" t="n">
        <v>4.72364038516313</v>
      </c>
      <c r="N1262" s="6" t="n">
        <v>-2.42227722343934</v>
      </c>
      <c r="O1262" s="6" t="n">
        <v>2.64479484509055</v>
      </c>
      <c r="P1262" s="6" t="n">
        <v>-4.31253716338345</v>
      </c>
      <c r="Q1262" s="6" t="n">
        <v>0.929182773888553</v>
      </c>
      <c r="R1262" s="6" t="n">
        <v>-1.70567726604095</v>
      </c>
      <c r="S1262" s="6" t="n">
        <v>-0.73335092043821</v>
      </c>
      <c r="T1262" s="6" t="n">
        <v>-1.89802138164315</v>
      </c>
      <c r="U1262" s="6" t="n">
        <v>-0.726575075876632</v>
      </c>
      <c r="V1262" s="6" t="n">
        <v>0.160554907533093</v>
      </c>
      <c r="W1262" s="6" t="n">
        <v>2.56145172247263</v>
      </c>
      <c r="X1262" s="6" t="n">
        <v>-0.145845899347593</v>
      </c>
      <c r="Y1262" s="6" t="n">
        <v>-1.3406643953363</v>
      </c>
      <c r="Z1262" s="6" t="n">
        <v>0.390592374370692</v>
      </c>
      <c r="AA1262" s="6" t="n">
        <v>-1.93069828621407</v>
      </c>
      <c r="AB1262" s="6" t="n">
        <v>-1.56773369062643</v>
      </c>
      <c r="AC1262" s="6" t="n">
        <v>0.213372882677703</v>
      </c>
      <c r="AD1262" s="6" t="n">
        <v>1.35816420923314</v>
      </c>
      <c r="AE1262" s="6" t="n">
        <v>1.99932337634093</v>
      </c>
      <c r="AF1262" s="6" t="n">
        <v>-0.26166173777865</v>
      </c>
      <c r="AG1262" s="6" t="n">
        <v>-0.315172719394514</v>
      </c>
      <c r="AH1262" s="6" t="n">
        <v>-4.44507343059043</v>
      </c>
      <c r="AI1262" s="6" t="n">
        <v>-1.4363939788548</v>
      </c>
      <c r="AJ1262" s="6" t="n">
        <v>71.759735076047</v>
      </c>
      <c r="AK1262" s="6" t="n">
        <v>0.100655938338401</v>
      </c>
      <c r="AL1262" s="6" t="n">
        <v>1.0245571018656</v>
      </c>
      <c r="AN1262" s="6" t="n">
        <v>1.30896402571431</v>
      </c>
      <c r="AO1262" s="6" t="n">
        <v>1.31027408709117</v>
      </c>
      <c r="AP1262" s="6" t="n">
        <v>0.137324515587661</v>
      </c>
      <c r="AQ1262" s="6" t="n">
        <v>0</v>
      </c>
      <c r="AR1262" s="6" t="n">
        <v>0</v>
      </c>
    </row>
    <row r="1263" customFormat="false" ht="15" hidden="false" customHeight="false" outlineLevel="0" collapsed="false">
      <c r="D1263" s="0" t="s">
        <v>1389</v>
      </c>
      <c r="J1263" s="6" t="n">
        <v>2.08535543370352</v>
      </c>
      <c r="K1263" s="6" t="n">
        <v>-2.22980600608097</v>
      </c>
      <c r="L1263" s="6" t="n">
        <v>-1.13350455609988</v>
      </c>
      <c r="M1263" s="6" t="n">
        <v>0.30934597872909</v>
      </c>
      <c r="N1263" s="6" t="n">
        <v>-1.08363437507975</v>
      </c>
      <c r="O1263" s="6" t="n">
        <v>3.61832590511047</v>
      </c>
      <c r="P1263" s="6" t="n">
        <v>0.0242345868285044</v>
      </c>
      <c r="Q1263" s="6" t="n">
        <v>-3.31827402787554</v>
      </c>
      <c r="R1263" s="6" t="n">
        <v>-2.75343090417814</v>
      </c>
      <c r="S1263" s="6" t="n">
        <v>1.77175597665176</v>
      </c>
      <c r="T1263" s="6" t="n">
        <v>0.598056736563513</v>
      </c>
      <c r="U1263" s="6" t="n">
        <v>-0.227579409759424</v>
      </c>
      <c r="V1263" s="6" t="n">
        <v>0.643824027980332</v>
      </c>
      <c r="W1263" s="6" t="n">
        <v>-3.25384011581674</v>
      </c>
      <c r="X1263" s="6" t="n">
        <v>1.0609283495725</v>
      </c>
      <c r="Y1263" s="6" t="n">
        <v>-1.23945309465181</v>
      </c>
      <c r="Z1263" s="6" t="n">
        <v>0.30258448166138</v>
      </c>
      <c r="AA1263" s="6" t="n">
        <v>-0.734797896717602</v>
      </c>
      <c r="AB1263" s="6" t="n">
        <v>1.54668811204264</v>
      </c>
      <c r="AC1263" s="6" t="n">
        <v>2.15418133021006</v>
      </c>
      <c r="AD1263" s="6" t="n">
        <v>1.12410655434123</v>
      </c>
      <c r="AE1263" s="6" t="n">
        <v>-0.883625935458615</v>
      </c>
      <c r="AF1263" s="6" t="n">
        <v>2.2665382120312</v>
      </c>
      <c r="AG1263" s="6" t="n">
        <v>0.252288351543574</v>
      </c>
      <c r="AH1263" s="6" t="n">
        <v>0.116497149435016</v>
      </c>
      <c r="AI1263" s="6" t="n">
        <v>0.803202840457857</v>
      </c>
      <c r="AJ1263" s="6" t="n">
        <v>56.3779547095759</v>
      </c>
      <c r="AK1263" s="6" t="n">
        <v>0.154384325770304</v>
      </c>
      <c r="AL1263" s="6" t="n">
        <v>1.1096712554661</v>
      </c>
      <c r="AN1263" s="6" t="n">
        <v>1.26527263912616</v>
      </c>
      <c r="AO1263" s="6" t="n">
        <v>1.26618203898917</v>
      </c>
      <c r="AP1263" s="6" t="n">
        <v>0.128654756133783</v>
      </c>
      <c r="AQ1263" s="6" t="n">
        <v>0</v>
      </c>
      <c r="AR1263" s="6" t="n">
        <v>0</v>
      </c>
    </row>
    <row r="1264" customFormat="false" ht="15" hidden="false" customHeight="false" outlineLevel="0" collapsed="false">
      <c r="D1264" s="0" t="s">
        <v>1390</v>
      </c>
      <c r="J1264" s="6" t="n">
        <v>3.24412406805334</v>
      </c>
      <c r="K1264" s="6" t="n">
        <v>1.70661574619988</v>
      </c>
      <c r="L1264" s="6" t="n">
        <v>-0.364268516841176</v>
      </c>
      <c r="M1264" s="6" t="n">
        <v>-1.20650036026862</v>
      </c>
      <c r="N1264" s="6" t="n">
        <v>-2.25708179309419</v>
      </c>
      <c r="O1264" s="6" t="n">
        <v>-1.12913122968361</v>
      </c>
      <c r="P1264" s="6" t="n">
        <v>-0.324566693136869</v>
      </c>
      <c r="Q1264" s="6" t="n">
        <v>2.4630331894149</v>
      </c>
      <c r="R1264" s="6" t="n">
        <v>1.54999145451903</v>
      </c>
      <c r="S1264" s="6" t="n">
        <v>-1.21673237914615</v>
      </c>
      <c r="T1264" s="6" t="n">
        <v>0.938905192057553</v>
      </c>
      <c r="U1264" s="6" t="n">
        <v>-0.166347288418785</v>
      </c>
      <c r="V1264" s="6" t="n">
        <v>-4.11355670379977</v>
      </c>
      <c r="W1264" s="6" t="n">
        <v>1.14918838435069</v>
      </c>
      <c r="X1264" s="6" t="n">
        <v>4.17128871605184</v>
      </c>
      <c r="Y1264" s="6" t="n">
        <v>-2.34989200217015</v>
      </c>
      <c r="Z1264" s="6" t="n">
        <v>-2.24879780002622</v>
      </c>
      <c r="AA1264" s="6" t="n">
        <v>-0.811526185559732</v>
      </c>
      <c r="AB1264" s="6" t="n">
        <v>-2.82640623567676</v>
      </c>
      <c r="AC1264" s="6" t="n">
        <v>-0.674199959579872</v>
      </c>
      <c r="AD1264" s="6" t="n">
        <v>-2.4593786936343</v>
      </c>
      <c r="AE1264" s="6" t="n">
        <v>2.39211936306077</v>
      </c>
      <c r="AF1264" s="6" t="n">
        <v>0.168720713679846</v>
      </c>
      <c r="AG1264" s="6" t="n">
        <v>-1.85967824536602</v>
      </c>
      <c r="AH1264" s="6" t="n">
        <v>-1.53852794551185</v>
      </c>
      <c r="AI1264" s="6" t="n">
        <v>1.09768764846565</v>
      </c>
      <c r="AJ1264" s="6" t="n">
        <v>83.0760682533802</v>
      </c>
      <c r="AK1264" s="6" t="n">
        <v>0.0764841374669572</v>
      </c>
      <c r="AL1264" s="6" t="n">
        <v>1.01781068676814</v>
      </c>
      <c r="AN1264" s="6" t="n">
        <v>1.3200136370518</v>
      </c>
      <c r="AO1264" s="6" t="n">
        <v>1.3200136370518</v>
      </c>
      <c r="AP1264" s="6" t="n">
        <v>0.140221422658349</v>
      </c>
      <c r="AQ1264" s="6" t="n">
        <v>0</v>
      </c>
      <c r="AR1264" s="6" t="n">
        <v>0</v>
      </c>
    </row>
    <row r="1265" customFormat="false" ht="15" hidden="false" customHeight="false" outlineLevel="0" collapsed="false">
      <c r="D1265" s="0" t="s">
        <v>1391</v>
      </c>
      <c r="J1265" s="6" t="n">
        <v>0.439957311498861</v>
      </c>
      <c r="K1265" s="6" t="n">
        <v>-3.69685810374946</v>
      </c>
      <c r="L1265" s="6" t="n">
        <v>0.329298477369438</v>
      </c>
      <c r="M1265" s="6" t="n">
        <v>-1.27147235495411</v>
      </c>
      <c r="N1265" s="6" t="n">
        <v>-1.17959858934277</v>
      </c>
      <c r="O1265" s="6" t="n">
        <v>1.64482561238357</v>
      </c>
      <c r="P1265" s="6" t="n">
        <v>-2.29124567150337</v>
      </c>
      <c r="Q1265" s="6" t="n">
        <v>0.738888145463998</v>
      </c>
      <c r="R1265" s="6" t="n">
        <v>-1.04076295570584</v>
      </c>
      <c r="S1265" s="6" t="n">
        <v>0.729815238821758</v>
      </c>
      <c r="T1265" s="6" t="n">
        <v>-2.67110116064715</v>
      </c>
      <c r="U1265" s="6" t="n">
        <v>-3.04727497325119</v>
      </c>
      <c r="V1265" s="6" t="n">
        <v>1.8134033707436</v>
      </c>
      <c r="W1265" s="6" t="n">
        <v>3.4064302293071</v>
      </c>
      <c r="X1265" s="6" t="n">
        <v>-2.3834258699486</v>
      </c>
      <c r="Y1265" s="6" t="n">
        <v>-3.56321123397105</v>
      </c>
      <c r="Z1265" s="6" t="n">
        <v>2.4567065932296</v>
      </c>
      <c r="AA1265" s="6" t="n">
        <v>2.36463626813873</v>
      </c>
      <c r="AB1265" s="6" t="n">
        <v>-3.42247491021666</v>
      </c>
      <c r="AC1265" s="6" t="n">
        <v>-0.382577646196406</v>
      </c>
      <c r="AD1265" s="6" t="n">
        <v>-2.09519574587289</v>
      </c>
      <c r="AE1265" s="6" t="n">
        <v>-1.61459249479595</v>
      </c>
      <c r="AF1265" s="6" t="n">
        <v>1.48106371153163</v>
      </c>
      <c r="AG1265" s="6" t="n">
        <v>0.21732171354766</v>
      </c>
      <c r="AH1265" s="6" t="n">
        <v>-1.68155062087143</v>
      </c>
      <c r="AI1265" s="6" t="n">
        <v>-1.56148401782053</v>
      </c>
      <c r="AJ1265" s="6" t="n">
        <v>72.7208033451865</v>
      </c>
      <c r="AK1265" s="6" t="n">
        <v>0.105568843698193</v>
      </c>
      <c r="AL1265" s="6" t="n">
        <v>1.05634263054576</v>
      </c>
      <c r="AN1265" s="6" t="n">
        <v>1.2938741113609</v>
      </c>
      <c r="AO1265" s="6" t="n">
        <v>1.29445336522867</v>
      </c>
      <c r="AP1265" s="6" t="n">
        <v>0.13377536703047</v>
      </c>
      <c r="AQ1265" s="6" t="n">
        <v>0</v>
      </c>
      <c r="AR1265" s="6" t="n">
        <v>0</v>
      </c>
    </row>
    <row r="1266" customFormat="false" ht="15" hidden="false" customHeight="false" outlineLevel="0" collapsed="false">
      <c r="D1266" s="0" t="s">
        <v>1392</v>
      </c>
      <c r="J1266" s="6" t="n">
        <v>-2.63914249032483</v>
      </c>
      <c r="K1266" s="6" t="n">
        <v>-0.375049519731407</v>
      </c>
      <c r="L1266" s="6" t="n">
        <v>2.81141220384575</v>
      </c>
      <c r="M1266" s="6" t="n">
        <v>-3.90477103515602</v>
      </c>
      <c r="N1266" s="6" t="n">
        <v>-0.945820088773447</v>
      </c>
      <c r="O1266" s="6" t="n">
        <v>1.35616509902097</v>
      </c>
      <c r="P1266" s="6" t="n">
        <v>0.378531239499839</v>
      </c>
      <c r="Q1266" s="6" t="n">
        <v>-0.651944831170584</v>
      </c>
      <c r="R1266" s="6" t="n">
        <v>3.18591784196856</v>
      </c>
      <c r="S1266" s="6" t="n">
        <v>-3.52257775020263</v>
      </c>
      <c r="T1266" s="6" t="n">
        <v>-0.129095380292621</v>
      </c>
      <c r="U1266" s="6" t="n">
        <v>0.880618715487688</v>
      </c>
      <c r="V1266" s="6" t="n">
        <v>0.161940480052044</v>
      </c>
      <c r="W1266" s="6" t="n">
        <v>1.3221877218548</v>
      </c>
      <c r="X1266" s="6" t="n">
        <v>1.86127509581688</v>
      </c>
      <c r="Y1266" s="6" t="n">
        <v>-3.15928625668281</v>
      </c>
      <c r="Z1266" s="6" t="n">
        <v>1.45402325450665</v>
      </c>
      <c r="AA1266" s="6" t="n">
        <v>0.371329061193835</v>
      </c>
      <c r="AB1266" s="6" t="n">
        <v>1.22656223125393</v>
      </c>
      <c r="AC1266" s="6" t="n">
        <v>-1.20072082642621</v>
      </c>
      <c r="AD1266" s="6" t="n">
        <v>1.66045862040741</v>
      </c>
      <c r="AE1266" s="6" t="n">
        <v>-4.01762192732453</v>
      </c>
      <c r="AF1266" s="6" t="n">
        <v>0.962593299213297</v>
      </c>
      <c r="AG1266" s="6" t="n">
        <v>2.21965639269418</v>
      </c>
      <c r="AH1266" s="6" t="n">
        <v>-1.75199827668753</v>
      </c>
      <c r="AI1266" s="6" t="n">
        <v>0.133278701467985</v>
      </c>
      <c r="AJ1266" s="6" t="n">
        <v>77.1634054628802</v>
      </c>
      <c r="AK1266" s="6" t="n">
        <v>0.135066013836122</v>
      </c>
      <c r="AL1266" s="6" t="n">
        <v>1.05481686637201</v>
      </c>
      <c r="AN1266" s="6" t="n">
        <v>1.29292728144642</v>
      </c>
      <c r="AO1266" s="6" t="n">
        <v>1.29327971871362</v>
      </c>
      <c r="AP1266" s="6" t="n">
        <v>0.13294434308712</v>
      </c>
      <c r="AQ1266" s="6" t="n">
        <v>0</v>
      </c>
      <c r="AR1266" s="6" t="n">
        <v>0</v>
      </c>
    </row>
    <row r="1267" customFormat="false" ht="15" hidden="false" customHeight="false" outlineLevel="0" collapsed="false">
      <c r="D1267" s="0" t="s">
        <v>1393</v>
      </c>
      <c r="J1267" s="6" t="n">
        <v>1.39689371615274</v>
      </c>
      <c r="K1267" s="6" t="n">
        <v>-0.842327048887645</v>
      </c>
      <c r="L1267" s="6" t="n">
        <v>2.29691514866009</v>
      </c>
      <c r="M1267" s="6" t="n">
        <v>2.55216901240397</v>
      </c>
      <c r="N1267" s="6" t="n">
        <v>-0.166426198147973</v>
      </c>
      <c r="O1267" s="6" t="n">
        <v>-2.95530826698005</v>
      </c>
      <c r="P1267" s="6" t="n">
        <v>-0.0588805998039722</v>
      </c>
      <c r="Q1267" s="6" t="n">
        <v>-1.7692161835132</v>
      </c>
      <c r="R1267" s="6" t="n">
        <v>2.1893455456071</v>
      </c>
      <c r="S1267" s="6" t="n">
        <v>-0.277034742908163</v>
      </c>
      <c r="T1267" s="6" t="n">
        <v>-2.16110190228215</v>
      </c>
      <c r="U1267" s="6" t="n">
        <v>0.153372242204151</v>
      </c>
      <c r="V1267" s="6" t="n">
        <v>-0.0472976007925472</v>
      </c>
      <c r="W1267" s="6" t="n">
        <v>0.430744374650287</v>
      </c>
      <c r="X1267" s="6" t="n">
        <v>3.86819910738577</v>
      </c>
      <c r="Y1267" s="6" t="n">
        <v>-2.1545217304625</v>
      </c>
      <c r="Z1267" s="6" t="n">
        <v>-0.433457614729579</v>
      </c>
      <c r="AA1267" s="6" t="n">
        <v>1.33679584796778</v>
      </c>
      <c r="AB1267" s="6" t="n">
        <v>1.09203882910128</v>
      </c>
      <c r="AC1267" s="6" t="n">
        <v>0.67167422821612</v>
      </c>
      <c r="AD1267" s="6" t="n">
        <v>-0.899295531948467</v>
      </c>
      <c r="AE1267" s="6" t="n">
        <v>-2.12964978500895</v>
      </c>
      <c r="AF1267" s="6" t="n">
        <v>-4.25284074781743</v>
      </c>
      <c r="AG1267" s="6" t="n">
        <v>-2.1721000376117</v>
      </c>
      <c r="AH1267" s="6" t="n">
        <v>0.622998449535216</v>
      </c>
      <c r="AI1267" s="6" t="n">
        <v>2.34868379465593</v>
      </c>
      <c r="AJ1267" s="6" t="n">
        <v>82.1515288949669</v>
      </c>
      <c r="AK1267" s="6" t="n">
        <v>0.102189713527737</v>
      </c>
      <c r="AL1267" s="6" t="n">
        <v>1.03722371360816</v>
      </c>
      <c r="AN1267" s="6" t="n">
        <v>1.31253195393847</v>
      </c>
      <c r="AO1267" s="6" t="n">
        <v>1.31277612294045</v>
      </c>
      <c r="AP1267" s="6" t="n">
        <v>0.136545887046954</v>
      </c>
      <c r="AQ1267" s="6" t="n">
        <v>0</v>
      </c>
      <c r="AR1267" s="6" t="n">
        <v>0</v>
      </c>
    </row>
    <row r="1268" customFormat="false" ht="15" hidden="false" customHeight="false" outlineLevel="0" collapsed="false">
      <c r="D1268" s="0" t="s">
        <v>1394</v>
      </c>
      <c r="J1268" s="6" t="n">
        <v>-0.892567722762739</v>
      </c>
      <c r="K1268" s="6" t="n">
        <v>2.58515729541564</v>
      </c>
      <c r="L1268" s="6" t="n">
        <v>-4.00842453856122</v>
      </c>
      <c r="M1268" s="6" t="n">
        <v>1.09933980664225</v>
      </c>
      <c r="N1268" s="6" t="n">
        <v>0.318129205099348</v>
      </c>
      <c r="O1268" s="6" t="n">
        <v>-0.803800697722725</v>
      </c>
      <c r="P1268" s="6" t="n">
        <v>-0.176377080280604</v>
      </c>
      <c r="Q1268" s="6" t="n">
        <v>-6.61616118824293</v>
      </c>
      <c r="R1268" s="6" t="n">
        <v>-2.57000984831452</v>
      </c>
      <c r="S1268" s="6" t="n">
        <v>-0.969472977825399</v>
      </c>
      <c r="T1268" s="6" t="n">
        <v>0.329985493243938</v>
      </c>
      <c r="U1268" s="6" t="n">
        <v>0.295574993862653</v>
      </c>
      <c r="V1268" s="6" t="n">
        <v>-0.873847391659512</v>
      </c>
      <c r="W1268" s="6" t="n">
        <v>2.68111090691143</v>
      </c>
      <c r="X1268" s="6" t="n">
        <v>1.23179448273606</v>
      </c>
      <c r="Y1268" s="6" t="n">
        <v>0.0634131887707811</v>
      </c>
      <c r="Z1268" s="6" t="n">
        <v>-1.47493971122501</v>
      </c>
      <c r="AA1268" s="6" t="n">
        <v>-2.29897113341755</v>
      </c>
      <c r="AB1268" s="6" t="n">
        <v>-3.95413167376167</v>
      </c>
      <c r="AC1268" s="6" t="n">
        <v>-1.26273355240186</v>
      </c>
      <c r="AD1268" s="6" t="n">
        <v>-3.59848103032609</v>
      </c>
      <c r="AE1268" s="6" t="n">
        <v>-0.520586952736664</v>
      </c>
      <c r="AF1268" s="6" t="n">
        <v>2.89786332786078</v>
      </c>
      <c r="AG1268" s="6" t="n">
        <v>-1.86201240804213</v>
      </c>
      <c r="AH1268" s="6" t="n">
        <v>-1.62371599066741</v>
      </c>
      <c r="AI1268" s="6" t="n">
        <v>0.914633130961559</v>
      </c>
      <c r="AJ1268" s="6" t="n">
        <v>77.0229961891464</v>
      </c>
      <c r="AK1268" s="6" t="n">
        <v>0.17495318594752</v>
      </c>
      <c r="AL1268" s="6" t="n">
        <v>1.10811818154304</v>
      </c>
      <c r="AN1268" s="6" t="n">
        <v>1.26521080841616</v>
      </c>
      <c r="AO1268" s="6" t="n">
        <v>1.27063204901516</v>
      </c>
      <c r="AP1268" s="6" t="n">
        <v>0.128269397254236</v>
      </c>
      <c r="AQ1268" s="6" t="n">
        <v>0</v>
      </c>
      <c r="AR1268" s="6" t="n">
        <v>0</v>
      </c>
    </row>
    <row r="1269" customFormat="false" ht="15" hidden="false" customHeight="false" outlineLevel="0" collapsed="false">
      <c r="D1269" s="0" t="s">
        <v>1395</v>
      </c>
      <c r="J1269" s="6" t="n">
        <v>2.47407739860286</v>
      </c>
      <c r="K1269" s="6" t="n">
        <v>3.57296585595821</v>
      </c>
      <c r="L1269" s="6" t="n">
        <v>-2.17149470983246</v>
      </c>
      <c r="M1269" s="6" t="n">
        <v>1.3593574019506</v>
      </c>
      <c r="N1269" s="6" t="n">
        <v>0.770153688996528</v>
      </c>
      <c r="O1269" s="6" t="n">
        <v>0.30226380089137</v>
      </c>
      <c r="P1269" s="6" t="n">
        <v>0.0838464127302417</v>
      </c>
      <c r="Q1269" s="6" t="n">
        <v>5</v>
      </c>
      <c r="R1269" s="6" t="n">
        <v>1.77054252218399</v>
      </c>
      <c r="S1269" s="6" t="n">
        <v>1.98992630648943</v>
      </c>
      <c r="T1269" s="6" t="n">
        <v>0.455837331355305</v>
      </c>
      <c r="U1269" s="6" t="n">
        <v>-1.4380602761122</v>
      </c>
      <c r="V1269" s="6" t="n">
        <v>4.24484985169961</v>
      </c>
      <c r="W1269" s="6" t="n">
        <v>2.11324110088413</v>
      </c>
      <c r="X1269" s="6" t="n">
        <v>2.42600590364167</v>
      </c>
      <c r="Y1269" s="6" t="n">
        <v>-1.4984813021324</v>
      </c>
      <c r="Z1269" s="6" t="n">
        <v>3.1901988601055</v>
      </c>
      <c r="AA1269" s="6" t="n">
        <v>1.89714905144092</v>
      </c>
      <c r="AB1269" s="6" t="n">
        <v>-0.164178936462487</v>
      </c>
      <c r="AC1269" s="6" t="n">
        <v>-1.00524997771448</v>
      </c>
      <c r="AD1269" s="6" t="n">
        <v>-0.101187085792165</v>
      </c>
      <c r="AE1269" s="6" t="n">
        <v>0.611359162197549</v>
      </c>
      <c r="AF1269" s="6" t="n">
        <v>-2.41516703794894</v>
      </c>
      <c r="AG1269" s="6" t="n">
        <v>0.478161076587103</v>
      </c>
      <c r="AH1269" s="6" t="n">
        <v>4.83445640813608</v>
      </c>
      <c r="AI1269" s="6" t="n">
        <v>0.333051413316784</v>
      </c>
      <c r="AJ1269" s="6" t="n">
        <v>77.8983120108034</v>
      </c>
      <c r="AK1269" s="6" t="n">
        <v>0.0626574370549551</v>
      </c>
      <c r="AL1269" s="6" t="n">
        <v>1.09174871879411</v>
      </c>
      <c r="AN1269" s="6" t="n">
        <v>1.28922522035146</v>
      </c>
      <c r="AO1269" s="6" t="n">
        <v>1.28970140367275</v>
      </c>
      <c r="AP1269" s="6" t="n">
        <v>0.132953378987831</v>
      </c>
      <c r="AQ1269" s="6" t="n">
        <v>0</v>
      </c>
      <c r="AR1269" s="6" t="n">
        <v>0</v>
      </c>
    </row>
    <row r="1270" customFormat="false" ht="15" hidden="false" customHeight="false" outlineLevel="0" collapsed="false">
      <c r="D1270" s="0" t="s">
        <v>1396</v>
      </c>
      <c r="J1270" s="6" t="n">
        <v>1.93128027547281</v>
      </c>
      <c r="K1270" s="6" t="n">
        <v>1.14157624709468</v>
      </c>
      <c r="L1270" s="6" t="n">
        <v>0.0510635265258168</v>
      </c>
      <c r="M1270" s="6" t="n">
        <v>0.99403599517323</v>
      </c>
      <c r="N1270" s="6" t="n">
        <v>3.22038416297886</v>
      </c>
      <c r="O1270" s="6" t="n">
        <v>-2.75745157862818</v>
      </c>
      <c r="P1270" s="6" t="n">
        <v>1.43841720257025</v>
      </c>
      <c r="Q1270" s="6" t="n">
        <v>0.470354828414259</v>
      </c>
      <c r="R1270" s="6" t="n">
        <v>0.447460701134873</v>
      </c>
      <c r="S1270" s="6" t="n">
        <v>4.20875846890036</v>
      </c>
      <c r="T1270" s="6" t="n">
        <v>-3.26752718710678</v>
      </c>
      <c r="U1270" s="6" t="n">
        <v>-0.636800913005682</v>
      </c>
      <c r="V1270" s="6" t="n">
        <v>-0.0871663342190601</v>
      </c>
      <c r="W1270" s="6" t="n">
        <v>-2.13201324776335</v>
      </c>
      <c r="X1270" s="6" t="n">
        <v>-0.75498868575678</v>
      </c>
      <c r="Y1270" s="6" t="n">
        <v>-3.11495593537333</v>
      </c>
      <c r="Z1270" s="6" t="n">
        <v>-2.92259796441044</v>
      </c>
      <c r="AA1270" s="6" t="n">
        <v>2.79678060463333</v>
      </c>
      <c r="AB1270" s="6" t="n">
        <v>-0.858385901705134</v>
      </c>
      <c r="AC1270" s="6" t="n">
        <v>-0.176004110502223</v>
      </c>
      <c r="AD1270" s="6" t="n">
        <v>2.9560035956392</v>
      </c>
      <c r="AE1270" s="6" t="n">
        <v>-1.28294629074193</v>
      </c>
      <c r="AF1270" s="6" t="n">
        <v>-1.72069271375794</v>
      </c>
      <c r="AG1270" s="6" t="n">
        <v>4.54887253026094</v>
      </c>
      <c r="AH1270" s="6" t="n">
        <v>2.7313969264344</v>
      </c>
      <c r="AI1270" s="6" t="n">
        <v>2.30754062789997</v>
      </c>
      <c r="AJ1270" s="6" t="n">
        <v>75.7339022104659</v>
      </c>
      <c r="AK1270" s="6" t="n">
        <v>0.080502443120738</v>
      </c>
      <c r="AL1270" s="6" t="n">
        <v>1.01650515828733</v>
      </c>
      <c r="AN1270" s="6" t="n">
        <v>1.31366816479736</v>
      </c>
      <c r="AO1270" s="6" t="n">
        <v>1.31366816479736</v>
      </c>
      <c r="AP1270" s="6" t="n">
        <v>0.139316448992581</v>
      </c>
      <c r="AQ1270" s="6" t="n">
        <v>0</v>
      </c>
      <c r="AR1270" s="6" t="n">
        <v>0</v>
      </c>
    </row>
    <row r="1271" customFormat="false" ht="15" hidden="false" customHeight="false" outlineLevel="0" collapsed="false">
      <c r="D1271" s="0" t="s">
        <v>1397</v>
      </c>
      <c r="J1271" s="6" t="n">
        <v>1.97410411269658</v>
      </c>
      <c r="K1271" s="6" t="n">
        <v>1.49517639275073</v>
      </c>
      <c r="L1271" s="6" t="n">
        <v>-0.614489060824736</v>
      </c>
      <c r="M1271" s="6" t="n">
        <v>-0.0770511035990059</v>
      </c>
      <c r="N1271" s="6" t="n">
        <v>1.02612009110396</v>
      </c>
      <c r="O1271" s="6" t="n">
        <v>0.0205701009887382</v>
      </c>
      <c r="P1271" s="6" t="n">
        <v>-0.625559199109299</v>
      </c>
      <c r="Q1271" s="6" t="n">
        <v>4.23082827811496</v>
      </c>
      <c r="R1271" s="6" t="n">
        <v>0.346988053634064</v>
      </c>
      <c r="S1271" s="6" t="n">
        <v>3.54791318986155</v>
      </c>
      <c r="T1271" s="6" t="n">
        <v>-1.85634040224181</v>
      </c>
      <c r="U1271" s="6" t="n">
        <v>-1.71395822662753</v>
      </c>
      <c r="V1271" s="6" t="n">
        <v>-0.878500948542923</v>
      </c>
      <c r="W1271" s="6" t="n">
        <v>1.42853130077714</v>
      </c>
      <c r="X1271" s="6" t="n">
        <v>-1.36071433345025</v>
      </c>
      <c r="Y1271" s="6" t="n">
        <v>0.438512683840752</v>
      </c>
      <c r="Z1271" s="6" t="n">
        <v>-1.30118729380003</v>
      </c>
      <c r="AA1271" s="6" t="n">
        <v>-0.246450261406684</v>
      </c>
      <c r="AB1271" s="6" t="n">
        <v>-5.22676204235095</v>
      </c>
      <c r="AC1271" s="6" t="n">
        <v>-0.353214020459812</v>
      </c>
      <c r="AD1271" s="6" t="n">
        <v>0.476080646014001</v>
      </c>
      <c r="AE1271" s="6" t="n">
        <v>0.33778409155063</v>
      </c>
      <c r="AF1271" s="6" t="n">
        <v>0.77187157561144</v>
      </c>
      <c r="AG1271" s="6" t="n">
        <v>2.16388352873898</v>
      </c>
      <c r="AH1271" s="6" t="n">
        <v>-2.92781870290324</v>
      </c>
      <c r="AI1271" s="6" t="n">
        <v>-2.34008562819453</v>
      </c>
      <c r="AJ1271" s="6" t="n">
        <v>72.2120395332886</v>
      </c>
      <c r="AK1271" s="6" t="n">
        <v>0.132468614851528</v>
      </c>
      <c r="AL1271" s="6" t="n">
        <v>1.0905601644829</v>
      </c>
      <c r="AN1271" s="6" t="n">
        <v>1.27953454277705</v>
      </c>
      <c r="AO1271" s="6" t="n">
        <v>1.28025895741544</v>
      </c>
      <c r="AP1271" s="6" t="n">
        <v>0.130927431383546</v>
      </c>
      <c r="AQ1271" s="6" t="n">
        <v>0</v>
      </c>
      <c r="AR1271" s="6" t="n">
        <v>0</v>
      </c>
    </row>
    <row r="1272" customFormat="false" ht="15" hidden="false" customHeight="false" outlineLevel="0" collapsed="false">
      <c r="D1272" s="0" t="s">
        <v>1398</v>
      </c>
      <c r="J1272" s="6" t="n">
        <v>2.49804244840636</v>
      </c>
      <c r="K1272" s="6" t="n">
        <v>0.351666188242923</v>
      </c>
      <c r="L1272" s="6" t="n">
        <v>-3.34941146794812</v>
      </c>
      <c r="M1272" s="6" t="n">
        <v>-3.78138389158279</v>
      </c>
      <c r="N1272" s="6" t="n">
        <v>-3.49121453505667</v>
      </c>
      <c r="O1272" s="6" t="n">
        <v>-2.95662062263368</v>
      </c>
      <c r="P1272" s="6" t="n">
        <v>-1.75234571673735</v>
      </c>
      <c r="Q1272" s="6" t="n">
        <v>1.14852634775195</v>
      </c>
      <c r="R1272" s="6" t="n">
        <v>-1.19462238743033</v>
      </c>
      <c r="S1272" s="6" t="n">
        <v>0.863118997956686</v>
      </c>
      <c r="T1272" s="6" t="n">
        <v>-0.909700111205414</v>
      </c>
      <c r="U1272" s="6" t="n">
        <v>1.55884445034497</v>
      </c>
      <c r="V1272" s="6" t="n">
        <v>-0.322719351489755</v>
      </c>
      <c r="W1272" s="6" t="n">
        <v>-0.594155628750473</v>
      </c>
      <c r="X1272" s="6" t="n">
        <v>-3.31110508706456</v>
      </c>
      <c r="Y1272" s="6" t="n">
        <v>1.99045592674036</v>
      </c>
      <c r="Z1272" s="6" t="n">
        <v>0.406976132160066</v>
      </c>
      <c r="AA1272" s="6" t="n">
        <v>2.40405605026808</v>
      </c>
      <c r="AB1272" s="6" t="n">
        <v>0.455488643061007</v>
      </c>
      <c r="AC1272" s="6" t="n">
        <v>0.46774911249009</v>
      </c>
      <c r="AD1272" s="6" t="n">
        <v>-0.811350898299716</v>
      </c>
      <c r="AE1272" s="6" t="n">
        <v>1.96349938770725</v>
      </c>
      <c r="AF1272" s="6" t="n">
        <v>-2.05551890400016</v>
      </c>
      <c r="AG1272" s="6" t="n">
        <v>-1.02754890233807</v>
      </c>
      <c r="AH1272" s="6" t="n">
        <v>-0.00527206437018973</v>
      </c>
      <c r="AI1272" s="6" t="n">
        <v>1.71661194930464</v>
      </c>
      <c r="AJ1272" s="6" t="n">
        <v>65.8677106969374</v>
      </c>
      <c r="AK1272" s="6" t="n">
        <v>0.120254264466369</v>
      </c>
      <c r="AL1272" s="6" t="n">
        <v>1.0205369603977</v>
      </c>
      <c r="AN1272" s="6" t="n">
        <v>1.30788748038561</v>
      </c>
      <c r="AO1272" s="6" t="n">
        <v>1.30788748038561</v>
      </c>
      <c r="AP1272" s="6" t="n">
        <v>0.136295114783153</v>
      </c>
      <c r="AQ1272" s="6" t="n">
        <v>0</v>
      </c>
      <c r="AR1272" s="6" t="n">
        <v>0</v>
      </c>
    </row>
    <row r="1273" customFormat="false" ht="15" hidden="false" customHeight="false" outlineLevel="0" collapsed="false">
      <c r="D1273" s="0" t="s">
        <v>1399</v>
      </c>
      <c r="J1273" s="6" t="n">
        <v>-3.16590524491021</v>
      </c>
      <c r="K1273" s="6" t="n">
        <v>-1.96016679184733</v>
      </c>
      <c r="L1273" s="6" t="n">
        <v>-0.735696727743385</v>
      </c>
      <c r="M1273" s="6" t="n">
        <v>-2.19274113833925</v>
      </c>
      <c r="N1273" s="6" t="n">
        <v>3.12865968227585</v>
      </c>
      <c r="O1273" s="6" t="n">
        <v>2.1337382793141</v>
      </c>
      <c r="P1273" s="6" t="n">
        <v>1.25349864520694</v>
      </c>
      <c r="Q1273" s="6" t="n">
        <v>-1.05866607714217</v>
      </c>
      <c r="R1273" s="6" t="n">
        <v>1.98276671888484</v>
      </c>
      <c r="S1273" s="6" t="n">
        <v>-2.42632187368835</v>
      </c>
      <c r="T1273" s="6" t="n">
        <v>-2.15049395210511</v>
      </c>
      <c r="U1273" s="6" t="n">
        <v>0.260381816584628</v>
      </c>
      <c r="V1273" s="6" t="n">
        <v>-2.65304071953529</v>
      </c>
      <c r="W1273" s="6" t="n">
        <v>-1.99527885093635</v>
      </c>
      <c r="X1273" s="6" t="n">
        <v>0.555746674587389</v>
      </c>
      <c r="Y1273" s="6" t="n">
        <v>3.98657116429634</v>
      </c>
      <c r="Z1273" s="6" t="n">
        <v>-0.854557396450635</v>
      </c>
      <c r="AA1273" s="6" t="n">
        <v>-0.305415961042574</v>
      </c>
      <c r="AB1273" s="6" t="n">
        <v>-0.146802809275143</v>
      </c>
      <c r="AC1273" s="6" t="n">
        <v>-2.06480571491073</v>
      </c>
      <c r="AD1273" s="6" t="n">
        <v>0.480825692258874</v>
      </c>
      <c r="AE1273" s="6" t="n">
        <v>0.237524526348804</v>
      </c>
      <c r="AF1273" s="6" t="n">
        <v>-1.56530565996973</v>
      </c>
      <c r="AG1273" s="6" t="n">
        <v>-1.38078810438586</v>
      </c>
      <c r="AH1273" s="6" t="n">
        <v>-3.71247238324437</v>
      </c>
      <c r="AI1273" s="6" t="n">
        <v>4.23557129512088</v>
      </c>
      <c r="AJ1273" s="6" t="n">
        <v>70.5774361010852</v>
      </c>
      <c r="AK1273" s="6" t="n">
        <v>0.166050322049875</v>
      </c>
      <c r="AL1273" s="6" t="n">
        <v>1.05662483938417</v>
      </c>
      <c r="AN1273" s="6" t="n">
        <v>1.28428998952294</v>
      </c>
      <c r="AO1273" s="6" t="n">
        <v>1.28515210456212</v>
      </c>
      <c r="AP1273" s="6" t="n">
        <v>0.132287601066471</v>
      </c>
      <c r="AQ1273" s="6" t="n">
        <v>0</v>
      </c>
      <c r="AR1273" s="6" t="n">
        <v>0</v>
      </c>
    </row>
    <row r="1274" customFormat="false" ht="15" hidden="false" customHeight="false" outlineLevel="0" collapsed="false">
      <c r="D1274" s="0" t="s">
        <v>1400</v>
      </c>
      <c r="J1274" s="6" t="n">
        <v>-1.84948301973352</v>
      </c>
      <c r="K1274" s="6" t="n">
        <v>-3.52867107071437</v>
      </c>
      <c r="L1274" s="6" t="n">
        <v>0.521586621247978</v>
      </c>
      <c r="M1274" s="6" t="n">
        <v>1.80817259579906</v>
      </c>
      <c r="N1274" s="6" t="n">
        <v>0.121989379034536</v>
      </c>
      <c r="O1274" s="6" t="n">
        <v>1.13233464914506</v>
      </c>
      <c r="P1274" s="6" t="n">
        <v>4.35461395864649</v>
      </c>
      <c r="Q1274" s="6" t="n">
        <v>-0.781970814042278</v>
      </c>
      <c r="R1274" s="6" t="n">
        <v>-0.678606675257322</v>
      </c>
      <c r="S1274" s="6" t="n">
        <v>-0.179819902351685</v>
      </c>
      <c r="T1274" s="6" t="n">
        <v>1.85220156982731</v>
      </c>
      <c r="U1274" s="6" t="n">
        <v>3.53158269654149</v>
      </c>
      <c r="V1274" s="6" t="n">
        <v>-0.443397949968997</v>
      </c>
      <c r="W1274" s="6" t="n">
        <v>2.56460962689701</v>
      </c>
      <c r="X1274" s="6" t="n">
        <v>-0.215844263487128</v>
      </c>
      <c r="Y1274" s="6" t="n">
        <v>0.522512962642154</v>
      </c>
      <c r="Z1274" s="6" t="n">
        <v>-3.94391065555018</v>
      </c>
      <c r="AA1274" s="6" t="n">
        <v>-1.14967292372081</v>
      </c>
      <c r="AB1274" s="6" t="n">
        <v>2.185922002253</v>
      </c>
      <c r="AC1274" s="6" t="n">
        <v>-0.572159922075724</v>
      </c>
      <c r="AD1274" s="6" t="n">
        <v>1.35290492701682</v>
      </c>
      <c r="AE1274" s="6" t="n">
        <v>1.41577261880164</v>
      </c>
      <c r="AF1274" s="6" t="n">
        <v>2.71223684411984</v>
      </c>
      <c r="AG1274" s="6" t="n">
        <v>-0.855838969986456</v>
      </c>
      <c r="AH1274" s="6" t="n">
        <v>-5.6760503209677</v>
      </c>
      <c r="AI1274" s="6" t="n">
        <v>-3.70026993588204</v>
      </c>
      <c r="AJ1274" s="6" t="n">
        <v>77.5914323017807</v>
      </c>
      <c r="AK1274" s="6" t="n">
        <v>0.0686882122427277</v>
      </c>
      <c r="AL1274" s="6" t="n">
        <v>1.06560571281766</v>
      </c>
      <c r="AN1274" s="6" t="n">
        <v>1.29644140348246</v>
      </c>
      <c r="AO1274" s="6" t="n">
        <v>1.29698733762583</v>
      </c>
      <c r="AP1274" s="6" t="n">
        <v>0.134392955214542</v>
      </c>
      <c r="AQ1274" s="6" t="n">
        <v>0</v>
      </c>
      <c r="AR1274" s="6" t="n">
        <v>0</v>
      </c>
    </row>
    <row r="1275" customFormat="false" ht="15" hidden="false" customHeight="false" outlineLevel="0" collapsed="false">
      <c r="D1275" s="0" t="s">
        <v>1401</v>
      </c>
      <c r="J1275" s="6" t="n">
        <v>-3.01279913251252</v>
      </c>
      <c r="K1275" s="6" t="n">
        <v>-3.43246950855485</v>
      </c>
      <c r="L1275" s="6" t="n">
        <v>0.139878010571249</v>
      </c>
      <c r="M1275" s="6" t="n">
        <v>0.973754527808757</v>
      </c>
      <c r="N1275" s="6" t="n">
        <v>-2.23005001323639</v>
      </c>
      <c r="O1275" s="6" t="n">
        <v>-2.71555977533286</v>
      </c>
      <c r="P1275" s="6" t="n">
        <v>-1.61698956757726</v>
      </c>
      <c r="Q1275" s="6" t="n">
        <v>-1.4748387989008</v>
      </c>
      <c r="R1275" s="6" t="n">
        <v>2.470976567178</v>
      </c>
      <c r="S1275" s="6" t="n">
        <v>1.07747191925592</v>
      </c>
      <c r="T1275" s="6" t="n">
        <v>1.27080373649271</v>
      </c>
      <c r="U1275" s="6" t="n">
        <v>0.706546403492526</v>
      </c>
      <c r="V1275" s="6" t="n">
        <v>-1.72141966918337</v>
      </c>
      <c r="W1275" s="6" t="n">
        <v>-0.996587262683987</v>
      </c>
      <c r="X1275" s="6" t="n">
        <v>1.91959829361992</v>
      </c>
      <c r="Y1275" s="6" t="n">
        <v>0.683685577760541</v>
      </c>
      <c r="Z1275" s="6" t="n">
        <v>0.262711941113364</v>
      </c>
      <c r="AA1275" s="6" t="n">
        <v>-0.907687768177395</v>
      </c>
      <c r="AB1275" s="6" t="n">
        <v>-0.139456269326306</v>
      </c>
      <c r="AC1275" s="6" t="n">
        <v>0.977654481149953</v>
      </c>
      <c r="AD1275" s="6" t="n">
        <v>0.852819651415711</v>
      </c>
      <c r="AE1275" s="6" t="n">
        <v>-4.57499879691481</v>
      </c>
      <c r="AF1275" s="6" t="n">
        <v>-1.54884477626749</v>
      </c>
      <c r="AG1275" s="6" t="n">
        <v>0.920367679174361</v>
      </c>
      <c r="AH1275" s="6" t="n">
        <v>1.85734274750478</v>
      </c>
      <c r="AI1275" s="6" t="n">
        <v>-0.57487636451427</v>
      </c>
      <c r="AJ1275" s="6" t="n">
        <v>66.9313067286559</v>
      </c>
      <c r="AK1275" s="6" t="n">
        <v>0.0742032934093758</v>
      </c>
      <c r="AL1275" s="6" t="n">
        <v>1.06280833694661</v>
      </c>
      <c r="AN1275" s="6" t="n">
        <v>1.29777864834485</v>
      </c>
      <c r="AO1275" s="6" t="n">
        <v>1.29830397934508</v>
      </c>
      <c r="AP1275" s="6" t="n">
        <v>0.133901251137481</v>
      </c>
      <c r="AQ1275" s="6" t="n">
        <v>0</v>
      </c>
      <c r="AR1275" s="6" t="n">
        <v>0</v>
      </c>
    </row>
    <row r="1276" customFormat="false" ht="15" hidden="false" customHeight="false" outlineLevel="0" collapsed="false">
      <c r="D1276" s="0" t="s">
        <v>1402</v>
      </c>
      <c r="J1276" s="6" t="n">
        <v>-0.589294972875376</v>
      </c>
      <c r="K1276" s="6" t="n">
        <v>-1.85222683867094</v>
      </c>
      <c r="L1276" s="6" t="n">
        <v>1.47022279810281</v>
      </c>
      <c r="M1276" s="6" t="n">
        <v>-0.212862798640846</v>
      </c>
      <c r="N1276" s="6" t="n">
        <v>-1.74193917016881</v>
      </c>
      <c r="O1276" s="6" t="n">
        <v>-1.1820832098262</v>
      </c>
      <c r="P1276" s="6" t="n">
        <v>-1.61779947011822</v>
      </c>
      <c r="Q1276" s="6" t="n">
        <v>0.0563306602706392</v>
      </c>
      <c r="R1276" s="6" t="n">
        <v>0.963465863917052</v>
      </c>
      <c r="S1276" s="6" t="n">
        <v>-1.52681715963994</v>
      </c>
      <c r="T1276" s="6" t="n">
        <v>-1.01754537517978</v>
      </c>
      <c r="U1276" s="6" t="n">
        <v>1.54438737689333</v>
      </c>
      <c r="V1276" s="6" t="n">
        <v>1.55540413168452</v>
      </c>
      <c r="W1276" s="6" t="n">
        <v>-0.117196353142867</v>
      </c>
      <c r="X1276" s="6" t="n">
        <v>0.0302006287843376</v>
      </c>
      <c r="Y1276" s="6" t="n">
        <v>-0.0376111329556953</v>
      </c>
      <c r="Z1276" s="6" t="n">
        <v>0.47862614977204</v>
      </c>
      <c r="AA1276" s="6" t="n">
        <v>0.329298667815529</v>
      </c>
      <c r="AB1276" s="6" t="n">
        <v>0.572055640473028</v>
      </c>
      <c r="AC1276" s="6" t="n">
        <v>0.235305933835526</v>
      </c>
      <c r="AD1276" s="6" t="n">
        <v>-2.10174387648304</v>
      </c>
      <c r="AE1276" s="6" t="n">
        <v>2.95403328740516</v>
      </c>
      <c r="AF1276" s="6" t="n">
        <v>-0.0103658047181582</v>
      </c>
      <c r="AG1276" s="6" t="n">
        <v>-2.86195356086781</v>
      </c>
      <c r="AH1276" s="6" t="n">
        <v>-0.162638780422824</v>
      </c>
      <c r="AI1276" s="6" t="n">
        <v>2.82973301573135</v>
      </c>
      <c r="AJ1276" s="6" t="n">
        <v>72.3044113589315</v>
      </c>
      <c r="AK1276" s="6" t="n">
        <v>0.139421964444224</v>
      </c>
      <c r="AL1276" s="6" t="n">
        <v>1.0613603142816</v>
      </c>
      <c r="AN1276" s="6" t="n">
        <v>1.29123220429065</v>
      </c>
      <c r="AO1276" s="6" t="n">
        <v>1.29176946732815</v>
      </c>
      <c r="AP1276" s="6" t="n">
        <v>0.132819225022654</v>
      </c>
      <c r="AQ1276" s="6" t="n">
        <v>0</v>
      </c>
      <c r="AR1276" s="6" t="n">
        <v>0</v>
      </c>
    </row>
    <row r="1277" customFormat="false" ht="15" hidden="false" customHeight="false" outlineLevel="0" collapsed="false">
      <c r="D1277" s="0" t="s">
        <v>1403</v>
      </c>
      <c r="J1277" s="6" t="n">
        <v>-3.32089062287587</v>
      </c>
      <c r="K1277" s="6" t="n">
        <v>-2.34856965648172</v>
      </c>
      <c r="L1277" s="6" t="n">
        <v>3.89090390308772</v>
      </c>
      <c r="M1277" s="6" t="n">
        <v>0.372441731539883</v>
      </c>
      <c r="N1277" s="6" t="n">
        <v>0.72271964752732</v>
      </c>
      <c r="O1277" s="6" t="n">
        <v>1.98582686743357</v>
      </c>
      <c r="P1277" s="6" t="n">
        <v>-0.846913588888746</v>
      </c>
      <c r="Q1277" s="6" t="n">
        <v>-1.8790794950023</v>
      </c>
      <c r="R1277" s="6" t="n">
        <v>-1.49594383752095</v>
      </c>
      <c r="S1277" s="6" t="n">
        <v>0.513638512559698</v>
      </c>
      <c r="T1277" s="6" t="n">
        <v>4.44375173959198</v>
      </c>
      <c r="U1277" s="6" t="n">
        <v>1.62152795853602</v>
      </c>
      <c r="V1277" s="6" t="n">
        <v>1.69099079989117</v>
      </c>
      <c r="W1277" s="6" t="n">
        <v>-1.5776495107518</v>
      </c>
      <c r="X1277" s="6" t="n">
        <v>-0.299929503460042</v>
      </c>
      <c r="Y1277" s="6" t="n">
        <v>3.85099061847078</v>
      </c>
      <c r="Z1277" s="6" t="n">
        <v>-1.63811339757291</v>
      </c>
      <c r="AA1277" s="6" t="n">
        <v>0.751820222026522</v>
      </c>
      <c r="AB1277" s="6" t="n">
        <v>0.611717561782032</v>
      </c>
      <c r="AC1277" s="6" t="n">
        <v>0.769604679030034</v>
      </c>
      <c r="AD1277" s="6" t="n">
        <v>-1.64246914361022</v>
      </c>
      <c r="AE1277" s="6" t="n">
        <v>0.0708555203103192</v>
      </c>
      <c r="AF1277" s="6" t="n">
        <v>0.366981110323363</v>
      </c>
      <c r="AG1277" s="6" t="n">
        <v>-0.486936092864039</v>
      </c>
      <c r="AH1277" s="6" t="n">
        <v>-1.15307568732319</v>
      </c>
      <c r="AI1277" s="6" t="n">
        <v>-2.96475375455165</v>
      </c>
      <c r="AJ1277" s="6" t="n">
        <v>69.9775495333561</v>
      </c>
      <c r="AK1277" s="6" t="n">
        <v>0.138851214855978</v>
      </c>
      <c r="AL1277" s="6" t="n">
        <v>1.05484054150922</v>
      </c>
      <c r="AN1277" s="6" t="n">
        <v>1.28897867133553</v>
      </c>
      <c r="AO1277" s="6" t="n">
        <v>1.28912619822534</v>
      </c>
      <c r="AP1277" s="6" t="n">
        <v>0.133042041963661</v>
      </c>
      <c r="AQ1277" s="6" t="n">
        <v>0</v>
      </c>
      <c r="AR1277" s="6" t="n">
        <v>0</v>
      </c>
    </row>
    <row r="1278" customFormat="false" ht="15" hidden="false" customHeight="false" outlineLevel="0" collapsed="false">
      <c r="D1278" s="0" t="s">
        <v>1404</v>
      </c>
      <c r="J1278" s="6" t="n">
        <v>1.09120514310705</v>
      </c>
      <c r="K1278" s="6" t="n">
        <v>0.961856959351396</v>
      </c>
      <c r="L1278" s="6" t="n">
        <v>-2.31011146816198</v>
      </c>
      <c r="M1278" s="6" t="n">
        <v>1.53959545739283</v>
      </c>
      <c r="N1278" s="6" t="n">
        <v>2.03089184205316</v>
      </c>
      <c r="O1278" s="6" t="n">
        <v>-0.527372954851873</v>
      </c>
      <c r="P1278" s="6" t="n">
        <v>-2.32775617983201</v>
      </c>
      <c r="Q1278" s="6" t="n">
        <v>-0.988551727502254</v>
      </c>
      <c r="R1278" s="6" t="n">
        <v>0.224384453569155</v>
      </c>
      <c r="S1278" s="6" t="n">
        <v>-1.05107626735516</v>
      </c>
      <c r="T1278" s="6" t="n">
        <v>1.8580972762821</v>
      </c>
      <c r="U1278" s="6" t="n">
        <v>0.911115424634261</v>
      </c>
      <c r="V1278" s="6" t="n">
        <v>-2.32952865856061</v>
      </c>
      <c r="W1278" s="6" t="n">
        <v>-1.03804058397773</v>
      </c>
      <c r="X1278" s="6" t="n">
        <v>0.748132682298115</v>
      </c>
      <c r="Y1278" s="6" t="n">
        <v>-3.38026745581434</v>
      </c>
      <c r="Z1278" s="6" t="n">
        <v>-1.62944990376417</v>
      </c>
      <c r="AA1278" s="6" t="n">
        <v>-0.760035578070532</v>
      </c>
      <c r="AB1278" s="6" t="n">
        <v>0.445010472776264</v>
      </c>
      <c r="AC1278" s="6" t="n">
        <v>0.641053473497591</v>
      </c>
      <c r="AD1278" s="6" t="n">
        <v>1.94342823148012</v>
      </c>
      <c r="AE1278" s="6" t="n">
        <v>-1.10369371793108</v>
      </c>
      <c r="AF1278" s="6" t="n">
        <v>1.839207346115</v>
      </c>
      <c r="AG1278" s="6" t="n">
        <v>-1.05108517435869</v>
      </c>
      <c r="AH1278" s="6" t="n">
        <v>2.11611249321611</v>
      </c>
      <c r="AI1278" s="6" t="n">
        <v>-0.50762767412588</v>
      </c>
      <c r="AJ1278" s="6" t="n">
        <v>74.0970691885124</v>
      </c>
      <c r="AK1278" s="6" t="n">
        <v>0.0529409367955099</v>
      </c>
      <c r="AL1278" s="6" t="n">
        <v>1.13094341373429</v>
      </c>
      <c r="AN1278" s="6" t="n">
        <v>1.28018743011778</v>
      </c>
      <c r="AO1278" s="6" t="n">
        <v>1.28042110457735</v>
      </c>
      <c r="AP1278" s="6" t="n">
        <v>0.131051955370099</v>
      </c>
      <c r="AQ1278" s="6" t="n">
        <v>0</v>
      </c>
      <c r="AR1278" s="6" t="n">
        <v>0</v>
      </c>
    </row>
    <row r="1279" customFormat="false" ht="15" hidden="false" customHeight="false" outlineLevel="0" collapsed="false">
      <c r="D1279" s="0" t="s">
        <v>1405</v>
      </c>
      <c r="J1279" s="6" t="n">
        <v>3.12193735268084</v>
      </c>
      <c r="K1279" s="6" t="n">
        <v>1.95628104580288</v>
      </c>
      <c r="L1279" s="6" t="n">
        <v>0.761398574562359</v>
      </c>
      <c r="M1279" s="6" t="n">
        <v>-1.62397104415118</v>
      </c>
      <c r="N1279" s="6" t="n">
        <v>0.399727714868756</v>
      </c>
      <c r="O1279" s="6" t="n">
        <v>-1.25456147488123</v>
      </c>
      <c r="P1279" s="6" t="n">
        <v>-2.18204227646866</v>
      </c>
      <c r="Q1279" s="6" t="n">
        <v>1.04116969368226</v>
      </c>
      <c r="R1279" s="6" t="n">
        <v>0.941223026787172</v>
      </c>
      <c r="S1279" s="6" t="n">
        <v>-2.73262111966067</v>
      </c>
      <c r="T1279" s="6" t="n">
        <v>-1.29296806483308</v>
      </c>
      <c r="U1279" s="6" t="n">
        <v>-1.7797108042284</v>
      </c>
      <c r="V1279" s="6" t="n">
        <v>-1.76556707838648</v>
      </c>
      <c r="W1279" s="6" t="n">
        <v>0.0821535449413353</v>
      </c>
      <c r="X1279" s="6" t="n">
        <v>-0.580029653940737</v>
      </c>
      <c r="Y1279" s="6" t="n">
        <v>-1.06265095488316</v>
      </c>
      <c r="Z1279" s="6" t="n">
        <v>3.07552035027535</v>
      </c>
      <c r="AA1279" s="6" t="n">
        <v>2.27743622480185</v>
      </c>
      <c r="AB1279" s="6" t="n">
        <v>-0.118619254284799</v>
      </c>
      <c r="AC1279" s="6" t="n">
        <v>0.0168212236540112</v>
      </c>
      <c r="AD1279" s="6" t="n">
        <v>-4.11639471692933</v>
      </c>
      <c r="AE1279" s="6" t="n">
        <v>-1.98719674727314</v>
      </c>
      <c r="AF1279" s="6" t="n">
        <v>-1.1426622488428</v>
      </c>
      <c r="AG1279" s="6" t="n">
        <v>-1.93772836841028</v>
      </c>
      <c r="AH1279" s="6" t="n">
        <v>1.84953659500724</v>
      </c>
      <c r="AI1279" s="6" t="n">
        <v>-2.12996840341235</v>
      </c>
      <c r="AJ1279" s="6" t="n">
        <v>67.7608719553471</v>
      </c>
      <c r="AK1279" s="6" t="n">
        <v>0.175160838593686</v>
      </c>
      <c r="AL1279" s="6" t="n">
        <v>1.06773003088212</v>
      </c>
      <c r="AN1279" s="6" t="n">
        <v>1.28359022463332</v>
      </c>
      <c r="AO1279" s="6" t="n">
        <v>1.28417579792689</v>
      </c>
      <c r="AP1279" s="6" t="n">
        <v>0.131074202921972</v>
      </c>
      <c r="AQ1279" s="6" t="n">
        <v>0</v>
      </c>
      <c r="AR1279" s="6" t="n">
        <v>0</v>
      </c>
    </row>
    <row r="1280" customFormat="false" ht="15" hidden="false" customHeight="false" outlineLevel="0" collapsed="false">
      <c r="D1280" s="0" t="s">
        <v>1406</v>
      </c>
      <c r="J1280" s="6" t="n">
        <v>-0.615180292716946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2.75413461769171</v>
      </c>
      <c r="O1280" s="6" t="n">
        <v>-0.289173330587056</v>
      </c>
      <c r="P1280" s="6" t="n">
        <v>-0.863694617800325</v>
      </c>
      <c r="Q1280" s="6" t="n">
        <v>1.33027202056148</v>
      </c>
      <c r="R1280" s="6" t="n">
        <v>-1.7758614644076</v>
      </c>
      <c r="S1280" s="6" t="n">
        <v>0.0974281412749548</v>
      </c>
      <c r="T1280" s="6" t="n">
        <v>0.513486167209663</v>
      </c>
      <c r="U1280" s="6" t="n">
        <v>-0.232826988673295</v>
      </c>
      <c r="V1280" s="6" t="n">
        <v>-1.33927304528748</v>
      </c>
      <c r="W1280" s="6" t="n">
        <v>-3.28862368275641</v>
      </c>
      <c r="X1280" s="6" t="n">
        <v>1.3247430752135</v>
      </c>
      <c r="Y1280" s="6" t="n">
        <v>-1.24811815761912</v>
      </c>
      <c r="Z1280" s="6" t="n">
        <v>1.67885710121843</v>
      </c>
      <c r="AA1280" s="6" t="n">
        <v>0.491079008306374</v>
      </c>
      <c r="AB1280" s="6" t="n">
        <v>-1.5451570909695</v>
      </c>
      <c r="AC1280" s="6" t="n">
        <v>-0.0473499621369998</v>
      </c>
      <c r="AD1280" s="6" t="n">
        <v>-0.992153111926398</v>
      </c>
      <c r="AE1280" s="6" t="n">
        <v>2.01617316851376</v>
      </c>
      <c r="AF1280" s="6" t="n">
        <v>-1.21773935982791</v>
      </c>
      <c r="AG1280" s="6" t="n">
        <v>-3.16672192019335</v>
      </c>
      <c r="AH1280" s="6" t="n">
        <v>-2.05985502223937</v>
      </c>
      <c r="AI1280" s="6" t="n">
        <v>-1.64355723493479</v>
      </c>
      <c r="AJ1280" s="6" t="n">
        <v>71.8239479081921</v>
      </c>
      <c r="AK1280" s="6" t="n">
        <v>0.085250653963655</v>
      </c>
      <c r="AL1280" s="6" t="n">
        <v>1.06803806192803</v>
      </c>
      <c r="AN1280" s="6" t="n">
        <v>1.29355141742552</v>
      </c>
      <c r="AO1280" s="6" t="n">
        <v>1.2938605772429</v>
      </c>
      <c r="AP1280" s="6" t="n">
        <v>0.133206079521213</v>
      </c>
      <c r="AQ1280" s="6" t="n">
        <v>0</v>
      </c>
      <c r="AR1280" s="6" t="n">
        <v>0</v>
      </c>
    </row>
    <row r="1281" customFormat="false" ht="15" hidden="false" customHeight="false" outlineLevel="0" collapsed="false">
      <c r="D1281" s="0" t="s">
        <v>1407</v>
      </c>
      <c r="J1281" s="6" t="n">
        <v>-1.52505879492525</v>
      </c>
      <c r="K1281" s="6" t="n">
        <v>-0.690525300478702</v>
      </c>
      <c r="L1281" s="6" t="n">
        <v>0.842854667313721</v>
      </c>
      <c r="M1281" s="6" t="n">
        <v>1.32060368868881</v>
      </c>
      <c r="N1281" s="6" t="n">
        <v>-1.98104604480863</v>
      </c>
      <c r="O1281" s="6" t="n">
        <v>-0.122111866017234</v>
      </c>
      <c r="P1281" s="6" t="n">
        <v>0.225273270274031</v>
      </c>
      <c r="Q1281" s="6" t="n">
        <v>1.26030035815816</v>
      </c>
      <c r="R1281" s="6" t="n">
        <v>-0.265715299074751</v>
      </c>
      <c r="S1281" s="6" t="n">
        <v>-0.275230660462965</v>
      </c>
      <c r="T1281" s="6" t="n">
        <v>1.72756128512293</v>
      </c>
      <c r="U1281" s="6" t="n">
        <v>0.522398631437827</v>
      </c>
      <c r="V1281" s="6" t="n">
        <v>0.5949547646168</v>
      </c>
      <c r="W1281" s="6" t="n">
        <v>0.247186864459542</v>
      </c>
      <c r="X1281" s="6" t="n">
        <v>1.06562859329699</v>
      </c>
      <c r="Y1281" s="6" t="n">
        <v>0.458722278369796</v>
      </c>
      <c r="Z1281" s="6" t="n">
        <v>-4.5810365929336</v>
      </c>
      <c r="AA1281" s="6" t="n">
        <v>-1.29090905062599</v>
      </c>
      <c r="AB1281" s="6" t="n">
        <v>0.480636294837539</v>
      </c>
      <c r="AC1281" s="6" t="n">
        <v>4.03130250005649</v>
      </c>
      <c r="AD1281" s="6" t="n">
        <v>0.651062868863795</v>
      </c>
      <c r="AE1281" s="6" t="n">
        <v>-0.0792865137684285</v>
      </c>
      <c r="AF1281" s="6" t="n">
        <v>-1.12449289008746</v>
      </c>
      <c r="AG1281" s="6" t="n">
        <v>2.66529537194442</v>
      </c>
      <c r="AH1281" s="6" t="n">
        <v>-2.7534474757112</v>
      </c>
      <c r="AI1281" s="6" t="n">
        <v>-0.474135452722</v>
      </c>
      <c r="AJ1281" s="6" t="n">
        <v>59.7356785820041</v>
      </c>
      <c r="AK1281" s="6" t="n">
        <v>0.0793483038891122</v>
      </c>
      <c r="AL1281" s="6" t="n">
        <v>1.08299434927693</v>
      </c>
      <c r="AN1281" s="6" t="n">
        <v>1.28333825334926</v>
      </c>
      <c r="AO1281" s="6" t="n">
        <v>1.2839688292196</v>
      </c>
      <c r="AP1281" s="6" t="n">
        <v>0.13207527792608</v>
      </c>
      <c r="AQ1281" s="6" t="n">
        <v>0</v>
      </c>
      <c r="AR1281" s="6" t="n">
        <v>0</v>
      </c>
    </row>
    <row r="1282" customFormat="false" ht="15" hidden="false" customHeight="false" outlineLevel="0" collapsed="false">
      <c r="D1282" s="0" t="s">
        <v>1408</v>
      </c>
      <c r="J1282" s="6" t="n">
        <v>3.86136593561431</v>
      </c>
      <c r="K1282" s="6" t="n">
        <v>0.250494871989214</v>
      </c>
      <c r="L1282" s="6" t="n">
        <v>5</v>
      </c>
      <c r="M1282" s="6" t="n">
        <v>-1.75249716640134</v>
      </c>
      <c r="N1282" s="6" t="n">
        <v>1.0828661243484</v>
      </c>
      <c r="O1282" s="6" t="n">
        <v>-2.12162482870921</v>
      </c>
      <c r="P1282" s="6" t="n">
        <v>-6.95355174670469</v>
      </c>
      <c r="Q1282" s="6" t="n">
        <v>2.66430893621933</v>
      </c>
      <c r="R1282" s="6" t="n">
        <v>-1.22636534182713</v>
      </c>
      <c r="S1282" s="6" t="n">
        <v>1.31052042237522</v>
      </c>
      <c r="T1282" s="6" t="n">
        <v>1.2653761854174</v>
      </c>
      <c r="U1282" s="6" t="n">
        <v>0.915745433872613</v>
      </c>
      <c r="V1282" s="6" t="n">
        <v>-2.28795934113027</v>
      </c>
      <c r="W1282" s="6" t="n">
        <v>0.686597348473096</v>
      </c>
      <c r="X1282" s="6" t="n">
        <v>-0.983862389480294</v>
      </c>
      <c r="Y1282" s="6" t="n">
        <v>1.09062139335543</v>
      </c>
      <c r="Z1282" s="6" t="n">
        <v>-2.83149592818068</v>
      </c>
      <c r="AA1282" s="6" t="n">
        <v>-2.07510525221493</v>
      </c>
      <c r="AB1282" s="6" t="n">
        <v>-0.628671358698939</v>
      </c>
      <c r="AC1282" s="6" t="n">
        <v>5</v>
      </c>
      <c r="AD1282" s="6" t="n">
        <v>-2.59800092200611</v>
      </c>
      <c r="AE1282" s="6" t="n">
        <v>1.22232411918385</v>
      </c>
      <c r="AF1282" s="6" t="n">
        <v>2.77815125490046</v>
      </c>
      <c r="AG1282" s="6" t="n">
        <v>-0.340119765073055</v>
      </c>
      <c r="AH1282" s="6" t="n">
        <v>-0.149453704508501</v>
      </c>
      <c r="AI1282" s="6" t="n">
        <v>-0.457204928022561</v>
      </c>
      <c r="AJ1282" s="6" t="n">
        <v>76.986137483738</v>
      </c>
      <c r="AK1282" s="6" t="n">
        <v>0.164984379360815</v>
      </c>
      <c r="AL1282" s="6" t="n">
        <v>1.0773870651523</v>
      </c>
      <c r="AN1282" s="6" t="n">
        <v>1.24370856672356</v>
      </c>
      <c r="AO1282" s="6" t="n">
        <v>1.2616675407823</v>
      </c>
      <c r="AP1282" s="6" t="n">
        <v>0.130756784669963</v>
      </c>
      <c r="AQ1282" s="6" t="n">
        <v>0</v>
      </c>
      <c r="AR1282" s="6" t="n">
        <v>0</v>
      </c>
    </row>
    <row r="1283" customFormat="false" ht="15" hidden="false" customHeight="false" outlineLevel="0" collapsed="false">
      <c r="D1283" s="0" t="s">
        <v>1409</v>
      </c>
      <c r="J1283" s="6" t="n">
        <v>2.33338774655131</v>
      </c>
      <c r="K1283" s="6" t="n">
        <v>2.34707382419561</v>
      </c>
      <c r="L1283" s="6" t="n">
        <v>-1.99302788581055</v>
      </c>
      <c r="M1283" s="6" t="n">
        <v>-3.5769128924433</v>
      </c>
      <c r="N1283" s="6" t="n">
        <v>-0.185894026863013</v>
      </c>
      <c r="O1283" s="6" t="n">
        <v>-0.469427563425467</v>
      </c>
      <c r="P1283" s="6" t="n">
        <v>0.703676866903598</v>
      </c>
      <c r="Q1283" s="6" t="n">
        <v>0.594954835525088</v>
      </c>
      <c r="R1283" s="6" t="n">
        <v>3.09383643648995</v>
      </c>
      <c r="S1283" s="6" t="n">
        <v>-2.05900419338317</v>
      </c>
      <c r="T1283" s="6" t="n">
        <v>-3.81386950035478</v>
      </c>
      <c r="U1283" s="6" t="n">
        <v>2.78109479018435</v>
      </c>
      <c r="V1283" s="6" t="n">
        <v>2.55779147561272</v>
      </c>
      <c r="W1283" s="6" t="n">
        <v>1.93293676559105</v>
      </c>
      <c r="X1283" s="6" t="n">
        <v>2.75999121820993</v>
      </c>
      <c r="Y1283" s="6" t="n">
        <v>-0.737660043236855</v>
      </c>
      <c r="Z1283" s="6" t="n">
        <v>0.198090392173161</v>
      </c>
      <c r="AA1283" s="6" t="n">
        <v>0.471662356757541</v>
      </c>
      <c r="AB1283" s="6" t="n">
        <v>3.1252392731667</v>
      </c>
      <c r="AC1283" s="6" t="n">
        <v>0.028460528836556</v>
      </c>
      <c r="AD1283" s="6" t="n">
        <v>-2.6206254439882</v>
      </c>
      <c r="AE1283" s="6" t="n">
        <v>-1.69608682144135</v>
      </c>
      <c r="AF1283" s="6" t="n">
        <v>2.79374761714424</v>
      </c>
      <c r="AG1283" s="6" t="n">
        <v>-3.00647984981357</v>
      </c>
      <c r="AH1283" s="6" t="n">
        <v>-2.06524615836005</v>
      </c>
      <c r="AI1283" s="6" t="n">
        <v>1.82592838005837</v>
      </c>
      <c r="AJ1283" s="6" t="n">
        <v>68.4807183260624</v>
      </c>
      <c r="AK1283" s="6" t="n">
        <v>0.11194426344666</v>
      </c>
      <c r="AL1283" s="6" t="n">
        <v>1.05729547776058</v>
      </c>
      <c r="AN1283" s="6" t="n">
        <v>1.29263019874744</v>
      </c>
      <c r="AO1283" s="6" t="n">
        <v>1.29336679678655</v>
      </c>
      <c r="AP1283" s="6" t="n">
        <v>0.132955579685658</v>
      </c>
      <c r="AQ1283" s="6" t="n">
        <v>0</v>
      </c>
      <c r="AR1283" s="6" t="n">
        <v>0</v>
      </c>
    </row>
    <row r="1284" customFormat="false" ht="15" hidden="false" customHeight="false" outlineLevel="0" collapsed="false">
      <c r="D1284" s="0" t="s">
        <v>1410</v>
      </c>
      <c r="J1284" s="6" t="n">
        <v>-0.911945617406347</v>
      </c>
      <c r="K1284" s="6" t="n">
        <v>1.06454567315687</v>
      </c>
      <c r="L1284" s="6" t="n">
        <v>0.70976444678768</v>
      </c>
      <c r="M1284" s="6" t="n">
        <v>3.24615611693907</v>
      </c>
      <c r="N1284" s="6" t="n">
        <v>2.78682603644716</v>
      </c>
      <c r="O1284" s="6" t="n">
        <v>-1.95513297496119</v>
      </c>
      <c r="P1284" s="6" t="n">
        <v>-1.50861909088952</v>
      </c>
      <c r="Q1284" s="6" t="n">
        <v>-0.610529583284911</v>
      </c>
      <c r="R1284" s="6" t="n">
        <v>-1.97985119738175</v>
      </c>
      <c r="S1284" s="6" t="n">
        <v>1.56424883838592</v>
      </c>
      <c r="T1284" s="6" t="n">
        <v>-0.147282673251845</v>
      </c>
      <c r="U1284" s="6" t="n">
        <v>-0.73775323460667</v>
      </c>
      <c r="V1284" s="6" t="n">
        <v>0.687106697581411</v>
      </c>
      <c r="W1284" s="6" t="n">
        <v>-0.814544709659596</v>
      </c>
      <c r="X1284" s="6" t="n">
        <v>1.02539341989274</v>
      </c>
      <c r="Y1284" s="6" t="n">
        <v>-0.45901563603103</v>
      </c>
      <c r="Z1284" s="6" t="n">
        <v>-2.61633661004784</v>
      </c>
      <c r="AA1284" s="6" t="n">
        <v>-0.384665634556414</v>
      </c>
      <c r="AB1284" s="6" t="n">
        <v>2.66226116380413</v>
      </c>
      <c r="AC1284" s="6" t="n">
        <v>-2.66268895200021</v>
      </c>
      <c r="AD1284" s="6" t="n">
        <v>-2.9114498831504</v>
      </c>
      <c r="AE1284" s="6" t="n">
        <v>-2.98041067952472</v>
      </c>
      <c r="AF1284" s="6" t="n">
        <v>-0.278843735826192</v>
      </c>
      <c r="AG1284" s="6" t="n">
        <v>0.453568687296104</v>
      </c>
      <c r="AH1284" s="6" t="n">
        <v>-1.68671571031953</v>
      </c>
      <c r="AI1284" s="6" t="n">
        <v>-0.178808246647348</v>
      </c>
      <c r="AJ1284" s="6" t="n">
        <v>68.5861911158626</v>
      </c>
      <c r="AK1284" s="6" t="n">
        <v>0.159492252804656</v>
      </c>
      <c r="AL1284" s="6" t="n">
        <v>1.07659159684005</v>
      </c>
      <c r="AN1284" s="6" t="n">
        <v>1.28232029349867</v>
      </c>
      <c r="AO1284" s="6" t="n">
        <v>1.28350355258257</v>
      </c>
      <c r="AP1284" s="6" t="n">
        <v>0.130785389337947</v>
      </c>
      <c r="AQ1284" s="6" t="n">
        <v>0</v>
      </c>
      <c r="AR1284" s="6" t="n">
        <v>0</v>
      </c>
    </row>
    <row r="1285" customFormat="false" ht="15" hidden="false" customHeight="false" outlineLevel="0" collapsed="false">
      <c r="D1285" s="0" t="s">
        <v>1411</v>
      </c>
      <c r="J1285" s="6" t="n">
        <v>-1.05387043656038</v>
      </c>
      <c r="K1285" s="6" t="n">
        <v>-0.400132893426285</v>
      </c>
      <c r="L1285" s="6" t="n">
        <v>-1.8052962896828</v>
      </c>
      <c r="M1285" s="6" t="n">
        <v>-0.619914760886249</v>
      </c>
      <c r="N1285" s="6" t="n">
        <v>-5.12359510883491</v>
      </c>
      <c r="O1285" s="6" t="n">
        <v>-0.738751861070767</v>
      </c>
      <c r="P1285" s="6" t="n">
        <v>-0.915180627905107</v>
      </c>
      <c r="Q1285" s="6" t="n">
        <v>-2.63291831306849</v>
      </c>
      <c r="R1285" s="6" t="n">
        <v>-1.48025097275362</v>
      </c>
      <c r="S1285" s="6" t="n">
        <v>-1.43330843363896</v>
      </c>
      <c r="T1285" s="6" t="n">
        <v>-0.08916889800124</v>
      </c>
      <c r="U1285" s="6" t="n">
        <v>-1.46198333553185</v>
      </c>
      <c r="V1285" s="6" t="n">
        <v>-0.292927008758765</v>
      </c>
      <c r="W1285" s="6" t="n">
        <v>3.96429628317884</v>
      </c>
      <c r="X1285" s="6" t="n">
        <v>0.17264926203499</v>
      </c>
      <c r="Y1285" s="6" t="n">
        <v>-1.16170748540233</v>
      </c>
      <c r="Z1285" s="6" t="n">
        <v>-2.49659843421998</v>
      </c>
      <c r="AA1285" s="6" t="n">
        <v>-0.965269192474042</v>
      </c>
      <c r="AB1285" s="6" t="n">
        <v>-3.47122960697657</v>
      </c>
      <c r="AC1285" s="6" t="n">
        <v>1.26579289512181</v>
      </c>
      <c r="AD1285" s="6" t="n">
        <v>2.73889682822043</v>
      </c>
      <c r="AE1285" s="6" t="n">
        <v>0.926484311960881</v>
      </c>
      <c r="AF1285" s="6" t="n">
        <v>1.40532443947869</v>
      </c>
      <c r="AG1285" s="6" t="n">
        <v>0.0778092933044937</v>
      </c>
      <c r="AH1285" s="6" t="n">
        <v>-2.18411576394508</v>
      </c>
      <c r="AI1285" s="6" t="n">
        <v>-0.57675050301556</v>
      </c>
      <c r="AJ1285" s="6" t="n">
        <v>77.2614432866204</v>
      </c>
      <c r="AK1285" s="6" t="n">
        <v>0.172288386262178</v>
      </c>
      <c r="AL1285" s="6" t="n">
        <v>1.05851197108642</v>
      </c>
      <c r="AN1285" s="6" t="n">
        <v>1.28694163820896</v>
      </c>
      <c r="AO1285" s="6" t="n">
        <v>1.28796332131213</v>
      </c>
      <c r="AP1285" s="6" t="n">
        <v>0.132001480845862</v>
      </c>
      <c r="AQ1285" s="6" t="n">
        <v>0</v>
      </c>
      <c r="AR1285" s="6" t="n">
        <v>0</v>
      </c>
    </row>
    <row r="1286" customFormat="false" ht="15" hidden="false" customHeight="false" outlineLevel="0" collapsed="false">
      <c r="D1286" s="0" t="s">
        <v>1412</v>
      </c>
      <c r="J1286" s="6" t="n">
        <v>-1.7945395315862</v>
      </c>
      <c r="K1286" s="6" t="n">
        <v>1.06264968762772</v>
      </c>
      <c r="L1286" s="6" t="n">
        <v>-1.05161362495585</v>
      </c>
      <c r="M1286" s="6" t="n">
        <v>3.6110950546705</v>
      </c>
      <c r="N1286" s="6" t="n">
        <v>2.98104876996779</v>
      </c>
      <c r="O1286" s="6" t="n">
        <v>-0.839518575905694</v>
      </c>
      <c r="P1286" s="6" t="n">
        <v>-1.68179624375856</v>
      </c>
      <c r="Q1286" s="6" t="n">
        <v>0.0963243858501059</v>
      </c>
      <c r="R1286" s="6" t="n">
        <v>1.6554128346194</v>
      </c>
      <c r="S1286" s="6" t="n">
        <v>1.53694627870669</v>
      </c>
      <c r="T1286" s="6" t="n">
        <v>2.5077170070376</v>
      </c>
      <c r="U1286" s="6" t="n">
        <v>0.855123109143785</v>
      </c>
      <c r="V1286" s="6" t="n">
        <v>1.58200042444666</v>
      </c>
      <c r="W1286" s="6" t="n">
        <v>0.667210854319925</v>
      </c>
      <c r="X1286" s="6" t="n">
        <v>0.203043481893995</v>
      </c>
      <c r="Y1286" s="6" t="n">
        <v>-0.0756267800189417</v>
      </c>
      <c r="Z1286" s="6" t="n">
        <v>-0.0745921563659773</v>
      </c>
      <c r="AA1286" s="6" t="n">
        <v>1.0079470776957</v>
      </c>
      <c r="AB1286" s="6" t="n">
        <v>-1.00420663765589</v>
      </c>
      <c r="AC1286" s="6" t="n">
        <v>-3.71713410963725</v>
      </c>
      <c r="AD1286" s="6" t="n">
        <v>-3.01338041207263</v>
      </c>
      <c r="AE1286" s="6" t="n">
        <v>-0.880995770498328</v>
      </c>
      <c r="AF1286" s="6" t="n">
        <v>0.800832983343484</v>
      </c>
      <c r="AG1286" s="6" t="n">
        <v>1.07746880360907</v>
      </c>
      <c r="AH1286" s="6" t="n">
        <v>-0.535614595218145</v>
      </c>
      <c r="AI1286" s="6" t="n">
        <v>-2.98168538605207</v>
      </c>
      <c r="AJ1286" s="6" t="n">
        <v>73.4754672025475</v>
      </c>
      <c r="AK1286" s="6" t="n">
        <v>0.0898200635632626</v>
      </c>
      <c r="AL1286" s="6" t="n">
        <v>1.00804434103419</v>
      </c>
      <c r="AN1286" s="6" t="n">
        <v>1.316263818404</v>
      </c>
      <c r="AO1286" s="6" t="n">
        <v>1.316263818404</v>
      </c>
      <c r="AP1286" s="6" t="n">
        <v>0.140156485858636</v>
      </c>
      <c r="AQ1286" s="6" t="n">
        <v>0</v>
      </c>
      <c r="AR1286" s="6" t="n">
        <v>0</v>
      </c>
    </row>
    <row r="1287" customFormat="false" ht="15" hidden="false" customHeight="false" outlineLevel="0" collapsed="false">
      <c r="D1287" s="0" t="s">
        <v>1413</v>
      </c>
      <c r="J1287" s="6" t="n">
        <v>0.281512576619455</v>
      </c>
      <c r="K1287" s="6" t="n">
        <v>0.790511109718225</v>
      </c>
      <c r="L1287" s="6" t="n">
        <v>-1.66446638744646</v>
      </c>
      <c r="M1287" s="6" t="n">
        <v>1.24556374316578</v>
      </c>
      <c r="N1287" s="6" t="n">
        <v>-1.00466329230849</v>
      </c>
      <c r="O1287" s="6" t="n">
        <v>-2.04164621564063</v>
      </c>
      <c r="P1287" s="6" t="n">
        <v>-1.08412495395819</v>
      </c>
      <c r="Q1287" s="6" t="n">
        <v>-2.76846658529311</v>
      </c>
      <c r="R1287" s="6" t="n">
        <v>-1.86649589440476</v>
      </c>
      <c r="S1287" s="6" t="n">
        <v>-0.492049898458191</v>
      </c>
      <c r="T1287" s="6" t="n">
        <v>-1.28957924395923</v>
      </c>
      <c r="U1287" s="6" t="n">
        <v>-1.24603068306636</v>
      </c>
      <c r="V1287" s="6" t="n">
        <v>-0.31898990436427</v>
      </c>
      <c r="W1287" s="6" t="n">
        <v>-0.8431718059495</v>
      </c>
      <c r="X1287" s="6" t="n">
        <v>0.73317812360303</v>
      </c>
      <c r="Y1287" s="6" t="n">
        <v>0.444656739926785</v>
      </c>
      <c r="Z1287" s="6" t="n">
        <v>2.52834731320628</v>
      </c>
      <c r="AA1287" s="6" t="n">
        <v>-1.54452606030823</v>
      </c>
      <c r="AB1287" s="6" t="n">
        <v>0.692944178483943</v>
      </c>
      <c r="AC1287" s="6" t="n">
        <v>4.8764337524264</v>
      </c>
      <c r="AD1287" s="6" t="n">
        <v>1.66159869996953</v>
      </c>
      <c r="AE1287" s="6" t="n">
        <v>2.70865527949017</v>
      </c>
      <c r="AF1287" s="6" t="n">
        <v>0.645565047926445</v>
      </c>
      <c r="AG1287" s="6" t="n">
        <v>1.93966390257038</v>
      </c>
      <c r="AH1287" s="6" t="n">
        <v>-0.16486825634793</v>
      </c>
      <c r="AI1287" s="6" t="n">
        <v>4.33966189573809</v>
      </c>
      <c r="AJ1287" s="6" t="n">
        <v>80.111458805287</v>
      </c>
      <c r="AK1287" s="6" t="n">
        <v>0.116074484138378</v>
      </c>
      <c r="AL1287" s="6" t="n">
        <v>1.03414917449458</v>
      </c>
      <c r="AN1287" s="6" t="n">
        <v>1.31133691951293</v>
      </c>
      <c r="AO1287" s="6" t="n">
        <v>1.31166396689111</v>
      </c>
      <c r="AP1287" s="6" t="n">
        <v>0.136352157313412</v>
      </c>
      <c r="AQ1287" s="6" t="n">
        <v>0</v>
      </c>
      <c r="AR1287" s="6" t="n">
        <v>0</v>
      </c>
    </row>
    <row r="1288" customFormat="false" ht="15" hidden="false" customHeight="false" outlineLevel="0" collapsed="false">
      <c r="D1288" s="0" t="s">
        <v>1414</v>
      </c>
      <c r="J1288" s="6" t="n">
        <v>-1.46258101331807</v>
      </c>
      <c r="K1288" s="6" t="n">
        <v>1.43491266136107</v>
      </c>
      <c r="L1288" s="6" t="n">
        <v>1.68608809935286</v>
      </c>
      <c r="M1288" s="6" t="n">
        <v>-0.0196582894720385</v>
      </c>
      <c r="N1288" s="6" t="n">
        <v>-4.64537726042292</v>
      </c>
      <c r="O1288" s="6" t="n">
        <v>1.65341615393722</v>
      </c>
      <c r="P1288" s="6" t="n">
        <v>-0.355407230244373</v>
      </c>
      <c r="Q1288" s="6" t="n">
        <v>-0.08735146809338</v>
      </c>
      <c r="R1288" s="6" t="n">
        <v>-3.68523318653794</v>
      </c>
      <c r="S1288" s="6" t="n">
        <v>-0.252533751338151</v>
      </c>
      <c r="T1288" s="6" t="n">
        <v>-3.44838054887027</v>
      </c>
      <c r="U1288" s="6" t="n">
        <v>4.18338413225466</v>
      </c>
      <c r="V1288" s="6" t="n">
        <v>0.0751961790547892</v>
      </c>
      <c r="W1288" s="6" t="n">
        <v>2.62385257031825</v>
      </c>
      <c r="X1288" s="6" t="n">
        <v>4.67438297105117</v>
      </c>
      <c r="Y1288" s="6" t="n">
        <v>2.65556528735283</v>
      </c>
      <c r="Z1288" s="6" t="n">
        <v>-2.61342092303471</v>
      </c>
      <c r="AA1288" s="6" t="n">
        <v>3.27446897060747</v>
      </c>
      <c r="AB1288" s="6" t="n">
        <v>2.23174709956061</v>
      </c>
      <c r="AC1288" s="6" t="n">
        <v>1.11042328201606</v>
      </c>
      <c r="AD1288" s="6" t="n">
        <v>0.818388631579762</v>
      </c>
      <c r="AE1288" s="6" t="n">
        <v>-2.96444804946118</v>
      </c>
      <c r="AF1288" s="6" t="n">
        <v>3.18728365642044</v>
      </c>
      <c r="AG1288" s="6" t="n">
        <v>0.12753888199725</v>
      </c>
      <c r="AH1288" s="6" t="n">
        <v>-1.68914617136456</v>
      </c>
      <c r="AI1288" s="6" t="n">
        <v>1.51107094046627</v>
      </c>
      <c r="AJ1288" s="6" t="n">
        <v>73.9721182279195</v>
      </c>
      <c r="AK1288" s="6" t="n">
        <v>0.0990559617122387</v>
      </c>
      <c r="AL1288" s="6" t="n">
        <v>1.09675797123262</v>
      </c>
      <c r="AN1288" s="6" t="n">
        <v>1.28028175600538</v>
      </c>
      <c r="AO1288" s="6" t="n">
        <v>1.28059563506859</v>
      </c>
      <c r="AP1288" s="6" t="n">
        <v>0.131516662612393</v>
      </c>
      <c r="AQ1288" s="6" t="n">
        <v>0</v>
      </c>
      <c r="AR1288" s="6" t="n">
        <v>0</v>
      </c>
    </row>
    <row r="1289" customFormat="false" ht="15" hidden="false" customHeight="false" outlineLevel="0" collapsed="false">
      <c r="D1289" s="0" t="s">
        <v>1415</v>
      </c>
      <c r="J1289" s="6" t="n">
        <v>-2.49068094390281</v>
      </c>
      <c r="K1289" s="6" t="n">
        <v>1.73214547020519</v>
      </c>
      <c r="L1289" s="6" t="n">
        <v>-1.83450716947591</v>
      </c>
      <c r="M1289" s="6" t="n">
        <v>0.273885492329314</v>
      </c>
      <c r="N1289" s="6" t="n">
        <v>-1.42073786382382</v>
      </c>
      <c r="O1289" s="6" t="n">
        <v>0.145100096068445</v>
      </c>
      <c r="P1289" s="6" t="n">
        <v>-1.38666238445523</v>
      </c>
      <c r="Q1289" s="6" t="n">
        <v>-3.22791979860717</v>
      </c>
      <c r="R1289" s="6" t="n">
        <v>-2.01030649543879</v>
      </c>
      <c r="S1289" s="6" t="n">
        <v>-0.0305908339772535</v>
      </c>
      <c r="T1289" s="6" t="n">
        <v>0.419761523158876</v>
      </c>
      <c r="U1289" s="6" t="n">
        <v>-1.4827271920203</v>
      </c>
      <c r="V1289" s="6" t="n">
        <v>-3.92244884693484</v>
      </c>
      <c r="W1289" s="6" t="n">
        <v>0.231865190621262</v>
      </c>
      <c r="X1289" s="6" t="n">
        <v>-1.89363419815211</v>
      </c>
      <c r="Y1289" s="6" t="n">
        <v>0.453245308889851</v>
      </c>
      <c r="Z1289" s="6" t="n">
        <v>-0.788030536788608</v>
      </c>
      <c r="AA1289" s="6" t="n">
        <v>-0.601170876675335</v>
      </c>
      <c r="AB1289" s="6" t="n">
        <v>-2.19537077659783</v>
      </c>
      <c r="AC1289" s="6" t="n">
        <v>0.61374939858422</v>
      </c>
      <c r="AD1289" s="6" t="n">
        <v>0.483236560275492</v>
      </c>
      <c r="AE1289" s="6" t="n">
        <v>-3.44064913852532</v>
      </c>
      <c r="AF1289" s="6" t="n">
        <v>1.27261586980575</v>
      </c>
      <c r="AG1289" s="6" t="n">
        <v>-2.30012201189963</v>
      </c>
      <c r="AH1289" s="6" t="n">
        <v>0.0696737912623404</v>
      </c>
      <c r="AI1289" s="6" t="n">
        <v>-0.468594605735982</v>
      </c>
      <c r="AJ1289" s="6" t="n">
        <v>77.798880044889</v>
      </c>
      <c r="AK1289" s="6" t="n">
        <v>0.0999018874883339</v>
      </c>
      <c r="AL1289" s="6" t="n">
        <v>1.04766988404581</v>
      </c>
      <c r="AN1289" s="6" t="n">
        <v>1.30304081996923</v>
      </c>
      <c r="AO1289" s="6" t="n">
        <v>1.30317590695441</v>
      </c>
      <c r="AP1289" s="6" t="n">
        <v>0.135027166854005</v>
      </c>
      <c r="AQ1289" s="6" t="n">
        <v>0</v>
      </c>
      <c r="AR1289" s="6" t="n">
        <v>0</v>
      </c>
    </row>
    <row r="1290" customFormat="false" ht="15" hidden="false" customHeight="false" outlineLevel="0" collapsed="false">
      <c r="D1290" s="0" t="s">
        <v>1416</v>
      </c>
      <c r="J1290" s="6" t="n">
        <v>-2.51502011251751</v>
      </c>
      <c r="K1290" s="6" t="n">
        <v>1.18325314172383</v>
      </c>
      <c r="L1290" s="6" t="n">
        <v>-0.885308048871266</v>
      </c>
      <c r="M1290" s="6" t="n">
        <v>4.9971688640755</v>
      </c>
      <c r="N1290" s="6" t="n">
        <v>-0.73873133054399</v>
      </c>
      <c r="O1290" s="6" t="n">
        <v>0.23056827822479</v>
      </c>
      <c r="P1290" s="6" t="n">
        <v>1.42782288892553</v>
      </c>
      <c r="Q1290" s="6" t="n">
        <v>-3.13751039702629</v>
      </c>
      <c r="R1290" s="6" t="n">
        <v>-0.718630114377238</v>
      </c>
      <c r="S1290" s="6" t="n">
        <v>1.19145339420448</v>
      </c>
      <c r="T1290" s="6" t="n">
        <v>0.558960348086621</v>
      </c>
      <c r="U1290" s="6" t="n">
        <v>-1.87709293912338</v>
      </c>
      <c r="V1290" s="6" t="n">
        <v>-0.251580998501239</v>
      </c>
      <c r="W1290" s="6" t="n">
        <v>1.95189276436496</v>
      </c>
      <c r="X1290" s="6" t="n">
        <v>-1.11559613661303</v>
      </c>
      <c r="Y1290" s="6" t="n">
        <v>1.7617260697508</v>
      </c>
      <c r="Z1290" s="6" t="n">
        <v>1.30460352633678</v>
      </c>
      <c r="AA1290" s="6" t="n">
        <v>1.06370557211088</v>
      </c>
      <c r="AB1290" s="6" t="n">
        <v>1.91249225468612</v>
      </c>
      <c r="AC1290" s="6" t="n">
        <v>-2.3221880851867</v>
      </c>
      <c r="AD1290" s="6" t="n">
        <v>-2.43263274372467</v>
      </c>
      <c r="AE1290" s="6" t="n">
        <v>-1.11178482147592</v>
      </c>
      <c r="AF1290" s="6" t="n">
        <v>-1.50943950998391</v>
      </c>
      <c r="AG1290" s="6" t="n">
        <v>0.464922828672565</v>
      </c>
      <c r="AH1290" s="6" t="n">
        <v>-0.45600830011297</v>
      </c>
      <c r="AI1290" s="6" t="n">
        <v>-4.44344129159193</v>
      </c>
      <c r="AJ1290" s="6" t="n">
        <v>73.9711219149978</v>
      </c>
      <c r="AK1290" s="6" t="n">
        <v>0.0527400480647379</v>
      </c>
      <c r="AL1290" s="6" t="n">
        <v>1.00851610263478</v>
      </c>
      <c r="AN1290" s="6" t="n">
        <v>1.31756220204313</v>
      </c>
      <c r="AO1290" s="6" t="n">
        <v>1.31756220204313</v>
      </c>
      <c r="AP1290" s="6" t="n">
        <v>0.140676409992242</v>
      </c>
      <c r="AQ1290" s="6" t="n">
        <v>0</v>
      </c>
      <c r="AR1290" s="6" t="n">
        <v>0</v>
      </c>
    </row>
    <row r="1291" customFormat="false" ht="15" hidden="false" customHeight="false" outlineLevel="0" collapsed="false">
      <c r="D1291" s="0" t="s">
        <v>1417</v>
      </c>
      <c r="J1291" s="6" t="n">
        <v>-4.03697947158725</v>
      </c>
      <c r="K1291" s="6" t="n">
        <v>-1.03205278238369</v>
      </c>
      <c r="L1291" s="6" t="n">
        <v>1.61801619897357</v>
      </c>
      <c r="M1291" s="6" t="n">
        <v>-1.19123747975962</v>
      </c>
      <c r="N1291" s="6" t="n">
        <v>0.278616723016951</v>
      </c>
      <c r="O1291" s="6" t="n">
        <v>-2.29443764267456</v>
      </c>
      <c r="P1291" s="6" t="n">
        <v>0.683573948376028</v>
      </c>
      <c r="Q1291" s="6" t="n">
        <v>-2.60122825948117</v>
      </c>
      <c r="R1291" s="6" t="n">
        <v>1.02905452326001</v>
      </c>
      <c r="S1291" s="6" t="n">
        <v>0.469254745060761</v>
      </c>
      <c r="T1291" s="6" t="n">
        <v>1.53896774026118</v>
      </c>
      <c r="U1291" s="6" t="n">
        <v>1.64807801527634</v>
      </c>
      <c r="V1291" s="6" t="n">
        <v>5</v>
      </c>
      <c r="W1291" s="6" t="n">
        <v>-2.47083800510754</v>
      </c>
      <c r="X1291" s="6" t="n">
        <v>-3.17622184391731</v>
      </c>
      <c r="Y1291" s="6" t="n">
        <v>2.277735736902</v>
      </c>
      <c r="Z1291" s="6" t="n">
        <v>0.700539637681755</v>
      </c>
      <c r="AA1291" s="6" t="n">
        <v>3.01332481417218</v>
      </c>
      <c r="AB1291" s="6" t="n">
        <v>-2.83085050815545</v>
      </c>
      <c r="AC1291" s="6" t="n">
        <v>0.082250430537003</v>
      </c>
      <c r="AD1291" s="6" t="n">
        <v>-3.66976242379597</v>
      </c>
      <c r="AE1291" s="6" t="n">
        <v>-0.872581886778855</v>
      </c>
      <c r="AF1291" s="6" t="n">
        <v>-1.15293136697339</v>
      </c>
      <c r="AG1291" s="6" t="n">
        <v>1.36517917737537</v>
      </c>
      <c r="AH1291" s="6" t="n">
        <v>2.09367765023271</v>
      </c>
      <c r="AI1291" s="6" t="n">
        <v>2.38316463965861</v>
      </c>
      <c r="AJ1291" s="6" t="n">
        <v>73.7299203061841</v>
      </c>
      <c r="AK1291" s="6" t="n">
        <v>0.139648129627724</v>
      </c>
      <c r="AL1291" s="6" t="n">
        <v>1.05409938976399</v>
      </c>
      <c r="AN1291" s="6" t="n">
        <v>1.29481008772793</v>
      </c>
      <c r="AO1291" s="6" t="n">
        <v>1.29529134880512</v>
      </c>
      <c r="AP1291" s="6" t="n">
        <v>0.133251093869094</v>
      </c>
      <c r="AQ1291" s="6" t="n">
        <v>0</v>
      </c>
      <c r="AR1291" s="6" t="n">
        <v>0</v>
      </c>
    </row>
    <row r="1292" customFormat="false" ht="15" hidden="false" customHeight="false" outlineLevel="0" collapsed="false">
      <c r="D1292" s="0" t="s">
        <v>1418</v>
      </c>
      <c r="J1292" s="6" t="n">
        <v>-1.52640915498696</v>
      </c>
      <c r="K1292" s="6" t="n">
        <v>0.18181069804667</v>
      </c>
      <c r="L1292" s="6" t="n">
        <v>0.0265830487877658</v>
      </c>
      <c r="M1292" s="6" t="n">
        <v>1.38522271575285</v>
      </c>
      <c r="N1292" s="6" t="n">
        <v>-0.983551395335884</v>
      </c>
      <c r="O1292" s="6" t="n">
        <v>-0.968666732245033</v>
      </c>
      <c r="P1292" s="6" t="n">
        <v>1.61557376731504</v>
      </c>
      <c r="Q1292" s="6" t="n">
        <v>5</v>
      </c>
      <c r="R1292" s="6" t="n">
        <v>-0.490237496131552</v>
      </c>
      <c r="S1292" s="6" t="n">
        <v>0.397593360711112</v>
      </c>
      <c r="T1292" s="6" t="n">
        <v>-1.33454449170532</v>
      </c>
      <c r="U1292" s="6" t="n">
        <v>0.26081669192973</v>
      </c>
      <c r="V1292" s="6" t="n">
        <v>-0.883914790488173</v>
      </c>
      <c r="W1292" s="6" t="n">
        <v>-2.82360435700854</v>
      </c>
      <c r="X1292" s="6" t="n">
        <v>2.95864738354327</v>
      </c>
      <c r="Y1292" s="6" t="n">
        <v>-1.51637491583474</v>
      </c>
      <c r="Z1292" s="6" t="n">
        <v>-0.416775963535274</v>
      </c>
      <c r="AA1292" s="6" t="n">
        <v>0.986847594512799</v>
      </c>
      <c r="AB1292" s="6" t="n">
        <v>-0.0317057259995931</v>
      </c>
      <c r="AC1292" s="6" t="n">
        <v>0.726573305085993</v>
      </c>
      <c r="AD1292" s="6" t="n">
        <v>1.02271069476104</v>
      </c>
      <c r="AE1292" s="6" t="n">
        <v>2.29876096251458</v>
      </c>
      <c r="AF1292" s="6" t="n">
        <v>0.190440905103225</v>
      </c>
      <c r="AG1292" s="6" t="n">
        <v>0.166838588456244</v>
      </c>
      <c r="AH1292" s="6" t="n">
        <v>1.64726836240996</v>
      </c>
      <c r="AI1292" s="6" t="n">
        <v>1.98162943214913</v>
      </c>
      <c r="AJ1292" s="6" t="n">
        <v>58.1936037630201</v>
      </c>
      <c r="AK1292" s="6" t="n">
        <v>0.221296647430886</v>
      </c>
      <c r="AL1292" s="6" t="n">
        <v>1.09033927776892</v>
      </c>
      <c r="AN1292" s="6" t="n">
        <v>1.26515270142125</v>
      </c>
      <c r="AO1292" s="6" t="n">
        <v>1.2660904635649</v>
      </c>
      <c r="AP1292" s="6" t="n">
        <v>0.128574637240467</v>
      </c>
      <c r="AQ1292" s="6" t="n">
        <v>0</v>
      </c>
      <c r="AR1292" s="6" t="n">
        <v>0</v>
      </c>
    </row>
    <row r="1293" customFormat="false" ht="15" hidden="false" customHeight="false" outlineLevel="0" collapsed="false">
      <c r="D1293" s="0" t="s">
        <v>1419</v>
      </c>
      <c r="J1293" s="6" t="n">
        <v>-1.76984177362808</v>
      </c>
      <c r="K1293" s="6" t="n">
        <v>-1.12567147675626</v>
      </c>
      <c r="L1293" s="6" t="n">
        <v>2.13027762482973</v>
      </c>
      <c r="M1293" s="6" t="n">
        <v>4.40793469364935</v>
      </c>
      <c r="N1293" s="6" t="n">
        <v>-3.17038172631894</v>
      </c>
      <c r="O1293" s="6" t="n">
        <v>-2.54474795470093</v>
      </c>
      <c r="P1293" s="6" t="n">
        <v>2.31840843801765</v>
      </c>
      <c r="Q1293" s="6" t="n">
        <v>1.32111316152043</v>
      </c>
      <c r="R1293" s="6" t="n">
        <v>-2.02732242235417</v>
      </c>
      <c r="S1293" s="6" t="n">
        <v>-2.56065249770977</v>
      </c>
      <c r="T1293" s="6" t="n">
        <v>-0.959755362824374</v>
      </c>
      <c r="U1293" s="6" t="n">
        <v>-2.84546229549259</v>
      </c>
      <c r="V1293" s="6" t="n">
        <v>0.470780804421087</v>
      </c>
      <c r="W1293" s="6" t="n">
        <v>-1.72224014755418</v>
      </c>
      <c r="X1293" s="6" t="n">
        <v>-1.48095939314302</v>
      </c>
      <c r="Y1293" s="6" t="n">
        <v>-2.21015130129803</v>
      </c>
      <c r="Z1293" s="6" t="n">
        <v>1.38161352027708</v>
      </c>
      <c r="AA1293" s="6" t="n">
        <v>1.40094474238012</v>
      </c>
      <c r="AB1293" s="6" t="n">
        <v>1.54515412457629</v>
      </c>
      <c r="AC1293" s="6" t="n">
        <v>-1.48777444815116</v>
      </c>
      <c r="AD1293" s="6" t="n">
        <v>-1.64678214556071</v>
      </c>
      <c r="AE1293" s="6" t="n">
        <v>0.724606688427055</v>
      </c>
      <c r="AF1293" s="6" t="n">
        <v>1.19751522283904</v>
      </c>
      <c r="AG1293" s="6" t="n">
        <v>3.08620134525363</v>
      </c>
      <c r="AH1293" s="6" t="n">
        <v>-0.831539676428161</v>
      </c>
      <c r="AI1293" s="6" t="n">
        <v>-0.360977607729171</v>
      </c>
      <c r="AJ1293" s="6" t="n">
        <v>70.300025816747</v>
      </c>
      <c r="AK1293" s="6" t="n">
        <v>0.085316377727255</v>
      </c>
      <c r="AL1293" s="6" t="n">
        <v>1.05194584127109</v>
      </c>
      <c r="AN1293" s="6" t="n">
        <v>1.3002268292692</v>
      </c>
      <c r="AO1293" s="6" t="n">
        <v>1.30165765220395</v>
      </c>
      <c r="AP1293" s="6" t="n">
        <v>0.134730549857677</v>
      </c>
      <c r="AQ1293" s="6" t="n">
        <v>0</v>
      </c>
      <c r="AR1293" s="6" t="n">
        <v>0</v>
      </c>
    </row>
    <row r="1294" customFormat="false" ht="15" hidden="false" customHeight="false" outlineLevel="0" collapsed="false">
      <c r="D1294" s="0" t="s">
        <v>1420</v>
      </c>
      <c r="J1294" s="6" t="n">
        <v>2.12240832480651</v>
      </c>
      <c r="K1294" s="6" t="n">
        <v>3.3817270669619</v>
      </c>
      <c r="L1294" s="6" t="n">
        <v>-4.83303441841959</v>
      </c>
      <c r="M1294" s="6" t="n">
        <v>-0.838479711724252</v>
      </c>
      <c r="N1294" s="6" t="n">
        <v>-0.0769790200787008</v>
      </c>
      <c r="O1294" s="6" t="n">
        <v>-2.20159051966479</v>
      </c>
      <c r="P1294" s="6" t="n">
        <v>-0.156253459626659</v>
      </c>
      <c r="Q1294" s="6" t="n">
        <v>0.094752104987777</v>
      </c>
      <c r="R1294" s="6" t="n">
        <v>-3.3946705247212</v>
      </c>
      <c r="S1294" s="6" t="n">
        <v>0.290785214539647</v>
      </c>
      <c r="T1294" s="6" t="n">
        <v>-1.3531149107233</v>
      </c>
      <c r="U1294" s="6" t="n">
        <v>-0.604071833460876</v>
      </c>
      <c r="V1294" s="6" t="n">
        <v>-0.0885726798670776</v>
      </c>
      <c r="W1294" s="6" t="n">
        <v>0.5110059327178</v>
      </c>
      <c r="X1294" s="6" t="n">
        <v>0.572120664366015</v>
      </c>
      <c r="Y1294" s="6" t="n">
        <v>2.57554675775404</v>
      </c>
      <c r="Z1294" s="6" t="n">
        <v>3.56876913866752</v>
      </c>
      <c r="AA1294" s="6" t="n">
        <v>-4.56606363929927</v>
      </c>
      <c r="AB1294" s="6" t="n">
        <v>-0.666930653966511</v>
      </c>
      <c r="AC1294" s="6" t="n">
        <v>-0.418960930615611</v>
      </c>
      <c r="AD1294" s="6" t="n">
        <v>2.05872715713446</v>
      </c>
      <c r="AE1294" s="6" t="n">
        <v>-1.7418437584823</v>
      </c>
      <c r="AF1294" s="6" t="n">
        <v>1.78315227889272</v>
      </c>
      <c r="AG1294" s="6" t="n">
        <v>-1.2386782638634</v>
      </c>
      <c r="AH1294" s="6" t="n">
        <v>-0.0182149586657848</v>
      </c>
      <c r="AI1294" s="6" t="n">
        <v>-1.62422785762494</v>
      </c>
      <c r="AJ1294" s="6" t="n">
        <v>68.0581584235591</v>
      </c>
      <c r="AK1294" s="6" t="n">
        <v>0.153726529878244</v>
      </c>
      <c r="AL1294" s="6" t="n">
        <v>1.10357169597073</v>
      </c>
      <c r="AN1294" s="6" t="n">
        <v>1.27368455996772</v>
      </c>
      <c r="AO1294" s="6" t="n">
        <v>1.27419253521544</v>
      </c>
      <c r="AP1294" s="6" t="n">
        <v>0.129488465128504</v>
      </c>
      <c r="AQ1294" s="6" t="n">
        <v>0</v>
      </c>
      <c r="AR1294" s="6" t="n">
        <v>0</v>
      </c>
    </row>
    <row r="1295" customFormat="false" ht="15" hidden="false" customHeight="false" outlineLevel="0" collapsed="false">
      <c r="D1295" s="0" t="s">
        <v>1421</v>
      </c>
      <c r="J1295" s="6" t="n">
        <v>-1.72978979413772</v>
      </c>
      <c r="K1295" s="6" t="n">
        <v>-1.66606536237634</v>
      </c>
      <c r="L1295" s="6" t="n">
        <v>0.907000149614199</v>
      </c>
      <c r="M1295" s="6" t="n">
        <v>-1.0998326064572</v>
      </c>
      <c r="N1295" s="6" t="n">
        <v>-2.09376341340967</v>
      </c>
      <c r="O1295" s="6" t="n">
        <v>-4.08963370233126</v>
      </c>
      <c r="P1295" s="6" t="n">
        <v>-0.0850544628826283</v>
      </c>
      <c r="Q1295" s="6" t="n">
        <v>-0.0968698684572627</v>
      </c>
      <c r="R1295" s="6" t="n">
        <v>2.79330857462172</v>
      </c>
      <c r="S1295" s="6" t="n">
        <v>-0.966855228430795</v>
      </c>
      <c r="T1295" s="6" t="n">
        <v>-0.964798267657456</v>
      </c>
      <c r="U1295" s="6" t="n">
        <v>1.24661440723842</v>
      </c>
      <c r="V1295" s="6" t="n">
        <v>-2.87602347092938</v>
      </c>
      <c r="W1295" s="6" t="n">
        <v>-3.24467468565709</v>
      </c>
      <c r="X1295" s="6" t="n">
        <v>1.71980698152762</v>
      </c>
      <c r="Y1295" s="6" t="n">
        <v>5</v>
      </c>
      <c r="Z1295" s="6" t="n">
        <v>0.647732274638204</v>
      </c>
      <c r="AA1295" s="6" t="n">
        <v>-0.0592717608645934</v>
      </c>
      <c r="AB1295" s="6" t="n">
        <v>-0.0315276259529223</v>
      </c>
      <c r="AC1295" s="6" t="n">
        <v>1.19419901123243</v>
      </c>
      <c r="AD1295" s="6" t="n">
        <v>1.22516708158916</v>
      </c>
      <c r="AE1295" s="6" t="n">
        <v>-0.671654408232826</v>
      </c>
      <c r="AF1295" s="6" t="n">
        <v>-1.49710062391719</v>
      </c>
      <c r="AG1295" s="6" t="n">
        <v>0.990313113709429</v>
      </c>
      <c r="AH1295" s="6" t="n">
        <v>0.234215654432087</v>
      </c>
      <c r="AI1295" s="6" t="n">
        <v>0.23979569514365</v>
      </c>
      <c r="AJ1295" s="6" t="n">
        <v>71.4513980873559</v>
      </c>
      <c r="AK1295" s="6" t="n">
        <v>0.104372403852055</v>
      </c>
      <c r="AL1295" s="6" t="n">
        <v>1.01795543316953</v>
      </c>
      <c r="AN1295" s="6" t="n">
        <v>1.30317849307487</v>
      </c>
      <c r="AO1295" s="6" t="n">
        <v>1.30825003770582</v>
      </c>
      <c r="AP1295" s="6" t="n">
        <v>0.138200362313273</v>
      </c>
      <c r="AQ1295" s="6" t="n">
        <v>0</v>
      </c>
      <c r="AR1295" s="6" t="n">
        <v>0</v>
      </c>
    </row>
    <row r="1296" customFormat="false" ht="15" hidden="false" customHeight="false" outlineLevel="0" collapsed="false">
      <c r="D1296" s="0" t="s">
        <v>1422</v>
      </c>
      <c r="J1296" s="6" t="n">
        <v>-0.0587349850905727</v>
      </c>
      <c r="K1296" s="6" t="n">
        <v>-2.688439565448</v>
      </c>
      <c r="L1296" s="6" t="n">
        <v>-1.41920709383289</v>
      </c>
      <c r="M1296" s="6" t="n">
        <v>2.94820341961448</v>
      </c>
      <c r="N1296" s="6" t="n">
        <v>5</v>
      </c>
      <c r="O1296" s="6" t="n">
        <v>-3.454845192472</v>
      </c>
      <c r="P1296" s="6" t="n">
        <v>-1.32364082073808</v>
      </c>
      <c r="Q1296" s="6" t="n">
        <v>0.160344617315264</v>
      </c>
      <c r="R1296" s="6" t="n">
        <v>2.90073805935103</v>
      </c>
      <c r="S1296" s="6" t="n">
        <v>-0.701232458221547</v>
      </c>
      <c r="T1296" s="6" t="n">
        <v>-3.2246255485215</v>
      </c>
      <c r="U1296" s="6" t="n">
        <v>-1.61929444805119</v>
      </c>
      <c r="V1296" s="6" t="n">
        <v>-0.117633008392813</v>
      </c>
      <c r="W1296" s="6" t="n">
        <v>-0.0693449775896325</v>
      </c>
      <c r="X1296" s="6" t="n">
        <v>-0.626941858982922</v>
      </c>
      <c r="Y1296" s="6" t="n">
        <v>0.935501166966732</v>
      </c>
      <c r="Z1296" s="6" t="n">
        <v>-0.705606255629015</v>
      </c>
      <c r="AA1296" s="6" t="n">
        <v>-0.585709181161223</v>
      </c>
      <c r="AB1296" s="6" t="n">
        <v>1.27189967751238</v>
      </c>
      <c r="AC1296" s="6" t="n">
        <v>-0.235344421896556</v>
      </c>
      <c r="AD1296" s="6" t="n">
        <v>-2.24798755297363</v>
      </c>
      <c r="AE1296" s="6" t="n">
        <v>-1.0017691719533</v>
      </c>
      <c r="AF1296" s="6" t="n">
        <v>-2.06578831871475</v>
      </c>
      <c r="AG1296" s="6" t="n">
        <v>1.49832154566889</v>
      </c>
      <c r="AH1296" s="6" t="n">
        <v>-0.512689511342966</v>
      </c>
      <c r="AI1296" s="6" t="n">
        <v>0.329229798622339</v>
      </c>
      <c r="AJ1296" s="6" t="n">
        <v>77.508142266843</v>
      </c>
      <c r="AK1296" s="6" t="n">
        <v>0.143925767301226</v>
      </c>
      <c r="AL1296" s="6" t="n">
        <v>1.03372159152017</v>
      </c>
      <c r="AN1296" s="6" t="n">
        <v>1.30256103742446</v>
      </c>
      <c r="AO1296" s="6" t="n">
        <v>1.30406603002457</v>
      </c>
      <c r="AP1296" s="6" t="n">
        <v>0.135837510175832</v>
      </c>
      <c r="AQ1296" s="6" t="n">
        <v>0</v>
      </c>
      <c r="AR1296" s="6" t="n">
        <v>0</v>
      </c>
    </row>
    <row r="1297" customFormat="false" ht="15" hidden="false" customHeight="false" outlineLevel="0" collapsed="false">
      <c r="D1297" s="0" t="s">
        <v>1423</v>
      </c>
      <c r="J1297" s="6" t="n">
        <v>0.592985028709629</v>
      </c>
      <c r="K1297" s="6" t="n">
        <v>-1.91377453482515</v>
      </c>
      <c r="L1297" s="6" t="n">
        <v>-0.0635326840806435</v>
      </c>
      <c r="M1297" s="6" t="n">
        <v>0.584777482705731</v>
      </c>
      <c r="N1297" s="6" t="n">
        <v>2.42646097200993</v>
      </c>
      <c r="O1297" s="6" t="n">
        <v>2.9507129186003</v>
      </c>
      <c r="P1297" s="6" t="n">
        <v>-0.902155703121556</v>
      </c>
      <c r="Q1297" s="6" t="n">
        <v>-2.6832109270883</v>
      </c>
      <c r="R1297" s="6" t="n">
        <v>3.87430816049664</v>
      </c>
      <c r="S1297" s="6" t="n">
        <v>3.045859638446</v>
      </c>
      <c r="T1297" s="6" t="n">
        <v>-3.9591667905148</v>
      </c>
      <c r="U1297" s="6" t="n">
        <v>-0.0931847436556706</v>
      </c>
      <c r="V1297" s="6" t="n">
        <v>-1.82492545286342</v>
      </c>
      <c r="W1297" s="6" t="n">
        <v>0.814351299625794</v>
      </c>
      <c r="X1297" s="6" t="n">
        <v>0.753878289306532</v>
      </c>
      <c r="Y1297" s="6" t="n">
        <v>5</v>
      </c>
      <c r="Z1297" s="6" t="n">
        <v>0.447669127686957</v>
      </c>
      <c r="AA1297" s="6" t="n">
        <v>2.06759054205143</v>
      </c>
      <c r="AB1297" s="6" t="n">
        <v>-1.77995778446814</v>
      </c>
      <c r="AC1297" s="6" t="n">
        <v>2.55581998421794</v>
      </c>
      <c r="AD1297" s="6" t="n">
        <v>-4.95217796498855</v>
      </c>
      <c r="AE1297" s="6" t="n">
        <v>1.08842106999886</v>
      </c>
      <c r="AF1297" s="6" t="n">
        <v>1.81947363303508</v>
      </c>
      <c r="AG1297" s="6" t="n">
        <v>0.912859654652111</v>
      </c>
      <c r="AH1297" s="6" t="n">
        <v>3.87772070722861</v>
      </c>
      <c r="AI1297" s="6" t="n">
        <v>-0.778420934587424</v>
      </c>
      <c r="AJ1297" s="6" t="n">
        <v>67.220964935517</v>
      </c>
      <c r="AK1297" s="6" t="n">
        <v>0.081955921908557</v>
      </c>
      <c r="AL1297" s="6" t="n">
        <v>1.04587497390886</v>
      </c>
      <c r="AN1297" s="6" t="n">
        <v>1.29799529157991</v>
      </c>
      <c r="AO1297" s="6" t="n">
        <v>1.29830071280039</v>
      </c>
      <c r="AP1297" s="6" t="n">
        <v>0.1348566392187</v>
      </c>
      <c r="AQ1297" s="6" t="n">
        <v>0</v>
      </c>
      <c r="AR1297" s="6" t="n">
        <v>0</v>
      </c>
    </row>
    <row r="1298" customFormat="false" ht="15" hidden="false" customHeight="false" outlineLevel="0" collapsed="false">
      <c r="D1298" s="0" t="s">
        <v>1424</v>
      </c>
      <c r="J1298" s="6" t="n">
        <v>-2.73461075437138</v>
      </c>
      <c r="K1298" s="6" t="n">
        <v>0.159919040107711</v>
      </c>
      <c r="L1298" s="6" t="n">
        <v>1.98081887001903</v>
      </c>
      <c r="M1298" s="6" t="n">
        <v>1.51495470973231</v>
      </c>
      <c r="N1298" s="6" t="n">
        <v>-1.45340055576388</v>
      </c>
      <c r="O1298" s="6" t="n">
        <v>0.714305135446743</v>
      </c>
      <c r="P1298" s="6" t="n">
        <v>-0.119864523848587</v>
      </c>
      <c r="Q1298" s="6" t="n">
        <v>-0.273258038076301</v>
      </c>
      <c r="R1298" s="6" t="n">
        <v>-2.46866620336942</v>
      </c>
      <c r="S1298" s="6" t="n">
        <v>1.38269160627873</v>
      </c>
      <c r="T1298" s="6" t="n">
        <v>-0.37431977520828</v>
      </c>
      <c r="U1298" s="6" t="n">
        <v>0.97385326885676</v>
      </c>
      <c r="V1298" s="6" t="n">
        <v>-0.766975294884325</v>
      </c>
      <c r="W1298" s="6" t="n">
        <v>-2.99120259221189</v>
      </c>
      <c r="X1298" s="6" t="n">
        <v>-0.505378180481885</v>
      </c>
      <c r="Y1298" s="6" t="n">
        <v>2.59913589043307</v>
      </c>
      <c r="Z1298" s="6" t="n">
        <v>1.2807108276104</v>
      </c>
      <c r="AA1298" s="6" t="n">
        <v>-1.65736001650461</v>
      </c>
      <c r="AB1298" s="6" t="n">
        <v>0.155940838603016</v>
      </c>
      <c r="AC1298" s="6" t="n">
        <v>2.38473088082986</v>
      </c>
      <c r="AD1298" s="6" t="n">
        <v>-0.00370992558378609</v>
      </c>
      <c r="AE1298" s="6" t="n">
        <v>0.517460830579067</v>
      </c>
      <c r="AF1298" s="6" t="n">
        <v>0.272171720497883</v>
      </c>
      <c r="AG1298" s="6" t="n">
        <v>-1.8831479140407</v>
      </c>
      <c r="AH1298" s="6" t="n">
        <v>0.164773007118664</v>
      </c>
      <c r="AI1298" s="6" t="n">
        <v>0.113280692806316</v>
      </c>
      <c r="AJ1298" s="6" t="n">
        <v>61.8288057485127</v>
      </c>
      <c r="AK1298" s="6" t="n">
        <v>0.213365569486245</v>
      </c>
      <c r="AL1298" s="6" t="n">
        <v>1.03866289977432</v>
      </c>
      <c r="AN1298" s="6" t="n">
        <v>1.28594087365121</v>
      </c>
      <c r="AO1298" s="6" t="n">
        <v>1.28644842037612</v>
      </c>
      <c r="AP1298" s="6" t="n">
        <v>0.132426005004403</v>
      </c>
      <c r="AQ1298" s="6" t="n">
        <v>0</v>
      </c>
      <c r="AR1298" s="6" t="n">
        <v>0</v>
      </c>
    </row>
    <row r="1299" customFormat="false" ht="15" hidden="false" customHeight="false" outlineLevel="0" collapsed="false">
      <c r="D1299" s="0" t="s">
        <v>1425</v>
      </c>
      <c r="J1299" s="6" t="n">
        <v>-0.364420610509467</v>
      </c>
      <c r="K1299" s="6" t="n">
        <v>1.31688159060226</v>
      </c>
      <c r="L1299" s="6" t="n">
        <v>-2.39771313423268</v>
      </c>
      <c r="M1299" s="6" t="n">
        <v>-0.598329156128744</v>
      </c>
      <c r="N1299" s="6" t="n">
        <v>-1.67608908349815</v>
      </c>
      <c r="O1299" s="6" t="n">
        <v>-0.707077310484032</v>
      </c>
      <c r="P1299" s="6" t="n">
        <v>0.759106506363884</v>
      </c>
      <c r="Q1299" s="6" t="n">
        <v>-3.29945486142925</v>
      </c>
      <c r="R1299" s="6" t="n">
        <v>4.61589621319098</v>
      </c>
      <c r="S1299" s="6" t="n">
        <v>-0.531881105919067</v>
      </c>
      <c r="T1299" s="6" t="n">
        <v>1.77809489360424</v>
      </c>
      <c r="U1299" s="6" t="n">
        <v>-0.0123685566220575</v>
      </c>
      <c r="V1299" s="6" t="n">
        <v>-1.43588738585525</v>
      </c>
      <c r="W1299" s="6" t="n">
        <v>-1.62933980773146</v>
      </c>
      <c r="X1299" s="6" t="n">
        <v>0.210203589132332</v>
      </c>
      <c r="Y1299" s="6" t="n">
        <v>-4.80386933543888</v>
      </c>
      <c r="Z1299" s="6" t="n">
        <v>0.464570336286907</v>
      </c>
      <c r="AA1299" s="6" t="n">
        <v>0.913574968201747</v>
      </c>
      <c r="AB1299" s="6" t="n">
        <v>0.652150223404567</v>
      </c>
      <c r="AC1299" s="6" t="n">
        <v>0.938054207151234</v>
      </c>
      <c r="AD1299" s="6" t="n">
        <v>-1.20306110557106</v>
      </c>
      <c r="AE1299" s="6" t="n">
        <v>1.48204601499907</v>
      </c>
      <c r="AF1299" s="6" t="n">
        <v>-5.01513907713825</v>
      </c>
      <c r="AG1299" s="6" t="n">
        <v>2.78326439822959</v>
      </c>
      <c r="AH1299" s="6" t="n">
        <v>1.54439162691553</v>
      </c>
      <c r="AI1299" s="6" t="n">
        <v>0.245790457983781</v>
      </c>
      <c r="AJ1299" s="6" t="n">
        <v>58.6351206422274</v>
      </c>
      <c r="AK1299" s="6" t="n">
        <v>0</v>
      </c>
      <c r="AL1299" s="6" t="n">
        <v>1.05129831966424</v>
      </c>
      <c r="AN1299" s="6" t="n">
        <v>1.30137585576815</v>
      </c>
      <c r="AO1299" s="6" t="n">
        <v>1.30137585576815</v>
      </c>
      <c r="AP1299" s="6" t="n">
        <v>0.135077403385654</v>
      </c>
      <c r="AQ1299" s="6" t="n">
        <v>0</v>
      </c>
      <c r="AR1299" s="6" t="n">
        <v>0</v>
      </c>
    </row>
    <row r="1300" customFormat="false" ht="15" hidden="false" customHeight="false" outlineLevel="0" collapsed="false">
      <c r="D1300" s="0" t="s">
        <v>1426</v>
      </c>
      <c r="J1300" s="6" t="n">
        <v>0.317509009832725</v>
      </c>
      <c r="K1300" s="6" t="n">
        <v>1.71768681587254</v>
      </c>
      <c r="L1300" s="6" t="n">
        <v>-4.38980322615175</v>
      </c>
      <c r="M1300" s="6" t="n">
        <v>-2.02159130412666</v>
      </c>
      <c r="N1300" s="6" t="n">
        <v>0.706952616152176</v>
      </c>
      <c r="O1300" s="6" t="n">
        <v>-4.43315363733303</v>
      </c>
      <c r="P1300" s="6" t="n">
        <v>2.27438552991696</v>
      </c>
      <c r="Q1300" s="6" t="n">
        <v>1.38259070855277</v>
      </c>
      <c r="R1300" s="6" t="n">
        <v>1.07960358127331</v>
      </c>
      <c r="S1300" s="6" t="n">
        <v>-1.38095494188904</v>
      </c>
      <c r="T1300" s="6" t="n">
        <v>-0.325780327319487</v>
      </c>
      <c r="U1300" s="6" t="n">
        <v>-1.44257384253969</v>
      </c>
      <c r="V1300" s="6" t="n">
        <v>0.259121794788389</v>
      </c>
      <c r="W1300" s="6" t="n">
        <v>-1.27966247577294</v>
      </c>
      <c r="X1300" s="6" t="n">
        <v>0.60478385016519</v>
      </c>
      <c r="Y1300" s="6" t="n">
        <v>-0.486532135349437</v>
      </c>
      <c r="Z1300" s="6" t="n">
        <v>-2.30721330419544</v>
      </c>
      <c r="AA1300" s="6" t="n">
        <v>-0.884973852200577</v>
      </c>
      <c r="AB1300" s="6" t="n">
        <v>-2.47036598679149</v>
      </c>
      <c r="AC1300" s="6" t="n">
        <v>-0.828421544261189</v>
      </c>
      <c r="AD1300" s="6" t="n">
        <v>0.0110075066913896</v>
      </c>
      <c r="AE1300" s="6" t="n">
        <v>2.23302923109005</v>
      </c>
      <c r="AF1300" s="6" t="n">
        <v>-3.66656098764249</v>
      </c>
      <c r="AG1300" s="6" t="n">
        <v>3.56614313900468</v>
      </c>
      <c r="AH1300" s="6" t="n">
        <v>-4.47591619236963</v>
      </c>
      <c r="AI1300" s="6" t="n">
        <v>1.74335267673199</v>
      </c>
      <c r="AJ1300" s="6" t="n">
        <v>73.0576338815063</v>
      </c>
      <c r="AK1300" s="6" t="n">
        <v>0.0381229002276058</v>
      </c>
      <c r="AL1300" s="6" t="n">
        <v>1.06196361750284</v>
      </c>
      <c r="AN1300" s="6" t="n">
        <v>1.28607805935887</v>
      </c>
      <c r="AO1300" s="6" t="n">
        <v>1.29188222792872</v>
      </c>
      <c r="AP1300" s="6" t="n">
        <v>0.13487163042746</v>
      </c>
      <c r="AQ1300" s="6" t="n">
        <v>0</v>
      </c>
      <c r="AR1300" s="6" t="n">
        <v>0</v>
      </c>
    </row>
    <row r="1301" customFormat="false" ht="15" hidden="false" customHeight="false" outlineLevel="0" collapsed="false">
      <c r="D1301" s="0" t="s">
        <v>1427</v>
      </c>
      <c r="J1301" s="6" t="n">
        <v>-1.57794308331713</v>
      </c>
      <c r="K1301" s="6" t="n">
        <v>-1.33906627877328</v>
      </c>
      <c r="L1301" s="6" t="n">
        <v>2.16614670295978</v>
      </c>
      <c r="M1301" s="6" t="n">
        <v>-0.399029547871781</v>
      </c>
      <c r="N1301" s="6" t="n">
        <v>-3.25772245467788</v>
      </c>
      <c r="O1301" s="6" t="n">
        <v>-0.268117017828736</v>
      </c>
      <c r="P1301" s="6" t="n">
        <v>3.08698627401362</v>
      </c>
      <c r="Q1301" s="6" t="n">
        <v>-1.2473139755183</v>
      </c>
      <c r="R1301" s="6" t="n">
        <v>-4.50006677934289</v>
      </c>
      <c r="S1301" s="6" t="n">
        <v>4.20089191478911</v>
      </c>
      <c r="T1301" s="6" t="n">
        <v>2.8546886391152</v>
      </c>
      <c r="U1301" s="6" t="n">
        <v>0.485660671729825</v>
      </c>
      <c r="V1301" s="6" t="n">
        <v>-1.68528094479081</v>
      </c>
      <c r="W1301" s="6" t="n">
        <v>-1.23809864780674</v>
      </c>
      <c r="X1301" s="6" t="n">
        <v>0.0807861315663973</v>
      </c>
      <c r="Y1301" s="6" t="n">
        <v>-4.50730880807578</v>
      </c>
      <c r="Z1301" s="6" t="n">
        <v>3.3124494357014</v>
      </c>
      <c r="AA1301" s="6" t="n">
        <v>2.94318831728296</v>
      </c>
      <c r="AB1301" s="6" t="n">
        <v>-3.97833106024769</v>
      </c>
      <c r="AC1301" s="6" t="n">
        <v>3.5028466051973</v>
      </c>
      <c r="AD1301" s="6" t="n">
        <v>1.46537967705049</v>
      </c>
      <c r="AE1301" s="6" t="n">
        <v>-1.10099567515879</v>
      </c>
      <c r="AF1301" s="6" t="n">
        <v>2.10683243573105</v>
      </c>
      <c r="AG1301" s="6" t="n">
        <v>-0.141746898250737</v>
      </c>
      <c r="AH1301" s="6" t="n">
        <v>0.695691786236479</v>
      </c>
      <c r="AI1301" s="6" t="n">
        <v>0.0796679801201111</v>
      </c>
      <c r="AJ1301" s="6" t="n">
        <v>78.9416660999295</v>
      </c>
      <c r="AK1301" s="6" t="n">
        <v>0.113888651336452</v>
      </c>
      <c r="AL1301" s="6" t="n">
        <v>1.08125368579303</v>
      </c>
      <c r="AN1301" s="6" t="n">
        <v>1.28558526512231</v>
      </c>
      <c r="AO1301" s="6" t="n">
        <v>1.28719506859107</v>
      </c>
      <c r="AP1301" s="6" t="n">
        <v>0.132083437987812</v>
      </c>
      <c r="AQ1301" s="6" t="n">
        <v>0</v>
      </c>
      <c r="AR1301" s="6" t="n">
        <v>0</v>
      </c>
    </row>
    <row r="1302" customFormat="false" ht="15" hidden="false" customHeight="false" outlineLevel="0" collapsed="false">
      <c r="D1302" s="0" t="s">
        <v>1428</v>
      </c>
      <c r="J1302" s="6" t="n">
        <v>-1.58796975970585</v>
      </c>
      <c r="K1302" s="6" t="n">
        <v>-3.76874442504661</v>
      </c>
      <c r="L1302" s="6" t="n">
        <v>-2.07065939802503</v>
      </c>
      <c r="M1302" s="6" t="n">
        <v>0.867938835844585</v>
      </c>
      <c r="N1302" s="6" t="n">
        <v>0.235317287114804</v>
      </c>
      <c r="O1302" s="6" t="n">
        <v>0.181041314618812</v>
      </c>
      <c r="P1302" s="6" t="n">
        <v>-2.15859992511036</v>
      </c>
      <c r="Q1302" s="6" t="n">
        <v>-1.55131277018634</v>
      </c>
      <c r="R1302" s="6" t="n">
        <v>-2.96001781450424</v>
      </c>
      <c r="S1302" s="6" t="n">
        <v>-0.292486534270482</v>
      </c>
      <c r="T1302" s="6" t="n">
        <v>1.72206947767735</v>
      </c>
      <c r="U1302" s="6" t="n">
        <v>3.86086966600979</v>
      </c>
      <c r="V1302" s="6" t="n">
        <v>-0.163486403816453</v>
      </c>
      <c r="W1302" s="6" t="n">
        <v>-2.97778823176406</v>
      </c>
      <c r="X1302" s="6" t="n">
        <v>-5.84392999224288</v>
      </c>
      <c r="Y1302" s="6" t="n">
        <v>0.702891891048649</v>
      </c>
      <c r="Z1302" s="6" t="n">
        <v>0.570339904983545</v>
      </c>
      <c r="AA1302" s="6" t="n">
        <v>0.0806658624586508</v>
      </c>
      <c r="AB1302" s="6" t="n">
        <v>-0.045579905037752</v>
      </c>
      <c r="AC1302" s="6" t="n">
        <v>1.40145536035399</v>
      </c>
      <c r="AD1302" s="6" t="n">
        <v>0.863859270936663</v>
      </c>
      <c r="AE1302" s="6" t="n">
        <v>0.594449758476868</v>
      </c>
      <c r="AF1302" s="6" t="n">
        <v>0.371611255218032</v>
      </c>
      <c r="AG1302" s="6" t="n">
        <v>4.09639039835818</v>
      </c>
      <c r="AH1302" s="6" t="n">
        <v>-1.59897089506214</v>
      </c>
      <c r="AI1302" s="6" t="n">
        <v>0.324548430812516</v>
      </c>
      <c r="AJ1302" s="6" t="n">
        <v>68.1087581482217</v>
      </c>
      <c r="AK1302" s="6" t="n">
        <v>0.132546784984652</v>
      </c>
      <c r="AL1302" s="6" t="n">
        <v>1.07394326417354</v>
      </c>
      <c r="AN1302" s="6" t="n">
        <v>1.28455820186544</v>
      </c>
      <c r="AO1302" s="6" t="n">
        <v>1.28463958718836</v>
      </c>
      <c r="AP1302" s="6" t="n">
        <v>0.131533978528629</v>
      </c>
      <c r="AQ1302" s="6" t="n">
        <v>0</v>
      </c>
      <c r="AR1302" s="6" t="n">
        <v>0</v>
      </c>
    </row>
    <row r="1303" customFormat="false" ht="15" hidden="false" customHeight="false" outlineLevel="0" collapsed="false">
      <c r="D1303" s="0" t="s">
        <v>1429</v>
      </c>
      <c r="J1303" s="6" t="n">
        <v>2.08498599713797</v>
      </c>
      <c r="K1303" s="6" t="n">
        <v>0.380369557717929</v>
      </c>
      <c r="L1303" s="6" t="n">
        <v>-1.30465989130155</v>
      </c>
      <c r="M1303" s="6" t="n">
        <v>-0.489654520073084</v>
      </c>
      <c r="N1303" s="6" t="n">
        <v>1.94984439612575</v>
      </c>
      <c r="O1303" s="6" t="n">
        <v>-1.60756047883769</v>
      </c>
      <c r="P1303" s="6" t="n">
        <v>-1.93601460157199</v>
      </c>
      <c r="Q1303" s="6" t="n">
        <v>-3.87293231272829</v>
      </c>
      <c r="R1303" s="6" t="n">
        <v>1.46809212876296</v>
      </c>
      <c r="S1303" s="6" t="n">
        <v>-1.61028529833838</v>
      </c>
      <c r="T1303" s="6" t="n">
        <v>-0.0496826964867716</v>
      </c>
      <c r="U1303" s="6" t="n">
        <v>2.87331234557632</v>
      </c>
      <c r="V1303" s="6" t="n">
        <v>-4.35356791362201</v>
      </c>
      <c r="W1303" s="6" t="n">
        <v>1.58428988966723</v>
      </c>
      <c r="X1303" s="6" t="n">
        <v>0.0786347668133471</v>
      </c>
      <c r="Y1303" s="6" t="n">
        <v>0.870590553942561</v>
      </c>
      <c r="Z1303" s="6" t="n">
        <v>2.54325275623325</v>
      </c>
      <c r="AA1303" s="6" t="n">
        <v>-4.45283460349347</v>
      </c>
      <c r="AB1303" s="6" t="n">
        <v>0.0817491722742052</v>
      </c>
      <c r="AC1303" s="6" t="n">
        <v>-1.12108655091037</v>
      </c>
      <c r="AD1303" s="6" t="n">
        <v>-0.809759355354106</v>
      </c>
      <c r="AE1303" s="6" t="n">
        <v>-3.19088771749671</v>
      </c>
      <c r="AF1303" s="6" t="n">
        <v>2.9491178214305</v>
      </c>
      <c r="AG1303" s="6" t="n">
        <v>0.93262397868771</v>
      </c>
      <c r="AH1303" s="6" t="n">
        <v>2.69462469352345</v>
      </c>
      <c r="AI1303" s="6" t="n">
        <v>-0.519028579988294</v>
      </c>
      <c r="AJ1303" s="6" t="n">
        <v>60.180376023488</v>
      </c>
      <c r="AK1303" s="6" t="n">
        <v>0.0525329829241969</v>
      </c>
      <c r="AL1303" s="6" t="n">
        <v>1.04251724755182</v>
      </c>
      <c r="AN1303" s="6" t="n">
        <v>1.2999927367307</v>
      </c>
      <c r="AO1303" s="6" t="n">
        <v>1.30155993006384</v>
      </c>
      <c r="AP1303" s="6" t="n">
        <v>0.134857886684225</v>
      </c>
      <c r="AQ1303" s="6" t="n">
        <v>0</v>
      </c>
      <c r="AR1303" s="6" t="n">
        <v>0</v>
      </c>
    </row>
    <row r="1304" customFormat="false" ht="15" hidden="false" customHeight="false" outlineLevel="0" collapsed="false">
      <c r="D1304" s="0" t="s">
        <v>1430</v>
      </c>
      <c r="J1304" s="6" t="n">
        <v>-2.62961207988542</v>
      </c>
      <c r="K1304" s="6" t="n">
        <v>1.5789740837802</v>
      </c>
      <c r="L1304" s="6" t="n">
        <v>-1.91063524644634</v>
      </c>
      <c r="M1304" s="6" t="n">
        <v>1.89143660092163</v>
      </c>
      <c r="N1304" s="6" t="n">
        <v>-0.970658602718629</v>
      </c>
      <c r="O1304" s="6" t="n">
        <v>1.99318920376493</v>
      </c>
      <c r="P1304" s="6" t="n">
        <v>1.46998207183795</v>
      </c>
      <c r="Q1304" s="6" t="n">
        <v>-1.68139229286325</v>
      </c>
      <c r="R1304" s="6" t="n">
        <v>-1.73123583597445</v>
      </c>
      <c r="S1304" s="6" t="n">
        <v>2.82839103785536</v>
      </c>
      <c r="T1304" s="6" t="n">
        <v>-0.217620709090023</v>
      </c>
      <c r="U1304" s="6" t="n">
        <v>0.977718833070525</v>
      </c>
      <c r="V1304" s="6" t="n">
        <v>-0.509233870777997</v>
      </c>
      <c r="W1304" s="6" t="n">
        <v>0.547935201338555</v>
      </c>
      <c r="X1304" s="6" t="n">
        <v>-2.42695786381274</v>
      </c>
      <c r="Y1304" s="6" t="n">
        <v>0.737138535086968</v>
      </c>
      <c r="Z1304" s="6" t="n">
        <v>0.34554254651551</v>
      </c>
      <c r="AA1304" s="6" t="n">
        <v>2.93279861150174</v>
      </c>
      <c r="AB1304" s="6" t="n">
        <v>4.17787421191249</v>
      </c>
      <c r="AC1304" s="6" t="n">
        <v>-4.98393943654654</v>
      </c>
      <c r="AD1304" s="6" t="n">
        <v>-0.531191066743924</v>
      </c>
      <c r="AE1304" s="6" t="n">
        <v>-1.87988534754322</v>
      </c>
      <c r="AF1304" s="6" t="n">
        <v>0.220192916071628</v>
      </c>
      <c r="AG1304" s="6" t="n">
        <v>0.854815815122261</v>
      </c>
      <c r="AH1304" s="6" t="n">
        <v>-1.50516680331937</v>
      </c>
      <c r="AI1304" s="6" t="n">
        <v>-2.61342662552417</v>
      </c>
      <c r="AJ1304" s="6" t="n">
        <v>68.6948711268045</v>
      </c>
      <c r="AK1304" s="6" t="n">
        <v>0.197877514674831</v>
      </c>
      <c r="AL1304" s="6" t="n">
        <v>1.09102630295066</v>
      </c>
      <c r="AN1304" s="6" t="n">
        <v>1.2671838800333</v>
      </c>
      <c r="AO1304" s="6" t="n">
        <v>1.26816260896624</v>
      </c>
      <c r="AP1304" s="6" t="n">
        <v>0.128944045655286</v>
      </c>
      <c r="AQ1304" s="6" t="n">
        <v>0</v>
      </c>
      <c r="AR1304" s="6" t="n">
        <v>0</v>
      </c>
    </row>
    <row r="1305" customFormat="false" ht="15" hidden="false" customHeight="false" outlineLevel="0" collapsed="false">
      <c r="D1305" s="0" t="s">
        <v>1431</v>
      </c>
      <c r="J1305" s="6" t="n">
        <v>0.778396899533446</v>
      </c>
      <c r="K1305" s="6" t="n">
        <v>-0.51779664558326</v>
      </c>
      <c r="L1305" s="6" t="n">
        <v>0.339963751222657</v>
      </c>
      <c r="M1305" s="6" t="n">
        <v>-0.366924776023767</v>
      </c>
      <c r="N1305" s="6" t="n">
        <v>-0.0237780190133729</v>
      </c>
      <c r="O1305" s="6" t="n">
        <v>-1.00041788842897</v>
      </c>
      <c r="P1305" s="6" t="n">
        <v>1.90228890411741</v>
      </c>
      <c r="Q1305" s="6" t="n">
        <v>0.920833659978085</v>
      </c>
      <c r="R1305" s="6" t="n">
        <v>2.28391034723205</v>
      </c>
      <c r="S1305" s="6" t="n">
        <v>-4.75545992271672</v>
      </c>
      <c r="T1305" s="6" t="n">
        <v>-3.40169629316136</v>
      </c>
      <c r="U1305" s="6" t="n">
        <v>-0.833682904092703</v>
      </c>
      <c r="V1305" s="6" t="n">
        <v>-0.431017628675634</v>
      </c>
      <c r="W1305" s="6" t="n">
        <v>-0.986665492603347</v>
      </c>
      <c r="X1305" s="6" t="n">
        <v>-2.69109505269721</v>
      </c>
      <c r="Y1305" s="6" t="n">
        <v>-1.94733987068606</v>
      </c>
      <c r="Z1305" s="6" t="n">
        <v>0.0732126806435422</v>
      </c>
      <c r="AA1305" s="6" t="n">
        <v>-1.71655679687056</v>
      </c>
      <c r="AB1305" s="6" t="n">
        <v>-0.896952360802905</v>
      </c>
      <c r="AC1305" s="6" t="n">
        <v>0.153559775306925</v>
      </c>
      <c r="AD1305" s="6" t="n">
        <v>2.13145486020805</v>
      </c>
      <c r="AE1305" s="6" t="n">
        <v>-0.806161036497876</v>
      </c>
      <c r="AF1305" s="6" t="n">
        <v>3.08534235798277</v>
      </c>
      <c r="AG1305" s="6" t="n">
        <v>-1.54761849766274</v>
      </c>
      <c r="AH1305" s="6" t="n">
        <v>1.11819742675682</v>
      </c>
      <c r="AI1305" s="6" t="n">
        <v>-1.51323766148833</v>
      </c>
      <c r="AJ1305" s="6" t="n">
        <v>78.104311755215</v>
      </c>
      <c r="AK1305" s="6" t="n">
        <v>0.195153009929317</v>
      </c>
      <c r="AL1305" s="6" t="n">
        <v>1.04013151226246</v>
      </c>
      <c r="AN1305" s="6" t="n">
        <v>1.29431234212683</v>
      </c>
      <c r="AO1305" s="6" t="n">
        <v>1.29578044276215</v>
      </c>
      <c r="AP1305" s="6" t="n">
        <v>0.133516420209943</v>
      </c>
      <c r="AQ1305" s="6" t="n">
        <v>0</v>
      </c>
      <c r="AR1305" s="6" t="n">
        <v>0</v>
      </c>
    </row>
    <row r="1306" customFormat="false" ht="15" hidden="false" customHeight="false" outlineLevel="0" collapsed="false">
      <c r="D1306" s="0" t="s">
        <v>1432</v>
      </c>
      <c r="J1306" s="6" t="n">
        <v>0.405300648671992</v>
      </c>
      <c r="K1306" s="6" t="n">
        <v>1.4283106288815</v>
      </c>
      <c r="L1306" s="6" t="n">
        <v>-0.22267934864075</v>
      </c>
      <c r="M1306" s="6" t="n">
        <v>2.36600536771939</v>
      </c>
      <c r="N1306" s="6" t="n">
        <v>-0.948977023278688</v>
      </c>
      <c r="O1306" s="6" t="n">
        <v>2.20595590721688</v>
      </c>
      <c r="P1306" s="6" t="n">
        <v>-5.21023356945249</v>
      </c>
      <c r="Q1306" s="6" t="n">
        <v>-0.48651178644977</v>
      </c>
      <c r="R1306" s="6" t="n">
        <v>0.23753337097128</v>
      </c>
      <c r="S1306" s="6" t="n">
        <v>-1.31843744050703</v>
      </c>
      <c r="T1306" s="6" t="n">
        <v>-0.389087115004285</v>
      </c>
      <c r="U1306" s="6" t="n">
        <v>-1.89062553239323</v>
      </c>
      <c r="V1306" s="6" t="n">
        <v>-1.95759637992722</v>
      </c>
      <c r="W1306" s="6" t="n">
        <v>-2.65593501527828</v>
      </c>
      <c r="X1306" s="6" t="n">
        <v>-2.49108772856818</v>
      </c>
      <c r="Y1306" s="6" t="n">
        <v>2.18664137687471</v>
      </c>
      <c r="Z1306" s="6" t="n">
        <v>-0.471722333112662</v>
      </c>
      <c r="AA1306" s="6" t="n">
        <v>3.11399793854613</v>
      </c>
      <c r="AB1306" s="6" t="n">
        <v>-0.405862537279966</v>
      </c>
      <c r="AC1306" s="6" t="n">
        <v>-0.0847393210728183</v>
      </c>
      <c r="AD1306" s="6" t="n">
        <v>-2.09526138291256</v>
      </c>
      <c r="AE1306" s="6" t="n">
        <v>1.47175422784413</v>
      </c>
      <c r="AF1306" s="6" t="n">
        <v>-0.871848181983597</v>
      </c>
      <c r="AG1306" s="6" t="n">
        <v>-1.86351338410773</v>
      </c>
      <c r="AH1306" s="6" t="n">
        <v>0.663422846024258</v>
      </c>
      <c r="AI1306" s="6" t="n">
        <v>-3.11239917493768</v>
      </c>
      <c r="AJ1306" s="6" t="n">
        <v>71.1866881831989</v>
      </c>
      <c r="AK1306" s="6" t="n">
        <v>0.0486029150710003</v>
      </c>
      <c r="AL1306" s="6" t="n">
        <v>1.03707188564745</v>
      </c>
      <c r="AN1306" s="6" t="n">
        <v>1.30458255549395</v>
      </c>
      <c r="AO1306" s="6" t="n">
        <v>1.30791580071455</v>
      </c>
      <c r="AP1306" s="6" t="n">
        <v>0.136778255864506</v>
      </c>
      <c r="AQ1306" s="6" t="n">
        <v>0</v>
      </c>
      <c r="AR1306" s="6" t="n">
        <v>0</v>
      </c>
    </row>
    <row r="1307" customFormat="false" ht="15" hidden="false" customHeight="false" outlineLevel="0" collapsed="false">
      <c r="D1307" s="0" t="s">
        <v>1433</v>
      </c>
      <c r="J1307" s="6" t="n">
        <v>-0.710149912354016</v>
      </c>
      <c r="K1307" s="6" t="n">
        <v>-1.60222751790046</v>
      </c>
      <c r="L1307" s="6" t="n">
        <v>0.585603750131383</v>
      </c>
      <c r="M1307" s="6" t="n">
        <v>2.06776576822349</v>
      </c>
      <c r="N1307" s="6" t="n">
        <v>-0.120276590022722</v>
      </c>
      <c r="O1307" s="6" t="n">
        <v>-3.34628422114739</v>
      </c>
      <c r="P1307" s="6" t="n">
        <v>0.72345433351884</v>
      </c>
      <c r="Q1307" s="6" t="n">
        <v>-0.84297657550245</v>
      </c>
      <c r="R1307" s="6" t="n">
        <v>-2.42249134688215</v>
      </c>
      <c r="S1307" s="6" t="n">
        <v>-1.00737223746574</v>
      </c>
      <c r="T1307" s="6" t="n">
        <v>-0.937367459013111</v>
      </c>
      <c r="U1307" s="6" t="n">
        <v>0.670545851127294</v>
      </c>
      <c r="V1307" s="6" t="n">
        <v>1.3077189755809</v>
      </c>
      <c r="W1307" s="6" t="n">
        <v>2.17196735716982</v>
      </c>
      <c r="X1307" s="6" t="n">
        <v>-3.01015053494809</v>
      </c>
      <c r="Y1307" s="6" t="n">
        <v>0.580618902846028</v>
      </c>
      <c r="Z1307" s="6" t="n">
        <v>2.14198126798092</v>
      </c>
      <c r="AA1307" s="6" t="n">
        <v>-1.70813489634917</v>
      </c>
      <c r="AB1307" s="6" t="n">
        <v>-2.32290869693732</v>
      </c>
      <c r="AC1307" s="6" t="n">
        <v>-0.35946504154443</v>
      </c>
      <c r="AD1307" s="6" t="n">
        <v>-0.344985852221507</v>
      </c>
      <c r="AE1307" s="6" t="n">
        <v>-0.412277730367026</v>
      </c>
      <c r="AF1307" s="6" t="n">
        <v>2.36621137829533</v>
      </c>
      <c r="AG1307" s="6" t="n">
        <v>0.761945756684749</v>
      </c>
      <c r="AH1307" s="6" t="n">
        <v>-1.15596469074633</v>
      </c>
      <c r="AI1307" s="6" t="n">
        <v>-1.24493335533593</v>
      </c>
      <c r="AJ1307" s="6" t="n">
        <v>78.5990272983809</v>
      </c>
      <c r="AK1307" s="6" t="n">
        <v>0.00848919188170197</v>
      </c>
      <c r="AL1307" s="6" t="n">
        <v>1.06461655657513</v>
      </c>
      <c r="AN1307" s="6" t="n">
        <v>1.30560968622269</v>
      </c>
      <c r="AO1307" s="6" t="n">
        <v>1.30677757307198</v>
      </c>
      <c r="AP1307" s="6" t="n">
        <v>0.136317191939554</v>
      </c>
      <c r="AQ1307" s="6" t="n">
        <v>0</v>
      </c>
      <c r="AR1307" s="6" t="n">
        <v>0</v>
      </c>
    </row>
    <row r="1308" customFormat="false" ht="15" hidden="false" customHeight="false" outlineLevel="0" collapsed="false">
      <c r="D1308" s="0" t="s">
        <v>1434</v>
      </c>
      <c r="J1308" s="6" t="n">
        <v>-0.464073153312891</v>
      </c>
      <c r="K1308" s="6" t="n">
        <v>-1.81204205019625</v>
      </c>
      <c r="L1308" s="6" t="n">
        <v>-0.859032829550009</v>
      </c>
      <c r="M1308" s="6" t="n">
        <v>0.963465157601476</v>
      </c>
      <c r="N1308" s="6" t="n">
        <v>-2.86669093091852</v>
      </c>
      <c r="O1308" s="6" t="n">
        <v>3.81065914348951</v>
      </c>
      <c r="P1308" s="6" t="n">
        <v>-1.57276136970249</v>
      </c>
      <c r="Q1308" s="6" t="n">
        <v>-0.363088498189522</v>
      </c>
      <c r="R1308" s="6" t="n">
        <v>1.13846813438959</v>
      </c>
      <c r="S1308" s="6" t="n">
        <v>-0.0474663830220119</v>
      </c>
      <c r="T1308" s="6" t="n">
        <v>0.786629459531717</v>
      </c>
      <c r="U1308" s="6" t="n">
        <v>-1.03718577366294</v>
      </c>
      <c r="V1308" s="6" t="n">
        <v>0.744276518175115</v>
      </c>
      <c r="W1308" s="6" t="n">
        <v>1.11282103931759</v>
      </c>
      <c r="X1308" s="6" t="n">
        <v>1.83687846709433</v>
      </c>
      <c r="Y1308" s="6" t="n">
        <v>-0.751329037720724</v>
      </c>
      <c r="Z1308" s="6" t="n">
        <v>2.71095425742981</v>
      </c>
      <c r="AA1308" s="6" t="n">
        <v>1.68526638418946</v>
      </c>
      <c r="AB1308" s="6" t="n">
        <v>-0.232202355811676</v>
      </c>
      <c r="AC1308" s="6" t="n">
        <v>-2.91762292231309</v>
      </c>
      <c r="AD1308" s="6" t="n">
        <v>3.34707818434439</v>
      </c>
      <c r="AE1308" s="6" t="n">
        <v>-0.503757853736901</v>
      </c>
      <c r="AF1308" s="6" t="n">
        <v>-0.332516924216795</v>
      </c>
      <c r="AG1308" s="6" t="n">
        <v>0.877015205150385</v>
      </c>
      <c r="AH1308" s="6" t="n">
        <v>-0.428805657283951</v>
      </c>
      <c r="AI1308" s="6" t="n">
        <v>-0.856475635182143</v>
      </c>
      <c r="AJ1308" s="6" t="n">
        <v>75.9529727494682</v>
      </c>
      <c r="AK1308" s="6" t="n">
        <v>0.0615197249735771</v>
      </c>
      <c r="AL1308" s="6" t="n">
        <v>1.06592512558841</v>
      </c>
      <c r="AN1308" s="6" t="n">
        <v>1.2971040493233</v>
      </c>
      <c r="AO1308" s="6" t="n">
        <v>1.29755395511298</v>
      </c>
      <c r="AP1308" s="6" t="n">
        <v>0.134611292729247</v>
      </c>
      <c r="AQ1308" s="6" t="n">
        <v>0</v>
      </c>
      <c r="AR1308" s="6" t="n">
        <v>0</v>
      </c>
    </row>
    <row r="1309" customFormat="false" ht="15" hidden="false" customHeight="false" outlineLevel="0" collapsed="false">
      <c r="D1309" s="0" t="s">
        <v>1435</v>
      </c>
      <c r="J1309" s="6" t="n">
        <v>-2.59234782746962</v>
      </c>
      <c r="K1309" s="6" t="n">
        <v>5</v>
      </c>
      <c r="L1309" s="6" t="n">
        <v>-1.36889202906265</v>
      </c>
      <c r="M1309" s="6" t="n">
        <v>0.20128657627371</v>
      </c>
      <c r="N1309" s="6" t="n">
        <v>2.10020574790648</v>
      </c>
      <c r="O1309" s="6" t="n">
        <v>-2.88825579541939</v>
      </c>
      <c r="P1309" s="6" t="n">
        <v>1.2427122867171</v>
      </c>
      <c r="Q1309" s="6" t="n">
        <v>0.794880020074466</v>
      </c>
      <c r="R1309" s="6" t="n">
        <v>1.12251198429311</v>
      </c>
      <c r="S1309" s="6" t="n">
        <v>0.44669732021886</v>
      </c>
      <c r="T1309" s="6" t="n">
        <v>-1.47978207486442</v>
      </c>
      <c r="U1309" s="6" t="n">
        <v>-3.05599981517442</v>
      </c>
      <c r="V1309" s="6" t="n">
        <v>2.51611937928777</v>
      </c>
      <c r="W1309" s="6" t="n">
        <v>-4.38848206003004</v>
      </c>
      <c r="X1309" s="6" t="n">
        <v>-0.267675942309193</v>
      </c>
      <c r="Y1309" s="6" t="n">
        <v>2.04828080800905</v>
      </c>
      <c r="Z1309" s="6" t="n">
        <v>-2.46815447491899</v>
      </c>
      <c r="AA1309" s="6" t="n">
        <v>-0.215395334048987</v>
      </c>
      <c r="AB1309" s="6" t="n">
        <v>-0.372600971134134</v>
      </c>
      <c r="AC1309" s="6" t="n">
        <v>1.1989856011894</v>
      </c>
      <c r="AD1309" s="6" t="n">
        <v>0.588378294065826</v>
      </c>
      <c r="AE1309" s="6" t="n">
        <v>0.499076723982229</v>
      </c>
      <c r="AF1309" s="6" t="n">
        <v>-1.63438776050774</v>
      </c>
      <c r="AG1309" s="6" t="n">
        <v>1.45703550878125</v>
      </c>
      <c r="AH1309" s="6" t="n">
        <v>2.04620492809737</v>
      </c>
      <c r="AI1309" s="6" t="n">
        <v>-0.19700498616162</v>
      </c>
      <c r="AJ1309" s="6" t="n">
        <v>77.9136311265518</v>
      </c>
      <c r="AK1309" s="6" t="n">
        <v>0.188919599290097</v>
      </c>
      <c r="AL1309" s="6" t="n">
        <v>1.09417206556249</v>
      </c>
      <c r="AN1309" s="6" t="n">
        <v>1.27142831611916</v>
      </c>
      <c r="AO1309" s="6" t="n">
        <v>1.2730603420013</v>
      </c>
      <c r="AP1309" s="6" t="n">
        <v>0.129513539953596</v>
      </c>
      <c r="AQ1309" s="6" t="n">
        <v>0</v>
      </c>
      <c r="AR1309" s="6" t="n">
        <v>0</v>
      </c>
    </row>
    <row r="1310" customFormat="false" ht="15" hidden="false" customHeight="false" outlineLevel="0" collapsed="false">
      <c r="D1310" s="0" t="s">
        <v>1436</v>
      </c>
      <c r="J1310" s="6" t="n">
        <v>-2.44558136107465</v>
      </c>
      <c r="K1310" s="6" t="n">
        <v>0.180184625943141</v>
      </c>
      <c r="L1310" s="6" t="n">
        <v>2.55290928916223</v>
      </c>
      <c r="M1310" s="6" t="n">
        <v>-1.42171930474212</v>
      </c>
      <c r="N1310" s="6" t="n">
        <v>-0.747386763330326</v>
      </c>
      <c r="O1310" s="6" t="n">
        <v>2.69742022822499</v>
      </c>
      <c r="P1310" s="6" t="n">
        <v>2.25762755644499</v>
      </c>
      <c r="Q1310" s="6" t="n">
        <v>-2.76230200649163</v>
      </c>
      <c r="R1310" s="6" t="n">
        <v>2.06446964331732</v>
      </c>
      <c r="S1310" s="6" t="n">
        <v>-2.16032598094992</v>
      </c>
      <c r="T1310" s="6" t="n">
        <v>-0.852014939573232</v>
      </c>
      <c r="U1310" s="6" t="n">
        <v>-0.289317612366832</v>
      </c>
      <c r="V1310" s="6" t="n">
        <v>-1.99733992434502</v>
      </c>
      <c r="W1310" s="6" t="n">
        <v>-0.849735232478268</v>
      </c>
      <c r="X1310" s="6" t="n">
        <v>-2.62696513847887</v>
      </c>
      <c r="Y1310" s="6" t="n">
        <v>1.07725212470342</v>
      </c>
      <c r="Z1310" s="6" t="n">
        <v>3.71139483357925</v>
      </c>
      <c r="AA1310" s="6" t="n">
        <v>2.86481092361863</v>
      </c>
      <c r="AB1310" s="6" t="n">
        <v>2.62272309508839</v>
      </c>
      <c r="AC1310" s="6" t="n">
        <v>0.524803905123022</v>
      </c>
      <c r="AD1310" s="6" t="n">
        <v>-2.36261553777415</v>
      </c>
      <c r="AE1310" s="6" t="n">
        <v>-2.61478865599294</v>
      </c>
      <c r="AF1310" s="6" t="n">
        <v>-1.57663771870133</v>
      </c>
      <c r="AG1310" s="6" t="n">
        <v>-0.617527458802475</v>
      </c>
      <c r="AH1310" s="6" t="n">
        <v>0.379090293914954</v>
      </c>
      <c r="AI1310" s="6" t="n">
        <v>2.87463316413211</v>
      </c>
      <c r="AJ1310" s="6" t="n">
        <v>72.0654249337977</v>
      </c>
      <c r="AK1310" s="6" t="n">
        <v>0.0768819080350468</v>
      </c>
      <c r="AL1310" s="6" t="n">
        <v>1.04177693197281</v>
      </c>
      <c r="AN1310" s="6" t="n">
        <v>1.30316978483582</v>
      </c>
      <c r="AO1310" s="6" t="n">
        <v>1.30362875838374</v>
      </c>
      <c r="AP1310" s="6" t="n">
        <v>0.135775845423148</v>
      </c>
      <c r="AQ1310" s="6" t="n">
        <v>0</v>
      </c>
      <c r="AR1310" s="6" t="n">
        <v>0</v>
      </c>
    </row>
    <row r="1311" customFormat="false" ht="15" hidden="false" customHeight="false" outlineLevel="0" collapsed="false">
      <c r="D1311" s="0" t="s">
        <v>1437</v>
      </c>
      <c r="J1311" s="6" t="n">
        <v>-1.54617303763732</v>
      </c>
      <c r="K1311" s="6" t="n">
        <v>2.26836496009279</v>
      </c>
      <c r="L1311" s="6" t="n">
        <v>0.67121637218712</v>
      </c>
      <c r="M1311" s="6" t="n">
        <v>-5.75942169781149</v>
      </c>
      <c r="N1311" s="6" t="n">
        <v>-2.5593184785881</v>
      </c>
      <c r="O1311" s="6" t="n">
        <v>-0.934889645573128</v>
      </c>
      <c r="P1311" s="6" t="n">
        <v>-0.035149293704129</v>
      </c>
      <c r="Q1311" s="6" t="n">
        <v>-0.201802150490228</v>
      </c>
      <c r="R1311" s="6" t="n">
        <v>0.580308197702304</v>
      </c>
      <c r="S1311" s="6" t="n">
        <v>-0.0671128645136529</v>
      </c>
      <c r="T1311" s="6" t="n">
        <v>1.51221865112068</v>
      </c>
      <c r="U1311" s="6" t="n">
        <v>0.961131738565375</v>
      </c>
      <c r="V1311" s="6" t="n">
        <v>3.04436408357549</v>
      </c>
      <c r="W1311" s="6" t="n">
        <v>0.580467988266711</v>
      </c>
      <c r="X1311" s="6" t="n">
        <v>0.304108910500938</v>
      </c>
      <c r="Y1311" s="6" t="n">
        <v>-1.5985361464295</v>
      </c>
      <c r="Z1311" s="6" t="n">
        <v>1.2947322766857</v>
      </c>
      <c r="AA1311" s="6" t="n">
        <v>-2.70361898165631</v>
      </c>
      <c r="AB1311" s="6" t="n">
        <v>2.23919088279755</v>
      </c>
      <c r="AC1311" s="6" t="n">
        <v>3.94205700101831</v>
      </c>
      <c r="AD1311" s="6" t="n">
        <v>1.43603217918</v>
      </c>
      <c r="AE1311" s="6" t="n">
        <v>-1.98591360754182</v>
      </c>
      <c r="AF1311" s="6" t="n">
        <v>0.285739128538623</v>
      </c>
      <c r="AG1311" s="6" t="n">
        <v>1.06466947492699</v>
      </c>
      <c r="AH1311" s="6" t="n">
        <v>2.43287876464649</v>
      </c>
      <c r="AI1311" s="6" t="n">
        <v>-1.0646196157448</v>
      </c>
      <c r="AJ1311" s="6" t="n">
        <v>62.4561560431777</v>
      </c>
      <c r="AK1311" s="6" t="n">
        <v>0.145224938517005</v>
      </c>
      <c r="AL1311" s="6" t="n">
        <v>1.0781437356881</v>
      </c>
      <c r="AN1311" s="6" t="n">
        <v>1.26689776964097</v>
      </c>
      <c r="AO1311" s="6" t="n">
        <v>1.26857592762868</v>
      </c>
      <c r="AP1311" s="6" t="n">
        <v>0.129770128994721</v>
      </c>
      <c r="AQ1311" s="6" t="n">
        <v>0</v>
      </c>
      <c r="AR1311" s="6" t="n">
        <v>0</v>
      </c>
    </row>
    <row r="1312" customFormat="false" ht="15" hidden="false" customHeight="false" outlineLevel="0" collapsed="false">
      <c r="D1312" s="0" t="s">
        <v>1438</v>
      </c>
      <c r="J1312" s="6" t="n">
        <v>-2.12043710478875</v>
      </c>
      <c r="K1312" s="6" t="n">
        <v>-3.34483721829939</v>
      </c>
      <c r="L1312" s="6" t="n">
        <v>-0.721351864846685</v>
      </c>
      <c r="M1312" s="6" t="n">
        <v>1.2457537475222</v>
      </c>
      <c r="N1312" s="6" t="n">
        <v>2.404608577244</v>
      </c>
      <c r="O1312" s="6" t="n">
        <v>-0.818276301057306</v>
      </c>
      <c r="P1312" s="6" t="n">
        <v>3.9206073284716</v>
      </c>
      <c r="Q1312" s="6" t="n">
        <v>0.643553870642498</v>
      </c>
      <c r="R1312" s="6" t="n">
        <v>-4.07767655364761</v>
      </c>
      <c r="S1312" s="6" t="n">
        <v>-2.91649952932323</v>
      </c>
      <c r="T1312" s="6" t="n">
        <v>-2.7333265543352</v>
      </c>
      <c r="U1312" s="6" t="n">
        <v>-1.18922072888853</v>
      </c>
      <c r="V1312" s="6" t="n">
        <v>0.207911500805134</v>
      </c>
      <c r="W1312" s="6" t="n">
        <v>4.40398954026377</v>
      </c>
      <c r="X1312" s="6" t="n">
        <v>-0.621373233449196</v>
      </c>
      <c r="Y1312" s="6" t="n">
        <v>-0.937530905730389</v>
      </c>
      <c r="Z1312" s="6" t="n">
        <v>-0.788268148665749</v>
      </c>
      <c r="AA1312" s="6" t="n">
        <v>3.29182527003675</v>
      </c>
      <c r="AB1312" s="6" t="n">
        <v>-1.71947351595807</v>
      </c>
      <c r="AC1312" s="6" t="n">
        <v>-0.728236045466195</v>
      </c>
      <c r="AD1312" s="6" t="n">
        <v>-0.589927031689897</v>
      </c>
      <c r="AE1312" s="6" t="n">
        <v>-0.057597863313306</v>
      </c>
      <c r="AF1312" s="6" t="n">
        <v>0.55538638715154</v>
      </c>
      <c r="AG1312" s="6" t="n">
        <v>-1.18591404117944</v>
      </c>
      <c r="AH1312" s="6" t="n">
        <v>-0.944545759590035</v>
      </c>
      <c r="AI1312" s="6" t="n">
        <v>1.71015107762235</v>
      </c>
      <c r="AJ1312" s="6" t="n">
        <v>77.9195797729302</v>
      </c>
      <c r="AK1312" s="6" t="n">
        <v>0.0391710306326414</v>
      </c>
      <c r="AL1312" s="6" t="n">
        <v>1.00000227879102</v>
      </c>
      <c r="AN1312" s="6" t="n">
        <v>1.32066890528646</v>
      </c>
      <c r="AO1312" s="6" t="n">
        <v>1.32066890528646</v>
      </c>
      <c r="AP1312" s="6" t="n">
        <v>0.143598410455587</v>
      </c>
      <c r="AQ1312" s="6" t="n">
        <v>0</v>
      </c>
      <c r="AR1312" s="6" t="n">
        <v>0</v>
      </c>
    </row>
    <row r="1314" customFormat="false" ht="15" hidden="false" customHeight="false" outlineLevel="0" collapsed="false">
      <c r="B1314" s="2" t="s">
        <v>1439</v>
      </c>
    </row>
    <row r="1315" customFormat="false" ht="15" hidden="false" customHeight="false" outlineLevel="0" collapsed="false">
      <c r="D1315" s="0" t="s">
        <v>1440</v>
      </c>
      <c r="E1315" s="0" t="s">
        <v>323</v>
      </c>
      <c r="F1315" s="7" t="n">
        <v>14</v>
      </c>
    </row>
    <row r="1316" customFormat="false" ht="15" hidden="false" customHeight="false" outlineLevel="0" collapsed="false">
      <c r="D1316" s="0" t="s">
        <v>1441</v>
      </c>
      <c r="E1316" s="0" t="s">
        <v>323</v>
      </c>
      <c r="F1316" s="7" t="n">
        <v>7.25</v>
      </c>
    </row>
    <row r="1317" customFormat="false" ht="15" hidden="false" customHeight="false" outlineLevel="0" collapsed="false">
      <c r="D1317" s="0" t="s">
        <v>1442</v>
      </c>
      <c r="E1317" s="0" t="s">
        <v>1443</v>
      </c>
      <c r="F1317" s="7" t="n">
        <v>25</v>
      </c>
    </row>
    <row r="1318" customFormat="false" ht="15" hidden="false" customHeight="false" outlineLevel="0" collapsed="false">
      <c r="D1318" s="0" t="s">
        <v>1444</v>
      </c>
      <c r="E1318" s="0" t="s">
        <v>99</v>
      </c>
      <c r="F1318" s="7" t="n">
        <v>24</v>
      </c>
    </row>
    <row r="1319" customFormat="false" ht="15" hidden="false" customHeight="false" outlineLevel="0" collapsed="false">
      <c r="D1319" s="0" t="s">
        <v>1445</v>
      </c>
      <c r="E1319" s="0" t="s">
        <v>1443</v>
      </c>
      <c r="F1319" s="7" t="n">
        <v>2</v>
      </c>
    </row>
    <row r="1320" customFormat="false" ht="15" hidden="false" customHeight="false" outlineLevel="0" collapsed="false">
      <c r="D1320" s="0" t="s">
        <v>1446</v>
      </c>
      <c r="E1320" s="0" t="s">
        <v>113</v>
      </c>
      <c r="F1320" s="7" t="n">
        <v>365.25</v>
      </c>
    </row>
    <row r="1321" customFormat="false" ht="15" hidden="false" customHeight="false" outlineLevel="0" collapsed="false">
      <c r="D1321" s="0" t="s">
        <v>1447</v>
      </c>
      <c r="E1321" s="0" t="s">
        <v>323</v>
      </c>
      <c r="F1321" s="7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1450</v>
      </c>
    </row>
    <row r="8" customFormat="false" ht="15" hidden="false" customHeight="false" outlineLevel="0" collapsed="false">
      <c r="D8" s="0" t="s">
        <v>1451</v>
      </c>
      <c r="E8" s="0" t="s">
        <v>298</v>
      </c>
      <c r="F8" s="10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322</v>
      </c>
      <c r="E9" s="0" t="s">
        <v>99</v>
      </c>
      <c r="F9" s="9" t="n">
        <f aca="false">Inputs!$F$210*12</f>
        <v>300</v>
      </c>
    </row>
    <row r="10" customFormat="false" ht="15" hidden="false" customHeight="false" outlineLevel="0" collapsed="false">
      <c r="D10" s="0" t="s">
        <v>1452</v>
      </c>
      <c r="E10" s="0" t="s">
        <v>298</v>
      </c>
      <c r="F10" s="10" t="n">
        <f aca="false">EDATE(Time!$F$8,Time!$F$9)-1</f>
        <v>53447</v>
      </c>
    </row>
    <row r="11" customFormat="false" ht="15" hidden="false" customHeight="false" outlineLevel="0" collapsed="false">
      <c r="D11" s="0" t="s">
        <v>1453</v>
      </c>
      <c r="E11" s="0" t="s">
        <v>99</v>
      </c>
      <c r="F11" s="9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1454</v>
      </c>
      <c r="E12" s="0" t="s">
        <v>93</v>
      </c>
      <c r="F12" s="9" t="n">
        <f aca="false">MATCH($F$8,$J$22:$BN$22,1)</f>
        <v>6</v>
      </c>
    </row>
    <row r="13" customFormat="false" ht="15" hidden="false" customHeight="false" outlineLevel="0" collapsed="false">
      <c r="D13" s="0" t="s">
        <v>1455</v>
      </c>
      <c r="E13" s="0" t="s">
        <v>93</v>
      </c>
      <c r="F13" s="9" t="n">
        <f aca="false">Time!$F$12+1</f>
        <v>7</v>
      </c>
    </row>
    <row r="14" customFormat="false" ht="15" hidden="false" customHeight="false" outlineLevel="0" collapsed="false">
      <c r="D14" s="0" t="s">
        <v>1456</v>
      </c>
      <c r="E14" s="0" t="s">
        <v>93</v>
      </c>
      <c r="F14" s="9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1457</v>
      </c>
      <c r="E15" s="0" t="s">
        <v>93</v>
      </c>
      <c r="F15" s="9" t="n">
        <f aca="false">SUMPRODUCT($J$37:$BN$37,$J$20:$BN$20)</f>
        <v>56</v>
      </c>
    </row>
    <row r="16" customFormat="false" ht="15" hidden="false" customHeight="false" outlineLevel="0" collapsed="false">
      <c r="D16" s="0" t="s">
        <v>1458</v>
      </c>
      <c r="E16" s="0" t="s">
        <v>101</v>
      </c>
      <c r="F16" s="11" t="n">
        <f aca="false">IF(Inputs!$F$312=1,INDEX(Inputs!$AL$313:$AL$1312,Inputs!$F$311),(1+Inputs!$F$213/100)/(1+Inputs!$F$214/100))</f>
        <v>1.05185909980431</v>
      </c>
    </row>
    <row r="17" customFormat="false" ht="15" hidden="false" customHeight="false" outlineLevel="0" collapsed="false">
      <c r="D17" s="0" t="s">
        <v>1459</v>
      </c>
      <c r="E17" s="0" t="s">
        <v>93</v>
      </c>
      <c r="F17" s="9" t="n">
        <f aca="false">MATCH(Inputs!$F$205,$J$23:$BN$23,0)</f>
        <v>14</v>
      </c>
    </row>
    <row r="18" customFormat="false" ht="15" hidden="false" customHeight="false" outlineLevel="0" collapsed="false">
      <c r="D18" s="0" t="s">
        <v>1460</v>
      </c>
      <c r="E18" s="0" t="s">
        <v>93</v>
      </c>
      <c r="F18" s="9" t="n">
        <f aca="false">MATCH(Inputs!$F$200,$J$23:$BN$23,0)</f>
        <v>11</v>
      </c>
    </row>
    <row r="19" customFormat="false" ht="15" hidden="false" customHeight="false" outlineLevel="0" collapsed="false">
      <c r="B19" s="2" t="s">
        <v>1461</v>
      </c>
    </row>
    <row r="20" customFormat="false" ht="15" hidden="false" customHeight="false" outlineLevel="0" collapsed="false">
      <c r="D20" s="0" t="s">
        <v>1462</v>
      </c>
      <c r="E20" s="0" t="s">
        <v>93</v>
      </c>
      <c r="J20" s="9" t="n">
        <f aca="false">I20+1</f>
        <v>1</v>
      </c>
      <c r="K20" s="9" t="n">
        <f aca="false">J20+1</f>
        <v>2</v>
      </c>
      <c r="L20" s="9" t="n">
        <f aca="false">K20+1</f>
        <v>3</v>
      </c>
      <c r="M20" s="9" t="n">
        <f aca="false">L20+1</f>
        <v>4</v>
      </c>
      <c r="N20" s="9" t="n">
        <f aca="false">M20+1</f>
        <v>5</v>
      </c>
      <c r="O20" s="9" t="n">
        <f aca="false">N20+1</f>
        <v>6</v>
      </c>
      <c r="P20" s="9" t="n">
        <f aca="false">O20+1</f>
        <v>7</v>
      </c>
      <c r="Q20" s="9" t="n">
        <f aca="false">P20+1</f>
        <v>8</v>
      </c>
      <c r="R20" s="9" t="n">
        <f aca="false">Q20+1</f>
        <v>9</v>
      </c>
      <c r="S20" s="9" t="n">
        <f aca="false">R20+1</f>
        <v>10</v>
      </c>
      <c r="T20" s="9" t="n">
        <f aca="false">S20+1</f>
        <v>11</v>
      </c>
      <c r="U20" s="9" t="n">
        <f aca="false">T20+1</f>
        <v>12</v>
      </c>
      <c r="V20" s="9" t="n">
        <f aca="false">U20+1</f>
        <v>13</v>
      </c>
      <c r="W20" s="9" t="n">
        <f aca="false">V20+1</f>
        <v>14</v>
      </c>
      <c r="X20" s="9" t="n">
        <f aca="false">W20+1</f>
        <v>15</v>
      </c>
      <c r="Y20" s="9" t="n">
        <f aca="false">X20+1</f>
        <v>16</v>
      </c>
      <c r="Z20" s="9" t="n">
        <f aca="false">Y20+1</f>
        <v>17</v>
      </c>
      <c r="AA20" s="9" t="n">
        <f aca="false">Z20+1</f>
        <v>18</v>
      </c>
      <c r="AB20" s="9" t="n">
        <f aca="false">AA20+1</f>
        <v>19</v>
      </c>
      <c r="AC20" s="9" t="n">
        <f aca="false">AB20+1</f>
        <v>20</v>
      </c>
      <c r="AD20" s="9" t="n">
        <f aca="false">AC20+1</f>
        <v>21</v>
      </c>
      <c r="AE20" s="9" t="n">
        <f aca="false">AD20+1</f>
        <v>22</v>
      </c>
      <c r="AF20" s="9" t="n">
        <f aca="false">AE20+1</f>
        <v>23</v>
      </c>
      <c r="AG20" s="9" t="n">
        <f aca="false">AF20+1</f>
        <v>24</v>
      </c>
      <c r="AH20" s="9" t="n">
        <f aca="false">AG20+1</f>
        <v>25</v>
      </c>
      <c r="AI20" s="9" t="n">
        <f aca="false">AH20+1</f>
        <v>26</v>
      </c>
      <c r="AJ20" s="9" t="n">
        <f aca="false">AI20+1</f>
        <v>27</v>
      </c>
      <c r="AK20" s="9" t="n">
        <f aca="false">AJ20+1</f>
        <v>28</v>
      </c>
      <c r="AL20" s="9" t="n">
        <f aca="false">AK20+1</f>
        <v>29</v>
      </c>
      <c r="AM20" s="9" t="n">
        <f aca="false">AL20+1</f>
        <v>30</v>
      </c>
      <c r="AN20" s="9" t="n">
        <f aca="false">AM20+1</f>
        <v>31</v>
      </c>
      <c r="AO20" s="9" t="n">
        <f aca="false">AN20+1</f>
        <v>32</v>
      </c>
      <c r="AP20" s="9" t="n">
        <f aca="false">AO20+1</f>
        <v>33</v>
      </c>
      <c r="AQ20" s="9" t="n">
        <f aca="false">AP20+1</f>
        <v>34</v>
      </c>
      <c r="AR20" s="9" t="n">
        <f aca="false">AQ20+1</f>
        <v>35</v>
      </c>
      <c r="AS20" s="9" t="n">
        <f aca="false">AR20+1</f>
        <v>36</v>
      </c>
      <c r="AT20" s="9" t="n">
        <f aca="false">AS20+1</f>
        <v>37</v>
      </c>
      <c r="AU20" s="9" t="n">
        <f aca="false">AT20+1</f>
        <v>38</v>
      </c>
      <c r="AV20" s="9" t="n">
        <f aca="false">AU20+1</f>
        <v>39</v>
      </c>
      <c r="AW20" s="9" t="n">
        <f aca="false">AV20+1</f>
        <v>40</v>
      </c>
      <c r="AX20" s="9" t="n">
        <f aca="false">AW20+1</f>
        <v>41</v>
      </c>
      <c r="AY20" s="9" t="n">
        <f aca="false">AX20+1</f>
        <v>42</v>
      </c>
      <c r="AZ20" s="9" t="n">
        <f aca="false">AY20+1</f>
        <v>43</v>
      </c>
      <c r="BA20" s="9" t="n">
        <f aca="false">AZ20+1</f>
        <v>44</v>
      </c>
      <c r="BB20" s="9" t="n">
        <f aca="false">BA20+1</f>
        <v>45</v>
      </c>
      <c r="BC20" s="9" t="n">
        <f aca="false">BB20+1</f>
        <v>46</v>
      </c>
      <c r="BD20" s="9" t="n">
        <f aca="false">BC20+1</f>
        <v>47</v>
      </c>
      <c r="BE20" s="9" t="n">
        <f aca="false">BD20+1</f>
        <v>48</v>
      </c>
      <c r="BF20" s="9" t="n">
        <f aca="false">BE20+1</f>
        <v>49</v>
      </c>
      <c r="BG20" s="9" t="n">
        <f aca="false">BF20+1</f>
        <v>50</v>
      </c>
      <c r="BH20" s="9" t="n">
        <f aca="false">BG20+1</f>
        <v>51</v>
      </c>
      <c r="BI20" s="9" t="n">
        <f aca="false">BH20+1</f>
        <v>52</v>
      </c>
      <c r="BJ20" s="9" t="n">
        <f aca="false">BI20+1</f>
        <v>53</v>
      </c>
      <c r="BK20" s="9" t="n">
        <f aca="false">BJ20+1</f>
        <v>54</v>
      </c>
      <c r="BL20" s="9" t="n">
        <f aca="false">BK20+1</f>
        <v>55</v>
      </c>
      <c r="BM20" s="9" t="n">
        <f aca="false">BL20+1</f>
        <v>56</v>
      </c>
      <c r="BN20" s="9" t="n">
        <f aca="false">BM20+1</f>
        <v>57</v>
      </c>
    </row>
    <row r="21" customFormat="false" ht="15" hidden="false" customHeight="false" outlineLevel="0" collapsed="false">
      <c r="D21" s="0" t="s">
        <v>1463</v>
      </c>
      <c r="E21" s="0" t="s">
        <v>99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1464</v>
      </c>
      <c r="E22" s="0" t="s">
        <v>298</v>
      </c>
      <c r="J22" s="10" t="n">
        <f aca="false">IF(J20=1,Inputs!$F$189,EDATE(I22,J21))</f>
        <v>43282</v>
      </c>
      <c r="K22" s="10" t="n">
        <f aca="false">IF(K20=1,Inputs!$F$189,EDATE(J22,K21))</f>
        <v>43466</v>
      </c>
      <c r="L22" s="10" t="n">
        <f aca="false">IF(L20=1,Inputs!$F$189,EDATE(K22,L21))</f>
        <v>43647</v>
      </c>
      <c r="M22" s="10" t="n">
        <f aca="false">IF(M20=1,Inputs!$F$189,EDATE(L22,M21))</f>
        <v>43831</v>
      </c>
      <c r="N22" s="10" t="n">
        <f aca="false">IF(N20=1,Inputs!$F$189,EDATE(M22,N21))</f>
        <v>44013</v>
      </c>
      <c r="O22" s="10" t="n">
        <f aca="false">IF(O20=1,Inputs!$F$189,EDATE(N22,O21))</f>
        <v>44197</v>
      </c>
      <c r="P22" s="10" t="n">
        <f aca="false">IF(P20=1,Inputs!$F$189,EDATE(O22,P21))</f>
        <v>44378</v>
      </c>
      <c r="Q22" s="10" t="n">
        <f aca="false">IF(Q20=1,Inputs!$F$189,EDATE(P22,Q21))</f>
        <v>44562</v>
      </c>
      <c r="R22" s="10" t="n">
        <f aca="false">IF(R20=1,Inputs!$F$189,EDATE(Q22,R21))</f>
        <v>44743</v>
      </c>
      <c r="S22" s="10" t="n">
        <f aca="false">IF(S20=1,Inputs!$F$189,EDATE(R22,S21))</f>
        <v>44927</v>
      </c>
      <c r="T22" s="10" t="n">
        <f aca="false">IF(T20=1,Inputs!$F$189,EDATE(S22,T21))</f>
        <v>45108</v>
      </c>
      <c r="U22" s="10" t="n">
        <f aca="false">IF(U20=1,Inputs!$F$189,EDATE(T22,U21))</f>
        <v>45292</v>
      </c>
      <c r="V22" s="10" t="n">
        <f aca="false">IF(V20=1,Inputs!$F$189,EDATE(U22,V21))</f>
        <v>45474</v>
      </c>
      <c r="W22" s="10" t="n">
        <f aca="false">IF(W20=1,Inputs!$F$189,EDATE(V22,W21))</f>
        <v>45658</v>
      </c>
      <c r="X22" s="10" t="n">
        <f aca="false">IF(X20=1,Inputs!$F$189,EDATE(W22,X21))</f>
        <v>45839</v>
      </c>
      <c r="Y22" s="10" t="n">
        <f aca="false">IF(Y20=1,Inputs!$F$189,EDATE(X22,Y21))</f>
        <v>46023</v>
      </c>
      <c r="Z22" s="10" t="n">
        <f aca="false">IF(Z20=1,Inputs!$F$189,EDATE(Y22,Z21))</f>
        <v>46204</v>
      </c>
      <c r="AA22" s="10" t="n">
        <f aca="false">IF(AA20=1,Inputs!$F$189,EDATE(Z22,AA21))</f>
        <v>46388</v>
      </c>
      <c r="AB22" s="10" t="n">
        <f aca="false">IF(AB20=1,Inputs!$F$189,EDATE(AA22,AB21))</f>
        <v>46569</v>
      </c>
      <c r="AC22" s="10" t="n">
        <f aca="false">IF(AC20=1,Inputs!$F$189,EDATE(AB22,AC21))</f>
        <v>46753</v>
      </c>
      <c r="AD22" s="10" t="n">
        <f aca="false">IF(AD20=1,Inputs!$F$189,EDATE(AC22,AD21))</f>
        <v>46935</v>
      </c>
      <c r="AE22" s="10" t="n">
        <f aca="false">IF(AE20=1,Inputs!$F$189,EDATE(AD22,AE21))</f>
        <v>47119</v>
      </c>
      <c r="AF22" s="10" t="n">
        <f aca="false">IF(AF20=1,Inputs!$F$189,EDATE(AE22,AF21))</f>
        <v>47300</v>
      </c>
      <c r="AG22" s="10" t="n">
        <f aca="false">IF(AG20=1,Inputs!$F$189,EDATE(AF22,AG21))</f>
        <v>47484</v>
      </c>
      <c r="AH22" s="10" t="n">
        <f aca="false">IF(AH20=1,Inputs!$F$189,EDATE(AG22,AH21))</f>
        <v>47665</v>
      </c>
      <c r="AI22" s="10" t="n">
        <f aca="false">IF(AI20=1,Inputs!$F$189,EDATE(AH22,AI21))</f>
        <v>47849</v>
      </c>
      <c r="AJ22" s="10" t="n">
        <f aca="false">IF(AJ20=1,Inputs!$F$189,EDATE(AI22,AJ21))</f>
        <v>48030</v>
      </c>
      <c r="AK22" s="10" t="n">
        <f aca="false">IF(AK20=1,Inputs!$F$189,EDATE(AJ22,AK21))</f>
        <v>48214</v>
      </c>
      <c r="AL22" s="10" t="n">
        <f aca="false">IF(AL20=1,Inputs!$F$189,EDATE(AK22,AL21))</f>
        <v>48396</v>
      </c>
      <c r="AM22" s="10" t="n">
        <f aca="false">IF(AM20=1,Inputs!$F$189,EDATE(AL22,AM21))</f>
        <v>48580</v>
      </c>
      <c r="AN22" s="10" t="n">
        <f aca="false">IF(AN20=1,Inputs!$F$189,EDATE(AM22,AN21))</f>
        <v>48761</v>
      </c>
      <c r="AO22" s="10" t="n">
        <f aca="false">IF(AO20=1,Inputs!$F$189,EDATE(AN22,AO21))</f>
        <v>48945</v>
      </c>
      <c r="AP22" s="10" t="n">
        <f aca="false">IF(AP20=1,Inputs!$F$189,EDATE(AO22,AP21))</f>
        <v>49126</v>
      </c>
      <c r="AQ22" s="10" t="n">
        <f aca="false">IF(AQ20=1,Inputs!$F$189,EDATE(AP22,AQ21))</f>
        <v>49310</v>
      </c>
      <c r="AR22" s="10" t="n">
        <f aca="false">IF(AR20=1,Inputs!$F$189,EDATE(AQ22,AR21))</f>
        <v>49491</v>
      </c>
      <c r="AS22" s="10" t="n">
        <f aca="false">IF(AS20=1,Inputs!$F$189,EDATE(AR22,AS21))</f>
        <v>49675</v>
      </c>
      <c r="AT22" s="10" t="n">
        <f aca="false">IF(AT20=1,Inputs!$F$189,EDATE(AS22,AT21))</f>
        <v>49857</v>
      </c>
      <c r="AU22" s="10" t="n">
        <f aca="false">IF(AU20=1,Inputs!$F$189,EDATE(AT22,AU21))</f>
        <v>50041</v>
      </c>
      <c r="AV22" s="10" t="n">
        <f aca="false">IF(AV20=1,Inputs!$F$189,EDATE(AU22,AV21))</f>
        <v>50222</v>
      </c>
      <c r="AW22" s="10" t="n">
        <f aca="false">IF(AW20=1,Inputs!$F$189,EDATE(AV22,AW21))</f>
        <v>50406</v>
      </c>
      <c r="AX22" s="10" t="n">
        <f aca="false">IF(AX20=1,Inputs!$F$189,EDATE(AW22,AX21))</f>
        <v>50587</v>
      </c>
      <c r="AY22" s="10" t="n">
        <f aca="false">IF(AY20=1,Inputs!$F$189,EDATE(AX22,AY21))</f>
        <v>50771</v>
      </c>
      <c r="AZ22" s="10" t="n">
        <f aca="false">IF(AZ20=1,Inputs!$F$189,EDATE(AY22,AZ21))</f>
        <v>50952</v>
      </c>
      <c r="BA22" s="10" t="n">
        <f aca="false">IF(BA20=1,Inputs!$F$189,EDATE(AZ22,BA21))</f>
        <v>51136</v>
      </c>
      <c r="BB22" s="10" t="n">
        <f aca="false">IF(BB20=1,Inputs!$F$189,EDATE(BA22,BB21))</f>
        <v>51318</v>
      </c>
      <c r="BC22" s="10" t="n">
        <f aca="false">IF(BC20=1,Inputs!$F$189,EDATE(BB22,BC21))</f>
        <v>51502</v>
      </c>
      <c r="BD22" s="10" t="n">
        <f aca="false">IF(BD20=1,Inputs!$F$189,EDATE(BC22,BD21))</f>
        <v>51683</v>
      </c>
      <c r="BE22" s="10" t="n">
        <f aca="false">IF(BE20=1,Inputs!$F$189,EDATE(BD22,BE21))</f>
        <v>51867</v>
      </c>
      <c r="BF22" s="10" t="n">
        <f aca="false">IF(BF20=1,Inputs!$F$189,EDATE(BE22,BF21))</f>
        <v>52048</v>
      </c>
      <c r="BG22" s="10" t="n">
        <f aca="false">IF(BG20=1,Inputs!$F$189,EDATE(BF22,BG21))</f>
        <v>52232</v>
      </c>
      <c r="BH22" s="10" t="n">
        <f aca="false">IF(BH20=1,Inputs!$F$189,EDATE(BG22,BH21))</f>
        <v>52413</v>
      </c>
      <c r="BI22" s="10" t="n">
        <f aca="false">IF(BI20=1,Inputs!$F$189,EDATE(BH22,BI21))</f>
        <v>52597</v>
      </c>
      <c r="BJ22" s="10" t="n">
        <f aca="false">IF(BJ20=1,Inputs!$F$189,EDATE(BI22,BJ21))</f>
        <v>52779</v>
      </c>
      <c r="BK22" s="10" t="n">
        <f aca="false">IF(BK20=1,Inputs!$F$189,EDATE(BJ22,BK21))</f>
        <v>52963</v>
      </c>
      <c r="BL22" s="10" t="n">
        <f aca="false">IF(BL20=1,Inputs!$F$189,EDATE(BK22,BL21))</f>
        <v>53144</v>
      </c>
      <c r="BM22" s="10" t="n">
        <f aca="false">IF(BM20=1,Inputs!$F$189,EDATE(BL22,BM21))</f>
        <v>53328</v>
      </c>
      <c r="BN22" s="10" t="n">
        <f aca="false">IF(BN20=1,Inputs!$F$189,EDATE(BM22,BN21))</f>
        <v>53509</v>
      </c>
    </row>
    <row r="23" customFormat="false" ht="15" hidden="false" customHeight="false" outlineLevel="0" collapsed="false">
      <c r="D23" s="0" t="s">
        <v>1465</v>
      </c>
      <c r="E23" s="0" t="s">
        <v>298</v>
      </c>
      <c r="J23" s="10" t="n">
        <f aca="false">EOMONTH(J22,J21-1)</f>
        <v>43465</v>
      </c>
      <c r="K23" s="10" t="n">
        <f aca="false">EOMONTH(K22,K21-1)</f>
        <v>43646</v>
      </c>
      <c r="L23" s="10" t="n">
        <f aca="false">EOMONTH(L22,L21-1)</f>
        <v>43830</v>
      </c>
      <c r="M23" s="10" t="n">
        <f aca="false">EOMONTH(M22,M21-1)</f>
        <v>44012</v>
      </c>
      <c r="N23" s="10" t="n">
        <f aca="false">EOMONTH(N22,N21-1)</f>
        <v>44196</v>
      </c>
      <c r="O23" s="10" t="n">
        <f aca="false">EOMONTH(O22,O21-1)</f>
        <v>44377</v>
      </c>
      <c r="P23" s="10" t="n">
        <f aca="false">EOMONTH(P22,P21-1)</f>
        <v>44561</v>
      </c>
      <c r="Q23" s="10" t="n">
        <f aca="false">EOMONTH(Q22,Q21-1)</f>
        <v>44742</v>
      </c>
      <c r="R23" s="10" t="n">
        <f aca="false">EOMONTH(R22,R21-1)</f>
        <v>44926</v>
      </c>
      <c r="S23" s="10" t="n">
        <f aca="false">EOMONTH(S22,S21-1)</f>
        <v>45107</v>
      </c>
      <c r="T23" s="10" t="n">
        <f aca="false">EOMONTH(T22,T21-1)</f>
        <v>45291</v>
      </c>
      <c r="U23" s="10" t="n">
        <f aca="false">EOMONTH(U22,U21-1)</f>
        <v>45473</v>
      </c>
      <c r="V23" s="10" t="n">
        <f aca="false">EOMONTH(V22,V21-1)</f>
        <v>45657</v>
      </c>
      <c r="W23" s="10" t="n">
        <f aca="false">EOMONTH(W22,W21-1)</f>
        <v>45838</v>
      </c>
      <c r="X23" s="10" t="n">
        <f aca="false">EOMONTH(X22,X21-1)</f>
        <v>46022</v>
      </c>
      <c r="Y23" s="10" t="n">
        <f aca="false">EOMONTH(Y22,Y21-1)</f>
        <v>46203</v>
      </c>
      <c r="Z23" s="10" t="n">
        <f aca="false">EOMONTH(Z22,Z21-1)</f>
        <v>46387</v>
      </c>
      <c r="AA23" s="10" t="n">
        <f aca="false">EOMONTH(AA22,AA21-1)</f>
        <v>46568</v>
      </c>
      <c r="AB23" s="10" t="n">
        <f aca="false">EOMONTH(AB22,AB21-1)</f>
        <v>46752</v>
      </c>
      <c r="AC23" s="10" t="n">
        <f aca="false">EOMONTH(AC22,AC21-1)</f>
        <v>46934</v>
      </c>
      <c r="AD23" s="10" t="n">
        <f aca="false">EOMONTH(AD22,AD21-1)</f>
        <v>47118</v>
      </c>
      <c r="AE23" s="10" t="n">
        <f aca="false">EOMONTH(AE22,AE21-1)</f>
        <v>47299</v>
      </c>
      <c r="AF23" s="10" t="n">
        <f aca="false">EOMONTH(AF22,AF21-1)</f>
        <v>47483</v>
      </c>
      <c r="AG23" s="10" t="n">
        <f aca="false">EOMONTH(AG22,AG21-1)</f>
        <v>47664</v>
      </c>
      <c r="AH23" s="10" t="n">
        <f aca="false">EOMONTH(AH22,AH21-1)</f>
        <v>47848</v>
      </c>
      <c r="AI23" s="10" t="n">
        <f aca="false">EOMONTH(AI22,AI21-1)</f>
        <v>48029</v>
      </c>
      <c r="AJ23" s="10" t="n">
        <f aca="false">EOMONTH(AJ22,AJ21-1)</f>
        <v>48213</v>
      </c>
      <c r="AK23" s="10" t="n">
        <f aca="false">EOMONTH(AK22,AK21-1)</f>
        <v>48395</v>
      </c>
      <c r="AL23" s="10" t="n">
        <f aca="false">EOMONTH(AL22,AL21-1)</f>
        <v>48579</v>
      </c>
      <c r="AM23" s="10" t="n">
        <f aca="false">EOMONTH(AM22,AM21-1)</f>
        <v>48760</v>
      </c>
      <c r="AN23" s="10" t="n">
        <f aca="false">EOMONTH(AN22,AN21-1)</f>
        <v>48944</v>
      </c>
      <c r="AO23" s="10" t="n">
        <f aca="false">EOMONTH(AO22,AO21-1)</f>
        <v>49125</v>
      </c>
      <c r="AP23" s="10" t="n">
        <f aca="false">EOMONTH(AP22,AP21-1)</f>
        <v>49309</v>
      </c>
      <c r="AQ23" s="10" t="n">
        <f aca="false">EOMONTH(AQ22,AQ21-1)</f>
        <v>49490</v>
      </c>
      <c r="AR23" s="10" t="n">
        <f aca="false">EOMONTH(AR22,AR21-1)</f>
        <v>49674</v>
      </c>
      <c r="AS23" s="10" t="n">
        <f aca="false">EOMONTH(AS22,AS21-1)</f>
        <v>49856</v>
      </c>
      <c r="AT23" s="10" t="n">
        <f aca="false">EOMONTH(AT22,AT21-1)</f>
        <v>50040</v>
      </c>
      <c r="AU23" s="10" t="n">
        <f aca="false">EOMONTH(AU22,AU21-1)</f>
        <v>50221</v>
      </c>
      <c r="AV23" s="10" t="n">
        <f aca="false">EOMONTH(AV22,AV21-1)</f>
        <v>50405</v>
      </c>
      <c r="AW23" s="10" t="n">
        <f aca="false">EOMONTH(AW22,AW21-1)</f>
        <v>50586</v>
      </c>
      <c r="AX23" s="10" t="n">
        <f aca="false">EOMONTH(AX22,AX21-1)</f>
        <v>50770</v>
      </c>
      <c r="AY23" s="10" t="n">
        <f aca="false">EOMONTH(AY22,AY21-1)</f>
        <v>50951</v>
      </c>
      <c r="AZ23" s="10" t="n">
        <f aca="false">EOMONTH(AZ22,AZ21-1)</f>
        <v>51135</v>
      </c>
      <c r="BA23" s="10" t="n">
        <f aca="false">EOMONTH(BA22,BA21-1)</f>
        <v>51317</v>
      </c>
      <c r="BB23" s="10" t="n">
        <f aca="false">EOMONTH(BB22,BB21-1)</f>
        <v>51501</v>
      </c>
      <c r="BC23" s="10" t="n">
        <f aca="false">EOMONTH(BC22,BC21-1)</f>
        <v>51682</v>
      </c>
      <c r="BD23" s="10" t="n">
        <f aca="false">EOMONTH(BD22,BD21-1)</f>
        <v>51866</v>
      </c>
      <c r="BE23" s="10" t="n">
        <f aca="false">EOMONTH(BE22,BE21-1)</f>
        <v>52047</v>
      </c>
      <c r="BF23" s="10" t="n">
        <f aca="false">EOMONTH(BF22,BF21-1)</f>
        <v>52231</v>
      </c>
      <c r="BG23" s="10" t="n">
        <f aca="false">EOMONTH(BG22,BG21-1)</f>
        <v>52412</v>
      </c>
      <c r="BH23" s="10" t="n">
        <f aca="false">EOMONTH(BH22,BH21-1)</f>
        <v>52596</v>
      </c>
      <c r="BI23" s="10" t="n">
        <f aca="false">EOMONTH(BI22,BI21-1)</f>
        <v>52778</v>
      </c>
      <c r="BJ23" s="10" t="n">
        <f aca="false">EOMONTH(BJ22,BJ21-1)</f>
        <v>52962</v>
      </c>
      <c r="BK23" s="10" t="n">
        <f aca="false">EOMONTH(BK22,BK21-1)</f>
        <v>53143</v>
      </c>
      <c r="BL23" s="10" t="n">
        <f aca="false">EOMONTH(BL22,BL21-1)</f>
        <v>53327</v>
      </c>
      <c r="BM23" s="10" t="n">
        <f aca="false">EOMONTH(BM22,BM21-1)</f>
        <v>53508</v>
      </c>
      <c r="BN23" s="10" t="n">
        <f aca="false">EOMONTH(BN22,BN21-1)</f>
        <v>53692</v>
      </c>
    </row>
    <row r="24" customFormat="false" ht="15" hidden="false" customHeight="false" outlineLevel="0" collapsed="false">
      <c r="D24" s="0" t="s">
        <v>1466</v>
      </c>
      <c r="E24" s="0" t="s">
        <v>101</v>
      </c>
      <c r="J24" s="3" t="n">
        <f aca="false">J21/12</f>
        <v>0.5</v>
      </c>
      <c r="K24" s="3" t="n">
        <f aca="false">K21/12</f>
        <v>0.5</v>
      </c>
      <c r="L24" s="3" t="n">
        <f aca="false">L21/12</f>
        <v>0.5</v>
      </c>
      <c r="M24" s="3" t="n">
        <f aca="false">M21/12</f>
        <v>0.5</v>
      </c>
      <c r="N24" s="3" t="n">
        <f aca="false">N21/12</f>
        <v>0.5</v>
      </c>
      <c r="O24" s="3" t="n">
        <f aca="false">O21/12</f>
        <v>0.5</v>
      </c>
      <c r="P24" s="3" t="n">
        <f aca="false">P21/12</f>
        <v>0.5</v>
      </c>
      <c r="Q24" s="3" t="n">
        <f aca="false">Q21/12</f>
        <v>0.5</v>
      </c>
      <c r="R24" s="3" t="n">
        <f aca="false">R21/12</f>
        <v>0.5</v>
      </c>
      <c r="S24" s="3" t="n">
        <f aca="false">S21/12</f>
        <v>0.5</v>
      </c>
      <c r="T24" s="3" t="n">
        <f aca="false">T21/12</f>
        <v>0.5</v>
      </c>
      <c r="U24" s="3" t="n">
        <f aca="false">U21/12</f>
        <v>0.5</v>
      </c>
      <c r="V24" s="3" t="n">
        <f aca="false">V21/12</f>
        <v>0.5</v>
      </c>
      <c r="W24" s="3" t="n">
        <f aca="false">W21/12</f>
        <v>0.5</v>
      </c>
      <c r="X24" s="3" t="n">
        <f aca="false">X21/12</f>
        <v>0.5</v>
      </c>
      <c r="Y24" s="3" t="n">
        <f aca="false">Y21/12</f>
        <v>0.5</v>
      </c>
      <c r="Z24" s="3" t="n">
        <f aca="false">Z21/12</f>
        <v>0.5</v>
      </c>
      <c r="AA24" s="3" t="n">
        <f aca="false">AA21/12</f>
        <v>0.5</v>
      </c>
      <c r="AB24" s="3" t="n">
        <f aca="false">AB21/12</f>
        <v>0.5</v>
      </c>
      <c r="AC24" s="3" t="n">
        <f aca="false">AC21/12</f>
        <v>0.5</v>
      </c>
      <c r="AD24" s="3" t="n">
        <f aca="false">AD21/12</f>
        <v>0.5</v>
      </c>
      <c r="AE24" s="3" t="n">
        <f aca="false">AE21/12</f>
        <v>0.5</v>
      </c>
      <c r="AF24" s="3" t="n">
        <f aca="false">AF21/12</f>
        <v>0.5</v>
      </c>
      <c r="AG24" s="3" t="n">
        <f aca="false">AG21/12</f>
        <v>0.5</v>
      </c>
      <c r="AH24" s="3" t="n">
        <f aca="false">AH21/12</f>
        <v>0.5</v>
      </c>
      <c r="AI24" s="3" t="n">
        <f aca="false">AI21/12</f>
        <v>0.5</v>
      </c>
      <c r="AJ24" s="3" t="n">
        <f aca="false">AJ21/12</f>
        <v>0.5</v>
      </c>
      <c r="AK24" s="3" t="n">
        <f aca="false">AK21/12</f>
        <v>0.5</v>
      </c>
      <c r="AL24" s="3" t="n">
        <f aca="false">AL21/12</f>
        <v>0.5</v>
      </c>
      <c r="AM24" s="3" t="n">
        <f aca="false">AM21/12</f>
        <v>0.5</v>
      </c>
      <c r="AN24" s="3" t="n">
        <f aca="false">AN21/12</f>
        <v>0.5</v>
      </c>
      <c r="AO24" s="3" t="n">
        <f aca="false">AO21/12</f>
        <v>0.5</v>
      </c>
      <c r="AP24" s="3" t="n">
        <f aca="false">AP21/12</f>
        <v>0.5</v>
      </c>
      <c r="AQ24" s="3" t="n">
        <f aca="false">AQ21/12</f>
        <v>0.5</v>
      </c>
      <c r="AR24" s="3" t="n">
        <f aca="false">AR21/12</f>
        <v>0.5</v>
      </c>
      <c r="AS24" s="3" t="n">
        <f aca="false">AS21/12</f>
        <v>0.5</v>
      </c>
      <c r="AT24" s="3" t="n">
        <f aca="false">AT21/12</f>
        <v>0.5</v>
      </c>
      <c r="AU24" s="3" t="n">
        <f aca="false">AU21/12</f>
        <v>0.5</v>
      </c>
      <c r="AV24" s="3" t="n">
        <f aca="false">AV21/12</f>
        <v>0.5</v>
      </c>
      <c r="AW24" s="3" t="n">
        <f aca="false">AW21/12</f>
        <v>0.5</v>
      </c>
      <c r="AX24" s="3" t="n">
        <f aca="false">AX21/12</f>
        <v>0.5</v>
      </c>
      <c r="AY24" s="3" t="n">
        <f aca="false">AY21/12</f>
        <v>0.5</v>
      </c>
      <c r="AZ24" s="3" t="n">
        <f aca="false">AZ21/12</f>
        <v>0.5</v>
      </c>
      <c r="BA24" s="3" t="n">
        <f aca="false">BA21/12</f>
        <v>0.5</v>
      </c>
      <c r="BB24" s="3" t="n">
        <f aca="false">BB21/12</f>
        <v>0.5</v>
      </c>
      <c r="BC24" s="3" t="n">
        <f aca="false">BC21/12</f>
        <v>0.5</v>
      </c>
      <c r="BD24" s="3" t="n">
        <f aca="false">BD21/12</f>
        <v>0.5</v>
      </c>
      <c r="BE24" s="3" t="n">
        <f aca="false">BE21/12</f>
        <v>0.5</v>
      </c>
      <c r="BF24" s="3" t="n">
        <f aca="false">BF21/12</f>
        <v>0.5</v>
      </c>
      <c r="BG24" s="3" t="n">
        <f aca="false">BG21/12</f>
        <v>0.5</v>
      </c>
      <c r="BH24" s="3" t="n">
        <f aca="false">BH21/12</f>
        <v>0.5</v>
      </c>
      <c r="BI24" s="3" t="n">
        <f aca="false">BI21/12</f>
        <v>0.5</v>
      </c>
      <c r="BJ24" s="3" t="n">
        <f aca="false">BJ21/12</f>
        <v>0.5</v>
      </c>
      <c r="BK24" s="3" t="n">
        <f aca="false">BK21/12</f>
        <v>0.5</v>
      </c>
      <c r="BL24" s="3" t="n">
        <f aca="false">BL21/12</f>
        <v>0.5</v>
      </c>
      <c r="BM24" s="3" t="n">
        <f aca="false">BM21/12</f>
        <v>0.5</v>
      </c>
      <c r="BN24" s="3" t="n">
        <f aca="false">BN21/12</f>
        <v>0.5</v>
      </c>
    </row>
    <row r="25" customFormat="false" ht="15" hidden="false" customHeight="false" outlineLevel="0" collapsed="false">
      <c r="D25" s="0" t="s">
        <v>1467</v>
      </c>
      <c r="E25" s="0" t="s">
        <v>113</v>
      </c>
      <c r="J25" s="9" t="n">
        <f aca="false">J23-J22+1</f>
        <v>184</v>
      </c>
      <c r="K25" s="9" t="n">
        <f aca="false">K23-K22+1</f>
        <v>181</v>
      </c>
      <c r="L25" s="9" t="n">
        <f aca="false">L23-L22+1</f>
        <v>184</v>
      </c>
      <c r="M25" s="9" t="n">
        <f aca="false">M23-M22+1</f>
        <v>182</v>
      </c>
      <c r="N25" s="9" t="n">
        <f aca="false">N23-N22+1</f>
        <v>184</v>
      </c>
      <c r="O25" s="9" t="n">
        <f aca="false">O23-O22+1</f>
        <v>181</v>
      </c>
      <c r="P25" s="9" t="n">
        <f aca="false">P23-P22+1</f>
        <v>184</v>
      </c>
      <c r="Q25" s="9" t="n">
        <f aca="false">Q23-Q22+1</f>
        <v>181</v>
      </c>
      <c r="R25" s="9" t="n">
        <f aca="false">R23-R22+1</f>
        <v>184</v>
      </c>
      <c r="S25" s="9" t="n">
        <f aca="false">S23-S22+1</f>
        <v>181</v>
      </c>
      <c r="T25" s="9" t="n">
        <f aca="false">T23-T22+1</f>
        <v>184</v>
      </c>
      <c r="U25" s="9" t="n">
        <f aca="false">U23-U22+1</f>
        <v>182</v>
      </c>
      <c r="V25" s="9" t="n">
        <f aca="false">V23-V22+1</f>
        <v>184</v>
      </c>
      <c r="W25" s="9" t="n">
        <f aca="false">W23-W22+1</f>
        <v>181</v>
      </c>
      <c r="X25" s="9" t="n">
        <f aca="false">X23-X22+1</f>
        <v>184</v>
      </c>
      <c r="Y25" s="9" t="n">
        <f aca="false">Y23-Y22+1</f>
        <v>181</v>
      </c>
      <c r="Z25" s="9" t="n">
        <f aca="false">Z23-Z22+1</f>
        <v>184</v>
      </c>
      <c r="AA25" s="9" t="n">
        <f aca="false">AA23-AA22+1</f>
        <v>181</v>
      </c>
      <c r="AB25" s="9" t="n">
        <f aca="false">AB23-AB22+1</f>
        <v>184</v>
      </c>
      <c r="AC25" s="9" t="n">
        <f aca="false">AC23-AC22+1</f>
        <v>182</v>
      </c>
      <c r="AD25" s="9" t="n">
        <f aca="false">AD23-AD22+1</f>
        <v>184</v>
      </c>
      <c r="AE25" s="9" t="n">
        <f aca="false">AE23-AE22+1</f>
        <v>181</v>
      </c>
      <c r="AF25" s="9" t="n">
        <f aca="false">AF23-AF22+1</f>
        <v>184</v>
      </c>
      <c r="AG25" s="9" t="n">
        <f aca="false">AG23-AG22+1</f>
        <v>181</v>
      </c>
      <c r="AH25" s="9" t="n">
        <f aca="false">AH23-AH22+1</f>
        <v>184</v>
      </c>
      <c r="AI25" s="9" t="n">
        <f aca="false">AI23-AI22+1</f>
        <v>181</v>
      </c>
      <c r="AJ25" s="9" t="n">
        <f aca="false">AJ23-AJ22+1</f>
        <v>184</v>
      </c>
      <c r="AK25" s="9" t="n">
        <f aca="false">AK23-AK22+1</f>
        <v>182</v>
      </c>
      <c r="AL25" s="9" t="n">
        <f aca="false">AL23-AL22+1</f>
        <v>184</v>
      </c>
      <c r="AM25" s="9" t="n">
        <f aca="false">AM23-AM22+1</f>
        <v>181</v>
      </c>
      <c r="AN25" s="9" t="n">
        <f aca="false">AN23-AN22+1</f>
        <v>184</v>
      </c>
      <c r="AO25" s="9" t="n">
        <f aca="false">AO23-AO22+1</f>
        <v>181</v>
      </c>
      <c r="AP25" s="9" t="n">
        <f aca="false">AP23-AP22+1</f>
        <v>184</v>
      </c>
      <c r="AQ25" s="9" t="n">
        <f aca="false">AQ23-AQ22+1</f>
        <v>181</v>
      </c>
      <c r="AR25" s="9" t="n">
        <f aca="false">AR23-AR22+1</f>
        <v>184</v>
      </c>
      <c r="AS25" s="9" t="n">
        <f aca="false">AS23-AS22+1</f>
        <v>182</v>
      </c>
      <c r="AT25" s="9" t="n">
        <f aca="false">AT23-AT22+1</f>
        <v>184</v>
      </c>
      <c r="AU25" s="9" t="n">
        <f aca="false">AU23-AU22+1</f>
        <v>181</v>
      </c>
      <c r="AV25" s="9" t="n">
        <f aca="false">AV23-AV22+1</f>
        <v>184</v>
      </c>
      <c r="AW25" s="9" t="n">
        <f aca="false">AW23-AW22+1</f>
        <v>181</v>
      </c>
      <c r="AX25" s="9" t="n">
        <f aca="false">AX23-AX22+1</f>
        <v>184</v>
      </c>
      <c r="AY25" s="9" t="n">
        <f aca="false">AY23-AY22+1</f>
        <v>181</v>
      </c>
      <c r="AZ25" s="9" t="n">
        <f aca="false">AZ23-AZ22+1</f>
        <v>184</v>
      </c>
      <c r="BA25" s="9" t="n">
        <f aca="false">BA23-BA22+1</f>
        <v>182</v>
      </c>
      <c r="BB25" s="9" t="n">
        <f aca="false">BB23-BB22+1</f>
        <v>184</v>
      </c>
      <c r="BC25" s="9" t="n">
        <f aca="false">BC23-BC22+1</f>
        <v>181</v>
      </c>
      <c r="BD25" s="9" t="n">
        <f aca="false">BD23-BD22+1</f>
        <v>184</v>
      </c>
      <c r="BE25" s="9" t="n">
        <f aca="false">BE23-BE22+1</f>
        <v>181</v>
      </c>
      <c r="BF25" s="9" t="n">
        <f aca="false">BF23-BF22+1</f>
        <v>184</v>
      </c>
      <c r="BG25" s="9" t="n">
        <f aca="false">BG23-BG22+1</f>
        <v>181</v>
      </c>
      <c r="BH25" s="9" t="n">
        <f aca="false">BH23-BH22+1</f>
        <v>184</v>
      </c>
      <c r="BI25" s="9" t="n">
        <f aca="false">BI23-BI22+1</f>
        <v>182</v>
      </c>
      <c r="BJ25" s="9" t="n">
        <f aca="false">BJ23-BJ22+1</f>
        <v>184</v>
      </c>
      <c r="BK25" s="9" t="n">
        <f aca="false">BK23-BK22+1</f>
        <v>181</v>
      </c>
      <c r="BL25" s="9" t="n">
        <f aca="false">BL23-BL22+1</f>
        <v>184</v>
      </c>
      <c r="BM25" s="9" t="n">
        <f aca="false">BM23-BM22+1</f>
        <v>181</v>
      </c>
      <c r="BN25" s="9" t="n">
        <f aca="false">BN23-BN22+1</f>
        <v>184</v>
      </c>
    </row>
    <row r="26" customFormat="false" ht="15" hidden="false" customHeight="false" outlineLevel="0" collapsed="false">
      <c r="D26" s="0" t="s">
        <v>402</v>
      </c>
      <c r="E26" s="0" t="s">
        <v>347</v>
      </c>
      <c r="J26" s="9" t="n">
        <f aca="false">YEAR(J22)</f>
        <v>2018</v>
      </c>
      <c r="K26" s="9" t="n">
        <f aca="false">YEAR(K22)</f>
        <v>2019</v>
      </c>
      <c r="L26" s="9" t="n">
        <f aca="false">YEAR(L22)</f>
        <v>2019</v>
      </c>
      <c r="M26" s="9" t="n">
        <f aca="false">YEAR(M22)</f>
        <v>2020</v>
      </c>
      <c r="N26" s="9" t="n">
        <f aca="false">YEAR(N22)</f>
        <v>2020</v>
      </c>
      <c r="O26" s="9" t="n">
        <f aca="false">YEAR(O22)</f>
        <v>2021</v>
      </c>
      <c r="P26" s="9" t="n">
        <f aca="false">YEAR(P22)</f>
        <v>2021</v>
      </c>
      <c r="Q26" s="9" t="n">
        <f aca="false">YEAR(Q22)</f>
        <v>2022</v>
      </c>
      <c r="R26" s="9" t="n">
        <f aca="false">YEAR(R22)</f>
        <v>2022</v>
      </c>
      <c r="S26" s="9" t="n">
        <f aca="false">YEAR(S22)</f>
        <v>2023</v>
      </c>
      <c r="T26" s="9" t="n">
        <f aca="false">YEAR(T22)</f>
        <v>2023</v>
      </c>
      <c r="U26" s="9" t="n">
        <f aca="false">YEAR(U22)</f>
        <v>2024</v>
      </c>
      <c r="V26" s="9" t="n">
        <f aca="false">YEAR(V22)</f>
        <v>2024</v>
      </c>
      <c r="W26" s="9" t="n">
        <f aca="false">YEAR(W22)</f>
        <v>2025</v>
      </c>
      <c r="X26" s="9" t="n">
        <f aca="false">YEAR(X22)</f>
        <v>2025</v>
      </c>
      <c r="Y26" s="9" t="n">
        <f aca="false">YEAR(Y22)</f>
        <v>2026</v>
      </c>
      <c r="Z26" s="9" t="n">
        <f aca="false">YEAR(Z22)</f>
        <v>2026</v>
      </c>
      <c r="AA26" s="9" t="n">
        <f aca="false">YEAR(AA22)</f>
        <v>2027</v>
      </c>
      <c r="AB26" s="9" t="n">
        <f aca="false">YEAR(AB22)</f>
        <v>2027</v>
      </c>
      <c r="AC26" s="9" t="n">
        <f aca="false">YEAR(AC22)</f>
        <v>2028</v>
      </c>
      <c r="AD26" s="9" t="n">
        <f aca="false">YEAR(AD22)</f>
        <v>2028</v>
      </c>
      <c r="AE26" s="9" t="n">
        <f aca="false">YEAR(AE22)</f>
        <v>2029</v>
      </c>
      <c r="AF26" s="9" t="n">
        <f aca="false">YEAR(AF22)</f>
        <v>2029</v>
      </c>
      <c r="AG26" s="9" t="n">
        <f aca="false">YEAR(AG22)</f>
        <v>2030</v>
      </c>
      <c r="AH26" s="9" t="n">
        <f aca="false">YEAR(AH22)</f>
        <v>2030</v>
      </c>
      <c r="AI26" s="9" t="n">
        <f aca="false">YEAR(AI22)</f>
        <v>2031</v>
      </c>
      <c r="AJ26" s="9" t="n">
        <f aca="false">YEAR(AJ22)</f>
        <v>2031</v>
      </c>
      <c r="AK26" s="9" t="n">
        <f aca="false">YEAR(AK22)</f>
        <v>2032</v>
      </c>
      <c r="AL26" s="9" t="n">
        <f aca="false">YEAR(AL22)</f>
        <v>2032</v>
      </c>
      <c r="AM26" s="9" t="n">
        <f aca="false">YEAR(AM22)</f>
        <v>2033</v>
      </c>
      <c r="AN26" s="9" t="n">
        <f aca="false">YEAR(AN22)</f>
        <v>2033</v>
      </c>
      <c r="AO26" s="9" t="n">
        <f aca="false">YEAR(AO22)</f>
        <v>2034</v>
      </c>
      <c r="AP26" s="9" t="n">
        <f aca="false">YEAR(AP22)</f>
        <v>2034</v>
      </c>
      <c r="AQ26" s="9" t="n">
        <f aca="false">YEAR(AQ22)</f>
        <v>2035</v>
      </c>
      <c r="AR26" s="9" t="n">
        <f aca="false">YEAR(AR22)</f>
        <v>2035</v>
      </c>
      <c r="AS26" s="9" t="n">
        <f aca="false">YEAR(AS22)</f>
        <v>2036</v>
      </c>
      <c r="AT26" s="9" t="n">
        <f aca="false">YEAR(AT22)</f>
        <v>2036</v>
      </c>
      <c r="AU26" s="9" t="n">
        <f aca="false">YEAR(AU22)</f>
        <v>2037</v>
      </c>
      <c r="AV26" s="9" t="n">
        <f aca="false">YEAR(AV22)</f>
        <v>2037</v>
      </c>
      <c r="AW26" s="9" t="n">
        <f aca="false">YEAR(AW22)</f>
        <v>2038</v>
      </c>
      <c r="AX26" s="9" t="n">
        <f aca="false">YEAR(AX22)</f>
        <v>2038</v>
      </c>
      <c r="AY26" s="9" t="n">
        <f aca="false">YEAR(AY22)</f>
        <v>2039</v>
      </c>
      <c r="AZ26" s="9" t="n">
        <f aca="false">YEAR(AZ22)</f>
        <v>2039</v>
      </c>
      <c r="BA26" s="9" t="n">
        <f aca="false">YEAR(BA22)</f>
        <v>2040</v>
      </c>
      <c r="BB26" s="9" t="n">
        <f aca="false">YEAR(BB22)</f>
        <v>2040</v>
      </c>
      <c r="BC26" s="9" t="n">
        <f aca="false">YEAR(BC22)</f>
        <v>2041</v>
      </c>
      <c r="BD26" s="9" t="n">
        <f aca="false">YEAR(BD22)</f>
        <v>2041</v>
      </c>
      <c r="BE26" s="9" t="n">
        <f aca="false">YEAR(BE22)</f>
        <v>2042</v>
      </c>
      <c r="BF26" s="9" t="n">
        <f aca="false">YEAR(BF22)</f>
        <v>2042</v>
      </c>
      <c r="BG26" s="9" t="n">
        <f aca="false">YEAR(BG22)</f>
        <v>2043</v>
      </c>
      <c r="BH26" s="9" t="n">
        <f aca="false">YEAR(BH22)</f>
        <v>2043</v>
      </c>
      <c r="BI26" s="9" t="n">
        <f aca="false">YEAR(BI22)</f>
        <v>2044</v>
      </c>
      <c r="BJ26" s="9" t="n">
        <f aca="false">YEAR(BJ22)</f>
        <v>2044</v>
      </c>
      <c r="BK26" s="9" t="n">
        <f aca="false">YEAR(BK22)</f>
        <v>2045</v>
      </c>
      <c r="BL26" s="9" t="n">
        <f aca="false">YEAR(BL22)</f>
        <v>2045</v>
      </c>
      <c r="BM26" s="9" t="n">
        <f aca="false">YEAR(BM22)</f>
        <v>2046</v>
      </c>
      <c r="BN26" s="9" t="n">
        <f aca="false">YEAR(BN22)</f>
        <v>2046</v>
      </c>
    </row>
    <row r="27" customFormat="false" ht="15" hidden="false" customHeight="false" outlineLevel="0" collapsed="false">
      <c r="D27" s="0" t="s">
        <v>1468</v>
      </c>
      <c r="E27" s="0" t="s">
        <v>115</v>
      </c>
      <c r="J27" s="9" t="n">
        <f aca="false">IF(MONTH(J22)=1,1,0)</f>
        <v>0</v>
      </c>
      <c r="K27" s="9" t="n">
        <f aca="false">IF(MONTH(K22)=1,1,0)</f>
        <v>1</v>
      </c>
      <c r="L27" s="9" t="n">
        <f aca="false">IF(MONTH(L22)=1,1,0)</f>
        <v>0</v>
      </c>
      <c r="M27" s="9" t="n">
        <f aca="false">IF(MONTH(M22)=1,1,0)</f>
        <v>1</v>
      </c>
      <c r="N27" s="9" t="n">
        <f aca="false">IF(MONTH(N22)=1,1,0)</f>
        <v>0</v>
      </c>
      <c r="O27" s="9" t="n">
        <f aca="false">IF(MONTH(O22)=1,1,0)</f>
        <v>1</v>
      </c>
      <c r="P27" s="9" t="n">
        <f aca="false">IF(MONTH(P22)=1,1,0)</f>
        <v>0</v>
      </c>
      <c r="Q27" s="9" t="n">
        <f aca="false">IF(MONTH(Q22)=1,1,0)</f>
        <v>1</v>
      </c>
      <c r="R27" s="9" t="n">
        <f aca="false">IF(MONTH(R22)=1,1,0)</f>
        <v>0</v>
      </c>
      <c r="S27" s="9" t="n">
        <f aca="false">IF(MONTH(S22)=1,1,0)</f>
        <v>1</v>
      </c>
      <c r="T27" s="9" t="n">
        <f aca="false">IF(MONTH(T22)=1,1,0)</f>
        <v>0</v>
      </c>
      <c r="U27" s="9" t="n">
        <f aca="false">IF(MONTH(U22)=1,1,0)</f>
        <v>1</v>
      </c>
      <c r="V27" s="9" t="n">
        <f aca="false">IF(MONTH(V22)=1,1,0)</f>
        <v>0</v>
      </c>
      <c r="W27" s="9" t="n">
        <f aca="false">IF(MONTH(W22)=1,1,0)</f>
        <v>1</v>
      </c>
      <c r="X27" s="9" t="n">
        <f aca="false">IF(MONTH(X22)=1,1,0)</f>
        <v>0</v>
      </c>
      <c r="Y27" s="9" t="n">
        <f aca="false">IF(MONTH(Y22)=1,1,0)</f>
        <v>1</v>
      </c>
      <c r="Z27" s="9" t="n">
        <f aca="false">IF(MONTH(Z22)=1,1,0)</f>
        <v>0</v>
      </c>
      <c r="AA27" s="9" t="n">
        <f aca="false">IF(MONTH(AA22)=1,1,0)</f>
        <v>1</v>
      </c>
      <c r="AB27" s="9" t="n">
        <f aca="false">IF(MONTH(AB22)=1,1,0)</f>
        <v>0</v>
      </c>
      <c r="AC27" s="9" t="n">
        <f aca="false">IF(MONTH(AC22)=1,1,0)</f>
        <v>1</v>
      </c>
      <c r="AD27" s="9" t="n">
        <f aca="false">IF(MONTH(AD22)=1,1,0)</f>
        <v>0</v>
      </c>
      <c r="AE27" s="9" t="n">
        <f aca="false">IF(MONTH(AE22)=1,1,0)</f>
        <v>1</v>
      </c>
      <c r="AF27" s="9" t="n">
        <f aca="false">IF(MONTH(AF22)=1,1,0)</f>
        <v>0</v>
      </c>
      <c r="AG27" s="9" t="n">
        <f aca="false">IF(MONTH(AG22)=1,1,0)</f>
        <v>1</v>
      </c>
      <c r="AH27" s="9" t="n">
        <f aca="false">IF(MONTH(AH22)=1,1,0)</f>
        <v>0</v>
      </c>
      <c r="AI27" s="9" t="n">
        <f aca="false">IF(MONTH(AI22)=1,1,0)</f>
        <v>1</v>
      </c>
      <c r="AJ27" s="9" t="n">
        <f aca="false">IF(MONTH(AJ22)=1,1,0)</f>
        <v>0</v>
      </c>
      <c r="AK27" s="9" t="n">
        <f aca="false">IF(MONTH(AK22)=1,1,0)</f>
        <v>1</v>
      </c>
      <c r="AL27" s="9" t="n">
        <f aca="false">IF(MONTH(AL22)=1,1,0)</f>
        <v>0</v>
      </c>
      <c r="AM27" s="9" t="n">
        <f aca="false">IF(MONTH(AM22)=1,1,0)</f>
        <v>1</v>
      </c>
      <c r="AN27" s="9" t="n">
        <f aca="false">IF(MONTH(AN22)=1,1,0)</f>
        <v>0</v>
      </c>
      <c r="AO27" s="9" t="n">
        <f aca="false">IF(MONTH(AO22)=1,1,0)</f>
        <v>1</v>
      </c>
      <c r="AP27" s="9" t="n">
        <f aca="false">IF(MONTH(AP22)=1,1,0)</f>
        <v>0</v>
      </c>
      <c r="AQ27" s="9" t="n">
        <f aca="false">IF(MONTH(AQ22)=1,1,0)</f>
        <v>1</v>
      </c>
      <c r="AR27" s="9" t="n">
        <f aca="false">IF(MONTH(AR22)=1,1,0)</f>
        <v>0</v>
      </c>
      <c r="AS27" s="9" t="n">
        <f aca="false">IF(MONTH(AS22)=1,1,0)</f>
        <v>1</v>
      </c>
      <c r="AT27" s="9" t="n">
        <f aca="false">IF(MONTH(AT22)=1,1,0)</f>
        <v>0</v>
      </c>
      <c r="AU27" s="9" t="n">
        <f aca="false">IF(MONTH(AU22)=1,1,0)</f>
        <v>1</v>
      </c>
      <c r="AV27" s="9" t="n">
        <f aca="false">IF(MONTH(AV22)=1,1,0)</f>
        <v>0</v>
      </c>
      <c r="AW27" s="9" t="n">
        <f aca="false">IF(MONTH(AW22)=1,1,0)</f>
        <v>1</v>
      </c>
      <c r="AX27" s="9" t="n">
        <f aca="false">IF(MONTH(AX22)=1,1,0)</f>
        <v>0</v>
      </c>
      <c r="AY27" s="9" t="n">
        <f aca="false">IF(MONTH(AY22)=1,1,0)</f>
        <v>1</v>
      </c>
      <c r="AZ27" s="9" t="n">
        <f aca="false">IF(MONTH(AZ22)=1,1,0)</f>
        <v>0</v>
      </c>
      <c r="BA27" s="9" t="n">
        <f aca="false">IF(MONTH(BA22)=1,1,0)</f>
        <v>1</v>
      </c>
      <c r="BB27" s="9" t="n">
        <f aca="false">IF(MONTH(BB22)=1,1,0)</f>
        <v>0</v>
      </c>
      <c r="BC27" s="9" t="n">
        <f aca="false">IF(MONTH(BC22)=1,1,0)</f>
        <v>1</v>
      </c>
      <c r="BD27" s="9" t="n">
        <f aca="false">IF(MONTH(BD22)=1,1,0)</f>
        <v>0</v>
      </c>
      <c r="BE27" s="9" t="n">
        <f aca="false">IF(MONTH(BE22)=1,1,0)</f>
        <v>1</v>
      </c>
      <c r="BF27" s="9" t="n">
        <f aca="false">IF(MONTH(BF22)=1,1,0)</f>
        <v>0</v>
      </c>
      <c r="BG27" s="9" t="n">
        <f aca="false">IF(MONTH(BG22)=1,1,0)</f>
        <v>1</v>
      </c>
      <c r="BH27" s="9" t="n">
        <f aca="false">IF(MONTH(BH22)=1,1,0)</f>
        <v>0</v>
      </c>
      <c r="BI27" s="9" t="n">
        <f aca="false">IF(MONTH(BI22)=1,1,0)</f>
        <v>1</v>
      </c>
      <c r="BJ27" s="9" t="n">
        <f aca="false">IF(MONTH(BJ22)=1,1,0)</f>
        <v>0</v>
      </c>
      <c r="BK27" s="9" t="n">
        <f aca="false">IF(MONTH(BK22)=1,1,0)</f>
        <v>1</v>
      </c>
      <c r="BL27" s="9" t="n">
        <f aca="false">IF(MONTH(BL22)=1,1,0)</f>
        <v>0</v>
      </c>
      <c r="BM27" s="9" t="n">
        <f aca="false">IF(MONTH(BM22)=1,1,0)</f>
        <v>1</v>
      </c>
      <c r="BN27" s="9" t="n">
        <f aca="false">IF(MONTH(BN22)=1,1,0)</f>
        <v>0</v>
      </c>
    </row>
    <row r="28" customFormat="false" ht="15" hidden="false" customHeight="false" outlineLevel="0" collapsed="false">
      <c r="D28" s="0" t="s">
        <v>1469</v>
      </c>
      <c r="E28" s="0" t="s">
        <v>298</v>
      </c>
      <c r="J28" s="10" t="n">
        <f aca="false">MAX(J22,$F$8)</f>
        <v>44317</v>
      </c>
      <c r="K28" s="10" t="n">
        <f aca="false">MAX(K22,$F$8)</f>
        <v>44317</v>
      </c>
      <c r="L28" s="10" t="n">
        <f aca="false">MAX(L22,$F$8)</f>
        <v>44317</v>
      </c>
      <c r="M28" s="10" t="n">
        <f aca="false">MAX(M22,$F$8)</f>
        <v>44317</v>
      </c>
      <c r="N28" s="10" t="n">
        <f aca="false">MAX(N22,$F$8)</f>
        <v>44317</v>
      </c>
      <c r="O28" s="10" t="n">
        <f aca="false">MAX(O22,$F$8)</f>
        <v>44317</v>
      </c>
      <c r="P28" s="10" t="n">
        <f aca="false">MAX(P22,$F$8)</f>
        <v>44378</v>
      </c>
      <c r="Q28" s="10" t="n">
        <f aca="false">MAX(Q22,$F$8)</f>
        <v>44562</v>
      </c>
      <c r="R28" s="10" t="n">
        <f aca="false">MAX(R22,$F$8)</f>
        <v>44743</v>
      </c>
      <c r="S28" s="10" t="n">
        <f aca="false">MAX(S22,$F$8)</f>
        <v>44927</v>
      </c>
      <c r="T28" s="10" t="n">
        <f aca="false">MAX(T22,$F$8)</f>
        <v>45108</v>
      </c>
      <c r="U28" s="10" t="n">
        <f aca="false">MAX(U22,$F$8)</f>
        <v>45292</v>
      </c>
      <c r="V28" s="10" t="n">
        <f aca="false">MAX(V22,$F$8)</f>
        <v>45474</v>
      </c>
      <c r="W28" s="10" t="n">
        <f aca="false">MAX(W22,$F$8)</f>
        <v>45658</v>
      </c>
      <c r="X28" s="10" t="n">
        <f aca="false">MAX(X22,$F$8)</f>
        <v>45839</v>
      </c>
      <c r="Y28" s="10" t="n">
        <f aca="false">MAX(Y22,$F$8)</f>
        <v>46023</v>
      </c>
      <c r="Z28" s="10" t="n">
        <f aca="false">MAX(Z22,$F$8)</f>
        <v>46204</v>
      </c>
      <c r="AA28" s="10" t="n">
        <f aca="false">MAX(AA22,$F$8)</f>
        <v>46388</v>
      </c>
      <c r="AB28" s="10" t="n">
        <f aca="false">MAX(AB22,$F$8)</f>
        <v>46569</v>
      </c>
      <c r="AC28" s="10" t="n">
        <f aca="false">MAX(AC22,$F$8)</f>
        <v>46753</v>
      </c>
      <c r="AD28" s="10" t="n">
        <f aca="false">MAX(AD22,$F$8)</f>
        <v>46935</v>
      </c>
      <c r="AE28" s="10" t="n">
        <f aca="false">MAX(AE22,$F$8)</f>
        <v>47119</v>
      </c>
      <c r="AF28" s="10" t="n">
        <f aca="false">MAX(AF22,$F$8)</f>
        <v>47300</v>
      </c>
      <c r="AG28" s="10" t="n">
        <f aca="false">MAX(AG22,$F$8)</f>
        <v>47484</v>
      </c>
      <c r="AH28" s="10" t="n">
        <f aca="false">MAX(AH22,$F$8)</f>
        <v>47665</v>
      </c>
      <c r="AI28" s="10" t="n">
        <f aca="false">MAX(AI22,$F$8)</f>
        <v>47849</v>
      </c>
      <c r="AJ28" s="10" t="n">
        <f aca="false">MAX(AJ22,$F$8)</f>
        <v>48030</v>
      </c>
      <c r="AK28" s="10" t="n">
        <f aca="false">MAX(AK22,$F$8)</f>
        <v>48214</v>
      </c>
      <c r="AL28" s="10" t="n">
        <f aca="false">MAX(AL22,$F$8)</f>
        <v>48396</v>
      </c>
      <c r="AM28" s="10" t="n">
        <f aca="false">MAX(AM22,$F$8)</f>
        <v>48580</v>
      </c>
      <c r="AN28" s="10" t="n">
        <f aca="false">MAX(AN22,$F$8)</f>
        <v>48761</v>
      </c>
      <c r="AO28" s="10" t="n">
        <f aca="false">MAX(AO22,$F$8)</f>
        <v>48945</v>
      </c>
      <c r="AP28" s="10" t="n">
        <f aca="false">MAX(AP22,$F$8)</f>
        <v>49126</v>
      </c>
      <c r="AQ28" s="10" t="n">
        <f aca="false">MAX(AQ22,$F$8)</f>
        <v>49310</v>
      </c>
      <c r="AR28" s="10" t="n">
        <f aca="false">MAX(AR22,$F$8)</f>
        <v>49491</v>
      </c>
      <c r="AS28" s="10" t="n">
        <f aca="false">MAX(AS22,$F$8)</f>
        <v>49675</v>
      </c>
      <c r="AT28" s="10" t="n">
        <f aca="false">MAX(AT22,$F$8)</f>
        <v>49857</v>
      </c>
      <c r="AU28" s="10" t="n">
        <f aca="false">MAX(AU22,$F$8)</f>
        <v>50041</v>
      </c>
      <c r="AV28" s="10" t="n">
        <f aca="false">MAX(AV22,$F$8)</f>
        <v>50222</v>
      </c>
      <c r="AW28" s="10" t="n">
        <f aca="false">MAX(AW22,$F$8)</f>
        <v>50406</v>
      </c>
      <c r="AX28" s="10" t="n">
        <f aca="false">MAX(AX22,$F$8)</f>
        <v>50587</v>
      </c>
      <c r="AY28" s="10" t="n">
        <f aca="false">MAX(AY22,$F$8)</f>
        <v>50771</v>
      </c>
      <c r="AZ28" s="10" t="n">
        <f aca="false">MAX(AZ22,$F$8)</f>
        <v>50952</v>
      </c>
      <c r="BA28" s="10" t="n">
        <f aca="false">MAX(BA22,$F$8)</f>
        <v>51136</v>
      </c>
      <c r="BB28" s="10" t="n">
        <f aca="false">MAX(BB22,$F$8)</f>
        <v>51318</v>
      </c>
      <c r="BC28" s="10" t="n">
        <f aca="false">MAX(BC22,$F$8)</f>
        <v>51502</v>
      </c>
      <c r="BD28" s="10" t="n">
        <f aca="false">MAX(BD22,$F$8)</f>
        <v>51683</v>
      </c>
      <c r="BE28" s="10" t="n">
        <f aca="false">MAX(BE22,$F$8)</f>
        <v>51867</v>
      </c>
      <c r="BF28" s="10" t="n">
        <f aca="false">MAX(BF22,$F$8)</f>
        <v>52048</v>
      </c>
      <c r="BG28" s="10" t="n">
        <f aca="false">MAX(BG22,$F$8)</f>
        <v>52232</v>
      </c>
      <c r="BH28" s="10" t="n">
        <f aca="false">MAX(BH22,$F$8)</f>
        <v>52413</v>
      </c>
      <c r="BI28" s="10" t="n">
        <f aca="false">MAX(BI22,$F$8)</f>
        <v>52597</v>
      </c>
      <c r="BJ28" s="10" t="n">
        <f aca="false">MAX(BJ22,$F$8)</f>
        <v>52779</v>
      </c>
      <c r="BK28" s="10" t="n">
        <f aca="false">MAX(BK22,$F$8)</f>
        <v>52963</v>
      </c>
      <c r="BL28" s="10" t="n">
        <f aca="false">MAX(BL22,$F$8)</f>
        <v>53144</v>
      </c>
      <c r="BM28" s="10" t="n">
        <f aca="false">MAX(BM22,$F$8)</f>
        <v>53328</v>
      </c>
      <c r="BN28" s="10" t="n">
        <f aca="false">MAX(BN22,$F$8)</f>
        <v>53509</v>
      </c>
    </row>
    <row r="29" customFormat="false" ht="15" hidden="false" customHeight="false" outlineLevel="0" collapsed="false">
      <c r="D29" s="0" t="s">
        <v>1470</v>
      </c>
      <c r="E29" s="0" t="s">
        <v>298</v>
      </c>
      <c r="J29" s="10" t="n">
        <f aca="false">MIN(J23,$F$10)</f>
        <v>43465</v>
      </c>
      <c r="K29" s="10" t="n">
        <f aca="false">MIN(K23,$F$10)</f>
        <v>43646</v>
      </c>
      <c r="L29" s="10" t="n">
        <f aca="false">MIN(L23,$F$10)</f>
        <v>43830</v>
      </c>
      <c r="M29" s="10" t="n">
        <f aca="false">MIN(M23,$F$10)</f>
        <v>44012</v>
      </c>
      <c r="N29" s="10" t="n">
        <f aca="false">MIN(N23,$F$10)</f>
        <v>44196</v>
      </c>
      <c r="O29" s="10" t="n">
        <f aca="false">MIN(O23,$F$10)</f>
        <v>44377</v>
      </c>
      <c r="P29" s="10" t="n">
        <f aca="false">MIN(P23,$F$10)</f>
        <v>44561</v>
      </c>
      <c r="Q29" s="10" t="n">
        <f aca="false">MIN(Q23,$F$10)</f>
        <v>44742</v>
      </c>
      <c r="R29" s="10" t="n">
        <f aca="false">MIN(R23,$F$10)</f>
        <v>44926</v>
      </c>
      <c r="S29" s="10" t="n">
        <f aca="false">MIN(S23,$F$10)</f>
        <v>45107</v>
      </c>
      <c r="T29" s="10" t="n">
        <f aca="false">MIN(T23,$F$10)</f>
        <v>45291</v>
      </c>
      <c r="U29" s="10" t="n">
        <f aca="false">MIN(U23,$F$10)</f>
        <v>45473</v>
      </c>
      <c r="V29" s="10" t="n">
        <f aca="false">MIN(V23,$F$10)</f>
        <v>45657</v>
      </c>
      <c r="W29" s="10" t="n">
        <f aca="false">MIN(W23,$F$10)</f>
        <v>45838</v>
      </c>
      <c r="X29" s="10" t="n">
        <f aca="false">MIN(X23,$F$10)</f>
        <v>46022</v>
      </c>
      <c r="Y29" s="10" t="n">
        <f aca="false">MIN(Y23,$F$10)</f>
        <v>46203</v>
      </c>
      <c r="Z29" s="10" t="n">
        <f aca="false">MIN(Z23,$F$10)</f>
        <v>46387</v>
      </c>
      <c r="AA29" s="10" t="n">
        <f aca="false">MIN(AA23,$F$10)</f>
        <v>46568</v>
      </c>
      <c r="AB29" s="10" t="n">
        <f aca="false">MIN(AB23,$F$10)</f>
        <v>46752</v>
      </c>
      <c r="AC29" s="10" t="n">
        <f aca="false">MIN(AC23,$F$10)</f>
        <v>46934</v>
      </c>
      <c r="AD29" s="10" t="n">
        <f aca="false">MIN(AD23,$F$10)</f>
        <v>47118</v>
      </c>
      <c r="AE29" s="10" t="n">
        <f aca="false">MIN(AE23,$F$10)</f>
        <v>47299</v>
      </c>
      <c r="AF29" s="10" t="n">
        <f aca="false">MIN(AF23,$F$10)</f>
        <v>47483</v>
      </c>
      <c r="AG29" s="10" t="n">
        <f aca="false">MIN(AG23,$F$10)</f>
        <v>47664</v>
      </c>
      <c r="AH29" s="10" t="n">
        <f aca="false">MIN(AH23,$F$10)</f>
        <v>47848</v>
      </c>
      <c r="AI29" s="10" t="n">
        <f aca="false">MIN(AI23,$F$10)</f>
        <v>48029</v>
      </c>
      <c r="AJ29" s="10" t="n">
        <f aca="false">MIN(AJ23,$F$10)</f>
        <v>48213</v>
      </c>
      <c r="AK29" s="10" t="n">
        <f aca="false">MIN(AK23,$F$10)</f>
        <v>48395</v>
      </c>
      <c r="AL29" s="10" t="n">
        <f aca="false">MIN(AL23,$F$10)</f>
        <v>48579</v>
      </c>
      <c r="AM29" s="10" t="n">
        <f aca="false">MIN(AM23,$F$10)</f>
        <v>48760</v>
      </c>
      <c r="AN29" s="10" t="n">
        <f aca="false">MIN(AN23,$F$10)</f>
        <v>48944</v>
      </c>
      <c r="AO29" s="10" t="n">
        <f aca="false">MIN(AO23,$F$10)</f>
        <v>49125</v>
      </c>
      <c r="AP29" s="10" t="n">
        <f aca="false">MIN(AP23,$F$10)</f>
        <v>49309</v>
      </c>
      <c r="AQ29" s="10" t="n">
        <f aca="false">MIN(AQ23,$F$10)</f>
        <v>49490</v>
      </c>
      <c r="AR29" s="10" t="n">
        <f aca="false">MIN(AR23,$F$10)</f>
        <v>49674</v>
      </c>
      <c r="AS29" s="10" t="n">
        <f aca="false">MIN(AS23,$F$10)</f>
        <v>49856</v>
      </c>
      <c r="AT29" s="10" t="n">
        <f aca="false">MIN(AT23,$F$10)</f>
        <v>50040</v>
      </c>
      <c r="AU29" s="10" t="n">
        <f aca="false">MIN(AU23,$F$10)</f>
        <v>50221</v>
      </c>
      <c r="AV29" s="10" t="n">
        <f aca="false">MIN(AV23,$F$10)</f>
        <v>50405</v>
      </c>
      <c r="AW29" s="10" t="n">
        <f aca="false">MIN(AW23,$F$10)</f>
        <v>50586</v>
      </c>
      <c r="AX29" s="10" t="n">
        <f aca="false">MIN(AX23,$F$10)</f>
        <v>50770</v>
      </c>
      <c r="AY29" s="10" t="n">
        <f aca="false">MIN(AY23,$F$10)</f>
        <v>50951</v>
      </c>
      <c r="AZ29" s="10" t="n">
        <f aca="false">MIN(AZ23,$F$10)</f>
        <v>51135</v>
      </c>
      <c r="BA29" s="10" t="n">
        <f aca="false">MIN(BA23,$F$10)</f>
        <v>51317</v>
      </c>
      <c r="BB29" s="10" t="n">
        <f aca="false">MIN(BB23,$F$10)</f>
        <v>51501</v>
      </c>
      <c r="BC29" s="10" t="n">
        <f aca="false">MIN(BC23,$F$10)</f>
        <v>51682</v>
      </c>
      <c r="BD29" s="10" t="n">
        <f aca="false">MIN(BD23,$F$10)</f>
        <v>51866</v>
      </c>
      <c r="BE29" s="10" t="n">
        <f aca="false">MIN(BE23,$F$10)</f>
        <v>52047</v>
      </c>
      <c r="BF29" s="10" t="n">
        <f aca="false">MIN(BF23,$F$10)</f>
        <v>52231</v>
      </c>
      <c r="BG29" s="10" t="n">
        <f aca="false">MIN(BG23,$F$10)</f>
        <v>52412</v>
      </c>
      <c r="BH29" s="10" t="n">
        <f aca="false">MIN(BH23,$F$10)</f>
        <v>52596</v>
      </c>
      <c r="BI29" s="10" t="n">
        <f aca="false">MIN(BI23,$F$10)</f>
        <v>52778</v>
      </c>
      <c r="BJ29" s="10" t="n">
        <f aca="false">MIN(BJ23,$F$10)</f>
        <v>52962</v>
      </c>
      <c r="BK29" s="10" t="n">
        <f aca="false">MIN(BK23,$F$10)</f>
        <v>53143</v>
      </c>
      <c r="BL29" s="10" t="n">
        <f aca="false">MIN(BL23,$F$10)</f>
        <v>53327</v>
      </c>
      <c r="BM29" s="10" t="n">
        <f aca="false">MIN(BM23,$F$10)</f>
        <v>53447</v>
      </c>
      <c r="BN29" s="10" t="n">
        <f aca="false">MIN(BN23,$F$10)</f>
        <v>53447</v>
      </c>
    </row>
    <row r="30" customFormat="false" ht="15" hidden="false" customHeight="false" outlineLevel="0" collapsed="false">
      <c r="D30" s="0" t="s">
        <v>1471</v>
      </c>
      <c r="E30" s="0" t="s">
        <v>99</v>
      </c>
      <c r="J30" s="9" t="n">
        <f aca="false">IF(J29&gt;=J28,(YEAR(J29)-YEAR(J28))*12+MONTH(J29)-MONTH(J28)+1,0)</f>
        <v>0</v>
      </c>
      <c r="K30" s="9" t="n">
        <f aca="false">IF(K29&gt;=K28,(YEAR(K29)-YEAR(K28))*12+MONTH(K29)-MONTH(K28)+1,0)</f>
        <v>0</v>
      </c>
      <c r="L30" s="9" t="n">
        <f aca="false">IF(L29&gt;=L28,(YEAR(L29)-YEAR(L28))*12+MONTH(L29)-MONTH(L28)+1,0)</f>
        <v>0</v>
      </c>
      <c r="M30" s="9" t="n">
        <f aca="false">IF(M29&gt;=M28,(YEAR(M29)-YEAR(M28))*12+MONTH(M29)-MONTH(M28)+1,0)</f>
        <v>0</v>
      </c>
      <c r="N30" s="9" t="n">
        <f aca="false">IF(N29&gt;=N28,(YEAR(N29)-YEAR(N28))*12+MONTH(N29)-MONTH(N28)+1,0)</f>
        <v>0</v>
      </c>
      <c r="O30" s="9" t="n">
        <f aca="false">IF(O29&gt;=O28,(YEAR(O29)-YEAR(O28))*12+MONTH(O29)-MONTH(O28)+1,0)</f>
        <v>2</v>
      </c>
      <c r="P30" s="9" t="n">
        <f aca="false">IF(P29&gt;=P28,(YEAR(P29)-YEAR(P28))*12+MONTH(P29)-MONTH(P28)+1,0)</f>
        <v>6</v>
      </c>
      <c r="Q30" s="9" t="n">
        <f aca="false">IF(Q29&gt;=Q28,(YEAR(Q29)-YEAR(Q28))*12+MONTH(Q29)-MONTH(Q28)+1,0)</f>
        <v>6</v>
      </c>
      <c r="R30" s="9" t="n">
        <f aca="false">IF(R29&gt;=R28,(YEAR(R29)-YEAR(R28))*12+MONTH(R29)-MONTH(R28)+1,0)</f>
        <v>6</v>
      </c>
      <c r="S30" s="9" t="n">
        <f aca="false">IF(S29&gt;=S28,(YEAR(S29)-YEAR(S28))*12+MONTH(S29)-MONTH(S28)+1,0)</f>
        <v>6</v>
      </c>
      <c r="T30" s="9" t="n">
        <f aca="false">IF(T29&gt;=T28,(YEAR(T29)-YEAR(T28))*12+MONTH(T29)-MONTH(T28)+1,0)</f>
        <v>6</v>
      </c>
      <c r="U30" s="9" t="n">
        <f aca="false">IF(U29&gt;=U28,(YEAR(U29)-YEAR(U28))*12+MONTH(U29)-MONTH(U28)+1,0)</f>
        <v>6</v>
      </c>
      <c r="V30" s="9" t="n">
        <f aca="false">IF(V29&gt;=V28,(YEAR(V29)-YEAR(V28))*12+MONTH(V29)-MONTH(V28)+1,0)</f>
        <v>6</v>
      </c>
      <c r="W30" s="9" t="n">
        <f aca="false">IF(W29&gt;=W28,(YEAR(W29)-YEAR(W28))*12+MONTH(W29)-MONTH(W28)+1,0)</f>
        <v>6</v>
      </c>
      <c r="X30" s="9" t="n">
        <f aca="false">IF(X29&gt;=X28,(YEAR(X29)-YEAR(X28))*12+MONTH(X29)-MONTH(X28)+1,0)</f>
        <v>6</v>
      </c>
      <c r="Y30" s="9" t="n">
        <f aca="false">IF(Y29&gt;=Y28,(YEAR(Y29)-YEAR(Y28))*12+MONTH(Y29)-MONTH(Y28)+1,0)</f>
        <v>6</v>
      </c>
      <c r="Z30" s="9" t="n">
        <f aca="false">IF(Z29&gt;=Z28,(YEAR(Z29)-YEAR(Z28))*12+MONTH(Z29)-MONTH(Z28)+1,0)</f>
        <v>6</v>
      </c>
      <c r="AA30" s="9" t="n">
        <f aca="false">IF(AA29&gt;=AA28,(YEAR(AA29)-YEAR(AA28))*12+MONTH(AA29)-MONTH(AA28)+1,0)</f>
        <v>6</v>
      </c>
      <c r="AB30" s="9" t="n">
        <f aca="false">IF(AB29&gt;=AB28,(YEAR(AB29)-YEAR(AB28))*12+MONTH(AB29)-MONTH(AB28)+1,0)</f>
        <v>6</v>
      </c>
      <c r="AC30" s="9" t="n">
        <f aca="false">IF(AC29&gt;=AC28,(YEAR(AC29)-YEAR(AC28))*12+MONTH(AC29)-MONTH(AC28)+1,0)</f>
        <v>6</v>
      </c>
      <c r="AD30" s="9" t="n">
        <f aca="false">IF(AD29&gt;=AD28,(YEAR(AD29)-YEAR(AD28))*12+MONTH(AD29)-MONTH(AD28)+1,0)</f>
        <v>6</v>
      </c>
      <c r="AE30" s="9" t="n">
        <f aca="false">IF(AE29&gt;=AE28,(YEAR(AE29)-YEAR(AE28))*12+MONTH(AE29)-MONTH(AE28)+1,0)</f>
        <v>6</v>
      </c>
      <c r="AF30" s="9" t="n">
        <f aca="false">IF(AF29&gt;=AF28,(YEAR(AF29)-YEAR(AF28))*12+MONTH(AF29)-MONTH(AF28)+1,0)</f>
        <v>6</v>
      </c>
      <c r="AG30" s="9" t="n">
        <f aca="false">IF(AG29&gt;=AG28,(YEAR(AG29)-YEAR(AG28))*12+MONTH(AG29)-MONTH(AG28)+1,0)</f>
        <v>6</v>
      </c>
      <c r="AH30" s="9" t="n">
        <f aca="false">IF(AH29&gt;=AH28,(YEAR(AH29)-YEAR(AH28))*12+MONTH(AH29)-MONTH(AH28)+1,0)</f>
        <v>6</v>
      </c>
      <c r="AI30" s="9" t="n">
        <f aca="false">IF(AI29&gt;=AI28,(YEAR(AI29)-YEAR(AI28))*12+MONTH(AI29)-MONTH(AI28)+1,0)</f>
        <v>6</v>
      </c>
      <c r="AJ30" s="9" t="n">
        <f aca="false">IF(AJ29&gt;=AJ28,(YEAR(AJ29)-YEAR(AJ28))*12+MONTH(AJ29)-MONTH(AJ28)+1,0)</f>
        <v>6</v>
      </c>
      <c r="AK30" s="9" t="n">
        <f aca="false">IF(AK29&gt;=AK28,(YEAR(AK29)-YEAR(AK28))*12+MONTH(AK29)-MONTH(AK28)+1,0)</f>
        <v>6</v>
      </c>
      <c r="AL30" s="9" t="n">
        <f aca="false">IF(AL29&gt;=AL28,(YEAR(AL29)-YEAR(AL28))*12+MONTH(AL29)-MONTH(AL28)+1,0)</f>
        <v>6</v>
      </c>
      <c r="AM30" s="9" t="n">
        <f aca="false">IF(AM29&gt;=AM28,(YEAR(AM29)-YEAR(AM28))*12+MONTH(AM29)-MONTH(AM28)+1,0)</f>
        <v>6</v>
      </c>
      <c r="AN30" s="9" t="n">
        <f aca="false">IF(AN29&gt;=AN28,(YEAR(AN29)-YEAR(AN28))*12+MONTH(AN29)-MONTH(AN28)+1,0)</f>
        <v>6</v>
      </c>
      <c r="AO30" s="9" t="n">
        <f aca="false">IF(AO29&gt;=AO28,(YEAR(AO29)-YEAR(AO28))*12+MONTH(AO29)-MONTH(AO28)+1,0)</f>
        <v>6</v>
      </c>
      <c r="AP30" s="9" t="n">
        <f aca="false">IF(AP29&gt;=AP28,(YEAR(AP29)-YEAR(AP28))*12+MONTH(AP29)-MONTH(AP28)+1,0)</f>
        <v>6</v>
      </c>
      <c r="AQ30" s="9" t="n">
        <f aca="false">IF(AQ29&gt;=AQ28,(YEAR(AQ29)-YEAR(AQ28))*12+MONTH(AQ29)-MONTH(AQ28)+1,0)</f>
        <v>6</v>
      </c>
      <c r="AR30" s="9" t="n">
        <f aca="false">IF(AR29&gt;=AR28,(YEAR(AR29)-YEAR(AR28))*12+MONTH(AR29)-MONTH(AR28)+1,0)</f>
        <v>6</v>
      </c>
      <c r="AS30" s="9" t="n">
        <f aca="false">IF(AS29&gt;=AS28,(YEAR(AS29)-YEAR(AS28))*12+MONTH(AS29)-MONTH(AS28)+1,0)</f>
        <v>6</v>
      </c>
      <c r="AT30" s="9" t="n">
        <f aca="false">IF(AT29&gt;=AT28,(YEAR(AT29)-YEAR(AT28))*12+MONTH(AT29)-MONTH(AT28)+1,0)</f>
        <v>6</v>
      </c>
      <c r="AU30" s="9" t="n">
        <f aca="false">IF(AU29&gt;=AU28,(YEAR(AU29)-YEAR(AU28))*12+MONTH(AU29)-MONTH(AU28)+1,0)</f>
        <v>6</v>
      </c>
      <c r="AV30" s="9" t="n">
        <f aca="false">IF(AV29&gt;=AV28,(YEAR(AV29)-YEAR(AV28))*12+MONTH(AV29)-MONTH(AV28)+1,0)</f>
        <v>6</v>
      </c>
      <c r="AW30" s="9" t="n">
        <f aca="false">IF(AW29&gt;=AW28,(YEAR(AW29)-YEAR(AW28))*12+MONTH(AW29)-MONTH(AW28)+1,0)</f>
        <v>6</v>
      </c>
      <c r="AX30" s="9" t="n">
        <f aca="false">IF(AX29&gt;=AX28,(YEAR(AX29)-YEAR(AX28))*12+MONTH(AX29)-MONTH(AX28)+1,0)</f>
        <v>6</v>
      </c>
      <c r="AY30" s="9" t="n">
        <f aca="false">IF(AY29&gt;=AY28,(YEAR(AY29)-YEAR(AY28))*12+MONTH(AY29)-MONTH(AY28)+1,0)</f>
        <v>6</v>
      </c>
      <c r="AZ30" s="9" t="n">
        <f aca="false">IF(AZ29&gt;=AZ28,(YEAR(AZ29)-YEAR(AZ28))*12+MONTH(AZ29)-MONTH(AZ28)+1,0)</f>
        <v>6</v>
      </c>
      <c r="BA30" s="9" t="n">
        <f aca="false">IF(BA29&gt;=BA28,(YEAR(BA29)-YEAR(BA28))*12+MONTH(BA29)-MONTH(BA28)+1,0)</f>
        <v>6</v>
      </c>
      <c r="BB30" s="9" t="n">
        <f aca="false">IF(BB29&gt;=BB28,(YEAR(BB29)-YEAR(BB28))*12+MONTH(BB29)-MONTH(BB28)+1,0)</f>
        <v>6</v>
      </c>
      <c r="BC30" s="9" t="n">
        <f aca="false">IF(BC29&gt;=BC28,(YEAR(BC29)-YEAR(BC28))*12+MONTH(BC29)-MONTH(BC28)+1,0)</f>
        <v>6</v>
      </c>
      <c r="BD30" s="9" t="n">
        <f aca="false">IF(BD29&gt;=BD28,(YEAR(BD29)-YEAR(BD28))*12+MONTH(BD29)-MONTH(BD28)+1,0)</f>
        <v>6</v>
      </c>
      <c r="BE30" s="9" t="n">
        <f aca="false">IF(BE29&gt;=BE28,(YEAR(BE29)-YEAR(BE28))*12+MONTH(BE29)-MONTH(BE28)+1,0)</f>
        <v>6</v>
      </c>
      <c r="BF30" s="9" t="n">
        <f aca="false">IF(BF29&gt;=BF28,(YEAR(BF29)-YEAR(BF28))*12+MONTH(BF29)-MONTH(BF28)+1,0)</f>
        <v>6</v>
      </c>
      <c r="BG30" s="9" t="n">
        <f aca="false">IF(BG29&gt;=BG28,(YEAR(BG29)-YEAR(BG28))*12+MONTH(BG29)-MONTH(BG28)+1,0)</f>
        <v>6</v>
      </c>
      <c r="BH30" s="9" t="n">
        <f aca="false">IF(BH29&gt;=BH28,(YEAR(BH29)-YEAR(BH28))*12+MONTH(BH29)-MONTH(BH28)+1,0)</f>
        <v>6</v>
      </c>
      <c r="BI30" s="9" t="n">
        <f aca="false">IF(BI29&gt;=BI28,(YEAR(BI29)-YEAR(BI28))*12+MONTH(BI29)-MONTH(BI28)+1,0)</f>
        <v>6</v>
      </c>
      <c r="BJ30" s="9" t="n">
        <f aca="false">IF(BJ29&gt;=BJ28,(YEAR(BJ29)-YEAR(BJ28))*12+MONTH(BJ29)-MONTH(BJ28)+1,0)</f>
        <v>6</v>
      </c>
      <c r="BK30" s="9" t="n">
        <f aca="false">IF(BK29&gt;=BK28,(YEAR(BK29)-YEAR(BK28))*12+MONTH(BK29)-MONTH(BK28)+1,0)</f>
        <v>6</v>
      </c>
      <c r="BL30" s="9" t="n">
        <f aca="false">IF(BL29&gt;=BL28,(YEAR(BL29)-YEAR(BL28))*12+MONTH(BL29)-MONTH(BL28)+1,0)</f>
        <v>6</v>
      </c>
      <c r="BM30" s="9" t="n">
        <f aca="false">IF(BM29&gt;=BM28,(YEAR(BM29)-YEAR(BM28))*12+MONTH(BM29)-MONTH(BM28)+1,0)</f>
        <v>4</v>
      </c>
      <c r="BN30" s="9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1472</v>
      </c>
      <c r="E31" s="0" t="s">
        <v>113</v>
      </c>
      <c r="J31" s="9" t="n">
        <f aca="false">IF(J29&gt;=J28,J29-J28+1,0)</f>
        <v>0</v>
      </c>
      <c r="K31" s="9" t="n">
        <f aca="false">IF(K29&gt;=K28,K29-K28+1,0)</f>
        <v>0</v>
      </c>
      <c r="L31" s="9" t="n">
        <f aca="false">IF(L29&gt;=L28,L29-L28+1,0)</f>
        <v>0</v>
      </c>
      <c r="M31" s="9" t="n">
        <f aca="false">IF(M29&gt;=M28,M29-M28+1,0)</f>
        <v>0</v>
      </c>
      <c r="N31" s="9" t="n">
        <f aca="false">IF(N29&gt;=N28,N29-N28+1,0)</f>
        <v>0</v>
      </c>
      <c r="O31" s="9" t="n">
        <f aca="false">IF(O29&gt;=O28,O29-O28+1,0)</f>
        <v>61</v>
      </c>
      <c r="P31" s="9" t="n">
        <f aca="false">IF(P29&gt;=P28,P29-P28+1,0)</f>
        <v>184</v>
      </c>
      <c r="Q31" s="9" t="n">
        <f aca="false">IF(Q29&gt;=Q28,Q29-Q28+1,0)</f>
        <v>181</v>
      </c>
      <c r="R31" s="9" t="n">
        <f aca="false">IF(R29&gt;=R28,R29-R28+1,0)</f>
        <v>184</v>
      </c>
      <c r="S31" s="9" t="n">
        <f aca="false">IF(S29&gt;=S28,S29-S28+1,0)</f>
        <v>181</v>
      </c>
      <c r="T31" s="9" t="n">
        <f aca="false">IF(T29&gt;=T28,T29-T28+1,0)</f>
        <v>184</v>
      </c>
      <c r="U31" s="9" t="n">
        <f aca="false">IF(U29&gt;=U28,U29-U28+1,0)</f>
        <v>182</v>
      </c>
      <c r="V31" s="9" t="n">
        <f aca="false">IF(V29&gt;=V28,V29-V28+1,0)</f>
        <v>184</v>
      </c>
      <c r="W31" s="9" t="n">
        <f aca="false">IF(W29&gt;=W28,W29-W28+1,0)</f>
        <v>181</v>
      </c>
      <c r="X31" s="9" t="n">
        <f aca="false">IF(X29&gt;=X28,X29-X28+1,0)</f>
        <v>184</v>
      </c>
      <c r="Y31" s="9" t="n">
        <f aca="false">IF(Y29&gt;=Y28,Y29-Y28+1,0)</f>
        <v>181</v>
      </c>
      <c r="Z31" s="9" t="n">
        <f aca="false">IF(Z29&gt;=Z28,Z29-Z28+1,0)</f>
        <v>184</v>
      </c>
      <c r="AA31" s="9" t="n">
        <f aca="false">IF(AA29&gt;=AA28,AA29-AA28+1,0)</f>
        <v>181</v>
      </c>
      <c r="AB31" s="9" t="n">
        <f aca="false">IF(AB29&gt;=AB28,AB29-AB28+1,0)</f>
        <v>184</v>
      </c>
      <c r="AC31" s="9" t="n">
        <f aca="false">IF(AC29&gt;=AC28,AC29-AC28+1,0)</f>
        <v>182</v>
      </c>
      <c r="AD31" s="9" t="n">
        <f aca="false">IF(AD29&gt;=AD28,AD29-AD28+1,0)</f>
        <v>184</v>
      </c>
      <c r="AE31" s="9" t="n">
        <f aca="false">IF(AE29&gt;=AE28,AE29-AE28+1,0)</f>
        <v>181</v>
      </c>
      <c r="AF31" s="9" t="n">
        <f aca="false">IF(AF29&gt;=AF28,AF29-AF28+1,0)</f>
        <v>184</v>
      </c>
      <c r="AG31" s="9" t="n">
        <f aca="false">IF(AG29&gt;=AG28,AG29-AG28+1,0)</f>
        <v>181</v>
      </c>
      <c r="AH31" s="9" t="n">
        <f aca="false">IF(AH29&gt;=AH28,AH29-AH28+1,0)</f>
        <v>184</v>
      </c>
      <c r="AI31" s="9" t="n">
        <f aca="false">IF(AI29&gt;=AI28,AI29-AI28+1,0)</f>
        <v>181</v>
      </c>
      <c r="AJ31" s="9" t="n">
        <f aca="false">IF(AJ29&gt;=AJ28,AJ29-AJ28+1,0)</f>
        <v>184</v>
      </c>
      <c r="AK31" s="9" t="n">
        <f aca="false">IF(AK29&gt;=AK28,AK29-AK28+1,0)</f>
        <v>182</v>
      </c>
      <c r="AL31" s="9" t="n">
        <f aca="false">IF(AL29&gt;=AL28,AL29-AL28+1,0)</f>
        <v>184</v>
      </c>
      <c r="AM31" s="9" t="n">
        <f aca="false">IF(AM29&gt;=AM28,AM29-AM28+1,0)</f>
        <v>181</v>
      </c>
      <c r="AN31" s="9" t="n">
        <f aca="false">IF(AN29&gt;=AN28,AN29-AN28+1,0)</f>
        <v>184</v>
      </c>
      <c r="AO31" s="9" t="n">
        <f aca="false">IF(AO29&gt;=AO28,AO29-AO28+1,0)</f>
        <v>181</v>
      </c>
      <c r="AP31" s="9" t="n">
        <f aca="false">IF(AP29&gt;=AP28,AP29-AP28+1,0)</f>
        <v>184</v>
      </c>
      <c r="AQ31" s="9" t="n">
        <f aca="false">IF(AQ29&gt;=AQ28,AQ29-AQ28+1,0)</f>
        <v>181</v>
      </c>
      <c r="AR31" s="9" t="n">
        <f aca="false">IF(AR29&gt;=AR28,AR29-AR28+1,0)</f>
        <v>184</v>
      </c>
      <c r="AS31" s="9" t="n">
        <f aca="false">IF(AS29&gt;=AS28,AS29-AS28+1,0)</f>
        <v>182</v>
      </c>
      <c r="AT31" s="9" t="n">
        <f aca="false">IF(AT29&gt;=AT28,AT29-AT28+1,0)</f>
        <v>184</v>
      </c>
      <c r="AU31" s="9" t="n">
        <f aca="false">IF(AU29&gt;=AU28,AU29-AU28+1,0)</f>
        <v>181</v>
      </c>
      <c r="AV31" s="9" t="n">
        <f aca="false">IF(AV29&gt;=AV28,AV29-AV28+1,0)</f>
        <v>184</v>
      </c>
      <c r="AW31" s="9" t="n">
        <f aca="false">IF(AW29&gt;=AW28,AW29-AW28+1,0)</f>
        <v>181</v>
      </c>
      <c r="AX31" s="9" t="n">
        <f aca="false">IF(AX29&gt;=AX28,AX29-AX28+1,0)</f>
        <v>184</v>
      </c>
      <c r="AY31" s="9" t="n">
        <f aca="false">IF(AY29&gt;=AY28,AY29-AY28+1,0)</f>
        <v>181</v>
      </c>
      <c r="AZ31" s="9" t="n">
        <f aca="false">IF(AZ29&gt;=AZ28,AZ29-AZ28+1,0)</f>
        <v>184</v>
      </c>
      <c r="BA31" s="9" t="n">
        <f aca="false">IF(BA29&gt;=BA28,BA29-BA28+1,0)</f>
        <v>182</v>
      </c>
      <c r="BB31" s="9" t="n">
        <f aca="false">IF(BB29&gt;=BB28,BB29-BB28+1,0)</f>
        <v>184</v>
      </c>
      <c r="BC31" s="9" t="n">
        <f aca="false">IF(BC29&gt;=BC28,BC29-BC28+1,0)</f>
        <v>181</v>
      </c>
      <c r="BD31" s="9" t="n">
        <f aca="false">IF(BD29&gt;=BD28,BD29-BD28+1,0)</f>
        <v>184</v>
      </c>
      <c r="BE31" s="9" t="n">
        <f aca="false">IF(BE29&gt;=BE28,BE29-BE28+1,0)</f>
        <v>181</v>
      </c>
      <c r="BF31" s="9" t="n">
        <f aca="false">IF(BF29&gt;=BF28,BF29-BF28+1,0)</f>
        <v>184</v>
      </c>
      <c r="BG31" s="9" t="n">
        <f aca="false">IF(BG29&gt;=BG28,BG29-BG28+1,0)</f>
        <v>181</v>
      </c>
      <c r="BH31" s="9" t="n">
        <f aca="false">IF(BH29&gt;=BH28,BH29-BH28+1,0)</f>
        <v>184</v>
      </c>
      <c r="BI31" s="9" t="n">
        <f aca="false">IF(BI29&gt;=BI28,BI29-BI28+1,0)</f>
        <v>182</v>
      </c>
      <c r="BJ31" s="9" t="n">
        <f aca="false">IF(BJ29&gt;=BJ28,BJ29-BJ28+1,0)</f>
        <v>184</v>
      </c>
      <c r="BK31" s="9" t="n">
        <f aca="false">IF(BK29&gt;=BK28,BK29-BK28+1,0)</f>
        <v>181</v>
      </c>
      <c r="BL31" s="9" t="n">
        <f aca="false">IF(BL29&gt;=BL28,BL29-BL28+1,0)</f>
        <v>184</v>
      </c>
      <c r="BM31" s="9" t="n">
        <f aca="false">IF(BM29&gt;=BM28,BM29-BM28+1,0)</f>
        <v>120</v>
      </c>
      <c r="BN31" s="9" t="n">
        <f aca="false">IF(BN29&gt;=BN28,BN29-BN28+1,0)</f>
        <v>0</v>
      </c>
    </row>
    <row r="32" customFormat="false" ht="15" hidden="false" customHeight="false" outlineLevel="0" collapsed="false">
      <c r="D32" s="0" t="s">
        <v>1473</v>
      </c>
      <c r="E32" s="0" t="s">
        <v>99</v>
      </c>
      <c r="J32" s="9" t="n">
        <f aca="false">MIN(MAX((YEAR(J22)-YEAR($F$8))*12+MONTH(J22)-MONTH($F$8),0),$F$9)</f>
        <v>0</v>
      </c>
      <c r="K32" s="9" t="n">
        <f aca="false">MIN(MAX((YEAR(K22)-YEAR($F$8))*12+MONTH(K22)-MONTH($F$8),0),$F$9)</f>
        <v>0</v>
      </c>
      <c r="L32" s="9" t="n">
        <f aca="false">MIN(MAX((YEAR(L22)-YEAR($F$8))*12+MONTH(L22)-MONTH($F$8),0),$F$9)</f>
        <v>0</v>
      </c>
      <c r="M32" s="9" t="n">
        <f aca="false">MIN(MAX((YEAR(M22)-YEAR($F$8))*12+MONTH(M22)-MONTH($F$8),0),$F$9)</f>
        <v>0</v>
      </c>
      <c r="N32" s="9" t="n">
        <f aca="false">MIN(MAX((YEAR(N22)-YEAR($F$8))*12+MONTH(N22)-MONTH($F$8),0),$F$9)</f>
        <v>0</v>
      </c>
      <c r="O32" s="9" t="n">
        <f aca="false">MIN(MAX((YEAR(O22)-YEAR($F$8))*12+MONTH(O22)-MONTH($F$8),0),$F$9)</f>
        <v>0</v>
      </c>
      <c r="P32" s="9" t="n">
        <f aca="false">MIN(MAX((YEAR(P22)-YEAR($F$8))*12+MONTH(P22)-MONTH($F$8),0),$F$9)</f>
        <v>2</v>
      </c>
      <c r="Q32" s="9" t="n">
        <f aca="false">MIN(MAX((YEAR(Q22)-YEAR($F$8))*12+MONTH(Q22)-MONTH($F$8),0),$F$9)</f>
        <v>8</v>
      </c>
      <c r="R32" s="9" t="n">
        <f aca="false">MIN(MAX((YEAR(R22)-YEAR($F$8))*12+MONTH(R22)-MONTH($F$8),0),$F$9)</f>
        <v>14</v>
      </c>
      <c r="S32" s="9" t="n">
        <f aca="false">MIN(MAX((YEAR(S22)-YEAR($F$8))*12+MONTH(S22)-MONTH($F$8),0),$F$9)</f>
        <v>20</v>
      </c>
      <c r="T32" s="9" t="n">
        <f aca="false">MIN(MAX((YEAR(T22)-YEAR($F$8))*12+MONTH(T22)-MONTH($F$8),0),$F$9)</f>
        <v>26</v>
      </c>
      <c r="U32" s="9" t="n">
        <f aca="false">MIN(MAX((YEAR(U22)-YEAR($F$8))*12+MONTH(U22)-MONTH($F$8),0),$F$9)</f>
        <v>32</v>
      </c>
      <c r="V32" s="9" t="n">
        <f aca="false">MIN(MAX((YEAR(V22)-YEAR($F$8))*12+MONTH(V22)-MONTH($F$8),0),$F$9)</f>
        <v>38</v>
      </c>
      <c r="W32" s="9" t="n">
        <f aca="false">MIN(MAX((YEAR(W22)-YEAR($F$8))*12+MONTH(W22)-MONTH($F$8),0),$F$9)</f>
        <v>44</v>
      </c>
      <c r="X32" s="9" t="n">
        <f aca="false">MIN(MAX((YEAR(X22)-YEAR($F$8))*12+MONTH(X22)-MONTH($F$8),0),$F$9)</f>
        <v>50</v>
      </c>
      <c r="Y32" s="9" t="n">
        <f aca="false">MIN(MAX((YEAR(Y22)-YEAR($F$8))*12+MONTH(Y22)-MONTH($F$8),0),$F$9)</f>
        <v>56</v>
      </c>
      <c r="Z32" s="9" t="n">
        <f aca="false">MIN(MAX((YEAR(Z22)-YEAR($F$8))*12+MONTH(Z22)-MONTH($F$8),0),$F$9)</f>
        <v>62</v>
      </c>
      <c r="AA32" s="9" t="n">
        <f aca="false">MIN(MAX((YEAR(AA22)-YEAR($F$8))*12+MONTH(AA22)-MONTH($F$8),0),$F$9)</f>
        <v>68</v>
      </c>
      <c r="AB32" s="9" t="n">
        <f aca="false">MIN(MAX((YEAR(AB22)-YEAR($F$8))*12+MONTH(AB22)-MONTH($F$8),0),$F$9)</f>
        <v>74</v>
      </c>
      <c r="AC32" s="9" t="n">
        <f aca="false">MIN(MAX((YEAR(AC22)-YEAR($F$8))*12+MONTH(AC22)-MONTH($F$8),0),$F$9)</f>
        <v>80</v>
      </c>
      <c r="AD32" s="9" t="n">
        <f aca="false">MIN(MAX((YEAR(AD22)-YEAR($F$8))*12+MONTH(AD22)-MONTH($F$8),0),$F$9)</f>
        <v>86</v>
      </c>
      <c r="AE32" s="9" t="n">
        <f aca="false">MIN(MAX((YEAR(AE22)-YEAR($F$8))*12+MONTH(AE22)-MONTH($F$8),0),$F$9)</f>
        <v>92</v>
      </c>
      <c r="AF32" s="9" t="n">
        <f aca="false">MIN(MAX((YEAR(AF22)-YEAR($F$8))*12+MONTH(AF22)-MONTH($F$8),0),$F$9)</f>
        <v>98</v>
      </c>
      <c r="AG32" s="9" t="n">
        <f aca="false">MIN(MAX((YEAR(AG22)-YEAR($F$8))*12+MONTH(AG22)-MONTH($F$8),0),$F$9)</f>
        <v>104</v>
      </c>
      <c r="AH32" s="9" t="n">
        <f aca="false">MIN(MAX((YEAR(AH22)-YEAR($F$8))*12+MONTH(AH22)-MONTH($F$8),0),$F$9)</f>
        <v>110</v>
      </c>
      <c r="AI32" s="9" t="n">
        <f aca="false">MIN(MAX((YEAR(AI22)-YEAR($F$8))*12+MONTH(AI22)-MONTH($F$8),0),$F$9)</f>
        <v>116</v>
      </c>
      <c r="AJ32" s="9" t="n">
        <f aca="false">MIN(MAX((YEAR(AJ22)-YEAR($F$8))*12+MONTH(AJ22)-MONTH($F$8),0),$F$9)</f>
        <v>122</v>
      </c>
      <c r="AK32" s="9" t="n">
        <f aca="false">MIN(MAX((YEAR(AK22)-YEAR($F$8))*12+MONTH(AK22)-MONTH($F$8),0),$F$9)</f>
        <v>128</v>
      </c>
      <c r="AL32" s="9" t="n">
        <f aca="false">MIN(MAX((YEAR(AL22)-YEAR($F$8))*12+MONTH(AL22)-MONTH($F$8),0),$F$9)</f>
        <v>134</v>
      </c>
      <c r="AM32" s="9" t="n">
        <f aca="false">MIN(MAX((YEAR(AM22)-YEAR($F$8))*12+MONTH(AM22)-MONTH($F$8),0),$F$9)</f>
        <v>140</v>
      </c>
      <c r="AN32" s="9" t="n">
        <f aca="false">MIN(MAX((YEAR(AN22)-YEAR($F$8))*12+MONTH(AN22)-MONTH($F$8),0),$F$9)</f>
        <v>146</v>
      </c>
      <c r="AO32" s="9" t="n">
        <f aca="false">MIN(MAX((YEAR(AO22)-YEAR($F$8))*12+MONTH(AO22)-MONTH($F$8),0),$F$9)</f>
        <v>152</v>
      </c>
      <c r="AP32" s="9" t="n">
        <f aca="false">MIN(MAX((YEAR(AP22)-YEAR($F$8))*12+MONTH(AP22)-MONTH($F$8),0),$F$9)</f>
        <v>158</v>
      </c>
      <c r="AQ32" s="9" t="n">
        <f aca="false">MIN(MAX((YEAR(AQ22)-YEAR($F$8))*12+MONTH(AQ22)-MONTH($F$8),0),$F$9)</f>
        <v>164</v>
      </c>
      <c r="AR32" s="9" t="n">
        <f aca="false">MIN(MAX((YEAR(AR22)-YEAR($F$8))*12+MONTH(AR22)-MONTH($F$8),0),$F$9)</f>
        <v>170</v>
      </c>
      <c r="AS32" s="9" t="n">
        <f aca="false">MIN(MAX((YEAR(AS22)-YEAR($F$8))*12+MONTH(AS22)-MONTH($F$8),0),$F$9)</f>
        <v>176</v>
      </c>
      <c r="AT32" s="9" t="n">
        <f aca="false">MIN(MAX((YEAR(AT22)-YEAR($F$8))*12+MONTH(AT22)-MONTH($F$8),0),$F$9)</f>
        <v>182</v>
      </c>
      <c r="AU32" s="9" t="n">
        <f aca="false">MIN(MAX((YEAR(AU22)-YEAR($F$8))*12+MONTH(AU22)-MONTH($F$8),0),$F$9)</f>
        <v>188</v>
      </c>
      <c r="AV32" s="9" t="n">
        <f aca="false">MIN(MAX((YEAR(AV22)-YEAR($F$8))*12+MONTH(AV22)-MONTH($F$8),0),$F$9)</f>
        <v>194</v>
      </c>
      <c r="AW32" s="9" t="n">
        <f aca="false">MIN(MAX((YEAR(AW22)-YEAR($F$8))*12+MONTH(AW22)-MONTH($F$8),0),$F$9)</f>
        <v>200</v>
      </c>
      <c r="AX32" s="9" t="n">
        <f aca="false">MIN(MAX((YEAR(AX22)-YEAR($F$8))*12+MONTH(AX22)-MONTH($F$8),0),$F$9)</f>
        <v>206</v>
      </c>
      <c r="AY32" s="9" t="n">
        <f aca="false">MIN(MAX((YEAR(AY22)-YEAR($F$8))*12+MONTH(AY22)-MONTH($F$8),0),$F$9)</f>
        <v>212</v>
      </c>
      <c r="AZ32" s="9" t="n">
        <f aca="false">MIN(MAX((YEAR(AZ22)-YEAR($F$8))*12+MONTH(AZ22)-MONTH($F$8),0),$F$9)</f>
        <v>218</v>
      </c>
      <c r="BA32" s="9" t="n">
        <f aca="false">MIN(MAX((YEAR(BA22)-YEAR($F$8))*12+MONTH(BA22)-MONTH($F$8),0),$F$9)</f>
        <v>224</v>
      </c>
      <c r="BB32" s="9" t="n">
        <f aca="false">MIN(MAX((YEAR(BB22)-YEAR($F$8))*12+MONTH(BB22)-MONTH($F$8),0),$F$9)</f>
        <v>230</v>
      </c>
      <c r="BC32" s="9" t="n">
        <f aca="false">MIN(MAX((YEAR(BC22)-YEAR($F$8))*12+MONTH(BC22)-MONTH($F$8),0),$F$9)</f>
        <v>236</v>
      </c>
      <c r="BD32" s="9" t="n">
        <f aca="false">MIN(MAX((YEAR(BD22)-YEAR($F$8))*12+MONTH(BD22)-MONTH($F$8),0),$F$9)</f>
        <v>242</v>
      </c>
      <c r="BE32" s="9" t="n">
        <f aca="false">MIN(MAX((YEAR(BE22)-YEAR($F$8))*12+MONTH(BE22)-MONTH($F$8),0),$F$9)</f>
        <v>248</v>
      </c>
      <c r="BF32" s="9" t="n">
        <f aca="false">MIN(MAX((YEAR(BF22)-YEAR($F$8))*12+MONTH(BF22)-MONTH($F$8),0),$F$9)</f>
        <v>254</v>
      </c>
      <c r="BG32" s="9" t="n">
        <f aca="false">MIN(MAX((YEAR(BG22)-YEAR($F$8))*12+MONTH(BG22)-MONTH($F$8),0),$F$9)</f>
        <v>260</v>
      </c>
      <c r="BH32" s="9" t="n">
        <f aca="false">MIN(MAX((YEAR(BH22)-YEAR($F$8))*12+MONTH(BH22)-MONTH($F$8),0),$F$9)</f>
        <v>266</v>
      </c>
      <c r="BI32" s="9" t="n">
        <f aca="false">MIN(MAX((YEAR(BI22)-YEAR($F$8))*12+MONTH(BI22)-MONTH($F$8),0),$F$9)</f>
        <v>272</v>
      </c>
      <c r="BJ32" s="9" t="n">
        <f aca="false">MIN(MAX((YEAR(BJ22)-YEAR($F$8))*12+MONTH(BJ22)-MONTH($F$8),0),$F$9)</f>
        <v>278</v>
      </c>
      <c r="BK32" s="9" t="n">
        <f aca="false">MIN(MAX((YEAR(BK22)-YEAR($F$8))*12+MONTH(BK22)-MONTH($F$8),0),$F$9)</f>
        <v>284</v>
      </c>
      <c r="BL32" s="9" t="n">
        <f aca="false">MIN(MAX((YEAR(BL22)-YEAR($F$8))*12+MONTH(BL22)-MONTH($F$8),0),$F$9)</f>
        <v>290</v>
      </c>
      <c r="BM32" s="9" t="n">
        <f aca="false">MIN(MAX((YEAR(BM22)-YEAR($F$8))*12+MONTH(BM22)-MONTH($F$8),0),$F$9)</f>
        <v>296</v>
      </c>
      <c r="BN32" s="9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1474</v>
      </c>
      <c r="E33" s="0" t="s">
        <v>99</v>
      </c>
      <c r="J33" s="9" t="n">
        <f aca="false">J32+J30</f>
        <v>0</v>
      </c>
      <c r="K33" s="9" t="n">
        <f aca="false">K32+K30</f>
        <v>0</v>
      </c>
      <c r="L33" s="9" t="n">
        <f aca="false">L32+L30</f>
        <v>0</v>
      </c>
      <c r="M33" s="9" t="n">
        <f aca="false">M32+M30</f>
        <v>0</v>
      </c>
      <c r="N33" s="9" t="n">
        <f aca="false">N32+N30</f>
        <v>0</v>
      </c>
      <c r="O33" s="9" t="n">
        <f aca="false">O32+O30</f>
        <v>2</v>
      </c>
      <c r="P33" s="9" t="n">
        <f aca="false">P32+P30</f>
        <v>8</v>
      </c>
      <c r="Q33" s="9" t="n">
        <f aca="false">Q32+Q30</f>
        <v>14</v>
      </c>
      <c r="R33" s="9" t="n">
        <f aca="false">R32+R30</f>
        <v>20</v>
      </c>
      <c r="S33" s="9" t="n">
        <f aca="false">S32+S30</f>
        <v>26</v>
      </c>
      <c r="T33" s="9" t="n">
        <f aca="false">T32+T30</f>
        <v>32</v>
      </c>
      <c r="U33" s="9" t="n">
        <f aca="false">U32+U30</f>
        <v>38</v>
      </c>
      <c r="V33" s="9" t="n">
        <f aca="false">V32+V30</f>
        <v>44</v>
      </c>
      <c r="W33" s="9" t="n">
        <f aca="false">W32+W30</f>
        <v>50</v>
      </c>
      <c r="X33" s="9" t="n">
        <f aca="false">X32+X30</f>
        <v>56</v>
      </c>
      <c r="Y33" s="9" t="n">
        <f aca="false">Y32+Y30</f>
        <v>62</v>
      </c>
      <c r="Z33" s="9" t="n">
        <f aca="false">Z32+Z30</f>
        <v>68</v>
      </c>
      <c r="AA33" s="9" t="n">
        <f aca="false">AA32+AA30</f>
        <v>74</v>
      </c>
      <c r="AB33" s="9" t="n">
        <f aca="false">AB32+AB30</f>
        <v>80</v>
      </c>
      <c r="AC33" s="9" t="n">
        <f aca="false">AC32+AC30</f>
        <v>86</v>
      </c>
      <c r="AD33" s="9" t="n">
        <f aca="false">AD32+AD30</f>
        <v>92</v>
      </c>
      <c r="AE33" s="9" t="n">
        <f aca="false">AE32+AE30</f>
        <v>98</v>
      </c>
      <c r="AF33" s="9" t="n">
        <f aca="false">AF32+AF30</f>
        <v>104</v>
      </c>
      <c r="AG33" s="9" t="n">
        <f aca="false">AG32+AG30</f>
        <v>110</v>
      </c>
      <c r="AH33" s="9" t="n">
        <f aca="false">AH32+AH30</f>
        <v>116</v>
      </c>
      <c r="AI33" s="9" t="n">
        <f aca="false">AI32+AI30</f>
        <v>122</v>
      </c>
      <c r="AJ33" s="9" t="n">
        <f aca="false">AJ32+AJ30</f>
        <v>128</v>
      </c>
      <c r="AK33" s="9" t="n">
        <f aca="false">AK32+AK30</f>
        <v>134</v>
      </c>
      <c r="AL33" s="9" t="n">
        <f aca="false">AL32+AL30</f>
        <v>140</v>
      </c>
      <c r="AM33" s="9" t="n">
        <f aca="false">AM32+AM30</f>
        <v>146</v>
      </c>
      <c r="AN33" s="9" t="n">
        <f aca="false">AN32+AN30</f>
        <v>152</v>
      </c>
      <c r="AO33" s="9" t="n">
        <f aca="false">AO32+AO30</f>
        <v>158</v>
      </c>
      <c r="AP33" s="9" t="n">
        <f aca="false">AP32+AP30</f>
        <v>164</v>
      </c>
      <c r="AQ33" s="9" t="n">
        <f aca="false">AQ32+AQ30</f>
        <v>170</v>
      </c>
      <c r="AR33" s="9" t="n">
        <f aca="false">AR32+AR30</f>
        <v>176</v>
      </c>
      <c r="AS33" s="9" t="n">
        <f aca="false">AS32+AS30</f>
        <v>182</v>
      </c>
      <c r="AT33" s="9" t="n">
        <f aca="false">AT32+AT30</f>
        <v>188</v>
      </c>
      <c r="AU33" s="9" t="n">
        <f aca="false">AU32+AU30</f>
        <v>194</v>
      </c>
      <c r="AV33" s="9" t="n">
        <f aca="false">AV32+AV30</f>
        <v>200</v>
      </c>
      <c r="AW33" s="9" t="n">
        <f aca="false">AW32+AW30</f>
        <v>206</v>
      </c>
      <c r="AX33" s="9" t="n">
        <f aca="false">AX32+AX30</f>
        <v>212</v>
      </c>
      <c r="AY33" s="9" t="n">
        <f aca="false">AY32+AY30</f>
        <v>218</v>
      </c>
      <c r="AZ33" s="9" t="n">
        <f aca="false">AZ32+AZ30</f>
        <v>224</v>
      </c>
      <c r="BA33" s="9" t="n">
        <f aca="false">BA32+BA30</f>
        <v>230</v>
      </c>
      <c r="BB33" s="9" t="n">
        <f aca="false">BB32+BB30</f>
        <v>236</v>
      </c>
      <c r="BC33" s="9" t="n">
        <f aca="false">BC32+BC30</f>
        <v>242</v>
      </c>
      <c r="BD33" s="9" t="n">
        <f aca="false">BD32+BD30</f>
        <v>248</v>
      </c>
      <c r="BE33" s="9" t="n">
        <f aca="false">BE32+BE30</f>
        <v>254</v>
      </c>
      <c r="BF33" s="9" t="n">
        <f aca="false">BF32+BF30</f>
        <v>260</v>
      </c>
      <c r="BG33" s="9" t="n">
        <f aca="false">BG32+BG30</f>
        <v>266</v>
      </c>
      <c r="BH33" s="9" t="n">
        <f aca="false">BH32+BH30</f>
        <v>272</v>
      </c>
      <c r="BI33" s="9" t="n">
        <f aca="false">BI32+BI30</f>
        <v>278</v>
      </c>
      <c r="BJ33" s="9" t="n">
        <f aca="false">BJ32+BJ30</f>
        <v>284</v>
      </c>
      <c r="BK33" s="9" t="n">
        <f aca="false">BK32+BK30</f>
        <v>290</v>
      </c>
      <c r="BL33" s="9" t="n">
        <f aca="false">BL32+BL30</f>
        <v>296</v>
      </c>
      <c r="BM33" s="9" t="n">
        <f aca="false">BM32+BM30</f>
        <v>300</v>
      </c>
      <c r="BN33" s="9" t="n">
        <f aca="false">BN32+BN30</f>
        <v>300</v>
      </c>
    </row>
    <row r="34" customFormat="false" ht="15" hidden="false" customHeight="false" outlineLevel="0" collapsed="false">
      <c r="D34" s="0" t="s">
        <v>1475</v>
      </c>
      <c r="E34" s="0" t="s">
        <v>115</v>
      </c>
      <c r="J34" s="9" t="n">
        <f aca="false">IF(J20=$F$12,1,0)</f>
        <v>0</v>
      </c>
      <c r="K34" s="9" t="n">
        <f aca="false">IF(K20=$F$12,1,0)</f>
        <v>0</v>
      </c>
      <c r="L34" s="9" t="n">
        <f aca="false">IF(L20=$F$12,1,0)</f>
        <v>0</v>
      </c>
      <c r="M34" s="9" t="n">
        <f aca="false">IF(M20=$F$12,1,0)</f>
        <v>0</v>
      </c>
      <c r="N34" s="9" t="n">
        <f aca="false">IF(N20=$F$12,1,0)</f>
        <v>0</v>
      </c>
      <c r="O34" s="9" t="n">
        <f aca="false">IF(O20=$F$12,1,0)</f>
        <v>1</v>
      </c>
      <c r="P34" s="9" t="n">
        <f aca="false">IF(P20=$F$12,1,0)</f>
        <v>0</v>
      </c>
      <c r="Q34" s="9" t="n">
        <f aca="false">IF(Q20=$F$12,1,0)</f>
        <v>0</v>
      </c>
      <c r="R34" s="9" t="n">
        <f aca="false">IF(R20=$F$12,1,0)</f>
        <v>0</v>
      </c>
      <c r="S34" s="9" t="n">
        <f aca="false">IF(S20=$F$12,1,0)</f>
        <v>0</v>
      </c>
      <c r="T34" s="9" t="n">
        <f aca="false">IF(T20=$F$12,1,0)</f>
        <v>0</v>
      </c>
      <c r="U34" s="9" t="n">
        <f aca="false">IF(U20=$F$12,1,0)</f>
        <v>0</v>
      </c>
      <c r="V34" s="9" t="n">
        <f aca="false">IF(V20=$F$12,1,0)</f>
        <v>0</v>
      </c>
      <c r="W34" s="9" t="n">
        <f aca="false">IF(W20=$F$12,1,0)</f>
        <v>0</v>
      </c>
      <c r="X34" s="9" t="n">
        <f aca="false">IF(X20=$F$12,1,0)</f>
        <v>0</v>
      </c>
      <c r="Y34" s="9" t="n">
        <f aca="false">IF(Y20=$F$12,1,0)</f>
        <v>0</v>
      </c>
      <c r="Z34" s="9" t="n">
        <f aca="false">IF(Z20=$F$12,1,0)</f>
        <v>0</v>
      </c>
      <c r="AA34" s="9" t="n">
        <f aca="false">IF(AA20=$F$12,1,0)</f>
        <v>0</v>
      </c>
      <c r="AB34" s="9" t="n">
        <f aca="false">IF(AB20=$F$12,1,0)</f>
        <v>0</v>
      </c>
      <c r="AC34" s="9" t="n">
        <f aca="false">IF(AC20=$F$12,1,0)</f>
        <v>0</v>
      </c>
      <c r="AD34" s="9" t="n">
        <f aca="false">IF(AD20=$F$12,1,0)</f>
        <v>0</v>
      </c>
      <c r="AE34" s="9" t="n">
        <f aca="false">IF(AE20=$F$12,1,0)</f>
        <v>0</v>
      </c>
      <c r="AF34" s="9" t="n">
        <f aca="false">IF(AF20=$F$12,1,0)</f>
        <v>0</v>
      </c>
      <c r="AG34" s="9" t="n">
        <f aca="false">IF(AG20=$F$12,1,0)</f>
        <v>0</v>
      </c>
      <c r="AH34" s="9" t="n">
        <f aca="false">IF(AH20=$F$12,1,0)</f>
        <v>0</v>
      </c>
      <c r="AI34" s="9" t="n">
        <f aca="false">IF(AI20=$F$12,1,0)</f>
        <v>0</v>
      </c>
      <c r="AJ34" s="9" t="n">
        <f aca="false">IF(AJ20=$F$12,1,0)</f>
        <v>0</v>
      </c>
      <c r="AK34" s="9" t="n">
        <f aca="false">IF(AK20=$F$12,1,0)</f>
        <v>0</v>
      </c>
      <c r="AL34" s="9" t="n">
        <f aca="false">IF(AL20=$F$12,1,0)</f>
        <v>0</v>
      </c>
      <c r="AM34" s="9" t="n">
        <f aca="false">IF(AM20=$F$12,1,0)</f>
        <v>0</v>
      </c>
      <c r="AN34" s="9" t="n">
        <f aca="false">IF(AN20=$F$12,1,0)</f>
        <v>0</v>
      </c>
      <c r="AO34" s="9" t="n">
        <f aca="false">IF(AO20=$F$12,1,0)</f>
        <v>0</v>
      </c>
      <c r="AP34" s="9" t="n">
        <f aca="false">IF(AP20=$F$12,1,0)</f>
        <v>0</v>
      </c>
      <c r="AQ34" s="9" t="n">
        <f aca="false">IF(AQ20=$F$12,1,0)</f>
        <v>0</v>
      </c>
      <c r="AR34" s="9" t="n">
        <f aca="false">IF(AR20=$F$12,1,0)</f>
        <v>0</v>
      </c>
      <c r="AS34" s="9" t="n">
        <f aca="false">IF(AS20=$F$12,1,0)</f>
        <v>0</v>
      </c>
      <c r="AT34" s="9" t="n">
        <f aca="false">IF(AT20=$F$12,1,0)</f>
        <v>0</v>
      </c>
      <c r="AU34" s="9" t="n">
        <f aca="false">IF(AU20=$F$12,1,0)</f>
        <v>0</v>
      </c>
      <c r="AV34" s="9" t="n">
        <f aca="false">IF(AV20=$F$12,1,0)</f>
        <v>0</v>
      </c>
      <c r="AW34" s="9" t="n">
        <f aca="false">IF(AW20=$F$12,1,0)</f>
        <v>0</v>
      </c>
      <c r="AX34" s="9" t="n">
        <f aca="false">IF(AX20=$F$12,1,0)</f>
        <v>0</v>
      </c>
      <c r="AY34" s="9" t="n">
        <f aca="false">IF(AY20=$F$12,1,0)</f>
        <v>0</v>
      </c>
      <c r="AZ34" s="9" t="n">
        <f aca="false">IF(AZ20=$F$12,1,0)</f>
        <v>0</v>
      </c>
      <c r="BA34" s="9" t="n">
        <f aca="false">IF(BA20=$F$12,1,0)</f>
        <v>0</v>
      </c>
      <c r="BB34" s="9" t="n">
        <f aca="false">IF(BB20=$F$12,1,0)</f>
        <v>0</v>
      </c>
      <c r="BC34" s="9" t="n">
        <f aca="false">IF(BC20=$F$12,1,0)</f>
        <v>0</v>
      </c>
      <c r="BD34" s="9" t="n">
        <f aca="false">IF(BD20=$F$12,1,0)</f>
        <v>0</v>
      </c>
      <c r="BE34" s="9" t="n">
        <f aca="false">IF(BE20=$F$12,1,0)</f>
        <v>0</v>
      </c>
      <c r="BF34" s="9" t="n">
        <f aca="false">IF(BF20=$F$12,1,0)</f>
        <v>0</v>
      </c>
      <c r="BG34" s="9" t="n">
        <f aca="false">IF(BG20=$F$12,1,0)</f>
        <v>0</v>
      </c>
      <c r="BH34" s="9" t="n">
        <f aca="false">IF(BH20=$F$12,1,0)</f>
        <v>0</v>
      </c>
      <c r="BI34" s="9" t="n">
        <f aca="false">IF(BI20=$F$12,1,0)</f>
        <v>0</v>
      </c>
      <c r="BJ34" s="9" t="n">
        <f aca="false">IF(BJ20=$F$12,1,0)</f>
        <v>0</v>
      </c>
      <c r="BK34" s="9" t="n">
        <f aca="false">IF(BK20=$F$12,1,0)</f>
        <v>0</v>
      </c>
      <c r="BL34" s="9" t="n">
        <f aca="false">IF(BL20=$F$12,1,0)</f>
        <v>0</v>
      </c>
      <c r="BM34" s="9" t="n">
        <f aca="false">IF(BM20=$F$12,1,0)</f>
        <v>0</v>
      </c>
      <c r="BN34" s="9" t="n">
        <f aca="false">IF(BN20=$F$12,1,0)</f>
        <v>0</v>
      </c>
    </row>
    <row r="35" customFormat="false" ht="15" hidden="false" customHeight="false" outlineLevel="0" collapsed="false">
      <c r="D35" s="0" t="s">
        <v>1476</v>
      </c>
      <c r="E35" s="0" t="s">
        <v>115</v>
      </c>
      <c r="J35" s="9" t="n">
        <f aca="false">IF(J20&gt;$F$12,1,0)</f>
        <v>0</v>
      </c>
      <c r="K35" s="9" t="n">
        <f aca="false">IF(K20&gt;$F$12,1,0)</f>
        <v>0</v>
      </c>
      <c r="L35" s="9" t="n">
        <f aca="false">IF(L20&gt;$F$12,1,0)</f>
        <v>0</v>
      </c>
      <c r="M35" s="9" t="n">
        <f aca="false">IF(M20&gt;$F$12,1,0)</f>
        <v>0</v>
      </c>
      <c r="N35" s="9" t="n">
        <f aca="false">IF(N20&gt;$F$12,1,0)</f>
        <v>0</v>
      </c>
      <c r="O35" s="9" t="n">
        <f aca="false">IF(O20&gt;$F$12,1,0)</f>
        <v>0</v>
      </c>
      <c r="P35" s="9" t="n">
        <f aca="false">IF(P20&gt;$F$12,1,0)</f>
        <v>1</v>
      </c>
      <c r="Q35" s="9" t="n">
        <f aca="false">IF(Q20&gt;$F$12,1,0)</f>
        <v>1</v>
      </c>
      <c r="R35" s="9" t="n">
        <f aca="false">IF(R20&gt;$F$12,1,0)</f>
        <v>1</v>
      </c>
      <c r="S35" s="9" t="n">
        <f aca="false">IF(S20&gt;$F$12,1,0)</f>
        <v>1</v>
      </c>
      <c r="T35" s="9" t="n">
        <f aca="false">IF(T20&gt;$F$12,1,0)</f>
        <v>1</v>
      </c>
      <c r="U35" s="9" t="n">
        <f aca="false">IF(U20&gt;$F$12,1,0)</f>
        <v>1</v>
      </c>
      <c r="V35" s="9" t="n">
        <f aca="false">IF(V20&gt;$F$12,1,0)</f>
        <v>1</v>
      </c>
      <c r="W35" s="9" t="n">
        <f aca="false">IF(W20&gt;$F$12,1,0)</f>
        <v>1</v>
      </c>
      <c r="X35" s="9" t="n">
        <f aca="false">IF(X20&gt;$F$12,1,0)</f>
        <v>1</v>
      </c>
      <c r="Y35" s="9" t="n">
        <f aca="false">IF(Y20&gt;$F$12,1,0)</f>
        <v>1</v>
      </c>
      <c r="Z35" s="9" t="n">
        <f aca="false">IF(Z20&gt;$F$12,1,0)</f>
        <v>1</v>
      </c>
      <c r="AA35" s="9" t="n">
        <f aca="false">IF(AA20&gt;$F$12,1,0)</f>
        <v>1</v>
      </c>
      <c r="AB35" s="9" t="n">
        <f aca="false">IF(AB20&gt;$F$12,1,0)</f>
        <v>1</v>
      </c>
      <c r="AC35" s="9" t="n">
        <f aca="false">IF(AC20&gt;$F$12,1,0)</f>
        <v>1</v>
      </c>
      <c r="AD35" s="9" t="n">
        <f aca="false">IF(AD20&gt;$F$12,1,0)</f>
        <v>1</v>
      </c>
      <c r="AE35" s="9" t="n">
        <f aca="false">IF(AE20&gt;$F$12,1,0)</f>
        <v>1</v>
      </c>
      <c r="AF35" s="9" t="n">
        <f aca="false">IF(AF20&gt;$F$12,1,0)</f>
        <v>1</v>
      </c>
      <c r="AG35" s="9" t="n">
        <f aca="false">IF(AG20&gt;$F$12,1,0)</f>
        <v>1</v>
      </c>
      <c r="AH35" s="9" t="n">
        <f aca="false">IF(AH20&gt;$F$12,1,0)</f>
        <v>1</v>
      </c>
      <c r="AI35" s="9" t="n">
        <f aca="false">IF(AI20&gt;$F$12,1,0)</f>
        <v>1</v>
      </c>
      <c r="AJ35" s="9" t="n">
        <f aca="false">IF(AJ20&gt;$F$12,1,0)</f>
        <v>1</v>
      </c>
      <c r="AK35" s="9" t="n">
        <f aca="false">IF(AK20&gt;$F$12,1,0)</f>
        <v>1</v>
      </c>
      <c r="AL35" s="9" t="n">
        <f aca="false">IF(AL20&gt;$F$12,1,0)</f>
        <v>1</v>
      </c>
      <c r="AM35" s="9" t="n">
        <f aca="false">IF(AM20&gt;$F$12,1,0)</f>
        <v>1</v>
      </c>
      <c r="AN35" s="9" t="n">
        <f aca="false">IF(AN20&gt;$F$12,1,0)</f>
        <v>1</v>
      </c>
      <c r="AO35" s="9" t="n">
        <f aca="false">IF(AO20&gt;$F$12,1,0)</f>
        <v>1</v>
      </c>
      <c r="AP35" s="9" t="n">
        <f aca="false">IF(AP20&gt;$F$12,1,0)</f>
        <v>1</v>
      </c>
      <c r="AQ35" s="9" t="n">
        <f aca="false">IF(AQ20&gt;$F$12,1,0)</f>
        <v>1</v>
      </c>
      <c r="AR35" s="9" t="n">
        <f aca="false">IF(AR20&gt;$F$12,1,0)</f>
        <v>1</v>
      </c>
      <c r="AS35" s="9" t="n">
        <f aca="false">IF(AS20&gt;$F$12,1,0)</f>
        <v>1</v>
      </c>
      <c r="AT35" s="9" t="n">
        <f aca="false">IF(AT20&gt;$F$12,1,0)</f>
        <v>1</v>
      </c>
      <c r="AU35" s="9" t="n">
        <f aca="false">IF(AU20&gt;$F$12,1,0)</f>
        <v>1</v>
      </c>
      <c r="AV35" s="9" t="n">
        <f aca="false">IF(AV20&gt;$F$12,1,0)</f>
        <v>1</v>
      </c>
      <c r="AW35" s="9" t="n">
        <f aca="false">IF(AW20&gt;$F$12,1,0)</f>
        <v>1</v>
      </c>
      <c r="AX35" s="9" t="n">
        <f aca="false">IF(AX20&gt;$F$12,1,0)</f>
        <v>1</v>
      </c>
      <c r="AY35" s="9" t="n">
        <f aca="false">IF(AY20&gt;$F$12,1,0)</f>
        <v>1</v>
      </c>
      <c r="AZ35" s="9" t="n">
        <f aca="false">IF(AZ20&gt;$F$12,1,0)</f>
        <v>1</v>
      </c>
      <c r="BA35" s="9" t="n">
        <f aca="false">IF(BA20&gt;$F$12,1,0)</f>
        <v>1</v>
      </c>
      <c r="BB35" s="9" t="n">
        <f aca="false">IF(BB20&gt;$F$12,1,0)</f>
        <v>1</v>
      </c>
      <c r="BC35" s="9" t="n">
        <f aca="false">IF(BC20&gt;$F$12,1,0)</f>
        <v>1</v>
      </c>
      <c r="BD35" s="9" t="n">
        <f aca="false">IF(BD20&gt;$F$12,1,0)</f>
        <v>1</v>
      </c>
      <c r="BE35" s="9" t="n">
        <f aca="false">IF(BE20&gt;$F$12,1,0)</f>
        <v>1</v>
      </c>
      <c r="BF35" s="9" t="n">
        <f aca="false">IF(BF20&gt;$F$12,1,0)</f>
        <v>1</v>
      </c>
      <c r="BG35" s="9" t="n">
        <f aca="false">IF(BG20&gt;$F$12,1,0)</f>
        <v>1</v>
      </c>
      <c r="BH35" s="9" t="n">
        <f aca="false">IF(BH20&gt;$F$12,1,0)</f>
        <v>1</v>
      </c>
      <c r="BI35" s="9" t="n">
        <f aca="false">IF(BI20&gt;$F$12,1,0)</f>
        <v>1</v>
      </c>
      <c r="BJ35" s="9" t="n">
        <f aca="false">IF(BJ20&gt;$F$12,1,0)</f>
        <v>1</v>
      </c>
      <c r="BK35" s="9" t="n">
        <f aca="false">IF(BK20&gt;$F$12,1,0)</f>
        <v>1</v>
      </c>
      <c r="BL35" s="9" t="n">
        <f aca="false">IF(BL20&gt;$F$12,1,0)</f>
        <v>1</v>
      </c>
      <c r="BM35" s="9" t="n">
        <f aca="false">IF(BM20&gt;$F$12,1,0)</f>
        <v>1</v>
      </c>
      <c r="BN35" s="9" t="n">
        <f aca="false">IF(BN20&gt;$F$12,1,0)</f>
        <v>1</v>
      </c>
    </row>
    <row r="36" customFormat="false" ht="15" hidden="false" customHeight="false" outlineLevel="0" collapsed="false">
      <c r="D36" s="0" t="s">
        <v>1477</v>
      </c>
      <c r="E36" s="0" t="s">
        <v>115</v>
      </c>
      <c r="J36" s="9" t="n">
        <f aca="false">IF(J30&gt;0,1,0)</f>
        <v>0</v>
      </c>
      <c r="K36" s="9" t="n">
        <f aca="false">IF(K30&gt;0,1,0)</f>
        <v>0</v>
      </c>
      <c r="L36" s="9" t="n">
        <f aca="false">IF(L30&gt;0,1,0)</f>
        <v>0</v>
      </c>
      <c r="M36" s="9" t="n">
        <f aca="false">IF(M30&gt;0,1,0)</f>
        <v>0</v>
      </c>
      <c r="N36" s="9" t="n">
        <f aca="false">IF(N30&gt;0,1,0)</f>
        <v>0</v>
      </c>
      <c r="O36" s="9" t="n">
        <f aca="false">IF(O30&gt;0,1,0)</f>
        <v>1</v>
      </c>
      <c r="P36" s="9" t="n">
        <f aca="false">IF(P30&gt;0,1,0)</f>
        <v>1</v>
      </c>
      <c r="Q36" s="9" t="n">
        <f aca="false">IF(Q30&gt;0,1,0)</f>
        <v>1</v>
      </c>
      <c r="R36" s="9" t="n">
        <f aca="false">IF(R30&gt;0,1,0)</f>
        <v>1</v>
      </c>
      <c r="S36" s="9" t="n">
        <f aca="false">IF(S30&gt;0,1,0)</f>
        <v>1</v>
      </c>
      <c r="T36" s="9" t="n">
        <f aca="false">IF(T30&gt;0,1,0)</f>
        <v>1</v>
      </c>
      <c r="U36" s="9" t="n">
        <f aca="false">IF(U30&gt;0,1,0)</f>
        <v>1</v>
      </c>
      <c r="V36" s="9" t="n">
        <f aca="false">IF(V30&gt;0,1,0)</f>
        <v>1</v>
      </c>
      <c r="W36" s="9" t="n">
        <f aca="false">IF(W30&gt;0,1,0)</f>
        <v>1</v>
      </c>
      <c r="X36" s="9" t="n">
        <f aca="false">IF(X30&gt;0,1,0)</f>
        <v>1</v>
      </c>
      <c r="Y36" s="9" t="n">
        <f aca="false">IF(Y30&gt;0,1,0)</f>
        <v>1</v>
      </c>
      <c r="Z36" s="9" t="n">
        <f aca="false">IF(Z30&gt;0,1,0)</f>
        <v>1</v>
      </c>
      <c r="AA36" s="9" t="n">
        <f aca="false">IF(AA30&gt;0,1,0)</f>
        <v>1</v>
      </c>
      <c r="AB36" s="9" t="n">
        <f aca="false">IF(AB30&gt;0,1,0)</f>
        <v>1</v>
      </c>
      <c r="AC36" s="9" t="n">
        <f aca="false">IF(AC30&gt;0,1,0)</f>
        <v>1</v>
      </c>
      <c r="AD36" s="9" t="n">
        <f aca="false">IF(AD30&gt;0,1,0)</f>
        <v>1</v>
      </c>
      <c r="AE36" s="9" t="n">
        <f aca="false">IF(AE30&gt;0,1,0)</f>
        <v>1</v>
      </c>
      <c r="AF36" s="9" t="n">
        <f aca="false">IF(AF30&gt;0,1,0)</f>
        <v>1</v>
      </c>
      <c r="AG36" s="9" t="n">
        <f aca="false">IF(AG30&gt;0,1,0)</f>
        <v>1</v>
      </c>
      <c r="AH36" s="9" t="n">
        <f aca="false">IF(AH30&gt;0,1,0)</f>
        <v>1</v>
      </c>
      <c r="AI36" s="9" t="n">
        <f aca="false">IF(AI30&gt;0,1,0)</f>
        <v>1</v>
      </c>
      <c r="AJ36" s="9" t="n">
        <f aca="false">IF(AJ30&gt;0,1,0)</f>
        <v>1</v>
      </c>
      <c r="AK36" s="9" t="n">
        <f aca="false">IF(AK30&gt;0,1,0)</f>
        <v>1</v>
      </c>
      <c r="AL36" s="9" t="n">
        <f aca="false">IF(AL30&gt;0,1,0)</f>
        <v>1</v>
      </c>
      <c r="AM36" s="9" t="n">
        <f aca="false">IF(AM30&gt;0,1,0)</f>
        <v>1</v>
      </c>
      <c r="AN36" s="9" t="n">
        <f aca="false">IF(AN30&gt;0,1,0)</f>
        <v>1</v>
      </c>
      <c r="AO36" s="9" t="n">
        <f aca="false">IF(AO30&gt;0,1,0)</f>
        <v>1</v>
      </c>
      <c r="AP36" s="9" t="n">
        <f aca="false">IF(AP30&gt;0,1,0)</f>
        <v>1</v>
      </c>
      <c r="AQ36" s="9" t="n">
        <f aca="false">IF(AQ30&gt;0,1,0)</f>
        <v>1</v>
      </c>
      <c r="AR36" s="9" t="n">
        <f aca="false">IF(AR30&gt;0,1,0)</f>
        <v>1</v>
      </c>
      <c r="AS36" s="9" t="n">
        <f aca="false">IF(AS30&gt;0,1,0)</f>
        <v>1</v>
      </c>
      <c r="AT36" s="9" t="n">
        <f aca="false">IF(AT30&gt;0,1,0)</f>
        <v>1</v>
      </c>
      <c r="AU36" s="9" t="n">
        <f aca="false">IF(AU30&gt;0,1,0)</f>
        <v>1</v>
      </c>
      <c r="AV36" s="9" t="n">
        <f aca="false">IF(AV30&gt;0,1,0)</f>
        <v>1</v>
      </c>
      <c r="AW36" s="9" t="n">
        <f aca="false">IF(AW30&gt;0,1,0)</f>
        <v>1</v>
      </c>
      <c r="AX36" s="9" t="n">
        <f aca="false">IF(AX30&gt;0,1,0)</f>
        <v>1</v>
      </c>
      <c r="AY36" s="9" t="n">
        <f aca="false">IF(AY30&gt;0,1,0)</f>
        <v>1</v>
      </c>
      <c r="AZ36" s="9" t="n">
        <f aca="false">IF(AZ30&gt;0,1,0)</f>
        <v>1</v>
      </c>
      <c r="BA36" s="9" t="n">
        <f aca="false">IF(BA30&gt;0,1,0)</f>
        <v>1</v>
      </c>
      <c r="BB36" s="9" t="n">
        <f aca="false">IF(BB30&gt;0,1,0)</f>
        <v>1</v>
      </c>
      <c r="BC36" s="9" t="n">
        <f aca="false">IF(BC30&gt;0,1,0)</f>
        <v>1</v>
      </c>
      <c r="BD36" s="9" t="n">
        <f aca="false">IF(BD30&gt;0,1,0)</f>
        <v>1</v>
      </c>
      <c r="BE36" s="9" t="n">
        <f aca="false">IF(BE30&gt;0,1,0)</f>
        <v>1</v>
      </c>
      <c r="BF36" s="9" t="n">
        <f aca="false">IF(BF30&gt;0,1,0)</f>
        <v>1</v>
      </c>
      <c r="BG36" s="9" t="n">
        <f aca="false">IF(BG30&gt;0,1,0)</f>
        <v>1</v>
      </c>
      <c r="BH36" s="9" t="n">
        <f aca="false">IF(BH30&gt;0,1,0)</f>
        <v>1</v>
      </c>
      <c r="BI36" s="9" t="n">
        <f aca="false">IF(BI30&gt;0,1,0)</f>
        <v>1</v>
      </c>
      <c r="BJ36" s="9" t="n">
        <f aca="false">IF(BJ30&gt;0,1,0)</f>
        <v>1</v>
      </c>
      <c r="BK36" s="9" t="n">
        <f aca="false">IF(BK30&gt;0,1,0)</f>
        <v>1</v>
      </c>
      <c r="BL36" s="9" t="n">
        <f aca="false">IF(BL30&gt;0,1,0)</f>
        <v>1</v>
      </c>
      <c r="BM36" s="9" t="n">
        <f aca="false">IF(BM30&gt;0,1,0)</f>
        <v>1</v>
      </c>
      <c r="BN36" s="9" t="n">
        <f aca="false">IF(BN30&gt;0,1,0)</f>
        <v>0</v>
      </c>
    </row>
    <row r="37" customFormat="false" ht="15" hidden="false" customHeight="false" outlineLevel="0" collapsed="false">
      <c r="D37" s="0" t="s">
        <v>1478</v>
      </c>
      <c r="E37" s="0" t="s">
        <v>115</v>
      </c>
      <c r="J37" s="9" t="n">
        <f aca="false">IF(AND(J30&gt;0,K30=0),1,0)</f>
        <v>0</v>
      </c>
      <c r="K37" s="9" t="n">
        <f aca="false">IF(AND(K30&gt;0,L30=0),1,0)</f>
        <v>0</v>
      </c>
      <c r="L37" s="9" t="n">
        <f aca="false">IF(AND(L30&gt;0,M30=0),1,0)</f>
        <v>0</v>
      </c>
      <c r="M37" s="9" t="n">
        <f aca="false">IF(AND(M30&gt;0,N30=0),1,0)</f>
        <v>0</v>
      </c>
      <c r="N37" s="9" t="n">
        <f aca="false">IF(AND(N30&gt;0,O30=0),1,0)</f>
        <v>0</v>
      </c>
      <c r="O37" s="9" t="n">
        <f aca="false">IF(AND(O30&gt;0,P30=0),1,0)</f>
        <v>0</v>
      </c>
      <c r="P37" s="9" t="n">
        <f aca="false">IF(AND(P30&gt;0,Q30=0),1,0)</f>
        <v>0</v>
      </c>
      <c r="Q37" s="9" t="n">
        <f aca="false">IF(AND(Q30&gt;0,R30=0),1,0)</f>
        <v>0</v>
      </c>
      <c r="R37" s="9" t="n">
        <f aca="false">IF(AND(R30&gt;0,S30=0),1,0)</f>
        <v>0</v>
      </c>
      <c r="S37" s="9" t="n">
        <f aca="false">IF(AND(S30&gt;0,T30=0),1,0)</f>
        <v>0</v>
      </c>
      <c r="T37" s="9" t="n">
        <f aca="false">IF(AND(T30&gt;0,U30=0),1,0)</f>
        <v>0</v>
      </c>
      <c r="U37" s="9" t="n">
        <f aca="false">IF(AND(U30&gt;0,V30=0),1,0)</f>
        <v>0</v>
      </c>
      <c r="V37" s="9" t="n">
        <f aca="false">IF(AND(V30&gt;0,W30=0),1,0)</f>
        <v>0</v>
      </c>
      <c r="W37" s="9" t="n">
        <f aca="false">IF(AND(W30&gt;0,X30=0),1,0)</f>
        <v>0</v>
      </c>
      <c r="X37" s="9" t="n">
        <f aca="false">IF(AND(X30&gt;0,Y30=0),1,0)</f>
        <v>0</v>
      </c>
      <c r="Y37" s="9" t="n">
        <f aca="false">IF(AND(Y30&gt;0,Z30=0),1,0)</f>
        <v>0</v>
      </c>
      <c r="Z37" s="9" t="n">
        <f aca="false">IF(AND(Z30&gt;0,AA30=0),1,0)</f>
        <v>0</v>
      </c>
      <c r="AA37" s="9" t="n">
        <f aca="false">IF(AND(AA30&gt;0,AB30=0),1,0)</f>
        <v>0</v>
      </c>
      <c r="AB37" s="9" t="n">
        <f aca="false">IF(AND(AB30&gt;0,AC30=0),1,0)</f>
        <v>0</v>
      </c>
      <c r="AC37" s="9" t="n">
        <f aca="false">IF(AND(AC30&gt;0,AD30=0),1,0)</f>
        <v>0</v>
      </c>
      <c r="AD37" s="9" t="n">
        <f aca="false">IF(AND(AD30&gt;0,AE30=0),1,0)</f>
        <v>0</v>
      </c>
      <c r="AE37" s="9" t="n">
        <f aca="false">IF(AND(AE30&gt;0,AF30=0),1,0)</f>
        <v>0</v>
      </c>
      <c r="AF37" s="9" t="n">
        <f aca="false">IF(AND(AF30&gt;0,AG30=0),1,0)</f>
        <v>0</v>
      </c>
      <c r="AG37" s="9" t="n">
        <f aca="false">IF(AND(AG30&gt;0,AH30=0),1,0)</f>
        <v>0</v>
      </c>
      <c r="AH37" s="9" t="n">
        <f aca="false">IF(AND(AH30&gt;0,AI30=0),1,0)</f>
        <v>0</v>
      </c>
      <c r="AI37" s="9" t="n">
        <f aca="false">IF(AND(AI30&gt;0,AJ30=0),1,0)</f>
        <v>0</v>
      </c>
      <c r="AJ37" s="9" t="n">
        <f aca="false">IF(AND(AJ30&gt;0,AK30=0),1,0)</f>
        <v>0</v>
      </c>
      <c r="AK37" s="9" t="n">
        <f aca="false">IF(AND(AK30&gt;0,AL30=0),1,0)</f>
        <v>0</v>
      </c>
      <c r="AL37" s="9" t="n">
        <f aca="false">IF(AND(AL30&gt;0,AM30=0),1,0)</f>
        <v>0</v>
      </c>
      <c r="AM37" s="9" t="n">
        <f aca="false">IF(AND(AM30&gt;0,AN30=0),1,0)</f>
        <v>0</v>
      </c>
      <c r="AN37" s="9" t="n">
        <f aca="false">IF(AND(AN30&gt;0,AO30=0),1,0)</f>
        <v>0</v>
      </c>
      <c r="AO37" s="9" t="n">
        <f aca="false">IF(AND(AO30&gt;0,AP30=0),1,0)</f>
        <v>0</v>
      </c>
      <c r="AP37" s="9" t="n">
        <f aca="false">IF(AND(AP30&gt;0,AQ30=0),1,0)</f>
        <v>0</v>
      </c>
      <c r="AQ37" s="9" t="n">
        <f aca="false">IF(AND(AQ30&gt;0,AR30=0),1,0)</f>
        <v>0</v>
      </c>
      <c r="AR37" s="9" t="n">
        <f aca="false">IF(AND(AR30&gt;0,AS30=0),1,0)</f>
        <v>0</v>
      </c>
      <c r="AS37" s="9" t="n">
        <f aca="false">IF(AND(AS30&gt;0,AT30=0),1,0)</f>
        <v>0</v>
      </c>
      <c r="AT37" s="9" t="n">
        <f aca="false">IF(AND(AT30&gt;0,AU30=0),1,0)</f>
        <v>0</v>
      </c>
      <c r="AU37" s="9" t="n">
        <f aca="false">IF(AND(AU30&gt;0,AV30=0),1,0)</f>
        <v>0</v>
      </c>
      <c r="AV37" s="9" t="n">
        <f aca="false">IF(AND(AV30&gt;0,AW30=0),1,0)</f>
        <v>0</v>
      </c>
      <c r="AW37" s="9" t="n">
        <f aca="false">IF(AND(AW30&gt;0,AX30=0),1,0)</f>
        <v>0</v>
      </c>
      <c r="AX37" s="9" t="n">
        <f aca="false">IF(AND(AX30&gt;0,AY30=0),1,0)</f>
        <v>0</v>
      </c>
      <c r="AY37" s="9" t="n">
        <f aca="false">IF(AND(AY30&gt;0,AZ30=0),1,0)</f>
        <v>0</v>
      </c>
      <c r="AZ37" s="9" t="n">
        <f aca="false">IF(AND(AZ30&gt;0,BA30=0),1,0)</f>
        <v>0</v>
      </c>
      <c r="BA37" s="9" t="n">
        <f aca="false">IF(AND(BA30&gt;0,BB30=0),1,0)</f>
        <v>0</v>
      </c>
      <c r="BB37" s="9" t="n">
        <f aca="false">IF(AND(BB30&gt;0,BC30=0),1,0)</f>
        <v>0</v>
      </c>
      <c r="BC37" s="9" t="n">
        <f aca="false">IF(AND(BC30&gt;0,BD30=0),1,0)</f>
        <v>0</v>
      </c>
      <c r="BD37" s="9" t="n">
        <f aca="false">IF(AND(BD30&gt;0,BE30=0),1,0)</f>
        <v>0</v>
      </c>
      <c r="BE37" s="9" t="n">
        <f aca="false">IF(AND(BE30&gt;0,BF30=0),1,0)</f>
        <v>0</v>
      </c>
      <c r="BF37" s="9" t="n">
        <f aca="false">IF(AND(BF30&gt;0,BG30=0),1,0)</f>
        <v>0</v>
      </c>
      <c r="BG37" s="9" t="n">
        <f aca="false">IF(AND(BG30&gt;0,BH30=0),1,0)</f>
        <v>0</v>
      </c>
      <c r="BH37" s="9" t="n">
        <f aca="false">IF(AND(BH30&gt;0,BI30=0),1,0)</f>
        <v>0</v>
      </c>
      <c r="BI37" s="9" t="n">
        <f aca="false">IF(AND(BI30&gt;0,BJ30=0),1,0)</f>
        <v>0</v>
      </c>
      <c r="BJ37" s="9" t="n">
        <f aca="false">IF(AND(BJ30&gt;0,BK30=0),1,0)</f>
        <v>0</v>
      </c>
      <c r="BK37" s="9" t="n">
        <f aca="false">IF(AND(BK30&gt;0,BL30=0),1,0)</f>
        <v>0</v>
      </c>
      <c r="BL37" s="9" t="n">
        <f aca="false">IF(AND(BL30&gt;0,BM30=0),1,0)</f>
        <v>0</v>
      </c>
      <c r="BM37" s="9" t="n">
        <f aca="false">IF(AND(BM30&gt;0,BN30=0),1,0)</f>
        <v>1</v>
      </c>
      <c r="BN37" s="9" t="n">
        <f aca="false">IF(AND(BN30&gt;0,BO30=0),1,0)</f>
        <v>0</v>
      </c>
    </row>
    <row r="38" customFormat="false" ht="15" hidden="false" customHeight="false" outlineLevel="0" collapsed="false">
      <c r="D38" s="0" t="s">
        <v>1479</v>
      </c>
      <c r="E38" s="0" t="s">
        <v>115</v>
      </c>
      <c r="J38" s="9" t="n">
        <f aca="false">IF(AND(J22&gt;=Inputs!$F$193,J22&lt;EDATE(Inputs!$F$193,Inputs!$F$211)),1,0)</f>
        <v>0</v>
      </c>
      <c r="K38" s="9" t="n">
        <f aca="false">IF(AND(K22&gt;=Inputs!$F$193,K22&lt;EDATE(Inputs!$F$193,Inputs!$F$211)),1,0)</f>
        <v>0</v>
      </c>
      <c r="L38" s="9" t="n">
        <f aca="false">IF(AND(L22&gt;=Inputs!$F$193,L22&lt;EDATE(Inputs!$F$193,Inputs!$F$211)),1,0)</f>
        <v>0</v>
      </c>
      <c r="M38" s="9" t="n">
        <f aca="false">IF(AND(M22&gt;=Inputs!$F$193,M22&lt;EDATE(Inputs!$F$193,Inputs!$F$211)),1,0)</f>
        <v>0</v>
      </c>
      <c r="N38" s="9" t="n">
        <f aca="false">IF(AND(N22&gt;=Inputs!$F$193,N22&lt;EDATE(Inputs!$F$193,Inputs!$F$211)),1,0)</f>
        <v>0</v>
      </c>
      <c r="O38" s="9" t="n">
        <f aca="false">IF(AND(O22&gt;=Inputs!$F$193,O22&lt;EDATE(Inputs!$F$193,Inputs!$F$211)),1,0)</f>
        <v>0</v>
      </c>
      <c r="P38" s="9" t="n">
        <f aca="false">IF(AND(P22&gt;=Inputs!$F$193,P22&lt;EDATE(Inputs!$F$193,Inputs!$F$211)),1,0)</f>
        <v>0</v>
      </c>
      <c r="Q38" s="9" t="n">
        <f aca="false">IF(AND(Q22&gt;=Inputs!$F$193,Q22&lt;EDATE(Inputs!$F$193,Inputs!$F$211)),1,0)</f>
        <v>1</v>
      </c>
      <c r="R38" s="9" t="n">
        <f aca="false">IF(AND(R22&gt;=Inputs!$F$193,R22&lt;EDATE(Inputs!$F$193,Inputs!$F$211)),1,0)</f>
        <v>1</v>
      </c>
      <c r="S38" s="9" t="n">
        <f aca="false">IF(AND(S22&gt;=Inputs!$F$193,S22&lt;EDATE(Inputs!$F$193,Inputs!$F$211)),1,0)</f>
        <v>0</v>
      </c>
      <c r="T38" s="9" t="n">
        <f aca="false">IF(AND(T22&gt;=Inputs!$F$193,T22&lt;EDATE(Inputs!$F$193,Inputs!$F$211)),1,0)</f>
        <v>0</v>
      </c>
      <c r="U38" s="9" t="n">
        <f aca="false">IF(AND(U22&gt;=Inputs!$F$193,U22&lt;EDATE(Inputs!$F$193,Inputs!$F$211)),1,0)</f>
        <v>0</v>
      </c>
      <c r="V38" s="9" t="n">
        <f aca="false">IF(AND(V22&gt;=Inputs!$F$193,V22&lt;EDATE(Inputs!$F$193,Inputs!$F$211)),1,0)</f>
        <v>0</v>
      </c>
      <c r="W38" s="9" t="n">
        <f aca="false">IF(AND(W22&gt;=Inputs!$F$193,W22&lt;EDATE(Inputs!$F$193,Inputs!$F$211)),1,0)</f>
        <v>0</v>
      </c>
      <c r="X38" s="9" t="n">
        <f aca="false">IF(AND(X22&gt;=Inputs!$F$193,X22&lt;EDATE(Inputs!$F$193,Inputs!$F$211)),1,0)</f>
        <v>0</v>
      </c>
      <c r="Y38" s="9" t="n">
        <f aca="false">IF(AND(Y22&gt;=Inputs!$F$193,Y22&lt;EDATE(Inputs!$F$193,Inputs!$F$211)),1,0)</f>
        <v>0</v>
      </c>
      <c r="Z38" s="9" t="n">
        <f aca="false">IF(AND(Z22&gt;=Inputs!$F$193,Z22&lt;EDATE(Inputs!$F$193,Inputs!$F$211)),1,0)</f>
        <v>0</v>
      </c>
      <c r="AA38" s="9" t="n">
        <f aca="false">IF(AND(AA22&gt;=Inputs!$F$193,AA22&lt;EDATE(Inputs!$F$193,Inputs!$F$211)),1,0)</f>
        <v>0</v>
      </c>
      <c r="AB38" s="9" t="n">
        <f aca="false">IF(AND(AB22&gt;=Inputs!$F$193,AB22&lt;EDATE(Inputs!$F$193,Inputs!$F$211)),1,0)</f>
        <v>0</v>
      </c>
      <c r="AC38" s="9" t="n">
        <f aca="false">IF(AND(AC22&gt;=Inputs!$F$193,AC22&lt;EDATE(Inputs!$F$193,Inputs!$F$211)),1,0)</f>
        <v>0</v>
      </c>
      <c r="AD38" s="9" t="n">
        <f aca="false">IF(AND(AD22&gt;=Inputs!$F$193,AD22&lt;EDATE(Inputs!$F$193,Inputs!$F$211)),1,0)</f>
        <v>0</v>
      </c>
      <c r="AE38" s="9" t="n">
        <f aca="false">IF(AND(AE22&gt;=Inputs!$F$193,AE22&lt;EDATE(Inputs!$F$193,Inputs!$F$211)),1,0)</f>
        <v>0</v>
      </c>
      <c r="AF38" s="9" t="n">
        <f aca="false">IF(AND(AF22&gt;=Inputs!$F$193,AF22&lt;EDATE(Inputs!$F$193,Inputs!$F$211)),1,0)</f>
        <v>0</v>
      </c>
      <c r="AG38" s="9" t="n">
        <f aca="false">IF(AND(AG22&gt;=Inputs!$F$193,AG22&lt;EDATE(Inputs!$F$193,Inputs!$F$211)),1,0)</f>
        <v>0</v>
      </c>
      <c r="AH38" s="9" t="n">
        <f aca="false">IF(AND(AH22&gt;=Inputs!$F$193,AH22&lt;EDATE(Inputs!$F$193,Inputs!$F$211)),1,0)</f>
        <v>0</v>
      </c>
      <c r="AI38" s="9" t="n">
        <f aca="false">IF(AND(AI22&gt;=Inputs!$F$193,AI22&lt;EDATE(Inputs!$F$193,Inputs!$F$211)),1,0)</f>
        <v>0</v>
      </c>
      <c r="AJ38" s="9" t="n">
        <f aca="false">IF(AND(AJ22&gt;=Inputs!$F$193,AJ22&lt;EDATE(Inputs!$F$193,Inputs!$F$211)),1,0)</f>
        <v>0</v>
      </c>
      <c r="AK38" s="9" t="n">
        <f aca="false">IF(AND(AK22&gt;=Inputs!$F$193,AK22&lt;EDATE(Inputs!$F$193,Inputs!$F$211)),1,0)</f>
        <v>0</v>
      </c>
      <c r="AL38" s="9" t="n">
        <f aca="false">IF(AND(AL22&gt;=Inputs!$F$193,AL22&lt;EDATE(Inputs!$F$193,Inputs!$F$211)),1,0)</f>
        <v>0</v>
      </c>
      <c r="AM38" s="9" t="n">
        <f aca="false">IF(AND(AM22&gt;=Inputs!$F$193,AM22&lt;EDATE(Inputs!$F$193,Inputs!$F$211)),1,0)</f>
        <v>0</v>
      </c>
      <c r="AN38" s="9" t="n">
        <f aca="false">IF(AND(AN22&gt;=Inputs!$F$193,AN22&lt;EDATE(Inputs!$F$193,Inputs!$F$211)),1,0)</f>
        <v>0</v>
      </c>
      <c r="AO38" s="9" t="n">
        <f aca="false">IF(AND(AO22&gt;=Inputs!$F$193,AO22&lt;EDATE(Inputs!$F$193,Inputs!$F$211)),1,0)</f>
        <v>0</v>
      </c>
      <c r="AP38" s="9" t="n">
        <f aca="false">IF(AND(AP22&gt;=Inputs!$F$193,AP22&lt;EDATE(Inputs!$F$193,Inputs!$F$211)),1,0)</f>
        <v>0</v>
      </c>
      <c r="AQ38" s="9" t="n">
        <f aca="false">IF(AND(AQ22&gt;=Inputs!$F$193,AQ22&lt;EDATE(Inputs!$F$193,Inputs!$F$211)),1,0)</f>
        <v>0</v>
      </c>
      <c r="AR38" s="9" t="n">
        <f aca="false">IF(AND(AR22&gt;=Inputs!$F$193,AR22&lt;EDATE(Inputs!$F$193,Inputs!$F$211)),1,0)</f>
        <v>0</v>
      </c>
      <c r="AS38" s="9" t="n">
        <f aca="false">IF(AND(AS22&gt;=Inputs!$F$193,AS22&lt;EDATE(Inputs!$F$193,Inputs!$F$211)),1,0)</f>
        <v>0</v>
      </c>
      <c r="AT38" s="9" t="n">
        <f aca="false">IF(AND(AT22&gt;=Inputs!$F$193,AT22&lt;EDATE(Inputs!$F$193,Inputs!$F$211)),1,0)</f>
        <v>0</v>
      </c>
      <c r="AU38" s="9" t="n">
        <f aca="false">IF(AND(AU22&gt;=Inputs!$F$193,AU22&lt;EDATE(Inputs!$F$193,Inputs!$F$211)),1,0)</f>
        <v>0</v>
      </c>
      <c r="AV38" s="9" t="n">
        <f aca="false">IF(AND(AV22&gt;=Inputs!$F$193,AV22&lt;EDATE(Inputs!$F$193,Inputs!$F$211)),1,0)</f>
        <v>0</v>
      </c>
      <c r="AW38" s="9" t="n">
        <f aca="false">IF(AND(AW22&gt;=Inputs!$F$193,AW22&lt;EDATE(Inputs!$F$193,Inputs!$F$211)),1,0)</f>
        <v>0</v>
      </c>
      <c r="AX38" s="9" t="n">
        <f aca="false">IF(AND(AX22&gt;=Inputs!$F$193,AX22&lt;EDATE(Inputs!$F$193,Inputs!$F$211)),1,0)</f>
        <v>0</v>
      </c>
      <c r="AY38" s="9" t="n">
        <f aca="false">IF(AND(AY22&gt;=Inputs!$F$193,AY22&lt;EDATE(Inputs!$F$193,Inputs!$F$211)),1,0)</f>
        <v>0</v>
      </c>
      <c r="AZ38" s="9" t="n">
        <f aca="false">IF(AND(AZ22&gt;=Inputs!$F$193,AZ22&lt;EDATE(Inputs!$F$193,Inputs!$F$211)),1,0)</f>
        <v>0</v>
      </c>
      <c r="BA38" s="9" t="n">
        <f aca="false">IF(AND(BA22&gt;=Inputs!$F$193,BA22&lt;EDATE(Inputs!$F$193,Inputs!$F$211)),1,0)</f>
        <v>0</v>
      </c>
      <c r="BB38" s="9" t="n">
        <f aca="false">IF(AND(BB22&gt;=Inputs!$F$193,BB22&lt;EDATE(Inputs!$F$193,Inputs!$F$211)),1,0)</f>
        <v>0</v>
      </c>
      <c r="BC38" s="9" t="n">
        <f aca="false">IF(AND(BC22&gt;=Inputs!$F$193,BC22&lt;EDATE(Inputs!$F$193,Inputs!$F$211)),1,0)</f>
        <v>0</v>
      </c>
      <c r="BD38" s="9" t="n">
        <f aca="false">IF(AND(BD22&gt;=Inputs!$F$193,BD22&lt;EDATE(Inputs!$F$193,Inputs!$F$211)),1,0)</f>
        <v>0</v>
      </c>
      <c r="BE38" s="9" t="n">
        <f aca="false">IF(AND(BE22&gt;=Inputs!$F$193,BE22&lt;EDATE(Inputs!$F$193,Inputs!$F$211)),1,0)</f>
        <v>0</v>
      </c>
      <c r="BF38" s="9" t="n">
        <f aca="false">IF(AND(BF22&gt;=Inputs!$F$193,BF22&lt;EDATE(Inputs!$F$193,Inputs!$F$211)),1,0)</f>
        <v>0</v>
      </c>
      <c r="BG38" s="9" t="n">
        <f aca="false">IF(AND(BG22&gt;=Inputs!$F$193,BG22&lt;EDATE(Inputs!$F$193,Inputs!$F$211)),1,0)</f>
        <v>0</v>
      </c>
      <c r="BH38" s="9" t="n">
        <f aca="false">IF(AND(BH22&gt;=Inputs!$F$193,BH22&lt;EDATE(Inputs!$F$193,Inputs!$F$211)),1,0)</f>
        <v>0</v>
      </c>
      <c r="BI38" s="9" t="n">
        <f aca="false">IF(AND(BI22&gt;=Inputs!$F$193,BI22&lt;EDATE(Inputs!$F$193,Inputs!$F$211)),1,0)</f>
        <v>0</v>
      </c>
      <c r="BJ38" s="9" t="n">
        <f aca="false">IF(AND(BJ22&gt;=Inputs!$F$193,BJ22&lt;EDATE(Inputs!$F$193,Inputs!$F$211)),1,0)</f>
        <v>0</v>
      </c>
      <c r="BK38" s="9" t="n">
        <f aca="false">IF(AND(BK22&gt;=Inputs!$F$193,BK22&lt;EDATE(Inputs!$F$193,Inputs!$F$211)),1,0)</f>
        <v>0</v>
      </c>
      <c r="BL38" s="9" t="n">
        <f aca="false">IF(AND(BL22&gt;=Inputs!$F$193,BL22&lt;EDATE(Inputs!$F$193,Inputs!$F$211)),1,0)</f>
        <v>0</v>
      </c>
      <c r="BM38" s="9" t="n">
        <f aca="false">IF(AND(BM22&gt;=Inputs!$F$193,BM22&lt;EDATE(Inputs!$F$193,Inputs!$F$211)),1,0)</f>
        <v>0</v>
      </c>
      <c r="BN38" s="9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1480</v>
      </c>
      <c r="E39" s="0" t="s">
        <v>115</v>
      </c>
      <c r="J39" s="9" t="n">
        <f aca="false">IF(J22&gt;=Inputs!$F$193,1,0)</f>
        <v>0</v>
      </c>
      <c r="K39" s="9" t="n">
        <f aca="false">IF(K22&gt;=Inputs!$F$193,1,0)</f>
        <v>0</v>
      </c>
      <c r="L39" s="9" t="n">
        <f aca="false">IF(L22&gt;=Inputs!$F$193,1,0)</f>
        <v>0</v>
      </c>
      <c r="M39" s="9" t="n">
        <f aca="false">IF(M22&gt;=Inputs!$F$193,1,0)</f>
        <v>0</v>
      </c>
      <c r="N39" s="9" t="n">
        <f aca="false">IF(N22&gt;=Inputs!$F$193,1,0)</f>
        <v>0</v>
      </c>
      <c r="O39" s="9" t="n">
        <f aca="false">IF(O22&gt;=Inputs!$F$193,1,0)</f>
        <v>0</v>
      </c>
      <c r="P39" s="9" t="n">
        <f aca="false">IF(P22&gt;=Inputs!$F$193,1,0)</f>
        <v>0</v>
      </c>
      <c r="Q39" s="9" t="n">
        <f aca="false">IF(Q22&gt;=Inputs!$F$193,1,0)</f>
        <v>1</v>
      </c>
      <c r="R39" s="9" t="n">
        <f aca="false">IF(R22&gt;=Inputs!$F$193,1,0)</f>
        <v>1</v>
      </c>
      <c r="S39" s="9" t="n">
        <f aca="false">IF(S22&gt;=Inputs!$F$193,1,0)</f>
        <v>1</v>
      </c>
      <c r="T39" s="9" t="n">
        <f aca="false">IF(T22&gt;=Inputs!$F$193,1,0)</f>
        <v>1</v>
      </c>
      <c r="U39" s="9" t="n">
        <f aca="false">IF(U22&gt;=Inputs!$F$193,1,0)</f>
        <v>1</v>
      </c>
      <c r="V39" s="9" t="n">
        <f aca="false">IF(V22&gt;=Inputs!$F$193,1,0)</f>
        <v>1</v>
      </c>
      <c r="W39" s="9" t="n">
        <f aca="false">IF(W22&gt;=Inputs!$F$193,1,0)</f>
        <v>1</v>
      </c>
      <c r="X39" s="9" t="n">
        <f aca="false">IF(X22&gt;=Inputs!$F$193,1,0)</f>
        <v>1</v>
      </c>
      <c r="Y39" s="9" t="n">
        <f aca="false">IF(Y22&gt;=Inputs!$F$193,1,0)</f>
        <v>1</v>
      </c>
      <c r="Z39" s="9" t="n">
        <f aca="false">IF(Z22&gt;=Inputs!$F$193,1,0)</f>
        <v>1</v>
      </c>
      <c r="AA39" s="9" t="n">
        <f aca="false">IF(AA22&gt;=Inputs!$F$193,1,0)</f>
        <v>1</v>
      </c>
      <c r="AB39" s="9" t="n">
        <f aca="false">IF(AB22&gt;=Inputs!$F$193,1,0)</f>
        <v>1</v>
      </c>
      <c r="AC39" s="9" t="n">
        <f aca="false">IF(AC22&gt;=Inputs!$F$193,1,0)</f>
        <v>1</v>
      </c>
      <c r="AD39" s="9" t="n">
        <f aca="false">IF(AD22&gt;=Inputs!$F$193,1,0)</f>
        <v>1</v>
      </c>
      <c r="AE39" s="9" t="n">
        <f aca="false">IF(AE22&gt;=Inputs!$F$193,1,0)</f>
        <v>1</v>
      </c>
      <c r="AF39" s="9" t="n">
        <f aca="false">IF(AF22&gt;=Inputs!$F$193,1,0)</f>
        <v>1</v>
      </c>
      <c r="AG39" s="9" t="n">
        <f aca="false">IF(AG22&gt;=Inputs!$F$193,1,0)</f>
        <v>1</v>
      </c>
      <c r="AH39" s="9" t="n">
        <f aca="false">IF(AH22&gt;=Inputs!$F$193,1,0)</f>
        <v>1</v>
      </c>
      <c r="AI39" s="9" t="n">
        <f aca="false">IF(AI22&gt;=Inputs!$F$193,1,0)</f>
        <v>1</v>
      </c>
      <c r="AJ39" s="9" t="n">
        <f aca="false">IF(AJ22&gt;=Inputs!$F$193,1,0)</f>
        <v>1</v>
      </c>
      <c r="AK39" s="9" t="n">
        <f aca="false">IF(AK22&gt;=Inputs!$F$193,1,0)</f>
        <v>1</v>
      </c>
      <c r="AL39" s="9" t="n">
        <f aca="false">IF(AL22&gt;=Inputs!$F$193,1,0)</f>
        <v>1</v>
      </c>
      <c r="AM39" s="9" t="n">
        <f aca="false">IF(AM22&gt;=Inputs!$F$193,1,0)</f>
        <v>1</v>
      </c>
      <c r="AN39" s="9" t="n">
        <f aca="false">IF(AN22&gt;=Inputs!$F$193,1,0)</f>
        <v>1</v>
      </c>
      <c r="AO39" s="9" t="n">
        <f aca="false">IF(AO22&gt;=Inputs!$F$193,1,0)</f>
        <v>1</v>
      </c>
      <c r="AP39" s="9" t="n">
        <f aca="false">IF(AP22&gt;=Inputs!$F$193,1,0)</f>
        <v>1</v>
      </c>
      <c r="AQ39" s="9" t="n">
        <f aca="false">IF(AQ22&gt;=Inputs!$F$193,1,0)</f>
        <v>1</v>
      </c>
      <c r="AR39" s="9" t="n">
        <f aca="false">IF(AR22&gt;=Inputs!$F$193,1,0)</f>
        <v>1</v>
      </c>
      <c r="AS39" s="9" t="n">
        <f aca="false">IF(AS22&gt;=Inputs!$F$193,1,0)</f>
        <v>1</v>
      </c>
      <c r="AT39" s="9" t="n">
        <f aca="false">IF(AT22&gt;=Inputs!$F$193,1,0)</f>
        <v>1</v>
      </c>
      <c r="AU39" s="9" t="n">
        <f aca="false">IF(AU22&gt;=Inputs!$F$193,1,0)</f>
        <v>1</v>
      </c>
      <c r="AV39" s="9" t="n">
        <f aca="false">IF(AV22&gt;=Inputs!$F$193,1,0)</f>
        <v>1</v>
      </c>
      <c r="AW39" s="9" t="n">
        <f aca="false">IF(AW22&gt;=Inputs!$F$193,1,0)</f>
        <v>1</v>
      </c>
      <c r="AX39" s="9" t="n">
        <f aca="false">IF(AX22&gt;=Inputs!$F$193,1,0)</f>
        <v>1</v>
      </c>
      <c r="AY39" s="9" t="n">
        <f aca="false">IF(AY22&gt;=Inputs!$F$193,1,0)</f>
        <v>1</v>
      </c>
      <c r="AZ39" s="9" t="n">
        <f aca="false">IF(AZ22&gt;=Inputs!$F$193,1,0)</f>
        <v>1</v>
      </c>
      <c r="BA39" s="9" t="n">
        <f aca="false">IF(BA22&gt;=Inputs!$F$193,1,0)</f>
        <v>1</v>
      </c>
      <c r="BB39" s="9" t="n">
        <f aca="false">IF(BB22&gt;=Inputs!$F$193,1,0)</f>
        <v>1</v>
      </c>
      <c r="BC39" s="9" t="n">
        <f aca="false">IF(BC22&gt;=Inputs!$F$193,1,0)</f>
        <v>1</v>
      </c>
      <c r="BD39" s="9" t="n">
        <f aca="false">IF(BD22&gt;=Inputs!$F$193,1,0)</f>
        <v>1</v>
      </c>
      <c r="BE39" s="9" t="n">
        <f aca="false">IF(BE22&gt;=Inputs!$F$193,1,0)</f>
        <v>1</v>
      </c>
      <c r="BF39" s="9" t="n">
        <f aca="false">IF(BF22&gt;=Inputs!$F$193,1,0)</f>
        <v>1</v>
      </c>
      <c r="BG39" s="9" t="n">
        <f aca="false">IF(BG22&gt;=Inputs!$F$193,1,0)</f>
        <v>1</v>
      </c>
      <c r="BH39" s="9" t="n">
        <f aca="false">IF(BH22&gt;=Inputs!$F$193,1,0)</f>
        <v>1</v>
      </c>
      <c r="BI39" s="9" t="n">
        <f aca="false">IF(BI22&gt;=Inputs!$F$193,1,0)</f>
        <v>1</v>
      </c>
      <c r="BJ39" s="9" t="n">
        <f aca="false">IF(BJ22&gt;=Inputs!$F$193,1,0)</f>
        <v>1</v>
      </c>
      <c r="BK39" s="9" t="n">
        <f aca="false">IF(BK22&gt;=Inputs!$F$193,1,0)</f>
        <v>1</v>
      </c>
      <c r="BL39" s="9" t="n">
        <f aca="false">IF(BL22&gt;=Inputs!$F$193,1,0)</f>
        <v>1</v>
      </c>
      <c r="BM39" s="9" t="n">
        <f aca="false">IF(BM22&gt;=Inputs!$F$193,1,0)</f>
        <v>1</v>
      </c>
      <c r="BN39" s="9" t="n">
        <f aca="false">IF(BN22&gt;=Inputs!$F$193,1,0)</f>
        <v>1</v>
      </c>
    </row>
    <row r="40" customFormat="false" ht="15" hidden="false" customHeight="false" outlineLevel="0" collapsed="false">
      <c r="D40" s="0" t="s">
        <v>1481</v>
      </c>
      <c r="E40" s="0" t="s">
        <v>115</v>
      </c>
      <c r="J40" s="9" t="n">
        <f aca="false">IF(J22&gt;=Inputs!$F$196,1,0)</f>
        <v>0</v>
      </c>
      <c r="K40" s="9" t="n">
        <f aca="false">IF(K22&gt;=Inputs!$F$196,1,0)</f>
        <v>0</v>
      </c>
      <c r="L40" s="9" t="n">
        <f aca="false">IF(L22&gt;=Inputs!$F$196,1,0)</f>
        <v>0</v>
      </c>
      <c r="M40" s="9" t="n">
        <f aca="false">IF(M22&gt;=Inputs!$F$196,1,0)</f>
        <v>0</v>
      </c>
      <c r="N40" s="9" t="n">
        <f aca="false">IF(N22&gt;=Inputs!$F$196,1,0)</f>
        <v>0</v>
      </c>
      <c r="O40" s="9" t="n">
        <f aca="false">IF(O22&gt;=Inputs!$F$196,1,0)</f>
        <v>0</v>
      </c>
      <c r="P40" s="9" t="n">
        <f aca="false">IF(P22&gt;=Inputs!$F$196,1,0)</f>
        <v>0</v>
      </c>
      <c r="Q40" s="9" t="n">
        <f aca="false">IF(Q22&gt;=Inputs!$F$196,1,0)</f>
        <v>0</v>
      </c>
      <c r="R40" s="9" t="n">
        <f aca="false">IF(R22&gt;=Inputs!$F$196,1,0)</f>
        <v>0</v>
      </c>
      <c r="S40" s="9" t="n">
        <f aca="false">IF(S22&gt;=Inputs!$F$196,1,0)</f>
        <v>1</v>
      </c>
      <c r="T40" s="9" t="n">
        <f aca="false">IF(T22&gt;=Inputs!$F$196,1,0)</f>
        <v>1</v>
      </c>
      <c r="U40" s="9" t="n">
        <f aca="false">IF(U22&gt;=Inputs!$F$196,1,0)</f>
        <v>1</v>
      </c>
      <c r="V40" s="9" t="n">
        <f aca="false">IF(V22&gt;=Inputs!$F$196,1,0)</f>
        <v>1</v>
      </c>
      <c r="W40" s="9" t="n">
        <f aca="false">IF(W22&gt;=Inputs!$F$196,1,0)</f>
        <v>1</v>
      </c>
      <c r="X40" s="9" t="n">
        <f aca="false">IF(X22&gt;=Inputs!$F$196,1,0)</f>
        <v>1</v>
      </c>
      <c r="Y40" s="9" t="n">
        <f aca="false">IF(Y22&gt;=Inputs!$F$196,1,0)</f>
        <v>1</v>
      </c>
      <c r="Z40" s="9" t="n">
        <f aca="false">IF(Z22&gt;=Inputs!$F$196,1,0)</f>
        <v>1</v>
      </c>
      <c r="AA40" s="9" t="n">
        <f aca="false">IF(AA22&gt;=Inputs!$F$196,1,0)</f>
        <v>1</v>
      </c>
      <c r="AB40" s="9" t="n">
        <f aca="false">IF(AB22&gt;=Inputs!$F$196,1,0)</f>
        <v>1</v>
      </c>
      <c r="AC40" s="9" t="n">
        <f aca="false">IF(AC22&gt;=Inputs!$F$196,1,0)</f>
        <v>1</v>
      </c>
      <c r="AD40" s="9" t="n">
        <f aca="false">IF(AD22&gt;=Inputs!$F$196,1,0)</f>
        <v>1</v>
      </c>
      <c r="AE40" s="9" t="n">
        <f aca="false">IF(AE22&gt;=Inputs!$F$196,1,0)</f>
        <v>1</v>
      </c>
      <c r="AF40" s="9" t="n">
        <f aca="false">IF(AF22&gt;=Inputs!$F$196,1,0)</f>
        <v>1</v>
      </c>
      <c r="AG40" s="9" t="n">
        <f aca="false">IF(AG22&gt;=Inputs!$F$196,1,0)</f>
        <v>1</v>
      </c>
      <c r="AH40" s="9" t="n">
        <f aca="false">IF(AH22&gt;=Inputs!$F$196,1,0)</f>
        <v>1</v>
      </c>
      <c r="AI40" s="9" t="n">
        <f aca="false">IF(AI22&gt;=Inputs!$F$196,1,0)</f>
        <v>1</v>
      </c>
      <c r="AJ40" s="9" t="n">
        <f aca="false">IF(AJ22&gt;=Inputs!$F$196,1,0)</f>
        <v>1</v>
      </c>
      <c r="AK40" s="9" t="n">
        <f aca="false">IF(AK22&gt;=Inputs!$F$196,1,0)</f>
        <v>1</v>
      </c>
      <c r="AL40" s="9" t="n">
        <f aca="false">IF(AL22&gt;=Inputs!$F$196,1,0)</f>
        <v>1</v>
      </c>
      <c r="AM40" s="9" t="n">
        <f aca="false">IF(AM22&gt;=Inputs!$F$196,1,0)</f>
        <v>1</v>
      </c>
      <c r="AN40" s="9" t="n">
        <f aca="false">IF(AN22&gt;=Inputs!$F$196,1,0)</f>
        <v>1</v>
      </c>
      <c r="AO40" s="9" t="n">
        <f aca="false">IF(AO22&gt;=Inputs!$F$196,1,0)</f>
        <v>1</v>
      </c>
      <c r="AP40" s="9" t="n">
        <f aca="false">IF(AP22&gt;=Inputs!$F$196,1,0)</f>
        <v>1</v>
      </c>
      <c r="AQ40" s="9" t="n">
        <f aca="false">IF(AQ22&gt;=Inputs!$F$196,1,0)</f>
        <v>1</v>
      </c>
      <c r="AR40" s="9" t="n">
        <f aca="false">IF(AR22&gt;=Inputs!$F$196,1,0)</f>
        <v>1</v>
      </c>
      <c r="AS40" s="9" t="n">
        <f aca="false">IF(AS22&gt;=Inputs!$F$196,1,0)</f>
        <v>1</v>
      </c>
      <c r="AT40" s="9" t="n">
        <f aca="false">IF(AT22&gt;=Inputs!$F$196,1,0)</f>
        <v>1</v>
      </c>
      <c r="AU40" s="9" t="n">
        <f aca="false">IF(AU22&gt;=Inputs!$F$196,1,0)</f>
        <v>1</v>
      </c>
      <c r="AV40" s="9" t="n">
        <f aca="false">IF(AV22&gt;=Inputs!$F$196,1,0)</f>
        <v>1</v>
      </c>
      <c r="AW40" s="9" t="n">
        <f aca="false">IF(AW22&gt;=Inputs!$F$196,1,0)</f>
        <v>1</v>
      </c>
      <c r="AX40" s="9" t="n">
        <f aca="false">IF(AX22&gt;=Inputs!$F$196,1,0)</f>
        <v>1</v>
      </c>
      <c r="AY40" s="9" t="n">
        <f aca="false">IF(AY22&gt;=Inputs!$F$196,1,0)</f>
        <v>1</v>
      </c>
      <c r="AZ40" s="9" t="n">
        <f aca="false">IF(AZ22&gt;=Inputs!$F$196,1,0)</f>
        <v>1</v>
      </c>
      <c r="BA40" s="9" t="n">
        <f aca="false">IF(BA22&gt;=Inputs!$F$196,1,0)</f>
        <v>1</v>
      </c>
      <c r="BB40" s="9" t="n">
        <f aca="false">IF(BB22&gt;=Inputs!$F$196,1,0)</f>
        <v>1</v>
      </c>
      <c r="BC40" s="9" t="n">
        <f aca="false">IF(BC22&gt;=Inputs!$F$196,1,0)</f>
        <v>1</v>
      </c>
      <c r="BD40" s="9" t="n">
        <f aca="false">IF(BD22&gt;=Inputs!$F$196,1,0)</f>
        <v>1</v>
      </c>
      <c r="BE40" s="9" t="n">
        <f aca="false">IF(BE22&gt;=Inputs!$F$196,1,0)</f>
        <v>1</v>
      </c>
      <c r="BF40" s="9" t="n">
        <f aca="false">IF(BF22&gt;=Inputs!$F$196,1,0)</f>
        <v>1</v>
      </c>
      <c r="BG40" s="9" t="n">
        <f aca="false">IF(BG22&gt;=Inputs!$F$196,1,0)</f>
        <v>1</v>
      </c>
      <c r="BH40" s="9" t="n">
        <f aca="false">IF(BH22&gt;=Inputs!$F$196,1,0)</f>
        <v>1</v>
      </c>
      <c r="BI40" s="9" t="n">
        <f aca="false">IF(BI22&gt;=Inputs!$F$196,1,0)</f>
        <v>1</v>
      </c>
      <c r="BJ40" s="9" t="n">
        <f aca="false">IF(BJ22&gt;=Inputs!$F$196,1,0)</f>
        <v>1</v>
      </c>
      <c r="BK40" s="9" t="n">
        <f aca="false">IF(BK22&gt;=Inputs!$F$196,1,0)</f>
        <v>1</v>
      </c>
      <c r="BL40" s="9" t="n">
        <f aca="false">IF(BL22&gt;=Inputs!$F$196,1,0)</f>
        <v>1</v>
      </c>
      <c r="BM40" s="9" t="n">
        <f aca="false">IF(BM22&gt;=Inputs!$F$196,1,0)</f>
        <v>1</v>
      </c>
      <c r="BN40" s="9" t="n">
        <f aca="false">IF(BN22&gt;=Inputs!$F$196,1,0)</f>
        <v>1</v>
      </c>
    </row>
    <row r="41" customFormat="false" ht="15" hidden="false" customHeight="false" outlineLevel="0" collapsed="false">
      <c r="D41" s="0" t="s">
        <v>1482</v>
      </c>
      <c r="E41" s="0" t="s">
        <v>115</v>
      </c>
      <c r="J41" s="9" t="n">
        <f aca="false">IF(J22&gt;=Inputs!$F$195,1,0)</f>
        <v>0</v>
      </c>
      <c r="K41" s="9" t="n">
        <f aca="false">IF(K22&gt;=Inputs!$F$195,1,0)</f>
        <v>0</v>
      </c>
      <c r="L41" s="9" t="n">
        <f aca="false">IF(L22&gt;=Inputs!$F$195,1,0)</f>
        <v>0</v>
      </c>
      <c r="M41" s="9" t="n">
        <f aca="false">IF(M22&gt;=Inputs!$F$195,1,0)</f>
        <v>0</v>
      </c>
      <c r="N41" s="9" t="n">
        <f aca="false">IF(N22&gt;=Inputs!$F$195,1,0)</f>
        <v>0</v>
      </c>
      <c r="O41" s="9" t="n">
        <f aca="false">IF(O22&gt;=Inputs!$F$195,1,0)</f>
        <v>0</v>
      </c>
      <c r="P41" s="9" t="n">
        <f aca="false">IF(P22&gt;=Inputs!$F$195,1,0)</f>
        <v>0</v>
      </c>
      <c r="Q41" s="9" t="n">
        <f aca="false">IF(Q22&gt;=Inputs!$F$195,1,0)</f>
        <v>0</v>
      </c>
      <c r="R41" s="9" t="n">
        <f aca="false">IF(R22&gt;=Inputs!$F$195,1,0)</f>
        <v>1</v>
      </c>
      <c r="S41" s="9" t="n">
        <f aca="false">IF(S22&gt;=Inputs!$F$195,1,0)</f>
        <v>1</v>
      </c>
      <c r="T41" s="9" t="n">
        <f aca="false">IF(T22&gt;=Inputs!$F$195,1,0)</f>
        <v>1</v>
      </c>
      <c r="U41" s="9" t="n">
        <f aca="false">IF(U22&gt;=Inputs!$F$195,1,0)</f>
        <v>1</v>
      </c>
      <c r="V41" s="9" t="n">
        <f aca="false">IF(V22&gt;=Inputs!$F$195,1,0)</f>
        <v>1</v>
      </c>
      <c r="W41" s="9" t="n">
        <f aca="false">IF(W22&gt;=Inputs!$F$195,1,0)</f>
        <v>1</v>
      </c>
      <c r="X41" s="9" t="n">
        <f aca="false">IF(X22&gt;=Inputs!$F$195,1,0)</f>
        <v>1</v>
      </c>
      <c r="Y41" s="9" t="n">
        <f aca="false">IF(Y22&gt;=Inputs!$F$195,1,0)</f>
        <v>1</v>
      </c>
      <c r="Z41" s="9" t="n">
        <f aca="false">IF(Z22&gt;=Inputs!$F$195,1,0)</f>
        <v>1</v>
      </c>
      <c r="AA41" s="9" t="n">
        <f aca="false">IF(AA22&gt;=Inputs!$F$195,1,0)</f>
        <v>1</v>
      </c>
      <c r="AB41" s="9" t="n">
        <f aca="false">IF(AB22&gt;=Inputs!$F$195,1,0)</f>
        <v>1</v>
      </c>
      <c r="AC41" s="9" t="n">
        <f aca="false">IF(AC22&gt;=Inputs!$F$195,1,0)</f>
        <v>1</v>
      </c>
      <c r="AD41" s="9" t="n">
        <f aca="false">IF(AD22&gt;=Inputs!$F$195,1,0)</f>
        <v>1</v>
      </c>
      <c r="AE41" s="9" t="n">
        <f aca="false">IF(AE22&gt;=Inputs!$F$195,1,0)</f>
        <v>1</v>
      </c>
      <c r="AF41" s="9" t="n">
        <f aca="false">IF(AF22&gt;=Inputs!$F$195,1,0)</f>
        <v>1</v>
      </c>
      <c r="AG41" s="9" t="n">
        <f aca="false">IF(AG22&gt;=Inputs!$F$195,1,0)</f>
        <v>1</v>
      </c>
      <c r="AH41" s="9" t="n">
        <f aca="false">IF(AH22&gt;=Inputs!$F$195,1,0)</f>
        <v>1</v>
      </c>
      <c r="AI41" s="9" t="n">
        <f aca="false">IF(AI22&gt;=Inputs!$F$195,1,0)</f>
        <v>1</v>
      </c>
      <c r="AJ41" s="9" t="n">
        <f aca="false">IF(AJ22&gt;=Inputs!$F$195,1,0)</f>
        <v>1</v>
      </c>
      <c r="AK41" s="9" t="n">
        <f aca="false">IF(AK22&gt;=Inputs!$F$195,1,0)</f>
        <v>1</v>
      </c>
      <c r="AL41" s="9" t="n">
        <f aca="false">IF(AL22&gt;=Inputs!$F$195,1,0)</f>
        <v>1</v>
      </c>
      <c r="AM41" s="9" t="n">
        <f aca="false">IF(AM22&gt;=Inputs!$F$195,1,0)</f>
        <v>1</v>
      </c>
      <c r="AN41" s="9" t="n">
        <f aca="false">IF(AN22&gt;=Inputs!$F$195,1,0)</f>
        <v>1</v>
      </c>
      <c r="AO41" s="9" t="n">
        <f aca="false">IF(AO22&gt;=Inputs!$F$195,1,0)</f>
        <v>1</v>
      </c>
      <c r="AP41" s="9" t="n">
        <f aca="false">IF(AP22&gt;=Inputs!$F$195,1,0)</f>
        <v>1</v>
      </c>
      <c r="AQ41" s="9" t="n">
        <f aca="false">IF(AQ22&gt;=Inputs!$F$195,1,0)</f>
        <v>1</v>
      </c>
      <c r="AR41" s="9" t="n">
        <f aca="false">IF(AR22&gt;=Inputs!$F$195,1,0)</f>
        <v>1</v>
      </c>
      <c r="AS41" s="9" t="n">
        <f aca="false">IF(AS22&gt;=Inputs!$F$195,1,0)</f>
        <v>1</v>
      </c>
      <c r="AT41" s="9" t="n">
        <f aca="false">IF(AT22&gt;=Inputs!$F$195,1,0)</f>
        <v>1</v>
      </c>
      <c r="AU41" s="9" t="n">
        <f aca="false">IF(AU22&gt;=Inputs!$F$195,1,0)</f>
        <v>1</v>
      </c>
      <c r="AV41" s="9" t="n">
        <f aca="false">IF(AV22&gt;=Inputs!$F$195,1,0)</f>
        <v>1</v>
      </c>
      <c r="AW41" s="9" t="n">
        <f aca="false">IF(AW22&gt;=Inputs!$F$195,1,0)</f>
        <v>1</v>
      </c>
      <c r="AX41" s="9" t="n">
        <f aca="false">IF(AX22&gt;=Inputs!$F$195,1,0)</f>
        <v>1</v>
      </c>
      <c r="AY41" s="9" t="n">
        <f aca="false">IF(AY22&gt;=Inputs!$F$195,1,0)</f>
        <v>1</v>
      </c>
      <c r="AZ41" s="9" t="n">
        <f aca="false">IF(AZ22&gt;=Inputs!$F$195,1,0)</f>
        <v>1</v>
      </c>
      <c r="BA41" s="9" t="n">
        <f aca="false">IF(BA22&gt;=Inputs!$F$195,1,0)</f>
        <v>1</v>
      </c>
      <c r="BB41" s="9" t="n">
        <f aca="false">IF(BB22&gt;=Inputs!$F$195,1,0)</f>
        <v>1</v>
      </c>
      <c r="BC41" s="9" t="n">
        <f aca="false">IF(BC22&gt;=Inputs!$F$195,1,0)</f>
        <v>1</v>
      </c>
      <c r="BD41" s="9" t="n">
        <f aca="false">IF(BD22&gt;=Inputs!$F$195,1,0)</f>
        <v>1</v>
      </c>
      <c r="BE41" s="9" t="n">
        <f aca="false">IF(BE22&gt;=Inputs!$F$195,1,0)</f>
        <v>1</v>
      </c>
      <c r="BF41" s="9" t="n">
        <f aca="false">IF(BF22&gt;=Inputs!$F$195,1,0)</f>
        <v>1</v>
      </c>
      <c r="BG41" s="9" t="n">
        <f aca="false">IF(BG22&gt;=Inputs!$F$195,1,0)</f>
        <v>1</v>
      </c>
      <c r="BH41" s="9" t="n">
        <f aca="false">IF(BH22&gt;=Inputs!$F$195,1,0)</f>
        <v>1</v>
      </c>
      <c r="BI41" s="9" t="n">
        <f aca="false">IF(BI22&gt;=Inputs!$F$195,1,0)</f>
        <v>1</v>
      </c>
      <c r="BJ41" s="9" t="n">
        <f aca="false">IF(BJ22&gt;=Inputs!$F$195,1,0)</f>
        <v>1</v>
      </c>
      <c r="BK41" s="9" t="n">
        <f aca="false">IF(BK22&gt;=Inputs!$F$195,1,0)</f>
        <v>1</v>
      </c>
      <c r="BL41" s="9" t="n">
        <f aca="false">IF(BL22&gt;=Inputs!$F$195,1,0)</f>
        <v>1</v>
      </c>
      <c r="BM41" s="9" t="n">
        <f aca="false">IF(BM22&gt;=Inputs!$F$195,1,0)</f>
        <v>1</v>
      </c>
      <c r="BN41" s="9" t="n">
        <f aca="false">IF(BN22&gt;=Inputs!$F$195,1,0)</f>
        <v>1</v>
      </c>
    </row>
    <row r="42" customFormat="false" ht="15" hidden="false" customHeight="false" outlineLevel="0" collapsed="false">
      <c r="D42" s="0" t="s">
        <v>1483</v>
      </c>
      <c r="E42" s="0" t="s">
        <v>115</v>
      </c>
      <c r="J42" s="9" t="n">
        <f aca="false">Inputs!$F$48*IF(J23=Inputs!$F$198,1,0)</f>
        <v>0</v>
      </c>
      <c r="K42" s="9" t="n">
        <f aca="false">Inputs!$F$48*IF(K23=Inputs!$F$198,1,0)</f>
        <v>0</v>
      </c>
      <c r="L42" s="9" t="n">
        <f aca="false">Inputs!$F$48*IF(L23=Inputs!$F$198,1,0)</f>
        <v>0</v>
      </c>
      <c r="M42" s="9" t="n">
        <f aca="false">Inputs!$F$48*IF(M23=Inputs!$F$198,1,0)</f>
        <v>0</v>
      </c>
      <c r="N42" s="9" t="n">
        <f aca="false">Inputs!$F$48*IF(N23=Inputs!$F$198,1,0)</f>
        <v>0</v>
      </c>
      <c r="O42" s="9" t="n">
        <f aca="false">Inputs!$F$48*IF(O23=Inputs!$F$198,1,0)</f>
        <v>0</v>
      </c>
      <c r="P42" s="9" t="n">
        <f aca="false">Inputs!$F$48*IF(P23=Inputs!$F$198,1,0)</f>
        <v>0</v>
      </c>
      <c r="Q42" s="9" t="n">
        <f aca="false">Inputs!$F$48*IF(Q23=Inputs!$F$198,1,0)</f>
        <v>0</v>
      </c>
      <c r="R42" s="9" t="n">
        <f aca="false">Inputs!$F$48*IF(R23=Inputs!$F$198,1,0)</f>
        <v>0</v>
      </c>
      <c r="S42" s="9" t="n">
        <f aca="false">Inputs!$F$48*IF(S23=Inputs!$F$198,1,0)</f>
        <v>0</v>
      </c>
      <c r="T42" s="9" t="n">
        <f aca="false">Inputs!$F$48*IF(T23=Inputs!$F$198,1,0)</f>
        <v>0</v>
      </c>
      <c r="U42" s="9" t="n">
        <f aca="false">Inputs!$F$48*IF(U23=Inputs!$F$198,1,0)</f>
        <v>0</v>
      </c>
      <c r="V42" s="9" t="n">
        <f aca="false">Inputs!$F$48*IF(V23=Inputs!$F$198,1,0)</f>
        <v>0</v>
      </c>
      <c r="W42" s="9" t="n">
        <f aca="false">Inputs!$F$48*IF(W23=Inputs!$F$198,1,0)</f>
        <v>0</v>
      </c>
      <c r="X42" s="9" t="n">
        <f aca="false">Inputs!$F$48*IF(X23=Inputs!$F$198,1,0)</f>
        <v>0</v>
      </c>
      <c r="Y42" s="9" t="n">
        <f aca="false">Inputs!$F$48*IF(Y23=Inputs!$F$198,1,0)</f>
        <v>0</v>
      </c>
      <c r="Z42" s="9" t="n">
        <f aca="false">Inputs!$F$48*IF(Z23=Inputs!$F$198,1,0)</f>
        <v>0</v>
      </c>
      <c r="AA42" s="9" t="n">
        <f aca="false">Inputs!$F$48*IF(AA23=Inputs!$F$198,1,0)</f>
        <v>0</v>
      </c>
      <c r="AB42" s="9" t="n">
        <f aca="false">Inputs!$F$48*IF(AB23=Inputs!$F$198,1,0)</f>
        <v>0</v>
      </c>
      <c r="AC42" s="9" t="n">
        <f aca="false">Inputs!$F$48*IF(AC23=Inputs!$F$198,1,0)</f>
        <v>0</v>
      </c>
      <c r="AD42" s="9" t="n">
        <f aca="false">Inputs!$F$48*IF(AD23=Inputs!$F$198,1,0)</f>
        <v>0</v>
      </c>
      <c r="AE42" s="9" t="n">
        <f aca="false">Inputs!$F$48*IF(AE23=Inputs!$F$198,1,0)</f>
        <v>0</v>
      </c>
      <c r="AF42" s="9" t="n">
        <f aca="false">Inputs!$F$48*IF(AF23=Inputs!$F$198,1,0)</f>
        <v>0</v>
      </c>
      <c r="AG42" s="9" t="n">
        <f aca="false">Inputs!$F$48*IF(AG23=Inputs!$F$198,1,0)</f>
        <v>0</v>
      </c>
      <c r="AH42" s="9" t="n">
        <f aca="false">Inputs!$F$48*IF(AH23=Inputs!$F$198,1,0)</f>
        <v>0</v>
      </c>
      <c r="AI42" s="9" t="n">
        <f aca="false">Inputs!$F$48*IF(AI23=Inputs!$F$198,1,0)</f>
        <v>0</v>
      </c>
      <c r="AJ42" s="9" t="n">
        <f aca="false">Inputs!$F$48*IF(AJ23=Inputs!$F$198,1,0)</f>
        <v>0</v>
      </c>
      <c r="AK42" s="9" t="n">
        <f aca="false">Inputs!$F$48*IF(AK23=Inputs!$F$198,1,0)</f>
        <v>0</v>
      </c>
      <c r="AL42" s="9" t="n">
        <f aca="false">Inputs!$F$48*IF(AL23=Inputs!$F$198,1,0)</f>
        <v>0</v>
      </c>
      <c r="AM42" s="9" t="n">
        <f aca="false">Inputs!$F$48*IF(AM23=Inputs!$F$198,1,0)</f>
        <v>0</v>
      </c>
      <c r="AN42" s="9" t="n">
        <f aca="false">Inputs!$F$48*IF(AN23=Inputs!$F$198,1,0)</f>
        <v>0</v>
      </c>
      <c r="AO42" s="9" t="n">
        <f aca="false">Inputs!$F$48*IF(AO23=Inputs!$F$198,1,0)</f>
        <v>0</v>
      </c>
      <c r="AP42" s="9" t="n">
        <f aca="false">Inputs!$F$48*IF(AP23=Inputs!$F$198,1,0)</f>
        <v>0</v>
      </c>
      <c r="AQ42" s="9" t="n">
        <f aca="false">Inputs!$F$48*IF(AQ23=Inputs!$F$198,1,0)</f>
        <v>0</v>
      </c>
      <c r="AR42" s="9" t="n">
        <f aca="false">Inputs!$F$48*IF(AR23=Inputs!$F$198,1,0)</f>
        <v>0</v>
      </c>
      <c r="AS42" s="9" t="n">
        <f aca="false">Inputs!$F$48*IF(AS23=Inputs!$F$198,1,0)</f>
        <v>0</v>
      </c>
      <c r="AT42" s="9" t="n">
        <f aca="false">Inputs!$F$48*IF(AT23=Inputs!$F$198,1,0)</f>
        <v>0</v>
      </c>
      <c r="AU42" s="9" t="n">
        <f aca="false">Inputs!$F$48*IF(AU23=Inputs!$F$198,1,0)</f>
        <v>0</v>
      </c>
      <c r="AV42" s="9" t="n">
        <f aca="false">Inputs!$F$48*IF(AV23=Inputs!$F$198,1,0)</f>
        <v>0</v>
      </c>
      <c r="AW42" s="9" t="n">
        <f aca="false">Inputs!$F$48*IF(AW23=Inputs!$F$198,1,0)</f>
        <v>0</v>
      </c>
      <c r="AX42" s="9" t="n">
        <f aca="false">Inputs!$F$48*IF(AX23=Inputs!$F$198,1,0)</f>
        <v>0</v>
      </c>
      <c r="AY42" s="9" t="n">
        <f aca="false">Inputs!$F$48*IF(AY23=Inputs!$F$198,1,0)</f>
        <v>0</v>
      </c>
      <c r="AZ42" s="9" t="n">
        <f aca="false">Inputs!$F$48*IF(AZ23=Inputs!$F$198,1,0)</f>
        <v>0</v>
      </c>
      <c r="BA42" s="9" t="n">
        <f aca="false">Inputs!$F$48*IF(BA23=Inputs!$F$198,1,0)</f>
        <v>0</v>
      </c>
      <c r="BB42" s="9" t="n">
        <f aca="false">Inputs!$F$48*IF(BB23=Inputs!$F$198,1,0)</f>
        <v>0</v>
      </c>
      <c r="BC42" s="9" t="n">
        <f aca="false">Inputs!$F$48*IF(BC23=Inputs!$F$198,1,0)</f>
        <v>0</v>
      </c>
      <c r="BD42" s="9" t="n">
        <f aca="false">Inputs!$F$48*IF(BD23=Inputs!$F$198,1,0)</f>
        <v>0</v>
      </c>
      <c r="BE42" s="9" t="n">
        <f aca="false">Inputs!$F$48*IF(BE23=Inputs!$F$198,1,0)</f>
        <v>0</v>
      </c>
      <c r="BF42" s="9" t="n">
        <f aca="false">Inputs!$F$48*IF(BF23=Inputs!$F$198,1,0)</f>
        <v>0</v>
      </c>
      <c r="BG42" s="9" t="n">
        <f aca="false">Inputs!$F$48*IF(BG23=Inputs!$F$198,1,0)</f>
        <v>0</v>
      </c>
      <c r="BH42" s="9" t="n">
        <f aca="false">Inputs!$F$48*IF(BH23=Inputs!$F$198,1,0)</f>
        <v>0</v>
      </c>
      <c r="BI42" s="9" t="n">
        <f aca="false">Inputs!$F$48*IF(BI23=Inputs!$F$198,1,0)</f>
        <v>0</v>
      </c>
      <c r="BJ42" s="9" t="n">
        <f aca="false">Inputs!$F$48*IF(BJ23=Inputs!$F$198,1,0)</f>
        <v>0</v>
      </c>
      <c r="BK42" s="9" t="n">
        <f aca="false">Inputs!$F$48*IF(BK23=Inputs!$F$198,1,0)</f>
        <v>0</v>
      </c>
      <c r="BL42" s="9" t="n">
        <f aca="false">Inputs!$F$48*IF(BL23=Inputs!$F$198,1,0)</f>
        <v>0</v>
      </c>
      <c r="BM42" s="9" t="n">
        <f aca="false">Inputs!$F$48*IF(BM23=Inputs!$F$198,1,0)</f>
        <v>0</v>
      </c>
      <c r="BN42" s="9" t="n">
        <f aca="false">Inputs!$F$48*IF(BN23=Inputs!$F$198,1,0)</f>
        <v>0</v>
      </c>
    </row>
    <row r="43" customFormat="false" ht="15" hidden="false" customHeight="false" outlineLevel="0" collapsed="false">
      <c r="D43" s="0" t="s">
        <v>1484</v>
      </c>
      <c r="E43" s="0" t="s">
        <v>115</v>
      </c>
      <c r="J43" s="9" t="n">
        <f aca="false">Inputs!$F$49*IF(J23=Inputs!$F$200,1,0)</f>
        <v>0</v>
      </c>
      <c r="K43" s="9" t="n">
        <f aca="false">Inputs!$F$49*IF(K23=Inputs!$F$200,1,0)</f>
        <v>0</v>
      </c>
      <c r="L43" s="9" t="n">
        <f aca="false">Inputs!$F$49*IF(L23=Inputs!$F$200,1,0)</f>
        <v>0</v>
      </c>
      <c r="M43" s="9" t="n">
        <f aca="false">Inputs!$F$49*IF(M23=Inputs!$F$200,1,0)</f>
        <v>0</v>
      </c>
      <c r="N43" s="9" t="n">
        <f aca="false">Inputs!$F$49*IF(N23=Inputs!$F$200,1,0)</f>
        <v>0</v>
      </c>
      <c r="O43" s="9" t="n">
        <f aca="false">Inputs!$F$49*IF(O23=Inputs!$F$200,1,0)</f>
        <v>0</v>
      </c>
      <c r="P43" s="9" t="n">
        <f aca="false">Inputs!$F$49*IF(P23=Inputs!$F$200,1,0)</f>
        <v>0</v>
      </c>
      <c r="Q43" s="9" t="n">
        <f aca="false">Inputs!$F$49*IF(Q23=Inputs!$F$200,1,0)</f>
        <v>0</v>
      </c>
      <c r="R43" s="9" t="n">
        <f aca="false">Inputs!$F$49*IF(R23=Inputs!$F$200,1,0)</f>
        <v>0</v>
      </c>
      <c r="S43" s="9" t="n">
        <f aca="false">Inputs!$F$49*IF(S23=Inputs!$F$200,1,0)</f>
        <v>0</v>
      </c>
      <c r="T43" s="9" t="n">
        <f aca="false">Inputs!$F$49*IF(T23=Inputs!$F$200,1,0)</f>
        <v>0</v>
      </c>
      <c r="U43" s="9" t="n">
        <f aca="false">Inputs!$F$49*IF(U23=Inputs!$F$200,1,0)</f>
        <v>0</v>
      </c>
      <c r="V43" s="9" t="n">
        <f aca="false">Inputs!$F$49*IF(V23=Inputs!$F$200,1,0)</f>
        <v>0</v>
      </c>
      <c r="W43" s="9" t="n">
        <f aca="false">Inputs!$F$49*IF(W23=Inputs!$F$200,1,0)</f>
        <v>0</v>
      </c>
      <c r="X43" s="9" t="n">
        <f aca="false">Inputs!$F$49*IF(X23=Inputs!$F$200,1,0)</f>
        <v>0</v>
      </c>
      <c r="Y43" s="9" t="n">
        <f aca="false">Inputs!$F$49*IF(Y23=Inputs!$F$200,1,0)</f>
        <v>0</v>
      </c>
      <c r="Z43" s="9" t="n">
        <f aca="false">Inputs!$F$49*IF(Z23=Inputs!$F$200,1,0)</f>
        <v>0</v>
      </c>
      <c r="AA43" s="9" t="n">
        <f aca="false">Inputs!$F$49*IF(AA23=Inputs!$F$200,1,0)</f>
        <v>0</v>
      </c>
      <c r="AB43" s="9" t="n">
        <f aca="false">Inputs!$F$49*IF(AB23=Inputs!$F$200,1,0)</f>
        <v>0</v>
      </c>
      <c r="AC43" s="9" t="n">
        <f aca="false">Inputs!$F$49*IF(AC23=Inputs!$F$200,1,0)</f>
        <v>0</v>
      </c>
      <c r="AD43" s="9" t="n">
        <f aca="false">Inputs!$F$49*IF(AD23=Inputs!$F$200,1,0)</f>
        <v>0</v>
      </c>
      <c r="AE43" s="9" t="n">
        <f aca="false">Inputs!$F$49*IF(AE23=Inputs!$F$200,1,0)</f>
        <v>0</v>
      </c>
      <c r="AF43" s="9" t="n">
        <f aca="false">Inputs!$F$49*IF(AF23=Inputs!$F$200,1,0)</f>
        <v>0</v>
      </c>
      <c r="AG43" s="9" t="n">
        <f aca="false">Inputs!$F$49*IF(AG23=Inputs!$F$200,1,0)</f>
        <v>0</v>
      </c>
      <c r="AH43" s="9" t="n">
        <f aca="false">Inputs!$F$49*IF(AH23=Inputs!$F$200,1,0)</f>
        <v>0</v>
      </c>
      <c r="AI43" s="9" t="n">
        <f aca="false">Inputs!$F$49*IF(AI23=Inputs!$F$200,1,0)</f>
        <v>0</v>
      </c>
      <c r="AJ43" s="9" t="n">
        <f aca="false">Inputs!$F$49*IF(AJ23=Inputs!$F$200,1,0)</f>
        <v>0</v>
      </c>
      <c r="AK43" s="9" t="n">
        <f aca="false">Inputs!$F$49*IF(AK23=Inputs!$F$200,1,0)</f>
        <v>0</v>
      </c>
      <c r="AL43" s="9" t="n">
        <f aca="false">Inputs!$F$49*IF(AL23=Inputs!$F$200,1,0)</f>
        <v>0</v>
      </c>
      <c r="AM43" s="9" t="n">
        <f aca="false">Inputs!$F$49*IF(AM23=Inputs!$F$200,1,0)</f>
        <v>0</v>
      </c>
      <c r="AN43" s="9" t="n">
        <f aca="false">Inputs!$F$49*IF(AN23=Inputs!$F$200,1,0)</f>
        <v>0</v>
      </c>
      <c r="AO43" s="9" t="n">
        <f aca="false">Inputs!$F$49*IF(AO23=Inputs!$F$200,1,0)</f>
        <v>0</v>
      </c>
      <c r="AP43" s="9" t="n">
        <f aca="false">Inputs!$F$49*IF(AP23=Inputs!$F$200,1,0)</f>
        <v>0</v>
      </c>
      <c r="AQ43" s="9" t="n">
        <f aca="false">Inputs!$F$49*IF(AQ23=Inputs!$F$200,1,0)</f>
        <v>0</v>
      </c>
      <c r="AR43" s="9" t="n">
        <f aca="false">Inputs!$F$49*IF(AR23=Inputs!$F$200,1,0)</f>
        <v>0</v>
      </c>
      <c r="AS43" s="9" t="n">
        <f aca="false">Inputs!$F$49*IF(AS23=Inputs!$F$200,1,0)</f>
        <v>0</v>
      </c>
      <c r="AT43" s="9" t="n">
        <f aca="false">Inputs!$F$49*IF(AT23=Inputs!$F$200,1,0)</f>
        <v>0</v>
      </c>
      <c r="AU43" s="9" t="n">
        <f aca="false">Inputs!$F$49*IF(AU23=Inputs!$F$200,1,0)</f>
        <v>0</v>
      </c>
      <c r="AV43" s="9" t="n">
        <f aca="false">Inputs!$F$49*IF(AV23=Inputs!$F$200,1,0)</f>
        <v>0</v>
      </c>
      <c r="AW43" s="9" t="n">
        <f aca="false">Inputs!$F$49*IF(AW23=Inputs!$F$200,1,0)</f>
        <v>0</v>
      </c>
      <c r="AX43" s="9" t="n">
        <f aca="false">Inputs!$F$49*IF(AX23=Inputs!$F$200,1,0)</f>
        <v>0</v>
      </c>
      <c r="AY43" s="9" t="n">
        <f aca="false">Inputs!$F$49*IF(AY23=Inputs!$F$200,1,0)</f>
        <v>0</v>
      </c>
      <c r="AZ43" s="9" t="n">
        <f aca="false">Inputs!$F$49*IF(AZ23=Inputs!$F$200,1,0)</f>
        <v>0</v>
      </c>
      <c r="BA43" s="9" t="n">
        <f aca="false">Inputs!$F$49*IF(BA23=Inputs!$F$200,1,0)</f>
        <v>0</v>
      </c>
      <c r="BB43" s="9" t="n">
        <f aca="false">Inputs!$F$49*IF(BB23=Inputs!$F$200,1,0)</f>
        <v>0</v>
      </c>
      <c r="BC43" s="9" t="n">
        <f aca="false">Inputs!$F$49*IF(BC23=Inputs!$F$200,1,0)</f>
        <v>0</v>
      </c>
      <c r="BD43" s="9" t="n">
        <f aca="false">Inputs!$F$49*IF(BD23=Inputs!$F$200,1,0)</f>
        <v>0</v>
      </c>
      <c r="BE43" s="9" t="n">
        <f aca="false">Inputs!$F$49*IF(BE23=Inputs!$F$200,1,0)</f>
        <v>0</v>
      </c>
      <c r="BF43" s="9" t="n">
        <f aca="false">Inputs!$F$49*IF(BF23=Inputs!$F$200,1,0)</f>
        <v>0</v>
      </c>
      <c r="BG43" s="9" t="n">
        <f aca="false">Inputs!$F$49*IF(BG23=Inputs!$F$200,1,0)</f>
        <v>0</v>
      </c>
      <c r="BH43" s="9" t="n">
        <f aca="false">Inputs!$F$49*IF(BH23=Inputs!$F$200,1,0)</f>
        <v>0</v>
      </c>
      <c r="BI43" s="9" t="n">
        <f aca="false">Inputs!$F$49*IF(BI23=Inputs!$F$200,1,0)</f>
        <v>0</v>
      </c>
      <c r="BJ43" s="9" t="n">
        <f aca="false">Inputs!$F$49*IF(BJ23=Inputs!$F$200,1,0)</f>
        <v>0</v>
      </c>
      <c r="BK43" s="9" t="n">
        <f aca="false">Inputs!$F$49*IF(BK23=Inputs!$F$200,1,0)</f>
        <v>0</v>
      </c>
      <c r="BL43" s="9" t="n">
        <f aca="false">Inputs!$F$49*IF(BL23=Inputs!$F$200,1,0)</f>
        <v>0</v>
      </c>
      <c r="BM43" s="9" t="n">
        <f aca="false">Inputs!$F$49*IF(BM23=Inputs!$F$200,1,0)</f>
        <v>0</v>
      </c>
      <c r="BN43" s="9" t="n">
        <f aca="false">Inputs!$F$49*IF(BN23=Inputs!$F$200,1,0)</f>
        <v>0</v>
      </c>
    </row>
    <row r="44" customFormat="false" ht="15" hidden="false" customHeight="false" outlineLevel="0" collapsed="false">
      <c r="D44" s="0" t="s">
        <v>1485</v>
      </c>
      <c r="E44" s="0" t="s">
        <v>115</v>
      </c>
      <c r="J44" s="9" t="n">
        <f aca="false">Inputs!$F$49*IF(AND(J22&gt;=Inputs!$F$201,J23&lt;=Inputs!$F$202),1,0)</f>
        <v>0</v>
      </c>
      <c r="K44" s="9" t="n">
        <f aca="false">Inputs!$F$49*IF(AND(K22&gt;=Inputs!$F$201,K23&lt;=Inputs!$F$202),1,0)</f>
        <v>0</v>
      </c>
      <c r="L44" s="9" t="n">
        <f aca="false">Inputs!$F$49*IF(AND(L22&gt;=Inputs!$F$201,L23&lt;=Inputs!$F$202),1,0)</f>
        <v>0</v>
      </c>
      <c r="M44" s="9" t="n">
        <f aca="false">Inputs!$F$49*IF(AND(M22&gt;=Inputs!$F$201,M23&lt;=Inputs!$F$202),1,0)</f>
        <v>0</v>
      </c>
      <c r="N44" s="9" t="n">
        <f aca="false">Inputs!$F$49*IF(AND(N22&gt;=Inputs!$F$201,N23&lt;=Inputs!$F$202),1,0)</f>
        <v>0</v>
      </c>
      <c r="O44" s="9" t="n">
        <f aca="false">Inputs!$F$49*IF(AND(O22&gt;=Inputs!$F$201,O23&lt;=Inputs!$F$202),1,0)</f>
        <v>0</v>
      </c>
      <c r="P44" s="9" t="n">
        <f aca="false">Inputs!$F$49*IF(AND(P22&gt;=Inputs!$F$201,P23&lt;=Inputs!$F$202),1,0)</f>
        <v>0</v>
      </c>
      <c r="Q44" s="9" t="n">
        <f aca="false">Inputs!$F$49*IF(AND(Q22&gt;=Inputs!$F$201,Q23&lt;=Inputs!$F$202),1,0)</f>
        <v>0</v>
      </c>
      <c r="R44" s="9" t="n">
        <f aca="false">Inputs!$F$49*IF(AND(R22&gt;=Inputs!$F$201,R23&lt;=Inputs!$F$202),1,0)</f>
        <v>0</v>
      </c>
      <c r="S44" s="9" t="n">
        <f aca="false">Inputs!$F$49*IF(AND(S22&gt;=Inputs!$F$201,S23&lt;=Inputs!$F$202),1,0)</f>
        <v>0</v>
      </c>
      <c r="T44" s="9" t="n">
        <f aca="false">Inputs!$F$49*IF(AND(T22&gt;=Inputs!$F$201,T23&lt;=Inputs!$F$202),1,0)</f>
        <v>0</v>
      </c>
      <c r="U44" s="9" t="n">
        <f aca="false">Inputs!$F$49*IF(AND(U22&gt;=Inputs!$F$201,U23&lt;=Inputs!$F$202),1,0)</f>
        <v>0</v>
      </c>
      <c r="V44" s="9" t="n">
        <f aca="false">Inputs!$F$49*IF(AND(V22&gt;=Inputs!$F$201,V23&lt;=Inputs!$F$202),1,0)</f>
        <v>0</v>
      </c>
      <c r="W44" s="9" t="n">
        <f aca="false">Inputs!$F$49*IF(AND(W22&gt;=Inputs!$F$201,W23&lt;=Inputs!$F$202),1,0)</f>
        <v>0</v>
      </c>
      <c r="X44" s="9" t="n">
        <f aca="false">Inputs!$F$49*IF(AND(X22&gt;=Inputs!$F$201,X23&lt;=Inputs!$F$202),1,0)</f>
        <v>0</v>
      </c>
      <c r="Y44" s="9" t="n">
        <f aca="false">Inputs!$F$49*IF(AND(Y22&gt;=Inputs!$F$201,Y23&lt;=Inputs!$F$202),1,0)</f>
        <v>0</v>
      </c>
      <c r="Z44" s="9" t="n">
        <f aca="false">Inputs!$F$49*IF(AND(Z22&gt;=Inputs!$F$201,Z23&lt;=Inputs!$F$202),1,0)</f>
        <v>0</v>
      </c>
      <c r="AA44" s="9" t="n">
        <f aca="false">Inputs!$F$49*IF(AND(AA22&gt;=Inputs!$F$201,AA23&lt;=Inputs!$F$202),1,0)</f>
        <v>0</v>
      </c>
      <c r="AB44" s="9" t="n">
        <f aca="false">Inputs!$F$49*IF(AND(AB22&gt;=Inputs!$F$201,AB23&lt;=Inputs!$F$202),1,0)</f>
        <v>0</v>
      </c>
      <c r="AC44" s="9" t="n">
        <f aca="false">Inputs!$F$49*IF(AND(AC22&gt;=Inputs!$F$201,AC23&lt;=Inputs!$F$202),1,0)</f>
        <v>0</v>
      </c>
      <c r="AD44" s="9" t="n">
        <f aca="false">Inputs!$F$49*IF(AND(AD22&gt;=Inputs!$F$201,AD23&lt;=Inputs!$F$202),1,0)</f>
        <v>0</v>
      </c>
      <c r="AE44" s="9" t="n">
        <f aca="false">Inputs!$F$49*IF(AND(AE22&gt;=Inputs!$F$201,AE23&lt;=Inputs!$F$202),1,0)</f>
        <v>0</v>
      </c>
      <c r="AF44" s="9" t="n">
        <f aca="false">Inputs!$F$49*IF(AND(AF22&gt;=Inputs!$F$201,AF23&lt;=Inputs!$F$202),1,0)</f>
        <v>0</v>
      </c>
      <c r="AG44" s="9" t="n">
        <f aca="false">Inputs!$F$49*IF(AND(AG22&gt;=Inputs!$F$201,AG23&lt;=Inputs!$F$202),1,0)</f>
        <v>0</v>
      </c>
      <c r="AH44" s="9" t="n">
        <f aca="false">Inputs!$F$49*IF(AND(AH22&gt;=Inputs!$F$201,AH23&lt;=Inputs!$F$202),1,0)</f>
        <v>0</v>
      </c>
      <c r="AI44" s="9" t="n">
        <f aca="false">Inputs!$F$49*IF(AND(AI22&gt;=Inputs!$F$201,AI23&lt;=Inputs!$F$202),1,0)</f>
        <v>0</v>
      </c>
      <c r="AJ44" s="9" t="n">
        <f aca="false">Inputs!$F$49*IF(AND(AJ22&gt;=Inputs!$F$201,AJ23&lt;=Inputs!$F$202),1,0)</f>
        <v>0</v>
      </c>
      <c r="AK44" s="9" t="n">
        <f aca="false">Inputs!$F$49*IF(AND(AK22&gt;=Inputs!$F$201,AK23&lt;=Inputs!$F$202),1,0)</f>
        <v>0</v>
      </c>
      <c r="AL44" s="9" t="n">
        <f aca="false">Inputs!$F$49*IF(AND(AL22&gt;=Inputs!$F$201,AL23&lt;=Inputs!$F$202),1,0)</f>
        <v>0</v>
      </c>
      <c r="AM44" s="9" t="n">
        <f aca="false">Inputs!$F$49*IF(AND(AM22&gt;=Inputs!$F$201,AM23&lt;=Inputs!$F$202),1,0)</f>
        <v>0</v>
      </c>
      <c r="AN44" s="9" t="n">
        <f aca="false">Inputs!$F$49*IF(AND(AN22&gt;=Inputs!$F$201,AN23&lt;=Inputs!$F$202),1,0)</f>
        <v>0</v>
      </c>
      <c r="AO44" s="9" t="n">
        <f aca="false">Inputs!$F$49*IF(AND(AO22&gt;=Inputs!$F$201,AO23&lt;=Inputs!$F$202),1,0)</f>
        <v>0</v>
      </c>
      <c r="AP44" s="9" t="n">
        <f aca="false">Inputs!$F$49*IF(AND(AP22&gt;=Inputs!$F$201,AP23&lt;=Inputs!$F$202),1,0)</f>
        <v>0</v>
      </c>
      <c r="AQ44" s="9" t="n">
        <f aca="false">Inputs!$F$49*IF(AND(AQ22&gt;=Inputs!$F$201,AQ23&lt;=Inputs!$F$202),1,0)</f>
        <v>0</v>
      </c>
      <c r="AR44" s="9" t="n">
        <f aca="false">Inputs!$F$49*IF(AND(AR22&gt;=Inputs!$F$201,AR23&lt;=Inputs!$F$202),1,0)</f>
        <v>0</v>
      </c>
      <c r="AS44" s="9" t="n">
        <f aca="false">Inputs!$F$49*IF(AND(AS22&gt;=Inputs!$F$201,AS23&lt;=Inputs!$F$202),1,0)</f>
        <v>0</v>
      </c>
      <c r="AT44" s="9" t="n">
        <f aca="false">Inputs!$F$49*IF(AND(AT22&gt;=Inputs!$F$201,AT23&lt;=Inputs!$F$202),1,0)</f>
        <v>0</v>
      </c>
      <c r="AU44" s="9" t="n">
        <f aca="false">Inputs!$F$49*IF(AND(AU22&gt;=Inputs!$F$201,AU23&lt;=Inputs!$F$202),1,0)</f>
        <v>0</v>
      </c>
      <c r="AV44" s="9" t="n">
        <f aca="false">Inputs!$F$49*IF(AND(AV22&gt;=Inputs!$F$201,AV23&lt;=Inputs!$F$202),1,0)</f>
        <v>0</v>
      </c>
      <c r="AW44" s="9" t="n">
        <f aca="false">Inputs!$F$49*IF(AND(AW22&gt;=Inputs!$F$201,AW23&lt;=Inputs!$F$202),1,0)</f>
        <v>0</v>
      </c>
      <c r="AX44" s="9" t="n">
        <f aca="false">Inputs!$F$49*IF(AND(AX22&gt;=Inputs!$F$201,AX23&lt;=Inputs!$F$202),1,0)</f>
        <v>0</v>
      </c>
      <c r="AY44" s="9" t="n">
        <f aca="false">Inputs!$F$49*IF(AND(AY22&gt;=Inputs!$F$201,AY23&lt;=Inputs!$F$202),1,0)</f>
        <v>0</v>
      </c>
      <c r="AZ44" s="9" t="n">
        <f aca="false">Inputs!$F$49*IF(AND(AZ22&gt;=Inputs!$F$201,AZ23&lt;=Inputs!$F$202),1,0)</f>
        <v>0</v>
      </c>
      <c r="BA44" s="9" t="n">
        <f aca="false">Inputs!$F$49*IF(AND(BA22&gt;=Inputs!$F$201,BA23&lt;=Inputs!$F$202),1,0)</f>
        <v>0</v>
      </c>
      <c r="BB44" s="9" t="n">
        <f aca="false">Inputs!$F$49*IF(AND(BB22&gt;=Inputs!$F$201,BB23&lt;=Inputs!$F$202),1,0)</f>
        <v>0</v>
      </c>
      <c r="BC44" s="9" t="n">
        <f aca="false">Inputs!$F$49*IF(AND(BC22&gt;=Inputs!$F$201,BC23&lt;=Inputs!$F$202),1,0)</f>
        <v>0</v>
      </c>
      <c r="BD44" s="9" t="n">
        <f aca="false">Inputs!$F$49*IF(AND(BD22&gt;=Inputs!$F$201,BD23&lt;=Inputs!$F$202),1,0)</f>
        <v>0</v>
      </c>
      <c r="BE44" s="9" t="n">
        <f aca="false">Inputs!$F$49*IF(AND(BE22&gt;=Inputs!$F$201,BE23&lt;=Inputs!$F$202),1,0)</f>
        <v>0</v>
      </c>
      <c r="BF44" s="9" t="n">
        <f aca="false">Inputs!$F$49*IF(AND(BF22&gt;=Inputs!$F$201,BF23&lt;=Inputs!$F$202),1,0)</f>
        <v>0</v>
      </c>
      <c r="BG44" s="9" t="n">
        <f aca="false">Inputs!$F$49*IF(AND(BG22&gt;=Inputs!$F$201,BG23&lt;=Inputs!$F$202),1,0)</f>
        <v>0</v>
      </c>
      <c r="BH44" s="9" t="n">
        <f aca="false">Inputs!$F$49*IF(AND(BH22&gt;=Inputs!$F$201,BH23&lt;=Inputs!$F$202),1,0)</f>
        <v>0</v>
      </c>
      <c r="BI44" s="9" t="n">
        <f aca="false">Inputs!$F$49*IF(AND(BI22&gt;=Inputs!$F$201,BI23&lt;=Inputs!$F$202),1,0)</f>
        <v>0</v>
      </c>
      <c r="BJ44" s="9" t="n">
        <f aca="false">Inputs!$F$49*IF(AND(BJ22&gt;=Inputs!$F$201,BJ23&lt;=Inputs!$F$202),1,0)</f>
        <v>0</v>
      </c>
      <c r="BK44" s="9" t="n">
        <f aca="false">Inputs!$F$49*IF(AND(BK22&gt;=Inputs!$F$201,BK23&lt;=Inputs!$F$202),1,0)</f>
        <v>0</v>
      </c>
      <c r="BL44" s="9" t="n">
        <f aca="false">Inputs!$F$49*IF(AND(BL22&gt;=Inputs!$F$201,BL23&lt;=Inputs!$F$202),1,0)</f>
        <v>0</v>
      </c>
      <c r="BM44" s="9" t="n">
        <f aca="false">Inputs!$F$49*IF(AND(BM22&gt;=Inputs!$F$201,BM23&lt;=Inputs!$F$202),1,0)</f>
        <v>0</v>
      </c>
      <c r="BN44" s="9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1486</v>
      </c>
      <c r="E45" s="0" t="s">
        <v>115</v>
      </c>
      <c r="J45" s="9" t="n">
        <f aca="false">Inputs!$F$49*IF(AND(J23&gt;=Inputs!$F$203,J23&lt;=Inputs!$F$204),1,0)</f>
        <v>0</v>
      </c>
      <c r="K45" s="9" t="n">
        <f aca="false">Inputs!$F$49*IF(AND(K23&gt;=Inputs!$F$203,K23&lt;=Inputs!$F$204),1,0)</f>
        <v>0</v>
      </c>
      <c r="L45" s="9" t="n">
        <f aca="false">Inputs!$F$49*IF(AND(L23&gt;=Inputs!$F$203,L23&lt;=Inputs!$F$204),1,0)</f>
        <v>0</v>
      </c>
      <c r="M45" s="9" t="n">
        <f aca="false">Inputs!$F$49*IF(AND(M23&gt;=Inputs!$F$203,M23&lt;=Inputs!$F$204),1,0)</f>
        <v>0</v>
      </c>
      <c r="N45" s="9" t="n">
        <f aca="false">Inputs!$F$49*IF(AND(N23&gt;=Inputs!$F$203,N23&lt;=Inputs!$F$204),1,0)</f>
        <v>0</v>
      </c>
      <c r="O45" s="9" t="n">
        <f aca="false">Inputs!$F$49*IF(AND(O23&gt;=Inputs!$F$203,O23&lt;=Inputs!$F$204),1,0)</f>
        <v>0</v>
      </c>
      <c r="P45" s="9" t="n">
        <f aca="false">Inputs!$F$49*IF(AND(P23&gt;=Inputs!$F$203,P23&lt;=Inputs!$F$204),1,0)</f>
        <v>0</v>
      </c>
      <c r="Q45" s="9" t="n">
        <f aca="false">Inputs!$F$49*IF(AND(Q23&gt;=Inputs!$F$203,Q23&lt;=Inputs!$F$204),1,0)</f>
        <v>0</v>
      </c>
      <c r="R45" s="9" t="n">
        <f aca="false">Inputs!$F$49*IF(AND(R23&gt;=Inputs!$F$203,R23&lt;=Inputs!$F$204),1,0)</f>
        <v>0</v>
      </c>
      <c r="S45" s="9" t="n">
        <f aca="false">Inputs!$F$49*IF(AND(S23&gt;=Inputs!$F$203,S23&lt;=Inputs!$F$204),1,0)</f>
        <v>0</v>
      </c>
      <c r="T45" s="9" t="n">
        <f aca="false">Inputs!$F$49*IF(AND(T23&gt;=Inputs!$F$203,T23&lt;=Inputs!$F$204),1,0)</f>
        <v>0</v>
      </c>
      <c r="U45" s="9" t="n">
        <f aca="false">Inputs!$F$49*IF(AND(U23&gt;=Inputs!$F$203,U23&lt;=Inputs!$F$204),1,0)</f>
        <v>0</v>
      </c>
      <c r="V45" s="9" t="n">
        <f aca="false">Inputs!$F$49*IF(AND(V23&gt;=Inputs!$F$203,V23&lt;=Inputs!$F$204),1,0)</f>
        <v>0</v>
      </c>
      <c r="W45" s="9" t="n">
        <f aca="false">Inputs!$F$49*IF(AND(W23&gt;=Inputs!$F$203,W23&lt;=Inputs!$F$204),1,0)</f>
        <v>0</v>
      </c>
      <c r="X45" s="9" t="n">
        <f aca="false">Inputs!$F$49*IF(AND(X23&gt;=Inputs!$F$203,X23&lt;=Inputs!$F$204),1,0)</f>
        <v>0</v>
      </c>
      <c r="Y45" s="9" t="n">
        <f aca="false">Inputs!$F$49*IF(AND(Y23&gt;=Inputs!$F$203,Y23&lt;=Inputs!$F$204),1,0)</f>
        <v>0</v>
      </c>
      <c r="Z45" s="9" t="n">
        <f aca="false">Inputs!$F$49*IF(AND(Z23&gt;=Inputs!$F$203,Z23&lt;=Inputs!$F$204),1,0)</f>
        <v>0</v>
      </c>
      <c r="AA45" s="9" t="n">
        <f aca="false">Inputs!$F$49*IF(AND(AA23&gt;=Inputs!$F$203,AA23&lt;=Inputs!$F$204),1,0)</f>
        <v>0</v>
      </c>
      <c r="AB45" s="9" t="n">
        <f aca="false">Inputs!$F$49*IF(AND(AB23&gt;=Inputs!$F$203,AB23&lt;=Inputs!$F$204),1,0)</f>
        <v>0</v>
      </c>
      <c r="AC45" s="9" t="n">
        <f aca="false">Inputs!$F$49*IF(AND(AC23&gt;=Inputs!$F$203,AC23&lt;=Inputs!$F$204),1,0)</f>
        <v>0</v>
      </c>
      <c r="AD45" s="9" t="n">
        <f aca="false">Inputs!$F$49*IF(AND(AD23&gt;=Inputs!$F$203,AD23&lt;=Inputs!$F$204),1,0)</f>
        <v>0</v>
      </c>
      <c r="AE45" s="9" t="n">
        <f aca="false">Inputs!$F$49*IF(AND(AE23&gt;=Inputs!$F$203,AE23&lt;=Inputs!$F$204),1,0)</f>
        <v>0</v>
      </c>
      <c r="AF45" s="9" t="n">
        <f aca="false">Inputs!$F$49*IF(AND(AF23&gt;=Inputs!$F$203,AF23&lt;=Inputs!$F$204),1,0)</f>
        <v>0</v>
      </c>
      <c r="AG45" s="9" t="n">
        <f aca="false">Inputs!$F$49*IF(AND(AG23&gt;=Inputs!$F$203,AG23&lt;=Inputs!$F$204),1,0)</f>
        <v>0</v>
      </c>
      <c r="AH45" s="9" t="n">
        <f aca="false">Inputs!$F$49*IF(AND(AH23&gt;=Inputs!$F$203,AH23&lt;=Inputs!$F$204),1,0)</f>
        <v>0</v>
      </c>
      <c r="AI45" s="9" t="n">
        <f aca="false">Inputs!$F$49*IF(AND(AI23&gt;=Inputs!$F$203,AI23&lt;=Inputs!$F$204),1,0)</f>
        <v>0</v>
      </c>
      <c r="AJ45" s="9" t="n">
        <f aca="false">Inputs!$F$49*IF(AND(AJ23&gt;=Inputs!$F$203,AJ23&lt;=Inputs!$F$204),1,0)</f>
        <v>0</v>
      </c>
      <c r="AK45" s="9" t="n">
        <f aca="false">Inputs!$F$49*IF(AND(AK23&gt;=Inputs!$F$203,AK23&lt;=Inputs!$F$204),1,0)</f>
        <v>0</v>
      </c>
      <c r="AL45" s="9" t="n">
        <f aca="false">Inputs!$F$49*IF(AND(AL23&gt;=Inputs!$F$203,AL23&lt;=Inputs!$F$204),1,0)</f>
        <v>0</v>
      </c>
      <c r="AM45" s="9" t="n">
        <f aca="false">Inputs!$F$49*IF(AND(AM23&gt;=Inputs!$F$203,AM23&lt;=Inputs!$F$204),1,0)</f>
        <v>0</v>
      </c>
      <c r="AN45" s="9" t="n">
        <f aca="false">Inputs!$F$49*IF(AND(AN23&gt;=Inputs!$F$203,AN23&lt;=Inputs!$F$204),1,0)</f>
        <v>0</v>
      </c>
      <c r="AO45" s="9" t="n">
        <f aca="false">Inputs!$F$49*IF(AND(AO23&gt;=Inputs!$F$203,AO23&lt;=Inputs!$F$204),1,0)</f>
        <v>0</v>
      </c>
      <c r="AP45" s="9" t="n">
        <f aca="false">Inputs!$F$49*IF(AND(AP23&gt;=Inputs!$F$203,AP23&lt;=Inputs!$F$204),1,0)</f>
        <v>0</v>
      </c>
      <c r="AQ45" s="9" t="n">
        <f aca="false">Inputs!$F$49*IF(AND(AQ23&gt;=Inputs!$F$203,AQ23&lt;=Inputs!$F$204),1,0)</f>
        <v>0</v>
      </c>
      <c r="AR45" s="9" t="n">
        <f aca="false">Inputs!$F$49*IF(AND(AR23&gt;=Inputs!$F$203,AR23&lt;=Inputs!$F$204),1,0)</f>
        <v>0</v>
      </c>
      <c r="AS45" s="9" t="n">
        <f aca="false">Inputs!$F$49*IF(AND(AS23&gt;=Inputs!$F$203,AS23&lt;=Inputs!$F$204),1,0)</f>
        <v>0</v>
      </c>
      <c r="AT45" s="9" t="n">
        <f aca="false">Inputs!$F$49*IF(AND(AT23&gt;=Inputs!$F$203,AT23&lt;=Inputs!$F$204),1,0)</f>
        <v>0</v>
      </c>
      <c r="AU45" s="9" t="n">
        <f aca="false">Inputs!$F$49*IF(AND(AU23&gt;=Inputs!$F$203,AU23&lt;=Inputs!$F$204),1,0)</f>
        <v>0</v>
      </c>
      <c r="AV45" s="9" t="n">
        <f aca="false">Inputs!$F$49*IF(AND(AV23&gt;=Inputs!$F$203,AV23&lt;=Inputs!$F$204),1,0)</f>
        <v>0</v>
      </c>
      <c r="AW45" s="9" t="n">
        <f aca="false">Inputs!$F$49*IF(AND(AW23&gt;=Inputs!$F$203,AW23&lt;=Inputs!$F$204),1,0)</f>
        <v>0</v>
      </c>
      <c r="AX45" s="9" t="n">
        <f aca="false">Inputs!$F$49*IF(AND(AX23&gt;=Inputs!$F$203,AX23&lt;=Inputs!$F$204),1,0)</f>
        <v>0</v>
      </c>
      <c r="AY45" s="9" t="n">
        <f aca="false">Inputs!$F$49*IF(AND(AY23&gt;=Inputs!$F$203,AY23&lt;=Inputs!$F$204),1,0)</f>
        <v>0</v>
      </c>
      <c r="AZ45" s="9" t="n">
        <f aca="false">Inputs!$F$49*IF(AND(AZ23&gt;=Inputs!$F$203,AZ23&lt;=Inputs!$F$204),1,0)</f>
        <v>0</v>
      </c>
      <c r="BA45" s="9" t="n">
        <f aca="false">Inputs!$F$49*IF(AND(BA23&gt;=Inputs!$F$203,BA23&lt;=Inputs!$F$204),1,0)</f>
        <v>0</v>
      </c>
      <c r="BB45" s="9" t="n">
        <f aca="false">Inputs!$F$49*IF(AND(BB23&gt;=Inputs!$F$203,BB23&lt;=Inputs!$F$204),1,0)</f>
        <v>0</v>
      </c>
      <c r="BC45" s="9" t="n">
        <f aca="false">Inputs!$F$49*IF(AND(BC23&gt;=Inputs!$F$203,BC23&lt;=Inputs!$F$204),1,0)</f>
        <v>0</v>
      </c>
      <c r="BD45" s="9" t="n">
        <f aca="false">Inputs!$F$49*IF(AND(BD23&gt;=Inputs!$F$203,BD23&lt;=Inputs!$F$204),1,0)</f>
        <v>0</v>
      </c>
      <c r="BE45" s="9" t="n">
        <f aca="false">Inputs!$F$49*IF(AND(BE23&gt;=Inputs!$F$203,BE23&lt;=Inputs!$F$204),1,0)</f>
        <v>0</v>
      </c>
      <c r="BF45" s="9" t="n">
        <f aca="false">Inputs!$F$49*IF(AND(BF23&gt;=Inputs!$F$203,BF23&lt;=Inputs!$F$204),1,0)</f>
        <v>0</v>
      </c>
      <c r="BG45" s="9" t="n">
        <f aca="false">Inputs!$F$49*IF(AND(BG23&gt;=Inputs!$F$203,BG23&lt;=Inputs!$F$204),1,0)</f>
        <v>0</v>
      </c>
      <c r="BH45" s="9" t="n">
        <f aca="false">Inputs!$F$49*IF(AND(BH23&gt;=Inputs!$F$203,BH23&lt;=Inputs!$F$204),1,0)</f>
        <v>0</v>
      </c>
      <c r="BI45" s="9" t="n">
        <f aca="false">Inputs!$F$49*IF(AND(BI23&gt;=Inputs!$F$203,BI23&lt;=Inputs!$F$204),1,0)</f>
        <v>0</v>
      </c>
      <c r="BJ45" s="9" t="n">
        <f aca="false">Inputs!$F$49*IF(AND(BJ23&gt;=Inputs!$F$203,BJ23&lt;=Inputs!$F$204),1,0)</f>
        <v>0</v>
      </c>
      <c r="BK45" s="9" t="n">
        <f aca="false">Inputs!$F$49*IF(AND(BK23&gt;=Inputs!$F$203,BK23&lt;=Inputs!$F$204),1,0)</f>
        <v>0</v>
      </c>
      <c r="BL45" s="9" t="n">
        <f aca="false">Inputs!$F$49*IF(AND(BL23&gt;=Inputs!$F$203,BL23&lt;=Inputs!$F$204),1,0)</f>
        <v>0</v>
      </c>
      <c r="BM45" s="9" t="n">
        <f aca="false">Inputs!$F$49*IF(AND(BM23&gt;=Inputs!$F$203,BM23&lt;=Inputs!$F$204),1,0)</f>
        <v>0</v>
      </c>
      <c r="BN45" s="9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1487</v>
      </c>
      <c r="E46" s="0" t="s">
        <v>369</v>
      </c>
      <c r="J46" s="9" t="n">
        <f aca="false">SUM(J45:BN45)</f>
        <v>0</v>
      </c>
      <c r="K46" s="9" t="n">
        <f aca="false">SUM(K45:BN45)</f>
        <v>0</v>
      </c>
      <c r="L46" s="9" t="n">
        <f aca="false">SUM(L45:BN45)</f>
        <v>0</v>
      </c>
      <c r="M46" s="9" t="n">
        <f aca="false">SUM(M45:BN45)</f>
        <v>0</v>
      </c>
      <c r="N46" s="9" t="n">
        <f aca="false">SUM(N45:BN45)</f>
        <v>0</v>
      </c>
      <c r="O46" s="9" t="n">
        <f aca="false">SUM(O45:BN45)</f>
        <v>0</v>
      </c>
      <c r="P46" s="9" t="n">
        <f aca="false">SUM(P45:BN45)</f>
        <v>0</v>
      </c>
      <c r="Q46" s="9" t="n">
        <f aca="false">SUM(Q45:BN45)</f>
        <v>0</v>
      </c>
      <c r="R46" s="9" t="n">
        <f aca="false">SUM(R45:BN45)</f>
        <v>0</v>
      </c>
      <c r="S46" s="9" t="n">
        <f aca="false">SUM(S45:BN45)</f>
        <v>0</v>
      </c>
      <c r="T46" s="9" t="n">
        <f aca="false">SUM(T45:BN45)</f>
        <v>0</v>
      </c>
      <c r="U46" s="9" t="n">
        <f aca="false">SUM(U45:BN45)</f>
        <v>0</v>
      </c>
      <c r="V46" s="9" t="n">
        <f aca="false">SUM(V45:BN45)</f>
        <v>0</v>
      </c>
      <c r="W46" s="9" t="n">
        <f aca="false">SUM(W45:BN45)</f>
        <v>0</v>
      </c>
      <c r="X46" s="9" t="n">
        <f aca="false">SUM(X45:BN45)</f>
        <v>0</v>
      </c>
      <c r="Y46" s="9" t="n">
        <f aca="false">SUM(Y45:BN45)</f>
        <v>0</v>
      </c>
      <c r="Z46" s="9" t="n">
        <f aca="false">SUM(Z45:BN45)</f>
        <v>0</v>
      </c>
      <c r="AA46" s="9" t="n">
        <f aca="false">SUM(AA45:BN45)</f>
        <v>0</v>
      </c>
      <c r="AB46" s="9" t="n">
        <f aca="false">SUM(AB45:BN45)</f>
        <v>0</v>
      </c>
      <c r="AC46" s="9" t="n">
        <f aca="false">SUM(AC45:BN45)</f>
        <v>0</v>
      </c>
      <c r="AD46" s="9" t="n">
        <f aca="false">SUM(AD45:BN45)</f>
        <v>0</v>
      </c>
      <c r="AE46" s="9" t="n">
        <f aca="false">SUM(AE45:BN45)</f>
        <v>0</v>
      </c>
      <c r="AF46" s="9" t="n">
        <f aca="false">SUM(AF45:BN45)</f>
        <v>0</v>
      </c>
      <c r="AG46" s="9" t="n">
        <f aca="false">SUM(AG45:BN45)</f>
        <v>0</v>
      </c>
      <c r="AH46" s="9" t="n">
        <f aca="false">SUM(AH45:BN45)</f>
        <v>0</v>
      </c>
      <c r="AI46" s="9" t="n">
        <f aca="false">SUM(AI45:BN45)</f>
        <v>0</v>
      </c>
      <c r="AJ46" s="9" t="n">
        <f aca="false">SUM(AJ45:BN45)</f>
        <v>0</v>
      </c>
      <c r="AK46" s="9" t="n">
        <f aca="false">SUM(AK45:BN45)</f>
        <v>0</v>
      </c>
      <c r="AL46" s="9" t="n">
        <f aca="false">SUM(AL45:BN45)</f>
        <v>0</v>
      </c>
      <c r="AM46" s="9" t="n">
        <f aca="false">SUM(AM45:BN45)</f>
        <v>0</v>
      </c>
      <c r="AN46" s="9" t="n">
        <f aca="false">SUM(AN45:BN45)</f>
        <v>0</v>
      </c>
      <c r="AO46" s="9" t="n">
        <f aca="false">SUM(AO45:BN45)</f>
        <v>0</v>
      </c>
      <c r="AP46" s="9" t="n">
        <f aca="false">SUM(AP45:BN45)</f>
        <v>0</v>
      </c>
      <c r="AQ46" s="9" t="n">
        <f aca="false">SUM(AQ45:BN45)</f>
        <v>0</v>
      </c>
      <c r="AR46" s="9" t="n">
        <f aca="false">SUM(AR45:BN45)</f>
        <v>0</v>
      </c>
      <c r="AS46" s="9" t="n">
        <f aca="false">SUM(AS45:BN45)</f>
        <v>0</v>
      </c>
      <c r="AT46" s="9" t="n">
        <f aca="false">SUM(AT45:BN45)</f>
        <v>0</v>
      </c>
      <c r="AU46" s="9" t="n">
        <f aca="false">SUM(AU45:BN45)</f>
        <v>0</v>
      </c>
      <c r="AV46" s="9" t="n">
        <f aca="false">SUM(AV45:BN45)</f>
        <v>0</v>
      </c>
      <c r="AW46" s="9" t="n">
        <f aca="false">SUM(AW45:BN45)</f>
        <v>0</v>
      </c>
      <c r="AX46" s="9" t="n">
        <f aca="false">SUM(AX45:BN45)</f>
        <v>0</v>
      </c>
      <c r="AY46" s="9" t="n">
        <f aca="false">SUM(AY45:BN45)</f>
        <v>0</v>
      </c>
      <c r="AZ46" s="9" t="n">
        <f aca="false">SUM(AZ45:BN45)</f>
        <v>0</v>
      </c>
      <c r="BA46" s="9" t="n">
        <f aca="false">SUM(BA45:BN45)</f>
        <v>0</v>
      </c>
      <c r="BB46" s="9" t="n">
        <f aca="false">SUM(BB45:BN45)</f>
        <v>0</v>
      </c>
      <c r="BC46" s="9" t="n">
        <f aca="false">SUM(BC45:BN45)</f>
        <v>0</v>
      </c>
      <c r="BD46" s="9" t="n">
        <f aca="false">SUM(BD45:BN45)</f>
        <v>0</v>
      </c>
      <c r="BE46" s="9" t="n">
        <f aca="false">SUM(BE45:BN45)</f>
        <v>0</v>
      </c>
      <c r="BF46" s="9" t="n">
        <f aca="false">SUM(BF45:BN45)</f>
        <v>0</v>
      </c>
      <c r="BG46" s="9" t="n">
        <f aca="false">SUM(BG45:BN45)</f>
        <v>0</v>
      </c>
      <c r="BH46" s="9" t="n">
        <f aca="false">SUM(BH45:BN45)</f>
        <v>0</v>
      </c>
      <c r="BI46" s="9" t="n">
        <f aca="false">SUM(BI45:BN45)</f>
        <v>0</v>
      </c>
      <c r="BJ46" s="9" t="n">
        <f aca="false">SUM(BJ45:BN45)</f>
        <v>0</v>
      </c>
      <c r="BK46" s="9" t="n">
        <f aca="false">SUM(BK45:BN45)</f>
        <v>0</v>
      </c>
      <c r="BL46" s="9" t="n">
        <f aca="false">SUM(BL45:BN45)</f>
        <v>0</v>
      </c>
      <c r="BM46" s="9" t="n">
        <f aca="false">SUM(BM45:BN45)</f>
        <v>0</v>
      </c>
      <c r="BN46" s="9" t="n">
        <f aca="false">SUM(BN45:BN45)</f>
        <v>0</v>
      </c>
    </row>
    <row r="47" customFormat="false" ht="15" hidden="false" customHeight="false" outlineLevel="0" collapsed="false">
      <c r="D47" s="0" t="s">
        <v>1488</v>
      </c>
      <c r="E47" s="0" t="s">
        <v>115</v>
      </c>
      <c r="J47" s="9" t="n">
        <f aca="false">Inputs!$F$50*IF(J23=Inputs!$F$205,1,0)</f>
        <v>0</v>
      </c>
      <c r="K47" s="9" t="n">
        <f aca="false">Inputs!$F$50*IF(K23=Inputs!$F$205,1,0)</f>
        <v>0</v>
      </c>
      <c r="L47" s="9" t="n">
        <f aca="false">Inputs!$F$50*IF(L23=Inputs!$F$205,1,0)</f>
        <v>0</v>
      </c>
      <c r="M47" s="9" t="n">
        <f aca="false">Inputs!$F$50*IF(M23=Inputs!$F$205,1,0)</f>
        <v>0</v>
      </c>
      <c r="N47" s="9" t="n">
        <f aca="false">Inputs!$F$50*IF(N23=Inputs!$F$205,1,0)</f>
        <v>0</v>
      </c>
      <c r="O47" s="9" t="n">
        <f aca="false">Inputs!$F$50*IF(O23=Inputs!$F$205,1,0)</f>
        <v>0</v>
      </c>
      <c r="P47" s="9" t="n">
        <f aca="false">Inputs!$F$50*IF(P23=Inputs!$F$205,1,0)</f>
        <v>0</v>
      </c>
      <c r="Q47" s="9" t="n">
        <f aca="false">Inputs!$F$50*IF(Q23=Inputs!$F$205,1,0)</f>
        <v>0</v>
      </c>
      <c r="R47" s="9" t="n">
        <f aca="false">Inputs!$F$50*IF(R23=Inputs!$F$205,1,0)</f>
        <v>0</v>
      </c>
      <c r="S47" s="9" t="n">
        <f aca="false">Inputs!$F$50*IF(S23=Inputs!$F$205,1,0)</f>
        <v>0</v>
      </c>
      <c r="T47" s="9" t="n">
        <f aca="false">Inputs!$F$50*IF(T23=Inputs!$F$205,1,0)</f>
        <v>0</v>
      </c>
      <c r="U47" s="9" t="n">
        <f aca="false">Inputs!$F$50*IF(U23=Inputs!$F$205,1,0)</f>
        <v>0</v>
      </c>
      <c r="V47" s="9" t="n">
        <f aca="false">Inputs!$F$50*IF(V23=Inputs!$F$205,1,0)</f>
        <v>0</v>
      </c>
      <c r="W47" s="9" t="n">
        <f aca="false">Inputs!$F$50*IF(W23=Inputs!$F$205,1,0)</f>
        <v>0</v>
      </c>
      <c r="X47" s="9" t="n">
        <f aca="false">Inputs!$F$50*IF(X23=Inputs!$F$205,1,0)</f>
        <v>0</v>
      </c>
      <c r="Y47" s="9" t="n">
        <f aca="false">Inputs!$F$50*IF(Y23=Inputs!$F$205,1,0)</f>
        <v>0</v>
      </c>
      <c r="Z47" s="9" t="n">
        <f aca="false">Inputs!$F$50*IF(Z23=Inputs!$F$205,1,0)</f>
        <v>0</v>
      </c>
      <c r="AA47" s="9" t="n">
        <f aca="false">Inputs!$F$50*IF(AA23=Inputs!$F$205,1,0)</f>
        <v>0</v>
      </c>
      <c r="AB47" s="9" t="n">
        <f aca="false">Inputs!$F$50*IF(AB23=Inputs!$F$205,1,0)</f>
        <v>0</v>
      </c>
      <c r="AC47" s="9" t="n">
        <f aca="false">Inputs!$F$50*IF(AC23=Inputs!$F$205,1,0)</f>
        <v>0</v>
      </c>
      <c r="AD47" s="9" t="n">
        <f aca="false">Inputs!$F$50*IF(AD23=Inputs!$F$205,1,0)</f>
        <v>0</v>
      </c>
      <c r="AE47" s="9" t="n">
        <f aca="false">Inputs!$F$50*IF(AE23=Inputs!$F$205,1,0)</f>
        <v>0</v>
      </c>
      <c r="AF47" s="9" t="n">
        <f aca="false">Inputs!$F$50*IF(AF23=Inputs!$F$205,1,0)</f>
        <v>0</v>
      </c>
      <c r="AG47" s="9" t="n">
        <f aca="false">Inputs!$F$50*IF(AG23=Inputs!$F$205,1,0)</f>
        <v>0</v>
      </c>
      <c r="AH47" s="9" t="n">
        <f aca="false">Inputs!$F$50*IF(AH23=Inputs!$F$205,1,0)</f>
        <v>0</v>
      </c>
      <c r="AI47" s="9" t="n">
        <f aca="false">Inputs!$F$50*IF(AI23=Inputs!$F$205,1,0)</f>
        <v>0</v>
      </c>
      <c r="AJ47" s="9" t="n">
        <f aca="false">Inputs!$F$50*IF(AJ23=Inputs!$F$205,1,0)</f>
        <v>0</v>
      </c>
      <c r="AK47" s="9" t="n">
        <f aca="false">Inputs!$F$50*IF(AK23=Inputs!$F$205,1,0)</f>
        <v>0</v>
      </c>
      <c r="AL47" s="9" t="n">
        <f aca="false">Inputs!$F$50*IF(AL23=Inputs!$F$205,1,0)</f>
        <v>0</v>
      </c>
      <c r="AM47" s="9" t="n">
        <f aca="false">Inputs!$F$50*IF(AM23=Inputs!$F$205,1,0)</f>
        <v>0</v>
      </c>
      <c r="AN47" s="9" t="n">
        <f aca="false">Inputs!$F$50*IF(AN23=Inputs!$F$205,1,0)</f>
        <v>0</v>
      </c>
      <c r="AO47" s="9" t="n">
        <f aca="false">Inputs!$F$50*IF(AO23=Inputs!$F$205,1,0)</f>
        <v>0</v>
      </c>
      <c r="AP47" s="9" t="n">
        <f aca="false">Inputs!$F$50*IF(AP23=Inputs!$F$205,1,0)</f>
        <v>0</v>
      </c>
      <c r="AQ47" s="9" t="n">
        <f aca="false">Inputs!$F$50*IF(AQ23=Inputs!$F$205,1,0)</f>
        <v>0</v>
      </c>
      <c r="AR47" s="9" t="n">
        <f aca="false">Inputs!$F$50*IF(AR23=Inputs!$F$205,1,0)</f>
        <v>0</v>
      </c>
      <c r="AS47" s="9" t="n">
        <f aca="false">Inputs!$F$50*IF(AS23=Inputs!$F$205,1,0)</f>
        <v>0</v>
      </c>
      <c r="AT47" s="9" t="n">
        <f aca="false">Inputs!$F$50*IF(AT23=Inputs!$F$205,1,0)</f>
        <v>0</v>
      </c>
      <c r="AU47" s="9" t="n">
        <f aca="false">Inputs!$F$50*IF(AU23=Inputs!$F$205,1,0)</f>
        <v>0</v>
      </c>
      <c r="AV47" s="9" t="n">
        <f aca="false">Inputs!$F$50*IF(AV23=Inputs!$F$205,1,0)</f>
        <v>0</v>
      </c>
      <c r="AW47" s="9" t="n">
        <f aca="false">Inputs!$F$50*IF(AW23=Inputs!$F$205,1,0)</f>
        <v>0</v>
      </c>
      <c r="AX47" s="9" t="n">
        <f aca="false">Inputs!$F$50*IF(AX23=Inputs!$F$205,1,0)</f>
        <v>0</v>
      </c>
      <c r="AY47" s="9" t="n">
        <f aca="false">Inputs!$F$50*IF(AY23=Inputs!$F$205,1,0)</f>
        <v>0</v>
      </c>
      <c r="AZ47" s="9" t="n">
        <f aca="false">Inputs!$F$50*IF(AZ23=Inputs!$F$205,1,0)</f>
        <v>0</v>
      </c>
      <c r="BA47" s="9" t="n">
        <f aca="false">Inputs!$F$50*IF(BA23=Inputs!$F$205,1,0)</f>
        <v>0</v>
      </c>
      <c r="BB47" s="9" t="n">
        <f aca="false">Inputs!$F$50*IF(BB23=Inputs!$F$205,1,0)</f>
        <v>0</v>
      </c>
      <c r="BC47" s="9" t="n">
        <f aca="false">Inputs!$F$50*IF(BC23=Inputs!$F$205,1,0)</f>
        <v>0</v>
      </c>
      <c r="BD47" s="9" t="n">
        <f aca="false">Inputs!$F$50*IF(BD23=Inputs!$F$205,1,0)</f>
        <v>0</v>
      </c>
      <c r="BE47" s="9" t="n">
        <f aca="false">Inputs!$F$50*IF(BE23=Inputs!$F$205,1,0)</f>
        <v>0</v>
      </c>
      <c r="BF47" s="9" t="n">
        <f aca="false">Inputs!$F$50*IF(BF23=Inputs!$F$205,1,0)</f>
        <v>0</v>
      </c>
      <c r="BG47" s="9" t="n">
        <f aca="false">Inputs!$F$50*IF(BG23=Inputs!$F$205,1,0)</f>
        <v>0</v>
      </c>
      <c r="BH47" s="9" t="n">
        <f aca="false">Inputs!$F$50*IF(BH23=Inputs!$F$205,1,0)</f>
        <v>0</v>
      </c>
      <c r="BI47" s="9" t="n">
        <f aca="false">Inputs!$F$50*IF(BI23=Inputs!$F$205,1,0)</f>
        <v>0</v>
      </c>
      <c r="BJ47" s="9" t="n">
        <f aca="false">Inputs!$F$50*IF(BJ23=Inputs!$F$205,1,0)</f>
        <v>0</v>
      </c>
      <c r="BK47" s="9" t="n">
        <f aca="false">Inputs!$F$50*IF(BK23=Inputs!$F$205,1,0)</f>
        <v>0</v>
      </c>
      <c r="BL47" s="9" t="n">
        <f aca="false">Inputs!$F$50*IF(BL23=Inputs!$F$205,1,0)</f>
        <v>0</v>
      </c>
      <c r="BM47" s="9" t="n">
        <f aca="false">Inputs!$F$50*IF(BM23=Inputs!$F$205,1,0)</f>
        <v>0</v>
      </c>
      <c r="BN47" s="9" t="n">
        <f aca="false">Inputs!$F$50*IF(BN23=Inputs!$F$205,1,0)</f>
        <v>0</v>
      </c>
    </row>
    <row r="48" customFormat="false" ht="15" hidden="false" customHeight="false" outlineLevel="0" collapsed="false">
      <c r="D48" s="0" t="s">
        <v>1489</v>
      </c>
      <c r="E48" s="0" t="s">
        <v>115</v>
      </c>
      <c r="J48" s="9" t="n">
        <f aca="false">Inputs!$F$50*IF(J23&gt;Inputs!$F$205,1,0)</f>
        <v>0</v>
      </c>
      <c r="K48" s="9" t="n">
        <f aca="false">Inputs!$F$50*IF(K23&gt;Inputs!$F$205,1,0)</f>
        <v>0</v>
      </c>
      <c r="L48" s="9" t="n">
        <f aca="false">Inputs!$F$50*IF(L23&gt;Inputs!$F$205,1,0)</f>
        <v>0</v>
      </c>
      <c r="M48" s="9" t="n">
        <f aca="false">Inputs!$F$50*IF(M23&gt;Inputs!$F$205,1,0)</f>
        <v>0</v>
      </c>
      <c r="N48" s="9" t="n">
        <f aca="false">Inputs!$F$50*IF(N23&gt;Inputs!$F$205,1,0)</f>
        <v>0</v>
      </c>
      <c r="O48" s="9" t="n">
        <f aca="false">Inputs!$F$50*IF(O23&gt;Inputs!$F$205,1,0)</f>
        <v>0</v>
      </c>
      <c r="P48" s="9" t="n">
        <f aca="false">Inputs!$F$50*IF(P23&gt;Inputs!$F$205,1,0)</f>
        <v>0</v>
      </c>
      <c r="Q48" s="9" t="n">
        <f aca="false">Inputs!$F$50*IF(Q23&gt;Inputs!$F$205,1,0)</f>
        <v>0</v>
      </c>
      <c r="R48" s="9" t="n">
        <f aca="false">Inputs!$F$50*IF(R23&gt;Inputs!$F$205,1,0)</f>
        <v>0</v>
      </c>
      <c r="S48" s="9" t="n">
        <f aca="false">Inputs!$F$50*IF(S23&gt;Inputs!$F$205,1,0)</f>
        <v>0</v>
      </c>
      <c r="T48" s="9" t="n">
        <f aca="false">Inputs!$F$50*IF(T23&gt;Inputs!$F$205,1,0)</f>
        <v>0</v>
      </c>
      <c r="U48" s="9" t="n">
        <f aca="false">Inputs!$F$50*IF(U23&gt;Inputs!$F$205,1,0)</f>
        <v>0</v>
      </c>
      <c r="V48" s="9" t="n">
        <f aca="false">Inputs!$F$50*IF(V23&gt;Inputs!$F$205,1,0)</f>
        <v>0</v>
      </c>
      <c r="W48" s="9" t="n">
        <f aca="false">Inputs!$F$50*IF(W23&gt;Inputs!$F$205,1,0)</f>
        <v>0</v>
      </c>
      <c r="X48" s="9" t="n">
        <f aca="false">Inputs!$F$50*IF(X23&gt;Inputs!$F$205,1,0)</f>
        <v>0</v>
      </c>
      <c r="Y48" s="9" t="n">
        <f aca="false">Inputs!$F$50*IF(Y23&gt;Inputs!$F$205,1,0)</f>
        <v>0</v>
      </c>
      <c r="Z48" s="9" t="n">
        <f aca="false">Inputs!$F$50*IF(Z23&gt;Inputs!$F$205,1,0)</f>
        <v>0</v>
      </c>
      <c r="AA48" s="9" t="n">
        <f aca="false">Inputs!$F$50*IF(AA23&gt;Inputs!$F$205,1,0)</f>
        <v>0</v>
      </c>
      <c r="AB48" s="9" t="n">
        <f aca="false">Inputs!$F$50*IF(AB23&gt;Inputs!$F$205,1,0)</f>
        <v>0</v>
      </c>
      <c r="AC48" s="9" t="n">
        <f aca="false">Inputs!$F$50*IF(AC23&gt;Inputs!$F$205,1,0)</f>
        <v>0</v>
      </c>
      <c r="AD48" s="9" t="n">
        <f aca="false">Inputs!$F$50*IF(AD23&gt;Inputs!$F$205,1,0)</f>
        <v>0</v>
      </c>
      <c r="AE48" s="9" t="n">
        <f aca="false">Inputs!$F$50*IF(AE23&gt;Inputs!$F$205,1,0)</f>
        <v>0</v>
      </c>
      <c r="AF48" s="9" t="n">
        <f aca="false">Inputs!$F$50*IF(AF23&gt;Inputs!$F$205,1,0)</f>
        <v>0</v>
      </c>
      <c r="AG48" s="9" t="n">
        <f aca="false">Inputs!$F$50*IF(AG23&gt;Inputs!$F$205,1,0)</f>
        <v>0</v>
      </c>
      <c r="AH48" s="9" t="n">
        <f aca="false">Inputs!$F$50*IF(AH23&gt;Inputs!$F$205,1,0)</f>
        <v>0</v>
      </c>
      <c r="AI48" s="9" t="n">
        <f aca="false">Inputs!$F$50*IF(AI23&gt;Inputs!$F$205,1,0)</f>
        <v>0</v>
      </c>
      <c r="AJ48" s="9" t="n">
        <f aca="false">Inputs!$F$50*IF(AJ23&gt;Inputs!$F$205,1,0)</f>
        <v>0</v>
      </c>
      <c r="AK48" s="9" t="n">
        <f aca="false">Inputs!$F$50*IF(AK23&gt;Inputs!$F$205,1,0)</f>
        <v>0</v>
      </c>
      <c r="AL48" s="9" t="n">
        <f aca="false">Inputs!$F$50*IF(AL23&gt;Inputs!$F$205,1,0)</f>
        <v>0</v>
      </c>
      <c r="AM48" s="9" t="n">
        <f aca="false">Inputs!$F$50*IF(AM23&gt;Inputs!$F$205,1,0)</f>
        <v>0</v>
      </c>
      <c r="AN48" s="9" t="n">
        <f aca="false">Inputs!$F$50*IF(AN23&gt;Inputs!$F$205,1,0)</f>
        <v>0</v>
      </c>
      <c r="AO48" s="9" t="n">
        <f aca="false">Inputs!$F$50*IF(AO23&gt;Inputs!$F$205,1,0)</f>
        <v>0</v>
      </c>
      <c r="AP48" s="9" t="n">
        <f aca="false">Inputs!$F$50*IF(AP23&gt;Inputs!$F$205,1,0)</f>
        <v>0</v>
      </c>
      <c r="AQ48" s="9" t="n">
        <f aca="false">Inputs!$F$50*IF(AQ23&gt;Inputs!$F$205,1,0)</f>
        <v>0</v>
      </c>
      <c r="AR48" s="9" t="n">
        <f aca="false">Inputs!$F$50*IF(AR23&gt;Inputs!$F$205,1,0)</f>
        <v>0</v>
      </c>
      <c r="AS48" s="9" t="n">
        <f aca="false">Inputs!$F$50*IF(AS23&gt;Inputs!$F$205,1,0)</f>
        <v>0</v>
      </c>
      <c r="AT48" s="9" t="n">
        <f aca="false">Inputs!$F$50*IF(AT23&gt;Inputs!$F$205,1,0)</f>
        <v>0</v>
      </c>
      <c r="AU48" s="9" t="n">
        <f aca="false">Inputs!$F$50*IF(AU23&gt;Inputs!$F$205,1,0)</f>
        <v>0</v>
      </c>
      <c r="AV48" s="9" t="n">
        <f aca="false">Inputs!$F$50*IF(AV23&gt;Inputs!$F$205,1,0)</f>
        <v>0</v>
      </c>
      <c r="AW48" s="9" t="n">
        <f aca="false">Inputs!$F$50*IF(AW23&gt;Inputs!$F$205,1,0)</f>
        <v>0</v>
      </c>
      <c r="AX48" s="9" t="n">
        <f aca="false">Inputs!$F$50*IF(AX23&gt;Inputs!$F$205,1,0)</f>
        <v>0</v>
      </c>
      <c r="AY48" s="9" t="n">
        <f aca="false">Inputs!$F$50*IF(AY23&gt;Inputs!$F$205,1,0)</f>
        <v>0</v>
      </c>
      <c r="AZ48" s="9" t="n">
        <f aca="false">Inputs!$F$50*IF(AZ23&gt;Inputs!$F$205,1,0)</f>
        <v>0</v>
      </c>
      <c r="BA48" s="9" t="n">
        <f aca="false">Inputs!$F$50*IF(BA23&gt;Inputs!$F$205,1,0)</f>
        <v>0</v>
      </c>
      <c r="BB48" s="9" t="n">
        <f aca="false">Inputs!$F$50*IF(BB23&gt;Inputs!$F$205,1,0)</f>
        <v>0</v>
      </c>
      <c r="BC48" s="9" t="n">
        <f aca="false">Inputs!$F$50*IF(BC23&gt;Inputs!$F$205,1,0)</f>
        <v>0</v>
      </c>
      <c r="BD48" s="9" t="n">
        <f aca="false">Inputs!$F$50*IF(BD23&gt;Inputs!$F$205,1,0)</f>
        <v>0</v>
      </c>
      <c r="BE48" s="9" t="n">
        <f aca="false">Inputs!$F$50*IF(BE23&gt;Inputs!$F$205,1,0)</f>
        <v>0</v>
      </c>
      <c r="BF48" s="9" t="n">
        <f aca="false">Inputs!$F$50*IF(BF23&gt;Inputs!$F$205,1,0)</f>
        <v>0</v>
      </c>
      <c r="BG48" s="9" t="n">
        <f aca="false">Inputs!$F$50*IF(BG23&gt;Inputs!$F$205,1,0)</f>
        <v>0</v>
      </c>
      <c r="BH48" s="9" t="n">
        <f aca="false">Inputs!$F$50*IF(BH23&gt;Inputs!$F$205,1,0)</f>
        <v>0</v>
      </c>
      <c r="BI48" s="9" t="n">
        <f aca="false">Inputs!$F$50*IF(BI23&gt;Inputs!$F$205,1,0)</f>
        <v>0</v>
      </c>
      <c r="BJ48" s="9" t="n">
        <f aca="false">Inputs!$F$50*IF(BJ23&gt;Inputs!$F$205,1,0)</f>
        <v>0</v>
      </c>
      <c r="BK48" s="9" t="n">
        <f aca="false">Inputs!$F$50*IF(BK23&gt;Inputs!$F$205,1,0)</f>
        <v>0</v>
      </c>
      <c r="BL48" s="9" t="n">
        <f aca="false">Inputs!$F$50*IF(BL23&gt;Inputs!$F$205,1,0)</f>
        <v>0</v>
      </c>
      <c r="BM48" s="9" t="n">
        <f aca="false">Inputs!$F$50*IF(BM23&gt;Inputs!$F$205,1,0)</f>
        <v>0</v>
      </c>
      <c r="BN48" s="9" t="n">
        <f aca="false">Inputs!$F$50*IF(BN23&gt;Inputs!$F$205,1,0)</f>
        <v>0</v>
      </c>
    </row>
    <row r="49" customFormat="false" ht="15" hidden="false" customHeight="false" outlineLevel="0" collapsed="false">
      <c r="D49" s="0" t="s">
        <v>1490</v>
      </c>
      <c r="E49" s="0" t="s">
        <v>115</v>
      </c>
      <c r="J49" s="9" t="n">
        <f aca="false">Inputs!$F$49*IF(AND(J23&gt;=Inputs!$F$199,J23&lt;=Inputs!$F$200),1,0)</f>
        <v>0</v>
      </c>
      <c r="K49" s="9" t="n">
        <f aca="false">Inputs!$F$49*IF(AND(K23&gt;=Inputs!$F$199,K23&lt;=Inputs!$F$200),1,0)</f>
        <v>0</v>
      </c>
      <c r="L49" s="9" t="n">
        <f aca="false">Inputs!$F$49*IF(AND(L23&gt;=Inputs!$F$199,L23&lt;=Inputs!$F$200),1,0)</f>
        <v>0</v>
      </c>
      <c r="M49" s="9" t="n">
        <f aca="false">Inputs!$F$49*IF(AND(M23&gt;=Inputs!$F$199,M23&lt;=Inputs!$F$200),1,0)</f>
        <v>0</v>
      </c>
      <c r="N49" s="9" t="n">
        <f aca="false">Inputs!$F$49*IF(AND(N23&gt;=Inputs!$F$199,N23&lt;=Inputs!$F$200),1,0)</f>
        <v>0</v>
      </c>
      <c r="O49" s="9" t="n">
        <f aca="false">Inputs!$F$49*IF(AND(O23&gt;=Inputs!$F$199,O23&lt;=Inputs!$F$200),1,0)</f>
        <v>0</v>
      </c>
      <c r="P49" s="9" t="n">
        <f aca="false">Inputs!$F$49*IF(AND(P23&gt;=Inputs!$F$199,P23&lt;=Inputs!$F$200),1,0)</f>
        <v>0</v>
      </c>
      <c r="Q49" s="9" t="n">
        <f aca="false">Inputs!$F$49*IF(AND(Q23&gt;=Inputs!$F$199,Q23&lt;=Inputs!$F$200),1,0)</f>
        <v>0</v>
      </c>
      <c r="R49" s="9" t="n">
        <f aca="false">Inputs!$F$49*IF(AND(R23&gt;=Inputs!$F$199,R23&lt;=Inputs!$F$200),1,0)</f>
        <v>0</v>
      </c>
      <c r="S49" s="9" t="n">
        <f aca="false">Inputs!$F$49*IF(AND(S23&gt;=Inputs!$F$199,S23&lt;=Inputs!$F$200),1,0)</f>
        <v>0</v>
      </c>
      <c r="T49" s="9" t="n">
        <f aca="false">Inputs!$F$49*IF(AND(T23&gt;=Inputs!$F$199,T23&lt;=Inputs!$F$200),1,0)</f>
        <v>0</v>
      </c>
      <c r="U49" s="9" t="n">
        <f aca="false">Inputs!$F$49*IF(AND(U23&gt;=Inputs!$F$199,U23&lt;=Inputs!$F$200),1,0)</f>
        <v>0</v>
      </c>
      <c r="V49" s="9" t="n">
        <f aca="false">Inputs!$F$49*IF(AND(V23&gt;=Inputs!$F$199,V23&lt;=Inputs!$F$200),1,0)</f>
        <v>0</v>
      </c>
      <c r="W49" s="9" t="n">
        <f aca="false">Inputs!$F$49*IF(AND(W23&gt;=Inputs!$F$199,W23&lt;=Inputs!$F$200),1,0)</f>
        <v>0</v>
      </c>
      <c r="X49" s="9" t="n">
        <f aca="false">Inputs!$F$49*IF(AND(X23&gt;=Inputs!$F$199,X23&lt;=Inputs!$F$200),1,0)</f>
        <v>0</v>
      </c>
      <c r="Y49" s="9" t="n">
        <f aca="false">Inputs!$F$49*IF(AND(Y23&gt;=Inputs!$F$199,Y23&lt;=Inputs!$F$200),1,0)</f>
        <v>0</v>
      </c>
      <c r="Z49" s="9" t="n">
        <f aca="false">Inputs!$F$49*IF(AND(Z23&gt;=Inputs!$F$199,Z23&lt;=Inputs!$F$200),1,0)</f>
        <v>0</v>
      </c>
      <c r="AA49" s="9" t="n">
        <f aca="false">Inputs!$F$49*IF(AND(AA23&gt;=Inputs!$F$199,AA23&lt;=Inputs!$F$200),1,0)</f>
        <v>0</v>
      </c>
      <c r="AB49" s="9" t="n">
        <f aca="false">Inputs!$F$49*IF(AND(AB23&gt;=Inputs!$F$199,AB23&lt;=Inputs!$F$200),1,0)</f>
        <v>0</v>
      </c>
      <c r="AC49" s="9" t="n">
        <f aca="false">Inputs!$F$49*IF(AND(AC23&gt;=Inputs!$F$199,AC23&lt;=Inputs!$F$200),1,0)</f>
        <v>0</v>
      </c>
      <c r="AD49" s="9" t="n">
        <f aca="false">Inputs!$F$49*IF(AND(AD23&gt;=Inputs!$F$199,AD23&lt;=Inputs!$F$200),1,0)</f>
        <v>0</v>
      </c>
      <c r="AE49" s="9" t="n">
        <f aca="false">Inputs!$F$49*IF(AND(AE23&gt;=Inputs!$F$199,AE23&lt;=Inputs!$F$200),1,0)</f>
        <v>0</v>
      </c>
      <c r="AF49" s="9" t="n">
        <f aca="false">Inputs!$F$49*IF(AND(AF23&gt;=Inputs!$F$199,AF23&lt;=Inputs!$F$200),1,0)</f>
        <v>0</v>
      </c>
      <c r="AG49" s="9" t="n">
        <f aca="false">Inputs!$F$49*IF(AND(AG23&gt;=Inputs!$F$199,AG23&lt;=Inputs!$F$200),1,0)</f>
        <v>0</v>
      </c>
      <c r="AH49" s="9" t="n">
        <f aca="false">Inputs!$F$49*IF(AND(AH23&gt;=Inputs!$F$199,AH23&lt;=Inputs!$F$200),1,0)</f>
        <v>0</v>
      </c>
      <c r="AI49" s="9" t="n">
        <f aca="false">Inputs!$F$49*IF(AND(AI23&gt;=Inputs!$F$199,AI23&lt;=Inputs!$F$200),1,0)</f>
        <v>0</v>
      </c>
      <c r="AJ49" s="9" t="n">
        <f aca="false">Inputs!$F$49*IF(AND(AJ23&gt;=Inputs!$F$199,AJ23&lt;=Inputs!$F$200),1,0)</f>
        <v>0</v>
      </c>
      <c r="AK49" s="9" t="n">
        <f aca="false">Inputs!$F$49*IF(AND(AK23&gt;=Inputs!$F$199,AK23&lt;=Inputs!$F$200),1,0)</f>
        <v>0</v>
      </c>
      <c r="AL49" s="9" t="n">
        <f aca="false">Inputs!$F$49*IF(AND(AL23&gt;=Inputs!$F$199,AL23&lt;=Inputs!$F$200),1,0)</f>
        <v>0</v>
      </c>
      <c r="AM49" s="9" t="n">
        <f aca="false">Inputs!$F$49*IF(AND(AM23&gt;=Inputs!$F$199,AM23&lt;=Inputs!$F$200),1,0)</f>
        <v>0</v>
      </c>
      <c r="AN49" s="9" t="n">
        <f aca="false">Inputs!$F$49*IF(AND(AN23&gt;=Inputs!$F$199,AN23&lt;=Inputs!$F$200),1,0)</f>
        <v>0</v>
      </c>
      <c r="AO49" s="9" t="n">
        <f aca="false">Inputs!$F$49*IF(AND(AO23&gt;=Inputs!$F$199,AO23&lt;=Inputs!$F$200),1,0)</f>
        <v>0</v>
      </c>
      <c r="AP49" s="9" t="n">
        <f aca="false">Inputs!$F$49*IF(AND(AP23&gt;=Inputs!$F$199,AP23&lt;=Inputs!$F$200),1,0)</f>
        <v>0</v>
      </c>
      <c r="AQ49" s="9" t="n">
        <f aca="false">Inputs!$F$49*IF(AND(AQ23&gt;=Inputs!$F$199,AQ23&lt;=Inputs!$F$200),1,0)</f>
        <v>0</v>
      </c>
      <c r="AR49" s="9" t="n">
        <f aca="false">Inputs!$F$49*IF(AND(AR23&gt;=Inputs!$F$199,AR23&lt;=Inputs!$F$200),1,0)</f>
        <v>0</v>
      </c>
      <c r="AS49" s="9" t="n">
        <f aca="false">Inputs!$F$49*IF(AND(AS23&gt;=Inputs!$F$199,AS23&lt;=Inputs!$F$200),1,0)</f>
        <v>0</v>
      </c>
      <c r="AT49" s="9" t="n">
        <f aca="false">Inputs!$F$49*IF(AND(AT23&gt;=Inputs!$F$199,AT23&lt;=Inputs!$F$200),1,0)</f>
        <v>0</v>
      </c>
      <c r="AU49" s="9" t="n">
        <f aca="false">Inputs!$F$49*IF(AND(AU23&gt;=Inputs!$F$199,AU23&lt;=Inputs!$F$200),1,0)</f>
        <v>0</v>
      </c>
      <c r="AV49" s="9" t="n">
        <f aca="false">Inputs!$F$49*IF(AND(AV23&gt;=Inputs!$F$199,AV23&lt;=Inputs!$F$200),1,0)</f>
        <v>0</v>
      </c>
      <c r="AW49" s="9" t="n">
        <f aca="false">Inputs!$F$49*IF(AND(AW23&gt;=Inputs!$F$199,AW23&lt;=Inputs!$F$200),1,0)</f>
        <v>0</v>
      </c>
      <c r="AX49" s="9" t="n">
        <f aca="false">Inputs!$F$49*IF(AND(AX23&gt;=Inputs!$F$199,AX23&lt;=Inputs!$F$200),1,0)</f>
        <v>0</v>
      </c>
      <c r="AY49" s="9" t="n">
        <f aca="false">Inputs!$F$49*IF(AND(AY23&gt;=Inputs!$F$199,AY23&lt;=Inputs!$F$200),1,0)</f>
        <v>0</v>
      </c>
      <c r="AZ49" s="9" t="n">
        <f aca="false">Inputs!$F$49*IF(AND(AZ23&gt;=Inputs!$F$199,AZ23&lt;=Inputs!$F$200),1,0)</f>
        <v>0</v>
      </c>
      <c r="BA49" s="9" t="n">
        <f aca="false">Inputs!$F$49*IF(AND(BA23&gt;=Inputs!$F$199,BA23&lt;=Inputs!$F$200),1,0)</f>
        <v>0</v>
      </c>
      <c r="BB49" s="9" t="n">
        <f aca="false">Inputs!$F$49*IF(AND(BB23&gt;=Inputs!$F$199,BB23&lt;=Inputs!$F$200),1,0)</f>
        <v>0</v>
      </c>
      <c r="BC49" s="9" t="n">
        <f aca="false">Inputs!$F$49*IF(AND(BC23&gt;=Inputs!$F$199,BC23&lt;=Inputs!$F$200),1,0)</f>
        <v>0</v>
      </c>
      <c r="BD49" s="9" t="n">
        <f aca="false">Inputs!$F$49*IF(AND(BD23&gt;=Inputs!$F$199,BD23&lt;=Inputs!$F$200),1,0)</f>
        <v>0</v>
      </c>
      <c r="BE49" s="9" t="n">
        <f aca="false">Inputs!$F$49*IF(AND(BE23&gt;=Inputs!$F$199,BE23&lt;=Inputs!$F$200),1,0)</f>
        <v>0</v>
      </c>
      <c r="BF49" s="9" t="n">
        <f aca="false">Inputs!$F$49*IF(AND(BF23&gt;=Inputs!$F$199,BF23&lt;=Inputs!$F$200),1,0)</f>
        <v>0</v>
      </c>
      <c r="BG49" s="9" t="n">
        <f aca="false">Inputs!$F$49*IF(AND(BG23&gt;=Inputs!$F$199,BG23&lt;=Inputs!$F$200),1,0)</f>
        <v>0</v>
      </c>
      <c r="BH49" s="9" t="n">
        <f aca="false">Inputs!$F$49*IF(AND(BH23&gt;=Inputs!$F$199,BH23&lt;=Inputs!$F$200),1,0)</f>
        <v>0</v>
      </c>
      <c r="BI49" s="9" t="n">
        <f aca="false">Inputs!$F$49*IF(AND(BI23&gt;=Inputs!$F$199,BI23&lt;=Inputs!$F$200),1,0)</f>
        <v>0</v>
      </c>
      <c r="BJ49" s="9" t="n">
        <f aca="false">Inputs!$F$49*IF(AND(BJ23&gt;=Inputs!$F$199,BJ23&lt;=Inputs!$F$200),1,0)</f>
        <v>0</v>
      </c>
      <c r="BK49" s="9" t="n">
        <f aca="false">Inputs!$F$49*IF(AND(BK23&gt;=Inputs!$F$199,BK23&lt;=Inputs!$F$200),1,0)</f>
        <v>0</v>
      </c>
      <c r="BL49" s="9" t="n">
        <f aca="false">Inputs!$F$49*IF(AND(BL23&gt;=Inputs!$F$199,BL23&lt;=Inputs!$F$200),1,0)</f>
        <v>0</v>
      </c>
      <c r="BM49" s="9" t="n">
        <f aca="false">Inputs!$F$49*IF(AND(BM23&gt;=Inputs!$F$199,BM23&lt;=Inputs!$F$200),1,0)</f>
        <v>0</v>
      </c>
      <c r="BN49" s="9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1491</v>
      </c>
      <c r="E50" s="0" t="s">
        <v>115</v>
      </c>
      <c r="J50" s="9" t="n">
        <f aca="false">Inputs!$F$49*IF(J23&gt;=Inputs!$F$199,1,0)</f>
        <v>0</v>
      </c>
      <c r="K50" s="9" t="n">
        <f aca="false">Inputs!$F$49*IF(K23&gt;=Inputs!$F$199,1,0)</f>
        <v>0</v>
      </c>
      <c r="L50" s="9" t="n">
        <f aca="false">Inputs!$F$49*IF(L23&gt;=Inputs!$F$199,1,0)</f>
        <v>0</v>
      </c>
      <c r="M50" s="9" t="n">
        <f aca="false">Inputs!$F$49*IF(M23&gt;=Inputs!$F$199,1,0)</f>
        <v>0</v>
      </c>
      <c r="N50" s="9" t="n">
        <f aca="false">Inputs!$F$49*IF(N23&gt;=Inputs!$F$199,1,0)</f>
        <v>0</v>
      </c>
      <c r="O50" s="9" t="n">
        <f aca="false">Inputs!$F$49*IF(O23&gt;=Inputs!$F$199,1,0)</f>
        <v>0</v>
      </c>
      <c r="P50" s="9" t="n">
        <f aca="false">Inputs!$F$49*IF(P23&gt;=Inputs!$F$199,1,0)</f>
        <v>0</v>
      </c>
      <c r="Q50" s="9" t="n">
        <f aca="false">Inputs!$F$49*IF(Q23&gt;=Inputs!$F$199,1,0)</f>
        <v>0</v>
      </c>
      <c r="R50" s="9" t="n">
        <f aca="false">Inputs!$F$49*IF(R23&gt;=Inputs!$F$199,1,0)</f>
        <v>0</v>
      </c>
      <c r="S50" s="9" t="n">
        <f aca="false">Inputs!$F$49*IF(S23&gt;=Inputs!$F$199,1,0)</f>
        <v>0</v>
      </c>
      <c r="T50" s="9" t="n">
        <f aca="false">Inputs!$F$49*IF(T23&gt;=Inputs!$F$199,1,0)</f>
        <v>0</v>
      </c>
      <c r="U50" s="9" t="n">
        <f aca="false">Inputs!$F$49*IF(U23&gt;=Inputs!$F$199,1,0)</f>
        <v>0</v>
      </c>
      <c r="V50" s="9" t="n">
        <f aca="false">Inputs!$F$49*IF(V23&gt;=Inputs!$F$199,1,0)</f>
        <v>0</v>
      </c>
      <c r="W50" s="9" t="n">
        <f aca="false">Inputs!$F$49*IF(W23&gt;=Inputs!$F$199,1,0)</f>
        <v>0</v>
      </c>
      <c r="X50" s="9" t="n">
        <f aca="false">Inputs!$F$49*IF(X23&gt;=Inputs!$F$199,1,0)</f>
        <v>0</v>
      </c>
      <c r="Y50" s="9" t="n">
        <f aca="false">Inputs!$F$49*IF(Y23&gt;=Inputs!$F$199,1,0)</f>
        <v>0</v>
      </c>
      <c r="Z50" s="9" t="n">
        <f aca="false">Inputs!$F$49*IF(Z23&gt;=Inputs!$F$199,1,0)</f>
        <v>0</v>
      </c>
      <c r="AA50" s="9" t="n">
        <f aca="false">Inputs!$F$49*IF(AA23&gt;=Inputs!$F$199,1,0)</f>
        <v>0</v>
      </c>
      <c r="AB50" s="9" t="n">
        <f aca="false">Inputs!$F$49*IF(AB23&gt;=Inputs!$F$199,1,0)</f>
        <v>0</v>
      </c>
      <c r="AC50" s="9" t="n">
        <f aca="false">Inputs!$F$49*IF(AC23&gt;=Inputs!$F$199,1,0)</f>
        <v>0</v>
      </c>
      <c r="AD50" s="9" t="n">
        <f aca="false">Inputs!$F$49*IF(AD23&gt;=Inputs!$F$199,1,0)</f>
        <v>0</v>
      </c>
      <c r="AE50" s="9" t="n">
        <f aca="false">Inputs!$F$49*IF(AE23&gt;=Inputs!$F$199,1,0)</f>
        <v>0</v>
      </c>
      <c r="AF50" s="9" t="n">
        <f aca="false">Inputs!$F$49*IF(AF23&gt;=Inputs!$F$199,1,0)</f>
        <v>0</v>
      </c>
      <c r="AG50" s="9" t="n">
        <f aca="false">Inputs!$F$49*IF(AG23&gt;=Inputs!$F$199,1,0)</f>
        <v>0</v>
      </c>
      <c r="AH50" s="9" t="n">
        <f aca="false">Inputs!$F$49*IF(AH23&gt;=Inputs!$F$199,1,0)</f>
        <v>0</v>
      </c>
      <c r="AI50" s="9" t="n">
        <f aca="false">Inputs!$F$49*IF(AI23&gt;=Inputs!$F$199,1,0)</f>
        <v>0</v>
      </c>
      <c r="AJ50" s="9" t="n">
        <f aca="false">Inputs!$F$49*IF(AJ23&gt;=Inputs!$F$199,1,0)</f>
        <v>0</v>
      </c>
      <c r="AK50" s="9" t="n">
        <f aca="false">Inputs!$F$49*IF(AK23&gt;=Inputs!$F$199,1,0)</f>
        <v>0</v>
      </c>
      <c r="AL50" s="9" t="n">
        <f aca="false">Inputs!$F$49*IF(AL23&gt;=Inputs!$F$199,1,0)</f>
        <v>0</v>
      </c>
      <c r="AM50" s="9" t="n">
        <f aca="false">Inputs!$F$49*IF(AM23&gt;=Inputs!$F$199,1,0)</f>
        <v>0</v>
      </c>
      <c r="AN50" s="9" t="n">
        <f aca="false">Inputs!$F$49*IF(AN23&gt;=Inputs!$F$199,1,0)</f>
        <v>0</v>
      </c>
      <c r="AO50" s="9" t="n">
        <f aca="false">Inputs!$F$49*IF(AO23&gt;=Inputs!$F$199,1,0)</f>
        <v>0</v>
      </c>
      <c r="AP50" s="9" t="n">
        <f aca="false">Inputs!$F$49*IF(AP23&gt;=Inputs!$F$199,1,0)</f>
        <v>0</v>
      </c>
      <c r="AQ50" s="9" t="n">
        <f aca="false">Inputs!$F$49*IF(AQ23&gt;=Inputs!$F$199,1,0)</f>
        <v>0</v>
      </c>
      <c r="AR50" s="9" t="n">
        <f aca="false">Inputs!$F$49*IF(AR23&gt;=Inputs!$F$199,1,0)</f>
        <v>0</v>
      </c>
      <c r="AS50" s="9" t="n">
        <f aca="false">Inputs!$F$49*IF(AS23&gt;=Inputs!$F$199,1,0)</f>
        <v>0</v>
      </c>
      <c r="AT50" s="9" t="n">
        <f aca="false">Inputs!$F$49*IF(AT23&gt;=Inputs!$F$199,1,0)</f>
        <v>0</v>
      </c>
      <c r="AU50" s="9" t="n">
        <f aca="false">Inputs!$F$49*IF(AU23&gt;=Inputs!$F$199,1,0)</f>
        <v>0</v>
      </c>
      <c r="AV50" s="9" t="n">
        <f aca="false">Inputs!$F$49*IF(AV23&gt;=Inputs!$F$199,1,0)</f>
        <v>0</v>
      </c>
      <c r="AW50" s="9" t="n">
        <f aca="false">Inputs!$F$49*IF(AW23&gt;=Inputs!$F$199,1,0)</f>
        <v>0</v>
      </c>
      <c r="AX50" s="9" t="n">
        <f aca="false">Inputs!$F$49*IF(AX23&gt;=Inputs!$F$199,1,0)</f>
        <v>0</v>
      </c>
      <c r="AY50" s="9" t="n">
        <f aca="false">Inputs!$F$49*IF(AY23&gt;=Inputs!$F$199,1,0)</f>
        <v>0</v>
      </c>
      <c r="AZ50" s="9" t="n">
        <f aca="false">Inputs!$F$49*IF(AZ23&gt;=Inputs!$F$199,1,0)</f>
        <v>0</v>
      </c>
      <c r="BA50" s="9" t="n">
        <f aca="false">Inputs!$F$49*IF(BA23&gt;=Inputs!$F$199,1,0)</f>
        <v>0</v>
      </c>
      <c r="BB50" s="9" t="n">
        <f aca="false">Inputs!$F$49*IF(BB23&gt;=Inputs!$F$199,1,0)</f>
        <v>0</v>
      </c>
      <c r="BC50" s="9" t="n">
        <f aca="false">Inputs!$F$49*IF(BC23&gt;=Inputs!$F$199,1,0)</f>
        <v>0</v>
      </c>
      <c r="BD50" s="9" t="n">
        <f aca="false">Inputs!$F$49*IF(BD23&gt;=Inputs!$F$199,1,0)</f>
        <v>0</v>
      </c>
      <c r="BE50" s="9" t="n">
        <f aca="false">Inputs!$F$49*IF(BE23&gt;=Inputs!$F$199,1,0)</f>
        <v>0</v>
      </c>
      <c r="BF50" s="9" t="n">
        <f aca="false">Inputs!$F$49*IF(BF23&gt;=Inputs!$F$199,1,0)</f>
        <v>0</v>
      </c>
      <c r="BG50" s="9" t="n">
        <f aca="false">Inputs!$F$49*IF(BG23&gt;=Inputs!$F$199,1,0)</f>
        <v>0</v>
      </c>
      <c r="BH50" s="9" t="n">
        <f aca="false">Inputs!$F$49*IF(BH23&gt;=Inputs!$F$199,1,0)</f>
        <v>0</v>
      </c>
      <c r="BI50" s="9" t="n">
        <f aca="false">Inputs!$F$49*IF(BI23&gt;=Inputs!$F$199,1,0)</f>
        <v>0</v>
      </c>
      <c r="BJ50" s="9" t="n">
        <f aca="false">Inputs!$F$49*IF(BJ23&gt;=Inputs!$F$199,1,0)</f>
        <v>0</v>
      </c>
      <c r="BK50" s="9" t="n">
        <f aca="false">Inputs!$F$49*IF(BK23&gt;=Inputs!$F$199,1,0)</f>
        <v>0</v>
      </c>
      <c r="BL50" s="9" t="n">
        <f aca="false">Inputs!$F$49*IF(BL23&gt;=Inputs!$F$199,1,0)</f>
        <v>0</v>
      </c>
      <c r="BM50" s="9" t="n">
        <f aca="false">Inputs!$F$49*IF(BM23&gt;=Inputs!$F$199,1,0)</f>
        <v>0</v>
      </c>
      <c r="BN50" s="9" t="n">
        <f aca="false">Inputs!$F$49*IF(BN23&gt;=Inputs!$F$199,1,0)</f>
        <v>0</v>
      </c>
    </row>
    <row r="51" customFormat="false" ht="15" hidden="false" customHeight="false" outlineLevel="0" collapsed="false">
      <c r="D51" s="0" t="s">
        <v>1492</v>
      </c>
      <c r="E51" s="0" t="s">
        <v>115</v>
      </c>
      <c r="J51" s="9" t="n">
        <f aca="false">Inputs!$F$49*IF(J23&gt;Inputs!$F$200,1,0)</f>
        <v>0</v>
      </c>
      <c r="K51" s="9" t="n">
        <f aca="false">Inputs!$F$49*IF(K23&gt;Inputs!$F$200,1,0)</f>
        <v>0</v>
      </c>
      <c r="L51" s="9" t="n">
        <f aca="false">Inputs!$F$49*IF(L23&gt;Inputs!$F$200,1,0)</f>
        <v>0</v>
      </c>
      <c r="M51" s="9" t="n">
        <f aca="false">Inputs!$F$49*IF(M23&gt;Inputs!$F$200,1,0)</f>
        <v>0</v>
      </c>
      <c r="N51" s="9" t="n">
        <f aca="false">Inputs!$F$49*IF(N23&gt;Inputs!$F$200,1,0)</f>
        <v>0</v>
      </c>
      <c r="O51" s="9" t="n">
        <f aca="false">Inputs!$F$49*IF(O23&gt;Inputs!$F$200,1,0)</f>
        <v>0</v>
      </c>
      <c r="P51" s="9" t="n">
        <f aca="false">Inputs!$F$49*IF(P23&gt;Inputs!$F$200,1,0)</f>
        <v>0</v>
      </c>
      <c r="Q51" s="9" t="n">
        <f aca="false">Inputs!$F$49*IF(Q23&gt;Inputs!$F$200,1,0)</f>
        <v>0</v>
      </c>
      <c r="R51" s="9" t="n">
        <f aca="false">Inputs!$F$49*IF(R23&gt;Inputs!$F$200,1,0)</f>
        <v>0</v>
      </c>
      <c r="S51" s="9" t="n">
        <f aca="false">Inputs!$F$49*IF(S23&gt;Inputs!$F$200,1,0)</f>
        <v>0</v>
      </c>
      <c r="T51" s="9" t="n">
        <f aca="false">Inputs!$F$49*IF(T23&gt;Inputs!$F$200,1,0)</f>
        <v>0</v>
      </c>
      <c r="U51" s="9" t="n">
        <f aca="false">Inputs!$F$49*IF(U23&gt;Inputs!$F$200,1,0)</f>
        <v>0</v>
      </c>
      <c r="V51" s="9" t="n">
        <f aca="false">Inputs!$F$49*IF(V23&gt;Inputs!$F$200,1,0)</f>
        <v>0</v>
      </c>
      <c r="W51" s="9" t="n">
        <f aca="false">Inputs!$F$49*IF(W23&gt;Inputs!$F$200,1,0)</f>
        <v>0</v>
      </c>
      <c r="X51" s="9" t="n">
        <f aca="false">Inputs!$F$49*IF(X23&gt;Inputs!$F$200,1,0)</f>
        <v>0</v>
      </c>
      <c r="Y51" s="9" t="n">
        <f aca="false">Inputs!$F$49*IF(Y23&gt;Inputs!$F$200,1,0)</f>
        <v>0</v>
      </c>
      <c r="Z51" s="9" t="n">
        <f aca="false">Inputs!$F$49*IF(Z23&gt;Inputs!$F$200,1,0)</f>
        <v>0</v>
      </c>
      <c r="AA51" s="9" t="n">
        <f aca="false">Inputs!$F$49*IF(AA23&gt;Inputs!$F$200,1,0)</f>
        <v>0</v>
      </c>
      <c r="AB51" s="9" t="n">
        <f aca="false">Inputs!$F$49*IF(AB23&gt;Inputs!$F$200,1,0)</f>
        <v>0</v>
      </c>
      <c r="AC51" s="9" t="n">
        <f aca="false">Inputs!$F$49*IF(AC23&gt;Inputs!$F$200,1,0)</f>
        <v>0</v>
      </c>
      <c r="AD51" s="9" t="n">
        <f aca="false">Inputs!$F$49*IF(AD23&gt;Inputs!$F$200,1,0)</f>
        <v>0</v>
      </c>
      <c r="AE51" s="9" t="n">
        <f aca="false">Inputs!$F$49*IF(AE23&gt;Inputs!$F$200,1,0)</f>
        <v>0</v>
      </c>
      <c r="AF51" s="9" t="n">
        <f aca="false">Inputs!$F$49*IF(AF23&gt;Inputs!$F$200,1,0)</f>
        <v>0</v>
      </c>
      <c r="AG51" s="9" t="n">
        <f aca="false">Inputs!$F$49*IF(AG23&gt;Inputs!$F$200,1,0)</f>
        <v>0</v>
      </c>
      <c r="AH51" s="9" t="n">
        <f aca="false">Inputs!$F$49*IF(AH23&gt;Inputs!$F$200,1,0)</f>
        <v>0</v>
      </c>
      <c r="AI51" s="9" t="n">
        <f aca="false">Inputs!$F$49*IF(AI23&gt;Inputs!$F$200,1,0)</f>
        <v>0</v>
      </c>
      <c r="AJ51" s="9" t="n">
        <f aca="false">Inputs!$F$49*IF(AJ23&gt;Inputs!$F$200,1,0)</f>
        <v>0</v>
      </c>
      <c r="AK51" s="9" t="n">
        <f aca="false">Inputs!$F$49*IF(AK23&gt;Inputs!$F$200,1,0)</f>
        <v>0</v>
      </c>
      <c r="AL51" s="9" t="n">
        <f aca="false">Inputs!$F$49*IF(AL23&gt;Inputs!$F$200,1,0)</f>
        <v>0</v>
      </c>
      <c r="AM51" s="9" t="n">
        <f aca="false">Inputs!$F$49*IF(AM23&gt;Inputs!$F$200,1,0)</f>
        <v>0</v>
      </c>
      <c r="AN51" s="9" t="n">
        <f aca="false">Inputs!$F$49*IF(AN23&gt;Inputs!$F$200,1,0)</f>
        <v>0</v>
      </c>
      <c r="AO51" s="9" t="n">
        <f aca="false">Inputs!$F$49*IF(AO23&gt;Inputs!$F$200,1,0)</f>
        <v>0</v>
      </c>
      <c r="AP51" s="9" t="n">
        <f aca="false">Inputs!$F$49*IF(AP23&gt;Inputs!$F$200,1,0)</f>
        <v>0</v>
      </c>
      <c r="AQ51" s="9" t="n">
        <f aca="false">Inputs!$F$49*IF(AQ23&gt;Inputs!$F$200,1,0)</f>
        <v>0</v>
      </c>
      <c r="AR51" s="9" t="n">
        <f aca="false">Inputs!$F$49*IF(AR23&gt;Inputs!$F$200,1,0)</f>
        <v>0</v>
      </c>
      <c r="AS51" s="9" t="n">
        <f aca="false">Inputs!$F$49*IF(AS23&gt;Inputs!$F$200,1,0)</f>
        <v>0</v>
      </c>
      <c r="AT51" s="9" t="n">
        <f aca="false">Inputs!$F$49*IF(AT23&gt;Inputs!$F$200,1,0)</f>
        <v>0</v>
      </c>
      <c r="AU51" s="9" t="n">
        <f aca="false">Inputs!$F$49*IF(AU23&gt;Inputs!$F$200,1,0)</f>
        <v>0</v>
      </c>
      <c r="AV51" s="9" t="n">
        <f aca="false">Inputs!$F$49*IF(AV23&gt;Inputs!$F$200,1,0)</f>
        <v>0</v>
      </c>
      <c r="AW51" s="9" t="n">
        <f aca="false">Inputs!$F$49*IF(AW23&gt;Inputs!$F$200,1,0)</f>
        <v>0</v>
      </c>
      <c r="AX51" s="9" t="n">
        <f aca="false">Inputs!$F$49*IF(AX23&gt;Inputs!$F$200,1,0)</f>
        <v>0</v>
      </c>
      <c r="AY51" s="9" t="n">
        <f aca="false">Inputs!$F$49*IF(AY23&gt;Inputs!$F$200,1,0)</f>
        <v>0</v>
      </c>
      <c r="AZ51" s="9" t="n">
        <f aca="false">Inputs!$F$49*IF(AZ23&gt;Inputs!$F$200,1,0)</f>
        <v>0</v>
      </c>
      <c r="BA51" s="9" t="n">
        <f aca="false">Inputs!$F$49*IF(BA23&gt;Inputs!$F$200,1,0)</f>
        <v>0</v>
      </c>
      <c r="BB51" s="9" t="n">
        <f aca="false">Inputs!$F$49*IF(BB23&gt;Inputs!$F$200,1,0)</f>
        <v>0</v>
      </c>
      <c r="BC51" s="9" t="n">
        <f aca="false">Inputs!$F$49*IF(BC23&gt;Inputs!$F$200,1,0)</f>
        <v>0</v>
      </c>
      <c r="BD51" s="9" t="n">
        <f aca="false">Inputs!$F$49*IF(BD23&gt;Inputs!$F$200,1,0)</f>
        <v>0</v>
      </c>
      <c r="BE51" s="9" t="n">
        <f aca="false">Inputs!$F$49*IF(BE23&gt;Inputs!$F$200,1,0)</f>
        <v>0</v>
      </c>
      <c r="BF51" s="9" t="n">
        <f aca="false">Inputs!$F$49*IF(BF23&gt;Inputs!$F$200,1,0)</f>
        <v>0</v>
      </c>
      <c r="BG51" s="9" t="n">
        <f aca="false">Inputs!$F$49*IF(BG23&gt;Inputs!$F$200,1,0)</f>
        <v>0</v>
      </c>
      <c r="BH51" s="9" t="n">
        <f aca="false">Inputs!$F$49*IF(BH23&gt;Inputs!$F$200,1,0)</f>
        <v>0</v>
      </c>
      <c r="BI51" s="9" t="n">
        <f aca="false">Inputs!$F$49*IF(BI23&gt;Inputs!$F$200,1,0)</f>
        <v>0</v>
      </c>
      <c r="BJ51" s="9" t="n">
        <f aca="false">Inputs!$F$49*IF(BJ23&gt;Inputs!$F$200,1,0)</f>
        <v>0</v>
      </c>
      <c r="BK51" s="9" t="n">
        <f aca="false">Inputs!$F$49*IF(BK23&gt;Inputs!$F$200,1,0)</f>
        <v>0</v>
      </c>
      <c r="BL51" s="9" t="n">
        <f aca="false">Inputs!$F$49*IF(BL23&gt;Inputs!$F$200,1,0)</f>
        <v>0</v>
      </c>
      <c r="BM51" s="9" t="n">
        <f aca="false">Inputs!$F$49*IF(BM23&gt;Inputs!$F$200,1,0)</f>
        <v>0</v>
      </c>
      <c r="BN51" s="9" t="n">
        <f aca="false">Inputs!$F$49*IF(BN23&gt;Inputs!$F$200,1,0)</f>
        <v>0</v>
      </c>
    </row>
    <row r="52" customFormat="false" ht="15" hidden="false" customHeight="false" outlineLevel="0" collapsed="false">
      <c r="D52" s="0" t="s">
        <v>1493</v>
      </c>
      <c r="E52" s="0" t="s">
        <v>115</v>
      </c>
      <c r="J52" s="9" t="n">
        <f aca="false">IF(J22&gt;=Inputs!$F$206,1,0)</f>
        <v>0</v>
      </c>
      <c r="K52" s="9" t="n">
        <f aca="false">IF(K22&gt;=Inputs!$F$206,1,0)</f>
        <v>0</v>
      </c>
      <c r="L52" s="9" t="n">
        <f aca="false">IF(L22&gt;=Inputs!$F$206,1,0)</f>
        <v>0</v>
      </c>
      <c r="M52" s="9" t="n">
        <f aca="false">IF(M22&gt;=Inputs!$F$206,1,0)</f>
        <v>0</v>
      </c>
      <c r="N52" s="9" t="n">
        <f aca="false">IF(N22&gt;=Inputs!$F$206,1,0)</f>
        <v>0</v>
      </c>
      <c r="O52" s="9" t="n">
        <f aca="false">IF(O22&gt;=Inputs!$F$206,1,0)</f>
        <v>0</v>
      </c>
      <c r="P52" s="9" t="n">
        <f aca="false">IF(P22&gt;=Inputs!$F$206,1,0)</f>
        <v>0</v>
      </c>
      <c r="Q52" s="9" t="n">
        <f aca="false">IF(Q22&gt;=Inputs!$F$206,1,0)</f>
        <v>0</v>
      </c>
      <c r="R52" s="9" t="n">
        <f aca="false">IF(R22&gt;=Inputs!$F$206,1,0)</f>
        <v>0</v>
      </c>
      <c r="S52" s="9" t="n">
        <f aca="false">IF(S22&gt;=Inputs!$F$206,1,0)</f>
        <v>0</v>
      </c>
      <c r="T52" s="9" t="n">
        <f aca="false">IF(T22&gt;=Inputs!$F$206,1,0)</f>
        <v>0</v>
      </c>
      <c r="U52" s="9" t="n">
        <f aca="false">IF(U22&gt;=Inputs!$F$206,1,0)</f>
        <v>0</v>
      </c>
      <c r="V52" s="9" t="n">
        <f aca="false">IF(V22&gt;=Inputs!$F$206,1,0)</f>
        <v>0</v>
      </c>
      <c r="W52" s="9" t="n">
        <f aca="false">IF(W22&gt;=Inputs!$F$206,1,0)</f>
        <v>0</v>
      </c>
      <c r="X52" s="9" t="n">
        <f aca="false">IF(X22&gt;=Inputs!$F$206,1,0)</f>
        <v>0</v>
      </c>
      <c r="Y52" s="9" t="n">
        <f aca="false">IF(Y22&gt;=Inputs!$F$206,1,0)</f>
        <v>0</v>
      </c>
      <c r="Z52" s="9" t="n">
        <f aca="false">IF(Z22&gt;=Inputs!$F$206,1,0)</f>
        <v>0</v>
      </c>
      <c r="AA52" s="9" t="n">
        <f aca="false">IF(AA22&gt;=Inputs!$F$206,1,0)</f>
        <v>1</v>
      </c>
      <c r="AB52" s="9" t="n">
        <f aca="false">IF(AB22&gt;=Inputs!$F$206,1,0)</f>
        <v>1</v>
      </c>
      <c r="AC52" s="9" t="n">
        <f aca="false">IF(AC22&gt;=Inputs!$F$206,1,0)</f>
        <v>1</v>
      </c>
      <c r="AD52" s="9" t="n">
        <f aca="false">IF(AD22&gt;=Inputs!$F$206,1,0)</f>
        <v>1</v>
      </c>
      <c r="AE52" s="9" t="n">
        <f aca="false">IF(AE22&gt;=Inputs!$F$206,1,0)</f>
        <v>1</v>
      </c>
      <c r="AF52" s="9" t="n">
        <f aca="false">IF(AF22&gt;=Inputs!$F$206,1,0)</f>
        <v>1</v>
      </c>
      <c r="AG52" s="9" t="n">
        <f aca="false">IF(AG22&gt;=Inputs!$F$206,1,0)</f>
        <v>1</v>
      </c>
      <c r="AH52" s="9" t="n">
        <f aca="false">IF(AH22&gt;=Inputs!$F$206,1,0)</f>
        <v>1</v>
      </c>
      <c r="AI52" s="9" t="n">
        <f aca="false">IF(AI22&gt;=Inputs!$F$206,1,0)</f>
        <v>1</v>
      </c>
      <c r="AJ52" s="9" t="n">
        <f aca="false">IF(AJ22&gt;=Inputs!$F$206,1,0)</f>
        <v>1</v>
      </c>
      <c r="AK52" s="9" t="n">
        <f aca="false">IF(AK22&gt;=Inputs!$F$206,1,0)</f>
        <v>1</v>
      </c>
      <c r="AL52" s="9" t="n">
        <f aca="false">IF(AL22&gt;=Inputs!$F$206,1,0)</f>
        <v>1</v>
      </c>
      <c r="AM52" s="9" t="n">
        <f aca="false">IF(AM22&gt;=Inputs!$F$206,1,0)</f>
        <v>1</v>
      </c>
      <c r="AN52" s="9" t="n">
        <f aca="false">IF(AN22&gt;=Inputs!$F$206,1,0)</f>
        <v>1</v>
      </c>
      <c r="AO52" s="9" t="n">
        <f aca="false">IF(AO22&gt;=Inputs!$F$206,1,0)</f>
        <v>1</v>
      </c>
      <c r="AP52" s="9" t="n">
        <f aca="false">IF(AP22&gt;=Inputs!$F$206,1,0)</f>
        <v>1</v>
      </c>
      <c r="AQ52" s="9" t="n">
        <f aca="false">IF(AQ22&gt;=Inputs!$F$206,1,0)</f>
        <v>1</v>
      </c>
      <c r="AR52" s="9" t="n">
        <f aca="false">IF(AR22&gt;=Inputs!$F$206,1,0)</f>
        <v>1</v>
      </c>
      <c r="AS52" s="9" t="n">
        <f aca="false">IF(AS22&gt;=Inputs!$F$206,1,0)</f>
        <v>1</v>
      </c>
      <c r="AT52" s="9" t="n">
        <f aca="false">IF(AT22&gt;=Inputs!$F$206,1,0)</f>
        <v>1</v>
      </c>
      <c r="AU52" s="9" t="n">
        <f aca="false">IF(AU22&gt;=Inputs!$F$206,1,0)</f>
        <v>1</v>
      </c>
      <c r="AV52" s="9" t="n">
        <f aca="false">IF(AV22&gt;=Inputs!$F$206,1,0)</f>
        <v>1</v>
      </c>
      <c r="AW52" s="9" t="n">
        <f aca="false">IF(AW22&gt;=Inputs!$F$206,1,0)</f>
        <v>1</v>
      </c>
      <c r="AX52" s="9" t="n">
        <f aca="false">IF(AX22&gt;=Inputs!$F$206,1,0)</f>
        <v>1</v>
      </c>
      <c r="AY52" s="9" t="n">
        <f aca="false">IF(AY22&gt;=Inputs!$F$206,1,0)</f>
        <v>1</v>
      </c>
      <c r="AZ52" s="9" t="n">
        <f aca="false">IF(AZ22&gt;=Inputs!$F$206,1,0)</f>
        <v>1</v>
      </c>
      <c r="BA52" s="9" t="n">
        <f aca="false">IF(BA22&gt;=Inputs!$F$206,1,0)</f>
        <v>1</v>
      </c>
      <c r="BB52" s="9" t="n">
        <f aca="false">IF(BB22&gt;=Inputs!$F$206,1,0)</f>
        <v>1</v>
      </c>
      <c r="BC52" s="9" t="n">
        <f aca="false">IF(BC22&gt;=Inputs!$F$206,1,0)</f>
        <v>1</v>
      </c>
      <c r="BD52" s="9" t="n">
        <f aca="false">IF(BD22&gt;=Inputs!$F$206,1,0)</f>
        <v>1</v>
      </c>
      <c r="BE52" s="9" t="n">
        <f aca="false">IF(BE22&gt;=Inputs!$F$206,1,0)</f>
        <v>1</v>
      </c>
      <c r="BF52" s="9" t="n">
        <f aca="false">IF(BF22&gt;=Inputs!$F$206,1,0)</f>
        <v>1</v>
      </c>
      <c r="BG52" s="9" t="n">
        <f aca="false">IF(BG22&gt;=Inputs!$F$206,1,0)</f>
        <v>1</v>
      </c>
      <c r="BH52" s="9" t="n">
        <f aca="false">IF(BH22&gt;=Inputs!$F$206,1,0)</f>
        <v>1</v>
      </c>
      <c r="BI52" s="9" t="n">
        <f aca="false">IF(BI22&gt;=Inputs!$F$206,1,0)</f>
        <v>1</v>
      </c>
      <c r="BJ52" s="9" t="n">
        <f aca="false">IF(BJ22&gt;=Inputs!$F$206,1,0)</f>
        <v>1</v>
      </c>
      <c r="BK52" s="9" t="n">
        <f aca="false">IF(BK22&gt;=Inputs!$F$206,1,0)</f>
        <v>1</v>
      </c>
      <c r="BL52" s="9" t="n">
        <f aca="false">IF(BL22&gt;=Inputs!$F$206,1,0)</f>
        <v>1</v>
      </c>
      <c r="BM52" s="9" t="n">
        <f aca="false">IF(BM22&gt;=Inputs!$F$206,1,0)</f>
        <v>1</v>
      </c>
      <c r="BN52" s="9" t="n">
        <f aca="false">IF(BN22&gt;=Inputs!$F$206,1,0)</f>
        <v>1</v>
      </c>
    </row>
    <row r="53" customFormat="false" ht="15" hidden="false" customHeight="false" outlineLevel="0" collapsed="false">
      <c r="D53" s="0" t="s">
        <v>1494</v>
      </c>
      <c r="E53" s="0" t="s">
        <v>115</v>
      </c>
      <c r="J53" s="9" t="n">
        <f aca="false">IF(AND(J20&gt;=$F$13,J23&lt;=Inputs!$F$192),1,0)</f>
        <v>0</v>
      </c>
      <c r="K53" s="9" t="n">
        <f aca="false">IF(AND(K20&gt;=$F$13,K23&lt;=Inputs!$F$192),1,0)</f>
        <v>0</v>
      </c>
      <c r="L53" s="9" t="n">
        <f aca="false">IF(AND(L20&gt;=$F$13,L23&lt;=Inputs!$F$192),1,0)</f>
        <v>0</v>
      </c>
      <c r="M53" s="9" t="n">
        <f aca="false">IF(AND(M20&gt;=$F$13,M23&lt;=Inputs!$F$192),1,0)</f>
        <v>0</v>
      </c>
      <c r="N53" s="9" t="n">
        <f aca="false">IF(AND(N20&gt;=$F$13,N23&lt;=Inputs!$F$192),1,0)</f>
        <v>0</v>
      </c>
      <c r="O53" s="9" t="n">
        <f aca="false">IF(AND(O20&gt;=$F$13,O23&lt;=Inputs!$F$192),1,0)</f>
        <v>0</v>
      </c>
      <c r="P53" s="9" t="n">
        <f aca="false">IF(AND(P20&gt;=$F$13,P23&lt;=Inputs!$F$192),1,0)</f>
        <v>1</v>
      </c>
      <c r="Q53" s="9" t="n">
        <f aca="false">IF(AND(Q20&gt;=$F$13,Q23&lt;=Inputs!$F$192),1,0)</f>
        <v>1</v>
      </c>
      <c r="R53" s="9" t="n">
        <f aca="false">IF(AND(R20&gt;=$F$13,R23&lt;=Inputs!$F$192),1,0)</f>
        <v>1</v>
      </c>
      <c r="S53" s="9" t="n">
        <f aca="false">IF(AND(S20&gt;=$F$13,S23&lt;=Inputs!$F$192),1,0)</f>
        <v>1</v>
      </c>
      <c r="T53" s="9" t="n">
        <f aca="false">IF(AND(T20&gt;=$F$13,T23&lt;=Inputs!$F$192),1,0)</f>
        <v>1</v>
      </c>
      <c r="U53" s="9" t="n">
        <f aca="false">IF(AND(U20&gt;=$F$13,U23&lt;=Inputs!$F$192),1,0)</f>
        <v>1</v>
      </c>
      <c r="V53" s="9" t="n">
        <f aca="false">IF(AND(V20&gt;=$F$13,V23&lt;=Inputs!$F$192),1,0)</f>
        <v>1</v>
      </c>
      <c r="W53" s="9" t="n">
        <f aca="false">IF(AND(W20&gt;=$F$13,W23&lt;=Inputs!$F$192),1,0)</f>
        <v>1</v>
      </c>
      <c r="X53" s="9" t="n">
        <f aca="false">IF(AND(X20&gt;=$F$13,X23&lt;=Inputs!$F$192),1,0)</f>
        <v>1</v>
      </c>
      <c r="Y53" s="9" t="n">
        <f aca="false">IF(AND(Y20&gt;=$F$13,Y23&lt;=Inputs!$F$192),1,0)</f>
        <v>1</v>
      </c>
      <c r="Z53" s="9" t="n">
        <f aca="false">IF(AND(Z20&gt;=$F$13,Z23&lt;=Inputs!$F$192),1,0)</f>
        <v>1</v>
      </c>
      <c r="AA53" s="9" t="n">
        <f aca="false">IF(AND(AA20&gt;=$F$13,AA23&lt;=Inputs!$F$192),1,0)</f>
        <v>1</v>
      </c>
      <c r="AB53" s="9" t="n">
        <f aca="false">IF(AND(AB20&gt;=$F$13,AB23&lt;=Inputs!$F$192),1,0)</f>
        <v>1</v>
      </c>
      <c r="AC53" s="9" t="n">
        <f aca="false">IF(AND(AC20&gt;=$F$13,AC23&lt;=Inputs!$F$192),1,0)</f>
        <v>1</v>
      </c>
      <c r="AD53" s="9" t="n">
        <f aca="false">IF(AND(AD20&gt;=$F$13,AD23&lt;=Inputs!$F$192),1,0)</f>
        <v>1</v>
      </c>
      <c r="AE53" s="9" t="n">
        <f aca="false">IF(AND(AE20&gt;=$F$13,AE23&lt;=Inputs!$F$192),1,0)</f>
        <v>1</v>
      </c>
      <c r="AF53" s="9" t="n">
        <f aca="false">IF(AND(AF20&gt;=$F$13,AF23&lt;=Inputs!$F$192),1,0)</f>
        <v>1</v>
      </c>
      <c r="AG53" s="9" t="n">
        <f aca="false">IF(AND(AG20&gt;=$F$13,AG23&lt;=Inputs!$F$192),1,0)</f>
        <v>1</v>
      </c>
      <c r="AH53" s="9" t="n">
        <f aca="false">IF(AND(AH20&gt;=$F$13,AH23&lt;=Inputs!$F$192),1,0)</f>
        <v>1</v>
      </c>
      <c r="AI53" s="9" t="n">
        <f aca="false">IF(AND(AI20&gt;=$F$13,AI23&lt;=Inputs!$F$192),1,0)</f>
        <v>1</v>
      </c>
      <c r="AJ53" s="9" t="n">
        <f aca="false">IF(AND(AJ20&gt;=$F$13,AJ23&lt;=Inputs!$F$192),1,0)</f>
        <v>1</v>
      </c>
      <c r="AK53" s="9" t="n">
        <f aca="false">IF(AND(AK20&gt;=$F$13,AK23&lt;=Inputs!$F$192),1,0)</f>
        <v>1</v>
      </c>
      <c r="AL53" s="9" t="n">
        <f aca="false">IF(AND(AL20&gt;=$F$13,AL23&lt;=Inputs!$F$192),1,0)</f>
        <v>1</v>
      </c>
      <c r="AM53" s="9" t="n">
        <f aca="false">IF(AND(AM20&gt;=$F$13,AM23&lt;=Inputs!$F$192),1,0)</f>
        <v>1</v>
      </c>
      <c r="AN53" s="9" t="n">
        <f aca="false">IF(AND(AN20&gt;=$F$13,AN23&lt;=Inputs!$F$192),1,0)</f>
        <v>1</v>
      </c>
      <c r="AO53" s="9" t="n">
        <f aca="false">IF(AND(AO20&gt;=$F$13,AO23&lt;=Inputs!$F$192),1,0)</f>
        <v>1</v>
      </c>
      <c r="AP53" s="9" t="n">
        <f aca="false">IF(AND(AP20&gt;=$F$13,AP23&lt;=Inputs!$F$192),1,0)</f>
        <v>0</v>
      </c>
      <c r="AQ53" s="9" t="n">
        <f aca="false">IF(AND(AQ20&gt;=$F$13,AQ23&lt;=Inputs!$F$192),1,0)</f>
        <v>0</v>
      </c>
      <c r="AR53" s="9" t="n">
        <f aca="false">IF(AND(AR20&gt;=$F$13,AR23&lt;=Inputs!$F$192),1,0)</f>
        <v>0</v>
      </c>
      <c r="AS53" s="9" t="n">
        <f aca="false">IF(AND(AS20&gt;=$F$13,AS23&lt;=Inputs!$F$192),1,0)</f>
        <v>0</v>
      </c>
      <c r="AT53" s="9" t="n">
        <f aca="false">IF(AND(AT20&gt;=$F$13,AT23&lt;=Inputs!$F$192),1,0)</f>
        <v>0</v>
      </c>
      <c r="AU53" s="9" t="n">
        <f aca="false">IF(AND(AU20&gt;=$F$13,AU23&lt;=Inputs!$F$192),1,0)</f>
        <v>0</v>
      </c>
      <c r="AV53" s="9" t="n">
        <f aca="false">IF(AND(AV20&gt;=$F$13,AV23&lt;=Inputs!$F$192),1,0)</f>
        <v>0</v>
      </c>
      <c r="AW53" s="9" t="n">
        <f aca="false">IF(AND(AW20&gt;=$F$13,AW23&lt;=Inputs!$F$192),1,0)</f>
        <v>0</v>
      </c>
      <c r="AX53" s="9" t="n">
        <f aca="false">IF(AND(AX20&gt;=$F$13,AX23&lt;=Inputs!$F$192),1,0)</f>
        <v>0</v>
      </c>
      <c r="AY53" s="9" t="n">
        <f aca="false">IF(AND(AY20&gt;=$F$13,AY23&lt;=Inputs!$F$192),1,0)</f>
        <v>0</v>
      </c>
      <c r="AZ53" s="9" t="n">
        <f aca="false">IF(AND(AZ20&gt;=$F$13,AZ23&lt;=Inputs!$F$192),1,0)</f>
        <v>0</v>
      </c>
      <c r="BA53" s="9" t="n">
        <f aca="false">IF(AND(BA20&gt;=$F$13,BA23&lt;=Inputs!$F$192),1,0)</f>
        <v>0</v>
      </c>
      <c r="BB53" s="9" t="n">
        <f aca="false">IF(AND(BB20&gt;=$F$13,BB23&lt;=Inputs!$F$192),1,0)</f>
        <v>0</v>
      </c>
      <c r="BC53" s="9" t="n">
        <f aca="false">IF(AND(BC20&gt;=$F$13,BC23&lt;=Inputs!$F$192),1,0)</f>
        <v>0</v>
      </c>
      <c r="BD53" s="9" t="n">
        <f aca="false">IF(AND(BD20&gt;=$F$13,BD23&lt;=Inputs!$F$192),1,0)</f>
        <v>0</v>
      </c>
      <c r="BE53" s="9" t="n">
        <f aca="false">IF(AND(BE20&gt;=$F$13,BE23&lt;=Inputs!$F$192),1,0)</f>
        <v>0</v>
      </c>
      <c r="BF53" s="9" t="n">
        <f aca="false">IF(AND(BF20&gt;=$F$13,BF23&lt;=Inputs!$F$192),1,0)</f>
        <v>0</v>
      </c>
      <c r="BG53" s="9" t="n">
        <f aca="false">IF(AND(BG20&gt;=$F$13,BG23&lt;=Inputs!$F$192),1,0)</f>
        <v>0</v>
      </c>
      <c r="BH53" s="9" t="n">
        <f aca="false">IF(AND(BH20&gt;=$F$13,BH23&lt;=Inputs!$F$192),1,0)</f>
        <v>0</v>
      </c>
      <c r="BI53" s="9" t="n">
        <f aca="false">IF(AND(BI20&gt;=$F$13,BI23&lt;=Inputs!$F$192),1,0)</f>
        <v>0</v>
      </c>
      <c r="BJ53" s="9" t="n">
        <f aca="false">IF(AND(BJ20&gt;=$F$13,BJ23&lt;=Inputs!$F$192),1,0)</f>
        <v>0</v>
      </c>
      <c r="BK53" s="9" t="n">
        <f aca="false">IF(AND(BK20&gt;=$F$13,BK23&lt;=Inputs!$F$192),1,0)</f>
        <v>0</v>
      </c>
      <c r="BL53" s="9" t="n">
        <f aca="false">IF(AND(BL20&gt;=$F$13,BL23&lt;=Inputs!$F$192),1,0)</f>
        <v>0</v>
      </c>
      <c r="BM53" s="9" t="n">
        <f aca="false">IF(AND(BM20&gt;=$F$13,BM23&lt;=Inputs!$F$192),1,0)</f>
        <v>0</v>
      </c>
      <c r="BN53" s="9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1495</v>
      </c>
      <c r="E54" s="0" t="s">
        <v>115</v>
      </c>
      <c r="J54" s="9" t="n">
        <f aca="false">IF(J22&gt;=Inputs!$F$194,1,0)</f>
        <v>0</v>
      </c>
      <c r="K54" s="9" t="n">
        <f aca="false">IF(K22&gt;=Inputs!$F$194,1,0)</f>
        <v>0</v>
      </c>
      <c r="L54" s="9" t="n">
        <f aca="false">IF(L22&gt;=Inputs!$F$194,1,0)</f>
        <v>0</v>
      </c>
      <c r="M54" s="9" t="n">
        <f aca="false">IF(M22&gt;=Inputs!$F$194,1,0)</f>
        <v>0</v>
      </c>
      <c r="N54" s="9" t="n">
        <f aca="false">IF(N22&gt;=Inputs!$F$194,1,0)</f>
        <v>0</v>
      </c>
      <c r="O54" s="9" t="n">
        <f aca="false">IF(O22&gt;=Inputs!$F$194,1,0)</f>
        <v>0</v>
      </c>
      <c r="P54" s="9" t="n">
        <f aca="false">IF(P22&gt;=Inputs!$F$194,1,0)</f>
        <v>0</v>
      </c>
      <c r="Q54" s="9" t="n">
        <f aca="false">IF(Q22&gt;=Inputs!$F$194,1,0)</f>
        <v>1</v>
      </c>
      <c r="R54" s="9" t="n">
        <f aca="false">IF(R22&gt;=Inputs!$F$194,1,0)</f>
        <v>1</v>
      </c>
      <c r="S54" s="9" t="n">
        <f aca="false">IF(S22&gt;=Inputs!$F$194,1,0)</f>
        <v>1</v>
      </c>
      <c r="T54" s="9" t="n">
        <f aca="false">IF(T22&gt;=Inputs!$F$194,1,0)</f>
        <v>1</v>
      </c>
      <c r="U54" s="9" t="n">
        <f aca="false">IF(U22&gt;=Inputs!$F$194,1,0)</f>
        <v>1</v>
      </c>
      <c r="V54" s="9" t="n">
        <f aca="false">IF(V22&gt;=Inputs!$F$194,1,0)</f>
        <v>1</v>
      </c>
      <c r="W54" s="9" t="n">
        <f aca="false">IF(W22&gt;=Inputs!$F$194,1,0)</f>
        <v>1</v>
      </c>
      <c r="X54" s="9" t="n">
        <f aca="false">IF(X22&gt;=Inputs!$F$194,1,0)</f>
        <v>1</v>
      </c>
      <c r="Y54" s="9" t="n">
        <f aca="false">IF(Y22&gt;=Inputs!$F$194,1,0)</f>
        <v>1</v>
      </c>
      <c r="Z54" s="9" t="n">
        <f aca="false">IF(Z22&gt;=Inputs!$F$194,1,0)</f>
        <v>1</v>
      </c>
      <c r="AA54" s="9" t="n">
        <f aca="false">IF(AA22&gt;=Inputs!$F$194,1,0)</f>
        <v>1</v>
      </c>
      <c r="AB54" s="9" t="n">
        <f aca="false">IF(AB22&gt;=Inputs!$F$194,1,0)</f>
        <v>1</v>
      </c>
      <c r="AC54" s="9" t="n">
        <f aca="false">IF(AC22&gt;=Inputs!$F$194,1,0)</f>
        <v>1</v>
      </c>
      <c r="AD54" s="9" t="n">
        <f aca="false">IF(AD22&gt;=Inputs!$F$194,1,0)</f>
        <v>1</v>
      </c>
      <c r="AE54" s="9" t="n">
        <f aca="false">IF(AE22&gt;=Inputs!$F$194,1,0)</f>
        <v>1</v>
      </c>
      <c r="AF54" s="9" t="n">
        <f aca="false">IF(AF22&gt;=Inputs!$F$194,1,0)</f>
        <v>1</v>
      </c>
      <c r="AG54" s="9" t="n">
        <f aca="false">IF(AG22&gt;=Inputs!$F$194,1,0)</f>
        <v>1</v>
      </c>
      <c r="AH54" s="9" t="n">
        <f aca="false">IF(AH22&gt;=Inputs!$F$194,1,0)</f>
        <v>1</v>
      </c>
      <c r="AI54" s="9" t="n">
        <f aca="false">IF(AI22&gt;=Inputs!$F$194,1,0)</f>
        <v>1</v>
      </c>
      <c r="AJ54" s="9" t="n">
        <f aca="false">IF(AJ22&gt;=Inputs!$F$194,1,0)</f>
        <v>1</v>
      </c>
      <c r="AK54" s="9" t="n">
        <f aca="false">IF(AK22&gt;=Inputs!$F$194,1,0)</f>
        <v>1</v>
      </c>
      <c r="AL54" s="9" t="n">
        <f aca="false">IF(AL22&gt;=Inputs!$F$194,1,0)</f>
        <v>1</v>
      </c>
      <c r="AM54" s="9" t="n">
        <f aca="false">IF(AM22&gt;=Inputs!$F$194,1,0)</f>
        <v>1</v>
      </c>
      <c r="AN54" s="9" t="n">
        <f aca="false">IF(AN22&gt;=Inputs!$F$194,1,0)</f>
        <v>1</v>
      </c>
      <c r="AO54" s="9" t="n">
        <f aca="false">IF(AO22&gt;=Inputs!$F$194,1,0)</f>
        <v>1</v>
      </c>
      <c r="AP54" s="9" t="n">
        <f aca="false">IF(AP22&gt;=Inputs!$F$194,1,0)</f>
        <v>1</v>
      </c>
      <c r="AQ54" s="9" t="n">
        <f aca="false">IF(AQ22&gt;=Inputs!$F$194,1,0)</f>
        <v>1</v>
      </c>
      <c r="AR54" s="9" t="n">
        <f aca="false">IF(AR22&gt;=Inputs!$F$194,1,0)</f>
        <v>1</v>
      </c>
      <c r="AS54" s="9" t="n">
        <f aca="false">IF(AS22&gt;=Inputs!$F$194,1,0)</f>
        <v>1</v>
      </c>
      <c r="AT54" s="9" t="n">
        <f aca="false">IF(AT22&gt;=Inputs!$F$194,1,0)</f>
        <v>1</v>
      </c>
      <c r="AU54" s="9" t="n">
        <f aca="false">IF(AU22&gt;=Inputs!$F$194,1,0)</f>
        <v>1</v>
      </c>
      <c r="AV54" s="9" t="n">
        <f aca="false">IF(AV22&gt;=Inputs!$F$194,1,0)</f>
        <v>1</v>
      </c>
      <c r="AW54" s="9" t="n">
        <f aca="false">IF(AW22&gt;=Inputs!$F$194,1,0)</f>
        <v>1</v>
      </c>
      <c r="AX54" s="9" t="n">
        <f aca="false">IF(AX22&gt;=Inputs!$F$194,1,0)</f>
        <v>1</v>
      </c>
      <c r="AY54" s="9" t="n">
        <f aca="false">IF(AY22&gt;=Inputs!$F$194,1,0)</f>
        <v>1</v>
      </c>
      <c r="AZ54" s="9" t="n">
        <f aca="false">IF(AZ22&gt;=Inputs!$F$194,1,0)</f>
        <v>1</v>
      </c>
      <c r="BA54" s="9" t="n">
        <f aca="false">IF(BA22&gt;=Inputs!$F$194,1,0)</f>
        <v>1</v>
      </c>
      <c r="BB54" s="9" t="n">
        <f aca="false">IF(BB22&gt;=Inputs!$F$194,1,0)</f>
        <v>1</v>
      </c>
      <c r="BC54" s="9" t="n">
        <f aca="false">IF(BC22&gt;=Inputs!$F$194,1,0)</f>
        <v>1</v>
      </c>
      <c r="BD54" s="9" t="n">
        <f aca="false">IF(BD22&gt;=Inputs!$F$194,1,0)</f>
        <v>1</v>
      </c>
      <c r="BE54" s="9" t="n">
        <f aca="false">IF(BE22&gt;=Inputs!$F$194,1,0)</f>
        <v>1</v>
      </c>
      <c r="BF54" s="9" t="n">
        <f aca="false">IF(BF22&gt;=Inputs!$F$194,1,0)</f>
        <v>1</v>
      </c>
      <c r="BG54" s="9" t="n">
        <f aca="false">IF(BG22&gt;=Inputs!$F$194,1,0)</f>
        <v>1</v>
      </c>
      <c r="BH54" s="9" t="n">
        <f aca="false">IF(BH22&gt;=Inputs!$F$194,1,0)</f>
        <v>1</v>
      </c>
      <c r="BI54" s="9" t="n">
        <f aca="false">IF(BI22&gt;=Inputs!$F$194,1,0)</f>
        <v>1</v>
      </c>
      <c r="BJ54" s="9" t="n">
        <f aca="false">IF(BJ22&gt;=Inputs!$F$194,1,0)</f>
        <v>1</v>
      </c>
      <c r="BK54" s="9" t="n">
        <f aca="false">IF(BK22&gt;=Inputs!$F$194,1,0)</f>
        <v>1</v>
      </c>
      <c r="BL54" s="9" t="n">
        <f aca="false">IF(BL22&gt;=Inputs!$F$194,1,0)</f>
        <v>1</v>
      </c>
      <c r="BM54" s="9" t="n">
        <f aca="false">IF(BM22&gt;=Inputs!$F$194,1,0)</f>
        <v>1</v>
      </c>
      <c r="BN54" s="9" t="n">
        <f aca="false">IF(BN22&gt;=Inputs!$F$194,1,0)</f>
        <v>1</v>
      </c>
    </row>
    <row r="55" customFormat="false" ht="15" hidden="false" customHeight="false" outlineLevel="0" collapsed="false">
      <c r="D55" s="0" t="s">
        <v>1496</v>
      </c>
      <c r="E55" s="0" t="s">
        <v>113</v>
      </c>
      <c r="J55" s="9" t="n">
        <f aca="false">MAX(0,MIN(J25,Inputs!$F$197-J22))</f>
        <v>184</v>
      </c>
      <c r="K55" s="9" t="n">
        <f aca="false">MAX(0,MIN(K25,Inputs!$F$197-K22))</f>
        <v>181</v>
      </c>
      <c r="L55" s="9" t="n">
        <f aca="false">MAX(0,MIN(L25,Inputs!$F$197-L22))</f>
        <v>184</v>
      </c>
      <c r="M55" s="9" t="n">
        <f aca="false">MAX(0,MIN(M25,Inputs!$F$197-M22))</f>
        <v>182</v>
      </c>
      <c r="N55" s="9" t="n">
        <f aca="false">MAX(0,MIN(N25,Inputs!$F$197-N22))</f>
        <v>184</v>
      </c>
      <c r="O55" s="9" t="n">
        <f aca="false">MAX(0,MIN(O25,Inputs!$F$197-O22))</f>
        <v>181</v>
      </c>
      <c r="P55" s="9" t="n">
        <f aca="false">MAX(0,MIN(P25,Inputs!$F$197-P22))</f>
        <v>184</v>
      </c>
      <c r="Q55" s="9" t="n">
        <f aca="false">MAX(0,MIN(Q25,Inputs!$F$197-Q22))</f>
        <v>181</v>
      </c>
      <c r="R55" s="9" t="n">
        <f aca="false">MAX(0,MIN(R25,Inputs!$F$197-R22))</f>
        <v>184</v>
      </c>
      <c r="S55" s="9" t="n">
        <f aca="false">MAX(0,MIN(S25,Inputs!$F$197-S22))</f>
        <v>181</v>
      </c>
      <c r="T55" s="9" t="n">
        <f aca="false">MAX(0,MIN(T25,Inputs!$F$197-T22))</f>
        <v>184</v>
      </c>
      <c r="U55" s="9" t="n">
        <f aca="false">MAX(0,MIN(U25,Inputs!$F$197-U22))</f>
        <v>80</v>
      </c>
      <c r="V55" s="9" t="n">
        <f aca="false">MAX(0,MIN(V25,Inputs!$F$197-V22))</f>
        <v>0</v>
      </c>
      <c r="W55" s="9" t="n">
        <f aca="false">MAX(0,MIN(W25,Inputs!$F$197-W22))</f>
        <v>0</v>
      </c>
      <c r="X55" s="9" t="n">
        <f aca="false">MAX(0,MIN(X25,Inputs!$F$197-X22))</f>
        <v>0</v>
      </c>
      <c r="Y55" s="9" t="n">
        <f aca="false">MAX(0,MIN(Y25,Inputs!$F$197-Y22))</f>
        <v>0</v>
      </c>
      <c r="Z55" s="9" t="n">
        <f aca="false">MAX(0,MIN(Z25,Inputs!$F$197-Z22))</f>
        <v>0</v>
      </c>
      <c r="AA55" s="9" t="n">
        <f aca="false">MAX(0,MIN(AA25,Inputs!$F$197-AA22))</f>
        <v>0</v>
      </c>
      <c r="AB55" s="9" t="n">
        <f aca="false">MAX(0,MIN(AB25,Inputs!$F$197-AB22))</f>
        <v>0</v>
      </c>
      <c r="AC55" s="9" t="n">
        <f aca="false">MAX(0,MIN(AC25,Inputs!$F$197-AC22))</f>
        <v>0</v>
      </c>
      <c r="AD55" s="9" t="n">
        <f aca="false">MAX(0,MIN(AD25,Inputs!$F$197-AD22))</f>
        <v>0</v>
      </c>
      <c r="AE55" s="9" t="n">
        <f aca="false">MAX(0,MIN(AE25,Inputs!$F$197-AE22))</f>
        <v>0</v>
      </c>
      <c r="AF55" s="9" t="n">
        <f aca="false">MAX(0,MIN(AF25,Inputs!$F$197-AF22))</f>
        <v>0</v>
      </c>
      <c r="AG55" s="9" t="n">
        <f aca="false">MAX(0,MIN(AG25,Inputs!$F$197-AG22))</f>
        <v>0</v>
      </c>
      <c r="AH55" s="9" t="n">
        <f aca="false">MAX(0,MIN(AH25,Inputs!$F$197-AH22))</f>
        <v>0</v>
      </c>
      <c r="AI55" s="9" t="n">
        <f aca="false">MAX(0,MIN(AI25,Inputs!$F$197-AI22))</f>
        <v>0</v>
      </c>
      <c r="AJ55" s="9" t="n">
        <f aca="false">MAX(0,MIN(AJ25,Inputs!$F$197-AJ22))</f>
        <v>0</v>
      </c>
      <c r="AK55" s="9" t="n">
        <f aca="false">MAX(0,MIN(AK25,Inputs!$F$197-AK22))</f>
        <v>0</v>
      </c>
      <c r="AL55" s="9" t="n">
        <f aca="false">MAX(0,MIN(AL25,Inputs!$F$197-AL22))</f>
        <v>0</v>
      </c>
      <c r="AM55" s="9" t="n">
        <f aca="false">MAX(0,MIN(AM25,Inputs!$F$197-AM22))</f>
        <v>0</v>
      </c>
      <c r="AN55" s="9" t="n">
        <f aca="false">MAX(0,MIN(AN25,Inputs!$F$197-AN22))</f>
        <v>0</v>
      </c>
      <c r="AO55" s="9" t="n">
        <f aca="false">MAX(0,MIN(AO25,Inputs!$F$197-AO22))</f>
        <v>0</v>
      </c>
      <c r="AP55" s="9" t="n">
        <f aca="false">MAX(0,MIN(AP25,Inputs!$F$197-AP22))</f>
        <v>0</v>
      </c>
      <c r="AQ55" s="9" t="n">
        <f aca="false">MAX(0,MIN(AQ25,Inputs!$F$197-AQ22))</f>
        <v>0</v>
      </c>
      <c r="AR55" s="9" t="n">
        <f aca="false">MAX(0,MIN(AR25,Inputs!$F$197-AR22))</f>
        <v>0</v>
      </c>
      <c r="AS55" s="9" t="n">
        <f aca="false">MAX(0,MIN(AS25,Inputs!$F$197-AS22))</f>
        <v>0</v>
      </c>
      <c r="AT55" s="9" t="n">
        <f aca="false">MAX(0,MIN(AT25,Inputs!$F$197-AT22))</f>
        <v>0</v>
      </c>
      <c r="AU55" s="9" t="n">
        <f aca="false">MAX(0,MIN(AU25,Inputs!$F$197-AU22))</f>
        <v>0</v>
      </c>
      <c r="AV55" s="9" t="n">
        <f aca="false">MAX(0,MIN(AV25,Inputs!$F$197-AV22))</f>
        <v>0</v>
      </c>
      <c r="AW55" s="9" t="n">
        <f aca="false">MAX(0,MIN(AW25,Inputs!$F$197-AW22))</f>
        <v>0</v>
      </c>
      <c r="AX55" s="9" t="n">
        <f aca="false">MAX(0,MIN(AX25,Inputs!$F$197-AX22))</f>
        <v>0</v>
      </c>
      <c r="AY55" s="9" t="n">
        <f aca="false">MAX(0,MIN(AY25,Inputs!$F$197-AY22))</f>
        <v>0</v>
      </c>
      <c r="AZ55" s="9" t="n">
        <f aca="false">MAX(0,MIN(AZ25,Inputs!$F$197-AZ22))</f>
        <v>0</v>
      </c>
      <c r="BA55" s="9" t="n">
        <f aca="false">MAX(0,MIN(BA25,Inputs!$F$197-BA22))</f>
        <v>0</v>
      </c>
      <c r="BB55" s="9" t="n">
        <f aca="false">MAX(0,MIN(BB25,Inputs!$F$197-BB22))</f>
        <v>0</v>
      </c>
      <c r="BC55" s="9" t="n">
        <f aca="false">MAX(0,MIN(BC25,Inputs!$F$197-BC22))</f>
        <v>0</v>
      </c>
      <c r="BD55" s="9" t="n">
        <f aca="false">MAX(0,MIN(BD25,Inputs!$F$197-BD22))</f>
        <v>0</v>
      </c>
      <c r="BE55" s="9" t="n">
        <f aca="false">MAX(0,MIN(BE25,Inputs!$F$197-BE22))</f>
        <v>0</v>
      </c>
      <c r="BF55" s="9" t="n">
        <f aca="false">MAX(0,MIN(BF25,Inputs!$F$197-BF22))</f>
        <v>0</v>
      </c>
      <c r="BG55" s="9" t="n">
        <f aca="false">MAX(0,MIN(BG25,Inputs!$F$197-BG22))</f>
        <v>0</v>
      </c>
      <c r="BH55" s="9" t="n">
        <f aca="false">MAX(0,MIN(BH25,Inputs!$F$197-BH22))</f>
        <v>0</v>
      </c>
      <c r="BI55" s="9" t="n">
        <f aca="false">MAX(0,MIN(BI25,Inputs!$F$197-BI22))</f>
        <v>0</v>
      </c>
      <c r="BJ55" s="9" t="n">
        <f aca="false">MAX(0,MIN(BJ25,Inputs!$F$197-BJ22))</f>
        <v>0</v>
      </c>
      <c r="BK55" s="9" t="n">
        <f aca="false">MAX(0,MIN(BK25,Inputs!$F$197-BK22))</f>
        <v>0</v>
      </c>
      <c r="BL55" s="9" t="n">
        <f aca="false">MAX(0,MIN(BL25,Inputs!$F$197-BL22))</f>
        <v>0</v>
      </c>
      <c r="BM55" s="9" t="n">
        <f aca="false">MAX(0,MIN(BM25,Inputs!$F$197-BM22))</f>
        <v>0</v>
      </c>
      <c r="BN55" s="9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1497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1552</v>
      </c>
    </row>
    <row r="8" customFormat="false" ht="15" hidden="false" customHeight="false" outlineLevel="0" collapsed="false">
      <c r="D8" s="0" t="s">
        <v>1553</v>
      </c>
      <c r="E8" s="0" t="s">
        <v>93</v>
      </c>
      <c r="J8" s="9" t="n">
        <f aca="false">I8+1</f>
        <v>1</v>
      </c>
      <c r="K8" s="9" t="n">
        <f aca="false">J8+1</f>
        <v>2</v>
      </c>
      <c r="L8" s="9" t="n">
        <f aca="false">K8+1</f>
        <v>3</v>
      </c>
      <c r="M8" s="9" t="n">
        <f aca="false">L8+1</f>
        <v>4</v>
      </c>
      <c r="N8" s="9" t="n">
        <f aca="false">M8+1</f>
        <v>5</v>
      </c>
      <c r="O8" s="9" t="n">
        <f aca="false">N8+1</f>
        <v>6</v>
      </c>
      <c r="P8" s="9" t="n">
        <f aca="false">O8+1</f>
        <v>7</v>
      </c>
      <c r="Q8" s="9" t="n">
        <f aca="false">P8+1</f>
        <v>8</v>
      </c>
      <c r="R8" s="9" t="n">
        <f aca="false">Q8+1</f>
        <v>9</v>
      </c>
      <c r="S8" s="9" t="n">
        <f aca="false">R8+1</f>
        <v>10</v>
      </c>
      <c r="T8" s="9" t="n">
        <f aca="false">S8+1</f>
        <v>11</v>
      </c>
      <c r="U8" s="9" t="n">
        <f aca="false">T8+1</f>
        <v>12</v>
      </c>
      <c r="V8" s="9" t="n">
        <f aca="false">U8+1</f>
        <v>13</v>
      </c>
      <c r="W8" s="9" t="n">
        <f aca="false">V8+1</f>
        <v>14</v>
      </c>
      <c r="X8" s="9" t="n">
        <f aca="false">W8+1</f>
        <v>15</v>
      </c>
      <c r="Y8" s="9" t="n">
        <f aca="false">X8+1</f>
        <v>16</v>
      </c>
      <c r="Z8" s="9" t="n">
        <f aca="false">Y8+1</f>
        <v>17</v>
      </c>
      <c r="AA8" s="9" t="n">
        <f aca="false">Z8+1</f>
        <v>18</v>
      </c>
      <c r="AB8" s="9" t="n">
        <f aca="false">AA8+1</f>
        <v>19</v>
      </c>
      <c r="AC8" s="9" t="n">
        <f aca="false">AB8+1</f>
        <v>20</v>
      </c>
      <c r="AD8" s="9" t="n">
        <f aca="false">AC8+1</f>
        <v>21</v>
      </c>
      <c r="AE8" s="9" t="n">
        <f aca="false">AD8+1</f>
        <v>22</v>
      </c>
      <c r="AF8" s="9" t="n">
        <f aca="false">AE8+1</f>
        <v>23</v>
      </c>
      <c r="AG8" s="9" t="n">
        <f aca="false">AF8+1</f>
        <v>24</v>
      </c>
      <c r="AH8" s="9" t="n">
        <f aca="false">AG8+1</f>
        <v>25</v>
      </c>
      <c r="AI8" s="9" t="n">
        <f aca="false">AH8+1</f>
        <v>26</v>
      </c>
      <c r="AJ8" s="9" t="n">
        <f aca="false">AI8+1</f>
        <v>27</v>
      </c>
      <c r="AK8" s="9" t="n">
        <f aca="false">AJ8+1</f>
        <v>28</v>
      </c>
      <c r="AL8" s="9" t="n">
        <f aca="false">AK8+1</f>
        <v>29</v>
      </c>
      <c r="AM8" s="9" t="n">
        <f aca="false">AL8+1</f>
        <v>30</v>
      </c>
      <c r="AN8" s="9" t="n">
        <f aca="false">AM8+1</f>
        <v>31</v>
      </c>
      <c r="AO8" s="9" t="n">
        <f aca="false">AN8+1</f>
        <v>32</v>
      </c>
      <c r="AP8" s="9" t="n">
        <f aca="false">AO8+1</f>
        <v>33</v>
      </c>
      <c r="AQ8" s="9" t="n">
        <f aca="false">AP8+1</f>
        <v>34</v>
      </c>
      <c r="AR8" s="9" t="n">
        <f aca="false">AQ8+1</f>
        <v>35</v>
      </c>
      <c r="AS8" s="9" t="n">
        <f aca="false">AR8+1</f>
        <v>36</v>
      </c>
      <c r="AT8" s="9" t="n">
        <f aca="false">AS8+1</f>
        <v>37</v>
      </c>
      <c r="AU8" s="9" t="n">
        <f aca="false">AT8+1</f>
        <v>38</v>
      </c>
      <c r="AV8" s="9" t="n">
        <f aca="false">AU8+1</f>
        <v>39</v>
      </c>
      <c r="AW8" s="9" t="n">
        <f aca="false">AV8+1</f>
        <v>40</v>
      </c>
      <c r="AX8" s="9" t="n">
        <f aca="false">AW8+1</f>
        <v>41</v>
      </c>
      <c r="AY8" s="9" t="n">
        <f aca="false">AX8+1</f>
        <v>42</v>
      </c>
      <c r="AZ8" s="9" t="n">
        <f aca="false">AY8+1</f>
        <v>43</v>
      </c>
      <c r="BA8" s="9" t="n">
        <f aca="false">AZ8+1</f>
        <v>44</v>
      </c>
      <c r="BB8" s="9" t="n">
        <f aca="false">BA8+1</f>
        <v>45</v>
      </c>
      <c r="BC8" s="9" t="n">
        <f aca="false">BB8+1</f>
        <v>46</v>
      </c>
      <c r="BD8" s="9" t="n">
        <f aca="false">BC8+1</f>
        <v>47</v>
      </c>
      <c r="BE8" s="9" t="n">
        <f aca="false">BD8+1</f>
        <v>48</v>
      </c>
      <c r="BF8" s="9" t="n">
        <f aca="false">BE8+1</f>
        <v>49</v>
      </c>
      <c r="BG8" s="9" t="n">
        <f aca="false">BF8+1</f>
        <v>50</v>
      </c>
      <c r="BH8" s="9" t="n">
        <f aca="false">BG8+1</f>
        <v>51</v>
      </c>
      <c r="BI8" s="9" t="n">
        <f aca="false">BH8+1</f>
        <v>52</v>
      </c>
      <c r="BJ8" s="9" t="n">
        <f aca="false">BI8+1</f>
        <v>53</v>
      </c>
    </row>
    <row r="9" customFormat="false" ht="15" hidden="false" customHeight="false" outlineLevel="0" collapsed="false">
      <c r="D9" s="0" t="s">
        <v>1554</v>
      </c>
      <c r="E9" s="0" t="s">
        <v>298</v>
      </c>
      <c r="J9" s="10" t="n">
        <f aca="false">IF(J8=1,Inputs!$F$188,EDATE(I9,1))</f>
        <v>43313</v>
      </c>
      <c r="K9" s="10" t="n">
        <f aca="false">IF(K8=1,Inputs!$F$188,EDATE(J9,1))</f>
        <v>43344</v>
      </c>
      <c r="L9" s="10" t="n">
        <f aca="false">IF(L8=1,Inputs!$F$188,EDATE(K9,1))</f>
        <v>43374</v>
      </c>
      <c r="M9" s="10" t="n">
        <f aca="false">IF(M8=1,Inputs!$F$188,EDATE(L9,1))</f>
        <v>43405</v>
      </c>
      <c r="N9" s="10" t="n">
        <f aca="false">IF(N8=1,Inputs!$F$188,EDATE(M9,1))</f>
        <v>43435</v>
      </c>
      <c r="O9" s="10" t="n">
        <f aca="false">IF(O8=1,Inputs!$F$188,EDATE(N9,1))</f>
        <v>43466</v>
      </c>
      <c r="P9" s="10" t="n">
        <f aca="false">IF(P8=1,Inputs!$F$188,EDATE(O9,1))</f>
        <v>43497</v>
      </c>
      <c r="Q9" s="10" t="n">
        <f aca="false">IF(Q8=1,Inputs!$F$188,EDATE(P9,1))</f>
        <v>43525</v>
      </c>
      <c r="R9" s="10" t="n">
        <f aca="false">IF(R8=1,Inputs!$F$188,EDATE(Q9,1))</f>
        <v>43556</v>
      </c>
      <c r="S9" s="10" t="n">
        <f aca="false">IF(S8=1,Inputs!$F$188,EDATE(R9,1))</f>
        <v>43586</v>
      </c>
      <c r="T9" s="10" t="n">
        <f aca="false">IF(T8=1,Inputs!$F$188,EDATE(S9,1))</f>
        <v>43617</v>
      </c>
      <c r="U9" s="10" t="n">
        <f aca="false">IF(U8=1,Inputs!$F$188,EDATE(T9,1))</f>
        <v>43647</v>
      </c>
      <c r="V9" s="10" t="n">
        <f aca="false">IF(V8=1,Inputs!$F$188,EDATE(U9,1))</f>
        <v>43678</v>
      </c>
      <c r="W9" s="10" t="n">
        <f aca="false">IF(W8=1,Inputs!$F$188,EDATE(V9,1))</f>
        <v>43709</v>
      </c>
      <c r="X9" s="10" t="n">
        <f aca="false">IF(X8=1,Inputs!$F$188,EDATE(W9,1))</f>
        <v>43739</v>
      </c>
      <c r="Y9" s="10" t="n">
        <f aca="false">IF(Y8=1,Inputs!$F$188,EDATE(X9,1))</f>
        <v>43770</v>
      </c>
      <c r="Z9" s="10" t="n">
        <f aca="false">IF(Z8=1,Inputs!$F$188,EDATE(Y9,1))</f>
        <v>43800</v>
      </c>
      <c r="AA9" s="10" t="n">
        <f aca="false">IF(AA8=1,Inputs!$F$188,EDATE(Z9,1))</f>
        <v>43831</v>
      </c>
      <c r="AB9" s="10" t="n">
        <f aca="false">IF(AB8=1,Inputs!$F$188,EDATE(AA9,1))</f>
        <v>43862</v>
      </c>
      <c r="AC9" s="10" t="n">
        <f aca="false">IF(AC8=1,Inputs!$F$188,EDATE(AB9,1))</f>
        <v>43891</v>
      </c>
      <c r="AD9" s="10" t="n">
        <f aca="false">IF(AD8=1,Inputs!$F$188,EDATE(AC9,1))</f>
        <v>43922</v>
      </c>
      <c r="AE9" s="10" t="n">
        <f aca="false">IF(AE8=1,Inputs!$F$188,EDATE(AD9,1))</f>
        <v>43952</v>
      </c>
      <c r="AF9" s="10" t="n">
        <f aca="false">IF(AF8=1,Inputs!$F$188,EDATE(AE9,1))</f>
        <v>43983</v>
      </c>
      <c r="AG9" s="10" t="n">
        <f aca="false">IF(AG8=1,Inputs!$F$188,EDATE(AF9,1))</f>
        <v>44013</v>
      </c>
      <c r="AH9" s="10" t="n">
        <f aca="false">IF(AH8=1,Inputs!$F$188,EDATE(AG9,1))</f>
        <v>44044</v>
      </c>
      <c r="AI9" s="10" t="n">
        <f aca="false">IF(AI8=1,Inputs!$F$188,EDATE(AH9,1))</f>
        <v>44075</v>
      </c>
      <c r="AJ9" s="10" t="n">
        <f aca="false">IF(AJ8=1,Inputs!$F$188,EDATE(AI9,1))</f>
        <v>44105</v>
      </c>
      <c r="AK9" s="10" t="n">
        <f aca="false">IF(AK8=1,Inputs!$F$188,EDATE(AJ9,1))</f>
        <v>44136</v>
      </c>
      <c r="AL9" s="10" t="n">
        <f aca="false">IF(AL8=1,Inputs!$F$188,EDATE(AK9,1))</f>
        <v>44166</v>
      </c>
      <c r="AM9" s="10" t="n">
        <f aca="false">IF(AM8=1,Inputs!$F$188,EDATE(AL9,1))</f>
        <v>44197</v>
      </c>
      <c r="AN9" s="10" t="n">
        <f aca="false">IF(AN8=1,Inputs!$F$188,EDATE(AM9,1))</f>
        <v>44228</v>
      </c>
      <c r="AO9" s="10" t="n">
        <f aca="false">IF(AO8=1,Inputs!$F$188,EDATE(AN9,1))</f>
        <v>44256</v>
      </c>
      <c r="AP9" s="10" t="n">
        <f aca="false">IF(AP8=1,Inputs!$F$188,EDATE(AO9,1))</f>
        <v>44287</v>
      </c>
      <c r="AQ9" s="10" t="n">
        <f aca="false">IF(AQ8=1,Inputs!$F$188,EDATE(AP9,1))</f>
        <v>44317</v>
      </c>
      <c r="AR9" s="10" t="n">
        <f aca="false">IF(AR8=1,Inputs!$F$188,EDATE(AQ9,1))</f>
        <v>44348</v>
      </c>
      <c r="AS9" s="10" t="n">
        <f aca="false">IF(AS8=1,Inputs!$F$188,EDATE(AR9,1))</f>
        <v>44378</v>
      </c>
      <c r="AT9" s="10" t="n">
        <f aca="false">IF(AT8=1,Inputs!$F$188,EDATE(AS9,1))</f>
        <v>44409</v>
      </c>
      <c r="AU9" s="10" t="n">
        <f aca="false">IF(AU8=1,Inputs!$F$188,EDATE(AT9,1))</f>
        <v>44440</v>
      </c>
      <c r="AV9" s="10" t="n">
        <f aca="false">IF(AV8=1,Inputs!$F$188,EDATE(AU9,1))</f>
        <v>44470</v>
      </c>
      <c r="AW9" s="10" t="n">
        <f aca="false">IF(AW8=1,Inputs!$F$188,EDATE(AV9,1))</f>
        <v>44501</v>
      </c>
      <c r="AX9" s="10" t="n">
        <f aca="false">IF(AX8=1,Inputs!$F$188,EDATE(AW9,1))</f>
        <v>44531</v>
      </c>
      <c r="AY9" s="10" t="n">
        <f aca="false">IF(AY8=1,Inputs!$F$188,EDATE(AX9,1))</f>
        <v>44562</v>
      </c>
      <c r="AZ9" s="10" t="n">
        <f aca="false">IF(AZ8=1,Inputs!$F$188,EDATE(AY9,1))</f>
        <v>44593</v>
      </c>
      <c r="BA9" s="10" t="n">
        <f aca="false">IF(BA8=1,Inputs!$F$188,EDATE(AZ9,1))</f>
        <v>44621</v>
      </c>
      <c r="BB9" s="10" t="n">
        <f aca="false">IF(BB8=1,Inputs!$F$188,EDATE(BA9,1))</f>
        <v>44652</v>
      </c>
      <c r="BC9" s="10" t="n">
        <f aca="false">IF(BC8=1,Inputs!$F$188,EDATE(BB9,1))</f>
        <v>44682</v>
      </c>
      <c r="BD9" s="10" t="n">
        <f aca="false">IF(BD8=1,Inputs!$F$188,EDATE(BC9,1))</f>
        <v>44713</v>
      </c>
      <c r="BE9" s="10" t="n">
        <f aca="false">IF(BE8=1,Inputs!$F$188,EDATE(BD9,1))</f>
        <v>44743</v>
      </c>
      <c r="BF9" s="10" t="n">
        <f aca="false">IF(BF8=1,Inputs!$F$188,EDATE(BE9,1))</f>
        <v>44774</v>
      </c>
      <c r="BG9" s="10" t="n">
        <f aca="false">IF(BG8=1,Inputs!$F$188,EDATE(BF9,1))</f>
        <v>44805</v>
      </c>
      <c r="BH9" s="10" t="n">
        <f aca="false">IF(BH8=1,Inputs!$F$188,EDATE(BG9,1))</f>
        <v>44835</v>
      </c>
      <c r="BI9" s="10" t="n">
        <f aca="false">IF(BI8=1,Inputs!$F$188,EDATE(BH9,1))</f>
        <v>44866</v>
      </c>
      <c r="BJ9" s="10" t="n">
        <f aca="false">IF(BJ8=1,Inputs!$F$188,EDATE(BI9,1))</f>
        <v>44896</v>
      </c>
    </row>
    <row r="10" customFormat="false" ht="15" hidden="false" customHeight="false" outlineLevel="0" collapsed="false">
      <c r="D10" s="0" t="s">
        <v>1555</v>
      </c>
      <c r="E10" s="0" t="s">
        <v>298</v>
      </c>
      <c r="J10" s="10" t="n">
        <f aca="false">EOMONTH(J9,0)</f>
        <v>43343</v>
      </c>
      <c r="K10" s="10" t="n">
        <f aca="false">EOMONTH(K9,0)</f>
        <v>43373</v>
      </c>
      <c r="L10" s="10" t="n">
        <f aca="false">EOMONTH(L9,0)</f>
        <v>43404</v>
      </c>
      <c r="M10" s="10" t="n">
        <f aca="false">EOMONTH(M9,0)</f>
        <v>43434</v>
      </c>
      <c r="N10" s="10" t="n">
        <f aca="false">EOMONTH(N9,0)</f>
        <v>43465</v>
      </c>
      <c r="O10" s="10" t="n">
        <f aca="false">EOMONTH(O9,0)</f>
        <v>43496</v>
      </c>
      <c r="P10" s="10" t="n">
        <f aca="false">EOMONTH(P9,0)</f>
        <v>43524</v>
      </c>
      <c r="Q10" s="10" t="n">
        <f aca="false">EOMONTH(Q9,0)</f>
        <v>43555</v>
      </c>
      <c r="R10" s="10" t="n">
        <f aca="false">EOMONTH(R9,0)</f>
        <v>43585</v>
      </c>
      <c r="S10" s="10" t="n">
        <f aca="false">EOMONTH(S9,0)</f>
        <v>43616</v>
      </c>
      <c r="T10" s="10" t="n">
        <f aca="false">EOMONTH(T9,0)</f>
        <v>43646</v>
      </c>
      <c r="U10" s="10" t="n">
        <f aca="false">EOMONTH(U9,0)</f>
        <v>43677</v>
      </c>
      <c r="V10" s="10" t="n">
        <f aca="false">EOMONTH(V9,0)</f>
        <v>43708</v>
      </c>
      <c r="W10" s="10" t="n">
        <f aca="false">EOMONTH(W9,0)</f>
        <v>43738</v>
      </c>
      <c r="X10" s="10" t="n">
        <f aca="false">EOMONTH(X9,0)</f>
        <v>43769</v>
      </c>
      <c r="Y10" s="10" t="n">
        <f aca="false">EOMONTH(Y9,0)</f>
        <v>43799</v>
      </c>
      <c r="Z10" s="10" t="n">
        <f aca="false">EOMONTH(Z9,0)</f>
        <v>43830</v>
      </c>
      <c r="AA10" s="10" t="n">
        <f aca="false">EOMONTH(AA9,0)</f>
        <v>43861</v>
      </c>
      <c r="AB10" s="10" t="n">
        <f aca="false">EOMONTH(AB9,0)</f>
        <v>43890</v>
      </c>
      <c r="AC10" s="10" t="n">
        <f aca="false">EOMONTH(AC9,0)</f>
        <v>43921</v>
      </c>
      <c r="AD10" s="10" t="n">
        <f aca="false">EOMONTH(AD9,0)</f>
        <v>43951</v>
      </c>
      <c r="AE10" s="10" t="n">
        <f aca="false">EOMONTH(AE9,0)</f>
        <v>43982</v>
      </c>
      <c r="AF10" s="10" t="n">
        <f aca="false">EOMONTH(AF9,0)</f>
        <v>44012</v>
      </c>
      <c r="AG10" s="10" t="n">
        <f aca="false">EOMONTH(AG9,0)</f>
        <v>44043</v>
      </c>
      <c r="AH10" s="10" t="n">
        <f aca="false">EOMONTH(AH9,0)</f>
        <v>44074</v>
      </c>
      <c r="AI10" s="10" t="n">
        <f aca="false">EOMONTH(AI9,0)</f>
        <v>44104</v>
      </c>
      <c r="AJ10" s="10" t="n">
        <f aca="false">EOMONTH(AJ9,0)</f>
        <v>44135</v>
      </c>
      <c r="AK10" s="10" t="n">
        <f aca="false">EOMONTH(AK9,0)</f>
        <v>44165</v>
      </c>
      <c r="AL10" s="10" t="n">
        <f aca="false">EOMONTH(AL9,0)</f>
        <v>44196</v>
      </c>
      <c r="AM10" s="10" t="n">
        <f aca="false">EOMONTH(AM9,0)</f>
        <v>44227</v>
      </c>
      <c r="AN10" s="10" t="n">
        <f aca="false">EOMONTH(AN9,0)</f>
        <v>44255</v>
      </c>
      <c r="AO10" s="10" t="n">
        <f aca="false">EOMONTH(AO9,0)</f>
        <v>44286</v>
      </c>
      <c r="AP10" s="10" t="n">
        <f aca="false">EOMONTH(AP9,0)</f>
        <v>44316</v>
      </c>
      <c r="AQ10" s="10" t="n">
        <f aca="false">EOMONTH(AQ9,0)</f>
        <v>44347</v>
      </c>
      <c r="AR10" s="10" t="n">
        <f aca="false">EOMONTH(AR9,0)</f>
        <v>44377</v>
      </c>
      <c r="AS10" s="10" t="n">
        <f aca="false">EOMONTH(AS9,0)</f>
        <v>44408</v>
      </c>
      <c r="AT10" s="10" t="n">
        <f aca="false">EOMONTH(AT9,0)</f>
        <v>44439</v>
      </c>
      <c r="AU10" s="10" t="n">
        <f aca="false">EOMONTH(AU9,0)</f>
        <v>44469</v>
      </c>
      <c r="AV10" s="10" t="n">
        <f aca="false">EOMONTH(AV9,0)</f>
        <v>44500</v>
      </c>
      <c r="AW10" s="10" t="n">
        <f aca="false">EOMONTH(AW9,0)</f>
        <v>44530</v>
      </c>
      <c r="AX10" s="10" t="n">
        <f aca="false">EOMONTH(AX9,0)</f>
        <v>44561</v>
      </c>
      <c r="AY10" s="10" t="n">
        <f aca="false">EOMONTH(AY9,0)</f>
        <v>44592</v>
      </c>
      <c r="AZ10" s="10" t="n">
        <f aca="false">EOMONTH(AZ9,0)</f>
        <v>44620</v>
      </c>
      <c r="BA10" s="10" t="n">
        <f aca="false">EOMONTH(BA9,0)</f>
        <v>44651</v>
      </c>
      <c r="BB10" s="10" t="n">
        <f aca="false">EOMONTH(BB9,0)</f>
        <v>44681</v>
      </c>
      <c r="BC10" s="10" t="n">
        <f aca="false">EOMONTH(BC9,0)</f>
        <v>44712</v>
      </c>
      <c r="BD10" s="10" t="n">
        <f aca="false">EOMONTH(BD9,0)</f>
        <v>44742</v>
      </c>
      <c r="BE10" s="10" t="n">
        <f aca="false">EOMONTH(BE9,0)</f>
        <v>44773</v>
      </c>
      <c r="BF10" s="10" t="n">
        <f aca="false">EOMONTH(BF9,0)</f>
        <v>44804</v>
      </c>
      <c r="BG10" s="10" t="n">
        <f aca="false">EOMONTH(BG9,0)</f>
        <v>44834</v>
      </c>
      <c r="BH10" s="10" t="n">
        <f aca="false">EOMONTH(BH9,0)</f>
        <v>44865</v>
      </c>
      <c r="BI10" s="10" t="n">
        <f aca="false">EOMONTH(BI9,0)</f>
        <v>44895</v>
      </c>
      <c r="BJ10" s="10" t="n">
        <f aca="false">EOMONTH(BJ9,0)</f>
        <v>44926</v>
      </c>
    </row>
    <row r="11" customFormat="false" ht="15" hidden="false" customHeight="false" outlineLevel="0" collapsed="false">
      <c r="D11" s="0" t="s">
        <v>1556</v>
      </c>
      <c r="E11" s="0" t="s">
        <v>113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1557</v>
      </c>
      <c r="E12" s="0" t="s">
        <v>93</v>
      </c>
      <c r="J12" s="9" t="n">
        <f aca="false">MATCH(J9,Time!$J$22:$BN$22,1)</f>
        <v>1</v>
      </c>
      <c r="K12" s="9" t="n">
        <f aca="false">MATCH(K9,Time!$J$22:$BN$22,1)</f>
        <v>1</v>
      </c>
      <c r="L12" s="9" t="n">
        <f aca="false">MATCH(L9,Time!$J$22:$BN$22,1)</f>
        <v>1</v>
      </c>
      <c r="M12" s="9" t="n">
        <f aca="false">MATCH(M9,Time!$J$22:$BN$22,1)</f>
        <v>1</v>
      </c>
      <c r="N12" s="9" t="n">
        <f aca="false">MATCH(N9,Time!$J$22:$BN$22,1)</f>
        <v>1</v>
      </c>
      <c r="O12" s="9" t="n">
        <f aca="false">MATCH(O9,Time!$J$22:$BN$22,1)</f>
        <v>2</v>
      </c>
      <c r="P12" s="9" t="n">
        <f aca="false">MATCH(P9,Time!$J$22:$BN$22,1)</f>
        <v>2</v>
      </c>
      <c r="Q12" s="9" t="n">
        <f aca="false">MATCH(Q9,Time!$J$22:$BN$22,1)</f>
        <v>2</v>
      </c>
      <c r="R12" s="9" t="n">
        <f aca="false">MATCH(R9,Time!$J$22:$BN$22,1)</f>
        <v>2</v>
      </c>
      <c r="S12" s="9" t="n">
        <f aca="false">MATCH(S9,Time!$J$22:$BN$22,1)</f>
        <v>2</v>
      </c>
      <c r="T12" s="9" t="n">
        <f aca="false">MATCH(T9,Time!$J$22:$BN$22,1)</f>
        <v>2</v>
      </c>
      <c r="U12" s="9" t="n">
        <f aca="false">MATCH(U9,Time!$J$22:$BN$22,1)</f>
        <v>3</v>
      </c>
      <c r="V12" s="9" t="n">
        <f aca="false">MATCH(V9,Time!$J$22:$BN$22,1)</f>
        <v>3</v>
      </c>
      <c r="W12" s="9" t="n">
        <f aca="false">MATCH(W9,Time!$J$22:$BN$22,1)</f>
        <v>3</v>
      </c>
      <c r="X12" s="9" t="n">
        <f aca="false">MATCH(X9,Time!$J$22:$BN$22,1)</f>
        <v>3</v>
      </c>
      <c r="Y12" s="9" t="n">
        <f aca="false">MATCH(Y9,Time!$J$22:$BN$22,1)</f>
        <v>3</v>
      </c>
      <c r="Z12" s="9" t="n">
        <f aca="false">MATCH(Z9,Time!$J$22:$BN$22,1)</f>
        <v>3</v>
      </c>
      <c r="AA12" s="9" t="n">
        <f aca="false">MATCH(AA9,Time!$J$22:$BN$22,1)</f>
        <v>4</v>
      </c>
      <c r="AB12" s="9" t="n">
        <f aca="false">MATCH(AB9,Time!$J$22:$BN$22,1)</f>
        <v>4</v>
      </c>
      <c r="AC12" s="9" t="n">
        <f aca="false">MATCH(AC9,Time!$J$22:$BN$22,1)</f>
        <v>4</v>
      </c>
      <c r="AD12" s="9" t="n">
        <f aca="false">MATCH(AD9,Time!$J$22:$BN$22,1)</f>
        <v>4</v>
      </c>
      <c r="AE12" s="9" t="n">
        <f aca="false">MATCH(AE9,Time!$J$22:$BN$22,1)</f>
        <v>4</v>
      </c>
      <c r="AF12" s="9" t="n">
        <f aca="false">MATCH(AF9,Time!$J$22:$BN$22,1)</f>
        <v>4</v>
      </c>
      <c r="AG12" s="9" t="n">
        <f aca="false">MATCH(AG9,Time!$J$22:$BN$22,1)</f>
        <v>5</v>
      </c>
      <c r="AH12" s="9" t="n">
        <f aca="false">MATCH(AH9,Time!$J$22:$BN$22,1)</f>
        <v>5</v>
      </c>
      <c r="AI12" s="9" t="n">
        <f aca="false">MATCH(AI9,Time!$J$22:$BN$22,1)</f>
        <v>5</v>
      </c>
      <c r="AJ12" s="9" t="n">
        <f aca="false">MATCH(AJ9,Time!$J$22:$BN$22,1)</f>
        <v>5</v>
      </c>
      <c r="AK12" s="9" t="n">
        <f aca="false">MATCH(AK9,Time!$J$22:$BN$22,1)</f>
        <v>5</v>
      </c>
      <c r="AL12" s="9" t="n">
        <f aca="false">MATCH(AL9,Time!$J$22:$BN$22,1)</f>
        <v>5</v>
      </c>
      <c r="AM12" s="9" t="n">
        <f aca="false">MATCH(AM9,Time!$J$22:$BN$22,1)</f>
        <v>6</v>
      </c>
      <c r="AN12" s="9" t="n">
        <f aca="false">MATCH(AN9,Time!$J$22:$BN$22,1)</f>
        <v>6</v>
      </c>
      <c r="AO12" s="9" t="n">
        <f aca="false">MATCH(AO9,Time!$J$22:$BN$22,1)</f>
        <v>6</v>
      </c>
      <c r="AP12" s="9" t="n">
        <f aca="false">MATCH(AP9,Time!$J$22:$BN$22,1)</f>
        <v>6</v>
      </c>
      <c r="AQ12" s="9" t="n">
        <f aca="false">MATCH(AQ9,Time!$J$22:$BN$22,1)</f>
        <v>6</v>
      </c>
      <c r="AR12" s="9" t="n">
        <f aca="false">MATCH(AR9,Time!$J$22:$BN$22,1)</f>
        <v>6</v>
      </c>
      <c r="AS12" s="9" t="n">
        <f aca="false">MATCH(AS9,Time!$J$22:$BN$22,1)</f>
        <v>7</v>
      </c>
      <c r="AT12" s="9" t="n">
        <f aca="false">MATCH(AT9,Time!$J$22:$BN$22,1)</f>
        <v>7</v>
      </c>
      <c r="AU12" s="9" t="n">
        <f aca="false">MATCH(AU9,Time!$J$22:$BN$22,1)</f>
        <v>7</v>
      </c>
      <c r="AV12" s="9" t="n">
        <f aca="false">MATCH(AV9,Time!$J$22:$BN$22,1)</f>
        <v>7</v>
      </c>
      <c r="AW12" s="9" t="n">
        <f aca="false">MATCH(AW9,Time!$J$22:$BN$22,1)</f>
        <v>7</v>
      </c>
      <c r="AX12" s="9" t="n">
        <f aca="false">MATCH(AX9,Time!$J$22:$BN$22,1)</f>
        <v>7</v>
      </c>
      <c r="AY12" s="9" t="n">
        <f aca="false">MATCH(AY9,Time!$J$22:$BN$22,1)</f>
        <v>8</v>
      </c>
      <c r="AZ12" s="9" t="n">
        <f aca="false">MATCH(AZ9,Time!$J$22:$BN$22,1)</f>
        <v>8</v>
      </c>
      <c r="BA12" s="9" t="n">
        <f aca="false">MATCH(BA9,Time!$J$22:$BN$22,1)</f>
        <v>8</v>
      </c>
      <c r="BB12" s="9" t="n">
        <f aca="false">MATCH(BB9,Time!$J$22:$BN$22,1)</f>
        <v>8</v>
      </c>
      <c r="BC12" s="9" t="n">
        <f aca="false">MATCH(BC9,Time!$J$22:$BN$22,1)</f>
        <v>8</v>
      </c>
      <c r="BD12" s="9" t="n">
        <f aca="false">MATCH(BD9,Time!$J$22:$BN$22,1)</f>
        <v>8</v>
      </c>
      <c r="BE12" s="9" t="n">
        <f aca="false">MATCH(BE9,Time!$J$22:$BN$22,1)</f>
        <v>9</v>
      </c>
      <c r="BF12" s="9" t="n">
        <f aca="false">MATCH(BF9,Time!$J$22:$BN$22,1)</f>
        <v>9</v>
      </c>
      <c r="BG12" s="9" t="n">
        <f aca="false">MATCH(BG9,Time!$J$22:$BN$22,1)</f>
        <v>9</v>
      </c>
      <c r="BH12" s="9" t="n">
        <f aca="false">MATCH(BH9,Time!$J$22:$BN$22,1)</f>
        <v>9</v>
      </c>
      <c r="BI12" s="9" t="n">
        <f aca="false">MATCH(BI9,Time!$J$22:$BN$22,1)</f>
        <v>9</v>
      </c>
      <c r="BJ12" s="9" t="n">
        <f aca="false">MATCH(BJ9,Time!$J$22:$BN$22,1)</f>
        <v>9</v>
      </c>
    </row>
    <row r="13" customFormat="false" ht="15" hidden="false" customHeight="false" outlineLevel="0" collapsed="false">
      <c r="D13" s="0" t="s">
        <v>1558</v>
      </c>
      <c r="E13" s="0" t="s">
        <v>115</v>
      </c>
      <c r="J13" s="9" t="n">
        <f aca="false">IF(J8&lt;=Time!$F$11,1,0)</f>
        <v>1</v>
      </c>
      <c r="K13" s="9" t="n">
        <f aca="false">IF(K8&lt;=Time!$F$11,1,0)</f>
        <v>1</v>
      </c>
      <c r="L13" s="9" t="n">
        <f aca="false">IF(L8&lt;=Time!$F$11,1,0)</f>
        <v>1</v>
      </c>
      <c r="M13" s="9" t="n">
        <f aca="false">IF(M8&lt;=Time!$F$11,1,0)</f>
        <v>1</v>
      </c>
      <c r="N13" s="9" t="n">
        <f aca="false">IF(N8&lt;=Time!$F$11,1,0)</f>
        <v>1</v>
      </c>
      <c r="O13" s="9" t="n">
        <f aca="false">IF(O8&lt;=Time!$F$11,1,0)</f>
        <v>1</v>
      </c>
      <c r="P13" s="9" t="n">
        <f aca="false">IF(P8&lt;=Time!$F$11,1,0)</f>
        <v>1</v>
      </c>
      <c r="Q13" s="9" t="n">
        <f aca="false">IF(Q8&lt;=Time!$F$11,1,0)</f>
        <v>1</v>
      </c>
      <c r="R13" s="9" t="n">
        <f aca="false">IF(R8&lt;=Time!$F$11,1,0)</f>
        <v>1</v>
      </c>
      <c r="S13" s="9" t="n">
        <f aca="false">IF(S8&lt;=Time!$F$11,1,0)</f>
        <v>1</v>
      </c>
      <c r="T13" s="9" t="n">
        <f aca="false">IF(T8&lt;=Time!$F$11,1,0)</f>
        <v>1</v>
      </c>
      <c r="U13" s="9" t="n">
        <f aca="false">IF(U8&lt;=Time!$F$11,1,0)</f>
        <v>1</v>
      </c>
      <c r="V13" s="9" t="n">
        <f aca="false">IF(V8&lt;=Time!$F$11,1,0)</f>
        <v>1</v>
      </c>
      <c r="W13" s="9" t="n">
        <f aca="false">IF(W8&lt;=Time!$F$11,1,0)</f>
        <v>1</v>
      </c>
      <c r="X13" s="9" t="n">
        <f aca="false">IF(X8&lt;=Time!$F$11,1,0)</f>
        <v>1</v>
      </c>
      <c r="Y13" s="9" t="n">
        <f aca="false">IF(Y8&lt;=Time!$F$11,1,0)</f>
        <v>1</v>
      </c>
      <c r="Z13" s="9" t="n">
        <f aca="false">IF(Z8&lt;=Time!$F$11,1,0)</f>
        <v>1</v>
      </c>
      <c r="AA13" s="9" t="n">
        <f aca="false">IF(AA8&lt;=Time!$F$11,1,0)</f>
        <v>1</v>
      </c>
      <c r="AB13" s="9" t="n">
        <f aca="false">IF(AB8&lt;=Time!$F$11,1,0)</f>
        <v>1</v>
      </c>
      <c r="AC13" s="9" t="n">
        <f aca="false">IF(AC8&lt;=Time!$F$11,1,0)</f>
        <v>1</v>
      </c>
      <c r="AD13" s="9" t="n">
        <f aca="false">IF(AD8&lt;=Time!$F$11,1,0)</f>
        <v>1</v>
      </c>
      <c r="AE13" s="9" t="n">
        <f aca="false">IF(AE8&lt;=Time!$F$11,1,0)</f>
        <v>1</v>
      </c>
      <c r="AF13" s="9" t="n">
        <f aca="false">IF(AF8&lt;=Time!$F$11,1,0)</f>
        <v>1</v>
      </c>
      <c r="AG13" s="9" t="n">
        <f aca="false">IF(AG8&lt;=Time!$F$11,1,0)</f>
        <v>1</v>
      </c>
      <c r="AH13" s="9" t="n">
        <f aca="false">IF(AH8&lt;=Time!$F$11,1,0)</f>
        <v>1</v>
      </c>
      <c r="AI13" s="9" t="n">
        <f aca="false">IF(AI8&lt;=Time!$F$11,1,0)</f>
        <v>1</v>
      </c>
      <c r="AJ13" s="9" t="n">
        <f aca="false">IF(AJ8&lt;=Time!$F$11,1,0)</f>
        <v>1</v>
      </c>
      <c r="AK13" s="9" t="n">
        <f aca="false">IF(AK8&lt;=Time!$F$11,1,0)</f>
        <v>1</v>
      </c>
      <c r="AL13" s="9" t="n">
        <f aca="false">IF(AL8&lt;=Time!$F$11,1,0)</f>
        <v>1</v>
      </c>
      <c r="AM13" s="9" t="n">
        <f aca="false">IF(AM8&lt;=Time!$F$11,1,0)</f>
        <v>1</v>
      </c>
      <c r="AN13" s="9" t="n">
        <f aca="false">IF(AN8&lt;=Time!$F$11,1,0)</f>
        <v>1</v>
      </c>
      <c r="AO13" s="9" t="n">
        <f aca="false">IF(AO8&lt;=Time!$F$11,1,0)</f>
        <v>1</v>
      </c>
      <c r="AP13" s="9" t="n">
        <f aca="false">IF(AP8&lt;=Time!$F$11,1,0)</f>
        <v>1</v>
      </c>
      <c r="AQ13" s="9" t="n">
        <f aca="false">IF(AQ8&lt;=Time!$F$11,1,0)</f>
        <v>0</v>
      </c>
      <c r="AR13" s="9" t="n">
        <f aca="false">IF(AR8&lt;=Time!$F$11,1,0)</f>
        <v>0</v>
      </c>
      <c r="AS13" s="9" t="n">
        <f aca="false">IF(AS8&lt;=Time!$F$11,1,0)</f>
        <v>0</v>
      </c>
      <c r="AT13" s="9" t="n">
        <f aca="false">IF(AT8&lt;=Time!$F$11,1,0)</f>
        <v>0</v>
      </c>
      <c r="AU13" s="9" t="n">
        <f aca="false">IF(AU8&lt;=Time!$F$11,1,0)</f>
        <v>0</v>
      </c>
      <c r="AV13" s="9" t="n">
        <f aca="false">IF(AV8&lt;=Time!$F$11,1,0)</f>
        <v>0</v>
      </c>
      <c r="AW13" s="9" t="n">
        <f aca="false">IF(AW8&lt;=Time!$F$11,1,0)</f>
        <v>0</v>
      </c>
      <c r="AX13" s="9" t="n">
        <f aca="false">IF(AX8&lt;=Time!$F$11,1,0)</f>
        <v>0</v>
      </c>
      <c r="AY13" s="9" t="n">
        <f aca="false">IF(AY8&lt;=Time!$F$11,1,0)</f>
        <v>0</v>
      </c>
      <c r="AZ13" s="9" t="n">
        <f aca="false">IF(AZ8&lt;=Time!$F$11,1,0)</f>
        <v>0</v>
      </c>
      <c r="BA13" s="9" t="n">
        <f aca="false">IF(BA8&lt;=Time!$F$11,1,0)</f>
        <v>0</v>
      </c>
      <c r="BB13" s="9" t="n">
        <f aca="false">IF(BB8&lt;=Time!$F$11,1,0)</f>
        <v>0</v>
      </c>
      <c r="BC13" s="9" t="n">
        <f aca="false">IF(BC8&lt;=Time!$F$11,1,0)</f>
        <v>0</v>
      </c>
      <c r="BD13" s="9" t="n">
        <f aca="false">IF(BD8&lt;=Time!$F$11,1,0)</f>
        <v>0</v>
      </c>
      <c r="BE13" s="9" t="n">
        <f aca="false">IF(BE8&lt;=Time!$F$11,1,0)</f>
        <v>0</v>
      </c>
      <c r="BF13" s="9" t="n">
        <f aca="false">IF(BF8&lt;=Time!$F$11,1,0)</f>
        <v>0</v>
      </c>
      <c r="BG13" s="9" t="n">
        <f aca="false">IF(BG8&lt;=Time!$F$11,1,0)</f>
        <v>0</v>
      </c>
      <c r="BH13" s="9" t="n">
        <f aca="false">IF(BH8&lt;=Time!$F$11,1,0)</f>
        <v>0</v>
      </c>
      <c r="BI13" s="9" t="n">
        <f aca="false">IF(BI8&lt;=Time!$F$11,1,0)</f>
        <v>0</v>
      </c>
      <c r="BJ13" s="9" t="n">
        <f aca="false">IF(BJ8&lt;=Time!$F$11,1,0)</f>
        <v>0</v>
      </c>
    </row>
    <row r="14" customFormat="false" ht="15" hidden="false" customHeight="false" outlineLevel="0" collapsed="false">
      <c r="D14" s="0" t="s">
        <v>1559</v>
      </c>
      <c r="E14" s="0" t="s">
        <v>115</v>
      </c>
      <c r="J14" s="9" t="n">
        <f aca="false">IF(J8&lt;=Time!$F$14,1,0)</f>
        <v>1</v>
      </c>
      <c r="K14" s="9" t="n">
        <f aca="false">IF(K8&lt;=Time!$F$14,1,0)</f>
        <v>1</v>
      </c>
      <c r="L14" s="9" t="n">
        <f aca="false">IF(L8&lt;=Time!$F$14,1,0)</f>
        <v>1</v>
      </c>
      <c r="M14" s="9" t="n">
        <f aca="false">IF(M8&lt;=Time!$F$14,1,0)</f>
        <v>1</v>
      </c>
      <c r="N14" s="9" t="n">
        <f aca="false">IF(N8&lt;=Time!$F$14,1,0)</f>
        <v>1</v>
      </c>
      <c r="O14" s="9" t="n">
        <f aca="false">IF(O8&lt;=Time!$F$14,1,0)</f>
        <v>1</v>
      </c>
      <c r="P14" s="9" t="n">
        <f aca="false">IF(P8&lt;=Time!$F$14,1,0)</f>
        <v>1</v>
      </c>
      <c r="Q14" s="9" t="n">
        <f aca="false">IF(Q8&lt;=Time!$F$14,1,0)</f>
        <v>1</v>
      </c>
      <c r="R14" s="9" t="n">
        <f aca="false">IF(R8&lt;=Time!$F$14,1,0)</f>
        <v>1</v>
      </c>
      <c r="S14" s="9" t="n">
        <f aca="false">IF(S8&lt;=Time!$F$14,1,0)</f>
        <v>1</v>
      </c>
      <c r="T14" s="9" t="n">
        <f aca="false">IF(T8&lt;=Time!$F$14,1,0)</f>
        <v>1</v>
      </c>
      <c r="U14" s="9" t="n">
        <f aca="false">IF(U8&lt;=Time!$F$14,1,0)</f>
        <v>1</v>
      </c>
      <c r="V14" s="9" t="n">
        <f aca="false">IF(V8&lt;=Time!$F$14,1,0)</f>
        <v>1</v>
      </c>
      <c r="W14" s="9" t="n">
        <f aca="false">IF(W8&lt;=Time!$F$14,1,0)</f>
        <v>1</v>
      </c>
      <c r="X14" s="9" t="n">
        <f aca="false">IF(X8&lt;=Time!$F$14,1,0)</f>
        <v>1</v>
      </c>
      <c r="Y14" s="9" t="n">
        <f aca="false">IF(Y8&lt;=Time!$F$14,1,0)</f>
        <v>1</v>
      </c>
      <c r="Z14" s="9" t="n">
        <f aca="false">IF(Z8&lt;=Time!$F$14,1,0)</f>
        <v>1</v>
      </c>
      <c r="AA14" s="9" t="n">
        <f aca="false">IF(AA8&lt;=Time!$F$14,1,0)</f>
        <v>1</v>
      </c>
      <c r="AB14" s="9" t="n">
        <f aca="false">IF(AB8&lt;=Time!$F$14,1,0)</f>
        <v>1</v>
      </c>
      <c r="AC14" s="9" t="n">
        <f aca="false">IF(AC8&lt;=Time!$F$14,1,0)</f>
        <v>1</v>
      </c>
      <c r="AD14" s="9" t="n">
        <f aca="false">IF(AD8&lt;=Time!$F$14,1,0)</f>
        <v>1</v>
      </c>
      <c r="AE14" s="9" t="n">
        <f aca="false">IF(AE8&lt;=Time!$F$14,1,0)</f>
        <v>1</v>
      </c>
      <c r="AF14" s="9" t="n">
        <f aca="false">IF(AF8&lt;=Time!$F$14,1,0)</f>
        <v>1</v>
      </c>
      <c r="AG14" s="9" t="n">
        <f aca="false">IF(AG8&lt;=Time!$F$14,1,0)</f>
        <v>1</v>
      </c>
      <c r="AH14" s="9" t="n">
        <f aca="false">IF(AH8&lt;=Time!$F$14,1,0)</f>
        <v>1</v>
      </c>
      <c r="AI14" s="9" t="n">
        <f aca="false">IF(AI8&lt;=Time!$F$14,1,0)</f>
        <v>1</v>
      </c>
      <c r="AJ14" s="9" t="n">
        <f aca="false">IF(AJ8&lt;=Time!$F$14,1,0)</f>
        <v>1</v>
      </c>
      <c r="AK14" s="9" t="n">
        <f aca="false">IF(AK8&lt;=Time!$F$14,1,0)</f>
        <v>1</v>
      </c>
      <c r="AL14" s="9" t="n">
        <f aca="false">IF(AL8&lt;=Time!$F$14,1,0)</f>
        <v>1</v>
      </c>
      <c r="AM14" s="9" t="n">
        <f aca="false">IF(AM8&lt;=Time!$F$14,1,0)</f>
        <v>1</v>
      </c>
      <c r="AN14" s="9" t="n">
        <f aca="false">IF(AN8&lt;=Time!$F$14,1,0)</f>
        <v>1</v>
      </c>
      <c r="AO14" s="9" t="n">
        <f aca="false">IF(AO8&lt;=Time!$F$14,1,0)</f>
        <v>1</v>
      </c>
      <c r="AP14" s="9" t="n">
        <f aca="false">IF(AP8&lt;=Time!$F$14,1,0)</f>
        <v>1</v>
      </c>
      <c r="AQ14" s="9" t="n">
        <f aca="false">IF(AQ8&lt;=Time!$F$14,1,0)</f>
        <v>1</v>
      </c>
      <c r="AR14" s="9" t="n">
        <f aca="false">IF(AR8&lt;=Time!$F$14,1,0)</f>
        <v>1</v>
      </c>
      <c r="AS14" s="9" t="n">
        <f aca="false">IF(AS8&lt;=Time!$F$14,1,0)</f>
        <v>0</v>
      </c>
      <c r="AT14" s="9" t="n">
        <f aca="false">IF(AT8&lt;=Time!$F$14,1,0)</f>
        <v>0</v>
      </c>
      <c r="AU14" s="9" t="n">
        <f aca="false">IF(AU8&lt;=Time!$F$14,1,0)</f>
        <v>0</v>
      </c>
      <c r="AV14" s="9" t="n">
        <f aca="false">IF(AV8&lt;=Time!$F$14,1,0)</f>
        <v>0</v>
      </c>
      <c r="AW14" s="9" t="n">
        <f aca="false">IF(AW8&lt;=Time!$F$14,1,0)</f>
        <v>0</v>
      </c>
      <c r="AX14" s="9" t="n">
        <f aca="false">IF(AX8&lt;=Time!$F$14,1,0)</f>
        <v>0</v>
      </c>
      <c r="AY14" s="9" t="n">
        <f aca="false">IF(AY8&lt;=Time!$F$14,1,0)</f>
        <v>0</v>
      </c>
      <c r="AZ14" s="9" t="n">
        <f aca="false">IF(AZ8&lt;=Time!$F$14,1,0)</f>
        <v>0</v>
      </c>
      <c r="BA14" s="9" t="n">
        <f aca="false">IF(BA8&lt;=Time!$F$14,1,0)</f>
        <v>0</v>
      </c>
      <c r="BB14" s="9" t="n">
        <f aca="false">IF(BB8&lt;=Time!$F$14,1,0)</f>
        <v>0</v>
      </c>
      <c r="BC14" s="9" t="n">
        <f aca="false">IF(BC8&lt;=Time!$F$14,1,0)</f>
        <v>0</v>
      </c>
      <c r="BD14" s="9" t="n">
        <f aca="false">IF(BD8&lt;=Time!$F$14,1,0)</f>
        <v>0</v>
      </c>
      <c r="BE14" s="9" t="n">
        <f aca="false">IF(BE8&lt;=Time!$F$14,1,0)</f>
        <v>0</v>
      </c>
      <c r="BF14" s="9" t="n">
        <f aca="false">IF(BF8&lt;=Time!$F$14,1,0)</f>
        <v>0</v>
      </c>
      <c r="BG14" s="9" t="n">
        <f aca="false">IF(BG8&lt;=Time!$F$14,1,0)</f>
        <v>0</v>
      </c>
      <c r="BH14" s="9" t="n">
        <f aca="false">IF(BH8&lt;=Time!$F$14,1,0)</f>
        <v>0</v>
      </c>
      <c r="BI14" s="9" t="n">
        <f aca="false">IF(BI8&lt;=Time!$F$14,1,0)</f>
        <v>0</v>
      </c>
      <c r="BJ14" s="9" t="n">
        <f aca="false">IF(BJ8&lt;=Time!$F$14,1,0)</f>
        <v>0</v>
      </c>
    </row>
    <row r="15" customFormat="false" ht="15" hidden="false" customHeight="false" outlineLevel="0" collapsed="false">
      <c r="D15" s="0" t="s">
        <v>1560</v>
      </c>
      <c r="E15" s="0" t="s">
        <v>115</v>
      </c>
      <c r="J15" s="9" t="n">
        <f aca="false">IF(J8=Time!$F$11+1,1,0)</f>
        <v>0</v>
      </c>
      <c r="K15" s="9" t="n">
        <f aca="false">IF(K8=Time!$F$11+1,1,0)</f>
        <v>0</v>
      </c>
      <c r="L15" s="9" t="n">
        <f aca="false">IF(L8=Time!$F$11+1,1,0)</f>
        <v>0</v>
      </c>
      <c r="M15" s="9" t="n">
        <f aca="false">IF(M8=Time!$F$11+1,1,0)</f>
        <v>0</v>
      </c>
      <c r="N15" s="9" t="n">
        <f aca="false">IF(N8=Time!$F$11+1,1,0)</f>
        <v>0</v>
      </c>
      <c r="O15" s="9" t="n">
        <f aca="false">IF(O8=Time!$F$11+1,1,0)</f>
        <v>0</v>
      </c>
      <c r="P15" s="9" t="n">
        <f aca="false">IF(P8=Time!$F$11+1,1,0)</f>
        <v>0</v>
      </c>
      <c r="Q15" s="9" t="n">
        <f aca="false">IF(Q8=Time!$F$11+1,1,0)</f>
        <v>0</v>
      </c>
      <c r="R15" s="9" t="n">
        <f aca="false">IF(R8=Time!$F$11+1,1,0)</f>
        <v>0</v>
      </c>
      <c r="S15" s="9" t="n">
        <f aca="false">IF(S8=Time!$F$11+1,1,0)</f>
        <v>0</v>
      </c>
      <c r="T15" s="9" t="n">
        <f aca="false">IF(T8=Time!$F$11+1,1,0)</f>
        <v>0</v>
      </c>
      <c r="U15" s="9" t="n">
        <f aca="false">IF(U8=Time!$F$11+1,1,0)</f>
        <v>0</v>
      </c>
      <c r="V15" s="9" t="n">
        <f aca="false">IF(V8=Time!$F$11+1,1,0)</f>
        <v>0</v>
      </c>
      <c r="W15" s="9" t="n">
        <f aca="false">IF(W8=Time!$F$11+1,1,0)</f>
        <v>0</v>
      </c>
      <c r="X15" s="9" t="n">
        <f aca="false">IF(X8=Time!$F$11+1,1,0)</f>
        <v>0</v>
      </c>
      <c r="Y15" s="9" t="n">
        <f aca="false">IF(Y8=Time!$F$11+1,1,0)</f>
        <v>0</v>
      </c>
      <c r="Z15" s="9" t="n">
        <f aca="false">IF(Z8=Time!$F$11+1,1,0)</f>
        <v>0</v>
      </c>
      <c r="AA15" s="9" t="n">
        <f aca="false">IF(AA8=Time!$F$11+1,1,0)</f>
        <v>0</v>
      </c>
      <c r="AB15" s="9" t="n">
        <f aca="false">IF(AB8=Time!$F$11+1,1,0)</f>
        <v>0</v>
      </c>
      <c r="AC15" s="9" t="n">
        <f aca="false">IF(AC8=Time!$F$11+1,1,0)</f>
        <v>0</v>
      </c>
      <c r="AD15" s="9" t="n">
        <f aca="false">IF(AD8=Time!$F$11+1,1,0)</f>
        <v>0</v>
      </c>
      <c r="AE15" s="9" t="n">
        <f aca="false">IF(AE8=Time!$F$11+1,1,0)</f>
        <v>0</v>
      </c>
      <c r="AF15" s="9" t="n">
        <f aca="false">IF(AF8=Time!$F$11+1,1,0)</f>
        <v>0</v>
      </c>
      <c r="AG15" s="9" t="n">
        <f aca="false">IF(AG8=Time!$F$11+1,1,0)</f>
        <v>0</v>
      </c>
      <c r="AH15" s="9" t="n">
        <f aca="false">IF(AH8=Time!$F$11+1,1,0)</f>
        <v>0</v>
      </c>
      <c r="AI15" s="9" t="n">
        <f aca="false">IF(AI8=Time!$F$11+1,1,0)</f>
        <v>0</v>
      </c>
      <c r="AJ15" s="9" t="n">
        <f aca="false">IF(AJ8=Time!$F$11+1,1,0)</f>
        <v>0</v>
      </c>
      <c r="AK15" s="9" t="n">
        <f aca="false">IF(AK8=Time!$F$11+1,1,0)</f>
        <v>0</v>
      </c>
      <c r="AL15" s="9" t="n">
        <f aca="false">IF(AL8=Time!$F$11+1,1,0)</f>
        <v>0</v>
      </c>
      <c r="AM15" s="9" t="n">
        <f aca="false">IF(AM8=Time!$F$11+1,1,0)</f>
        <v>0</v>
      </c>
      <c r="AN15" s="9" t="n">
        <f aca="false">IF(AN8=Time!$F$11+1,1,0)</f>
        <v>0</v>
      </c>
      <c r="AO15" s="9" t="n">
        <f aca="false">IF(AO8=Time!$F$11+1,1,0)</f>
        <v>0</v>
      </c>
      <c r="AP15" s="9" t="n">
        <f aca="false">IF(AP8=Time!$F$11+1,1,0)</f>
        <v>0</v>
      </c>
      <c r="AQ15" s="9" t="n">
        <f aca="false">IF(AQ8=Time!$F$11+1,1,0)</f>
        <v>1</v>
      </c>
      <c r="AR15" s="9" t="n">
        <f aca="false">IF(AR8=Time!$F$11+1,1,0)</f>
        <v>0</v>
      </c>
      <c r="AS15" s="9" t="n">
        <f aca="false">IF(AS8=Time!$F$11+1,1,0)</f>
        <v>0</v>
      </c>
      <c r="AT15" s="9" t="n">
        <f aca="false">IF(AT8=Time!$F$11+1,1,0)</f>
        <v>0</v>
      </c>
      <c r="AU15" s="9" t="n">
        <f aca="false">IF(AU8=Time!$F$11+1,1,0)</f>
        <v>0</v>
      </c>
      <c r="AV15" s="9" t="n">
        <f aca="false">IF(AV8=Time!$F$11+1,1,0)</f>
        <v>0</v>
      </c>
      <c r="AW15" s="9" t="n">
        <f aca="false">IF(AW8=Time!$F$11+1,1,0)</f>
        <v>0</v>
      </c>
      <c r="AX15" s="9" t="n">
        <f aca="false">IF(AX8=Time!$F$11+1,1,0)</f>
        <v>0</v>
      </c>
      <c r="AY15" s="9" t="n">
        <f aca="false">IF(AY8=Time!$F$11+1,1,0)</f>
        <v>0</v>
      </c>
      <c r="AZ15" s="9" t="n">
        <f aca="false">IF(AZ8=Time!$F$11+1,1,0)</f>
        <v>0</v>
      </c>
      <c r="BA15" s="9" t="n">
        <f aca="false">IF(BA8=Time!$F$11+1,1,0)</f>
        <v>0</v>
      </c>
      <c r="BB15" s="9" t="n">
        <f aca="false">IF(BB8=Time!$F$11+1,1,0)</f>
        <v>0</v>
      </c>
      <c r="BC15" s="9" t="n">
        <f aca="false">IF(BC8=Time!$F$11+1,1,0)</f>
        <v>0</v>
      </c>
      <c r="BD15" s="9" t="n">
        <f aca="false">IF(BD8=Time!$F$11+1,1,0)</f>
        <v>0</v>
      </c>
      <c r="BE15" s="9" t="n">
        <f aca="false">IF(BE8=Time!$F$11+1,1,0)</f>
        <v>0</v>
      </c>
      <c r="BF15" s="9" t="n">
        <f aca="false">IF(BF8=Time!$F$11+1,1,0)</f>
        <v>0</v>
      </c>
      <c r="BG15" s="9" t="n">
        <f aca="false">IF(BG8=Time!$F$11+1,1,0)</f>
        <v>0</v>
      </c>
      <c r="BH15" s="9" t="n">
        <f aca="false">IF(BH8=Time!$F$11+1,1,0)</f>
        <v>0</v>
      </c>
      <c r="BI15" s="9" t="n">
        <f aca="false">IF(BI8=Time!$F$11+1,1,0)</f>
        <v>0</v>
      </c>
      <c r="BJ15" s="9" t="n">
        <f aca="false">IF(BJ8=Time!$F$11+1,1,0)</f>
        <v>0</v>
      </c>
    </row>
    <row r="16" customFormat="false" ht="15" hidden="false" customHeight="false" outlineLevel="0" collapsed="false">
      <c r="D16" s="0" t="s">
        <v>1561</v>
      </c>
      <c r="E16" s="0" t="s">
        <v>155</v>
      </c>
      <c r="J16" s="13" t="n">
        <f aca="false">IF(Inputs!$F$33=1,Inputs!$F$60*Time!$F$16^((J8-Inputs!$F$212)/12),INDEX(Operations!$J$11:$BN$11,1,J12))</f>
        <v>520.495338031746</v>
      </c>
      <c r="K16" s="13" t="n">
        <f aca="false">IF(Inputs!$F$33=1,Inputs!$F$60*Time!$F$16^((K8-Inputs!$F$212)/12),INDEX(Operations!$J$11:$BN$11,1,K12))</f>
        <v>522.692948685804</v>
      </c>
      <c r="L16" s="13" t="n">
        <f aca="false">IF(Inputs!$F$33=1,Inputs!$F$60*Time!$F$16^((L8-Inputs!$F$212)/12),INDEX(Operations!$J$11:$BN$11,1,L12))</f>
        <v>524.899837987016</v>
      </c>
      <c r="M16" s="13" t="n">
        <f aca="false">IF(Inputs!$F$33=1,Inputs!$F$60*Time!$F$16^((M8-Inputs!$F$212)/12),INDEX(Operations!$J$11:$BN$11,1,M12))</f>
        <v>527.116045111244</v>
      </c>
      <c r="N16" s="13" t="n">
        <f aca="false">IF(Inputs!$F$33=1,Inputs!$F$60*Time!$F$16^((N8-Inputs!$F$212)/12),INDEX(Operations!$J$11:$BN$11,1,N12))</f>
        <v>529.341609399758</v>
      </c>
      <c r="O16" s="13" t="n">
        <f aca="false">IF(Inputs!$F$33=1,Inputs!$F$60*Time!$F$16^((O8-Inputs!$F$212)/12),INDEX(Operations!$J$11:$BN$11,1,O12))</f>
        <v>531.576570359931</v>
      </c>
      <c r="P16" s="13" t="n">
        <f aca="false">IF(Inputs!$F$33=1,Inputs!$F$60*Time!$F$16^((P8-Inputs!$F$212)/12),INDEX(Operations!$J$11:$BN$11,1,P12))</f>
        <v>533.820967665944</v>
      </c>
      <c r="Q16" s="13" t="n">
        <f aca="false">IF(Inputs!$F$33=1,Inputs!$F$60*Time!$F$16^((Q8-Inputs!$F$212)/12),INDEX(Operations!$J$11:$BN$11,1,Q12))</f>
        <v>536.074841159486</v>
      </c>
      <c r="R16" s="13" t="n">
        <f aca="false">IF(Inputs!$F$33=1,Inputs!$F$60*Time!$F$16^((R8-Inputs!$F$212)/12),INDEX(Operations!$J$11:$BN$11,1,R12))</f>
        <v>538.338230850467</v>
      </c>
      <c r="S16" s="13" t="n">
        <f aca="false">IF(Inputs!$F$33=1,Inputs!$F$60*Time!$F$16^((S8-Inputs!$F$212)/12),INDEX(Operations!$J$11:$BN$11,1,S12))</f>
        <v>540.611176917722</v>
      </c>
      <c r="T16" s="13" t="n">
        <f aca="false">IF(Inputs!$F$33=1,Inputs!$F$60*Time!$F$16^((T8-Inputs!$F$212)/12),INDEX(Operations!$J$11:$BN$11,1,T12))</f>
        <v>542.893719709728</v>
      </c>
      <c r="U16" s="13" t="n">
        <f aca="false">IF(Inputs!$F$33=1,Inputs!$F$60*Time!$F$16^((U8-Inputs!$F$212)/12),INDEX(Operations!$J$11:$BN$11,1,U12))</f>
        <v>545.18589974532</v>
      </c>
      <c r="V16" s="13" t="n">
        <f aca="false">IF(Inputs!$F$33=1,Inputs!$F$60*Time!$F$16^((V8-Inputs!$F$212)/12),INDEX(Operations!$J$11:$BN$11,1,V12))</f>
        <v>547.48775771441</v>
      </c>
      <c r="W16" s="13" t="n">
        <f aca="false">IF(Inputs!$F$33=1,Inputs!$F$60*Time!$F$16^((W8-Inputs!$F$212)/12),INDEX(Operations!$J$11:$BN$11,1,W12))</f>
        <v>549.799334478708</v>
      </c>
      <c r="X16" s="13" t="n">
        <f aca="false">IF(Inputs!$F$33=1,Inputs!$F$60*Time!$F$16^((X8-Inputs!$F$212)/12),INDEX(Operations!$J$11:$BN$11,1,X12))</f>
        <v>552.120671072448</v>
      </c>
      <c r="Y16" s="13" t="n">
        <f aca="false">IF(Inputs!$F$33=1,Inputs!$F$60*Time!$F$16^((Y8-Inputs!$F$212)/12),INDEX(Operations!$J$11:$BN$11,1,Y12))</f>
        <v>554.451808703119</v>
      </c>
      <c r="Z16" s="13" t="n">
        <f aca="false">IF(Inputs!$F$33=1,Inputs!$F$60*Time!$F$16^((Z8-Inputs!$F$212)/12),INDEX(Operations!$J$11:$BN$11,1,Z12))</f>
        <v>556.792788752192</v>
      </c>
      <c r="AA16" s="13" t="n">
        <f aca="false">IF(Inputs!$F$33=1,Inputs!$F$60*Time!$F$16^((AA8-Inputs!$F$212)/12),INDEX(Operations!$J$11:$BN$11,1,AA12))</f>
        <v>559.143652775857</v>
      </c>
      <c r="AB16" s="13" t="n">
        <f aca="false">IF(Inputs!$F$33=1,Inputs!$F$60*Time!$F$16^((AB8-Inputs!$F$212)/12),INDEX(Operations!$J$11:$BN$11,1,AB12))</f>
        <v>561.504442505763</v>
      </c>
      <c r="AC16" s="13" t="n">
        <f aca="false">IF(Inputs!$F$33=1,Inputs!$F$60*Time!$F$16^((AC8-Inputs!$F$212)/12),INDEX(Operations!$J$11:$BN$11,1,AC12))</f>
        <v>563.875199849753</v>
      </c>
      <c r="AD16" s="13" t="n">
        <f aca="false">IF(Inputs!$F$33=1,Inputs!$F$60*Time!$F$16^((AD8-Inputs!$F$212)/12),INDEX(Operations!$J$11:$BN$11,1,AD12))</f>
        <v>566.255966892614</v>
      </c>
      <c r="AE16" s="13" t="n">
        <f aca="false">IF(Inputs!$F$33=1,Inputs!$F$60*Time!$F$16^((AE8-Inputs!$F$212)/12),INDEX(Operations!$J$11:$BN$11,1,AE12))</f>
        <v>568.646785896821</v>
      </c>
      <c r="AF16" s="13" t="n">
        <f aca="false">IF(Inputs!$F$33=1,Inputs!$F$60*Time!$F$16^((AF8-Inputs!$F$212)/12),INDEX(Operations!$J$11:$BN$11,1,AF12))</f>
        <v>571.047699303285</v>
      </c>
      <c r="AG16" s="13" t="n">
        <f aca="false">IF(Inputs!$F$33=1,Inputs!$F$60*Time!$F$16^((AG8-Inputs!$F$212)/12),INDEX(Operations!$J$11:$BN$11,1,AG12))</f>
        <v>573.458749732113</v>
      </c>
      <c r="AH16" s="13" t="n">
        <f aca="false">IF(Inputs!$F$33=1,Inputs!$F$60*Time!$F$16^((AH8-Inputs!$F$212)/12),INDEX(Operations!$J$11:$BN$11,1,AH12))</f>
        <v>575.879979983357</v>
      </c>
      <c r="AI16" s="13" t="n">
        <f aca="false">IF(Inputs!$F$33=1,Inputs!$F$60*Time!$F$16^((AI8-Inputs!$F$212)/12),INDEX(Operations!$J$11:$BN$11,1,AI12))</f>
        <v>578.31143303778</v>
      </c>
      <c r="AJ16" s="13" t="n">
        <f aca="false">IF(Inputs!$F$33=1,Inputs!$F$60*Time!$F$16^((AJ8-Inputs!$F$212)/12),INDEX(Operations!$J$11:$BN$11,1,AJ12))</f>
        <v>580.753152057614</v>
      </c>
      <c r="AK16" s="13" t="n">
        <f aca="false">IF(Inputs!$F$33=1,Inputs!$F$60*Time!$F$16^((AK8-Inputs!$F$212)/12),INDEX(Operations!$J$11:$BN$11,1,AK12))</f>
        <v>583.205180387331</v>
      </c>
      <c r="AL16" s="13" t="n">
        <f aca="false">IF(Inputs!$F$33=1,Inputs!$F$60*Time!$F$16^((AL8-Inputs!$F$212)/12),INDEX(Operations!$J$11:$BN$11,1,AL12))</f>
        <v>585.667561554409</v>
      </c>
      <c r="AM16" s="13" t="n">
        <f aca="false">IF(Inputs!$F$33=1,Inputs!$F$60*Time!$F$16^((AM8-Inputs!$F$212)/12),INDEX(Operations!$J$11:$BN$11,1,AM12))</f>
        <v>588.140339270104</v>
      </c>
      <c r="AN16" s="13" t="n">
        <f aca="false">IF(Inputs!$F$33=1,Inputs!$F$60*Time!$F$16^((AN8-Inputs!$F$212)/12),INDEX(Operations!$J$11:$BN$11,1,AN12))</f>
        <v>590.62355743023</v>
      </c>
      <c r="AO16" s="13" t="n">
        <f aca="false">IF(Inputs!$F$33=1,Inputs!$F$60*Time!$F$16^((AO8-Inputs!$F$212)/12),INDEX(Operations!$J$11:$BN$11,1,AO12))</f>
        <v>593.117260115934</v>
      </c>
      <c r="AP16" s="13" t="n">
        <f aca="false">IF(Inputs!$F$33=1,Inputs!$F$60*Time!$F$16^((AP8-Inputs!$F$212)/12),INDEX(Operations!$J$11:$BN$11,1,AP12))</f>
        <v>595.621491594482</v>
      </c>
      <c r="AQ16" s="13" t="n">
        <f aca="false">IF(Inputs!$F$33=1,Inputs!$F$60*Time!$F$16^((AQ8-Inputs!$F$212)/12),INDEX(Operations!$J$11:$BN$11,1,AQ12))</f>
        <v>598.136296320041</v>
      </c>
      <c r="AR16" s="13" t="n">
        <f aca="false">IF(Inputs!$F$33=1,Inputs!$F$60*Time!$F$16^((AR8-Inputs!$F$212)/12),INDEX(Operations!$J$11:$BN$11,1,AR12))</f>
        <v>600.661718934473</v>
      </c>
      <c r="AS16" s="13" t="n">
        <f aca="false">IF(Inputs!$F$33=1,Inputs!$F$60*Time!$F$16^((AS8-Inputs!$F$212)/12),INDEX(Operations!$J$11:$BN$11,1,AS12))</f>
        <v>603.197804268122</v>
      </c>
      <c r="AT16" s="13" t="n">
        <f aca="false">IF(Inputs!$F$33=1,Inputs!$F$60*Time!$F$16^((AT8-Inputs!$F$212)/12),INDEX(Operations!$J$11:$BN$11,1,AT12))</f>
        <v>605.744597340615</v>
      </c>
      <c r="AU16" s="13" t="n">
        <f aca="false">IF(Inputs!$F$33=1,Inputs!$F$60*Time!$F$16^((AU8-Inputs!$F$212)/12),INDEX(Operations!$J$11:$BN$11,1,AU12))</f>
        <v>608.302143361657</v>
      </c>
      <c r="AV16" s="13" t="n">
        <f aca="false">IF(Inputs!$F$33=1,Inputs!$F$60*Time!$F$16^((AV8-Inputs!$F$212)/12),INDEX(Operations!$J$11:$BN$11,1,AV12))</f>
        <v>610.870487731835</v>
      </c>
      <c r="AW16" s="13" t="n">
        <f aca="false">IF(Inputs!$F$33=1,Inputs!$F$60*Time!$F$16^((AW8-Inputs!$F$212)/12),INDEX(Operations!$J$11:$BN$11,1,AW12))</f>
        <v>613.449676043426</v>
      </c>
      <c r="AX16" s="13" t="n">
        <f aca="false">IF(Inputs!$F$33=1,Inputs!$F$60*Time!$F$16^((AX8-Inputs!$F$212)/12),INDEX(Operations!$J$11:$BN$11,1,AX12))</f>
        <v>616.039754081203</v>
      </c>
      <c r="AY16" s="13" t="n">
        <f aca="false">IF(Inputs!$F$33=1,Inputs!$F$60*Time!$F$16^((AY8-Inputs!$F$212)/12),INDEX(Operations!$J$11:$BN$11,1,AY12))</f>
        <v>618.64076782325</v>
      </c>
      <c r="AZ16" s="13" t="n">
        <f aca="false">IF(Inputs!$F$33=1,Inputs!$F$60*Time!$F$16^((AZ8-Inputs!$F$212)/12),INDEX(Operations!$J$11:$BN$11,1,AZ12))</f>
        <v>621.252763441778</v>
      </c>
      <c r="BA16" s="13" t="n">
        <f aca="false">IF(Inputs!$F$33=1,Inputs!$F$60*Time!$F$16^((BA8-Inputs!$F$212)/12),INDEX(Operations!$J$11:$BN$11,1,BA12))</f>
        <v>623.875787303942</v>
      </c>
      <c r="BB16" s="13" t="n">
        <f aca="false">IF(Inputs!$F$33=1,Inputs!$F$60*Time!$F$16^((BB8-Inputs!$F$212)/12),INDEX(Operations!$J$11:$BN$11,1,BB12))</f>
        <v>626.509885972669</v>
      </c>
      <c r="BC16" s="13" t="n">
        <f aca="false">IF(Inputs!$F$33=1,Inputs!$F$60*Time!$F$16^((BC8-Inputs!$F$212)/12),INDEX(Operations!$J$11:$BN$11,1,BC12))</f>
        <v>629.15510620748</v>
      </c>
      <c r="BD16" s="13" t="n">
        <f aca="false">IF(Inputs!$F$33=1,Inputs!$F$60*Time!$F$16^((BD8-Inputs!$F$212)/12),INDEX(Operations!$J$11:$BN$11,1,BD12))</f>
        <v>631.811494965321</v>
      </c>
      <c r="BE16" s="13" t="n">
        <f aca="false">IF(Inputs!$F$33=1,Inputs!$F$60*Time!$F$16^((BE8-Inputs!$F$212)/12),INDEX(Operations!$J$11:$BN$11,1,BE12))</f>
        <v>634.479099401401</v>
      </c>
      <c r="BF16" s="13" t="n">
        <f aca="false">IF(Inputs!$F$33=1,Inputs!$F$60*Time!$F$16^((BF8-Inputs!$F$212)/12),INDEX(Operations!$J$11:$BN$11,1,BF12))</f>
        <v>637.157966870021</v>
      </c>
      <c r="BG16" s="13" t="n">
        <f aca="false">IF(Inputs!$F$33=1,Inputs!$F$60*Time!$F$16^((BG8-Inputs!$F$212)/12),INDEX(Operations!$J$11:$BN$11,1,BG12))</f>
        <v>639.848144925422</v>
      </c>
      <c r="BH16" s="13" t="n">
        <f aca="false">IF(Inputs!$F$33=1,Inputs!$F$60*Time!$F$16^((BH8-Inputs!$F$212)/12),INDEX(Operations!$J$11:$BN$11,1,BH12))</f>
        <v>642.549681322625</v>
      </c>
      <c r="BI16" s="13" t="n">
        <f aca="false">IF(Inputs!$F$33=1,Inputs!$F$60*Time!$F$16^((BI8-Inputs!$F$212)/12),INDEX(Operations!$J$11:$BN$11,1,BI12))</f>
        <v>645.262624018281</v>
      </c>
      <c r="BJ16" s="13" t="n">
        <f aca="false">IF(Inputs!$F$33=1,Inputs!$F$60*Time!$F$16^((BJ8-Inputs!$F$212)/12),INDEX(Operations!$J$11:$BN$11,1,BJ12))</f>
        <v>647.98702117152</v>
      </c>
    </row>
    <row r="17" customFormat="false" ht="15" hidden="false" customHeight="false" outlineLevel="0" collapsed="false">
      <c r="D17" s="0" t="s">
        <v>1562</v>
      </c>
      <c r="E17" s="0" t="s">
        <v>105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1563</v>
      </c>
      <c r="E18" s="0" t="s">
        <v>105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1564</v>
      </c>
    </row>
    <row r="20" customFormat="false" ht="15" hidden="false" customHeight="false" outlineLevel="0" collapsed="false">
      <c r="D20" s="0" t="s">
        <v>1565</v>
      </c>
      <c r="E20" s="0" t="s">
        <v>105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1566</v>
      </c>
      <c r="E21" s="0" t="s">
        <v>105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1567</v>
      </c>
      <c r="E22" s="0" t="s">
        <v>151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42.94975872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156</v>
      </c>
      <c r="E23" s="0" t="s">
        <v>151</v>
      </c>
      <c r="G23" s="13" t="n">
        <f aca="false">SUM(J23:BJ23)</f>
        <v>46.18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157</v>
      </c>
      <c r="E24" s="0" t="s">
        <v>151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1568</v>
      </c>
      <c r="E25" s="0" t="s">
        <v>151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160</v>
      </c>
      <c r="E26" s="0" t="s">
        <v>151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0.08409375</v>
      </c>
      <c r="L26" s="13" t="n">
        <f aca="false">Inputs!$F$65*Inputs!$F$36*(Inputs!$F$244*IF(L8=1,1,0)+(1-Inputs!$F$244)/(Time!$F$11-1)*IF(AND(L8&gt;1,L8&lt;=Time!$F$11),1,0))</f>
        <v>0.08409375</v>
      </c>
      <c r="M26" s="13" t="n">
        <f aca="false">Inputs!$F$65*Inputs!$F$36*(Inputs!$F$244*IF(M8=1,1,0)+(1-Inputs!$F$244)/(Time!$F$11-1)*IF(AND(M8&gt;1,M8&lt;=Time!$F$11),1,0))</f>
        <v>0.08409375</v>
      </c>
      <c r="N26" s="13" t="n">
        <f aca="false">Inputs!$F$65*Inputs!$F$36*(Inputs!$F$244*IF(N8=1,1,0)+(1-Inputs!$F$244)/(Time!$F$11-1)*IF(AND(N8&gt;1,N8&lt;=Time!$F$11),1,0))</f>
        <v>0.08409375</v>
      </c>
      <c r="O26" s="13" t="n">
        <f aca="false">Inputs!$F$65*Inputs!$F$36*(Inputs!$F$244*IF(O8=1,1,0)+(1-Inputs!$F$244)/(Time!$F$11-1)*IF(AND(O8&gt;1,O8&lt;=Time!$F$11),1,0))</f>
        <v>0.08409375</v>
      </c>
      <c r="P26" s="13" t="n">
        <f aca="false">Inputs!$F$65*Inputs!$F$36*(Inputs!$F$244*IF(P8=1,1,0)+(1-Inputs!$F$244)/(Time!$F$11-1)*IF(AND(P8&gt;1,P8&lt;=Time!$F$11),1,0))</f>
        <v>0.08409375</v>
      </c>
      <c r="Q26" s="13" t="n">
        <f aca="false">Inputs!$F$65*Inputs!$F$36*(Inputs!$F$244*IF(Q8=1,1,0)+(1-Inputs!$F$244)/(Time!$F$11-1)*IF(AND(Q8&gt;1,Q8&lt;=Time!$F$11),1,0))</f>
        <v>0.08409375</v>
      </c>
      <c r="R26" s="13" t="n">
        <f aca="false">Inputs!$F$65*Inputs!$F$36*(Inputs!$F$244*IF(R8=1,1,0)+(1-Inputs!$F$244)/(Time!$F$11-1)*IF(AND(R8&gt;1,R8&lt;=Time!$F$11),1,0))</f>
        <v>0.08409375</v>
      </c>
      <c r="S26" s="13" t="n">
        <f aca="false">Inputs!$F$65*Inputs!$F$36*(Inputs!$F$244*IF(S8=1,1,0)+(1-Inputs!$F$244)/(Time!$F$11-1)*IF(AND(S8&gt;1,S8&lt;=Time!$F$11),1,0))</f>
        <v>0.08409375</v>
      </c>
      <c r="T26" s="13" t="n">
        <f aca="false">Inputs!$F$65*Inputs!$F$36*(Inputs!$F$244*IF(T8=1,1,0)+(1-Inputs!$F$244)/(Time!$F$11-1)*IF(AND(T8&gt;1,T8&lt;=Time!$F$11),1,0))</f>
        <v>0.08409375</v>
      </c>
      <c r="U26" s="13" t="n">
        <f aca="false">Inputs!$F$65*Inputs!$F$36*(Inputs!$F$244*IF(U8=1,1,0)+(1-Inputs!$F$244)/(Time!$F$11-1)*IF(AND(U8&gt;1,U8&lt;=Time!$F$11),1,0))</f>
        <v>0.08409375</v>
      </c>
      <c r="V26" s="13" t="n">
        <f aca="false">Inputs!$F$65*Inputs!$F$36*(Inputs!$F$244*IF(V8=1,1,0)+(1-Inputs!$F$244)/(Time!$F$11-1)*IF(AND(V8&gt;1,V8&lt;=Time!$F$11),1,0))</f>
        <v>0.08409375</v>
      </c>
      <c r="W26" s="13" t="n">
        <f aca="false">Inputs!$F$65*Inputs!$F$36*(Inputs!$F$244*IF(W8=1,1,0)+(1-Inputs!$F$244)/(Time!$F$11-1)*IF(AND(W8&gt;1,W8&lt;=Time!$F$11),1,0))</f>
        <v>0.08409375</v>
      </c>
      <c r="X26" s="13" t="n">
        <f aca="false">Inputs!$F$65*Inputs!$F$36*(Inputs!$F$244*IF(X8=1,1,0)+(1-Inputs!$F$244)/(Time!$F$11-1)*IF(AND(X8&gt;1,X8&lt;=Time!$F$11),1,0))</f>
        <v>0.08409375</v>
      </c>
      <c r="Y26" s="13" t="n">
        <f aca="false">Inputs!$F$65*Inputs!$F$36*(Inputs!$F$244*IF(Y8=1,1,0)+(1-Inputs!$F$244)/(Time!$F$11-1)*IF(AND(Y8&gt;1,Y8&lt;=Time!$F$11),1,0))</f>
        <v>0.08409375</v>
      </c>
      <c r="Z26" s="13" t="n">
        <f aca="false">Inputs!$F$65*Inputs!$F$36*(Inputs!$F$244*IF(Z8=1,1,0)+(1-Inputs!$F$244)/(Time!$F$11-1)*IF(AND(Z8&gt;1,Z8&lt;=Time!$F$11),1,0))</f>
        <v>0.08409375</v>
      </c>
      <c r="AA26" s="13" t="n">
        <f aca="false">Inputs!$F$65*Inputs!$F$36*(Inputs!$F$244*IF(AA8=1,1,0)+(1-Inputs!$F$244)/(Time!$F$11-1)*IF(AND(AA8&gt;1,AA8&lt;=Time!$F$11),1,0))</f>
        <v>0.08409375</v>
      </c>
      <c r="AB26" s="13" t="n">
        <f aca="false">Inputs!$F$65*Inputs!$F$36*(Inputs!$F$244*IF(AB8=1,1,0)+(1-Inputs!$F$244)/(Time!$F$11-1)*IF(AND(AB8&gt;1,AB8&lt;=Time!$F$11),1,0))</f>
        <v>0.08409375</v>
      </c>
      <c r="AC26" s="13" t="n">
        <f aca="false">Inputs!$F$65*Inputs!$F$36*(Inputs!$F$244*IF(AC8=1,1,0)+(1-Inputs!$F$244)/(Time!$F$11-1)*IF(AND(AC8&gt;1,AC8&lt;=Time!$F$11),1,0))</f>
        <v>0.08409375</v>
      </c>
      <c r="AD26" s="13" t="n">
        <f aca="false">Inputs!$F$65*Inputs!$F$36*(Inputs!$F$244*IF(AD8=1,1,0)+(1-Inputs!$F$244)/(Time!$F$11-1)*IF(AND(AD8&gt;1,AD8&lt;=Time!$F$11),1,0))</f>
        <v>0.08409375</v>
      </c>
      <c r="AE26" s="13" t="n">
        <f aca="false">Inputs!$F$65*Inputs!$F$36*(Inputs!$F$244*IF(AE8=1,1,0)+(1-Inputs!$F$244)/(Time!$F$11-1)*IF(AND(AE8&gt;1,AE8&lt;=Time!$F$11),1,0))</f>
        <v>0.08409375</v>
      </c>
      <c r="AF26" s="13" t="n">
        <f aca="false">Inputs!$F$65*Inputs!$F$36*(Inputs!$F$244*IF(AF8=1,1,0)+(1-Inputs!$F$244)/(Time!$F$11-1)*IF(AND(AF8&gt;1,AF8&lt;=Time!$F$11),1,0))</f>
        <v>0.08409375</v>
      </c>
      <c r="AG26" s="13" t="n">
        <f aca="false">Inputs!$F$65*Inputs!$F$36*(Inputs!$F$244*IF(AG8=1,1,0)+(1-Inputs!$F$244)/(Time!$F$11-1)*IF(AND(AG8&gt;1,AG8&lt;=Time!$F$11),1,0))</f>
        <v>0.08409375</v>
      </c>
      <c r="AH26" s="13" t="n">
        <f aca="false">Inputs!$F$65*Inputs!$F$36*(Inputs!$F$244*IF(AH8=1,1,0)+(1-Inputs!$F$244)/(Time!$F$11-1)*IF(AND(AH8&gt;1,AH8&lt;=Time!$F$11),1,0))</f>
        <v>0.08409375</v>
      </c>
      <c r="AI26" s="13" t="n">
        <f aca="false">Inputs!$F$65*Inputs!$F$36*(Inputs!$F$244*IF(AI8=1,1,0)+(1-Inputs!$F$244)/(Time!$F$11-1)*IF(AND(AI8&gt;1,AI8&lt;=Time!$F$11),1,0))</f>
        <v>0.08409375</v>
      </c>
      <c r="AJ26" s="13" t="n">
        <f aca="false">Inputs!$F$65*Inputs!$F$36*(Inputs!$F$244*IF(AJ8=1,1,0)+(1-Inputs!$F$244)/(Time!$F$11-1)*IF(AND(AJ8&gt;1,AJ8&lt;=Time!$F$11),1,0))</f>
        <v>0.08409375</v>
      </c>
      <c r="AK26" s="13" t="n">
        <f aca="false">Inputs!$F$65*Inputs!$F$36*(Inputs!$F$244*IF(AK8=1,1,0)+(1-Inputs!$F$244)/(Time!$F$11-1)*IF(AND(AK8&gt;1,AK8&lt;=Time!$F$11),1,0))</f>
        <v>0.08409375</v>
      </c>
      <c r="AL26" s="13" t="n">
        <f aca="false">Inputs!$F$65*Inputs!$F$36*(Inputs!$F$244*IF(AL8=1,1,0)+(1-Inputs!$F$244)/(Time!$F$11-1)*IF(AND(AL8&gt;1,AL8&lt;=Time!$F$11),1,0))</f>
        <v>0.08409375</v>
      </c>
      <c r="AM26" s="13" t="n">
        <f aca="false">Inputs!$F$65*Inputs!$F$36*(Inputs!$F$244*IF(AM8=1,1,0)+(1-Inputs!$F$244)/(Time!$F$11-1)*IF(AND(AM8&gt;1,AM8&lt;=Time!$F$11),1,0))</f>
        <v>0.08409375</v>
      </c>
      <c r="AN26" s="13" t="n">
        <f aca="false">Inputs!$F$65*Inputs!$F$36*(Inputs!$F$244*IF(AN8=1,1,0)+(1-Inputs!$F$244)/(Time!$F$11-1)*IF(AND(AN8&gt;1,AN8&lt;=Time!$F$11),1,0))</f>
        <v>0.08409375</v>
      </c>
      <c r="AO26" s="13" t="n">
        <f aca="false">Inputs!$F$65*Inputs!$F$36*(Inputs!$F$244*IF(AO8=1,1,0)+(1-Inputs!$F$244)/(Time!$F$11-1)*IF(AND(AO8&gt;1,AO8&lt;=Time!$F$11),1,0))</f>
        <v>0.08409375</v>
      </c>
      <c r="AP26" s="13" t="n">
        <f aca="false">Inputs!$F$65*Inputs!$F$36*(Inputs!$F$244*IF(AP8=1,1,0)+(1-Inputs!$F$244)/(Time!$F$11-1)*IF(AND(AP8&gt;1,AP8&lt;=Time!$F$11),1,0))</f>
        <v>0.08409375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1569</v>
      </c>
      <c r="E27" s="0" t="s">
        <v>151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1570</v>
      </c>
      <c r="E28" s="0" t="s">
        <v>151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5.35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1571</v>
      </c>
      <c r="E29" s="0" t="s">
        <v>151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1572</v>
      </c>
      <c r="E30" s="0" t="s">
        <v>155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1573</v>
      </c>
      <c r="E31" s="0" t="s">
        <v>151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1574</v>
      </c>
      <c r="E32" s="0" t="s">
        <v>151</v>
      </c>
      <c r="G32" s="13" t="n">
        <f aca="false">SUM(J32:BJ32)</f>
        <v>710.99</v>
      </c>
      <c r="J32" s="13" t="n">
        <f aca="false">J22+J23+J24+J25+J26+J27+J28+J29-J31</f>
        <v>108.1116</v>
      </c>
      <c r="K32" s="13" t="n">
        <f aca="false">K22+K23+K24+K25+K26+K27+K28+K29-K31</f>
        <v>1.42082937909091</v>
      </c>
      <c r="L32" s="13" t="n">
        <f aca="false">L22+L23+L24+L25+L26+L27+L28+L29-L31</f>
        <v>2.05467447</v>
      </c>
      <c r="M32" s="13" t="n">
        <f aca="false">M22+M23+M24+M25+M26+M27+M28+M29-M31</f>
        <v>3.35699423727273</v>
      </c>
      <c r="N32" s="13" t="n">
        <f aca="false">N22+N23+N24+N25+N26+N27+N28+N29-N31</f>
        <v>5.24616180090909</v>
      </c>
      <c r="O32" s="13" t="n">
        <f aca="false">O22+O23+O24+O25+O26+O27+O28+O29-O31</f>
        <v>7.60839423727273</v>
      </c>
      <c r="P32" s="13" t="n">
        <f aca="false">P22+P23+P24+P25+P26+P27+P28+P29-P31</f>
        <v>10.3181592990909</v>
      </c>
      <c r="Q32" s="13" t="n">
        <f aca="false">Q22+Q23+Q24+Q25+Q26+Q27+Q28+Q29-Q31</f>
        <v>13.2493063536364</v>
      </c>
      <c r="R32" s="13" t="n">
        <f aca="false">R22+R23+R24+R25+R26+R27+R28+R29-R31</f>
        <v>16.2775399245455</v>
      </c>
      <c r="S32" s="13" t="n">
        <f aca="false">S22+S23+S24+S25+S26+S27+S28+S29-S31</f>
        <v>19.2866035463636</v>
      </c>
      <c r="T32" s="13" t="n">
        <f aca="false">T22+T23+T24+T25+T26+T27+T28+T29-T31</f>
        <v>22.1682797645455</v>
      </c>
      <c r="U32" s="13" t="n">
        <f aca="false">U22+U23+U24+U25+U26+U27+U28+U29-U31</f>
        <v>24.8261004481818</v>
      </c>
      <c r="V32" s="13" t="n">
        <f aca="false">V22+V23+V24+V25+V26+V27+V28+V29-V31</f>
        <v>27.1747284045455</v>
      </c>
      <c r="W32" s="13" t="n">
        <f aca="false">W22+W23+W24+W25+W26+W27+W28+W29-W31</f>
        <v>29.14119415</v>
      </c>
      <c r="X32" s="13" t="n">
        <f aca="false">X22+X23+X24+X25+X26+X27+X28+X29-X31</f>
        <v>30.6686062227273</v>
      </c>
      <c r="Y32" s="13" t="n">
        <f aca="false">Y22+Y23+Y24+Y25+Y26+Y27+Y28+Y29-Y31</f>
        <v>31.7112040990909</v>
      </c>
      <c r="Z32" s="13" t="n">
        <f aca="false">Z22+Z23+Z24+Z25+Z26+Z27+Z28+Z29-Z31</f>
        <v>32.2399236627273</v>
      </c>
      <c r="AA32" s="13" t="n">
        <f aca="false">AA22+AA23+AA24+AA25+AA26+AA27+AA28+AA29-AA31</f>
        <v>33.3829236627273</v>
      </c>
      <c r="AB32" s="13" t="n">
        <f aca="false">AB22+AB23+AB24+AB25+AB26+AB27+AB28+AB29-AB31</f>
        <v>31.7112040990909</v>
      </c>
      <c r="AC32" s="13" t="n">
        <f aca="false">AC22+AC23+AC24+AC25+AC26+AC27+AC28+AC29-AC31</f>
        <v>30.6686062227273</v>
      </c>
      <c r="AD32" s="13" t="n">
        <f aca="false">AD22+AD23+AD24+AD25+AD26+AD27+AD28+AD29-AD31</f>
        <v>29.14119415</v>
      </c>
      <c r="AE32" s="13" t="n">
        <f aca="false">AE22+AE23+AE24+AE25+AE26+AE27+AE28+AE29-AE31</f>
        <v>27.1747284045455</v>
      </c>
      <c r="AF32" s="13" t="n">
        <f aca="false">AF22+AF23+AF24+AF25+AF26+AF27+AF28+AF29-AF31</f>
        <v>24.8261004481818</v>
      </c>
      <c r="AG32" s="13" t="n">
        <f aca="false">AG22+AG23+AG24+AG25+AG26+AG27+AG28+AG29-AG31</f>
        <v>22.1682797645455</v>
      </c>
      <c r="AH32" s="13" t="n">
        <f aca="false">AH22+AH23+AH24+AH25+AH26+AH27+AH28+AH29-AH31</f>
        <v>19.2866035463636</v>
      </c>
      <c r="AI32" s="13" t="n">
        <f aca="false">AI22+AI23+AI24+AI25+AI26+AI27+AI28+AI29-AI31</f>
        <v>16.2775399245455</v>
      </c>
      <c r="AJ32" s="13" t="n">
        <f aca="false">AJ22+AJ23+AJ24+AJ25+AJ26+AJ27+AJ28+AJ29-AJ31</f>
        <v>13.2493063536364</v>
      </c>
      <c r="AK32" s="13" t="n">
        <f aca="false">AK22+AK23+AK24+AK25+AK26+AK27+AK28+AK29-AK31</f>
        <v>10.3181592990909</v>
      </c>
      <c r="AL32" s="13" t="n">
        <f aca="false">AL22+AL23+AL24+AL25+AL26+AL27+AL28+AL29-AL31</f>
        <v>7.60839423727273</v>
      </c>
      <c r="AM32" s="13" t="n">
        <f aca="false">AM22+AM23+AM24+AM25+AM26+AM27+AM28+AM29-AM31</f>
        <v>5.24616180090909</v>
      </c>
      <c r="AN32" s="13" t="n">
        <f aca="false">AN22+AN23+AN24+AN25+AN26+AN27+AN28+AN29-AN31</f>
        <v>3.35699423727273</v>
      </c>
      <c r="AO32" s="13" t="n">
        <f aca="false">AO22+AO23+AO24+AO25+AO26+AO27+AO28+AO29-AO31</f>
        <v>2.05467447</v>
      </c>
      <c r="AP32" s="13" t="n">
        <f aca="false">AP22+AP23+AP24+AP25+AP26+AP27+AP28+AP29-AP31</f>
        <v>49.6588293790909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1575</v>
      </c>
    </row>
    <row r="34" customFormat="false" ht="15" hidden="false" customHeight="false" outlineLevel="0" collapsed="false">
      <c r="D34" s="0" t="s">
        <v>1576</v>
      </c>
      <c r="E34" s="0" t="s">
        <v>168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3225.047240184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1577</v>
      </c>
      <c r="E35" s="0" t="s">
        <v>168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580.50850323312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1578</v>
      </c>
      <c r="E36" s="0" t="s">
        <v>168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580.50850323312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1579</v>
      </c>
      <c r="E37" s="0" t="s">
        <v>168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1412.48721817728</v>
      </c>
      <c r="AQ37" s="13" t="n">
        <f aca="false">AP37+AQ35-AQ36</f>
        <v>1188.35442160092</v>
      </c>
      <c r="AR37" s="13" t="n">
        <f aca="false">AQ37+AR35-AR36</f>
        <v>1001.8308594168</v>
      </c>
      <c r="AS37" s="13" t="n">
        <f aca="false">AR37+AS35-AS36</f>
        <v>853.15613011776</v>
      </c>
      <c r="AT37" s="13" t="n">
        <f aca="false">AS37+AT35-AT36</f>
        <v>741.11678327232</v>
      </c>
      <c r="AU37" s="13" t="n">
        <f aca="false">AT37+AU35-AU36</f>
        <v>662.94584273736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1580</v>
      </c>
      <c r="E38" s="0" t="s">
        <v>151</v>
      </c>
      <c r="G38" s="13" t="n">
        <f aca="false">SUM(J38:BJ38)</f>
        <v>1.63486709417751</v>
      </c>
      <c r="J38" s="13" t="n">
        <f aca="false">I37*(J18+Inputs!$F$71)/100*J11/Inputs!$F$248/J16</f>
        <v>0</v>
      </c>
      <c r="K38" s="13" t="n">
        <f aca="false">J37*(K18+Inputs!$F$71)/100*K11/Inputs!$F$248/K16</f>
        <v>0.0194457240997733</v>
      </c>
      <c r="L38" s="13" t="n">
        <f aca="false">K37*(L18+Inputs!$F$71)/100*L11/Inputs!$F$248/L16</f>
        <v>0.0200310422177048</v>
      </c>
      <c r="M38" s="13" t="n">
        <f aca="false">L37*(M18+Inputs!$F$71)/100*M11/Inputs!$F$248/M16</f>
        <v>0.0195218490832966</v>
      </c>
      <c r="N38" s="13" t="n">
        <f aca="false">M37*(N18+Inputs!$F$71)/100*N11/Inputs!$F$248/N16</f>
        <v>0.0207304309549175</v>
      </c>
      <c r="O38" s="13" t="n">
        <f aca="false">N37*(O18+Inputs!$F$71)/100*O11/Inputs!$F$248/O16</f>
        <v>0.021886847272568</v>
      </c>
      <c r="P38" s="13" t="n">
        <f aca="false">O37*(P18+Inputs!$F$71)/100*P11/Inputs!$F$248/P16</f>
        <v>0.0214830085816359</v>
      </c>
      <c r="Q38" s="13" t="n">
        <f aca="false">P37*(Q18+Inputs!$F$71)/100*Q11/Inputs!$F$248/Q16</f>
        <v>0.026524860951246</v>
      </c>
      <c r="R38" s="13" t="n">
        <f aca="false">Q37*(R18+Inputs!$F$71)/100*R11/Inputs!$F$248/R16</f>
        <v>0.0291931666812582</v>
      </c>
      <c r="S38" s="13" t="n">
        <f aca="false">R37*(S18+Inputs!$F$71)/100*S11/Inputs!$F$248/S16</f>
        <v>0.034727979703444</v>
      </c>
      <c r="T38" s="13" t="n">
        <f aca="false">S37*(T18+Inputs!$F$71)/100*T11/Inputs!$F$248/T16</f>
        <v>0.0201735014177452</v>
      </c>
      <c r="U38" s="13" t="n">
        <f aca="false">T37*(U18+Inputs!$F$71)/100*U11/Inputs!$F$248/U16</f>
        <v>0.0272218707388594</v>
      </c>
      <c r="V38" s="13" t="n">
        <f aca="false">U37*(V18+Inputs!$F$71)/100*V11/Inputs!$F$248/V16</f>
        <v>0.0341716965606389</v>
      </c>
      <c r="W38" s="13" t="n">
        <f aca="false">V37*(W18+Inputs!$F$71)/100*W11/Inputs!$F$248/W16</f>
        <v>0.0400508015468132</v>
      </c>
      <c r="X38" s="13" t="n">
        <f aca="false">W37*(X18+Inputs!$F$71)/100*X11/Inputs!$F$248/X16</f>
        <v>0.0485624723651726</v>
      </c>
      <c r="Y38" s="13" t="n">
        <f aca="false">X37*(Y18+Inputs!$F$71)/100*Y11/Inputs!$F$248/Y16</f>
        <v>0.0536344918211279</v>
      </c>
      <c r="Z38" s="13" t="n">
        <f aca="false">Y37*(Z18+Inputs!$F$71)/100*Z11/Inputs!$F$248/Z16</f>
        <v>0.0617150481464958</v>
      </c>
      <c r="AA38" s="13" t="n">
        <f aca="false">Z37*(AA18+Inputs!$F$71)/100*AA11/Inputs!$F$248/AA16</f>
        <v>0.0672241360452611</v>
      </c>
      <c r="AB38" s="13" t="n">
        <f aca="false">AA37*(AB18+Inputs!$F$71)/100*AB11/Inputs!$F$248/AB16</f>
        <v>0.0671395125097447</v>
      </c>
      <c r="AC38" s="13" t="n">
        <f aca="false">AB37*(AC18+Inputs!$F$71)/100*AC11/Inputs!$F$248/AC16</f>
        <v>0.0752104847039138</v>
      </c>
      <c r="AD38" s="13" t="n">
        <f aca="false">AC37*(AD18+Inputs!$F$71)/100*AD11/Inputs!$F$248/AD16</f>
        <v>0.0749456956637847</v>
      </c>
      <c r="AE38" s="13" t="n">
        <f aca="false">AD37*(AE18+Inputs!$F$71)/100*AE11/Inputs!$F$248/AE16</f>
        <v>0.0784071220767009</v>
      </c>
      <c r="AF38" s="13" t="n">
        <f aca="false">AE37*(AF18+Inputs!$F$71)/100*AF11/Inputs!$F$248/AF16</f>
        <v>0.0755588391382728</v>
      </c>
      <c r="AG38" s="13" t="n">
        <f aca="false">AF37*(AG18+Inputs!$F$71)/100*AG11/Inputs!$F$248/AG16</f>
        <v>0.0764711712832112</v>
      </c>
      <c r="AH38" s="13" t="n">
        <f aca="false">AG37*(AH18+Inputs!$F$71)/100*AH11/Inputs!$F$248/AH16</f>
        <v>0.0736426487589338</v>
      </c>
      <c r="AI38" s="13" t="n">
        <f aca="false">AH37*(AI18+Inputs!$F$71)/100*AI11/Inputs!$F$248/AI16</f>
        <v>0.0674361640987342</v>
      </c>
      <c r="AJ38" s="13" t="n">
        <f aca="false">AI37*(AJ18+Inputs!$F$71)/100*AJ11/Inputs!$F$248/AJ16</f>
        <v>0.0647227636214697</v>
      </c>
      <c r="AK38" s="13" t="n">
        <f aca="false">AJ37*(AK18+Inputs!$F$71)/100*AK11/Inputs!$F$248/AK16</f>
        <v>0.0570194287412817</v>
      </c>
      <c r="AL38" s="13" t="n">
        <f aca="false">AK37*(AL18+Inputs!$F$71)/100*AL11/Inputs!$F$248/AL16</f>
        <v>0.0524683302432578</v>
      </c>
      <c r="AM38" s="13" t="n">
        <f aca="false">AL37*(AM18+Inputs!$F$71)/100*AM11/Inputs!$F$248/AM16</f>
        <v>0.0455883452314648</v>
      </c>
      <c r="AN38" s="13" t="n">
        <f aca="false">AM37*(AN18+Inputs!$F$71)/100*AN11/Inputs!$F$248/AN16</f>
        <v>0.0347969703795965</v>
      </c>
      <c r="AO38" s="13" t="n">
        <f aca="false">AN37*(AO18+Inputs!$F$71)/100*AO11/Inputs!$F$248/AO16</f>
        <v>0.031542810815562</v>
      </c>
      <c r="AP38" s="13" t="n">
        <f aca="false">AO37*(AP18+Inputs!$F$71)/100*AP11/Inputs!$F$248/AP16</f>
        <v>0.0241130298367733</v>
      </c>
      <c r="AQ38" s="13" t="n">
        <f aca="false">AP37*(AQ18+Inputs!$F$71)/100*AQ11/Inputs!$F$248/AQ16</f>
        <v>0.0320902559722956</v>
      </c>
      <c r="AR38" s="13" t="n">
        <f aca="false">AQ37*(AR18+Inputs!$F$71)/100*AR11/Inputs!$F$248/AR16</f>
        <v>0.0260174305983059</v>
      </c>
      <c r="AS38" s="13" t="n">
        <f aca="false">AR37*(AS18+Inputs!$F$71)/100*AS11/Inputs!$F$248/AS16</f>
        <v>0.0225695793708405</v>
      </c>
      <c r="AT38" s="13" t="n">
        <f aca="false">AS37*(AT18+Inputs!$F$71)/100*AT11/Inputs!$F$248/AT16</f>
        <v>0.0191393761731925</v>
      </c>
      <c r="AU38" s="13" t="n">
        <f aca="false">AT37*(AU18+Inputs!$F$71)/100*AU11/Inputs!$F$248/AU16</f>
        <v>0.0160219611596398</v>
      </c>
      <c r="AV38" s="13" t="n">
        <f aca="false">AU37*(AV18+Inputs!$F$71)/100*AV11/Inputs!$F$248/AV16</f>
        <v>0.0147474767274442</v>
      </c>
      <c r="AW38" s="13" t="n">
        <f aca="false">AV37*(AW18+Inputs!$F$71)/100*AW11/Inputs!$F$248/AW16</f>
        <v>0.013168905401365</v>
      </c>
      <c r="AX38" s="13" t="n">
        <f aca="false">AW37*(AX18+Inputs!$F$71)/100*AX11/Inputs!$F$248/AX16</f>
        <v>0.0129984343551899</v>
      </c>
      <c r="AY38" s="13" t="n">
        <f aca="false">AX37*(AY18+Inputs!$F$71)/100*AY11/Inputs!$F$248/AY16</f>
        <v>0.0127514291285803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1581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1582</v>
      </c>
    </row>
    <row r="8" customFormat="false" ht="15" hidden="false" customHeight="false" outlineLevel="0" collapsed="false">
      <c r="D8" s="0" t="s">
        <v>1583</v>
      </c>
      <c r="E8" s="0" t="s">
        <v>105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1584</v>
      </c>
      <c r="E9" s="0" t="s">
        <v>105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1585</v>
      </c>
      <c r="E10" s="0" t="s">
        <v>155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526.006774366309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539.473506819265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553.285012175912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567.450117251183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581.977874842568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596.877569515677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612.158723537927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627.831102964142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643.904723877956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660.389858793006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677.297043218007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694.637082389903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712.42105817941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730.660336173333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749.366572938224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768.551723469993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788.228048834238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808.408124002194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829.104845887285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850.331441587435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872.101476838387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894.428864683456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917.327874365231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940.813140444927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964.899672155209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989.602862992462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1014.93850055465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1040.92277663101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1067.57229755014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1094.9040947929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1122.93563587711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1151.6848355209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1181.17006709187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1211.41017434929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1242.42448348704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1274.23281548482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1306.85549877551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1340.31338223697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1374.62784851631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1409.82082769544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1445.9148113063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1482.93286670508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1520.89865181436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1559.83643024263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1599.77108679103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1640.72814335697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1682.73377524497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1725.81482789505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1769.99883403947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1815.31403129861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1861.78938022743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1909.45458282388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1958.34010151124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2008.47717860633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2059.89785628628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2112.63499706635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2166.72230480211</v>
      </c>
    </row>
    <row r="11" customFormat="false" ht="15" hidden="false" customHeight="false" outlineLevel="0" collapsed="false">
      <c r="D11" s="0" t="s">
        <v>1586</v>
      </c>
      <c r="E11" s="0" t="s">
        <v>155</v>
      </c>
      <c r="J11" s="13" t="n">
        <f aca="false">J10/(1-Inputs!$F$43*Time!J39)</f>
        <v>526.006774366309</v>
      </c>
      <c r="K11" s="13" t="n">
        <f aca="false">K10/(1-Inputs!$F$43*Time!K39)</f>
        <v>539.473506819265</v>
      </c>
      <c r="L11" s="13" t="n">
        <f aca="false">L10/(1-Inputs!$F$43*Time!L39)</f>
        <v>553.285012175912</v>
      </c>
      <c r="M11" s="13" t="n">
        <f aca="false">M10/(1-Inputs!$F$43*Time!M39)</f>
        <v>567.450117251183</v>
      </c>
      <c r="N11" s="13" t="n">
        <f aca="false">N10/(1-Inputs!$F$43*Time!N39)</f>
        <v>581.977874842568</v>
      </c>
      <c r="O11" s="13" t="n">
        <f aca="false">O10/(1-Inputs!$F$43*Time!O39)</f>
        <v>596.877569515677</v>
      </c>
      <c r="P11" s="13" t="n">
        <f aca="false">P10/(1-Inputs!$F$43*Time!P39)</f>
        <v>612.158723537927</v>
      </c>
      <c r="Q11" s="13" t="n">
        <f aca="false">Q10/(1-Inputs!$F$43*Time!Q39)</f>
        <v>627.831102964142</v>
      </c>
      <c r="R11" s="13" t="n">
        <f aca="false">R10/(1-Inputs!$F$43*Time!R39)</f>
        <v>643.904723877956</v>
      </c>
      <c r="S11" s="13" t="n">
        <f aca="false">S10/(1-Inputs!$F$43*Time!S39)</f>
        <v>660.389858793006</v>
      </c>
      <c r="T11" s="13" t="n">
        <f aca="false">T10/(1-Inputs!$F$43*Time!T39)</f>
        <v>677.297043218007</v>
      </c>
      <c r="U11" s="13" t="n">
        <f aca="false">U10/(1-Inputs!$F$43*Time!U39)</f>
        <v>694.637082389903</v>
      </c>
      <c r="V11" s="13" t="n">
        <f aca="false">V10/(1-Inputs!$F$43*Time!V39)</f>
        <v>712.42105817941</v>
      </c>
      <c r="W11" s="13" t="n">
        <f aca="false">W10/(1-Inputs!$F$43*Time!W39)</f>
        <v>730.660336173333</v>
      </c>
      <c r="X11" s="13" t="n">
        <f aca="false">X10/(1-Inputs!$F$43*Time!X39)</f>
        <v>749.366572938224</v>
      </c>
      <c r="Y11" s="13" t="n">
        <f aca="false">Y10/(1-Inputs!$F$43*Time!Y39)</f>
        <v>768.551723469993</v>
      </c>
      <c r="Z11" s="13" t="n">
        <f aca="false">Z10/(1-Inputs!$F$43*Time!Z39)</f>
        <v>788.228048834238</v>
      </c>
      <c r="AA11" s="13" t="n">
        <f aca="false">AA10/(1-Inputs!$F$43*Time!AA39)</f>
        <v>808.408124002194</v>
      </c>
      <c r="AB11" s="13" t="n">
        <f aca="false">AB10/(1-Inputs!$F$43*Time!AB39)</f>
        <v>829.104845887285</v>
      </c>
      <c r="AC11" s="13" t="n">
        <f aca="false">AC10/(1-Inputs!$F$43*Time!AC39)</f>
        <v>850.331441587435</v>
      </c>
      <c r="AD11" s="13" t="n">
        <f aca="false">AD10/(1-Inputs!$F$43*Time!AD39)</f>
        <v>872.101476838387</v>
      </c>
      <c r="AE11" s="13" t="n">
        <f aca="false">AE10/(1-Inputs!$F$43*Time!AE39)</f>
        <v>894.428864683456</v>
      </c>
      <c r="AF11" s="13" t="n">
        <f aca="false">AF10/(1-Inputs!$F$43*Time!AF39)</f>
        <v>917.327874365231</v>
      </c>
      <c r="AG11" s="13" t="n">
        <f aca="false">AG10/(1-Inputs!$F$43*Time!AG39)</f>
        <v>940.813140444927</v>
      </c>
      <c r="AH11" s="13" t="n">
        <f aca="false">AH10/(1-Inputs!$F$43*Time!AH39)</f>
        <v>964.899672155209</v>
      </c>
      <c r="AI11" s="13" t="n">
        <f aca="false">AI10/(1-Inputs!$F$43*Time!AI39)</f>
        <v>989.602862992462</v>
      </c>
      <c r="AJ11" s="13" t="n">
        <f aca="false">AJ10/(1-Inputs!$F$43*Time!AJ39)</f>
        <v>1014.93850055465</v>
      </c>
      <c r="AK11" s="13" t="n">
        <f aca="false">AK10/(1-Inputs!$F$43*Time!AK39)</f>
        <v>1040.92277663101</v>
      </c>
      <c r="AL11" s="13" t="n">
        <f aca="false">AL10/(1-Inputs!$F$43*Time!AL39)</f>
        <v>1067.57229755014</v>
      </c>
      <c r="AM11" s="13" t="n">
        <f aca="false">AM10/(1-Inputs!$F$43*Time!AM39)</f>
        <v>1094.9040947929</v>
      </c>
      <c r="AN11" s="13" t="n">
        <f aca="false">AN10/(1-Inputs!$F$43*Time!AN39)</f>
        <v>1122.93563587711</v>
      </c>
      <c r="AO11" s="13" t="n">
        <f aca="false">AO10/(1-Inputs!$F$43*Time!AO39)</f>
        <v>1151.6848355209</v>
      </c>
      <c r="AP11" s="13" t="n">
        <f aca="false">AP10/(1-Inputs!$F$43*Time!AP39)</f>
        <v>1181.17006709187</v>
      </c>
      <c r="AQ11" s="13" t="n">
        <f aca="false">AQ10/(1-Inputs!$F$43*Time!AQ39)</f>
        <v>1211.41017434929</v>
      </c>
      <c r="AR11" s="13" t="n">
        <f aca="false">AR10/(1-Inputs!$F$43*Time!AR39)</f>
        <v>1242.42448348704</v>
      </c>
      <c r="AS11" s="13" t="n">
        <f aca="false">AS10/(1-Inputs!$F$43*Time!AS39)</f>
        <v>1274.23281548482</v>
      </c>
      <c r="AT11" s="13" t="n">
        <f aca="false">AT10/(1-Inputs!$F$43*Time!AT39)</f>
        <v>1306.85549877551</v>
      </c>
      <c r="AU11" s="13" t="n">
        <f aca="false">AU10/(1-Inputs!$F$43*Time!AU39)</f>
        <v>1340.31338223697</v>
      </c>
      <c r="AV11" s="13" t="n">
        <f aca="false">AV10/(1-Inputs!$F$43*Time!AV39)</f>
        <v>1374.62784851631</v>
      </c>
      <c r="AW11" s="13" t="n">
        <f aca="false">AW10/(1-Inputs!$F$43*Time!AW39)</f>
        <v>1409.82082769544</v>
      </c>
      <c r="AX11" s="13" t="n">
        <f aca="false">AX10/(1-Inputs!$F$43*Time!AX39)</f>
        <v>1445.9148113063</v>
      </c>
      <c r="AY11" s="13" t="n">
        <f aca="false">AY10/(1-Inputs!$F$43*Time!AY39)</f>
        <v>1482.93286670508</v>
      </c>
      <c r="AZ11" s="13" t="n">
        <f aca="false">AZ10/(1-Inputs!$F$43*Time!AZ39)</f>
        <v>1520.89865181436</v>
      </c>
      <c r="BA11" s="13" t="n">
        <f aca="false">BA10/(1-Inputs!$F$43*Time!BA39)</f>
        <v>1559.83643024263</v>
      </c>
      <c r="BB11" s="13" t="n">
        <f aca="false">BB10/(1-Inputs!$F$43*Time!BB39)</f>
        <v>1599.77108679103</v>
      </c>
      <c r="BC11" s="13" t="n">
        <f aca="false">BC10/(1-Inputs!$F$43*Time!BC39)</f>
        <v>1640.72814335697</v>
      </c>
      <c r="BD11" s="13" t="n">
        <f aca="false">BD10/(1-Inputs!$F$43*Time!BD39)</f>
        <v>1682.73377524497</v>
      </c>
      <c r="BE11" s="13" t="n">
        <f aca="false">BE10/(1-Inputs!$F$43*Time!BE39)</f>
        <v>1725.81482789505</v>
      </c>
      <c r="BF11" s="13" t="n">
        <f aca="false">BF10/(1-Inputs!$F$43*Time!BF39)</f>
        <v>1769.99883403947</v>
      </c>
      <c r="BG11" s="13" t="n">
        <f aca="false">BG10/(1-Inputs!$F$43*Time!BG39)</f>
        <v>1815.31403129861</v>
      </c>
      <c r="BH11" s="13" t="n">
        <f aca="false">BH10/(1-Inputs!$F$43*Time!BH39)</f>
        <v>1861.78938022743</v>
      </c>
      <c r="BI11" s="13" t="n">
        <f aca="false">BI10/(1-Inputs!$F$43*Time!BI39)</f>
        <v>1909.45458282388</v>
      </c>
      <c r="BJ11" s="13" t="n">
        <f aca="false">BJ10/(1-Inputs!$F$43*Time!BJ39)</f>
        <v>1958.34010151124</v>
      </c>
      <c r="BK11" s="13" t="n">
        <f aca="false">BK10/(1-Inputs!$F$43*Time!BK39)</f>
        <v>2008.47717860633</v>
      </c>
      <c r="BL11" s="13" t="n">
        <f aca="false">BL10/(1-Inputs!$F$43*Time!BL39)</f>
        <v>2059.89785628628</v>
      </c>
      <c r="BM11" s="13" t="n">
        <f aca="false">BM10/(1-Inputs!$F$43*Time!BM39)</f>
        <v>2112.63499706635</v>
      </c>
      <c r="BN11" s="13" t="n">
        <f aca="false">BN10/(1-Inputs!$F$43*Time!BN39)</f>
        <v>2166.72230480211</v>
      </c>
    </row>
    <row r="12" customFormat="false" ht="15" hidden="false" customHeight="false" outlineLevel="0" collapsed="false">
      <c r="D12" s="0" t="s">
        <v>1587</v>
      </c>
      <c r="E12" s="0" t="s">
        <v>105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1588</v>
      </c>
      <c r="E13" s="0" t="s">
        <v>105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1589</v>
      </c>
      <c r="E14" s="0" t="s">
        <v>105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1590</v>
      </c>
      <c r="E15" s="0" t="s">
        <v>105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1591</v>
      </c>
      <c r="E16" s="0" t="s">
        <v>93</v>
      </c>
      <c r="F16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1592</v>
      </c>
      <c r="E17" s="0" t="s">
        <v>93</v>
      </c>
      <c r="F17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1593</v>
      </c>
      <c r="E18" s="0" t="s">
        <v>93</v>
      </c>
      <c r="F18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1594</v>
      </c>
      <c r="E19" s="0" t="s">
        <v>93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1595</v>
      </c>
      <c r="E20" s="0" t="s">
        <v>93</v>
      </c>
      <c r="J20" s="13" t="n">
        <f aca="false">J19*(1+J12/100)^(Inputs!$F$236/12)</f>
        <v>104.458573718071</v>
      </c>
      <c r="K20" s="13" t="n">
        <f aca="false">K19*(1+K12/100)^(Inputs!$F$236/12)</f>
        <v>105.601366861061</v>
      </c>
      <c r="L20" s="13" t="n">
        <f aca="false">L19*(1+L12/100)^(Inputs!$F$236/12)</f>
        <v>106.756662339868</v>
      </c>
      <c r="M20" s="13" t="n">
        <f aca="false">M19*(1+M12/100)^(Inputs!$F$236/12)</f>
        <v>107.924596932004</v>
      </c>
      <c r="N20" s="13" t="n">
        <f aca="false">N19*(1+N12/100)^(Inputs!$F$236/12)</f>
        <v>109.105308911345</v>
      </c>
      <c r="O20" s="13" t="n">
        <f aca="false">O19*(1+O12/100)^(Inputs!$F$236/12)</f>
        <v>110.298938064508</v>
      </c>
      <c r="P20" s="13" t="n">
        <f aca="false">P19*(1+P12/100)^(Inputs!$F$236/12)</f>
        <v>111.505625707395</v>
      </c>
      <c r="Q20" s="13" t="n">
        <f aca="false">Q19*(1+Q12/100)^(Inputs!$F$236/12)</f>
        <v>112.725514701927</v>
      </c>
      <c r="R20" s="13" t="n">
        <f aca="false">R19*(1+R12/100)^(Inputs!$F$236/12)</f>
        <v>113.958749472957</v>
      </c>
      <c r="S20" s="13" t="n">
        <f aca="false">S19*(1+S12/100)^(Inputs!$F$236/12)</f>
        <v>115.205476025369</v>
      </c>
      <c r="T20" s="13" t="n">
        <f aca="false">T19*(1+T12/100)^(Inputs!$F$236/12)</f>
        <v>116.465841961363</v>
      </c>
      <c r="U20" s="13" t="n">
        <f aca="false">U19*(1+U12/100)^(Inputs!$F$236/12)</f>
        <v>117.739996497928</v>
      </c>
      <c r="V20" s="13" t="n">
        <f aca="false">V19*(1+V12/100)^(Inputs!$F$236/12)</f>
        <v>119.028090484512</v>
      </c>
      <c r="W20" s="13" t="n">
        <f aca="false">W19*(1+W12/100)^(Inputs!$F$236/12)</f>
        <v>120.330276420882</v>
      </c>
      <c r="X20" s="13" t="n">
        <f aca="false">X19*(1+X12/100)^(Inputs!$F$236/12)</f>
        <v>121.646708475172</v>
      </c>
      <c r="Y20" s="13" t="n">
        <f aca="false">Y19*(1+Y12/100)^(Inputs!$F$236/12)</f>
        <v>122.977542502141</v>
      </c>
      <c r="Z20" s="13" t="n">
        <f aca="false">Z19*(1+Z12/100)^(Inputs!$F$236/12)</f>
        <v>124.322936061625</v>
      </c>
      <c r="AA20" s="13" t="n">
        <f aca="false">AA19*(1+AA12/100)^(Inputs!$F$236/12)</f>
        <v>125.683048437188</v>
      </c>
      <c r="AB20" s="13" t="n">
        <f aca="false">AB19*(1+AB12/100)^(Inputs!$F$236/12)</f>
        <v>127.058040654981</v>
      </c>
      <c r="AC20" s="13" t="n">
        <f aca="false">AC19*(1+AC12/100)^(Inputs!$F$236/12)</f>
        <v>128.448075502806</v>
      </c>
      <c r="AD20" s="13" t="n">
        <f aca="false">AD19*(1+AD12/100)^(Inputs!$F$236/12)</f>
        <v>129.853317549391</v>
      </c>
      <c r="AE20" s="13" t="n">
        <f aca="false">AE19*(1+AE12/100)^(Inputs!$F$236/12)</f>
        <v>131.273933163868</v>
      </c>
      <c r="AF20" s="13" t="n">
        <f aca="false">AF19*(1+AF12/100)^(Inputs!$F$236/12)</f>
        <v>132.710090535477</v>
      </c>
      <c r="AG20" s="13" t="n">
        <f aca="false">AG19*(1+AG12/100)^(Inputs!$F$236/12)</f>
        <v>134.161959693473</v>
      </c>
      <c r="AH20" s="13" t="n">
        <f aca="false">AH19*(1+AH12/100)^(Inputs!$F$236/12)</f>
        <v>135.629712527258</v>
      </c>
      <c r="AI20" s="13" t="n">
        <f aca="false">AI19*(1+AI12/100)^(Inputs!$F$236/12)</f>
        <v>137.11352280673</v>
      </c>
      <c r="AJ20" s="13" t="n">
        <f aca="false">AJ19*(1+AJ12/100)^(Inputs!$F$236/12)</f>
        <v>138.613566202857</v>
      </c>
      <c r="AK20" s="13" t="n">
        <f aca="false">AK19*(1+AK12/100)^(Inputs!$F$236/12)</f>
        <v>140.130020308478</v>
      </c>
      <c r="AL20" s="13" t="n">
        <f aca="false">AL19*(1+AL12/100)^(Inputs!$F$236/12)</f>
        <v>141.66306465932</v>
      </c>
      <c r="AM20" s="13" t="n">
        <f aca="false">AM19*(1+AM12/100)^(Inputs!$F$236/12)</f>
        <v>143.212880755264</v>
      </c>
      <c r="AN20" s="13" t="n">
        <f aca="false">AN19*(1+AN12/100)^(Inputs!$F$236/12)</f>
        <v>144.779652081825</v>
      </c>
      <c r="AO20" s="13" t="n">
        <f aca="false">AO19*(1+AO12/100)^(Inputs!$F$236/12)</f>
        <v>146.36356413188</v>
      </c>
      <c r="AP20" s="13" t="n">
        <f aca="false">AP19*(1+AP12/100)^(Inputs!$F$236/12)</f>
        <v>147.964804427625</v>
      </c>
      <c r="AQ20" s="13" t="n">
        <f aca="false">AQ19*(1+AQ12/100)^(Inputs!$F$236/12)</f>
        <v>149.583562542781</v>
      </c>
      <c r="AR20" s="13" t="n">
        <f aca="false">AR19*(1+AR12/100)^(Inputs!$F$236/12)</f>
        <v>151.220030125033</v>
      </c>
      <c r="AS20" s="13" t="n">
        <f aca="false">AS19*(1+AS12/100)^(Inputs!$F$236/12)</f>
        <v>152.874400918722</v>
      </c>
      <c r="AT20" s="13" t="n">
        <f aca="false">AT19*(1+AT12/100)^(Inputs!$F$236/12)</f>
        <v>154.546870787784</v>
      </c>
      <c r="AU20" s="13" t="n">
        <f aca="false">AU19*(1+AU12/100)^(Inputs!$F$236/12)</f>
        <v>156.237637738934</v>
      </c>
      <c r="AV20" s="13" t="n">
        <f aca="false">AV19*(1+AV12/100)^(Inputs!$F$236/12)</f>
        <v>157.946901945115</v>
      </c>
      <c r="AW20" s="13" t="n">
        <f aca="false">AW19*(1+AW12/100)^(Inputs!$F$236/12)</f>
        <v>159.674865769191</v>
      </c>
      <c r="AX20" s="13" t="n">
        <f aca="false">AX19*(1+AX12/100)^(Inputs!$F$236/12)</f>
        <v>161.421733787908</v>
      </c>
      <c r="AY20" s="13" t="n">
        <f aca="false">AY19*(1+AY12/100)^(Inputs!$F$236/12)</f>
        <v>163.187712816113</v>
      </c>
      <c r="AZ20" s="13" t="n">
        <f aca="false">AZ19*(1+AZ12/100)^(Inputs!$F$236/12)</f>
        <v>164.973011931242</v>
      </c>
      <c r="BA20" s="13" t="n">
        <f aca="false">BA19*(1+BA12/100)^(Inputs!$F$236/12)</f>
        <v>166.777842498067</v>
      </c>
      <c r="BB20" s="13" t="n">
        <f aca="false">BB19*(1+BB12/100)^(Inputs!$F$236/12)</f>
        <v>168.602418193729</v>
      </c>
      <c r="BC20" s="13" t="n">
        <f aca="false">BC19*(1+BC12/100)^(Inputs!$F$236/12)</f>
        <v>170.446955033025</v>
      </c>
      <c r="BD20" s="13" t="n">
        <f aca="false">BD19*(1+BD12/100)^(Inputs!$F$236/12)</f>
        <v>172.311671393991</v>
      </c>
      <c r="BE20" s="13" t="n">
        <f aca="false">BE19*(1+BE12/100)^(Inputs!$F$236/12)</f>
        <v>174.196788043751</v>
      </c>
      <c r="BF20" s="13" t="n">
        <f aca="false">BF19*(1+BF12/100)^(Inputs!$F$236/12)</f>
        <v>176.102528164659</v>
      </c>
      <c r="BG20" s="13" t="n">
        <f aca="false">BG19*(1+BG12/100)^(Inputs!$F$236/12)</f>
        <v>178.029117380714</v>
      </c>
      <c r="BH20" s="13" t="n">
        <f aca="false">BH19*(1+BH12/100)^(Inputs!$F$236/12)</f>
        <v>179.976783784281</v>
      </c>
      <c r="BI20" s="13" t="n">
        <f aca="false">BI19*(1+BI12/100)^(Inputs!$F$236/12)</f>
        <v>181.94575796309</v>
      </c>
      <c r="BJ20" s="13" t="n">
        <f aca="false">BJ19*(1+BJ12/100)^(Inputs!$F$236/12)</f>
        <v>183.936273027535</v>
      </c>
      <c r="BK20" s="13" t="n">
        <f aca="false">BK19*(1+BK12/100)^(Inputs!$F$236/12)</f>
        <v>185.948564638277</v>
      </c>
      <c r="BL20" s="13" t="n">
        <f aca="false">BL19*(1+BL12/100)^(Inputs!$F$236/12)</f>
        <v>187.982871034141</v>
      </c>
      <c r="BM20" s="13" t="n">
        <f aca="false">BM19*(1+BM12/100)^(Inputs!$F$236/12)</f>
        <v>190.03943306032</v>
      </c>
      <c r="BN20" s="13" t="n">
        <f aca="false">BN19*(1+BN12/100)^(Inputs!$F$236/12)</f>
        <v>192.118494196892</v>
      </c>
    </row>
    <row r="21" customFormat="false" ht="15" hidden="false" customHeight="false" outlineLevel="0" collapsed="false">
      <c r="D21" s="0" t="s">
        <v>1596</v>
      </c>
      <c r="E21" s="0" t="s">
        <v>101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1597</v>
      </c>
      <c r="E22" s="0" t="s">
        <v>93</v>
      </c>
      <c r="F22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1598</v>
      </c>
      <c r="E23" s="0" t="s">
        <v>93</v>
      </c>
      <c r="F23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1599</v>
      </c>
      <c r="E24" s="0" t="s">
        <v>93</v>
      </c>
      <c r="F24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1600</v>
      </c>
      <c r="E25" s="0" t="s">
        <v>93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1601</v>
      </c>
      <c r="E26" s="0" t="s">
        <v>93</v>
      </c>
      <c r="J26" s="13" t="n">
        <f aca="false">J25*(1+J13/100)^(Inputs!$F$236/12)</f>
        <v>117.080778553494</v>
      </c>
      <c r="K26" s="13" t="n">
        <f aca="false">K25*(1+K13/100)^(Inputs!$F$236/12)</f>
        <v>121.391934903824</v>
      </c>
      <c r="L26" s="13" t="n">
        <f aca="false">L25*(1+L13/100)^(Inputs!$F$236/12)</f>
        <v>125.861836945006</v>
      </c>
      <c r="M26" s="13" t="n">
        <f aca="false">M25*(1+M13/100)^(Inputs!$F$236/12)</f>
        <v>130.496330021611</v>
      </c>
      <c r="N26" s="13" t="n">
        <f aca="false">N25*(1+N13/100)^(Inputs!$F$236/12)</f>
        <v>135.301474715882</v>
      </c>
      <c r="O26" s="13" t="n">
        <f aca="false">O25*(1+O13/100)^(Inputs!$F$236/12)</f>
        <v>140.283554773232</v>
      </c>
      <c r="P26" s="13" t="n">
        <f aca="false">P25*(1+P13/100)^(Inputs!$F$236/12)</f>
        <v>145.449085319573</v>
      </c>
      <c r="Q26" s="13" t="n">
        <f aca="false">Q25*(1+Q13/100)^(Inputs!$F$236/12)</f>
        <v>150.804821381224</v>
      </c>
      <c r="R26" s="13" t="n">
        <f aca="false">R25*(1+R13/100)^(Inputs!$F$236/12)</f>
        <v>156.357766718541</v>
      </c>
      <c r="S26" s="13" t="n">
        <f aca="false">S25*(1+S13/100)^(Inputs!$F$236/12)</f>
        <v>162.115182984816</v>
      </c>
      <c r="T26" s="13" t="n">
        <f aca="false">T25*(1+T13/100)^(Inputs!$F$236/12)</f>
        <v>168.084599222432</v>
      </c>
      <c r="U26" s="13" t="n">
        <f aca="false">U25*(1+U13/100)^(Inputs!$F$236/12)</f>
        <v>174.273821708677</v>
      </c>
      <c r="V26" s="13" t="n">
        <f aca="false">V25*(1+V13/100)^(Inputs!$F$236/12)</f>
        <v>180.690944164114</v>
      </c>
      <c r="W26" s="13" t="n">
        <f aca="false">W25*(1+W13/100)^(Inputs!$F$236/12)</f>
        <v>187.344358336828</v>
      </c>
      <c r="X26" s="13" t="n">
        <f aca="false">X25*(1+X13/100)^(Inputs!$F$236/12)</f>
        <v>194.242764976422</v>
      </c>
      <c r="Y26" s="13" t="n">
        <f aca="false">Y25*(1+Y13/100)^(Inputs!$F$236/12)</f>
        <v>201.39518521209</v>
      </c>
      <c r="Z26" s="13" t="n">
        <f aca="false">Z25*(1+Z13/100)^(Inputs!$F$236/12)</f>
        <v>208.810972349654</v>
      </c>
      <c r="AA26" s="13" t="n">
        <f aca="false">AA25*(1+AA13/100)^(Inputs!$F$236/12)</f>
        <v>216.499824102997</v>
      </c>
      <c r="AB26" s="13" t="n">
        <f aca="false">AB25*(1+AB13/100)^(Inputs!$F$236/12)</f>
        <v>224.471795275878</v>
      </c>
      <c r="AC26" s="13" t="n">
        <f aca="false">AC25*(1+AC13/100)^(Inputs!$F$236/12)</f>
        <v>232.737310910722</v>
      </c>
      <c r="AD26" s="13" t="n">
        <f aca="false">AD25*(1+AD13/100)^(Inputs!$F$236/12)</f>
        <v>241.307179921569</v>
      </c>
      <c r="AE26" s="13" t="n">
        <f aca="false">AE25*(1+AE13/100)^(Inputs!$F$236/12)</f>
        <v>250.192609229026</v>
      </c>
      <c r="AF26" s="13" t="n">
        <f aca="false">AF25*(1+AF13/100)^(Inputs!$F$236/12)</f>
        <v>259.405218415687</v>
      </c>
      <c r="AG26" s="13" t="n">
        <f aca="false">AG25*(1+AG13/100)^(Inputs!$F$236/12)</f>
        <v>268.957054921203</v>
      </c>
      <c r="AH26" s="13" t="n">
        <f aca="false">AH25*(1+AH13/100)^(Inputs!$F$236/12)</f>
        <v>278.860609796863</v>
      </c>
      <c r="AI26" s="13" t="n">
        <f aca="false">AI25*(1+AI13/100)^(Inputs!$F$236/12)</f>
        <v>289.128834040293</v>
      </c>
      <c r="AJ26" s="13" t="n">
        <f aca="false">AJ25*(1+AJ13/100)^(Inputs!$F$236/12)</f>
        <v>299.775155531628</v>
      </c>
      <c r="AK26" s="13" t="n">
        <f aca="false">AK25*(1+AK13/100)^(Inputs!$F$236/12)</f>
        <v>310.813496593315</v>
      </c>
      <c r="AL26" s="13" t="n">
        <f aca="false">AL25*(1+AL13/100)^(Inputs!$F$236/12)</f>
        <v>322.2582921965</v>
      </c>
      <c r="AM26" s="13" t="n">
        <f aca="false">AM25*(1+AM13/100)^(Inputs!$F$236/12)</f>
        <v>334.124508837813</v>
      </c>
      <c r="AN26" s="13" t="n">
        <f aca="false">AN25*(1+AN13/100)^(Inputs!$F$236/12)</f>
        <v>346.427664111237</v>
      </c>
      <c r="AO26" s="13" t="n">
        <f aca="false">AO25*(1+AO13/100)^(Inputs!$F$236/12)</f>
        <v>359.183847000649</v>
      </c>
      <c r="AP26" s="13" t="n">
        <f aca="false">AP25*(1+AP13/100)^(Inputs!$F$236/12)</f>
        <v>372.40973891958</v>
      </c>
      <c r="AQ26" s="13" t="n">
        <f aca="false">AQ25*(1+AQ13/100)^(Inputs!$F$236/12)</f>
        <v>386.122635525698</v>
      </c>
      <c r="AR26" s="13" t="n">
        <f aca="false">AR25*(1+AR13/100)^(Inputs!$F$236/12)</f>
        <v>400.340469338548</v>
      </c>
      <c r="AS26" s="13" t="n">
        <f aca="false">AS25*(1+AS13/100)^(Inputs!$F$236/12)</f>
        <v>415.081833190125</v>
      </c>
      <c r="AT26" s="13" t="n">
        <f aca="false">AT25*(1+AT13/100)^(Inputs!$F$236/12)</f>
        <v>430.366004538939</v>
      </c>
      <c r="AU26" s="13" t="n">
        <f aca="false">AU25*(1+AU13/100)^(Inputs!$F$236/12)</f>
        <v>446.212970679384</v>
      </c>
      <c r="AV26" s="13" t="n">
        <f aca="false">AV25*(1+AV13/100)^(Inputs!$F$236/12)</f>
        <v>462.64345487936</v>
      </c>
      <c r="AW26" s="13" t="n">
        <f aca="false">AW25*(1+AW13/100)^(Inputs!$F$236/12)</f>
        <v>479.678943480338</v>
      </c>
      <c r="AX26" s="13" t="n">
        <f aca="false">AX25*(1+AX13/100)^(Inputs!$F$236/12)</f>
        <v>497.341713995312</v>
      </c>
      <c r="AY26" s="13" t="n">
        <f aca="false">AY25*(1+AY13/100)^(Inputs!$F$236/12)</f>
        <v>515.654864241364</v>
      </c>
      <c r="AZ26" s="13" t="n">
        <f aca="false">AZ25*(1+AZ13/100)^(Inputs!$F$236/12)</f>
        <v>534.64234254496</v>
      </c>
      <c r="BA26" s="13" t="n">
        <f aca="false">BA25*(1+BA13/100)^(Inputs!$F$236/12)</f>
        <v>554.328979059466</v>
      </c>
      <c r="BB26" s="13" t="n">
        <f aca="false">BB25*(1+BB13/100)^(Inputs!$F$236/12)</f>
        <v>574.740518235832</v>
      </c>
      <c r="BC26" s="13" t="n">
        <f aca="false">BC25*(1+BC13/100)^(Inputs!$F$236/12)</f>
        <v>595.903652488925</v>
      </c>
      <c r="BD26" s="13" t="n">
        <f aca="false">BD25*(1+BD13/100)^(Inputs!$F$236/12)</f>
        <v>617.846057103519</v>
      </c>
      <c r="BE26" s="13" t="n">
        <f aca="false">BE25*(1+BE13/100)^(Inputs!$F$236/12)</f>
        <v>640.596426425595</v>
      </c>
      <c r="BF26" s="13" t="n">
        <f aca="false">BF25*(1+BF13/100)^(Inputs!$F$236/12)</f>
        <v>664.184511386283</v>
      </c>
      <c r="BG26" s="13" t="n">
        <f aca="false">BG25*(1+BG13/100)^(Inputs!$F$236/12)</f>
        <v>688.641158407514</v>
      </c>
      <c r="BH26" s="13" t="n">
        <f aca="false">BH25*(1+BH13/100)^(Inputs!$F$236/12)</f>
        <v>713.998349740254</v>
      </c>
      <c r="BI26" s="13" t="n">
        <f aca="false">BI25*(1+BI13/100)^(Inputs!$F$236/12)</f>
        <v>740.289245288078</v>
      </c>
      <c r="BJ26" s="13" t="n">
        <f aca="false">BJ25*(1+BJ13/100)^(Inputs!$F$236/12)</f>
        <v>767.548225970773</v>
      </c>
      <c r="BK26" s="13" t="n">
        <f aca="false">BK25*(1+BK13/100)^(Inputs!$F$236/12)</f>
        <v>795.810938684684</v>
      </c>
      <c r="BL26" s="13" t="n">
        <f aca="false">BL25*(1+BL13/100)^(Inputs!$F$236/12)</f>
        <v>825.114342918581</v>
      </c>
      <c r="BM26" s="13" t="n">
        <f aca="false">BM25*(1+BM13/100)^(Inputs!$F$236/12)</f>
        <v>855.496759086035</v>
      </c>
      <c r="BN26" s="13" t="n">
        <f aca="false">BN25*(1+BN13/100)^(Inputs!$F$236/12)</f>
        <v>886.997918637475</v>
      </c>
    </row>
    <row r="27" customFormat="false" ht="15" hidden="false" customHeight="false" outlineLevel="0" collapsed="false">
      <c r="D27" s="0" t="s">
        <v>1602</v>
      </c>
      <c r="E27" s="0" t="s">
        <v>101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1603</v>
      </c>
    </row>
    <row r="29" customFormat="false" ht="15" hidden="false" customHeight="false" outlineLevel="0" collapsed="false">
      <c r="D29" s="0" t="s">
        <v>1604</v>
      </c>
      <c r="E29" s="0" t="s">
        <v>338</v>
      </c>
      <c r="J29" s="9" t="n">
        <f aca="false">INT(Time!J32/12)+1</f>
        <v>1</v>
      </c>
      <c r="K29" s="9" t="n">
        <f aca="false">INT(Time!K32/12)+1</f>
        <v>1</v>
      </c>
      <c r="L29" s="9" t="n">
        <f aca="false">INT(Time!L32/12)+1</f>
        <v>1</v>
      </c>
      <c r="M29" s="9" t="n">
        <f aca="false">INT(Time!M32/12)+1</f>
        <v>1</v>
      </c>
      <c r="N29" s="9" t="n">
        <f aca="false">INT(Time!N32/12)+1</f>
        <v>1</v>
      </c>
      <c r="O29" s="9" t="n">
        <f aca="false">INT(Time!O32/12)+1</f>
        <v>1</v>
      </c>
      <c r="P29" s="9" t="n">
        <f aca="false">INT(Time!P32/12)+1</f>
        <v>1</v>
      </c>
      <c r="Q29" s="9" t="n">
        <f aca="false">INT(Time!Q32/12)+1</f>
        <v>1</v>
      </c>
      <c r="R29" s="9" t="n">
        <f aca="false">INT(Time!R32/12)+1</f>
        <v>2</v>
      </c>
      <c r="S29" s="9" t="n">
        <f aca="false">INT(Time!S32/12)+1</f>
        <v>2</v>
      </c>
      <c r="T29" s="9" t="n">
        <f aca="false">INT(Time!T32/12)+1</f>
        <v>3</v>
      </c>
      <c r="U29" s="9" t="n">
        <f aca="false">INT(Time!U32/12)+1</f>
        <v>3</v>
      </c>
      <c r="V29" s="9" t="n">
        <f aca="false">INT(Time!V32/12)+1</f>
        <v>4</v>
      </c>
      <c r="W29" s="9" t="n">
        <f aca="false">INT(Time!W32/12)+1</f>
        <v>4</v>
      </c>
      <c r="X29" s="9" t="n">
        <f aca="false">INT(Time!X32/12)+1</f>
        <v>5</v>
      </c>
      <c r="Y29" s="9" t="n">
        <f aca="false">INT(Time!Y32/12)+1</f>
        <v>5</v>
      </c>
      <c r="Z29" s="9" t="n">
        <f aca="false">INT(Time!Z32/12)+1</f>
        <v>6</v>
      </c>
      <c r="AA29" s="9" t="n">
        <f aca="false">INT(Time!AA32/12)+1</f>
        <v>6</v>
      </c>
      <c r="AB29" s="9" t="n">
        <f aca="false">INT(Time!AB32/12)+1</f>
        <v>7</v>
      </c>
      <c r="AC29" s="9" t="n">
        <f aca="false">INT(Time!AC32/12)+1</f>
        <v>7</v>
      </c>
      <c r="AD29" s="9" t="n">
        <f aca="false">INT(Time!AD32/12)+1</f>
        <v>8</v>
      </c>
      <c r="AE29" s="9" t="n">
        <f aca="false">INT(Time!AE32/12)+1</f>
        <v>8</v>
      </c>
      <c r="AF29" s="9" t="n">
        <f aca="false">INT(Time!AF32/12)+1</f>
        <v>9</v>
      </c>
      <c r="AG29" s="9" t="n">
        <f aca="false">INT(Time!AG32/12)+1</f>
        <v>9</v>
      </c>
      <c r="AH29" s="9" t="n">
        <f aca="false">INT(Time!AH32/12)+1</f>
        <v>10</v>
      </c>
      <c r="AI29" s="9" t="n">
        <f aca="false">INT(Time!AI32/12)+1</f>
        <v>10</v>
      </c>
      <c r="AJ29" s="9" t="n">
        <f aca="false">INT(Time!AJ32/12)+1</f>
        <v>11</v>
      </c>
      <c r="AK29" s="9" t="n">
        <f aca="false">INT(Time!AK32/12)+1</f>
        <v>11</v>
      </c>
      <c r="AL29" s="9" t="n">
        <f aca="false">INT(Time!AL32/12)+1</f>
        <v>12</v>
      </c>
      <c r="AM29" s="9" t="n">
        <f aca="false">INT(Time!AM32/12)+1</f>
        <v>12</v>
      </c>
      <c r="AN29" s="9" t="n">
        <f aca="false">INT(Time!AN32/12)+1</f>
        <v>13</v>
      </c>
      <c r="AO29" s="9" t="n">
        <f aca="false">INT(Time!AO32/12)+1</f>
        <v>13</v>
      </c>
      <c r="AP29" s="9" t="n">
        <f aca="false">INT(Time!AP32/12)+1</f>
        <v>14</v>
      </c>
      <c r="AQ29" s="9" t="n">
        <f aca="false">INT(Time!AQ32/12)+1</f>
        <v>14</v>
      </c>
      <c r="AR29" s="9" t="n">
        <f aca="false">INT(Time!AR32/12)+1</f>
        <v>15</v>
      </c>
      <c r="AS29" s="9" t="n">
        <f aca="false">INT(Time!AS32/12)+1</f>
        <v>15</v>
      </c>
      <c r="AT29" s="9" t="n">
        <f aca="false">INT(Time!AT32/12)+1</f>
        <v>16</v>
      </c>
      <c r="AU29" s="9" t="n">
        <f aca="false">INT(Time!AU32/12)+1</f>
        <v>16</v>
      </c>
      <c r="AV29" s="9" t="n">
        <f aca="false">INT(Time!AV32/12)+1</f>
        <v>17</v>
      </c>
      <c r="AW29" s="9" t="n">
        <f aca="false">INT(Time!AW32/12)+1</f>
        <v>17</v>
      </c>
      <c r="AX29" s="9" t="n">
        <f aca="false">INT(Time!AX32/12)+1</f>
        <v>18</v>
      </c>
      <c r="AY29" s="9" t="n">
        <f aca="false">INT(Time!AY32/12)+1</f>
        <v>18</v>
      </c>
      <c r="AZ29" s="9" t="n">
        <f aca="false">INT(Time!AZ32/12)+1</f>
        <v>19</v>
      </c>
      <c r="BA29" s="9" t="n">
        <f aca="false">INT(Time!BA32/12)+1</f>
        <v>19</v>
      </c>
      <c r="BB29" s="9" t="n">
        <f aca="false">INT(Time!BB32/12)+1</f>
        <v>20</v>
      </c>
      <c r="BC29" s="9" t="n">
        <f aca="false">INT(Time!BC32/12)+1</f>
        <v>20</v>
      </c>
      <c r="BD29" s="9" t="n">
        <f aca="false">INT(Time!BD32/12)+1</f>
        <v>21</v>
      </c>
      <c r="BE29" s="9" t="n">
        <f aca="false">INT(Time!BE32/12)+1</f>
        <v>21</v>
      </c>
      <c r="BF29" s="9" t="n">
        <f aca="false">INT(Time!BF32/12)+1</f>
        <v>22</v>
      </c>
      <c r="BG29" s="9" t="n">
        <f aca="false">INT(Time!BG32/12)+1</f>
        <v>22</v>
      </c>
      <c r="BH29" s="9" t="n">
        <f aca="false">INT(Time!BH32/12)+1</f>
        <v>23</v>
      </c>
      <c r="BI29" s="9" t="n">
        <f aca="false">INT(Time!BI32/12)+1</f>
        <v>23</v>
      </c>
      <c r="BJ29" s="9" t="n">
        <f aca="false">INT(Time!BJ32/12)+1</f>
        <v>24</v>
      </c>
      <c r="BK29" s="9" t="n">
        <f aca="false">INT(Time!BK32/12)+1</f>
        <v>24</v>
      </c>
      <c r="BL29" s="9" t="n">
        <f aca="false">INT(Time!BL32/12)+1</f>
        <v>25</v>
      </c>
      <c r="BM29" s="9" t="n">
        <f aca="false">INT(Time!BM32/12)+1</f>
        <v>25</v>
      </c>
      <c r="BN29" s="9" t="n">
        <f aca="false">INT(Time!BN32/12)+1</f>
        <v>26</v>
      </c>
    </row>
    <row r="30" customFormat="false" ht="15" hidden="false" customHeight="false" outlineLevel="0" collapsed="false">
      <c r="D30" s="0" t="s">
        <v>1605</v>
      </c>
      <c r="E30" s="0" t="s">
        <v>99</v>
      </c>
      <c r="J30" s="9" t="n">
        <f aca="false">MIN(Time!J33,J29*12)-Time!J32</f>
        <v>0</v>
      </c>
      <c r="K30" s="9" t="n">
        <f aca="false">MIN(Time!K33,K29*12)-Time!K32</f>
        <v>0</v>
      </c>
      <c r="L30" s="9" t="n">
        <f aca="false">MIN(Time!L33,L29*12)-Time!L32</f>
        <v>0</v>
      </c>
      <c r="M30" s="9" t="n">
        <f aca="false">MIN(Time!M33,M29*12)-Time!M32</f>
        <v>0</v>
      </c>
      <c r="N30" s="9" t="n">
        <f aca="false">MIN(Time!N33,N29*12)-Time!N32</f>
        <v>0</v>
      </c>
      <c r="O30" s="9" t="n">
        <f aca="false">MIN(Time!O33,O29*12)-Time!O32</f>
        <v>2</v>
      </c>
      <c r="P30" s="9" t="n">
        <f aca="false">MIN(Time!P33,P29*12)-Time!P32</f>
        <v>6</v>
      </c>
      <c r="Q30" s="9" t="n">
        <f aca="false">MIN(Time!Q33,Q29*12)-Time!Q32</f>
        <v>4</v>
      </c>
      <c r="R30" s="9" t="n">
        <f aca="false">MIN(Time!R33,R29*12)-Time!R32</f>
        <v>6</v>
      </c>
      <c r="S30" s="9" t="n">
        <f aca="false">MIN(Time!S33,S29*12)-Time!S32</f>
        <v>4</v>
      </c>
      <c r="T30" s="9" t="n">
        <f aca="false">MIN(Time!T33,T29*12)-Time!T32</f>
        <v>6</v>
      </c>
      <c r="U30" s="9" t="n">
        <f aca="false">MIN(Time!U33,U29*12)-Time!U32</f>
        <v>4</v>
      </c>
      <c r="V30" s="9" t="n">
        <f aca="false">MIN(Time!V33,V29*12)-Time!V32</f>
        <v>6</v>
      </c>
      <c r="W30" s="9" t="n">
        <f aca="false">MIN(Time!W33,W29*12)-Time!W32</f>
        <v>4</v>
      </c>
      <c r="X30" s="9" t="n">
        <f aca="false">MIN(Time!X33,X29*12)-Time!X32</f>
        <v>6</v>
      </c>
      <c r="Y30" s="9" t="n">
        <f aca="false">MIN(Time!Y33,Y29*12)-Time!Y32</f>
        <v>4</v>
      </c>
      <c r="Z30" s="9" t="n">
        <f aca="false">MIN(Time!Z33,Z29*12)-Time!Z32</f>
        <v>6</v>
      </c>
      <c r="AA30" s="9" t="n">
        <f aca="false">MIN(Time!AA33,AA29*12)-Time!AA32</f>
        <v>4</v>
      </c>
      <c r="AB30" s="9" t="n">
        <f aca="false">MIN(Time!AB33,AB29*12)-Time!AB32</f>
        <v>6</v>
      </c>
      <c r="AC30" s="9" t="n">
        <f aca="false">MIN(Time!AC33,AC29*12)-Time!AC32</f>
        <v>4</v>
      </c>
      <c r="AD30" s="9" t="n">
        <f aca="false">MIN(Time!AD33,AD29*12)-Time!AD32</f>
        <v>6</v>
      </c>
      <c r="AE30" s="9" t="n">
        <f aca="false">MIN(Time!AE33,AE29*12)-Time!AE32</f>
        <v>4</v>
      </c>
      <c r="AF30" s="9" t="n">
        <f aca="false">MIN(Time!AF33,AF29*12)-Time!AF32</f>
        <v>6</v>
      </c>
      <c r="AG30" s="9" t="n">
        <f aca="false">MIN(Time!AG33,AG29*12)-Time!AG32</f>
        <v>4</v>
      </c>
      <c r="AH30" s="9" t="n">
        <f aca="false">MIN(Time!AH33,AH29*12)-Time!AH32</f>
        <v>6</v>
      </c>
      <c r="AI30" s="9" t="n">
        <f aca="false">MIN(Time!AI33,AI29*12)-Time!AI32</f>
        <v>4</v>
      </c>
      <c r="AJ30" s="9" t="n">
        <f aca="false">MIN(Time!AJ33,AJ29*12)-Time!AJ32</f>
        <v>6</v>
      </c>
      <c r="AK30" s="9" t="n">
        <f aca="false">MIN(Time!AK33,AK29*12)-Time!AK32</f>
        <v>4</v>
      </c>
      <c r="AL30" s="9" t="n">
        <f aca="false">MIN(Time!AL33,AL29*12)-Time!AL32</f>
        <v>6</v>
      </c>
      <c r="AM30" s="9" t="n">
        <f aca="false">MIN(Time!AM33,AM29*12)-Time!AM32</f>
        <v>4</v>
      </c>
      <c r="AN30" s="9" t="n">
        <f aca="false">MIN(Time!AN33,AN29*12)-Time!AN32</f>
        <v>6</v>
      </c>
      <c r="AO30" s="9" t="n">
        <f aca="false">MIN(Time!AO33,AO29*12)-Time!AO32</f>
        <v>4</v>
      </c>
      <c r="AP30" s="9" t="n">
        <f aca="false">MIN(Time!AP33,AP29*12)-Time!AP32</f>
        <v>6</v>
      </c>
      <c r="AQ30" s="9" t="n">
        <f aca="false">MIN(Time!AQ33,AQ29*12)-Time!AQ32</f>
        <v>4</v>
      </c>
      <c r="AR30" s="9" t="n">
        <f aca="false">MIN(Time!AR33,AR29*12)-Time!AR32</f>
        <v>6</v>
      </c>
      <c r="AS30" s="9" t="n">
        <f aca="false">MIN(Time!AS33,AS29*12)-Time!AS32</f>
        <v>4</v>
      </c>
      <c r="AT30" s="9" t="n">
        <f aca="false">MIN(Time!AT33,AT29*12)-Time!AT32</f>
        <v>6</v>
      </c>
      <c r="AU30" s="9" t="n">
        <f aca="false">MIN(Time!AU33,AU29*12)-Time!AU32</f>
        <v>4</v>
      </c>
      <c r="AV30" s="9" t="n">
        <f aca="false">MIN(Time!AV33,AV29*12)-Time!AV32</f>
        <v>6</v>
      </c>
      <c r="AW30" s="9" t="n">
        <f aca="false">MIN(Time!AW33,AW29*12)-Time!AW32</f>
        <v>4</v>
      </c>
      <c r="AX30" s="9" t="n">
        <f aca="false">MIN(Time!AX33,AX29*12)-Time!AX32</f>
        <v>6</v>
      </c>
      <c r="AY30" s="9" t="n">
        <f aca="false">MIN(Time!AY33,AY29*12)-Time!AY32</f>
        <v>4</v>
      </c>
      <c r="AZ30" s="9" t="n">
        <f aca="false">MIN(Time!AZ33,AZ29*12)-Time!AZ32</f>
        <v>6</v>
      </c>
      <c r="BA30" s="9" t="n">
        <f aca="false">MIN(Time!BA33,BA29*12)-Time!BA32</f>
        <v>4</v>
      </c>
      <c r="BB30" s="9" t="n">
        <f aca="false">MIN(Time!BB33,BB29*12)-Time!BB32</f>
        <v>6</v>
      </c>
      <c r="BC30" s="9" t="n">
        <f aca="false">MIN(Time!BC33,BC29*12)-Time!BC32</f>
        <v>4</v>
      </c>
      <c r="BD30" s="9" t="n">
        <f aca="false">MIN(Time!BD33,BD29*12)-Time!BD32</f>
        <v>6</v>
      </c>
      <c r="BE30" s="9" t="n">
        <f aca="false">MIN(Time!BE33,BE29*12)-Time!BE32</f>
        <v>4</v>
      </c>
      <c r="BF30" s="9" t="n">
        <f aca="false">MIN(Time!BF33,BF29*12)-Time!BF32</f>
        <v>6</v>
      </c>
      <c r="BG30" s="9" t="n">
        <f aca="false">MIN(Time!BG33,BG29*12)-Time!BG32</f>
        <v>4</v>
      </c>
      <c r="BH30" s="9" t="n">
        <f aca="false">MIN(Time!BH33,BH29*12)-Time!BH32</f>
        <v>6</v>
      </c>
      <c r="BI30" s="9" t="n">
        <f aca="false">MIN(Time!BI33,BI29*12)-Time!BI32</f>
        <v>4</v>
      </c>
      <c r="BJ30" s="9" t="n">
        <f aca="false">MIN(Time!BJ33,BJ29*12)-Time!BJ32</f>
        <v>6</v>
      </c>
      <c r="BK30" s="9" t="n">
        <f aca="false">MIN(Time!BK33,BK29*12)-Time!BK32</f>
        <v>4</v>
      </c>
      <c r="BL30" s="9" t="n">
        <f aca="false">MIN(Time!BL33,BL29*12)-Time!BL32</f>
        <v>6</v>
      </c>
      <c r="BM30" s="9" t="n">
        <f aca="false">MIN(Time!BM33,BM29*12)-Time!BM32</f>
        <v>4</v>
      </c>
      <c r="BN30" s="9" t="n">
        <f aca="false">MIN(Time!BN33,BN29*12)-Time!BN32</f>
        <v>0</v>
      </c>
    </row>
    <row r="31" customFormat="false" ht="15" hidden="false" customHeight="false" outlineLevel="0" collapsed="false">
      <c r="D31" s="0" t="s">
        <v>1606</v>
      </c>
      <c r="E31" s="0" t="s">
        <v>105</v>
      </c>
      <c r="J31" s="13" t="n">
        <f aca="false"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>0</v>
      </c>
      <c r="K31" s="13" t="n">
        <f aca="false"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>0</v>
      </c>
      <c r="L31" s="13" t="n">
        <f aca="false"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>0</v>
      </c>
      <c r="M31" s="13" t="n">
        <f aca="false"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>0</v>
      </c>
      <c r="N31" s="13" t="n">
        <f aca="false"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>0</v>
      </c>
      <c r="O31" s="13" t="n">
        <f aca="false"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>93.8</v>
      </c>
      <c r="P31" s="13" t="n">
        <f aca="false"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>93.8</v>
      </c>
      <c r="Q31" s="13" t="n">
        <f aca="false"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>93.5</v>
      </c>
      <c r="R31" s="13" t="n">
        <f aca="false"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>92.9</v>
      </c>
      <c r="S31" s="13" t="n">
        <f aca="false"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>93.2</v>
      </c>
      <c r="T31" s="13" t="n">
        <f aca="false"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>93.8</v>
      </c>
      <c r="U31" s="13" t="n">
        <f aca="false"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>92.7333333333333</v>
      </c>
      <c r="V31" s="13" t="n">
        <f aca="false"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>90.6</v>
      </c>
      <c r="W31" s="13" t="n">
        <f aca="false"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>91.6666666666667</v>
      </c>
      <c r="X31" s="13" t="n">
        <f aca="false"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>93.8</v>
      </c>
      <c r="Y31" s="13" t="n">
        <f aca="false"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>93.5</v>
      </c>
      <c r="Z31" s="13" t="n">
        <f aca="false"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>92.9</v>
      </c>
      <c r="AA31" s="13" t="n">
        <f aca="false"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>93.2</v>
      </c>
      <c r="AB31" s="13" t="n">
        <f aca="false"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>93.8</v>
      </c>
      <c r="AC31" s="13" t="n">
        <f aca="false"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>92.1</v>
      </c>
      <c r="AD31" s="13" t="n">
        <f aca="false"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>88.7</v>
      </c>
      <c r="AE31" s="13" t="n">
        <f aca="false"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>90.4</v>
      </c>
      <c r="AF31" s="13" t="n">
        <f aca="false"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>93.8</v>
      </c>
      <c r="AG31" s="13" t="n">
        <f aca="false"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>93.5</v>
      </c>
      <c r="AH31" s="13" t="n">
        <f aca="false"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>92.9</v>
      </c>
      <c r="AI31" s="13" t="n">
        <f aca="false"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>93.2</v>
      </c>
      <c r="AJ31" s="13" t="n">
        <f aca="false"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>93.8</v>
      </c>
      <c r="AK31" s="13" t="n">
        <f aca="false"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>92.7333333333333</v>
      </c>
      <c r="AL31" s="13" t="n">
        <f aca="false"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>90.6</v>
      </c>
      <c r="AM31" s="13" t="n">
        <f aca="false"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>91.6666666666667</v>
      </c>
      <c r="AN31" s="13" t="n">
        <f aca="false"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>93.8</v>
      </c>
      <c r="AO31" s="13" t="n">
        <f aca="false"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>93.5</v>
      </c>
      <c r="AP31" s="13" t="n">
        <f aca="false"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>92.9</v>
      </c>
      <c r="AQ31" s="13" t="n">
        <f aca="false"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>93.2</v>
      </c>
      <c r="AR31" s="13" t="n">
        <f aca="false"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>93.8</v>
      </c>
      <c r="AS31" s="13" t="n">
        <f aca="false"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>92.1</v>
      </c>
      <c r="AT31" s="13" t="n">
        <f aca="false"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>88.7</v>
      </c>
      <c r="AU31" s="13" t="n">
        <f aca="false"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>90.4</v>
      </c>
      <c r="AV31" s="13" t="n">
        <f aca="false"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>93.8</v>
      </c>
      <c r="AW31" s="13" t="n">
        <f aca="false"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>93.5</v>
      </c>
      <c r="AX31" s="13" t="n">
        <f aca="false"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>92.9</v>
      </c>
      <c r="AY31" s="13" t="n">
        <f aca="false"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>93.2</v>
      </c>
      <c r="AZ31" s="13" t="n">
        <f aca="false"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>93.8</v>
      </c>
      <c r="BA31" s="13" t="n">
        <f aca="false"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>92.7333333333333</v>
      </c>
      <c r="BB31" s="13" t="n">
        <f aca="false"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>90.6</v>
      </c>
      <c r="BC31" s="13" t="n">
        <f aca="false"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>91.6666666666667</v>
      </c>
      <c r="BD31" s="13" t="n">
        <f aca="false"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>93.8</v>
      </c>
      <c r="BE31" s="13" t="n">
        <f aca="false"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>93.5</v>
      </c>
      <c r="BF31" s="13" t="n">
        <f aca="false"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>92.9</v>
      </c>
      <c r="BG31" s="13" t="n">
        <f aca="false"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>93.2</v>
      </c>
      <c r="BH31" s="13" t="n">
        <f aca="false"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>93.8</v>
      </c>
      <c r="BI31" s="13" t="n">
        <f aca="false"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>92.1</v>
      </c>
      <c r="BJ31" s="13" t="n">
        <f aca="false"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>88.7</v>
      </c>
      <c r="BK31" s="13" t="n">
        <f aca="false"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>90.4</v>
      </c>
      <c r="BL31" s="13" t="n">
        <f aca="false"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>93.8</v>
      </c>
      <c r="BM31" s="13" t="n">
        <f aca="false"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>93.8</v>
      </c>
      <c r="BN31" s="13" t="n">
        <f aca="false"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>0</v>
      </c>
    </row>
    <row r="32" customFormat="false" ht="15" hidden="false" customHeight="false" outlineLevel="0" collapsed="false">
      <c r="D32" s="0" t="s">
        <v>1607</v>
      </c>
      <c r="E32" s="0" t="s">
        <v>105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93.8</v>
      </c>
      <c r="P32" s="13" t="n">
        <f aca="false">IF(Time!P30&gt;0,P31+Inputs!$F$37,0)</f>
        <v>93.8</v>
      </c>
      <c r="Q32" s="13" t="n">
        <f aca="false">IF(Time!Q30&gt;0,Q31+Inputs!$F$37,0)</f>
        <v>93.5</v>
      </c>
      <c r="R32" s="13" t="n">
        <f aca="false">IF(Time!R30&gt;0,R31+Inputs!$F$37,0)</f>
        <v>92.9</v>
      </c>
      <c r="S32" s="13" t="n">
        <f aca="false">IF(Time!S30&gt;0,S31+Inputs!$F$37,0)</f>
        <v>93.2</v>
      </c>
      <c r="T32" s="13" t="n">
        <f aca="false">IF(Time!T30&gt;0,T31+Inputs!$F$37,0)</f>
        <v>93.8</v>
      </c>
      <c r="U32" s="13" t="n">
        <f aca="false">IF(Time!U30&gt;0,U31+Inputs!$F$37,0)</f>
        <v>92.7333333333333</v>
      </c>
      <c r="V32" s="13" t="n">
        <f aca="false">IF(Time!V30&gt;0,V31+Inputs!$F$37,0)</f>
        <v>90.6</v>
      </c>
      <c r="W32" s="13" t="n">
        <f aca="false">IF(Time!W30&gt;0,W31+Inputs!$F$37,0)</f>
        <v>91.6666666666667</v>
      </c>
      <c r="X32" s="13" t="n">
        <f aca="false">IF(Time!X30&gt;0,X31+Inputs!$F$37,0)</f>
        <v>93.8</v>
      </c>
      <c r="Y32" s="13" t="n">
        <f aca="false">IF(Time!Y30&gt;0,Y31+Inputs!$F$37,0)</f>
        <v>93.5</v>
      </c>
      <c r="Z32" s="13" t="n">
        <f aca="false">IF(Time!Z30&gt;0,Z31+Inputs!$F$37,0)</f>
        <v>92.9</v>
      </c>
      <c r="AA32" s="13" t="n">
        <f aca="false">IF(Time!AA30&gt;0,AA31+Inputs!$F$37,0)</f>
        <v>93.2</v>
      </c>
      <c r="AB32" s="13" t="n">
        <f aca="false">IF(Time!AB30&gt;0,AB31+Inputs!$F$37,0)</f>
        <v>93.8</v>
      </c>
      <c r="AC32" s="13" t="n">
        <f aca="false">IF(Time!AC30&gt;0,AC31+Inputs!$F$37,0)</f>
        <v>92.1</v>
      </c>
      <c r="AD32" s="13" t="n">
        <f aca="false">IF(Time!AD30&gt;0,AD31+Inputs!$F$37,0)</f>
        <v>88.7</v>
      </c>
      <c r="AE32" s="13" t="n">
        <f aca="false">IF(Time!AE30&gt;0,AE31+Inputs!$F$37,0)</f>
        <v>90.4</v>
      </c>
      <c r="AF32" s="13" t="n">
        <f aca="false">IF(Time!AF30&gt;0,AF31+Inputs!$F$37,0)</f>
        <v>93.8</v>
      </c>
      <c r="AG32" s="13" t="n">
        <f aca="false">IF(Time!AG30&gt;0,AG31+Inputs!$F$37,0)</f>
        <v>93.5</v>
      </c>
      <c r="AH32" s="13" t="n">
        <f aca="false">IF(Time!AH30&gt;0,AH31+Inputs!$F$37,0)</f>
        <v>92.9</v>
      </c>
      <c r="AI32" s="13" t="n">
        <f aca="false">IF(Time!AI30&gt;0,AI31+Inputs!$F$37,0)</f>
        <v>93.2</v>
      </c>
      <c r="AJ32" s="13" t="n">
        <f aca="false">IF(Time!AJ30&gt;0,AJ31+Inputs!$F$37,0)</f>
        <v>93.8</v>
      </c>
      <c r="AK32" s="13" t="n">
        <f aca="false">IF(Time!AK30&gt;0,AK31+Inputs!$F$37,0)</f>
        <v>92.7333333333333</v>
      </c>
      <c r="AL32" s="13" t="n">
        <f aca="false">IF(Time!AL30&gt;0,AL31+Inputs!$F$37,0)</f>
        <v>90.6</v>
      </c>
      <c r="AM32" s="13" t="n">
        <f aca="false">IF(Time!AM30&gt;0,AM31+Inputs!$F$37,0)</f>
        <v>91.6666666666667</v>
      </c>
      <c r="AN32" s="13" t="n">
        <f aca="false">IF(Time!AN30&gt;0,AN31+Inputs!$F$37,0)</f>
        <v>93.8</v>
      </c>
      <c r="AO32" s="13" t="n">
        <f aca="false">IF(Time!AO30&gt;0,AO31+Inputs!$F$37,0)</f>
        <v>93.5</v>
      </c>
      <c r="AP32" s="13" t="n">
        <f aca="false">IF(Time!AP30&gt;0,AP31+Inputs!$F$37,0)</f>
        <v>92.9</v>
      </c>
      <c r="AQ32" s="13" t="n">
        <f aca="false">IF(Time!AQ30&gt;0,AQ31+Inputs!$F$37,0)</f>
        <v>93.2</v>
      </c>
      <c r="AR32" s="13" t="n">
        <f aca="false">IF(Time!AR30&gt;0,AR31+Inputs!$F$37,0)</f>
        <v>93.8</v>
      </c>
      <c r="AS32" s="13" t="n">
        <f aca="false">IF(Time!AS30&gt;0,AS31+Inputs!$F$37,0)</f>
        <v>92.1</v>
      </c>
      <c r="AT32" s="13" t="n">
        <f aca="false">IF(Time!AT30&gt;0,AT31+Inputs!$F$37,0)</f>
        <v>88.7</v>
      </c>
      <c r="AU32" s="13" t="n">
        <f aca="false">IF(Time!AU30&gt;0,AU31+Inputs!$F$37,0)</f>
        <v>90.4</v>
      </c>
      <c r="AV32" s="13" t="n">
        <f aca="false">IF(Time!AV30&gt;0,AV31+Inputs!$F$37,0)</f>
        <v>93.8</v>
      </c>
      <c r="AW32" s="13" t="n">
        <f aca="false">IF(Time!AW30&gt;0,AW31+Inputs!$F$37,0)</f>
        <v>93.5</v>
      </c>
      <c r="AX32" s="13" t="n">
        <f aca="false">IF(Time!AX30&gt;0,AX31+Inputs!$F$37,0)</f>
        <v>92.9</v>
      </c>
      <c r="AY32" s="13" t="n">
        <f aca="false">IF(Time!AY30&gt;0,AY31+Inputs!$F$37,0)</f>
        <v>93.2</v>
      </c>
      <c r="AZ32" s="13" t="n">
        <f aca="false">IF(Time!AZ30&gt;0,AZ31+Inputs!$F$37,0)</f>
        <v>93.8</v>
      </c>
      <c r="BA32" s="13" t="n">
        <f aca="false">IF(Time!BA30&gt;0,BA31+Inputs!$F$37,0)</f>
        <v>92.7333333333333</v>
      </c>
      <c r="BB32" s="13" t="n">
        <f aca="false">IF(Time!BB30&gt;0,BB31+Inputs!$F$37,0)</f>
        <v>90.6</v>
      </c>
      <c r="BC32" s="13" t="n">
        <f aca="false">IF(Time!BC30&gt;0,BC31+Inputs!$F$37,0)</f>
        <v>91.6666666666667</v>
      </c>
      <c r="BD32" s="13" t="n">
        <f aca="false">IF(Time!BD30&gt;0,BD31+Inputs!$F$37,0)</f>
        <v>93.8</v>
      </c>
      <c r="BE32" s="13" t="n">
        <f aca="false">IF(Time!BE30&gt;0,BE31+Inputs!$F$37,0)</f>
        <v>93.5</v>
      </c>
      <c r="BF32" s="13" t="n">
        <f aca="false">IF(Time!BF30&gt;0,BF31+Inputs!$F$37,0)</f>
        <v>92.9</v>
      </c>
      <c r="BG32" s="13" t="n">
        <f aca="false">IF(Time!BG30&gt;0,BG31+Inputs!$F$37,0)</f>
        <v>93.2</v>
      </c>
      <c r="BH32" s="13" t="n">
        <f aca="false">IF(Time!BH30&gt;0,BH31+Inputs!$F$37,0)</f>
        <v>93.8</v>
      </c>
      <c r="BI32" s="13" t="n">
        <f aca="false">IF(Time!BI30&gt;0,BI31+Inputs!$F$37,0)</f>
        <v>92.1</v>
      </c>
      <c r="BJ32" s="13" t="n">
        <f aca="false">IF(Time!BJ30&gt;0,BJ31+Inputs!$F$37,0)</f>
        <v>88.7</v>
      </c>
      <c r="BK32" s="13" t="n">
        <f aca="false">IF(Time!BK30&gt;0,BK31+Inputs!$F$37,0)</f>
        <v>90.4</v>
      </c>
      <c r="BL32" s="13" t="n">
        <f aca="false">IF(Time!BL30&gt;0,BL31+Inputs!$F$37,0)</f>
        <v>93.8</v>
      </c>
      <c r="BM32" s="13" t="n">
        <f aca="false">IF(Time!BM30&gt;0,BM31+Inputs!$F$37,0)</f>
        <v>93.8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1608</v>
      </c>
      <c r="E33" s="0" t="s">
        <v>323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1609</v>
      </c>
      <c r="E34" s="0" t="s">
        <v>216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1610</v>
      </c>
      <c r="E35" s="0" t="s">
        <v>219</v>
      </c>
      <c r="F35" s="9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1611</v>
      </c>
      <c r="E36" s="0" t="s">
        <v>101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131</v>
      </c>
      <c r="E37" s="0" t="s">
        <v>105</v>
      </c>
      <c r="J37" s="13" t="n">
        <f aca="false">IF(Inputs!$F$312=1,INDEX(Inputs!$AJ$313:$AJ$1312,Inputs!$F$311),IF(AND(Inputs!$F$55=1,Inputs!J303&gt;0),Inputs!J303,Inputs!$F$38))</f>
        <v>76.5</v>
      </c>
      <c r="K37" s="13" t="n">
        <f aca="false">IF(Inputs!$F$312=1,INDEX(Inputs!$AJ$313:$AJ$1312,Inputs!$F$311),IF(AND(Inputs!$F$55=1,Inputs!K303&gt;0),Inputs!K303,Inputs!$F$38))</f>
        <v>76.5</v>
      </c>
      <c r="L37" s="13" t="n">
        <f aca="false">IF(Inputs!$F$312=1,INDEX(Inputs!$AJ$313:$AJ$1312,Inputs!$F$311),IF(AND(Inputs!$F$55=1,Inputs!L303&gt;0),Inputs!L303,Inputs!$F$38))</f>
        <v>76.5</v>
      </c>
      <c r="M37" s="13" t="n">
        <f aca="false">IF(Inputs!$F$312=1,INDEX(Inputs!$AJ$313:$AJ$1312,Inputs!$F$311),IF(AND(Inputs!$F$55=1,Inputs!M303&gt;0),Inputs!M303,Inputs!$F$38))</f>
        <v>76.5</v>
      </c>
      <c r="N37" s="13" t="n">
        <f aca="false">IF(Inputs!$F$312=1,INDEX(Inputs!$AJ$313:$AJ$1312,Inputs!$F$311),IF(AND(Inputs!$F$55=1,Inputs!N303&gt;0),Inputs!N303,Inputs!$F$38))</f>
        <v>76.5</v>
      </c>
      <c r="O37" s="13" t="n">
        <f aca="false">IF(Inputs!$F$312=1,INDEX(Inputs!$AJ$313:$AJ$1312,Inputs!$F$311),IF(AND(Inputs!$F$55=1,Inputs!O303&gt;0),Inputs!O303,Inputs!$F$38))</f>
        <v>76.5</v>
      </c>
      <c r="P37" s="13" t="n">
        <f aca="false">IF(Inputs!$F$312=1,INDEX(Inputs!$AJ$313:$AJ$1312,Inputs!$F$311),IF(AND(Inputs!$F$55=1,Inputs!P303&gt;0),Inputs!P303,Inputs!$F$38))</f>
        <v>76.5</v>
      </c>
      <c r="Q37" s="13" t="n">
        <f aca="false">IF(Inputs!$F$312=1,INDEX(Inputs!$AJ$313:$AJ$1312,Inputs!$F$311),IF(AND(Inputs!$F$55=1,Inputs!Q303&gt;0),Inputs!Q303,Inputs!$F$38))</f>
        <v>76.5</v>
      </c>
      <c r="R37" s="13" t="n">
        <f aca="false">IF(Inputs!$F$312=1,INDEX(Inputs!$AJ$313:$AJ$1312,Inputs!$F$311),IF(AND(Inputs!$F$55=1,Inputs!R303&gt;0),Inputs!R303,Inputs!$F$38))</f>
        <v>76.5</v>
      </c>
      <c r="S37" s="13" t="n">
        <f aca="false">IF(Inputs!$F$312=1,INDEX(Inputs!$AJ$313:$AJ$1312,Inputs!$F$311),IF(AND(Inputs!$F$55=1,Inputs!S303&gt;0),Inputs!S303,Inputs!$F$38))</f>
        <v>76.5</v>
      </c>
      <c r="T37" s="13" t="n">
        <f aca="false">IF(Inputs!$F$312=1,INDEX(Inputs!$AJ$313:$AJ$1312,Inputs!$F$311),IF(AND(Inputs!$F$55=1,Inputs!T303&gt;0),Inputs!T303,Inputs!$F$38))</f>
        <v>76.5</v>
      </c>
      <c r="U37" s="13" t="n">
        <f aca="false">IF(Inputs!$F$312=1,INDEX(Inputs!$AJ$313:$AJ$1312,Inputs!$F$311),IF(AND(Inputs!$F$55=1,Inputs!U303&gt;0),Inputs!U303,Inputs!$F$38))</f>
        <v>76.5</v>
      </c>
      <c r="V37" s="13" t="n">
        <f aca="false">IF(Inputs!$F$312=1,INDEX(Inputs!$AJ$313:$AJ$1312,Inputs!$F$311),IF(AND(Inputs!$F$55=1,Inputs!V303&gt;0),Inputs!V303,Inputs!$F$38))</f>
        <v>76.5</v>
      </c>
      <c r="W37" s="13" t="n">
        <f aca="false">IF(Inputs!$F$312=1,INDEX(Inputs!$AJ$313:$AJ$1312,Inputs!$F$311),IF(AND(Inputs!$F$55=1,Inputs!W303&gt;0),Inputs!W303,Inputs!$F$38))</f>
        <v>76.5</v>
      </c>
      <c r="X37" s="13" t="n">
        <f aca="false">IF(Inputs!$F$312=1,INDEX(Inputs!$AJ$313:$AJ$1312,Inputs!$F$311),IF(AND(Inputs!$F$55=1,Inputs!X303&gt;0),Inputs!X303,Inputs!$F$38))</f>
        <v>76.5</v>
      </c>
      <c r="Y37" s="13" t="n">
        <f aca="false">IF(Inputs!$F$312=1,INDEX(Inputs!$AJ$313:$AJ$1312,Inputs!$F$311),IF(AND(Inputs!$F$55=1,Inputs!Y303&gt;0),Inputs!Y303,Inputs!$F$38))</f>
        <v>76.5</v>
      </c>
      <c r="Z37" s="13" t="n">
        <f aca="false">IF(Inputs!$F$312=1,INDEX(Inputs!$AJ$313:$AJ$1312,Inputs!$F$311),IF(AND(Inputs!$F$55=1,Inputs!Z303&gt;0),Inputs!Z303,Inputs!$F$38))</f>
        <v>76.5</v>
      </c>
      <c r="AA37" s="13" t="n">
        <f aca="false">IF(Inputs!$F$312=1,INDEX(Inputs!$AJ$313:$AJ$1312,Inputs!$F$311),IF(AND(Inputs!$F$55=1,Inputs!AA303&gt;0),Inputs!AA303,Inputs!$F$38))</f>
        <v>76.5</v>
      </c>
      <c r="AB37" s="13" t="n">
        <f aca="false">IF(Inputs!$F$312=1,INDEX(Inputs!$AJ$313:$AJ$1312,Inputs!$F$311),IF(AND(Inputs!$F$55=1,Inputs!AB303&gt;0),Inputs!AB303,Inputs!$F$38))</f>
        <v>76.5</v>
      </c>
      <c r="AC37" s="13" t="n">
        <f aca="false">IF(Inputs!$F$312=1,INDEX(Inputs!$AJ$313:$AJ$1312,Inputs!$F$311),IF(AND(Inputs!$F$55=1,Inputs!AC303&gt;0),Inputs!AC303,Inputs!$F$38))</f>
        <v>76.5</v>
      </c>
      <c r="AD37" s="13" t="n">
        <f aca="false">IF(Inputs!$F$312=1,INDEX(Inputs!$AJ$313:$AJ$1312,Inputs!$F$311),IF(AND(Inputs!$F$55=1,Inputs!AD303&gt;0),Inputs!AD303,Inputs!$F$38))</f>
        <v>76.5</v>
      </c>
      <c r="AE37" s="13" t="n">
        <f aca="false">IF(Inputs!$F$312=1,INDEX(Inputs!$AJ$313:$AJ$1312,Inputs!$F$311),IF(AND(Inputs!$F$55=1,Inputs!AE303&gt;0),Inputs!AE303,Inputs!$F$38))</f>
        <v>76.5</v>
      </c>
      <c r="AF37" s="13" t="n">
        <f aca="false">IF(Inputs!$F$312=1,INDEX(Inputs!$AJ$313:$AJ$1312,Inputs!$F$311),IF(AND(Inputs!$F$55=1,Inputs!AF303&gt;0),Inputs!AF303,Inputs!$F$38))</f>
        <v>76.5</v>
      </c>
      <c r="AG37" s="13" t="n">
        <f aca="false">IF(Inputs!$F$312=1,INDEX(Inputs!$AJ$313:$AJ$1312,Inputs!$F$311),IF(AND(Inputs!$F$55=1,Inputs!AG303&gt;0),Inputs!AG303,Inputs!$F$38))</f>
        <v>76.5</v>
      </c>
      <c r="AH37" s="13" t="n">
        <f aca="false">IF(Inputs!$F$312=1,INDEX(Inputs!$AJ$313:$AJ$1312,Inputs!$F$311),IF(AND(Inputs!$F$55=1,Inputs!AH303&gt;0),Inputs!AH303,Inputs!$F$38))</f>
        <v>76.5</v>
      </c>
      <c r="AI37" s="13" t="n">
        <f aca="false">IF(Inputs!$F$312=1,INDEX(Inputs!$AJ$313:$AJ$1312,Inputs!$F$311),IF(AND(Inputs!$F$55=1,Inputs!AI303&gt;0),Inputs!AI303,Inputs!$F$38))</f>
        <v>76.5</v>
      </c>
      <c r="AJ37" s="13" t="n">
        <f aca="false">IF(Inputs!$F$312=1,INDEX(Inputs!$AJ$313:$AJ$1312,Inputs!$F$311),IF(AND(Inputs!$F$55=1,Inputs!AJ303&gt;0),Inputs!AJ303,Inputs!$F$38))</f>
        <v>76.5</v>
      </c>
      <c r="AK37" s="13" t="n">
        <f aca="false">IF(Inputs!$F$312=1,INDEX(Inputs!$AJ$313:$AJ$1312,Inputs!$F$311),IF(AND(Inputs!$F$55=1,Inputs!AK303&gt;0),Inputs!AK303,Inputs!$F$38))</f>
        <v>76.5</v>
      </c>
      <c r="AL37" s="13" t="n">
        <f aca="false">IF(Inputs!$F$312=1,INDEX(Inputs!$AJ$313:$AJ$1312,Inputs!$F$311),IF(AND(Inputs!$F$55=1,Inputs!AL303&gt;0),Inputs!AL303,Inputs!$F$38))</f>
        <v>76.5</v>
      </c>
      <c r="AM37" s="13" t="n">
        <f aca="false">IF(Inputs!$F$312=1,INDEX(Inputs!$AJ$313:$AJ$1312,Inputs!$F$311),IF(AND(Inputs!$F$55=1,Inputs!AM303&gt;0),Inputs!AM303,Inputs!$F$38))</f>
        <v>76.5</v>
      </c>
      <c r="AN37" s="13" t="n">
        <f aca="false">IF(Inputs!$F$312=1,INDEX(Inputs!$AJ$313:$AJ$1312,Inputs!$F$311),IF(AND(Inputs!$F$55=1,Inputs!AN303&gt;0),Inputs!AN303,Inputs!$F$38))</f>
        <v>76.5</v>
      </c>
      <c r="AO37" s="13" t="n">
        <f aca="false">IF(Inputs!$F$312=1,INDEX(Inputs!$AJ$313:$AJ$1312,Inputs!$F$311),IF(AND(Inputs!$F$55=1,Inputs!AO303&gt;0),Inputs!AO303,Inputs!$F$38))</f>
        <v>76.5</v>
      </c>
      <c r="AP37" s="13" t="n">
        <f aca="false">IF(Inputs!$F$312=1,INDEX(Inputs!$AJ$313:$AJ$1312,Inputs!$F$311),IF(AND(Inputs!$F$55=1,Inputs!AP303&gt;0),Inputs!AP303,Inputs!$F$38))</f>
        <v>76.5</v>
      </c>
      <c r="AQ37" s="13" t="n">
        <f aca="false">IF(Inputs!$F$312=1,INDEX(Inputs!$AJ$313:$AJ$1312,Inputs!$F$311),IF(AND(Inputs!$F$55=1,Inputs!AQ303&gt;0),Inputs!AQ303,Inputs!$F$38))</f>
        <v>76.5</v>
      </c>
      <c r="AR37" s="13" t="n">
        <f aca="false">IF(Inputs!$F$312=1,INDEX(Inputs!$AJ$313:$AJ$1312,Inputs!$F$311),IF(AND(Inputs!$F$55=1,Inputs!AR303&gt;0),Inputs!AR303,Inputs!$F$38))</f>
        <v>76.5</v>
      </c>
      <c r="AS37" s="13" t="n">
        <f aca="false">IF(Inputs!$F$312=1,INDEX(Inputs!$AJ$313:$AJ$1312,Inputs!$F$311),IF(AND(Inputs!$F$55=1,Inputs!AS303&gt;0),Inputs!AS303,Inputs!$F$38))</f>
        <v>76.5</v>
      </c>
      <c r="AT37" s="13" t="n">
        <f aca="false">IF(Inputs!$F$312=1,INDEX(Inputs!$AJ$313:$AJ$1312,Inputs!$F$311),IF(AND(Inputs!$F$55=1,Inputs!AT303&gt;0),Inputs!AT303,Inputs!$F$38))</f>
        <v>76.5</v>
      </c>
      <c r="AU37" s="13" t="n">
        <f aca="false">IF(Inputs!$F$312=1,INDEX(Inputs!$AJ$313:$AJ$1312,Inputs!$F$311),IF(AND(Inputs!$F$55=1,Inputs!AU303&gt;0),Inputs!AU303,Inputs!$F$38))</f>
        <v>76.5</v>
      </c>
      <c r="AV37" s="13" t="n">
        <f aca="false">IF(Inputs!$F$312=1,INDEX(Inputs!$AJ$313:$AJ$1312,Inputs!$F$311),IF(AND(Inputs!$F$55=1,Inputs!AV303&gt;0),Inputs!AV303,Inputs!$F$38))</f>
        <v>76.5</v>
      </c>
      <c r="AW37" s="13" t="n">
        <f aca="false">IF(Inputs!$F$312=1,INDEX(Inputs!$AJ$313:$AJ$1312,Inputs!$F$311),IF(AND(Inputs!$F$55=1,Inputs!AW303&gt;0),Inputs!AW303,Inputs!$F$38))</f>
        <v>76.5</v>
      </c>
      <c r="AX37" s="13" t="n">
        <f aca="false">IF(Inputs!$F$312=1,INDEX(Inputs!$AJ$313:$AJ$1312,Inputs!$F$311),IF(AND(Inputs!$F$55=1,Inputs!AX303&gt;0),Inputs!AX303,Inputs!$F$38))</f>
        <v>76.5</v>
      </c>
      <c r="AY37" s="13" t="n">
        <f aca="false">IF(Inputs!$F$312=1,INDEX(Inputs!$AJ$313:$AJ$1312,Inputs!$F$311),IF(AND(Inputs!$F$55=1,Inputs!AY303&gt;0),Inputs!AY303,Inputs!$F$38))</f>
        <v>76.5</v>
      </c>
      <c r="AZ37" s="13" t="n">
        <f aca="false">IF(Inputs!$F$312=1,INDEX(Inputs!$AJ$313:$AJ$1312,Inputs!$F$311),IF(AND(Inputs!$F$55=1,Inputs!AZ303&gt;0),Inputs!AZ303,Inputs!$F$38))</f>
        <v>76.5</v>
      </c>
      <c r="BA37" s="13" t="n">
        <f aca="false">IF(Inputs!$F$312=1,INDEX(Inputs!$AJ$313:$AJ$1312,Inputs!$F$311),IF(AND(Inputs!$F$55=1,Inputs!BA303&gt;0),Inputs!BA303,Inputs!$F$38))</f>
        <v>76.5</v>
      </c>
      <c r="BB37" s="13" t="n">
        <f aca="false">IF(Inputs!$F$312=1,INDEX(Inputs!$AJ$313:$AJ$1312,Inputs!$F$311),IF(AND(Inputs!$F$55=1,Inputs!BB303&gt;0),Inputs!BB303,Inputs!$F$38))</f>
        <v>76.5</v>
      </c>
      <c r="BC37" s="13" t="n">
        <f aca="false">IF(Inputs!$F$312=1,INDEX(Inputs!$AJ$313:$AJ$1312,Inputs!$F$311),IF(AND(Inputs!$F$55=1,Inputs!BC303&gt;0),Inputs!BC303,Inputs!$F$38))</f>
        <v>76.5</v>
      </c>
      <c r="BD37" s="13" t="n">
        <f aca="false">IF(Inputs!$F$312=1,INDEX(Inputs!$AJ$313:$AJ$1312,Inputs!$F$311),IF(AND(Inputs!$F$55=1,Inputs!BD303&gt;0),Inputs!BD303,Inputs!$F$38))</f>
        <v>76.5</v>
      </c>
      <c r="BE37" s="13" t="n">
        <f aca="false">IF(Inputs!$F$312=1,INDEX(Inputs!$AJ$313:$AJ$1312,Inputs!$F$311),IF(AND(Inputs!$F$55=1,Inputs!BE303&gt;0),Inputs!BE303,Inputs!$F$38))</f>
        <v>76.5</v>
      </c>
      <c r="BF37" s="13" t="n">
        <f aca="false">IF(Inputs!$F$312=1,INDEX(Inputs!$AJ$313:$AJ$1312,Inputs!$F$311),IF(AND(Inputs!$F$55=1,Inputs!BF303&gt;0),Inputs!BF303,Inputs!$F$38))</f>
        <v>76.5</v>
      </c>
      <c r="BG37" s="13" t="n">
        <f aca="false">IF(Inputs!$F$312=1,INDEX(Inputs!$AJ$313:$AJ$1312,Inputs!$F$311),IF(AND(Inputs!$F$55=1,Inputs!BG303&gt;0),Inputs!BG303,Inputs!$F$38))</f>
        <v>76.5</v>
      </c>
      <c r="BH37" s="13" t="n">
        <f aca="false">IF(Inputs!$F$312=1,INDEX(Inputs!$AJ$313:$AJ$1312,Inputs!$F$311),IF(AND(Inputs!$F$55=1,Inputs!BH303&gt;0),Inputs!BH303,Inputs!$F$38))</f>
        <v>76.5</v>
      </c>
      <c r="BI37" s="13" t="n">
        <f aca="false">IF(Inputs!$F$312=1,INDEX(Inputs!$AJ$313:$AJ$1312,Inputs!$F$311),IF(AND(Inputs!$F$55=1,Inputs!BI303&gt;0),Inputs!BI303,Inputs!$F$38))</f>
        <v>76.5</v>
      </c>
      <c r="BJ37" s="13" t="n">
        <f aca="false">IF(Inputs!$F$312=1,INDEX(Inputs!$AJ$313:$AJ$1312,Inputs!$F$311),IF(AND(Inputs!$F$55=1,Inputs!BJ303&gt;0),Inputs!BJ303,Inputs!$F$38))</f>
        <v>76.5</v>
      </c>
      <c r="BK37" s="13" t="n">
        <f aca="false">IF(Inputs!$F$312=1,INDEX(Inputs!$AJ$313:$AJ$1312,Inputs!$F$311),IF(AND(Inputs!$F$55=1,Inputs!BK303&gt;0),Inputs!BK303,Inputs!$F$38))</f>
        <v>76.5</v>
      </c>
      <c r="BL37" s="13" t="n">
        <f aca="false">IF(Inputs!$F$312=1,INDEX(Inputs!$AJ$313:$AJ$1312,Inputs!$F$311),IF(AND(Inputs!$F$55=1,Inputs!BL303&gt;0),Inputs!BL303,Inputs!$F$38))</f>
        <v>76.5</v>
      </c>
      <c r="BM37" s="13" t="n">
        <f aca="false">IF(Inputs!$F$312=1,INDEX(Inputs!$AJ$313:$AJ$1312,Inputs!$F$311),IF(AND(Inputs!$F$55=1,Inputs!BM303&gt;0),Inputs!BM303,Inputs!$F$38))</f>
        <v>76.5</v>
      </c>
      <c r="BN37" s="13" t="n">
        <f aca="false">IF(Inputs!$F$312=1,INDEX(Inputs!$AJ$313:$AJ$1312,Inputs!$F$311),IF(AND(Inputs!$F$55=1,Inputs!BN303&gt;0),Inputs!BN303,Inputs!$F$38))</f>
        <v>76.5</v>
      </c>
    </row>
    <row r="38" customFormat="false" ht="15" hidden="false" customHeight="false" outlineLevel="0" collapsed="false">
      <c r="D38" s="0" t="s">
        <v>1612</v>
      </c>
      <c r="E38" s="0" t="s">
        <v>1613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610197.884664083</v>
      </c>
      <c r="P38" s="15" t="n">
        <f aca="false">$F$34*Inputs!$F$215*Time!P30*P32/100*P37/100*P36</f>
        <v>1829678.24273885</v>
      </c>
      <c r="Q38" s="15" t="n">
        <f aca="false">$F$34*Inputs!$F$215*Time!Q30*Q32/100*Q37/100*Q36</f>
        <v>1822457.66810013</v>
      </c>
      <c r="R38" s="15" t="n">
        <f aca="false">$F$34*Inputs!$F$215*Time!R30*R32/100*R37/100*R36</f>
        <v>1809402.81059825</v>
      </c>
      <c r="S38" s="15" t="n">
        <f aca="false">$F$34*Inputs!$F$215*Time!S30*S32/100*S37/100*S36</f>
        <v>1813881.54310857</v>
      </c>
      <c r="T38" s="15" t="n">
        <f aca="false">$F$34*Inputs!$F$215*Time!T30*T32/100*T37/100*T36</f>
        <v>1824185.77521843</v>
      </c>
      <c r="U38" s="15" t="n">
        <f aca="false">$F$34*Inputs!$F$215*Time!U30*U32/100*U37/100*U36</f>
        <v>1802084.15618238</v>
      </c>
      <c r="V38" s="15" t="n">
        <f aca="false">$F$34*Inputs!$F$215*Time!V30*V32/100*V37/100*V36</f>
        <v>1759300.87906306</v>
      </c>
      <c r="W38" s="15" t="n">
        <f aca="false">$F$34*Inputs!$F$215*Time!W30*W32/100*W37/100*W36</f>
        <v>1778671.87902979</v>
      </c>
      <c r="X38" s="15" t="n">
        <f aca="false">$F$34*Inputs!$F$215*Time!X30*X32/100*X37/100*X36</f>
        <v>1818693.30769801</v>
      </c>
      <c r="Y38" s="15" t="n">
        <f aca="false">$F$34*Inputs!$F$215*Time!Y30*Y32/100*Y37/100*Y36</f>
        <v>1811507.8661138</v>
      </c>
      <c r="Z38" s="15" t="n">
        <f aca="false">$F$34*Inputs!$F$215*Time!Z30*Z32/100*Z37/100*Z36</f>
        <v>1798523.27472092</v>
      </c>
      <c r="AA38" s="15" t="n">
        <f aca="false">$F$34*Inputs!$F$215*Time!AA30*AA32/100*AA37/100*AA36</f>
        <v>1802966.87417673</v>
      </c>
      <c r="AB38" s="15" t="n">
        <f aca="false">$F$34*Inputs!$F$215*Time!AB30*AB32/100*AB37/100*AB36</f>
        <v>1813200.8401776</v>
      </c>
      <c r="AC38" s="15" t="n">
        <f aca="false">$F$34*Inputs!$F$215*Time!AC30*AC32/100*AC37/100*AC36</f>
        <v>1778990.7602953</v>
      </c>
      <c r="AD38" s="15" t="n">
        <f aca="false">$F$34*Inputs!$F$215*Time!AD30*AD32/100*AD37/100*AD36</f>
        <v>1712018.37515162</v>
      </c>
      <c r="AE38" s="15" t="n">
        <f aca="false">$F$34*Inputs!$F$215*Time!AE30*AE32/100*AE37/100*AE36</f>
        <v>1743507.10718732</v>
      </c>
      <c r="AF38" s="15" t="n">
        <f aca="false">$F$34*Inputs!$F$215*Time!AF30*AF32/100*AF37/100*AF36</f>
        <v>1807708.37265718</v>
      </c>
      <c r="AG38" s="15" t="n">
        <f aca="false">$F$34*Inputs!$F$215*Time!AG30*AG32/100*AG37/100*AG36</f>
        <v>1800558.06412747</v>
      </c>
      <c r="AH38" s="15" t="n">
        <f aca="false">$F$34*Inputs!$F$215*Time!AH30*AH32/100*AH37/100*AH36</f>
        <v>1787643.73884359</v>
      </c>
      <c r="AI38" s="15" t="n">
        <f aca="false">$F$34*Inputs!$F$215*Time!AI30*AI32/100*AI37/100*AI36</f>
        <v>1792052.2052449</v>
      </c>
      <c r="AJ38" s="15" t="n">
        <f aca="false">$F$34*Inputs!$F$215*Time!AJ30*AJ32/100*AJ37/100*AJ36</f>
        <v>1802215.90513676</v>
      </c>
      <c r="AK38" s="15" t="n">
        <f aca="false">$F$34*Inputs!$F$215*Time!AK30*AK32/100*AK37/100*AK36</f>
        <v>1780364.12115495</v>
      </c>
      <c r="AL38" s="15" t="n">
        <f aca="false">$F$34*Inputs!$F$215*Time!AL30*AL32/100*AL37/100*AL36</f>
        <v>1738080.51414409</v>
      </c>
      <c r="AM38" s="15" t="n">
        <f aca="false">$F$34*Inputs!$F$215*Time!AM30*AM32/100*AM37/100*AM36</f>
        <v>1757201.67905659</v>
      </c>
      <c r="AN38" s="15" t="n">
        <f aca="false">$F$34*Inputs!$F$215*Time!AN30*AN32/100*AN37/100*AN36</f>
        <v>1796723.43761635</v>
      </c>
      <c r="AO38" s="15" t="n">
        <f aca="false">$F$34*Inputs!$F$215*Time!AO30*AO32/100*AO37/100*AO36</f>
        <v>1789608.26214114</v>
      </c>
      <c r="AP38" s="15" t="n">
        <f aca="false">$F$34*Inputs!$F$215*Time!AP30*AP32/100*AP37/100*AP36</f>
        <v>1776764.20296626</v>
      </c>
      <c r="AQ38" s="15" t="n">
        <f aca="false">$F$34*Inputs!$F$215*Time!AQ30*AQ32/100*AQ37/100*AQ36</f>
        <v>1781137.53631307</v>
      </c>
      <c r="AR38" s="15" t="n">
        <f aca="false">$F$34*Inputs!$F$215*Time!AR30*AR32/100*AR37/100*AR36</f>
        <v>1791230.97009593</v>
      </c>
      <c r="AS38" s="15" t="n">
        <f aca="false">$F$34*Inputs!$F$215*Time!AS30*AS32/100*AS37/100*AS36</f>
        <v>1757419.06483132</v>
      </c>
      <c r="AT38" s="15" t="n">
        <f aca="false">$F$34*Inputs!$F$215*Time!AT30*AT32/100*AT37/100*AT36</f>
        <v>1691243.02892301</v>
      </c>
      <c r="AU38" s="15" t="n">
        <f aca="false">$F$34*Inputs!$F$215*Time!AU30*AU32/100*AU37/100*AU36</f>
        <v>1722333.58634102</v>
      </c>
      <c r="AV38" s="15" t="n">
        <f aca="false">$F$34*Inputs!$F$215*Time!AV30*AV32/100*AV37/100*AV36</f>
        <v>1785738.50257551</v>
      </c>
      <c r="AW38" s="15" t="n">
        <f aca="false">$F$34*Inputs!$F$215*Time!AW30*AW32/100*AW37/100*AW36</f>
        <v>1778658.4601548</v>
      </c>
      <c r="AX38" s="15" t="n">
        <f aca="false">$F$34*Inputs!$F$215*Time!AX30*AX32/100*AX37/100*AX36</f>
        <v>1765884.66708893</v>
      </c>
      <c r="AY38" s="15" t="n">
        <f aca="false">$F$34*Inputs!$F$215*Time!AY30*AY32/100*AY37/100*AY36</f>
        <v>1770222.86738124</v>
      </c>
      <c r="AZ38" s="15" t="n">
        <f aca="false">$F$34*Inputs!$F$215*Time!AZ30*AZ32/100*AZ37/100*AZ36</f>
        <v>1780246.0350551</v>
      </c>
      <c r="BA38" s="15" t="n">
        <f aca="false">$F$34*Inputs!$F$215*Time!BA30*BA32/100*BA37/100*BA36</f>
        <v>1758644.08612751</v>
      </c>
      <c r="BB38" s="15" t="n">
        <f aca="false">$F$34*Inputs!$F$215*Time!BB30*BB32/100*BB37/100*BB36</f>
        <v>1716860.14922513</v>
      </c>
      <c r="BC38" s="15" t="n">
        <f aca="false">$F$34*Inputs!$F$215*Time!BC30*BC32/100*BC37/100*BC36</f>
        <v>1735731.47908339</v>
      </c>
      <c r="BD38" s="15" t="n">
        <f aca="false">$F$34*Inputs!$F$215*Time!BD30*BD32/100*BD37/100*BD36</f>
        <v>1774753.56753468</v>
      </c>
      <c r="BE38" s="15" t="n">
        <f aca="false">$F$34*Inputs!$F$215*Time!BE30*BE32/100*BE37/100*BE36</f>
        <v>1767708.65816847</v>
      </c>
      <c r="BF38" s="15" t="n">
        <f aca="false">$F$34*Inputs!$F$215*Time!BF30*BF32/100*BF37/100*BF36</f>
        <v>1755005.1312116</v>
      </c>
      <c r="BG38" s="15" t="n">
        <f aca="false">$F$34*Inputs!$F$215*Time!BG30*BG32/100*BG37/100*BG36</f>
        <v>1759308.19844941</v>
      </c>
      <c r="BH38" s="15" t="n">
        <f aca="false">$F$34*Inputs!$F$215*Time!BH30*BH32/100*BH37/100*BH36</f>
        <v>1769261.10001426</v>
      </c>
      <c r="BI38" s="15" t="n">
        <f aca="false">$F$34*Inputs!$F$215*Time!BI30*BI32/100*BI37/100*BI36</f>
        <v>1735847.36936733</v>
      </c>
      <c r="BJ38" s="15" t="n">
        <f aca="false">$F$34*Inputs!$F$215*Time!BJ30*BJ32/100*BJ37/100*BJ36</f>
        <v>1670467.6826944</v>
      </c>
      <c r="BK38" s="15" t="n">
        <f aca="false">$F$34*Inputs!$F$215*Time!BK30*BK32/100*BK37/100*BK36</f>
        <v>1701160.06549472</v>
      </c>
      <c r="BL38" s="15" t="n">
        <f aca="false">$F$34*Inputs!$F$215*Time!BL30*BL32/100*BL37/100*BL36</f>
        <v>1763768.63249384</v>
      </c>
      <c r="BM38" s="15" t="n">
        <f aca="false">$F$34*Inputs!$F$215*Time!BM30*BM32/100*BM37/100*BM36</f>
        <v>1175082.91228473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1614</v>
      </c>
      <c r="E39" s="0" t="s">
        <v>219</v>
      </c>
      <c r="J39" s="13" t="n">
        <f aca="false">$F$35*(1+IF(Inputs!$F$312=1,INDEX(Inputs!$AK$313:$AK$1312,Inputs!$F$311),Inputs!$F$127)/100*J33)*(1+Inputs!$F$128/100)*(1+Inputs!$F$122/100)*Inputs!$F$39</f>
        <v>6456.243024</v>
      </c>
      <c r="K39" s="13" t="n">
        <f aca="false">$F$35*(1+IF(Inputs!$F$312=1,INDEX(Inputs!$AK$313:$AK$1312,Inputs!$F$311),Inputs!$F$127)/100*K33)*(1+Inputs!$F$128/100)*(1+Inputs!$F$122/100)*Inputs!$F$39</f>
        <v>6456.243024</v>
      </c>
      <c r="L39" s="13" t="n">
        <f aca="false">$F$35*(1+IF(Inputs!$F$312=1,INDEX(Inputs!$AK$313:$AK$1312,Inputs!$F$311),Inputs!$F$127)/100*L33)*(1+Inputs!$F$128/100)*(1+Inputs!$F$122/100)*Inputs!$F$39</f>
        <v>6456.243024</v>
      </c>
      <c r="M39" s="13" t="n">
        <f aca="false">$F$35*(1+IF(Inputs!$F$312=1,INDEX(Inputs!$AK$313:$AK$1312,Inputs!$F$311),Inputs!$F$127)/100*M33)*(1+Inputs!$F$128/100)*(1+Inputs!$F$122/100)*Inputs!$F$39</f>
        <v>6456.243024</v>
      </c>
      <c r="N39" s="13" t="n">
        <f aca="false">$F$35*(1+IF(Inputs!$F$312=1,INDEX(Inputs!$AK$313:$AK$1312,Inputs!$F$311),Inputs!$F$127)/100*N33)*(1+Inputs!$F$128/100)*(1+Inputs!$F$122/100)*Inputs!$F$39</f>
        <v>6456.243024</v>
      </c>
      <c r="O39" s="13" t="n">
        <f aca="false">$F$35*(1+IF(Inputs!$F$312=1,INDEX(Inputs!$AK$313:$AK$1312,Inputs!$F$311),Inputs!$F$127)/100*O33)*(1+Inputs!$F$128/100)*(1+Inputs!$F$122/100)*Inputs!$F$39</f>
        <v>6456.8886483024</v>
      </c>
      <c r="P39" s="13" t="n">
        <f aca="false">$F$35*(1+IF(Inputs!$F$312=1,INDEX(Inputs!$AK$313:$AK$1312,Inputs!$F$311),Inputs!$F$127)/100*P33)*(1+Inputs!$F$128/100)*(1+Inputs!$F$122/100)*Inputs!$F$39</f>
        <v>6459.471145512</v>
      </c>
      <c r="Q39" s="13" t="n">
        <f aca="false">$F$35*(1+IF(Inputs!$F$312=1,INDEX(Inputs!$AK$313:$AK$1312,Inputs!$F$311),Inputs!$F$127)/100*Q33)*(1+Inputs!$F$128/100)*(1+Inputs!$F$122/100)*Inputs!$F$39</f>
        <v>6463.3448913264</v>
      </c>
      <c r="R39" s="13" t="n">
        <f aca="false">$F$35*(1+IF(Inputs!$F$312=1,INDEX(Inputs!$AK$313:$AK$1312,Inputs!$F$311),Inputs!$F$127)/100*R33)*(1+Inputs!$F$128/100)*(1+Inputs!$F$122/100)*Inputs!$F$39</f>
        <v>6467.2186371408</v>
      </c>
      <c r="S39" s="13" t="n">
        <f aca="false">$F$35*(1+IF(Inputs!$F$312=1,INDEX(Inputs!$AK$313:$AK$1312,Inputs!$F$311),Inputs!$F$127)/100*S33)*(1+Inputs!$F$128/100)*(1+Inputs!$F$122/100)*Inputs!$F$39</f>
        <v>6471.0923829552</v>
      </c>
      <c r="T39" s="13" t="n">
        <f aca="false">$F$35*(1+IF(Inputs!$F$312=1,INDEX(Inputs!$AK$313:$AK$1312,Inputs!$F$311),Inputs!$F$127)/100*T33)*(1+Inputs!$F$128/100)*(1+Inputs!$F$122/100)*Inputs!$F$39</f>
        <v>6474.9661287696</v>
      </c>
      <c r="U39" s="13" t="n">
        <f aca="false">$F$35*(1+IF(Inputs!$F$312=1,INDEX(Inputs!$AK$313:$AK$1312,Inputs!$F$311),Inputs!$F$127)/100*U33)*(1+Inputs!$F$128/100)*(1+Inputs!$F$122/100)*Inputs!$F$39</f>
        <v>6478.839874584</v>
      </c>
      <c r="V39" s="13" t="n">
        <f aca="false">$F$35*(1+IF(Inputs!$F$312=1,INDEX(Inputs!$AK$313:$AK$1312,Inputs!$F$311),Inputs!$F$127)/100*V33)*(1+Inputs!$F$128/100)*(1+Inputs!$F$122/100)*Inputs!$F$39</f>
        <v>6482.7136203984</v>
      </c>
      <c r="W39" s="13" t="n">
        <f aca="false">$F$35*(1+IF(Inputs!$F$312=1,INDEX(Inputs!$AK$313:$AK$1312,Inputs!$F$311),Inputs!$F$127)/100*W33)*(1+Inputs!$F$128/100)*(1+Inputs!$F$122/100)*Inputs!$F$39</f>
        <v>6486.5873662128</v>
      </c>
      <c r="X39" s="13" t="n">
        <f aca="false">$F$35*(1+IF(Inputs!$F$312=1,INDEX(Inputs!$AK$313:$AK$1312,Inputs!$F$311),Inputs!$F$127)/100*X33)*(1+Inputs!$F$128/100)*(1+Inputs!$F$122/100)*Inputs!$F$39</f>
        <v>6490.4611120272</v>
      </c>
      <c r="Y39" s="13" t="n">
        <f aca="false">$F$35*(1+IF(Inputs!$F$312=1,INDEX(Inputs!$AK$313:$AK$1312,Inputs!$F$311),Inputs!$F$127)/100*Y33)*(1+Inputs!$F$128/100)*(1+Inputs!$F$122/100)*Inputs!$F$39</f>
        <v>6494.3348578416</v>
      </c>
      <c r="Z39" s="13" t="n">
        <f aca="false">$F$35*(1+IF(Inputs!$F$312=1,INDEX(Inputs!$AK$313:$AK$1312,Inputs!$F$311),Inputs!$F$127)/100*Z33)*(1+Inputs!$F$128/100)*(1+Inputs!$F$122/100)*Inputs!$F$39</f>
        <v>6498.208603656</v>
      </c>
      <c r="AA39" s="13" t="n">
        <f aca="false">$F$35*(1+IF(Inputs!$F$312=1,INDEX(Inputs!$AK$313:$AK$1312,Inputs!$F$311),Inputs!$F$127)/100*AA33)*(1+Inputs!$F$128/100)*(1+Inputs!$F$122/100)*Inputs!$F$39</f>
        <v>6502.0823494704</v>
      </c>
      <c r="AB39" s="13" t="n">
        <f aca="false">$F$35*(1+IF(Inputs!$F$312=1,INDEX(Inputs!$AK$313:$AK$1312,Inputs!$F$311),Inputs!$F$127)/100*AB33)*(1+Inputs!$F$128/100)*(1+Inputs!$F$122/100)*Inputs!$F$39</f>
        <v>6505.9560952848</v>
      </c>
      <c r="AC39" s="13" t="n">
        <f aca="false">$F$35*(1+IF(Inputs!$F$312=1,INDEX(Inputs!$AK$313:$AK$1312,Inputs!$F$311),Inputs!$F$127)/100*AC33)*(1+Inputs!$F$128/100)*(1+Inputs!$F$122/100)*Inputs!$F$39</f>
        <v>6509.8298410992</v>
      </c>
      <c r="AD39" s="13" t="n">
        <f aca="false">$F$35*(1+IF(Inputs!$F$312=1,INDEX(Inputs!$AK$313:$AK$1312,Inputs!$F$311),Inputs!$F$127)/100*AD33)*(1+Inputs!$F$128/100)*(1+Inputs!$F$122/100)*Inputs!$F$39</f>
        <v>6513.7035869136</v>
      </c>
      <c r="AE39" s="13" t="n">
        <f aca="false">$F$35*(1+IF(Inputs!$F$312=1,INDEX(Inputs!$AK$313:$AK$1312,Inputs!$F$311),Inputs!$F$127)/100*AE33)*(1+Inputs!$F$128/100)*(1+Inputs!$F$122/100)*Inputs!$F$39</f>
        <v>6517.577332728</v>
      </c>
      <c r="AF39" s="13" t="n">
        <f aca="false">$F$35*(1+IF(Inputs!$F$312=1,INDEX(Inputs!$AK$313:$AK$1312,Inputs!$F$311),Inputs!$F$127)/100*AF33)*(1+Inputs!$F$128/100)*(1+Inputs!$F$122/100)*Inputs!$F$39</f>
        <v>6521.4510785424</v>
      </c>
      <c r="AG39" s="13" t="n">
        <f aca="false">$F$35*(1+IF(Inputs!$F$312=1,INDEX(Inputs!$AK$313:$AK$1312,Inputs!$F$311),Inputs!$F$127)/100*AG33)*(1+Inputs!$F$128/100)*(1+Inputs!$F$122/100)*Inputs!$F$39</f>
        <v>6525.3248243568</v>
      </c>
      <c r="AH39" s="13" t="n">
        <f aca="false">$F$35*(1+IF(Inputs!$F$312=1,INDEX(Inputs!$AK$313:$AK$1312,Inputs!$F$311),Inputs!$F$127)/100*AH33)*(1+Inputs!$F$128/100)*(1+Inputs!$F$122/100)*Inputs!$F$39</f>
        <v>6529.1985701712</v>
      </c>
      <c r="AI39" s="13" t="n">
        <f aca="false">$F$35*(1+IF(Inputs!$F$312=1,INDEX(Inputs!$AK$313:$AK$1312,Inputs!$F$311),Inputs!$F$127)/100*AI33)*(1+Inputs!$F$128/100)*(1+Inputs!$F$122/100)*Inputs!$F$39</f>
        <v>6533.0723159856</v>
      </c>
      <c r="AJ39" s="13" t="n">
        <f aca="false">$F$35*(1+IF(Inputs!$F$312=1,INDEX(Inputs!$AK$313:$AK$1312,Inputs!$F$311),Inputs!$F$127)/100*AJ33)*(1+Inputs!$F$128/100)*(1+Inputs!$F$122/100)*Inputs!$F$39</f>
        <v>6536.9460618</v>
      </c>
      <c r="AK39" s="13" t="n">
        <f aca="false">$F$35*(1+IF(Inputs!$F$312=1,INDEX(Inputs!$AK$313:$AK$1312,Inputs!$F$311),Inputs!$F$127)/100*AK33)*(1+Inputs!$F$128/100)*(1+Inputs!$F$122/100)*Inputs!$F$39</f>
        <v>6540.8198076144</v>
      </c>
      <c r="AL39" s="13" t="n">
        <f aca="false">$F$35*(1+IF(Inputs!$F$312=1,INDEX(Inputs!$AK$313:$AK$1312,Inputs!$F$311),Inputs!$F$127)/100*AL33)*(1+Inputs!$F$128/100)*(1+Inputs!$F$122/100)*Inputs!$F$39</f>
        <v>6544.6935534288</v>
      </c>
      <c r="AM39" s="13" t="n">
        <f aca="false">$F$35*(1+IF(Inputs!$F$312=1,INDEX(Inputs!$AK$313:$AK$1312,Inputs!$F$311),Inputs!$F$127)/100*AM33)*(1+Inputs!$F$128/100)*(1+Inputs!$F$122/100)*Inputs!$F$39</f>
        <v>6548.5672992432</v>
      </c>
      <c r="AN39" s="13" t="n">
        <f aca="false">$F$35*(1+IF(Inputs!$F$312=1,INDEX(Inputs!$AK$313:$AK$1312,Inputs!$F$311),Inputs!$F$127)/100*AN33)*(1+Inputs!$F$128/100)*(1+Inputs!$F$122/100)*Inputs!$F$39</f>
        <v>6552.4410450576</v>
      </c>
      <c r="AO39" s="13" t="n">
        <f aca="false">$F$35*(1+IF(Inputs!$F$312=1,INDEX(Inputs!$AK$313:$AK$1312,Inputs!$F$311),Inputs!$F$127)/100*AO33)*(1+Inputs!$F$128/100)*(1+Inputs!$F$122/100)*Inputs!$F$39</f>
        <v>6556.314790872</v>
      </c>
      <c r="AP39" s="13" t="n">
        <f aca="false">$F$35*(1+IF(Inputs!$F$312=1,INDEX(Inputs!$AK$313:$AK$1312,Inputs!$F$311),Inputs!$F$127)/100*AP33)*(1+Inputs!$F$128/100)*(1+Inputs!$F$122/100)*Inputs!$F$39</f>
        <v>6560.1885366864</v>
      </c>
      <c r="AQ39" s="13" t="n">
        <f aca="false">$F$35*(1+IF(Inputs!$F$312=1,INDEX(Inputs!$AK$313:$AK$1312,Inputs!$F$311),Inputs!$F$127)/100*AQ33)*(1+Inputs!$F$128/100)*(1+Inputs!$F$122/100)*Inputs!$F$39</f>
        <v>6564.0622825008</v>
      </c>
      <c r="AR39" s="13" t="n">
        <f aca="false">$F$35*(1+IF(Inputs!$F$312=1,INDEX(Inputs!$AK$313:$AK$1312,Inputs!$F$311),Inputs!$F$127)/100*AR33)*(1+Inputs!$F$128/100)*(1+Inputs!$F$122/100)*Inputs!$F$39</f>
        <v>6567.9360283152</v>
      </c>
      <c r="AS39" s="13" t="n">
        <f aca="false">$F$35*(1+IF(Inputs!$F$312=1,INDEX(Inputs!$AK$313:$AK$1312,Inputs!$F$311),Inputs!$F$127)/100*AS33)*(1+Inputs!$F$128/100)*(1+Inputs!$F$122/100)*Inputs!$F$39</f>
        <v>6571.8097741296</v>
      </c>
      <c r="AT39" s="13" t="n">
        <f aca="false">$F$35*(1+IF(Inputs!$F$312=1,INDEX(Inputs!$AK$313:$AK$1312,Inputs!$F$311),Inputs!$F$127)/100*AT33)*(1+Inputs!$F$128/100)*(1+Inputs!$F$122/100)*Inputs!$F$39</f>
        <v>6575.683519944</v>
      </c>
      <c r="AU39" s="13" t="n">
        <f aca="false">$F$35*(1+IF(Inputs!$F$312=1,INDEX(Inputs!$AK$313:$AK$1312,Inputs!$F$311),Inputs!$F$127)/100*AU33)*(1+Inputs!$F$128/100)*(1+Inputs!$F$122/100)*Inputs!$F$39</f>
        <v>6579.5572657584</v>
      </c>
      <c r="AV39" s="13" t="n">
        <f aca="false">$F$35*(1+IF(Inputs!$F$312=1,INDEX(Inputs!$AK$313:$AK$1312,Inputs!$F$311),Inputs!$F$127)/100*AV33)*(1+Inputs!$F$128/100)*(1+Inputs!$F$122/100)*Inputs!$F$39</f>
        <v>6583.4310115728</v>
      </c>
      <c r="AW39" s="13" t="n">
        <f aca="false">$F$35*(1+IF(Inputs!$F$312=1,INDEX(Inputs!$AK$313:$AK$1312,Inputs!$F$311),Inputs!$F$127)/100*AW33)*(1+Inputs!$F$128/100)*(1+Inputs!$F$122/100)*Inputs!$F$39</f>
        <v>6587.3047573872</v>
      </c>
      <c r="AX39" s="13" t="n">
        <f aca="false">$F$35*(1+IF(Inputs!$F$312=1,INDEX(Inputs!$AK$313:$AK$1312,Inputs!$F$311),Inputs!$F$127)/100*AX33)*(1+Inputs!$F$128/100)*(1+Inputs!$F$122/100)*Inputs!$F$39</f>
        <v>6591.1785032016</v>
      </c>
      <c r="AY39" s="13" t="n">
        <f aca="false">$F$35*(1+IF(Inputs!$F$312=1,INDEX(Inputs!$AK$313:$AK$1312,Inputs!$F$311),Inputs!$F$127)/100*AY33)*(1+Inputs!$F$128/100)*(1+Inputs!$F$122/100)*Inputs!$F$39</f>
        <v>6595.052249016</v>
      </c>
      <c r="AZ39" s="13" t="n">
        <f aca="false">$F$35*(1+IF(Inputs!$F$312=1,INDEX(Inputs!$AK$313:$AK$1312,Inputs!$F$311),Inputs!$F$127)/100*AZ33)*(1+Inputs!$F$128/100)*(1+Inputs!$F$122/100)*Inputs!$F$39</f>
        <v>6598.9259948304</v>
      </c>
      <c r="BA39" s="13" t="n">
        <f aca="false">$F$35*(1+IF(Inputs!$F$312=1,INDEX(Inputs!$AK$313:$AK$1312,Inputs!$F$311),Inputs!$F$127)/100*BA33)*(1+Inputs!$F$128/100)*(1+Inputs!$F$122/100)*Inputs!$F$39</f>
        <v>6602.7997406448</v>
      </c>
      <c r="BB39" s="13" t="n">
        <f aca="false">$F$35*(1+IF(Inputs!$F$312=1,INDEX(Inputs!$AK$313:$AK$1312,Inputs!$F$311),Inputs!$F$127)/100*BB33)*(1+Inputs!$F$128/100)*(1+Inputs!$F$122/100)*Inputs!$F$39</f>
        <v>6606.6734864592</v>
      </c>
      <c r="BC39" s="13" t="n">
        <f aca="false">$F$35*(1+IF(Inputs!$F$312=1,INDEX(Inputs!$AK$313:$AK$1312,Inputs!$F$311),Inputs!$F$127)/100*BC33)*(1+Inputs!$F$128/100)*(1+Inputs!$F$122/100)*Inputs!$F$39</f>
        <v>6610.5472322736</v>
      </c>
      <c r="BD39" s="13" t="n">
        <f aca="false">$F$35*(1+IF(Inputs!$F$312=1,INDEX(Inputs!$AK$313:$AK$1312,Inputs!$F$311),Inputs!$F$127)/100*BD33)*(1+Inputs!$F$128/100)*(1+Inputs!$F$122/100)*Inputs!$F$39</f>
        <v>6614.420978088</v>
      </c>
      <c r="BE39" s="13" t="n">
        <f aca="false">$F$35*(1+IF(Inputs!$F$312=1,INDEX(Inputs!$AK$313:$AK$1312,Inputs!$F$311),Inputs!$F$127)/100*BE33)*(1+Inputs!$F$128/100)*(1+Inputs!$F$122/100)*Inputs!$F$39</f>
        <v>6618.2947239024</v>
      </c>
      <c r="BF39" s="13" t="n">
        <f aca="false">$F$35*(1+IF(Inputs!$F$312=1,INDEX(Inputs!$AK$313:$AK$1312,Inputs!$F$311),Inputs!$F$127)/100*BF33)*(1+Inputs!$F$128/100)*(1+Inputs!$F$122/100)*Inputs!$F$39</f>
        <v>6622.1684697168</v>
      </c>
      <c r="BG39" s="13" t="n">
        <f aca="false">$F$35*(1+IF(Inputs!$F$312=1,INDEX(Inputs!$AK$313:$AK$1312,Inputs!$F$311),Inputs!$F$127)/100*BG33)*(1+Inputs!$F$128/100)*(1+Inputs!$F$122/100)*Inputs!$F$39</f>
        <v>6626.0422155312</v>
      </c>
      <c r="BH39" s="13" t="n">
        <f aca="false">$F$35*(1+IF(Inputs!$F$312=1,INDEX(Inputs!$AK$313:$AK$1312,Inputs!$F$311),Inputs!$F$127)/100*BH33)*(1+Inputs!$F$128/100)*(1+Inputs!$F$122/100)*Inputs!$F$39</f>
        <v>6629.9159613456</v>
      </c>
      <c r="BI39" s="13" t="n">
        <f aca="false">$F$35*(1+IF(Inputs!$F$312=1,INDEX(Inputs!$AK$313:$AK$1312,Inputs!$F$311),Inputs!$F$127)/100*BI33)*(1+Inputs!$F$128/100)*(1+Inputs!$F$122/100)*Inputs!$F$39</f>
        <v>6633.78970716</v>
      </c>
      <c r="BJ39" s="13" t="n">
        <f aca="false">$F$35*(1+IF(Inputs!$F$312=1,INDEX(Inputs!$AK$313:$AK$1312,Inputs!$F$311),Inputs!$F$127)/100*BJ33)*(1+Inputs!$F$128/100)*(1+Inputs!$F$122/100)*Inputs!$F$39</f>
        <v>6637.6634529744</v>
      </c>
      <c r="BK39" s="13" t="n">
        <f aca="false">$F$35*(1+IF(Inputs!$F$312=1,INDEX(Inputs!$AK$313:$AK$1312,Inputs!$F$311),Inputs!$F$127)/100*BK33)*(1+Inputs!$F$128/100)*(1+Inputs!$F$122/100)*Inputs!$F$39</f>
        <v>6641.5371987888</v>
      </c>
      <c r="BL39" s="13" t="n">
        <f aca="false">$F$35*(1+IF(Inputs!$F$312=1,INDEX(Inputs!$AK$313:$AK$1312,Inputs!$F$311),Inputs!$F$127)/100*BL33)*(1+Inputs!$F$128/100)*(1+Inputs!$F$122/100)*Inputs!$F$39</f>
        <v>6645.4109446032</v>
      </c>
      <c r="BM39" s="13" t="n">
        <f aca="false">$F$35*(1+IF(Inputs!$F$312=1,INDEX(Inputs!$AK$313:$AK$1312,Inputs!$F$311),Inputs!$F$127)/100*BM33)*(1+Inputs!$F$128/100)*(1+Inputs!$F$122/100)*Inputs!$F$39</f>
        <v>6648.6390661152</v>
      </c>
      <c r="BN39" s="13" t="n">
        <f aca="false">$F$35*(1+IF(Inputs!$F$312=1,INDEX(Inputs!$AK$313:$AK$1312,Inputs!$F$311),Inputs!$F$127)/100*BN33)*(1+Inputs!$F$128/100)*(1+Inputs!$F$122/100)*Inputs!$F$39</f>
        <v>6456.243024</v>
      </c>
    </row>
    <row r="40" customFormat="false" ht="15" hidden="false" customHeight="false" outlineLevel="0" collapsed="false">
      <c r="D40" s="0" t="s">
        <v>1615</v>
      </c>
      <c r="E40" s="0" t="s">
        <v>219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1616</v>
      </c>
      <c r="E41" s="0" t="s">
        <v>249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1617</v>
      </c>
      <c r="E42" s="0" t="s">
        <v>1618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4137692.79785515</v>
      </c>
      <c r="P42" s="15" t="n">
        <f aca="false">P38*P39*(1000*Inputs!$F$123/Inputs!$F$124)</f>
        <v>12411833.3306604</v>
      </c>
      <c r="Q42" s="15" t="n">
        <f aca="false">Q38*Q39*(1000*Inputs!$F$123/Inputs!$F$124)</f>
        <v>12370265.7340664</v>
      </c>
      <c r="R42" s="15" t="n">
        <f aca="false">R38*R39*(1000*Inputs!$F$123/Inputs!$F$124)</f>
        <v>12289014.3890996</v>
      </c>
      <c r="S42" s="15" t="n">
        <f aca="false">S38*S39*(1000*Inputs!$F$123/Inputs!$F$124)</f>
        <v>12326811.9428824</v>
      </c>
      <c r="T42" s="15" t="n">
        <f aca="false">T38*T39*(1000*Inputs!$F$123/Inputs!$F$124)</f>
        <v>12404258.6807638</v>
      </c>
      <c r="U42" s="15" t="n">
        <f aca="false">U38*U39*(1000*Inputs!$F$123/Inputs!$F$124)</f>
        <v>12261301.2719524</v>
      </c>
      <c r="V42" s="15" t="n">
        <f aca="false">V38*V39*(1000*Inputs!$F$123/Inputs!$F$124)</f>
        <v>11977362.8114126</v>
      </c>
      <c r="W42" s="15" t="n">
        <f aca="false">W38*W39*(1000*Inputs!$F$123/Inputs!$F$124)</f>
        <v>12116476.923861</v>
      </c>
      <c r="X42" s="15" t="n">
        <f aca="false">X38*X39*(1000*Inputs!$F$123/Inputs!$F$124)</f>
        <v>12396505.2780672</v>
      </c>
      <c r="Y42" s="15" t="n">
        <f aca="false">Y38*Y39*(1000*Inputs!$F$123/Inputs!$F$124)</f>
        <v>12354897.6145475</v>
      </c>
      <c r="Z42" s="15" t="n">
        <f aca="false">Z38*Z39*(1000*Inputs!$F$123/Inputs!$F$124)</f>
        <v>12273656.3696857</v>
      </c>
      <c r="AA42" s="15" t="n">
        <f aca="false">AA38*AA39*(1000*Inputs!$F$123/Inputs!$F$124)</f>
        <v>12311315.5234461</v>
      </c>
      <c r="AB42" s="15" t="n">
        <f aca="false">AB38*AB39*(1000*Inputs!$F$123/Inputs!$F$124)</f>
        <v>12388573.1225706</v>
      </c>
      <c r="AC42" s="15" t="n">
        <f aca="false">AC38*AC39*(1000*Inputs!$F$123/Inputs!$F$124)</f>
        <v>12162072.2211507</v>
      </c>
      <c r="AD42" s="15" t="n">
        <f aca="false">AD38*AD39*(1000*Inputs!$F$123/Inputs!$F$124)</f>
        <v>11711180.1610953</v>
      </c>
      <c r="AE42" s="15" t="n">
        <f aca="false">AE38*AE39*(1000*Inputs!$F$123/Inputs!$F$124)</f>
        <v>11933673.8339858</v>
      </c>
      <c r="AF42" s="15" t="n">
        <f aca="false">AF38*AF39*(1000*Inputs!$F$123/Inputs!$F$124)</f>
        <v>12380462.2142742</v>
      </c>
      <c r="AG42" s="15" t="n">
        <f aca="false">AG38*AG39*(1000*Inputs!$F$123/Inputs!$F$124)</f>
        <v>12338816.7706452</v>
      </c>
      <c r="AH42" s="15" t="n">
        <f aca="false">AH38*AH39*(1000*Inputs!$F$123/Inputs!$F$124)</f>
        <v>12257590.1995206</v>
      </c>
      <c r="AI42" s="15" t="n">
        <f aca="false">AI38*AI39*(1000*Inputs!$F$123/Inputs!$F$124)</f>
        <v>12295108.6664425</v>
      </c>
      <c r="AJ42" s="15" t="n">
        <f aca="false">AJ38*AJ39*(1000*Inputs!$F$123/Inputs!$F$124)</f>
        <v>12372172.5531778</v>
      </c>
      <c r="AK42" s="15" t="n">
        <f aca="false">AK38*AK39*(1000*Inputs!$F$123/Inputs!$F$124)</f>
        <v>12229403.2985218</v>
      </c>
      <c r="AL42" s="15" t="n">
        <f aca="false">AL38*AL39*(1000*Inputs!$F$123/Inputs!$F$124)</f>
        <v>11946025.9972694</v>
      </c>
      <c r="AM42" s="15" t="n">
        <f aca="false">AM38*AM39*(1000*Inputs!$F$123/Inputs!$F$124)</f>
        <v>12084596.482688</v>
      </c>
      <c r="AN42" s="15" t="n">
        <f aca="false">AN38*AN39*(1000*Inputs!$F$123/Inputs!$F$124)</f>
        <v>12363704.1392815</v>
      </c>
      <c r="AO42" s="15" t="n">
        <f aca="false">AO38*AO39*(1000*Inputs!$F$123/Inputs!$F$124)</f>
        <v>12322023.2023594</v>
      </c>
      <c r="AP42" s="15" t="n">
        <f aca="false">AP38*AP39*(1000*Inputs!$F$123/Inputs!$F$124)</f>
        <v>12240815.8786045</v>
      </c>
      <c r="AQ42" s="15" t="n">
        <f aca="false">AQ38*AQ39*(1000*Inputs!$F$123/Inputs!$F$124)</f>
        <v>12278191.3718717</v>
      </c>
      <c r="AR42" s="15" t="n">
        <f aca="false">AR38*AR39*(1000*Inputs!$F$123/Inputs!$F$124)</f>
        <v>12355056.9725853</v>
      </c>
      <c r="AS42" s="15" t="n">
        <f aca="false">AS38*AS39*(1000*Inputs!$F$123/Inputs!$F$124)</f>
        <v>12128987.9935759</v>
      </c>
      <c r="AT42" s="15" t="n">
        <f aca="false">AT38*AT39*(1000*Inputs!$F$123/Inputs!$F$124)</f>
        <v>11679148.2501102</v>
      </c>
      <c r="AU42" s="15" t="n">
        <f aca="false">AU38*AU39*(1000*Inputs!$F$123/Inputs!$F$124)</f>
        <v>11900855.7346466</v>
      </c>
      <c r="AV42" s="15" t="n">
        <f aca="false">AV38*AV39*(1000*Inputs!$F$123/Inputs!$F$124)</f>
        <v>12346231.0530892</v>
      </c>
      <c r="AW42" s="15" t="n">
        <f aca="false">AW38*AW39*(1000*Inputs!$F$123/Inputs!$F$124)</f>
        <v>12304516.9096901</v>
      </c>
      <c r="AX42" s="15" t="n">
        <f aca="false">AX38*AX39*(1000*Inputs!$F$123/Inputs!$F$124)</f>
        <v>12223333.4069373</v>
      </c>
      <c r="AY42" s="15" t="n">
        <f aca="false">AY38*AY39*(1000*Inputs!$F$123/Inputs!$F$124)</f>
        <v>12260563.6397335</v>
      </c>
      <c r="AZ42" s="15" t="n">
        <f aca="false">AZ38*AZ39*(1000*Inputs!$F$123/Inputs!$F$124)</f>
        <v>12337226.3807931</v>
      </c>
      <c r="BA42" s="15" t="n">
        <f aca="false">BA38*BA39*(1000*Inputs!$F$123/Inputs!$F$124)</f>
        <v>12194677.8039008</v>
      </c>
      <c r="BB42" s="15" t="n">
        <f aca="false">BB38*BB39*(1000*Inputs!$F$123/Inputs!$F$124)</f>
        <v>11911926.7091521</v>
      </c>
      <c r="BC42" s="15" t="n">
        <f aca="false">BC38*BC39*(1000*Inputs!$F$123/Inputs!$F$124)</f>
        <v>12049921.0439328</v>
      </c>
      <c r="BD42" s="15" t="n">
        <f aca="false">BD38*BD39*(1000*Inputs!$F$123/Inputs!$F$124)</f>
        <v>12328042.9556971</v>
      </c>
      <c r="BE42" s="15" t="n">
        <f aca="false">BE38*BE39*(1000*Inputs!$F$123/Inputs!$F$124)</f>
        <v>12286297.8926373</v>
      </c>
      <c r="BF42" s="15" t="n">
        <f aca="false">BF38*BF39*(1000*Inputs!$F$123/Inputs!$F$124)</f>
        <v>12205142.7845191</v>
      </c>
      <c r="BG42" s="15" t="n">
        <f aca="false">BG38*BG39*(1000*Inputs!$F$123/Inputs!$F$124)</f>
        <v>12242225.4700281</v>
      </c>
      <c r="BH42" s="15" t="n">
        <f aca="false">BH38*BH39*(1000*Inputs!$F$123/Inputs!$F$124)</f>
        <v>12318680.7778012</v>
      </c>
      <c r="BI42" s="15" t="n">
        <f aca="false">BI38*BI39*(1000*Inputs!$F$123/Inputs!$F$124)</f>
        <v>12093095.5557029</v>
      </c>
      <c r="BJ42" s="15" t="n">
        <f aca="false">BJ38*BJ39*(1000*Inputs!$F$123/Inputs!$F$124)</f>
        <v>11644411.7978281</v>
      </c>
      <c r="BK42" s="15" t="n">
        <f aca="false">BK38*BK39*(1000*Inputs!$F$123/Inputs!$F$124)</f>
        <v>11865281.2595099</v>
      </c>
      <c r="BL42" s="15" t="n">
        <f aca="false">BL38*BL39*(1000*Inputs!$F$123/Inputs!$F$124)</f>
        <v>12309139.8471054</v>
      </c>
      <c r="BM42" s="15" t="n">
        <f aca="false">BM38*BM39*(1000*Inputs!$F$123/Inputs!$F$124)</f>
        <v>8204753.10262872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1619</v>
      </c>
      <c r="E43" s="0" t="s">
        <v>1618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1620</v>
      </c>
    </row>
    <row r="45" customFormat="false" ht="15" hidden="false" customHeight="false" outlineLevel="0" collapsed="false">
      <c r="D45" s="0" t="s">
        <v>1621</v>
      </c>
      <c r="E45" s="0" t="s">
        <v>239</v>
      </c>
      <c r="J45" s="13" t="n">
        <f aca="false">Inputs!$F$134*Inputs!$F$54*(1-Inputs!$F$135+Inputs!$F$135*J20/100)</f>
        <v>14.488050237183</v>
      </c>
      <c r="K45" s="13" t="n">
        <f aca="false">Inputs!$F$134*Inputs!$F$54*(1-Inputs!$F$135+Inputs!$F$135*K20/100)</f>
        <v>14.5208712562497</v>
      </c>
      <c r="L45" s="13" t="n">
        <f aca="false">Inputs!$F$134*Inputs!$F$54*(1-Inputs!$F$135+Inputs!$F$135*L20/100)</f>
        <v>14.554051342401</v>
      </c>
      <c r="M45" s="13" t="n">
        <f aca="false">Inputs!$F$134*Inputs!$F$54*(1-Inputs!$F$135+Inputs!$F$135*M20/100)</f>
        <v>14.5875944238872</v>
      </c>
      <c r="N45" s="13" t="n">
        <f aca="false">Inputs!$F$134*Inputs!$F$54*(1-Inputs!$F$135+Inputs!$F$135*N20/100)</f>
        <v>14.6215044719338</v>
      </c>
      <c r="O45" s="13" t="n">
        <f aca="false">Inputs!$F$134*Inputs!$F$54*(1-Inputs!$F$135+Inputs!$F$135*O20/100)</f>
        <v>14.6557855012127</v>
      </c>
      <c r="P45" s="13" t="n">
        <f aca="false">Inputs!$F$134*Inputs!$F$54*(1-Inputs!$F$135+Inputs!$F$135*P20/100)</f>
        <v>14.6904415703164</v>
      </c>
      <c r="Q45" s="13" t="n">
        <f aca="false">Inputs!$F$134*Inputs!$F$54*(1-Inputs!$F$135+Inputs!$F$135*Q20/100)</f>
        <v>14.7254767822393</v>
      </c>
      <c r="R45" s="13" t="n">
        <f aca="false">Inputs!$F$134*Inputs!$F$54*(1-Inputs!$F$135+Inputs!$F$135*R20/100)</f>
        <v>14.7608952848633</v>
      </c>
      <c r="S45" s="13" t="n">
        <f aca="false">Inputs!$F$134*Inputs!$F$54*(1-Inputs!$F$135+Inputs!$F$135*S20/100)</f>
        <v>14.7967012714486</v>
      </c>
      <c r="T45" s="13" t="n">
        <f aca="false">Inputs!$F$134*Inputs!$F$54*(1-Inputs!$F$135+Inputs!$F$135*T20/100)</f>
        <v>14.8328989811303</v>
      </c>
      <c r="U45" s="13" t="n">
        <f aca="false">Inputs!$F$134*Inputs!$F$54*(1-Inputs!$F$135+Inputs!$F$135*U20/100)</f>
        <v>14.8694926994205</v>
      </c>
      <c r="V45" s="13" t="n">
        <f aca="false">Inputs!$F$134*Inputs!$F$54*(1-Inputs!$F$135+Inputs!$F$135*V20/100)</f>
        <v>14.9064867587152</v>
      </c>
      <c r="W45" s="13" t="n">
        <f aca="false">Inputs!$F$134*Inputs!$F$54*(1-Inputs!$F$135+Inputs!$F$135*W20/100)</f>
        <v>14.9438855388077</v>
      </c>
      <c r="X45" s="13" t="n">
        <f aca="false">Inputs!$F$134*Inputs!$F$54*(1-Inputs!$F$135+Inputs!$F$135*X20/100)</f>
        <v>14.9816934674069</v>
      </c>
      <c r="Y45" s="13" t="n">
        <f aca="false">Inputs!$F$134*Inputs!$F$54*(1-Inputs!$F$135+Inputs!$F$135*Y20/100)</f>
        <v>15.0199150206615</v>
      </c>
      <c r="Z45" s="13" t="n">
        <f aca="false">Inputs!$F$134*Inputs!$F$54*(1-Inputs!$F$135+Inputs!$F$135*Z20/100)</f>
        <v>15.0585547236899</v>
      </c>
      <c r="AA45" s="13" t="n">
        <f aca="false">Inputs!$F$134*Inputs!$F$54*(1-Inputs!$F$135+Inputs!$F$135*AA20/100)</f>
        <v>15.097617151116</v>
      </c>
      <c r="AB45" s="13" t="n">
        <f aca="false">Inputs!$F$134*Inputs!$F$54*(1-Inputs!$F$135+Inputs!$F$135*AB20/100)</f>
        <v>15.1371069276111</v>
      </c>
      <c r="AC45" s="13" t="n">
        <f aca="false">Inputs!$F$134*Inputs!$F$54*(1-Inputs!$F$135+Inputs!$F$135*AC20/100)</f>
        <v>15.1770287284406</v>
      </c>
      <c r="AD45" s="13" t="n">
        <f aca="false">Inputs!$F$134*Inputs!$F$54*(1-Inputs!$F$135+Inputs!$F$135*AD20/100)</f>
        <v>15.2173872800185</v>
      </c>
      <c r="AE45" s="13" t="n">
        <f aca="false">Inputs!$F$134*Inputs!$F$54*(1-Inputs!$F$135+Inputs!$F$135*AE20/100)</f>
        <v>15.2581873604663</v>
      </c>
      <c r="AF45" s="13" t="n">
        <f aca="false">Inputs!$F$134*Inputs!$F$54*(1-Inputs!$F$135+Inputs!$F$135*AF20/100)</f>
        <v>15.2994338001789</v>
      </c>
      <c r="AG45" s="13" t="n">
        <f aca="false">Inputs!$F$134*Inputs!$F$54*(1-Inputs!$F$135+Inputs!$F$135*AG20/100)</f>
        <v>15.3411314823966</v>
      </c>
      <c r="AH45" s="13" t="n">
        <f aca="false">Inputs!$F$134*Inputs!$F$54*(1-Inputs!$F$135+Inputs!$F$135*AH20/100)</f>
        <v>15.3832853437828</v>
      </c>
      <c r="AI45" s="13" t="n">
        <f aca="false">Inputs!$F$134*Inputs!$F$54*(1-Inputs!$F$135+Inputs!$F$135*AI20/100)</f>
        <v>15.4259003750093</v>
      </c>
      <c r="AJ45" s="13" t="n">
        <f aca="false">Inputs!$F$134*Inputs!$F$54*(1-Inputs!$F$135+Inputs!$F$135*AJ20/100)</f>
        <v>15.4689816213461</v>
      </c>
      <c r="AK45" s="13" t="n">
        <f aca="false">Inputs!$F$134*Inputs!$F$54*(1-Inputs!$F$135+Inputs!$F$135*AK20/100)</f>
        <v>15.5125341832595</v>
      </c>
      <c r="AL45" s="13" t="n">
        <f aca="false">Inputs!$F$134*Inputs!$F$54*(1-Inputs!$F$135+Inputs!$F$135*AL20/100)</f>
        <v>15.5565632170157</v>
      </c>
      <c r="AM45" s="13" t="n">
        <f aca="false">Inputs!$F$134*Inputs!$F$54*(1-Inputs!$F$135+Inputs!$F$135*AM20/100)</f>
        <v>15.6010739352912</v>
      </c>
      <c r="AN45" s="13" t="n">
        <f aca="false">Inputs!$F$134*Inputs!$F$54*(1-Inputs!$F$135+Inputs!$F$135*AN20/100)</f>
        <v>15.64607160779</v>
      </c>
      <c r="AO45" s="13" t="n">
        <f aca="false">Inputs!$F$134*Inputs!$F$54*(1-Inputs!$F$135+Inputs!$F$135*AO20/100)</f>
        <v>15.6915615618676</v>
      </c>
      <c r="AP45" s="13" t="n">
        <f aca="false">Inputs!$F$134*Inputs!$F$54*(1-Inputs!$F$135+Inputs!$F$135*AP20/100)</f>
        <v>15.7375491831614</v>
      </c>
      <c r="AQ45" s="13" t="n">
        <f aca="false">Inputs!$F$134*Inputs!$F$54*(1-Inputs!$F$135+Inputs!$F$135*AQ20/100)</f>
        <v>15.7840399162287</v>
      </c>
      <c r="AR45" s="13" t="n">
        <f aca="false">Inputs!$F$134*Inputs!$F$54*(1-Inputs!$F$135+Inputs!$F$135*AR20/100)</f>
        <v>15.831039265191</v>
      </c>
      <c r="AS45" s="13" t="n">
        <f aca="false">Inputs!$F$134*Inputs!$F$54*(1-Inputs!$F$135+Inputs!$F$135*AS20/100)</f>
        <v>15.8785527943857</v>
      </c>
      <c r="AT45" s="13" t="n">
        <f aca="false">Inputs!$F$134*Inputs!$F$54*(1-Inputs!$F$135+Inputs!$F$135*AT20/100)</f>
        <v>15.9265861290252</v>
      </c>
      <c r="AU45" s="13" t="n">
        <f aca="false">Inputs!$F$134*Inputs!$F$54*(1-Inputs!$F$135+Inputs!$F$135*AU20/100)</f>
        <v>15.9751449558622</v>
      </c>
      <c r="AV45" s="13" t="n">
        <f aca="false">Inputs!$F$134*Inputs!$F$54*(1-Inputs!$F$135+Inputs!$F$135*AV20/100)</f>
        <v>16.0242350238637</v>
      </c>
      <c r="AW45" s="13" t="n">
        <f aca="false">Inputs!$F$134*Inputs!$F$54*(1-Inputs!$F$135+Inputs!$F$135*AW20/100)</f>
        <v>16.0738621448912</v>
      </c>
      <c r="AX45" s="13" t="n">
        <f aca="false">Inputs!$F$134*Inputs!$F$54*(1-Inputs!$F$135+Inputs!$F$135*AX20/100)</f>
        <v>16.1240321943887</v>
      </c>
      <c r="AY45" s="13" t="n">
        <f aca="false">Inputs!$F$134*Inputs!$F$54*(1-Inputs!$F$135+Inputs!$F$135*AY20/100)</f>
        <v>16.1747511120788</v>
      </c>
      <c r="AZ45" s="13" t="n">
        <f aca="false">Inputs!$F$134*Inputs!$F$54*(1-Inputs!$F$135+Inputs!$F$135*AZ20/100)</f>
        <v>16.2260249026653</v>
      </c>
      <c r="BA45" s="13" t="n">
        <f aca="false">Inputs!$F$134*Inputs!$F$54*(1-Inputs!$F$135+Inputs!$F$135*BA20/100)</f>
        <v>16.2778596365445</v>
      </c>
      <c r="BB45" s="13" t="n">
        <f aca="false">Inputs!$F$134*Inputs!$F$54*(1-Inputs!$F$135+Inputs!$F$135*BB20/100)</f>
        <v>16.3302614505239</v>
      </c>
      <c r="BC45" s="13" t="n">
        <f aca="false">Inputs!$F$134*Inputs!$F$54*(1-Inputs!$F$135+Inputs!$F$135*BC20/100)</f>
        <v>16.3832365485485</v>
      </c>
      <c r="BD45" s="13" t="n">
        <f aca="false">Inputs!$F$134*Inputs!$F$54*(1-Inputs!$F$135+Inputs!$F$135*BD20/100)</f>
        <v>16.4367912024354</v>
      </c>
      <c r="BE45" s="13" t="n">
        <f aca="false">Inputs!$F$134*Inputs!$F$54*(1-Inputs!$F$135+Inputs!$F$135*BE20/100)</f>
        <v>16.4909317526165</v>
      </c>
      <c r="BF45" s="13" t="n">
        <f aca="false">Inputs!$F$134*Inputs!$F$54*(1-Inputs!$F$135+Inputs!$F$135*BF20/100)</f>
        <v>16.545664608889</v>
      </c>
      <c r="BG45" s="13" t="n">
        <f aca="false">Inputs!$F$134*Inputs!$F$54*(1-Inputs!$F$135+Inputs!$F$135*BG20/100)</f>
        <v>16.6009962511741</v>
      </c>
      <c r="BH45" s="13" t="n">
        <f aca="false">Inputs!$F$134*Inputs!$F$54*(1-Inputs!$F$135+Inputs!$F$135*BH20/100)</f>
        <v>16.6569332302846</v>
      </c>
      <c r="BI45" s="13" t="n">
        <f aca="false">Inputs!$F$134*Inputs!$F$54*(1-Inputs!$F$135+Inputs!$F$135*BI20/100)</f>
        <v>16.7134821686999</v>
      </c>
      <c r="BJ45" s="13" t="n">
        <f aca="false">Inputs!$F$134*Inputs!$F$54*(1-Inputs!$F$135+Inputs!$F$135*BJ20/100)</f>
        <v>16.7706497613508</v>
      </c>
      <c r="BK45" s="13" t="n">
        <f aca="false">Inputs!$F$134*Inputs!$F$54*(1-Inputs!$F$135+Inputs!$F$135*BK20/100)</f>
        <v>16.8284427764113</v>
      </c>
      <c r="BL45" s="13" t="n">
        <f aca="false">Inputs!$F$134*Inputs!$F$54*(1-Inputs!$F$135+Inputs!$F$135*BL20/100)</f>
        <v>16.8868680561005</v>
      </c>
      <c r="BM45" s="13" t="n">
        <f aca="false">Inputs!$F$134*Inputs!$F$54*(1-Inputs!$F$135+Inputs!$F$135*BM20/100)</f>
        <v>16.9459325174924</v>
      </c>
      <c r="BN45" s="13" t="n">
        <f aca="false">Inputs!$F$134*Inputs!$F$54*(1-Inputs!$F$135+Inputs!$F$135*BN20/100)</f>
        <v>17.0056431533347</v>
      </c>
    </row>
    <row r="46" customFormat="false" ht="15" hidden="false" customHeight="false" outlineLevel="0" collapsed="false">
      <c r="D46" s="0" t="s">
        <v>1622</v>
      </c>
      <c r="E46" s="0" t="s">
        <v>239</v>
      </c>
      <c r="J46" s="13" t="n">
        <f aca="false">Inputs!$F$136*(Inputs!$F$137*J20/100+(1-Inputs!$F$137)*J26/100*Inputs!$F$138/J11)</f>
        <v>2.39941537309522</v>
      </c>
      <c r="K46" s="13" t="n">
        <f aca="false">Inputs!$F$136*(Inputs!$F$137*K20/100+(1-Inputs!$F$137)*K26/100*Inputs!$F$138/K11)</f>
        <v>2.42566535275661</v>
      </c>
      <c r="L46" s="13" t="n">
        <f aca="false">Inputs!$F$136*(Inputs!$F$137*L20/100+(1-Inputs!$F$137)*L26/100*Inputs!$F$138/L11)</f>
        <v>2.45220251130331</v>
      </c>
      <c r="M46" s="13" t="n">
        <f aca="false">Inputs!$F$136*(Inputs!$F$137*M20/100+(1-Inputs!$F$137)*M26/100*Inputs!$F$138/M11)</f>
        <v>2.47902999051726</v>
      </c>
      <c r="N46" s="13" t="n">
        <f aca="false">Inputs!$F$136*(Inputs!$F$137*N20/100+(1-Inputs!$F$137)*N26/100*Inputs!$F$138/N11)</f>
        <v>2.50615096655199</v>
      </c>
      <c r="O46" s="13" t="n">
        <f aca="false">Inputs!$F$136*(Inputs!$F$137*O20/100+(1-Inputs!$F$137)*O26/100*Inputs!$F$138/O11)</f>
        <v>2.53356865030864</v>
      </c>
      <c r="P46" s="13" t="n">
        <f aca="false">Inputs!$F$136*(Inputs!$F$137*P20/100+(1-Inputs!$F$137)*P26/100*Inputs!$F$138/P11)</f>
        <v>2.56128628781613</v>
      </c>
      <c r="Q46" s="13" t="n">
        <f aca="false">Inputs!$F$136*(Inputs!$F$137*Q20/100+(1-Inputs!$F$137)*Q26/100*Inputs!$F$138/Q11)</f>
        <v>2.58930716061543</v>
      </c>
      <c r="R46" s="13" t="n">
        <f aca="false">Inputs!$F$136*(Inputs!$F$137*R20/100+(1-Inputs!$F$137)*R26/100*Inputs!$F$138/R11)</f>
        <v>2.61763458614808</v>
      </c>
      <c r="S46" s="13" t="n">
        <f aca="false">Inputs!$F$136*(Inputs!$F$137*S20/100+(1-Inputs!$F$137)*S26/100*Inputs!$F$138/S11)</f>
        <v>2.64627191814897</v>
      </c>
      <c r="T46" s="13" t="n">
        <f aca="false">Inputs!$F$136*(Inputs!$F$137*T20/100+(1-Inputs!$F$137)*T26/100*Inputs!$F$138/T11)</f>
        <v>2.67522254704334</v>
      </c>
      <c r="U46" s="13" t="n">
        <f aca="false">Inputs!$F$136*(Inputs!$F$137*U20/100+(1-Inputs!$F$137)*U26/100*Inputs!$F$138/U11)</f>
        <v>2.70448990034825</v>
      </c>
      <c r="V46" s="13" t="n">
        <f aca="false">Inputs!$F$136*(Inputs!$F$137*V20/100+(1-Inputs!$F$137)*V26/100*Inputs!$F$138/V11)</f>
        <v>2.73407744307829</v>
      </c>
      <c r="W46" s="13" t="n">
        <f aca="false">Inputs!$F$136*(Inputs!$F$137*W20/100+(1-Inputs!$F$137)*W26/100*Inputs!$F$138/W11)</f>
        <v>2.76398867815591</v>
      </c>
      <c r="X46" s="13" t="n">
        <f aca="false">Inputs!$F$136*(Inputs!$F$137*X20/100+(1-Inputs!$F$137)*X26/100*Inputs!$F$138/X11)</f>
        <v>2.79422714682602</v>
      </c>
      <c r="Y46" s="13" t="n">
        <f aca="false">Inputs!$F$136*(Inputs!$F$137*Y20/100+(1-Inputs!$F$137)*Y26/100*Inputs!$F$138/Y11)</f>
        <v>2.82479642907534</v>
      </c>
      <c r="Z46" s="13" t="n">
        <f aca="false">Inputs!$F$136*(Inputs!$F$137*Z20/100+(1-Inputs!$F$137)*Z26/100*Inputs!$F$138/Z11)</f>
        <v>2.85570014405619</v>
      </c>
      <c r="AA46" s="13" t="n">
        <f aca="false">Inputs!$F$136*(Inputs!$F$137*AA20/100+(1-Inputs!$F$137)*AA26/100*Inputs!$F$138/AA11)</f>
        <v>2.88694195051499</v>
      </c>
      <c r="AB46" s="13" t="n">
        <f aca="false">Inputs!$F$136*(Inputs!$F$137*AB20/100+(1-Inputs!$F$137)*AB26/100*Inputs!$F$138/AB11)</f>
        <v>2.91852554722543</v>
      </c>
      <c r="AC46" s="13" t="n">
        <f aca="false">Inputs!$F$136*(Inputs!$F$137*AC20/100+(1-Inputs!$F$137)*AC26/100*Inputs!$F$138/AC11)</f>
        <v>2.95045467342632</v>
      </c>
      <c r="AD46" s="13" t="n">
        <f aca="false">Inputs!$F$136*(Inputs!$F$137*AD20/100+(1-Inputs!$F$137)*AD26/100*Inputs!$F$138/AD11)</f>
        <v>2.98273310926438</v>
      </c>
      <c r="AE46" s="13" t="n">
        <f aca="false">Inputs!$F$136*(Inputs!$F$137*AE20/100+(1-Inputs!$F$137)*AE26/100*Inputs!$F$138/AE11)</f>
        <v>3.0153646762417</v>
      </c>
      <c r="AF46" s="13" t="n">
        <f aca="false">Inputs!$F$136*(Inputs!$F$137*AF20/100+(1-Inputs!$F$137)*AF26/100*Inputs!$F$138/AF11)</f>
        <v>3.0483532376682</v>
      </c>
      <c r="AG46" s="13" t="n">
        <f aca="false">Inputs!$F$136*(Inputs!$F$137*AG20/100+(1-Inputs!$F$137)*AG26/100*Inputs!$F$138/AG11)</f>
        <v>3.08170269911902</v>
      </c>
      <c r="AH46" s="13" t="n">
        <f aca="false">Inputs!$F$136*(Inputs!$F$137*AH20/100+(1-Inputs!$F$137)*AH26/100*Inputs!$F$138/AH11)</f>
        <v>3.1154170088969</v>
      </c>
      <c r="AI46" s="13" t="n">
        <f aca="false">Inputs!$F$136*(Inputs!$F$137*AI20/100+(1-Inputs!$F$137)*AI26/100*Inputs!$F$138/AI11)</f>
        <v>3.14950015849964</v>
      </c>
      <c r="AJ46" s="13" t="n">
        <f aca="false">Inputs!$F$136*(Inputs!$F$137*AJ20/100+(1-Inputs!$F$137)*AJ26/100*Inputs!$F$138/AJ11)</f>
        <v>3.18395618309263</v>
      </c>
      <c r="AK46" s="13" t="n">
        <f aca="false">Inputs!$F$136*(Inputs!$F$137*AK20/100+(1-Inputs!$F$137)*AK26/100*Inputs!$F$138/AK11)</f>
        <v>3.21878916198663</v>
      </c>
      <c r="AL46" s="13" t="n">
        <f aca="false">Inputs!$F$136*(Inputs!$F$137*AL20/100+(1-Inputs!$F$137)*AL26/100*Inputs!$F$138/AL11)</f>
        <v>3.25400321912067</v>
      </c>
      <c r="AM46" s="13" t="n">
        <f aca="false">Inputs!$F$136*(Inputs!$F$137*AM20/100+(1-Inputs!$F$137)*AM26/100*Inputs!$F$138/AM11)</f>
        <v>3.28960252355033</v>
      </c>
      <c r="AN46" s="13" t="n">
        <f aca="false">Inputs!$F$136*(Inputs!$F$137*AN20/100+(1-Inputs!$F$137)*AN26/100*Inputs!$F$138/AN11)</f>
        <v>3.32559128994132</v>
      </c>
      <c r="AO46" s="13" t="n">
        <f aca="false">Inputs!$F$136*(Inputs!$F$137*AO20/100+(1-Inputs!$F$137)*AO26/100*Inputs!$F$138/AO11)</f>
        <v>3.36197377906844</v>
      </c>
      <c r="AP46" s="13" t="n">
        <f aca="false">Inputs!$F$136*(Inputs!$F$137*AP20/100+(1-Inputs!$F$137)*AP26/100*Inputs!$F$138/AP11)</f>
        <v>3.39875429832003</v>
      </c>
      <c r="AQ46" s="13" t="n">
        <f aca="false">Inputs!$F$136*(Inputs!$F$137*AQ20/100+(1-Inputs!$F$137)*AQ26/100*Inputs!$F$138/AQ11)</f>
        <v>3.43593720220795</v>
      </c>
      <c r="AR46" s="13" t="n">
        <f aca="false">Inputs!$F$136*(Inputs!$F$137*AR20/100+(1-Inputs!$F$137)*AR26/100*Inputs!$F$138/AR11)</f>
        <v>3.47352689288307</v>
      </c>
      <c r="AS46" s="13" t="n">
        <f aca="false">Inputs!$F$136*(Inputs!$F$137*AS20/100+(1-Inputs!$F$137)*AS26/100*Inputs!$F$138/AS11)</f>
        <v>3.51152782065652</v>
      </c>
      <c r="AT46" s="13" t="n">
        <f aca="false">Inputs!$F$136*(Inputs!$F$137*AT20/100+(1-Inputs!$F$137)*AT26/100*Inputs!$F$138/AT11)</f>
        <v>3.5499444845265</v>
      </c>
      <c r="AU46" s="13" t="n">
        <f aca="false">Inputs!$F$136*(Inputs!$F$137*AU20/100+(1-Inputs!$F$137)*AU26/100*Inputs!$F$138/AU11)</f>
        <v>3.58878143271096</v>
      </c>
      <c r="AV46" s="13" t="n">
        <f aca="false">Inputs!$F$136*(Inputs!$F$137*AV20/100+(1-Inputs!$F$137)*AV26/100*Inputs!$F$138/AV11)</f>
        <v>3.62804326318608</v>
      </c>
      <c r="AW46" s="13" t="n">
        <f aca="false">Inputs!$F$136*(Inputs!$F$137*AW20/100+(1-Inputs!$F$137)*AW26/100*Inputs!$F$138/AW11)</f>
        <v>3.66773462423061</v>
      </c>
      <c r="AX46" s="13" t="n">
        <f aca="false">Inputs!$F$136*(Inputs!$F$137*AX20/100+(1-Inputs!$F$137)*AX26/100*Inputs!$F$138/AX11)</f>
        <v>3.70786021497618</v>
      </c>
      <c r="AY46" s="13" t="n">
        <f aca="false">Inputs!$F$136*(Inputs!$F$137*AY20/100+(1-Inputs!$F$137)*AY26/100*Inputs!$F$138/AY11)</f>
        <v>3.74842478596368</v>
      </c>
      <c r="AZ46" s="13" t="n">
        <f aca="false">Inputs!$F$136*(Inputs!$F$137*AZ20/100+(1-Inputs!$F$137)*AZ26/100*Inputs!$F$138/AZ11)</f>
        <v>3.78943313970565</v>
      </c>
      <c r="BA46" s="13" t="n">
        <f aca="false">Inputs!$F$136*(Inputs!$F$137*BA20/100+(1-Inputs!$F$137)*BA26/100*Inputs!$F$138/BA11)</f>
        <v>3.83089013125488</v>
      </c>
      <c r="BB46" s="13" t="n">
        <f aca="false">Inputs!$F$136*(Inputs!$F$137*BB20/100+(1-Inputs!$F$137)*BB26/100*Inputs!$F$138/BB11)</f>
        <v>3.87280066877917</v>
      </c>
      <c r="BC46" s="13" t="n">
        <f aca="false">Inputs!$F$136*(Inputs!$F$137*BC20/100+(1-Inputs!$F$137)*BC26/100*Inputs!$F$138/BC11)</f>
        <v>3.91516971414248</v>
      </c>
      <c r="BD46" s="13" t="n">
        <f aca="false">Inputs!$F$136*(Inputs!$F$137*BD20/100+(1-Inputs!$F$137)*BD26/100*Inputs!$F$138/BD11)</f>
        <v>3.95800228349232</v>
      </c>
      <c r="BE46" s="13" t="n">
        <f aca="false">Inputs!$F$136*(Inputs!$F$137*BE20/100+(1-Inputs!$F$137)*BE26/100*Inputs!$F$138/BE11)</f>
        <v>4.00130344785362</v>
      </c>
      <c r="BF46" s="13" t="n">
        <f aca="false">Inputs!$F$136*(Inputs!$F$137*BF20/100+(1-Inputs!$F$137)*BF26/100*Inputs!$F$138/BF11)</f>
        <v>4.04507833372915</v>
      </c>
      <c r="BG46" s="13" t="n">
        <f aca="false">Inputs!$F$136*(Inputs!$F$137*BG20/100+(1-Inputs!$F$137)*BG26/100*Inputs!$F$138/BG11)</f>
        <v>4.0893321237064</v>
      </c>
      <c r="BH46" s="13" t="n">
        <f aca="false">Inputs!$F$136*(Inputs!$F$137*BH20/100+(1-Inputs!$F$137)*BH26/100*Inputs!$F$138/BH11)</f>
        <v>4.13407005707119</v>
      </c>
      <c r="BI46" s="13" t="n">
        <f aca="false">Inputs!$F$136*(Inputs!$F$137*BI20/100+(1-Inputs!$F$137)*BI26/100*Inputs!$F$138/BI11)</f>
        <v>4.17929743042794</v>
      </c>
      <c r="BJ46" s="13" t="n">
        <f aca="false">Inputs!$F$136*(Inputs!$F$137*BJ20/100+(1-Inputs!$F$137)*BJ26/100*Inputs!$F$138/BJ11)</f>
        <v>4.22501959832675</v>
      </c>
      <c r="BK46" s="13" t="n">
        <f aca="false">Inputs!$F$136*(Inputs!$F$137*BK20/100+(1-Inputs!$F$137)*BK26/100*Inputs!$F$138/BK11)</f>
        <v>4.27124197389735</v>
      </c>
      <c r="BL46" s="13" t="n">
        <f aca="false">Inputs!$F$136*(Inputs!$F$137*BL20/100+(1-Inputs!$F$137)*BL26/100*Inputs!$F$138/BL11)</f>
        <v>4.31797002948994</v>
      </c>
      <c r="BM46" s="13" t="n">
        <f aca="false">Inputs!$F$136*(Inputs!$F$137*BM20/100+(1-Inputs!$F$137)*BM26/100*Inputs!$F$138/BM11)</f>
        <v>4.36520929732309</v>
      </c>
      <c r="BN46" s="13" t="n">
        <f aca="false">Inputs!$F$136*(Inputs!$F$137*BN20/100+(1-Inputs!$F$137)*BN26/100*Inputs!$F$138/BN11)</f>
        <v>4.41296537013872</v>
      </c>
    </row>
    <row r="47" customFormat="false" ht="15" hidden="false" customHeight="false" outlineLevel="0" collapsed="false">
      <c r="D47" s="0" t="s">
        <v>1623</v>
      </c>
      <c r="E47" s="0" t="s">
        <v>101</v>
      </c>
      <c r="J47" s="13" t="n">
        <f aca="false">J32/Inputs!$F$133</f>
        <v>0</v>
      </c>
      <c r="K47" s="13" t="n">
        <f aca="false">K32/Inputs!$F$133</f>
        <v>0</v>
      </c>
      <c r="L47" s="13" t="n">
        <f aca="false">L32/Inputs!$F$133</f>
        <v>0</v>
      </c>
      <c r="M47" s="13" t="n">
        <f aca="false">M32/Inputs!$F$133</f>
        <v>0</v>
      </c>
      <c r="N47" s="13" t="n">
        <f aca="false">N32/Inputs!$F$133</f>
        <v>0</v>
      </c>
      <c r="O47" s="13" t="n">
        <f aca="false">O32/Inputs!$F$133</f>
        <v>1.04222222222222</v>
      </c>
      <c r="P47" s="13" t="n">
        <f aca="false">P32/Inputs!$F$133</f>
        <v>1.04222222222222</v>
      </c>
      <c r="Q47" s="13" t="n">
        <f aca="false">Q32/Inputs!$F$133</f>
        <v>1.03888888888889</v>
      </c>
      <c r="R47" s="13" t="n">
        <f aca="false">R32/Inputs!$F$133</f>
        <v>1.03222222222222</v>
      </c>
      <c r="S47" s="13" t="n">
        <f aca="false">S32/Inputs!$F$133</f>
        <v>1.03555555555556</v>
      </c>
      <c r="T47" s="13" t="n">
        <f aca="false">T32/Inputs!$F$133</f>
        <v>1.04222222222222</v>
      </c>
      <c r="U47" s="13" t="n">
        <f aca="false">U32/Inputs!$F$133</f>
        <v>1.03037037037037</v>
      </c>
      <c r="V47" s="13" t="n">
        <f aca="false">V32/Inputs!$F$133</f>
        <v>1.00666666666667</v>
      </c>
      <c r="W47" s="13" t="n">
        <f aca="false">W32/Inputs!$F$133</f>
        <v>1.01851851851852</v>
      </c>
      <c r="X47" s="13" t="n">
        <f aca="false">X32/Inputs!$F$133</f>
        <v>1.04222222222222</v>
      </c>
      <c r="Y47" s="13" t="n">
        <f aca="false">Y32/Inputs!$F$133</f>
        <v>1.03888888888889</v>
      </c>
      <c r="Z47" s="13" t="n">
        <f aca="false">Z32/Inputs!$F$133</f>
        <v>1.03222222222222</v>
      </c>
      <c r="AA47" s="13" t="n">
        <f aca="false">AA32/Inputs!$F$133</f>
        <v>1.03555555555556</v>
      </c>
      <c r="AB47" s="13" t="n">
        <f aca="false">AB32/Inputs!$F$133</f>
        <v>1.04222222222222</v>
      </c>
      <c r="AC47" s="13" t="n">
        <f aca="false">AC32/Inputs!$F$133</f>
        <v>1.02333333333333</v>
      </c>
      <c r="AD47" s="13" t="n">
        <f aca="false">AD32/Inputs!$F$133</f>
        <v>0.985555555555556</v>
      </c>
      <c r="AE47" s="13" t="n">
        <f aca="false">AE32/Inputs!$F$133</f>
        <v>1.00444444444444</v>
      </c>
      <c r="AF47" s="13" t="n">
        <f aca="false">AF32/Inputs!$F$133</f>
        <v>1.04222222222222</v>
      </c>
      <c r="AG47" s="13" t="n">
        <f aca="false">AG32/Inputs!$F$133</f>
        <v>1.03888888888889</v>
      </c>
      <c r="AH47" s="13" t="n">
        <f aca="false">AH32/Inputs!$F$133</f>
        <v>1.03222222222222</v>
      </c>
      <c r="AI47" s="13" t="n">
        <f aca="false">AI32/Inputs!$F$133</f>
        <v>1.03555555555556</v>
      </c>
      <c r="AJ47" s="13" t="n">
        <f aca="false">AJ32/Inputs!$F$133</f>
        <v>1.04222222222222</v>
      </c>
      <c r="AK47" s="13" t="n">
        <f aca="false">AK32/Inputs!$F$133</f>
        <v>1.03037037037037</v>
      </c>
      <c r="AL47" s="13" t="n">
        <f aca="false">AL32/Inputs!$F$133</f>
        <v>1.00666666666667</v>
      </c>
      <c r="AM47" s="13" t="n">
        <f aca="false">AM32/Inputs!$F$133</f>
        <v>1.01851851851852</v>
      </c>
      <c r="AN47" s="13" t="n">
        <f aca="false">AN32/Inputs!$F$133</f>
        <v>1.04222222222222</v>
      </c>
      <c r="AO47" s="13" t="n">
        <f aca="false">AO32/Inputs!$F$133</f>
        <v>1.03888888888889</v>
      </c>
      <c r="AP47" s="13" t="n">
        <f aca="false">AP32/Inputs!$F$133</f>
        <v>1.03222222222222</v>
      </c>
      <c r="AQ47" s="13" t="n">
        <f aca="false">AQ32/Inputs!$F$133</f>
        <v>1.03555555555556</v>
      </c>
      <c r="AR47" s="13" t="n">
        <f aca="false">AR32/Inputs!$F$133</f>
        <v>1.04222222222222</v>
      </c>
      <c r="AS47" s="13" t="n">
        <f aca="false">AS32/Inputs!$F$133</f>
        <v>1.02333333333333</v>
      </c>
      <c r="AT47" s="13" t="n">
        <f aca="false">AT32/Inputs!$F$133</f>
        <v>0.985555555555556</v>
      </c>
      <c r="AU47" s="13" t="n">
        <f aca="false">AU32/Inputs!$F$133</f>
        <v>1.00444444444444</v>
      </c>
      <c r="AV47" s="13" t="n">
        <f aca="false">AV32/Inputs!$F$133</f>
        <v>1.04222222222222</v>
      </c>
      <c r="AW47" s="13" t="n">
        <f aca="false">AW32/Inputs!$F$133</f>
        <v>1.03888888888889</v>
      </c>
      <c r="AX47" s="13" t="n">
        <f aca="false">AX32/Inputs!$F$133</f>
        <v>1.03222222222222</v>
      </c>
      <c r="AY47" s="13" t="n">
        <f aca="false">AY32/Inputs!$F$133</f>
        <v>1.03555555555556</v>
      </c>
      <c r="AZ47" s="13" t="n">
        <f aca="false">AZ32/Inputs!$F$133</f>
        <v>1.04222222222222</v>
      </c>
      <c r="BA47" s="13" t="n">
        <f aca="false">BA32/Inputs!$F$133</f>
        <v>1.03037037037037</v>
      </c>
      <c r="BB47" s="13" t="n">
        <f aca="false">BB32/Inputs!$F$133</f>
        <v>1.00666666666667</v>
      </c>
      <c r="BC47" s="13" t="n">
        <f aca="false">BC32/Inputs!$F$133</f>
        <v>1.01851851851852</v>
      </c>
      <c r="BD47" s="13" t="n">
        <f aca="false">BD32/Inputs!$F$133</f>
        <v>1.04222222222222</v>
      </c>
      <c r="BE47" s="13" t="n">
        <f aca="false">BE32/Inputs!$F$133</f>
        <v>1.03888888888889</v>
      </c>
      <c r="BF47" s="13" t="n">
        <f aca="false">BF32/Inputs!$F$133</f>
        <v>1.03222222222222</v>
      </c>
      <c r="BG47" s="13" t="n">
        <f aca="false">BG32/Inputs!$F$133</f>
        <v>1.03555555555556</v>
      </c>
      <c r="BH47" s="13" t="n">
        <f aca="false">BH32/Inputs!$F$133</f>
        <v>1.04222222222222</v>
      </c>
      <c r="BI47" s="13" t="n">
        <f aca="false">BI32/Inputs!$F$133</f>
        <v>1.02333333333333</v>
      </c>
      <c r="BJ47" s="13" t="n">
        <f aca="false">BJ32/Inputs!$F$133</f>
        <v>0.985555555555556</v>
      </c>
      <c r="BK47" s="13" t="n">
        <f aca="false">BK32/Inputs!$F$133</f>
        <v>1.00444444444444</v>
      </c>
      <c r="BL47" s="13" t="n">
        <f aca="false">BL32/Inputs!$F$133</f>
        <v>1.04222222222222</v>
      </c>
      <c r="BM47" s="13" t="n">
        <f aca="false">BM32/Inputs!$F$133</f>
        <v>1.04222222222222</v>
      </c>
      <c r="BN47" s="13" t="n">
        <f aca="false">BN32/Inputs!$F$133</f>
        <v>0</v>
      </c>
    </row>
    <row r="48" customFormat="false" ht="15" hidden="false" customHeight="false" outlineLevel="0" collapsed="false">
      <c r="D48" s="0" t="s">
        <v>1624</v>
      </c>
      <c r="E48" s="0" t="s">
        <v>151</v>
      </c>
      <c r="G48" s="13" t="n">
        <f aca="false">SUM(J48:BN48)</f>
        <v>3464.12251871021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21.0825213151652</v>
      </c>
      <c r="P48" s="13" t="n">
        <f aca="false">$F$34*1000*Time!P30*(P45+P46)*P47/1000000</f>
        <v>63.4770655871881</v>
      </c>
      <c r="Q48" s="13" t="n">
        <f aca="false">$F$34*1000*Time!Q30*(Q45+Q46)*Q47/1000000</f>
        <v>63.5053176353155</v>
      </c>
      <c r="R48" s="13" t="n">
        <f aca="false">$F$34*1000*Time!R30*(R45+R46)*R47/1000000</f>
        <v>63.3300970719987</v>
      </c>
      <c r="S48" s="13" t="n">
        <f aca="false">$F$34*1000*Time!S30*(S45+S46)*S47/1000000</f>
        <v>63.7702075725039</v>
      </c>
      <c r="T48" s="13" t="n">
        <f aca="false">$F$34*1000*Time!T30*(T45+T46)*T47/1000000</f>
        <v>64.4204561822159</v>
      </c>
      <c r="U48" s="13" t="n">
        <f aca="false">$F$34*1000*Time!U30*(U45+U46)*U47/1000000</f>
        <v>63.9274627739118</v>
      </c>
      <c r="V48" s="13" t="n">
        <f aca="false">$F$34*1000*Time!V30*(V45+V46)*V47/1000000</f>
        <v>62.6934361770651</v>
      </c>
      <c r="W48" s="13" t="n">
        <f aca="false">$F$34*1000*Time!W30*(W45+W46)*W47/1000000</f>
        <v>63.6735806010419</v>
      </c>
      <c r="X48" s="13" t="n">
        <f aca="false">$F$34*1000*Time!X30*(X45+X46)*X47/1000000</f>
        <v>65.405812564473</v>
      </c>
      <c r="Y48" s="13" t="n">
        <f aca="false">$F$34*1000*Time!Y30*(Y45+Y46)*Y47/1000000</f>
        <v>65.4489292194568</v>
      </c>
      <c r="Z48" s="13" t="n">
        <f aca="false">$F$34*1000*Time!Z30*(Z45+Z46)*Z47/1000000</f>
        <v>65.2823632474992</v>
      </c>
      <c r="AA48" s="13" t="n">
        <f aca="false">$F$34*1000*Time!AA30*(AA45+AA46)*AA47/1000000</f>
        <v>65.7502052284835</v>
      </c>
      <c r="AB48" s="13" t="n">
        <f aca="false">$F$34*1000*Time!AB30*(AB45+AB46)*AB47/1000000</f>
        <v>66.4350015400385</v>
      </c>
      <c r="AC48" s="13" t="n">
        <f aca="false">$F$34*1000*Time!AC30*(AC45+AC46)*AC47/1000000</f>
        <v>65.4905369746632</v>
      </c>
      <c r="AD48" s="13" t="n">
        <f aca="false">$F$34*1000*Time!AD30*(AD45+AD46)*AD47/1000000</f>
        <v>63.3255959497796</v>
      </c>
      <c r="AE48" s="13" t="n">
        <f aca="false">$F$34*1000*Time!AE30*(AE45+AE46)*AE47/1000000</f>
        <v>64.7996723242179</v>
      </c>
      <c r="AF48" s="13" t="n">
        <f aca="false">$F$34*1000*Time!AF30*(AF45+AF46)*AF47/1000000</f>
        <v>67.509972957993</v>
      </c>
      <c r="AG48" s="13" t="n">
        <f aca="false">$F$34*1000*Time!AG30*(AG45+AG46)*AG47/1000000</f>
        <v>67.5693061086501</v>
      </c>
      <c r="AH48" s="13" t="n">
        <f aca="false">$F$34*1000*Time!AH30*(AH45+AH46)*AH47/1000000</f>
        <v>67.4121818356685</v>
      </c>
      <c r="AI48" s="13" t="n">
        <f aca="false">$F$34*1000*Time!AI30*(AI45+AI46)*AI47/1000000</f>
        <v>67.9102773872688</v>
      </c>
      <c r="AJ48" s="13" t="n">
        <f aca="false">$F$34*1000*Time!AJ30*(AJ45+AJ46)*AJ47/1000000</f>
        <v>68.6327634045038</v>
      </c>
      <c r="AK48" s="13" t="n">
        <f aca="false">$F$34*1000*Time!AK30*(AK45+AK46)*AK47/1000000</f>
        <v>68.1374281021015</v>
      </c>
      <c r="AL48" s="13" t="n">
        <f aca="false">$F$34*1000*Time!AL30*(AL45+AL46)*AL47/1000000</f>
        <v>66.8515492377767</v>
      </c>
      <c r="AM48" s="13" t="n">
        <f aca="false">$F$34*1000*Time!AM30*(AM45+AM46)*AM47/1000000</f>
        <v>67.9266746178922</v>
      </c>
      <c r="AN48" s="13" t="n">
        <f aca="false">$F$34*1000*Time!AN30*(AN45+AN46)*AN47/1000000</f>
        <v>69.8055000612371</v>
      </c>
      <c r="AO48" s="13" t="n">
        <f aca="false">$F$34*1000*Time!AO30*(AO45+AO46)*AO47/1000000</f>
        <v>69.8825245463822</v>
      </c>
      <c r="AP48" s="13" t="n">
        <f aca="false">$F$34*1000*Time!AP30*(AP45+AP46)*AP47/1000000</f>
        <v>69.7357006649328</v>
      </c>
      <c r="AQ48" s="13" t="n">
        <f aca="false">$F$34*1000*Time!AQ30*(AQ45+AQ46)*AQ47/1000000</f>
        <v>70.2668012533795</v>
      </c>
      <c r="AR48" s="13" t="n">
        <f aca="false">$F$34*1000*Time!AR30*(AR45+AR46)*AR47/1000000</f>
        <v>71.0304047354086</v>
      </c>
      <c r="AS48" s="13" t="n">
        <f aca="false">$F$34*1000*Time!AS30*(AS45+AS46)*AS47/1000000</f>
        <v>70.0520178840898</v>
      </c>
      <c r="AT48" s="13" t="n">
        <f aca="false">$F$34*1000*Time!AT30*(AT45+AT46)*AT47/1000000</f>
        <v>67.7667444916216</v>
      </c>
      <c r="AU48" s="13" t="n">
        <f aca="false">$F$34*1000*Time!AU30*(AU45+AU46)*AU47/1000000</f>
        <v>69.375456769873</v>
      </c>
      <c r="AV48" s="13" t="n">
        <f aca="false">$F$34*1000*Time!AV30*(AV45+AV46)*AV47/1000000</f>
        <v>72.3097980691059</v>
      </c>
      <c r="AW48" s="13" t="n">
        <f aca="false">$F$34*1000*Time!AW30*(AW45+AW46)*AW47/1000000</f>
        <v>72.4061228594628</v>
      </c>
      <c r="AX48" s="13" t="n">
        <f aca="false">$F$34*1000*Time!AX30*(AX45+AX46)*AX47/1000000</f>
        <v>72.2705361574647</v>
      </c>
      <c r="AY48" s="13" t="n">
        <f aca="false">$F$34*1000*Time!AY30*(AY45+AY46)*AY47/1000000</f>
        <v>72.8376434861095</v>
      </c>
      <c r="AZ48" s="13" t="n">
        <f aca="false">$F$34*1000*Time!AZ30*(AZ45+AZ46)*AZ47/1000000</f>
        <v>73.6461039358595</v>
      </c>
      <c r="BA48" s="13" t="n">
        <f aca="false">$F$34*1000*Time!BA30*(BA45+BA46)*BA47/1000000</f>
        <v>73.1479813931202</v>
      </c>
      <c r="BB48" s="13" t="n">
        <f aca="false">$F$34*1000*Time!BB30*(BB45+BB46)*BB47/1000000</f>
        <v>71.8003897760274</v>
      </c>
      <c r="BC48" s="13" t="n">
        <f aca="false">$F$34*1000*Time!BC30*(BC45+BC46)*BC47/1000000</f>
        <v>72.9885581636894</v>
      </c>
      <c r="BD48" s="13" t="n">
        <f aca="false">$F$34*1000*Time!BD30*(BD45+BD46)*BD47/1000000</f>
        <v>75.0418540327896</v>
      </c>
      <c r="BE48" s="13" t="n">
        <f aca="false">$F$34*1000*Time!BE30*(BE45+BE46)*BE47/1000000</f>
        <v>75.1592344298631</v>
      </c>
      <c r="BF48" s="13" t="n">
        <f aca="false">$F$34*1000*Time!BF30*(BF45+BF46)*BF47/1000000</f>
        <v>75.0359068931235</v>
      </c>
      <c r="BG48" s="13" t="n">
        <f aca="false">$F$34*1000*Time!BG30*(BG45+BG46)*BG47/1000000</f>
        <v>75.6422956607111</v>
      </c>
      <c r="BH48" s="13" t="n">
        <f aca="false">$F$34*1000*Time!BH30*(BH45+BH46)*BH47/1000000</f>
        <v>76.4996926770317</v>
      </c>
      <c r="BI48" s="13" t="n">
        <f aca="false">$F$34*1000*Time!BI30*(BI45+BI46)*BI47/1000000</f>
        <v>75.4809327090188</v>
      </c>
      <c r="BJ48" s="13" t="n">
        <f aca="false">$F$34*1000*Time!BJ30*(BJ45+BJ46)*BJ47/1000000</f>
        <v>73.0524439469654</v>
      </c>
      <c r="BK48" s="13" t="n">
        <f aca="false">$F$34*1000*Time!BK30*(BK45+BK46)*BK47/1000000</f>
        <v>74.8213951626786</v>
      </c>
      <c r="BL48" s="13" t="n">
        <f aca="false">$F$34*1000*Time!BL30*(BL45+BL46)*BL47/1000000</f>
        <v>78.0223818155241</v>
      </c>
      <c r="BM48" s="13" t="n">
        <f aca="false">$F$34*1000*Time!BM30*(BM45+BM46)*BM47/1000000</f>
        <v>52.2756815178644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1625</v>
      </c>
      <c r="E49" s="0" t="s">
        <v>245</v>
      </c>
      <c r="J49" s="13" t="n">
        <f aca="false">Inputs!$F$139*(Inputs!$F$140*J20/100+(1-Inputs!$F$140)*J26/100*Inputs!$F$138/J11)</f>
        <v>4.01418917381625</v>
      </c>
      <c r="K49" s="13" t="n">
        <f aca="false">Inputs!$F$139*(Inputs!$F$140*K20/100+(1-Inputs!$F$140)*K26/100*Inputs!$F$138/K11)</f>
        <v>4.05810503155027</v>
      </c>
      <c r="L49" s="13" t="n">
        <f aca="false">Inputs!$F$139*(Inputs!$F$140*L20/100+(1-Inputs!$F$140)*L26/100*Inputs!$F$138/L11)</f>
        <v>4.10250133564021</v>
      </c>
      <c r="M49" s="13" t="n">
        <f aca="false">Inputs!$F$139*(Inputs!$F$140*M20/100+(1-Inputs!$F$140)*M26/100*Inputs!$F$138/M11)</f>
        <v>4.14738334224437</v>
      </c>
      <c r="N49" s="13" t="n">
        <f aca="false">Inputs!$F$139*(Inputs!$F$140*N20/100+(1-Inputs!$F$140)*N26/100*Inputs!$F$138/N11)</f>
        <v>4.19275636502429</v>
      </c>
      <c r="O49" s="13" t="n">
        <f aca="false">Inputs!$F$139*(Inputs!$F$140*O20/100+(1-Inputs!$F$140)*O26/100*Inputs!$F$138/O11)</f>
        <v>4.23862577577375</v>
      </c>
      <c r="P49" s="13" t="n">
        <f aca="false">Inputs!$F$139*(Inputs!$F$140*P20/100+(1-Inputs!$F$140)*P26/100*Inputs!$F$138/P11)</f>
        <v>4.28499700505482</v>
      </c>
      <c r="Q49" s="13" t="n">
        <f aca="false">Inputs!$F$139*(Inputs!$F$140*Q20/100+(1-Inputs!$F$140)*Q26/100*Inputs!$F$138/Q11)</f>
        <v>4.33187554284077</v>
      </c>
      <c r="R49" s="13" t="n">
        <f aca="false">Inputs!$F$139*(Inputs!$F$140*R20/100+(1-Inputs!$F$140)*R26/100*Inputs!$F$138/R11)</f>
        <v>4.37926693916603</v>
      </c>
      <c r="S49" s="13" t="n">
        <f aca="false">Inputs!$F$139*(Inputs!$F$140*S20/100+(1-Inputs!$F$140)*S26/100*Inputs!$F$138/S11)</f>
        <v>4.42717680478327</v>
      </c>
      <c r="T49" s="13" t="n">
        <f aca="false">Inputs!$F$139*(Inputs!$F$140*T20/100+(1-Inputs!$F$140)*T26/100*Inputs!$F$138/T11)</f>
        <v>4.47561081182768</v>
      </c>
      <c r="U49" s="13" t="n">
        <f aca="false">Inputs!$F$139*(Inputs!$F$140*U20/100+(1-Inputs!$F$140)*U26/100*Inputs!$F$138/U11)</f>
        <v>4.5245746944885</v>
      </c>
      <c r="V49" s="13" t="n">
        <f aca="false">Inputs!$F$139*(Inputs!$F$140*V20/100+(1-Inputs!$F$140)*V26/100*Inputs!$F$138/V11)</f>
        <v>4.57407424968789</v>
      </c>
      <c r="W49" s="13" t="n">
        <f aca="false">Inputs!$F$139*(Inputs!$F$140*W20/100+(1-Inputs!$F$140)*W26/100*Inputs!$F$138/W11)</f>
        <v>4.62411533776725</v>
      </c>
      <c r="X49" s="13" t="n">
        <f aca="false">Inputs!$F$139*(Inputs!$F$140*X20/100+(1-Inputs!$F$140)*X26/100*Inputs!$F$138/X11)</f>
        <v>4.67470388318102</v>
      </c>
      <c r="Y49" s="13" t="n">
        <f aca="false">Inputs!$F$139*(Inputs!$F$140*Y20/100+(1-Inputs!$F$140)*Y26/100*Inputs!$F$138/Y11)</f>
        <v>4.72584587519812</v>
      </c>
      <c r="Z49" s="13" t="n">
        <f aca="false">Inputs!$F$139*(Inputs!$F$140*Z20/100+(1-Inputs!$F$140)*Z26/100*Inputs!$F$138/Z11)</f>
        <v>4.777547368611</v>
      </c>
      <c r="AA49" s="13" t="n">
        <f aca="false">Inputs!$F$139*(Inputs!$F$140*AA20/100+(1-Inputs!$F$140)*AA26/100*Inputs!$F$138/AA11)</f>
        <v>4.82981448445248</v>
      </c>
      <c r="AB49" s="13" t="n">
        <f aca="false">Inputs!$F$139*(Inputs!$F$140*AB20/100+(1-Inputs!$F$140)*AB26/100*Inputs!$F$138/AB11)</f>
        <v>4.88265341072044</v>
      </c>
      <c r="AC49" s="13" t="n">
        <f aca="false">Inputs!$F$139*(Inputs!$F$140*AC20/100+(1-Inputs!$F$140)*AC26/100*Inputs!$F$138/AC11)</f>
        <v>4.93607040311044</v>
      </c>
      <c r="AD49" s="13" t="n">
        <f aca="false">Inputs!$F$139*(Inputs!$F$140*AD20/100+(1-Inputs!$F$140)*AD26/100*Inputs!$F$138/AD11)</f>
        <v>4.99007178575629</v>
      </c>
      <c r="AE49" s="13" t="n">
        <f aca="false">Inputs!$F$139*(Inputs!$F$140*AE20/100+(1-Inputs!$F$140)*AE26/100*Inputs!$F$138/AE11)</f>
        <v>5.04466395197887</v>
      </c>
      <c r="AF49" s="13" t="n">
        <f aca="false">Inputs!$F$139*(Inputs!$F$140*AF20/100+(1-Inputs!$F$140)*AF26/100*Inputs!$F$138/AF11)</f>
        <v>5.09985336504293</v>
      </c>
      <c r="AG49" s="13" t="n">
        <f aca="false">Inputs!$F$139*(Inputs!$F$140*AG20/100+(1-Inputs!$F$140)*AG26/100*Inputs!$F$138/AG11)</f>
        <v>5.1556465589224</v>
      </c>
      <c r="AH49" s="13" t="n">
        <f aca="false">Inputs!$F$139*(Inputs!$F$140*AH20/100+(1-Inputs!$F$140)*AH26/100*Inputs!$F$138/AH11)</f>
        <v>5.21205013907388</v>
      </c>
      <c r="AI49" s="13" t="n">
        <f aca="false">Inputs!$F$139*(Inputs!$F$140*AI20/100+(1-Inputs!$F$140)*AI26/100*Inputs!$F$138/AI11)</f>
        <v>5.26907078321869</v>
      </c>
      <c r="AJ49" s="13" t="n">
        <f aca="false">Inputs!$F$139*(Inputs!$F$140*AJ20/100+(1-Inputs!$F$140)*AJ26/100*Inputs!$F$138/AJ11)</f>
        <v>5.3267152421335</v>
      </c>
      <c r="AK49" s="13" t="n">
        <f aca="false">Inputs!$F$139*(Inputs!$F$140*AK20/100+(1-Inputs!$F$140)*AK26/100*Inputs!$F$138/AK11)</f>
        <v>5.3849903404495</v>
      </c>
      <c r="AL49" s="13" t="n">
        <f aca="false">Inputs!$F$139*(Inputs!$F$140*AL20/100+(1-Inputs!$F$140)*AL26/100*Inputs!$F$138/AL11)</f>
        <v>5.44390297746044</v>
      </c>
      <c r="AM49" s="13" t="n">
        <f aca="false">Inputs!$F$139*(Inputs!$F$140*AM20/100+(1-Inputs!$F$140)*AM26/100*Inputs!$F$138/AM11)</f>
        <v>5.50346012793939</v>
      </c>
      <c r="AN49" s="13" t="n">
        <f aca="false">Inputs!$F$139*(Inputs!$F$140*AN20/100+(1-Inputs!$F$140)*AN26/100*Inputs!$F$138/AN11)</f>
        <v>5.56366884296457</v>
      </c>
      <c r="AO49" s="13" t="n">
        <f aca="false">Inputs!$F$139*(Inputs!$F$140*AO20/100+(1-Inputs!$F$140)*AO26/100*Inputs!$F$138/AO11)</f>
        <v>5.62453625075406</v>
      </c>
      <c r="AP49" s="13" t="n">
        <f aca="false">Inputs!$F$139*(Inputs!$F$140*AP20/100+(1-Inputs!$F$140)*AP26/100*Inputs!$F$138/AP11)</f>
        <v>5.68606955750979</v>
      </c>
      <c r="AQ49" s="13" t="n">
        <f aca="false">Inputs!$F$139*(Inputs!$F$140*AQ20/100+(1-Inputs!$F$140)*AQ26/100*Inputs!$F$138/AQ11)</f>
        <v>5.74827604827065</v>
      </c>
      <c r="AR49" s="13" t="n">
        <f aca="false">Inputs!$F$139*(Inputs!$F$140*AR20/100+(1-Inputs!$F$140)*AR26/100*Inputs!$F$138/AR11)</f>
        <v>5.811163087775</v>
      </c>
      <c r="AS49" s="13" t="n">
        <f aca="false">Inputs!$F$139*(Inputs!$F$140*AS20/100+(1-Inputs!$F$140)*AS26/100*Inputs!$F$138/AS11)</f>
        <v>5.8747381213326</v>
      </c>
      <c r="AT49" s="13" t="n">
        <f aca="false">Inputs!$F$139*(Inputs!$F$140*AT20/100+(1-Inputs!$F$140)*AT26/100*Inputs!$F$138/AT11)</f>
        <v>5.93900867570605</v>
      </c>
      <c r="AU49" s="13" t="n">
        <f aca="false">Inputs!$F$139*(Inputs!$F$140*AU20/100+(1-Inputs!$F$140)*AU26/100*Inputs!$F$138/AU11)</f>
        <v>6.00398236000192</v>
      </c>
      <c r="AV49" s="13" t="n">
        <f aca="false">Inputs!$F$139*(Inputs!$F$140*AV20/100+(1-Inputs!$F$140)*AV26/100*Inputs!$F$138/AV11)</f>
        <v>6.06966686657158</v>
      </c>
      <c r="AW49" s="13" t="n">
        <f aca="false">Inputs!$F$139*(Inputs!$F$140*AW20/100+(1-Inputs!$F$140)*AW26/100*Inputs!$F$138/AW11)</f>
        <v>6.13606997192196</v>
      </c>
      <c r="AX49" s="13" t="n">
        <f aca="false">Inputs!$F$139*(Inputs!$F$140*AX20/100+(1-Inputs!$F$140)*AX26/100*Inputs!$F$138/AX11)</f>
        <v>6.20319953763615</v>
      </c>
      <c r="AY49" s="13" t="n">
        <f aca="false">Inputs!$F$139*(Inputs!$F$140*AY20/100+(1-Inputs!$F$140)*AY26/100*Inputs!$F$138/AY11)</f>
        <v>6.27106351130424</v>
      </c>
      <c r="AZ49" s="13" t="n">
        <f aca="false">Inputs!$F$139*(Inputs!$F$140*AZ20/100+(1-Inputs!$F$140)*AZ26/100*Inputs!$F$138/AZ11)</f>
        <v>6.33966992746415</v>
      </c>
      <c r="BA49" s="13" t="n">
        <f aca="false">Inputs!$F$139*(Inputs!$F$140*BA20/100+(1-Inputs!$F$140)*BA26/100*Inputs!$F$138/BA11)</f>
        <v>6.40902690855293</v>
      </c>
      <c r="BB49" s="13" t="n">
        <f aca="false">Inputs!$F$139*(Inputs!$F$140*BB20/100+(1-Inputs!$F$140)*BB26/100*Inputs!$F$138/BB11)</f>
        <v>6.47914266586836</v>
      </c>
      <c r="BC49" s="13" t="n">
        <f aca="false">Inputs!$F$139*(Inputs!$F$140*BC20/100+(1-Inputs!$F$140)*BC26/100*Inputs!$F$138/BC11)</f>
        <v>6.55002550054109</v>
      </c>
      <c r="BD49" s="13" t="n">
        <f aca="false">Inputs!$F$139*(Inputs!$F$140*BD20/100+(1-Inputs!$F$140)*BD26/100*Inputs!$F$138/BD11)</f>
        <v>6.62168380451746</v>
      </c>
      <c r="BE49" s="13" t="n">
        <f aca="false">Inputs!$F$139*(Inputs!$F$140*BE20/100+(1-Inputs!$F$140)*BE26/100*Inputs!$F$138/BE11)</f>
        <v>6.694126061553</v>
      </c>
      <c r="BF49" s="13" t="n">
        <f aca="false">Inputs!$F$139*(Inputs!$F$140*BF20/100+(1-Inputs!$F$140)*BF26/100*Inputs!$F$138/BF11)</f>
        <v>6.76736084821685</v>
      </c>
      <c r="BG49" s="13" t="n">
        <f aca="false">Inputs!$F$139*(Inputs!$F$140*BG20/100+(1-Inputs!$F$140)*BG26/100*Inputs!$F$138/BG11)</f>
        <v>6.84139683490716</v>
      </c>
      <c r="BH49" s="13" t="n">
        <f aca="false">Inputs!$F$139*(Inputs!$F$140*BH20/100+(1-Inputs!$F$140)*BH26/100*Inputs!$F$138/BH11)</f>
        <v>6.91624278687762</v>
      </c>
      <c r="BI49" s="13" t="n">
        <f aca="false">Inputs!$F$139*(Inputs!$F$140*BI20/100+(1-Inputs!$F$140)*BI26/100*Inputs!$F$138/BI11)</f>
        <v>6.99190756527512</v>
      </c>
      <c r="BJ49" s="13" t="n">
        <f aca="false">Inputs!$F$139*(Inputs!$F$140*BJ20/100+(1-Inputs!$F$140)*BJ26/100*Inputs!$F$138/BJ11)</f>
        <v>7.06840012818892</v>
      </c>
      <c r="BK49" s="13" t="n">
        <f aca="false">Inputs!$F$139*(Inputs!$F$140*BK20/100+(1-Inputs!$F$140)*BK26/100*Inputs!$F$138/BK11)</f>
        <v>7.14572953171117</v>
      </c>
      <c r="BL49" s="13" t="n">
        <f aca="false">Inputs!$F$139*(Inputs!$F$140*BL20/100+(1-Inputs!$F$140)*BL26/100*Inputs!$F$138/BL11)</f>
        <v>7.22390493100908</v>
      </c>
      <c r="BM49" s="13" t="n">
        <f aca="false">Inputs!$F$139*(Inputs!$F$140*BM20/100+(1-Inputs!$F$140)*BM26/100*Inputs!$F$138/BM11)</f>
        <v>7.30293558140881</v>
      </c>
      <c r="BN49" s="13" t="n">
        <f aca="false">Inputs!$F$139*(Inputs!$F$140*BN20/100+(1-Inputs!$F$140)*BN26/100*Inputs!$F$138/BN11)</f>
        <v>7.38283083949127</v>
      </c>
    </row>
    <row r="50" customFormat="false" ht="15" hidden="false" customHeight="false" outlineLevel="0" collapsed="false">
      <c r="D50" s="0" t="s">
        <v>1626</v>
      </c>
      <c r="E50" s="0" t="s">
        <v>151</v>
      </c>
      <c r="G50" s="13" t="n">
        <f aca="false">SUM(J50:BN50)</f>
        <v>499.321607168171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2.5864004822598</v>
      </c>
      <c r="P50" s="13" t="n">
        <f aca="false">P38*P49/1000000</f>
        <v>7.84016579034993</v>
      </c>
      <c r="Q50" s="13" t="n">
        <f aca="false">Q38*Q49/1000000</f>
        <v>7.89465980030559</v>
      </c>
      <c r="R50" s="13" t="n">
        <f aca="false">R38*R49/1000000</f>
        <v>7.92385790808699</v>
      </c>
      <c r="S50" s="13" t="n">
        <f aca="false">S38*S49/1000000</f>
        <v>8.03037429427472</v>
      </c>
      <c r="T50" s="13" t="n">
        <f aca="false">T38*T49/1000000</f>
        <v>8.16434557834986</v>
      </c>
      <c r="U50" s="13" t="n">
        <f aca="false">U38*U49/1000000</f>
        <v>8.15366437040146</v>
      </c>
      <c r="V50" s="13" t="n">
        <f aca="false">V38*V49/1000000</f>
        <v>8.0471728483756</v>
      </c>
      <c r="W50" s="13" t="n">
        <f aca="false">W38*W49/1000000</f>
        <v>8.22478391667693</v>
      </c>
      <c r="X50" s="13" t="n">
        <f aca="false">X38*X49/1000000</f>
        <v>8.50185266781124</v>
      </c>
      <c r="Y50" s="13" t="n">
        <f aca="false">Y38*Y49/1000000</f>
        <v>8.56090697696286</v>
      </c>
      <c r="Z50" s="13" t="n">
        <f aca="false">Z38*Z49/1000000</f>
        <v>8.59253013852856</v>
      </c>
      <c r="AA50" s="13" t="n">
        <f aca="false">AA38*AA49/1000000</f>
        <v>8.70799552388681</v>
      </c>
      <c r="AB50" s="13" t="n">
        <f aca="false">AB38*AB49/1000000</f>
        <v>8.85323126661431</v>
      </c>
      <c r="AC50" s="13" t="n">
        <f aca="false">AC38*AC49/1000000</f>
        <v>8.78122363930055</v>
      </c>
      <c r="AD50" s="13" t="n">
        <f aca="false">AD38*AD49/1000000</f>
        <v>8.54309459054045</v>
      </c>
      <c r="AE50" s="13" t="n">
        <f aca="false">AE38*AE49/1000000</f>
        <v>8.79540745364682</v>
      </c>
      <c r="AF50" s="13" t="n">
        <f aca="false">AF38*AF49/1000000</f>
        <v>9.219047627312</v>
      </c>
      <c r="AG50" s="13" t="n">
        <f aca="false">AG38*AG49/1000000</f>
        <v>9.28304098745876</v>
      </c>
      <c r="AH50" s="13" t="n">
        <f aca="false">AH38*AH49/1000000</f>
        <v>9.31728879765427</v>
      </c>
      <c r="AI50" s="13" t="n">
        <f aca="false">AI38*AI49/1000000</f>
        <v>9.44244991665855</v>
      </c>
      <c r="AJ50" s="13" t="n">
        <f aca="false">AJ38*AJ49/1000000</f>
        <v>9.59989093150741</v>
      </c>
      <c r="AK50" s="13" t="n">
        <f aca="false">AK38*AK49/1000000</f>
        <v>9.58724359490226</v>
      </c>
      <c r="AL50" s="13" t="n">
        <f aca="false">AL38*AL49/1000000</f>
        <v>9.46194168601499</v>
      </c>
      <c r="AM50" s="13" t="n">
        <f aca="false">AM38*AM49/1000000</f>
        <v>9.67068937743608</v>
      </c>
      <c r="AN50" s="13" t="n">
        <f aca="false">AN38*AN49/1000000</f>
        <v>9.99637420929025</v>
      </c>
      <c r="AO50" s="13" t="n">
        <f aca="false">AO38*AO49/1000000</f>
        <v>10.0657165450618</v>
      </c>
      <c r="AP50" s="13" t="n">
        <f aca="false">AP38*AP49/1000000</f>
        <v>10.1028048453596</v>
      </c>
      <c r="AQ50" s="13" t="n">
        <f aca="false">AQ38*AQ49/1000000</f>
        <v>10.2384702386642</v>
      </c>
      <c r="AR50" s="13" t="n">
        <f aca="false">AR38*AR49/1000000</f>
        <v>10.4091352951009</v>
      </c>
      <c r="AS50" s="13" t="n">
        <f aca="false">AS38*AS49/1000000</f>
        <v>10.3243767753212</v>
      </c>
      <c r="AT50" s="13" t="n">
        <f aca="false">AT38*AT49/1000000</f>
        <v>10.0443070215011</v>
      </c>
      <c r="AU50" s="13" t="n">
        <f aca="false">AU38*AU49/1000000</f>
        <v>10.3408604704303</v>
      </c>
      <c r="AV50" s="13" t="n">
        <f aca="false">AV38*AV49/1000000</f>
        <v>10.8388378214437</v>
      </c>
      <c r="AW50" s="13" t="n">
        <f aca="false">AW38*AW49/1000000</f>
        <v>10.9139727676608</v>
      </c>
      <c r="AX50" s="13" t="n">
        <f aca="false">AX38*AX49/1000000</f>
        <v>10.9541349504048</v>
      </c>
      <c r="AY50" s="13" t="n">
        <f aca="false">AY38*AY49/1000000</f>
        <v>11.1011800305109</v>
      </c>
      <c r="AZ50" s="13" t="n">
        <f aca="false">AZ38*AZ49/1000000</f>
        <v>11.2861722519261</v>
      </c>
      <c r="BA50" s="13" t="n">
        <f aca="false">BA38*BA49/1000000</f>
        <v>11.2711972705587</v>
      </c>
      <c r="BB50" s="13" t="n">
        <f aca="false">BB38*BB49/1000000</f>
        <v>11.1237818441736</v>
      </c>
      <c r="BC50" s="13" t="n">
        <f aca="false">BC38*BC49/1000000</f>
        <v>11.3690854500881</v>
      </c>
      <c r="BD50" s="13" t="n">
        <f aca="false">BD38*BD49/1000000</f>
        <v>11.751856955154</v>
      </c>
      <c r="BE50" s="13" t="n">
        <f aca="false">BE38*BE49/1000000</f>
        <v>11.8332645978784</v>
      </c>
      <c r="BF50" s="13" t="n">
        <f aca="false">BF38*BF49/1000000</f>
        <v>11.8767530133811</v>
      </c>
      <c r="BG50" s="13" t="n">
        <f aca="false">BG38*BG49/1000000</f>
        <v>12.036125540498</v>
      </c>
      <c r="BH50" s="13" t="n">
        <f aca="false">BH38*BH49/1000000</f>
        <v>12.2366393210768</v>
      </c>
      <c r="BI50" s="13" t="n">
        <f aca="false">BI38*BI49/1000000</f>
        <v>12.1368843540424</v>
      </c>
      <c r="BJ50" s="13" t="n">
        <f aca="false">BJ38*BJ49/1000000</f>
        <v>11.8075339824925</v>
      </c>
      <c r="BK50" s="13" t="n">
        <f aca="false">BK38*BK49/1000000</f>
        <v>12.1560297181733</v>
      </c>
      <c r="BL50" s="13" t="n">
        <f aca="false">BL38*BL49/1000000</f>
        <v>12.7412969214314</v>
      </c>
      <c r="BM50" s="13" t="n">
        <f aca="false">BM38*BM49/1000000</f>
        <v>8.58155481122963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1627</v>
      </c>
      <c r="E51" s="0" t="s">
        <v>151</v>
      </c>
      <c r="G51" s="13" t="n">
        <f aca="false">SUM(J51:BN51)</f>
        <v>4886.82613822903</v>
      </c>
      <c r="J51" s="13" t="n">
        <f aca="false">J38*J40*(1000*Inputs!$F$123/Inputs!$F$124)*J41/1000000*0.765/(Inputs!$F$38/100)</f>
        <v>0</v>
      </c>
      <c r="K51" s="13" t="n">
        <f aca="false">K38*K40*(1000*Inputs!$F$123/Inputs!$F$124)*K41/1000000*0.765/(Inputs!$F$38/100)</f>
        <v>0</v>
      </c>
      <c r="L51" s="13" t="n">
        <f aca="false">L38*L40*(1000*Inputs!$F$123/Inputs!$F$124)*L41/1000000*0.765/(Inputs!$F$38/100)</f>
        <v>0</v>
      </c>
      <c r="M51" s="13" t="n">
        <f aca="false">M38*M40*(1000*Inputs!$F$123/Inputs!$F$124)*M41/1000000*0.765/(Inputs!$F$38/100)</f>
        <v>0</v>
      </c>
      <c r="N51" s="13" t="n">
        <f aca="false">N38*N40*(1000*Inputs!$F$123/Inputs!$F$124)*N41/1000000*0.765/(Inputs!$F$38/100)</f>
        <v>0</v>
      </c>
      <c r="O51" s="13" t="n">
        <f aca="false">O38*O40*(1000*Inputs!$F$123/Inputs!$F$124)*O41/1000000*0.765/(Inputs!$F$38/100)</f>
        <v>25.7791196996463</v>
      </c>
      <c r="P51" s="13" t="n">
        <f aca="false">P38*P40*(1000*Inputs!$F$123/Inputs!$F$124)*P41/1000000*0.765/(Inputs!$F$38/100)</f>
        <v>77.3244496667218</v>
      </c>
      <c r="Q51" s="13" t="n">
        <f aca="false">Q38*Q40*(1000*Inputs!$F$123/Inputs!$F$124)*Q41/1000000*0.765/(Inputs!$F$38/100)</f>
        <v>78.5989487836604</v>
      </c>
      <c r="R51" s="13" t="n">
        <f aca="false">R38*R40*(1000*Inputs!$F$123/Inputs!$F$124)*R41/1000000*0.765/(Inputs!$F$38/100)</f>
        <v>78.0749011546623</v>
      </c>
      <c r="S51" s="13" t="n">
        <f aca="false">S38*S40*(1000*Inputs!$F$123/Inputs!$F$124)*S41/1000000*0.765/(Inputs!$F$38/100)</f>
        <v>79.8733798268943</v>
      </c>
      <c r="T51" s="13" t="n">
        <f aca="false">T38*T40*(1000*Inputs!$F$123/Inputs!$F$124)*T41/1000000*0.765/(Inputs!$F$38/100)</f>
        <v>80.3672083375917</v>
      </c>
      <c r="U51" s="13" t="n">
        <f aca="false">U38*U40*(1000*Inputs!$F$123/Inputs!$F$124)*U41/1000000*0.765/(Inputs!$F$38/100)</f>
        <v>81.021751587173</v>
      </c>
      <c r="V51" s="13" t="n">
        <f aca="false">V38*V40*(1000*Inputs!$F$123/Inputs!$F$124)*V41/1000000*0.765/(Inputs!$F$38/100)</f>
        <v>79.137648401152</v>
      </c>
      <c r="W51" s="13" t="n">
        <f aca="false">W38*W40*(1000*Inputs!$F$123/Inputs!$F$124)*W41/1000000*0.765/(Inputs!$F$38/100)</f>
        <v>81.6498489848216</v>
      </c>
      <c r="X51" s="13" t="n">
        <f aca="false">X38*X40*(1000*Inputs!$F$123/Inputs!$F$124)*X41/1000000*0.765/(Inputs!$F$38/100)</f>
        <v>83.5286114440956</v>
      </c>
      <c r="Y51" s="13" t="n">
        <f aca="false">Y38*Y40*(1000*Inputs!$F$123/Inputs!$F$124)*Y41/1000000*0.765/(Inputs!$F$38/100)</f>
        <v>84.9048165069735</v>
      </c>
      <c r="Z51" s="13" t="n">
        <f aca="false">Z38*Z40*(1000*Inputs!$F$123/Inputs!$F$124)*Z41/1000000*0.765/(Inputs!$F$38/100)</f>
        <v>84.3381746041477</v>
      </c>
      <c r="AA51" s="13" t="n">
        <f aca="false">AA38*AA40*(1000*Inputs!$F$123/Inputs!$F$124)*AA41/1000000*0.765/(Inputs!$F$38/100)</f>
        <v>86.2803657749892</v>
      </c>
      <c r="AB51" s="13" t="n">
        <f aca="false">AB38*AB40*(1000*Inputs!$F$123/Inputs!$F$124)*AB41/1000000*0.765/(Inputs!$F$38/100)</f>
        <v>86.8132386021557</v>
      </c>
      <c r="AC51" s="13" t="n">
        <f aca="false">AC38*AC40*(1000*Inputs!$F$123/Inputs!$F$124)*AC41/1000000*0.765/(Inputs!$F$38/100)</f>
        <v>86.9219818515904</v>
      </c>
      <c r="AD51" s="13" t="n">
        <f aca="false">AD38*AD40*(1000*Inputs!$F$123/Inputs!$F$124)*AD41/1000000*0.765/(Inputs!$F$38/100)</f>
        <v>83.6912300873451</v>
      </c>
      <c r="AE51" s="13" t="n">
        <f aca="false">AE38*AE40*(1000*Inputs!$F$123/Inputs!$F$124)*AE41/1000000*0.765/(Inputs!$F$38/100)</f>
        <v>86.9783006666355</v>
      </c>
      <c r="AF51" s="13" t="n">
        <f aca="false">AF38*AF40*(1000*Inputs!$F$123/Inputs!$F$124)*AF41/1000000*0.765/(Inputs!$F$38/100)</f>
        <v>90.2258441743053</v>
      </c>
      <c r="AG51" s="13" t="n">
        <f aca="false">AG38*AG40*(1000*Inputs!$F$123/Inputs!$F$124)*AG41/1000000*0.765/(Inputs!$F$38/100)</f>
        <v>91.7117897628972</v>
      </c>
      <c r="AH51" s="13" t="n">
        <f aca="false">AH38*AH40*(1000*Inputs!$F$123/Inputs!$F$124)*AH41/1000000*0.765/(Inputs!$F$38/100)</f>
        <v>91.0991206249612</v>
      </c>
      <c r="AI51" s="13" t="n">
        <f aca="false">AI38*AI40*(1000*Inputs!$F$123/Inputs!$F$124)*AI41/1000000*0.765/(Inputs!$F$38/100)</f>
        <v>93.1963942315242</v>
      </c>
      <c r="AJ51" s="13" t="n">
        <f aca="false">AJ38*AJ40*(1000*Inputs!$F$123/Inputs!$F$124)*AJ41/1000000*0.765/(Inputs!$F$38/100)</f>
        <v>93.7713638483066</v>
      </c>
      <c r="AK51" s="13" t="n">
        <f aca="false">AK38*AK40*(1000*Inputs!$F$123/Inputs!$F$124)*AK41/1000000*0.765/(Inputs!$F$38/100)</f>
        <v>94.5338347262224</v>
      </c>
      <c r="AL51" s="13" t="n">
        <f aca="false">AL38*AL40*(1000*Inputs!$F$123/Inputs!$F$124)*AL41/1000000*0.765/(Inputs!$F$38/100)</f>
        <v>92.3343043481119</v>
      </c>
      <c r="AM51" s="13" t="n">
        <f aca="false">AM38*AM40*(1000*Inputs!$F$123/Inputs!$F$124)*AM41/1000000*0.765/(Inputs!$F$38/100)</f>
        <v>95.2641759921699</v>
      </c>
      <c r="AN51" s="13" t="n">
        <f aca="false">AN38*AN40*(1000*Inputs!$F$123/Inputs!$F$124)*AN41/1000000*0.765/(Inputs!$F$38/100)</f>
        <v>97.454921459431</v>
      </c>
      <c r="AO51" s="13" t="n">
        <f aca="false">AO38*AO40*(1000*Inputs!$F$123/Inputs!$F$124)*AO41/1000000*0.765/(Inputs!$F$38/100)</f>
        <v>99.0592696696603</v>
      </c>
      <c r="AP51" s="13" t="n">
        <f aca="false">AP38*AP40*(1000*Inputs!$F$123/Inputs!$F$124)*AP41/1000000*0.765/(Inputs!$F$38/100)</f>
        <v>98.3968661325441</v>
      </c>
      <c r="AQ51" s="13" t="n">
        <f aca="false">AQ38*AQ40*(1000*Inputs!$F$123/Inputs!$F$124)*AQ41/1000000*0.765/(Inputs!$F$38/100)</f>
        <v>100.661481636439</v>
      </c>
      <c r="AR51" s="13" t="n">
        <f aca="false">AR38*AR40*(1000*Inputs!$F$123/Inputs!$F$124)*AR41/1000000*0.765/(Inputs!$F$38/100)</f>
        <v>101.281836065243</v>
      </c>
      <c r="AS51" s="13" t="n">
        <f aca="false">AS38*AS40*(1000*Inputs!$F$123/Inputs!$F$124)*AS41/1000000*0.765/(Inputs!$F$38/100)</f>
        <v>101.407363093729</v>
      </c>
      <c r="AT51" s="13" t="n">
        <f aca="false">AT38*AT40*(1000*Inputs!$F$123/Inputs!$F$124)*AT41/1000000*0.765/(Inputs!$F$38/100)</f>
        <v>97.6369218120997</v>
      </c>
      <c r="AU51" s="13" t="n">
        <f aca="false">AU38*AU40*(1000*Inputs!$F$123/Inputs!$F$124)*AU41/1000000*0.765/(Inputs!$F$38/100)</f>
        <v>101.470383003147</v>
      </c>
      <c r="AV51" s="13" t="n">
        <f aca="false">AV38*AV40*(1000*Inputs!$F$123/Inputs!$F$124)*AV41/1000000*0.765/(Inputs!$F$38/100)</f>
        <v>105.257629282044</v>
      </c>
      <c r="AW51" s="13" t="n">
        <f aca="false">AW38*AW40*(1000*Inputs!$F$123/Inputs!$F$124)*AW41/1000000*0.765/(Inputs!$F$38/100)</f>
        <v>106.989718090849</v>
      </c>
      <c r="AX51" s="13" t="n">
        <f aca="false">AX38*AX40*(1000*Inputs!$F$123/Inputs!$F$124)*AX41/1000000*0.765/(Inputs!$F$38/100)</f>
        <v>106.273577101457</v>
      </c>
      <c r="AY51" s="13" t="n">
        <f aca="false">AY38*AY40*(1000*Inputs!$F$123/Inputs!$F$124)*AY41/1000000*0.765/(Inputs!$F$38/100)</f>
        <v>108.718752184724</v>
      </c>
      <c r="AZ51" s="13" t="n">
        <f aca="false">AZ38*AZ40*(1000*Inputs!$F$123/Inputs!$F$124)*AZ41/1000000*0.765/(Inputs!$F$38/100)</f>
        <v>109.388032892451</v>
      </c>
      <c r="BA51" s="13" t="n">
        <f aca="false">BA38*BA40*(1000*Inputs!$F$123/Inputs!$F$124)*BA41/1000000*0.765/(Inputs!$F$38/100)</f>
        <v>110.276019419535</v>
      </c>
      <c r="BB51" s="13" t="n">
        <f aca="false">BB38*BB40*(1000*Inputs!$F$123/Inputs!$F$124)*BB41/1000000*0.765/(Inputs!$F$38/100)</f>
        <v>107.708780540664</v>
      </c>
      <c r="BC51" s="13" t="n">
        <f aca="false">BC38*BC40*(1000*Inputs!$F$123/Inputs!$F$124)*BC41/1000000*0.765/(Inputs!$F$38/100)</f>
        <v>111.125021868197</v>
      </c>
      <c r="BD51" s="13" t="n">
        <f aca="false">BD38*BD40*(1000*Inputs!$F$123/Inputs!$F$124)*BD41/1000000*0.765/(Inputs!$F$38/100)</f>
        <v>113.678996733924</v>
      </c>
      <c r="BE51" s="13" t="n">
        <f aca="false">BE38*BE40*(1000*Inputs!$F$123/Inputs!$F$124)*BE41/1000000*0.765/(Inputs!$F$38/100)</f>
        <v>115.548892032972</v>
      </c>
      <c r="BF51" s="13" t="n">
        <f aca="false">BF38*BF40*(1000*Inputs!$F$123/Inputs!$F$124)*BF41/1000000*0.765/(Inputs!$F$38/100)</f>
        <v>114.774691266782</v>
      </c>
      <c r="BG51" s="13" t="n">
        <f aca="false">BG38*BG40*(1000*Inputs!$F$123/Inputs!$F$124)*BG41/1000000*0.765/(Inputs!$F$38/100)</f>
        <v>117.414675751632</v>
      </c>
      <c r="BH51" s="13" t="n">
        <f aca="false">BH38*BH40*(1000*Inputs!$F$123/Inputs!$F$124)*BH41/1000000*0.765/(Inputs!$F$38/100)</f>
        <v>118.136696878405</v>
      </c>
      <c r="BI51" s="13" t="n">
        <f aca="false">BI38*BI40*(1000*Inputs!$F$123/Inputs!$F$124)*BI41/1000000*0.765/(Inputs!$F$38/100)</f>
        <v>118.281530787593</v>
      </c>
      <c r="BJ51" s="13" t="n">
        <f aca="false">BJ38*BJ40*(1000*Inputs!$F$123/Inputs!$F$124)*BJ41/1000000*0.765/(Inputs!$F$38/100)</f>
        <v>113.882163597378</v>
      </c>
      <c r="BK51" s="13" t="n">
        <f aca="false">BK38*BK40*(1000*Inputs!$F$123/Inputs!$F$124)*BK41/1000000*0.765/(Inputs!$F$38/100)</f>
        <v>118.351865898643</v>
      </c>
      <c r="BL51" s="13" t="n">
        <f aca="false">BL38*BL40*(1000*Inputs!$F$123/Inputs!$F$124)*BL41/1000000*0.765/(Inputs!$F$38/100)</f>
        <v>122.767544113567</v>
      </c>
      <c r="BM51" s="13" t="n">
        <f aca="false">BM38*BM40*(1000*Inputs!$F$123/Inputs!$F$124)*BM41/1000000*0.765/(Inputs!$F$38/100)</f>
        <v>83.4617032271672</v>
      </c>
      <c r="BN51" s="13" t="n">
        <f aca="false">BN38*BN40*(1000*Inputs!$F$123/Inputs!$F$124)*BN41/1000000*0.765/(Inputs!$F$38/100)</f>
        <v>0</v>
      </c>
    </row>
    <row r="52" customFormat="false" ht="15" hidden="false" customHeight="false" outlineLevel="0" collapsed="false">
      <c r="D52" s="0" t="s">
        <v>1628</v>
      </c>
      <c r="E52" s="0" t="s">
        <v>151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1629</v>
      </c>
      <c r="E53" s="0" t="s">
        <v>151</v>
      </c>
      <c r="G53" s="13" t="n">
        <f aca="false">SUM(J53:BN53)</f>
        <v>146.429542661692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0.822072217410972</v>
      </c>
      <c r="P53" s="13" t="n">
        <f aca="false">P42*Inputs!$F$148*(1+Inputs!$F$149/100)^(Time!P26-Inputs!$F$256)/1000000</f>
        <v>2.46596928451541</v>
      </c>
      <c r="Q53" s="13" t="n">
        <f aca="false">Q42*Inputs!$F$148*(1+Inputs!$F$149/100)^(Time!Q26-Inputs!$F$256)/1000000</f>
        <v>2.49457634071986</v>
      </c>
      <c r="R53" s="13" t="n">
        <f aca="false">R42*Inputs!$F$148*(1+Inputs!$F$149/100)^(Time!R26-Inputs!$F$256)/1000000</f>
        <v>2.47819126968233</v>
      </c>
      <c r="S53" s="13" t="n">
        <f aca="false">S42*Inputs!$F$148*(1+Inputs!$F$149/100)^(Time!S26-Inputs!$F$256)/1000000</f>
        <v>2.52310069174203</v>
      </c>
      <c r="T53" s="13" t="n">
        <f aca="false">T42*Inputs!$F$148*(1+Inputs!$F$149/100)^(Time!T26-Inputs!$F$256)/1000000</f>
        <v>2.53895279679783</v>
      </c>
      <c r="U53" s="13" t="n">
        <f aca="false">U42*Inputs!$F$148*(1+Inputs!$F$149/100)^(Time!U26-Inputs!$F$256)/1000000</f>
        <v>2.54733708376765</v>
      </c>
      <c r="V53" s="13" t="n">
        <f aca="false">V42*Inputs!$F$148*(1+Inputs!$F$149/100)^(Time!V26-Inputs!$F$256)/1000000</f>
        <v>2.48834767032787</v>
      </c>
      <c r="W53" s="13" t="n">
        <f aca="false">W42*Inputs!$F$148*(1+Inputs!$F$149/100)^(Time!W26-Inputs!$F$256)/1000000</f>
        <v>2.5550079524854</v>
      </c>
      <c r="X53" s="13" t="n">
        <f aca="false">X42*Inputs!$F$148*(1+Inputs!$F$149/100)^(Time!X26-Inputs!$F$256)/1000000</f>
        <v>2.61405768091835</v>
      </c>
      <c r="Y53" s="13" t="n">
        <f aca="false">Y42*Inputs!$F$148*(1+Inputs!$F$149/100)^(Time!Y26-Inputs!$F$256)/1000000</f>
        <v>2.64436310847705</v>
      </c>
      <c r="Z53" s="13" t="n">
        <f aca="false">Z42*Inputs!$F$148*(1+Inputs!$F$149/100)^(Time!Z26-Inputs!$F$256)/1000000</f>
        <v>2.62697475306514</v>
      </c>
      <c r="AA53" s="13" t="n">
        <f aca="false">AA42*Inputs!$F$148*(1+Inputs!$F$149/100)^(Time!AA26-Inputs!$F$256)/1000000</f>
        <v>2.6745606031505</v>
      </c>
      <c r="AB53" s="13" t="n">
        <f aca="false">AB42*Inputs!$F$148*(1+Inputs!$F$149/100)^(Time!AB26-Inputs!$F$256)/1000000</f>
        <v>2.69134436037929</v>
      </c>
      <c r="AC53" s="13" t="n">
        <f aca="false">AC42*Inputs!$F$148*(1+Inputs!$F$149/100)^(Time!AC26-Inputs!$F$256)/1000000</f>
        <v>2.68177045261444</v>
      </c>
      <c r="AD53" s="13" t="n">
        <f aca="false">AD42*Inputs!$F$148*(1+Inputs!$F$149/100)^(Time!AD26-Inputs!$F$256)/1000000</f>
        <v>2.58234751037338</v>
      </c>
      <c r="AE53" s="13" t="n">
        <f aca="false">AE42*Inputs!$F$148*(1+Inputs!$F$149/100)^(Time!AE26-Inputs!$F$256)/1000000</f>
        <v>2.67087909828532</v>
      </c>
      <c r="AF53" s="13" t="n">
        <f aca="false">AF42*Inputs!$F$148*(1+Inputs!$F$149/100)^(Time!AF26-Inputs!$F$256)/1000000</f>
        <v>2.77087493886801</v>
      </c>
      <c r="AG53" s="13" t="n">
        <f aca="false">AG42*Inputs!$F$148*(1+Inputs!$F$149/100)^(Time!AG26-Inputs!$F$256)/1000000</f>
        <v>2.80297757361037</v>
      </c>
      <c r="AH53" s="13" t="n">
        <f aca="false">AH42*Inputs!$F$148*(1+Inputs!$F$149/100)^(Time!AH26-Inputs!$F$256)/1000000</f>
        <v>2.78452554036638</v>
      </c>
      <c r="AI53" s="13" t="n">
        <f aca="false">AI42*Inputs!$F$148*(1+Inputs!$F$149/100)^(Time!AI26-Inputs!$F$256)/1000000</f>
        <v>2.83494424264546</v>
      </c>
      <c r="AJ53" s="13" t="n">
        <f aca="false">AJ42*Inputs!$F$148*(1+Inputs!$F$149/100)^(Time!AJ26-Inputs!$F$256)/1000000</f>
        <v>2.85271324558339</v>
      </c>
      <c r="AK53" s="13" t="n">
        <f aca="false">AK42*Inputs!$F$148*(1+Inputs!$F$149/100)^(Time!AK26-Inputs!$F$256)/1000000</f>
        <v>2.86209114322515</v>
      </c>
      <c r="AL53" s="13" t="n">
        <f aca="false">AL42*Inputs!$F$148*(1+Inputs!$F$149/100)^(Time!AL26-Inputs!$F$256)/1000000</f>
        <v>2.79577133641956</v>
      </c>
      <c r="AM53" s="13" t="n">
        <f aca="false">AM42*Inputs!$F$148*(1+Inputs!$F$149/100)^(Time!AM26-Inputs!$F$256)/1000000</f>
        <v>2.87062450669468</v>
      </c>
      <c r="AN53" s="13" t="n">
        <f aca="false">AN42*Inputs!$F$148*(1+Inputs!$F$149/100)^(Time!AN26-Inputs!$F$256)/1000000</f>
        <v>2.93692488173585</v>
      </c>
      <c r="AO53" s="13" t="n">
        <f aca="false">AO42*Inputs!$F$148*(1+Inputs!$F$149/100)^(Time!AO26-Inputs!$F$256)/1000000</f>
        <v>2.97092917871418</v>
      </c>
      <c r="AP53" s="13" t="n">
        <f aca="false">AP42*Inputs!$F$148*(1+Inputs!$F$149/100)^(Time!AP26-Inputs!$F$256)/1000000</f>
        <v>2.95134950387454</v>
      </c>
      <c r="AQ53" s="13" t="n">
        <f aca="false">AQ42*Inputs!$F$148*(1+Inputs!$F$149/100)^(Time!AQ26-Inputs!$F$256)/1000000</f>
        <v>3.00476642152149</v>
      </c>
      <c r="AR53" s="13" t="n">
        <f aca="false">AR42*Inputs!$F$148*(1+Inputs!$F$149/100)^(Time!AR26-Inputs!$F$256)/1000000</f>
        <v>3.02357726824958</v>
      </c>
      <c r="AS53" s="13" t="n">
        <f aca="false">AS42*Inputs!$F$148*(1+Inputs!$F$149/100)^(Time!AS26-Inputs!$F$256)/1000000</f>
        <v>3.0127765863489</v>
      </c>
      <c r="AT53" s="13" t="n">
        <f aca="false">AT42*Inputs!$F$148*(1+Inputs!$F$149/100)^(Time!AT26-Inputs!$F$256)/1000000</f>
        <v>2.90103876886235</v>
      </c>
      <c r="AU53" s="13" t="n">
        <f aca="false">AU42*Inputs!$F$148*(1+Inputs!$F$149/100)^(Time!AU26-Inputs!$F$256)/1000000</f>
        <v>3.00045138364863</v>
      </c>
      <c r="AV53" s="13" t="n">
        <f aca="false">AV42*Inputs!$F$148*(1+Inputs!$F$149/100)^(Time!AV26-Inputs!$F$256)/1000000</f>
        <v>3.11273969469616</v>
      </c>
      <c r="AW53" s="13" t="n">
        <f aca="false">AW42*Inputs!$F$148*(1+Inputs!$F$149/100)^(Time!AW26-Inputs!$F$256)/1000000</f>
        <v>3.14875603856921</v>
      </c>
      <c r="AX53" s="13" t="n">
        <f aca="false">AX42*Inputs!$F$148*(1+Inputs!$F$149/100)^(Time!AX26-Inputs!$F$256)/1000000</f>
        <v>3.12798098121417</v>
      </c>
      <c r="AY53" s="13" t="n">
        <f aca="false">AY42*Inputs!$F$148*(1+Inputs!$F$149/100)^(Time!AY26-Inputs!$F$256)/1000000</f>
        <v>3.18457091338283</v>
      </c>
      <c r="AZ53" s="13" t="n">
        <f aca="false">AZ42*Inputs!$F$148*(1+Inputs!$F$149/100)^(Time!AZ26-Inputs!$F$256)/1000000</f>
        <v>3.20448336948944</v>
      </c>
      <c r="BA53" s="13" t="n">
        <f aca="false">BA42*Inputs!$F$148*(1+Inputs!$F$149/100)^(Time!BA26-Inputs!$F$256)/1000000</f>
        <v>3.21496952620687</v>
      </c>
      <c r="BB53" s="13" t="n">
        <f aca="false">BB42*Inputs!$F$148*(1+Inputs!$F$149/100)^(Time!BB26-Inputs!$F$256)/1000000</f>
        <v>3.14042584676436</v>
      </c>
      <c r="BC53" s="13" t="n">
        <f aca="false">BC42*Inputs!$F$148*(1+Inputs!$F$149/100)^(Time!BC26-Inputs!$F$256)/1000000</f>
        <v>3.22445836749426</v>
      </c>
      <c r="BD53" s="13" t="n">
        <f aca="false">BD42*Inputs!$F$148*(1+Inputs!$F$149/100)^(Time!BD26-Inputs!$F$256)/1000000</f>
        <v>3.29888147137207</v>
      </c>
      <c r="BE53" s="13" t="n">
        <f aca="false">BE42*Inputs!$F$148*(1+Inputs!$F$149/100)^(Time!BE26-Inputs!$F$256)/1000000</f>
        <v>3.33702650328729</v>
      </c>
      <c r="BF53" s="13" t="n">
        <f aca="false">BF42*Inputs!$F$148*(1+Inputs!$F$149/100)^(Time!BF26-Inputs!$F$256)/1000000</f>
        <v>3.31498432678839</v>
      </c>
      <c r="BG53" s="13" t="n">
        <f aca="false">BG42*Inputs!$F$148*(1+Inputs!$F$149/100)^(Time!BG26-Inputs!$F$256)/1000000</f>
        <v>3.37493203223909</v>
      </c>
      <c r="BH53" s="13" t="n">
        <f aca="false">BH42*Inputs!$F$148*(1+Inputs!$F$149/100)^(Time!BH26-Inputs!$F$256)/1000000</f>
        <v>3.39600920222504</v>
      </c>
      <c r="BI53" s="13" t="n">
        <f aca="false">BI42*Inputs!$F$148*(1+Inputs!$F$149/100)^(Time!BI26-Inputs!$F$256)/1000000</f>
        <v>3.38382725385082</v>
      </c>
      <c r="BJ53" s="13" t="n">
        <f aca="false">BJ42*Inputs!$F$148*(1+Inputs!$F$149/100)^(Time!BJ26-Inputs!$F$256)/1000000</f>
        <v>3.25827889270016</v>
      </c>
      <c r="BK53" s="13" t="n">
        <f aca="false">BK42*Inputs!$F$148*(1+Inputs!$F$149/100)^(Time!BK26-Inputs!$F$256)/1000000</f>
        <v>3.36988266108797</v>
      </c>
      <c r="BL53" s="13" t="n">
        <f aca="false">BL42*Inputs!$F$148*(1+Inputs!$F$149/100)^(Time!BL26-Inputs!$F$256)/1000000</f>
        <v>3.49594384123186</v>
      </c>
      <c r="BM53" s="13" t="n">
        <f aca="false">BM42*Inputs!$F$148*(1+Inputs!$F$149/100)^(Time!BM26-Inputs!$F$256)/1000000</f>
        <v>2.36520234401095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1630</v>
      </c>
      <c r="E54" s="0" t="s">
        <v>151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1631</v>
      </c>
      <c r="E55" s="0" t="s">
        <v>151</v>
      </c>
      <c r="G55" s="13" t="n">
        <f aca="false">SUM(J55:BN55)</f>
        <v>3963.44412587838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23.668921797425</v>
      </c>
      <c r="P55" s="13" t="n">
        <f aca="false">P48+P50</f>
        <v>71.317231377538</v>
      </c>
      <c r="Q55" s="13" t="n">
        <f aca="false">Q48+Q50</f>
        <v>71.3999774356211</v>
      </c>
      <c r="R55" s="13" t="n">
        <f aca="false">R48+R50</f>
        <v>71.2539549800857</v>
      </c>
      <c r="S55" s="13" t="n">
        <f aca="false">S48+S50</f>
        <v>71.8005818667787</v>
      </c>
      <c r="T55" s="13" t="n">
        <f aca="false">T48+T50</f>
        <v>72.5848017605658</v>
      </c>
      <c r="U55" s="13" t="n">
        <f aca="false">U48+U50</f>
        <v>72.0811271443132</v>
      </c>
      <c r="V55" s="13" t="n">
        <f aca="false">V48+V50</f>
        <v>70.7406090254408</v>
      </c>
      <c r="W55" s="13" t="n">
        <f aca="false">W48+W50</f>
        <v>71.8983645177188</v>
      </c>
      <c r="X55" s="13" t="n">
        <f aca="false">X48+X50</f>
        <v>73.9076652322843</v>
      </c>
      <c r="Y55" s="13" t="n">
        <f aca="false">Y48+Y50</f>
        <v>74.0098361964196</v>
      </c>
      <c r="Z55" s="13" t="n">
        <f aca="false">Z48+Z50</f>
        <v>73.8748933860278</v>
      </c>
      <c r="AA55" s="13" t="n">
        <f aca="false">AA48+AA50</f>
        <v>74.4582007523703</v>
      </c>
      <c r="AB55" s="13" t="n">
        <f aca="false">AB48+AB50</f>
        <v>75.2882328066528</v>
      </c>
      <c r="AC55" s="13" t="n">
        <f aca="false">AC48+AC50</f>
        <v>74.2717606139637</v>
      </c>
      <c r="AD55" s="13" t="n">
        <f aca="false">AD48+AD50</f>
        <v>71.8686905403201</v>
      </c>
      <c r="AE55" s="13" t="n">
        <f aca="false">AE48+AE50</f>
        <v>73.5950797778647</v>
      </c>
      <c r="AF55" s="13" t="n">
        <f aca="false">AF48+AF50</f>
        <v>76.729020585305</v>
      </c>
      <c r="AG55" s="13" t="n">
        <f aca="false">AG48+AG50</f>
        <v>76.8523470961089</v>
      </c>
      <c r="AH55" s="13" t="n">
        <f aca="false">AH48+AH50</f>
        <v>76.7294706333228</v>
      </c>
      <c r="AI55" s="13" t="n">
        <f aca="false">AI48+AI50</f>
        <v>77.3527273039273</v>
      </c>
      <c r="AJ55" s="13" t="n">
        <f aca="false">AJ48+AJ50</f>
        <v>78.2326543360112</v>
      </c>
      <c r="AK55" s="13" t="n">
        <f aca="false">AK48+AK50</f>
        <v>77.7246716970038</v>
      </c>
      <c r="AL55" s="13" t="n">
        <f aca="false">AL48+AL50</f>
        <v>76.3134909237916</v>
      </c>
      <c r="AM55" s="13" t="n">
        <f aca="false">AM48+AM50</f>
        <v>77.5973639953282</v>
      </c>
      <c r="AN55" s="13" t="n">
        <f aca="false">AN48+AN50</f>
        <v>79.8018742705274</v>
      </c>
      <c r="AO55" s="13" t="n">
        <f aca="false">AO48+AO50</f>
        <v>79.948241091444</v>
      </c>
      <c r="AP55" s="13" t="n">
        <f aca="false">AP48+AP50</f>
        <v>79.8385055102924</v>
      </c>
      <c r="AQ55" s="13" t="n">
        <f aca="false">AQ48+AQ50</f>
        <v>80.5052714920437</v>
      </c>
      <c r="AR55" s="13" t="n">
        <f aca="false">AR48+AR50</f>
        <v>81.4395400305095</v>
      </c>
      <c r="AS55" s="13" t="n">
        <f aca="false">AS48+AS50</f>
        <v>80.376394659411</v>
      </c>
      <c r="AT55" s="13" t="n">
        <f aca="false">AT48+AT50</f>
        <v>77.8110515131227</v>
      </c>
      <c r="AU55" s="13" t="n">
        <f aca="false">AU48+AU50</f>
        <v>79.7163172403033</v>
      </c>
      <c r="AV55" s="13" t="n">
        <f aca="false">AV48+AV50</f>
        <v>83.1486358905497</v>
      </c>
      <c r="AW55" s="13" t="n">
        <f aca="false">AW48+AW50</f>
        <v>83.3200956271236</v>
      </c>
      <c r="AX55" s="13" t="n">
        <f aca="false">AX48+AX50</f>
        <v>83.2246711078696</v>
      </c>
      <c r="AY55" s="13" t="n">
        <f aca="false">AY48+AY50</f>
        <v>83.9388235166203</v>
      </c>
      <c r="AZ55" s="13" t="n">
        <f aca="false">AZ48+AZ50</f>
        <v>84.9322761877855</v>
      </c>
      <c r="BA55" s="13" t="n">
        <f aca="false">BA48+BA50</f>
        <v>84.419178663679</v>
      </c>
      <c r="BB55" s="13" t="n">
        <f aca="false">BB48+BB50</f>
        <v>82.9241716202011</v>
      </c>
      <c r="BC55" s="13" t="n">
        <f aca="false">BC48+BC50</f>
        <v>84.3576436137775</v>
      </c>
      <c r="BD55" s="13" t="n">
        <f aca="false">BD48+BD50</f>
        <v>86.7937109879436</v>
      </c>
      <c r="BE55" s="13" t="n">
        <f aca="false">BE48+BE50</f>
        <v>86.9924990277415</v>
      </c>
      <c r="BF55" s="13" t="n">
        <f aca="false">BF48+BF50</f>
        <v>86.9126599065046</v>
      </c>
      <c r="BG55" s="13" t="n">
        <f aca="false">BG48+BG50</f>
        <v>87.6784212012092</v>
      </c>
      <c r="BH55" s="13" t="n">
        <f aca="false">BH48+BH50</f>
        <v>88.7363319981084</v>
      </c>
      <c r="BI55" s="13" t="n">
        <f aca="false">BI48+BI50</f>
        <v>87.6178170630612</v>
      </c>
      <c r="BJ55" s="13" t="n">
        <f aca="false">BJ48+BJ50</f>
        <v>84.8599779294579</v>
      </c>
      <c r="BK55" s="13" t="n">
        <f aca="false">BK48+BK50</f>
        <v>86.9774248808519</v>
      </c>
      <c r="BL55" s="13" t="n">
        <f aca="false">BL48+BL50</f>
        <v>90.7636787369556</v>
      </c>
      <c r="BM55" s="13" t="n">
        <f aca="false">BM48+BM50</f>
        <v>60.8572363290941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1632</v>
      </c>
      <c r="E56" s="0" t="s">
        <v>151</v>
      </c>
      <c r="G56" s="13" t="n">
        <f aca="false">SUM(J56:BN56)</f>
        <v>9687.04653872519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54.0864528822335</v>
      </c>
      <c r="P56" s="13" t="n">
        <f aca="false">P55+P51+P52+P53+P54</f>
        <v>162.619230769205</v>
      </c>
      <c r="Q56" s="13" t="n">
        <f aca="false">Q55+Q51+Q52+Q53+Q54</f>
        <v>163.987252563336</v>
      </c>
      <c r="R56" s="13" t="n">
        <f aca="false">R55+R51+R52+R53+R54</f>
        <v>163.491301551467</v>
      </c>
      <c r="S56" s="13" t="n">
        <f aca="false">S55+S51+S52+S53+S54</f>
        <v>165.8632186388</v>
      </c>
      <c r="T56" s="13" t="n">
        <f aca="false">T55+T51+T52+T53+T54</f>
        <v>167.350480854197</v>
      </c>
      <c r="U56" s="13" t="n">
        <f aca="false">U55+U51+U52+U53+U54</f>
        <v>167.556785122921</v>
      </c>
      <c r="V56" s="13" t="n">
        <f aca="false">V55+V51+V52+V53+V54</f>
        <v>164.404015825551</v>
      </c>
      <c r="W56" s="13" t="n">
        <f aca="false">W55+W51+W52+W53+W54</f>
        <v>168.121987281169</v>
      </c>
      <c r="X56" s="13" t="n">
        <f aca="false">X55+X51+X52+X53+X54</f>
        <v>172.268306246858</v>
      </c>
      <c r="Y56" s="13" t="n">
        <f aca="false">Y55+Y51+Y52+Y53+Y54</f>
        <v>173.758063125406</v>
      </c>
      <c r="Z56" s="13" t="n">
        <f aca="false">Z55+Z51+Z52+Z53+Z54</f>
        <v>173.241284211144</v>
      </c>
      <c r="AA56" s="13" t="n">
        <f aca="false">AA55+AA51+AA52+AA53+AA54</f>
        <v>175.795160153749</v>
      </c>
      <c r="AB56" s="13" t="n">
        <f aca="false">AB55+AB51+AB52+AB53+AB54</f>
        <v>177.38007585911</v>
      </c>
      <c r="AC56" s="13" t="n">
        <f aca="false">AC55+AC51+AC52+AC53+AC54</f>
        <v>176.512711594317</v>
      </c>
      <c r="AD56" s="13" t="n">
        <f aca="false">AD55+AD51+AD52+AD53+AD54</f>
        <v>170.918337129309</v>
      </c>
      <c r="AE56" s="13" t="n">
        <f aca="false">AE55+AE51+AE52+AE53+AE54</f>
        <v>176.000539514151</v>
      </c>
      <c r="AF56" s="13" t="n">
        <f aca="false">AF55+AF51+AF52+AF53+AF54</f>
        <v>182.693449724618</v>
      </c>
      <c r="AG56" s="13" t="n">
        <f aca="false">AG55+AG51+AG52+AG53+AG54</f>
        <v>184.314738603553</v>
      </c>
      <c r="AH56" s="13" t="n">
        <f aca="false">AH55+AH51+AH52+AH53+AH54</f>
        <v>183.775342475182</v>
      </c>
      <c r="AI56" s="13" t="n">
        <f aca="false">AI55+AI51+AI52+AI53+AI54</f>
        <v>186.525904311597</v>
      </c>
      <c r="AJ56" s="13" t="n">
        <f aca="false">AJ55+AJ51+AJ52+AJ53+AJ54</f>
        <v>188.216390491581</v>
      </c>
      <c r="AK56" s="13" t="n">
        <f aca="false">AK55+AK51+AK52+AK53+AK54</f>
        <v>188.533259623322</v>
      </c>
      <c r="AL56" s="13" t="n">
        <f aca="false">AL55+AL51+AL52+AL53+AL54</f>
        <v>185.003620555928</v>
      </c>
      <c r="AM56" s="13" t="n">
        <f aca="false">AM55+AM51+AM52+AM53+AM54</f>
        <v>189.271215097368</v>
      </c>
      <c r="AN56" s="13" t="n">
        <f aca="false">AN55+AN51+AN52+AN53+AN54</f>
        <v>193.957175368513</v>
      </c>
      <c r="AO56" s="13" t="n">
        <f aca="false">AO55+AO51+AO52+AO53+AO54</f>
        <v>195.720576302042</v>
      </c>
      <c r="AP56" s="13" t="n">
        <f aca="false">AP55+AP51+AP52+AP53+AP54</f>
        <v>195.156627724883</v>
      </c>
      <c r="AQ56" s="13" t="n">
        <f aca="false">AQ55+AQ51+AQ52+AQ53+AQ54</f>
        <v>198.11978795766</v>
      </c>
      <c r="AR56" s="13" t="n">
        <f aca="false">AR55+AR51+AR52+AR53+AR54</f>
        <v>199.924408540846</v>
      </c>
      <c r="AS56" s="13" t="n">
        <f aca="false">AS55+AS51+AS52+AS53+AS54</f>
        <v>199.032244963502</v>
      </c>
      <c r="AT56" s="13" t="n">
        <f aca="false">AT55+AT51+AT52+AT53+AT54</f>
        <v>192.741159098582</v>
      </c>
      <c r="AU56" s="13" t="n">
        <f aca="false">AU55+AU51+AU52+AU53+AU54</f>
        <v>198.557006447377</v>
      </c>
      <c r="AV56" s="13" t="n">
        <f aca="false">AV55+AV51+AV52+AV53+AV54</f>
        <v>206.127034076854</v>
      </c>
      <c r="AW56" s="13" t="n">
        <f aca="false">AW55+AW51+AW52+AW53+AW54</f>
        <v>208.043972399123</v>
      </c>
      <c r="AX56" s="13" t="n">
        <f aca="false">AX55+AX51+AX52+AX53+AX54</f>
        <v>207.453378838248</v>
      </c>
      <c r="AY56" s="13" t="n">
        <f aca="false">AY55+AY51+AY52+AY53+AY54</f>
        <v>210.646330296948</v>
      </c>
      <c r="AZ56" s="13" t="n">
        <f aca="false">AZ55+AZ51+AZ52+AZ53+AZ54</f>
        <v>212.574349342149</v>
      </c>
      <c r="BA56" s="13" t="n">
        <f aca="false">BA55+BA51+BA52+BA53+BA54</f>
        <v>213.019431982993</v>
      </c>
      <c r="BB56" s="13" t="n">
        <f aca="false">BB55+BB51+BB52+BB53+BB54</f>
        <v>209.048678253439</v>
      </c>
      <c r="BC56" s="13" t="n">
        <f aca="false">BC55+BC51+BC52+BC53+BC54</f>
        <v>213.958763983484</v>
      </c>
      <c r="BD56" s="13" t="n">
        <f aca="false">BD55+BD51+BD52+BD53+BD54</f>
        <v>219.276018942737</v>
      </c>
      <c r="BE56" s="13" t="n">
        <f aca="false">BE55+BE51+BE52+BE53+BE54</f>
        <v>221.358832300027</v>
      </c>
      <c r="BF56" s="13" t="n">
        <f aca="false">BF55+BF51+BF52+BF53+BF54</f>
        <v>220.739331695814</v>
      </c>
      <c r="BG56" s="13" t="n">
        <f aca="false">BG55+BG51+BG52+BG53+BG54</f>
        <v>224.180649942147</v>
      </c>
      <c r="BH56" s="13" t="n">
        <f aca="false">BH55+BH51+BH52+BH53+BH54</f>
        <v>226.242089217414</v>
      </c>
      <c r="BI56" s="13" t="n">
        <f aca="false">BI55+BI51+BI52+BI53+BI54</f>
        <v>225.319597587372</v>
      </c>
      <c r="BJ56" s="13" t="n">
        <f aca="false">BJ55+BJ51+BJ52+BJ53+BJ54</f>
        <v>218.213067325291</v>
      </c>
      <c r="BK56" s="13" t="n">
        <f aca="false">BK55+BK51+BK52+BK53+BK54</f>
        <v>224.886708366077</v>
      </c>
      <c r="BL56" s="13" t="n">
        <f aca="false">BL55+BL51+BL52+BL53+BL54</f>
        <v>233.483003301096</v>
      </c>
      <c r="BM56" s="13" t="n">
        <f aca="false">BM55+BM51+BM52+BM53+BM54</f>
        <v>157.5771902645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1633</v>
      </c>
      <c r="E57" s="0" t="s">
        <v>151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1634</v>
      </c>
      <c r="E58" s="0" t="s">
        <v>151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1635</v>
      </c>
    </row>
    <row r="60" customFormat="false" ht="15" hidden="false" customHeight="false" outlineLevel="0" collapsed="false">
      <c r="D60" s="0" t="s">
        <v>259</v>
      </c>
      <c r="E60" s="0" t="s">
        <v>151</v>
      </c>
      <c r="G60" s="13" t="n">
        <f aca="false">SUM(J60:BN60)</f>
        <v>279.359635423702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1.39895045552449</v>
      </c>
      <c r="P60" s="13" t="n">
        <f aca="false">Inputs!$F$151*(Inputs!$F$152*P21+(1-Inputs!$F$152)*P27*Inputs!$F$153/P11)*Time!P30/12*Inputs!$F$40</f>
        <v>4.24276557728068</v>
      </c>
      <c r="Q60" s="13" t="n">
        <f aca="false">Inputs!$F$151*(Inputs!$F$152*Q21+(1-Inputs!$F$152)*Q27*Inputs!$F$153/Q11)*Time!Q30/12*Inputs!$F$40</f>
        <v>4.28918209663807</v>
      </c>
      <c r="R60" s="13" t="n">
        <f aca="false">Inputs!$F$151*(Inputs!$F$152*R21+(1-Inputs!$F$152)*R27*Inputs!$F$153/R11)*Time!R30/12*Inputs!$F$40</f>
        <v>4.33610641998086</v>
      </c>
      <c r="S60" s="13" t="n">
        <f aca="false">Inputs!$F$151*(Inputs!$F$152*S21+(1-Inputs!$F$152)*S27*Inputs!$F$153/S11)*Time!S30/12*Inputs!$F$40</f>
        <v>4.38354410276411</v>
      </c>
      <c r="T60" s="13" t="n">
        <f aca="false">Inputs!$F$151*(Inputs!$F$152*T21+(1-Inputs!$F$152)*T27*Inputs!$F$153/T11)*Time!T30/12*Inputs!$F$40</f>
        <v>4.43150076122044</v>
      </c>
      <c r="U60" s="13" t="n">
        <f aca="false">Inputs!$F$151*(Inputs!$F$152*U21+(1-Inputs!$F$152)*U27*Inputs!$F$153/U11)*Time!U30/12*Inputs!$F$40</f>
        <v>4.47998207302492</v>
      </c>
      <c r="V60" s="13" t="n">
        <f aca="false">Inputs!$F$151*(Inputs!$F$152*V21+(1-Inputs!$F$152)*V27*Inputs!$F$153/V11)*Time!V30/12*Inputs!$F$40</f>
        <v>4.52899377796729</v>
      </c>
      <c r="W60" s="13" t="n">
        <f aca="false">Inputs!$F$151*(Inputs!$F$152*W21+(1-Inputs!$F$152)*W27*Inputs!$F$153/W11)*Time!W30/12*Inputs!$F$40</f>
        <v>4.57854167863147</v>
      </c>
      <c r="X60" s="13" t="n">
        <f aca="false">Inputs!$F$151*(Inputs!$F$152*X21+(1-Inputs!$F$152)*X27*Inputs!$F$153/X11)*Time!X30/12*Inputs!$F$40</f>
        <v>4.62863164108256</v>
      </c>
      <c r="Y60" s="13" t="n">
        <f aca="false">Inputs!$F$151*(Inputs!$F$152*Y21+(1-Inputs!$F$152)*Y27*Inputs!$F$153/Y11)*Time!Y30/12*Inputs!$F$40</f>
        <v>4.67926959556136</v>
      </c>
      <c r="Z60" s="13" t="n">
        <f aca="false">Inputs!$F$151*(Inputs!$F$152*Z21+(1-Inputs!$F$152)*Z27*Inputs!$F$153/Z11)*Time!Z30/12*Inputs!$F$40</f>
        <v>4.73046153718638</v>
      </c>
      <c r="AA60" s="13" t="n">
        <f aca="false">Inputs!$F$151*(Inputs!$F$152*AA21+(1-Inputs!$F$152)*AA27*Inputs!$F$153/AA11)*Time!AA30/12*Inputs!$F$40</f>
        <v>4.78221352666371</v>
      </c>
      <c r="AB60" s="13" t="n">
        <f aca="false">Inputs!$F$151*(Inputs!$F$152*AB21+(1-Inputs!$F$152)*AB27*Inputs!$F$153/AB11)*Time!AB30/12*Inputs!$F$40</f>
        <v>4.83453169100448</v>
      </c>
      <c r="AC60" s="13" t="n">
        <f aca="false">Inputs!$F$151*(Inputs!$F$152*AC21+(1-Inputs!$F$152)*AC27*Inputs!$F$153/AC11)*Time!AC30/12*Inputs!$F$40</f>
        <v>4.88742222425031</v>
      </c>
      <c r="AD60" s="13" t="n">
        <f aca="false">Inputs!$F$151*(Inputs!$F$152*AD21+(1-Inputs!$F$152)*AD27*Inputs!$F$153/AD11)*Time!AD30/12*Inputs!$F$40</f>
        <v>4.94089138820658</v>
      </c>
      <c r="AE60" s="13" t="n">
        <f aca="false">Inputs!$F$151*(Inputs!$F$152*AE21+(1-Inputs!$F$152)*AE27*Inputs!$F$153/AE11)*Time!AE30/12*Inputs!$F$40</f>
        <v>4.99494551318381</v>
      </c>
      <c r="AF60" s="13" t="n">
        <f aca="false">Inputs!$F$151*(Inputs!$F$152*AF21+(1-Inputs!$F$152)*AF27*Inputs!$F$153/AF11)*Time!AF30/12*Inputs!$F$40</f>
        <v>5.04959099874712</v>
      </c>
      <c r="AG60" s="13" t="n">
        <f aca="false">Inputs!$F$151*(Inputs!$F$152*AG21+(1-Inputs!$F$152)*AG27*Inputs!$F$153/AG11)*Time!AG30/12*Inputs!$F$40</f>
        <v>5.10483431447386</v>
      </c>
      <c r="AH60" s="13" t="n">
        <f aca="false">Inputs!$F$151*(Inputs!$F$152*AH21+(1-Inputs!$F$152)*AH27*Inputs!$F$153/AH11)*Time!AH30/12*Inputs!$F$40</f>
        <v>5.16068200071956</v>
      </c>
      <c r="AI60" s="13" t="n">
        <f aca="false">Inputs!$F$151*(Inputs!$F$152*AI21+(1-Inputs!$F$152)*AI27*Inputs!$F$153/AI11)*Time!AI30/12*Inputs!$F$40</f>
        <v>5.21714066939228</v>
      </c>
      <c r="AJ60" s="13" t="n">
        <f aca="false">Inputs!$F$151*(Inputs!$F$152*AJ21+(1-Inputs!$F$152)*AJ27*Inputs!$F$153/AJ11)*Time!AJ30/12*Inputs!$F$40</f>
        <v>5.27421700473539</v>
      </c>
      <c r="AK60" s="13" t="n">
        <f aca="false">Inputs!$F$151*(Inputs!$F$152*AK21+(1-Inputs!$F$152)*AK27*Inputs!$F$153/AK11)*Time!AK30/12*Inputs!$F$40</f>
        <v>5.33191776411891</v>
      </c>
      <c r="AL60" s="13" t="n">
        <f aca="false">Inputs!$F$151*(Inputs!$F$152*AL21+(1-Inputs!$F$152)*AL27*Inputs!$F$153/AL11)*Time!AL30/12*Inputs!$F$40</f>
        <v>5.39024977883957</v>
      </c>
      <c r="AM60" s="13" t="n">
        <f aca="false">Inputs!$F$151*(Inputs!$F$152*AM21+(1-Inputs!$F$152)*AM27*Inputs!$F$153/AM11)*Time!AM30/12*Inputs!$F$40</f>
        <v>5.44921995492953</v>
      </c>
      <c r="AN60" s="13" t="n">
        <f aca="false">Inputs!$F$151*(Inputs!$F$152*AN21+(1-Inputs!$F$152)*AN27*Inputs!$F$153/AN11)*Time!AN30/12*Inputs!$F$40</f>
        <v>5.50883527397404</v>
      </c>
      <c r="AO60" s="13" t="n">
        <f aca="false">Inputs!$F$151*(Inputs!$F$152*AO21+(1-Inputs!$F$152)*AO27*Inputs!$F$153/AO11)*Time!AO30/12*Inputs!$F$40</f>
        <v>5.56910279393798</v>
      </c>
      <c r="AP60" s="13" t="n">
        <f aca="false">Inputs!$F$151*(Inputs!$F$152*AP21+(1-Inputs!$F$152)*AP27*Inputs!$F$153/AP11)*Time!AP30/12*Inputs!$F$40</f>
        <v>5.63002965000146</v>
      </c>
      <c r="AQ60" s="13" t="n">
        <f aca="false">Inputs!$F$151*(Inputs!$F$152*AQ21+(1-Inputs!$F$152)*AQ27*Inputs!$F$153/AQ11)*Time!AQ30/12*Inputs!$F$40</f>
        <v>5.69162305540461</v>
      </c>
      <c r="AR60" s="13" t="n">
        <f aca="false">Inputs!$F$151*(Inputs!$F$152*AR21+(1-Inputs!$F$152)*AR27*Inputs!$F$153/AR11)*Time!AR30/12*Inputs!$F$40</f>
        <v>5.7538903023015</v>
      </c>
      <c r="AS60" s="13" t="n">
        <f aca="false">Inputs!$F$151*(Inputs!$F$152*AS21+(1-Inputs!$F$152)*AS27*Inputs!$F$153/AS11)*Time!AS30/12*Inputs!$F$40</f>
        <v>5.81683876262351</v>
      </c>
      <c r="AT60" s="13" t="n">
        <f aca="false">Inputs!$F$151*(Inputs!$F$152*AT21+(1-Inputs!$F$152)*AT27*Inputs!$F$153/AT11)*Time!AT30/12*Inputs!$F$40</f>
        <v>5.88047588895213</v>
      </c>
      <c r="AU60" s="13" t="n">
        <f aca="false">Inputs!$F$151*(Inputs!$F$152*AU21+(1-Inputs!$F$152)*AU27*Inputs!$F$153/AU11)*Time!AU30/12*Inputs!$F$40</f>
        <v>5.94480921540123</v>
      </c>
      <c r="AV60" s="13" t="n">
        <f aca="false">Inputs!$F$151*(Inputs!$F$152*AV21+(1-Inputs!$F$152)*AV27*Inputs!$F$153/AV11)*Time!AV30/12*Inputs!$F$40</f>
        <v>6.00984635850908</v>
      </c>
      <c r="AW60" s="13" t="n">
        <f aca="false">Inputs!$F$151*(Inputs!$F$152*AW21+(1-Inputs!$F$152)*AW27*Inputs!$F$153/AW11)*Time!AW30/12*Inputs!$F$40</f>
        <v>6.07559501814005</v>
      </c>
      <c r="AX60" s="13" t="n">
        <f aca="false">Inputs!$F$151*(Inputs!$F$152*AX21+(1-Inputs!$F$152)*AX27*Inputs!$F$153/AX11)*Time!AX30/12*Inputs!$F$40</f>
        <v>6.14206297839627</v>
      </c>
      <c r="AY60" s="13" t="n">
        <f aca="false">Inputs!$F$151*(Inputs!$F$152*AY21+(1-Inputs!$F$152)*AY27*Inputs!$F$153/AY11)*Time!AY30/12*Inputs!$F$40</f>
        <v>6.20925810853913</v>
      </c>
      <c r="AZ60" s="13" t="n">
        <f aca="false">Inputs!$F$151*(Inputs!$F$152*AZ21+(1-Inputs!$F$152)*AZ27*Inputs!$F$153/AZ11)*Time!AZ30/12*Inputs!$F$40</f>
        <v>6.27718836392099</v>
      </c>
      <c r="BA60" s="13" t="n">
        <f aca="false">Inputs!$F$151*(Inputs!$F$152*BA21+(1-Inputs!$F$152)*BA27*Inputs!$F$153/BA11)*Time!BA30/12*Inputs!$F$40</f>
        <v>6.34586178692699</v>
      </c>
      <c r="BB60" s="13" t="n">
        <f aca="false">Inputs!$F$151*(Inputs!$F$152*BB21+(1-Inputs!$F$152)*BB27*Inputs!$F$153/BB11)*Time!BB30/12*Inputs!$F$40</f>
        <v>6.41528650792725</v>
      </c>
      <c r="BC60" s="13" t="n">
        <f aca="false">Inputs!$F$151*(Inputs!$F$152*BC21+(1-Inputs!$F$152)*BC27*Inputs!$F$153/BC11)*Time!BC30/12*Inputs!$F$40</f>
        <v>6.48547074623939</v>
      </c>
      <c r="BD60" s="13" t="n">
        <f aca="false">Inputs!$F$151*(Inputs!$F$152*BD21+(1-Inputs!$F$152)*BD27*Inputs!$F$153/BD11)*Time!BD30/12*Inputs!$F$40</f>
        <v>6.55642281110165</v>
      </c>
      <c r="BE60" s="13" t="n">
        <f aca="false">Inputs!$F$151*(Inputs!$F$152*BE21+(1-Inputs!$F$152)*BE27*Inputs!$F$153/BE11)*Time!BE30/12*Inputs!$F$40</f>
        <v>6.62815110265665</v>
      </c>
      <c r="BF60" s="13" t="n">
        <f aca="false">Inputs!$F$151*(Inputs!$F$152*BF21+(1-Inputs!$F$152)*BF27*Inputs!$F$153/BF11)*Time!BF30/12*Inputs!$F$40</f>
        <v>6.70066411294588</v>
      </c>
      <c r="BG60" s="13" t="n">
        <f aca="false">Inputs!$F$151*(Inputs!$F$152*BG21+(1-Inputs!$F$152)*BG27*Inputs!$F$153/BG11)*Time!BG30/12*Inputs!$F$40</f>
        <v>6.7739704269151</v>
      </c>
      <c r="BH60" s="13" t="n">
        <f aca="false">Inputs!$F$151*(Inputs!$F$152*BH21+(1-Inputs!$F$152)*BH27*Inputs!$F$153/BH11)*Time!BH30/12*Inputs!$F$40</f>
        <v>6.84807872343069</v>
      </c>
      <c r="BI60" s="13" t="n">
        <f aca="false">Inputs!$F$151*(Inputs!$F$152*BI21+(1-Inputs!$F$152)*BI27*Inputs!$F$153/BI11)*Time!BI30/12*Inputs!$F$40</f>
        <v>6.92299777630723</v>
      </c>
      <c r="BJ60" s="13" t="n">
        <f aca="false">Inputs!$F$151*(Inputs!$F$152*BJ21+(1-Inputs!$F$152)*BJ27*Inputs!$F$153/BJ11)*Time!BJ30/12*Inputs!$F$40</f>
        <v>6.99873645534617</v>
      </c>
      <c r="BK60" s="13" t="n">
        <f aca="false">Inputs!$F$151*(Inputs!$F$152*BK21+(1-Inputs!$F$152)*BK27*Inputs!$F$153/BK11)*Time!BK30/12*Inputs!$F$40</f>
        <v>7.07530372738599</v>
      </c>
      <c r="BL60" s="13" t="n">
        <f aca="false">Inputs!$F$151*(Inputs!$F$152*BL21+(1-Inputs!$F$152)*BL27*Inputs!$F$153/BL11)*Time!BL30/12*Inputs!$F$40</f>
        <v>7.15270865736378</v>
      </c>
      <c r="BM60" s="13" t="n">
        <f aca="false">Inputs!$F$151*(Inputs!$F$152*BM21+(1-Inputs!$F$152)*BM27*Inputs!$F$153/BM11)*Time!BM30/12*Inputs!$F$40</f>
        <v>4.82064027292565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1636</v>
      </c>
      <c r="E61" s="0" t="s">
        <v>151</v>
      </c>
      <c r="G61" s="13" t="n">
        <f aca="false">SUM(J61:BN61)</f>
        <v>4.10798363305331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0.063700261300684</v>
      </c>
      <c r="P61" s="13" t="n">
        <f aca="false">IF(Time!P30&gt;0,Inputs!$F$154*MAX(-1,MIN(1,(P32-Inputs!$F$216)/Inputs!$F$217))*P21*Time!P30/12,0)</f>
        <v>0.193191456382922</v>
      </c>
      <c r="Q61" s="13" t="n">
        <f aca="false">IF(Time!Q30&gt;0,Inputs!$F$154*MAX(-1,MIN(1,(Q32-Inputs!$F$216)/Inputs!$F$217))*Q21*Time!Q30/12,0)</f>
        <v>0.162754167623248</v>
      </c>
      <c r="R61" s="13" t="n">
        <f aca="false">IF(Time!R30&gt;0,Inputs!$F$154*MAX(-1,MIN(1,(R32-Inputs!$F$216)/Inputs!$F$217))*R21*Time!R30/12,0)</f>
        <v>0.0987208342116753</v>
      </c>
      <c r="S61" s="13" t="n">
        <f aca="false">IF(Time!S30&gt;0,Inputs!$F$154*MAX(-1,MIN(1,(S32-Inputs!$F$216)/Inputs!$F$217))*S21*Time!S30/12,0)</f>
        <v>0.133067807448768</v>
      </c>
      <c r="T61" s="13" t="n">
        <f aca="false">IF(Time!T30&gt;0,Inputs!$F$154*MAX(-1,MIN(1,(T32-Inputs!$F$216)/Inputs!$F$217))*T21*Time!T30/12,0)</f>
        <v>0.201785385128659</v>
      </c>
      <c r="U61" s="13" t="n">
        <f aca="false">IF(Time!U30&gt;0,Inputs!$F$154*MAX(-1,MIN(1,(U32-Inputs!$F$216)/Inputs!$F$217))*U21*Time!U30/12,0)</f>
        <v>0.0831082384077247</v>
      </c>
      <c r="V61" s="13" t="n">
        <f aca="false">IF(Time!V30&gt;0,Inputs!$F$154*MAX(-1,MIN(1,(V32-Inputs!$F$216)/Inputs!$F$217))*V21*Time!V30/12,0)</f>
        <v>-0.160396960578939</v>
      </c>
      <c r="W61" s="13" t="n">
        <f aca="false">IF(Time!W30&gt;0,Inputs!$F$154*MAX(-1,MIN(1,(W32-Inputs!$F$216)/Inputs!$F$217))*W21*Time!W30/12,0)</f>
        <v>-0.0386075543875879</v>
      </c>
      <c r="X61" s="13" t="n">
        <f aca="false">IF(Time!X30&gt;0,Inputs!$F$154*MAX(-1,MIN(1,(X32-Inputs!$F$216)/Inputs!$F$217))*X21*Time!X30/12,0)</f>
        <v>0.210761606200723</v>
      </c>
      <c r="Y61" s="13" t="n">
        <f aca="false">IF(Time!Y30&gt;0,Inputs!$F$154*MAX(-1,MIN(1,(Y32-Inputs!$F$216)/Inputs!$F$217))*Y21*Time!Y30/12,0)</f>
        <v>0.177556142628519</v>
      </c>
      <c r="Z61" s="13" t="n">
        <f aca="false">IF(Time!Z30&gt;0,Inputs!$F$154*MAX(-1,MIN(1,(Z32-Inputs!$F$216)/Inputs!$F$217))*Z21*Time!Z30/12,0)</f>
        <v>0.107699180768572</v>
      </c>
      <c r="AA61" s="13" t="n">
        <f aca="false">IF(Time!AA30&gt;0,Inputs!$F$154*MAX(-1,MIN(1,(AA32-Inputs!$F$216)/Inputs!$F$217))*AA21*Time!AA30/12,0)</f>
        <v>0.145169902213078</v>
      </c>
      <c r="AB61" s="13" t="n">
        <f aca="false">IF(Time!AB30&gt;0,Inputs!$F$154*MAX(-1,MIN(1,(AB32-Inputs!$F$216)/Inputs!$F$217))*AB21*Time!AB30/12,0)</f>
        <v>0.220137125490956</v>
      </c>
      <c r="AC61" s="13" t="n">
        <f aca="false">IF(Time!AC30&gt;0,Inputs!$F$154*MAX(-1,MIN(1,(AC32-Inputs!$F$216)/Inputs!$F$217))*AC21*Time!AC30/12,0)</f>
        <v>0.0123636366718148</v>
      </c>
      <c r="AD61" s="13" t="n">
        <f aca="false">IF(Time!AD30&gt;0,Inputs!$F$154*MAX(-1,MIN(1,(AD32-Inputs!$F$216)/Inputs!$F$217))*AD21*Time!AD30/12,0)</f>
        <v>-0.374966903752928</v>
      </c>
      <c r="AE61" s="13" t="n">
        <f aca="false">IF(Time!AE30&gt;0,Inputs!$F$154*MAX(-1,MIN(1,(AE32-Inputs!$F$216)/Inputs!$F$217))*AE21*Time!AE30/12,0)</f>
        <v>-0.202170186857499</v>
      </c>
      <c r="AF61" s="13" t="n">
        <f aca="false">IF(Time!AF30&gt;0,Inputs!$F$154*MAX(-1,MIN(1,(AF32-Inputs!$F$216)/Inputs!$F$217))*AF21*Time!AF30/12,0)</f>
        <v>0.229929705381295</v>
      </c>
      <c r="AG61" s="13" t="n">
        <f aca="false">IF(Time!AG30&gt;0,Inputs!$F$154*MAX(-1,MIN(1,(AG32-Inputs!$F$216)/Inputs!$F$217))*AG21*Time!AG30/12,0)</f>
        <v>0.19370431028284</v>
      </c>
      <c r="AH61" s="13" t="n">
        <f aca="false">IF(Time!AH30&gt;0,Inputs!$F$154*MAX(-1,MIN(1,(AH32-Inputs!$F$216)/Inputs!$F$217))*AH21*Time!AH30/12,0)</f>
        <v>0.117494079449845</v>
      </c>
      <c r="AI61" s="13" t="n">
        <f aca="false">IF(Time!AI30&gt;0,Inputs!$F$154*MAX(-1,MIN(1,(AI32-Inputs!$F$216)/Inputs!$F$217))*AI21*Time!AI30/12,0)</f>
        <v>0.158372644087251</v>
      </c>
      <c r="AJ61" s="13" t="n">
        <f aca="false">IF(Time!AJ30&gt;0,Inputs!$F$154*MAX(-1,MIN(1,(AJ32-Inputs!$F$216)/Inputs!$F$217))*AJ21*Time!AJ30/12,0)</f>
        <v>0.240157898395476</v>
      </c>
      <c r="AK61" s="13" t="n">
        <f aca="false">IF(Time!AK30&gt;0,Inputs!$F$154*MAX(-1,MIN(1,(AK32-Inputs!$F$216)/Inputs!$F$217))*AK21*Time!AK30/12,0)</f>
        <v>0.098912514712715</v>
      </c>
      <c r="AL61" s="13" t="n">
        <f aca="false">IF(Time!AL30&gt;0,Inputs!$F$154*MAX(-1,MIN(1,(AL32-Inputs!$F$216)/Inputs!$F$217))*AL21*Time!AL30/12,0)</f>
        <v>-0.190898845013474</v>
      </c>
      <c r="AM61" s="13" t="n">
        <f aca="false">IF(Time!AM30&gt;0,Inputs!$F$154*MAX(-1,MIN(1,(AM32-Inputs!$F$216)/Inputs!$F$217))*AM21*Time!AM30/12,0)</f>
        <v>-0.0459493591074514</v>
      </c>
      <c r="AN61" s="13" t="n">
        <f aca="false">IF(Time!AN30&gt;0,Inputs!$F$154*MAX(-1,MIN(1,(AN32-Inputs!$F$216)/Inputs!$F$217))*AN21*Time!AN30/12,0)</f>
        <v>0.250841082347701</v>
      </c>
      <c r="AO61" s="13" t="n">
        <f aca="false">IF(Time!AO30&gt;0,Inputs!$F$154*MAX(-1,MIN(1,(AO32-Inputs!$F$216)/Inputs!$F$217))*AO21*Time!AO30/12,0)</f>
        <v>0.211321102535172</v>
      </c>
      <c r="AP61" s="13" t="n">
        <f aca="false">IF(Time!AP30&gt;0,Inputs!$F$154*MAX(-1,MIN(1,(AP32-Inputs!$F$216)/Inputs!$F$217))*AP21*Time!AP30/12,0)</f>
        <v>0.128179793079678</v>
      </c>
      <c r="AQ61" s="13" t="n">
        <f aca="false">IF(Time!AQ30&gt;0,Inputs!$F$154*MAX(-1,MIN(1,(AQ32-Inputs!$F$216)/Inputs!$F$217))*AQ21*Time!AQ30/12,0)</f>
        <v>0.172776133432757</v>
      </c>
      <c r="AR61" s="13" t="n">
        <f aca="false">IF(Time!AR30&gt;0,Inputs!$F$154*MAX(-1,MIN(1,(AR32-Inputs!$F$216)/Inputs!$F$217))*AR21*Time!AR30/12,0)</f>
        <v>0.261999497054856</v>
      </c>
      <c r="AS61" s="13" t="n">
        <f aca="false">IF(Time!AS30&gt;0,Inputs!$F$154*MAX(-1,MIN(1,(AS32-Inputs!$F$216)/Inputs!$F$217))*AS21*Time!AS30/12,0)</f>
        <v>0.0147147673640244</v>
      </c>
      <c r="AT61" s="13" t="n">
        <f aca="false">IF(Time!AT30&gt;0,Inputs!$F$154*MAX(-1,MIN(1,(AT32-Inputs!$F$216)/Inputs!$F$217))*AT21*Time!AT30/12,0)</f>
        <v>-0.446272476650105</v>
      </c>
      <c r="AU61" s="13" t="n">
        <f aca="false">IF(Time!AU30&gt;0,Inputs!$F$154*MAX(-1,MIN(1,(AU32-Inputs!$F$216)/Inputs!$F$217))*AU21*Time!AU30/12,0)</f>
        <v>-0.240615875936507</v>
      </c>
      <c r="AV61" s="13" t="n">
        <f aca="false">IF(Time!AV30&gt;0,Inputs!$F$154*MAX(-1,MIN(1,(AV32-Inputs!$F$216)/Inputs!$F$217))*AV21*Time!AV30/12,0)</f>
        <v>0.273654282681844</v>
      </c>
      <c r="AW61" s="13" t="n">
        <f aca="false">IF(Time!AW30&gt;0,Inputs!$F$154*MAX(-1,MIN(1,(AW32-Inputs!$F$216)/Inputs!$F$217))*AW21*Time!AW30/12,0)</f>
        <v>0.230540086131665</v>
      </c>
      <c r="AX61" s="13" t="n">
        <f aca="false">IF(Time!AX30&gt;0,Inputs!$F$154*MAX(-1,MIN(1,(AX32-Inputs!$F$216)/Inputs!$F$217))*AX21*Time!AX30/12,0)</f>
        <v>0.139837338450426</v>
      </c>
      <c r="AY61" s="13" t="n">
        <f aca="false">IF(Time!AY30&gt;0,Inputs!$F$154*MAX(-1,MIN(1,(AY32-Inputs!$F$216)/Inputs!$F$217))*AY21*Time!AY30/12,0)</f>
        <v>0.188489574421249</v>
      </c>
      <c r="AZ61" s="13" t="n">
        <f aca="false">IF(Time!AZ30&gt;0,Inputs!$F$154*MAX(-1,MIN(1,(AZ32-Inputs!$F$216)/Inputs!$F$217))*AZ21*Time!AZ30/12,0)</f>
        <v>0.285827519792663</v>
      </c>
      <c r="BA61" s="13" t="n">
        <f aca="false">IF(Time!BA30&gt;0,Inputs!$F$154*MAX(-1,MIN(1,(BA32-Inputs!$F$216)/Inputs!$F$217))*BA21*Time!BA30/12,0)</f>
        <v>0.117722210869093</v>
      </c>
      <c r="BB61" s="13" t="n">
        <f aca="false">IF(Time!BB30&gt;0,Inputs!$F$154*MAX(-1,MIN(1,(BB32-Inputs!$F$216)/Inputs!$F$217))*BB21*Time!BB30/12,0)</f>
        <v>-0.22720111962186</v>
      </c>
      <c r="BC61" s="13" t="n">
        <f aca="false">IF(Time!BC30&gt;0,Inputs!$F$154*MAX(-1,MIN(1,(BC32-Inputs!$F$216)/Inputs!$F$217))*BC21*Time!BC30/12,0)</f>
        <v>-0.054687317958278</v>
      </c>
      <c r="BD61" s="13" t="n">
        <f aca="false">IF(Time!BD30&gt;0,Inputs!$F$154*MAX(-1,MIN(1,(BD32-Inputs!$F$216)/Inputs!$F$217))*BD21*Time!BD30/12,0)</f>
        <v>0.29854227118312</v>
      </c>
      <c r="BE61" s="13" t="n">
        <f aca="false">IF(Time!BE30&gt;0,Inputs!$F$154*MAX(-1,MIN(1,(BE32-Inputs!$F$216)/Inputs!$F$217))*BE21*Time!BE30/12,0)</f>
        <v>0.251506975290124</v>
      </c>
      <c r="BF61" s="13" t="n">
        <f aca="false">IF(Time!BF30&gt;0,Inputs!$F$154*MAX(-1,MIN(1,(BF32-Inputs!$F$216)/Inputs!$F$217))*BF21*Time!BF30/12,0)</f>
        <v>0.152555100574578</v>
      </c>
      <c r="BG61" s="13" t="n">
        <f aca="false">IF(Time!BG30&gt;0,Inputs!$F$154*MAX(-1,MIN(1,(BG32-Inputs!$F$216)/Inputs!$F$217))*BG21*Time!BG30/12,0)</f>
        <v>0.205632102997206</v>
      </c>
      <c r="BH61" s="13" t="n">
        <f aca="false">IF(Time!BH30&gt;0,Inputs!$F$154*MAX(-1,MIN(1,(BH32-Inputs!$F$216)/Inputs!$F$217))*BH21*Time!BH30/12,0)</f>
        <v>0.311822625574429</v>
      </c>
      <c r="BI61" s="13" t="n">
        <f aca="false">IF(Time!BI30&gt;0,Inputs!$F$154*MAX(-1,MIN(1,(BI32-Inputs!$F$216)/Inputs!$F$217))*BI21*Time!BI30/12,0)</f>
        <v>0.0175130007719302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-0.286372588622579</v>
      </c>
      <c r="BL61" s="13" t="n">
        <f aca="false">IF(Time!BL30&gt;0,Inputs!$F$154*MAX(-1,MIN(1,(BL32-Inputs!$F$216)/Inputs!$F$217))*BL21*Time!BL30/12,0)</f>
        <v>0.325693743250482</v>
      </c>
      <c r="BM61" s="13" t="n">
        <f aca="false">IF(Time!BM30&gt;0,Inputs!$F$154*MAX(-1,MIN(1,(BM32-Inputs!$F$216)/Inputs!$F$217))*BM21*Time!BM30/12,0)</f>
        <v>0.219504589179205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263</v>
      </c>
      <c r="E62" s="0" t="s">
        <v>151</v>
      </c>
      <c r="G62" s="13" t="n">
        <f aca="false">SUM(J62:BN62)</f>
        <v>93.2833128501808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0.46713524953835</v>
      </c>
      <c r="P62" s="13" t="n">
        <f aca="false">Inputs!$F$155*P21*Time!P30/12*Inputs!$F$40</f>
        <v>1.41673734680809</v>
      </c>
      <c r="Q62" s="13" t="n">
        <f aca="false">Inputs!$F$155*Q21*Time!Q30/12*Inputs!$F$40</f>
        <v>1.43223667508458</v>
      </c>
      <c r="R62" s="13" t="n">
        <f aca="false">Inputs!$F$155*R21*Time!R30/12*Inputs!$F$40</f>
        <v>1.44790556843787</v>
      </c>
      <c r="S62" s="13" t="n">
        <f aca="false">Inputs!$F$155*S21*Time!S30/12*Inputs!$F$40</f>
        <v>1.46374588193644</v>
      </c>
      <c r="T62" s="13" t="n">
        <f aca="false">Inputs!$F$155*T21*Time!T30/12*Inputs!$F$40</f>
        <v>1.47975949094351</v>
      </c>
      <c r="U62" s="13" t="n">
        <f aca="false">Inputs!$F$155*U21*Time!U30/12*Inputs!$F$40</f>
        <v>1.49594829133904</v>
      </c>
      <c r="V62" s="13" t="n">
        <f aca="false">Inputs!$F$155*V21*Time!V30/12*Inputs!$F$40</f>
        <v>1.51231419974426</v>
      </c>
      <c r="W62" s="13" t="n">
        <f aca="false">Inputs!$F$155*W21*Time!W30/12*Inputs!$F$40</f>
        <v>1.5288591537485</v>
      </c>
      <c r="X62" s="13" t="n">
        <f aca="false">Inputs!$F$155*X21*Time!X30/12*Inputs!$F$40</f>
        <v>1.54558511213864</v>
      </c>
      <c r="Y62" s="13" t="n">
        <f aca="false">Inputs!$F$155*Y21*Time!Y30/12*Inputs!$F$40</f>
        <v>1.56249405513097</v>
      </c>
      <c r="Z62" s="13" t="n">
        <f aca="false">Inputs!$F$155*Z21*Time!Z30/12*Inputs!$F$40</f>
        <v>1.57958798460568</v>
      </c>
      <c r="AA62" s="13" t="n">
        <f aca="false">Inputs!$F$155*AA21*Time!AA30/12*Inputs!$F$40</f>
        <v>1.59686892434385</v>
      </c>
      <c r="AB62" s="13" t="n">
        <f aca="false">Inputs!$F$155*AB21*Time!AB30/12*Inputs!$F$40</f>
        <v>1.61433892026701</v>
      </c>
      <c r="AC62" s="13" t="n">
        <f aca="false">Inputs!$F$155*AC21*Time!AC30/12*Inputs!$F$40</f>
        <v>1.63200004067941</v>
      </c>
      <c r="AD62" s="13" t="n">
        <f aca="false">Inputs!$F$155*AD21*Time!AD30/12*Inputs!$F$40</f>
        <v>1.64985437651288</v>
      </c>
      <c r="AE62" s="13" t="n">
        <f aca="false">Inputs!$F$155*AE21*Time!AE30/12*Inputs!$F$40</f>
        <v>1.66790404157436</v>
      </c>
      <c r="AF62" s="13" t="n">
        <f aca="false">Inputs!$F$155*AF21*Time!AF30/12*Inputs!$F$40</f>
        <v>1.68615117279617</v>
      </c>
      <c r="AG62" s="13" t="n">
        <f aca="false">Inputs!$F$155*AG21*Time!AG30/12*Inputs!$F$40</f>
        <v>1.704597930489</v>
      </c>
      <c r="AH62" s="13" t="n">
        <f aca="false">Inputs!$F$155*AH21*Time!AH30/12*Inputs!$F$40</f>
        <v>1.72324649859768</v>
      </c>
      <c r="AI62" s="13" t="n">
        <f aca="false">Inputs!$F$155*AI21*Time!AI30/12*Inputs!$F$40</f>
        <v>1.74209908495975</v>
      </c>
      <c r="AJ62" s="13" t="n">
        <f aca="false">Inputs!$F$155*AJ21*Time!AJ30/12*Inputs!$F$40</f>
        <v>1.76115792156683</v>
      </c>
      <c r="AK62" s="13" t="n">
        <f aca="false">Inputs!$F$155*AK21*Time!AK30/12*Inputs!$F$40</f>
        <v>1.78042526482887</v>
      </c>
      <c r="AL62" s="13" t="n">
        <f aca="false">Inputs!$F$155*AL21*Time!AL30/12*Inputs!$F$40</f>
        <v>1.7999033958413</v>
      </c>
      <c r="AM62" s="13" t="n">
        <f aca="false">Inputs!$F$155*AM21*Time!AM30/12*Inputs!$F$40</f>
        <v>1.8195946206551</v>
      </c>
      <c r="AN62" s="13" t="n">
        <f aca="false">Inputs!$F$155*AN21*Time!AN30/12*Inputs!$F$40</f>
        <v>1.83950127054981</v>
      </c>
      <c r="AO62" s="13" t="n">
        <f aca="false">Inputs!$F$155*AO21*Time!AO30/12*Inputs!$F$40</f>
        <v>1.85962570230951</v>
      </c>
      <c r="AP62" s="13" t="n">
        <f aca="false">Inputs!$F$155*AP21*Time!AP30/12*Inputs!$F$40</f>
        <v>1.8799702985019</v>
      </c>
      <c r="AQ62" s="13" t="n">
        <f aca="false">Inputs!$F$155*AQ21*Time!AQ30/12*Inputs!$F$40</f>
        <v>1.90053746776032</v>
      </c>
      <c r="AR62" s="13" t="n">
        <f aca="false">Inputs!$F$155*AR21*Time!AR30/12*Inputs!$F$40</f>
        <v>1.92132964506895</v>
      </c>
      <c r="AS62" s="13" t="n">
        <f aca="false">Inputs!$F$155*AS21*Time!AS30/12*Inputs!$F$40</f>
        <v>1.94234929205105</v>
      </c>
      <c r="AT62" s="13" t="n">
        <f aca="false">Inputs!$F$155*AT21*Time!AT30/12*Inputs!$F$40</f>
        <v>1.96359889726046</v>
      </c>
      <c r="AU62" s="13" t="n">
        <f aca="false">Inputs!$F$155*AU21*Time!AU30/12*Inputs!$F$40</f>
        <v>1.98508097647617</v>
      </c>
      <c r="AV62" s="13" t="n">
        <f aca="false">Inputs!$F$155*AV21*Time!AV30/12*Inputs!$F$40</f>
        <v>2.00679807300019</v>
      </c>
      <c r="AW62" s="13" t="n">
        <f aca="false">Inputs!$F$155*AW21*Time!AW30/12*Inputs!$F$40</f>
        <v>2.02875275795865</v>
      </c>
      <c r="AX62" s="13" t="n">
        <f aca="false">Inputs!$F$155*AX21*Time!AX30/12*Inputs!$F$40</f>
        <v>2.0509476306062</v>
      </c>
      <c r="AY62" s="13" t="n">
        <f aca="false">Inputs!$F$155*AY21*Time!AY30/12*Inputs!$F$40</f>
        <v>2.07338531863374</v>
      </c>
      <c r="AZ62" s="13" t="n">
        <f aca="false">Inputs!$F$155*AZ21*Time!AZ30/12*Inputs!$F$40</f>
        <v>2.09606847847953</v>
      </c>
      <c r="BA62" s="13" t="n">
        <f aca="false">Inputs!$F$155*BA21*Time!BA30/12*Inputs!$F$40</f>
        <v>2.11899979564368</v>
      </c>
      <c r="BB62" s="13" t="n">
        <f aca="false">Inputs!$F$155*BB21*Time!BB30/12*Inputs!$F$40</f>
        <v>2.14218198500608</v>
      </c>
      <c r="BC62" s="13" t="n">
        <f aca="false">Inputs!$F$155*BC21*Time!BC30/12*Inputs!$F$40</f>
        <v>2.16561779114784</v>
      </c>
      <c r="BD62" s="13" t="n">
        <f aca="false">Inputs!$F$155*BD21*Time!BD30/12*Inputs!$F$40</f>
        <v>2.18930998867621</v>
      </c>
      <c r="BE62" s="13" t="n">
        <f aca="false">Inputs!$F$155*BE21*Time!BE30/12*Inputs!$F$40</f>
        <v>2.21326138255309</v>
      </c>
      <c r="BF62" s="13" t="n">
        <f aca="false">Inputs!$F$155*BF21*Time!BF30/12*Inputs!$F$40</f>
        <v>2.23747480842709</v>
      </c>
      <c r="BG62" s="13" t="n">
        <f aca="false">Inputs!$F$155*BG21*Time!BG30/12*Inputs!$F$40</f>
        <v>2.26195313296926</v>
      </c>
      <c r="BH62" s="13" t="n">
        <f aca="false">Inputs!$F$155*BH21*Time!BH30/12*Inputs!$F$40</f>
        <v>2.28669925421249</v>
      </c>
      <c r="BI62" s="13" t="n">
        <f aca="false">Inputs!$F$155*BI21*Time!BI30/12*Inputs!$F$40</f>
        <v>2.31171610189458</v>
      </c>
      <c r="BJ62" s="13" t="n">
        <f aca="false">Inputs!$F$155*BJ21*Time!BJ30/12*Inputs!$F$40</f>
        <v>2.33700663780516</v>
      </c>
      <c r="BK62" s="13" t="n">
        <f aca="false">Inputs!$F$155*BK21*Time!BK30/12*Inputs!$F$40</f>
        <v>2.36257385613626</v>
      </c>
      <c r="BL62" s="13" t="n">
        <f aca="false">Inputs!$F$155*BL21*Time!BL30/12*Inputs!$F$40</f>
        <v>2.38842078383687</v>
      </c>
      <c r="BM62" s="13" t="n">
        <f aca="false">Inputs!$F$155*BM21*Time!BM30/12*Inputs!$F$40</f>
        <v>1.60970032064751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1637</v>
      </c>
      <c r="E63" s="0" t="s">
        <v>1638</v>
      </c>
      <c r="J63" s="15" t="n">
        <f aca="false">IF(J31&gt;0,1*(Inputs!$F$129*J32/J31*J37/Inputs!$F$131+Inputs!$F$130*Inputs!$F$132)*Time!J30/12,0)</f>
        <v>0</v>
      </c>
      <c r="K63" s="15" t="n">
        <f aca="false">IF(K31&gt;0,1*(Inputs!$F$129*K32/K31*K37/Inputs!$F$131+Inputs!$F$130*Inputs!$F$132)*Time!K30/12,0)</f>
        <v>0</v>
      </c>
      <c r="L63" s="15" t="n">
        <f aca="false">IF(L31&gt;0,1*(Inputs!$F$129*L32/L31*L37/Inputs!$F$131+Inputs!$F$130*Inputs!$F$132)*Time!L30/12,0)</f>
        <v>0</v>
      </c>
      <c r="M63" s="15" t="n">
        <f aca="false">IF(M31&gt;0,1*(Inputs!$F$129*M32/M31*M37/Inputs!$F$131+Inputs!$F$130*Inputs!$F$132)*Time!M30/12,0)</f>
        <v>0</v>
      </c>
      <c r="N63" s="15" t="n">
        <f aca="false">IF(N31&gt;0,1*(Inputs!$F$129*N32/N31*N37/Inputs!$F$131+Inputs!$F$130*Inputs!$F$132)*Time!N30/12,0)</f>
        <v>0</v>
      </c>
      <c r="O63" s="15" t="n">
        <f aca="false">IF(O31&gt;0,1*(Inputs!$F$129*O32/O31*O37/Inputs!$F$131+Inputs!$F$130*Inputs!$F$132)*Time!O30/12,0)</f>
        <v>1406.5</v>
      </c>
      <c r="P63" s="15" t="n">
        <f aca="false">IF(P31&gt;0,1*(Inputs!$F$129*P32/P31*P37/Inputs!$F$131+Inputs!$F$130*Inputs!$F$132)*Time!P30/12,0)</f>
        <v>4219.5</v>
      </c>
      <c r="Q63" s="15" t="n">
        <f aca="false">IF(Q31&gt;0,1*(Inputs!$F$129*Q32/Q31*Q37/Inputs!$F$131+Inputs!$F$130*Inputs!$F$132)*Time!Q30/12,0)</f>
        <v>4219.5</v>
      </c>
      <c r="R63" s="15" t="n">
        <f aca="false">IF(R31&gt;0,1*(Inputs!$F$129*R32/R31*R37/Inputs!$F$131+Inputs!$F$130*Inputs!$F$132)*Time!R30/12,0)</f>
        <v>4219.5</v>
      </c>
      <c r="S63" s="15" t="n">
        <f aca="false">IF(S31&gt;0,1*(Inputs!$F$129*S32/S31*S37/Inputs!$F$131+Inputs!$F$130*Inputs!$F$132)*Time!S30/12,0)</f>
        <v>4219.5</v>
      </c>
      <c r="T63" s="15" t="n">
        <f aca="false">IF(T31&gt;0,1*(Inputs!$F$129*T32/T31*T37/Inputs!$F$131+Inputs!$F$130*Inputs!$F$132)*Time!T30/12,0)</f>
        <v>4219.5</v>
      </c>
      <c r="U63" s="15" t="n">
        <f aca="false">IF(U31&gt;0,1*(Inputs!$F$129*U32/U31*U37/Inputs!$F$131+Inputs!$F$130*Inputs!$F$132)*Time!U30/12,0)</f>
        <v>4219.5</v>
      </c>
      <c r="V63" s="15" t="n">
        <f aca="false">IF(V31&gt;0,1*(Inputs!$F$129*V32/V31*V37/Inputs!$F$131+Inputs!$F$130*Inputs!$F$132)*Time!V30/12,0)</f>
        <v>4219.5</v>
      </c>
      <c r="W63" s="15" t="n">
        <f aca="false">IF(W31&gt;0,1*(Inputs!$F$129*W32/W31*W37/Inputs!$F$131+Inputs!$F$130*Inputs!$F$132)*Time!W30/12,0)</f>
        <v>4219.5</v>
      </c>
      <c r="X63" s="15" t="n">
        <f aca="false">IF(X31&gt;0,1*(Inputs!$F$129*X32/X31*X37/Inputs!$F$131+Inputs!$F$130*Inputs!$F$132)*Time!X30/12,0)</f>
        <v>4219.5</v>
      </c>
      <c r="Y63" s="15" t="n">
        <f aca="false">IF(Y31&gt;0,1*(Inputs!$F$129*Y32/Y31*Y37/Inputs!$F$131+Inputs!$F$130*Inputs!$F$132)*Time!Y30/12,0)</f>
        <v>4219.5</v>
      </c>
      <c r="Z63" s="15" t="n">
        <f aca="false">IF(Z31&gt;0,1*(Inputs!$F$129*Z32/Z31*Z37/Inputs!$F$131+Inputs!$F$130*Inputs!$F$132)*Time!Z30/12,0)</f>
        <v>4219.5</v>
      </c>
      <c r="AA63" s="15" t="n">
        <f aca="false">IF(AA31&gt;0,1*(Inputs!$F$129*AA32/AA31*AA37/Inputs!$F$131+Inputs!$F$130*Inputs!$F$132)*Time!AA30/12,0)</f>
        <v>4219.5</v>
      </c>
      <c r="AB63" s="15" t="n">
        <f aca="false">IF(AB31&gt;0,1*(Inputs!$F$129*AB32/AB31*AB37/Inputs!$F$131+Inputs!$F$130*Inputs!$F$132)*Time!AB30/12,0)</f>
        <v>4219.5</v>
      </c>
      <c r="AC63" s="15" t="n">
        <f aca="false">IF(AC31&gt;0,1*(Inputs!$F$129*AC32/AC31*AC37/Inputs!$F$131+Inputs!$F$130*Inputs!$F$132)*Time!AC30/12,0)</f>
        <v>4219.5</v>
      </c>
      <c r="AD63" s="15" t="n">
        <f aca="false">IF(AD31&gt;0,1*(Inputs!$F$129*AD32/AD31*AD37/Inputs!$F$131+Inputs!$F$130*Inputs!$F$132)*Time!AD30/12,0)</f>
        <v>4219.5</v>
      </c>
      <c r="AE63" s="15" t="n">
        <f aca="false">IF(AE31&gt;0,1*(Inputs!$F$129*AE32/AE31*AE37/Inputs!$F$131+Inputs!$F$130*Inputs!$F$132)*Time!AE30/12,0)</f>
        <v>4219.5</v>
      </c>
      <c r="AF63" s="15" t="n">
        <f aca="false">IF(AF31&gt;0,1*(Inputs!$F$129*AF32/AF31*AF37/Inputs!$F$131+Inputs!$F$130*Inputs!$F$132)*Time!AF30/12,0)</f>
        <v>4219.5</v>
      </c>
      <c r="AG63" s="15" t="n">
        <f aca="false">IF(AG31&gt;0,1*(Inputs!$F$129*AG32/AG31*AG37/Inputs!$F$131+Inputs!$F$130*Inputs!$F$132)*Time!AG30/12,0)</f>
        <v>4219.5</v>
      </c>
      <c r="AH63" s="15" t="n">
        <f aca="false">IF(AH31&gt;0,1*(Inputs!$F$129*AH32/AH31*AH37/Inputs!$F$131+Inputs!$F$130*Inputs!$F$132)*Time!AH30/12,0)</f>
        <v>4219.5</v>
      </c>
      <c r="AI63" s="15" t="n">
        <f aca="false">IF(AI31&gt;0,1*(Inputs!$F$129*AI32/AI31*AI37/Inputs!$F$131+Inputs!$F$130*Inputs!$F$132)*Time!AI30/12,0)</f>
        <v>4219.5</v>
      </c>
      <c r="AJ63" s="15" t="n">
        <f aca="false">IF(AJ31&gt;0,1*(Inputs!$F$129*AJ32/AJ31*AJ37/Inputs!$F$131+Inputs!$F$130*Inputs!$F$132)*Time!AJ30/12,0)</f>
        <v>4219.5</v>
      </c>
      <c r="AK63" s="15" t="n">
        <f aca="false">IF(AK31&gt;0,1*(Inputs!$F$129*AK32/AK31*AK37/Inputs!$F$131+Inputs!$F$130*Inputs!$F$132)*Time!AK30/12,0)</f>
        <v>4219.5</v>
      </c>
      <c r="AL63" s="15" t="n">
        <f aca="false">IF(AL31&gt;0,1*(Inputs!$F$129*AL32/AL31*AL37/Inputs!$F$131+Inputs!$F$130*Inputs!$F$132)*Time!AL30/12,0)</f>
        <v>4219.5</v>
      </c>
      <c r="AM63" s="15" t="n">
        <f aca="false">IF(AM31&gt;0,1*(Inputs!$F$129*AM32/AM31*AM37/Inputs!$F$131+Inputs!$F$130*Inputs!$F$132)*Time!AM30/12,0)</f>
        <v>4219.5</v>
      </c>
      <c r="AN63" s="15" t="n">
        <f aca="false">IF(AN31&gt;0,1*(Inputs!$F$129*AN32/AN31*AN37/Inputs!$F$131+Inputs!$F$130*Inputs!$F$132)*Time!AN30/12,0)</f>
        <v>4219.5</v>
      </c>
      <c r="AO63" s="15" t="n">
        <f aca="false">IF(AO31&gt;0,1*(Inputs!$F$129*AO32/AO31*AO37/Inputs!$F$131+Inputs!$F$130*Inputs!$F$132)*Time!AO30/12,0)</f>
        <v>4219.5</v>
      </c>
      <c r="AP63" s="15" t="n">
        <f aca="false">IF(AP31&gt;0,1*(Inputs!$F$129*AP32/AP31*AP37/Inputs!$F$131+Inputs!$F$130*Inputs!$F$132)*Time!AP30/12,0)</f>
        <v>4219.5</v>
      </c>
      <c r="AQ63" s="15" t="n">
        <f aca="false">IF(AQ31&gt;0,1*(Inputs!$F$129*AQ32/AQ31*AQ37/Inputs!$F$131+Inputs!$F$130*Inputs!$F$132)*Time!AQ30/12,0)</f>
        <v>4219.5</v>
      </c>
      <c r="AR63" s="15" t="n">
        <f aca="false">IF(AR31&gt;0,1*(Inputs!$F$129*AR32/AR31*AR37/Inputs!$F$131+Inputs!$F$130*Inputs!$F$132)*Time!AR30/12,0)</f>
        <v>4219.5</v>
      </c>
      <c r="AS63" s="15" t="n">
        <f aca="false">IF(AS31&gt;0,1*(Inputs!$F$129*AS32/AS31*AS37/Inputs!$F$131+Inputs!$F$130*Inputs!$F$132)*Time!AS30/12,0)</f>
        <v>4219.5</v>
      </c>
      <c r="AT63" s="15" t="n">
        <f aca="false">IF(AT31&gt;0,1*(Inputs!$F$129*AT32/AT31*AT37/Inputs!$F$131+Inputs!$F$130*Inputs!$F$132)*Time!AT30/12,0)</f>
        <v>4219.5</v>
      </c>
      <c r="AU63" s="15" t="n">
        <f aca="false">IF(AU31&gt;0,1*(Inputs!$F$129*AU32/AU31*AU37/Inputs!$F$131+Inputs!$F$130*Inputs!$F$132)*Time!AU30/12,0)</f>
        <v>4219.5</v>
      </c>
      <c r="AV63" s="15" t="n">
        <f aca="false">IF(AV31&gt;0,1*(Inputs!$F$129*AV32/AV31*AV37/Inputs!$F$131+Inputs!$F$130*Inputs!$F$132)*Time!AV30/12,0)</f>
        <v>4219.5</v>
      </c>
      <c r="AW63" s="15" t="n">
        <f aca="false">IF(AW31&gt;0,1*(Inputs!$F$129*AW32/AW31*AW37/Inputs!$F$131+Inputs!$F$130*Inputs!$F$132)*Time!AW30/12,0)</f>
        <v>4219.5</v>
      </c>
      <c r="AX63" s="15" t="n">
        <f aca="false">IF(AX31&gt;0,1*(Inputs!$F$129*AX32/AX31*AX37/Inputs!$F$131+Inputs!$F$130*Inputs!$F$132)*Time!AX30/12,0)</f>
        <v>4219.5</v>
      </c>
      <c r="AY63" s="15" t="n">
        <f aca="false">IF(AY31&gt;0,1*(Inputs!$F$129*AY32/AY31*AY37/Inputs!$F$131+Inputs!$F$130*Inputs!$F$132)*Time!AY30/12,0)</f>
        <v>4219.5</v>
      </c>
      <c r="AZ63" s="15" t="n">
        <f aca="false">IF(AZ31&gt;0,1*(Inputs!$F$129*AZ32/AZ31*AZ37/Inputs!$F$131+Inputs!$F$130*Inputs!$F$132)*Time!AZ30/12,0)</f>
        <v>4219.5</v>
      </c>
      <c r="BA63" s="15" t="n">
        <f aca="false">IF(BA31&gt;0,1*(Inputs!$F$129*BA32/BA31*BA37/Inputs!$F$131+Inputs!$F$130*Inputs!$F$132)*Time!BA30/12,0)</f>
        <v>4219.5</v>
      </c>
      <c r="BB63" s="15" t="n">
        <f aca="false">IF(BB31&gt;0,1*(Inputs!$F$129*BB32/BB31*BB37/Inputs!$F$131+Inputs!$F$130*Inputs!$F$132)*Time!BB30/12,0)</f>
        <v>4219.5</v>
      </c>
      <c r="BC63" s="15" t="n">
        <f aca="false">IF(BC31&gt;0,1*(Inputs!$F$129*BC32/BC31*BC37/Inputs!$F$131+Inputs!$F$130*Inputs!$F$132)*Time!BC30/12,0)</f>
        <v>4219.5</v>
      </c>
      <c r="BD63" s="15" t="n">
        <f aca="false">IF(BD31&gt;0,1*(Inputs!$F$129*BD32/BD31*BD37/Inputs!$F$131+Inputs!$F$130*Inputs!$F$132)*Time!BD30/12,0)</f>
        <v>4219.5</v>
      </c>
      <c r="BE63" s="15" t="n">
        <f aca="false">IF(BE31&gt;0,1*(Inputs!$F$129*BE32/BE31*BE37/Inputs!$F$131+Inputs!$F$130*Inputs!$F$132)*Time!BE30/12,0)</f>
        <v>4219.5</v>
      </c>
      <c r="BF63" s="15" t="n">
        <f aca="false">IF(BF31&gt;0,1*(Inputs!$F$129*BF32/BF31*BF37/Inputs!$F$131+Inputs!$F$130*Inputs!$F$132)*Time!BF30/12,0)</f>
        <v>4219.5</v>
      </c>
      <c r="BG63" s="15" t="n">
        <f aca="false">IF(BG31&gt;0,1*(Inputs!$F$129*BG32/BG31*BG37/Inputs!$F$131+Inputs!$F$130*Inputs!$F$132)*Time!BG30/12,0)</f>
        <v>4219.5</v>
      </c>
      <c r="BH63" s="15" t="n">
        <f aca="false">IF(BH31&gt;0,1*(Inputs!$F$129*BH32/BH31*BH37/Inputs!$F$131+Inputs!$F$130*Inputs!$F$132)*Time!BH30/12,0)</f>
        <v>4219.5</v>
      </c>
      <c r="BI63" s="15" t="n">
        <f aca="false">IF(BI31&gt;0,1*(Inputs!$F$129*BI32/BI31*BI37/Inputs!$F$131+Inputs!$F$130*Inputs!$F$132)*Time!BI30/12,0)</f>
        <v>4219.5</v>
      </c>
      <c r="BJ63" s="15" t="n">
        <f aca="false">IF(BJ31&gt;0,1*(Inputs!$F$129*BJ32/BJ31*BJ37/Inputs!$F$131+Inputs!$F$130*Inputs!$F$132)*Time!BJ30/12,0)</f>
        <v>4219.5</v>
      </c>
      <c r="BK63" s="15" t="n">
        <f aca="false">IF(BK31&gt;0,1*(Inputs!$F$129*BK32/BK31*BK37/Inputs!$F$131+Inputs!$F$130*Inputs!$F$132)*Time!BK30/12,0)</f>
        <v>4219.5</v>
      </c>
      <c r="BL63" s="15" t="n">
        <f aca="false">IF(BL31&gt;0,1*(Inputs!$F$129*BL32/BL31*BL37/Inputs!$F$131+Inputs!$F$130*Inputs!$F$132)*Time!BL30/12,0)</f>
        <v>4219.5</v>
      </c>
      <c r="BM63" s="15" t="n">
        <f aca="false">IF(BM31&gt;0,1*(Inputs!$F$129*BM32/BM31*BM37/Inputs!$F$131+Inputs!$F$130*Inputs!$F$132)*Time!BM30/12,0)</f>
        <v>2813</v>
      </c>
      <c r="BN63" s="15" t="n">
        <f aca="false">IF(BN31&gt;0,1*(Inputs!$F$129*BN32/BN31*BN37/Inputs!$F$131+Inputs!$F$130*Inputs!$F$132)*Time!BN30/12,0)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264</v>
      </c>
      <c r="E64" s="0" t="s">
        <v>151</v>
      </c>
      <c r="G64" s="13" t="n">
        <f aca="false">SUM(J64:BN64)</f>
        <v>144.919654655811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0.725714781907239</v>
      </c>
      <c r="P64" s="13" t="n">
        <f aca="false">P63*Inputs!$F$156*P21/1000000</f>
        <v>2.2009626455609</v>
      </c>
      <c r="Q64" s="13" t="n">
        <f aca="false">Q63*Inputs!$F$156*Q21/1000000</f>
        <v>2.22504152132759</v>
      </c>
      <c r="R64" s="13" t="n">
        <f aca="false">R63*Inputs!$F$156*R21/1000000</f>
        <v>2.24938382376324</v>
      </c>
      <c r="S64" s="13" t="n">
        <f aca="false">S63*Inputs!$F$156*S21/1000000</f>
        <v>2.2739924347968</v>
      </c>
      <c r="T64" s="13" t="n">
        <f aca="false">T63*Inputs!$F$156*T21/1000000</f>
        <v>2.29887026788603</v>
      </c>
      <c r="U64" s="13" t="n">
        <f aca="false">U63*Inputs!$F$156*U21/1000000</f>
        <v>2.32402026836233</v>
      </c>
      <c r="V64" s="13" t="n">
        <f aca="false">V63*Inputs!$F$156*V21/1000000</f>
        <v>2.34944541377952</v>
      </c>
      <c r="W64" s="13" t="n">
        <f aca="false">W63*Inputs!$F$156*W21/1000000</f>
        <v>2.3751487142663</v>
      </c>
      <c r="X64" s="13" t="n">
        <f aca="false">X63*Inputs!$F$156*X21/1000000</f>
        <v>2.40113321288267</v>
      </c>
      <c r="Y64" s="13" t="n">
        <f aca="false">Y63*Inputs!$F$156*Y21/1000000</f>
        <v>2.42740198598016</v>
      </c>
      <c r="Z64" s="13" t="n">
        <f aca="false">Z63*Inputs!$F$156*Z21/1000000</f>
        <v>2.45395814356609</v>
      </c>
      <c r="AA64" s="13" t="n">
        <f aca="false">AA63*Inputs!$F$156*AA21/1000000</f>
        <v>2.48080482967172</v>
      </c>
      <c r="AB64" s="13" t="n">
        <f aca="false">AB63*Inputs!$F$156*AB21/1000000</f>
        <v>2.50794522272454</v>
      </c>
      <c r="AC64" s="13" t="n">
        <f aca="false">AC63*Inputs!$F$156*AC21/1000000</f>
        <v>2.5353825359245</v>
      </c>
      <c r="AD64" s="13" t="n">
        <f aca="false">AD63*Inputs!$F$156*AD21/1000000</f>
        <v>2.56312001762448</v>
      </c>
      <c r="AE64" s="13" t="n">
        <f aca="false">AE63*Inputs!$F$156*AE21/1000000</f>
        <v>2.59116095171484</v>
      </c>
      <c r="AF64" s="13" t="n">
        <f aca="false">AF63*Inputs!$F$156*AF21/1000000</f>
        <v>2.61950865801222</v>
      </c>
      <c r="AG64" s="13" t="n">
        <f aca="false">AG63*Inputs!$F$156*AG21/1000000</f>
        <v>2.64816649265256</v>
      </c>
      <c r="AH64" s="13" t="n">
        <f aca="false">AH63*Inputs!$F$156*AH21/1000000</f>
        <v>2.67713784848848</v>
      </c>
      <c r="AI64" s="13" t="n">
        <f aca="false">AI63*Inputs!$F$156*AI21/1000000</f>
        <v>2.70642615549092</v>
      </c>
      <c r="AJ64" s="13" t="n">
        <f aca="false">AJ63*Inputs!$F$156*AJ21/1000000</f>
        <v>2.73603488115523</v>
      </c>
      <c r="AK64" s="13" t="n">
        <f aca="false">AK63*Inputs!$F$156*AK21/1000000</f>
        <v>2.76596753091172</v>
      </c>
      <c r="AL64" s="13" t="n">
        <f aca="false">AL63*Inputs!$F$156*AL21/1000000</f>
        <v>2.79622764854064</v>
      </c>
      <c r="AM64" s="13" t="n">
        <f aca="false">AM63*Inputs!$F$156*AM21/1000000</f>
        <v>2.82681881659178</v>
      </c>
      <c r="AN64" s="13" t="n">
        <f aca="false">AN63*Inputs!$F$156*AN21/1000000</f>
        <v>2.85774465680854</v>
      </c>
      <c r="AO64" s="13" t="n">
        <f aca="false">AO63*Inputs!$F$156*AO21/1000000</f>
        <v>2.88900883055679</v>
      </c>
      <c r="AP64" s="13" t="n">
        <f aca="false">AP63*Inputs!$F$156*AP21/1000000</f>
        <v>2.92061503925833</v>
      </c>
      <c r="AQ64" s="13" t="n">
        <f aca="false">AQ63*Inputs!$F$156*AQ21/1000000</f>
        <v>2.95256702482904</v>
      </c>
      <c r="AR64" s="13" t="n">
        <f aca="false">AR63*Inputs!$F$156*AR21/1000000</f>
        <v>2.98486857012201</v>
      </c>
      <c r="AS64" s="13" t="n">
        <f aca="false">AS63*Inputs!$F$156*AS21/1000000</f>
        <v>3.01752349937528</v>
      </c>
      <c r="AT64" s="13" t="n">
        <f aca="false">AT63*Inputs!$F$156*AT21/1000000</f>
        <v>3.05053567866469</v>
      </c>
      <c r="AU64" s="13" t="n">
        <f aca="false">AU63*Inputs!$F$156*AU21/1000000</f>
        <v>3.08390901636154</v>
      </c>
      <c r="AV64" s="13" t="n">
        <f aca="false">AV63*Inputs!$F$156*AV21/1000000</f>
        <v>3.11764746359532</v>
      </c>
      <c r="AW64" s="13" t="n">
        <f aca="false">AW63*Inputs!$F$156*AW21/1000000</f>
        <v>3.15175501472149</v>
      </c>
      <c r="AX64" s="13" t="n">
        <f aca="false">AX63*Inputs!$F$156*AX21/1000000</f>
        <v>3.18623570779441</v>
      </c>
      <c r="AY64" s="13" t="n">
        <f aca="false">AY63*Inputs!$F$156*AY21/1000000</f>
        <v>3.22109362504536</v>
      </c>
      <c r="AZ64" s="13" t="n">
        <f aca="false">AZ63*Inputs!$F$156*AZ21/1000000</f>
        <v>3.25633289336589</v>
      </c>
      <c r="BA64" s="13" t="n">
        <f aca="false">BA63*Inputs!$F$156*BA21/1000000</f>
        <v>3.29195768479636</v>
      </c>
      <c r="BB64" s="13" t="n">
        <f aca="false">BB63*Inputs!$F$156*BB21/1000000</f>
        <v>3.32797221701994</v>
      </c>
      <c r="BC64" s="13" t="n">
        <f aca="false">BC63*Inputs!$F$156*BC21/1000000</f>
        <v>3.36438075386188</v>
      </c>
      <c r="BD64" s="13" t="n">
        <f aca="false">BD63*Inputs!$F$156*BD21/1000000</f>
        <v>3.40118760579437</v>
      </c>
      <c r="BE64" s="13" t="n">
        <f aca="false">BE63*Inputs!$F$156*BE21/1000000</f>
        <v>3.43839713044684</v>
      </c>
      <c r="BF64" s="13" t="n">
        <f aca="false">BF63*Inputs!$F$156*BF21/1000000</f>
        <v>3.47601373312185</v>
      </c>
      <c r="BG64" s="13" t="n">
        <f aca="false">BG63*Inputs!$F$156*BG21/1000000</f>
        <v>3.51404186731667</v>
      </c>
      <c r="BH64" s="13" t="n">
        <f aca="false">BH63*Inputs!$F$156*BH21/1000000</f>
        <v>3.55248603525053</v>
      </c>
      <c r="BI64" s="13" t="n">
        <f aca="false">BI63*Inputs!$F$156*BI21/1000000</f>
        <v>3.59135078839763</v>
      </c>
      <c r="BJ64" s="13" t="n">
        <f aca="false">BJ63*Inputs!$F$156*BJ21/1000000</f>
        <v>3.63064072802604</v>
      </c>
      <c r="BK64" s="13" t="n">
        <f aca="false">BK63*Inputs!$F$156*BK21/1000000</f>
        <v>3.67036050574238</v>
      </c>
      <c r="BL64" s="13" t="n">
        <f aca="false">BL63*Inputs!$F$156*BL21/1000000</f>
        <v>3.71051482404261</v>
      </c>
      <c r="BM64" s="13" t="n">
        <f aca="false">BM63*Inputs!$F$156*BM21/1000000</f>
        <v>2.50073895791248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266</v>
      </c>
      <c r="E65" s="0" t="s">
        <v>151</v>
      </c>
      <c r="G65" s="13" t="n">
        <f aca="false">SUM(J65:BN65)</f>
        <v>154.41215043761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0.773250394122193</v>
      </c>
      <c r="P65" s="13" t="n">
        <f aca="false">Inputs!$F$157*P21*Time!P30/12*(1+Inputs!$F$158*Inputs!$F$46*Time!P41)*Inputs!$F$40</f>
        <v>2.34512962331491</v>
      </c>
      <c r="Q65" s="13" t="n">
        <f aca="false">Inputs!$F$157*Q21*Time!Q30/12*(1+Inputs!$F$158*Inputs!$F$46*Time!Q41)*Inputs!$F$40</f>
        <v>2.37078570837864</v>
      </c>
      <c r="R65" s="13" t="n">
        <f aca="false">Inputs!$F$157*R21*Time!R30/12*(1+Inputs!$F$158*Inputs!$F$46*Time!R41)*Inputs!$F$40</f>
        <v>2.39672247502784</v>
      </c>
      <c r="S65" s="13" t="n">
        <f aca="false">Inputs!$F$157*S21*Time!S30/12*(1+Inputs!$F$158*Inputs!$F$46*Time!S41)*Inputs!$F$40</f>
        <v>2.42294299396297</v>
      </c>
      <c r="T65" s="13" t="n">
        <f aca="false">Inputs!$F$157*T21*Time!T30/12*(1+Inputs!$F$158*Inputs!$F$46*Time!T41)*Inputs!$F$40</f>
        <v>2.44945036947845</v>
      </c>
      <c r="U65" s="13" t="n">
        <f aca="false">Inputs!$F$157*U21*Time!U30/12*(1+Inputs!$F$158*Inputs!$F$46*Time!U41)*Inputs!$F$40</f>
        <v>2.47624773983016</v>
      </c>
      <c r="V65" s="13" t="n">
        <f aca="false">Inputs!$F$157*V21*Time!V30/12*(1+Inputs!$F$158*Inputs!$F$46*Time!V41)*Inputs!$F$40</f>
        <v>2.50333827760698</v>
      </c>
      <c r="W65" s="13" t="n">
        <f aca="false">Inputs!$F$157*W21*Time!W30/12*(1+Inputs!$F$158*Inputs!$F$46*Time!W41)*Inputs!$F$40</f>
        <v>2.53072519010642</v>
      </c>
      <c r="X65" s="13" t="n">
        <f aca="false">Inputs!$F$157*X21*Time!X30/12*(1+Inputs!$F$158*Inputs!$F$46*Time!X41)*Inputs!$F$40</f>
        <v>2.55841171971433</v>
      </c>
      <c r="Y65" s="13" t="n">
        <f aca="false">Inputs!$F$157*Y21*Time!Y30/12*(1+Inputs!$F$158*Inputs!$F$46*Time!Y41)*Inputs!$F$40</f>
        <v>2.58640114428876</v>
      </c>
      <c r="Z65" s="13" t="n">
        <f aca="false">Inputs!$F$157*Z21*Time!Z30/12*(1+Inputs!$F$158*Inputs!$F$46*Time!Z41)*Inputs!$F$40</f>
        <v>2.61469677754805</v>
      </c>
      <c r="AA65" s="13" t="n">
        <f aca="false">Inputs!$F$157*AA21*Time!AA30/12*(1+Inputs!$F$158*Inputs!$F$46*Time!AA41)*Inputs!$F$40</f>
        <v>2.64330196946311</v>
      </c>
      <c r="AB65" s="13" t="n">
        <f aca="false">Inputs!$F$157*AB21*Time!AB30/12*(1+Inputs!$F$158*Inputs!$F$46*Time!AB41)*Inputs!$F$40</f>
        <v>2.6722201066541</v>
      </c>
      <c r="AC65" s="13" t="n">
        <f aca="false">Inputs!$F$157*AC21*Time!AC30/12*(1+Inputs!$F$158*Inputs!$F$46*Time!AC41)*Inputs!$F$40</f>
        <v>2.7014546127913</v>
      </c>
      <c r="AD65" s="13" t="n">
        <f aca="false">Inputs!$F$157*AD21*Time!AD30/12*(1+Inputs!$F$158*Inputs!$F$46*Time!AD41)*Inputs!$F$40</f>
        <v>2.73100894900049</v>
      </c>
      <c r="AE65" s="13" t="n">
        <f aca="false">Inputs!$F$157*AE21*Time!AE30/12*(1+Inputs!$F$158*Inputs!$F$46*Time!AE41)*Inputs!$F$40</f>
        <v>2.76088661427271</v>
      </c>
      <c r="AF65" s="13" t="n">
        <f aca="false">Inputs!$F$157*AF21*Time!AF30/12*(1+Inputs!$F$158*Inputs!$F$46*Time!AF41)*Inputs!$F$40</f>
        <v>2.7910911458785</v>
      </c>
      <c r="AG65" s="13" t="n">
        <f aca="false">Inputs!$F$157*AG21*Time!AG30/12*(1+Inputs!$F$158*Inputs!$F$46*Time!AG41)*Inputs!$F$40</f>
        <v>2.82162611978671</v>
      </c>
      <c r="AH65" s="13" t="n">
        <f aca="false">Inputs!$F$157*AH21*Time!AH30/12*(1+Inputs!$F$158*Inputs!$F$46*Time!AH41)*Inputs!$F$40</f>
        <v>2.85249515108783</v>
      </c>
      <c r="AI65" s="13" t="n">
        <f aca="false">Inputs!$F$157*AI21*Time!AI30/12*(1+Inputs!$F$158*Inputs!$F$46*Time!AI41)*Inputs!$F$40</f>
        <v>2.88370189442202</v>
      </c>
      <c r="AJ65" s="13" t="n">
        <f aca="false">Inputs!$F$157*AJ21*Time!AJ30/12*(1+Inputs!$F$158*Inputs!$F$46*Time!AJ41)*Inputs!$F$40</f>
        <v>2.91525004441176</v>
      </c>
      <c r="AK65" s="13" t="n">
        <f aca="false">Inputs!$F$157*AK21*Time!AK30/12*(1+Inputs!$F$158*Inputs!$F$46*Time!AK41)*Inputs!$F$40</f>
        <v>2.9471433360993</v>
      </c>
      <c r="AL65" s="13" t="n">
        <f aca="false">Inputs!$F$157*AL21*Time!AL30/12*(1+Inputs!$F$158*Inputs!$F$46*Time!AL41)*Inputs!$F$40</f>
        <v>2.97938554538882</v>
      </c>
      <c r="AM65" s="13" t="n">
        <f aca="false">Inputs!$F$157*AM21*Time!AM30/12*(1+Inputs!$F$158*Inputs!$F$46*Time!AM41)*Inputs!$F$40</f>
        <v>3.01198048949348</v>
      </c>
      <c r="AN65" s="13" t="n">
        <f aca="false">Inputs!$F$157*AN21*Time!AN30/12*(1+Inputs!$F$158*Inputs!$F$46*Time!AN41)*Inputs!$F$40</f>
        <v>3.04493202738737</v>
      </c>
      <c r="AO65" s="13" t="n">
        <f aca="false">Inputs!$F$157*AO21*Time!AO30/12*(1+Inputs!$F$158*Inputs!$F$46*Time!AO41)*Inputs!$F$40</f>
        <v>3.07824406026234</v>
      </c>
      <c r="AP65" s="13" t="n">
        <f aca="false">Inputs!$F$157*AP21*Time!AP30/12*(1+Inputs!$F$158*Inputs!$F$46*Time!AP41)*Inputs!$F$40</f>
        <v>3.1119205319899</v>
      </c>
      <c r="AQ65" s="13" t="n">
        <f aca="false">Inputs!$F$157*AQ21*Time!AQ30/12*(1+Inputs!$F$158*Inputs!$F$46*Time!AQ41)*Inputs!$F$40</f>
        <v>3.14596542958811</v>
      </c>
      <c r="AR65" s="13" t="n">
        <f aca="false">Inputs!$F$157*AR21*Time!AR30/12*(1+Inputs!$F$158*Inputs!$F$46*Time!AR41)*Inputs!$F$40</f>
        <v>3.18038278369367</v>
      </c>
      <c r="AS65" s="13" t="n">
        <f aca="false">Inputs!$F$157*AS21*Time!AS30/12*(1+Inputs!$F$158*Inputs!$F$46*Time!AS41)*Inputs!$F$40</f>
        <v>3.21517666903905</v>
      </c>
      <c r="AT65" s="13" t="n">
        <f aca="false">Inputs!$F$157*AT21*Time!AT30/12*(1+Inputs!$F$158*Inputs!$F$46*Time!AT41)*Inputs!$F$40</f>
        <v>3.25035120493493</v>
      </c>
      <c r="AU65" s="13" t="n">
        <f aca="false">Inputs!$F$157*AU21*Time!AU30/12*(1+Inputs!$F$158*Inputs!$F$46*Time!AU41)*Inputs!$F$40</f>
        <v>3.28591055575791</v>
      </c>
      <c r="AV65" s="13" t="n">
        <f aca="false">Inputs!$F$157*AV21*Time!AV30/12*(1+Inputs!$F$158*Inputs!$F$46*Time!AV41)*Inputs!$F$40</f>
        <v>3.3218589314435</v>
      </c>
      <c r="AW65" s="13" t="n">
        <f aca="false">Inputs!$F$157*AW21*Time!AW30/12*(1+Inputs!$F$158*Inputs!$F$46*Time!AW41)*Inputs!$F$40</f>
        <v>3.35820058798458</v>
      </c>
      <c r="AX65" s="13" t="n">
        <f aca="false">Inputs!$F$157*AX21*Time!AX30/12*(1+Inputs!$F$158*Inputs!$F$46*Time!AX41)*Inputs!$F$40</f>
        <v>3.39493982793526</v>
      </c>
      <c r="AY65" s="13" t="n">
        <f aca="false">Inputs!$F$157*AY21*Time!AY30/12*(1+Inputs!$F$158*Inputs!$F$46*Time!AY41)*Inputs!$F$40</f>
        <v>3.43208100092024</v>
      </c>
      <c r="AZ65" s="13" t="n">
        <f aca="false">Inputs!$F$157*AZ21*Time!AZ30/12*(1+Inputs!$F$158*Inputs!$F$46*Time!AZ41)*Inputs!$F$40</f>
        <v>3.46962850414983</v>
      </c>
      <c r="BA65" s="13" t="n">
        <f aca="false">Inputs!$F$157*BA21*Time!BA30/12*(1+Inputs!$F$158*Inputs!$F$46*Time!BA41)*Inputs!$F$40</f>
        <v>3.50758678294049</v>
      </c>
      <c r="BB65" s="13" t="n">
        <f aca="false">Inputs!$F$157*BB21*Time!BB30/12*(1+Inputs!$F$158*Inputs!$F$46*Time!BB41)*Inputs!$F$40</f>
        <v>3.54596033124113</v>
      </c>
      <c r="BC65" s="13" t="n">
        <f aca="false">Inputs!$F$157*BC21*Time!BC30/12*(1+Inputs!$F$158*Inputs!$F$46*Time!BC41)*Inputs!$F$40</f>
        <v>3.58475369216518</v>
      </c>
      <c r="BD65" s="13" t="n">
        <f aca="false">Inputs!$F$157*BD21*Time!BD30/12*(1+Inputs!$F$158*Inputs!$F$46*Time!BD41)*Inputs!$F$40</f>
        <v>3.62397145852843</v>
      </c>
      <c r="BE65" s="13" t="n">
        <f aca="false">Inputs!$F$157*BE21*Time!BE30/12*(1+Inputs!$F$158*Inputs!$F$46*Time!BE41)*Inputs!$F$40</f>
        <v>3.66361827339281</v>
      </c>
      <c r="BF65" s="13" t="n">
        <f aca="false">Inputs!$F$157*BF21*Time!BF30/12*(1+Inputs!$F$158*Inputs!$F$46*Time!BF41)*Inputs!$F$40</f>
        <v>3.70369883061606</v>
      </c>
      <c r="BG65" s="13" t="n">
        <f aca="false">Inputs!$F$157*BG21*Time!BG30/12*(1+Inputs!$F$158*Inputs!$F$46*Time!BG41)*Inputs!$F$40</f>
        <v>3.74421787540745</v>
      </c>
      <c r="BH65" s="13" t="n">
        <f aca="false">Inputs!$F$157*BH21*Time!BH30/12*(1+Inputs!$F$158*Inputs!$F$46*Time!BH41)*Inputs!$F$40</f>
        <v>3.78518020488961</v>
      </c>
      <c r="BI65" s="13" t="n">
        <f aca="false">Inputs!$F$157*BI21*Time!BI30/12*(1+Inputs!$F$158*Inputs!$F$46*Time!BI41)*Inputs!$F$40</f>
        <v>3.82659066866641</v>
      </c>
      <c r="BJ65" s="13" t="n">
        <f aca="false">Inputs!$F$157*BJ21*Time!BJ30/12*(1+Inputs!$F$158*Inputs!$F$46*Time!BJ41)*Inputs!$F$40</f>
        <v>3.86845416939718</v>
      </c>
      <c r="BK65" s="13" t="n">
        <f aca="false">Inputs!$F$157*BK21*Time!BK30/12*(1+Inputs!$F$158*Inputs!$F$46*Time!BK41)*Inputs!$F$40</f>
        <v>3.91077566337707</v>
      </c>
      <c r="BL65" s="13" t="n">
        <f aca="false">Inputs!$F$157*BL21*Time!BL30/12*(1+Inputs!$F$158*Inputs!$F$46*Time!BL41)*Inputs!$F$40</f>
        <v>3.95356016112392</v>
      </c>
      <c r="BM65" s="13" t="n">
        <f aca="false">Inputs!$F$157*BM21*Time!BM30/12*(1+Inputs!$F$158*Inputs!$F$46*Time!BM41)*Inputs!$F$40</f>
        <v>2.66454181864758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1639</v>
      </c>
      <c r="E66" s="0" t="s">
        <v>151</v>
      </c>
      <c r="G66" s="13" t="n">
        <f aca="false">SUM(J66:BN66)</f>
        <v>112.08275600111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0.561277302378987</v>
      </c>
      <c r="P66" s="13" t="n">
        <f aca="false">Inputs!$F$159*(Inputs!$F$218*P21+(1-Inputs!$F$218)*P27*Inputs!$F$153/P11)*Time!P30/12*Inputs!$F$40</f>
        <v>1.70225329170054</v>
      </c>
      <c r="Q66" s="13" t="n">
        <f aca="false">Inputs!$F$159*(Inputs!$F$218*Q21+(1-Inputs!$F$218)*Q27*Inputs!$F$153/Q11)*Time!Q30/12*Inputs!$F$40</f>
        <v>1.72087620909397</v>
      </c>
      <c r="R66" s="13" t="n">
        <f aca="false">Inputs!$F$159*(Inputs!$F$218*R21+(1-Inputs!$F$218)*R27*Inputs!$F$153/R11)*Time!R30/12*Inputs!$F$40</f>
        <v>1.73970286411795</v>
      </c>
      <c r="S66" s="13" t="n">
        <f aca="false">Inputs!$F$159*(Inputs!$F$218*S21+(1-Inputs!$F$218)*S27*Inputs!$F$153/S11)*Time!S30/12*Inputs!$F$40</f>
        <v>1.75873548569404</v>
      </c>
      <c r="T66" s="13" t="n">
        <f aca="false">Inputs!$F$159*(Inputs!$F$218*T21+(1-Inputs!$F$218)*T27*Inputs!$F$153/T11)*Time!T30/12*Inputs!$F$40</f>
        <v>1.77797632712855</v>
      </c>
      <c r="U66" s="13" t="n">
        <f aca="false">Inputs!$F$159*(Inputs!$F$218*U21+(1-Inputs!$F$218)*U27*Inputs!$F$153/U11)*Time!U30/12*Inputs!$F$40</f>
        <v>1.79742766637931</v>
      </c>
      <c r="V66" s="13" t="n">
        <f aca="false">Inputs!$F$159*(Inputs!$F$218*V21+(1-Inputs!$F$218)*V27*Inputs!$F$153/V11)*Time!V30/12*Inputs!$F$40</f>
        <v>1.81709180632538</v>
      </c>
      <c r="W66" s="13" t="n">
        <f aca="false">Inputs!$F$159*(Inputs!$F$218*W21+(1-Inputs!$F$218)*W27*Inputs!$F$153/W11)*Time!W30/12*Inputs!$F$40</f>
        <v>1.83697107503966</v>
      </c>
      <c r="X66" s="13" t="n">
        <f aca="false">Inputs!$F$159*(Inputs!$F$218*X21+(1-Inputs!$F$218)*X27*Inputs!$F$153/X11)*Time!X30/12*Inputs!$F$40</f>
        <v>1.85706782606454</v>
      </c>
      <c r="Y66" s="13" t="n">
        <f aca="false">Inputs!$F$159*(Inputs!$F$218*Y21+(1-Inputs!$F$218)*Y27*Inputs!$F$153/Y11)*Time!Y30/12*Inputs!$F$40</f>
        <v>1.87738443869053</v>
      </c>
      <c r="Z66" s="13" t="n">
        <f aca="false">Inputs!$F$159*(Inputs!$F$218*Z21+(1-Inputs!$F$218)*Z27*Inputs!$F$153/Z11)*Time!Z30/12*Inputs!$F$40</f>
        <v>1.89792331823795</v>
      </c>
      <c r="AA66" s="13" t="n">
        <f aca="false">Inputs!$F$159*(Inputs!$F$218*AA21+(1-Inputs!$F$218)*AA27*Inputs!$F$153/AA11)*Time!AA30/12*Inputs!$F$40</f>
        <v>1.91868689634172</v>
      </c>
      <c r="AB66" s="13" t="n">
        <f aca="false">Inputs!$F$159*(Inputs!$F$218*AB21+(1-Inputs!$F$218)*AB27*Inputs!$F$153/AB11)*Time!AB30/12*Inputs!$F$40</f>
        <v>1.93967763123919</v>
      </c>
      <c r="AC66" s="13" t="n">
        <f aca="false">Inputs!$F$159*(Inputs!$F$218*AC21+(1-Inputs!$F$218)*AC27*Inputs!$F$153/AC11)*Time!AC30/12*Inputs!$F$40</f>
        <v>1.96089800806124</v>
      </c>
      <c r="AD66" s="13" t="n">
        <f aca="false">Inputs!$F$159*(Inputs!$F$218*AD21+(1-Inputs!$F$218)*AD27*Inputs!$F$153/AD11)*Time!AD30/12*Inputs!$F$40</f>
        <v>1.98235053912645</v>
      </c>
      <c r="AE66" s="13" t="n">
        <f aca="false">Inputs!$F$159*(Inputs!$F$218*AE21+(1-Inputs!$F$218)*AE27*Inputs!$F$153/AE11)*Time!AE30/12*Inputs!$F$40</f>
        <v>2.00403776423858</v>
      </c>
      <c r="AF66" s="13" t="n">
        <f aca="false">Inputs!$F$159*(Inputs!$F$218*AF21+(1-Inputs!$F$218)*AF27*Inputs!$F$153/AF11)*Time!AF30/12*Inputs!$F$40</f>
        <v>2.02596225098723</v>
      </c>
      <c r="AG66" s="13" t="n">
        <f aca="false">Inputs!$F$159*(Inputs!$F$218*AG21+(1-Inputs!$F$218)*AG27*Inputs!$F$153/AG11)*Time!AG30/12*Inputs!$F$40</f>
        <v>2.04812659505183</v>
      </c>
      <c r="AH66" s="13" t="n">
        <f aca="false">Inputs!$F$159*(Inputs!$F$218*AH21+(1-Inputs!$F$218)*AH27*Inputs!$F$153/AH11)*Time!AH30/12*Inputs!$F$40</f>
        <v>2.07053342050895</v>
      </c>
      <c r="AI66" s="13" t="n">
        <f aca="false">Inputs!$F$159*(Inputs!$F$218*AI21+(1-Inputs!$F$218)*AI27*Inputs!$F$153/AI11)*Time!AI30/12*Inputs!$F$40</f>
        <v>2.09318538014297</v>
      </c>
      <c r="AJ66" s="13" t="n">
        <f aca="false">Inputs!$F$159*(Inputs!$F$218*AJ21+(1-Inputs!$F$218)*AJ27*Inputs!$F$153/AJ11)*Time!AJ30/12*Inputs!$F$40</f>
        <v>2.11608515576015</v>
      </c>
      <c r="AK66" s="13" t="n">
        <f aca="false">Inputs!$F$159*(Inputs!$F$218*AK21+(1-Inputs!$F$218)*AK27*Inputs!$F$153/AK11)*Time!AK30/12*Inputs!$F$40</f>
        <v>2.13923545850612</v>
      </c>
      <c r="AL66" s="13" t="n">
        <f aca="false">Inputs!$F$159*(Inputs!$F$218*AL21+(1-Inputs!$F$218)*AL27*Inputs!$F$153/AL11)*Time!AL30/12*Inputs!$F$40</f>
        <v>2.16263902918687</v>
      </c>
      <c r="AM66" s="13" t="n">
        <f aca="false">Inputs!$F$159*(Inputs!$F$218*AM21+(1-Inputs!$F$218)*AM27*Inputs!$F$153/AM11)*Time!AM30/12*Inputs!$F$40</f>
        <v>2.18629863859325</v>
      </c>
      <c r="AN66" s="13" t="n">
        <f aca="false">Inputs!$F$159*(Inputs!$F$218*AN21+(1-Inputs!$F$218)*AN27*Inputs!$F$153/AN11)*Time!AN30/12*Inputs!$F$40</f>
        <v>2.21021708782898</v>
      </c>
      <c r="AO66" s="13" t="n">
        <f aca="false">Inputs!$F$159*(Inputs!$F$218*AO21+(1-Inputs!$F$218)*AO27*Inputs!$F$153/AO11)*Time!AO30/12*Inputs!$F$40</f>
        <v>2.2343972086423</v>
      </c>
      <c r="AP66" s="13" t="n">
        <f aca="false">Inputs!$F$159*(Inputs!$F$218*AP21+(1-Inputs!$F$218)*AP27*Inputs!$F$153/AP11)*Time!AP30/12*Inputs!$F$40</f>
        <v>2.25884186376122</v>
      </c>
      <c r="AQ66" s="13" t="n">
        <f aca="false">Inputs!$F$159*(Inputs!$F$218*AQ21+(1-Inputs!$F$218)*AQ27*Inputs!$F$153/AQ11)*Time!AQ30/12*Inputs!$F$40</f>
        <v>2.28355394723243</v>
      </c>
      <c r="AR66" s="13" t="n">
        <f aca="false">Inputs!$F$159*(Inputs!$F$218*AR21+(1-Inputs!$F$218)*AR27*Inputs!$F$153/AR11)*Time!AR30/12*Inputs!$F$40</f>
        <v>2.30853638476397</v>
      </c>
      <c r="AS66" s="13" t="n">
        <f aca="false">Inputs!$F$159*(Inputs!$F$218*AS21+(1-Inputs!$F$218)*AS27*Inputs!$F$153/AS11)*Time!AS30/12*Inputs!$F$40</f>
        <v>2.33379213407155</v>
      </c>
      <c r="AT66" s="13" t="n">
        <f aca="false">Inputs!$F$159*(Inputs!$F$218*AT21+(1-Inputs!$F$218)*AT27*Inputs!$F$153/AT11)*Time!AT30/12*Inputs!$F$40</f>
        <v>2.35932418522877</v>
      </c>
      <c r="AU66" s="13" t="n">
        <f aca="false">Inputs!$F$159*(Inputs!$F$218*AU21+(1-Inputs!$F$218)*AU27*Inputs!$F$153/AU11)*Time!AU30/12*Inputs!$F$40</f>
        <v>2.38513556102112</v>
      </c>
      <c r="AV66" s="13" t="n">
        <f aca="false">Inputs!$F$159*(Inputs!$F$218*AV21+(1-Inputs!$F$218)*AV27*Inputs!$F$153/AV11)*Time!AV30/12*Inputs!$F$40</f>
        <v>2.41122931730381</v>
      </c>
      <c r="AW66" s="13" t="n">
        <f aca="false">Inputs!$F$159*(Inputs!$F$218*AW21+(1-Inputs!$F$218)*AW27*Inputs!$F$153/AW11)*Time!AW30/12*Inputs!$F$40</f>
        <v>2.43760854336359</v>
      </c>
      <c r="AX66" s="13" t="n">
        <f aca="false">Inputs!$F$159*(Inputs!$F$218*AX21+(1-Inputs!$F$218)*AX27*Inputs!$F$153/AX11)*Time!AX30/12*Inputs!$F$40</f>
        <v>2.46427636228449</v>
      </c>
      <c r="AY66" s="13" t="n">
        <f aca="false">Inputs!$F$159*(Inputs!$F$218*AY21+(1-Inputs!$F$218)*AY27*Inputs!$F$153/AY11)*Time!AY30/12*Inputs!$F$40</f>
        <v>2.49123593131758</v>
      </c>
      <c r="AZ66" s="13" t="n">
        <f aca="false">Inputs!$F$159*(Inputs!$F$218*AZ21+(1-Inputs!$F$218)*AZ27*Inputs!$F$153/AZ11)*Time!AZ30/12*Inputs!$F$40</f>
        <v>2.51849044225475</v>
      </c>
      <c r="BA66" s="13" t="n">
        <f aca="false">Inputs!$F$159*(Inputs!$F$218*BA21+(1-Inputs!$F$218)*BA27*Inputs!$F$153/BA11)*Time!BA30/12*Inputs!$F$40</f>
        <v>2.54604312180657</v>
      </c>
      <c r="BB66" s="13" t="n">
        <f aca="false">Inputs!$F$159*(Inputs!$F$218*BB21+(1-Inputs!$F$218)*BB27*Inputs!$F$153/BB11)*Time!BB30/12*Inputs!$F$40</f>
        <v>2.57389723198435</v>
      </c>
      <c r="BC66" s="13" t="n">
        <f aca="false">Inputs!$F$159*(Inputs!$F$218*BC21+(1-Inputs!$F$218)*BC27*Inputs!$F$153/BC11)*Time!BC30/12*Inputs!$F$40</f>
        <v>2.60205607048631</v>
      </c>
      <c r="BD66" s="13" t="n">
        <f aca="false">Inputs!$F$159*(Inputs!$F$218*BD21+(1-Inputs!$F$218)*BD27*Inputs!$F$153/BD11)*Time!BD30/12*Inputs!$F$40</f>
        <v>2.63052297108801</v>
      </c>
      <c r="BE66" s="13" t="n">
        <f aca="false">Inputs!$F$159*(Inputs!$F$218*BE21+(1-Inputs!$F$218)*BE27*Inputs!$F$153/BE11)*Time!BE30/12*Inputs!$F$40</f>
        <v>2.65930130403701</v>
      </c>
      <c r="BF66" s="13" t="n">
        <f aca="false">Inputs!$F$159*(Inputs!$F$218*BF21+(1-Inputs!$F$218)*BF27*Inputs!$F$153/BF11)*Time!BF30/12*Inputs!$F$40</f>
        <v>2.68839447645194</v>
      </c>
      <c r="BG66" s="13" t="n">
        <f aca="false">Inputs!$F$159*(Inputs!$F$218*BG21+(1-Inputs!$F$218)*BG27*Inputs!$F$153/BG11)*Time!BG30/12*Inputs!$F$40</f>
        <v>2.71780593272583</v>
      </c>
      <c r="BH66" s="13" t="n">
        <f aca="false">Inputs!$F$159*(Inputs!$F$218*BH21+(1-Inputs!$F$218)*BH27*Inputs!$F$153/BH11)*Time!BH30/12*Inputs!$F$40</f>
        <v>2.74753915493389</v>
      </c>
      <c r="BI66" s="13" t="n">
        <f aca="false">Inputs!$F$159*(Inputs!$F$218*BI21+(1-Inputs!$F$218)*BI27*Inputs!$F$153/BI11)*Time!BI30/12*Inputs!$F$40</f>
        <v>2.7775976632458</v>
      </c>
      <c r="BJ66" s="13" t="n">
        <f aca="false">Inputs!$F$159*(Inputs!$F$218*BJ21+(1-Inputs!$F$218)*BJ27*Inputs!$F$153/BJ11)*Time!BJ30/12*Inputs!$F$40</f>
        <v>2.80798501634243</v>
      </c>
      <c r="BK66" s="13" t="n">
        <f aca="false">Inputs!$F$159*(Inputs!$F$218*BK21+(1-Inputs!$F$218)*BK27*Inputs!$F$153/BK11)*Time!BK30/12*Inputs!$F$40</f>
        <v>2.8387048118372</v>
      </c>
      <c r="BL66" s="13" t="n">
        <f aca="false">Inputs!$F$159*(Inputs!$F$218*BL21+(1-Inputs!$F$218)*BL27*Inputs!$F$153/BL11)*Time!BL30/12*Inputs!$F$40</f>
        <v>2.86976068670197</v>
      </c>
      <c r="BM66" s="13" t="n">
        <f aca="false">Inputs!$F$159*(Inputs!$F$218*BM21+(1-Inputs!$F$218)*BM27*Inputs!$F$153/BM11)*Time!BM30/12*Inputs!$F$40</f>
        <v>1.93410421179841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269</v>
      </c>
      <c r="E67" s="0" t="s">
        <v>151</v>
      </c>
      <c r="G67" s="13" t="n">
        <f aca="false">SUM(J67:BN67)</f>
        <v>25.0349026913824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0.125367390571663</v>
      </c>
      <c r="P67" s="13" t="n">
        <f aca="false">Inputs!$F$160*P27/P11*Time!P30/12*Inputs!$F$40</f>
        <v>0.38021678832903</v>
      </c>
      <c r="Q67" s="13" t="n">
        <f aca="false">Inputs!$F$160*Q27/Q11*Time!Q30/12*Inputs!$F$40</f>
        <v>0.384376419492718</v>
      </c>
      <c r="R67" s="13" t="n">
        <f aca="false">Inputs!$F$160*R27/R11*Time!R30/12*Inputs!$F$40</f>
        <v>0.388581557672269</v>
      </c>
      <c r="S67" s="13" t="n">
        <f aca="false">Inputs!$F$160*S27/S11*Time!S30/12*Inputs!$F$40</f>
        <v>0.392832700721557</v>
      </c>
      <c r="T67" s="13" t="n">
        <f aca="false">Inputs!$F$160*T27/T11*Time!T30/12*Inputs!$F$40</f>
        <v>0.397130351941059</v>
      </c>
      <c r="U67" s="13" t="n">
        <f aca="false">Inputs!$F$160*U27/U11*Time!U30/12*Inputs!$F$40</f>
        <v>0.401475020137432</v>
      </c>
      <c r="V67" s="13" t="n">
        <f aca="false">Inputs!$F$160*V27/V11*Time!V30/12*Inputs!$F$40</f>
        <v>0.405867219683762</v>
      </c>
      <c r="W67" s="13" t="n">
        <f aca="false">Inputs!$F$160*W27/W11*Time!W30/12*Inputs!$F$40</f>
        <v>0.410307470580455</v>
      </c>
      <c r="X67" s="13" t="n">
        <f aca="false">Inputs!$F$160*X27/X11*Time!X30/12*Inputs!$F$40</f>
        <v>0.414796298516805</v>
      </c>
      <c r="Y67" s="13" t="n">
        <f aca="false">Inputs!$F$160*Y27/Y11*Time!Y30/12*Inputs!$F$40</f>
        <v>0.419334234933225</v>
      </c>
      <c r="Z67" s="13" t="n">
        <f aca="false">Inputs!$F$160*Z27/Z11*Time!Z30/12*Inputs!$F$40</f>
        <v>0.423921817084174</v>
      </c>
      <c r="AA67" s="13" t="n">
        <f aca="false">Inputs!$F$160*AA27/AA11*Time!AA30/12*Inputs!$F$40</f>
        <v>0.428559588101756</v>
      </c>
      <c r="AB67" s="13" t="n">
        <f aca="false">Inputs!$F$160*AB27/AB11*Time!AB30/12*Inputs!$F$40</f>
        <v>0.433248097060026</v>
      </c>
      <c r="AC67" s="13" t="n">
        <f aca="false">Inputs!$F$160*AC27/AC11*Time!AC30/12*Inputs!$F$40</f>
        <v>0.437987899039995</v>
      </c>
      <c r="AD67" s="13" t="n">
        <f aca="false">Inputs!$F$160*AD27/AD11*Time!AD30/12*Inputs!$F$40</f>
        <v>0.442779555195347</v>
      </c>
      <c r="AE67" s="13" t="n">
        <f aca="false">Inputs!$F$160*AE27/AE11*Time!AE30/12*Inputs!$F$40</f>
        <v>0.447623632818875</v>
      </c>
      <c r="AF67" s="13" t="n">
        <f aca="false">Inputs!$F$160*AF27/AF11*Time!AF30/12*Inputs!$F$40</f>
        <v>0.452520705409644</v>
      </c>
      <c r="AG67" s="13" t="n">
        <f aca="false">Inputs!$F$160*AG27/AG11*Time!AG30/12*Inputs!$F$40</f>
        <v>0.45747135274089</v>
      </c>
      <c r="AH67" s="13" t="n">
        <f aca="false">Inputs!$F$160*AH27/AH11*Time!AH30/12*Inputs!$F$40</f>
        <v>0.462476160928656</v>
      </c>
      <c r="AI67" s="13" t="n">
        <f aca="false">Inputs!$F$160*AI27/AI11*Time!AI30/12*Inputs!$F$40</f>
        <v>0.46753572250119</v>
      </c>
      <c r="AJ67" s="13" t="n">
        <f aca="false">Inputs!$F$160*AJ27/AJ11*Time!AJ30/12*Inputs!$F$40</f>
        <v>0.472650636469087</v>
      </c>
      <c r="AK67" s="13" t="n">
        <f aca="false">Inputs!$F$160*AK27/AK11*Time!AK30/12*Inputs!$F$40</f>
        <v>0.477821508396216</v>
      </c>
      <c r="AL67" s="13" t="n">
        <f aca="false">Inputs!$F$160*AL27/AL11*Time!AL30/12*Inputs!$F$40</f>
        <v>0.483048950471407</v>
      </c>
      <c r="AM67" s="13" t="n">
        <f aca="false">Inputs!$F$160*AM27/AM11*Time!AM30/12*Inputs!$F$40</f>
        <v>0.488333581580932</v>
      </c>
      <c r="AN67" s="13" t="n">
        <f aca="false">Inputs!$F$160*AN27/AN11*Time!AN30/12*Inputs!$F$40</f>
        <v>0.493676027381778</v>
      </c>
      <c r="AO67" s="13" t="n">
        <f aca="false">Inputs!$F$160*AO27/AO11*Time!AO30/12*Inputs!$F$40</f>
        <v>0.499076920375713</v>
      </c>
      <c r="AP67" s="13" t="n">
        <f aca="false">Inputs!$F$160*AP27/AP11*Time!AP30/12*Inputs!$F$40</f>
        <v>0.504536899984177</v>
      </c>
      <c r="AQ67" s="13" t="n">
        <f aca="false">Inputs!$F$160*AQ27/AQ11*Time!AQ30/12*Inputs!$F$40</f>
        <v>0.510056612623979</v>
      </c>
      <c r="AR67" s="13" t="n">
        <f aca="false">Inputs!$F$160*AR27/AR11*Time!AR30/12*Inputs!$F$40</f>
        <v>0.515636711783829</v>
      </c>
      <c r="AS67" s="13" t="n">
        <f aca="false">Inputs!$F$160*AS27/AS11*Time!AS30/12*Inputs!$F$40</f>
        <v>0.521277858101706</v>
      </c>
      <c r="AT67" s="13" t="n">
        <f aca="false">Inputs!$F$160*AT27/AT11*Time!AT30/12*Inputs!$F$40</f>
        <v>0.526980719443073</v>
      </c>
      <c r="AU67" s="13" t="n">
        <f aca="false">Inputs!$F$160*AU27/AU11*Time!AU30/12*Inputs!$F$40</f>
        <v>0.532745970979944</v>
      </c>
      <c r="AV67" s="13" t="n">
        <f aca="false">Inputs!$F$160*AV27/AV11*Time!AV30/12*Inputs!$F$40</f>
        <v>0.538574295270821</v>
      </c>
      <c r="AW67" s="13" t="n">
        <f aca="false">Inputs!$F$160*AW27/AW11*Time!AW30/12*Inputs!$F$40</f>
        <v>0.544466382341503</v>
      </c>
      <c r="AX67" s="13" t="n">
        <f aca="false">Inputs!$F$160*AX27/AX11*Time!AX30/12*Inputs!$F$40</f>
        <v>0.550422929766779</v>
      </c>
      <c r="AY67" s="13" t="n">
        <f aca="false">Inputs!$F$160*AY27/AY11*Time!AY30/12*Inputs!$F$40</f>
        <v>0.556444642753016</v>
      </c>
      <c r="AZ67" s="13" t="n">
        <f aca="false">Inputs!$F$160*AZ27/AZ11*Time!AZ30/12*Inputs!$F$40</f>
        <v>0.562532234221648</v>
      </c>
      <c r="BA67" s="13" t="n">
        <f aca="false">Inputs!$F$160*BA27/BA11*Time!BA30/12*Inputs!$F$40</f>
        <v>0.568686424893582</v>
      </c>
      <c r="BB67" s="13" t="n">
        <f aca="false">Inputs!$F$160*BB27/BB11*Time!BB30/12*Inputs!$F$40</f>
        <v>0.574907943374524</v>
      </c>
      <c r="BC67" s="13" t="n">
        <f aca="false">Inputs!$F$160*BC27/BC11*Time!BC30/12*Inputs!$F$40</f>
        <v>0.581197526241241</v>
      </c>
      <c r="BD67" s="13" t="n">
        <f aca="false">Inputs!$F$160*BD27/BD11*Time!BD30/12*Inputs!$F$40</f>
        <v>0.587555918128764</v>
      </c>
      <c r="BE67" s="13" t="n">
        <f aca="false">Inputs!$F$160*BE27/BE11*Time!BE30/12*Inputs!$F$40</f>
        <v>0.593983871818548</v>
      </c>
      <c r="BF67" s="13" t="n">
        <f aca="false">Inputs!$F$160*BF27/BF11*Time!BF30/12*Inputs!$F$40</f>
        <v>0.600482148327596</v>
      </c>
      <c r="BG67" s="13" t="n">
        <f aca="false">Inputs!$F$160*BG27/BG11*Time!BG30/12*Inputs!$F$40</f>
        <v>0.607051516998556</v>
      </c>
      <c r="BH67" s="13" t="n">
        <f aca="false">Inputs!$F$160*BH27/BH11*Time!BH30/12*Inputs!$F$40</f>
        <v>0.613692755590804</v>
      </c>
      <c r="BI67" s="13" t="n">
        <f aca="false">Inputs!$F$160*BI27/BI11*Time!BI30/12*Inputs!$F$40</f>
        <v>0.620406650372524</v>
      </c>
      <c r="BJ67" s="13" t="n">
        <f aca="false">Inputs!$F$160*BJ27/BJ11*Time!BJ30/12*Inputs!$F$40</f>
        <v>0.627193996213801</v>
      </c>
      <c r="BK67" s="13" t="n">
        <f aca="false">Inputs!$F$160*BK27/BK11*Time!BK30/12*Inputs!$F$40</f>
        <v>0.63405559668072</v>
      </c>
      <c r="BL67" s="13" t="n">
        <f aca="false">Inputs!$F$160*BL27/BL11*Time!BL30/12*Inputs!$F$40</f>
        <v>0.640992264130505</v>
      </c>
      <c r="BM67" s="13" t="n">
        <f aca="false">Inputs!$F$160*BM27/BM11*Time!BM30/12*Inputs!$F$40</f>
        <v>0.43200321320513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1640</v>
      </c>
      <c r="E68" s="0" t="s">
        <v>151</v>
      </c>
      <c r="G68" s="13" t="n">
        <f aca="false">SUM(J68:BN68)</f>
        <v>21.7989426923311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0.130179069885837</v>
      </c>
      <c r="P68" s="13" t="n">
        <f aca="false">Inputs!$F$161/100*P55</f>
        <v>0.392244772576459</v>
      </c>
      <c r="Q68" s="13" t="n">
        <f aca="false">Inputs!$F$161/100*Q55</f>
        <v>0.392699875895916</v>
      </c>
      <c r="R68" s="13" t="n">
        <f aca="false">Inputs!$F$161/100*R55</f>
        <v>0.391896752390471</v>
      </c>
      <c r="S68" s="13" t="n">
        <f aca="false">Inputs!$F$161/100*S55</f>
        <v>0.394903200267283</v>
      </c>
      <c r="T68" s="13" t="n">
        <f aca="false">Inputs!$F$161/100*T55</f>
        <v>0.399216409683112</v>
      </c>
      <c r="U68" s="13" t="n">
        <f aca="false">Inputs!$F$161/100*U55</f>
        <v>0.396446199293723</v>
      </c>
      <c r="V68" s="13" t="n">
        <f aca="false">Inputs!$F$161/100*V55</f>
        <v>0.389073349639924</v>
      </c>
      <c r="W68" s="13" t="n">
        <f aca="false">Inputs!$F$161/100*W55</f>
        <v>0.395441004847454</v>
      </c>
      <c r="X68" s="13" t="n">
        <f aca="false">Inputs!$F$161/100*X55</f>
        <v>0.406492158777564</v>
      </c>
      <c r="Y68" s="13" t="n">
        <f aca="false">Inputs!$F$161/100*Y55</f>
        <v>0.407054099080308</v>
      </c>
      <c r="Z68" s="13" t="n">
        <f aca="false">Inputs!$F$161/100*Z55</f>
        <v>0.406311913623153</v>
      </c>
      <c r="AA68" s="13" t="n">
        <f aca="false">Inputs!$F$161/100*AA55</f>
        <v>0.409520104138037</v>
      </c>
      <c r="AB68" s="13" t="n">
        <f aca="false">Inputs!$F$161/100*AB55</f>
        <v>0.41408528043659</v>
      </c>
      <c r="AC68" s="13" t="n">
        <f aca="false">Inputs!$F$161/100*AC55</f>
        <v>0.408494683376801</v>
      </c>
      <c r="AD68" s="13" t="n">
        <f aca="false">Inputs!$F$161/100*AD55</f>
        <v>0.39527779797176</v>
      </c>
      <c r="AE68" s="13" t="n">
        <f aca="false">Inputs!$F$161/100*AE55</f>
        <v>0.404772938778256</v>
      </c>
      <c r="AF68" s="13" t="n">
        <f aca="false">Inputs!$F$161/100*AF55</f>
        <v>0.422009613219177</v>
      </c>
      <c r="AG68" s="13" t="n">
        <f aca="false">Inputs!$F$161/100*AG55</f>
        <v>0.422687909028599</v>
      </c>
      <c r="AH68" s="13" t="n">
        <f aca="false">Inputs!$F$161/100*AH55</f>
        <v>0.422012088483275</v>
      </c>
      <c r="AI68" s="13" t="n">
        <f aca="false">Inputs!$F$161/100*AI55</f>
        <v>0.4254400001716</v>
      </c>
      <c r="AJ68" s="13" t="n">
        <f aca="false">Inputs!$F$161/100*AJ55</f>
        <v>0.430279598848061</v>
      </c>
      <c r="AK68" s="13" t="n">
        <f aca="false">Inputs!$F$161/100*AK55</f>
        <v>0.427485694333521</v>
      </c>
      <c r="AL68" s="13" t="n">
        <f aca="false">Inputs!$F$161/100*AL55</f>
        <v>0.419724200080854</v>
      </c>
      <c r="AM68" s="13" t="n">
        <f aca="false">Inputs!$F$161/100*AM55</f>
        <v>0.426785501974305</v>
      </c>
      <c r="AN68" s="13" t="n">
        <f aca="false">Inputs!$F$161/100*AN55</f>
        <v>0.438910308487901</v>
      </c>
      <c r="AO68" s="13" t="n">
        <f aca="false">Inputs!$F$161/100*AO55</f>
        <v>0.439715326002942</v>
      </c>
      <c r="AP68" s="13" t="n">
        <f aca="false">Inputs!$F$161/100*AP55</f>
        <v>0.439111780306608</v>
      </c>
      <c r="AQ68" s="13" t="n">
        <f aca="false">Inputs!$F$161/100*AQ55</f>
        <v>0.44277899320624</v>
      </c>
      <c r="AR68" s="13" t="n">
        <f aca="false">Inputs!$F$161/100*AR55</f>
        <v>0.447917470167802</v>
      </c>
      <c r="AS68" s="13" t="n">
        <f aca="false">Inputs!$F$161/100*AS55</f>
        <v>0.442070170626761</v>
      </c>
      <c r="AT68" s="13" t="n">
        <f aca="false">Inputs!$F$161/100*AT55</f>
        <v>0.427960783322175</v>
      </c>
      <c r="AU68" s="13" t="n">
        <f aca="false">Inputs!$F$161/100*AU55</f>
        <v>0.438439744821668</v>
      </c>
      <c r="AV68" s="13" t="n">
        <f aca="false">Inputs!$F$161/100*AV55</f>
        <v>0.457317497398023</v>
      </c>
      <c r="AW68" s="13" t="n">
        <f aca="false">Inputs!$F$161/100*AW55</f>
        <v>0.45826052594918</v>
      </c>
      <c r="AX68" s="13" t="n">
        <f aca="false">Inputs!$F$161/100*AX55</f>
        <v>0.457735691093283</v>
      </c>
      <c r="AY68" s="13" t="n">
        <f aca="false">Inputs!$F$161/100*AY55</f>
        <v>0.461663529341412</v>
      </c>
      <c r="AZ68" s="13" t="n">
        <f aca="false">Inputs!$F$161/100*AZ55</f>
        <v>0.46712751903282</v>
      </c>
      <c r="BA68" s="13" t="n">
        <f aca="false">Inputs!$F$161/100*BA55</f>
        <v>0.464305482650234</v>
      </c>
      <c r="BB68" s="13" t="n">
        <f aca="false">Inputs!$F$161/100*BB55</f>
        <v>0.456082943911106</v>
      </c>
      <c r="BC68" s="13" t="n">
        <f aca="false">Inputs!$F$161/100*BC55</f>
        <v>0.463967039875776</v>
      </c>
      <c r="BD68" s="13" t="n">
        <f aca="false">Inputs!$F$161/100*BD55</f>
        <v>0.47736541043369</v>
      </c>
      <c r="BE68" s="13" t="n">
        <f aca="false">Inputs!$F$161/100*BE55</f>
        <v>0.478458744652579</v>
      </c>
      <c r="BF68" s="13" t="n">
        <f aca="false">Inputs!$F$161/100*BF55</f>
        <v>0.478019629485775</v>
      </c>
      <c r="BG68" s="13" t="n">
        <f aca="false">Inputs!$F$161/100*BG55</f>
        <v>0.48223131660665</v>
      </c>
      <c r="BH68" s="13" t="n">
        <f aca="false">Inputs!$F$161/100*BH55</f>
        <v>0.488049825989596</v>
      </c>
      <c r="BI68" s="13" t="n">
        <f aca="false">Inputs!$F$161/100*BI55</f>
        <v>0.481897993846837</v>
      </c>
      <c r="BJ68" s="13" t="n">
        <f aca="false">Inputs!$F$161/100*BJ55</f>
        <v>0.466729878612019</v>
      </c>
      <c r="BK68" s="13" t="n">
        <f aca="false">Inputs!$F$161/100*BK55</f>
        <v>0.478375836844686</v>
      </c>
      <c r="BL68" s="13" t="n">
        <f aca="false">Inputs!$F$161/100*BL55</f>
        <v>0.499200233053256</v>
      </c>
      <c r="BM68" s="13" t="n">
        <f aca="false">Inputs!$F$161/100*BM55</f>
        <v>0.334714799810017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273</v>
      </c>
      <c r="E69" s="0" t="s">
        <v>151</v>
      </c>
      <c r="G69" s="13" t="n">
        <f aca="false">SUM(J69:BN69)</f>
        <v>134.870298707286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0.698605068579705</v>
      </c>
      <c r="P69" s="13" t="n">
        <f aca="false">Inputs!$F$162*(Inputs!$F$219*P21+(1-Inputs!$F$219)*P27*Inputs!$F$153/P11)*P38/1000000</f>
        <v>2.11768424774578</v>
      </c>
      <c r="Q69" s="13" t="n">
        <f aca="false">Inputs!$F$162*(Inputs!$F$219*Q21+(1-Inputs!$F$219)*Q27*Inputs!$F$153/Q11)*Q38/1000000</f>
        <v>2.13240346537019</v>
      </c>
      <c r="R69" s="13" t="n">
        <f aca="false">Inputs!$F$162*(Inputs!$F$219*R21+(1-Inputs!$F$219)*R27*Inputs!$F$153/R11)*R38/1000000</f>
        <v>2.14029008085334</v>
      </c>
      <c r="S69" s="13" t="n">
        <f aca="false">Inputs!$F$162*(Inputs!$F$219*S21+(1-Inputs!$F$219)*S27*Inputs!$F$153/S11)*S38/1000000</f>
        <v>2.16906091034705</v>
      </c>
      <c r="T69" s="13" t="n">
        <f aca="false">Inputs!$F$162*(Inputs!$F$219*T21+(1-Inputs!$F$219)*T27*Inputs!$F$153/T11)*T38/1000000</f>
        <v>2.20524750199865</v>
      </c>
      <c r="U69" s="13" t="n">
        <f aca="false">Inputs!$F$162*(Inputs!$F$219*U21+(1-Inputs!$F$219)*U27*Inputs!$F$153/U11)*U38/1000000</f>
        <v>2.20236243216415</v>
      </c>
      <c r="V69" s="13" t="n">
        <f aca="false">Inputs!$F$162*(Inputs!$F$219*V21+(1-Inputs!$F$219)*V27*Inputs!$F$153/V11)*V38/1000000</f>
        <v>2.17359831865647</v>
      </c>
      <c r="W69" s="13" t="n">
        <f aca="false">Inputs!$F$162*(Inputs!$F$219*W21+(1-Inputs!$F$219)*W27*Inputs!$F$153/W11)*W38/1000000</f>
        <v>2.22157232477123</v>
      </c>
      <c r="X69" s="13" t="n">
        <f aca="false">Inputs!$F$162*(Inputs!$F$219*X21+(1-Inputs!$F$219)*X27*Inputs!$F$153/X11)*X38/1000000</f>
        <v>2.29641055466452</v>
      </c>
      <c r="Y69" s="13" t="n">
        <f aca="false">Inputs!$F$162*(Inputs!$F$219*Y21+(1-Inputs!$F$219)*Y27*Inputs!$F$153/Y11)*Y38/1000000</f>
        <v>2.31236154136506</v>
      </c>
      <c r="Z69" s="13" t="n">
        <f aca="false">Inputs!$F$162*(Inputs!$F$219*Z21+(1-Inputs!$F$219)*Z27*Inputs!$F$153/Z11)*Z38/1000000</f>
        <v>2.32090318103218</v>
      </c>
      <c r="AA69" s="13" t="n">
        <f aca="false">Inputs!$F$162*(Inputs!$F$219*AA21+(1-Inputs!$F$219)*AA27*Inputs!$F$153/AA11)*AA38/1000000</f>
        <v>2.35209119851441</v>
      </c>
      <c r="AB69" s="13" t="n">
        <f aca="false">Inputs!$F$162*(Inputs!$F$219*AB21+(1-Inputs!$F$219)*AB27*Inputs!$F$153/AB11)*AB38/1000000</f>
        <v>2.39132040014205</v>
      </c>
      <c r="AC69" s="13" t="n">
        <f aca="false">Inputs!$F$162*(Inputs!$F$219*AC21+(1-Inputs!$F$219)*AC27*Inputs!$F$153/AC11)*AC38/1000000</f>
        <v>2.3718706305635</v>
      </c>
      <c r="AD69" s="13" t="n">
        <f aca="false">Inputs!$F$162*(Inputs!$F$219*AD21+(1-Inputs!$F$219)*AD27*Inputs!$F$153/AD11)*AD38/1000000</f>
        <v>2.30755028977292</v>
      </c>
      <c r="AE69" s="13" t="n">
        <f aca="false">Inputs!$F$162*(Inputs!$F$219*AE21+(1-Inputs!$F$219)*AE27*Inputs!$F$153/AE11)*AE38/1000000</f>
        <v>2.37570177916638</v>
      </c>
      <c r="AF69" s="13" t="n">
        <f aca="false">Inputs!$F$162*(Inputs!$F$219*AF21+(1-Inputs!$F$219)*AF27*Inputs!$F$153/AF11)*AF38/1000000</f>
        <v>2.49012998725189</v>
      </c>
      <c r="AG69" s="13" t="n">
        <f aca="false">Inputs!$F$162*(Inputs!$F$219*AG21+(1-Inputs!$F$219)*AG27*Inputs!$F$153/AG11)*AG38/1000000</f>
        <v>2.50741504656912</v>
      </c>
      <c r="AH69" s="13" t="n">
        <f aca="false">Inputs!$F$162*(Inputs!$F$219*AH21+(1-Inputs!$F$219)*AH27*Inputs!$F$153/AH11)*AH38/1000000</f>
        <v>2.51666562240006</v>
      </c>
      <c r="AI69" s="13" t="n">
        <f aca="false">Inputs!$F$162*(Inputs!$F$219*AI21+(1-Inputs!$F$219)*AI27*Inputs!$F$153/AI11)*AI38/1000000</f>
        <v>2.55047252613567</v>
      </c>
      <c r="AJ69" s="13" t="n">
        <f aca="false">Inputs!$F$162*(Inputs!$F$219*AJ21+(1-Inputs!$F$219)*AJ27*Inputs!$F$153/AJ11)*AJ38/1000000</f>
        <v>2.5929984581134</v>
      </c>
      <c r="AK69" s="13" t="n">
        <f aca="false">Inputs!$F$162*(Inputs!$F$219*AK21+(1-Inputs!$F$219)*AK27*Inputs!$F$153/AK11)*AK38/1000000</f>
        <v>2.58958232301871</v>
      </c>
      <c r="AL69" s="13" t="n">
        <f aca="false">Inputs!$F$162*(Inputs!$F$219*AL21+(1-Inputs!$F$219)*AL27*Inputs!$F$153/AL11)*AL38/1000000</f>
        <v>2.55573739093963</v>
      </c>
      <c r="AM69" s="13" t="n">
        <f aca="false">Inputs!$F$162*(Inputs!$F$219*AM21+(1-Inputs!$F$219)*AM27*Inputs!$F$153/AM11)*AM38/1000000</f>
        <v>2.61212161924509</v>
      </c>
      <c r="AN69" s="13" t="n">
        <f aca="false">Inputs!$F$162*(Inputs!$F$219*AN21+(1-Inputs!$F$219)*AN27*Inputs!$F$153/AN11)*AN38/1000000</f>
        <v>2.7000913964909</v>
      </c>
      <c r="AO69" s="13" t="n">
        <f aca="false">Inputs!$F$162*(Inputs!$F$219*AO21+(1-Inputs!$F$219)*AO27*Inputs!$F$153/AO11)*AO38/1000000</f>
        <v>2.71882125196743</v>
      </c>
      <c r="AP69" s="13" t="n">
        <f aca="false">Inputs!$F$162*(Inputs!$F$219*AP21+(1-Inputs!$F$219)*AP27*Inputs!$F$153/AP11)*AP38/1000000</f>
        <v>2.72883906427097</v>
      </c>
      <c r="AQ69" s="13" t="n">
        <f aca="false">Inputs!$F$162*(Inputs!$F$219*AQ21+(1-Inputs!$F$219)*AQ27*Inputs!$F$153/AQ11)*AQ38/1000000</f>
        <v>2.76548324681097</v>
      </c>
      <c r="AR69" s="13" t="n">
        <f aca="false">Inputs!$F$162*(Inputs!$F$219*AR21+(1-Inputs!$F$219)*AR27*Inputs!$F$153/AR11)*AR38/1000000</f>
        <v>2.81158108597929</v>
      </c>
      <c r="AS69" s="13" t="n">
        <f aca="false">Inputs!$F$162*(Inputs!$F$219*AS21+(1-Inputs!$F$219)*AS27*Inputs!$F$153/AS11)*AS38/1000000</f>
        <v>2.78868721013542</v>
      </c>
      <c r="AT69" s="13" t="n">
        <f aca="false">Inputs!$F$162*(Inputs!$F$219*AT21+(1-Inputs!$F$219)*AT27*Inputs!$F$153/AT11)*AT38/1000000</f>
        <v>2.71303838818515</v>
      </c>
      <c r="AU69" s="13" t="n">
        <f aca="false">Inputs!$F$162*(Inputs!$F$219*AU21+(1-Inputs!$F$219)*AU27*Inputs!$F$153/AU11)*AU38/1000000</f>
        <v>2.79313957280359</v>
      </c>
      <c r="AV69" s="13" t="n">
        <f aca="false">Inputs!$F$162*(Inputs!$F$219*AV21+(1-Inputs!$F$219)*AV27*Inputs!$F$153/AV11)*AV38/1000000</f>
        <v>2.92764677841311</v>
      </c>
      <c r="AW69" s="13" t="n">
        <f aca="false">Inputs!$F$162*(Inputs!$F$219*AW21+(1-Inputs!$F$219)*AW27*Inputs!$F$153/AW11)*AW38/1000000</f>
        <v>2.94794125895267</v>
      </c>
      <c r="AX69" s="13" t="n">
        <f aca="false">Inputs!$F$162*(Inputs!$F$219*AX21+(1-Inputs!$F$219)*AX27*Inputs!$F$153/AX11)*AX38/1000000</f>
        <v>2.95878934865209</v>
      </c>
      <c r="AY69" s="13" t="n">
        <f aca="false">Inputs!$F$162*(Inputs!$F$219*AY21+(1-Inputs!$F$219)*AY27*Inputs!$F$153/AY11)*AY38/1000000</f>
        <v>2.9985072651064</v>
      </c>
      <c r="AZ69" s="13" t="n">
        <f aca="false">Inputs!$F$162*(Inputs!$F$219*AZ21+(1-Inputs!$F$219)*AZ27*Inputs!$F$153/AZ11)*AZ38/1000000</f>
        <v>3.04847497289756</v>
      </c>
      <c r="BA69" s="13" t="n">
        <f aca="false">Inputs!$F$162*(Inputs!$F$219*BA21+(1-Inputs!$F$219)*BA27*Inputs!$F$153/BA11)*BA38/1000000</f>
        <v>3.04443012448492</v>
      </c>
      <c r="BB69" s="13" t="n">
        <f aca="false">Inputs!$F$162*(Inputs!$F$219*BB21+(1-Inputs!$F$219)*BB27*Inputs!$F$153/BB11)*BB38/1000000</f>
        <v>3.0046121748805</v>
      </c>
      <c r="BC69" s="13" t="n">
        <f aca="false">Inputs!$F$162*(Inputs!$F$219*BC21+(1-Inputs!$F$219)*BC27*Inputs!$F$153/BC11)*BC38/1000000</f>
        <v>3.07087041431719</v>
      </c>
      <c r="BD69" s="13" t="n">
        <f aca="false">Inputs!$F$162*(Inputs!$F$219*BD21+(1-Inputs!$F$219)*BD27*Inputs!$F$153/BD11)*BD38/1000000</f>
        <v>3.17425970587549</v>
      </c>
      <c r="BE69" s="13" t="n">
        <f aca="false">Inputs!$F$162*(Inputs!$F$219*BE21+(1-Inputs!$F$219)*BE27*Inputs!$F$153/BE11)*BE38/1000000</f>
        <v>3.1962484861199</v>
      </c>
      <c r="BF69" s="13" t="n">
        <f aca="false">Inputs!$F$162*(Inputs!$F$219*BF21+(1-Inputs!$F$219)*BF27*Inputs!$F$153/BF11)*BF38/1000000</f>
        <v>3.20799501481993</v>
      </c>
      <c r="BG69" s="13" t="n">
        <f aca="false">Inputs!$F$162*(Inputs!$F$219*BG21+(1-Inputs!$F$219)*BG27*Inputs!$F$153/BG11)*BG38/1000000</f>
        <v>3.25104266192638</v>
      </c>
      <c r="BH69" s="13" t="n">
        <f aca="false">Inputs!$F$162*(Inputs!$F$219*BH21+(1-Inputs!$F$219)*BH27*Inputs!$F$153/BH11)*BH38/1000000</f>
        <v>3.30520285265988</v>
      </c>
      <c r="BI69" s="13" t="n">
        <f aca="false">Inputs!$F$162*(Inputs!$F$219*BI21+(1-Inputs!$F$219)*BI27*Inputs!$F$153/BI11)*BI38/1000000</f>
        <v>3.27825833031531</v>
      </c>
      <c r="BJ69" s="13" t="n">
        <f aca="false">Inputs!$F$162*(Inputs!$F$219*BJ21+(1-Inputs!$F$219)*BJ27*Inputs!$F$153/BJ11)*BJ38/1000000</f>
        <v>3.18929846486466</v>
      </c>
      <c r="BK69" s="13" t="n">
        <f aca="false">Inputs!$F$162*(Inputs!$F$219*BK21+(1-Inputs!$F$219)*BK27*Inputs!$F$153/BK11)*BK38/1000000</f>
        <v>3.28342962861712</v>
      </c>
      <c r="BL69" s="13" t="n">
        <f aca="false">Inputs!$F$162*(Inputs!$F$219*BL21+(1-Inputs!$F$219)*BL27*Inputs!$F$153/BL11)*BL38/1000000</f>
        <v>3.44151444087802</v>
      </c>
      <c r="BM69" s="13" t="n">
        <f aca="false">Inputs!$F$162*(Inputs!$F$219*BM21+(1-Inputs!$F$219)*BM27*Inputs!$F$153/BM11)*BM38/1000000</f>
        <v>2.31793866748026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205</v>
      </c>
      <c r="E70" s="0" t="s">
        <v>151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1641</v>
      </c>
      <c r="E71" s="0" t="s">
        <v>151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1642</v>
      </c>
      <c r="E72" s="0" t="s">
        <v>151</v>
      </c>
      <c r="G72" s="13" t="n">
        <f aca="false">SUM(J72:BN72)</f>
        <v>984.025887092467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5.03855497380914</v>
      </c>
      <c r="P72" s="13" t="n">
        <f aca="false">P60+P61+P62+P64+P65+P66+P67+P68+P69+P70+P71</f>
        <v>15.2743107496993</v>
      </c>
      <c r="Q72" s="13" t="n">
        <f aca="false">Q60+Q61+Q62+Q64+Q65+Q66+Q67+Q68+Q69+Q70+Q71</f>
        <v>15.3934811389049</v>
      </c>
      <c r="R72" s="13" t="n">
        <f aca="false">R60+R61+R62+R64+R65+R66+R67+R68+R69+R70+R71</f>
        <v>15.4724353764555</v>
      </c>
      <c r="S72" s="13" t="n">
        <f aca="false">S60+S61+S62+S64+S65+S66+S67+S68+S69+S70+S71</f>
        <v>15.675950517939</v>
      </c>
      <c r="T72" s="13" t="n">
        <f aca="false">T60+T61+T62+T64+T65+T66+T67+T68+T69+T70+T71</f>
        <v>15.9240618654084</v>
      </c>
      <c r="U72" s="13" t="n">
        <f aca="false">U60+U61+U62+U64+U65+U66+U67+U68+U69+U70+U71</f>
        <v>15.9401429289388</v>
      </c>
      <c r="V72" s="13" t="n">
        <f aca="false">V60+V61+V62+V64+V65+V66+V67+V68+V69+V70+V71</f>
        <v>15.8024504028246</v>
      </c>
      <c r="W72" s="13" t="n">
        <f aca="false">W60+W61+W62+W64+W65+W66+W67+W68+W69+W70+W71</f>
        <v>16.1220840576039</v>
      </c>
      <c r="X72" s="13" t="n">
        <f aca="false">X60+X61+X62+X64+X65+X66+X67+X68+X69+X70+X71</f>
        <v>16.6024151300424</v>
      </c>
      <c r="Y72" s="13" t="n">
        <f aca="false">Y60+Y61+Y62+Y64+Y65+Y66+Y67+Y68+Y69+Y70+Y71</f>
        <v>16.7323822376589</v>
      </c>
      <c r="Z72" s="13" t="n">
        <f aca="false">Z60+Z61+Z62+Z64+Z65+Z66+Z67+Z68+Z69+Z70+Z71</f>
        <v>16.8185888536522</v>
      </c>
      <c r="AA72" s="13" t="n">
        <f aca="false">AA60+AA61+AA62+AA64+AA65+AA66+AA67+AA68+AA69+AA70+AA71</f>
        <v>17.0403419394514</v>
      </c>
      <c r="AB72" s="13" t="n">
        <f aca="false">AB60+AB61+AB62+AB64+AB65+AB66+AB67+AB68+AB69+AB70+AB71</f>
        <v>17.3106294750189</v>
      </c>
      <c r="AC72" s="13" t="n">
        <f aca="false">AC60+AC61+AC62+AC64+AC65+AC66+AC67+AC68+AC69+AC70+AC71</f>
        <v>17.2309992713589</v>
      </c>
      <c r="AD72" s="13" t="n">
        <f aca="false">AD60+AD61+AD62+AD64+AD65+AD66+AD67+AD68+AD69+AD70+AD71</f>
        <v>16.920991009658</v>
      </c>
      <c r="AE72" s="13" t="n">
        <f aca="false">AE60+AE61+AE62+AE64+AE65+AE66+AE67+AE68+AE69+AE70+AE71</f>
        <v>17.3279880488903</v>
      </c>
      <c r="AF72" s="13" t="n">
        <f aca="false">AF60+AF61+AF62+AF64+AF65+AF66+AF67+AF68+AF69+AF70+AF71</f>
        <v>18.0500192376832</v>
      </c>
      <c r="AG72" s="13" t="n">
        <f aca="false">AG60+AG61+AG62+AG64+AG65+AG66+AG67+AG68+AG69+AG70+AG71</f>
        <v>18.1917550710754</v>
      </c>
      <c r="AH72" s="13" t="n">
        <f aca="false">AH60+AH61+AH62+AH64+AH65+AH66+AH67+AH68+AH69+AH70+AH71</f>
        <v>18.2858678706643</v>
      </c>
      <c r="AI72" s="13" t="n">
        <f aca="false">AI60+AI61+AI62+AI64+AI65+AI66+AI67+AI68+AI69+AI70+AI71</f>
        <v>18.5274990773037</v>
      </c>
      <c r="AJ72" s="13" t="n">
        <f aca="false">AJ60+AJ61+AJ62+AJ64+AJ65+AJ66+AJ67+AJ68+AJ69+AJ70+AJ71</f>
        <v>18.8219565994554</v>
      </c>
      <c r="AK72" s="13" t="n">
        <f aca="false">AK60+AK61+AK62+AK64+AK65+AK66+AK67+AK68+AK69+AK70+AK71</f>
        <v>18.8416163949261</v>
      </c>
      <c r="AL72" s="13" t="n">
        <f aca="false">AL60+AL61+AL62+AL64+AL65+AL66+AL67+AL68+AL69+AL70+AL71</f>
        <v>18.6791420942756</v>
      </c>
      <c r="AM72" s="13" t="n">
        <f aca="false">AM60+AM61+AM62+AM64+AM65+AM66+AM67+AM68+AM69+AM70+AM71</f>
        <v>19.058328863956</v>
      </c>
      <c r="AN72" s="13" t="n">
        <f aca="false">AN60+AN61+AN62+AN64+AN65+AN66+AN67+AN68+AN69+AN70+AN71</f>
        <v>19.627874131257</v>
      </c>
      <c r="AO72" s="13" t="n">
        <f aca="false">AO60+AO61+AO62+AO64+AO65+AO66+AO67+AO68+AO69+AO70+AO71</f>
        <v>19.7824381965902</v>
      </c>
      <c r="AP72" s="13" t="n">
        <f aca="false">AP60+AP61+AP62+AP64+AP65+AP66+AP67+AP68+AP69+AP70+AP71</f>
        <v>19.8851699211542</v>
      </c>
      <c r="AQ72" s="13" t="n">
        <f aca="false">AQ60+AQ61+AQ62+AQ64+AQ65+AQ66+AQ67+AQ68+AQ69+AQ70+AQ71</f>
        <v>20.1484669108885</v>
      </c>
      <c r="AR72" s="13" t="n">
        <f aca="false">AR60+AR61+AR62+AR64+AR65+AR66+AR67+AR68+AR69+AR70+AR71</f>
        <v>20.4692674509359</v>
      </c>
      <c r="AS72" s="13" t="n">
        <f aca="false">AS60+AS61+AS62+AS64+AS65+AS66+AS67+AS68+AS69+AS70+AS71</f>
        <v>20.3755553633884</v>
      </c>
      <c r="AT72" s="13" t="n">
        <f aca="false">AT60+AT61+AT62+AT64+AT65+AT66+AT67+AT68+AT69+AT70+AT71</f>
        <v>20.0091182693413</v>
      </c>
      <c r="AU72" s="13" t="n">
        <f aca="false">AU60+AU61+AU62+AU64+AU65+AU66+AU67+AU68+AU69+AU70+AU71</f>
        <v>20.4916797376867</v>
      </c>
      <c r="AV72" s="13" t="n">
        <f aca="false">AV60+AV61+AV62+AV64+AV65+AV66+AV67+AV68+AV69+AV70+AV71</f>
        <v>21.3476979976157</v>
      </c>
      <c r="AW72" s="13" t="n">
        <f aca="false">AW60+AW61+AW62+AW64+AW65+AW66+AW67+AW68+AW69+AW70+AW71</f>
        <v>21.5162451755434</v>
      </c>
      <c r="AX72" s="13" t="n">
        <f aca="false">AX60+AX61+AX62+AX64+AX65+AX66+AX67+AX68+AX69+AX70+AX71</f>
        <v>21.6283728149792</v>
      </c>
      <c r="AY72" s="13" t="n">
        <f aca="false">AY60+AY61+AY62+AY64+AY65+AY66+AY67+AY68+AY69+AY70+AY71</f>
        <v>21.9152839960781</v>
      </c>
      <c r="AZ72" s="13" t="n">
        <f aca="false">AZ60+AZ61+AZ62+AZ64+AZ65+AZ66+AZ67+AZ68+AZ69+AZ70+AZ71</f>
        <v>22.2647959281157</v>
      </c>
      <c r="BA72" s="13" t="n">
        <f aca="false">BA60+BA61+BA62+BA64+BA65+BA66+BA67+BA68+BA69+BA70+BA71</f>
        <v>22.2887184150119</v>
      </c>
      <c r="BB72" s="13" t="n">
        <f aca="false">BB60+BB61+BB62+BB64+BB65+BB66+BB67+BB68+BB69+BB70+BB71</f>
        <v>22.096825215723</v>
      </c>
      <c r="BC72" s="13" t="n">
        <f aca="false">BC60+BC61+BC62+BC64+BC65+BC66+BC67+BC68+BC69+BC70+BC71</f>
        <v>22.5467517163765</v>
      </c>
      <c r="BD72" s="13" t="n">
        <f aca="false">BD60+BD61+BD62+BD64+BD65+BD66+BD67+BD68+BD69+BD70+BD71</f>
        <v>23.2222631408097</v>
      </c>
      <c r="BE72" s="13" t="n">
        <f aca="false">BE60+BE61+BE62+BE64+BE65+BE66+BE67+BE68+BE69+BE70+BE71</f>
        <v>23.4060522709676</v>
      </c>
      <c r="BF72" s="13" t="n">
        <f aca="false">BF60+BF61+BF62+BF64+BF65+BF66+BF67+BF68+BF69+BF70+BF71</f>
        <v>23.5284228547707</v>
      </c>
      <c r="BG72" s="13" t="n">
        <f aca="false">BG60+BG61+BG62+BG64+BG65+BG66+BG67+BG68+BG69+BG70+BG71</f>
        <v>23.8410718338631</v>
      </c>
      <c r="BH72" s="13" t="n">
        <f aca="false">BH60+BH61+BH62+BH64+BH65+BH66+BH67+BH68+BH69+BH70+BH71</f>
        <v>24.2218764325319</v>
      </c>
      <c r="BI72" s="13" t="n">
        <f aca="false">BI60+BI61+BI62+BI64+BI65+BI66+BI67+BI68+BI69+BI70+BI71</f>
        <v>24.1114539738183</v>
      </c>
      <c r="BJ72" s="13" t="n">
        <f aca="false">BJ60+BJ61+BJ62+BJ64+BJ65+BJ66+BJ67+BJ68+BJ69+BJ70+BJ71</f>
        <v>23.678032474379</v>
      </c>
      <c r="BK72" s="13" t="n">
        <f aca="false">BK60+BK61+BK62+BK64+BK65+BK66+BK67+BK68+BK69+BK70+BK71</f>
        <v>24.2503320379989</v>
      </c>
      <c r="BL72" s="13" t="n">
        <f aca="false">BL60+BL61+BL62+BL64+BL65+BL66+BL67+BL68+BL69+BL70+BL71</f>
        <v>25.2654907943814</v>
      </c>
      <c r="BM72" s="13" t="n">
        <f aca="false">BM60+BM61+BM62+BM64+BM65+BM66+BM67+BM68+BM69+BM70+BM71</f>
        <v>17.0226368516062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1643</v>
      </c>
      <c r="E73" s="0" t="s">
        <v>151</v>
      </c>
      <c r="G73" s="13" t="n">
        <f aca="false">SUM(J73:BN73)</f>
        <v>4890.55365079805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25.73098281395</v>
      </c>
      <c r="P73" s="13" t="n">
        <f aca="false">P42*P41/1000000</f>
        <v>77.1852057954582</v>
      </c>
      <c r="Q73" s="13" t="n">
        <f aca="false">Q42*Q41/1000000</f>
        <v>78.465244465635</v>
      </c>
      <c r="R73" s="13" t="n">
        <f aca="false">R42*R41/1000000</f>
        <v>77.9498629222601</v>
      </c>
      <c r="S73" s="13" t="n">
        <f aca="false">S42*S41/1000000</f>
        <v>79.7534070844464</v>
      </c>
      <c r="T73" s="13" t="n">
        <f aca="false">T42*T41/1000000</f>
        <v>80.2544807799192</v>
      </c>
      <c r="U73" s="13" t="n">
        <f aca="false">U42*U41/1000000</f>
        <v>80.9161498839552</v>
      </c>
      <c r="V73" s="13" t="n">
        <f aca="false">V42*V41/1000000</f>
        <v>79.0423514574039</v>
      </c>
      <c r="W73" s="13" t="n">
        <f aca="false">W42*W41/1000000</f>
        <v>81.5596170351762</v>
      </c>
      <c r="X73" s="13" t="n">
        <f aca="false">X42*X41/1000000</f>
        <v>83.4445713392668</v>
      </c>
      <c r="Y73" s="13" t="n">
        <f aca="false">Y42*Y41/1000000</f>
        <v>84.8277877116459</v>
      </c>
      <c r="Z73" s="13" t="n">
        <f aca="false">Z42*Z41/1000000</f>
        <v>84.2699915009788</v>
      </c>
      <c r="AA73" s="13" t="n">
        <f aca="false">AA42*AA41/1000000</f>
        <v>86.2191275153245</v>
      </c>
      <c r="AB73" s="13" t="n">
        <f aca="false">AB42*AB41/1000000</f>
        <v>86.760181213263</v>
      </c>
      <c r="AC73" s="13" t="n">
        <f aca="false">AC42*AC41/1000000</f>
        <v>86.8774192946939</v>
      </c>
      <c r="AD73" s="13" t="n">
        <f aca="false">AD42*AD41/1000000</f>
        <v>83.6565587500607</v>
      </c>
      <c r="AE73" s="13" t="n">
        <f aca="false">AE42*AE41/1000000</f>
        <v>86.950817416645</v>
      </c>
      <c r="AF73" s="13" t="n">
        <f aca="false">AF42*AF41/1000000</f>
        <v>90.2061950496166</v>
      </c>
      <c r="AG73" s="13" t="n">
        <f aca="false">AG42*AG41/1000000</f>
        <v>91.7008143065316</v>
      </c>
      <c r="AH73" s="13" t="n">
        <f aca="false">AH42*AH41/1000000</f>
        <v>91.0971468030825</v>
      </c>
      <c r="AI73" s="13" t="n">
        <f aca="false">AI42*AI41/1000000</f>
        <v>93.2034997853314</v>
      </c>
      <c r="AJ73" s="13" t="n">
        <f aca="false">AJ42*AJ41/1000000</f>
        <v>93.7876852647484</v>
      </c>
      <c r="AK73" s="13" t="n">
        <f aca="false">AK42*AK41/1000000</f>
        <v>94.5595263127573</v>
      </c>
      <c r="AL73" s="13" t="n">
        <f aca="false">AL42*AL41/1000000</f>
        <v>92.3684117734683</v>
      </c>
      <c r="AM73" s="13" t="n">
        <f aca="false">AM42*AM41/1000000</f>
        <v>95.3086561145915</v>
      </c>
      <c r="AN73" s="13" t="n">
        <f aca="false">AN42*AN41/1000000</f>
        <v>97.5099191604306</v>
      </c>
      <c r="AO73" s="13" t="n">
        <f aca="false">AO42*AO41/1000000</f>
        <v>99.1248142365637</v>
      </c>
      <c r="AP73" s="13" t="n">
        <f aca="false">AP42*AP41/1000000</f>
        <v>98.4715399528155</v>
      </c>
      <c r="AQ73" s="13" t="n">
        <f aca="false">AQ42*AQ41/1000000</f>
        <v>100.747652174361</v>
      </c>
      <c r="AR73" s="13" t="n">
        <f aca="false">AR42*AR41/1000000</f>
        <v>101.378366305647</v>
      </c>
      <c r="AS73" s="13" t="n">
        <f aca="false">AS42*AS41/1000000</f>
        <v>101.513844109913</v>
      </c>
      <c r="AT73" s="13" t="n">
        <f aca="false">AT42*AT41/1000000</f>
        <v>97.748900025806</v>
      </c>
      <c r="AU73" s="13" t="n">
        <f aca="false">AU42*AU41/1000000</f>
        <v>101.596575637686</v>
      </c>
      <c r="AV73" s="13" t="n">
        <f aca="false">AV42*AV41/1000000</f>
        <v>105.398706193355</v>
      </c>
      <c r="AW73" s="13" t="n">
        <f aca="false">AW42*AW41/1000000</f>
        <v>107.143448083852</v>
      </c>
      <c r="AX73" s="13" t="n">
        <f aca="false">AX42*AX41/1000000</f>
        <v>106.436530414813</v>
      </c>
      <c r="AY73" s="13" t="n">
        <f aca="false">AY42*AY41/1000000</f>
        <v>108.895932682542</v>
      </c>
      <c r="AZ73" s="13" t="n">
        <f aca="false">AZ42*AZ41/1000000</f>
        <v>109.576836182168</v>
      </c>
      <c r="BA73" s="13" t="n">
        <f aca="false">BA42*BA41/1000000</f>
        <v>110.476962502246</v>
      </c>
      <c r="BB73" s="13" t="n">
        <f aca="false">BB42*BB41/1000000</f>
        <v>107.915395678231</v>
      </c>
      <c r="BC73" s="13" t="n">
        <f aca="false">BC42*BC41/1000000</f>
        <v>111.348858138568</v>
      </c>
      <c r="BD73" s="13" t="n">
        <f aca="false">BD42*BD41/1000000</f>
        <v>113.918879733346</v>
      </c>
      <c r="BE73" s="13" t="n">
        <f aca="false">BE42*BE41/1000000</f>
        <v>115.803791645587</v>
      </c>
      <c r="BF73" s="13" t="n">
        <f aca="false">BF42*BF41/1000000</f>
        <v>115.038868858136</v>
      </c>
      <c r="BG73" s="13" t="n">
        <f aca="false">BG42*BG41/1000000</f>
        <v>117.696157361461</v>
      </c>
      <c r="BH73" s="13" t="n">
        <f aca="false">BH42*BH41/1000000</f>
        <v>118.431194953835</v>
      </c>
      <c r="BI73" s="13" t="n">
        <f aca="false">BI42*BI41/1000000</f>
        <v>118.58767824655</v>
      </c>
      <c r="BJ73" s="13" t="n">
        <f aca="false">BJ42*BJ41/1000000</f>
        <v>114.187782052212</v>
      </c>
      <c r="BK73" s="13" t="n">
        <f aca="false">BK42*BK41/1000000</f>
        <v>118.680752403128</v>
      </c>
      <c r="BL73" s="13" t="n">
        <f aca="false">BL42*BL41/1000000</f>
        <v>123.120383456475</v>
      </c>
      <c r="BM73" s="13" t="n">
        <f aca="false">BM42*BM41/1000000</f>
        <v>83.7081882181135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1644</v>
      </c>
      <c r="E74" s="0" t="s">
        <v>151</v>
      </c>
      <c r="G74" s="13" t="n">
        <f aca="false">SUM(J74:BN74)</f>
        <v>5727.32992541584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30.3693941991122</v>
      </c>
      <c r="P74" s="13" t="n">
        <f aca="false">P73+P52+P53+P54</f>
        <v>91.1627555204036</v>
      </c>
      <c r="Q74" s="13" t="n">
        <f aca="false">Q73+Q52+Q53+Q54</f>
        <v>92.4535708096896</v>
      </c>
      <c r="R74" s="13" t="n">
        <f aca="false">R73+R52+R53+R54</f>
        <v>92.1123083389789</v>
      </c>
      <c r="S74" s="13" t="n">
        <f aca="false">S73+S52+S53+S54</f>
        <v>93.9426640295733</v>
      </c>
      <c r="T74" s="13" t="n">
        <f aca="false">T73+T52+T53+T54</f>
        <v>94.652951535959</v>
      </c>
      <c r="U74" s="13" t="n">
        <f aca="false">U73+U52+U53+U54</f>
        <v>95.3700562753901</v>
      </c>
      <c r="V74" s="13" t="n">
        <f aca="false">V73+V52+V53+V54</f>
        <v>93.5681098563624</v>
      </c>
      <c r="W74" s="13" t="n">
        <f aca="false">W73+W52+W53+W54</f>
        <v>96.133390813805</v>
      </c>
      <c r="X74" s="13" t="n">
        <f aca="false">X73+X52+X53+X54</f>
        <v>98.2766009097452</v>
      </c>
      <c r="Y74" s="13" t="n">
        <f aca="false">Y73+Y52+Y53+Y54</f>
        <v>99.6711981336584</v>
      </c>
      <c r="Z74" s="13" t="n">
        <f aca="false">Z73+Z52+Z53+Z54</f>
        <v>99.2982077219474</v>
      </c>
      <c r="AA74" s="13" t="n">
        <f aca="false">AA73+AA52+AA53+AA54</f>
        <v>101.275721141714</v>
      </c>
      <c r="AB74" s="13" t="n">
        <f aca="false">AB73+AB52+AB53+AB54</f>
        <v>102.038785663564</v>
      </c>
      <c r="AC74" s="13" t="n">
        <f aca="false">AC73+AC52+AC53+AC54</f>
        <v>102.196388423457</v>
      </c>
      <c r="AD74" s="13" t="n">
        <f aca="false">AD73+AD52+AD53+AD54</f>
        <v>99.0149752517049</v>
      </c>
      <c r="AE74" s="13" t="n">
        <f aca="false">AE73+AE52+AE53+AE54</f>
        <v>102.377976486296</v>
      </c>
      <c r="AF74" s="13" t="n">
        <f aca="false">AF73+AF52+AF53+AF54</f>
        <v>105.944780014625</v>
      </c>
      <c r="AG74" s="13" t="n">
        <f aca="false">AG73+AG52+AG53+AG54</f>
        <v>107.451416051078</v>
      </c>
      <c r="AH74" s="13" t="n">
        <f aca="false">AH73+AH52+AH53+AH54</f>
        <v>107.043898019981</v>
      </c>
      <c r="AI74" s="13" t="n">
        <f aca="false">AI73+AI52+AI53+AI54</f>
        <v>109.180282561477</v>
      </c>
      <c r="AJ74" s="13" t="n">
        <f aca="false">AJ73+AJ52+AJ53+AJ54</f>
        <v>110.000057572012</v>
      </c>
      <c r="AK74" s="13" t="n">
        <f aca="false">AK73+AK52+AK53+AK54</f>
        <v>110.834279512853</v>
      </c>
      <c r="AL74" s="13" t="n">
        <f aca="false">AL73+AL52+AL53+AL54</f>
        <v>108.724237057493</v>
      </c>
      <c r="AM74" s="13" t="n">
        <f aca="false">AM73+AM52+AM53+AM54</f>
        <v>111.718331224462</v>
      </c>
      <c r="AN74" s="13" t="n">
        <f aca="false">AN73+AN52+AN53+AN54</f>
        <v>114.210298798986</v>
      </c>
      <c r="AO74" s="13" t="n">
        <f aca="false">AO73+AO52+AO53+AO54</f>
        <v>115.837879777501</v>
      </c>
      <c r="AP74" s="13" t="n">
        <f aca="false">AP73+AP52+AP53+AP54</f>
        <v>115.392796034862</v>
      </c>
      <c r="AQ74" s="13" t="n">
        <f aca="false">AQ73+AQ52+AQ53+AQ54</f>
        <v>117.700687003539</v>
      </c>
      <c r="AR74" s="13" t="n">
        <f aca="false">AR73+AR52+AR53+AR54</f>
        <v>118.581398750741</v>
      </c>
      <c r="AS74" s="13" t="n">
        <f aca="false">AS73+AS52+AS53+AS54</f>
        <v>118.762331320275</v>
      </c>
      <c r="AT74" s="13" t="n">
        <f aca="false">AT73+AT52+AT53+AT54</f>
        <v>115.042085799165</v>
      </c>
      <c r="AU74" s="13" t="n">
        <f aca="false">AU73+AU52+AU53+AU54</f>
        <v>118.966881841612</v>
      </c>
      <c r="AV74" s="13" t="n">
        <f aca="false">AV73+AV52+AV53+AV54</f>
        <v>123.119475097615</v>
      </c>
      <c r="AW74" s="13" t="n">
        <f aca="false">AW73+AW52+AW53+AW54</f>
        <v>124.877606765003</v>
      </c>
      <c r="AX74" s="13" t="n">
        <f aca="false">AX73+AX52+AX53+AX54</f>
        <v>124.391661043734</v>
      </c>
      <c r="AY74" s="13" t="n">
        <f aca="false">AY73+AY52+AY53+AY54</f>
        <v>126.884687278145</v>
      </c>
      <c r="AZ74" s="13" t="n">
        <f aca="false">AZ73+AZ52+AZ53+AZ54</f>
        <v>127.83087644408</v>
      </c>
      <c r="BA74" s="13" t="n">
        <f aca="false">BA73+BA52+BA53+BA54</f>
        <v>128.801196402025</v>
      </c>
      <c r="BB74" s="13" t="n">
        <f aca="false">BB73+BB52+BB53+BB54</f>
        <v>126.331121770805</v>
      </c>
      <c r="BC74" s="13" t="n">
        <f aca="false">BC73+BC52+BC53+BC54</f>
        <v>129.824956640078</v>
      </c>
      <c r="BD74" s="13" t="n">
        <f aca="false">BD73+BD52+BD53+BD54</f>
        <v>132.722190954215</v>
      </c>
      <c r="BE74" s="13" t="n">
        <f aca="false">BE73+BE52+BE53+BE54</f>
        <v>134.621232884901</v>
      </c>
      <c r="BF74" s="13" t="n">
        <f aca="false">BF73+BF52+BF53+BF54</f>
        <v>134.090849380663</v>
      </c>
      <c r="BG74" s="13" t="n">
        <f aca="false">BG73+BG52+BG53+BG54</f>
        <v>136.783710350767</v>
      </c>
      <c r="BH74" s="13" t="n">
        <f aca="false">BH73+BH52+BH53+BH54</f>
        <v>137.800255294735</v>
      </c>
      <c r="BI74" s="13" t="n">
        <f aca="false">BI73+BI52+BI53+BI54</f>
        <v>138.007927983268</v>
      </c>
      <c r="BJ74" s="13" t="n">
        <f aca="false">BJ73+BJ52+BJ53+BJ54</f>
        <v>133.658707850668</v>
      </c>
      <c r="BK74" s="13" t="n">
        <f aca="false">BK73+BK52+BK53+BK54</f>
        <v>138.23816998971</v>
      </c>
      <c r="BL74" s="13" t="n">
        <f aca="false">BL73+BL52+BL53+BL54</f>
        <v>143.072163907049</v>
      </c>
      <c r="BM74" s="13" t="n">
        <f aca="false">BM73+BM52+BM53+BM54</f>
        <v>96.9664389263518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1645</v>
      </c>
      <c r="E75" s="0" t="s">
        <v>151</v>
      </c>
      <c r="G75" s="13" t="n">
        <f aca="false">SUM(J75:BN75)</f>
        <v>0.111397162316252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0.0986457331876719</v>
      </c>
      <c r="Q75" s="13" t="n">
        <f aca="false">SUMIFS(Construction!$J$38:$BJ$38,Construction!$J$12:$BJ$12,Time!Q20,Construction!$J$8:$BJ$8,"&gt;"&amp;Time!$F$14)</f>
        <v>0.0127514291285803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1646</v>
      </c>
      <c r="E76" s="0" t="s">
        <v>151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1647</v>
      </c>
      <c r="E77" s="0" t="s">
        <v>338</v>
      </c>
      <c r="J77" s="9" t="n">
        <f aca="false">INT((Time!J33-Inputs!$F$221)/12)+1</f>
        <v>0</v>
      </c>
      <c r="K77" s="9" t="n">
        <f aca="false">INT((Time!K33-Inputs!$F$221)/12)+1</f>
        <v>0</v>
      </c>
      <c r="L77" s="9" t="n">
        <f aca="false">INT((Time!L33-Inputs!$F$221)/12)+1</f>
        <v>0</v>
      </c>
      <c r="M77" s="9" t="n">
        <f aca="false">INT((Time!M33-Inputs!$F$221)/12)+1</f>
        <v>0</v>
      </c>
      <c r="N77" s="9" t="n">
        <f aca="false">INT((Time!N33-Inputs!$F$221)/12)+1</f>
        <v>0</v>
      </c>
      <c r="O77" s="9" t="n">
        <f aca="false">INT((Time!O33-Inputs!$F$221)/12)+1</f>
        <v>0</v>
      </c>
      <c r="P77" s="9" t="n">
        <f aca="false">INT((Time!P33-Inputs!$F$221)/12)+1</f>
        <v>1</v>
      </c>
      <c r="Q77" s="9" t="n">
        <f aca="false">INT((Time!Q33-Inputs!$F$221)/12)+1</f>
        <v>1</v>
      </c>
      <c r="R77" s="9" t="n">
        <f aca="false">INT((Time!R33-Inputs!$F$221)/12)+1</f>
        <v>2</v>
      </c>
      <c r="S77" s="9" t="n">
        <f aca="false">INT((Time!S33-Inputs!$F$221)/12)+1</f>
        <v>2</v>
      </c>
      <c r="T77" s="9" t="n">
        <f aca="false">INT((Time!T33-Inputs!$F$221)/12)+1</f>
        <v>3</v>
      </c>
      <c r="U77" s="9" t="n">
        <f aca="false">INT((Time!U33-Inputs!$F$221)/12)+1</f>
        <v>3</v>
      </c>
      <c r="V77" s="9" t="n">
        <f aca="false">INT((Time!V33-Inputs!$F$221)/12)+1</f>
        <v>4</v>
      </c>
      <c r="W77" s="9" t="n">
        <f aca="false">INT((Time!W33-Inputs!$F$221)/12)+1</f>
        <v>4</v>
      </c>
      <c r="X77" s="9" t="n">
        <f aca="false">INT((Time!X33-Inputs!$F$221)/12)+1</f>
        <v>5</v>
      </c>
      <c r="Y77" s="9" t="n">
        <f aca="false">INT((Time!Y33-Inputs!$F$221)/12)+1</f>
        <v>5</v>
      </c>
      <c r="Z77" s="9" t="n">
        <f aca="false">INT((Time!Z33-Inputs!$F$221)/12)+1</f>
        <v>6</v>
      </c>
      <c r="AA77" s="9" t="n">
        <f aca="false">INT((Time!AA33-Inputs!$F$221)/12)+1</f>
        <v>6</v>
      </c>
      <c r="AB77" s="9" t="n">
        <f aca="false">INT((Time!AB33-Inputs!$F$221)/12)+1</f>
        <v>7</v>
      </c>
      <c r="AC77" s="9" t="n">
        <f aca="false">INT((Time!AC33-Inputs!$F$221)/12)+1</f>
        <v>7</v>
      </c>
      <c r="AD77" s="9" t="n">
        <f aca="false">INT((Time!AD33-Inputs!$F$221)/12)+1</f>
        <v>8</v>
      </c>
      <c r="AE77" s="9" t="n">
        <f aca="false">INT((Time!AE33-Inputs!$F$221)/12)+1</f>
        <v>8</v>
      </c>
      <c r="AF77" s="9" t="n">
        <f aca="false">INT((Time!AF33-Inputs!$F$221)/12)+1</f>
        <v>9</v>
      </c>
      <c r="AG77" s="9" t="n">
        <f aca="false">INT((Time!AG33-Inputs!$F$221)/12)+1</f>
        <v>9</v>
      </c>
      <c r="AH77" s="9" t="n">
        <f aca="false">INT((Time!AH33-Inputs!$F$221)/12)+1</f>
        <v>10</v>
      </c>
      <c r="AI77" s="9" t="n">
        <f aca="false">INT((Time!AI33-Inputs!$F$221)/12)+1</f>
        <v>10</v>
      </c>
      <c r="AJ77" s="9" t="n">
        <f aca="false">INT((Time!AJ33-Inputs!$F$221)/12)+1</f>
        <v>11</v>
      </c>
      <c r="AK77" s="9" t="n">
        <f aca="false">INT((Time!AK33-Inputs!$F$221)/12)+1</f>
        <v>11</v>
      </c>
      <c r="AL77" s="9" t="n">
        <f aca="false">INT((Time!AL33-Inputs!$F$221)/12)+1</f>
        <v>12</v>
      </c>
      <c r="AM77" s="9" t="n">
        <f aca="false">INT((Time!AM33-Inputs!$F$221)/12)+1</f>
        <v>12</v>
      </c>
      <c r="AN77" s="9" t="n">
        <f aca="false">INT((Time!AN33-Inputs!$F$221)/12)+1</f>
        <v>13</v>
      </c>
      <c r="AO77" s="9" t="n">
        <f aca="false">INT((Time!AO33-Inputs!$F$221)/12)+1</f>
        <v>13</v>
      </c>
      <c r="AP77" s="9" t="n">
        <f aca="false">INT((Time!AP33-Inputs!$F$221)/12)+1</f>
        <v>14</v>
      </c>
      <c r="AQ77" s="9" t="n">
        <f aca="false">INT((Time!AQ33-Inputs!$F$221)/12)+1</f>
        <v>14</v>
      </c>
      <c r="AR77" s="9" t="n">
        <f aca="false">INT((Time!AR33-Inputs!$F$221)/12)+1</f>
        <v>15</v>
      </c>
      <c r="AS77" s="9" t="n">
        <f aca="false">INT((Time!AS33-Inputs!$F$221)/12)+1</f>
        <v>15</v>
      </c>
      <c r="AT77" s="9" t="n">
        <f aca="false">INT((Time!AT33-Inputs!$F$221)/12)+1</f>
        <v>16</v>
      </c>
      <c r="AU77" s="9" t="n">
        <f aca="false">INT((Time!AU33-Inputs!$F$221)/12)+1</f>
        <v>16</v>
      </c>
      <c r="AV77" s="9" t="n">
        <f aca="false">INT((Time!AV33-Inputs!$F$221)/12)+1</f>
        <v>17</v>
      </c>
      <c r="AW77" s="9" t="n">
        <f aca="false">INT((Time!AW33-Inputs!$F$221)/12)+1</f>
        <v>17</v>
      </c>
      <c r="AX77" s="9" t="n">
        <f aca="false">INT((Time!AX33-Inputs!$F$221)/12)+1</f>
        <v>18</v>
      </c>
      <c r="AY77" s="9" t="n">
        <f aca="false">INT((Time!AY33-Inputs!$F$221)/12)+1</f>
        <v>18</v>
      </c>
      <c r="AZ77" s="9" t="n">
        <f aca="false">INT((Time!AZ33-Inputs!$F$221)/12)+1</f>
        <v>19</v>
      </c>
      <c r="BA77" s="9" t="n">
        <f aca="false">INT((Time!BA33-Inputs!$F$221)/12)+1</f>
        <v>19</v>
      </c>
      <c r="BB77" s="9" t="n">
        <f aca="false">INT((Time!BB33-Inputs!$F$221)/12)+1</f>
        <v>20</v>
      </c>
      <c r="BC77" s="9" t="n">
        <f aca="false">INT((Time!BC33-Inputs!$F$221)/12)+1</f>
        <v>20</v>
      </c>
      <c r="BD77" s="9" t="n">
        <f aca="false">INT((Time!BD33-Inputs!$F$221)/12)+1</f>
        <v>21</v>
      </c>
      <c r="BE77" s="9" t="n">
        <f aca="false">INT((Time!BE33-Inputs!$F$221)/12)+1</f>
        <v>21</v>
      </c>
      <c r="BF77" s="9" t="n">
        <f aca="false">INT((Time!BF33-Inputs!$F$221)/12)+1</f>
        <v>22</v>
      </c>
      <c r="BG77" s="9" t="n">
        <f aca="false">INT((Time!BG33-Inputs!$F$221)/12)+1</f>
        <v>22</v>
      </c>
      <c r="BH77" s="9" t="n">
        <f aca="false">INT((Time!BH33-Inputs!$F$221)/12)+1</f>
        <v>23</v>
      </c>
      <c r="BI77" s="9" t="n">
        <f aca="false">INT((Time!BI33-Inputs!$F$221)/12)+1</f>
        <v>23</v>
      </c>
      <c r="BJ77" s="9" t="n">
        <f aca="false">INT((Time!BJ33-Inputs!$F$221)/12)+1</f>
        <v>24</v>
      </c>
      <c r="BK77" s="9" t="n">
        <f aca="false">INT((Time!BK33-Inputs!$F$221)/12)+1</f>
        <v>24</v>
      </c>
      <c r="BL77" s="9" t="n">
        <f aca="false">INT((Time!BL33-Inputs!$F$221)/12)+1</f>
        <v>25</v>
      </c>
      <c r="BM77" s="9" t="n">
        <f aca="false">INT((Time!BM33-Inputs!$F$221)/12)+1</f>
        <v>25</v>
      </c>
      <c r="BN77" s="9" t="n">
        <f aca="false">INT((Time!BN33-Inputs!$F$221)/12)+1</f>
        <v>25</v>
      </c>
    </row>
    <row r="78" customFormat="false" ht="15" hidden="false" customHeight="false" outlineLevel="0" collapsed="false">
      <c r="D78" s="0" t="s">
        <v>1648</v>
      </c>
      <c r="E78" s="0" t="s">
        <v>151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1649</v>
      </c>
      <c r="E79" s="0" t="s">
        <v>151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1650</v>
      </c>
      <c r="E80" s="0" t="s">
        <v>99</v>
      </c>
      <c r="J80" s="9" t="n">
        <f aca="false">MAX(0,MIN(Time!J33,Time!$F$9)-MAX(Time!J32,(Inputs!$F$227-1)*12))</f>
        <v>0</v>
      </c>
      <c r="K80" s="9" t="n">
        <f aca="false">MAX(0,MIN(Time!K33,Time!$F$9)-MAX(Time!K32,(Inputs!$F$227-1)*12))</f>
        <v>0</v>
      </c>
      <c r="L80" s="9" t="n">
        <f aca="false">MAX(0,MIN(Time!L33,Time!$F$9)-MAX(Time!L32,(Inputs!$F$227-1)*12))</f>
        <v>0</v>
      </c>
      <c r="M80" s="9" t="n">
        <f aca="false">MAX(0,MIN(Time!M33,Time!$F$9)-MAX(Time!M32,(Inputs!$F$227-1)*12))</f>
        <v>0</v>
      </c>
      <c r="N80" s="9" t="n">
        <f aca="false">MAX(0,MIN(Time!N33,Time!$F$9)-MAX(Time!N32,(Inputs!$F$227-1)*12))</f>
        <v>0</v>
      </c>
      <c r="O80" s="9" t="n">
        <f aca="false">MAX(0,MIN(Time!O33,Time!$F$9)-MAX(Time!O32,(Inputs!$F$227-1)*12))</f>
        <v>0</v>
      </c>
      <c r="P80" s="9" t="n">
        <f aca="false">MAX(0,MIN(Time!P33,Time!$F$9)-MAX(Time!P32,(Inputs!$F$227-1)*12))</f>
        <v>0</v>
      </c>
      <c r="Q80" s="9" t="n">
        <f aca="false">MAX(0,MIN(Time!Q33,Time!$F$9)-MAX(Time!Q32,(Inputs!$F$227-1)*12))</f>
        <v>0</v>
      </c>
      <c r="R80" s="9" t="n">
        <f aca="false">MAX(0,MIN(Time!R33,Time!$F$9)-MAX(Time!R32,(Inputs!$F$227-1)*12))</f>
        <v>0</v>
      </c>
      <c r="S80" s="9" t="n">
        <f aca="false">MAX(0,MIN(Time!S33,Time!$F$9)-MAX(Time!S32,(Inputs!$F$227-1)*12))</f>
        <v>0</v>
      </c>
      <c r="T80" s="9" t="n">
        <f aca="false">MAX(0,MIN(Time!T33,Time!$F$9)-MAX(Time!T32,(Inputs!$F$227-1)*12))</f>
        <v>0</v>
      </c>
      <c r="U80" s="9" t="n">
        <f aca="false">MAX(0,MIN(Time!U33,Time!$F$9)-MAX(Time!U32,(Inputs!$F$227-1)*12))</f>
        <v>0</v>
      </c>
      <c r="V80" s="9" t="n">
        <f aca="false">MAX(0,MIN(Time!V33,Time!$F$9)-MAX(Time!V32,(Inputs!$F$227-1)*12))</f>
        <v>0</v>
      </c>
      <c r="W80" s="9" t="n">
        <f aca="false">MAX(0,MIN(Time!W33,Time!$F$9)-MAX(Time!W32,(Inputs!$F$227-1)*12))</f>
        <v>0</v>
      </c>
      <c r="X80" s="9" t="n">
        <f aca="false">MAX(0,MIN(Time!X33,Time!$F$9)-MAX(Time!X32,(Inputs!$F$227-1)*12))</f>
        <v>0</v>
      </c>
      <c r="Y80" s="9" t="n">
        <f aca="false">MAX(0,MIN(Time!Y33,Time!$F$9)-MAX(Time!Y32,(Inputs!$F$227-1)*12))</f>
        <v>0</v>
      </c>
      <c r="Z80" s="9" t="n">
        <f aca="false">MAX(0,MIN(Time!Z33,Time!$F$9)-MAX(Time!Z32,(Inputs!$F$227-1)*12))</f>
        <v>0</v>
      </c>
      <c r="AA80" s="9" t="n">
        <f aca="false">MAX(0,MIN(Time!AA33,Time!$F$9)-MAX(Time!AA32,(Inputs!$F$227-1)*12))</f>
        <v>0</v>
      </c>
      <c r="AB80" s="9" t="n">
        <f aca="false">MAX(0,MIN(Time!AB33,Time!$F$9)-MAX(Time!AB32,(Inputs!$F$227-1)*12))</f>
        <v>0</v>
      </c>
      <c r="AC80" s="9" t="n">
        <f aca="false">MAX(0,MIN(Time!AC33,Time!$F$9)-MAX(Time!AC32,(Inputs!$F$227-1)*12))</f>
        <v>0</v>
      </c>
      <c r="AD80" s="9" t="n">
        <f aca="false">MAX(0,MIN(Time!AD33,Time!$F$9)-MAX(Time!AD32,(Inputs!$F$227-1)*12))</f>
        <v>0</v>
      </c>
      <c r="AE80" s="9" t="n">
        <f aca="false">MAX(0,MIN(Time!AE33,Time!$F$9)-MAX(Time!AE32,(Inputs!$F$227-1)*12))</f>
        <v>0</v>
      </c>
      <c r="AF80" s="9" t="n">
        <f aca="false">MAX(0,MIN(Time!AF33,Time!$F$9)-MAX(Time!AF32,(Inputs!$F$227-1)*12))</f>
        <v>0</v>
      </c>
      <c r="AG80" s="9" t="n">
        <f aca="false">MAX(0,MIN(Time!AG33,Time!$F$9)-MAX(Time!AG32,(Inputs!$F$227-1)*12))</f>
        <v>0</v>
      </c>
      <c r="AH80" s="9" t="n">
        <f aca="false">MAX(0,MIN(Time!AH33,Time!$F$9)-MAX(Time!AH32,(Inputs!$F$227-1)*12))</f>
        <v>0</v>
      </c>
      <c r="AI80" s="9" t="n">
        <f aca="false">MAX(0,MIN(Time!AI33,Time!$F$9)-MAX(Time!AI32,(Inputs!$F$227-1)*12))</f>
        <v>0</v>
      </c>
      <c r="AJ80" s="9" t="n">
        <f aca="false">MAX(0,MIN(Time!AJ33,Time!$F$9)-MAX(Time!AJ32,(Inputs!$F$227-1)*12))</f>
        <v>0</v>
      </c>
      <c r="AK80" s="9" t="n">
        <f aca="false">MAX(0,MIN(Time!AK33,Time!$F$9)-MAX(Time!AK32,(Inputs!$F$227-1)*12))</f>
        <v>0</v>
      </c>
      <c r="AL80" s="9" t="n">
        <f aca="false">MAX(0,MIN(Time!AL33,Time!$F$9)-MAX(Time!AL32,(Inputs!$F$227-1)*12))</f>
        <v>0</v>
      </c>
      <c r="AM80" s="9" t="n">
        <f aca="false">MAX(0,MIN(Time!AM33,Time!$F$9)-MAX(Time!AM32,(Inputs!$F$227-1)*12))</f>
        <v>0</v>
      </c>
      <c r="AN80" s="9" t="n">
        <f aca="false">MAX(0,MIN(Time!AN33,Time!$F$9)-MAX(Time!AN32,(Inputs!$F$227-1)*12))</f>
        <v>0</v>
      </c>
      <c r="AO80" s="9" t="n">
        <f aca="false">MAX(0,MIN(Time!AO33,Time!$F$9)-MAX(Time!AO32,(Inputs!$F$227-1)*12))</f>
        <v>0</v>
      </c>
      <c r="AP80" s="9" t="n">
        <f aca="false">MAX(0,MIN(Time!AP33,Time!$F$9)-MAX(Time!AP32,(Inputs!$F$227-1)*12))</f>
        <v>0</v>
      </c>
      <c r="AQ80" s="9" t="n">
        <f aca="false">MAX(0,MIN(Time!AQ33,Time!$F$9)-MAX(Time!AQ32,(Inputs!$F$227-1)*12))</f>
        <v>0</v>
      </c>
      <c r="AR80" s="9" t="n">
        <f aca="false">MAX(0,MIN(Time!AR33,Time!$F$9)-MAX(Time!AR32,(Inputs!$F$227-1)*12))</f>
        <v>0</v>
      </c>
      <c r="AS80" s="9" t="n">
        <f aca="false">MAX(0,MIN(Time!AS33,Time!$F$9)-MAX(Time!AS32,(Inputs!$F$227-1)*12))</f>
        <v>0</v>
      </c>
      <c r="AT80" s="9" t="n">
        <f aca="false">MAX(0,MIN(Time!AT33,Time!$F$9)-MAX(Time!AT32,(Inputs!$F$227-1)*12))</f>
        <v>0</v>
      </c>
      <c r="AU80" s="9" t="n">
        <f aca="false">MAX(0,MIN(Time!AU33,Time!$F$9)-MAX(Time!AU32,(Inputs!$F$227-1)*12))</f>
        <v>0</v>
      </c>
      <c r="AV80" s="9" t="n">
        <f aca="false">MAX(0,MIN(Time!AV33,Time!$F$9)-MAX(Time!AV32,(Inputs!$F$227-1)*12))</f>
        <v>0</v>
      </c>
      <c r="AW80" s="9" t="n">
        <f aca="false">MAX(0,MIN(Time!AW33,Time!$F$9)-MAX(Time!AW32,(Inputs!$F$227-1)*12))</f>
        <v>0</v>
      </c>
      <c r="AX80" s="9" t="n">
        <f aca="false">MAX(0,MIN(Time!AX33,Time!$F$9)-MAX(Time!AX32,(Inputs!$F$227-1)*12))</f>
        <v>0</v>
      </c>
      <c r="AY80" s="9" t="n">
        <f aca="false">MAX(0,MIN(Time!AY33,Time!$F$9)-MAX(Time!AY32,(Inputs!$F$227-1)*12))</f>
        <v>0</v>
      </c>
      <c r="AZ80" s="9" t="n">
        <f aca="false">MAX(0,MIN(Time!AZ33,Time!$F$9)-MAX(Time!AZ32,(Inputs!$F$227-1)*12))</f>
        <v>0</v>
      </c>
      <c r="BA80" s="9" t="n">
        <f aca="false">MAX(0,MIN(Time!BA33,Time!$F$9)-MAX(Time!BA32,(Inputs!$F$227-1)*12))</f>
        <v>2</v>
      </c>
      <c r="BB80" s="9" t="n">
        <f aca="false">MAX(0,MIN(Time!BB33,Time!$F$9)-MAX(Time!BB32,(Inputs!$F$227-1)*12))</f>
        <v>6</v>
      </c>
      <c r="BC80" s="9" t="n">
        <f aca="false">MAX(0,MIN(Time!BC33,Time!$F$9)-MAX(Time!BC32,(Inputs!$F$227-1)*12))</f>
        <v>6</v>
      </c>
      <c r="BD80" s="9" t="n">
        <f aca="false">MAX(0,MIN(Time!BD33,Time!$F$9)-MAX(Time!BD32,(Inputs!$F$227-1)*12))</f>
        <v>6</v>
      </c>
      <c r="BE80" s="9" t="n">
        <f aca="false">MAX(0,MIN(Time!BE33,Time!$F$9)-MAX(Time!BE32,(Inputs!$F$227-1)*12))</f>
        <v>6</v>
      </c>
      <c r="BF80" s="9" t="n">
        <f aca="false">MAX(0,MIN(Time!BF33,Time!$F$9)-MAX(Time!BF32,(Inputs!$F$227-1)*12))</f>
        <v>6</v>
      </c>
      <c r="BG80" s="9" t="n">
        <f aca="false">MAX(0,MIN(Time!BG33,Time!$F$9)-MAX(Time!BG32,(Inputs!$F$227-1)*12))</f>
        <v>6</v>
      </c>
      <c r="BH80" s="9" t="n">
        <f aca="false">MAX(0,MIN(Time!BH33,Time!$F$9)-MAX(Time!BH32,(Inputs!$F$227-1)*12))</f>
        <v>6</v>
      </c>
      <c r="BI80" s="9" t="n">
        <f aca="false">MAX(0,MIN(Time!BI33,Time!$F$9)-MAX(Time!BI32,(Inputs!$F$227-1)*12))</f>
        <v>6</v>
      </c>
      <c r="BJ80" s="9" t="n">
        <f aca="false">MAX(0,MIN(Time!BJ33,Time!$F$9)-MAX(Time!BJ32,(Inputs!$F$227-1)*12))</f>
        <v>6</v>
      </c>
      <c r="BK80" s="9" t="n">
        <f aca="false">MAX(0,MIN(Time!BK33,Time!$F$9)-MAX(Time!BK32,(Inputs!$F$227-1)*12))</f>
        <v>6</v>
      </c>
      <c r="BL80" s="9" t="n">
        <f aca="false">MAX(0,MIN(Time!BL33,Time!$F$9)-MAX(Time!BL32,(Inputs!$F$227-1)*12))</f>
        <v>6</v>
      </c>
      <c r="BM80" s="9" t="n">
        <f aca="false">MAX(0,MIN(Time!BM33,Time!$F$9)-MAX(Time!BM32,(Inputs!$F$227-1)*12))</f>
        <v>4</v>
      </c>
      <c r="BN80" s="9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1651</v>
      </c>
      <c r="E81" s="0" t="s">
        <v>151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1652</v>
      </c>
      <c r="E82" s="0" t="s">
        <v>151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1653</v>
      </c>
      <c r="E83" s="0" t="s">
        <v>151</v>
      </c>
      <c r="G83" s="13" t="n">
        <f aca="false">SUM(J83:BN83)</f>
        <v>6782.23446501814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35.4079491729213</v>
      </c>
      <c r="P83" s="13" t="n">
        <f aca="false">P72+P74+P75+P76+P79+P82</f>
        <v>106.535712003291</v>
      </c>
      <c r="Q83" s="13" t="n">
        <f aca="false">Q72+Q74+Q75+Q76+Q79+Q82</f>
        <v>107.859803377723</v>
      </c>
      <c r="R83" s="13" t="n">
        <f aca="false">R72+R74+R75+R76+R79+R82</f>
        <v>107.584743715434</v>
      </c>
      <c r="S83" s="13" t="n">
        <f aca="false">S72+S74+S75+S76+S79+S82</f>
        <v>109.618614547512</v>
      </c>
      <c r="T83" s="13" t="n">
        <f aca="false">T72+T74+T75+T76+T79+T82</f>
        <v>110.577013401367</v>
      </c>
      <c r="U83" s="13" t="n">
        <f aca="false">U72+U74+U75+U76+U79+U82</f>
        <v>111.310199204329</v>
      </c>
      <c r="V83" s="13" t="n">
        <f aca="false">V72+V74+V75+V76+V79+V82</f>
        <v>111.868170073916</v>
      </c>
      <c r="W83" s="13" t="n">
        <f aca="false">W72+W74+W75+W76+W79+W82</f>
        <v>112.255474871409</v>
      </c>
      <c r="X83" s="13" t="n">
        <f aca="false">X72+X74+X75+X76+X79+X82</f>
        <v>114.879016039788</v>
      </c>
      <c r="Y83" s="13" t="n">
        <f aca="false">Y72+Y74+Y75+Y76+Y79+Y82</f>
        <v>116.403580371317</v>
      </c>
      <c r="Z83" s="13" t="n">
        <f aca="false">Z72+Z74+Z75+Z76+Z79+Z82</f>
        <v>116.1167965756</v>
      </c>
      <c r="AA83" s="13" t="n">
        <f aca="false">AA72+AA74+AA75+AA76+AA79+AA82</f>
        <v>118.316063081165</v>
      </c>
      <c r="AB83" s="13" t="n">
        <f aca="false">AB72+AB74+AB75+AB76+AB79+AB82</f>
        <v>119.349415138583</v>
      </c>
      <c r="AC83" s="13" t="n">
        <f aca="false">AC72+AC74+AC75+AC76+AC79+AC82</f>
        <v>119.427387694816</v>
      </c>
      <c r="AD83" s="13" t="n">
        <f aca="false">AD72+AD74+AD75+AD76+AD79+AD82</f>
        <v>127.772421523164</v>
      </c>
      <c r="AE83" s="13" t="n">
        <f aca="false">AE72+AE74+AE75+AE76+AE79+AE82</f>
        <v>119.705964535187</v>
      </c>
      <c r="AF83" s="13" t="n">
        <f aca="false">AF72+AF74+AF75+AF76+AF79+AF82</f>
        <v>123.994799252308</v>
      </c>
      <c r="AG83" s="13" t="n">
        <f aca="false">AG72+AG74+AG75+AG76+AG79+AG82</f>
        <v>125.643171122154</v>
      </c>
      <c r="AH83" s="13" t="n">
        <f aca="false">AH72+AH74+AH75+AH76+AH79+AH82</f>
        <v>125.329765890645</v>
      </c>
      <c r="AI83" s="13" t="n">
        <f aca="false">AI72+AI74+AI75+AI76+AI79+AI82</f>
        <v>127.707781638781</v>
      </c>
      <c r="AJ83" s="13" t="n">
        <f aca="false">AJ72+AJ74+AJ75+AJ76+AJ79+AJ82</f>
        <v>128.822014171467</v>
      </c>
      <c r="AK83" s="13" t="n">
        <f aca="false">AK72+AK74+AK75+AK76+AK79+AK82</f>
        <v>129.675895907779</v>
      </c>
      <c r="AL83" s="13" t="n">
        <f aca="false">AL72+AL74+AL75+AL76+AL79+AL82</f>
        <v>130.375946881264</v>
      </c>
      <c r="AM83" s="13" t="n">
        <f aca="false">AM72+AM74+AM75+AM76+AM79+AM82</f>
        <v>130.776660088418</v>
      </c>
      <c r="AN83" s="13" t="n">
        <f aca="false">AN72+AN74+AN75+AN76+AN79+AN82</f>
        <v>133.838172930243</v>
      </c>
      <c r="AO83" s="13" t="n">
        <f aca="false">AO72+AO74+AO75+AO76+AO79+AO82</f>
        <v>135.620317974091</v>
      </c>
      <c r="AP83" s="13" t="n">
        <f aca="false">AP72+AP74+AP75+AP76+AP79+AP82</f>
        <v>135.277965956016</v>
      </c>
      <c r="AQ83" s="13" t="n">
        <f aca="false">AQ72+AQ74+AQ75+AQ76+AQ79+AQ82</f>
        <v>137.849153914428</v>
      </c>
      <c r="AR83" s="13" t="n">
        <f aca="false">AR72+AR74+AR75+AR76+AR79+AR82</f>
        <v>139.050666201677</v>
      </c>
      <c r="AS83" s="13" t="n">
        <f aca="false">AS72+AS74+AS75+AS76+AS79+AS82</f>
        <v>139.137886683664</v>
      </c>
      <c r="AT83" s="13" t="n">
        <f aca="false">AT72+AT74+AT75+AT76+AT79+AT82</f>
        <v>149.138538581428</v>
      </c>
      <c r="AU83" s="13" t="n">
        <f aca="false">AU72+AU74+AU75+AU76+AU79+AU82</f>
        <v>139.458561579299</v>
      </c>
      <c r="AV83" s="13" t="n">
        <f aca="false">AV72+AV74+AV75+AV76+AV79+AV82</f>
        <v>144.467173095231</v>
      </c>
      <c r="AW83" s="13" t="n">
        <f aca="false">AW72+AW74+AW75+AW76+AW79+AW82</f>
        <v>146.393851940547</v>
      </c>
      <c r="AX83" s="13" t="n">
        <f aca="false">AX72+AX74+AX75+AX76+AX79+AX82</f>
        <v>146.020033858714</v>
      </c>
      <c r="AY83" s="13" t="n">
        <f aca="false">AY72+AY74+AY75+AY76+AY79+AY82</f>
        <v>148.799971274223</v>
      </c>
      <c r="AZ83" s="13" t="n">
        <f aca="false">AZ72+AZ74+AZ75+AZ76+AZ79+AZ82</f>
        <v>150.095672372196</v>
      </c>
      <c r="BA83" s="13" t="n">
        <f aca="false">BA72+BA74+BA75+BA76+BA79+BA82</f>
        <v>151.089914817037</v>
      </c>
      <c r="BB83" s="13" t="n">
        <f aca="false">BB72+BB74+BB75+BB76+BB79+BB82</f>
        <v>151.965792992069</v>
      </c>
      <c r="BC83" s="13" t="n">
        <f aca="false">BC72+BC74+BC75+BC76+BC79+BC82</f>
        <v>152.371708356455</v>
      </c>
      <c r="BD83" s="13" t="n">
        <f aca="false">BD72+BD74+BD75+BD76+BD79+BD82</f>
        <v>155.944454095025</v>
      </c>
      <c r="BE83" s="13" t="n">
        <f aca="false">BE72+BE74+BE75+BE76+BE79+BE82</f>
        <v>158.027285155868</v>
      </c>
      <c r="BF83" s="13" t="n">
        <f aca="false">BF72+BF74+BF75+BF76+BF79+BF82</f>
        <v>157.619272235434</v>
      </c>
      <c r="BG83" s="13" t="n">
        <f aca="false">BG72+BG74+BG75+BG76+BG79+BG82</f>
        <v>160.62478218463</v>
      </c>
      <c r="BH83" s="13" t="n">
        <f aca="false">BH72+BH74+BH75+BH76+BH79+BH82</f>
        <v>162.022131727267</v>
      </c>
      <c r="BI83" s="13" t="n">
        <f aca="false">BI72+BI74+BI75+BI76+BI79+BI82</f>
        <v>162.119381957086</v>
      </c>
      <c r="BJ83" s="13" t="n">
        <f aca="false">BJ72+BJ74+BJ75+BJ76+BJ79+BJ82</f>
        <v>174.102992491725</v>
      </c>
      <c r="BK83" s="13" t="n">
        <f aca="false">BK72+BK74+BK75+BK76+BK79+BK82</f>
        <v>162.488502027709</v>
      </c>
      <c r="BL83" s="13" t="n">
        <f aca="false">BL72+BL74+BL75+BL76+BL79+BL82</f>
        <v>168.33765470143</v>
      </c>
      <c r="BM83" s="13" t="n">
        <f aca="false">BM72+BM74+BM75+BM76+BM79+BM82</f>
        <v>133.058265634312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1654</v>
      </c>
      <c r="E84" s="0" t="s">
        <v>151</v>
      </c>
      <c r="G84" s="13" t="n">
        <f aca="false">SUM(J84:BN84)</f>
        <v>2904.81207370705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18.6785037093121</v>
      </c>
      <c r="P84" s="13" t="n">
        <f aca="false">P56-P83+P58</f>
        <v>56.0835187659146</v>
      </c>
      <c r="Q84" s="13" t="n">
        <f aca="false">Q56-Q83+Q58</f>
        <v>56.127449185613</v>
      </c>
      <c r="R84" s="13" t="n">
        <f aca="false">R56-R83+R58</f>
        <v>55.9065578360323</v>
      </c>
      <c r="S84" s="13" t="n">
        <f aca="false">S56-S83+S58</f>
        <v>56.2446040912875</v>
      </c>
      <c r="T84" s="13" t="n">
        <f aca="false">T56-T83+T58</f>
        <v>56.7734674528299</v>
      </c>
      <c r="U84" s="13" t="n">
        <f aca="false">U56-U83+U58</f>
        <v>56.2465859185922</v>
      </c>
      <c r="V84" s="13" t="n">
        <f aca="false">V56-V83+V58</f>
        <v>52.535845751635</v>
      </c>
      <c r="W84" s="13" t="n">
        <f aca="false">W56-W83+W58</f>
        <v>55.8665124097603</v>
      </c>
      <c r="X84" s="13" t="n">
        <f aca="false">X56-X83+X58</f>
        <v>57.3892902070707</v>
      </c>
      <c r="Y84" s="13" t="n">
        <f aca="false">Y56-Y83+Y58</f>
        <v>57.3544827540884</v>
      </c>
      <c r="Z84" s="13" t="n">
        <f aca="false">Z56-Z83+Z58</f>
        <v>57.1244876355444</v>
      </c>
      <c r="AA84" s="13" t="n">
        <f aca="false">AA56-AA83+AA58</f>
        <v>57.4790970725836</v>
      </c>
      <c r="AB84" s="13" t="n">
        <f aca="false">AB56-AB83+AB58</f>
        <v>58.0306607205265</v>
      </c>
      <c r="AC84" s="13" t="n">
        <f aca="false">AC56-AC83+AC58</f>
        <v>57.0853238995014</v>
      </c>
      <c r="AD84" s="13" t="n">
        <f aca="false">AD56-AD83+AD58</f>
        <v>43.1459156061458</v>
      </c>
      <c r="AE84" s="13" t="n">
        <f aca="false">AE56-AE83+AE58</f>
        <v>56.2945749789649</v>
      </c>
      <c r="AF84" s="13" t="n">
        <f aca="false">AF56-AF83+AF58</f>
        <v>58.6986504723104</v>
      </c>
      <c r="AG84" s="13" t="n">
        <f aca="false">AG56-AG83+AG58</f>
        <v>58.6715674813991</v>
      </c>
      <c r="AH84" s="13" t="n">
        <f aca="false">AH56-AH83+AH58</f>
        <v>58.4455765845371</v>
      </c>
      <c r="AI84" s="13" t="n">
        <f aca="false">AI56-AI83+AI58</f>
        <v>58.8181226728165</v>
      </c>
      <c r="AJ84" s="13" t="n">
        <f aca="false">AJ56-AJ83+AJ58</f>
        <v>59.3943763201139</v>
      </c>
      <c r="AK84" s="13" t="n">
        <f aca="false">AK56-AK83+AK58</f>
        <v>58.8573637155428</v>
      </c>
      <c r="AL84" s="13" t="n">
        <f aca="false">AL56-AL83+AL58</f>
        <v>54.6276736746641</v>
      </c>
      <c r="AM84" s="13" t="n">
        <f aca="false">AM56-AM83+AM58</f>
        <v>58.4945550089505</v>
      </c>
      <c r="AN84" s="13" t="n">
        <f aca="false">AN56-AN83+AN58</f>
        <v>60.1190024382707</v>
      </c>
      <c r="AO84" s="13" t="n">
        <f aca="false">AO56-AO83+AO58</f>
        <v>60.1002583279504</v>
      </c>
      <c r="AP84" s="13" t="n">
        <f aca="false">AP56-AP83+AP58</f>
        <v>59.8786617688668</v>
      </c>
      <c r="AQ84" s="13" t="n">
        <f aca="false">AQ56-AQ83+AQ58</f>
        <v>60.2706340432325</v>
      </c>
      <c r="AR84" s="13" t="n">
        <f aca="false">AR56-AR83+AR58</f>
        <v>60.8737423391696</v>
      </c>
      <c r="AS84" s="13" t="n">
        <f aca="false">AS56-AS83+AS58</f>
        <v>59.8943582798385</v>
      </c>
      <c r="AT84" s="13" t="n">
        <f aca="false">AT56-AT83+AT58</f>
        <v>43.6026205171535</v>
      </c>
      <c r="AU84" s="13" t="n">
        <f aca="false">AU56-AU83+AU58</f>
        <v>59.0984448680776</v>
      </c>
      <c r="AV84" s="13" t="n">
        <f aca="false">AV56-AV83+AV58</f>
        <v>61.6598609816234</v>
      </c>
      <c r="AW84" s="13" t="n">
        <f aca="false">AW56-AW83+AW58</f>
        <v>61.6501204585769</v>
      </c>
      <c r="AX84" s="13" t="n">
        <f aca="false">AX56-AX83+AX58</f>
        <v>61.4333449795348</v>
      </c>
      <c r="AY84" s="13" t="n">
        <f aca="false">AY56-AY83+AY58</f>
        <v>61.8463590227248</v>
      </c>
      <c r="AZ84" s="13" t="n">
        <f aca="false">AZ56-AZ83+AZ58</f>
        <v>62.4786769699527</v>
      </c>
      <c r="BA84" s="13" t="n">
        <f aca="false">BA56-BA83+BA58</f>
        <v>61.9295171659562</v>
      </c>
      <c r="BB84" s="13" t="n">
        <f aca="false">BB56-BB83+BB58</f>
        <v>57.08288526137</v>
      </c>
      <c r="BC84" s="13" t="n">
        <f aca="false">BC56-BC83+BC58</f>
        <v>61.5870556270293</v>
      </c>
      <c r="BD84" s="13" t="n">
        <f aca="false">BD56-BD83+BD58</f>
        <v>63.3315648477116</v>
      </c>
      <c r="BE84" s="13" t="n">
        <f aca="false">BE56-BE83+BE58</f>
        <v>63.3315471441588</v>
      </c>
      <c r="BF84" s="13" t="n">
        <f aca="false">BF56-BF83+BF58</f>
        <v>63.1200594603803</v>
      </c>
      <c r="BG84" s="13" t="n">
        <f aca="false">BG56-BG83+BG58</f>
        <v>63.5558677575172</v>
      </c>
      <c r="BH84" s="13" t="n">
        <f aca="false">BH56-BH83+BH58</f>
        <v>64.2199574901468</v>
      </c>
      <c r="BI84" s="13" t="n">
        <f aca="false">BI56-BI83+BI58</f>
        <v>63.2002156302854</v>
      </c>
      <c r="BJ84" s="13" t="n">
        <f aca="false">BJ56-BJ83+BJ58</f>
        <v>44.1100748335666</v>
      </c>
      <c r="BK84" s="13" t="n">
        <f aca="false">BK56-BK83+BK58</f>
        <v>62.3982063383679</v>
      </c>
      <c r="BL84" s="13" t="n">
        <f aca="false">BL56-BL83+BL58</f>
        <v>65.1453485996656</v>
      </c>
      <c r="BM84" s="13" t="n">
        <f aca="false">BM56-BM83+BM58</f>
        <v>24.5189246301874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1655</v>
      </c>
    </row>
    <row r="86" customFormat="false" ht="15" hidden="false" customHeight="false" outlineLevel="0" collapsed="false">
      <c r="D86" s="0" t="s">
        <v>1656</v>
      </c>
      <c r="E86" s="0" t="s">
        <v>115</v>
      </c>
      <c r="J86" s="9" t="n">
        <f aca="false">IF(Time!J20&gt;=Time!$F$15,1,0)</f>
        <v>0</v>
      </c>
      <c r="K86" s="9" t="n">
        <f aca="false">IF(Time!K20&gt;=Time!$F$15,1,0)</f>
        <v>0</v>
      </c>
      <c r="L86" s="9" t="n">
        <f aca="false">IF(Time!L20&gt;=Time!$F$15,1,0)</f>
        <v>0</v>
      </c>
      <c r="M86" s="9" t="n">
        <f aca="false">IF(Time!M20&gt;=Time!$F$15,1,0)</f>
        <v>0</v>
      </c>
      <c r="N86" s="9" t="n">
        <f aca="false">IF(Time!N20&gt;=Time!$F$15,1,0)</f>
        <v>0</v>
      </c>
      <c r="O86" s="9" t="n">
        <f aca="false">IF(Time!O20&gt;=Time!$F$15,1,0)</f>
        <v>0</v>
      </c>
      <c r="P86" s="9" t="n">
        <f aca="false">IF(Time!P20&gt;=Time!$F$15,1,0)</f>
        <v>0</v>
      </c>
      <c r="Q86" s="9" t="n">
        <f aca="false">IF(Time!Q20&gt;=Time!$F$15,1,0)</f>
        <v>0</v>
      </c>
      <c r="R86" s="9" t="n">
        <f aca="false">IF(Time!R20&gt;=Time!$F$15,1,0)</f>
        <v>0</v>
      </c>
      <c r="S86" s="9" t="n">
        <f aca="false">IF(Time!S20&gt;=Time!$F$15,1,0)</f>
        <v>0</v>
      </c>
      <c r="T86" s="9" t="n">
        <f aca="false">IF(Time!T20&gt;=Time!$F$15,1,0)</f>
        <v>0</v>
      </c>
      <c r="U86" s="9" t="n">
        <f aca="false">IF(Time!U20&gt;=Time!$F$15,1,0)</f>
        <v>0</v>
      </c>
      <c r="V86" s="9" t="n">
        <f aca="false">IF(Time!V20&gt;=Time!$F$15,1,0)</f>
        <v>0</v>
      </c>
      <c r="W86" s="9" t="n">
        <f aca="false">IF(Time!W20&gt;=Time!$F$15,1,0)</f>
        <v>0</v>
      </c>
      <c r="X86" s="9" t="n">
        <f aca="false">IF(Time!X20&gt;=Time!$F$15,1,0)</f>
        <v>0</v>
      </c>
      <c r="Y86" s="9" t="n">
        <f aca="false">IF(Time!Y20&gt;=Time!$F$15,1,0)</f>
        <v>0</v>
      </c>
      <c r="Z86" s="9" t="n">
        <f aca="false">IF(Time!Z20&gt;=Time!$F$15,1,0)</f>
        <v>0</v>
      </c>
      <c r="AA86" s="9" t="n">
        <f aca="false">IF(Time!AA20&gt;=Time!$F$15,1,0)</f>
        <v>0</v>
      </c>
      <c r="AB86" s="9" t="n">
        <f aca="false">IF(Time!AB20&gt;=Time!$F$15,1,0)</f>
        <v>0</v>
      </c>
      <c r="AC86" s="9" t="n">
        <f aca="false">IF(Time!AC20&gt;=Time!$F$15,1,0)</f>
        <v>0</v>
      </c>
      <c r="AD86" s="9" t="n">
        <f aca="false">IF(Time!AD20&gt;=Time!$F$15,1,0)</f>
        <v>0</v>
      </c>
      <c r="AE86" s="9" t="n">
        <f aca="false">IF(Time!AE20&gt;=Time!$F$15,1,0)</f>
        <v>0</v>
      </c>
      <c r="AF86" s="9" t="n">
        <f aca="false">IF(Time!AF20&gt;=Time!$F$15,1,0)</f>
        <v>0</v>
      </c>
      <c r="AG86" s="9" t="n">
        <f aca="false">IF(Time!AG20&gt;=Time!$F$15,1,0)</f>
        <v>0</v>
      </c>
      <c r="AH86" s="9" t="n">
        <f aca="false">IF(Time!AH20&gt;=Time!$F$15,1,0)</f>
        <v>0</v>
      </c>
      <c r="AI86" s="9" t="n">
        <f aca="false">IF(Time!AI20&gt;=Time!$F$15,1,0)</f>
        <v>0</v>
      </c>
      <c r="AJ86" s="9" t="n">
        <f aca="false">IF(Time!AJ20&gt;=Time!$F$15,1,0)</f>
        <v>0</v>
      </c>
      <c r="AK86" s="9" t="n">
        <f aca="false">IF(Time!AK20&gt;=Time!$F$15,1,0)</f>
        <v>0</v>
      </c>
      <c r="AL86" s="9" t="n">
        <f aca="false">IF(Time!AL20&gt;=Time!$F$15,1,0)</f>
        <v>0</v>
      </c>
      <c r="AM86" s="9" t="n">
        <f aca="false">IF(Time!AM20&gt;=Time!$F$15,1,0)</f>
        <v>0</v>
      </c>
      <c r="AN86" s="9" t="n">
        <f aca="false">IF(Time!AN20&gt;=Time!$F$15,1,0)</f>
        <v>0</v>
      </c>
      <c r="AO86" s="9" t="n">
        <f aca="false">IF(Time!AO20&gt;=Time!$F$15,1,0)</f>
        <v>0</v>
      </c>
      <c r="AP86" s="9" t="n">
        <f aca="false">IF(Time!AP20&gt;=Time!$F$15,1,0)</f>
        <v>0</v>
      </c>
      <c r="AQ86" s="9" t="n">
        <f aca="false">IF(Time!AQ20&gt;=Time!$F$15,1,0)</f>
        <v>0</v>
      </c>
      <c r="AR86" s="9" t="n">
        <f aca="false">IF(Time!AR20&gt;=Time!$F$15,1,0)</f>
        <v>0</v>
      </c>
      <c r="AS86" s="9" t="n">
        <f aca="false">IF(Time!AS20&gt;=Time!$F$15,1,0)</f>
        <v>0</v>
      </c>
      <c r="AT86" s="9" t="n">
        <f aca="false">IF(Time!AT20&gt;=Time!$F$15,1,0)</f>
        <v>0</v>
      </c>
      <c r="AU86" s="9" t="n">
        <f aca="false">IF(Time!AU20&gt;=Time!$F$15,1,0)</f>
        <v>0</v>
      </c>
      <c r="AV86" s="9" t="n">
        <f aca="false">IF(Time!AV20&gt;=Time!$F$15,1,0)</f>
        <v>0</v>
      </c>
      <c r="AW86" s="9" t="n">
        <f aca="false">IF(Time!AW20&gt;=Time!$F$15,1,0)</f>
        <v>0</v>
      </c>
      <c r="AX86" s="9" t="n">
        <f aca="false">IF(Time!AX20&gt;=Time!$F$15,1,0)</f>
        <v>0</v>
      </c>
      <c r="AY86" s="9" t="n">
        <f aca="false">IF(Time!AY20&gt;=Time!$F$15,1,0)</f>
        <v>0</v>
      </c>
      <c r="AZ86" s="9" t="n">
        <f aca="false">IF(Time!AZ20&gt;=Time!$F$15,1,0)</f>
        <v>0</v>
      </c>
      <c r="BA86" s="9" t="n">
        <f aca="false">IF(Time!BA20&gt;=Time!$F$15,1,0)</f>
        <v>0</v>
      </c>
      <c r="BB86" s="9" t="n">
        <f aca="false">IF(Time!BB20&gt;=Time!$F$15,1,0)</f>
        <v>0</v>
      </c>
      <c r="BC86" s="9" t="n">
        <f aca="false">IF(Time!BC20&gt;=Time!$F$15,1,0)</f>
        <v>0</v>
      </c>
      <c r="BD86" s="9" t="n">
        <f aca="false">IF(Time!BD20&gt;=Time!$F$15,1,0)</f>
        <v>0</v>
      </c>
      <c r="BE86" s="9" t="n">
        <f aca="false">IF(Time!BE20&gt;=Time!$F$15,1,0)</f>
        <v>0</v>
      </c>
      <c r="BF86" s="9" t="n">
        <f aca="false">IF(Time!BF20&gt;=Time!$F$15,1,0)</f>
        <v>0</v>
      </c>
      <c r="BG86" s="9" t="n">
        <f aca="false">IF(Time!BG20&gt;=Time!$F$15,1,0)</f>
        <v>0</v>
      </c>
      <c r="BH86" s="9" t="n">
        <f aca="false">IF(Time!BH20&gt;=Time!$F$15,1,0)</f>
        <v>0</v>
      </c>
      <c r="BI86" s="9" t="n">
        <f aca="false">IF(Time!BI20&gt;=Time!$F$15,1,0)</f>
        <v>0</v>
      </c>
      <c r="BJ86" s="9" t="n">
        <f aca="false">IF(Time!BJ20&gt;=Time!$F$15,1,0)</f>
        <v>0</v>
      </c>
      <c r="BK86" s="9" t="n">
        <f aca="false">IF(Time!BK20&gt;=Time!$F$15,1,0)</f>
        <v>0</v>
      </c>
      <c r="BL86" s="9" t="n">
        <f aca="false">IF(Time!BL20&gt;=Time!$F$15,1,0)</f>
        <v>0</v>
      </c>
      <c r="BM86" s="9" t="n">
        <f aca="false">IF(Time!BM20&gt;=Time!$F$15,1,0)</f>
        <v>1</v>
      </c>
      <c r="BN86" s="9" t="n">
        <f aca="false">IF(Time!BN20&gt;=Time!$F$15,1,0)</f>
        <v>1</v>
      </c>
    </row>
    <row r="87" customFormat="false" ht="15" hidden="false" customHeight="false" outlineLevel="0" collapsed="false">
      <c r="D87" s="0" t="s">
        <v>1657</v>
      </c>
      <c r="E87" s="0" t="s">
        <v>113</v>
      </c>
      <c r="J87" s="9" t="n">
        <f aca="false">Inputs!$F$44*Time!J38</f>
        <v>0</v>
      </c>
      <c r="K87" s="9" t="n">
        <f aca="false">Inputs!$F$44*Time!K38</f>
        <v>0</v>
      </c>
      <c r="L87" s="9" t="n">
        <f aca="false">Inputs!$F$44*Time!L38</f>
        <v>0</v>
      </c>
      <c r="M87" s="9" t="n">
        <f aca="false">Inputs!$F$44*Time!M38</f>
        <v>0</v>
      </c>
      <c r="N87" s="9" t="n">
        <f aca="false">Inputs!$F$44*Time!N38</f>
        <v>0</v>
      </c>
      <c r="O87" s="9" t="n">
        <f aca="false">Inputs!$F$44*Time!O38</f>
        <v>0</v>
      </c>
      <c r="P87" s="9" t="n">
        <f aca="false">Inputs!$F$44*Time!P38</f>
        <v>0</v>
      </c>
      <c r="Q87" s="9" t="n">
        <f aca="false">Inputs!$F$44*Time!Q38</f>
        <v>0</v>
      </c>
      <c r="R87" s="9" t="n">
        <f aca="false">Inputs!$F$44*Time!R38</f>
        <v>0</v>
      </c>
      <c r="S87" s="9" t="n">
        <f aca="false">Inputs!$F$44*Time!S38</f>
        <v>0</v>
      </c>
      <c r="T87" s="9" t="n">
        <f aca="false">Inputs!$F$44*Time!T38</f>
        <v>0</v>
      </c>
      <c r="U87" s="9" t="n">
        <f aca="false">Inputs!$F$44*Time!U38</f>
        <v>0</v>
      </c>
      <c r="V87" s="9" t="n">
        <f aca="false">Inputs!$F$44*Time!V38</f>
        <v>0</v>
      </c>
      <c r="W87" s="9" t="n">
        <f aca="false">Inputs!$F$44*Time!W38</f>
        <v>0</v>
      </c>
      <c r="X87" s="9" t="n">
        <f aca="false">Inputs!$F$44*Time!X38</f>
        <v>0</v>
      </c>
      <c r="Y87" s="9" t="n">
        <f aca="false">Inputs!$F$44*Time!Y38</f>
        <v>0</v>
      </c>
      <c r="Z87" s="9" t="n">
        <f aca="false">Inputs!$F$44*Time!Z38</f>
        <v>0</v>
      </c>
      <c r="AA87" s="9" t="n">
        <f aca="false">Inputs!$F$44*Time!AA38</f>
        <v>0</v>
      </c>
      <c r="AB87" s="9" t="n">
        <f aca="false">Inputs!$F$44*Time!AB38</f>
        <v>0</v>
      </c>
      <c r="AC87" s="9" t="n">
        <f aca="false">Inputs!$F$44*Time!AC38</f>
        <v>0</v>
      </c>
      <c r="AD87" s="9" t="n">
        <f aca="false">Inputs!$F$44*Time!AD38</f>
        <v>0</v>
      </c>
      <c r="AE87" s="9" t="n">
        <f aca="false">Inputs!$F$44*Time!AE38</f>
        <v>0</v>
      </c>
      <c r="AF87" s="9" t="n">
        <f aca="false">Inputs!$F$44*Time!AF38</f>
        <v>0</v>
      </c>
      <c r="AG87" s="9" t="n">
        <f aca="false">Inputs!$F$44*Time!AG38</f>
        <v>0</v>
      </c>
      <c r="AH87" s="9" t="n">
        <f aca="false">Inputs!$F$44*Time!AH38</f>
        <v>0</v>
      </c>
      <c r="AI87" s="9" t="n">
        <f aca="false">Inputs!$F$44*Time!AI38</f>
        <v>0</v>
      </c>
      <c r="AJ87" s="9" t="n">
        <f aca="false">Inputs!$F$44*Time!AJ38</f>
        <v>0</v>
      </c>
      <c r="AK87" s="9" t="n">
        <f aca="false">Inputs!$F$44*Time!AK38</f>
        <v>0</v>
      </c>
      <c r="AL87" s="9" t="n">
        <f aca="false">Inputs!$F$44*Time!AL38</f>
        <v>0</v>
      </c>
      <c r="AM87" s="9" t="n">
        <f aca="false">Inputs!$F$44*Time!AM38</f>
        <v>0</v>
      </c>
      <c r="AN87" s="9" t="n">
        <f aca="false">Inputs!$F$44*Time!AN38</f>
        <v>0</v>
      </c>
      <c r="AO87" s="9" t="n">
        <f aca="false">Inputs!$F$44*Time!AO38</f>
        <v>0</v>
      </c>
      <c r="AP87" s="9" t="n">
        <f aca="false">Inputs!$F$44*Time!AP38</f>
        <v>0</v>
      </c>
      <c r="AQ87" s="9" t="n">
        <f aca="false">Inputs!$F$44*Time!AQ38</f>
        <v>0</v>
      </c>
      <c r="AR87" s="9" t="n">
        <f aca="false">Inputs!$F$44*Time!AR38</f>
        <v>0</v>
      </c>
      <c r="AS87" s="9" t="n">
        <f aca="false">Inputs!$F$44*Time!AS38</f>
        <v>0</v>
      </c>
      <c r="AT87" s="9" t="n">
        <f aca="false">Inputs!$F$44*Time!AT38</f>
        <v>0</v>
      </c>
      <c r="AU87" s="9" t="n">
        <f aca="false">Inputs!$F$44*Time!AU38</f>
        <v>0</v>
      </c>
      <c r="AV87" s="9" t="n">
        <f aca="false">Inputs!$F$44*Time!AV38</f>
        <v>0</v>
      </c>
      <c r="AW87" s="9" t="n">
        <f aca="false">Inputs!$F$44*Time!AW38</f>
        <v>0</v>
      </c>
      <c r="AX87" s="9" t="n">
        <f aca="false">Inputs!$F$44*Time!AX38</f>
        <v>0</v>
      </c>
      <c r="AY87" s="9" t="n">
        <f aca="false">Inputs!$F$44*Time!AY38</f>
        <v>0</v>
      </c>
      <c r="AZ87" s="9" t="n">
        <f aca="false">Inputs!$F$44*Time!AZ38</f>
        <v>0</v>
      </c>
      <c r="BA87" s="9" t="n">
        <f aca="false">Inputs!$F$44*Time!BA38</f>
        <v>0</v>
      </c>
      <c r="BB87" s="9" t="n">
        <f aca="false">Inputs!$F$44*Time!BB38</f>
        <v>0</v>
      </c>
      <c r="BC87" s="9" t="n">
        <f aca="false">Inputs!$F$44*Time!BC38</f>
        <v>0</v>
      </c>
      <c r="BD87" s="9" t="n">
        <f aca="false">Inputs!$F$44*Time!BD38</f>
        <v>0</v>
      </c>
      <c r="BE87" s="9" t="n">
        <f aca="false">Inputs!$F$44*Time!BE38</f>
        <v>0</v>
      </c>
      <c r="BF87" s="9" t="n">
        <f aca="false">Inputs!$F$44*Time!BF38</f>
        <v>0</v>
      </c>
      <c r="BG87" s="9" t="n">
        <f aca="false">Inputs!$F$44*Time!BG38</f>
        <v>0</v>
      </c>
      <c r="BH87" s="9" t="n">
        <f aca="false">Inputs!$F$44*Time!BH38</f>
        <v>0</v>
      </c>
      <c r="BI87" s="9" t="n">
        <f aca="false">Inputs!$F$44*Time!BI38</f>
        <v>0</v>
      </c>
      <c r="BJ87" s="9" t="n">
        <f aca="false">Inputs!$F$44*Time!BJ38</f>
        <v>0</v>
      </c>
      <c r="BK87" s="9" t="n">
        <f aca="false">Inputs!$F$44*Time!BK38</f>
        <v>0</v>
      </c>
      <c r="BL87" s="9" t="n">
        <f aca="false">Inputs!$F$44*Time!BL38</f>
        <v>0</v>
      </c>
      <c r="BM87" s="9" t="n">
        <f aca="false">Inputs!$F$44*Time!BM38</f>
        <v>0</v>
      </c>
      <c r="BN87" s="9" t="n">
        <f aca="false">Inputs!$F$44*Time!BN38</f>
        <v>0</v>
      </c>
    </row>
    <row r="88" customFormat="false" ht="15" hidden="false" customHeight="false" outlineLevel="0" collapsed="false">
      <c r="D88" s="0" t="s">
        <v>1658</v>
      </c>
      <c r="E88" s="0" t="s">
        <v>151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39.8998422901722</v>
      </c>
      <c r="P88" s="13" t="n">
        <f aca="false">(1-P86)*(P56/MAX(Time!P31,1)*Inputs!$F$168+P55/MAX(Time!P31,1)*P87)</f>
        <v>39.7710075250773</v>
      </c>
      <c r="Q88" s="13" t="n">
        <f aca="false">(1-Q86)*(Q56/MAX(Time!Q31,1)*Inputs!$F$168+Q55/MAX(Time!Q31,1)*Q87)</f>
        <v>40.7703114107742</v>
      </c>
      <c r="R88" s="13" t="n">
        <f aca="false">(1-R86)*(R56/MAX(Time!R31,1)*Inputs!$F$168+R55/MAX(Time!R31,1)*R87)</f>
        <v>39.9842857055218</v>
      </c>
      <c r="S88" s="13" t="n">
        <f aca="false">(1-S86)*(S56/MAX(Time!S31,1)*Inputs!$F$168+S55/MAX(Time!S31,1)*S87)</f>
        <v>41.2367118162762</v>
      </c>
      <c r="T88" s="13" t="n">
        <f aca="false">(1-T86)*(T56/MAX(Time!T31,1)*Inputs!$F$168+T55/MAX(Time!T31,1)*T87)</f>
        <v>40.9281067306461</v>
      </c>
      <c r="U88" s="13" t="n">
        <f aca="false">(1-U86)*(U56/MAX(Time!U31,1)*Inputs!$F$168+U55/MAX(Time!U31,1)*U87)</f>
        <v>41.4288754424805</v>
      </c>
      <c r="V88" s="13" t="n">
        <f aca="false">(1-V86)*(V56/MAX(Time!V31,1)*Inputs!$F$168+V55/MAX(Time!V31,1)*V87)</f>
        <v>40.2075038703794</v>
      </c>
      <c r="W88" s="13" t="n">
        <f aca="false">(1-W86)*(W56/MAX(Time!W31,1)*Inputs!$F$168+W55/MAX(Time!W31,1)*W87)</f>
        <v>41.7982841306774</v>
      </c>
      <c r="X88" s="13" t="n">
        <f aca="false">(1-X86)*(X56/MAX(Time!X31,1)*Inputs!$F$168+X55/MAX(Time!X31,1)*X87)</f>
        <v>42.1308357668947</v>
      </c>
      <c r="Y88" s="13" t="n">
        <f aca="false">(1-Y86)*(Y56/MAX(Time!Y31,1)*Inputs!$F$168+Y55/MAX(Time!Y31,1)*Y87)</f>
        <v>43.1995184565926</v>
      </c>
      <c r="Z88" s="13" t="n">
        <f aca="false">(1-Z86)*(Z56/MAX(Time!Z31,1)*Inputs!$F$168+Z55/MAX(Time!Z31,1)*Z87)</f>
        <v>42.3687923342472</v>
      </c>
      <c r="AA88" s="13" t="n">
        <f aca="false">(1-AA86)*(AA56/MAX(Time!AA31,1)*Inputs!$F$168+AA55/MAX(Time!AA31,1)*AA87)</f>
        <v>43.7059790437496</v>
      </c>
      <c r="AB88" s="13" t="n">
        <f aca="false">(1-AB86)*(AB56/MAX(Time!AB31,1)*Inputs!$F$168+AB55/MAX(Time!AB31,1)*AB87)</f>
        <v>43.3809968133692</v>
      </c>
      <c r="AC88" s="13" t="n">
        <f aca="false">(1-AC86)*(AC56/MAX(Time!AC31,1)*Inputs!$F$168+AC55/MAX(Time!AC31,1)*AC87)</f>
        <v>43.6432528667267</v>
      </c>
      <c r="AD88" s="13" t="n">
        <f aca="false">(1-AD86)*(AD56/MAX(Time!AD31,1)*Inputs!$F$168+AD55/MAX(Time!AD31,1)*AD87)</f>
        <v>41.8006802761898</v>
      </c>
      <c r="AE88" s="13" t="n">
        <f aca="false">(1-AE86)*(AE56/MAX(Time!AE31,1)*Inputs!$F$168+AE55/MAX(Time!AE31,1)*AE87)</f>
        <v>43.7570402107006</v>
      </c>
      <c r="AF88" s="13" t="n">
        <f aca="false">(1-AF86)*(AF56/MAX(Time!AF31,1)*Inputs!$F$168+AF55/MAX(Time!AF31,1)*AF87)</f>
        <v>44.6804632478686</v>
      </c>
      <c r="AG88" s="13" t="n">
        <f aca="false">(1-AG86)*(AG56/MAX(Time!AG31,1)*Inputs!$F$168+AG55/MAX(Time!AG31,1)*AG87)</f>
        <v>45.8241062826513</v>
      </c>
      <c r="AH88" s="13" t="n">
        <f aca="false">(1-AH86)*(AH56/MAX(Time!AH31,1)*Inputs!$F$168+AH55/MAX(Time!AH31,1)*AH87)</f>
        <v>44.9450565836044</v>
      </c>
      <c r="AI88" s="13" t="n">
        <f aca="false">(1-AI86)*(AI56/MAX(Time!AI31,1)*Inputs!$F$168+AI55/MAX(Time!AI31,1)*AI87)</f>
        <v>46.3738436133806</v>
      </c>
      <c r="AJ88" s="13" t="n">
        <f aca="false">(1-AJ86)*(AJ56/MAX(Time!AJ31,1)*Inputs!$F$168+AJ55/MAX(Time!AJ31,1)*AJ87)</f>
        <v>46.0311824571802</v>
      </c>
      <c r="AK88" s="13" t="n">
        <f aca="false">(1-AK86)*(AK56/MAX(Time!AK31,1)*Inputs!$F$168+AK55/MAX(Time!AK31,1)*AK87)</f>
        <v>46.6153663903817</v>
      </c>
      <c r="AL88" s="13" t="n">
        <f aca="false">(1-AL86)*(AL56/MAX(Time!AL31,1)*Inputs!$F$168+AL55/MAX(Time!AL31,1)*AL87)</f>
        <v>45.245450679439</v>
      </c>
      <c r="AM88" s="13" t="n">
        <f aca="false">(1-AM86)*(AM56/MAX(Time!AM31,1)*Inputs!$F$168+AM55/MAX(Time!AM31,1)*AM87)</f>
        <v>47.0563794440971</v>
      </c>
      <c r="AN88" s="13" t="n">
        <f aca="false">(1-AN86)*(AN56/MAX(Time!AN31,1)*Inputs!$F$168+AN55/MAX(Time!AN31,1)*AN87)</f>
        <v>47.4351787586038</v>
      </c>
      <c r="AO88" s="13" t="n">
        <f aca="false">(1-AO86)*(AO56/MAX(Time!AO31,1)*Inputs!$F$168+AO55/MAX(Time!AO31,1)*AO87)</f>
        <v>48.6598117878004</v>
      </c>
      <c r="AP88" s="13" t="n">
        <f aca="false">(1-AP86)*(AP56/MAX(Time!AP31,1)*Inputs!$F$168+AP55/MAX(Time!AP31,1)*AP87)</f>
        <v>47.7285230848898</v>
      </c>
      <c r="AQ88" s="13" t="n">
        <f aca="false">(1-AQ86)*(AQ56/MAX(Time!AQ31,1)*Inputs!$F$168+AQ55/MAX(Time!AQ31,1)*AQ87)</f>
        <v>49.2563008734514</v>
      </c>
      <c r="AR88" s="13" t="n">
        <f aca="false">(1-AR86)*(AR56/MAX(Time!AR31,1)*Inputs!$F$168+AR55/MAX(Time!AR31,1)*AR87)</f>
        <v>48.89455643662</v>
      </c>
      <c r="AS88" s="13" t="n">
        <f aca="false">(1-AS86)*(AS56/MAX(Time!AS31,1)*Inputs!$F$168+AS55/MAX(Time!AS31,1)*AS87)</f>
        <v>49.2112693591076</v>
      </c>
      <c r="AT88" s="13" t="n">
        <f aca="false">(1-AT86)*(AT56/MAX(Time!AT31,1)*Inputs!$F$168+AT55/MAX(Time!AT31,1)*AT87)</f>
        <v>47.1377834751966</v>
      </c>
      <c r="AU88" s="13" t="n">
        <f aca="false">(1-AU86)*(AU56/MAX(Time!AU31,1)*Inputs!$F$168+AU55/MAX(Time!AU31,1)*AU87)</f>
        <v>49.3650016029389</v>
      </c>
      <c r="AV88" s="13" t="n">
        <f aca="false">(1-AV86)*(AV56/MAX(Time!AV31,1)*Inputs!$F$168+AV55/MAX(Time!AV31,1)*AV87)</f>
        <v>50.4115028992306</v>
      </c>
      <c r="AW88" s="13" t="n">
        <f aca="false">(1-AW86)*(AW56/MAX(Time!AW31,1)*Inputs!$F$168+AW55/MAX(Time!AW31,1)*AW87)</f>
        <v>51.7236395467434</v>
      </c>
      <c r="AX88" s="13" t="n">
        <f aca="false">(1-AX86)*(AX56/MAX(Time!AX31,1)*Inputs!$F$168+AX55/MAX(Time!AX31,1)*AX87)</f>
        <v>50.7358806941368</v>
      </c>
      <c r="AY88" s="13" t="n">
        <f aca="false">(1-AY86)*(AY56/MAX(Time!AY31,1)*Inputs!$F$168+AY55/MAX(Time!AY31,1)*AY87)</f>
        <v>52.3706346042136</v>
      </c>
      <c r="AZ88" s="13" t="n">
        <f aca="false">(1-AZ86)*(AZ56/MAX(Time!AZ31,1)*Inputs!$F$168+AZ55/MAX(Time!AZ31,1)*AZ87)</f>
        <v>51.9882919586777</v>
      </c>
      <c r="BA88" s="13" t="n">
        <f aca="false">(1-BA86)*(BA56/MAX(Time!BA31,1)*Inputs!$F$168+BA55/MAX(Time!BA31,1)*BA87)</f>
        <v>52.6696397760149</v>
      </c>
      <c r="BB88" s="13" t="n">
        <f aca="false">(1-BB86)*(BB56/MAX(Time!BB31,1)*Inputs!$F$168+BB55/MAX(Time!BB31,1)*BB87)</f>
        <v>51.1260354424171</v>
      </c>
      <c r="BC88" s="13" t="n">
        <f aca="false">(1-BC86)*(BC56/MAX(Time!BC31,1)*Inputs!$F$168+BC55/MAX(Time!BC31,1)*BC87)</f>
        <v>53.1941678411978</v>
      </c>
      <c r="BD88" s="13" t="n">
        <f aca="false">(1-BD86)*(BD56/MAX(Time!BD31,1)*Inputs!$F$168+BD55/MAX(Time!BD31,1)*BD87)</f>
        <v>53.6272872414301</v>
      </c>
      <c r="BE88" s="13" t="n">
        <f aca="false">(1-BE86)*(BE56/MAX(Time!BE31,1)*Inputs!$F$168+BE55/MAX(Time!BE31,1)*BE87)</f>
        <v>55.0339638314985</v>
      </c>
      <c r="BF88" s="13" t="n">
        <f aca="false">(1-BF86)*(BF56/MAX(Time!BF31,1)*Inputs!$F$168+BF55/MAX(Time!BF31,1)*BF87)</f>
        <v>53.9851626429981</v>
      </c>
      <c r="BG88" s="13" t="n">
        <f aca="false">(1-BG86)*(BG56/MAX(Time!BG31,1)*Inputs!$F$168+BG55/MAX(Time!BG31,1)*BG87)</f>
        <v>55.7355207038488</v>
      </c>
      <c r="BH88" s="13" t="n">
        <f aca="false">(1-BH86)*(BH56/MAX(Time!BH31,1)*Inputs!$F$168+BH55/MAX(Time!BH31,1)*BH87)</f>
        <v>55.3309457325197</v>
      </c>
      <c r="BI88" s="13" t="n">
        <f aca="false">(1-BI86)*(BI56/MAX(Time!BI31,1)*Inputs!$F$168+BI55/MAX(Time!BI31,1)*BI87)</f>
        <v>55.7108895133611</v>
      </c>
      <c r="BJ88" s="13" t="n">
        <f aca="false">(1-BJ86)*(BJ56/MAX(Time!BJ31,1)*Inputs!$F$168+BJ55/MAX(Time!BJ31,1)*BJ87)</f>
        <v>53.3673262480332</v>
      </c>
      <c r="BK88" s="13" t="n">
        <f aca="false">(1-BK86)*(BK56/MAX(Time!BK31,1)*Inputs!$F$168+BK55/MAX(Time!BK31,1)*BK87)</f>
        <v>55.9110600910135</v>
      </c>
      <c r="BL88" s="13" t="n">
        <f aca="false">(1-BL86)*(BL56/MAX(Time!BL31,1)*Inputs!$F$168+BL55/MAX(Time!BL31,1)*BL87)</f>
        <v>57.1018214595071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1659</v>
      </c>
      <c r="E89" s="0" t="s">
        <v>151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1660</v>
      </c>
      <c r="E90" s="0" t="s">
        <v>151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18.981872567668</v>
      </c>
      <c r="P90" s="13" t="n">
        <f aca="false">(1-P86)*(P73+P54)/MAX(Time!P31,1)*Inputs!$F$169</f>
        <v>18.8768166347588</v>
      </c>
      <c r="Q90" s="13" t="n">
        <f aca="false">(1-Q86)*(Q73+Q54)/MAX(Time!Q31,1)*Inputs!$F$169</f>
        <v>19.5079337069258</v>
      </c>
      <c r="R90" s="13" t="n">
        <f aca="false">(1-R86)*(R73+R54)/MAX(Time!R31,1)*Inputs!$F$169</f>
        <v>19.0638251712049</v>
      </c>
      <c r="S90" s="13" t="n">
        <f aca="false">(1-S86)*(S73+S54)/MAX(Time!S31,1)*Inputs!$F$169</f>
        <v>19.8281951314922</v>
      </c>
      <c r="T90" s="13" t="n">
        <f aca="false">(1-T86)*(T73+T54)/MAX(Time!T31,1)*Inputs!$F$169</f>
        <v>19.6274545385672</v>
      </c>
      <c r="U90" s="13" t="n">
        <f aca="false">(1-U86)*(U73+U54)/MAX(Time!U31,1)*Inputs!$F$169</f>
        <v>20.006740355923</v>
      </c>
      <c r="V90" s="13" t="n">
        <f aca="false">(1-V86)*(V73+V54)/MAX(Time!V31,1)*Inputs!$F$169</f>
        <v>19.3310098672999</v>
      </c>
      <c r="W90" s="13" t="n">
        <f aca="false">(1-W86)*(W73+W54)/MAX(Time!W31,1)*Inputs!$F$169</f>
        <v>20.2772528540493</v>
      </c>
      <c r="X90" s="13" t="n">
        <f aca="false">(1-X86)*(X73+X54)/MAX(Time!X31,1)*Inputs!$F$169</f>
        <v>20.407639729712</v>
      </c>
      <c r="Y90" s="13" t="n">
        <f aca="false">(1-Y86)*(Y73+Y54)/MAX(Time!Y31,1)*Inputs!$F$169</f>
        <v>21.0897814752711</v>
      </c>
      <c r="Z90" s="13" t="n">
        <f aca="false">(1-Z86)*(Z73+Z54)/MAX(Time!Z31,1)*Inputs!$F$169</f>
        <v>20.6095087910003</v>
      </c>
      <c r="AA90" s="13" t="n">
        <f aca="false">(1-AA86)*(AA73+AA54)/MAX(Time!AA31,1)*Inputs!$F$169</f>
        <v>21.4356946861304</v>
      </c>
      <c r="AB90" s="13" t="n">
        <f aca="false">(1-AB86)*(AB73+AB54)/MAX(Time!AB31,1)*Inputs!$F$169</f>
        <v>21.2185225793306</v>
      </c>
      <c r="AC90" s="13" t="n">
        <f aca="false">(1-AC86)*(AC73+AC54)/MAX(Time!AC31,1)*Inputs!$F$169</f>
        <v>21.4806805948419</v>
      </c>
      <c r="AD90" s="13" t="n">
        <f aca="false">(1-AD86)*(AD73+AD54)/MAX(Time!AD31,1)*Inputs!$F$169</f>
        <v>20.459484476917</v>
      </c>
      <c r="AE90" s="13" t="n">
        <f aca="false">(1-AE86)*(AE73+AE54)/MAX(Time!AE31,1)*Inputs!$F$169</f>
        <v>21.6176065400499</v>
      </c>
      <c r="AF90" s="13" t="n">
        <f aca="false">(1-AF86)*(AF73+AF54)/MAX(Time!AF31,1)*Inputs!$F$169</f>
        <v>22.0612977023519</v>
      </c>
      <c r="AG90" s="13" t="n">
        <f aca="false">(1-AG86)*(AG73+AG54)/MAX(Time!AG31,1)*Inputs!$F$169</f>
        <v>22.7985449933366</v>
      </c>
      <c r="AH90" s="13" t="n">
        <f aca="false">(1-AH86)*(AH73+AH54)/MAX(Time!AH31,1)*Inputs!$F$169</f>
        <v>22.2791935116234</v>
      </c>
      <c r="AI90" s="13" t="n">
        <f aca="false">(1-AI86)*(AI73+AI54)/MAX(Time!AI31,1)*Inputs!$F$169</f>
        <v>23.1721408306072</v>
      </c>
      <c r="AJ90" s="13" t="n">
        <f aca="false">(1-AJ86)*(AJ73+AJ54)/MAX(Time!AJ31,1)*Inputs!$F$169</f>
        <v>22.9372056354004</v>
      </c>
      <c r="AK90" s="13" t="n">
        <f aca="false">(1-AK86)*(AK73+AK54)/MAX(Time!AK31,1)*Inputs!$F$169</f>
        <v>23.3801026597477</v>
      </c>
      <c r="AL90" s="13" t="n">
        <f aca="false">(1-AL86)*(AL73+AL54)/MAX(Time!AL31,1)*Inputs!$F$169</f>
        <v>22.5901007054678</v>
      </c>
      <c r="AM90" s="13" t="n">
        <f aca="false">(1-AM86)*(AM73+AM54)/MAX(Time!AM31,1)*Inputs!$F$169</f>
        <v>23.6955222384344</v>
      </c>
      <c r="AN90" s="13" t="n">
        <f aca="false">(1-AN86)*(AN73+AN54)/MAX(Time!AN31,1)*Inputs!$F$169</f>
        <v>23.8475345772792</v>
      </c>
      <c r="AO90" s="13" t="n">
        <f aca="false">(1-AO86)*(AO73+AO54)/MAX(Time!AO31,1)*Inputs!$F$169</f>
        <v>24.6442908322948</v>
      </c>
      <c r="AP90" s="13" t="n">
        <f aca="false">(1-AP86)*(AP73+AP54)/MAX(Time!AP31,1)*Inputs!$F$169</f>
        <v>24.0827135754168</v>
      </c>
      <c r="AQ90" s="13" t="n">
        <f aca="false">(1-AQ86)*(AQ73+AQ54)/MAX(Time!AQ31,1)*Inputs!$F$169</f>
        <v>25.0477588278799</v>
      </c>
      <c r="AR90" s="13" t="n">
        <f aca="false">(1-AR86)*(AR73+AR54)/MAX(Time!AR31,1)*Inputs!$F$169</f>
        <v>24.7936221943159</v>
      </c>
      <c r="AS90" s="13" t="n">
        <f aca="false">(1-AS86)*(AS73+AS54)/MAX(Time!AS31,1)*Inputs!$F$169</f>
        <v>25.0995768403631</v>
      </c>
      <c r="AT90" s="13" t="n">
        <f aca="false">(1-AT86)*(AT73+AT54)/MAX(Time!AT31,1)*Inputs!$F$169</f>
        <v>23.9059809845721</v>
      </c>
      <c r="AU90" s="13" t="n">
        <f aca="false">(1-AU86)*(AU73+AU54)/MAX(Time!AU31,1)*Inputs!$F$169</f>
        <v>25.258817147491</v>
      </c>
      <c r="AV90" s="13" t="n">
        <f aca="false">(1-AV86)*(AV73+AV54)/MAX(Time!AV31,1)*Inputs!$F$169</f>
        <v>25.77685749294</v>
      </c>
      <c r="AW90" s="13" t="n">
        <f aca="false">(1-AW86)*(AW73+AW54)/MAX(Time!AW31,1)*Inputs!$F$169</f>
        <v>26.6378738330019</v>
      </c>
      <c r="AX90" s="13" t="n">
        <f aca="false">(1-AX86)*(AX73+AX54)/MAX(Time!AX31,1)*Inputs!$F$169</f>
        <v>26.0306731992748</v>
      </c>
      <c r="AY90" s="13" t="n">
        <f aca="false">(1-AY86)*(AY73+AY54)/MAX(Time!AY31,1)*Inputs!$F$169</f>
        <v>27.0735744238363</v>
      </c>
      <c r="AZ90" s="13" t="n">
        <f aca="false">(1-AZ86)*(AZ73+AZ54)/MAX(Time!AZ31,1)*Inputs!$F$169</f>
        <v>26.7986827619432</v>
      </c>
      <c r="BA90" s="13" t="n">
        <f aca="false">(1-BA86)*(BA73+BA54)/MAX(Time!BA31,1)*Inputs!$F$169</f>
        <v>27.315732486819</v>
      </c>
      <c r="BB90" s="13" t="n">
        <f aca="false">(1-BB86)*(BB73+BB54)/MAX(Time!BB31,1)*Inputs!$F$169</f>
        <v>26.3923522039153</v>
      </c>
      <c r="BC90" s="13" t="n">
        <f aca="false">(1-BC86)*(BC73+BC54)/MAX(Time!BC31,1)*Inputs!$F$169</f>
        <v>27.6834177692573</v>
      </c>
      <c r="BD90" s="13" t="n">
        <f aca="false">(1-BD86)*(BD73+BD54)/MAX(Time!BD31,1)*Inputs!$F$169</f>
        <v>27.8605955869597</v>
      </c>
      <c r="BE90" s="13" t="n">
        <f aca="false">(1-BE86)*(BE73+BE54)/MAX(Time!BE31,1)*Inputs!$F$169</f>
        <v>28.7909979229361</v>
      </c>
      <c r="BF90" s="13" t="n">
        <f aca="false">(1-BF86)*(BF73+BF54)/MAX(Time!BF31,1)*Inputs!$F$169</f>
        <v>28.1345059707397</v>
      </c>
      <c r="BG90" s="13" t="n">
        <f aca="false">(1-BG86)*(BG73+BG54)/MAX(Time!BG31,1)*Inputs!$F$169</f>
        <v>29.2614755871037</v>
      </c>
      <c r="BH90" s="13" t="n">
        <f aca="false">(1-BH86)*(BH73+BH54)/MAX(Time!BH31,1)*Inputs!$F$169</f>
        <v>28.9641509397965</v>
      </c>
      <c r="BI90" s="13" t="n">
        <f aca="false">(1-BI86)*(BI73+BI54)/MAX(Time!BI31,1)*Inputs!$F$169</f>
        <v>29.3211292367844</v>
      </c>
      <c r="BJ90" s="13" t="n">
        <f aca="false">(1-BJ86)*(BJ73+BJ54)/MAX(Time!BJ31,1)*Inputs!$F$169</f>
        <v>27.9263597410302</v>
      </c>
      <c r="BK90" s="13" t="n">
        <f aca="false">(1-BK86)*(BK73+BK54)/MAX(Time!BK31,1)*Inputs!$F$169</f>
        <v>29.5062644096175</v>
      </c>
      <c r="BL90" s="13" t="n">
        <f aca="false">(1-BL86)*(BL73+BL54)/MAX(Time!BL31,1)*Inputs!$F$169</f>
        <v>30.1109633453336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1661</v>
      </c>
      <c r="E91" s="0" t="s">
        <v>151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2.28118592712896</v>
      </c>
      <c r="P91" s="13" t="n">
        <f aca="false">(1-P86)*(P52+P53)/MAX(Time!P31,1)*Inputs!$F$170</f>
        <v>2.27894832471936</v>
      </c>
      <c r="Q91" s="13" t="n">
        <f aca="false">(1-Q86)*(Q52+Q53)/MAX(Time!Q31,1)*Inputs!$F$170</f>
        <v>2.31850712884883</v>
      </c>
      <c r="R91" s="13" t="n">
        <f aca="false">(1-R86)*(R52+R53)/MAX(Time!R31,1)*Inputs!$F$170</f>
        <v>2.30909436142154</v>
      </c>
      <c r="S91" s="13" t="n">
        <f aca="false">(1-S86)*(S52+S53)/MAX(Time!S31,1)*Inputs!$F$170</f>
        <v>2.35181054339118</v>
      </c>
      <c r="T91" s="13" t="n">
        <f aca="false">(1-T86)*(T52+T53)/MAX(Time!T31,1)*Inputs!$F$170</f>
        <v>2.34757675370215</v>
      </c>
      <c r="U91" s="13" t="n">
        <f aca="false">(1-U86)*(U52+U53)/MAX(Time!U31,1)*Inputs!$F$170</f>
        <v>2.38251204254421</v>
      </c>
      <c r="V91" s="13" t="n">
        <f aca="false">(1-V86)*(V52+V53)/MAX(Time!V31,1)*Inputs!$F$170</f>
        <v>2.36833017374323</v>
      </c>
      <c r="W91" s="13" t="n">
        <f aca="false">(1-W86)*(W52+W53)/MAX(Time!W31,1)*Inputs!$F$170</f>
        <v>2.41554261524233</v>
      </c>
      <c r="X91" s="13" t="n">
        <f aca="false">(1-X86)*(X52+X53)/MAX(Time!X31,1)*Inputs!$F$170</f>
        <v>2.41826569083887</v>
      </c>
      <c r="Y91" s="13" t="n">
        <f aca="false">(1-Y86)*(Y52+Y53)/MAX(Time!Y31,1)*Inputs!$F$170</f>
        <v>2.46023377160429</v>
      </c>
      <c r="Z91" s="13" t="n">
        <f aca="false">(1-Z86)*(Z52+Z53)/MAX(Time!Z31,1)*Inputs!$F$170</f>
        <v>2.45025264472314</v>
      </c>
      <c r="AA91" s="13" t="n">
        <f aca="false">(1-AA86)*(AA52+AA53)/MAX(Time!AA31,1)*Inputs!$F$170</f>
        <v>2.49556800437387</v>
      </c>
      <c r="AB91" s="13" t="n">
        <f aca="false">(1-AB86)*(AB52+AB53)/MAX(Time!AB31,1)*Inputs!$F$170</f>
        <v>2.49107681254913</v>
      </c>
      <c r="AC91" s="13" t="n">
        <f aca="false">(1-AC86)*(AC52+AC53)/MAX(Time!AC31,1)*Inputs!$F$170</f>
        <v>2.52510480144442</v>
      </c>
      <c r="AD91" s="13" t="n">
        <f aca="false">(1-AD86)*(AD52+AD53)/MAX(Time!AD31,1)*Inputs!$F$170</f>
        <v>2.50408964700721</v>
      </c>
      <c r="AE91" s="13" t="n">
        <f aca="false">(1-AE86)*(AE52+AE53)/MAX(Time!AE31,1)*Inputs!$F$170</f>
        <v>2.55698769110241</v>
      </c>
      <c r="AF91" s="13" t="n">
        <f aca="false">(1-AF86)*(AF52+AF53)/MAX(Time!AF31,1)*Inputs!$F$170</f>
        <v>2.56607363559912</v>
      </c>
      <c r="AG91" s="13" t="n">
        <f aca="false">(1-AG86)*(AG52+AG53)/MAX(Time!AG31,1)*Inputs!$F$170</f>
        <v>2.61059697423427</v>
      </c>
      <c r="AH91" s="13" t="n">
        <f aca="false">(1-AH86)*(AH52+AH53)/MAX(Time!AH31,1)*Inputs!$F$170</f>
        <v>2.60001378536387</v>
      </c>
      <c r="AI91" s="13" t="n">
        <f aca="false">(1-AI86)*(AI52+AI53)/MAX(Time!AI31,1)*Inputs!$F$170</f>
        <v>2.64808554300761</v>
      </c>
      <c r="AJ91" s="13" t="n">
        <f aca="false">(1-AJ86)*(AJ52+AJ53)/MAX(Time!AJ31,1)*Inputs!$F$170</f>
        <v>2.64332157183642</v>
      </c>
      <c r="AK91" s="13" t="n">
        <f aca="false">(1-AK86)*(AK52+AK53)/MAX(Time!AK31,1)*Inputs!$F$170</f>
        <v>2.68265162638937</v>
      </c>
      <c r="AL91" s="13" t="n">
        <f aca="false">(1-AL86)*(AL52+AL53)/MAX(Time!AL31,1)*Inputs!$F$170</f>
        <v>2.66671064413447</v>
      </c>
      <c r="AM91" s="13" t="n">
        <f aca="false">(1-AM86)*(AM52+AM53)/MAX(Time!AM31,1)*Inputs!$F$170</f>
        <v>2.71983565356964</v>
      </c>
      <c r="AN91" s="13" t="n">
        <f aca="false">(1-AN86)*(AN52+AN53)/MAX(Time!AN31,1)*Inputs!$F$170</f>
        <v>2.72288798454703</v>
      </c>
      <c r="AO91" s="13" t="n">
        <f aca="false">(1-AO86)*(AO52+AO53)/MAX(Time!AO31,1)*Inputs!$F$170</f>
        <v>2.77012136037635</v>
      </c>
      <c r="AP91" s="13" t="n">
        <f aca="false">(1-AP86)*(AP52+AP53)/MAX(Time!AP31,1)*Inputs!$F$170</f>
        <v>2.75890044815969</v>
      </c>
      <c r="AQ91" s="13" t="n">
        <f aca="false">(1-AQ86)*(AQ52+AQ53)/MAX(Time!AQ31,1)*Inputs!$F$170</f>
        <v>2.80989527555435</v>
      </c>
      <c r="AR91" s="13" t="n">
        <f aca="false">(1-AR86)*(AR52+AR53)/MAX(Time!AR31,1)*Inputs!$F$170</f>
        <v>2.80484224648267</v>
      </c>
      <c r="AS91" s="13" t="n">
        <f aca="false">(1-AS86)*(AS52+AS53)/MAX(Time!AS31,1)*Inputs!$F$170</f>
        <v>2.84315723247726</v>
      </c>
      <c r="AT91" s="13" t="n">
        <f aca="false">(1-AT86)*(AT52+AT53)/MAX(Time!AT31,1)*Inputs!$F$170</f>
        <v>2.81954115869986</v>
      </c>
      <c r="AU91" s="13" t="n">
        <f aca="false">(1-AU86)*(AU52+AU53)/MAX(Time!AU31,1)*Inputs!$F$170</f>
        <v>2.87905627689389</v>
      </c>
      <c r="AV91" s="13" t="n">
        <f aca="false">(1-AV86)*(AV52+AV53)/MAX(Time!AV31,1)*Inputs!$F$170</f>
        <v>2.88925579960767</v>
      </c>
      <c r="AW91" s="13" t="n">
        <f aca="false">(1-AW86)*(AW52+AW53)/MAX(Time!AW31,1)*Inputs!$F$170</f>
        <v>2.93936331731789</v>
      </c>
      <c r="AX91" s="13" t="n">
        <f aca="false">(1-AX86)*(AX52+AX53)/MAX(Time!AX31,1)*Inputs!$F$170</f>
        <v>2.9274669503677</v>
      </c>
      <c r="AY91" s="13" t="n">
        <f aca="false">(1-AY86)*(AY52+AY53)/MAX(Time!AY31,1)*Inputs!$F$170</f>
        <v>2.98156153518292</v>
      </c>
      <c r="AZ91" s="13" t="n">
        <f aca="false">(1-AZ86)*(AZ52+AZ53)/MAX(Time!AZ31,1)*Inputs!$F$170</f>
        <v>2.97620221661621</v>
      </c>
      <c r="BA91" s="13" t="n">
        <f aca="false">(1-BA86)*(BA52+BA53)/MAX(Time!BA31,1)*Inputs!$F$170</f>
        <v>3.02047811534827</v>
      </c>
      <c r="BB91" s="13" t="n">
        <f aca="false">(1-BB86)*(BB52+BB53)/MAX(Time!BB31,1)*Inputs!$F$170</f>
        <v>3.00256403683272</v>
      </c>
      <c r="BC91" s="13" t="n">
        <f aca="false">(1-BC86)*(BC52+BC53)/MAX(Time!BC31,1)*Inputs!$F$170</f>
        <v>3.0623367682061</v>
      </c>
      <c r="BD91" s="13" t="n">
        <f aca="false">(1-BD86)*(BD52+BD53)/MAX(Time!BD31,1)*Inputs!$F$170</f>
        <v>3.0657572642721</v>
      </c>
      <c r="BE91" s="13" t="n">
        <f aca="false">(1-BE86)*(BE52+BE53)/MAX(Time!BE31,1)*Inputs!$F$170</f>
        <v>3.11891291259338</v>
      </c>
      <c r="BF91" s="13" t="n">
        <f aca="false">(1-BF86)*(BF52+BF53)/MAX(Time!BF31,1)*Inputs!$F$170</f>
        <v>3.10630117215125</v>
      </c>
      <c r="BG91" s="13" t="n">
        <f aca="false">(1-BG86)*(BG52+BG53)/MAX(Time!BG31,1)*Inputs!$F$170</f>
        <v>3.16368281590701</v>
      </c>
      <c r="BH91" s="13" t="n">
        <f aca="false">(1-BH86)*(BH52+BH53)/MAX(Time!BH31,1)*Inputs!$F$170</f>
        <v>3.15799896862506</v>
      </c>
      <c r="BI91" s="13" t="n">
        <f aca="false">(1-BI86)*(BI52+BI53)/MAX(Time!BI31,1)*Inputs!$F$170</f>
        <v>3.20114006649192</v>
      </c>
      <c r="BJ91" s="13" t="n">
        <f aca="false">(1-BJ86)*(BJ52+BJ53)/MAX(Time!BJ31,1)*Inputs!$F$170</f>
        <v>3.17460746713951</v>
      </c>
      <c r="BK91" s="13" t="n">
        <f aca="false">(1-BK86)*(BK52+BK53)/MAX(Time!BK31,1)*Inputs!$F$170</f>
        <v>3.24156092595279</v>
      </c>
      <c r="BL91" s="13" t="n">
        <f aca="false">(1-BL86)*(BL52+BL53)/MAX(Time!BL31,1)*Inputs!$F$170</f>
        <v>3.25300768215875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1662</v>
      </c>
      <c r="E92" s="0" t="s">
        <v>151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1.30598397455939</v>
      </c>
      <c r="P92" s="13" t="n">
        <f aca="false">(1-P86)*(P60+P61+P62+P64)/MAX(Time!P31,1)*Inputs!$F$171</f>
        <v>1.31309625424444</v>
      </c>
      <c r="Q92" s="13" t="n">
        <f aca="false">(1-Q86)*(Q60+Q61+Q62+Q64)/MAX(Time!Q31,1)*Inputs!$F$171</f>
        <v>1.34406869513925</v>
      </c>
      <c r="R92" s="13" t="n">
        <f aca="false">(1-R86)*(R60+R61+R62+R64)/MAX(Time!R31,1)*Inputs!$F$171</f>
        <v>1.32588858365114</v>
      </c>
      <c r="S92" s="13" t="n">
        <f aca="false">(1-S86)*(S60+S61+S62+S64)/MAX(Time!S31,1)*Inputs!$F$171</f>
        <v>1.36812434700764</v>
      </c>
      <c r="T92" s="13" t="n">
        <f aca="false">(1-T86)*(T60+T61+T62+T64)/MAX(Time!T31,1)*Inputs!$F$171</f>
        <v>1.37150802801825</v>
      </c>
      <c r="U92" s="13" t="n">
        <f aca="false">(1-U86)*(U60+U61+U62+U64)/MAX(Time!U31,1)*Inputs!$F$171</f>
        <v>1.38182289084627</v>
      </c>
      <c r="V92" s="13" t="n">
        <f aca="false">(1-V86)*(V60+V61+V62+V64)/MAX(Time!V31,1)*Inputs!$F$171</f>
        <v>1.34190593982263</v>
      </c>
      <c r="W92" s="13" t="n">
        <f aca="false">(1-W86)*(W60+W61+W62+W64)/MAX(Time!W31,1)*Inputs!$F$171</f>
        <v>1.39954839650696</v>
      </c>
      <c r="X92" s="13" t="n">
        <f aca="false">(1-X86)*(X60+X61+X62+X64)/MAX(Time!X31,1)*Inputs!$F$171</f>
        <v>1.43251819113662</v>
      </c>
      <c r="Y92" s="13" t="n">
        <f aca="false">(1-Y86)*(Y60+Y61+Y62+Y64)/MAX(Time!Y31,1)*Inputs!$F$171</f>
        <v>1.46630747723221</v>
      </c>
      <c r="Z92" s="13" t="n">
        <f aca="false">(1-Z86)*(Z60+Z61+Z62+Z64)/MAX(Time!Z31,1)*Inputs!$F$171</f>
        <v>1.44647394230327</v>
      </c>
      <c r="AA92" s="13" t="n">
        <f aca="false">(1-AA86)*(AA60+AA61+AA62+AA64)/MAX(Time!AA31,1)*Inputs!$F$171</f>
        <v>1.49255091429155</v>
      </c>
      <c r="AB92" s="13" t="n">
        <f aca="false">(1-AB86)*(AB60+AB61+AB62+AB64)/MAX(Time!AB31,1)*Inputs!$F$171</f>
        <v>1.49624233035114</v>
      </c>
      <c r="AC92" s="13" t="n">
        <f aca="false">(1-AC86)*(AC60+AC61+AC62+AC64)/MAX(Time!AC31,1)*Inputs!$F$171</f>
        <v>1.49458820398781</v>
      </c>
      <c r="AD92" s="13" t="n">
        <f aca="false">(1-AD86)*(AD60+AD61+AD62+AD64)/MAX(Time!AD31,1)*Inputs!$F$171</f>
        <v>1.43134220846593</v>
      </c>
      <c r="AE92" s="13" t="n">
        <f aca="false">(1-AE86)*(AE60+AE61+AE62+AE64)/MAX(Time!AE31,1)*Inputs!$F$171</f>
        <v>1.50030502535064</v>
      </c>
      <c r="AF92" s="13" t="n">
        <f aca="false">(1-AF86)*(AF60+AF61+AF62+AF64)/MAX(Time!AF31,1)*Inputs!$F$171</f>
        <v>1.56280117417448</v>
      </c>
      <c r="AG92" s="13" t="n">
        <f aca="false">(1-AG86)*(AG60+AG61+AG62+AG64)/MAX(Time!AG31,1)*Inputs!$F$171</f>
        <v>1.59966348860192</v>
      </c>
      <c r="AH92" s="13" t="n">
        <f aca="false">(1-AH86)*(AH60+AH61+AH62+AH64)/MAX(Time!AH31,1)*Inputs!$F$171</f>
        <v>1.57802615661776</v>
      </c>
      <c r="AI92" s="13" t="n">
        <f aca="false">(1-AI86)*(AI60+AI61+AI62+AI64)/MAX(Time!AI31,1)*Inputs!$F$171</f>
        <v>1.62829368297186</v>
      </c>
      <c r="AJ92" s="13" t="n">
        <f aca="false">(1-AJ86)*(AJ60+AJ61+AJ62+AJ64)/MAX(Time!AJ31,1)*Inputs!$F$171</f>
        <v>1.63232082160645</v>
      </c>
      <c r="AK92" s="13" t="n">
        <f aca="false">(1-AK86)*(AK60+AK61+AK62+AK64)/MAX(Time!AK31,1)*Inputs!$F$171</f>
        <v>1.64459721009432</v>
      </c>
      <c r="AL92" s="13" t="n">
        <f aca="false">(1-AL86)*(AL60+AL61+AL62+AL64)/MAX(Time!AL31,1)*Inputs!$F$171</f>
        <v>1.5970894529687</v>
      </c>
      <c r="AM92" s="13" t="n">
        <f aca="false">(1-AM86)*(AM60+AM61+AM62+AM64)/MAX(Time!AM31,1)*Inputs!$F$171</f>
        <v>1.66569348614403</v>
      </c>
      <c r="AN92" s="13" t="n">
        <f aca="false">(1-AN86)*(AN60+AN61+AN62+AN64)/MAX(Time!AN31,1)*Inputs!$F$171</f>
        <v>1.7049329810348</v>
      </c>
      <c r="AO92" s="13" t="n">
        <f aca="false">(1-AO86)*(AO60+AO61+AO62+AO64)/MAX(Time!AO31,1)*Inputs!$F$171</f>
        <v>1.74514780596787</v>
      </c>
      <c r="AP92" s="13" t="n">
        <f aca="false">(1-AP86)*(AP60+AP61+AP62+AP64)/MAX(Time!AP31,1)*Inputs!$F$171</f>
        <v>1.72154262731109</v>
      </c>
      <c r="AQ92" s="13" t="n">
        <f aca="false">(1-AQ86)*(AQ60+AQ61+AQ62+AQ64)/MAX(Time!AQ31,1)*Inputs!$F$171</f>
        <v>1.77638182565084</v>
      </c>
      <c r="AR92" s="13" t="n">
        <f aca="false">(1-AR86)*(AR60+AR61+AR62+AR64)/MAX(Time!AR31,1)*Inputs!$F$171</f>
        <v>1.78077521976315</v>
      </c>
      <c r="AS92" s="13" t="n">
        <f aca="false">(1-AS86)*(AS60+AS61+AS62+AS64)/MAX(Time!AS31,1)*Inputs!$F$171</f>
        <v>1.77880653649679</v>
      </c>
      <c r="AT92" s="13" t="n">
        <f aca="false">(1-AT86)*(AT60+AT61+AT62+AT64)/MAX(Time!AT31,1)*Inputs!$F$171</f>
        <v>1.70353336764574</v>
      </c>
      <c r="AU92" s="13" t="n">
        <f aca="false">(1-AU86)*(AU60+AU61+AU62+AU64)/MAX(Time!AU31,1)*Inputs!$F$171</f>
        <v>1.7856104970667</v>
      </c>
      <c r="AV92" s="13" t="n">
        <f aca="false">(1-AV86)*(AV60+AV61+AV62+AV64)/MAX(Time!AV31,1)*Inputs!$F$171</f>
        <v>1.85999122463909</v>
      </c>
      <c r="AW92" s="13" t="n">
        <f aca="false">(1-AW86)*(AW60+AW61+AW62+AW64)/MAX(Time!AW31,1)*Inputs!$F$171</f>
        <v>1.90386346026826</v>
      </c>
      <c r="AX92" s="13" t="n">
        <f aca="false">(1-AX86)*(AX60+AX61+AX62+AX64)/MAX(Time!AX31,1)*Inputs!$F$171</f>
        <v>1.87811146552945</v>
      </c>
      <c r="AY92" s="13" t="n">
        <f aca="false">(1-AY86)*(AY60+AY61+AY62+AY64)/MAX(Time!AY31,1)*Inputs!$F$171</f>
        <v>1.93793811491262</v>
      </c>
      <c r="AZ92" s="13" t="n">
        <f aca="false">(1-AZ86)*(AZ60+AZ61+AZ62+AZ64)/MAX(Time!AZ31,1)*Inputs!$F$171</f>
        <v>1.94273107427594</v>
      </c>
      <c r="BA92" s="13" t="n">
        <f aca="false">(1-BA86)*(BA60+BA61+BA62+BA64)/MAX(Time!BA31,1)*Inputs!$F$171</f>
        <v>1.95734200190705</v>
      </c>
      <c r="BB92" s="13" t="n">
        <f aca="false">(1-BB86)*(BB60+BB61+BB62+BB64)/MAX(Time!BB31,1)*Inputs!$F$171</f>
        <v>1.90079993320621</v>
      </c>
      <c r="BC92" s="13" t="n">
        <f aca="false">(1-BC86)*(BC60+BC61+BC62+BC64)/MAX(Time!BC31,1)*Inputs!$F$171</f>
        <v>1.98245005082168</v>
      </c>
      <c r="BD92" s="13" t="n">
        <f aca="false">(1-BD86)*(BD60+BD61+BD62+BD64)/MAX(Time!BD31,1)*Inputs!$F$171</f>
        <v>2.02915152338403</v>
      </c>
      <c r="BE92" s="13" t="n">
        <f aca="false">(1-BE86)*(BE60+BE61+BE62+BE64)/MAX(Time!BE31,1)*Inputs!$F$171</f>
        <v>2.07701379960443</v>
      </c>
      <c r="BF92" s="13" t="n">
        <f aca="false">(1-BF86)*(BF60+BF61+BF62+BF64)/MAX(Time!BF31,1)*Inputs!$F$171</f>
        <v>2.04891974267436</v>
      </c>
      <c r="BG92" s="13" t="n">
        <f aca="false">(1-BG86)*(BG60+BG61+BG62+BG64)/MAX(Time!BG31,1)*Inputs!$F$171</f>
        <v>2.11418743594446</v>
      </c>
      <c r="BH92" s="13" t="n">
        <f aca="false">(1-BH86)*(BH60+BH61+BH62+BH64)/MAX(Time!BH31,1)*Inputs!$F$171</f>
        <v>2.11941629975024</v>
      </c>
      <c r="BI92" s="13" t="n">
        <f aca="false">(1-BI86)*(BI60+BI61+BI62+BI64)/MAX(Time!BI31,1)*Inputs!$F$171</f>
        <v>2.1170732418744</v>
      </c>
      <c r="BJ92" s="13" t="n">
        <f aca="false">(1-BJ86)*(BJ60+BJ61+BJ62+BJ64)/MAX(Time!BJ31,1)*Inputs!$F$171</f>
        <v>2.02748575254602</v>
      </c>
      <c r="BK92" s="13" t="n">
        <f aca="false">(1-BK86)*(BK60+BK61+BK62+BK64)/MAX(Time!BK31,1)*Inputs!$F$171</f>
        <v>2.12517107745448</v>
      </c>
      <c r="BL92" s="13" t="n">
        <f aca="false">(1-BL86)*(BL60+BL61+BL62+BL64)/MAX(Time!BL31,1)*Inputs!$F$171</f>
        <v>2.21369641442833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1663</v>
      </c>
      <c r="E93" s="0" t="s">
        <v>151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1.17199388141232</v>
      </c>
      <c r="P93" s="13" t="n">
        <f aca="false">(1-P86)*(P65+P66+P67+P68+P69+P70+P71)/MAX(Time!P31,1)*Inputs!$F$172</f>
        <v>1.17728049842392</v>
      </c>
      <c r="Q93" s="13" t="n">
        <f aca="false">(1-Q86)*(Q65+Q66+Q67+Q68+Q69+Q70+Q71)/MAX(Time!Q31,1)*Inputs!$F$172</f>
        <v>1.2073370184914</v>
      </c>
      <c r="R93" s="13" t="n">
        <f aca="false">(1-R86)*(R65+R66+R67+R68+R69+R70+R71)/MAX(Time!R31,1)*Inputs!$F$172</f>
        <v>1.1967910972927</v>
      </c>
      <c r="S93" s="13" t="n">
        <f aca="false">(1-S86)*(S65+S66+S67+S68+S69+S70+S71)/MAX(Time!S31,1)*Inputs!$F$172</f>
        <v>1.23009949574468</v>
      </c>
      <c r="T93" s="13" t="n">
        <f aca="false">(1-T86)*(T65+T66+T67+T68+T69+T70+T71)/MAX(Time!T31,1)*Inputs!$F$172</f>
        <v>1.22480640655921</v>
      </c>
      <c r="U93" s="13" t="n">
        <f aca="false">(1-U86)*(U65+U66+U67+U68+U69+U70+U71)/MAX(Time!U31,1)*Inputs!$F$172</f>
        <v>1.24567319634145</v>
      </c>
      <c r="V93" s="13" t="n">
        <f aca="false">(1-V86)*(V65+V66+V67+V68+V69+V70+V71)/MAX(Time!V31,1)*Inputs!$F$172</f>
        <v>1.23458053889878</v>
      </c>
      <c r="W93" s="13" t="n">
        <f aca="false">(1-W86)*(W65+W66+W67+W68+W69+W70+W71)/MAX(Time!W31,1)*Inputs!$F$172</f>
        <v>1.27262023182517</v>
      </c>
      <c r="X93" s="13" t="n">
        <f aca="false">(1-X86)*(X65+X66+X67+X68+X69+X70+X71)/MAX(Time!X31,1)*Inputs!$F$172</f>
        <v>1.27439731919637</v>
      </c>
      <c r="Y93" s="13" t="n">
        <f aca="false">(1-Y86)*(Y65+Y66+Y67+Y68+Y69+Y70+Y71)/MAX(Time!Y31,1)*Inputs!$F$172</f>
        <v>1.30701554558418</v>
      </c>
      <c r="Z93" s="13" t="n">
        <f aca="false">(1-Z86)*(Z65+Z66+Z67+Z68+Z69+Z70+Z71)/MAX(Time!Z31,1)*Inputs!$F$172</f>
        <v>1.29568728383568</v>
      </c>
      <c r="AA93" s="13" t="n">
        <f aca="false">(1-AA86)*(AA65+AA66+AA67+AA68+AA69+AA70+AA71)/MAX(Time!AA31,1)*Inputs!$F$172</f>
        <v>1.33181515302084</v>
      </c>
      <c r="AB93" s="13" t="n">
        <f aca="false">(1-AB86)*(AB65+AB66+AB67+AB68+AB69+AB70+AB71)/MAX(Time!AB31,1)*Inputs!$F$172</f>
        <v>1.32614291014108</v>
      </c>
      <c r="AC93" s="13" t="n">
        <f aca="false">(1-AC86)*(AC65+AC66+AC67+AC68+AC69+AC70+AC71)/MAX(Time!AC31,1)*Inputs!$F$172</f>
        <v>1.34568640118124</v>
      </c>
      <c r="AD93" s="13" t="n">
        <f aca="false">(1-AD86)*(AD65+AD66+AD67+AD68+AD69+AD70+AD71)/MAX(Time!AD31,1)*Inputs!$F$172</f>
        <v>1.32751502136961</v>
      </c>
      <c r="AE93" s="13" t="n">
        <f aca="false">(1-AE86)*(AE65+AE66+AE67+AE68+AE69+AE70+AE71)/MAX(Time!AE31,1)*Inputs!$F$172</f>
        <v>1.37173719269748</v>
      </c>
      <c r="AF93" s="13" t="n">
        <f aca="false">(1-AF86)*(AF65+AF66+AF67+AF68+AF69+AF70+AF71)/MAX(Time!AF31,1)*Inputs!$F$172</f>
        <v>1.38013674501301</v>
      </c>
      <c r="AG93" s="13" t="n">
        <f aca="false">(1-AG86)*(AG65+AG66+AG67+AG68+AG69+AG70+AG71)/MAX(Time!AG31,1)*Inputs!$F$172</f>
        <v>1.41554453422826</v>
      </c>
      <c r="AH93" s="13" t="n">
        <f aca="false">(1-AH86)*(AH65+AH66+AH67+AH68+AH69+AH70+AH71)/MAX(Time!AH31,1)*Inputs!$F$172</f>
        <v>1.40336534403404</v>
      </c>
      <c r="AI93" s="13" t="n">
        <f aca="false">(1-AI86)*(AI65+AI66+AI67+AI68+AI69+AI70+AI71)/MAX(Time!AI31,1)*Inputs!$F$172</f>
        <v>1.44256251768621</v>
      </c>
      <c r="AJ93" s="13" t="n">
        <f aca="false">(1-AJ86)*(AJ65+AJ66+AJ67+AJ68+AJ69+AJ70+AJ71)/MAX(Time!AJ31,1)*Inputs!$F$172</f>
        <v>1.43647645004388</v>
      </c>
      <c r="AK93" s="13" t="n">
        <f aca="false">(1-AK86)*(AK65+AK66+AK67+AK68+AK69+AK70+AK71)/MAX(Time!AK31,1)*Inputs!$F$172</f>
        <v>1.46116373412426</v>
      </c>
      <c r="AL93" s="13" t="n">
        <f aca="false">(1-AL86)*(AL65+AL66+AL67+AL68+AL69+AL70+AL71)/MAX(Time!AL31,1)*Inputs!$F$172</f>
        <v>1.44842284501102</v>
      </c>
      <c r="AM93" s="13" t="n">
        <f aca="false">(1-AM86)*(AM65+AM66+AM67+AM68+AM69+AM70+AM71)/MAX(Time!AM31,1)*Inputs!$F$172</f>
        <v>1.49314555208073</v>
      </c>
      <c r="AN93" s="13" t="n">
        <f aca="false">(1-AN86)*(AN65+AN66+AN67+AN68+AN69+AN70+AN71)/MAX(Time!AN31,1)*Inputs!$F$172</f>
        <v>1.49526388819189</v>
      </c>
      <c r="AO93" s="13" t="n">
        <f aca="false">(1-AO86)*(AO65+AO66+AO67+AO68+AO69+AO70+AO71)/MAX(Time!AO31,1)*Inputs!$F$172</f>
        <v>1.53370935368797</v>
      </c>
      <c r="AP93" s="13" t="n">
        <f aca="false">(1-AP86)*(AP65+AP66+AP67+AP68+AP69+AP70+AP71)/MAX(Time!AP31,1)*Inputs!$F$172</f>
        <v>1.52060464244232</v>
      </c>
      <c r="AQ93" s="13" t="n">
        <f aca="false">(1-AQ86)*(AQ65+AQ66+AQ67+AQ68+AQ69+AQ70+AQ71)/MAX(Time!AQ31,1)*Inputs!$F$172</f>
        <v>1.56314307670637</v>
      </c>
      <c r="AR93" s="13" t="n">
        <f aca="false">(1-AR86)*(AR65+AR66+AR67+AR68+AR69+AR70+AR71)/MAX(Time!AR31,1)*Inputs!$F$172</f>
        <v>1.55660534288944</v>
      </c>
      <c r="AS93" s="13" t="n">
        <f aca="false">(1-AS86)*(AS65+AS66+AS67+AS68+AS69+AS70+AS71)/MAX(Time!AS31,1)*Inputs!$F$172</f>
        <v>1.57980149043536</v>
      </c>
      <c r="AT93" s="13" t="n">
        <f aca="false">(1-AT86)*(AT65+AT66+AT67+AT68+AT69+AT70+AT71)/MAX(Time!AT31,1)*Inputs!$F$172</f>
        <v>1.55882287192078</v>
      </c>
      <c r="AU93" s="13" t="n">
        <f aca="false">(1-AU86)*(AU65+AU66+AU67+AU68+AU69+AU70+AU71)/MAX(Time!AU31,1)*Inputs!$F$172</f>
        <v>1.61080050917971</v>
      </c>
      <c r="AV93" s="13" t="n">
        <f aca="false">(1-AV86)*(AV65+AV66+AV67+AV68+AV69+AV70+AV71)/MAX(Time!AV31,1)*Inputs!$F$172</f>
        <v>1.62061170975477</v>
      </c>
      <c r="AW93" s="13" t="n">
        <f aca="false">(1-AW86)*(AW65+AW66+AW67+AW68+AW69+AW70+AW71)/MAX(Time!AW31,1)*Inputs!$F$172</f>
        <v>1.662365021866</v>
      </c>
      <c r="AX93" s="13" t="n">
        <f aca="false">(1-AX86)*(AX65+AX66+AX67+AX68+AX69+AX70+AX71)/MAX(Time!AX31,1)*Inputs!$F$172</f>
        <v>1.64825366734759</v>
      </c>
      <c r="AY93" s="13" t="n">
        <f aca="false">(1-AY86)*(AY65+AY66+AY67+AY68+AY69+AY70+AY71)/MAX(Time!AY31,1)*Inputs!$F$172</f>
        <v>1.6944293982495</v>
      </c>
      <c r="AZ93" s="13" t="n">
        <f aca="false">(1-AZ86)*(AZ65+AZ66+AZ67+AZ68+AZ69+AZ70+AZ71)/MAX(Time!AZ31,1)*Inputs!$F$172</f>
        <v>1.68739869661249</v>
      </c>
      <c r="BA93" s="13" t="n">
        <f aca="false">(1-BA86)*(BA65+BA66+BA67+BA68+BA69+BA70+BA71)/MAX(Time!BA31,1)*Inputs!$F$172</f>
        <v>1.71662257199601</v>
      </c>
      <c r="BB93" s="13" t="n">
        <f aca="false">(1-BB86)*(BB65+BB66+BB67+BB68+BB69+BB70+BB71)/MAX(Time!BB31,1)*Inputs!$F$172</f>
        <v>1.70194330848776</v>
      </c>
      <c r="BC93" s="13" t="n">
        <f aca="false">(1-BC86)*(BC65+BC66+BC67+BC68+BC69+BC70+BC71)/MAX(Time!BC31,1)*Inputs!$F$172</f>
        <v>1.75458062040094</v>
      </c>
      <c r="BD93" s="13" t="n">
        <f aca="false">(1-BD86)*(BD65+BD66+BD67+BD68+BD69+BD70+BD71)/MAX(Time!BD31,1)*Inputs!$F$172</f>
        <v>1.75708703218278</v>
      </c>
      <c r="BE93" s="13" t="n">
        <f aca="false">(1-BE86)*(BE65+BE66+BE67+BE68+BE69+BE70+BE71)/MAX(Time!BE31,1)*Inputs!$F$172</f>
        <v>1.80244237790401</v>
      </c>
      <c r="BF93" s="13" t="n">
        <f aca="false">(1-BF86)*(BF65+BF66+BF67+BF68+BF69+BF70+BF71)/MAX(Time!BF31,1)*Inputs!$F$172</f>
        <v>1.78723615755999</v>
      </c>
      <c r="BG93" s="13" t="n">
        <f aca="false">(1-BG86)*(BG65+BG66+BG67+BG68+BG69+BG70+BG71)/MAX(Time!BG31,1)*Inputs!$F$172</f>
        <v>1.83737143154666</v>
      </c>
      <c r="BH93" s="13" t="n">
        <f aca="false">(1-BH86)*(BH65+BH66+BH67+BH68+BH69+BH70+BH71)/MAX(Time!BH31,1)*Inputs!$F$172</f>
        <v>1.82980268381475</v>
      </c>
      <c r="BI93" s="13" t="n">
        <f aca="false">(1-BI86)*(BI65+BI66+BI67+BI68+BI69+BI70+BI71)/MAX(Time!BI31,1)*Inputs!$F$172</f>
        <v>1.85734224831542</v>
      </c>
      <c r="BJ93" s="13" t="n">
        <f aca="false">(1-BJ86)*(BJ65+BJ66+BJ67+BJ68+BJ69+BJ70+BJ71)/MAX(Time!BJ31,1)*Inputs!$F$172</f>
        <v>1.83306302045056</v>
      </c>
      <c r="BK93" s="13" t="n">
        <f aca="false">(1-BK86)*(BK65+BK66+BK67+BK68+BK69+BK70+BK71)/MAX(Time!BK31,1)*Inputs!$F$172</f>
        <v>1.89422097304256</v>
      </c>
      <c r="BL93" s="13" t="n">
        <f aca="false">(1-BL86)*(BL65+BL66+BL67+BL68+BL69+BL70+BL71)/MAX(Time!BL31,1)*Inputs!$F$172</f>
        <v>1.9056770846556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1664</v>
      </c>
      <c r="E94" s="0" t="s">
        <v>151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1665</v>
      </c>
      <c r="E95" s="0" t="s">
        <v>151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16.1588059394036</v>
      </c>
      <c r="P95" s="13" t="n">
        <f aca="false">P88+P89-P90-P91-P92-P93-P94</f>
        <v>16.1248658129308</v>
      </c>
      <c r="Q95" s="13" t="n">
        <f aca="false">Q88+Q89-Q90-Q91-Q92-Q93-Q94</f>
        <v>16.3924648613689</v>
      </c>
      <c r="R95" s="13" t="n">
        <f aca="false">R88+R89-R90-R91-R92-R93-R94</f>
        <v>16.0886864919515</v>
      </c>
      <c r="S95" s="13" t="n">
        <f aca="false">S88+S89-S90-S91-S92-S93-S94</f>
        <v>16.4584822986405</v>
      </c>
      <c r="T95" s="13" t="n">
        <f aca="false">T88+T89-T90-T91-T92-T93-T94</f>
        <v>16.3567610037993</v>
      </c>
      <c r="U95" s="13" t="n">
        <f aca="false">U88+U89-U90-U91-U92-U93-U94</f>
        <v>16.4121269568256</v>
      </c>
      <c r="V95" s="13" t="n">
        <f aca="false">V88+V89-V90-V91-V92-V93-V94</f>
        <v>15.9316773506149</v>
      </c>
      <c r="W95" s="13" t="n">
        <f aca="false">W88+W89-W90-W91-W92-W93-W94</f>
        <v>16.4333200330536</v>
      </c>
      <c r="X95" s="13" t="n">
        <f aca="false">X88+X89-X90-X91-X92-X93-X94</f>
        <v>16.5980148360108</v>
      </c>
      <c r="Y95" s="13" t="n">
        <f aca="false">Y88+Y89-Y90-Y91-Y92-Y93-Y94</f>
        <v>16.8761801869008</v>
      </c>
      <c r="Z95" s="13" t="n">
        <f aca="false">Z88+Z89-Z90-Z91-Z92-Z93-Z94</f>
        <v>16.5668696723848</v>
      </c>
      <c r="AA95" s="13" t="n">
        <f aca="false">AA88+AA89-AA90-AA91-AA92-AA93-AA94</f>
        <v>16.950350285933</v>
      </c>
      <c r="AB95" s="13" t="n">
        <f aca="false">AB88+AB89-AB90-AB91-AB92-AB93-AB94</f>
        <v>16.8490121809973</v>
      </c>
      <c r="AC95" s="13" t="n">
        <f aca="false">AC88+AC89-AC90-AC91-AC92-AC93-AC94</f>
        <v>16.7971928652714</v>
      </c>
      <c r="AD95" s="13" t="n">
        <f aca="false">AD88+AD89-AD90-AD91-AD92-AD93-AD94</f>
        <v>16.07824892243</v>
      </c>
      <c r="AE95" s="13" t="n">
        <f aca="false">AE88+AE89-AE90-AE91-AE92-AE93-AE94</f>
        <v>16.7104037615003</v>
      </c>
      <c r="AF95" s="13" t="n">
        <f aca="false">AF88+AF89-AF90-AF91-AF92-AF93-AF94</f>
        <v>17.1101539907301</v>
      </c>
      <c r="AG95" s="13" t="n">
        <f aca="false">AG88+AG89-AG90-AG91-AG92-AG93-AG94</f>
        <v>17.3997562922502</v>
      </c>
      <c r="AH95" s="13" t="n">
        <f aca="false">AH88+AH89-AH90-AH91-AH92-AH93-AH94</f>
        <v>17.0844577859653</v>
      </c>
      <c r="AI95" s="13" t="n">
        <f aca="false">AI88+AI89-AI90-AI91-AI92-AI93-AI94</f>
        <v>17.4827610391077</v>
      </c>
      <c r="AJ95" s="13" t="n">
        <f aca="false">AJ88+AJ89-AJ90-AJ91-AJ92-AJ93-AJ94</f>
        <v>17.381857978293</v>
      </c>
      <c r="AK95" s="13" t="n">
        <f aca="false">AK88+AK89-AK90-AK91-AK92-AK93-AK94</f>
        <v>17.4468511600261</v>
      </c>
      <c r="AL95" s="13" t="n">
        <f aca="false">AL88+AL89-AL90-AL91-AL92-AL93-AL94</f>
        <v>16.943127031857</v>
      </c>
      <c r="AM95" s="13" t="n">
        <f aca="false">AM88+AM89-AM90-AM91-AM92-AM93-AM94</f>
        <v>17.4821825138683</v>
      </c>
      <c r="AN95" s="13" t="n">
        <f aca="false">AN88+AN89-AN90-AN91-AN92-AN93-AN94</f>
        <v>17.6645593275509</v>
      </c>
      <c r="AO95" s="13" t="n">
        <f aca="false">AO88+AO89-AO90-AO91-AO92-AO93-AO94</f>
        <v>17.9665424354734</v>
      </c>
      <c r="AP95" s="13" t="n">
        <f aca="false">AP88+AP89-AP90-AP91-AP92-AP93-AP94</f>
        <v>17.6447617915598</v>
      </c>
      <c r="AQ95" s="13" t="n">
        <f aca="false">AQ88+AQ89-AQ90-AQ91-AQ92-AQ93-AQ94</f>
        <v>18.05912186766</v>
      </c>
      <c r="AR95" s="13" t="n">
        <f aca="false">AR88+AR89-AR90-AR91-AR92-AR93-AR94</f>
        <v>17.9587114331689</v>
      </c>
      <c r="AS95" s="13" t="n">
        <f aca="false">AS88+AS89-AS90-AS91-AS92-AS93-AS94</f>
        <v>17.9099272593351</v>
      </c>
      <c r="AT95" s="13" t="n">
        <f aca="false">AT88+AT89-AT90-AT91-AT92-AT93-AT94</f>
        <v>17.1499050923581</v>
      </c>
      <c r="AU95" s="13" t="n">
        <f aca="false">AU88+AU89-AU90-AU91-AU92-AU93-AU94</f>
        <v>17.8307171723077</v>
      </c>
      <c r="AV95" s="13" t="n">
        <f aca="false">AV88+AV89-AV90-AV91-AV92-AV93-AV94</f>
        <v>18.2647866722891</v>
      </c>
      <c r="AW95" s="13" t="n">
        <f aca="false">AW88+AW89-AW90-AW91-AW92-AW93-AW94</f>
        <v>18.5801739142894</v>
      </c>
      <c r="AX95" s="13" t="n">
        <f aca="false">AX88+AX89-AX90-AX91-AX92-AX93-AX94</f>
        <v>18.2513754116173</v>
      </c>
      <c r="AY95" s="13" t="n">
        <f aca="false">AY88+AY89-AY90-AY91-AY92-AY93-AY94</f>
        <v>18.6831311320323</v>
      </c>
      <c r="AZ95" s="13" t="n">
        <f aca="false">AZ88+AZ89-AZ90-AZ91-AZ92-AZ93-AZ94</f>
        <v>18.5832772092299</v>
      </c>
      <c r="BA95" s="13" t="n">
        <f aca="false">BA88+BA89-BA90-BA91-BA92-BA93-BA94</f>
        <v>18.6594645999445</v>
      </c>
      <c r="BB95" s="13" t="n">
        <f aca="false">BB88+BB89-BB90-BB91-BB92-BB93-BB94</f>
        <v>18.1283759599751</v>
      </c>
      <c r="BC95" s="13" t="n">
        <f aca="false">BC88+BC89-BC90-BC91-BC92-BC93-BC94</f>
        <v>18.7113826325117</v>
      </c>
      <c r="BD95" s="13" t="n">
        <f aca="false">BD88+BD89-BD90-BD91-BD92-BD93-BD94</f>
        <v>18.9146958346315</v>
      </c>
      <c r="BE95" s="13" t="n">
        <f aca="false">BE88+BE89-BE90-BE91-BE92-BE93-BE94</f>
        <v>19.2445968184606</v>
      </c>
      <c r="BF95" s="13" t="n">
        <f aca="false">BF88+BF89-BF90-BF91-BF92-BF93-BF94</f>
        <v>18.9081995998728</v>
      </c>
      <c r="BG95" s="13" t="n">
        <f aca="false">BG88+BG89-BG90-BG91-BG92-BG93-BG94</f>
        <v>19.358803433347</v>
      </c>
      <c r="BH95" s="13" t="n">
        <f aca="false">BH88+BH89-BH90-BH91-BH92-BH93-BH94</f>
        <v>19.2595768405331</v>
      </c>
      <c r="BI95" s="13" t="n">
        <f aca="false">BI88+BI89-BI90-BI91-BI92-BI93-BI94</f>
        <v>19.214204719895</v>
      </c>
      <c r="BJ95" s="13" t="n">
        <f aca="false">BJ88+BJ89-BJ90-BJ91-BJ92-BJ93-BJ94</f>
        <v>18.405810266867</v>
      </c>
      <c r="BK95" s="13" t="n">
        <f aca="false">BK88+BK89-BK90-BK91-BK92-BK93-BK94</f>
        <v>19.1438427049462</v>
      </c>
      <c r="BL95" s="13" t="n">
        <f aca="false">BL88+BL89-BL90-BL91-BL92-BL93-BL94</f>
        <v>19.6184769329309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1666</v>
      </c>
      <c r="E96" s="0" t="s">
        <v>151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16.1588059394036</v>
      </c>
      <c r="P96" s="13" t="n">
        <f aca="false">P95-O95</f>
        <v>-0.0339401264727321</v>
      </c>
      <c r="Q96" s="13" t="n">
        <f aca="false">Q95-P95</f>
        <v>0.267599048438044</v>
      </c>
      <c r="R96" s="13" t="n">
        <f aca="false">R95-Q95</f>
        <v>-0.303778369417401</v>
      </c>
      <c r="S96" s="13" t="n">
        <f aca="false">S95-R95</f>
        <v>0.369795806689016</v>
      </c>
      <c r="T96" s="13" t="n">
        <f aca="false">T95-S95</f>
        <v>-0.101721294841202</v>
      </c>
      <c r="U96" s="13" t="n">
        <f aca="false">U95-T95</f>
        <v>0.0553659530262998</v>
      </c>
      <c r="V96" s="13" t="n">
        <f aca="false">V95-U95</f>
        <v>-0.480449606210716</v>
      </c>
      <c r="W96" s="13" t="n">
        <f aca="false">W95-V95</f>
        <v>0.501642682438735</v>
      </c>
      <c r="X96" s="13" t="n">
        <f aca="false">X95-W95</f>
        <v>0.16469480295725</v>
      </c>
      <c r="Y96" s="13" t="n">
        <f aca="false">Y95-X95</f>
        <v>0.278165350889974</v>
      </c>
      <c r="Z96" s="13" t="n">
        <f aca="false">Z95-Y95</f>
        <v>-0.309310514515978</v>
      </c>
      <c r="AA96" s="13" t="n">
        <f aca="false">AA95-Z95</f>
        <v>0.383480613548134</v>
      </c>
      <c r="AB96" s="13" t="n">
        <f aca="false">AB95-AA95</f>
        <v>-0.101338104935707</v>
      </c>
      <c r="AC96" s="13" t="n">
        <f aca="false">AC95-AB95</f>
        <v>-0.0518193157259006</v>
      </c>
      <c r="AD96" s="13" t="n">
        <f aca="false">AD95-AC95</f>
        <v>-0.718943942841328</v>
      </c>
      <c r="AE96" s="13" t="n">
        <f aca="false">AE95-AD95</f>
        <v>0.632154839070207</v>
      </c>
      <c r="AF96" s="13" t="n">
        <f aca="false">AF95-AE95</f>
        <v>0.399750229229834</v>
      </c>
      <c r="AG96" s="13" t="n">
        <f aca="false">AG95-AF95</f>
        <v>0.289602301520134</v>
      </c>
      <c r="AH96" s="13" t="n">
        <f aca="false">AH95-AG95</f>
        <v>-0.315298506284943</v>
      </c>
      <c r="AI96" s="13" t="n">
        <f aca="false">AI95-AH95</f>
        <v>0.398303253142377</v>
      </c>
      <c r="AJ96" s="13" t="n">
        <f aca="false">AJ95-AI95</f>
        <v>-0.100903060814673</v>
      </c>
      <c r="AK96" s="13" t="n">
        <f aca="false">AK95-AJ95</f>
        <v>0.0649931817331151</v>
      </c>
      <c r="AL96" s="13" t="n">
        <f aca="false">AL95-AK95</f>
        <v>-0.503724128169093</v>
      </c>
      <c r="AM96" s="13" t="n">
        <f aca="false">AM95-AL95</f>
        <v>0.539055482011325</v>
      </c>
      <c r="AN96" s="13" t="n">
        <f aca="false">AN95-AM95</f>
        <v>0.182376813682559</v>
      </c>
      <c r="AO96" s="13" t="n">
        <f aca="false">AO95-AN95</f>
        <v>0.301983107922492</v>
      </c>
      <c r="AP96" s="13" t="n">
        <f aca="false">AP95-AO95</f>
        <v>-0.321780643913549</v>
      </c>
      <c r="AQ96" s="13" t="n">
        <f aca="false">AQ95-AP95</f>
        <v>0.414360076100159</v>
      </c>
      <c r="AR96" s="13" t="n">
        <f aca="false">AR95-AQ95</f>
        <v>-0.100410434491089</v>
      </c>
      <c r="AS96" s="13" t="n">
        <f aca="false">AS95-AR95</f>
        <v>-0.0487841738337984</v>
      </c>
      <c r="AT96" s="13" t="n">
        <f aca="false">AT95-AS95</f>
        <v>-0.76002216697702</v>
      </c>
      <c r="AU96" s="13" t="n">
        <f aca="false">AU95-AT95</f>
        <v>0.680812079949604</v>
      </c>
      <c r="AV96" s="13" t="n">
        <f aca="false">AV95-AU95</f>
        <v>0.434069499981412</v>
      </c>
      <c r="AW96" s="13" t="n">
        <f aca="false">AW95-AV95</f>
        <v>0.315387242000284</v>
      </c>
      <c r="AX96" s="13" t="n">
        <f aca="false">AX95-AW95</f>
        <v>-0.328798502672097</v>
      </c>
      <c r="AY96" s="13" t="n">
        <f aca="false">AY95-AX95</f>
        <v>0.431755720414987</v>
      </c>
      <c r="AZ96" s="13" t="n">
        <f aca="false">AZ95-AY95</f>
        <v>-0.0998539228023816</v>
      </c>
      <c r="BA96" s="13" t="n">
        <f aca="false">BA95-AZ95</f>
        <v>0.0761873907146224</v>
      </c>
      <c r="BB96" s="13" t="n">
        <f aca="false">BB95-BA95</f>
        <v>-0.531088639969397</v>
      </c>
      <c r="BC96" s="13" t="n">
        <f aca="false">BC95-BB95</f>
        <v>0.583006672536598</v>
      </c>
      <c r="BD96" s="13" t="n">
        <f aca="false">BD95-BC95</f>
        <v>0.203313202119826</v>
      </c>
      <c r="BE96" s="13" t="n">
        <f aca="false">BE95-BD95</f>
        <v>0.329900983829035</v>
      </c>
      <c r="BF96" s="13" t="n">
        <f aca="false">BF95-BE95</f>
        <v>-0.33639721858782</v>
      </c>
      <c r="BG96" s="13" t="n">
        <f aca="false">BG95-BF95</f>
        <v>0.450603833474233</v>
      </c>
      <c r="BH96" s="13" t="n">
        <f aca="false">BH95-BG95</f>
        <v>-0.0992265928138814</v>
      </c>
      <c r="BI96" s="13" t="n">
        <f aca="false">BI95-BH95</f>
        <v>-0.0453721206381452</v>
      </c>
      <c r="BJ96" s="13" t="n">
        <f aca="false">BJ95-BI95</f>
        <v>-0.808394453027983</v>
      </c>
      <c r="BK96" s="13" t="n">
        <f aca="false">BK95-BJ95</f>
        <v>0.738032438079237</v>
      </c>
      <c r="BL96" s="13" t="n">
        <f aca="false">BL95-BK95</f>
        <v>0.474634227984641</v>
      </c>
      <c r="BM96" s="13" t="n">
        <f aca="false">BM95-BL95</f>
        <v>-19.6184769329309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1667</v>
      </c>
      <c r="E97" s="0" t="s">
        <v>151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5.35</v>
      </c>
      <c r="BN97" s="13" t="n">
        <f aca="false">Time!BN37*Inputs!$F$67*Inputs!$F$36</f>
        <v>0</v>
      </c>
    </row>
    <row r="98" customFormat="false" ht="15" hidden="false" customHeight="false" outlineLevel="0" collapsed="false">
      <c r="D98" s="0" t="s">
        <v>1668</v>
      </c>
      <c r="E98" s="0" t="s">
        <v>151</v>
      </c>
      <c r="G98" s="13" t="n">
        <f aca="false">SUM(J98:BN98)</f>
        <v>-3.72751256902261</v>
      </c>
      <c r="J98" s="13" t="n">
        <f aca="false">J51-J73</f>
        <v>0</v>
      </c>
      <c r="K98" s="13" t="n">
        <f aca="false">K51-K73</f>
        <v>0</v>
      </c>
      <c r="L98" s="13" t="n">
        <f aca="false">L51-L73</f>
        <v>0</v>
      </c>
      <c r="M98" s="13" t="n">
        <f aca="false">M51-M73</f>
        <v>0</v>
      </c>
      <c r="N98" s="13" t="n">
        <f aca="false">N51-N73</f>
        <v>0</v>
      </c>
      <c r="O98" s="13" t="n">
        <f aca="false">O51-O73</f>
        <v>0.04813688569633</v>
      </c>
      <c r="P98" s="13" t="n">
        <f aca="false">P51-P73</f>
        <v>0.13924387126356</v>
      </c>
      <c r="Q98" s="13" t="n">
        <f aca="false">Q51-Q73</f>
        <v>0.133704318025423</v>
      </c>
      <c r="R98" s="13" t="n">
        <f aca="false">R51-R73</f>
        <v>0.125038232402176</v>
      </c>
      <c r="S98" s="13" t="n">
        <f aca="false">S51-S73</f>
        <v>0.119972742447899</v>
      </c>
      <c r="T98" s="13" t="n">
        <f aca="false">T51-T73</f>
        <v>0.112727557672486</v>
      </c>
      <c r="U98" s="13" t="n">
        <f aca="false">U51-U73</f>
        <v>0.105601703217786</v>
      </c>
      <c r="V98" s="13" t="n">
        <f aca="false">V51-V73</f>
        <v>0.0952969437480391</v>
      </c>
      <c r="W98" s="13" t="n">
        <f aca="false">W51-W73</f>
        <v>0.090231949645343</v>
      </c>
      <c r="X98" s="13" t="n">
        <f aca="false">X51-X73</f>
        <v>0.0840401048287873</v>
      </c>
      <c r="Y98" s="13" t="n">
        <f aca="false">Y51-Y73</f>
        <v>0.0770287953276068</v>
      </c>
      <c r="Z98" s="13" t="n">
        <f aca="false">Z51-Z73</f>
        <v>0.0681831031688631</v>
      </c>
      <c r="AA98" s="13" t="n">
        <f aca="false">AA51-AA73</f>
        <v>0.0612382596646768</v>
      </c>
      <c r="AB98" s="13" t="n">
        <f aca="false">AB51-AB73</f>
        <v>0.053057388892654</v>
      </c>
      <c r="AC98" s="13" t="n">
        <f aca="false">AC51-AC73</f>
        <v>0.0445625568965511</v>
      </c>
      <c r="AD98" s="13" t="n">
        <f aca="false">AD51-AD73</f>
        <v>0.0346713372844221</v>
      </c>
      <c r="AE98" s="13" t="n">
        <f aca="false">AE51-AE73</f>
        <v>0.0274832499905529</v>
      </c>
      <c r="AF98" s="13" t="n">
        <f aca="false">AF51-AF73</f>
        <v>0.0196491246886268</v>
      </c>
      <c r="AG98" s="13" t="n">
        <f aca="false">AG51-AG73</f>
        <v>0.0109754563655429</v>
      </c>
      <c r="AH98" s="13" t="n">
        <f aca="false">AH51-AH73</f>
        <v>0.00197382187869266</v>
      </c>
      <c r="AI98" s="13" t="n">
        <f aca="false">AI51-AI73</f>
        <v>-0.00710555380713629</v>
      </c>
      <c r="AJ98" s="13" t="n">
        <f aca="false">AJ51-AJ73</f>
        <v>-0.016321416441869</v>
      </c>
      <c r="AK98" s="13" t="n">
        <f aca="false">AK51-AK73</f>
        <v>-0.0256915865349043</v>
      </c>
      <c r="AL98" s="13" t="n">
        <f aca="false">AL51-AL73</f>
        <v>-0.034107425356396</v>
      </c>
      <c r="AM98" s="13" t="n">
        <f aca="false">AM51-AM73</f>
        <v>-0.0444801224216747</v>
      </c>
      <c r="AN98" s="13" t="n">
        <f aca="false">AN51-AN73</f>
        <v>-0.0549977009996212</v>
      </c>
      <c r="AO98" s="13" t="n">
        <f aca="false">AO51-AO73</f>
        <v>-0.0655445669033554</v>
      </c>
      <c r="AP98" s="13" t="n">
        <f aca="false">AP51-AP73</f>
        <v>-0.0746738202714141</v>
      </c>
      <c r="AQ98" s="13" t="n">
        <f aca="false">AQ51-AQ73</f>
        <v>-0.0861705379227971</v>
      </c>
      <c r="AR98" s="13" t="n">
        <f aca="false">AR51-AR73</f>
        <v>-0.0965302404039647</v>
      </c>
      <c r="AS98" s="13" t="n">
        <f aca="false">AS51-AS73</f>
        <v>-0.106481016184233</v>
      </c>
      <c r="AT98" s="13" t="n">
        <f aca="false">AT51-AT73</f>
        <v>-0.11197821370628</v>
      </c>
      <c r="AU98" s="13" t="n">
        <f aca="false">AU51-AU73</f>
        <v>-0.126192634539024</v>
      </c>
      <c r="AV98" s="13" t="n">
        <f aca="false">AV51-AV73</f>
        <v>-0.141076911310606</v>
      </c>
      <c r="AW98" s="13" t="n">
        <f aca="false">AW51-AW73</f>
        <v>-0.153729993003424</v>
      </c>
      <c r="AX98" s="13" t="n">
        <f aca="false">AX51-AX73</f>
        <v>-0.162953313355615</v>
      </c>
      <c r="AY98" s="13" t="n">
        <f aca="false">AY51-AY73</f>
        <v>-0.177180497817403</v>
      </c>
      <c r="AZ98" s="13" t="n">
        <f aca="false">AZ51-AZ73</f>
        <v>-0.188803289717114</v>
      </c>
      <c r="BA98" s="13" t="n">
        <f aca="false">BA51-BA73</f>
        <v>-0.200943082710808</v>
      </c>
      <c r="BB98" s="13" t="n">
        <f aca="false">BB51-BB73</f>
        <v>-0.206615137567667</v>
      </c>
      <c r="BC98" s="13" t="n">
        <f aca="false">BC51-BC73</f>
        <v>-0.223836270371649</v>
      </c>
      <c r="BD98" s="13" t="n">
        <f aca="false">BD51-BD73</f>
        <v>-0.23988299942225</v>
      </c>
      <c r="BE98" s="13" t="n">
        <f aca="false">BE51-BE73</f>
        <v>-0.25489961261512</v>
      </c>
      <c r="BF98" s="13" t="n">
        <f aca="false">BF51-BF73</f>
        <v>-0.264177591353615</v>
      </c>
      <c r="BG98" s="13" t="n">
        <f aca="false">BG51-BG73</f>
        <v>-0.281481609828901</v>
      </c>
      <c r="BH98" s="13" t="n">
        <f aca="false">BH51-BH73</f>
        <v>-0.294498075429729</v>
      </c>
      <c r="BI98" s="13" t="n">
        <f aca="false">BI51-BI73</f>
        <v>-0.306147458957526</v>
      </c>
      <c r="BJ98" s="13" t="n">
        <f aca="false">BJ51-BJ73</f>
        <v>-0.305618454834388</v>
      </c>
      <c r="BK98" s="13" t="n">
        <f aca="false">BK51-BK73</f>
        <v>-0.32888650448524</v>
      </c>
      <c r="BL98" s="13" t="n">
        <f aca="false">BL51-BL73</f>
        <v>-0.352839342908581</v>
      </c>
      <c r="BM98" s="13" t="n">
        <f aca="false">BM51-BM73</f>
        <v>-0.246484990946328</v>
      </c>
      <c r="BN98" s="13" t="n">
        <f aca="false">BN51-BN73</f>
        <v>0</v>
      </c>
    </row>
    <row r="99" customFormat="false" ht="15" hidden="false" customHeight="false" outlineLevel="0" collapsed="false">
      <c r="D99" s="0" t="s">
        <v>1669</v>
      </c>
      <c r="E99" s="0" t="s">
        <v>151</v>
      </c>
      <c r="G99" s="13" t="n">
        <f aca="false">SUM(J99:BN99)</f>
        <v>0</v>
      </c>
      <c r="J99" s="13" t="n">
        <f aca="false">J52+J53-(J74-J73-J54)</f>
        <v>0</v>
      </c>
      <c r="K99" s="13" t="n">
        <f aca="false">K52+K53-(K74-K73-K54)</f>
        <v>0</v>
      </c>
      <c r="L99" s="13" t="n">
        <f aca="false">L52+L53-(L74-L73-L54)</f>
        <v>0</v>
      </c>
      <c r="M99" s="13" t="n">
        <f aca="false">M52+M53-(M74-M73-M54)</f>
        <v>0</v>
      </c>
      <c r="N99" s="13" t="n">
        <f aca="false">N52+N53-(N74-N73-N54)</f>
        <v>0</v>
      </c>
      <c r="O99" s="13" t="n">
        <f aca="false">O52+O53-(O74-O73-O54)</f>
        <v>0</v>
      </c>
      <c r="P99" s="13" t="n">
        <f aca="false">P52+P53-(P74-P73-P54)</f>
        <v>0</v>
      </c>
      <c r="Q99" s="13" t="n">
        <f aca="false">Q52+Q53-(Q74-Q73-Q54)</f>
        <v>0</v>
      </c>
      <c r="R99" s="13" t="n">
        <f aca="false">R52+R53-(R74-R73-R54)</f>
        <v>0</v>
      </c>
      <c r="S99" s="13" t="n">
        <f aca="false">S52+S53-(S74-S73-S54)</f>
        <v>0</v>
      </c>
      <c r="T99" s="13" t="n">
        <f aca="false">T52+T53-(T74-T73-T54)</f>
        <v>0</v>
      </c>
      <c r="U99" s="13" t="n">
        <f aca="false">U52+U53-(U74-U73-U54)</f>
        <v>0</v>
      </c>
      <c r="V99" s="13" t="n">
        <f aca="false">V52+V53-(V74-V73-V54)</f>
        <v>0</v>
      </c>
      <c r="W99" s="13" t="n">
        <f aca="false">W52+W53-(W74-W73-W54)</f>
        <v>0</v>
      </c>
      <c r="X99" s="13" t="n">
        <f aca="false">X52+X53-(X74-X73-X54)</f>
        <v>0</v>
      </c>
      <c r="Y99" s="13" t="n">
        <f aca="false">Y52+Y53-(Y74-Y73-Y54)</f>
        <v>0</v>
      </c>
      <c r="Z99" s="13" t="n">
        <f aca="false">Z52+Z53-(Z74-Z73-Z54)</f>
        <v>0</v>
      </c>
      <c r="AA99" s="13" t="n">
        <f aca="false">AA52+AA53-(AA74-AA73-AA54)</f>
        <v>0</v>
      </c>
      <c r="AB99" s="13" t="n">
        <f aca="false">AB52+AB53-(AB74-AB73-AB54)</f>
        <v>0</v>
      </c>
      <c r="AC99" s="13" t="n">
        <f aca="false">AC52+AC53-(AC74-AC73-AC54)</f>
        <v>0</v>
      </c>
      <c r="AD99" s="13" t="n">
        <f aca="false">AD52+AD53-(AD74-AD73-AD54)</f>
        <v>0</v>
      </c>
      <c r="AE99" s="13" t="n">
        <f aca="false">AE52+AE53-(AE74-AE73-AE54)</f>
        <v>0</v>
      </c>
      <c r="AF99" s="13" t="n">
        <f aca="false">AF52+AF53-(AF74-AF73-AF54)</f>
        <v>0</v>
      </c>
      <c r="AG99" s="13" t="n">
        <f aca="false">AG52+AG53-(AG74-AG73-AG54)</f>
        <v>0</v>
      </c>
      <c r="AH99" s="13" t="n">
        <f aca="false">AH52+AH53-(AH74-AH73-AH54)</f>
        <v>0</v>
      </c>
      <c r="AI99" s="13" t="n">
        <f aca="false">AI52+AI53-(AI74-AI73-AI54)</f>
        <v>0</v>
      </c>
      <c r="AJ99" s="13" t="n">
        <f aca="false">AJ52+AJ53-(AJ74-AJ73-AJ54)</f>
        <v>0</v>
      </c>
      <c r="AK99" s="13" t="n">
        <f aca="false">AK52+AK53-(AK74-AK73-AK54)</f>
        <v>0</v>
      </c>
      <c r="AL99" s="13" t="n">
        <f aca="false">AL52+AL53-(AL74-AL73-AL54)</f>
        <v>0</v>
      </c>
      <c r="AM99" s="13" t="n">
        <f aca="false">AM52+AM53-(AM74-AM73-AM54)</f>
        <v>0</v>
      </c>
      <c r="AN99" s="13" t="n">
        <f aca="false">AN52+AN53-(AN74-AN73-AN54)</f>
        <v>0</v>
      </c>
      <c r="AO99" s="13" t="n">
        <f aca="false">AO52+AO53-(AO74-AO73-AO54)</f>
        <v>0</v>
      </c>
      <c r="AP99" s="13" t="n">
        <f aca="false">AP52+AP53-(AP74-AP73-AP54)</f>
        <v>0</v>
      </c>
      <c r="AQ99" s="13" t="n">
        <f aca="false">AQ52+AQ53-(AQ74-AQ73-AQ54)</f>
        <v>0</v>
      </c>
      <c r="AR99" s="13" t="n">
        <f aca="false">AR52+AR53-(AR74-AR73-AR54)</f>
        <v>0</v>
      </c>
      <c r="AS99" s="13" t="n">
        <f aca="false">AS52+AS53-(AS74-AS73-AS54)</f>
        <v>0</v>
      </c>
      <c r="AT99" s="13" t="n">
        <f aca="false">AT52+AT53-(AT74-AT73-AT54)</f>
        <v>0</v>
      </c>
      <c r="AU99" s="13" t="n">
        <f aca="false">AU52+AU53-(AU74-AU73-AU54)</f>
        <v>0</v>
      </c>
      <c r="AV99" s="13" t="n">
        <f aca="false">AV52+AV53-(AV74-AV73-AV54)</f>
        <v>0</v>
      </c>
      <c r="AW99" s="13" t="n">
        <f aca="false">AW52+AW53-(AW74-AW73-AW54)</f>
        <v>0</v>
      </c>
      <c r="AX99" s="13" t="n">
        <f aca="false">AX52+AX53-(AX74-AX73-AX54)</f>
        <v>0</v>
      </c>
      <c r="AY99" s="13" t="n">
        <f aca="false">AY52+AY53-(AY74-AY73-AY54)</f>
        <v>0</v>
      </c>
      <c r="AZ99" s="13" t="n">
        <f aca="false">AZ52+AZ53-(AZ74-AZ73-AZ54)</f>
        <v>0</v>
      </c>
      <c r="BA99" s="13" t="n">
        <f aca="false">BA52+BA53-(BA74-BA73-BA54)</f>
        <v>0</v>
      </c>
      <c r="BB99" s="13" t="n">
        <f aca="false">BB52+BB53-(BB74-BB73-BB54)</f>
        <v>0</v>
      </c>
      <c r="BC99" s="13" t="n">
        <f aca="false">BC52+BC53-(BC74-BC73-BC54)</f>
        <v>0</v>
      </c>
      <c r="BD99" s="13" t="n">
        <f aca="false">BD52+BD53-(BD74-BD73-BD54)</f>
        <v>0</v>
      </c>
      <c r="BE99" s="13" t="n">
        <f aca="false">BE52+BE53-(BE74-BE73-BE54)</f>
        <v>0</v>
      </c>
      <c r="BF99" s="13" t="n">
        <f aca="false">BF52+BF53-(BF74-BF73-BF54)</f>
        <v>0</v>
      </c>
      <c r="BG99" s="13" t="n">
        <f aca="false">BG52+BG53-(BG74-BG73-BG54)</f>
        <v>0</v>
      </c>
      <c r="BH99" s="13" t="n">
        <f aca="false">BH52+BH53-(BH74-BH73-BH54)</f>
        <v>0</v>
      </c>
      <c r="BI99" s="13" t="n">
        <f aca="false">BI52+BI53-(BI74-BI73-BI54)</f>
        <v>0</v>
      </c>
      <c r="BJ99" s="13" t="n">
        <f aca="false">BJ52+BJ53-(BJ74-BJ73-BJ54)</f>
        <v>0</v>
      </c>
      <c r="BK99" s="13" t="n">
        <f aca="false">BK52+BK53-(BK74-BK73-BK54)</f>
        <v>0</v>
      </c>
      <c r="BL99" s="13" t="n">
        <f aca="false">BL52+BL53-(BL74-BL73-BL54)</f>
        <v>0</v>
      </c>
      <c r="BM99" s="13" t="n">
        <f aca="false">BM52+BM53-(BM74-BM73-BM54)</f>
        <v>0</v>
      </c>
      <c r="BN99" s="13" t="n">
        <f aca="false">BN52+BN53-(BN74-BN73-BN54)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1671</v>
      </c>
      <c r="E7" s="0" t="s">
        <v>99</v>
      </c>
      <c r="J7" s="9" t="n">
        <f aca="false">MAX(0,MIN(Time!J33,Inputs!$F$229*12)-MIN(Time!J32,Inputs!$F$229*12))</f>
        <v>0</v>
      </c>
      <c r="K7" s="9" t="n">
        <f aca="false">MAX(0,MIN(Time!K33,Inputs!$F$229*12)-MIN(Time!K32,Inputs!$F$229*12))</f>
        <v>0</v>
      </c>
      <c r="L7" s="9" t="n">
        <f aca="false">MAX(0,MIN(Time!L33,Inputs!$F$229*12)-MIN(Time!L32,Inputs!$F$229*12))</f>
        <v>0</v>
      </c>
      <c r="M7" s="9" t="n">
        <f aca="false">MAX(0,MIN(Time!M33,Inputs!$F$229*12)-MIN(Time!M32,Inputs!$F$229*12))</f>
        <v>0</v>
      </c>
      <c r="N7" s="9" t="n">
        <f aca="false">MAX(0,MIN(Time!N33,Inputs!$F$229*12)-MIN(Time!N32,Inputs!$F$229*12))</f>
        <v>0</v>
      </c>
      <c r="O7" s="9" t="n">
        <f aca="false">MAX(0,MIN(Time!O33,Inputs!$F$229*12)-MIN(Time!O32,Inputs!$F$229*12))</f>
        <v>2</v>
      </c>
      <c r="P7" s="9" t="n">
        <f aca="false">MAX(0,MIN(Time!P33,Inputs!$F$229*12)-MIN(Time!P32,Inputs!$F$229*12))</f>
        <v>6</v>
      </c>
      <c r="Q7" s="9" t="n">
        <f aca="false">MAX(0,MIN(Time!Q33,Inputs!$F$229*12)-MIN(Time!Q32,Inputs!$F$229*12))</f>
        <v>6</v>
      </c>
      <c r="R7" s="9" t="n">
        <f aca="false">MAX(0,MIN(Time!R33,Inputs!$F$229*12)-MIN(Time!R32,Inputs!$F$229*12))</f>
        <v>6</v>
      </c>
      <c r="S7" s="9" t="n">
        <f aca="false">MAX(0,MIN(Time!S33,Inputs!$F$229*12)-MIN(Time!S32,Inputs!$F$229*12))</f>
        <v>6</v>
      </c>
      <c r="T7" s="9" t="n">
        <f aca="false">MAX(0,MIN(Time!T33,Inputs!$F$229*12)-MIN(Time!T32,Inputs!$F$229*12))</f>
        <v>6</v>
      </c>
      <c r="U7" s="9" t="n">
        <f aca="false">MAX(0,MIN(Time!U33,Inputs!$F$229*12)-MIN(Time!U32,Inputs!$F$229*12))</f>
        <v>6</v>
      </c>
      <c r="V7" s="9" t="n">
        <f aca="false">MAX(0,MIN(Time!V33,Inputs!$F$229*12)-MIN(Time!V32,Inputs!$F$229*12))</f>
        <v>6</v>
      </c>
      <c r="W7" s="9" t="n">
        <f aca="false">MAX(0,MIN(Time!W33,Inputs!$F$229*12)-MIN(Time!W32,Inputs!$F$229*12))</f>
        <v>6</v>
      </c>
      <c r="X7" s="9" t="n">
        <f aca="false">MAX(0,MIN(Time!X33,Inputs!$F$229*12)-MIN(Time!X32,Inputs!$F$229*12))</f>
        <v>6</v>
      </c>
      <c r="Y7" s="9" t="n">
        <f aca="false">MAX(0,MIN(Time!Y33,Inputs!$F$229*12)-MIN(Time!Y32,Inputs!$F$229*12))</f>
        <v>6</v>
      </c>
      <c r="Z7" s="9" t="n">
        <f aca="false">MAX(0,MIN(Time!Z33,Inputs!$F$229*12)-MIN(Time!Z32,Inputs!$F$229*12))</f>
        <v>6</v>
      </c>
      <c r="AA7" s="9" t="n">
        <f aca="false">MAX(0,MIN(Time!AA33,Inputs!$F$229*12)-MIN(Time!AA32,Inputs!$F$229*12))</f>
        <v>6</v>
      </c>
      <c r="AB7" s="9" t="n">
        <f aca="false">MAX(0,MIN(Time!AB33,Inputs!$F$229*12)-MIN(Time!AB32,Inputs!$F$229*12))</f>
        <v>6</v>
      </c>
      <c r="AC7" s="9" t="n">
        <f aca="false">MAX(0,MIN(Time!AC33,Inputs!$F$229*12)-MIN(Time!AC32,Inputs!$F$229*12))</f>
        <v>6</v>
      </c>
      <c r="AD7" s="9" t="n">
        <f aca="false">MAX(0,MIN(Time!AD33,Inputs!$F$229*12)-MIN(Time!AD32,Inputs!$F$229*12))</f>
        <v>6</v>
      </c>
      <c r="AE7" s="9" t="n">
        <f aca="false">MAX(0,MIN(Time!AE33,Inputs!$F$229*12)-MIN(Time!AE32,Inputs!$F$229*12))</f>
        <v>4</v>
      </c>
      <c r="AF7" s="9" t="n">
        <f aca="false">MAX(0,MIN(Time!AF33,Inputs!$F$229*12)-MIN(Time!AF32,Inputs!$F$229*12))</f>
        <v>0</v>
      </c>
      <c r="AG7" s="9" t="n">
        <f aca="false">MAX(0,MIN(Time!AG33,Inputs!$F$229*12)-MIN(Time!AG32,Inputs!$F$229*12))</f>
        <v>0</v>
      </c>
      <c r="AH7" s="9" t="n">
        <f aca="false">MAX(0,MIN(Time!AH33,Inputs!$F$229*12)-MIN(Time!AH32,Inputs!$F$229*12))</f>
        <v>0</v>
      </c>
      <c r="AI7" s="9" t="n">
        <f aca="false">MAX(0,MIN(Time!AI33,Inputs!$F$229*12)-MIN(Time!AI32,Inputs!$F$229*12))</f>
        <v>0</v>
      </c>
      <c r="AJ7" s="9" t="n">
        <f aca="false">MAX(0,MIN(Time!AJ33,Inputs!$F$229*12)-MIN(Time!AJ32,Inputs!$F$229*12))</f>
        <v>0</v>
      </c>
      <c r="AK7" s="9" t="n">
        <f aca="false">MAX(0,MIN(Time!AK33,Inputs!$F$229*12)-MIN(Time!AK32,Inputs!$F$229*12))</f>
        <v>0</v>
      </c>
      <c r="AL7" s="9" t="n">
        <f aca="false">MAX(0,MIN(Time!AL33,Inputs!$F$229*12)-MIN(Time!AL32,Inputs!$F$229*12))</f>
        <v>0</v>
      </c>
      <c r="AM7" s="9" t="n">
        <f aca="false">MAX(0,MIN(Time!AM33,Inputs!$F$229*12)-MIN(Time!AM32,Inputs!$F$229*12))</f>
        <v>0</v>
      </c>
      <c r="AN7" s="9" t="n">
        <f aca="false">MAX(0,MIN(Time!AN33,Inputs!$F$229*12)-MIN(Time!AN32,Inputs!$F$229*12))</f>
        <v>0</v>
      </c>
      <c r="AO7" s="9" t="n">
        <f aca="false">MAX(0,MIN(Time!AO33,Inputs!$F$229*12)-MIN(Time!AO32,Inputs!$F$229*12))</f>
        <v>0</v>
      </c>
      <c r="AP7" s="9" t="n">
        <f aca="false">MAX(0,MIN(Time!AP33,Inputs!$F$229*12)-MIN(Time!AP32,Inputs!$F$229*12))</f>
        <v>0</v>
      </c>
      <c r="AQ7" s="9" t="n">
        <f aca="false">MAX(0,MIN(Time!AQ33,Inputs!$F$229*12)-MIN(Time!AQ32,Inputs!$F$229*12))</f>
        <v>0</v>
      </c>
      <c r="AR7" s="9" t="n">
        <f aca="false">MAX(0,MIN(Time!AR33,Inputs!$F$229*12)-MIN(Time!AR32,Inputs!$F$229*12))</f>
        <v>0</v>
      </c>
      <c r="AS7" s="9" t="n">
        <f aca="false">MAX(0,MIN(Time!AS33,Inputs!$F$229*12)-MIN(Time!AS32,Inputs!$F$229*12))</f>
        <v>0</v>
      </c>
      <c r="AT7" s="9" t="n">
        <f aca="false">MAX(0,MIN(Time!AT33,Inputs!$F$229*12)-MIN(Time!AT32,Inputs!$F$229*12))</f>
        <v>0</v>
      </c>
      <c r="AU7" s="9" t="n">
        <f aca="false">MAX(0,MIN(Time!AU33,Inputs!$F$229*12)-MIN(Time!AU32,Inputs!$F$229*12))</f>
        <v>0</v>
      </c>
      <c r="AV7" s="9" t="n">
        <f aca="false">MAX(0,MIN(Time!AV33,Inputs!$F$229*12)-MIN(Time!AV32,Inputs!$F$229*12))</f>
        <v>0</v>
      </c>
      <c r="AW7" s="9" t="n">
        <f aca="false">MAX(0,MIN(Time!AW33,Inputs!$F$229*12)-MIN(Time!AW32,Inputs!$F$229*12))</f>
        <v>0</v>
      </c>
      <c r="AX7" s="9" t="n">
        <f aca="false">MAX(0,MIN(Time!AX33,Inputs!$F$229*12)-MIN(Time!AX32,Inputs!$F$229*12))</f>
        <v>0</v>
      </c>
      <c r="AY7" s="9" t="n">
        <f aca="false">MAX(0,MIN(Time!AY33,Inputs!$F$229*12)-MIN(Time!AY32,Inputs!$F$229*12))</f>
        <v>0</v>
      </c>
      <c r="AZ7" s="9" t="n">
        <f aca="false">MAX(0,MIN(Time!AZ33,Inputs!$F$229*12)-MIN(Time!AZ32,Inputs!$F$229*12))</f>
        <v>0</v>
      </c>
      <c r="BA7" s="9" t="n">
        <f aca="false">MAX(0,MIN(Time!BA33,Inputs!$F$229*12)-MIN(Time!BA32,Inputs!$F$229*12))</f>
        <v>0</v>
      </c>
      <c r="BB7" s="9" t="n">
        <f aca="false">MAX(0,MIN(Time!BB33,Inputs!$F$229*12)-MIN(Time!BB32,Inputs!$F$229*12))</f>
        <v>0</v>
      </c>
      <c r="BC7" s="9" t="n">
        <f aca="false">MAX(0,MIN(Time!BC33,Inputs!$F$229*12)-MIN(Time!BC32,Inputs!$F$229*12))</f>
        <v>0</v>
      </c>
      <c r="BD7" s="9" t="n">
        <f aca="false">MAX(0,MIN(Time!BD33,Inputs!$F$229*12)-MIN(Time!BD32,Inputs!$F$229*12))</f>
        <v>0</v>
      </c>
      <c r="BE7" s="9" t="n">
        <f aca="false">MAX(0,MIN(Time!BE33,Inputs!$F$229*12)-MIN(Time!BE32,Inputs!$F$229*12))</f>
        <v>0</v>
      </c>
      <c r="BF7" s="9" t="n">
        <f aca="false">MAX(0,MIN(Time!BF33,Inputs!$F$229*12)-MIN(Time!BF32,Inputs!$F$229*12))</f>
        <v>0</v>
      </c>
      <c r="BG7" s="9" t="n">
        <f aca="false">MAX(0,MIN(Time!BG33,Inputs!$F$229*12)-MIN(Time!BG32,Inputs!$F$229*12))</f>
        <v>0</v>
      </c>
      <c r="BH7" s="9" t="n">
        <f aca="false">MAX(0,MIN(Time!BH33,Inputs!$F$229*12)-MIN(Time!BH32,Inputs!$F$229*12))</f>
        <v>0</v>
      </c>
      <c r="BI7" s="9" t="n">
        <f aca="false">MAX(0,MIN(Time!BI33,Inputs!$F$229*12)-MIN(Time!BI32,Inputs!$F$229*12))</f>
        <v>0</v>
      </c>
      <c r="BJ7" s="9" t="n">
        <f aca="false">MAX(0,MIN(Time!BJ33,Inputs!$F$229*12)-MIN(Time!BJ32,Inputs!$F$229*12))</f>
        <v>0</v>
      </c>
      <c r="BK7" s="9" t="n">
        <f aca="false">MAX(0,MIN(Time!BK33,Inputs!$F$229*12)-MIN(Time!BK32,Inputs!$F$229*12))</f>
        <v>0</v>
      </c>
      <c r="BL7" s="9" t="n">
        <f aca="false">MAX(0,MIN(Time!BL33,Inputs!$F$229*12)-MIN(Time!BL32,Inputs!$F$229*12))</f>
        <v>0</v>
      </c>
      <c r="BM7" s="9" t="n">
        <f aca="false">MAX(0,MIN(Time!BM33,Inputs!$F$229*12)-MIN(Time!BM32,Inputs!$F$229*12))</f>
        <v>0</v>
      </c>
      <c r="BN7" s="9" t="n">
        <f aca="false">MAX(0,MIN(Time!BN33,Inputs!$F$229*12)-MIN(Time!BN32,Inputs!$F$229*12))</f>
        <v>0</v>
      </c>
    </row>
    <row r="8" customFormat="false" ht="15" hidden="false" customHeight="false" outlineLevel="0" collapsed="false">
      <c r="D8" s="0" t="s">
        <v>1672</v>
      </c>
      <c r="E8" s="0" t="s">
        <v>99</v>
      </c>
      <c r="J8" s="9" t="n">
        <f aca="false">MAX(0,MIN(Time!J33,Inputs!$F$229*12)-MIN(MAX(Time!J32,Inputs!$F$229*12),Inputs!$F$229*12))</f>
        <v>0</v>
      </c>
      <c r="K8" s="9" t="n">
        <f aca="false">MAX(0,MIN(Time!K33,Inputs!$F$229*12)-MIN(MAX(Time!K32,Inputs!$F$229*12),Inputs!$F$229*12))</f>
        <v>0</v>
      </c>
      <c r="L8" s="9" t="n">
        <f aca="false">MAX(0,MIN(Time!L33,Inputs!$F$229*12)-MIN(MAX(Time!L32,Inputs!$F$229*12),Inputs!$F$229*12))</f>
        <v>0</v>
      </c>
      <c r="M8" s="9" t="n">
        <f aca="false">MAX(0,MIN(Time!M33,Inputs!$F$229*12)-MIN(MAX(Time!M32,Inputs!$F$229*12),Inputs!$F$229*12))</f>
        <v>0</v>
      </c>
      <c r="N8" s="9" t="n">
        <f aca="false">MAX(0,MIN(Time!N33,Inputs!$F$229*12)-MIN(MAX(Time!N32,Inputs!$F$229*12),Inputs!$F$229*12))</f>
        <v>0</v>
      </c>
      <c r="O8" s="9" t="n">
        <f aca="false">MAX(0,MIN(Time!O33,Inputs!$F$229*12)-MIN(MAX(Time!O32,Inputs!$F$229*12),Inputs!$F$229*12))</f>
        <v>0</v>
      </c>
      <c r="P8" s="9" t="n">
        <f aca="false">MAX(0,MIN(Time!P33,Inputs!$F$229*12)-MIN(MAX(Time!P32,Inputs!$F$229*12),Inputs!$F$229*12))</f>
        <v>0</v>
      </c>
      <c r="Q8" s="9" t="n">
        <f aca="false">MAX(0,MIN(Time!Q33,Inputs!$F$229*12)-MIN(MAX(Time!Q32,Inputs!$F$229*12),Inputs!$F$229*12))</f>
        <v>0</v>
      </c>
      <c r="R8" s="9" t="n">
        <f aca="false">MAX(0,MIN(Time!R33,Inputs!$F$229*12)-MIN(MAX(Time!R32,Inputs!$F$229*12),Inputs!$F$229*12))</f>
        <v>0</v>
      </c>
      <c r="S8" s="9" t="n">
        <f aca="false">MAX(0,MIN(Time!S33,Inputs!$F$229*12)-MIN(MAX(Time!S32,Inputs!$F$229*12),Inputs!$F$229*12))</f>
        <v>0</v>
      </c>
      <c r="T8" s="9" t="n">
        <f aca="false">MAX(0,MIN(Time!T33,Inputs!$F$229*12)-MIN(MAX(Time!T32,Inputs!$F$229*12),Inputs!$F$229*12))</f>
        <v>0</v>
      </c>
      <c r="U8" s="9" t="n">
        <f aca="false">MAX(0,MIN(Time!U33,Inputs!$F$229*12)-MIN(MAX(Time!U32,Inputs!$F$229*12),Inputs!$F$229*12))</f>
        <v>0</v>
      </c>
      <c r="V8" s="9" t="n">
        <f aca="false">MAX(0,MIN(Time!V33,Inputs!$F$229*12)-MIN(MAX(Time!V32,Inputs!$F$229*12),Inputs!$F$229*12))</f>
        <v>0</v>
      </c>
      <c r="W8" s="9" t="n">
        <f aca="false">MAX(0,MIN(Time!W33,Inputs!$F$229*12)-MIN(MAX(Time!W32,Inputs!$F$229*12),Inputs!$F$229*12))</f>
        <v>0</v>
      </c>
      <c r="X8" s="9" t="n">
        <f aca="false">MAX(0,MIN(Time!X33,Inputs!$F$229*12)-MIN(MAX(Time!X32,Inputs!$F$229*12),Inputs!$F$229*12))</f>
        <v>0</v>
      </c>
      <c r="Y8" s="9" t="n">
        <f aca="false">MAX(0,MIN(Time!Y33,Inputs!$F$229*12)-MIN(MAX(Time!Y32,Inputs!$F$229*12),Inputs!$F$229*12))</f>
        <v>0</v>
      </c>
      <c r="Z8" s="9" t="n">
        <f aca="false">MAX(0,MIN(Time!Z33,Inputs!$F$229*12)-MIN(MAX(Time!Z32,Inputs!$F$229*12),Inputs!$F$229*12))</f>
        <v>0</v>
      </c>
      <c r="AA8" s="9" t="n">
        <f aca="false">MAX(0,MIN(Time!AA33,Inputs!$F$229*12)-MIN(MAX(Time!AA32,Inputs!$F$229*12),Inputs!$F$229*12))</f>
        <v>0</v>
      </c>
      <c r="AB8" s="9" t="n">
        <f aca="false">MAX(0,MIN(Time!AB33,Inputs!$F$229*12)-MIN(MAX(Time!AB32,Inputs!$F$229*12),Inputs!$F$229*12))</f>
        <v>0</v>
      </c>
      <c r="AC8" s="9" t="n">
        <f aca="false">MAX(0,MIN(Time!AC33,Inputs!$F$229*12)-MIN(MAX(Time!AC32,Inputs!$F$229*12),Inputs!$F$229*12))</f>
        <v>0</v>
      </c>
      <c r="AD8" s="9" t="n">
        <f aca="false">MAX(0,MIN(Time!AD33,Inputs!$F$229*12)-MIN(MAX(Time!AD32,Inputs!$F$229*12),Inputs!$F$229*12))</f>
        <v>0</v>
      </c>
      <c r="AE8" s="9" t="n">
        <f aca="false">MAX(0,MIN(Time!AE33,Inputs!$F$229*12)-MIN(MAX(Time!AE32,Inputs!$F$229*12),Inputs!$F$229*12))</f>
        <v>0</v>
      </c>
      <c r="AF8" s="9" t="n">
        <f aca="false">MAX(0,MIN(Time!AF33,Inputs!$F$229*12)-MIN(MAX(Time!AF32,Inputs!$F$229*12),Inputs!$F$229*12))</f>
        <v>0</v>
      </c>
      <c r="AG8" s="9" t="n">
        <f aca="false">MAX(0,MIN(Time!AG33,Inputs!$F$229*12)-MIN(MAX(Time!AG32,Inputs!$F$229*12),Inputs!$F$229*12))</f>
        <v>0</v>
      </c>
      <c r="AH8" s="9" t="n">
        <f aca="false">MAX(0,MIN(Time!AH33,Inputs!$F$229*12)-MIN(MAX(Time!AH32,Inputs!$F$229*12),Inputs!$F$229*12))</f>
        <v>0</v>
      </c>
      <c r="AI8" s="9" t="n">
        <f aca="false">MAX(0,MIN(Time!AI33,Inputs!$F$229*12)-MIN(MAX(Time!AI32,Inputs!$F$229*12),Inputs!$F$229*12))</f>
        <v>0</v>
      </c>
      <c r="AJ8" s="9" t="n">
        <f aca="false">MAX(0,MIN(Time!AJ33,Inputs!$F$229*12)-MIN(MAX(Time!AJ32,Inputs!$F$229*12),Inputs!$F$229*12))</f>
        <v>0</v>
      </c>
      <c r="AK8" s="9" t="n">
        <f aca="false">MAX(0,MIN(Time!AK33,Inputs!$F$229*12)-MIN(MAX(Time!AK32,Inputs!$F$229*12),Inputs!$F$229*12))</f>
        <v>0</v>
      </c>
      <c r="AL8" s="9" t="n">
        <f aca="false">MAX(0,MIN(Time!AL33,Inputs!$F$229*12)-MIN(MAX(Time!AL32,Inputs!$F$229*12),Inputs!$F$229*12))</f>
        <v>0</v>
      </c>
      <c r="AM8" s="9" t="n">
        <f aca="false">MAX(0,MIN(Time!AM33,Inputs!$F$229*12)-MIN(MAX(Time!AM32,Inputs!$F$229*12),Inputs!$F$229*12))</f>
        <v>0</v>
      </c>
      <c r="AN8" s="9" t="n">
        <f aca="false">MAX(0,MIN(Time!AN33,Inputs!$F$229*12)-MIN(MAX(Time!AN32,Inputs!$F$229*12),Inputs!$F$229*12))</f>
        <v>0</v>
      </c>
      <c r="AO8" s="9" t="n">
        <f aca="false">MAX(0,MIN(Time!AO33,Inputs!$F$229*12)-MIN(MAX(Time!AO32,Inputs!$F$229*12),Inputs!$F$229*12))</f>
        <v>0</v>
      </c>
      <c r="AP8" s="9" t="n">
        <f aca="false">MAX(0,MIN(Time!AP33,Inputs!$F$229*12)-MIN(MAX(Time!AP32,Inputs!$F$229*12),Inputs!$F$229*12))</f>
        <v>0</v>
      </c>
      <c r="AQ8" s="9" t="n">
        <f aca="false">MAX(0,MIN(Time!AQ33,Inputs!$F$229*12)-MIN(MAX(Time!AQ32,Inputs!$F$229*12),Inputs!$F$229*12))</f>
        <v>0</v>
      </c>
      <c r="AR8" s="9" t="n">
        <f aca="false">MAX(0,MIN(Time!AR33,Inputs!$F$229*12)-MIN(MAX(Time!AR32,Inputs!$F$229*12),Inputs!$F$229*12))</f>
        <v>0</v>
      </c>
      <c r="AS8" s="9" t="n">
        <f aca="false">MAX(0,MIN(Time!AS33,Inputs!$F$229*12)-MIN(MAX(Time!AS32,Inputs!$F$229*12),Inputs!$F$229*12))</f>
        <v>0</v>
      </c>
      <c r="AT8" s="9" t="n">
        <f aca="false">MAX(0,MIN(Time!AT33,Inputs!$F$229*12)-MIN(MAX(Time!AT32,Inputs!$F$229*12),Inputs!$F$229*12))</f>
        <v>0</v>
      </c>
      <c r="AU8" s="9" t="n">
        <f aca="false">MAX(0,MIN(Time!AU33,Inputs!$F$229*12)-MIN(MAX(Time!AU32,Inputs!$F$229*12),Inputs!$F$229*12))</f>
        <v>0</v>
      </c>
      <c r="AV8" s="9" t="n">
        <f aca="false">MAX(0,MIN(Time!AV33,Inputs!$F$229*12)-MIN(MAX(Time!AV32,Inputs!$F$229*12),Inputs!$F$229*12))</f>
        <v>0</v>
      </c>
      <c r="AW8" s="9" t="n">
        <f aca="false">MAX(0,MIN(Time!AW33,Inputs!$F$229*12)-MIN(MAX(Time!AW32,Inputs!$F$229*12),Inputs!$F$229*12))</f>
        <v>0</v>
      </c>
      <c r="AX8" s="9" t="n">
        <f aca="false">MAX(0,MIN(Time!AX33,Inputs!$F$229*12)-MIN(MAX(Time!AX32,Inputs!$F$229*12),Inputs!$F$229*12))</f>
        <v>0</v>
      </c>
      <c r="AY8" s="9" t="n">
        <f aca="false">MAX(0,MIN(Time!AY33,Inputs!$F$229*12)-MIN(MAX(Time!AY32,Inputs!$F$229*12),Inputs!$F$229*12))</f>
        <v>0</v>
      </c>
      <c r="AZ8" s="9" t="n">
        <f aca="false">MAX(0,MIN(Time!AZ33,Inputs!$F$229*12)-MIN(MAX(Time!AZ32,Inputs!$F$229*12),Inputs!$F$229*12))</f>
        <v>0</v>
      </c>
      <c r="BA8" s="9" t="n">
        <f aca="false">MAX(0,MIN(Time!BA33,Inputs!$F$229*12)-MIN(MAX(Time!BA32,Inputs!$F$229*12),Inputs!$F$229*12))</f>
        <v>0</v>
      </c>
      <c r="BB8" s="9" t="n">
        <f aca="false">MAX(0,MIN(Time!BB33,Inputs!$F$229*12)-MIN(MAX(Time!BB32,Inputs!$F$229*12),Inputs!$F$229*12))</f>
        <v>0</v>
      </c>
      <c r="BC8" s="9" t="n">
        <f aca="false">MAX(0,MIN(Time!BC33,Inputs!$F$229*12)-MIN(MAX(Time!BC32,Inputs!$F$229*12),Inputs!$F$229*12))</f>
        <v>0</v>
      </c>
      <c r="BD8" s="9" t="n">
        <f aca="false">MAX(0,MIN(Time!BD33,Inputs!$F$229*12)-MIN(MAX(Time!BD32,Inputs!$F$229*12),Inputs!$F$229*12))</f>
        <v>0</v>
      </c>
      <c r="BE8" s="9" t="n">
        <f aca="false">MAX(0,MIN(Time!BE33,Inputs!$F$229*12)-MIN(MAX(Time!BE32,Inputs!$F$229*12),Inputs!$F$229*12))</f>
        <v>0</v>
      </c>
      <c r="BF8" s="9" t="n">
        <f aca="false">MAX(0,MIN(Time!BF33,Inputs!$F$229*12)-MIN(MAX(Time!BF32,Inputs!$F$229*12),Inputs!$F$229*12))</f>
        <v>0</v>
      </c>
      <c r="BG8" s="9" t="n">
        <f aca="false">MAX(0,MIN(Time!BG33,Inputs!$F$229*12)-MIN(MAX(Time!BG32,Inputs!$F$229*12),Inputs!$F$229*12))</f>
        <v>0</v>
      </c>
      <c r="BH8" s="9" t="n">
        <f aca="false">MAX(0,MIN(Time!BH33,Inputs!$F$229*12)-MIN(MAX(Time!BH32,Inputs!$F$229*12),Inputs!$F$229*12))</f>
        <v>0</v>
      </c>
      <c r="BI8" s="9" t="n">
        <f aca="false">MAX(0,MIN(Time!BI33,Inputs!$F$229*12)-MIN(MAX(Time!BI32,Inputs!$F$229*12),Inputs!$F$229*12))</f>
        <v>0</v>
      </c>
      <c r="BJ8" s="9" t="n">
        <f aca="false">MAX(0,MIN(Time!BJ33,Inputs!$F$229*12)-MIN(MAX(Time!BJ32,Inputs!$F$229*12),Inputs!$F$229*12))</f>
        <v>0</v>
      </c>
      <c r="BK8" s="9" t="n">
        <f aca="false">MAX(0,MIN(Time!BK33,Inputs!$F$229*12)-MIN(MAX(Time!BK32,Inputs!$F$229*12),Inputs!$F$229*12))</f>
        <v>0</v>
      </c>
      <c r="BL8" s="9" t="n">
        <f aca="false">MAX(0,MIN(Time!BL33,Inputs!$F$229*12)-MIN(MAX(Time!BL32,Inputs!$F$229*12),Inputs!$F$229*12))</f>
        <v>0</v>
      </c>
      <c r="BM8" s="9" t="n">
        <f aca="false">MAX(0,MIN(Time!BM33,Inputs!$F$229*12)-MIN(MAX(Time!BM32,Inputs!$F$229*12),Inputs!$F$229*12))</f>
        <v>0</v>
      </c>
      <c r="BN8" s="9" t="n">
        <f aca="false">MAX(0,MIN(Time!BN33,Inputs!$F$229*12)-MIN(MAX(Time!BN32,Inputs!$F$229*12),Inputs!$F$229*12))</f>
        <v>0</v>
      </c>
    </row>
    <row r="9" customFormat="false" ht="15" hidden="false" customHeight="false" outlineLevel="0" collapsed="false">
      <c r="D9" s="0" t="s">
        <v>1673</v>
      </c>
      <c r="E9" s="0" t="s">
        <v>99</v>
      </c>
      <c r="J9" s="9" t="n">
        <f aca="false">Time!J30-J7-J8</f>
        <v>0</v>
      </c>
      <c r="K9" s="9" t="n">
        <f aca="false">Time!K30-K7-K8</f>
        <v>0</v>
      </c>
      <c r="L9" s="9" t="n">
        <f aca="false">Time!L30-L7-L8</f>
        <v>0</v>
      </c>
      <c r="M9" s="9" t="n">
        <f aca="false">Time!M30-M7-M8</f>
        <v>0</v>
      </c>
      <c r="N9" s="9" t="n">
        <f aca="false">Time!N30-N7-N8</f>
        <v>0</v>
      </c>
      <c r="O9" s="9" t="n">
        <f aca="false">Time!O30-O7-O8</f>
        <v>0</v>
      </c>
      <c r="P9" s="9" t="n">
        <f aca="false">Time!P30-P7-P8</f>
        <v>0</v>
      </c>
      <c r="Q9" s="9" t="n">
        <f aca="false">Time!Q30-Q7-Q8</f>
        <v>0</v>
      </c>
      <c r="R9" s="9" t="n">
        <f aca="false">Time!R30-R7-R8</f>
        <v>0</v>
      </c>
      <c r="S9" s="9" t="n">
        <f aca="false">Time!S30-S7-S8</f>
        <v>0</v>
      </c>
      <c r="T9" s="9" t="n">
        <f aca="false">Time!T30-T7-T8</f>
        <v>0</v>
      </c>
      <c r="U9" s="9" t="n">
        <f aca="false">Time!U30-U7-U8</f>
        <v>0</v>
      </c>
      <c r="V9" s="9" t="n">
        <f aca="false">Time!V30-V7-V8</f>
        <v>0</v>
      </c>
      <c r="W9" s="9" t="n">
        <f aca="false">Time!W30-W7-W8</f>
        <v>0</v>
      </c>
      <c r="X9" s="9" t="n">
        <f aca="false">Time!X30-X7-X8</f>
        <v>0</v>
      </c>
      <c r="Y9" s="9" t="n">
        <f aca="false">Time!Y30-Y7-Y8</f>
        <v>0</v>
      </c>
      <c r="Z9" s="9" t="n">
        <f aca="false">Time!Z30-Z7-Z8</f>
        <v>0</v>
      </c>
      <c r="AA9" s="9" t="n">
        <f aca="false">Time!AA30-AA7-AA8</f>
        <v>0</v>
      </c>
      <c r="AB9" s="9" t="n">
        <f aca="false">Time!AB30-AB7-AB8</f>
        <v>0</v>
      </c>
      <c r="AC9" s="9" t="n">
        <f aca="false">Time!AC30-AC7-AC8</f>
        <v>0</v>
      </c>
      <c r="AD9" s="9" t="n">
        <f aca="false">Time!AD30-AD7-AD8</f>
        <v>0</v>
      </c>
      <c r="AE9" s="9" t="n">
        <f aca="false">Time!AE30-AE7-AE8</f>
        <v>2</v>
      </c>
      <c r="AF9" s="9" t="n">
        <f aca="false">Time!AF30-AF7-AF8</f>
        <v>6</v>
      </c>
      <c r="AG9" s="9" t="n">
        <f aca="false">Time!AG30-AG7-AG8</f>
        <v>6</v>
      </c>
      <c r="AH9" s="9" t="n">
        <f aca="false">Time!AH30-AH7-AH8</f>
        <v>6</v>
      </c>
      <c r="AI9" s="9" t="n">
        <f aca="false">Time!AI30-AI7-AI8</f>
        <v>6</v>
      </c>
      <c r="AJ9" s="9" t="n">
        <f aca="false">Time!AJ30-AJ7-AJ8</f>
        <v>6</v>
      </c>
      <c r="AK9" s="9" t="n">
        <f aca="false">Time!AK30-AK7-AK8</f>
        <v>6</v>
      </c>
      <c r="AL9" s="9" t="n">
        <f aca="false">Time!AL30-AL7-AL8</f>
        <v>6</v>
      </c>
      <c r="AM9" s="9" t="n">
        <f aca="false">Time!AM30-AM7-AM8</f>
        <v>6</v>
      </c>
      <c r="AN9" s="9" t="n">
        <f aca="false">Time!AN30-AN7-AN8</f>
        <v>6</v>
      </c>
      <c r="AO9" s="9" t="n">
        <f aca="false">Time!AO30-AO7-AO8</f>
        <v>6</v>
      </c>
      <c r="AP9" s="9" t="n">
        <f aca="false">Time!AP30-AP7-AP8</f>
        <v>6</v>
      </c>
      <c r="AQ9" s="9" t="n">
        <f aca="false">Time!AQ30-AQ7-AQ8</f>
        <v>6</v>
      </c>
      <c r="AR9" s="9" t="n">
        <f aca="false">Time!AR30-AR7-AR8</f>
        <v>6</v>
      </c>
      <c r="AS9" s="9" t="n">
        <f aca="false">Time!AS30-AS7-AS8</f>
        <v>6</v>
      </c>
      <c r="AT9" s="9" t="n">
        <f aca="false">Time!AT30-AT7-AT8</f>
        <v>6</v>
      </c>
      <c r="AU9" s="9" t="n">
        <f aca="false">Time!AU30-AU7-AU8</f>
        <v>6</v>
      </c>
      <c r="AV9" s="9" t="n">
        <f aca="false">Time!AV30-AV7-AV8</f>
        <v>6</v>
      </c>
      <c r="AW9" s="9" t="n">
        <f aca="false">Time!AW30-AW7-AW8</f>
        <v>6</v>
      </c>
      <c r="AX9" s="9" t="n">
        <f aca="false">Time!AX30-AX7-AX8</f>
        <v>6</v>
      </c>
      <c r="AY9" s="9" t="n">
        <f aca="false">Time!AY30-AY7-AY8</f>
        <v>6</v>
      </c>
      <c r="AZ9" s="9" t="n">
        <f aca="false">Time!AZ30-AZ7-AZ8</f>
        <v>6</v>
      </c>
      <c r="BA9" s="9" t="n">
        <f aca="false">Time!BA30-BA7-BA8</f>
        <v>6</v>
      </c>
      <c r="BB9" s="9" t="n">
        <f aca="false">Time!BB30-BB7-BB8</f>
        <v>6</v>
      </c>
      <c r="BC9" s="9" t="n">
        <f aca="false">Time!BC30-BC7-BC8</f>
        <v>6</v>
      </c>
      <c r="BD9" s="9" t="n">
        <f aca="false">Time!BD30-BD7-BD8</f>
        <v>6</v>
      </c>
      <c r="BE9" s="9" t="n">
        <f aca="false">Time!BE30-BE7-BE8</f>
        <v>6</v>
      </c>
      <c r="BF9" s="9" t="n">
        <f aca="false">Time!BF30-BF7-BF8</f>
        <v>6</v>
      </c>
      <c r="BG9" s="9" t="n">
        <f aca="false">Time!BG30-BG7-BG8</f>
        <v>6</v>
      </c>
      <c r="BH9" s="9" t="n">
        <f aca="false">Time!BH30-BH7-BH8</f>
        <v>6</v>
      </c>
      <c r="BI9" s="9" t="n">
        <f aca="false">Time!BI30-BI7-BI8</f>
        <v>6</v>
      </c>
      <c r="BJ9" s="9" t="n">
        <f aca="false">Time!BJ30-BJ7-BJ8</f>
        <v>6</v>
      </c>
      <c r="BK9" s="9" t="n">
        <f aca="false">Time!BK30-BK7-BK8</f>
        <v>6</v>
      </c>
      <c r="BL9" s="9" t="n">
        <f aca="false">Time!BL30-BL7-BL8</f>
        <v>6</v>
      </c>
      <c r="BM9" s="9" t="n">
        <f aca="false">Time!BM30-BM7-BM8</f>
        <v>4</v>
      </c>
      <c r="BN9" s="9" t="n">
        <f aca="false">Time!BN30-BN7-BN8</f>
        <v>0</v>
      </c>
    </row>
    <row r="10" customFormat="false" ht="15" hidden="false" customHeight="false" outlineLevel="0" collapsed="false">
      <c r="D10" s="0" t="s">
        <v>1674</v>
      </c>
      <c r="E10" s="0" t="s">
        <v>151</v>
      </c>
      <c r="G10" s="13" t="n">
        <f aca="false">SUM(J10:BN10)</f>
        <v>839.165028593786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7.55248525734407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22.6574557720322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22.6574557720322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22.6574557720322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22.6574557720322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22.6574557720322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22.6574557720322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22.6574557720322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22.6574557720322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22.6574557720322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21.8182907434384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20.1399606862509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20.1399606862509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20.1399606862509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20.1399606862509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20.1399606862509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20.1399606862509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20.1399606862509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20.1399606862509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20.1399606862509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20.1399606862509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20.1399606862509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20.1399606862509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20.1399606862509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20.1399606862509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20.1399606862509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20.1399606862509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20.1399606862509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20.1399606862509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20.1399606862509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20.1399606862509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20.1399606862509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20.1399606862509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20.1399606862509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20.1399606862509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20.1399606862509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20.1399606862509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20.1399606862509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20.1399606862509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20.1399606862509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13.7063621336985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0.839165028593786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0.839165028593786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0.839165028593786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0.839165028593786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0.839165028593786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0.839165028593786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0.839165028593786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0.839165028593786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0.839165028593786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0.559443352395857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1675</v>
      </c>
      <c r="E11" s="0" t="s">
        <v>151</v>
      </c>
      <c r="G11" s="13" t="n">
        <f aca="false">SUM(J11:BN11)</f>
        <v>347.414321837827</v>
      </c>
      <c r="J11" s="13" t="n">
        <f aca="false">(Inputs!$F$177*Funding!$F$76/Inputs!$F$178+Inputs!$F$179*Funding!$F$76/Inputs!$F$180)*J7+Inputs!$F$181*Funding!$F$76/Inputs!$F$182*MAX(0,MIN(Time!J33,MIN(Inputs!$F$182,Inputs!$F$229*12))-MIN(Time!J32,MIN(Inputs!$F$182,Inputs!$F$229*12)))</f>
        <v>0</v>
      </c>
      <c r="K11" s="13" t="n">
        <f aca="false">(Inputs!$F$177*Funding!$F$76/Inputs!$F$178+Inputs!$F$179*Funding!$F$76/Inputs!$F$180)*K7+Inputs!$F$181*Funding!$F$76/Inputs!$F$182*MAX(0,MIN(Time!K33,MIN(Inputs!$F$182,Inputs!$F$229*12))-MIN(Time!K32,MIN(Inputs!$F$182,Inputs!$F$229*12)))</f>
        <v>0</v>
      </c>
      <c r="L11" s="13" t="n">
        <f aca="false">(Inputs!$F$177*Funding!$F$76/Inputs!$F$178+Inputs!$F$179*Funding!$F$76/Inputs!$F$180)*L7+Inputs!$F$181*Funding!$F$76/Inputs!$F$182*MAX(0,MIN(Time!L33,MIN(Inputs!$F$182,Inputs!$F$229*12))-MIN(Time!L32,MIN(Inputs!$F$182,Inputs!$F$229*12)))</f>
        <v>0</v>
      </c>
      <c r="M11" s="13" t="n">
        <f aca="false">(Inputs!$F$177*Funding!$F$76/Inputs!$F$178+Inputs!$F$179*Funding!$F$76/Inputs!$F$180)*M7+Inputs!$F$181*Funding!$F$76/Inputs!$F$182*MAX(0,MIN(Time!M33,MIN(Inputs!$F$182,Inputs!$F$229*12))-MIN(Time!M32,MIN(Inputs!$F$182,Inputs!$F$229*12)))</f>
        <v>0</v>
      </c>
      <c r="N11" s="13" t="n">
        <f aca="false">(Inputs!$F$177*Funding!$F$76/Inputs!$F$178+Inputs!$F$179*Funding!$F$76/Inputs!$F$180)*N7+Inputs!$F$181*Funding!$F$76/Inputs!$F$182*MAX(0,MIN(Time!N33,MIN(Inputs!$F$182,Inputs!$F$229*12))-MIN(Time!N32,MIN(Inputs!$F$182,Inputs!$F$229*12)))</f>
        <v>0</v>
      </c>
      <c r="O11" s="13" t="n">
        <f aca="false">(Inputs!$F$177*Funding!$F$76/Inputs!$F$178+Inputs!$F$179*Funding!$F$76/Inputs!$F$180)*O7+Inputs!$F$181*Funding!$F$76/Inputs!$F$182*MAX(0,MIN(Time!O33,MIN(Inputs!$F$182,Inputs!$F$229*12))-MIN(Time!O32,MIN(Inputs!$F$182,Inputs!$F$229*12)))</f>
        <v>7.55248525734407</v>
      </c>
      <c r="P11" s="13" t="n">
        <f aca="false">(Inputs!$F$177*Funding!$F$76/Inputs!$F$178+Inputs!$F$179*Funding!$F$76/Inputs!$F$180)*P7+Inputs!$F$181*Funding!$F$76/Inputs!$F$182*MAX(0,MIN(Time!P33,MIN(Inputs!$F$182,Inputs!$F$229*12))-MIN(Time!P32,MIN(Inputs!$F$182,Inputs!$F$229*12)))</f>
        <v>22.6574557720322</v>
      </c>
      <c r="Q11" s="13" t="n">
        <f aca="false">(Inputs!$F$177*Funding!$F$76/Inputs!$F$178+Inputs!$F$179*Funding!$F$76/Inputs!$F$180)*Q7+Inputs!$F$181*Funding!$F$76/Inputs!$F$182*MAX(0,MIN(Time!Q33,MIN(Inputs!$F$182,Inputs!$F$229*12))-MIN(Time!Q32,MIN(Inputs!$F$182,Inputs!$F$229*12)))</f>
        <v>22.6574557720322</v>
      </c>
      <c r="R11" s="13" t="n">
        <f aca="false">(Inputs!$F$177*Funding!$F$76/Inputs!$F$178+Inputs!$F$179*Funding!$F$76/Inputs!$F$180)*R7+Inputs!$F$181*Funding!$F$76/Inputs!$F$182*MAX(0,MIN(Time!R33,MIN(Inputs!$F$182,Inputs!$F$229*12))-MIN(Time!R32,MIN(Inputs!$F$182,Inputs!$F$229*12)))</f>
        <v>22.6574557720322</v>
      </c>
      <c r="S11" s="13" t="n">
        <f aca="false">(Inputs!$F$177*Funding!$F$76/Inputs!$F$178+Inputs!$F$179*Funding!$F$76/Inputs!$F$180)*S7+Inputs!$F$181*Funding!$F$76/Inputs!$F$182*MAX(0,MIN(Time!S33,MIN(Inputs!$F$182,Inputs!$F$229*12))-MIN(Time!S32,MIN(Inputs!$F$182,Inputs!$F$229*12)))</f>
        <v>22.6574557720322</v>
      </c>
      <c r="T11" s="13" t="n">
        <f aca="false">(Inputs!$F$177*Funding!$F$76/Inputs!$F$178+Inputs!$F$179*Funding!$F$76/Inputs!$F$180)*T7+Inputs!$F$181*Funding!$F$76/Inputs!$F$182*MAX(0,MIN(Time!T33,MIN(Inputs!$F$182,Inputs!$F$229*12))-MIN(Time!T32,MIN(Inputs!$F$182,Inputs!$F$229*12)))</f>
        <v>22.6574557720322</v>
      </c>
      <c r="U11" s="13" t="n">
        <f aca="false">(Inputs!$F$177*Funding!$F$76/Inputs!$F$178+Inputs!$F$179*Funding!$F$76/Inputs!$F$180)*U7+Inputs!$F$181*Funding!$F$76/Inputs!$F$182*MAX(0,MIN(Time!U33,MIN(Inputs!$F$182,Inputs!$F$229*12))-MIN(Time!U32,MIN(Inputs!$F$182,Inputs!$F$229*12)))</f>
        <v>22.6574557720322</v>
      </c>
      <c r="V11" s="13" t="n">
        <f aca="false">(Inputs!$F$177*Funding!$F$76/Inputs!$F$178+Inputs!$F$179*Funding!$F$76/Inputs!$F$180)*V7+Inputs!$F$181*Funding!$F$76/Inputs!$F$182*MAX(0,MIN(Time!V33,MIN(Inputs!$F$182,Inputs!$F$229*12))-MIN(Time!V32,MIN(Inputs!$F$182,Inputs!$F$229*12)))</f>
        <v>22.6574557720322</v>
      </c>
      <c r="W11" s="13" t="n">
        <f aca="false">(Inputs!$F$177*Funding!$F$76/Inputs!$F$178+Inputs!$F$179*Funding!$F$76/Inputs!$F$180)*W7+Inputs!$F$181*Funding!$F$76/Inputs!$F$182*MAX(0,MIN(Time!W33,MIN(Inputs!$F$182,Inputs!$F$229*12))-MIN(Time!W32,MIN(Inputs!$F$182,Inputs!$F$229*12)))</f>
        <v>22.6574557720322</v>
      </c>
      <c r="X11" s="13" t="n">
        <f aca="false">(Inputs!$F$177*Funding!$F$76/Inputs!$F$178+Inputs!$F$179*Funding!$F$76/Inputs!$F$180)*X7+Inputs!$F$181*Funding!$F$76/Inputs!$F$182*MAX(0,MIN(Time!X33,MIN(Inputs!$F$182,Inputs!$F$229*12))-MIN(Time!X32,MIN(Inputs!$F$182,Inputs!$F$229*12)))</f>
        <v>22.6574557720322</v>
      </c>
      <c r="Y11" s="13" t="n">
        <f aca="false">(Inputs!$F$177*Funding!$F$76/Inputs!$F$178+Inputs!$F$179*Funding!$F$76/Inputs!$F$180)*Y7+Inputs!$F$181*Funding!$F$76/Inputs!$F$182*MAX(0,MIN(Time!Y33,MIN(Inputs!$F$182,Inputs!$F$229*12))-MIN(Time!Y32,MIN(Inputs!$F$182,Inputs!$F$229*12)))</f>
        <v>21.8182907434384</v>
      </c>
      <c r="Z11" s="13" t="n">
        <f aca="false">(Inputs!$F$177*Funding!$F$76/Inputs!$F$178+Inputs!$F$179*Funding!$F$76/Inputs!$F$180)*Z7+Inputs!$F$181*Funding!$F$76/Inputs!$F$182*MAX(0,MIN(Time!Z33,MIN(Inputs!$F$182,Inputs!$F$229*12))-MIN(Time!Z32,MIN(Inputs!$F$182,Inputs!$F$229*12)))</f>
        <v>20.1399606862509</v>
      </c>
      <c r="AA11" s="13" t="n">
        <f aca="false">(Inputs!$F$177*Funding!$F$76/Inputs!$F$178+Inputs!$F$179*Funding!$F$76/Inputs!$F$180)*AA7+Inputs!$F$181*Funding!$F$76/Inputs!$F$182*MAX(0,MIN(Time!AA33,MIN(Inputs!$F$182,Inputs!$F$229*12))-MIN(Time!AA32,MIN(Inputs!$F$182,Inputs!$F$229*12)))</f>
        <v>20.1399606862509</v>
      </c>
      <c r="AB11" s="13" t="n">
        <f aca="false">(Inputs!$F$177*Funding!$F$76/Inputs!$F$178+Inputs!$F$179*Funding!$F$76/Inputs!$F$180)*AB7+Inputs!$F$181*Funding!$F$76/Inputs!$F$182*MAX(0,MIN(Time!AB33,MIN(Inputs!$F$182,Inputs!$F$229*12))-MIN(Time!AB32,MIN(Inputs!$F$182,Inputs!$F$229*12)))</f>
        <v>20.1399606862509</v>
      </c>
      <c r="AC11" s="13" t="n">
        <f aca="false">(Inputs!$F$177*Funding!$F$76/Inputs!$F$178+Inputs!$F$179*Funding!$F$76/Inputs!$F$180)*AC7+Inputs!$F$181*Funding!$F$76/Inputs!$F$182*MAX(0,MIN(Time!AC33,MIN(Inputs!$F$182,Inputs!$F$229*12))-MIN(Time!AC32,MIN(Inputs!$F$182,Inputs!$F$229*12)))</f>
        <v>20.1399606862509</v>
      </c>
      <c r="AD11" s="13" t="n">
        <f aca="false">(Inputs!$F$177*Funding!$F$76/Inputs!$F$178+Inputs!$F$179*Funding!$F$76/Inputs!$F$180)*AD7+Inputs!$F$181*Funding!$F$76/Inputs!$F$182*MAX(0,MIN(Time!AD33,MIN(Inputs!$F$182,Inputs!$F$229*12))-MIN(Time!AD32,MIN(Inputs!$F$182,Inputs!$F$229*12)))</f>
        <v>20.1399606862509</v>
      </c>
      <c r="AE11" s="13" t="n">
        <f aca="false">(Inputs!$F$177*Funding!$F$76/Inputs!$F$178+Inputs!$F$179*Funding!$F$76/Inputs!$F$180)*AE7+Inputs!$F$181*Funding!$F$76/Inputs!$F$182*MAX(0,MIN(Time!AE33,MIN(Inputs!$F$182,Inputs!$F$229*12))-MIN(Time!AE32,MIN(Inputs!$F$182,Inputs!$F$229*12)))</f>
        <v>13.4266404575006</v>
      </c>
      <c r="AF11" s="13" t="n">
        <f aca="false">(Inputs!$F$177*Funding!$F$76/Inputs!$F$178+Inputs!$F$179*Funding!$F$76/Inputs!$F$180)*AF7+Inputs!$F$181*Funding!$F$76/Inputs!$F$182*MAX(0,MIN(Time!AF33,MIN(Inputs!$F$182,Inputs!$F$229*12))-MIN(Time!AF32,MIN(Inputs!$F$182,Inputs!$F$229*12)))</f>
        <v>0</v>
      </c>
      <c r="AG11" s="13" t="n">
        <f aca="false">(Inputs!$F$177*Funding!$F$76/Inputs!$F$178+Inputs!$F$179*Funding!$F$76/Inputs!$F$180)*AG7+Inputs!$F$181*Funding!$F$76/Inputs!$F$182*MAX(0,MIN(Time!AG33,MIN(Inputs!$F$182,Inputs!$F$229*12))-MIN(Time!AG32,MIN(Inputs!$F$182,Inputs!$F$229*12)))</f>
        <v>0</v>
      </c>
      <c r="AH11" s="13" t="n">
        <f aca="false">(Inputs!$F$177*Funding!$F$76/Inputs!$F$178+Inputs!$F$179*Funding!$F$76/Inputs!$F$180)*AH7+Inputs!$F$181*Funding!$F$76/Inputs!$F$182*MAX(0,MIN(Time!AH33,MIN(Inputs!$F$182,Inputs!$F$229*12))-MIN(Time!AH32,MIN(Inputs!$F$182,Inputs!$F$229*12)))</f>
        <v>0</v>
      </c>
      <c r="AI11" s="13" t="n">
        <f aca="false">(Inputs!$F$177*Funding!$F$76/Inputs!$F$178+Inputs!$F$179*Funding!$F$76/Inputs!$F$180)*AI7+Inputs!$F$181*Funding!$F$76/Inputs!$F$182*MAX(0,MIN(Time!AI33,MIN(Inputs!$F$182,Inputs!$F$229*12))-MIN(Time!AI32,MIN(Inputs!$F$182,Inputs!$F$229*12)))</f>
        <v>0</v>
      </c>
      <c r="AJ11" s="13" t="n">
        <f aca="false">(Inputs!$F$177*Funding!$F$76/Inputs!$F$178+Inputs!$F$179*Funding!$F$76/Inputs!$F$180)*AJ7+Inputs!$F$181*Funding!$F$76/Inputs!$F$182*MAX(0,MIN(Time!AJ33,MIN(Inputs!$F$182,Inputs!$F$229*12))-MIN(Time!AJ32,MIN(Inputs!$F$182,Inputs!$F$229*12)))</f>
        <v>0</v>
      </c>
      <c r="AK11" s="13" t="n">
        <f aca="false">(Inputs!$F$177*Funding!$F$76/Inputs!$F$178+Inputs!$F$179*Funding!$F$76/Inputs!$F$180)*AK7+Inputs!$F$181*Funding!$F$76/Inputs!$F$182*MAX(0,MIN(Time!AK33,MIN(Inputs!$F$182,Inputs!$F$229*12))-MIN(Time!AK32,MIN(Inputs!$F$182,Inputs!$F$229*12)))</f>
        <v>0</v>
      </c>
      <c r="AL11" s="13" t="n">
        <f aca="false">(Inputs!$F$177*Funding!$F$76/Inputs!$F$178+Inputs!$F$179*Funding!$F$76/Inputs!$F$180)*AL7+Inputs!$F$181*Funding!$F$76/Inputs!$F$182*MAX(0,MIN(Time!AL33,MIN(Inputs!$F$182,Inputs!$F$229*12))-MIN(Time!AL32,MIN(Inputs!$F$182,Inputs!$F$229*12)))</f>
        <v>0</v>
      </c>
      <c r="AM11" s="13" t="n">
        <f aca="false">(Inputs!$F$177*Funding!$F$76/Inputs!$F$178+Inputs!$F$179*Funding!$F$76/Inputs!$F$180)*AM7+Inputs!$F$181*Funding!$F$76/Inputs!$F$182*MAX(0,MIN(Time!AM33,MIN(Inputs!$F$182,Inputs!$F$229*12))-MIN(Time!AM32,MIN(Inputs!$F$182,Inputs!$F$229*12)))</f>
        <v>0</v>
      </c>
      <c r="AN11" s="13" t="n">
        <f aca="false">(Inputs!$F$177*Funding!$F$76/Inputs!$F$178+Inputs!$F$179*Funding!$F$76/Inputs!$F$180)*AN7+Inputs!$F$181*Funding!$F$76/Inputs!$F$182*MAX(0,MIN(Time!AN33,MIN(Inputs!$F$182,Inputs!$F$229*12))-MIN(Time!AN32,MIN(Inputs!$F$182,Inputs!$F$229*12)))</f>
        <v>0</v>
      </c>
      <c r="AO11" s="13" t="n">
        <f aca="false">(Inputs!$F$177*Funding!$F$76/Inputs!$F$178+Inputs!$F$179*Funding!$F$76/Inputs!$F$180)*AO7+Inputs!$F$181*Funding!$F$76/Inputs!$F$182*MAX(0,MIN(Time!AO33,MIN(Inputs!$F$182,Inputs!$F$229*12))-MIN(Time!AO32,MIN(Inputs!$F$182,Inputs!$F$229*12)))</f>
        <v>0</v>
      </c>
      <c r="AP11" s="13" t="n">
        <f aca="false">(Inputs!$F$177*Funding!$F$76/Inputs!$F$178+Inputs!$F$179*Funding!$F$76/Inputs!$F$180)*AP7+Inputs!$F$181*Funding!$F$76/Inputs!$F$182*MAX(0,MIN(Time!AP33,MIN(Inputs!$F$182,Inputs!$F$229*12))-MIN(Time!AP32,MIN(Inputs!$F$182,Inputs!$F$229*12)))</f>
        <v>0</v>
      </c>
      <c r="AQ11" s="13" t="n">
        <f aca="false">(Inputs!$F$177*Funding!$F$76/Inputs!$F$178+Inputs!$F$179*Funding!$F$76/Inputs!$F$180)*AQ7+Inputs!$F$181*Funding!$F$76/Inputs!$F$182*MAX(0,MIN(Time!AQ33,MIN(Inputs!$F$182,Inputs!$F$229*12))-MIN(Time!AQ32,MIN(Inputs!$F$182,Inputs!$F$229*12)))</f>
        <v>0</v>
      </c>
      <c r="AR11" s="13" t="n">
        <f aca="false">(Inputs!$F$177*Funding!$F$76/Inputs!$F$178+Inputs!$F$179*Funding!$F$76/Inputs!$F$180)*AR7+Inputs!$F$181*Funding!$F$76/Inputs!$F$182*MAX(0,MIN(Time!AR33,MIN(Inputs!$F$182,Inputs!$F$229*12))-MIN(Time!AR32,MIN(Inputs!$F$182,Inputs!$F$229*12)))</f>
        <v>0</v>
      </c>
      <c r="AS11" s="13" t="n">
        <f aca="false">(Inputs!$F$177*Funding!$F$76/Inputs!$F$178+Inputs!$F$179*Funding!$F$76/Inputs!$F$180)*AS7+Inputs!$F$181*Funding!$F$76/Inputs!$F$182*MAX(0,MIN(Time!AS33,MIN(Inputs!$F$182,Inputs!$F$229*12))-MIN(Time!AS32,MIN(Inputs!$F$182,Inputs!$F$229*12)))</f>
        <v>0</v>
      </c>
      <c r="AT11" s="13" t="n">
        <f aca="false">(Inputs!$F$177*Funding!$F$76/Inputs!$F$178+Inputs!$F$179*Funding!$F$76/Inputs!$F$180)*AT7+Inputs!$F$181*Funding!$F$76/Inputs!$F$182*MAX(0,MIN(Time!AT33,MIN(Inputs!$F$182,Inputs!$F$229*12))-MIN(Time!AT32,MIN(Inputs!$F$182,Inputs!$F$229*12)))</f>
        <v>0</v>
      </c>
      <c r="AU11" s="13" t="n">
        <f aca="false">(Inputs!$F$177*Funding!$F$76/Inputs!$F$178+Inputs!$F$179*Funding!$F$76/Inputs!$F$180)*AU7+Inputs!$F$181*Funding!$F$76/Inputs!$F$182*MAX(0,MIN(Time!AU33,MIN(Inputs!$F$182,Inputs!$F$229*12))-MIN(Time!AU32,MIN(Inputs!$F$182,Inputs!$F$229*12)))</f>
        <v>0</v>
      </c>
      <c r="AV11" s="13" t="n">
        <f aca="false">(Inputs!$F$177*Funding!$F$76/Inputs!$F$178+Inputs!$F$179*Funding!$F$76/Inputs!$F$180)*AV7+Inputs!$F$181*Funding!$F$76/Inputs!$F$182*MAX(0,MIN(Time!AV33,MIN(Inputs!$F$182,Inputs!$F$229*12))-MIN(Time!AV32,MIN(Inputs!$F$182,Inputs!$F$229*12)))</f>
        <v>0</v>
      </c>
      <c r="AW11" s="13" t="n">
        <f aca="false">(Inputs!$F$177*Funding!$F$76/Inputs!$F$178+Inputs!$F$179*Funding!$F$76/Inputs!$F$180)*AW7+Inputs!$F$181*Funding!$F$76/Inputs!$F$182*MAX(0,MIN(Time!AW33,MIN(Inputs!$F$182,Inputs!$F$229*12))-MIN(Time!AW32,MIN(Inputs!$F$182,Inputs!$F$229*12)))</f>
        <v>0</v>
      </c>
      <c r="AX11" s="13" t="n">
        <f aca="false">(Inputs!$F$177*Funding!$F$76/Inputs!$F$178+Inputs!$F$179*Funding!$F$76/Inputs!$F$180)*AX7+Inputs!$F$181*Funding!$F$76/Inputs!$F$182*MAX(0,MIN(Time!AX33,MIN(Inputs!$F$182,Inputs!$F$229*12))-MIN(Time!AX32,MIN(Inputs!$F$182,Inputs!$F$229*12)))</f>
        <v>0</v>
      </c>
      <c r="AY11" s="13" t="n">
        <f aca="false">(Inputs!$F$177*Funding!$F$76/Inputs!$F$178+Inputs!$F$179*Funding!$F$76/Inputs!$F$180)*AY7+Inputs!$F$181*Funding!$F$76/Inputs!$F$182*MAX(0,MIN(Time!AY33,MIN(Inputs!$F$182,Inputs!$F$229*12))-MIN(Time!AY32,MIN(Inputs!$F$182,Inputs!$F$229*12)))</f>
        <v>0</v>
      </c>
      <c r="AZ11" s="13" t="n">
        <f aca="false">(Inputs!$F$177*Funding!$F$76/Inputs!$F$178+Inputs!$F$179*Funding!$F$76/Inputs!$F$180)*AZ7+Inputs!$F$181*Funding!$F$76/Inputs!$F$182*MAX(0,MIN(Time!AZ33,MIN(Inputs!$F$182,Inputs!$F$229*12))-MIN(Time!AZ32,MIN(Inputs!$F$182,Inputs!$F$229*12)))</f>
        <v>0</v>
      </c>
      <c r="BA11" s="13" t="n">
        <f aca="false">(Inputs!$F$177*Funding!$F$76/Inputs!$F$178+Inputs!$F$179*Funding!$F$76/Inputs!$F$180)*BA7+Inputs!$F$181*Funding!$F$76/Inputs!$F$182*MAX(0,MIN(Time!BA33,MIN(Inputs!$F$182,Inputs!$F$229*12))-MIN(Time!BA32,MIN(Inputs!$F$182,Inputs!$F$229*12)))</f>
        <v>0</v>
      </c>
      <c r="BB11" s="13" t="n">
        <f aca="false">(Inputs!$F$177*Funding!$F$76/Inputs!$F$178+Inputs!$F$179*Funding!$F$76/Inputs!$F$180)*BB7+Inputs!$F$181*Funding!$F$76/Inputs!$F$182*MAX(0,MIN(Time!BB33,MIN(Inputs!$F$182,Inputs!$F$229*12))-MIN(Time!BB32,MIN(Inputs!$F$182,Inputs!$F$229*12)))</f>
        <v>0</v>
      </c>
      <c r="BC11" s="13" t="n">
        <f aca="false">(Inputs!$F$177*Funding!$F$76/Inputs!$F$178+Inputs!$F$179*Funding!$F$76/Inputs!$F$180)*BC7+Inputs!$F$181*Funding!$F$76/Inputs!$F$182*MAX(0,MIN(Time!BC33,MIN(Inputs!$F$182,Inputs!$F$229*12))-MIN(Time!BC32,MIN(Inputs!$F$182,Inputs!$F$229*12)))</f>
        <v>0</v>
      </c>
      <c r="BD11" s="13" t="n">
        <f aca="false">(Inputs!$F$177*Funding!$F$76/Inputs!$F$178+Inputs!$F$179*Funding!$F$76/Inputs!$F$180)*BD7+Inputs!$F$181*Funding!$F$76/Inputs!$F$182*MAX(0,MIN(Time!BD33,MIN(Inputs!$F$182,Inputs!$F$229*12))-MIN(Time!BD32,MIN(Inputs!$F$182,Inputs!$F$229*12)))</f>
        <v>0</v>
      </c>
      <c r="BE11" s="13" t="n">
        <f aca="false">(Inputs!$F$177*Funding!$F$76/Inputs!$F$178+Inputs!$F$179*Funding!$F$76/Inputs!$F$180)*BE7+Inputs!$F$181*Funding!$F$76/Inputs!$F$182*MAX(0,MIN(Time!BE33,MIN(Inputs!$F$182,Inputs!$F$229*12))-MIN(Time!BE32,MIN(Inputs!$F$182,Inputs!$F$229*12)))</f>
        <v>0</v>
      </c>
      <c r="BF11" s="13" t="n">
        <f aca="false">(Inputs!$F$177*Funding!$F$76/Inputs!$F$178+Inputs!$F$179*Funding!$F$76/Inputs!$F$180)*BF7+Inputs!$F$181*Funding!$F$76/Inputs!$F$182*MAX(0,MIN(Time!BF33,MIN(Inputs!$F$182,Inputs!$F$229*12))-MIN(Time!BF32,MIN(Inputs!$F$182,Inputs!$F$229*12)))</f>
        <v>0</v>
      </c>
      <c r="BG11" s="13" t="n">
        <f aca="false">(Inputs!$F$177*Funding!$F$76/Inputs!$F$178+Inputs!$F$179*Funding!$F$76/Inputs!$F$180)*BG7+Inputs!$F$181*Funding!$F$76/Inputs!$F$182*MAX(0,MIN(Time!BG33,MIN(Inputs!$F$182,Inputs!$F$229*12))-MIN(Time!BG32,MIN(Inputs!$F$182,Inputs!$F$229*12)))</f>
        <v>0</v>
      </c>
      <c r="BH11" s="13" t="n">
        <f aca="false">(Inputs!$F$177*Funding!$F$76/Inputs!$F$178+Inputs!$F$179*Funding!$F$76/Inputs!$F$180)*BH7+Inputs!$F$181*Funding!$F$76/Inputs!$F$182*MAX(0,MIN(Time!BH33,MIN(Inputs!$F$182,Inputs!$F$229*12))-MIN(Time!BH32,MIN(Inputs!$F$182,Inputs!$F$229*12)))</f>
        <v>0</v>
      </c>
      <c r="BI11" s="13" t="n">
        <f aca="false">(Inputs!$F$177*Funding!$F$76/Inputs!$F$178+Inputs!$F$179*Funding!$F$76/Inputs!$F$180)*BI7+Inputs!$F$181*Funding!$F$76/Inputs!$F$182*MAX(0,MIN(Time!BI33,MIN(Inputs!$F$182,Inputs!$F$229*12))-MIN(Time!BI32,MIN(Inputs!$F$182,Inputs!$F$229*12)))</f>
        <v>0</v>
      </c>
      <c r="BJ11" s="13" t="n">
        <f aca="false">(Inputs!$F$177*Funding!$F$76/Inputs!$F$178+Inputs!$F$179*Funding!$F$76/Inputs!$F$180)*BJ7+Inputs!$F$181*Funding!$F$76/Inputs!$F$182*MAX(0,MIN(Time!BJ33,MIN(Inputs!$F$182,Inputs!$F$229*12))-MIN(Time!BJ32,MIN(Inputs!$F$182,Inputs!$F$229*12)))</f>
        <v>0</v>
      </c>
      <c r="BK11" s="13" t="n">
        <f aca="false">(Inputs!$F$177*Funding!$F$76/Inputs!$F$178+Inputs!$F$179*Funding!$F$76/Inputs!$F$180)*BK7+Inputs!$F$181*Funding!$F$76/Inputs!$F$182*MAX(0,MIN(Time!BK33,MIN(Inputs!$F$182,Inputs!$F$229*12))-MIN(Time!BK32,MIN(Inputs!$F$182,Inputs!$F$229*12)))</f>
        <v>0</v>
      </c>
      <c r="BL11" s="13" t="n">
        <f aca="false">(Inputs!$F$177*Funding!$F$76/Inputs!$F$178+Inputs!$F$179*Funding!$F$76/Inputs!$F$180)*BL7+Inputs!$F$181*Funding!$F$76/Inputs!$F$182*MAX(0,MIN(Time!BL33,MIN(Inputs!$F$182,Inputs!$F$229*12))-MIN(Time!BL32,MIN(Inputs!$F$182,Inputs!$F$229*12)))</f>
        <v>0</v>
      </c>
      <c r="BM11" s="13" t="n">
        <f aca="false">(Inputs!$F$177*Funding!$F$76/Inputs!$F$178+Inputs!$F$179*Funding!$F$76/Inputs!$F$180)*BM7+Inputs!$F$181*Funding!$F$76/Inputs!$F$182*MAX(0,MIN(Time!BM33,MIN(Inputs!$F$182,Inputs!$F$229*12))-MIN(Time!BM32,MIN(Inputs!$F$182,Inputs!$F$229*12)))</f>
        <v>0</v>
      </c>
      <c r="BN11" s="13" t="n">
        <f aca="false">(Inputs!$F$177*Funding!$F$76/Inputs!$F$178+Inputs!$F$179*Funding!$F$76/Inputs!$F$180)*BN7+Inputs!$F$181*Funding!$F$76/Inputs!$F$182*MAX(0,MIN(Time!BN33,MIN(Inputs!$F$182,Inputs!$F$229*12))-MIN(Time!BN32,MIN(Inputs!$F$182,Inputs!$F$229*12)))</f>
        <v>0</v>
      </c>
    </row>
    <row r="12" customFormat="false" ht="15" hidden="false" customHeight="false" outlineLevel="0" collapsed="false">
      <c r="D12" s="0" t="s">
        <v>1676</v>
      </c>
      <c r="E12" s="0" t="s">
        <v>151</v>
      </c>
      <c r="G12" s="13" t="n">
        <f aca="false">SUM(J12:BN12)</f>
        <v>491.750706755958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0</v>
      </c>
      <c r="Z12" s="13" t="n">
        <f aca="false">Z10-Z11</f>
        <v>0</v>
      </c>
      <c r="AA12" s="13" t="n">
        <f aca="false">AA10-AA11</f>
        <v>0</v>
      </c>
      <c r="AB12" s="13" t="n">
        <f aca="false">AB10-AB11</f>
        <v>0</v>
      </c>
      <c r="AC12" s="13" t="n">
        <f aca="false">AC10-AC11</f>
        <v>0</v>
      </c>
      <c r="AD12" s="13" t="n">
        <f aca="false">AD10-AD11</f>
        <v>0</v>
      </c>
      <c r="AE12" s="13" t="n">
        <f aca="false">AE10-AE11</f>
        <v>6.71332022875029</v>
      </c>
      <c r="AF12" s="13" t="n">
        <f aca="false">AF10-AF11</f>
        <v>20.1399606862509</v>
      </c>
      <c r="AG12" s="13" t="n">
        <f aca="false">AG10-AG11</f>
        <v>20.1399606862509</v>
      </c>
      <c r="AH12" s="13" t="n">
        <f aca="false">AH10-AH11</f>
        <v>20.1399606862509</v>
      </c>
      <c r="AI12" s="13" t="n">
        <f aca="false">AI10-AI11</f>
        <v>20.1399606862509</v>
      </c>
      <c r="AJ12" s="13" t="n">
        <f aca="false">AJ10-AJ11</f>
        <v>20.1399606862509</v>
      </c>
      <c r="AK12" s="13" t="n">
        <f aca="false">AK10-AK11</f>
        <v>20.1399606862509</v>
      </c>
      <c r="AL12" s="13" t="n">
        <f aca="false">AL10-AL11</f>
        <v>20.1399606862509</v>
      </c>
      <c r="AM12" s="13" t="n">
        <f aca="false">AM10-AM11</f>
        <v>20.1399606862509</v>
      </c>
      <c r="AN12" s="13" t="n">
        <f aca="false">AN10-AN11</f>
        <v>20.1399606862509</v>
      </c>
      <c r="AO12" s="13" t="n">
        <f aca="false">AO10-AO11</f>
        <v>20.1399606862509</v>
      </c>
      <c r="AP12" s="13" t="n">
        <f aca="false">AP10-AP11</f>
        <v>20.1399606862509</v>
      </c>
      <c r="AQ12" s="13" t="n">
        <f aca="false">AQ10-AQ11</f>
        <v>20.1399606862509</v>
      </c>
      <c r="AR12" s="13" t="n">
        <f aca="false">AR10-AR11</f>
        <v>20.1399606862509</v>
      </c>
      <c r="AS12" s="13" t="n">
        <f aca="false">AS10-AS11</f>
        <v>20.1399606862509</v>
      </c>
      <c r="AT12" s="13" t="n">
        <f aca="false">AT10-AT11</f>
        <v>20.1399606862509</v>
      </c>
      <c r="AU12" s="13" t="n">
        <f aca="false">AU10-AU11</f>
        <v>20.1399606862509</v>
      </c>
      <c r="AV12" s="13" t="n">
        <f aca="false">AV10-AV11</f>
        <v>20.1399606862509</v>
      </c>
      <c r="AW12" s="13" t="n">
        <f aca="false">AW10-AW11</f>
        <v>20.1399606862509</v>
      </c>
      <c r="AX12" s="13" t="n">
        <f aca="false">AX10-AX11</f>
        <v>20.1399606862509</v>
      </c>
      <c r="AY12" s="13" t="n">
        <f aca="false">AY10-AY11</f>
        <v>20.1399606862509</v>
      </c>
      <c r="AZ12" s="13" t="n">
        <f aca="false">AZ10-AZ11</f>
        <v>20.1399606862509</v>
      </c>
      <c r="BA12" s="13" t="n">
        <f aca="false">BA10-BA11</f>
        <v>20.1399606862509</v>
      </c>
      <c r="BB12" s="13" t="n">
        <f aca="false">BB10-BB11</f>
        <v>20.1399606862509</v>
      </c>
      <c r="BC12" s="13" t="n">
        <f aca="false">BC10-BC11</f>
        <v>13.7063621336985</v>
      </c>
      <c r="BD12" s="13" t="n">
        <f aca="false">BD10-BD11</f>
        <v>0.839165028593786</v>
      </c>
      <c r="BE12" s="13" t="n">
        <f aca="false">BE10-BE11</f>
        <v>0.839165028593786</v>
      </c>
      <c r="BF12" s="13" t="n">
        <f aca="false">BF10-BF11</f>
        <v>0.839165028593786</v>
      </c>
      <c r="BG12" s="13" t="n">
        <f aca="false">BG10-BG11</f>
        <v>0.839165028593786</v>
      </c>
      <c r="BH12" s="13" t="n">
        <f aca="false">BH10-BH11</f>
        <v>0.839165028593786</v>
      </c>
      <c r="BI12" s="13" t="n">
        <f aca="false">BI10-BI11</f>
        <v>0.839165028593786</v>
      </c>
      <c r="BJ12" s="13" t="n">
        <f aca="false">BJ10-BJ11</f>
        <v>0.839165028593786</v>
      </c>
      <c r="BK12" s="13" t="n">
        <f aca="false">BK10-BK11</f>
        <v>0.839165028593786</v>
      </c>
      <c r="BL12" s="13" t="n">
        <f aca="false">BL10-BL11</f>
        <v>0.839165028593786</v>
      </c>
      <c r="BM12" s="13" t="n">
        <f aca="false">BM10-BM11</f>
        <v>0.559443352395857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1677</v>
      </c>
      <c r="E13" s="0" t="s">
        <v>151</v>
      </c>
      <c r="G13" s="13" t="n">
        <f aca="false">SUM(J13:BN13)</f>
        <v>105.017784802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2.97831145595445</v>
      </c>
      <c r="P13" s="13" t="n">
        <f aca="false">IF(Time!P20&gt;=Time!$F$12,Waterfall!P33*Inputs!$F$104/100*Time!P31/Inputs!$F$248,0)</f>
        <v>9.12639170541909</v>
      </c>
      <c r="Q13" s="13" t="n">
        <f aca="false">IF(Time!Q20&gt;=Time!$F$12,Waterfall!Q33*Inputs!$F$104/100*Time!Q31/Inputs!$F$248,0)</f>
        <v>8.49745278331314</v>
      </c>
      <c r="R13" s="13" t="n">
        <f aca="false">IF(Time!R20&gt;=Time!$F$12,Waterfall!R33*Inputs!$F$104/100*Time!R31/Inputs!$F$248,0)</f>
        <v>8.26486089243623</v>
      </c>
      <c r="S13" s="13" t="n">
        <f aca="false">IF(Time!S20&gt;=Time!$F$12,Waterfall!S33*Inputs!$F$104/100*Time!S31/Inputs!$F$248,0)</f>
        <v>7.72420326040992</v>
      </c>
      <c r="T13" s="13" t="n">
        <f aca="false">IF(Time!T20&gt;=Time!$F$12,Waterfall!T33*Inputs!$F$104/100*Time!T31/Inputs!$F$248,0)</f>
        <v>7.46338838324077</v>
      </c>
      <c r="U13" s="13" t="n">
        <f aca="false">IF(Time!U20&gt;=Time!$F$12,Waterfall!U33*Inputs!$F$104/100*Time!U31/Inputs!$F$248,0)</f>
        <v>6.91517469159569</v>
      </c>
      <c r="V13" s="13" t="n">
        <f aca="false">IF(Time!V20&gt;=Time!$F$12,Waterfall!V33*Inputs!$F$104/100*Time!V31/Inputs!$F$248,0)</f>
        <v>6.51667234074161</v>
      </c>
      <c r="W13" s="13" t="n">
        <f aca="false">IF(Time!W20&gt;=Time!$F$12,Waterfall!W33*Inputs!$F$104/100*Time!W31/Inputs!$F$248,0)</f>
        <v>5.93226342808597</v>
      </c>
      <c r="X13" s="13" t="n">
        <f aca="false">IF(Time!X20&gt;=Time!$F$12,Waterfall!X33*Inputs!$F$104/100*Time!X31/Inputs!$F$248,0)</f>
        <v>5.51985623674944</v>
      </c>
      <c r="Y13" s="13" t="n">
        <f aca="false">IF(Time!Y20&gt;=Time!$F$12,Waterfall!Y33*Inputs!$F$104/100*Time!Y31/Inputs!$F$248,0)</f>
        <v>4.90844826242734</v>
      </c>
      <c r="Z13" s="13" t="n">
        <f aca="false">IF(Time!Z20&gt;=Time!$F$12,Waterfall!Z33*Inputs!$F$104/100*Time!Z31/Inputs!$F$248,0)</f>
        <v>4.44958414224923</v>
      </c>
      <c r="AA13" s="13" t="n">
        <f aca="false">IF(Time!AA20&gt;=Time!$F$12,Waterfall!AA33*Inputs!$F$104/100*Time!AA31/Inputs!$F$248,0)</f>
        <v>3.7959886510021</v>
      </c>
      <c r="AB13" s="13" t="n">
        <f aca="false">IF(Time!AB20&gt;=Time!$F$12,Waterfall!AB33*Inputs!$F$104/100*Time!AB31/Inputs!$F$248,0)</f>
        <v>3.66432205792541</v>
      </c>
      <c r="AC13" s="13" t="n">
        <f aca="false">IF(Time!AC20&gt;=Time!$F$12,Waterfall!AC33*Inputs!$F$104/100*Time!AC31/Inputs!$F$248,0)</f>
        <v>3.34902696656258</v>
      </c>
      <c r="AD13" s="13" t="n">
        <f aca="false">IF(Time!AD20&gt;=Time!$F$12,Waterfall!AD33*Inputs!$F$104/100*Time!AD31/Inputs!$F$248,0)</f>
        <v>3.09741740476739</v>
      </c>
      <c r="AE13" s="13" t="n">
        <f aca="false">IF(Time!AE20&gt;=Time!$F$12,Waterfall!AE33*Inputs!$F$104/100*Time!AE31/Inputs!$F$248,0)</f>
        <v>2.71301399588224</v>
      </c>
      <c r="AF13" s="13" t="n">
        <f aca="false">IF(Time!AF20&gt;=Time!$F$12,Waterfall!AF33*Inputs!$F$104/100*Time!AF31/Inputs!$F$248,0)</f>
        <v>2.45273007137692</v>
      </c>
      <c r="AG13" s="13" t="n">
        <f aca="false">IF(Time!AG20&gt;=Time!$F$12,Waterfall!AG33*Inputs!$F$104/100*Time!AG31/Inputs!$F$248,0)</f>
        <v>2.15100759697464</v>
      </c>
      <c r="AH13" s="13" t="n">
        <f aca="false">IF(Time!AH20&gt;=Time!$F$12,Waterfall!AH33*Inputs!$F$104/100*Time!AH31/Inputs!$F$248,0)</f>
        <v>1.89316991013244</v>
      </c>
      <c r="AI13" s="13" t="n">
        <f aca="false">IF(Time!AI20&gt;=Time!$F$12,Waterfall!AI33*Inputs!$F$104/100*Time!AI31/Inputs!$F$248,0)</f>
        <v>1.52271877794218</v>
      </c>
      <c r="AJ13" s="13" t="n">
        <f aca="false">IF(Time!AJ20&gt;=Time!$F$12,Waterfall!AJ33*Inputs!$F$104/100*Time!AJ31/Inputs!$F$248,0)</f>
        <v>1.17736137954009</v>
      </c>
      <c r="AK13" s="13" t="n">
        <f aca="false">IF(Time!AK20&gt;=Time!$F$12,Waterfall!AK33*Inputs!$F$104/100*Time!AK31/Inputs!$F$248,0)</f>
        <v>0.712890782169308</v>
      </c>
      <c r="AL13" s="13" t="n">
        <f aca="false">IF(Time!AL20&gt;=Time!$F$12,Waterfall!AL33*Inputs!$F$104/100*Time!AL31/Inputs!$F$248,0)</f>
        <v>0.191529625101751</v>
      </c>
      <c r="AM13" s="13" t="n">
        <f aca="false">IF(Time!AM20&gt;=Time!$F$12,Waterfall!AM33*Inputs!$F$104/100*Time!AM31/Inputs!$F$248,0)</f>
        <v>0</v>
      </c>
      <c r="AN13" s="13" t="n">
        <f aca="false">IF(Time!AN20&gt;=Time!$F$12,Waterfall!AN33*Inputs!$F$104/100*Time!AN31/Inputs!$F$248,0)</f>
        <v>0</v>
      </c>
      <c r="AO13" s="13" t="n">
        <f aca="false">IF(Time!AO20&gt;=Time!$F$12,Waterfall!AO33*Inputs!$F$104/100*Time!AO31/Inputs!$F$248,0)</f>
        <v>0</v>
      </c>
      <c r="AP13" s="13" t="n">
        <f aca="false">IF(Time!AP20&gt;=Time!$F$12,Waterfall!AP33*Inputs!$F$104/100*Time!AP31/Inputs!$F$248,0)</f>
        <v>0</v>
      </c>
      <c r="AQ13" s="13" t="n">
        <f aca="false">IF(Time!AQ20&gt;=Time!$F$12,Waterfall!AQ33*Inputs!$F$104/100*Time!AQ31/Inputs!$F$248,0)</f>
        <v>0</v>
      </c>
      <c r="AR13" s="13" t="n">
        <f aca="false">IF(Time!AR20&gt;=Time!$F$12,Waterfall!AR33*Inputs!$F$104/100*Time!AR31/Inputs!$F$248,0)</f>
        <v>0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1678</v>
      </c>
      <c r="E14" s="0" t="s">
        <v>111</v>
      </c>
      <c r="J14" s="3" t="n">
        <f aca="false">IF(Waterfall!J33&gt;0,MIN(1,Inputs!$F$183*(Waterfall!$F$32+MAX(0,Waterfall!I43))/Waterfall!J33),1)</f>
        <v>1</v>
      </c>
      <c r="K14" s="3" t="n">
        <f aca="false">IF(Waterfall!K33&gt;0,MIN(1,Inputs!$F$183*(Waterfall!$F$32+MAX(0,Waterfall!J43))/Waterfall!K33),1)</f>
        <v>1</v>
      </c>
      <c r="L14" s="3" t="n">
        <f aca="false">IF(Waterfall!L33&gt;0,MIN(1,Inputs!$F$183*(Waterfall!$F$32+MAX(0,Waterfall!K43))/Waterfall!L33),1)</f>
        <v>1</v>
      </c>
      <c r="M14" s="3" t="n">
        <f aca="false">IF(Waterfall!M33&gt;0,MIN(1,Inputs!$F$183*(Waterfall!$F$32+MAX(0,Waterfall!L43))/Waterfall!M33),1)</f>
        <v>1</v>
      </c>
      <c r="N14" s="3" t="n">
        <f aca="false">IF(Waterfall!N33&gt;0,MIN(1,Inputs!$F$183*(Waterfall!$F$32+MAX(0,Waterfall!M43))/Waterfall!N33),1)</f>
        <v>1</v>
      </c>
      <c r="O14" s="3" t="n">
        <f aca="false">IF(Waterfall!O33&gt;0,MIN(1,Inputs!$F$183*(Waterfall!$F$32+MAX(0,Waterfall!N43))/Waterfall!O33),1)</f>
        <v>0.656610142060413</v>
      </c>
      <c r="P14" s="3" t="n">
        <f aca="false">IF(Waterfall!P33&gt;0,MIN(1,Inputs!$F$183*(Waterfall!$F$32+MAX(0,Waterfall!O43))/Waterfall!P33),1)</f>
        <v>0.796189743696956</v>
      </c>
      <c r="Q14" s="3" t="n">
        <f aca="false">IF(Waterfall!Q33&gt;0,MIN(1,Inputs!$F$183*(Waterfall!$F$32+MAX(0,Waterfall!P43))/Waterfall!Q33),1)</f>
        <v>0.928894153475598</v>
      </c>
      <c r="R14" s="3" t="n">
        <f aca="false">IF(Waterfall!R33&gt;0,MIN(1,Inputs!$F$183*(Waterfall!$F$32+MAX(0,Waterfall!Q43))/Waterfall!R33),1)</f>
        <v>1</v>
      </c>
      <c r="S14" s="3" t="n">
        <f aca="false">IF(Waterfall!S33&gt;0,MIN(1,Inputs!$F$183*(Waterfall!$F$32+MAX(0,Waterfall!R43))/Waterfall!S33),1)</f>
        <v>1</v>
      </c>
      <c r="T14" s="3" t="n">
        <f aca="false">IF(Waterfall!T33&gt;0,MIN(1,Inputs!$F$183*(Waterfall!$F$32+MAX(0,Waterfall!S43))/Waterfall!T33),1)</f>
        <v>1</v>
      </c>
      <c r="U14" s="3" t="n">
        <f aca="false">IF(Waterfall!U33&gt;0,MIN(1,Inputs!$F$183*(Waterfall!$F$32+MAX(0,Waterfall!T43))/Waterfall!U33),1)</f>
        <v>1</v>
      </c>
      <c r="V14" s="3" t="n">
        <f aca="false">IF(Waterfall!V33&gt;0,MIN(1,Inputs!$F$183*(Waterfall!$F$32+MAX(0,Waterfall!U43))/Waterfall!V33),1)</f>
        <v>1</v>
      </c>
      <c r="W14" s="3" t="n">
        <f aca="false">IF(Waterfall!W33&gt;0,MIN(1,Inputs!$F$183*(Waterfall!$F$32+MAX(0,Waterfall!V43))/Waterfall!W33),1)</f>
        <v>1</v>
      </c>
      <c r="X14" s="3" t="n">
        <f aca="false">IF(Waterfall!X33&gt;0,MIN(1,Inputs!$F$183*(Waterfall!$F$32+MAX(0,Waterfall!W43))/Waterfall!X33),1)</f>
        <v>1</v>
      </c>
      <c r="Y14" s="3" t="n">
        <f aca="false">IF(Waterfall!Y33&gt;0,MIN(1,Inputs!$F$183*(Waterfall!$F$32+MAX(0,Waterfall!X43))/Waterfall!Y33),1)</f>
        <v>1</v>
      </c>
      <c r="Z14" s="3" t="n">
        <f aca="false">IF(Waterfall!Z33&gt;0,MIN(1,Inputs!$F$183*(Waterfall!$F$32+MAX(0,Waterfall!Y43))/Waterfall!Z33),1)</f>
        <v>1</v>
      </c>
      <c r="AA14" s="3" t="n">
        <f aca="false">IF(Waterfall!AA33&gt;0,MIN(1,Inputs!$F$183*(Waterfall!$F$32+MAX(0,Waterfall!Z43))/Waterfall!AA33),1)</f>
        <v>1</v>
      </c>
      <c r="AB14" s="3" t="n">
        <f aca="false">IF(Waterfall!AB33&gt;0,MIN(1,Inputs!$F$183*(Waterfall!$F$32+MAX(0,Waterfall!AA43))/Waterfall!AB33),1)</f>
        <v>1</v>
      </c>
      <c r="AC14" s="3" t="n">
        <f aca="false">IF(Waterfall!AC33&gt;0,MIN(1,Inputs!$F$183*(Waterfall!$F$32+MAX(0,Waterfall!AB43))/Waterfall!AC33),1)</f>
        <v>1</v>
      </c>
      <c r="AD14" s="3" t="n">
        <f aca="false">IF(Waterfall!AD33&gt;0,MIN(1,Inputs!$F$183*(Waterfall!$F$32+MAX(0,Waterfall!AC43))/Waterfall!AD33),1)</f>
        <v>1</v>
      </c>
      <c r="AE14" s="3" t="n">
        <f aca="false">IF(Waterfall!AE33&gt;0,MIN(1,Inputs!$F$183*(Waterfall!$F$32+MAX(0,Waterfall!AD43))/Waterfall!AE33),1)</f>
        <v>1</v>
      </c>
      <c r="AF14" s="3" t="n">
        <f aca="false">IF(Waterfall!AF33&gt;0,MIN(1,Inputs!$F$183*(Waterfall!$F$32+MAX(0,Waterfall!AE43))/Waterfall!AF33),1)</f>
        <v>1</v>
      </c>
      <c r="AG14" s="3" t="n">
        <f aca="false">IF(Waterfall!AG33&gt;0,MIN(1,Inputs!$F$183*(Waterfall!$F$32+MAX(0,Waterfall!AF43))/Waterfall!AG33),1)</f>
        <v>1</v>
      </c>
      <c r="AH14" s="3" t="n">
        <f aca="false">IF(Waterfall!AH33&gt;0,MIN(1,Inputs!$F$183*(Waterfall!$F$32+MAX(0,Waterfall!AG43))/Waterfall!AH33),1)</f>
        <v>1</v>
      </c>
      <c r="AI14" s="3" t="n">
        <f aca="false">IF(Waterfall!AI33&gt;0,MIN(1,Inputs!$F$183*(Waterfall!$F$32+MAX(0,Waterfall!AH43))/Waterfall!AI33),1)</f>
        <v>1</v>
      </c>
      <c r="AJ14" s="3" t="n">
        <f aca="false">IF(Waterfall!AJ33&gt;0,MIN(1,Inputs!$F$183*(Waterfall!$F$32+MAX(0,Waterfall!AI43))/Waterfall!AJ33),1)</f>
        <v>1</v>
      </c>
      <c r="AK14" s="3" t="n">
        <f aca="false">IF(Waterfall!AK33&gt;0,MIN(1,Inputs!$F$183*(Waterfall!$F$32+MAX(0,Waterfall!AJ43))/Waterfall!AK33),1)</f>
        <v>1</v>
      </c>
      <c r="AL14" s="3" t="n">
        <f aca="false">IF(Waterfall!AL33&gt;0,MIN(1,Inputs!$F$183*(Waterfall!$F$32+MAX(0,Waterfall!AK43))/Waterfall!AL33),1)</f>
        <v>1</v>
      </c>
      <c r="AM14" s="3" t="n">
        <f aca="false">IF(Waterfall!AM33&gt;0,MIN(1,Inputs!$F$183*(Waterfall!$F$32+MAX(0,Waterfall!AL43))/Waterfall!AM33),1)</f>
        <v>1</v>
      </c>
      <c r="AN14" s="3" t="n">
        <f aca="false">IF(Waterfall!AN33&gt;0,MIN(1,Inputs!$F$183*(Waterfall!$F$32+MAX(0,Waterfall!AM43))/Waterfall!AN33),1)</f>
        <v>1</v>
      </c>
      <c r="AO14" s="3" t="n">
        <f aca="false">IF(Waterfall!AO33&gt;0,MIN(1,Inputs!$F$183*(Waterfall!$F$32+MAX(0,Waterfall!AN43))/Waterfall!AO33),1)</f>
        <v>1</v>
      </c>
      <c r="AP14" s="3" t="n">
        <f aca="false">IF(Waterfall!AP33&gt;0,MIN(1,Inputs!$F$183*(Waterfall!$F$32+MAX(0,Waterfall!AO43))/Waterfall!AP33),1)</f>
        <v>1</v>
      </c>
      <c r="AQ14" s="3" t="n">
        <f aca="false">IF(Waterfall!AQ33&gt;0,MIN(1,Inputs!$F$183*(Waterfall!$F$32+MAX(0,Waterfall!AP43))/Waterfall!AQ33),1)</f>
        <v>1</v>
      </c>
      <c r="AR14" s="3" t="n">
        <f aca="false">IF(Waterfall!AR33&gt;0,MIN(1,Inputs!$F$183*(Waterfall!$F$32+MAX(0,Waterfall!AQ43))/Waterfall!AR33),1)</f>
        <v>1</v>
      </c>
      <c r="AS14" s="3" t="n">
        <f aca="false">IF(Waterfall!AS33&gt;0,MIN(1,Inputs!$F$183*(Waterfall!$F$32+MAX(0,Waterfall!AR43))/Waterfall!AS33),1)</f>
        <v>1</v>
      </c>
      <c r="AT14" s="3" t="n">
        <f aca="false">IF(Waterfall!AT33&gt;0,MIN(1,Inputs!$F$183*(Waterfall!$F$32+MAX(0,Waterfall!AS43))/Waterfall!AT33),1)</f>
        <v>1</v>
      </c>
      <c r="AU14" s="3" t="n">
        <f aca="false">IF(Waterfall!AU33&gt;0,MIN(1,Inputs!$F$183*(Waterfall!$F$32+MAX(0,Waterfall!AT43))/Waterfall!AU33),1)</f>
        <v>1</v>
      </c>
      <c r="AV14" s="3" t="n">
        <f aca="false">IF(Waterfall!AV33&gt;0,MIN(1,Inputs!$F$183*(Waterfall!$F$32+MAX(0,Waterfall!AU43))/Waterfall!AV33),1)</f>
        <v>1</v>
      </c>
      <c r="AW14" s="3" t="n">
        <f aca="false">IF(Waterfall!AW33&gt;0,MIN(1,Inputs!$F$183*(Waterfall!$F$32+MAX(0,Waterfall!AV43))/Waterfall!AW33),1)</f>
        <v>1</v>
      </c>
      <c r="AX14" s="3" t="n">
        <f aca="false">IF(Waterfall!AX33&gt;0,MIN(1,Inputs!$F$183*(Waterfall!$F$32+MAX(0,Waterfall!AW43))/Waterfall!AX33),1)</f>
        <v>1</v>
      </c>
      <c r="AY14" s="3" t="n">
        <f aca="false">IF(Waterfall!AY33&gt;0,MIN(1,Inputs!$F$183*(Waterfall!$F$32+MAX(0,Waterfall!AX43))/Waterfall!AY33),1)</f>
        <v>1</v>
      </c>
      <c r="AZ14" s="3" t="n">
        <f aca="false">IF(Waterfall!AZ33&gt;0,MIN(1,Inputs!$F$183*(Waterfall!$F$32+MAX(0,Waterfall!AY43))/Waterfall!AZ33),1)</f>
        <v>1</v>
      </c>
      <c r="BA14" s="3" t="n">
        <f aca="false">IF(Waterfall!BA33&gt;0,MIN(1,Inputs!$F$183*(Waterfall!$F$32+MAX(0,Waterfall!AZ43))/Waterfall!BA33),1)</f>
        <v>1</v>
      </c>
      <c r="BB14" s="3" t="n">
        <f aca="false">IF(Waterfall!BB33&gt;0,MIN(1,Inputs!$F$183*(Waterfall!$F$32+MAX(0,Waterfall!BA43))/Waterfall!BB33),1)</f>
        <v>1</v>
      </c>
      <c r="BC14" s="3" t="n">
        <f aca="false">IF(Waterfall!BC33&gt;0,MIN(1,Inputs!$F$183*(Waterfall!$F$32+MAX(0,Waterfall!BB43))/Waterfall!BC33),1)</f>
        <v>1</v>
      </c>
      <c r="BD14" s="3" t="n">
        <f aca="false">IF(Waterfall!BD33&gt;0,MIN(1,Inputs!$F$183*(Waterfall!$F$32+MAX(0,Waterfall!BC43))/Waterfall!BD33),1)</f>
        <v>1</v>
      </c>
      <c r="BE14" s="3" t="n">
        <f aca="false">IF(Waterfall!BE33&gt;0,MIN(1,Inputs!$F$183*(Waterfall!$F$32+MAX(0,Waterfall!BD43))/Waterfall!BE33),1)</f>
        <v>1</v>
      </c>
      <c r="BF14" s="3" t="n">
        <f aca="false">IF(Waterfall!BF33&gt;0,MIN(1,Inputs!$F$183*(Waterfall!$F$32+MAX(0,Waterfall!BE43))/Waterfall!BF33),1)</f>
        <v>1</v>
      </c>
      <c r="BG14" s="3" t="n">
        <f aca="false">IF(Waterfall!BG33&gt;0,MIN(1,Inputs!$F$183*(Waterfall!$F$32+MAX(0,Waterfall!BF43))/Waterfall!BG33),1)</f>
        <v>1</v>
      </c>
      <c r="BH14" s="3" t="n">
        <f aca="false">IF(Waterfall!BH33&gt;0,MIN(1,Inputs!$F$183*(Waterfall!$F$32+MAX(0,Waterfall!BG43))/Waterfall!BH33),1)</f>
        <v>1</v>
      </c>
      <c r="BI14" s="3" t="n">
        <f aca="false">IF(Waterfall!BI33&gt;0,MIN(1,Inputs!$F$183*(Waterfall!$F$32+MAX(0,Waterfall!BH43))/Waterfall!BI33),1)</f>
        <v>1</v>
      </c>
      <c r="BJ14" s="3" t="n">
        <f aca="false">IF(Waterfall!BJ33&gt;0,MIN(1,Inputs!$F$183*(Waterfall!$F$32+MAX(0,Waterfall!BI43))/Waterfall!BJ33),1)</f>
        <v>1</v>
      </c>
      <c r="BK14" s="3" t="n">
        <f aca="false">IF(Waterfall!BK33&gt;0,MIN(1,Inputs!$F$183*(Waterfall!$F$32+MAX(0,Waterfall!BJ43))/Waterfall!BK33),1)</f>
        <v>1</v>
      </c>
      <c r="BL14" s="3" t="n">
        <f aca="false">IF(Waterfall!BL33&gt;0,MIN(1,Inputs!$F$183*(Waterfall!$F$32+MAX(0,Waterfall!BK43))/Waterfall!BL33),1)</f>
        <v>1</v>
      </c>
      <c r="BM14" s="3" t="n">
        <f aca="false">IF(Waterfall!BM33&gt;0,MIN(1,Inputs!$F$183*(Waterfall!$F$32+MAX(0,Waterfall!BL43))/Waterfall!BM33),1)</f>
        <v>1</v>
      </c>
      <c r="BN14" s="3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1679</v>
      </c>
      <c r="E15" s="0" t="s">
        <v>151</v>
      </c>
      <c r="G15" s="13" t="n">
        <f aca="false">SUM(J15:BN15)</f>
        <v>101.530792048178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1.95558950819441</v>
      </c>
      <c r="P15" s="13" t="n">
        <f aca="false">P13*P14</f>
        <v>7.26633947281565</v>
      </c>
      <c r="Q15" s="13" t="n">
        <f aca="false">Q13*Q14</f>
        <v>7.89323420985452</v>
      </c>
      <c r="R15" s="13" t="n">
        <f aca="false">R13*R14</f>
        <v>8.26486089243623</v>
      </c>
      <c r="S15" s="13" t="n">
        <f aca="false">S13*S14</f>
        <v>7.72420326040992</v>
      </c>
      <c r="T15" s="13" t="n">
        <f aca="false">T13*T14</f>
        <v>7.46338838324077</v>
      </c>
      <c r="U15" s="13" t="n">
        <f aca="false">U13*U14</f>
        <v>6.91517469159569</v>
      </c>
      <c r="V15" s="13" t="n">
        <f aca="false">V13*V14</f>
        <v>6.51667234074161</v>
      </c>
      <c r="W15" s="13" t="n">
        <f aca="false">W13*W14</f>
        <v>5.93226342808597</v>
      </c>
      <c r="X15" s="13" t="n">
        <f aca="false">X13*X14</f>
        <v>5.51985623674944</v>
      </c>
      <c r="Y15" s="13" t="n">
        <f aca="false">Y13*Y14</f>
        <v>4.90844826242734</v>
      </c>
      <c r="Z15" s="13" t="n">
        <f aca="false">Z13*Z14</f>
        <v>4.44958414224923</v>
      </c>
      <c r="AA15" s="13" t="n">
        <f aca="false">AA13*AA14</f>
        <v>3.7959886510021</v>
      </c>
      <c r="AB15" s="13" t="n">
        <f aca="false">AB13*AB14</f>
        <v>3.66432205792541</v>
      </c>
      <c r="AC15" s="13" t="n">
        <f aca="false">AC13*AC14</f>
        <v>3.34902696656258</v>
      </c>
      <c r="AD15" s="13" t="n">
        <f aca="false">AD13*AD14</f>
        <v>3.09741740476739</v>
      </c>
      <c r="AE15" s="13" t="n">
        <f aca="false">AE13*AE14</f>
        <v>2.71301399588224</v>
      </c>
      <c r="AF15" s="13" t="n">
        <f aca="false">AF13*AF14</f>
        <v>2.45273007137692</v>
      </c>
      <c r="AG15" s="13" t="n">
        <f aca="false">AG13*AG14</f>
        <v>2.15100759697464</v>
      </c>
      <c r="AH15" s="13" t="n">
        <f aca="false">AH13*AH14</f>
        <v>1.89316991013244</v>
      </c>
      <c r="AI15" s="13" t="n">
        <f aca="false">AI13*AI14</f>
        <v>1.52271877794218</v>
      </c>
      <c r="AJ15" s="13" t="n">
        <f aca="false">AJ13*AJ14</f>
        <v>1.17736137954009</v>
      </c>
      <c r="AK15" s="13" t="n">
        <f aca="false">AK13*AK14</f>
        <v>0.712890782169308</v>
      </c>
      <c r="AL15" s="13" t="n">
        <f aca="false">AL13*AL14</f>
        <v>0.191529625101751</v>
      </c>
      <c r="AM15" s="13" t="n">
        <f aca="false">AM13*AM14</f>
        <v>0</v>
      </c>
      <c r="AN15" s="13" t="n">
        <f aca="false">AN13*AN14</f>
        <v>0</v>
      </c>
      <c r="AO15" s="13" t="n">
        <f aca="false">AO13*AO14</f>
        <v>0</v>
      </c>
      <c r="AP15" s="13" t="n">
        <f aca="false">AP13*AP14</f>
        <v>0</v>
      </c>
      <c r="AQ15" s="13" t="n">
        <f aca="false">AQ13*AQ14</f>
        <v>0</v>
      </c>
      <c r="AR15" s="13" t="n">
        <f aca="false">AR13*AR14</f>
        <v>0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1680</v>
      </c>
      <c r="E16" s="0" t="s">
        <v>151</v>
      </c>
      <c r="G16" s="13" t="n">
        <f aca="false">SUM(J16:BN16)</f>
        <v>348.539238502449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23.1375817299197</v>
      </c>
      <c r="Q16" s="13" t="n">
        <f aca="false">Debt!Q112+Debt!Q110+Debt!Q104-Debt!Q103</f>
        <v>22.5885199740119</v>
      </c>
      <c r="R16" s="13" t="n">
        <f aca="false">Debt!R112+Debt!R110+Debt!R104-Debt!R103</f>
        <v>22.2091616462425</v>
      </c>
      <c r="S16" s="13" t="n">
        <f aca="false">Debt!S112+Debt!S110+Debt!S104-Debt!S103</f>
        <v>21.5614495208466</v>
      </c>
      <c r="T16" s="13" t="n">
        <f aca="false">Debt!T112+Debt!T110+Debt!T104-Debt!T103</f>
        <v>21.1308462472446</v>
      </c>
      <c r="U16" s="13" t="n">
        <f aca="false">Debt!U112+Debt!U110+Debt!U104-Debt!U103</f>
        <v>20.4163226304855</v>
      </c>
      <c r="V16" s="13" t="n">
        <f aca="false">Debt!V112+Debt!V110+Debt!V104-Debt!V103</f>
        <v>19.8755866613653</v>
      </c>
      <c r="W16" s="13" t="n">
        <f aca="false">Debt!W112+Debt!W110+Debt!W104-Debt!W103</f>
        <v>19.0999240379995</v>
      </c>
      <c r="X16" s="13" t="n">
        <f aca="false">Debt!X112+Debt!X110+Debt!X104-Debt!X103</f>
        <v>18.5540800254412</v>
      </c>
      <c r="Y16" s="13" t="n">
        <f aca="false">Debt!Y112+Debt!Y110+Debt!Y104-Debt!Y103</f>
        <v>18.2897984326372</v>
      </c>
      <c r="Z16" s="13" t="n">
        <f aca="false">Debt!Z112+Debt!Z110+Debt!Z104-Debt!Z103</f>
        <v>17.689549743083</v>
      </c>
      <c r="AA16" s="13" t="n">
        <f aca="false">Debt!AA112+Debt!AA110+Debt!AA104-Debt!AA103</f>
        <v>16.8247794852341</v>
      </c>
      <c r="AB16" s="13" t="n">
        <f aca="false">Debt!AB112+Debt!AB110+Debt!AB104-Debt!AB103</f>
        <v>15.7739210517355</v>
      </c>
      <c r="AC16" s="13" t="n">
        <f aca="false">Debt!AC112+Debt!AC110+Debt!AC104-Debt!AC103</f>
        <v>14.4301472326912</v>
      </c>
      <c r="AD16" s="13" t="n">
        <f aca="false">Debt!AD112+Debt!AD110+Debt!AD104-Debt!AD103</f>
        <v>13.2360104692705</v>
      </c>
      <c r="AE16" s="13" t="n">
        <f aca="false">Debt!AE112+Debt!AE110+Debt!AE104-Debt!AE103</f>
        <v>11.8341891402588</v>
      </c>
      <c r="AF16" s="13" t="n">
        <f aca="false">Debt!AF112+Debt!AF110+Debt!AF104-Debt!AF103</f>
        <v>10.6489707396903</v>
      </c>
      <c r="AG16" s="13" t="n">
        <f aca="false">Debt!AG112+Debt!AG110+Debt!AG104-Debt!AG103</f>
        <v>9.53897704175646</v>
      </c>
      <c r="AH16" s="13" t="n">
        <f aca="false">Debt!AH112+Debt!AH110+Debt!AH104-Debt!AH103</f>
        <v>8.29053188090117</v>
      </c>
      <c r="AI16" s="13" t="n">
        <f aca="false">Debt!AI112+Debt!AI110+Debt!AI104-Debt!AI103</f>
        <v>6.87476726039826</v>
      </c>
      <c r="AJ16" s="13" t="n">
        <f aca="false">Debt!AJ112+Debt!AJ110+Debt!AJ104-Debt!AJ103</f>
        <v>5.58646534613019</v>
      </c>
      <c r="AK16" s="13" t="n">
        <f aca="false">Debt!AK112+Debt!AK110+Debt!AK104-Debt!AK103</f>
        <v>4.15740041493179</v>
      </c>
      <c r="AL16" s="13" t="n">
        <f aca="false">Debt!AL112+Debt!AL110+Debt!AL104-Debt!AL103</f>
        <v>2.804766831151</v>
      </c>
      <c r="AM16" s="13" t="n">
        <f aca="false">Debt!AM112+Debt!AM110+Debt!AM104-Debt!AM103</f>
        <v>1.96437726011405</v>
      </c>
      <c r="AN16" s="13" t="n">
        <f aca="false">Debt!AN112+Debt!AN110+Debt!AN104-Debt!AN103</f>
        <v>1.34520968673111</v>
      </c>
      <c r="AO16" s="13" t="n">
        <f aca="false">Debt!AO112+Debt!AO110+Debt!AO104-Debt!AO103</f>
        <v>0.675904012177475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1681</v>
      </c>
      <c r="E17" s="0" t="s">
        <v>111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</v>
      </c>
      <c r="Z17" s="13" t="n">
        <f aca="false">IF(Time!Z30&gt;0,(Time!Z30-Z7)/Time!Z30,0)</f>
        <v>0</v>
      </c>
      <c r="AA17" s="13" t="n">
        <f aca="false">IF(Time!AA30&gt;0,(Time!AA30-AA7)/Time!AA30,0)</f>
        <v>0</v>
      </c>
      <c r="AB17" s="13" t="n">
        <f aca="false">IF(Time!AB30&gt;0,(Time!AB30-AB7)/Time!AB30,0)</f>
        <v>0</v>
      </c>
      <c r="AC17" s="13" t="n">
        <f aca="false">IF(Time!AC30&gt;0,(Time!AC30-AC7)/Time!AC30,0)</f>
        <v>0</v>
      </c>
      <c r="AD17" s="13" t="n">
        <f aca="false">IF(Time!AD30&gt;0,(Time!AD30-AD7)/Time!AD30,0)</f>
        <v>0</v>
      </c>
      <c r="AE17" s="13" t="n">
        <f aca="false">IF(Time!AE30&gt;0,(Time!AE30-AE7)/Time!AE30,0)</f>
        <v>0.333333333333333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1682</v>
      </c>
      <c r="E18" s="0" t="s">
        <v>151</v>
      </c>
      <c r="G18" s="13" t="n">
        <f aca="false">SUM(J18:BN18)</f>
        <v>1456.62150095275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0</v>
      </c>
      <c r="Z18" s="13" t="n">
        <f aca="false">(Operations!Z84-Z16-Z15)*Z17-Z12</f>
        <v>0</v>
      </c>
      <c r="AA18" s="13" t="n">
        <f aca="false">(Operations!AA84-AA16-AA15)*AA17-AA12</f>
        <v>0</v>
      </c>
      <c r="AB18" s="13" t="n">
        <f aca="false">(Operations!AB84-AB16-AB15)*AB17-AB12</f>
        <v>0</v>
      </c>
      <c r="AC18" s="13" t="n">
        <f aca="false">(Operations!AC84-AC16-AC15)*AC17-AC12</f>
        <v>0</v>
      </c>
      <c r="AD18" s="13" t="n">
        <f aca="false">(Operations!AD84-AD16-AD15)*AD17-AD12</f>
        <v>0</v>
      </c>
      <c r="AE18" s="13" t="n">
        <f aca="false">(Operations!AE84-AE16-AE15)*AE17-AE12</f>
        <v>7.20247038552433</v>
      </c>
      <c r="AF18" s="13" t="n">
        <f aca="false">(Operations!AF84-AF16-AF15)*AF17-AF12</f>
        <v>25.4569889749923</v>
      </c>
      <c r="AG18" s="13" t="n">
        <f aca="false">(Operations!AG84-AG16-AG15)*AG17-AG12</f>
        <v>26.8416221564171</v>
      </c>
      <c r="AH18" s="13" t="n">
        <f aca="false">(Operations!AH84-AH16-AH15)*AH17-AH12</f>
        <v>28.1219141072527</v>
      </c>
      <c r="AI18" s="13" t="n">
        <f aca="false">(Operations!AI84-AI16-AI15)*AI17-AI12</f>
        <v>30.2806759482252</v>
      </c>
      <c r="AJ18" s="13" t="n">
        <f aca="false">(Operations!AJ84-AJ16-AJ15)*AJ17-AJ12</f>
        <v>32.4905889081928</v>
      </c>
      <c r="AK18" s="13" t="n">
        <f aca="false">(Operations!AK84-AK16-AK15)*AK17-AK12</f>
        <v>33.8471118321908</v>
      </c>
      <c r="AL18" s="13" t="n">
        <f aca="false">(Operations!AL84-AL16-AL15)*AL17-AL12</f>
        <v>31.4914165321605</v>
      </c>
      <c r="AM18" s="13" t="n">
        <f aca="false">(Operations!AM84-AM16-AM15)*AM17-AM12</f>
        <v>36.3902170625856</v>
      </c>
      <c r="AN18" s="13" t="n">
        <f aca="false">(Operations!AN84-AN16-AN15)*AN17-AN12</f>
        <v>38.6338320652888</v>
      </c>
      <c r="AO18" s="13" t="n">
        <f aca="false">(Operations!AO84-AO16-AO15)*AO17-AO12</f>
        <v>39.2843936295221</v>
      </c>
      <c r="AP18" s="13" t="n">
        <f aca="false">(Operations!AP84-AP16-AP15)*AP17-AP12</f>
        <v>39.7387010826159</v>
      </c>
      <c r="AQ18" s="13" t="n">
        <f aca="false">(Operations!AQ84-AQ16-AQ15)*AQ17-AQ12</f>
        <v>40.1306733569816</v>
      </c>
      <c r="AR18" s="13" t="n">
        <f aca="false">(Operations!AR84-AR16-AR15)*AR17-AR12</f>
        <v>40.7337816529188</v>
      </c>
      <c r="AS18" s="13" t="n">
        <f aca="false">(Operations!AS84-AS16-AS15)*AS17-AS12</f>
        <v>39.7543975935876</v>
      </c>
      <c r="AT18" s="13" t="n">
        <f aca="false">(Operations!AT84-AT16-AT15)*AT17-AT12</f>
        <v>23.4626598309026</v>
      </c>
      <c r="AU18" s="13" t="n">
        <f aca="false">(Operations!AU84-AU16-AU15)*AU17-AU12</f>
        <v>38.9584841818268</v>
      </c>
      <c r="AV18" s="13" t="n">
        <f aca="false">(Operations!AV84-AV16-AV15)*AV17-AV12</f>
        <v>41.5199002953725</v>
      </c>
      <c r="AW18" s="13" t="n">
        <f aca="false">(Operations!AW84-AW16-AW15)*AW17-AW12</f>
        <v>41.510159772326</v>
      </c>
      <c r="AX18" s="13" t="n">
        <f aca="false">(Operations!AX84-AX16-AX15)*AX17-AX12</f>
        <v>41.2933842932839</v>
      </c>
      <c r="AY18" s="13" t="n">
        <f aca="false">(Operations!AY84-AY16-AY15)*AY17-AY12</f>
        <v>41.7063983364739</v>
      </c>
      <c r="AZ18" s="13" t="n">
        <f aca="false">(Operations!AZ84-AZ16-AZ15)*AZ17-AZ12</f>
        <v>42.3387162837019</v>
      </c>
      <c r="BA18" s="13" t="n">
        <f aca="false">(Operations!BA84-BA16-BA15)*BA17-BA12</f>
        <v>41.7895564797054</v>
      </c>
      <c r="BB18" s="13" t="n">
        <f aca="false">(Operations!BB84-BB16-BB15)*BB17-BB12</f>
        <v>36.9429245751192</v>
      </c>
      <c r="BC18" s="13" t="n">
        <f aca="false">(Operations!BC84-BC16-BC15)*BC17-BC12</f>
        <v>47.8806934933308</v>
      </c>
      <c r="BD18" s="13" t="n">
        <f aca="false">(Operations!BD84-BD16-BD15)*BD17-BD12</f>
        <v>62.4923998191179</v>
      </c>
      <c r="BE18" s="13" t="n">
        <f aca="false">(Operations!BE84-BE16-BE15)*BE17-BE12</f>
        <v>62.4923821155651</v>
      </c>
      <c r="BF18" s="13" t="n">
        <f aca="false">(Operations!BF84-BF16-BF15)*BF17-BF12</f>
        <v>62.2808944317865</v>
      </c>
      <c r="BG18" s="13" t="n">
        <f aca="false">(Operations!BG84-BG16-BG15)*BG17-BG12</f>
        <v>62.7167027289234</v>
      </c>
      <c r="BH18" s="13" t="n">
        <f aca="false">(Operations!BH84-BH16-BH15)*BH17-BH12</f>
        <v>63.380792461553</v>
      </c>
      <c r="BI18" s="13" t="n">
        <f aca="false">(Operations!BI84-BI16-BI15)*BI17-BI12</f>
        <v>62.3610506016916</v>
      </c>
      <c r="BJ18" s="13" t="n">
        <f aca="false">(Operations!BJ84-BJ16-BJ15)*BJ17-BJ12</f>
        <v>43.2709098049728</v>
      </c>
      <c r="BK18" s="13" t="n">
        <f aca="false">(Operations!BK84-BK16-BK15)*BK17-BK12</f>
        <v>61.5590413097741</v>
      </c>
      <c r="BL18" s="13" t="n">
        <f aca="false">(Operations!BL84-BL16-BL15)*BL17-BL12</f>
        <v>64.3061835710718</v>
      </c>
      <c r="BM18" s="13" t="n">
        <f aca="false">(Operations!BM84-BM16-BM15)*BM17-BM12</f>
        <v>23.9594812777915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1683</v>
      </c>
      <c r="E19" s="0" t="s">
        <v>151</v>
      </c>
      <c r="G19" s="13" t="n">
        <f aca="false">SUM(J19:BN19)</f>
        <v>0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0</v>
      </c>
      <c r="AF19" s="13" t="n">
        <f aca="false">MIN(AE22,MAX(0,AF18))</f>
        <v>0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1684</v>
      </c>
      <c r="E20" s="0" t="s">
        <v>151</v>
      </c>
      <c r="G20" s="13" t="n">
        <f aca="false">SUM(J20:BN20)</f>
        <v>0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0</v>
      </c>
      <c r="Z20" s="13" t="n">
        <f aca="false">MIN(Y21,MAX(0,Z18-Z19))</f>
        <v>0</v>
      </c>
      <c r="AA20" s="13" t="n">
        <f aca="false">MIN(Z21,MAX(0,AA18-AA19))</f>
        <v>0</v>
      </c>
      <c r="AB20" s="13" t="n">
        <f aca="false">MIN(AA21,MAX(0,AB18-AB19))</f>
        <v>0</v>
      </c>
      <c r="AC20" s="13" t="n">
        <f aca="false">MIN(AB21,MAX(0,AC18-AC19))</f>
        <v>0</v>
      </c>
      <c r="AD20" s="13" t="n">
        <f aca="false">MIN(AC21,MAX(0,AD18-AD19))</f>
        <v>0</v>
      </c>
      <c r="AE20" s="13" t="n">
        <f aca="false">MIN(AD21,MAX(0,AE18-AE19))</f>
        <v>0</v>
      </c>
      <c r="AF20" s="13" t="n">
        <f aca="false">MIN(AE21,MAX(0,AF18-AF19))</f>
        <v>0</v>
      </c>
      <c r="AG20" s="13" t="n">
        <f aca="false">MIN(AF21,MAX(0,AG18-AG19))</f>
        <v>0</v>
      </c>
      <c r="AH20" s="13" t="n">
        <f aca="false">MIN(AG21,MAX(0,AH18-AH19))</f>
        <v>0</v>
      </c>
      <c r="AI20" s="13" t="n">
        <f aca="false">MIN(AH21,MAX(0,AI18-AI19))</f>
        <v>0</v>
      </c>
      <c r="AJ20" s="13" t="n">
        <f aca="false">MIN(AI21,MAX(0,AJ18-AJ19))</f>
        <v>0</v>
      </c>
      <c r="AK20" s="13" t="n">
        <f aca="false">MIN(AJ21,MAX(0,AK18-AK19))</f>
        <v>0</v>
      </c>
      <c r="AL20" s="13" t="n">
        <f aca="false">MIN(AK21,MAX(0,AL18-AL19))</f>
        <v>0</v>
      </c>
      <c r="AM20" s="13" t="n">
        <f aca="false">MIN(AL21,MAX(0,AM18-AM19))</f>
        <v>0</v>
      </c>
      <c r="AN20" s="13" t="n">
        <f aca="false">MIN(AM21,MAX(0,AN18-AN19))</f>
        <v>0</v>
      </c>
      <c r="AO20" s="13" t="n">
        <f aca="false">MIN(AN21,MAX(0,AO18-AO19))</f>
        <v>0</v>
      </c>
      <c r="AP20" s="13" t="n">
        <f aca="false">MIN(AO21,MAX(0,AP18-AP19))</f>
        <v>0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1685</v>
      </c>
      <c r="E21" s="0" t="s">
        <v>151</v>
      </c>
      <c r="J21" s="13" t="n">
        <f aca="false">I21+0-J20</f>
        <v>0</v>
      </c>
      <c r="K21" s="13" t="n">
        <f aca="false">J21+0-K20</f>
        <v>0</v>
      </c>
      <c r="L21" s="13" t="n">
        <f aca="false">K21+0-L20</f>
        <v>0</v>
      </c>
      <c r="M21" s="13" t="n">
        <f aca="false">L21+0-M20</f>
        <v>0</v>
      </c>
      <c r="N21" s="13" t="n">
        <f aca="false">M21+0-N20</f>
        <v>0</v>
      </c>
      <c r="O21" s="13" t="n">
        <f aca="false">N21+0-O20</f>
        <v>0</v>
      </c>
      <c r="P21" s="13" t="n">
        <f aca="false">O21+0-P20</f>
        <v>0</v>
      </c>
      <c r="Q21" s="13" t="n">
        <f aca="false">P21+0-Q20</f>
        <v>0</v>
      </c>
      <c r="R21" s="13" t="n">
        <f aca="false">Q21+0-R20</f>
        <v>0</v>
      </c>
      <c r="S21" s="13" t="n">
        <f aca="false">R21+0-S20</f>
        <v>0</v>
      </c>
      <c r="T21" s="13" t="n">
        <f aca="false">S21+0-T20</f>
        <v>0</v>
      </c>
      <c r="U21" s="13" t="n">
        <f aca="false">T21+0-U20</f>
        <v>0</v>
      </c>
      <c r="V21" s="13" t="n">
        <f aca="false">U21+0-V20</f>
        <v>0</v>
      </c>
      <c r="W21" s="13" t="n">
        <f aca="false">V21+0-W20</f>
        <v>0</v>
      </c>
      <c r="X21" s="13" t="n">
        <f aca="false">W21+0-X20</f>
        <v>0</v>
      </c>
      <c r="Y21" s="13" t="n">
        <f aca="false">X21+0-Y20</f>
        <v>0</v>
      </c>
      <c r="Z21" s="13" t="n">
        <f aca="false">Y21+0-Z20</f>
        <v>0</v>
      </c>
      <c r="AA21" s="13" t="n">
        <f aca="false">Z21+0-AA20</f>
        <v>0</v>
      </c>
      <c r="AB21" s="13" t="n">
        <f aca="false">AA21+0-AB20</f>
        <v>0</v>
      </c>
      <c r="AC21" s="13" t="n">
        <f aca="false">AB21+0-AC20</f>
        <v>0</v>
      </c>
      <c r="AD21" s="13" t="n">
        <f aca="false">AC21+0-AD20</f>
        <v>0</v>
      </c>
      <c r="AE21" s="13" t="n">
        <f aca="false">AD21+0-AE20</f>
        <v>0</v>
      </c>
      <c r="AF21" s="13" t="n">
        <f aca="false">AE21+0-AF20</f>
        <v>0</v>
      </c>
      <c r="AG21" s="13" t="n">
        <f aca="false">AF21+0-AG20</f>
        <v>0</v>
      </c>
      <c r="AH21" s="13" t="n">
        <f aca="false">AG21+0-AH20</f>
        <v>0</v>
      </c>
      <c r="AI21" s="13" t="n">
        <f aca="false">AH21+0-AI20</f>
        <v>0</v>
      </c>
      <c r="AJ21" s="13" t="n">
        <f aca="false">AI21+0-AJ20</f>
        <v>0</v>
      </c>
      <c r="AK21" s="13" t="n">
        <f aca="false">AJ21+0-AK20</f>
        <v>0</v>
      </c>
      <c r="AL21" s="13" t="n">
        <f aca="false">AK21+0-AL20</f>
        <v>0</v>
      </c>
      <c r="AM21" s="13" t="n">
        <f aca="false">AL21+0-AM20</f>
        <v>0</v>
      </c>
      <c r="AN21" s="13" t="n">
        <f aca="false">AM21+0-AN20</f>
        <v>0</v>
      </c>
      <c r="AO21" s="13" t="n">
        <f aca="false">AN21+0-AO20</f>
        <v>0</v>
      </c>
      <c r="AP21" s="13" t="n">
        <f aca="false">AO21+0-AP20</f>
        <v>0</v>
      </c>
      <c r="AQ21" s="13" t="n">
        <f aca="false">AP21+0-AQ20</f>
        <v>0</v>
      </c>
      <c r="AR21" s="13" t="n">
        <f aca="false">AQ21+0-AR20</f>
        <v>0</v>
      </c>
      <c r="AS21" s="13" t="n">
        <f aca="false">AR21+0-AS20</f>
        <v>0</v>
      </c>
      <c r="AT21" s="13" t="n">
        <f aca="false">AS21+0-AT20</f>
        <v>0</v>
      </c>
      <c r="AU21" s="13" t="n">
        <f aca="false">AT21+0-AU20</f>
        <v>0</v>
      </c>
      <c r="AV21" s="13" t="n">
        <f aca="false">AU21+0-AV20</f>
        <v>0</v>
      </c>
      <c r="AW21" s="13" t="n">
        <f aca="false">AV21+0-AW20</f>
        <v>0</v>
      </c>
      <c r="AX21" s="13" t="n">
        <f aca="false">AW21+0-AX20</f>
        <v>0</v>
      </c>
      <c r="AY21" s="13" t="n">
        <f aca="false">AX21+0-AY20</f>
        <v>0</v>
      </c>
      <c r="AZ21" s="13" t="n">
        <f aca="false">AY21+0-AZ20</f>
        <v>0</v>
      </c>
      <c r="BA21" s="13" t="n">
        <f aca="false">AZ21+0-BA20</f>
        <v>0</v>
      </c>
      <c r="BB21" s="13" t="n">
        <f aca="false">BA21+0-BB20</f>
        <v>0</v>
      </c>
      <c r="BC21" s="13" t="n">
        <f aca="false">BB21+0-BC20</f>
        <v>0</v>
      </c>
      <c r="BD21" s="13" t="n">
        <f aca="false">BC21+0-BD20</f>
        <v>0</v>
      </c>
      <c r="BE21" s="13" t="n">
        <f aca="false">BD21+0-BE20</f>
        <v>0</v>
      </c>
      <c r="BF21" s="13" t="n">
        <f aca="false">BE21+0-BF20</f>
        <v>0</v>
      </c>
      <c r="BG21" s="13" t="n">
        <f aca="false">BF21+0-BG20</f>
        <v>0</v>
      </c>
      <c r="BH21" s="13" t="n">
        <f aca="false">BG21+0-BH20</f>
        <v>0</v>
      </c>
      <c r="BI21" s="13" t="n">
        <f aca="false">BH21+0-BI20</f>
        <v>0</v>
      </c>
      <c r="BJ21" s="13" t="n">
        <f aca="false">BI21+0-BJ20</f>
        <v>0</v>
      </c>
      <c r="BK21" s="13" t="n">
        <f aca="false">BJ21+0-BK20</f>
        <v>0</v>
      </c>
      <c r="BL21" s="13" t="n">
        <f aca="false">BK21+0-BL20</f>
        <v>0</v>
      </c>
      <c r="BM21" s="13" t="n">
        <f aca="false">BL21+0-BM20</f>
        <v>0</v>
      </c>
      <c r="BN21" s="13" t="n">
        <f aca="false">BM21+0-BN20</f>
        <v>0</v>
      </c>
    </row>
    <row r="22" customFormat="false" ht="15" hidden="false" customHeight="false" outlineLevel="0" collapsed="false">
      <c r="D22" s="0" t="s">
        <v>1686</v>
      </c>
      <c r="E22" s="0" t="s">
        <v>151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0</v>
      </c>
      <c r="AE22" s="13" t="n">
        <f aca="false">AD22-AE19+MAX(0,-AE18)</f>
        <v>0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1687</v>
      </c>
      <c r="E23" s="0" t="s">
        <v>151</v>
      </c>
      <c r="G23" s="13" t="n">
        <f aca="false">SUM(J23:BN23)</f>
        <v>1456.62150095275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7.20247038552433</v>
      </c>
      <c r="AF23" s="13" t="n">
        <f aca="false">MAX(0,AF18-AF19-AF20)</f>
        <v>25.4569889749923</v>
      </c>
      <c r="AG23" s="13" t="n">
        <f aca="false">MAX(0,AG18-AG19-AG20)</f>
        <v>26.8416221564171</v>
      </c>
      <c r="AH23" s="13" t="n">
        <f aca="false">MAX(0,AH18-AH19-AH20)</f>
        <v>28.1219141072527</v>
      </c>
      <c r="AI23" s="13" t="n">
        <f aca="false">MAX(0,AI18-AI19-AI20)</f>
        <v>30.2806759482252</v>
      </c>
      <c r="AJ23" s="13" t="n">
        <f aca="false">MAX(0,AJ18-AJ19-AJ20)</f>
        <v>32.4905889081928</v>
      </c>
      <c r="AK23" s="13" t="n">
        <f aca="false">MAX(0,AK18-AK19-AK20)</f>
        <v>33.8471118321908</v>
      </c>
      <c r="AL23" s="13" t="n">
        <f aca="false">MAX(0,AL18-AL19-AL20)</f>
        <v>31.4914165321605</v>
      </c>
      <c r="AM23" s="13" t="n">
        <f aca="false">MAX(0,AM18-AM19-AM20)</f>
        <v>36.3902170625856</v>
      </c>
      <c r="AN23" s="13" t="n">
        <f aca="false">MAX(0,AN18-AN19-AN20)</f>
        <v>38.6338320652888</v>
      </c>
      <c r="AO23" s="13" t="n">
        <f aca="false">MAX(0,AO18-AO19-AO20)</f>
        <v>39.2843936295221</v>
      </c>
      <c r="AP23" s="13" t="n">
        <f aca="false">MAX(0,AP18-AP19-AP20)</f>
        <v>39.7387010826159</v>
      </c>
      <c r="AQ23" s="13" t="n">
        <f aca="false">MAX(0,AQ18-AQ19-AQ20)</f>
        <v>40.1306733569816</v>
      </c>
      <c r="AR23" s="13" t="n">
        <f aca="false">MAX(0,AR18-AR19-AR20)</f>
        <v>40.7337816529188</v>
      </c>
      <c r="AS23" s="13" t="n">
        <f aca="false">MAX(0,AS18-AS19-AS20)</f>
        <v>39.7543975935876</v>
      </c>
      <c r="AT23" s="13" t="n">
        <f aca="false">MAX(0,AT18-AT19-AT20)</f>
        <v>23.4626598309026</v>
      </c>
      <c r="AU23" s="13" t="n">
        <f aca="false">MAX(0,AU18-AU19-AU20)</f>
        <v>38.9584841818268</v>
      </c>
      <c r="AV23" s="13" t="n">
        <f aca="false">MAX(0,AV18-AV19-AV20)</f>
        <v>41.5199002953725</v>
      </c>
      <c r="AW23" s="13" t="n">
        <f aca="false">MAX(0,AW18-AW19-AW20)</f>
        <v>41.510159772326</v>
      </c>
      <c r="AX23" s="13" t="n">
        <f aca="false">MAX(0,AX18-AX19-AX20)</f>
        <v>41.2933842932839</v>
      </c>
      <c r="AY23" s="13" t="n">
        <f aca="false">MAX(0,AY18-AY19-AY20)</f>
        <v>41.7063983364739</v>
      </c>
      <c r="AZ23" s="13" t="n">
        <f aca="false">MAX(0,AZ18-AZ19-AZ20)</f>
        <v>42.3387162837019</v>
      </c>
      <c r="BA23" s="13" t="n">
        <f aca="false">MAX(0,BA18-BA19-BA20)</f>
        <v>41.7895564797054</v>
      </c>
      <c r="BB23" s="13" t="n">
        <f aca="false">MAX(0,BB18-BB19-BB20)</f>
        <v>36.9429245751192</v>
      </c>
      <c r="BC23" s="13" t="n">
        <f aca="false">MAX(0,BC18-BC19-BC20)</f>
        <v>47.8806934933308</v>
      </c>
      <c r="BD23" s="13" t="n">
        <f aca="false">MAX(0,BD18-BD19-BD20)</f>
        <v>62.4923998191179</v>
      </c>
      <c r="BE23" s="13" t="n">
        <f aca="false">MAX(0,BE18-BE19-BE20)</f>
        <v>62.4923821155651</v>
      </c>
      <c r="BF23" s="13" t="n">
        <f aca="false">MAX(0,BF18-BF19-BF20)</f>
        <v>62.2808944317865</v>
      </c>
      <c r="BG23" s="13" t="n">
        <f aca="false">MAX(0,BG18-BG19-BG20)</f>
        <v>62.7167027289234</v>
      </c>
      <c r="BH23" s="13" t="n">
        <f aca="false">MAX(0,BH18-BH19-BH20)</f>
        <v>63.380792461553</v>
      </c>
      <c r="BI23" s="13" t="n">
        <f aca="false">MAX(0,BI18-BI19-BI20)</f>
        <v>62.3610506016916</v>
      </c>
      <c r="BJ23" s="13" t="n">
        <f aca="false">MAX(0,BJ18-BJ19-BJ20)</f>
        <v>43.2709098049728</v>
      </c>
      <c r="BK23" s="13" t="n">
        <f aca="false">MAX(0,BK18-BK19-BK20)</f>
        <v>61.5590413097741</v>
      </c>
      <c r="BL23" s="13" t="n">
        <f aca="false">MAX(0,BL18-BL19-BL20)</f>
        <v>64.3061835710718</v>
      </c>
      <c r="BM23" s="13" t="n">
        <f aca="false">MAX(0,BM18-BM19-BM20)</f>
        <v>23.9594812777915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1688</v>
      </c>
      <c r="E24" s="0" t="s">
        <v>105</v>
      </c>
      <c r="J24" s="3" t="n">
        <f aca="false">IF(J8+J9&gt;0,(J8*Inputs!$F$175+J9*Inputs!$F$174)/(J8+J9)/100,0)</f>
        <v>0</v>
      </c>
      <c r="K24" s="3" t="n">
        <f aca="false">IF(K8+K9&gt;0,(K8*Inputs!$F$175+K9*Inputs!$F$174)/(K8+K9)/100,0)</f>
        <v>0</v>
      </c>
      <c r="L24" s="3" t="n">
        <f aca="false">IF(L8+L9&gt;0,(L8*Inputs!$F$175+L9*Inputs!$F$174)/(L8+L9)/100,0)</f>
        <v>0</v>
      </c>
      <c r="M24" s="3" t="n">
        <f aca="false">IF(M8+M9&gt;0,(M8*Inputs!$F$175+M9*Inputs!$F$174)/(M8+M9)/100,0)</f>
        <v>0</v>
      </c>
      <c r="N24" s="3" t="n">
        <f aca="false">IF(N8+N9&gt;0,(N8*Inputs!$F$175+N9*Inputs!$F$174)/(N8+N9)/100,0)</f>
        <v>0</v>
      </c>
      <c r="O24" s="3" t="n">
        <f aca="false">IF(O8+O9&gt;0,(O8*Inputs!$F$175+O9*Inputs!$F$174)/(O8+O9)/100,0)</f>
        <v>0</v>
      </c>
      <c r="P24" s="3" t="n">
        <f aca="false">IF(P8+P9&gt;0,(P8*Inputs!$F$175+P9*Inputs!$F$174)/(P8+P9)/100,0)</f>
        <v>0</v>
      </c>
      <c r="Q24" s="3" t="n">
        <f aca="false">IF(Q8+Q9&gt;0,(Q8*Inputs!$F$175+Q9*Inputs!$F$174)/(Q8+Q9)/100,0)</f>
        <v>0</v>
      </c>
      <c r="R24" s="3" t="n">
        <f aca="false">IF(R8+R9&gt;0,(R8*Inputs!$F$175+R9*Inputs!$F$174)/(R8+R9)/100,0)</f>
        <v>0</v>
      </c>
      <c r="S24" s="3" t="n">
        <f aca="false">IF(S8+S9&gt;0,(S8*Inputs!$F$175+S9*Inputs!$F$174)/(S8+S9)/100,0)</f>
        <v>0</v>
      </c>
      <c r="T24" s="3" t="n">
        <f aca="false">IF(T8+T9&gt;0,(T8*Inputs!$F$175+T9*Inputs!$F$174)/(T8+T9)/100,0)</f>
        <v>0</v>
      </c>
      <c r="U24" s="3" t="n">
        <f aca="false">IF(U8+U9&gt;0,(U8*Inputs!$F$175+U9*Inputs!$F$174)/(U8+U9)/100,0)</f>
        <v>0</v>
      </c>
      <c r="V24" s="3" t="n">
        <f aca="false">IF(V8+V9&gt;0,(V8*Inputs!$F$175+V9*Inputs!$F$174)/(V8+V9)/100,0)</f>
        <v>0</v>
      </c>
      <c r="W24" s="3" t="n">
        <f aca="false">IF(W8+W9&gt;0,(W8*Inputs!$F$175+W9*Inputs!$F$174)/(W8+W9)/100,0)</f>
        <v>0</v>
      </c>
      <c r="X24" s="3" t="n">
        <f aca="false">IF(X8+X9&gt;0,(X8*Inputs!$F$175+X9*Inputs!$F$174)/(X8+X9)/100,0)</f>
        <v>0</v>
      </c>
      <c r="Y24" s="3" t="n">
        <f aca="false">IF(Y8+Y9&gt;0,(Y8*Inputs!$F$175+Y9*Inputs!$F$174)/(Y8+Y9)/100,0)</f>
        <v>0</v>
      </c>
      <c r="Z24" s="3" t="n">
        <f aca="false">IF(Z8+Z9&gt;0,(Z8*Inputs!$F$175+Z9*Inputs!$F$174)/(Z8+Z9)/100,0)</f>
        <v>0</v>
      </c>
      <c r="AA24" s="3" t="n">
        <f aca="false">IF(AA8+AA9&gt;0,(AA8*Inputs!$F$175+AA9*Inputs!$F$174)/(AA8+AA9)/100,0)</f>
        <v>0</v>
      </c>
      <c r="AB24" s="3" t="n">
        <f aca="false">IF(AB8+AB9&gt;0,(AB8*Inputs!$F$175+AB9*Inputs!$F$174)/(AB8+AB9)/100,0)</f>
        <v>0</v>
      </c>
      <c r="AC24" s="3" t="n">
        <f aca="false">IF(AC8+AC9&gt;0,(AC8*Inputs!$F$175+AC9*Inputs!$F$174)/(AC8+AC9)/100,0)</f>
        <v>0</v>
      </c>
      <c r="AD24" s="3" t="n">
        <f aca="false">IF(AD8+AD9&gt;0,(AD8*Inputs!$F$175+AD9*Inputs!$F$174)/(AD8+AD9)/100,0)</f>
        <v>0</v>
      </c>
      <c r="AE24" s="3" t="n">
        <f aca="false">IF(AE8+AE9&gt;0,(AE8*Inputs!$F$175+AE9*Inputs!$F$174)/(AE8+AE9)/100,0)</f>
        <v>0.3</v>
      </c>
      <c r="AF24" s="3" t="n">
        <f aca="false">IF(AF8+AF9&gt;0,(AF8*Inputs!$F$175+AF9*Inputs!$F$174)/(AF8+AF9)/100,0)</f>
        <v>0.3</v>
      </c>
      <c r="AG24" s="3" t="n">
        <f aca="false">IF(AG8+AG9&gt;0,(AG8*Inputs!$F$175+AG9*Inputs!$F$174)/(AG8+AG9)/100,0)</f>
        <v>0.3</v>
      </c>
      <c r="AH24" s="3" t="n">
        <f aca="false">IF(AH8+AH9&gt;0,(AH8*Inputs!$F$175+AH9*Inputs!$F$174)/(AH8+AH9)/100,0)</f>
        <v>0.3</v>
      </c>
      <c r="AI24" s="3" t="n">
        <f aca="false">IF(AI8+AI9&gt;0,(AI8*Inputs!$F$175+AI9*Inputs!$F$174)/(AI8+AI9)/100,0)</f>
        <v>0.3</v>
      </c>
      <c r="AJ24" s="3" t="n">
        <f aca="false">IF(AJ8+AJ9&gt;0,(AJ8*Inputs!$F$175+AJ9*Inputs!$F$174)/(AJ8+AJ9)/100,0)</f>
        <v>0.3</v>
      </c>
      <c r="AK24" s="3" t="n">
        <f aca="false">IF(AK8+AK9&gt;0,(AK8*Inputs!$F$175+AK9*Inputs!$F$174)/(AK8+AK9)/100,0)</f>
        <v>0.3</v>
      </c>
      <c r="AL24" s="3" t="n">
        <f aca="false">IF(AL8+AL9&gt;0,(AL8*Inputs!$F$175+AL9*Inputs!$F$174)/(AL8+AL9)/100,0)</f>
        <v>0.3</v>
      </c>
      <c r="AM24" s="3" t="n">
        <f aca="false">IF(AM8+AM9&gt;0,(AM8*Inputs!$F$175+AM9*Inputs!$F$174)/(AM8+AM9)/100,0)</f>
        <v>0.3</v>
      </c>
      <c r="AN24" s="3" t="n">
        <f aca="false">IF(AN8+AN9&gt;0,(AN8*Inputs!$F$175+AN9*Inputs!$F$174)/(AN8+AN9)/100,0)</f>
        <v>0.3</v>
      </c>
      <c r="AO24" s="3" t="n">
        <f aca="false">IF(AO8+AO9&gt;0,(AO8*Inputs!$F$175+AO9*Inputs!$F$174)/(AO8+AO9)/100,0)</f>
        <v>0.3</v>
      </c>
      <c r="AP24" s="3" t="n">
        <f aca="false">IF(AP8+AP9&gt;0,(AP8*Inputs!$F$175+AP9*Inputs!$F$174)/(AP8+AP9)/100,0)</f>
        <v>0.3</v>
      </c>
      <c r="AQ24" s="3" t="n">
        <f aca="false">IF(AQ8+AQ9&gt;0,(AQ8*Inputs!$F$175+AQ9*Inputs!$F$174)/(AQ8+AQ9)/100,0)</f>
        <v>0.3</v>
      </c>
      <c r="AR24" s="3" t="n">
        <f aca="false">IF(AR8+AR9&gt;0,(AR8*Inputs!$F$175+AR9*Inputs!$F$174)/(AR8+AR9)/100,0)</f>
        <v>0.3</v>
      </c>
      <c r="AS24" s="3" t="n">
        <f aca="false">IF(AS8+AS9&gt;0,(AS8*Inputs!$F$175+AS9*Inputs!$F$174)/(AS8+AS9)/100,0)</f>
        <v>0.3</v>
      </c>
      <c r="AT24" s="3" t="n">
        <f aca="false">IF(AT8+AT9&gt;0,(AT8*Inputs!$F$175+AT9*Inputs!$F$174)/(AT8+AT9)/100,0)</f>
        <v>0.3</v>
      </c>
      <c r="AU24" s="3" t="n">
        <f aca="false">IF(AU8+AU9&gt;0,(AU8*Inputs!$F$175+AU9*Inputs!$F$174)/(AU8+AU9)/100,0)</f>
        <v>0.3</v>
      </c>
      <c r="AV24" s="3" t="n">
        <f aca="false">IF(AV8+AV9&gt;0,(AV8*Inputs!$F$175+AV9*Inputs!$F$174)/(AV8+AV9)/100,0)</f>
        <v>0.3</v>
      </c>
      <c r="AW24" s="3" t="n">
        <f aca="false">IF(AW8+AW9&gt;0,(AW8*Inputs!$F$175+AW9*Inputs!$F$174)/(AW8+AW9)/100,0)</f>
        <v>0.3</v>
      </c>
      <c r="AX24" s="3" t="n">
        <f aca="false">IF(AX8+AX9&gt;0,(AX8*Inputs!$F$175+AX9*Inputs!$F$174)/(AX8+AX9)/100,0)</f>
        <v>0.3</v>
      </c>
      <c r="AY24" s="3" t="n">
        <f aca="false">IF(AY8+AY9&gt;0,(AY8*Inputs!$F$175+AY9*Inputs!$F$174)/(AY8+AY9)/100,0)</f>
        <v>0.3</v>
      </c>
      <c r="AZ24" s="3" t="n">
        <f aca="false">IF(AZ8+AZ9&gt;0,(AZ8*Inputs!$F$175+AZ9*Inputs!$F$174)/(AZ8+AZ9)/100,0)</f>
        <v>0.3</v>
      </c>
      <c r="BA24" s="3" t="n">
        <f aca="false">IF(BA8+BA9&gt;0,(BA8*Inputs!$F$175+BA9*Inputs!$F$174)/(BA8+BA9)/100,0)</f>
        <v>0.3</v>
      </c>
      <c r="BB24" s="3" t="n">
        <f aca="false">IF(BB8+BB9&gt;0,(BB8*Inputs!$F$175+BB9*Inputs!$F$174)/(BB8+BB9)/100,0)</f>
        <v>0.3</v>
      </c>
      <c r="BC24" s="3" t="n">
        <f aca="false">IF(BC8+BC9&gt;0,(BC8*Inputs!$F$175+BC9*Inputs!$F$174)/(BC8+BC9)/100,0)</f>
        <v>0.3</v>
      </c>
      <c r="BD24" s="3" t="n">
        <f aca="false">IF(BD8+BD9&gt;0,(BD8*Inputs!$F$175+BD9*Inputs!$F$174)/(BD8+BD9)/100,0)</f>
        <v>0.3</v>
      </c>
      <c r="BE24" s="3" t="n">
        <f aca="false">IF(BE8+BE9&gt;0,(BE8*Inputs!$F$175+BE9*Inputs!$F$174)/(BE8+BE9)/100,0)</f>
        <v>0.3</v>
      </c>
      <c r="BF24" s="3" t="n">
        <f aca="false">IF(BF8+BF9&gt;0,(BF8*Inputs!$F$175+BF9*Inputs!$F$174)/(BF8+BF9)/100,0)</f>
        <v>0.3</v>
      </c>
      <c r="BG24" s="3" t="n">
        <f aca="false">IF(BG8+BG9&gt;0,(BG8*Inputs!$F$175+BG9*Inputs!$F$174)/(BG8+BG9)/100,0)</f>
        <v>0.3</v>
      </c>
      <c r="BH24" s="3" t="n">
        <f aca="false">IF(BH8+BH9&gt;0,(BH8*Inputs!$F$175+BH9*Inputs!$F$174)/(BH8+BH9)/100,0)</f>
        <v>0.3</v>
      </c>
      <c r="BI24" s="3" t="n">
        <f aca="false">IF(BI8+BI9&gt;0,(BI8*Inputs!$F$175+BI9*Inputs!$F$174)/(BI8+BI9)/100,0)</f>
        <v>0.3</v>
      </c>
      <c r="BJ24" s="3" t="n">
        <f aca="false">IF(BJ8+BJ9&gt;0,(BJ8*Inputs!$F$175+BJ9*Inputs!$F$174)/(BJ8+BJ9)/100,0)</f>
        <v>0.3</v>
      </c>
      <c r="BK24" s="3" t="n">
        <f aca="false">IF(BK8+BK9&gt;0,(BK8*Inputs!$F$175+BK9*Inputs!$F$174)/(BK8+BK9)/100,0)</f>
        <v>0.3</v>
      </c>
      <c r="BL24" s="3" t="n">
        <f aca="false">IF(BL8+BL9&gt;0,(BL8*Inputs!$F$175+BL9*Inputs!$F$174)/(BL8+BL9)/100,0)</f>
        <v>0.3</v>
      </c>
      <c r="BM24" s="3" t="n">
        <f aca="false">IF(BM8+BM9&gt;0,(BM8*Inputs!$F$175+BM9*Inputs!$F$174)/(BM8+BM9)/100,0)</f>
        <v>0.3</v>
      </c>
      <c r="BN24" s="3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285</v>
      </c>
      <c r="E25" s="0" t="s">
        <v>151</v>
      </c>
      <c r="G25" s="13" t="n">
        <f aca="false">SUM(J25:BN25)</f>
        <v>436.986450285824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2.1607411156573</v>
      </c>
      <c r="AF25" s="13" t="n">
        <f aca="false">AF23*AF24</f>
        <v>7.63709669249769</v>
      </c>
      <c r="AG25" s="13" t="n">
        <f aca="false">AG23*AG24</f>
        <v>8.05248664692513</v>
      </c>
      <c r="AH25" s="13" t="n">
        <f aca="false">AH23*AH24</f>
        <v>8.4365742321758</v>
      </c>
      <c r="AI25" s="13" t="n">
        <f aca="false">AI23*AI24</f>
        <v>9.08420278446756</v>
      </c>
      <c r="AJ25" s="13" t="n">
        <f aca="false">AJ23*AJ24</f>
        <v>9.74717667245783</v>
      </c>
      <c r="AK25" s="13" t="n">
        <f aca="false">AK23*AK24</f>
        <v>10.1541335496573</v>
      </c>
      <c r="AL25" s="13" t="n">
        <f aca="false">AL23*AL24</f>
        <v>9.44742495964816</v>
      </c>
      <c r="AM25" s="13" t="n">
        <f aca="false">AM23*AM24</f>
        <v>10.9170651187757</v>
      </c>
      <c r="AN25" s="13" t="n">
        <f aca="false">AN23*AN24</f>
        <v>11.5901496195866</v>
      </c>
      <c r="AO25" s="13" t="n">
        <f aca="false">AO23*AO24</f>
        <v>11.7853180888566</v>
      </c>
      <c r="AP25" s="13" t="n">
        <f aca="false">AP23*AP24</f>
        <v>11.9216103247848</v>
      </c>
      <c r="AQ25" s="13" t="n">
        <f aca="false">AQ23*AQ24</f>
        <v>12.0392020070945</v>
      </c>
      <c r="AR25" s="13" t="n">
        <f aca="false">AR23*AR24</f>
        <v>12.2201344958756</v>
      </c>
      <c r="AS25" s="13" t="n">
        <f aca="false">AS23*AS24</f>
        <v>11.9263192780763</v>
      </c>
      <c r="AT25" s="13" t="n">
        <f aca="false">AT23*AT24</f>
        <v>7.03879794927079</v>
      </c>
      <c r="AU25" s="13" t="n">
        <f aca="false">AU23*AU24</f>
        <v>11.687545254548</v>
      </c>
      <c r="AV25" s="13" t="n">
        <f aca="false">AV23*AV24</f>
        <v>12.4559700886118</v>
      </c>
      <c r="AW25" s="13" t="n">
        <f aca="false">AW23*AW24</f>
        <v>12.4530479316978</v>
      </c>
      <c r="AX25" s="13" t="n">
        <f aca="false">AX23*AX24</f>
        <v>12.3880152879852</v>
      </c>
      <c r="AY25" s="13" t="n">
        <f aca="false">AY23*AY24</f>
        <v>12.5119195009422</v>
      </c>
      <c r="AZ25" s="13" t="n">
        <f aca="false">AZ23*AZ24</f>
        <v>12.7016148851106</v>
      </c>
      <c r="BA25" s="13" t="n">
        <f aca="false">BA23*BA24</f>
        <v>12.5368669439116</v>
      </c>
      <c r="BB25" s="13" t="n">
        <f aca="false">BB23*BB24</f>
        <v>11.0828773725358</v>
      </c>
      <c r="BC25" s="13" t="n">
        <f aca="false">BC23*BC24</f>
        <v>14.3642080479992</v>
      </c>
      <c r="BD25" s="13" t="n">
        <f aca="false">BD23*BD24</f>
        <v>18.7477199457354</v>
      </c>
      <c r="BE25" s="13" t="n">
        <f aca="false">BE23*BE24</f>
        <v>18.7477146346695</v>
      </c>
      <c r="BF25" s="13" t="n">
        <f aca="false">BF23*BF24</f>
        <v>18.6842683295359</v>
      </c>
      <c r="BG25" s="13" t="n">
        <f aca="false">BG23*BG24</f>
        <v>18.815010818677</v>
      </c>
      <c r="BH25" s="13" t="n">
        <f aca="false">BH23*BH24</f>
        <v>19.0142377384659</v>
      </c>
      <c r="BI25" s="13" t="n">
        <f aca="false">BI23*BI24</f>
        <v>18.7083151805075</v>
      </c>
      <c r="BJ25" s="13" t="n">
        <f aca="false">BJ23*BJ24</f>
        <v>12.9812729414918</v>
      </c>
      <c r="BK25" s="13" t="n">
        <f aca="false">BK23*BK24</f>
        <v>18.4677123929322</v>
      </c>
      <c r="BL25" s="13" t="n">
        <f aca="false">BL23*BL24</f>
        <v>19.2918550713215</v>
      </c>
      <c r="BM25" s="13" t="n">
        <f aca="false">BM23*BM24</f>
        <v>7.18784438333745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1689</v>
      </c>
      <c r="E26" s="0" t="s">
        <v>151</v>
      </c>
      <c r="G26" s="13" t="n">
        <f aca="false">SUM(J26:BN26)</f>
        <v>13.9997794496314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</v>
      </c>
      <c r="Z26" s="13" t="n">
        <f aca="false">IF(Time!Z30&gt;0,Inputs!$F$176/100*Operations!Z55*(Z8+Z9)/Time!Z30,0)</f>
        <v>0</v>
      </c>
      <c r="AA26" s="13" t="n">
        <f aca="false">IF(Time!AA30&gt;0,Inputs!$F$176/100*Operations!AA55*(AA8+AA9)/Time!AA30,0)</f>
        <v>0</v>
      </c>
      <c r="AB26" s="13" t="n">
        <f aca="false">IF(Time!AB30&gt;0,Inputs!$F$176/100*Operations!AB55*(AB8+AB9)/Time!AB30,0)</f>
        <v>0</v>
      </c>
      <c r="AC26" s="13" t="n">
        <f aca="false">IF(Time!AC30&gt;0,Inputs!$F$176/100*Operations!AC55*(AC8+AC9)/Time!AC30,0)</f>
        <v>0</v>
      </c>
      <c r="AD26" s="13" t="n">
        <f aca="false">IF(Time!AD30&gt;0,Inputs!$F$176/100*Operations!AD55*(AD8+AD9)/Time!AD30,0)</f>
        <v>0</v>
      </c>
      <c r="AE26" s="13" t="n">
        <f aca="false">IF(Time!AE30&gt;0,Inputs!$F$176/100*Operations!AE55*(AE8+AE9)/Time!AE30,0)</f>
        <v>0.122658466296441</v>
      </c>
      <c r="AF26" s="13" t="n">
        <f aca="false">IF(Time!AF30&gt;0,Inputs!$F$176/100*Operations!AF55*(AF8+AF9)/Time!AF30,0)</f>
        <v>0.383645102926525</v>
      </c>
      <c r="AG26" s="13" t="n">
        <f aca="false">IF(Time!AG30&gt;0,Inputs!$F$176/100*Operations!AG55*(AG8+AG9)/Time!AG30,0)</f>
        <v>0.384261735480544</v>
      </c>
      <c r="AH26" s="13" t="n">
        <f aca="false">IF(Time!AH30&gt;0,Inputs!$F$176/100*Operations!AH55*(AH8+AH9)/Time!AH30,0)</f>
        <v>0.383647353166614</v>
      </c>
      <c r="AI26" s="13" t="n">
        <f aca="false">IF(Time!AI30&gt;0,Inputs!$F$176/100*Operations!AI55*(AI8+AI9)/Time!AI30,0)</f>
        <v>0.386763636519636</v>
      </c>
      <c r="AJ26" s="13" t="n">
        <f aca="false">IF(Time!AJ30&gt;0,Inputs!$F$176/100*Operations!AJ55*(AJ8+AJ9)/Time!AJ30,0)</f>
        <v>0.391163271680056</v>
      </c>
      <c r="AK26" s="13" t="n">
        <f aca="false">IF(Time!AK30&gt;0,Inputs!$F$176/100*Operations!AK55*(AK8+AK9)/Time!AK30,0)</f>
        <v>0.388623358485019</v>
      </c>
      <c r="AL26" s="13" t="n">
        <f aca="false">IF(Time!AL30&gt;0,Inputs!$F$176/100*Operations!AL55*(AL8+AL9)/Time!AL30,0)</f>
        <v>0.381567454618958</v>
      </c>
      <c r="AM26" s="13" t="n">
        <f aca="false">IF(Time!AM30&gt;0,Inputs!$F$176/100*Operations!AM55*(AM8+AM9)/Time!AM30,0)</f>
        <v>0.387986819976641</v>
      </c>
      <c r="AN26" s="13" t="n">
        <f aca="false">IF(Time!AN30&gt;0,Inputs!$F$176/100*Operations!AN55*(AN8+AN9)/Time!AN30,0)</f>
        <v>0.399009371352637</v>
      </c>
      <c r="AO26" s="13" t="n">
        <f aca="false">IF(Time!AO30&gt;0,Inputs!$F$176/100*Operations!AO55*(AO8+AO9)/Time!AO30,0)</f>
        <v>0.39974120545722</v>
      </c>
      <c r="AP26" s="13" t="n">
        <f aca="false">IF(Time!AP30&gt;0,Inputs!$F$176/100*Operations!AP55*(AP8+AP9)/Time!AP30,0)</f>
        <v>0.399192527551462</v>
      </c>
      <c r="AQ26" s="13" t="n">
        <f aca="false">IF(Time!AQ30&gt;0,Inputs!$F$176/100*Operations!AQ55*(AQ8+AQ9)/Time!AQ30,0)</f>
        <v>0.402526357460219</v>
      </c>
      <c r="AR26" s="13" t="n">
        <f aca="false">IF(Time!AR30&gt;0,Inputs!$F$176/100*Operations!AR55*(AR8+AR9)/Time!AR30,0)</f>
        <v>0.407197700152547</v>
      </c>
      <c r="AS26" s="13" t="n">
        <f aca="false">IF(Time!AS30&gt;0,Inputs!$F$176/100*Operations!AS55*(AS8+AS9)/Time!AS30,0)</f>
        <v>0.401881973297055</v>
      </c>
      <c r="AT26" s="13" t="n">
        <f aca="false">IF(Time!AT30&gt;0,Inputs!$F$176/100*Operations!AT55*(AT8+AT9)/Time!AT30,0)</f>
        <v>0.389055257565614</v>
      </c>
      <c r="AU26" s="13" t="n">
        <f aca="false">IF(Time!AU30&gt;0,Inputs!$F$176/100*Operations!AU55*(AU8+AU9)/Time!AU30,0)</f>
        <v>0.398581586201517</v>
      </c>
      <c r="AV26" s="13" t="n">
        <f aca="false">IF(Time!AV30&gt;0,Inputs!$F$176/100*Operations!AV55*(AV8+AV9)/Time!AV30,0)</f>
        <v>0.415743179452748</v>
      </c>
      <c r="AW26" s="13" t="n">
        <f aca="false">IF(Time!AW30&gt;0,Inputs!$F$176/100*Operations!AW55*(AW8+AW9)/Time!AW30,0)</f>
        <v>0.416600478135618</v>
      </c>
      <c r="AX26" s="13" t="n">
        <f aca="false">IF(Time!AX30&gt;0,Inputs!$F$176/100*Operations!AX55*(AX8+AX9)/Time!AX30,0)</f>
        <v>0.416123355539348</v>
      </c>
      <c r="AY26" s="13" t="n">
        <f aca="false">IF(Time!AY30&gt;0,Inputs!$F$176/100*Operations!AY55*(AY8+AY9)/Time!AY30,0)</f>
        <v>0.419694117583102</v>
      </c>
      <c r="AZ26" s="13" t="n">
        <f aca="false">IF(Time!AZ30&gt;0,Inputs!$F$176/100*Operations!AZ55*(AZ8+AZ9)/Time!AZ30,0)</f>
        <v>0.424661380938928</v>
      </c>
      <c r="BA26" s="13" t="n">
        <f aca="false">IF(Time!BA30&gt;0,Inputs!$F$176/100*Operations!BA55*(BA8+BA9)/Time!BA30,0)</f>
        <v>0.422095893318395</v>
      </c>
      <c r="BB26" s="13" t="n">
        <f aca="false">IF(Time!BB30&gt;0,Inputs!$F$176/100*Operations!BB55*(BB8+BB9)/Time!BB30,0)</f>
        <v>0.414620858101005</v>
      </c>
      <c r="BC26" s="13" t="n">
        <f aca="false">IF(Time!BC30&gt;0,Inputs!$F$176/100*Operations!BC55*(BC8+BC9)/Time!BC30,0)</f>
        <v>0.421788218068888</v>
      </c>
      <c r="BD26" s="13" t="n">
        <f aca="false">IF(Time!BD30&gt;0,Inputs!$F$176/100*Operations!BD55*(BD8+BD9)/Time!BD30,0)</f>
        <v>0.433968554939718</v>
      </c>
      <c r="BE26" s="13" t="n">
        <f aca="false">IF(Time!BE30&gt;0,Inputs!$F$176/100*Operations!BE55*(BE8+BE9)/Time!BE30,0)</f>
        <v>0.434962495138708</v>
      </c>
      <c r="BF26" s="13" t="n">
        <f aca="false">IF(Time!BF30&gt;0,Inputs!$F$176/100*Operations!BF55*(BF8+BF9)/Time!BF30,0)</f>
        <v>0.434563299532523</v>
      </c>
      <c r="BG26" s="13" t="n">
        <f aca="false">IF(Time!BG30&gt;0,Inputs!$F$176/100*Operations!BG55*(BG8+BG9)/Time!BG30,0)</f>
        <v>0.438392106006046</v>
      </c>
      <c r="BH26" s="13" t="n">
        <f aca="false">IF(Time!BH30&gt;0,Inputs!$F$176/100*Operations!BH55*(BH8+BH9)/Time!BH30,0)</f>
        <v>0.443681659990542</v>
      </c>
      <c r="BI26" s="13" t="n">
        <f aca="false">IF(Time!BI30&gt;0,Inputs!$F$176/100*Operations!BI55*(BI8+BI9)/Time!BI30,0)</f>
        <v>0.438089085315306</v>
      </c>
      <c r="BJ26" s="13" t="n">
        <f aca="false">IF(Time!BJ30&gt;0,Inputs!$F$176/100*Operations!BJ55*(BJ8+BJ9)/Time!BJ30,0)</f>
        <v>0.424299889647289</v>
      </c>
      <c r="BK26" s="13" t="n">
        <f aca="false">IF(Time!BK30&gt;0,Inputs!$F$176/100*Operations!BK55*(BK8+BK9)/Time!BK30,0)</f>
        <v>0.43488712440426</v>
      </c>
      <c r="BL26" s="13" t="n">
        <f aca="false">IF(Time!BL30&gt;0,Inputs!$F$176/100*Operations!BL55*(BL8+BL9)/Time!BL30,0)</f>
        <v>0.453818393684778</v>
      </c>
      <c r="BM26" s="13" t="n">
        <f aca="false">IF(Time!BM30&gt;0,Inputs!$F$176/100*Operations!BM55*(BM8+BM9)/Time!BM30,0)</f>
        <v>0.30428618164547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1690</v>
      </c>
      <c r="E27" s="0" t="s">
        <v>151</v>
      </c>
      <c r="G27" s="13" t="n">
        <f aca="false">SUM(J27:BN27)</f>
        <v>436.986450285824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</v>
      </c>
      <c r="Z27" s="13" t="n">
        <f aca="false">MAX(Z25,Z26)</f>
        <v>0</v>
      </c>
      <c r="AA27" s="13" t="n">
        <f aca="false">MAX(AA25,AA26)</f>
        <v>0</v>
      </c>
      <c r="AB27" s="13" t="n">
        <f aca="false">MAX(AB25,AB26)</f>
        <v>0</v>
      </c>
      <c r="AC27" s="13" t="n">
        <f aca="false">MAX(AC25,AC26)</f>
        <v>0</v>
      </c>
      <c r="AD27" s="13" t="n">
        <f aca="false">MAX(AD25,AD26)</f>
        <v>0</v>
      </c>
      <c r="AE27" s="13" t="n">
        <f aca="false">MAX(AE25,AE26)</f>
        <v>2.1607411156573</v>
      </c>
      <c r="AF27" s="13" t="n">
        <f aca="false">MAX(AF25,AF26)</f>
        <v>7.63709669249769</v>
      </c>
      <c r="AG27" s="13" t="n">
        <f aca="false">MAX(AG25,AG26)</f>
        <v>8.05248664692513</v>
      </c>
      <c r="AH27" s="13" t="n">
        <f aca="false">MAX(AH25,AH26)</f>
        <v>8.4365742321758</v>
      </c>
      <c r="AI27" s="13" t="n">
        <f aca="false">MAX(AI25,AI26)</f>
        <v>9.08420278446756</v>
      </c>
      <c r="AJ27" s="13" t="n">
        <f aca="false">MAX(AJ25,AJ26)</f>
        <v>9.74717667245783</v>
      </c>
      <c r="AK27" s="13" t="n">
        <f aca="false">MAX(AK25,AK26)</f>
        <v>10.1541335496573</v>
      </c>
      <c r="AL27" s="13" t="n">
        <f aca="false">MAX(AL25,AL26)</f>
        <v>9.44742495964816</v>
      </c>
      <c r="AM27" s="13" t="n">
        <f aca="false">MAX(AM25,AM26)</f>
        <v>10.9170651187757</v>
      </c>
      <c r="AN27" s="13" t="n">
        <f aca="false">MAX(AN25,AN26)</f>
        <v>11.5901496195866</v>
      </c>
      <c r="AO27" s="13" t="n">
        <f aca="false">MAX(AO25,AO26)</f>
        <v>11.7853180888566</v>
      </c>
      <c r="AP27" s="13" t="n">
        <f aca="false">MAX(AP25,AP26)</f>
        <v>11.9216103247848</v>
      </c>
      <c r="AQ27" s="13" t="n">
        <f aca="false">MAX(AQ25,AQ26)</f>
        <v>12.0392020070945</v>
      </c>
      <c r="AR27" s="13" t="n">
        <f aca="false">MAX(AR25,AR26)</f>
        <v>12.2201344958756</v>
      </c>
      <c r="AS27" s="13" t="n">
        <f aca="false">MAX(AS25,AS26)</f>
        <v>11.9263192780763</v>
      </c>
      <c r="AT27" s="13" t="n">
        <f aca="false">MAX(AT25,AT26)</f>
        <v>7.03879794927079</v>
      </c>
      <c r="AU27" s="13" t="n">
        <f aca="false">MAX(AU25,AU26)</f>
        <v>11.687545254548</v>
      </c>
      <c r="AV27" s="13" t="n">
        <f aca="false">MAX(AV25,AV26)</f>
        <v>12.4559700886118</v>
      </c>
      <c r="AW27" s="13" t="n">
        <f aca="false">MAX(AW25,AW26)</f>
        <v>12.4530479316978</v>
      </c>
      <c r="AX27" s="13" t="n">
        <f aca="false">MAX(AX25,AX26)</f>
        <v>12.3880152879852</v>
      </c>
      <c r="AY27" s="13" t="n">
        <f aca="false">MAX(AY25,AY26)</f>
        <v>12.5119195009422</v>
      </c>
      <c r="AZ27" s="13" t="n">
        <f aca="false">MAX(AZ25,AZ26)</f>
        <v>12.7016148851106</v>
      </c>
      <c r="BA27" s="13" t="n">
        <f aca="false">MAX(BA25,BA26)</f>
        <v>12.5368669439116</v>
      </c>
      <c r="BB27" s="13" t="n">
        <f aca="false">MAX(BB25,BB26)</f>
        <v>11.0828773725358</v>
      </c>
      <c r="BC27" s="13" t="n">
        <f aca="false">MAX(BC25,BC26)</f>
        <v>14.3642080479992</v>
      </c>
      <c r="BD27" s="13" t="n">
        <f aca="false">MAX(BD25,BD26)</f>
        <v>18.7477199457354</v>
      </c>
      <c r="BE27" s="13" t="n">
        <f aca="false">MAX(BE25,BE26)</f>
        <v>18.7477146346695</v>
      </c>
      <c r="BF27" s="13" t="n">
        <f aca="false">MAX(BF25,BF26)</f>
        <v>18.6842683295359</v>
      </c>
      <c r="BG27" s="13" t="n">
        <f aca="false">MAX(BG25,BG26)</f>
        <v>18.815010818677</v>
      </c>
      <c r="BH27" s="13" t="n">
        <f aca="false">MAX(BH25,BH26)</f>
        <v>19.0142377384659</v>
      </c>
      <c r="BI27" s="13" t="n">
        <f aca="false">MAX(BI25,BI26)</f>
        <v>18.7083151805075</v>
      </c>
      <c r="BJ27" s="13" t="n">
        <f aca="false">MAX(BJ25,BJ26)</f>
        <v>12.9812729414918</v>
      </c>
      <c r="BK27" s="13" t="n">
        <f aca="false">MAX(BK25,BK26)</f>
        <v>18.4677123929322</v>
      </c>
      <c r="BL27" s="13" t="n">
        <f aca="false">MAX(BL25,BL26)</f>
        <v>19.2918550713215</v>
      </c>
      <c r="BM27" s="13" t="n">
        <f aca="false">MAX(BM25,BM26)</f>
        <v>7.18784438333745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1691</v>
      </c>
      <c r="E28" s="0" t="s">
        <v>151</v>
      </c>
      <c r="G28" s="13" t="n">
        <f aca="false">SUM(J28:BN28)</f>
        <v>3.4869927538221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1.02272194776005</v>
      </c>
      <c r="P28" s="13" t="n">
        <f aca="false">P13-P15</f>
        <v>1.86005223260344</v>
      </c>
      <c r="Q28" s="13" t="n">
        <f aca="false">Q13-Q15</f>
        <v>0.604218573458616</v>
      </c>
      <c r="R28" s="13" t="n">
        <f aca="false">R13-R15</f>
        <v>0</v>
      </c>
      <c r="S28" s="13" t="n">
        <f aca="false">S13-S15</f>
        <v>0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1692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1693</v>
      </c>
    </row>
    <row r="8" customFormat="false" ht="15" hidden="false" customHeight="false" outlineLevel="0" collapsed="false">
      <c r="D8" s="0" t="s">
        <v>1694</v>
      </c>
      <c r="E8" s="0" t="s">
        <v>111</v>
      </c>
      <c r="F8" s="11" t="n">
        <f aca="false">Inputs!$F$113/(Inputs!$F$113+Inputs!$F$114)</f>
        <v>0.76135825636416</v>
      </c>
    </row>
    <row r="9" customFormat="false" ht="15" hidden="false" customHeight="false" outlineLevel="0" collapsed="false">
      <c r="D9" s="0" t="s">
        <v>1695</v>
      </c>
      <c r="E9" s="0" t="s">
        <v>111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1696</v>
      </c>
      <c r="E10" s="0" t="s">
        <v>101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1697</v>
      </c>
      <c r="E11" s="0" t="s">
        <v>111</v>
      </c>
      <c r="F11" s="11" t="n">
        <f aca="false">INDEX(Debt!$J$17:$BN$17,1,Time!$F$13)/INDEX(Debt!$J$18:$BN$18,1,Time!$F$13)</f>
        <v>0.0182970986139281</v>
      </c>
    </row>
    <row r="12" customFormat="false" ht="15" hidden="false" customHeight="false" outlineLevel="0" collapsed="false">
      <c r="D12" s="0" t="s">
        <v>1698</v>
      </c>
      <c r="E12" s="0" t="s">
        <v>101</v>
      </c>
      <c r="F12" s="11" t="n">
        <f aca="false">INDEX(Debt!$J$147:$BN$147,1,Time!$F$13)+(INDEX(Operations!$J$9:$BN$9,1,Time!$F$13)+Inputs!$F$79)/100*0.5*1</f>
        <v>0.0606615384615385</v>
      </c>
    </row>
    <row r="13" customFormat="false" ht="15" hidden="false" customHeight="false" outlineLevel="0" collapsed="false">
      <c r="D13" s="0" t="s">
        <v>1699</v>
      </c>
      <c r="E13" s="0" t="s">
        <v>101</v>
      </c>
      <c r="F13" s="11" t="n">
        <f aca="false">$F$11+(INDEX(Operations!$J$9:$BN$9,1,Time!$F$13)+Inputs!$F$80)/100*0.5*1</f>
        <v>0.0519970986139281</v>
      </c>
    </row>
    <row r="14" customFormat="false" ht="15" hidden="false" customHeight="false" outlineLevel="0" collapsed="false">
      <c r="D14" s="0" t="s">
        <v>1700</v>
      </c>
      <c r="E14" s="0" t="s">
        <v>101</v>
      </c>
      <c r="F14" s="11" t="n">
        <f aca="false">$F$11+(INDEX(Operations!$J$9:$BN$9,1,Time!$F$13)+Inputs!$F$81)/100*0.5*1</f>
        <v>0.0507470986139281</v>
      </c>
    </row>
    <row r="15" customFormat="false" ht="15" hidden="false" customHeight="false" outlineLevel="0" collapsed="false">
      <c r="D15" s="0" t="s">
        <v>1701</v>
      </c>
      <c r="E15" s="0" t="s">
        <v>101</v>
      </c>
      <c r="F15" s="11" t="n">
        <f aca="false">$F$11+(INDEX(Operations!$J$9:$BN$9,1,Time!$F$13)+INDEX(Debt!$J$8:$BN$8,1,Time!$F$13))/100*0.5*(1/(1-Inputs!$F$93/100))+(Inputs!$F$95/100*Inputs!$F$96/100)*INDEX(Time!$J$25:$BN$25,1,Time!$F$13)/Inputs!$F$248</f>
        <v>0.0634590773049479</v>
      </c>
    </row>
    <row r="16" customFormat="false" ht="15" hidden="false" customHeight="false" outlineLevel="0" collapsed="false">
      <c r="D16" s="0" t="s">
        <v>1702</v>
      </c>
      <c r="E16" s="0" t="s">
        <v>101</v>
      </c>
      <c r="F16" s="11" t="n">
        <f aca="false">$F$11+INDEX(Debt!$J$14:$BN$14,1,Time!$F$13)</f>
        <v>0.0579388763917059</v>
      </c>
    </row>
    <row r="17" customFormat="false" ht="15" hidden="false" customHeight="false" outlineLevel="0" collapsed="false">
      <c r="D17" s="0" t="s">
        <v>1703</v>
      </c>
      <c r="E17" s="0" t="s">
        <v>151</v>
      </c>
      <c r="F17" s="11" t="n">
        <f aca="false">-1*INDEX(Inputs!$J$301:$BN$301,1,Time!$F$13)*(Inputs!$F$97/100*INDEX(Time!$J$24:$BN$24,1,Time!$F$13)-INDEX(Operations!$J$9:$BN$9,1,Time!$F$13)/100*INDEX(Time!$J$25:$BN$25,1,Time!$F$13)/Inputs!$F$247)</f>
        <v>0.554524810898945</v>
      </c>
    </row>
    <row r="18" customFormat="false" ht="15" hidden="false" customHeight="false" outlineLevel="0" collapsed="false">
      <c r="B18" s="2" t="s">
        <v>1704</v>
      </c>
    </row>
    <row r="19" customFormat="false" ht="15" hidden="false" customHeight="false" outlineLevel="0" collapsed="false">
      <c r="D19" s="0" t="s">
        <v>1705</v>
      </c>
      <c r="E19" s="0" t="s">
        <v>101</v>
      </c>
      <c r="J19" s="16" t="n">
        <f aca="false">Inputs!$F$75*(Construction!J17+Inputs!$F$79)/100*(1/12)*1+Inputs!$F$76*(Construction!J17+Inputs!$F$80)/100*(1/12)*1+Inputs!$F$77*(Construction!J17+Inputs!$F$81)/100*(1/12)*1+Inputs!$F$78*(Construction!J17+Inputs!$F$82)/100*(1/12)*(1/(1-Inputs!$F$93/100))+Inputs!$F$78*(Inputs!$F$95/100*Inputs!$F$96/100)*Construction!J11/Inputs!$F$248</f>
        <v>0.00525529487569762</v>
      </c>
      <c r="K19" s="16" t="n">
        <f aca="false">Inputs!$F$75*(Construction!K17+Inputs!$F$79)/100*(1/12)*1+Inputs!$F$76*(Construction!K17+Inputs!$F$80)/100*(1/12)*1+Inputs!$F$77*(Construction!K17+Inputs!$F$81)/100*(1/12)*1+Inputs!$F$78*(Construction!K17+Inputs!$F$82)/100*(1/12)*(1/(1-Inputs!$F$93/100))+Inputs!$F$78*(Inputs!$F$95/100*Inputs!$F$96/100)*Construction!K11/Inputs!$F$248</f>
        <v>0.00524451953323186</v>
      </c>
      <c r="L19" s="16" t="n">
        <f aca="false">Inputs!$F$75*(Construction!L17+Inputs!$F$79)/100*(1/12)*1+Inputs!$F$76*(Construction!L17+Inputs!$F$80)/100*(1/12)*1+Inputs!$F$77*(Construction!L17+Inputs!$F$81)/100*(1/12)*1+Inputs!$F$78*(Construction!L17+Inputs!$F$82)/100*(1/12)*(1/(1-Inputs!$F$93/100))+Inputs!$F$78*(Inputs!$F$95/100*Inputs!$F$96/100)*Construction!L11/Inputs!$F$248</f>
        <v>0.00525529487569762</v>
      </c>
      <c r="M19" s="16" t="n">
        <f aca="false">Inputs!$F$75*(Construction!M17+Inputs!$F$79)/100*(1/12)*1+Inputs!$F$76*(Construction!M17+Inputs!$F$80)/100*(1/12)*1+Inputs!$F$77*(Construction!M17+Inputs!$F$81)/100*(1/12)*1+Inputs!$F$78*(Construction!M17+Inputs!$F$82)/100*(1/12)*(1/(1-Inputs!$F$93/100))+Inputs!$F$78*(Inputs!$F$95/100*Inputs!$F$96/100)*Construction!M11/Inputs!$F$248</f>
        <v>0.00524451953323186</v>
      </c>
      <c r="N19" s="16" t="n">
        <f aca="false">Inputs!$F$75*(Construction!N17+Inputs!$F$79)/100*(1/12)*1+Inputs!$F$76*(Construction!N17+Inputs!$F$80)/100*(1/12)*1+Inputs!$F$77*(Construction!N17+Inputs!$F$81)/100*(1/12)*1+Inputs!$F$78*(Construction!N17+Inputs!$F$82)/100*(1/12)*(1/(1-Inputs!$F$93/100))+Inputs!$F$78*(Inputs!$F$95/100*Inputs!$F$96/100)*Construction!N11/Inputs!$F$248</f>
        <v>0.00525529487569762</v>
      </c>
      <c r="O19" s="16" t="n">
        <f aca="false">Inputs!$F$75*(Construction!O17+Inputs!$F$79)/100*(1/12)*1+Inputs!$F$76*(Construction!O17+Inputs!$F$80)/100*(1/12)*1+Inputs!$F$77*(Construction!O17+Inputs!$F$81)/100*(1/12)*1+Inputs!$F$78*(Construction!O17+Inputs!$F$82)/100*(1/12)*(1/(1-Inputs!$F$93/100))+Inputs!$F$78*(Inputs!$F$95/100*Inputs!$F$96/100)*Construction!O11/Inputs!$F$248</f>
        <v>0.00548979487569762</v>
      </c>
      <c r="P19" s="16" t="n">
        <f aca="false">Inputs!$F$75*(Construction!P17+Inputs!$F$79)/100*(1/12)*1+Inputs!$F$76*(Construction!P17+Inputs!$F$80)/100*(1/12)*1+Inputs!$F$77*(Construction!P17+Inputs!$F$81)/100*(1/12)*1+Inputs!$F$78*(Construction!P17+Inputs!$F$82)/100*(1/12)*(1/(1-Inputs!$F$93/100))+Inputs!$F$78*(Inputs!$F$95/100*Inputs!$F$96/100)*Construction!P11/Inputs!$F$248</f>
        <v>0.00545746884830036</v>
      </c>
      <c r="Q19" s="16" t="n">
        <f aca="false">Inputs!$F$75*(Construction!Q17+Inputs!$F$79)/100*(1/12)*1+Inputs!$F$76*(Construction!Q17+Inputs!$F$80)/100*(1/12)*1+Inputs!$F$77*(Construction!Q17+Inputs!$F$81)/100*(1/12)*1+Inputs!$F$78*(Construction!Q17+Inputs!$F$82)/100*(1/12)*(1/(1-Inputs!$F$93/100))+Inputs!$F$78*(Inputs!$F$95/100*Inputs!$F$96/100)*Construction!Q11/Inputs!$F$248</f>
        <v>0.00548979487569762</v>
      </c>
      <c r="R19" s="16" t="n">
        <f aca="false">Inputs!$F$75*(Construction!R17+Inputs!$F$79)/100*(1/12)*1+Inputs!$F$76*(Construction!R17+Inputs!$F$80)/100*(1/12)*1+Inputs!$F$77*(Construction!R17+Inputs!$F$81)/100*(1/12)*1+Inputs!$F$78*(Construction!R17+Inputs!$F$82)/100*(1/12)*(1/(1-Inputs!$F$93/100))+Inputs!$F$78*(Inputs!$F$95/100*Inputs!$F$96/100)*Construction!R11/Inputs!$F$248</f>
        <v>0.00547901953323186</v>
      </c>
      <c r="S19" s="16" t="n">
        <f aca="false">Inputs!$F$75*(Construction!S17+Inputs!$F$79)/100*(1/12)*1+Inputs!$F$76*(Construction!S17+Inputs!$F$80)/100*(1/12)*1+Inputs!$F$77*(Construction!S17+Inputs!$F$81)/100*(1/12)*1+Inputs!$F$78*(Construction!S17+Inputs!$F$82)/100*(1/12)*(1/(1-Inputs!$F$93/100))+Inputs!$F$78*(Inputs!$F$95/100*Inputs!$F$96/100)*Construction!S11/Inputs!$F$248</f>
        <v>0.00548979487569762</v>
      </c>
      <c r="T19" s="16" t="n">
        <f aca="false">Inputs!$F$75*(Construction!T17+Inputs!$F$79)/100*(1/12)*1+Inputs!$F$76*(Construction!T17+Inputs!$F$80)/100*(1/12)*1+Inputs!$F$77*(Construction!T17+Inputs!$F$81)/100*(1/12)*1+Inputs!$F$78*(Construction!T17+Inputs!$F$82)/100*(1/12)*(1/(1-Inputs!$F$93/100))+Inputs!$F$78*(Inputs!$F$95/100*Inputs!$F$96/100)*Construction!T11/Inputs!$F$248</f>
        <v>0.00547901953323186</v>
      </c>
      <c r="U19" s="16" t="n">
        <f aca="false">Inputs!$F$75*(Construction!U17+Inputs!$F$79)/100*(1/12)*1+Inputs!$F$76*(Construction!U17+Inputs!$F$80)/100*(1/12)*1+Inputs!$F$77*(Construction!U17+Inputs!$F$81)/100*(1/12)*1+Inputs!$F$78*(Construction!U17+Inputs!$F$82)/100*(1/12)*(1/(1-Inputs!$F$93/100))+Inputs!$F$78*(Inputs!$F$95/100*Inputs!$F$96/100)*Construction!U11/Inputs!$F$248</f>
        <v>0.00562007265347539</v>
      </c>
      <c r="V19" s="16" t="n">
        <f aca="false">Inputs!$F$75*(Construction!V17+Inputs!$F$79)/100*(1/12)*1+Inputs!$F$76*(Construction!V17+Inputs!$F$80)/100*(1/12)*1+Inputs!$F$77*(Construction!V17+Inputs!$F$81)/100*(1/12)*1+Inputs!$F$78*(Construction!V17+Inputs!$F$82)/100*(1/12)*(1/(1-Inputs!$F$93/100))+Inputs!$F$78*(Inputs!$F$95/100*Inputs!$F$96/100)*Construction!V11/Inputs!$F$248</f>
        <v>0.00562007265347539</v>
      </c>
      <c r="W19" s="16" t="n">
        <f aca="false">Inputs!$F$75*(Construction!W17+Inputs!$F$79)/100*(1/12)*1+Inputs!$F$76*(Construction!W17+Inputs!$F$80)/100*(1/12)*1+Inputs!$F$77*(Construction!W17+Inputs!$F$81)/100*(1/12)*1+Inputs!$F$78*(Construction!W17+Inputs!$F$82)/100*(1/12)*(1/(1-Inputs!$F$93/100))+Inputs!$F$78*(Inputs!$F$95/100*Inputs!$F$96/100)*Construction!W11/Inputs!$F$248</f>
        <v>0.00560929731100964</v>
      </c>
      <c r="X19" s="16" t="n">
        <f aca="false">Inputs!$F$75*(Construction!X17+Inputs!$F$79)/100*(1/12)*1+Inputs!$F$76*(Construction!X17+Inputs!$F$80)/100*(1/12)*1+Inputs!$F$77*(Construction!X17+Inputs!$F$81)/100*(1/12)*1+Inputs!$F$78*(Construction!X17+Inputs!$F$82)/100*(1/12)*(1/(1-Inputs!$F$93/100))+Inputs!$F$78*(Inputs!$F$95/100*Inputs!$F$96/100)*Construction!X11/Inputs!$F$248</f>
        <v>0.00562007265347539</v>
      </c>
      <c r="Y19" s="16" t="n">
        <f aca="false">Inputs!$F$75*(Construction!Y17+Inputs!$F$79)/100*(1/12)*1+Inputs!$F$76*(Construction!Y17+Inputs!$F$80)/100*(1/12)*1+Inputs!$F$77*(Construction!Y17+Inputs!$F$81)/100*(1/12)*1+Inputs!$F$78*(Construction!Y17+Inputs!$F$82)/100*(1/12)*(1/(1-Inputs!$F$93/100))+Inputs!$F$78*(Inputs!$F$95/100*Inputs!$F$96/100)*Construction!Y11/Inputs!$F$248</f>
        <v>0.00560929731100964</v>
      </c>
      <c r="Z19" s="16" t="n">
        <f aca="false">Inputs!$F$75*(Construction!Z17+Inputs!$F$79)/100*(1/12)*1+Inputs!$F$76*(Construction!Z17+Inputs!$F$80)/100*(1/12)*1+Inputs!$F$77*(Construction!Z17+Inputs!$F$81)/100*(1/12)*1+Inputs!$F$78*(Construction!Z17+Inputs!$F$82)/100*(1/12)*(1/(1-Inputs!$F$93/100))+Inputs!$F$78*(Inputs!$F$95/100*Inputs!$F$96/100)*Construction!Z11/Inputs!$F$248</f>
        <v>0.00562007265347539</v>
      </c>
      <c r="AA19" s="16" t="n">
        <f aca="false">Inputs!$F$75*(Construction!AA17+Inputs!$F$79)/100*(1/12)*1+Inputs!$F$76*(Construction!AA17+Inputs!$F$80)/100*(1/12)*1+Inputs!$F$77*(Construction!AA17+Inputs!$F$81)/100*(1/12)*1+Inputs!$F$78*(Construction!AA17+Inputs!$F$82)/100*(1/12)*(1/(1-Inputs!$F$93/100))+Inputs!$F$78*(Inputs!$F$95/100*Inputs!$F$96/100)*Construction!AA11/Inputs!$F$248</f>
        <v>0.00568955413495687</v>
      </c>
      <c r="AB19" s="16" t="n">
        <f aca="false">Inputs!$F$75*(Construction!AB17+Inputs!$F$79)/100*(1/12)*1+Inputs!$F$76*(Construction!AB17+Inputs!$F$80)/100*(1/12)*1+Inputs!$F$77*(Construction!AB17+Inputs!$F$81)/100*(1/12)*1+Inputs!$F$78*(Construction!AB17+Inputs!$F$82)/100*(1/12)*(1/(1-Inputs!$F$93/100))+Inputs!$F$78*(Inputs!$F$95/100*Inputs!$F$96/100)*Construction!AB11/Inputs!$F$248</f>
        <v>0.00566800345002537</v>
      </c>
      <c r="AC19" s="16" t="n">
        <f aca="false">Inputs!$F$75*(Construction!AC17+Inputs!$F$79)/100*(1/12)*1+Inputs!$F$76*(Construction!AC17+Inputs!$F$80)/100*(1/12)*1+Inputs!$F$77*(Construction!AC17+Inputs!$F$81)/100*(1/12)*1+Inputs!$F$78*(Construction!AC17+Inputs!$F$82)/100*(1/12)*(1/(1-Inputs!$F$93/100))+Inputs!$F$78*(Inputs!$F$95/100*Inputs!$F$96/100)*Construction!AC11/Inputs!$F$248</f>
        <v>0.00568955413495687</v>
      </c>
      <c r="AD19" s="16" t="n">
        <f aca="false">Inputs!$F$75*(Construction!AD17+Inputs!$F$79)/100*(1/12)*1+Inputs!$F$76*(Construction!AD17+Inputs!$F$80)/100*(1/12)*1+Inputs!$F$77*(Construction!AD17+Inputs!$F$81)/100*(1/12)*1+Inputs!$F$78*(Construction!AD17+Inputs!$F$82)/100*(1/12)*(1/(1-Inputs!$F$93/100))+Inputs!$F$78*(Inputs!$F$95/100*Inputs!$F$96/100)*Construction!AD11/Inputs!$F$248</f>
        <v>0.00567877879249112</v>
      </c>
      <c r="AE19" s="16" t="n">
        <f aca="false">Inputs!$F$75*(Construction!AE17+Inputs!$F$79)/100*(1/12)*1+Inputs!$F$76*(Construction!AE17+Inputs!$F$80)/100*(1/12)*1+Inputs!$F$77*(Construction!AE17+Inputs!$F$81)/100*(1/12)*1+Inputs!$F$78*(Construction!AE17+Inputs!$F$82)/100*(1/12)*(1/(1-Inputs!$F$93/100))+Inputs!$F$78*(Inputs!$F$95/100*Inputs!$F$96/100)*Construction!AE11/Inputs!$F$248</f>
        <v>0.00568955413495687</v>
      </c>
      <c r="AF19" s="16" t="n">
        <f aca="false">Inputs!$F$75*(Construction!AF17+Inputs!$F$79)/100*(1/12)*1+Inputs!$F$76*(Construction!AF17+Inputs!$F$80)/100*(1/12)*1+Inputs!$F$77*(Construction!AF17+Inputs!$F$81)/100*(1/12)*1+Inputs!$F$78*(Construction!AF17+Inputs!$F$82)/100*(1/12)*(1/(1-Inputs!$F$93/100))+Inputs!$F$78*(Inputs!$F$95/100*Inputs!$F$96/100)*Construction!AF11/Inputs!$F$248</f>
        <v>0.00567877879249112</v>
      </c>
      <c r="AG19" s="16" t="n">
        <f aca="false">Inputs!$F$75*(Construction!AG17+Inputs!$F$79)/100*(1/12)*1+Inputs!$F$76*(Construction!AG17+Inputs!$F$80)/100*(1/12)*1+Inputs!$F$77*(Construction!AG17+Inputs!$F$81)/100*(1/12)*1+Inputs!$F$78*(Construction!AG17+Inputs!$F$82)/100*(1/12)*(1/(1-Inputs!$F$93/100))+Inputs!$F$78*(Inputs!$F$95/100*Inputs!$F$96/100)*Construction!AG11/Inputs!$F$248</f>
        <v>0.00572429487569761</v>
      </c>
      <c r="AH19" s="16" t="n">
        <f aca="false">Inputs!$F$75*(Construction!AH17+Inputs!$F$79)/100*(1/12)*1+Inputs!$F$76*(Construction!AH17+Inputs!$F$80)/100*(1/12)*1+Inputs!$F$77*(Construction!AH17+Inputs!$F$81)/100*(1/12)*1+Inputs!$F$78*(Construction!AH17+Inputs!$F$82)/100*(1/12)*(1/(1-Inputs!$F$93/100))+Inputs!$F$78*(Inputs!$F$95/100*Inputs!$F$96/100)*Construction!AH11/Inputs!$F$248</f>
        <v>0.00572429487569761</v>
      </c>
      <c r="AI19" s="16" t="n">
        <f aca="false">Inputs!$F$75*(Construction!AI17+Inputs!$F$79)/100*(1/12)*1+Inputs!$F$76*(Construction!AI17+Inputs!$F$80)/100*(1/12)*1+Inputs!$F$77*(Construction!AI17+Inputs!$F$81)/100*(1/12)*1+Inputs!$F$78*(Construction!AI17+Inputs!$F$82)/100*(1/12)*(1/(1-Inputs!$F$93/100))+Inputs!$F$78*(Inputs!$F$95/100*Inputs!$F$96/100)*Construction!AI11/Inputs!$F$248</f>
        <v>0.00571351953323186</v>
      </c>
      <c r="AJ19" s="16" t="n">
        <f aca="false">Inputs!$F$75*(Construction!AJ17+Inputs!$F$79)/100*(1/12)*1+Inputs!$F$76*(Construction!AJ17+Inputs!$F$80)/100*(1/12)*1+Inputs!$F$77*(Construction!AJ17+Inputs!$F$81)/100*(1/12)*1+Inputs!$F$78*(Construction!AJ17+Inputs!$F$82)/100*(1/12)*(1/(1-Inputs!$F$93/100))+Inputs!$F$78*(Inputs!$F$95/100*Inputs!$F$96/100)*Construction!AJ11/Inputs!$F$248</f>
        <v>0.00572429487569761</v>
      </c>
      <c r="AK19" s="16" t="n">
        <f aca="false">Inputs!$F$75*(Construction!AK17+Inputs!$F$79)/100*(1/12)*1+Inputs!$F$76*(Construction!AK17+Inputs!$F$80)/100*(1/12)*1+Inputs!$F$77*(Construction!AK17+Inputs!$F$81)/100*(1/12)*1+Inputs!$F$78*(Construction!AK17+Inputs!$F$82)/100*(1/12)*(1/(1-Inputs!$F$93/100))+Inputs!$F$78*(Inputs!$F$95/100*Inputs!$F$96/100)*Construction!AK11/Inputs!$F$248</f>
        <v>0.00571351953323186</v>
      </c>
      <c r="AL19" s="16" t="n">
        <f aca="false">Inputs!$F$75*(Construction!AL17+Inputs!$F$79)/100*(1/12)*1+Inputs!$F$76*(Construction!AL17+Inputs!$F$80)/100*(1/12)*1+Inputs!$F$77*(Construction!AL17+Inputs!$F$81)/100*(1/12)*1+Inputs!$F$78*(Construction!AL17+Inputs!$F$82)/100*(1/12)*(1/(1-Inputs!$F$93/100))+Inputs!$F$78*(Inputs!$F$95/100*Inputs!$F$96/100)*Construction!AL11/Inputs!$F$248</f>
        <v>0.00572429487569761</v>
      </c>
      <c r="AM19" s="16" t="n">
        <f aca="false">Inputs!$F$75*(Construction!AM17+Inputs!$F$79)/100*(1/12)*1+Inputs!$F$76*(Construction!AM17+Inputs!$F$80)/100*(1/12)*1+Inputs!$F$77*(Construction!AM17+Inputs!$F$81)/100*(1/12)*1+Inputs!$F$78*(Construction!AM17+Inputs!$F$82)/100*(1/12)*(1/(1-Inputs!$F$93/100))+Inputs!$F$78*(Inputs!$F$95/100*Inputs!$F$96/100)*Construction!AM11/Inputs!$F$248</f>
        <v>0.00575035043125317</v>
      </c>
      <c r="AN19" s="16" t="n">
        <f aca="false">Inputs!$F$75*(Construction!AN17+Inputs!$F$79)/100*(1/12)*1+Inputs!$F$76*(Construction!AN17+Inputs!$F$80)/100*(1/12)*1+Inputs!$F$77*(Construction!AN17+Inputs!$F$81)/100*(1/12)*1+Inputs!$F$78*(Construction!AN17+Inputs!$F$82)/100*(1/12)*(1/(1-Inputs!$F$93/100))+Inputs!$F$78*(Inputs!$F$95/100*Inputs!$F$96/100)*Construction!AN11/Inputs!$F$248</f>
        <v>0.00571802440385591</v>
      </c>
      <c r="AO19" s="16" t="n">
        <f aca="false">Inputs!$F$75*(Construction!AO17+Inputs!$F$79)/100*(1/12)*1+Inputs!$F$76*(Construction!AO17+Inputs!$F$80)/100*(1/12)*1+Inputs!$F$77*(Construction!AO17+Inputs!$F$81)/100*(1/12)*1+Inputs!$F$78*(Construction!AO17+Inputs!$F$82)/100*(1/12)*(1/(1-Inputs!$F$93/100))+Inputs!$F$78*(Inputs!$F$95/100*Inputs!$F$96/100)*Construction!AO11/Inputs!$F$248</f>
        <v>0.00575035043125317</v>
      </c>
      <c r="AP19" s="16" t="n">
        <f aca="false">Inputs!$F$75*(Construction!AP17+Inputs!$F$79)/100*(1/12)*1+Inputs!$F$76*(Construction!AP17+Inputs!$F$80)/100*(1/12)*1+Inputs!$F$77*(Construction!AP17+Inputs!$F$81)/100*(1/12)*1+Inputs!$F$78*(Construction!AP17+Inputs!$F$82)/100*(1/12)*(1/(1-Inputs!$F$93/100))+Inputs!$F$78*(Inputs!$F$95/100*Inputs!$F$96/100)*Construction!AP11/Inputs!$F$248</f>
        <v>0.00573957508878742</v>
      </c>
      <c r="AQ19" s="16" t="n">
        <f aca="false">Inputs!$F$75*(Construction!AQ17+Inputs!$F$79)/100*(1/12)*1+Inputs!$F$76*(Construction!AQ17+Inputs!$F$80)/100*(1/12)*1+Inputs!$F$77*(Construction!AQ17+Inputs!$F$81)/100*(1/12)*1+Inputs!$F$78*(Construction!AQ17+Inputs!$F$82)/100*(1/12)*(1/(1-Inputs!$F$93/100))+Inputs!$F$78*(Inputs!$F$95/100*Inputs!$F$96/100)*Construction!AQ11/Inputs!$F$248</f>
        <v>0.00575035043125317</v>
      </c>
      <c r="AR19" s="16" t="n">
        <f aca="false">Inputs!$F$75*(Construction!AR17+Inputs!$F$79)/100*(1/12)*1+Inputs!$F$76*(Construction!AR17+Inputs!$F$80)/100*(1/12)*1+Inputs!$F$77*(Construction!AR17+Inputs!$F$81)/100*(1/12)*1+Inputs!$F$78*(Construction!AR17+Inputs!$F$82)/100*(1/12)*(1/(1-Inputs!$F$93/100))+Inputs!$F$78*(Inputs!$F$95/100*Inputs!$F$96/100)*Construction!AR11/Inputs!$F$248</f>
        <v>0.00573957508878742</v>
      </c>
      <c r="AS19" s="16" t="n">
        <f aca="false">Inputs!$F$75*(Construction!AS17+Inputs!$F$79)/100*(1/12)*1+Inputs!$F$76*(Construction!AS17+Inputs!$F$80)/100*(1/12)*1+Inputs!$F$77*(Construction!AS17+Inputs!$F$81)/100*(1/12)*1+Inputs!$F$78*(Construction!AS17+Inputs!$F$82)/100*(1/12)*(1/(1-Inputs!$F$93/100))+Inputs!$F$78*(Inputs!$F$95/100*Inputs!$F$96/100)*Construction!AS11/Inputs!$F$248</f>
        <v>0.00575035043125317</v>
      </c>
      <c r="AT19" s="16" t="n">
        <f aca="false">Inputs!$F$75*(Construction!AT17+Inputs!$F$79)/100*(1/12)*1+Inputs!$F$76*(Construction!AT17+Inputs!$F$80)/100*(1/12)*1+Inputs!$F$77*(Construction!AT17+Inputs!$F$81)/100*(1/12)*1+Inputs!$F$78*(Construction!AT17+Inputs!$F$82)/100*(1/12)*(1/(1-Inputs!$F$93/100))+Inputs!$F$78*(Inputs!$F$95/100*Inputs!$F$96/100)*Construction!AT11/Inputs!$F$248</f>
        <v>0.00575035043125317</v>
      </c>
      <c r="AU19" s="16" t="n">
        <f aca="false">Inputs!$F$75*(Construction!AU17+Inputs!$F$79)/100*(1/12)*1+Inputs!$F$76*(Construction!AU17+Inputs!$F$80)/100*(1/12)*1+Inputs!$F$77*(Construction!AU17+Inputs!$F$81)/100*(1/12)*1+Inputs!$F$78*(Construction!AU17+Inputs!$F$82)/100*(1/12)*(1/(1-Inputs!$F$93/100))+Inputs!$F$78*(Inputs!$F$95/100*Inputs!$F$96/100)*Construction!AU11/Inputs!$F$248</f>
        <v>0.00573957508878742</v>
      </c>
      <c r="AV19" s="16" t="n">
        <f aca="false">Inputs!$F$75*(Construction!AV17+Inputs!$F$79)/100*(1/12)*1+Inputs!$F$76*(Construction!AV17+Inputs!$F$80)/100*(1/12)*1+Inputs!$F$77*(Construction!AV17+Inputs!$F$81)/100*(1/12)*1+Inputs!$F$78*(Construction!AV17+Inputs!$F$82)/100*(1/12)*(1/(1-Inputs!$F$93/100))+Inputs!$F$78*(Inputs!$F$95/100*Inputs!$F$96/100)*Construction!AV11/Inputs!$F$248</f>
        <v>0.00575035043125317</v>
      </c>
      <c r="AW19" s="16" t="n">
        <f aca="false">Inputs!$F$75*(Construction!AW17+Inputs!$F$79)/100*(1/12)*1+Inputs!$F$76*(Construction!AW17+Inputs!$F$80)/100*(1/12)*1+Inputs!$F$77*(Construction!AW17+Inputs!$F$81)/100*(1/12)*1+Inputs!$F$78*(Construction!AW17+Inputs!$F$82)/100*(1/12)*(1/(1-Inputs!$F$93/100))+Inputs!$F$78*(Inputs!$F$95/100*Inputs!$F$96/100)*Construction!AW11/Inputs!$F$248</f>
        <v>0.00573957508878742</v>
      </c>
      <c r="AX19" s="16" t="n">
        <f aca="false">Inputs!$F$75*(Construction!AX17+Inputs!$F$79)/100*(1/12)*1+Inputs!$F$76*(Construction!AX17+Inputs!$F$80)/100*(1/12)*1+Inputs!$F$77*(Construction!AX17+Inputs!$F$81)/100*(1/12)*1+Inputs!$F$78*(Construction!AX17+Inputs!$F$82)/100*(1/12)*(1/(1-Inputs!$F$93/100))+Inputs!$F$78*(Inputs!$F$95/100*Inputs!$F$96/100)*Construction!AX11/Inputs!$F$248</f>
        <v>0.00575035043125317</v>
      </c>
      <c r="AY19" s="16" t="n">
        <f aca="false">Inputs!$F$75*(Construction!AY17+Inputs!$F$79)/100*(1/12)*1+Inputs!$F$76*(Construction!AY17+Inputs!$F$80)/100*(1/12)*1+Inputs!$F$77*(Construction!AY17+Inputs!$F$81)/100*(1/12)*1+Inputs!$F$78*(Construction!AY17+Inputs!$F$82)/100*(1/12)*(1/(1-Inputs!$F$93/100))+Inputs!$F$78*(Inputs!$F$95/100*Inputs!$F$96/100)*Construction!AY11/Inputs!$F$248</f>
        <v>0.00576772080162354</v>
      </c>
      <c r="AZ19" s="16" t="n">
        <f aca="false">Inputs!$F$75*(Construction!AZ17+Inputs!$F$79)/100*(1/12)*1+Inputs!$F$76*(Construction!AZ17+Inputs!$F$80)/100*(1/12)*1+Inputs!$F$77*(Construction!AZ17+Inputs!$F$81)/100*(1/12)*1+Inputs!$F$78*(Construction!AZ17+Inputs!$F$82)/100*(1/12)*(1/(1-Inputs!$F$93/100))+Inputs!$F$78*(Inputs!$F$95/100*Inputs!$F$96/100)*Construction!AZ11/Inputs!$F$248</f>
        <v>0.00573539477422628</v>
      </c>
      <c r="BA19" s="16" t="n">
        <f aca="false">Inputs!$F$75*(Construction!BA17+Inputs!$F$79)/100*(1/12)*1+Inputs!$F$76*(Construction!BA17+Inputs!$F$80)/100*(1/12)*1+Inputs!$F$77*(Construction!BA17+Inputs!$F$81)/100*(1/12)*1+Inputs!$F$78*(Construction!BA17+Inputs!$F$82)/100*(1/12)*(1/(1-Inputs!$F$93/100))+Inputs!$F$78*(Inputs!$F$95/100*Inputs!$F$96/100)*Construction!BA11/Inputs!$F$248</f>
        <v>0.00576772080162354</v>
      </c>
      <c r="BB19" s="16" t="n">
        <f aca="false">Inputs!$F$75*(Construction!BB17+Inputs!$F$79)/100*(1/12)*1+Inputs!$F$76*(Construction!BB17+Inputs!$F$80)/100*(1/12)*1+Inputs!$F$77*(Construction!BB17+Inputs!$F$81)/100*(1/12)*1+Inputs!$F$78*(Construction!BB17+Inputs!$F$82)/100*(1/12)*(1/(1-Inputs!$F$93/100))+Inputs!$F$78*(Inputs!$F$95/100*Inputs!$F$96/100)*Construction!BB11/Inputs!$F$248</f>
        <v>0.00575694545915779</v>
      </c>
      <c r="BC19" s="16" t="n">
        <f aca="false">Inputs!$F$75*(Construction!BC17+Inputs!$F$79)/100*(1/12)*1+Inputs!$F$76*(Construction!BC17+Inputs!$F$80)/100*(1/12)*1+Inputs!$F$77*(Construction!BC17+Inputs!$F$81)/100*(1/12)*1+Inputs!$F$78*(Construction!BC17+Inputs!$F$82)/100*(1/12)*(1/(1-Inputs!$F$93/100))+Inputs!$F$78*(Inputs!$F$95/100*Inputs!$F$96/100)*Construction!BC11/Inputs!$F$248</f>
        <v>0.00576772080162354</v>
      </c>
      <c r="BD19" s="16" t="n">
        <f aca="false">Inputs!$F$75*(Construction!BD17+Inputs!$F$79)/100*(1/12)*1+Inputs!$F$76*(Construction!BD17+Inputs!$F$80)/100*(1/12)*1+Inputs!$F$77*(Construction!BD17+Inputs!$F$81)/100*(1/12)*1+Inputs!$F$78*(Construction!BD17+Inputs!$F$82)/100*(1/12)*(1/(1-Inputs!$F$93/100))+Inputs!$F$78*(Inputs!$F$95/100*Inputs!$F$96/100)*Construction!BD11/Inputs!$F$248</f>
        <v>0.00575694545915779</v>
      </c>
      <c r="BE19" s="16" t="n">
        <f aca="false">Inputs!$F$75*(Construction!BE17+Inputs!$F$79)/100*(1/12)*1+Inputs!$F$76*(Construction!BE17+Inputs!$F$80)/100*(1/12)*1+Inputs!$F$77*(Construction!BE17+Inputs!$F$81)/100*(1/12)*1+Inputs!$F$78*(Construction!BE17+Inputs!$F$82)/100*(1/12)*(1/(1-Inputs!$F$93/100))+Inputs!$F$78*(Inputs!$F$95/100*Inputs!$F$96/100)*Construction!BE11/Inputs!$F$248</f>
        <v>0.00576772080162354</v>
      </c>
      <c r="BF19" s="16" t="n">
        <f aca="false">Inputs!$F$75*(Construction!BF17+Inputs!$F$79)/100*(1/12)*1+Inputs!$F$76*(Construction!BF17+Inputs!$F$80)/100*(1/12)*1+Inputs!$F$77*(Construction!BF17+Inputs!$F$81)/100*(1/12)*1+Inputs!$F$78*(Construction!BF17+Inputs!$F$82)/100*(1/12)*(1/(1-Inputs!$F$93/100))+Inputs!$F$78*(Inputs!$F$95/100*Inputs!$F$96/100)*Construction!BF11/Inputs!$F$248</f>
        <v>0.00576772080162354</v>
      </c>
      <c r="BG19" s="16" t="n">
        <f aca="false">Inputs!$F$75*(Construction!BG17+Inputs!$F$79)/100*(1/12)*1+Inputs!$F$76*(Construction!BG17+Inputs!$F$80)/100*(1/12)*1+Inputs!$F$77*(Construction!BG17+Inputs!$F$81)/100*(1/12)*1+Inputs!$F$78*(Construction!BG17+Inputs!$F$82)/100*(1/12)*(1/(1-Inputs!$F$93/100))+Inputs!$F$78*(Inputs!$F$95/100*Inputs!$F$96/100)*Construction!BG11/Inputs!$F$248</f>
        <v>0.00575694545915779</v>
      </c>
      <c r="BH19" s="16" t="n">
        <f aca="false">Inputs!$F$75*(Construction!BH17+Inputs!$F$79)/100*(1/12)*1+Inputs!$F$76*(Construction!BH17+Inputs!$F$80)/100*(1/12)*1+Inputs!$F$77*(Construction!BH17+Inputs!$F$81)/100*(1/12)*1+Inputs!$F$78*(Construction!BH17+Inputs!$F$82)/100*(1/12)*(1/(1-Inputs!$F$93/100))+Inputs!$F$78*(Inputs!$F$95/100*Inputs!$F$96/100)*Construction!BH11/Inputs!$F$248</f>
        <v>0.00576772080162354</v>
      </c>
      <c r="BI19" s="16" t="n">
        <f aca="false">Inputs!$F$75*(Construction!BI17+Inputs!$F$79)/100*(1/12)*1+Inputs!$F$76*(Construction!BI17+Inputs!$F$80)/100*(1/12)*1+Inputs!$F$77*(Construction!BI17+Inputs!$F$81)/100*(1/12)*1+Inputs!$F$78*(Construction!BI17+Inputs!$F$82)/100*(1/12)*(1/(1-Inputs!$F$93/100))+Inputs!$F$78*(Inputs!$F$95/100*Inputs!$F$96/100)*Construction!BI11/Inputs!$F$248</f>
        <v>0.00575694545915779</v>
      </c>
      <c r="BJ19" s="16" t="n">
        <f aca="false">Inputs!$F$75*(Construction!BJ17+Inputs!$F$79)/100*(1/12)*1+Inputs!$F$76*(Construction!BJ17+Inputs!$F$80)/100*(1/12)*1+Inputs!$F$77*(Construction!BJ17+Inputs!$F$81)/100*(1/12)*1+Inputs!$F$78*(Construction!BJ17+Inputs!$F$82)/100*(1/12)*(1/(1-Inputs!$F$93/100))+Inputs!$F$78*(Inputs!$F$95/100*Inputs!$F$96/100)*Construction!BJ11/Inputs!$F$248</f>
        <v>0.00576772080162354</v>
      </c>
    </row>
    <row r="20" customFormat="false" ht="15" hidden="false" customHeight="false" outlineLevel="0" collapsed="false">
      <c r="D20" s="0" t="s">
        <v>1706</v>
      </c>
      <c r="E20" s="0" t="s">
        <v>101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1707</v>
      </c>
      <c r="E21" s="0" t="s">
        <v>151</v>
      </c>
      <c r="J21" s="13" t="n">
        <f aca="false">Construction!J14*(Construction!J32+Construction!J38+Inputs!$F$107/12+-1*Inputs!J309*(Inputs!$F$97/100/12-Construction!J17/100*Construction!J11/Inputs!$F$247)+Inputs!$F$99*Inputs!$F$100/100*Construction!J11/Inputs!$F$247+Construction!J15*$F$17)</f>
        <v>108.156616666667</v>
      </c>
      <c r="K21" s="13" t="n">
        <f aca="false">Construction!K14*(Construction!K32+Construction!K38+Inputs!$F$107/12+-1*Inputs!K309*(Inputs!$F$97/100/12-Construction!K17/100*Construction!K11/Inputs!$F$247)+Inputs!$F$99*Inputs!$F$100/100*Construction!K11/Inputs!$F$247+Construction!K15*$F$17)</f>
        <v>1.45847824009412</v>
      </c>
      <c r="L21" s="13" t="n">
        <f aca="false">Construction!L14*(Construction!L32+Construction!L38+Inputs!$F$107/12+-1*Inputs!L309*(Inputs!$F$97/100/12-Construction!L17/100*Construction!L11/Inputs!$F$247)+Inputs!$F$99*Inputs!$F$100/100*Construction!L11/Inputs!$F$247+Construction!L15*$F$17)</f>
        <v>2.09837532508019</v>
      </c>
      <c r="M21" s="13" t="n">
        <f aca="false">Construction!M14*(Construction!M32+Construction!M38+Inputs!$F$107/12+-1*Inputs!M309*(Inputs!$F$97/100/12-Construction!M17/100*Construction!M11/Inputs!$F$247)+Inputs!$F$99*Inputs!$F$100/100*Construction!M11/Inputs!$F$247+Construction!M15*$F$17)</f>
        <v>3.39351815418989</v>
      </c>
      <c r="N21" s="13" t="n">
        <f aca="false">Construction!N14*(Construction!N32+Construction!N38+Inputs!$F$107/12+-1*Inputs!N309*(Inputs!$F$97/100/12-Construction!N17/100*Construction!N11/Inputs!$F$247)+Inputs!$F$99*Inputs!$F$100/100*Construction!N11/Inputs!$F$247+Construction!N15*$F$17)</f>
        <v>5.28925382123465</v>
      </c>
      <c r="O21" s="13" t="n">
        <f aca="false">Construction!O14*(Construction!O32+Construction!O38+Inputs!$F$107/12+-1*Inputs!O309*(Inputs!$F$97/100/12-Construction!O17/100*Construction!O11/Inputs!$F$247)+Inputs!$F$99*Inputs!$F$100/100*Construction!O11/Inputs!$F$247+Construction!O15*$F$17)</f>
        <v>7.67086416552837</v>
      </c>
      <c r="P21" s="13" t="n">
        <f aca="false">Construction!P14*(Construction!P32+Construction!P38+Inputs!$F$107/12+-1*Inputs!P309*(Inputs!$F$97/100/12-Construction!P17/100*Construction!P11/Inputs!$F$247)+Inputs!$F$99*Inputs!$F$100/100*Construction!P11/Inputs!$F$247+Construction!P15*$F$17)</f>
        <v>10.3570648738695</v>
      </c>
      <c r="Q21" s="13" t="n">
        <f aca="false">Construction!Q14*(Construction!Q32+Construction!Q38+Inputs!$F$107/12+-1*Inputs!Q309*(Inputs!$F$97/100/12-Construction!Q17/100*Construction!Q11/Inputs!$F$247)+Inputs!$F$99*Inputs!$F$100/100*Construction!Q11/Inputs!$F$247+Construction!Q15*$F$17)</f>
        <v>13.3157547608812</v>
      </c>
      <c r="R21" s="13" t="n">
        <f aca="false">Construction!R14*(Construction!R32+Construction!R38+Inputs!$F$107/12+-1*Inputs!R309*(Inputs!$F$97/100/12-Construction!R17/100*Construction!R11/Inputs!$F$247)+Inputs!$F$99*Inputs!$F$100/100*Construction!R11/Inputs!$F$247+Construction!R15*$F$17)</f>
        <v>16.3373274433179</v>
      </c>
      <c r="S21" s="13" t="n">
        <f aca="false">Construction!S14*(Construction!S32+Construction!S38+Inputs!$F$107/12+-1*Inputs!S309*(Inputs!$F$97/100/12-Construction!S17/100*Construction!S11/Inputs!$F$247)+Inputs!$F$99*Inputs!$F$100/100*Construction!S11/Inputs!$F$247+Construction!S15*$F$17)</f>
        <v>19.3602077817107</v>
      </c>
      <c r="T21" s="13" t="n">
        <f aca="false">Construction!T14*(Construction!T32+Construction!T38+Inputs!$F$107/12+-1*Inputs!T309*(Inputs!$F$97/100/12-Construction!T17/100*Construction!T11/Inputs!$F$247)+Inputs!$F$99*Inputs!$F$100/100*Construction!T11/Inputs!$F$247+Construction!T15*$F$17)</f>
        <v>22.2159829922657</v>
      </c>
      <c r="U21" s="13" t="n">
        <f aca="false">Construction!U14*(Construction!U32+Construction!U38+Inputs!$F$107/12+-1*Inputs!U309*(Inputs!$F$97/100/12-Construction!U17/100*Construction!U11/Inputs!$F$247)+Inputs!$F$99*Inputs!$F$100/100*Construction!U11/Inputs!$F$247+Construction!U15*$F$17)</f>
        <v>24.9091267010085</v>
      </c>
      <c r="V21" s="13" t="n">
        <f aca="false">Construction!V14*(Construction!V32+Construction!V38+Inputs!$F$107/12+-1*Inputs!V309*(Inputs!$F$97/100/12-Construction!V17/100*Construction!V11/Inputs!$F$247)+Inputs!$F$99*Inputs!$F$100/100*Construction!V11/Inputs!$F$247+Construction!V15*$F$17)</f>
        <v>27.2659321369173</v>
      </c>
      <c r="W21" s="13" t="n">
        <f aca="false">Construction!W14*(Construction!W32+Construction!W38+Inputs!$F$107/12+-1*Inputs!W309*(Inputs!$F$97/100/12-Construction!W17/100*Construction!W11/Inputs!$F$247)+Inputs!$F$99*Inputs!$F$100/100*Construction!W11/Inputs!$F$247+Construction!W15*$F$17)</f>
        <v>29.2244674572669</v>
      </c>
      <c r="X21" s="13" t="n">
        <f aca="false">Construction!X14*(Construction!X32+Construction!X38+Inputs!$F$107/12+-1*Inputs!X309*(Inputs!$F$97/100/12-Construction!X17/100*Construction!X11/Inputs!$F$247)+Inputs!$F$99*Inputs!$F$100/100*Construction!X11/Inputs!$F$247+Construction!X15*$F$17)</f>
        <v>30.7769804113198</v>
      </c>
      <c r="Y21" s="13" t="n">
        <f aca="false">Construction!Y14*(Construction!Y32+Construction!Y38+Inputs!$F$107/12+-1*Inputs!Y309*(Inputs!$F$97/100/12-Construction!Y17/100*Construction!Y11/Inputs!$F$247)+Inputs!$F$99*Inputs!$F$100/100*Construction!Y11/Inputs!$F$247+Construction!Y15*$F$17)</f>
        <v>31.8078338977756</v>
      </c>
      <c r="Z21" s="13" t="n">
        <f aca="false">Construction!Z14*(Construction!Z32+Construction!Z38+Inputs!$F$107/12+-1*Inputs!Z309*(Inputs!$F$97/100/12-Construction!Z17/100*Construction!Z11/Inputs!$F$247)+Inputs!$F$99*Inputs!$F$100/100*Construction!Z11/Inputs!$F$247+Construction!Z15*$F$17)</f>
        <v>32.3645353256223</v>
      </c>
      <c r="AA21" s="13" t="n">
        <f aca="false">Construction!AA14*(Construction!AA32+Construction!AA38+Inputs!$F$107/12+-1*Inputs!AA309*(Inputs!$F$97/100/12-Construction!AA17/100*Construction!AA11/Inputs!$F$247)+Inputs!$F$99*Inputs!$F$100/100*Construction!AA11/Inputs!$F$247+Construction!AA15*$F$17)</f>
        <v>33.5323429110108</v>
      </c>
      <c r="AB21" s="13" t="n">
        <f aca="false">Construction!AB14*(Construction!AB32+Construction!AB38+Inputs!$F$107/12+-1*Inputs!AB309*(Inputs!$F$97/100/12-Construction!AB17/100*Construction!AB11/Inputs!$F$247)+Inputs!$F$99*Inputs!$F$100/100*Construction!AB11/Inputs!$F$247+Construction!AB15*$F$17)</f>
        <v>31.8153985958228</v>
      </c>
      <c r="AC21" s="13" t="n">
        <f aca="false">Construction!AC14*(Construction!AC32+Construction!AC38+Inputs!$F$107/12+-1*Inputs!AC309*(Inputs!$F$97/100/12-Construction!AC17/100*Construction!AC11/Inputs!$F$247)+Inputs!$F$99*Inputs!$F$100/100*Construction!AC11/Inputs!$F$247+Construction!AC15*$F$17)</f>
        <v>30.8322145633181</v>
      </c>
      <c r="AD21" s="13" t="n">
        <f aca="false">Construction!AD14*(Construction!AD32+Construction!AD38+Inputs!$F$107/12+-1*Inputs!AD309*(Inputs!$F$97/100/12-Construction!AD17/100*Construction!AD11/Inputs!$F$247)+Inputs!$F$99*Inputs!$F$100/100*Construction!AD11/Inputs!$F$247+Construction!AD15*$F$17)</f>
        <v>29.2798673317744</v>
      </c>
      <c r="AE21" s="13" t="n">
        <f aca="false">Construction!AE14*(Construction!AE32+Construction!AE38+Inputs!$F$107/12+-1*Inputs!AE309*(Inputs!$F$97/100/12-Construction!AE17/100*Construction!AE11/Inputs!$F$247)+Inputs!$F$99*Inputs!$F$100/100*Construction!AE11/Inputs!$F$247+Construction!AE15*$F$17)</f>
        <v>27.3473164730109</v>
      </c>
      <c r="AF21" s="13" t="n">
        <f aca="false">Construction!AF14*(Construction!AF32+Construction!AF38+Inputs!$F$107/12+-1*Inputs!AF309*(Inputs!$F$97/100/12-Construction!AF17/100*Construction!AF11/Inputs!$F$247)+Inputs!$F$99*Inputs!$F$100/100*Construction!AF11/Inputs!$F$247+Construction!AF15*$F$17)</f>
        <v>24.9676962978834</v>
      </c>
      <c r="AG21" s="13" t="n">
        <f aca="false">Construction!AG14*(Construction!AG32+Construction!AG38+Inputs!$F$107/12+-1*Inputs!AG309*(Inputs!$F$97/100/12-Construction!AG17/100*Construction!AG11/Inputs!$F$247)+Inputs!$F$99*Inputs!$F$100/100*Construction!AG11/Inputs!$F$247+Construction!AG15*$F$17)</f>
        <v>22.3569853373603</v>
      </c>
      <c r="AH21" s="13" t="n">
        <f aca="false">Construction!AH14*(Construction!AH32+Construction!AH38+Inputs!$F$107/12+-1*Inputs!AH309*(Inputs!$F$97/100/12-Construction!AH17/100*Construction!AH11/Inputs!$F$247)+Inputs!$F$99*Inputs!$F$100/100*Construction!AH11/Inputs!$F$247+Construction!AH15*$F$17)</f>
        <v>19.4752577075338</v>
      </c>
      <c r="AI21" s="13" t="n">
        <f aca="false">Construction!AI14*(Construction!AI32+Construction!AI38+Inputs!$F$107/12+-1*Inputs!AI309*(Inputs!$F$97/100/12-Construction!AI17/100*Construction!AI11/Inputs!$F$247)+Inputs!$F$99*Inputs!$F$100/100*Construction!AI11/Inputs!$F$247+Construction!AI15*$F$17)</f>
        <v>16.427312232304</v>
      </c>
      <c r="AJ21" s="13" t="n">
        <f aca="false">Construction!AJ14*(Construction!AJ32+Construction!AJ38+Inputs!$F$107/12+-1*Inputs!AJ309*(Inputs!$F$97/100/12-Construction!AJ17/100*Construction!AJ11/Inputs!$F$247)+Inputs!$F$99*Inputs!$F$100/100*Construction!AJ11/Inputs!$F$247+Construction!AJ15*$F$17)</f>
        <v>13.4336528178383</v>
      </c>
      <c r="AK21" s="13" t="n">
        <f aca="false">Construction!AK14*(Construction!AK32+Construction!AK38+Inputs!$F$107/12+-1*Inputs!AK309*(Inputs!$F$97/100/12-Construction!AK17/100*Construction!AK11/Inputs!$F$247)+Inputs!$F$99*Inputs!$F$100/100*Construction!AK11/Inputs!$F$247+Construction!AK15*$F$17)</f>
        <v>10.4595981090084</v>
      </c>
      <c r="AL21" s="13" t="n">
        <f aca="false">Construction!AL14*(Construction!AL32+Construction!AL38+Inputs!$F$107/12+-1*Inputs!AL309*(Inputs!$F$97/100/12-Construction!AL17/100*Construction!AL11/Inputs!$F$247)+Inputs!$F$99*Inputs!$F$100/100*Construction!AL11/Inputs!$F$247+Construction!AL15*$F$17)</f>
        <v>7.78380721743308</v>
      </c>
      <c r="AM21" s="13" t="n">
        <f aca="false">Construction!AM14*(Construction!AM32+Construction!AM38+Inputs!$F$107/12+-1*Inputs!AM309*(Inputs!$F$97/100/12-Construction!AM17/100*Construction!AM11/Inputs!$F$247)+Inputs!$F$99*Inputs!$F$100/100*Construction!AM11/Inputs!$F$247+Construction!AM15*$F$17)</f>
        <v>5.42731684897005</v>
      </c>
      <c r="AN21" s="13" t="n">
        <f aca="false">Construction!AN14*(Construction!AN32+Construction!AN38+Inputs!$F$107/12+-1*Inputs!AN309*(Inputs!$F$97/100/12-Construction!AN17/100*Construction!AN11/Inputs!$F$247)+Inputs!$F$99*Inputs!$F$100/100*Construction!AN11/Inputs!$F$247+Construction!AN15*$F$17)</f>
        <v>3.41103759624672</v>
      </c>
      <c r="AO21" s="13" t="n">
        <f aca="false">Construction!AO14*(Construction!AO32+Construction!AO38+Inputs!$F$107/12+-1*Inputs!AO309*(Inputs!$F$97/100/12-Construction!AO17/100*Construction!AO11/Inputs!$F$247)+Inputs!$F$99*Inputs!$F$100/100*Construction!AO11/Inputs!$F$247+Construction!AO15*$F$17)</f>
        <v>2.22372221557387</v>
      </c>
      <c r="AP21" s="13" t="n">
        <f aca="false">Construction!AP14*(Construction!AP32+Construction!AP38+Inputs!$F$107/12+-1*Inputs!AP309*(Inputs!$F$97/100/12-Construction!AP17/100*Construction!AP11/Inputs!$F$247)+Inputs!$F$99*Inputs!$F$100/100*Construction!AP11/Inputs!$F$247+Construction!AP15*$F$17)</f>
        <v>49.7813623504914</v>
      </c>
      <c r="AQ21" s="13" t="n">
        <f aca="false">Construction!AQ14*(Construction!AQ32+Construction!AQ38+Inputs!$F$107/12+-1*Inputs!AQ309*(Inputs!$F$97/100/12-Construction!AQ17/100*Construction!AQ11/Inputs!$F$247)+Inputs!$F$99*Inputs!$F$100/100*Construction!AQ11/Inputs!$F$247+Construction!AQ15*$F$17)</f>
        <v>0.73151588158068</v>
      </c>
      <c r="AR21" s="13" t="n">
        <f aca="false">Construction!AR14*(Construction!AR32+Construction!AR38+Inputs!$F$107/12+-1*Inputs!AR309*(Inputs!$F$97/100/12-Construction!AR17/100*Construction!AR11/Inputs!$F$247)+Inputs!$F$99*Inputs!$F$100/100*Construction!AR11/Inputs!$F$247+Construction!AR15*$F$17)</f>
        <v>0.132421912050313</v>
      </c>
      <c r="AS21" s="13" t="n">
        <f aca="false">Construction!AS14*(Construction!AS32+Construction!AS38+Inputs!$F$107/12+-1*Inputs!AS309*(Inputs!$F$97/100/12-Construction!AS17/100*Construction!AS11/Inputs!$F$247)+Inputs!$F$99*Inputs!$F$100/100*Construction!AS11/Inputs!$F$247+Construction!AS15*$F$17)</f>
        <v>0</v>
      </c>
      <c r="AT21" s="13" t="n">
        <f aca="false">Construction!AT14*(Construction!AT32+Construction!AT38+Inputs!$F$107/12+-1*Inputs!AT309*(Inputs!$F$97/100/12-Construction!AT17/100*Construction!AT11/Inputs!$F$247)+Inputs!$F$99*Inputs!$F$100/100*Construction!AT11/Inputs!$F$247+Construction!AT15*$F$17)</f>
        <v>0</v>
      </c>
      <c r="AU21" s="13" t="n">
        <f aca="false">Construction!AU14*(Construction!AU32+Construction!AU38+Inputs!$F$107/12+-1*Inputs!AU309*(Inputs!$F$97/100/12-Construction!AU17/100*Construction!AU11/Inputs!$F$247)+Inputs!$F$99*Inputs!$F$100/100*Construction!AU11/Inputs!$F$247+Construction!AU15*$F$17)</f>
        <v>0</v>
      </c>
      <c r="AV21" s="13" t="n">
        <f aca="false">Construction!AV14*(Construction!AV32+Construction!AV38+Inputs!$F$107/12+-1*Inputs!AV309*(Inputs!$F$97/100/12-Construction!AV17/100*Construction!AV11/Inputs!$F$247)+Inputs!$F$99*Inputs!$F$100/100*Construction!AV11/Inputs!$F$247+Construction!AV15*$F$17)</f>
        <v>0</v>
      </c>
      <c r="AW21" s="13" t="n">
        <f aca="false">Construction!AW14*(Construction!AW32+Construction!AW38+Inputs!$F$107/12+-1*Inputs!AW309*(Inputs!$F$97/100/12-Construction!AW17/100*Construction!AW11/Inputs!$F$247)+Inputs!$F$99*Inputs!$F$100/100*Construction!AW11/Inputs!$F$247+Construction!AW15*$F$17)</f>
        <v>0</v>
      </c>
      <c r="AX21" s="13" t="n">
        <f aca="false">Construction!AX14*(Construction!AX32+Construction!AX38+Inputs!$F$107/12+-1*Inputs!AX309*(Inputs!$F$97/100/12-Construction!AX17/100*Construction!AX11/Inputs!$F$247)+Inputs!$F$99*Inputs!$F$100/100*Construction!AX11/Inputs!$F$247+Construction!AX15*$F$17)</f>
        <v>0</v>
      </c>
      <c r="AY21" s="13" t="n">
        <f aca="false">Construction!AY14*(Construction!AY32+Construction!AY38+Inputs!$F$107/12+-1*Inputs!AY309*(Inputs!$F$97/100/12-Construction!AY17/100*Construction!AY11/Inputs!$F$247)+Inputs!$F$99*Inputs!$F$100/100*Construction!AY11/Inputs!$F$247+Construction!AY15*$F$17)</f>
        <v>0</v>
      </c>
      <c r="AZ21" s="13" t="n">
        <f aca="false">Construction!AZ14*(Construction!AZ32+Construction!AZ38+Inputs!$F$107/12+-1*Inputs!AZ309*(Inputs!$F$97/100/12-Construction!AZ17/100*Construction!AZ11/Inputs!$F$247)+Inputs!$F$99*Inputs!$F$100/100*Construction!AZ11/Inputs!$F$247+Construction!AZ15*$F$17)</f>
        <v>0</v>
      </c>
      <c r="BA21" s="13" t="n">
        <f aca="false">Construction!BA14*(Construction!BA32+Construction!BA38+Inputs!$F$107/12+-1*Inputs!BA309*(Inputs!$F$97/100/12-Construction!BA17/100*Construction!BA11/Inputs!$F$247)+Inputs!$F$99*Inputs!$F$100/100*Construction!BA11/Inputs!$F$247+Construction!BA15*$F$17)</f>
        <v>0</v>
      </c>
      <c r="BB21" s="13" t="n">
        <f aca="false">Construction!BB14*(Construction!BB32+Construction!BB38+Inputs!$F$107/12+-1*Inputs!BB309*(Inputs!$F$97/100/12-Construction!BB17/100*Construction!BB11/Inputs!$F$247)+Inputs!$F$99*Inputs!$F$100/100*Construction!BB11/Inputs!$F$247+Construction!BB15*$F$17)</f>
        <v>0</v>
      </c>
      <c r="BC21" s="13" t="n">
        <f aca="false">Construction!BC14*(Construction!BC32+Construction!BC38+Inputs!$F$107/12+-1*Inputs!BC309*(Inputs!$F$97/100/12-Construction!BC17/100*Construction!BC11/Inputs!$F$247)+Inputs!$F$99*Inputs!$F$100/100*Construction!BC11/Inputs!$F$247+Construction!BC15*$F$17)</f>
        <v>0</v>
      </c>
      <c r="BD21" s="13" t="n">
        <f aca="false">Construction!BD14*(Construction!BD32+Construction!BD38+Inputs!$F$107/12+-1*Inputs!BD309*(Inputs!$F$97/100/12-Construction!BD17/100*Construction!BD11/Inputs!$F$247)+Inputs!$F$99*Inputs!$F$100/100*Construction!BD11/Inputs!$F$247+Construction!BD15*$F$17)</f>
        <v>0</v>
      </c>
      <c r="BE21" s="13" t="n">
        <f aca="false">Construction!BE14*(Construction!BE32+Construction!BE38+Inputs!$F$107/12+-1*Inputs!BE309*(Inputs!$F$97/100/12-Construction!BE17/100*Construction!BE11/Inputs!$F$247)+Inputs!$F$99*Inputs!$F$100/100*Construction!BE11/Inputs!$F$247+Construction!BE15*$F$17)</f>
        <v>0</v>
      </c>
      <c r="BF21" s="13" t="n">
        <f aca="false">Construction!BF14*(Construction!BF32+Construction!BF38+Inputs!$F$107/12+-1*Inputs!BF309*(Inputs!$F$97/100/12-Construction!BF17/100*Construction!BF11/Inputs!$F$247)+Inputs!$F$99*Inputs!$F$100/100*Construction!BF11/Inputs!$F$247+Construction!BF15*$F$17)</f>
        <v>0</v>
      </c>
      <c r="BG21" s="13" t="n">
        <f aca="false">Construction!BG14*(Construction!BG32+Construction!BG38+Inputs!$F$107/12+-1*Inputs!BG309*(Inputs!$F$97/100/12-Construction!BG17/100*Construction!BG11/Inputs!$F$247)+Inputs!$F$99*Inputs!$F$100/100*Construction!BG11/Inputs!$F$247+Construction!BG15*$F$17)</f>
        <v>0</v>
      </c>
      <c r="BH21" s="13" t="n">
        <f aca="false">Construction!BH14*(Construction!BH32+Construction!BH38+Inputs!$F$107/12+-1*Inputs!BH309*(Inputs!$F$97/100/12-Construction!BH17/100*Construction!BH11/Inputs!$F$247)+Inputs!$F$99*Inputs!$F$100/100*Construction!BH11/Inputs!$F$247+Construction!BH15*$F$17)</f>
        <v>0</v>
      </c>
      <c r="BI21" s="13" t="n">
        <f aca="false">Construction!BI14*(Construction!BI32+Construction!BI38+Inputs!$F$107/12+-1*Inputs!BI309*(Inputs!$F$97/100/12-Construction!BI17/100*Construction!BI11/Inputs!$F$247)+Inputs!$F$99*Inputs!$F$100/100*Construction!BI11/Inputs!$F$247+Construction!BI15*$F$17)</f>
        <v>0</v>
      </c>
      <c r="BJ21" s="13" t="n">
        <f aca="false">Construction!BJ14*(Construction!BJ32+Construction!BJ38+Inputs!$F$107/12+-1*Inputs!BJ309*(Inputs!$F$97/100/12-Construction!BJ17/100*Construction!BJ11/Inputs!$F$247)+Inputs!$F$99*Inputs!$F$100/100*Construction!BJ11/Inputs!$F$247+Construction!BJ15*$F$17)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1708</v>
      </c>
      <c r="E22" s="0" t="s">
        <v>151</v>
      </c>
      <c r="J22" s="13" t="n">
        <f aca="false">I22+Construction!J14*$F$9/$F$10*(J21+(J19-J20)*I22)</f>
        <v>83.1472958601868</v>
      </c>
      <c r="K22" s="13" t="n">
        <f aca="false">J22+Construction!K14*$F$9/$F$10*(K21+(K19-K20)*J22)</f>
        <v>84.5500569689774</v>
      </c>
      <c r="L22" s="13" t="n">
        <f aca="false">K22+Construction!L14*$F$9/$F$10*(L21+(L19-L20)*K22)</f>
        <v>86.4483798734028</v>
      </c>
      <c r="M22" s="13" t="n">
        <f aca="false">L22+Construction!M14*$F$9/$F$10*(M21+(M19-M20)*L22)</f>
        <v>89.3499140698961</v>
      </c>
      <c r="N22" s="13" t="n">
        <f aca="false">M22+Construction!N14*$F$9/$F$10*(N21+(N19-N20)*M22)</f>
        <v>93.717469148249</v>
      </c>
      <c r="O22" s="13" t="n">
        <f aca="false">N22+Construction!O14*$F$9/$F$10*(O21+(O19-O20)*N22)</f>
        <v>99.9475543102439</v>
      </c>
      <c r="P22" s="13" t="n">
        <f aca="false">O22+Construction!P14*$F$9/$F$10*(P21+(P19-P20)*O22)</f>
        <v>108.268810303175</v>
      </c>
      <c r="Q22" s="13" t="n">
        <f aca="false">P22+Construction!Q14*$F$9/$F$10*(Q21+(Q19-Q20)*P22)</f>
        <v>118.89020434567</v>
      </c>
      <c r="R22" s="13" t="n">
        <f aca="false">Q22+Construction!R14*$F$9/$F$10*(R21+(R19-R20)*Q22)</f>
        <v>131.873797520464</v>
      </c>
      <c r="S22" s="13" t="n">
        <f aca="false">R22+Construction!S14*$F$9/$F$10*(S21+(S19-S20)*R22)</f>
        <v>147.225838248537</v>
      </c>
      <c r="T22" s="13" t="n">
        <f aca="false">S22+Construction!T14*$F$9/$F$10*(T21+(T19-T20)*S22)</f>
        <v>164.82980149688</v>
      </c>
      <c r="U22" s="13" t="n">
        <f aca="false">T22+Construction!U14*$F$9/$F$10*(U21+(U19-U20)*T22)</f>
        <v>184.581270359866</v>
      </c>
      <c r="V22" s="13" t="n">
        <f aca="false">U22+Construction!V14*$F$9/$F$10*(V21+(V19-V20)*U22)</f>
        <v>206.216728959281</v>
      </c>
      <c r="W22" s="13" t="n">
        <f aca="false">V22+Construction!W14*$F$9/$F$10*(W21+(W19-W20)*V22)</f>
        <v>229.439614127492</v>
      </c>
      <c r="X22" s="13" t="n">
        <f aca="false">W22+Construction!X14*$F$9/$F$10*(X21+(X19-X20)*W22)</f>
        <v>253.938124983237</v>
      </c>
      <c r="Y22" s="13" t="n">
        <f aca="false">X22+Construction!Y14*$F$9/$F$10*(Y21+(Y19-Y20)*X22)</f>
        <v>279.321981883361</v>
      </c>
      <c r="Z22" s="13" t="n">
        <f aca="false">Y22+Construction!Z14*$F$9/$F$10*(Z21+(Z19-Z20)*Y22)</f>
        <v>305.223179037737</v>
      </c>
      <c r="AA22" s="13" t="n">
        <f aca="false">Z22+Construction!AA14*$F$9/$F$10*(AA21+(AA19-AA20)*Z22)</f>
        <v>332.133072121984</v>
      </c>
      <c r="AB22" s="13" t="n">
        <f aca="false">AA22+Construction!AB14*$F$9/$F$10*(AB21+(AB19-AB20)*AA22)</f>
        <v>357.831575149329</v>
      </c>
      <c r="AC22" s="13" t="n">
        <f aca="false">AB22+Construction!AC14*$F$9/$F$10*(AC21+(AC19-AC20)*AB22)</f>
        <v>382.860691385096</v>
      </c>
      <c r="AD22" s="13" t="n">
        <f aca="false">AC22+Construction!AD14*$F$9/$F$10*(AD21+(AD19-AD20)*AC22)</f>
        <v>406.794255813411</v>
      </c>
      <c r="AE22" s="13" t="n">
        <f aca="false">AD22+Construction!AE14*$F$9/$F$10*(AE21+(AE19-AE20)*AD22)</f>
        <v>429.325776774007</v>
      </c>
      <c r="AF22" s="13" t="n">
        <f aca="false">AE22+Construction!AF14*$F$9/$F$10*(AF21+(AF19-AF20)*AE22)</f>
        <v>450.117123429723</v>
      </c>
      <c r="AG22" s="13" t="n">
        <f aca="false">AF22+Construction!AG14*$F$9/$F$10*(AG21+(AG19-AG20)*AF22)</f>
        <v>468.984838496668</v>
      </c>
      <c r="AH22" s="13" t="n">
        <f aca="false">AG22+Construction!AH14*$F$9/$F$10*(AH21+(AH19-AH20)*AG22)</f>
        <v>485.707612419479</v>
      </c>
      <c r="AI22" s="13" t="n">
        <f aca="false">AH22+Construction!AI14*$F$9/$F$10*(AI21+(AI19-AI20)*AH22)</f>
        <v>500.156088453869</v>
      </c>
      <c r="AJ22" s="13" t="n">
        <f aca="false">AI22+Construction!AJ14*$F$9/$F$10*(AJ21+(AJ19-AJ20)*AI22)</f>
        <v>512.350642091487</v>
      </c>
      <c r="AK22" s="13" t="n">
        <f aca="false">AJ22+Construction!AK14*$F$9/$F$10*(AK21+(AK19-AK20)*AJ22)</f>
        <v>522.311150692201</v>
      </c>
      <c r="AL22" s="13" t="n">
        <f aca="false">AK22+Construction!AL14*$F$9/$F$10*(AL21+(AL19-AL20)*AK22)</f>
        <v>530.244996371194</v>
      </c>
      <c r="AM22" s="13" t="n">
        <f aca="false">AL22+Construction!AM14*$F$9/$F$10*(AM21+(AM19-AM20)*AL22)</f>
        <v>536.407488778872</v>
      </c>
      <c r="AN22" s="13" t="n">
        <f aca="false">AM22+Construction!AN14*$F$9/$F$10*(AN21+(AN19-AN20)*AM22)</f>
        <v>541.064376394125</v>
      </c>
      <c r="AO22" s="13" t="n">
        <f aca="false">AN22+Construction!AO14*$F$9/$F$10*(AO21+(AO19-AO20)*AN22)</f>
        <v>544.804657191866</v>
      </c>
      <c r="AP22" s="13" t="n">
        <f aca="false">AO22+Construction!AP14*$F$9/$F$10*(AP21+(AP19-AP20)*AO22)</f>
        <v>585.126962630651</v>
      </c>
      <c r="AQ22" s="13" t="n">
        <f aca="false">AP22+Construction!AQ14*$F$9/$F$10*(AQ21+(AQ19-AQ20)*AP22)</f>
        <v>587.885461987233</v>
      </c>
      <c r="AR22" s="13" t="n">
        <f aca="false">AQ22+Construction!AR14*$F$9/$F$10*(AR21+(AR19-AR20)*AQ22)</f>
        <v>590.201537861324</v>
      </c>
      <c r="AS22" s="13" t="n">
        <f aca="false">AR22+Construction!AS14*$F$9/$F$10*(AS21+(AS19-AS20)*AR22)</f>
        <v>590.201537861324</v>
      </c>
      <c r="AT22" s="13" t="n">
        <f aca="false">AS22+Construction!AT14*$F$9/$F$10*(AT21+(AT19-AT20)*AS22)</f>
        <v>590.201537861324</v>
      </c>
      <c r="AU22" s="13" t="n">
        <f aca="false">AT22+Construction!AU14*$F$9/$F$10*(AU21+(AU19-AU20)*AT22)</f>
        <v>590.201537861324</v>
      </c>
      <c r="AV22" s="13" t="n">
        <f aca="false">AU22+Construction!AV14*$F$9/$F$10*(AV21+(AV19-AV20)*AU22)</f>
        <v>590.201537861324</v>
      </c>
      <c r="AW22" s="13" t="n">
        <f aca="false">AV22+Construction!AW14*$F$9/$F$10*(AW21+(AW19-AW20)*AV22)</f>
        <v>590.201537861324</v>
      </c>
      <c r="AX22" s="13" t="n">
        <f aca="false">AW22+Construction!AX14*$F$9/$F$10*(AX21+(AX19-AX20)*AW22)</f>
        <v>590.201537861324</v>
      </c>
      <c r="AY22" s="13" t="n">
        <f aca="false">AX22+Construction!AY14*$F$9/$F$10*(AY21+(AY19-AY20)*AX22)</f>
        <v>590.201537861324</v>
      </c>
      <c r="AZ22" s="13" t="n">
        <f aca="false">AY22+Construction!AZ14*$F$9/$F$10*(AZ21+(AZ19-AZ20)*AY22)</f>
        <v>590.201537861324</v>
      </c>
      <c r="BA22" s="13" t="n">
        <f aca="false">AZ22+Construction!BA14*$F$9/$F$10*(BA21+(BA19-BA20)*AZ22)</f>
        <v>590.201537861324</v>
      </c>
      <c r="BB22" s="13" t="n">
        <f aca="false">BA22+Construction!BB14*$F$9/$F$10*(BB21+(BB19-BB20)*BA22)</f>
        <v>590.201537861324</v>
      </c>
      <c r="BC22" s="13" t="n">
        <f aca="false">BB22+Construction!BC14*$F$9/$F$10*(BC21+(BC19-BC20)*BB22)</f>
        <v>590.201537861324</v>
      </c>
      <c r="BD22" s="13" t="n">
        <f aca="false">BC22+Construction!BD14*$F$9/$F$10*(BD21+(BD19-BD20)*BC22)</f>
        <v>590.201537861324</v>
      </c>
      <c r="BE22" s="13" t="n">
        <f aca="false">BD22+Construction!BE14*$F$9/$F$10*(BE21+(BE19-BE20)*BD22)</f>
        <v>590.201537861324</v>
      </c>
      <c r="BF22" s="13" t="n">
        <f aca="false">BE22+Construction!BF14*$F$9/$F$10*(BF21+(BF19-BF20)*BE22)</f>
        <v>590.201537861324</v>
      </c>
      <c r="BG22" s="13" t="n">
        <f aca="false">BF22+Construction!BG14*$F$9/$F$10*(BG21+(BG19-BG20)*BF22)</f>
        <v>590.201537861324</v>
      </c>
      <c r="BH22" s="13" t="n">
        <f aca="false">BG22+Construction!BH14*$F$9/$F$10*(BH21+(BH19-BH20)*BG22)</f>
        <v>590.201537861324</v>
      </c>
      <c r="BI22" s="13" t="n">
        <f aca="false">BH22+Construction!BI14*$F$9/$F$10*(BI21+(BI19-BI20)*BH22)</f>
        <v>590.201537861324</v>
      </c>
      <c r="BJ22" s="13" t="n">
        <f aca="false">BI22+Construction!BJ14*$F$9/$F$10*(BJ21+(BJ19-BJ20)*BI22)</f>
        <v>590.201537861324</v>
      </c>
    </row>
    <row r="23" customFormat="false" ht="15" hidden="false" customHeight="false" outlineLevel="0" collapsed="false">
      <c r="D23" s="0" t="s">
        <v>1709</v>
      </c>
      <c r="E23" s="0" t="s">
        <v>101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0.0106157073886172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0.0111360710063867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0.0116741963483342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0.0122162411907788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0.0127122553789046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0.0132579883967804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0.0137896886728802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0.0143392497611129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0.0148748060309442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0.0154297122519596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0.0159866456046606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0.0165296779324529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0.0170906295772534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0.0176377094997985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0.0182027089022445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0.018770744607497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0.0193090883821954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0.0198812249072206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0.0204395980945915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0.0210159248786243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0.0215785188865578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0.0221596434149011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0.0227429374144501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0.0233125629164498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0.0239001610290403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0.02447412204094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0.0250660565202667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0.0256607029166148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0.0262101589183156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0.0268090994285668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0.027394495710958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0.0619160871851516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0.0626337141527632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0.0626337141527632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0.0626337141527632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0.0626337141527632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0.0626337141527632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0.0626337141527632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0.0626337141527632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0.0626337141527632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0.0626337141527632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0.0626337141527632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0.0626337141527632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0.0626337141527632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0.0626337141527632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0.0626337141527632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0.0626337141527632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0.0626337141527632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0.0626337141527632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0.0626337141527632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0.0626337141527632</v>
      </c>
    </row>
    <row r="24" customFormat="false" ht="15" hidden="false" customHeight="false" outlineLevel="0" collapsed="false">
      <c r="D24" s="0" t="s">
        <v>1710</v>
      </c>
      <c r="E24" s="0" t="s">
        <v>151</v>
      </c>
      <c r="F24" s="17" t="n">
        <f aca="false">INDEX(Funding!$J$22:$BJ$22,1,Time!$F$14)/(Funding!$F$9-INDEX(Funding!$J$23:$BJ$23,1,Time!$F$14))</f>
        <v>858.641964282335</v>
      </c>
    </row>
    <row r="25" customFormat="false" ht="15" hidden="false" customHeight="false" outlineLevel="0" collapsed="false">
      <c r="D25" s="0" t="s">
        <v>1711</v>
      </c>
      <c r="E25" s="0" t="s">
        <v>151</v>
      </c>
      <c r="F25" s="17" t="n">
        <f aca="false">IF(Inputs!$F$51&lt;&gt;1,Funding!$F$8*Funding!$F$24,Inputs!$F$113)</f>
        <v>654.950564098343</v>
      </c>
    </row>
    <row r="26" customFormat="false" ht="15" hidden="false" customHeight="false" outlineLevel="0" collapsed="false">
      <c r="D26" s="0" t="s">
        <v>1712</v>
      </c>
      <c r="E26" s="0" t="s">
        <v>111</v>
      </c>
      <c r="F26" s="11" t="n">
        <f aca="false">(Inputs!$F$113-SUM($J$44:$BJ$44))/(Inputs!$F$113+Inputs!$F$114-SUM($J$44:$BJ$44))</f>
        <v>0.749999999999606</v>
      </c>
    </row>
    <row r="27" customFormat="false" ht="15" hidden="false" customHeight="false" outlineLevel="0" collapsed="false">
      <c r="B27" s="2" t="s">
        <v>1713</v>
      </c>
    </row>
    <row r="28" customFormat="false" ht="15" hidden="false" customHeight="false" outlineLevel="0" collapsed="false">
      <c r="D28" s="0" t="s">
        <v>1714</v>
      </c>
      <c r="E28" s="0" t="s">
        <v>151</v>
      </c>
      <c r="J28" s="13" t="n">
        <f aca="false">I61</f>
        <v>0</v>
      </c>
      <c r="K28" s="13" t="n">
        <f aca="false">J61</f>
        <v>27.4498557225305</v>
      </c>
      <c r="L28" s="13" t="n">
        <f aca="false">K61</f>
        <v>28.0060764196339</v>
      </c>
      <c r="M28" s="13" t="n">
        <f aca="false">L61</f>
        <v>28.7156193789964</v>
      </c>
      <c r="N28" s="13" t="n">
        <f aca="false">M61</f>
        <v>29.7224046159416</v>
      </c>
      <c r="O28" s="13" t="n">
        <f aca="false">N61</f>
        <v>31.1736493379522</v>
      </c>
      <c r="P28" s="13" t="n">
        <f aca="false">O61</f>
        <v>33.1846799166798</v>
      </c>
      <c r="Q28" s="13" t="n">
        <f aca="false">P61</f>
        <v>35.8110026234832</v>
      </c>
      <c r="R28" s="13" t="n">
        <f aca="false">Q61</f>
        <v>39.1403920953917</v>
      </c>
      <c r="S28" s="13" t="n">
        <f aca="false">R61</f>
        <v>43.174765006133</v>
      </c>
      <c r="T28" s="13" t="n">
        <f aca="false">S61</f>
        <v>47.9243513624499</v>
      </c>
      <c r="U28" s="13" t="n">
        <f aca="false">T61</f>
        <v>53.3458454893628</v>
      </c>
      <c r="V28" s="13" t="n">
        <f aca="false">U61</f>
        <v>59.4166606052456</v>
      </c>
      <c r="W28" s="13" t="n">
        <f aca="false">V61</f>
        <v>66.0532037104729</v>
      </c>
      <c r="X28" s="13" t="n">
        <f aca="false">W61</f>
        <v>73.1623329926967</v>
      </c>
      <c r="Y28" s="13" t="n">
        <f aca="false">X61</f>
        <v>80.6588444878936</v>
      </c>
      <c r="Z28" s="13" t="n">
        <f aca="false">Y61</f>
        <v>88.4173256794777</v>
      </c>
      <c r="AA28" s="13" t="n">
        <f aca="false">Z61</f>
        <v>96.3357034967248</v>
      </c>
      <c r="AB28" s="13" t="n">
        <f aca="false">AA61</f>
        <v>104.557485544228</v>
      </c>
      <c r="AC28" s="13" t="n">
        <f aca="false">AB61</f>
        <v>112.408071875994</v>
      </c>
      <c r="AD28" s="13" t="n">
        <f aca="false">AC61</f>
        <v>120.066695202642</v>
      </c>
      <c r="AE28" s="13" t="n">
        <f aca="false">AD61</f>
        <v>127.393047264751</v>
      </c>
      <c r="AF28" s="13" t="n">
        <f aca="false">AE61</f>
        <v>134.303489773848</v>
      </c>
      <c r="AG28" s="13" t="n">
        <f aca="false">AF61</f>
        <v>140.688282275701</v>
      </c>
      <c r="AH28" s="13" t="n">
        <f aca="false">AG61</f>
        <v>146.500839930841</v>
      </c>
      <c r="AI28" s="13" t="n">
        <f aca="false">AH61</f>
        <v>151.670483601298</v>
      </c>
      <c r="AJ28" s="13" t="n">
        <f aca="false">AI61</f>
        <v>156.154257029156</v>
      </c>
      <c r="AK28" s="13" t="n">
        <f aca="false">AJ61</f>
        <v>159.96656220656</v>
      </c>
      <c r="AL28" s="13" t="n">
        <f aca="false">AK61</f>
        <v>163.105081222178</v>
      </c>
      <c r="AM28" s="13" t="n">
        <f aca="false">AL61</f>
        <v>165.640310054332</v>
      </c>
      <c r="AN28" s="13" t="n">
        <f aca="false">AM61</f>
        <v>167.644843373725</v>
      </c>
      <c r="AO28" s="13" t="n">
        <f aca="false">AN61</f>
        <v>169.185856265604</v>
      </c>
      <c r="AP28" s="13" t="n">
        <f aca="false">AO61</f>
        <v>170.464851074945</v>
      </c>
      <c r="AQ28" s="13" t="n">
        <f aca="false">AP61</f>
        <v>182.714904956723</v>
      </c>
      <c r="AR28" s="13" t="n">
        <f aca="false">AQ61</f>
        <v>195.591025561277</v>
      </c>
      <c r="AS28" s="13" t="n">
        <f aca="false">AR61</f>
        <v>196.485169229493</v>
      </c>
      <c r="AT28" s="13" t="n">
        <f aca="false">AS61</f>
        <v>196.485169229493</v>
      </c>
      <c r="AU28" s="13" t="n">
        <f aca="false">AT61</f>
        <v>196.485169229493</v>
      </c>
      <c r="AV28" s="13" t="n">
        <f aca="false">AU61</f>
        <v>196.485169229493</v>
      </c>
      <c r="AW28" s="13" t="n">
        <f aca="false">AV61</f>
        <v>196.485169229493</v>
      </c>
      <c r="AX28" s="13" t="n">
        <f aca="false">AW61</f>
        <v>196.485169229493</v>
      </c>
      <c r="AY28" s="13" t="n">
        <f aca="false">AX61</f>
        <v>196.485169229493</v>
      </c>
      <c r="AZ28" s="13" t="n">
        <f aca="false">AY61</f>
        <v>196.485169229493</v>
      </c>
      <c r="BA28" s="13" t="n">
        <f aca="false">AZ61</f>
        <v>196.485169229493</v>
      </c>
      <c r="BB28" s="13" t="n">
        <f aca="false">BA61</f>
        <v>196.485169229493</v>
      </c>
      <c r="BC28" s="13" t="n">
        <f aca="false">BB61</f>
        <v>196.485169229493</v>
      </c>
      <c r="BD28" s="13" t="n">
        <f aca="false">BC61</f>
        <v>196.485169229493</v>
      </c>
      <c r="BE28" s="13" t="n">
        <f aca="false">BD61</f>
        <v>196.485169229493</v>
      </c>
      <c r="BF28" s="13" t="n">
        <f aca="false">BE61</f>
        <v>196.485169229493</v>
      </c>
      <c r="BG28" s="13" t="n">
        <f aca="false">BF61</f>
        <v>196.485169229493</v>
      </c>
      <c r="BH28" s="13" t="n">
        <f aca="false">BG61</f>
        <v>196.485169229493</v>
      </c>
      <c r="BI28" s="13" t="n">
        <f aca="false">BH61</f>
        <v>196.485169229493</v>
      </c>
      <c r="BJ28" s="13" t="n">
        <f aca="false">BI61</f>
        <v>196.485169229493</v>
      </c>
    </row>
    <row r="29" customFormat="false" ht="15" hidden="false" customHeight="false" outlineLevel="0" collapsed="false">
      <c r="D29" s="0" t="s">
        <v>1715</v>
      </c>
      <c r="E29" s="0" t="s">
        <v>151</v>
      </c>
      <c r="J29" s="13" t="n">
        <f aca="false">I62</f>
        <v>0</v>
      </c>
      <c r="K29" s="13" t="n">
        <f aca="false">J62</f>
        <v>20.1298941965223</v>
      </c>
      <c r="L29" s="13" t="n">
        <f aca="false">K62</f>
        <v>20.5377893743982</v>
      </c>
      <c r="M29" s="13" t="n">
        <f aca="false">L62</f>
        <v>21.0581208779307</v>
      </c>
      <c r="N29" s="13" t="n">
        <f aca="false">M62</f>
        <v>21.7964300516905</v>
      </c>
      <c r="O29" s="13" t="n">
        <f aca="false">N62</f>
        <v>22.860676181165</v>
      </c>
      <c r="P29" s="13" t="n">
        <f aca="false">O62</f>
        <v>24.3354319388985</v>
      </c>
      <c r="Q29" s="13" t="n">
        <f aca="false">P62</f>
        <v>26.2614019238877</v>
      </c>
      <c r="R29" s="13" t="n">
        <f aca="false">Q62</f>
        <v>28.7029542032873</v>
      </c>
      <c r="S29" s="13" t="n">
        <f aca="false">R62</f>
        <v>31.6614943378309</v>
      </c>
      <c r="T29" s="13" t="n">
        <f aca="false">S62</f>
        <v>35.1445243324632</v>
      </c>
      <c r="U29" s="13" t="n">
        <f aca="false">T62</f>
        <v>39.1202866921994</v>
      </c>
      <c r="V29" s="13" t="n">
        <f aca="false">U62</f>
        <v>43.5722177771801</v>
      </c>
      <c r="W29" s="13" t="n">
        <f aca="false">V62</f>
        <v>48.4390160543468</v>
      </c>
      <c r="X29" s="13" t="n">
        <f aca="false">W62</f>
        <v>53.6523775279776</v>
      </c>
      <c r="Y29" s="13" t="n">
        <f aca="false">X62</f>
        <v>59.149819291122</v>
      </c>
      <c r="Z29" s="13" t="n">
        <f aca="false">Y62</f>
        <v>64.8393721649503</v>
      </c>
      <c r="AA29" s="13" t="n">
        <f aca="false">Z62</f>
        <v>70.6461825642649</v>
      </c>
      <c r="AB29" s="13" t="n">
        <f aca="false">AA62</f>
        <v>76.6754893991002</v>
      </c>
      <c r="AC29" s="13" t="n">
        <f aca="false">AB62</f>
        <v>82.4325860423953</v>
      </c>
      <c r="AD29" s="13" t="n">
        <f aca="false">AC62</f>
        <v>88.0489098152708</v>
      </c>
      <c r="AE29" s="13" t="n">
        <f aca="false">AD62</f>
        <v>93.4215679941505</v>
      </c>
      <c r="AF29" s="13" t="n">
        <f aca="false">AE62</f>
        <v>98.4892258341555</v>
      </c>
      <c r="AG29" s="13" t="n">
        <f aca="false">AF62</f>
        <v>103.171407002181</v>
      </c>
      <c r="AH29" s="13" t="n">
        <f aca="false">AG62</f>
        <v>107.433949282617</v>
      </c>
      <c r="AI29" s="13" t="n">
        <f aca="false">AH62</f>
        <v>111.225021307618</v>
      </c>
      <c r="AJ29" s="13" t="n">
        <f aca="false">AI62</f>
        <v>114.513121821381</v>
      </c>
      <c r="AK29" s="13" t="n">
        <f aca="false">AJ62</f>
        <v>117.308812284811</v>
      </c>
      <c r="AL29" s="13" t="n">
        <f aca="false">AK62</f>
        <v>119.610392896264</v>
      </c>
      <c r="AM29" s="13" t="n">
        <f aca="false">AL62</f>
        <v>121.46956070651</v>
      </c>
      <c r="AN29" s="13" t="n">
        <f aca="false">AM62</f>
        <v>122.939551807398</v>
      </c>
      <c r="AO29" s="13" t="n">
        <f aca="false">AN62</f>
        <v>124.06962792811</v>
      </c>
      <c r="AP29" s="13" t="n">
        <f aca="false">AO62</f>
        <v>125.00755745496</v>
      </c>
      <c r="AQ29" s="13" t="n">
        <f aca="false">AP62</f>
        <v>133.990930301597</v>
      </c>
      <c r="AR29" s="13" t="n">
        <f aca="false">AQ62</f>
        <v>143.433418744936</v>
      </c>
      <c r="AS29" s="13" t="n">
        <f aca="false">AR62</f>
        <v>144.089124101628</v>
      </c>
      <c r="AT29" s="13" t="n">
        <f aca="false">AS62</f>
        <v>144.089124101628</v>
      </c>
      <c r="AU29" s="13" t="n">
        <f aca="false">AT62</f>
        <v>144.089124101628</v>
      </c>
      <c r="AV29" s="13" t="n">
        <f aca="false">AU62</f>
        <v>144.089124101628</v>
      </c>
      <c r="AW29" s="13" t="n">
        <f aca="false">AV62</f>
        <v>144.089124101628</v>
      </c>
      <c r="AX29" s="13" t="n">
        <f aca="false">AW62</f>
        <v>144.089124101628</v>
      </c>
      <c r="AY29" s="13" t="n">
        <f aca="false">AX62</f>
        <v>144.089124101628</v>
      </c>
      <c r="AZ29" s="13" t="n">
        <f aca="false">AY62</f>
        <v>144.089124101628</v>
      </c>
      <c r="BA29" s="13" t="n">
        <f aca="false">AZ62</f>
        <v>144.089124101628</v>
      </c>
      <c r="BB29" s="13" t="n">
        <f aca="false">BA62</f>
        <v>144.089124101628</v>
      </c>
      <c r="BC29" s="13" t="n">
        <f aca="false">BB62</f>
        <v>144.089124101628</v>
      </c>
      <c r="BD29" s="13" t="n">
        <f aca="false">BC62</f>
        <v>144.089124101628</v>
      </c>
      <c r="BE29" s="13" t="n">
        <f aca="false">BD62</f>
        <v>144.089124101628</v>
      </c>
      <c r="BF29" s="13" t="n">
        <f aca="false">BE62</f>
        <v>144.089124101628</v>
      </c>
      <c r="BG29" s="13" t="n">
        <f aca="false">BF62</f>
        <v>144.089124101628</v>
      </c>
      <c r="BH29" s="13" t="n">
        <f aca="false">BG62</f>
        <v>144.089124101628</v>
      </c>
      <c r="BI29" s="13" t="n">
        <f aca="false">BH62</f>
        <v>144.089124101628</v>
      </c>
      <c r="BJ29" s="13" t="n">
        <f aca="false">BI62</f>
        <v>144.089124101628</v>
      </c>
    </row>
    <row r="30" customFormat="false" ht="15" hidden="false" customHeight="false" outlineLevel="0" collapsed="false">
      <c r="D30" s="0" t="s">
        <v>1716</v>
      </c>
      <c r="E30" s="0" t="s">
        <v>151</v>
      </c>
      <c r="J30" s="13" t="n">
        <f aca="false">I63</f>
        <v>0</v>
      </c>
      <c r="K30" s="13" t="n">
        <f aca="false">J63</f>
        <v>9.14995190751015</v>
      </c>
      <c r="L30" s="13" t="n">
        <f aca="false">K63</f>
        <v>9.33535880654462</v>
      </c>
      <c r="M30" s="13" t="n">
        <f aca="false">L63</f>
        <v>9.57187312633213</v>
      </c>
      <c r="N30" s="13" t="n">
        <f aca="false">M63</f>
        <v>9.90746820531385</v>
      </c>
      <c r="O30" s="13" t="n">
        <f aca="false">N63</f>
        <v>10.3912164459841</v>
      </c>
      <c r="P30" s="13" t="n">
        <f aca="false">O63</f>
        <v>11.0615599722266</v>
      </c>
      <c r="Q30" s="13" t="n">
        <f aca="false">P63</f>
        <v>11.9370008744944</v>
      </c>
      <c r="R30" s="13" t="n">
        <f aca="false">Q63</f>
        <v>13.0467973651306</v>
      </c>
      <c r="S30" s="13" t="n">
        <f aca="false">R63</f>
        <v>14.3915883353777</v>
      </c>
      <c r="T30" s="13" t="n">
        <f aca="false">S63</f>
        <v>15.9747837874833</v>
      </c>
      <c r="U30" s="13" t="n">
        <f aca="false">T63</f>
        <v>17.7819484964543</v>
      </c>
      <c r="V30" s="13" t="n">
        <f aca="false">U63</f>
        <v>19.8055535350819</v>
      </c>
      <c r="W30" s="13" t="n">
        <f aca="false">V63</f>
        <v>22.0177345701576</v>
      </c>
      <c r="X30" s="13" t="n">
        <f aca="false">W63</f>
        <v>24.3874443308989</v>
      </c>
      <c r="Y30" s="13" t="n">
        <f aca="false">X63</f>
        <v>26.8862814959645</v>
      </c>
      <c r="Z30" s="13" t="n">
        <f aca="false">Y63</f>
        <v>29.4724418931592</v>
      </c>
      <c r="AA30" s="13" t="n">
        <f aca="false">Z63</f>
        <v>32.1119011655749</v>
      </c>
      <c r="AB30" s="13" t="n">
        <f aca="false">AA63</f>
        <v>34.8524951814092</v>
      </c>
      <c r="AC30" s="13" t="n">
        <f aca="false">AB63</f>
        <v>37.4693572919979</v>
      </c>
      <c r="AD30" s="13" t="n">
        <f aca="false">AC63</f>
        <v>40.022231734214</v>
      </c>
      <c r="AE30" s="13" t="n">
        <f aca="false">AD63</f>
        <v>42.4643490882502</v>
      </c>
      <c r="AF30" s="13" t="n">
        <f aca="false">AE63</f>
        <v>44.7678299246161</v>
      </c>
      <c r="AG30" s="13" t="n">
        <f aca="false">AF63</f>
        <v>46.8960940919004</v>
      </c>
      <c r="AH30" s="13" t="n">
        <f aca="false">AG63</f>
        <v>48.8336133102804</v>
      </c>
      <c r="AI30" s="13" t="n">
        <f aca="false">AH63</f>
        <v>50.5568278670992</v>
      </c>
      <c r="AJ30" s="13" t="n">
        <f aca="false">AI63</f>
        <v>52.0514190097186</v>
      </c>
      <c r="AK30" s="13" t="n">
        <f aca="false">AJ63</f>
        <v>53.3221874021868</v>
      </c>
      <c r="AL30" s="13" t="n">
        <f aca="false">AK63</f>
        <v>54.3683604073927</v>
      </c>
      <c r="AM30" s="13" t="n">
        <f aca="false">AL63</f>
        <v>55.2134366847773</v>
      </c>
      <c r="AN30" s="13" t="n">
        <f aca="false">AM63</f>
        <v>55.8816144579083</v>
      </c>
      <c r="AO30" s="13" t="n">
        <f aca="false">AN63</f>
        <v>56.395285421868</v>
      </c>
      <c r="AP30" s="13" t="n">
        <f aca="false">AO63</f>
        <v>56.8216170249818</v>
      </c>
      <c r="AQ30" s="13" t="n">
        <f aca="false">AP63</f>
        <v>60.9049683189078</v>
      </c>
      <c r="AR30" s="13" t="n">
        <f aca="false">AQ63</f>
        <v>65.1970085204256</v>
      </c>
      <c r="AS30" s="13" t="n">
        <f aca="false">AR63</f>
        <v>65.4950564098311</v>
      </c>
      <c r="AT30" s="13" t="n">
        <f aca="false">AS63</f>
        <v>65.4950564098311</v>
      </c>
      <c r="AU30" s="13" t="n">
        <f aca="false">AT63</f>
        <v>65.4950564098311</v>
      </c>
      <c r="AV30" s="13" t="n">
        <f aca="false">AU63</f>
        <v>65.4950564098311</v>
      </c>
      <c r="AW30" s="13" t="n">
        <f aca="false">AV63</f>
        <v>65.4950564098311</v>
      </c>
      <c r="AX30" s="13" t="n">
        <f aca="false">AW63</f>
        <v>65.4950564098311</v>
      </c>
      <c r="AY30" s="13" t="n">
        <f aca="false">AX63</f>
        <v>65.4950564098311</v>
      </c>
      <c r="AZ30" s="13" t="n">
        <f aca="false">AY63</f>
        <v>65.4950564098311</v>
      </c>
      <c r="BA30" s="13" t="n">
        <f aca="false">AZ63</f>
        <v>65.4950564098311</v>
      </c>
      <c r="BB30" s="13" t="n">
        <f aca="false">BA63</f>
        <v>65.4950564098311</v>
      </c>
      <c r="BC30" s="13" t="n">
        <f aca="false">BB63</f>
        <v>65.4950564098311</v>
      </c>
      <c r="BD30" s="13" t="n">
        <f aca="false">BC63</f>
        <v>65.4950564098311</v>
      </c>
      <c r="BE30" s="13" t="n">
        <f aca="false">BD63</f>
        <v>65.4950564098311</v>
      </c>
      <c r="BF30" s="13" t="n">
        <f aca="false">BE63</f>
        <v>65.4950564098311</v>
      </c>
      <c r="BG30" s="13" t="n">
        <f aca="false">BF63</f>
        <v>65.4950564098311</v>
      </c>
      <c r="BH30" s="13" t="n">
        <f aca="false">BG63</f>
        <v>65.4950564098311</v>
      </c>
      <c r="BI30" s="13" t="n">
        <f aca="false">BH63</f>
        <v>65.4950564098311</v>
      </c>
      <c r="BJ30" s="13" t="n">
        <f aca="false">BI63</f>
        <v>65.4950564098311</v>
      </c>
    </row>
    <row r="31" customFormat="false" ht="15" hidden="false" customHeight="false" outlineLevel="0" collapsed="false">
      <c r="D31" s="0" t="s">
        <v>1717</v>
      </c>
      <c r="E31" s="0" t="s">
        <v>151</v>
      </c>
      <c r="J31" s="13" t="n">
        <f aca="false">I64</f>
        <v>0</v>
      </c>
      <c r="K31" s="13" t="n">
        <f aca="false">J64</f>
        <v>34.7698172485386</v>
      </c>
      <c r="L31" s="13" t="n">
        <f aca="false">K64</f>
        <v>35.4743634648696</v>
      </c>
      <c r="M31" s="13" t="n">
        <f aca="false">L64</f>
        <v>36.3731178800621</v>
      </c>
      <c r="N31" s="13" t="n">
        <f aca="false">M64</f>
        <v>37.6483791801926</v>
      </c>
      <c r="O31" s="13" t="n">
        <f aca="false">N64</f>
        <v>39.4866224947395</v>
      </c>
      <c r="P31" s="13" t="n">
        <f aca="false">O64</f>
        <v>42.0339278944611</v>
      </c>
      <c r="Q31" s="13" t="n">
        <f aca="false">P64</f>
        <v>45.3606033230787</v>
      </c>
      <c r="R31" s="13" t="n">
        <f aca="false">Q64</f>
        <v>49.5778299874962</v>
      </c>
      <c r="S31" s="13" t="n">
        <f aca="false">R64</f>
        <v>54.6880356744351</v>
      </c>
      <c r="T31" s="13" t="n">
        <f aca="false">S64</f>
        <v>60.7041783924365</v>
      </c>
      <c r="U31" s="13" t="n">
        <f aca="false">T64</f>
        <v>67.5714042865262</v>
      </c>
      <c r="V31" s="13" t="n">
        <f aca="false">U64</f>
        <v>75.2611034333111</v>
      </c>
      <c r="W31" s="13" t="n">
        <f aca="false">V64</f>
        <v>83.667391366599</v>
      </c>
      <c r="X31" s="13" t="n">
        <f aca="false">W64</f>
        <v>92.6722884574159</v>
      </c>
      <c r="Y31" s="13" t="n">
        <f aca="false">X64</f>
        <v>102.167869684665</v>
      </c>
      <c r="Z31" s="13" t="n">
        <f aca="false">Y64</f>
        <v>111.995279194005</v>
      </c>
      <c r="AA31" s="13" t="n">
        <f aca="false">Z64</f>
        <v>122.025224429185</v>
      </c>
      <c r="AB31" s="13" t="n">
        <f aca="false">AA64</f>
        <v>132.439481689355</v>
      </c>
      <c r="AC31" s="13" t="n">
        <f aca="false">AB64</f>
        <v>142.383557709592</v>
      </c>
      <c r="AD31" s="13" t="n">
        <f aca="false">AC64</f>
        <v>152.084480590013</v>
      </c>
      <c r="AE31" s="13" t="n">
        <f aca="false">AD64</f>
        <v>161.364526535351</v>
      </c>
      <c r="AF31" s="13" t="n">
        <f aca="false">AE64</f>
        <v>170.117753713541</v>
      </c>
      <c r="AG31" s="13" t="n">
        <f aca="false">AF64</f>
        <v>178.205157549222</v>
      </c>
      <c r="AH31" s="13" t="n">
        <f aca="false">AG64</f>
        <v>185.567730579066</v>
      </c>
      <c r="AI31" s="13" t="n">
        <f aca="false">AH64</f>
        <v>192.115945894977</v>
      </c>
      <c r="AJ31" s="13" t="n">
        <f aca="false">AI64</f>
        <v>197.795392236931</v>
      </c>
      <c r="AK31" s="13" t="n">
        <f aca="false">AJ64</f>
        <v>202.62431212831</v>
      </c>
      <c r="AL31" s="13" t="n">
        <f aca="false">AK64</f>
        <v>206.599769548092</v>
      </c>
      <c r="AM31" s="13" t="n">
        <f aca="false">AL64</f>
        <v>209.811059402154</v>
      </c>
      <c r="AN31" s="13" t="n">
        <f aca="false">AM64</f>
        <v>212.350134940051</v>
      </c>
      <c r="AO31" s="13" t="n">
        <f aca="false">AN64</f>
        <v>214.302084603098</v>
      </c>
      <c r="AP31" s="13" t="n">
        <f aca="false">AO64</f>
        <v>215.922144694931</v>
      </c>
      <c r="AQ31" s="13" t="n">
        <f aca="false">AP64</f>
        <v>231.43887961185</v>
      </c>
      <c r="AR31" s="13" t="n">
        <f aca="false">AQ64</f>
        <v>247.748632377617</v>
      </c>
      <c r="AS31" s="13" t="n">
        <f aca="false">AR64</f>
        <v>248.881214357358</v>
      </c>
      <c r="AT31" s="13" t="n">
        <f aca="false">AS64</f>
        <v>248.881214357358</v>
      </c>
      <c r="AU31" s="13" t="n">
        <f aca="false">AT64</f>
        <v>248.881214357358</v>
      </c>
      <c r="AV31" s="13" t="n">
        <f aca="false">AU64</f>
        <v>248.881214357358</v>
      </c>
      <c r="AW31" s="13" t="n">
        <f aca="false">AV64</f>
        <v>248.881214357358</v>
      </c>
      <c r="AX31" s="13" t="n">
        <f aca="false">AW64</f>
        <v>248.881214357358</v>
      </c>
      <c r="AY31" s="13" t="n">
        <f aca="false">AX64</f>
        <v>248.881214357358</v>
      </c>
      <c r="AZ31" s="13" t="n">
        <f aca="false">AY64</f>
        <v>248.881214357358</v>
      </c>
      <c r="BA31" s="13" t="n">
        <f aca="false">AZ64</f>
        <v>248.881214357358</v>
      </c>
      <c r="BB31" s="13" t="n">
        <f aca="false">BA64</f>
        <v>248.881214357358</v>
      </c>
      <c r="BC31" s="13" t="n">
        <f aca="false">BB64</f>
        <v>248.881214357358</v>
      </c>
      <c r="BD31" s="13" t="n">
        <f aca="false">BC64</f>
        <v>248.881214357358</v>
      </c>
      <c r="BE31" s="13" t="n">
        <f aca="false">BD64</f>
        <v>248.881214357358</v>
      </c>
      <c r="BF31" s="13" t="n">
        <f aca="false">BE64</f>
        <v>248.881214357358</v>
      </c>
      <c r="BG31" s="13" t="n">
        <f aca="false">BF64</f>
        <v>248.881214357358</v>
      </c>
      <c r="BH31" s="13" t="n">
        <f aca="false">BG64</f>
        <v>248.881214357358</v>
      </c>
      <c r="BI31" s="13" t="n">
        <f aca="false">BH64</f>
        <v>248.881214357358</v>
      </c>
      <c r="BJ31" s="13" t="n">
        <f aca="false">BI64</f>
        <v>248.881214357358</v>
      </c>
    </row>
    <row r="32" customFormat="false" ht="15" hidden="false" customHeight="false" outlineLevel="0" collapsed="false">
      <c r="D32" s="0" t="s">
        <v>1718</v>
      </c>
      <c r="E32" s="0" t="s">
        <v>151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0</v>
      </c>
      <c r="AT32" s="13" t="n">
        <f aca="false">AS65</f>
        <v>0</v>
      </c>
      <c r="AU32" s="13" t="n">
        <f aca="false">AT65</f>
        <v>0</v>
      </c>
      <c r="AV32" s="13" t="n">
        <f aca="false">AU65</f>
        <v>0</v>
      </c>
      <c r="AW32" s="13" t="n">
        <f aca="false">AV65</f>
        <v>0</v>
      </c>
      <c r="AX32" s="13" t="n">
        <f aca="false">AW65</f>
        <v>0</v>
      </c>
      <c r="AY32" s="13" t="n">
        <f aca="false">AX65</f>
        <v>0</v>
      </c>
      <c r="AZ32" s="13" t="n">
        <f aca="false">AY65</f>
        <v>0</v>
      </c>
      <c r="BA32" s="13" t="n">
        <f aca="false">AZ65</f>
        <v>0</v>
      </c>
      <c r="BB32" s="13" t="n">
        <f aca="false">BA65</f>
        <v>0</v>
      </c>
      <c r="BC32" s="13" t="n">
        <f aca="false">BB65</f>
        <v>0</v>
      </c>
      <c r="BD32" s="13" t="n">
        <f aca="false">BC65</f>
        <v>0</v>
      </c>
      <c r="BE32" s="13" t="n">
        <f aca="false">BD65</f>
        <v>0</v>
      </c>
      <c r="BF32" s="13" t="n">
        <f aca="false">BE65</f>
        <v>0</v>
      </c>
      <c r="BG32" s="13" t="n">
        <f aca="false">BF65</f>
        <v>0</v>
      </c>
      <c r="BH32" s="13" t="n">
        <f aca="false">BG65</f>
        <v>0</v>
      </c>
      <c r="BI32" s="13" t="n">
        <f aca="false">BH65</f>
        <v>0</v>
      </c>
      <c r="BJ32" s="13" t="n">
        <f aca="false">BI65</f>
        <v>0</v>
      </c>
    </row>
    <row r="33" customFormat="false" ht="15" hidden="false" customHeight="false" outlineLevel="0" collapsed="false">
      <c r="D33" s="0" t="s">
        <v>1719</v>
      </c>
      <c r="E33" s="0" t="s">
        <v>151</v>
      </c>
      <c r="G33" s="13" t="n">
        <f aca="false">SUM(J33:BJ33)</f>
        <v>12.4622393782775</v>
      </c>
      <c r="J33" s="13" t="n">
        <f aca="false">Construction!J14*J28*(Construction!J17+Inputs!$F$79)/100*(1/12)*1</f>
        <v>0</v>
      </c>
      <c r="K33" s="13" t="n">
        <f aca="false">Construction!K14*K28*(Construction!K17+Inputs!$F$79)/100*(1/12)*1</f>
        <v>0.0885257847051607</v>
      </c>
      <c r="L33" s="13" t="n">
        <f aca="false">Construction!L14*L28*(Construction!L17+Inputs!$F$79)/100*(1/12)*1</f>
        <v>0.0903195964533192</v>
      </c>
      <c r="M33" s="13" t="n">
        <f aca="false">Construction!M14*M28*(Construction!M17+Inputs!$F$79)/100*(1/12)*1</f>
        <v>0.0926078724972633</v>
      </c>
      <c r="N33" s="13" t="n">
        <f aca="false">Construction!N14*N28*(Construction!N17+Inputs!$F$79)/100*(1/12)*1</f>
        <v>0.0958547548864115</v>
      </c>
      <c r="O33" s="13" t="n">
        <f aca="false">Construction!O14*O28*(Construction!O17+Inputs!$F$79)/100*(1/12)*1</f>
        <v>0.107549090215935</v>
      </c>
      <c r="P33" s="13" t="n">
        <f aca="false">Construction!P14*P28*(Construction!P17+Inputs!$F$79)/100*(1/12)*1</f>
        <v>0.114487145712545</v>
      </c>
      <c r="Q33" s="13" t="n">
        <f aca="false">Construction!Q14*Q28*(Construction!Q17+Inputs!$F$79)/100*(1/12)*1</f>
        <v>0.123547959051017</v>
      </c>
      <c r="R33" s="13" t="n">
        <f aca="false">Construction!R14*R28*(Construction!R17+Inputs!$F$79)/100*(1/12)*1</f>
        <v>0.135034352729101</v>
      </c>
      <c r="S33" s="13" t="n">
        <f aca="false">Construction!S14*S28*(Construction!S17+Inputs!$F$79)/100*(1/12)*1</f>
        <v>0.148952939271159</v>
      </c>
      <c r="T33" s="13" t="n">
        <f aca="false">Construction!T14*T28*(Construction!T17+Inputs!$F$79)/100*(1/12)*1</f>
        <v>0.165339012200452</v>
      </c>
      <c r="U33" s="13" t="n">
        <f aca="false">Construction!U14*U28*(Construction!U17+Inputs!$F$79)/100*(1/12)*1</f>
        <v>0.190711397624472</v>
      </c>
      <c r="V33" s="13" t="n">
        <f aca="false">Construction!V14*V28*(Construction!V17+Inputs!$F$79)/100*(1/12)*1</f>
        <v>0.212414561663753</v>
      </c>
      <c r="W33" s="13" t="n">
        <f aca="false">Construction!W14*W28*(Construction!W17+Inputs!$F$79)/100*(1/12)*1</f>
        <v>0.236140203264941</v>
      </c>
      <c r="X33" s="13" t="n">
        <f aca="false">Construction!X14*X28*(Construction!X17+Inputs!$F$79)/100*(1/12)*1</f>
        <v>0.261555340448891</v>
      </c>
      <c r="Y33" s="13" t="n">
        <f aca="false">Construction!Y14*Y28*(Construction!Y17+Inputs!$F$79)/100*(1/12)*1</f>
        <v>0.28835536904422</v>
      </c>
      <c r="Z33" s="13" t="n">
        <f aca="false">Construction!Z14*Z28*(Construction!Z17+Inputs!$F$79)/100*(1/12)*1</f>
        <v>0.316091939304133</v>
      </c>
      <c r="AA33" s="13" t="n">
        <f aca="false">Construction!AA14*AA28*(Construction!AA17+Inputs!$F$79)/100*(1/12)*1</f>
        <v>0.350822520233906</v>
      </c>
      <c r="AB33" s="13" t="n">
        <f aca="false">Construction!AB14*AB28*(Construction!AB17+Inputs!$F$79)/100*(1/12)*1</f>
        <v>0.380763509856895</v>
      </c>
      <c r="AC33" s="13" t="n">
        <f aca="false">Construction!AC14*AC28*(Construction!AC17+Inputs!$F$79)/100*(1/12)*1</f>
        <v>0.409352728415077</v>
      </c>
      <c r="AD33" s="13" t="n">
        <f aca="false">Construction!AD14*AD28*(Construction!AD17+Inputs!$F$79)/100*(1/12)*1</f>
        <v>0.437242881696288</v>
      </c>
      <c r="AE33" s="13" t="n">
        <f aca="false">Construction!AE14*AE28*(Construction!AE17+Inputs!$F$79)/100*(1/12)*1</f>
        <v>0.463923013789134</v>
      </c>
      <c r="AF33" s="13" t="n">
        <f aca="false">Construction!AF14*AF28*(Construction!AF17+Inputs!$F$79)/100*(1/12)*1</f>
        <v>0.489088541926431</v>
      </c>
      <c r="AG33" s="13" t="n">
        <f aca="false">Construction!AG14*AG28*(Construction!AG17+Inputs!$F$79)/100*(1/12)*1</f>
        <v>0.517029437363202</v>
      </c>
      <c r="AH33" s="13" t="n">
        <f aca="false">Construction!AH14*AH28*(Construction!AH17+Inputs!$F$79)/100*(1/12)*1</f>
        <v>0.538390586745842</v>
      </c>
      <c r="AI33" s="13" t="n">
        <f aca="false">Construction!AI14*AI28*(Construction!AI17+Inputs!$F$79)/100*(1/12)*1</f>
        <v>0.557389027234768</v>
      </c>
      <c r="AJ33" s="13" t="n">
        <f aca="false">Construction!AJ14*AJ28*(Construction!AJ17+Inputs!$F$79)/100*(1/12)*1</f>
        <v>0.573866894582147</v>
      </c>
      <c r="AK33" s="13" t="n">
        <f aca="false">Construction!AK14*AK28*(Construction!AK17+Inputs!$F$79)/100*(1/12)*1</f>
        <v>0.587877116109109</v>
      </c>
      <c r="AL33" s="13" t="n">
        <f aca="false">Construction!AL14*AL28*(Construction!AL17+Inputs!$F$79)/100*(1/12)*1</f>
        <v>0.599411173491504</v>
      </c>
      <c r="AM33" s="13" t="n">
        <f aca="false">Construction!AM14*AM28*(Construction!AM17+Inputs!$F$79)/100*(1/12)*1</f>
        <v>0.612869147201028</v>
      </c>
      <c r="AN33" s="13" t="n">
        <f aca="false">Construction!AN14*AN28*(Construction!AN17+Inputs!$F$79)/100*(1/12)*1</f>
        <v>0.620285920482782</v>
      </c>
      <c r="AO33" s="13" t="n">
        <f aca="false">Construction!AO14*AO28*(Construction!AO17+Inputs!$F$79)/100*(1/12)*1</f>
        <v>0.625987668182735</v>
      </c>
      <c r="AP33" s="13" t="n">
        <f aca="false">Construction!AP14*AP28*(Construction!AP17+Inputs!$F$79)/100*(1/12)*1</f>
        <v>0.630719948977298</v>
      </c>
      <c r="AQ33" s="13" t="n">
        <f aca="false">Construction!AQ14*AQ28*(Construction!AQ17+Inputs!$F$79)/100*(1/12)*1</f>
        <v>0.676045148339876</v>
      </c>
      <c r="AR33" s="13" t="n">
        <f aca="false">Construction!AR14*AR28*(Construction!AR17+Inputs!$F$79)/100*(1/12)*1</f>
        <v>0.723686794576724</v>
      </c>
      <c r="AS33" s="13" t="n">
        <f aca="false">Construction!AS14*AS28*(Construction!AS17+Inputs!$F$79)/100*(1/12)*1</f>
        <v>0</v>
      </c>
      <c r="AT33" s="13" t="n">
        <f aca="false">Construction!AT14*AT28*(Construction!AT17+Inputs!$F$79)/100*(1/12)*1</f>
        <v>0</v>
      </c>
      <c r="AU33" s="13" t="n">
        <f aca="false">Construction!AU14*AU28*(Construction!AU17+Inputs!$F$79)/100*(1/12)*1</f>
        <v>0</v>
      </c>
      <c r="AV33" s="13" t="n">
        <f aca="false">Construction!AV14*AV28*(Construction!AV17+Inputs!$F$79)/100*(1/12)*1</f>
        <v>0</v>
      </c>
      <c r="AW33" s="13" t="n">
        <f aca="false">Construction!AW14*AW28*(Construction!AW17+Inputs!$F$79)/100*(1/12)*1</f>
        <v>0</v>
      </c>
      <c r="AX33" s="13" t="n">
        <f aca="false">Construction!AX14*AX28*(Construction!AX17+Inputs!$F$79)/100*(1/12)*1</f>
        <v>0</v>
      </c>
      <c r="AY33" s="13" t="n">
        <f aca="false">Construction!AY14*AY28*(Construction!AY17+Inputs!$F$79)/100*(1/12)*1</f>
        <v>0</v>
      </c>
      <c r="AZ33" s="13" t="n">
        <f aca="false">Construction!AZ14*AZ28*(Construction!AZ17+Inputs!$F$79)/100*(1/12)*1</f>
        <v>0</v>
      </c>
      <c r="BA33" s="13" t="n">
        <f aca="false">Construction!BA14*BA28*(Construction!BA17+Inputs!$F$79)/100*(1/12)*1</f>
        <v>0</v>
      </c>
      <c r="BB33" s="13" t="n">
        <f aca="false">Construction!BB14*BB28*(Construction!BB17+Inputs!$F$79)/100*(1/12)*1</f>
        <v>0</v>
      </c>
      <c r="BC33" s="13" t="n">
        <f aca="false">Construction!BC14*BC28*(Construction!BC17+Inputs!$F$79)/100*(1/12)*1</f>
        <v>0</v>
      </c>
      <c r="BD33" s="13" t="n">
        <f aca="false">Construction!BD14*BD28*(Construction!BD17+Inputs!$F$79)/100*(1/12)*1</f>
        <v>0</v>
      </c>
      <c r="BE33" s="13" t="n">
        <f aca="false">Construction!BE14*BE28*(Construction!BE17+Inputs!$F$79)/100*(1/12)*1</f>
        <v>0</v>
      </c>
      <c r="BF33" s="13" t="n">
        <f aca="false">Construction!BF14*BF28*(Construction!BF17+Inputs!$F$79)/100*(1/12)*1</f>
        <v>0</v>
      </c>
      <c r="BG33" s="13" t="n">
        <f aca="false">Construction!BG14*BG28*(Construction!BG17+Inputs!$F$79)/100*(1/12)*1</f>
        <v>0</v>
      </c>
      <c r="BH33" s="13" t="n">
        <f aca="false">Construction!BH14*BH28*(Construction!BH17+Inputs!$F$79)/100*(1/12)*1</f>
        <v>0</v>
      </c>
      <c r="BI33" s="13" t="n">
        <f aca="false">Construction!BI14*BI28*(Construction!BI17+Inputs!$F$79)/100*(1/12)*1</f>
        <v>0</v>
      </c>
      <c r="BJ33" s="13" t="n">
        <f aca="false">Construction!BJ14*BJ28*(Construction!BJ17+Inputs!$F$79)/100*(1/12)*1</f>
        <v>0</v>
      </c>
    </row>
    <row r="34" customFormat="false" ht="15" hidden="false" customHeight="false" outlineLevel="0" collapsed="false">
      <c r="D34" s="0" t="s">
        <v>1720</v>
      </c>
      <c r="E34" s="0" t="s">
        <v>151</v>
      </c>
      <c r="G34" s="13" t="n">
        <f aca="false">SUM(J34:BJ34)</f>
        <v>13.9596780242879</v>
      </c>
      <c r="J34" s="13" t="n">
        <f aca="false">Construction!J14*J29*(Construction!J17+Inputs!$F$80)/100*(1/12)*1</f>
        <v>0</v>
      </c>
      <c r="K34" s="13" t="n">
        <f aca="false">Construction!K14*K29*(Construction!K17+Inputs!$F$80)/100*(1/12)*1</f>
        <v>0.103501205993786</v>
      </c>
      <c r="L34" s="13" t="n">
        <f aca="false">Construction!L14*L29*(Construction!L17+Inputs!$F$80)/100*(1/12)*1</f>
        <v>0.105598467033364</v>
      </c>
      <c r="M34" s="13" t="n">
        <f aca="false">Construction!M14*M29*(Construction!M17+Inputs!$F$80)/100*(1/12)*1</f>
        <v>0.108273838180694</v>
      </c>
      <c r="N34" s="13" t="n">
        <f aca="false">Construction!N14*N29*(Construction!N17+Inputs!$F$80)/100*(1/12)*1</f>
        <v>0.112069977849109</v>
      </c>
      <c r="O34" s="13" t="n">
        <f aca="false">Construction!O14*O29*(Construction!O17+Inputs!$F$80)/100*(1/12)*1</f>
        <v>0.122685628838919</v>
      </c>
      <c r="P34" s="13" t="n">
        <f aca="false">Construction!P14*P29*(Construction!P17+Inputs!$F$80)/100*(1/12)*1</f>
        <v>0.130600151405422</v>
      </c>
      <c r="Q34" s="13" t="n">
        <f aca="false">Construction!Q14*Q29*(Construction!Q17+Inputs!$F$80)/100*(1/12)*1</f>
        <v>0.140936190324864</v>
      </c>
      <c r="R34" s="13" t="n">
        <f aca="false">Construction!R14*R29*(Construction!R17+Inputs!$F$80)/100*(1/12)*1</f>
        <v>0.154039187557642</v>
      </c>
      <c r="S34" s="13" t="n">
        <f aca="false">Construction!S14*S29*(Construction!S17+Inputs!$F$80)/100*(1/12)*1</f>
        <v>0.169916686279692</v>
      </c>
      <c r="T34" s="13" t="n">
        <f aca="false">Construction!T14*T29*(Construction!T17+Inputs!$F$80)/100*(1/12)*1</f>
        <v>0.188608947250886</v>
      </c>
      <c r="U34" s="13" t="n">
        <f aca="false">Construction!U14*U29*(Construction!U17+Inputs!$F$80)/100*(1/12)*1</f>
        <v>0.214835574417995</v>
      </c>
      <c r="V34" s="13" t="n">
        <f aca="false">Construction!V14*V29*(Construction!V17+Inputs!$F$80)/100*(1/12)*1</f>
        <v>0.239284095959681</v>
      </c>
      <c r="W34" s="13" t="n">
        <f aca="false">Construction!W14*W29*(Construction!W17+Inputs!$F$80)/100*(1/12)*1</f>
        <v>0.266010929831788</v>
      </c>
      <c r="X34" s="13" t="n">
        <f aca="false">Construction!X14*X29*(Construction!X17+Inputs!$F$80)/100*(1/12)*1</f>
        <v>0.29464097325781</v>
      </c>
      <c r="Y34" s="13" t="n">
        <f aca="false">Construction!Y14*Y29*(Construction!Y17+Inputs!$F$80)/100*(1/12)*1</f>
        <v>0.324831090940412</v>
      </c>
      <c r="Z34" s="13" t="n">
        <f aca="false">Construction!Z14*Z29*(Construction!Z17+Inputs!$F$80)/100*(1/12)*1</f>
        <v>0.356076218805852</v>
      </c>
      <c r="AA34" s="13" t="n">
        <f aca="false">Construction!AA14*AA29*(Construction!AA17+Inputs!$F$80)/100*(1/12)*1</f>
        <v>0.392675031419706</v>
      </c>
      <c r="AB34" s="13" t="n">
        <f aca="false">Construction!AB14*AB29*(Construction!AB17+Inputs!$F$80)/100*(1/12)*1</f>
        <v>0.426187928576666</v>
      </c>
      <c r="AC34" s="13" t="n">
        <f aca="false">Construction!AC14*AC29*(Construction!AC17+Inputs!$F$80)/100*(1/12)*1</f>
        <v>0.458187790752314</v>
      </c>
      <c r="AD34" s="13" t="n">
        <f aca="false">Construction!AD14*AD29*(Construction!AD17+Inputs!$F$80)/100*(1/12)*1</f>
        <v>0.48940519038988</v>
      </c>
      <c r="AE34" s="13" t="n">
        <f aca="false">Construction!AE14*AE29*(Construction!AE17+Inputs!$F$80)/100*(1/12)*1</f>
        <v>0.519268215434153</v>
      </c>
      <c r="AF34" s="13" t="n">
        <f aca="false">Construction!AF14*AF29*(Construction!AF17+Inputs!$F$80)/100*(1/12)*1</f>
        <v>0.547435946928181</v>
      </c>
      <c r="AG34" s="13" t="n">
        <f aca="false">Construction!AG14*AG29*(Construction!AG17+Inputs!$F$80)/100*(1/12)*1</f>
        <v>0.576900117487195</v>
      </c>
      <c r="AH34" s="13" t="n">
        <f aca="false">Construction!AH14*AH29*(Construction!AH17+Inputs!$F$80)/100*(1/12)*1</f>
        <v>0.600734833071966</v>
      </c>
      <c r="AI34" s="13" t="n">
        <f aca="false">Construction!AI14*AI29*(Construction!AI17+Inputs!$F$80)/100*(1/12)*1</f>
        <v>0.621933244145098</v>
      </c>
      <c r="AJ34" s="13" t="n">
        <f aca="false">Construction!AJ14*AJ29*(Construction!AJ17+Inputs!$F$80)/100*(1/12)*1</f>
        <v>0.640319206184554</v>
      </c>
      <c r="AK34" s="13" t="n">
        <f aca="false">Construction!AK14*AK29*(Construction!AK17+Inputs!$F$80)/100*(1/12)*1</f>
        <v>0.655951775359234</v>
      </c>
      <c r="AL34" s="13" t="n">
        <f aca="false">Construction!AL14*AL29*(Construction!AL17+Inputs!$F$80)/100*(1/12)*1</f>
        <v>0.668821446944942</v>
      </c>
      <c r="AM34" s="13" t="n">
        <f aca="false">Construction!AM14*AM29*(Construction!AM17+Inputs!$F$80)/100*(1/12)*1</f>
        <v>0.682254032634898</v>
      </c>
      <c r="AN34" s="13" t="n">
        <f aca="false">Construction!AN14*AN29*(Construction!AN17+Inputs!$F$80)/100*(1/12)*1</f>
        <v>0.690510482651553</v>
      </c>
      <c r="AO34" s="13" t="n">
        <f aca="false">Construction!AO14*AO29*(Construction!AO17+Inputs!$F$80)/100*(1/12)*1</f>
        <v>0.696857743529549</v>
      </c>
      <c r="AP34" s="13" t="n">
        <f aca="false">Construction!AP14*AP29*(Construction!AP17+Inputs!$F$80)/100*(1/12)*1</f>
        <v>0.702125781038692</v>
      </c>
      <c r="AQ34" s="13" t="n">
        <f aca="false">Construction!AQ14*AQ29*(Construction!AQ17+Inputs!$F$80)/100*(1/12)*1</f>
        <v>0.752582391860637</v>
      </c>
      <c r="AR34" s="13" t="n">
        <f aca="false">Construction!AR14*AR29*(Construction!AR17+Inputs!$F$80)/100*(1/12)*1</f>
        <v>0.805617701950725</v>
      </c>
      <c r="AS34" s="13" t="n">
        <f aca="false">Construction!AS14*AS29*(Construction!AS17+Inputs!$F$80)/100*(1/12)*1</f>
        <v>0</v>
      </c>
      <c r="AT34" s="13" t="n">
        <f aca="false">Construction!AT14*AT29*(Construction!AT17+Inputs!$F$80)/100*(1/12)*1</f>
        <v>0</v>
      </c>
      <c r="AU34" s="13" t="n">
        <f aca="false">Construction!AU14*AU29*(Construction!AU17+Inputs!$F$80)/100*(1/12)*1</f>
        <v>0</v>
      </c>
      <c r="AV34" s="13" t="n">
        <f aca="false">Construction!AV14*AV29*(Construction!AV17+Inputs!$F$80)/100*(1/12)*1</f>
        <v>0</v>
      </c>
      <c r="AW34" s="13" t="n">
        <f aca="false">Construction!AW14*AW29*(Construction!AW17+Inputs!$F$80)/100*(1/12)*1</f>
        <v>0</v>
      </c>
      <c r="AX34" s="13" t="n">
        <f aca="false">Construction!AX14*AX29*(Construction!AX17+Inputs!$F$80)/100*(1/12)*1</f>
        <v>0</v>
      </c>
      <c r="AY34" s="13" t="n">
        <f aca="false">Construction!AY14*AY29*(Construction!AY17+Inputs!$F$80)/100*(1/12)*1</f>
        <v>0</v>
      </c>
      <c r="AZ34" s="13" t="n">
        <f aca="false">Construction!AZ14*AZ29*(Construction!AZ17+Inputs!$F$80)/100*(1/12)*1</f>
        <v>0</v>
      </c>
      <c r="BA34" s="13" t="n">
        <f aca="false">Construction!BA14*BA29*(Construction!BA17+Inputs!$F$80)/100*(1/12)*1</f>
        <v>0</v>
      </c>
      <c r="BB34" s="13" t="n">
        <f aca="false">Construction!BB14*BB29*(Construction!BB17+Inputs!$F$80)/100*(1/12)*1</f>
        <v>0</v>
      </c>
      <c r="BC34" s="13" t="n">
        <f aca="false">Construction!BC14*BC29*(Construction!BC17+Inputs!$F$80)/100*(1/12)*1</f>
        <v>0</v>
      </c>
      <c r="BD34" s="13" t="n">
        <f aca="false">Construction!BD14*BD29*(Construction!BD17+Inputs!$F$80)/100*(1/12)*1</f>
        <v>0</v>
      </c>
      <c r="BE34" s="13" t="n">
        <f aca="false">Construction!BE14*BE29*(Construction!BE17+Inputs!$F$80)/100*(1/12)*1</f>
        <v>0</v>
      </c>
      <c r="BF34" s="13" t="n">
        <f aca="false">Construction!BF14*BF29*(Construction!BF17+Inputs!$F$80)/100*(1/12)*1</f>
        <v>0</v>
      </c>
      <c r="BG34" s="13" t="n">
        <f aca="false">Construction!BG14*BG29*(Construction!BG17+Inputs!$F$80)/100*(1/12)*1</f>
        <v>0</v>
      </c>
      <c r="BH34" s="13" t="n">
        <f aca="false">Construction!BH14*BH29*(Construction!BH17+Inputs!$F$80)/100*(1/12)*1</f>
        <v>0</v>
      </c>
      <c r="BI34" s="13" t="n">
        <f aca="false">Construction!BI14*BI29*(Construction!BI17+Inputs!$F$80)/100*(1/12)*1</f>
        <v>0</v>
      </c>
      <c r="BJ34" s="13" t="n">
        <f aca="false">Construction!BJ14*BJ29*(Construction!BJ17+Inputs!$F$80)/100*(1/12)*1</f>
        <v>0</v>
      </c>
    </row>
    <row r="35" customFormat="false" ht="15" hidden="false" customHeight="false" outlineLevel="0" collapsed="false">
      <c r="D35" s="0" t="s">
        <v>1721</v>
      </c>
      <c r="E35" s="0" t="s">
        <v>151</v>
      </c>
      <c r="G35" s="13" t="n">
        <f aca="false">SUM(J35:BJ35)</f>
        <v>6.10713119284736</v>
      </c>
      <c r="J35" s="13" t="n">
        <f aca="false">Construction!J14*J30*(Construction!J17+Inputs!$F$81)/100*(1/12)*1</f>
        <v>0</v>
      </c>
      <c r="K35" s="13" t="n">
        <f aca="false">Construction!K14*K30*(Construction!K17+Inputs!$F$81)/100*(1/12)*1</f>
        <v>0.0451397627437167</v>
      </c>
      <c r="L35" s="13" t="n">
        <f aca="false">Construction!L14*L30*(Construction!L17+Inputs!$F$81)/100*(1/12)*1</f>
        <v>0.0460544367789535</v>
      </c>
      <c r="M35" s="13" t="n">
        <f aca="false">Construction!M14*M30*(Construction!M17+Inputs!$F$81)/100*(1/12)*1</f>
        <v>0.0472212407565718</v>
      </c>
      <c r="N35" s="13" t="n">
        <f aca="false">Construction!N14*N30*(Construction!N17+Inputs!$F$81)/100*(1/12)*1</f>
        <v>0.048876843146215</v>
      </c>
      <c r="O35" s="13" t="n">
        <f aca="false">Construction!O14*O30*(Construction!O17+Inputs!$F$81)/100*(1/12)*1</f>
        <v>0.0536013581672012</v>
      </c>
      <c r="P35" s="13" t="n">
        <f aca="false">Construction!P14*P30*(Construction!P17+Inputs!$F$81)/100*(1/12)*1</f>
        <v>0.0570592135234023</v>
      </c>
      <c r="Q35" s="13" t="n">
        <f aca="false">Construction!Q14*Q30*(Construction!Q17+Inputs!$F$81)/100*(1/12)*1</f>
        <v>0.0615750295109336</v>
      </c>
      <c r="R35" s="13" t="n">
        <f aca="false">Construction!R14*R30*(Construction!R17+Inputs!$F$81)/100*(1/12)*1</f>
        <v>0.0672997297417985</v>
      </c>
      <c r="S35" s="13" t="n">
        <f aca="false">Construction!S14*S30*(Construction!S17+Inputs!$F$81)/100*(1/12)*1</f>
        <v>0.0742366098299898</v>
      </c>
      <c r="T35" s="13" t="n">
        <f aca="false">Construction!T14*T30*(Construction!T17+Inputs!$F$81)/100*(1/12)*1</f>
        <v>0.0824032597037679</v>
      </c>
      <c r="U35" s="13" t="n">
        <f aca="false">Construction!U14*U30*(Construction!U17+Inputs!$F$81)/100*(1/12)*1</f>
        <v>0.0939479612229333</v>
      </c>
      <c r="V35" s="13" t="n">
        <f aca="false">Construction!V14*V30*(Construction!V17+Inputs!$F$81)/100*(1/12)*1</f>
        <v>0.104639341177016</v>
      </c>
      <c r="W35" s="13" t="n">
        <f aca="false">Construction!W14*W30*(Construction!W17+Inputs!$F$81)/100*(1/12)*1</f>
        <v>0.116327030979</v>
      </c>
      <c r="X35" s="13" t="n">
        <f aca="false">Construction!X14*X30*(Construction!X17+Inputs!$F$81)/100*(1/12)*1</f>
        <v>0.128846997548249</v>
      </c>
      <c r="Y35" s="13" t="n">
        <f aca="false">Construction!Y14*Y30*(Construction!Y17+Inputs!$F$81)/100*(1/12)*1</f>
        <v>0.142049187237013</v>
      </c>
      <c r="Z35" s="13" t="n">
        <f aca="false">Construction!Z14*Z30*(Construction!Z17+Inputs!$F$81)/100*(1/12)*1</f>
        <v>0.155712734668858</v>
      </c>
      <c r="AA35" s="13" t="n">
        <f aca="false">Construction!AA14*AA30*(Construction!AA17+Inputs!$F$81)/100*(1/12)*1</f>
        <v>0.171798671235826</v>
      </c>
      <c r="AB35" s="13" t="n">
        <f aca="false">Construction!AB14*AB30*(Construction!AB17+Inputs!$F$81)/100*(1/12)*1</f>
        <v>0.186460849220539</v>
      </c>
      <c r="AC35" s="13" t="n">
        <f aca="false">Construction!AC14*AC30*(Construction!AC17+Inputs!$F$81)/100*(1/12)*1</f>
        <v>0.200461061512189</v>
      </c>
      <c r="AD35" s="13" t="n">
        <f aca="false">Construction!AD14*AD30*(Construction!AD17+Inputs!$F$81)/100*(1/12)*1</f>
        <v>0.214118939778045</v>
      </c>
      <c r="AE35" s="13" t="n">
        <f aca="false">Construction!AE14*AE30*(Construction!AE17+Inputs!$F$81)/100*(1/12)*1</f>
        <v>0.227184267622139</v>
      </c>
      <c r="AF35" s="13" t="n">
        <f aca="false">Construction!AF14*AF30*(Construction!AF17+Inputs!$F$81)/100*(1/12)*1</f>
        <v>0.239507890096696</v>
      </c>
      <c r="AG35" s="13" t="n">
        <f aca="false">Construction!AG14*AG30*(Construction!AG17+Inputs!$F$81)/100*(1/12)*1</f>
        <v>0.252457306528064</v>
      </c>
      <c r="AH35" s="13" t="n">
        <f aca="false">Construction!AH14*AH30*(Construction!AH17+Inputs!$F$81)/100*(1/12)*1</f>
        <v>0.262887618320343</v>
      </c>
      <c r="AI35" s="13" t="n">
        <f aca="false">Construction!AI14*AI30*(Construction!AI17+Inputs!$F$81)/100*(1/12)*1</f>
        <v>0.27216425668455</v>
      </c>
      <c r="AJ35" s="13" t="n">
        <f aca="false">Construction!AJ14*AJ30*(Construction!AJ17+Inputs!$F$81)/100*(1/12)*1</f>
        <v>0.280210139002318</v>
      </c>
      <c r="AK35" s="13" t="n">
        <f aca="false">Construction!AK14*AK30*(Construction!AK17+Inputs!$F$81)/100*(1/12)*1</f>
        <v>0.287051108848439</v>
      </c>
      <c r="AL35" s="13" t="n">
        <f aca="false">Construction!AL14*AL30*(Construction!AL17+Inputs!$F$81)/100*(1/12)*1</f>
        <v>0.292683006859797</v>
      </c>
      <c r="AM35" s="13" t="n">
        <f aca="false">Construction!AM14*AM30*(Construction!AM17+Inputs!$F$81)/100*(1/12)*1</f>
        <v>0.29861267007017</v>
      </c>
      <c r="AN35" s="13" t="n">
        <f aca="false">Construction!AN14*AN30*(Construction!AN17+Inputs!$F$81)/100*(1/12)*1</f>
        <v>0.302226398193187</v>
      </c>
      <c r="AO35" s="13" t="n">
        <f aca="false">Construction!AO14*AO30*(Construction!AO17+Inputs!$F$81)/100*(1/12)*1</f>
        <v>0.305004501989936</v>
      </c>
      <c r="AP35" s="13" t="n">
        <f aca="false">Construction!AP14*AP30*(Construction!AP17+Inputs!$F$81)/100*(1/12)*1</f>
        <v>0.30731024541011</v>
      </c>
      <c r="AQ35" s="13" t="n">
        <f aca="false">Construction!AQ14*AQ30*(Construction!AQ17+Inputs!$F$81)/100*(1/12)*1</f>
        <v>0.32939437032476</v>
      </c>
      <c r="AR35" s="13" t="n">
        <f aca="false">Construction!AR14*AR30*(Construction!AR17+Inputs!$F$81)/100*(1/12)*1</f>
        <v>0.352607154414635</v>
      </c>
      <c r="AS35" s="13" t="n">
        <f aca="false">Construction!AS14*AS30*(Construction!AS17+Inputs!$F$81)/100*(1/12)*1</f>
        <v>0</v>
      </c>
      <c r="AT35" s="13" t="n">
        <f aca="false">Construction!AT14*AT30*(Construction!AT17+Inputs!$F$81)/100*(1/12)*1</f>
        <v>0</v>
      </c>
      <c r="AU35" s="13" t="n">
        <f aca="false">Construction!AU14*AU30*(Construction!AU17+Inputs!$F$81)/100*(1/12)*1</f>
        <v>0</v>
      </c>
      <c r="AV35" s="13" t="n">
        <f aca="false">Construction!AV14*AV30*(Construction!AV17+Inputs!$F$81)/100*(1/12)*1</f>
        <v>0</v>
      </c>
      <c r="AW35" s="13" t="n">
        <f aca="false">Construction!AW14*AW30*(Construction!AW17+Inputs!$F$81)/100*(1/12)*1</f>
        <v>0</v>
      </c>
      <c r="AX35" s="13" t="n">
        <f aca="false">Construction!AX14*AX30*(Construction!AX17+Inputs!$F$81)/100*(1/12)*1</f>
        <v>0</v>
      </c>
      <c r="AY35" s="13" t="n">
        <f aca="false">Construction!AY14*AY30*(Construction!AY17+Inputs!$F$81)/100*(1/12)*1</f>
        <v>0</v>
      </c>
      <c r="AZ35" s="13" t="n">
        <f aca="false">Construction!AZ14*AZ30*(Construction!AZ17+Inputs!$F$81)/100*(1/12)*1</f>
        <v>0</v>
      </c>
      <c r="BA35" s="13" t="n">
        <f aca="false">Construction!BA14*BA30*(Construction!BA17+Inputs!$F$81)/100*(1/12)*1</f>
        <v>0</v>
      </c>
      <c r="BB35" s="13" t="n">
        <f aca="false">Construction!BB14*BB30*(Construction!BB17+Inputs!$F$81)/100*(1/12)*1</f>
        <v>0</v>
      </c>
      <c r="BC35" s="13" t="n">
        <f aca="false">Construction!BC14*BC30*(Construction!BC17+Inputs!$F$81)/100*(1/12)*1</f>
        <v>0</v>
      </c>
      <c r="BD35" s="13" t="n">
        <f aca="false">Construction!BD14*BD30*(Construction!BD17+Inputs!$F$81)/100*(1/12)*1</f>
        <v>0</v>
      </c>
      <c r="BE35" s="13" t="n">
        <f aca="false">Construction!BE14*BE30*(Construction!BE17+Inputs!$F$81)/100*(1/12)*1</f>
        <v>0</v>
      </c>
      <c r="BF35" s="13" t="n">
        <f aca="false">Construction!BF14*BF30*(Construction!BF17+Inputs!$F$81)/100*(1/12)*1</f>
        <v>0</v>
      </c>
      <c r="BG35" s="13" t="n">
        <f aca="false">Construction!BG14*BG30*(Construction!BG17+Inputs!$F$81)/100*(1/12)*1</f>
        <v>0</v>
      </c>
      <c r="BH35" s="13" t="n">
        <f aca="false">Construction!BH14*BH30*(Construction!BH17+Inputs!$F$81)/100*(1/12)*1</f>
        <v>0</v>
      </c>
      <c r="BI35" s="13" t="n">
        <f aca="false">Construction!BI14*BI30*(Construction!BI17+Inputs!$F$81)/100*(1/12)*1</f>
        <v>0</v>
      </c>
      <c r="BJ35" s="13" t="n">
        <f aca="false">Construction!BJ14*BJ30*(Construction!BJ17+Inputs!$F$81)/100*(1/12)*1</f>
        <v>0</v>
      </c>
    </row>
    <row r="36" customFormat="false" ht="15" hidden="false" customHeight="false" outlineLevel="0" collapsed="false">
      <c r="D36" s="0" t="s">
        <v>1722</v>
      </c>
      <c r="E36" s="0" t="s">
        <v>151</v>
      </c>
      <c r="G36" s="13" t="n">
        <f aca="false">SUM(J36:BJ36)</f>
        <v>28.601446458816</v>
      </c>
      <c r="J36" s="13" t="n">
        <f aca="false">Construction!J14*J31*(Construction!J17+Inputs!$F$82)/100*(1/12)*(1/(1-Inputs!$F$93/100))</f>
        <v>0</v>
      </c>
      <c r="K36" s="13" t="n">
        <f aca="false">Construction!K14*K31*(Construction!K17+Inputs!$F$82)/100*(1/12)*(1/(1-Inputs!$F$93/100))</f>
        <v>0.213126102023449</v>
      </c>
      <c r="L36" s="13" t="n">
        <f aca="false">Construction!L14*L31*(Construction!L17+Inputs!$F$82)/100*(1/12)*(1/(1-Inputs!$F$93/100))</f>
        <v>0.217444709386515</v>
      </c>
      <c r="M36" s="13" t="n">
        <f aca="false">Construction!M14*M31*(Construction!M17+Inputs!$F$82)/100*(1/12)*(1/(1-Inputs!$F$93/100))</f>
        <v>0.22295374107964</v>
      </c>
      <c r="N36" s="13" t="n">
        <f aca="false">Construction!N14*N31*(Construction!N17+Inputs!$F$82)/100*(1/12)*(1/(1-Inputs!$F$93/100))</f>
        <v>0.23077062053044</v>
      </c>
      <c r="O36" s="13" t="n">
        <f aca="false">Construction!O14*O31*(Construction!O17+Inputs!$F$82)/100*(1/12)*(1/(1-Inputs!$F$93/100))</f>
        <v>0.25191002684144</v>
      </c>
      <c r="P36" s="13" t="n">
        <f aca="false">Construction!P14*P31*(Construction!P17+Inputs!$F$82)/100*(1/12)*(1/(1-Inputs!$F$93/100))</f>
        <v>0.268160891845219</v>
      </c>
      <c r="Q36" s="13" t="n">
        <f aca="false">Construction!Q14*Q31*(Construction!Q17+Inputs!$F$82)/100*(1/12)*(1/(1-Inputs!$F$93/100))</f>
        <v>0.289383848977789</v>
      </c>
      <c r="R36" s="13" t="n">
        <f aca="false">Construction!R14*R31*(Construction!R17+Inputs!$F$82)/100*(1/12)*(1/(1-Inputs!$F$93/100))</f>
        <v>0.316288193160971</v>
      </c>
      <c r="S36" s="13" t="n">
        <f aca="false">Construction!S14*S31*(Construction!S17+Inputs!$F$82)/100*(1/12)*(1/(1-Inputs!$F$93/100))</f>
        <v>0.348889412774868</v>
      </c>
      <c r="T36" s="13" t="n">
        <f aca="false">Construction!T14*T31*(Construction!T17+Inputs!$F$82)/100*(1/12)*(1/(1-Inputs!$F$93/100))</f>
        <v>0.387270175114711</v>
      </c>
      <c r="U36" s="13" t="n">
        <f aca="false">Construction!U14*U31*(Construction!U17+Inputs!$F$82)/100*(1/12)*(1/(1-Inputs!$F$93/100))</f>
        <v>0.440465450164023</v>
      </c>
      <c r="V36" s="13" t="n">
        <f aca="false">Construction!V14*V31*(Construction!V17+Inputs!$F$82)/100*(1/12)*(1/(1-Inputs!$F$93/100))</f>
        <v>0.490590896454176</v>
      </c>
      <c r="W36" s="13" t="n">
        <f aca="false">Construction!W14*W31*(Construction!W17+Inputs!$F$82)/100*(1/12)*(1/(1-Inputs!$F$93/100))</f>
        <v>0.545387440019312</v>
      </c>
      <c r="X36" s="13" t="n">
        <f aca="false">Construction!X14*X31*(Construction!X17+Inputs!$F$82)/100*(1/12)*(1/(1-Inputs!$F$93/100))</f>
        <v>0.604086028463155</v>
      </c>
      <c r="Y36" s="13" t="n">
        <f aca="false">Construction!Y14*Y31*(Construction!Y17+Inputs!$F$82)/100*(1/12)*(1/(1-Inputs!$F$93/100))</f>
        <v>0.665983150537077</v>
      </c>
      <c r="Z36" s="13" t="n">
        <f aca="false">Construction!Z14*Z31*(Construction!Z17+Inputs!$F$82)/100*(1/12)*(1/(1-Inputs!$F$93/100))</f>
        <v>0.730043301412774</v>
      </c>
      <c r="AA36" s="13" t="n">
        <f aca="false">Construction!AA14*AA31*(Construction!AA17+Inputs!$F$82)/100*(1/12)*(1/(1-Inputs!$F$93/100))</f>
        <v>0.804462590681292</v>
      </c>
      <c r="AB36" s="13" t="n">
        <f aca="false">Construction!AB14*AB31*(Construction!AB17+Inputs!$F$82)/100*(1/12)*(1/(1-Inputs!$F$93/100))</f>
        <v>0.873119545952044</v>
      </c>
      <c r="AC36" s="13" t="n">
        <f aca="false">Construction!AC14*AC31*(Construction!AC17+Inputs!$F$82)/100*(1/12)*(1/(1-Inputs!$F$93/100))</f>
        <v>0.938676787863236</v>
      </c>
      <c r="AD36" s="13" t="n">
        <f aca="false">Construction!AD14*AD31*(Construction!AD17+Inputs!$F$82)/100*(1/12)*(1/(1-Inputs!$F$93/100))</f>
        <v>1.00263102018601</v>
      </c>
      <c r="AE36" s="13" t="n">
        <f aca="false">Construction!AE14*AE31*(Construction!AE17+Inputs!$F$82)/100*(1/12)*(1/(1-Inputs!$F$93/100))</f>
        <v>1.06381058234417</v>
      </c>
      <c r="AF36" s="13" t="n">
        <f aca="false">Construction!AF14*AF31*(Construction!AF17+Inputs!$F$82)/100*(1/12)*(1/(1-Inputs!$F$93/100))</f>
        <v>1.12151704300038</v>
      </c>
      <c r="AG36" s="13" t="n">
        <f aca="false">Construction!AG14*AG31*(Construction!AG17+Inputs!$F$82)/100*(1/12)*(1/(1-Inputs!$F$93/100))</f>
        <v>1.18143419264114</v>
      </c>
      <c r="AH36" s="13" t="n">
        <f aca="false">Construction!AH14*AH31*(Construction!AH17+Inputs!$F$82)/100*(1/12)*(1/(1-Inputs!$F$93/100))</f>
        <v>1.2302453249501</v>
      </c>
      <c r="AI36" s="13" t="n">
        <f aca="false">Construction!AI14*AI31*(Construction!AI17+Inputs!$F$82)/100*(1/12)*(1/(1-Inputs!$F$93/100))</f>
        <v>1.27365756722966</v>
      </c>
      <c r="AJ36" s="13" t="n">
        <f aca="false">Construction!AJ14*AJ31*(Construction!AJ17+Inputs!$F$82)/100*(1/12)*(1/(1-Inputs!$F$93/100))</f>
        <v>1.31131019297817</v>
      </c>
      <c r="AK36" s="13" t="n">
        <f aca="false">Construction!AK14*AK31*(Construction!AK17+Inputs!$F$82)/100*(1/12)*(1/(1-Inputs!$F$93/100))</f>
        <v>1.34332414336916</v>
      </c>
      <c r="AL36" s="13" t="n">
        <f aca="false">Construction!AL14*AL31*(Construction!AL17+Inputs!$F$82)/100*(1/12)*(1/(1-Inputs!$F$93/100))</f>
        <v>1.36967995367069</v>
      </c>
      <c r="AM36" s="13" t="n">
        <f aca="false">Construction!AM14*AM31*(Construction!AM17+Inputs!$F$82)/100*(1/12)*(1/(1-Inputs!$F$93/100))</f>
        <v>1.39679770101989</v>
      </c>
      <c r="AN36" s="13" t="n">
        <f aca="false">Construction!AN14*AN31*(Construction!AN17+Inputs!$F$82)/100*(1/12)*(1/(1-Inputs!$F$93/100))</f>
        <v>1.41370136131386</v>
      </c>
      <c r="AO36" s="13" t="n">
        <f aca="false">Construction!AO14*AO31*(Construction!AO17+Inputs!$F$82)/100*(1/12)*(1/(1-Inputs!$F$93/100))</f>
        <v>1.42669628545952</v>
      </c>
      <c r="AP36" s="13" t="n">
        <f aca="false">Construction!AP14*AP31*(Construction!AP17+Inputs!$F$82)/100*(1/12)*(1/(1-Inputs!$F$93/100))</f>
        <v>1.43748168551533</v>
      </c>
      <c r="AQ36" s="13" t="n">
        <f aca="false">Construction!AQ14*AQ31*(Construction!AQ17+Inputs!$F$82)/100*(1/12)*(1/(1-Inputs!$F$93/100))</f>
        <v>1.54078291149</v>
      </c>
      <c r="AR36" s="13" t="n">
        <f aca="false">Construction!AR14*AR31*(Construction!AR17+Inputs!$F$82)/100*(1/12)*(1/(1-Inputs!$F$93/100))</f>
        <v>1.6493635803658</v>
      </c>
      <c r="AS36" s="13" t="n">
        <f aca="false">Construction!AS14*AS31*(Construction!AS17+Inputs!$F$82)/100*(1/12)*(1/(1-Inputs!$F$93/100))</f>
        <v>0</v>
      </c>
      <c r="AT36" s="13" t="n">
        <f aca="false">Construction!AT14*AT31*(Construction!AT17+Inputs!$F$82)/100*(1/12)*(1/(1-Inputs!$F$93/100))</f>
        <v>0</v>
      </c>
      <c r="AU36" s="13" t="n">
        <f aca="false">Construction!AU14*AU31*(Construction!AU17+Inputs!$F$82)/100*(1/12)*(1/(1-Inputs!$F$93/100))</f>
        <v>0</v>
      </c>
      <c r="AV36" s="13" t="n">
        <f aca="false">Construction!AV14*AV31*(Construction!AV17+Inputs!$F$82)/100*(1/12)*(1/(1-Inputs!$F$93/100))</f>
        <v>0</v>
      </c>
      <c r="AW36" s="13" t="n">
        <f aca="false">Construction!AW14*AW31*(Construction!AW17+Inputs!$F$82)/100*(1/12)*(1/(1-Inputs!$F$93/100))</f>
        <v>0</v>
      </c>
      <c r="AX36" s="13" t="n">
        <f aca="false">Construction!AX14*AX31*(Construction!AX17+Inputs!$F$82)/100*(1/12)*(1/(1-Inputs!$F$93/100))</f>
        <v>0</v>
      </c>
      <c r="AY36" s="13" t="n">
        <f aca="false">Construction!AY14*AY31*(Construction!AY17+Inputs!$F$82)/100*(1/12)*(1/(1-Inputs!$F$93/100))</f>
        <v>0</v>
      </c>
      <c r="AZ36" s="13" t="n">
        <f aca="false">Construction!AZ14*AZ31*(Construction!AZ17+Inputs!$F$82)/100*(1/12)*(1/(1-Inputs!$F$93/100))</f>
        <v>0</v>
      </c>
      <c r="BA36" s="13" t="n">
        <f aca="false">Construction!BA14*BA31*(Construction!BA17+Inputs!$F$82)/100*(1/12)*(1/(1-Inputs!$F$93/100))</f>
        <v>0</v>
      </c>
      <c r="BB36" s="13" t="n">
        <f aca="false">Construction!BB14*BB31*(Construction!BB17+Inputs!$F$82)/100*(1/12)*(1/(1-Inputs!$F$93/100))</f>
        <v>0</v>
      </c>
      <c r="BC36" s="13" t="n">
        <f aca="false">Construction!BC14*BC31*(Construction!BC17+Inputs!$F$82)/100*(1/12)*(1/(1-Inputs!$F$93/100))</f>
        <v>0</v>
      </c>
      <c r="BD36" s="13" t="n">
        <f aca="false">Construction!BD14*BD31*(Construction!BD17+Inputs!$F$82)/100*(1/12)*(1/(1-Inputs!$F$93/100))</f>
        <v>0</v>
      </c>
      <c r="BE36" s="13" t="n">
        <f aca="false">Construction!BE14*BE31*(Construction!BE17+Inputs!$F$82)/100*(1/12)*(1/(1-Inputs!$F$93/100))</f>
        <v>0</v>
      </c>
      <c r="BF36" s="13" t="n">
        <f aca="false">Construction!BF14*BF31*(Construction!BF17+Inputs!$F$82)/100*(1/12)*(1/(1-Inputs!$F$93/100))</f>
        <v>0</v>
      </c>
      <c r="BG36" s="13" t="n">
        <f aca="false">Construction!BG14*BG31*(Construction!BG17+Inputs!$F$82)/100*(1/12)*(1/(1-Inputs!$F$93/100))</f>
        <v>0</v>
      </c>
      <c r="BH36" s="13" t="n">
        <f aca="false">Construction!BH14*BH31*(Construction!BH17+Inputs!$F$82)/100*(1/12)*(1/(1-Inputs!$F$93/100))</f>
        <v>0</v>
      </c>
      <c r="BI36" s="13" t="n">
        <f aca="false">Construction!BI14*BI31*(Construction!BI17+Inputs!$F$82)/100*(1/12)*(1/(1-Inputs!$F$93/100))</f>
        <v>0</v>
      </c>
      <c r="BJ36" s="13" t="n">
        <f aca="false">Construction!BJ14*BJ31*(Construction!BJ17+Inputs!$F$82)/100*(1/12)*(1/(1-Inputs!$F$93/100))</f>
        <v>0</v>
      </c>
    </row>
    <row r="37" customFormat="false" ht="15" hidden="false" customHeight="false" outlineLevel="0" collapsed="false">
      <c r="D37" s="0" t="s">
        <v>1723</v>
      </c>
      <c r="E37" s="0" t="s">
        <v>151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1724</v>
      </c>
      <c r="E38" s="0" t="s">
        <v>151</v>
      </c>
      <c r="G38" s="13" t="n">
        <f aca="false">SUM(J38:BJ38)</f>
        <v>3.74581807395474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0.0295781596045787</v>
      </c>
      <c r="L38" s="13" t="n">
        <f aca="false">Construction!L14*(Inputs!$F$95/100*Inputs!$F$96/100)*L31*Construction!L11/Inputs!$F$248</f>
        <v>0.0311834233361737</v>
      </c>
      <c r="M38" s="13" t="n">
        <f aca="false">Construction!M14*(Inputs!$F$95/100*Inputs!$F$96/100)*M31*Construction!M11/Inputs!$F$248</f>
        <v>0.0309420632924912</v>
      </c>
      <c r="N38" s="13" t="n">
        <f aca="false">Construction!N14*(Inputs!$F$95/100*Inputs!$F$96/100)*N31*Construction!N11/Inputs!$F$248</f>
        <v>0.0330944724930543</v>
      </c>
      <c r="O38" s="13" t="n">
        <f aca="false">Construction!O14*(Inputs!$F$95/100*Inputs!$F$96/100)*O31*Construction!O11/Inputs!$F$248</f>
        <v>0.0347103639107867</v>
      </c>
      <c r="P38" s="13" t="n">
        <f aca="false">Construction!P14*(Inputs!$F$95/100*Inputs!$F$96/100)*P31*Construction!P11/Inputs!$F$248</f>
        <v>0.0333737871337393</v>
      </c>
      <c r="Q38" s="13" t="n">
        <f aca="false">Construction!Q14*(Inputs!$F$95/100*Inputs!$F$96/100)*Q31*Construction!Q11/Inputs!$F$248</f>
        <v>0.0398738344553693</v>
      </c>
      <c r="R38" s="13" t="n">
        <f aca="false">Construction!R14*(Inputs!$F$95/100*Inputs!$F$96/100)*R31*Construction!R11/Inputs!$F$248</f>
        <v>0.0421751129071714</v>
      </c>
      <c r="S38" s="13" t="n">
        <f aca="false">Construction!S14*(Inputs!$F$95/100*Inputs!$F$96/100)*S31*Construction!S11/Inputs!$F$248</f>
        <v>0.0480730308113493</v>
      </c>
      <c r="T38" s="13" t="n">
        <f aca="false">Construction!T14*(Inputs!$F$95/100*Inputs!$F$96/100)*T31*Construction!T11/Inputs!$F$248</f>
        <v>0.0516401298379494</v>
      </c>
      <c r="U38" s="13" t="n">
        <f aca="false">Construction!U14*(Inputs!$F$95/100*Inputs!$F$96/100)*U31*Construction!U11/Inputs!$F$248</f>
        <v>0.059398041274882</v>
      </c>
      <c r="V38" s="13" t="n">
        <f aca="false">Construction!V14*(Inputs!$F$95/100*Inputs!$F$96/100)*V31*Construction!V11/Inputs!$F$248</f>
        <v>0.0661576028399394</v>
      </c>
      <c r="W38" s="13" t="n">
        <f aca="false">Construction!W14*(Inputs!$F$95/100*Inputs!$F$96/100)*W31*Construction!W11/Inputs!$F$248</f>
        <v>0.0711745890940521</v>
      </c>
      <c r="X38" s="13" t="n">
        <f aca="false">Construction!X14*(Inputs!$F$95/100*Inputs!$F$96/100)*X31*Construction!X11/Inputs!$F$248</f>
        <v>0.0814627500042791</v>
      </c>
      <c r="Y38" s="13" t="n">
        <f aca="false">Construction!Y14*(Inputs!$F$95/100*Inputs!$F$96/100)*Y31*Construction!Y11/Inputs!$F$248</f>
        <v>0.0869126672249002</v>
      </c>
      <c r="Z38" s="13" t="n">
        <f aca="false">Construction!Z14*(Inputs!$F$95/100*Inputs!$F$96/100)*Z31*Construction!Z11/Inputs!$F$248</f>
        <v>0.0984484529572508</v>
      </c>
      <c r="AA38" s="13" t="n">
        <f aca="false">Construction!AA14*(Inputs!$F$95/100*Inputs!$F$96/100)*AA31*Construction!AA11/Inputs!$F$248</f>
        <v>0.107265187008504</v>
      </c>
      <c r="AB38" s="13" t="n">
        <f aca="false">Construction!AB14*(Inputs!$F$95/100*Inputs!$F$96/100)*AB31*Construction!AB11/Inputs!$F$248</f>
        <v>0.108908795696055</v>
      </c>
      <c r="AC38" s="13" t="n">
        <f aca="false">Construction!AC14*(Inputs!$F$95/100*Inputs!$F$96/100)*AC31*Construction!AC11/Inputs!$F$248</f>
        <v>0.125160998605815</v>
      </c>
      <c r="AD38" s="13" t="n">
        <f aca="false">Construction!AD14*(Inputs!$F$95/100*Inputs!$F$96/100)*AD31*Construction!AD11/Inputs!$F$248</f>
        <v>0.12937597595397</v>
      </c>
      <c r="AE38" s="13" t="n">
        <f aca="false">Construction!AE14*(Inputs!$F$95/100*Inputs!$F$96/100)*AE31*Construction!AE11/Inputs!$F$248</f>
        <v>0.141846050243472</v>
      </c>
      <c r="AF38" s="13" t="n">
        <f aca="false">Construction!AF14*(Inputs!$F$95/100*Inputs!$F$96/100)*AF31*Construction!AF11/Inputs!$F$248</f>
        <v>0.144716609665903</v>
      </c>
      <c r="AG38" s="13" t="n">
        <f aca="false">Construction!AG14*(Inputs!$F$95/100*Inputs!$F$96/100)*AG31*Construction!AG11/Inputs!$F$248</f>
        <v>0.156649656985391</v>
      </c>
      <c r="AH38" s="13" t="n">
        <f aca="false">Construction!AH14*(Inputs!$F$95/100*Inputs!$F$96/100)*AH31*Construction!AH11/Inputs!$F$248</f>
        <v>0.163121661250118</v>
      </c>
      <c r="AI38" s="13" t="n">
        <f aca="false">Construction!AI14*(Inputs!$F$95/100*Inputs!$F$96/100)*AI31*Construction!AI11/Inputs!$F$248</f>
        <v>0.163430140275042</v>
      </c>
      <c r="AJ38" s="13" t="n">
        <f aca="false">Construction!AJ14*(Inputs!$F$95/100*Inputs!$F$96/100)*AJ31*Construction!AJ11/Inputs!$F$248</f>
        <v>0.173870278354025</v>
      </c>
      <c r="AK38" s="13" t="n">
        <f aca="false">Construction!AK14*(Inputs!$F$95/100*Inputs!$F$96/100)*AK31*Construction!AK11/Inputs!$F$248</f>
        <v>0.172369449084494</v>
      </c>
      <c r="AL38" s="13" t="n">
        <f aca="false">Construction!AL14*(Inputs!$F$95/100*Inputs!$F$96/100)*AL31*Construction!AL11/Inputs!$F$248</f>
        <v>0.181609687834261</v>
      </c>
      <c r="AM38" s="13" t="n">
        <f aca="false">Construction!AM14*(Inputs!$F$95/100*Inputs!$F$96/100)*AM31*Construction!AM11/Inputs!$F$248</f>
        <v>0.184432543586797</v>
      </c>
      <c r="AN38" s="13" t="n">
        <f aca="false">Construction!AN14*(Inputs!$F$95/100*Inputs!$F$96/100)*AN31*Construction!AN11/Inputs!$F$248</f>
        <v>0.168600189330485</v>
      </c>
      <c r="AO38" s="13" t="n">
        <f aca="false">Construction!AO14*(Inputs!$F$95/100*Inputs!$F$96/100)*AO31*Construction!AO11/Inputs!$F$248</f>
        <v>0.188380339301107</v>
      </c>
      <c r="AP38" s="13" t="n">
        <f aca="false">Construction!AP14*(Inputs!$F$95/100*Inputs!$F$96/100)*AP31*Construction!AP11/Inputs!$F$248</f>
        <v>0.183681714870619</v>
      </c>
      <c r="AQ38" s="13" t="n">
        <f aca="false">Construction!AQ14*(Inputs!$F$95/100*Inputs!$F$96/100)*AQ31*Construction!AQ11/Inputs!$F$248</f>
        <v>0.203444286365649</v>
      </c>
      <c r="AR38" s="13" t="n">
        <f aca="false">Construction!AR14*(Inputs!$F$95/100*Inputs!$F$96/100)*AR31*Construction!AR11/Inputs!$F$248</f>
        <v>0.210756028365069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1725</v>
      </c>
      <c r="E39" s="0" t="s">
        <v>151</v>
      </c>
      <c r="G39" s="13" t="n">
        <f aca="false">SUM(J39:BJ39)</f>
        <v>0.792901811200111</v>
      </c>
      <c r="J39" s="13" t="n">
        <f aca="false">-1*Construction!J14*Inputs!J309*(Inputs!$F$97/100/12-Construction!J17/100*Construction!J11/Inputs!$F$247)</f>
        <v>-0</v>
      </c>
      <c r="K39" s="13" t="n">
        <f aca="false">-1*Construction!K14*Inputs!K309*(Inputs!$F$97/100/12-Construction!K17/100*Construction!K11/Inputs!$F$247)</f>
        <v>-0.0260468630965648</v>
      </c>
      <c r="L39" s="13" t="n">
        <f aca="false">-1*Construction!L14*Inputs!L309*(Inputs!$F$97/100/12-Construction!L17/100*Construction!L11/Inputs!$F$247)</f>
        <v>-0.0213468538041787</v>
      </c>
      <c r="M39" s="13" t="n">
        <f aca="false">-1*Construction!M14*Inputs!M309*(Inputs!$F$97/100/12-Construction!M17/100*Construction!M11/Inputs!$F$247)</f>
        <v>-0.0272479321661395</v>
      </c>
      <c r="N39" s="13" t="n">
        <f aca="false">-1*Construction!N14*Inputs!N309*(Inputs!$F$97/100/12-Construction!N17/100*Construction!N11/Inputs!$F$247)</f>
        <v>-0.0226550772960275</v>
      </c>
      <c r="O39" s="13" t="n">
        <f aca="false">-1*Construction!O14*Inputs!O309*(Inputs!$F$97/100/12-Construction!O17/100*Construction!O11/Inputs!$F$247)</f>
        <v>-0.00443358568359648</v>
      </c>
      <c r="P39" s="13" t="n">
        <f aca="false">-1*Construction!P14*Inputs!P309*(Inputs!$F$97/100/12-Construction!P17/100*Construction!P11/Inputs!$F$247)</f>
        <v>-0.0252941004696941</v>
      </c>
      <c r="Q39" s="13" t="n">
        <f aca="false">-1*Construction!Q14*Inputs!Q309*(Inputs!$F$97/100/12-Construction!Q17/100*Construction!Q11/Inputs!$F$247)</f>
        <v>-0.00509312037309316</v>
      </c>
      <c r="R39" s="13" t="n">
        <f aca="false">-1*Construction!R14*Inputs!R309*(Inputs!$F$97/100/12-Construction!R17/100*Construction!R11/Inputs!$F$247)</f>
        <v>-0.0136556479087745</v>
      </c>
      <c r="S39" s="13" t="n">
        <f aca="false">-1*Construction!S14*Inputs!S309*(Inputs!$F$97/100/12-Construction!S17/100*Construction!S11/Inputs!$F$247)</f>
        <v>-0.00614041102306859</v>
      </c>
      <c r="T39" s="13" t="n">
        <f aca="false">-1*Construction!T14*Inputs!T309*(Inputs!$F$97/100/12-Construction!T17/100*Construction!T11/Inputs!$F$247)</f>
        <v>-0.0167202736975004</v>
      </c>
      <c r="U39" s="13" t="n">
        <f aca="false">-1*Construction!U14*Inputs!U309*(Inputs!$F$97/100/12-Construction!U17/100*Construction!U11/Inputs!$F$247)</f>
        <v>0.0107877154211438</v>
      </c>
      <c r="V39" s="13" t="n">
        <f aca="false">-1*Construction!V14*Inputs!V309*(Inputs!$F$97/100/12-Construction!V17/100*Construction!V11/Inputs!$F$247)</f>
        <v>0.0120153691445761</v>
      </c>
      <c r="W39" s="13" t="n">
        <f aca="false">-1*Construction!W14*Inputs!W309*(Inputs!$F$97/100/12-Construction!W17/100*Construction!W11/Inputs!$F$247)</f>
        <v>-0.00102749427993748</v>
      </c>
      <c r="X39" s="13" t="n">
        <f aca="false">-1*Construction!X14*Inputs!X309*(Inputs!$F$97/100/12-Construction!X17/100*Construction!X11/Inputs!$F$247)</f>
        <v>0.0147950495607024</v>
      </c>
      <c r="Y39" s="13" t="n">
        <f aca="false">-1*Construction!Y14*Inputs!Y309*(Inputs!$F$97/100/12-Construction!Y17/100*Construction!Y11/Inputs!$F$247)</f>
        <v>-0.00125469313647493</v>
      </c>
      <c r="Z39" s="13" t="n">
        <f aca="false">-1*Construction!Z14*Inputs!Z309*(Inputs!$F$97/100/12-Construction!Z17/100*Construction!Z11/Inputs!$F$247)</f>
        <v>0.0178799480818043</v>
      </c>
      <c r="AA39" s="13" t="n">
        <f aca="false">-1*Construction!AA14*Inputs!AA309*(Inputs!$F$97/100/12-Construction!AA17/100*Construction!AA11/Inputs!$F$247)</f>
        <v>0.0371784455716088</v>
      </c>
      <c r="AB39" s="13" t="n">
        <f aca="false">-1*Construction!AB14*Inputs!AB309*(Inputs!$F$97/100/12-Construction!AB17/100*Construction!AB11/Inputs!$F$247)</f>
        <v>-0.00642834911122272</v>
      </c>
      <c r="AC39" s="13" t="n">
        <f aca="false">-1*Construction!AC14*Inputs!AC309*(Inputs!$F$97/100/12-Construction!AC17/100*Construction!AC11/Inputs!$F$247)</f>
        <v>0.0433811892201951</v>
      </c>
      <c r="AD39" s="13" t="n">
        <f aca="false">-1*Construction!AD14*Inputs!AD309*(Inputs!$F$97/100/12-Construction!AD17/100*Construction!AD11/Inputs!$F$247)</f>
        <v>0.0194774861106087</v>
      </c>
      <c r="AE39" s="13" t="n">
        <f aca="false">-1*Construction!AE14*Inputs!AE309*(Inputs!$F$97/100/12-Construction!AE17/100*Construction!AE11/Inputs!$F$247)</f>
        <v>0.0491642797220709</v>
      </c>
      <c r="AF39" s="13" t="n">
        <f aca="false">-1*Construction!AF14*Inputs!AF309*(Inputs!$F$97/100/12-Construction!AF17/100*Construction!AF11/Inputs!$F$247)</f>
        <v>0.0217870105632678</v>
      </c>
      <c r="AG39" s="13" t="n">
        <f aca="false">-1*Construction!AG14*Inputs!AG309*(Inputs!$F$97/100/12-Construction!AG17/100*Construction!AG11/Inputs!$F$247)</f>
        <v>0.0672177348649196</v>
      </c>
      <c r="AH39" s="13" t="n">
        <f aca="false">-1*Construction!AH14*Inputs!AH309*(Inputs!$F$97/100/12-Construction!AH17/100*Construction!AH11/Inputs!$F$247)</f>
        <v>0.0699948457445907</v>
      </c>
      <c r="AI39" s="13" t="n">
        <f aca="false">-1*Construction!AI14*Inputs!AI309*(Inputs!$F$97/100/12-Construction!AI17/100*Construction!AI11/Inputs!$F$247)</f>
        <v>0.0380861436598016</v>
      </c>
      <c r="AJ39" s="13" t="n">
        <f aca="false">-1*Construction!AJ14*Inputs!AJ309*(Inputs!$F$97/100/12-Construction!AJ17/100*Construction!AJ11/Inputs!$F$247)</f>
        <v>0.0746070339137726</v>
      </c>
      <c r="AK39" s="13" t="n">
        <f aca="false">-1*Construction!AK14*Inputs!AK309*(Inputs!$F$97/100/12-Construction!AK17/100*Construction!AK11/Inputs!$F$247)</f>
        <v>0.0401693811762273</v>
      </c>
      <c r="AL39" s="13" t="n">
        <f aca="false">-1*Construction!AL14*Inputs!AL309*(Inputs!$F$97/100/12-Construction!AL17/100*Construction!AL11/Inputs!$F$247)</f>
        <v>0.077927983250425</v>
      </c>
      <c r="AM39" s="13" t="n">
        <f aca="false">-1*Construction!AM14*Inputs!AM309*(Inputs!$F$97/100/12-Construction!AM17/100*Construction!AM11/Inputs!$F$247)</f>
        <v>0.090550036162829</v>
      </c>
      <c r="AN39" s="13" t="n">
        <f aca="false">-1*Construction!AN14*Inputs!AN309*(Inputs!$F$97/100/12-Construction!AN17/100*Construction!AN11/Inputs!$F$247)</f>
        <v>-0.0234702780722662</v>
      </c>
      <c r="AO39" s="13" t="n">
        <f aca="false">-1*Construction!AO14*Inputs!AO309*(Inputs!$F$97/100/12-Construction!AO17/100*Construction!AO11/Inputs!$F$247)</f>
        <v>0.0924882680916439</v>
      </c>
      <c r="AP39" s="13" t="n">
        <f aca="false">-1*Construction!AP14*Inputs!AP309*(Inputs!$F$97/100/12-Construction!AP17/100*Construction!AP11/Inputs!$F$247)</f>
        <v>0.054169941563682</v>
      </c>
      <c r="AQ39" s="13" t="n">
        <f aca="false">-1*Construction!AQ14*Inputs!AQ309*(Inputs!$F$97/100/12-Construction!AQ17/100*Construction!AQ11/Inputs!$F$247)</f>
        <v>0.0998841480427726</v>
      </c>
      <c r="AR39" s="13" t="n">
        <f aca="false">-1*Construction!AR14*Inputs!AR309*(Inputs!$F$97/100/12-Construction!AR17/100*Construction!AR11/Inputs!$F$247)</f>
        <v>0.0621544814520076</v>
      </c>
      <c r="AS39" s="13" t="n">
        <f aca="false">-1*Construction!AS14*Inputs!AS309*(Inputs!$F$97/100/12-Construction!AS17/100*Construction!AS11/Inputs!$F$247)</f>
        <v>0</v>
      </c>
      <c r="AT39" s="13" t="n">
        <f aca="false">-1*Construction!AT14*Inputs!AT309*(Inputs!$F$97/100/12-Construction!AT17/100*Construction!AT11/Inputs!$F$247)</f>
        <v>0</v>
      </c>
      <c r="AU39" s="13" t="n">
        <f aca="false">-1*Construction!AU14*Inputs!AU309*(Inputs!$F$97/100/12-Construction!AU17/100*Construction!AU11/Inputs!$F$247)</f>
        <v>0</v>
      </c>
      <c r="AV39" s="13" t="n">
        <f aca="false">-1*Construction!AV14*Inputs!AV309*(Inputs!$F$97/100/12-Construction!AV17/100*Construction!AV11/Inputs!$F$247)</f>
        <v>0</v>
      </c>
      <c r="AW39" s="13" t="n">
        <f aca="false">-1*Construction!AW14*Inputs!AW309*(Inputs!$F$97/100/12-Construction!AW17/100*Construction!AW11/Inputs!$F$247)</f>
        <v>0</v>
      </c>
      <c r="AX39" s="13" t="n">
        <f aca="false">-1*Construction!AX14*Inputs!AX309*(Inputs!$F$97/100/12-Construction!AX17/100*Construction!AX11/Inputs!$F$247)</f>
        <v>0</v>
      </c>
      <c r="AY39" s="13" t="n">
        <f aca="false">-1*Construction!AY14*Inputs!AY309*(Inputs!$F$97/100/12-Construction!AY17/100*Construction!AY11/Inputs!$F$247)</f>
        <v>0</v>
      </c>
      <c r="AZ39" s="13" t="n">
        <f aca="false">-1*Construction!AZ14*Inputs!AZ309*(Inputs!$F$97/100/12-Construction!AZ17/100*Construction!AZ11/Inputs!$F$247)</f>
        <v>-0</v>
      </c>
      <c r="BA39" s="13" t="n">
        <f aca="false">-1*Construction!BA14*Inputs!BA309*(Inputs!$F$97/100/12-Construction!BA17/100*Construction!BA11/Inputs!$F$247)</f>
        <v>0</v>
      </c>
      <c r="BB39" s="13" t="n">
        <f aca="false">-1*Construction!BB14*Inputs!BB309*(Inputs!$F$97/100/12-Construction!BB17/100*Construction!BB11/Inputs!$F$247)</f>
        <v>0</v>
      </c>
      <c r="BC39" s="13" t="n">
        <f aca="false">-1*Construction!BC14*Inputs!BC309*(Inputs!$F$97/100/12-Construction!BC17/100*Construction!BC11/Inputs!$F$247)</f>
        <v>0</v>
      </c>
      <c r="BD39" s="13" t="n">
        <f aca="false">-1*Construction!BD14*Inputs!BD309*(Inputs!$F$97/100/12-Construction!BD17/100*Construction!BD11/Inputs!$F$247)</f>
        <v>0</v>
      </c>
      <c r="BE39" s="13" t="n">
        <f aca="false">-1*Construction!BE14*Inputs!BE309*(Inputs!$F$97/100/12-Construction!BE17/100*Construction!BE11/Inputs!$F$247)</f>
        <v>0</v>
      </c>
      <c r="BF39" s="13" t="n">
        <f aca="false">-1*Construction!BF14*Inputs!BF309*(Inputs!$F$97/100/12-Construction!BF17/100*Construction!BF11/Inputs!$F$247)</f>
        <v>0</v>
      </c>
      <c r="BG39" s="13" t="n">
        <f aca="false">-1*Construction!BG14*Inputs!BG309*(Inputs!$F$97/100/12-Construction!BG17/100*Construction!BG11/Inputs!$F$247)</f>
        <v>0</v>
      </c>
      <c r="BH39" s="13" t="n">
        <f aca="false">-1*Construction!BH14*Inputs!BH309*(Inputs!$F$97/100/12-Construction!BH17/100*Construction!BH11/Inputs!$F$247)</f>
        <v>0</v>
      </c>
      <c r="BI39" s="13" t="n">
        <f aca="false">-1*Construction!BI14*Inputs!BI309*(Inputs!$F$97/100/12-Construction!BI17/100*Construction!BI11/Inputs!$F$247)</f>
        <v>0</v>
      </c>
      <c r="BJ39" s="13" t="n">
        <f aca="false">-1*Construction!BJ14*Inputs!BJ309*(Inputs!$F$97/100/12-Construction!BJ17/100*Construction!BJ11/Inputs!$F$247)</f>
        <v>0</v>
      </c>
    </row>
    <row r="40" customFormat="false" ht="15" hidden="false" customHeight="false" outlineLevel="0" collapsed="false">
      <c r="D40" s="0" t="s">
        <v>1726</v>
      </c>
      <c r="E40" s="0" t="s">
        <v>151</v>
      </c>
      <c r="G40" s="13" t="n">
        <f aca="false">SUM(J40:BJ40)</f>
        <v>9.79896664543922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0.568609886678956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0.473392786327026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0.48756289467576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0.469847944886891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0.482595999794923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0.478396231943935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0.426843286398636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0.464976160920172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0.440652789740586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0.443666114414634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0.416052823815452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0.414231949262878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0.396663572430024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0.36528196565635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0.356884869288184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0.324378057234696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0.312738332951962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0.289823280731981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0.24886696574568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0.243311334824634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0.214014181983003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0.199946203547292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0.174143247853308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0.16147102446588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0.144650020811688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0.125506016806546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0.116713925564082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0.102272387779252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0.0965988839443084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0.0892621664474657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0.0753843391461363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0.0790016840033598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0.0728713465650688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0.0398498697809542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0.0025040990175154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1727</v>
      </c>
      <c r="E41" s="0" t="s">
        <v>151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1728</v>
      </c>
      <c r="E42" s="0" t="s">
        <v>151</v>
      </c>
      <c r="G42" s="13" t="n">
        <f aca="false">SUM(J42:BJ42)</f>
        <v>10.295822867626</v>
      </c>
      <c r="J42" s="13" t="n">
        <f aca="false">IF(Construction!J8=1,Inputs!$F$75*$F$25*Inputs!$F$89/100+Inputs!$F$76*$F$25*Inputs!$F$90/100+Inputs!$F$77*$F$25*Inputs!$F$91/100+Inputs!$F$78*$F$25*Inputs!$F$92/100,0)</f>
        <v>10.295822867626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1729</v>
      </c>
      <c r="E43" s="0" t="s">
        <v>151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1730</v>
      </c>
      <c r="E44" s="0" t="s">
        <v>151</v>
      </c>
      <c r="G44" s="13" t="n">
        <f aca="false">SUM(J44:BJ44)</f>
        <v>39.0832901643519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39.0832901643519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1731</v>
      </c>
      <c r="E45" s="0" t="s">
        <v>151</v>
      </c>
      <c r="J45" s="13" t="n">
        <f aca="false">Construction!J14*(Construction!J32+Construction!J38)+J33+J34+J35+J36+J37+J38+J39+J40+J41+J42+J43+J44</f>
        <v>119.021049420972</v>
      </c>
      <c r="K45" s="13" t="n">
        <f aca="false">Construction!K14*(Construction!K32+Construction!K38)+K33+K34+K35+K36+K37+K38+K39+K40+K41+K42+K43+K44</f>
        <v>2.41174204149184</v>
      </c>
      <c r="L45" s="13" t="n">
        <f aca="false">Construction!L14*(Construction!L32+Construction!L38)+L33+L34+L35+L36+L37+L38+L39+L40+L41+L42+L43+L44</f>
        <v>3.07653885274428</v>
      </c>
      <c r="M45" s="13" t="n">
        <f aca="false">Construction!M14*(Construction!M32+Construction!M38)+M33+M34+M35+M36+M37+M38+M39+M40+M41+M42+M43+M44</f>
        <v>4.36536485488344</v>
      </c>
      <c r="N45" s="13" t="n">
        <f aca="false">Construction!N14*(Construction!N32+Construction!N38)+N33+N34+N35+N36+N37+N38+N39+N40+N41+N42+N43+N44</f>
        <v>6.2925164899348</v>
      </c>
      <c r="O45" s="13" t="n">
        <f aca="false">Construction!O14*(Construction!O32+Construction!O38)+O33+O34+O35+O36+O37+O38+O39+O40+O41+O42+O43+O44</f>
        <v>8.71971686544658</v>
      </c>
      <c r="P45" s="13" t="n">
        <f aca="false">Construction!P14*(Construction!P32+Construction!P38)+P33+P34+P35+P36+P37+P38+P39+P40+P41+P42+P43+P44</f>
        <v>11.3875893498885</v>
      </c>
      <c r="Q45" s="13" t="n">
        <f aca="false">Construction!Q14*(Construction!Q32+Construction!Q38)+Q33+Q34+Q35+Q36+Q37+Q38+Q39+Q40+Q41+Q42+Q43+Q44</f>
        <v>14.4360477841213</v>
      </c>
      <c r="R45" s="13" t="n">
        <f aca="false">Construction!R14*(Construction!R32+Construction!R38)+R33+R34+R35+R36+R37+R38+R39+R40+R41+R42+R43+R44</f>
        <v>17.4928168091552</v>
      </c>
      <c r="S45" s="13" t="n">
        <f aca="false">Construction!S14*(Construction!S32+Construction!S38)+S33+S34+S35+S36+S37+S38+S39+S40+S41+S42+S43+S44</f>
        <v>20.5939425750924</v>
      </c>
      <c r="T45" s="13" t="n">
        <f aca="false">Construction!T14*(Construction!T32+Construction!T38)+T33+T34+T35+T36+T37+T38+T39+T40+T41+T42+T43+T44</f>
        <v>23.5072973401889</v>
      </c>
      <c r="U45" s="13" t="n">
        <f aca="false">Construction!U14*(Construction!U32+Construction!U38)+U33+U34+U35+U36+U37+U38+U39+U40+U41+U42+U43+U44</f>
        <v>26.3227170749757</v>
      </c>
      <c r="V45" s="13" t="n">
        <f aca="false">Construction!V14*(Construction!V32+Construction!V38)+V33+V34+V35+V36+V37+V38+V39+V40+V41+V42+V43+V44</f>
        <v>28.7756822074419</v>
      </c>
      <c r="W45" s="13" t="n">
        <f aca="false">Construction!W14*(Construction!W32+Construction!W38)+W33+W34+W35+W36+W37+W38+W39+W40+W41+W42+W43+W44</f>
        <v>30.8247896161123</v>
      </c>
      <c r="X45" s="13" t="n">
        <f aca="false">Construction!X14*(Construction!X32+Construction!X38)+X33+X34+X35+X36+X37+X38+X39+X40+X41+X42+X43+X44</f>
        <v>32.5044573703304</v>
      </c>
      <c r="Y45" s="13" t="n">
        <f aca="false">Construction!Y14*(Construction!Y32+Construction!Y38)+Y33+Y34+Y35+Y36+Y37+Y38+Y39+Y40+Y41+Y42+Y43+Y44</f>
        <v>33.6403434199939</v>
      </c>
      <c r="Z45" s="13" t="n">
        <f aca="false">Construction!Z14*(Construction!Z32+Construction!Z38)+Z33+Z34+Z35+Z36+Z37+Z38+Z39+Z40+Z41+Z42+Z43+Z44</f>
        <v>34.3336463057231</v>
      </c>
      <c r="AA45" s="13" t="n">
        <f aca="false">Construction!AA14*(Construction!AA32+Construction!AA38)+AA33+AA34+AA35+AA36+AA37+AA38+AA39+AA40+AA41+AA42+AA43+AA44</f>
        <v>35.649190192322</v>
      </c>
      <c r="AB45" s="13" t="n">
        <f aca="false">Construction!AB14*(Construction!AB32+Construction!AB38)+AB33+AB34+AB35+AB36+AB37+AB38+AB39+AB40+AB41+AB42+AB43+AB44</f>
        <v>34.0397061908706</v>
      </c>
      <c r="AC45" s="13" t="n">
        <f aca="false">Construction!AC14*(Construction!AC32+Construction!AC38)+AC33+AC34+AC35+AC36+AC37+AC38+AC39+AC40+AC41+AC42+AC43+AC44</f>
        <v>33.2073652652913</v>
      </c>
      <c r="AD45" s="13" t="n">
        <f aca="false">Construction!AD14*(Construction!AD32+Construction!AD38)+AD33+AD34+AD35+AD36+AD37+AD38+AD39+AD40+AD41+AD42+AD43+AD44</f>
        <v>31.7666555217616</v>
      </c>
      <c r="AE45" s="13" t="n">
        <f aca="false">Construction!AE14*(Construction!AE32+Construction!AE38)+AE33+AE34+AE35+AE36+AE37+AE38+AE39+AE40+AE41+AE42+AE43+AE44</f>
        <v>29.9632948059913</v>
      </c>
      <c r="AF45" s="13" t="n">
        <f aca="false">Construction!AF14*(Construction!AF32+Construction!AF38)+AF33+AF34+AF35+AF36+AF37+AF38+AF39+AF40+AF41+AF42+AF43+AF44</f>
        <v>27.6841055773543</v>
      </c>
      <c r="AG45" s="13" t="n">
        <f aca="false">Construction!AG14*(Construction!AG32+Construction!AG38)+AG33+AG34+AG35+AG36+AG37+AG38+AG39+AG40+AG41+AG42+AG43+AG44</f>
        <v>25.2029270728311</v>
      </c>
      <c r="AH45" s="13" t="n">
        <f aca="false">Construction!AH14*(Construction!AH32+Construction!AH38)+AH33+AH34+AH35+AH36+AH37+AH38+AH39+AH40+AH41+AH42+AH43+AH44</f>
        <v>22.4152877526839</v>
      </c>
      <c r="AI45" s="13" t="n">
        <f aca="false">Construction!AI14*(Construction!AI32+Construction!AI38)+AI33+AI34+AI35+AI36+AI37+AI38+AI39+AI40+AI41+AI42+AI43+AI44</f>
        <v>19.4413924846797</v>
      </c>
      <c r="AJ45" s="13" t="n">
        <f aca="false">Construction!AJ14*(Construction!AJ32+Construction!AJ38)+AJ33+AJ34+AJ35+AJ36+AJ37+AJ38+AJ39+AJ40+AJ41+AJ42+AJ43+AJ44</f>
        <v>16.5299434545036</v>
      </c>
      <c r="AK45" s="13" t="n">
        <f aca="false">Construction!AK14*(Construction!AK32+Construction!AK38)+AK33+AK34+AK35+AK36+AK37+AK38+AK39+AK40+AK41+AK42+AK43+AK44</f>
        <v>13.6084440895581</v>
      </c>
      <c r="AL45" s="13" t="n">
        <f aca="false">Construction!AL14*(Construction!AL32+Construction!AL38)+AL33+AL34+AL35+AL36+AL37+AL38+AL39+AL40+AL41+AL42+AL43+AL44</f>
        <v>10.9926113701786</v>
      </c>
      <c r="AM45" s="13" t="n">
        <f aca="false">Construction!AM14*(Construction!AM32+Construction!AM38)+AM33+AM34+AM35+AM36+AM37+AM38+AM39+AM40+AM41+AM42+AM43+AM44</f>
        <v>8.69154510993031</v>
      </c>
      <c r="AN45" s="13" t="n">
        <f aca="false">Construction!AN14*(Construction!AN32+Construction!AN38)+AN33+AN34+AN35+AN36+AN37+AN38+AN39+AN40+AN41+AN42+AN43+AN44</f>
        <v>6.68174628736473</v>
      </c>
      <c r="AO45" s="13" t="n">
        <f aca="false">Construction!AO14*(Construction!AO32+Construction!AO38)+AO33+AO34+AO35+AO36+AO37+AO38+AO39+AO40+AO41+AO42+AO43+AO44</f>
        <v>5.54565043804008</v>
      </c>
      <c r="AP45" s="13" t="n">
        <f aca="false">Construction!AP14*(Construction!AP32+Construction!AP38)+AP33+AP34+AP35+AP36+AP37+AP38+AP39+AP40+AP41+AP42+AP43+AP44</f>
        <v>53.1155530728685</v>
      </c>
      <c r="AQ45" s="13" t="n">
        <f aca="false">Construction!AQ14*(Construction!AQ32+Construction!AQ38)+AQ33+AQ34+AQ35+AQ36+AQ37+AQ38+AQ39+AQ40+AQ41+AQ42+AQ43+AQ44</f>
        <v>42.8023802131955</v>
      </c>
      <c r="AR45" s="13" t="n">
        <f aca="false">Construction!AR14*(Construction!AR32+Construction!AR38)+AR33+AR34+AR35+AR36+AR37+AR38+AR39+AR40+AR41+AR42+AR43+AR44</f>
        <v>3.87695727074079</v>
      </c>
      <c r="AS45" s="13" t="n">
        <f aca="false">Construction!AS14*(Construction!AS32+Construction!AS38)+AS33+AS34+AS35+AS36+AS37+AS38+AS39+AS40+AS41+AS42+AS43+AS44</f>
        <v>0</v>
      </c>
      <c r="AT45" s="13" t="n">
        <f aca="false">Construction!AT14*(Construction!AT32+Construction!AT38)+AT33+AT34+AT35+AT36+AT37+AT38+AT39+AT40+AT41+AT42+AT43+AT44</f>
        <v>0</v>
      </c>
      <c r="AU45" s="13" t="n">
        <f aca="false">Construction!AU14*(Construction!AU32+Construction!AU38)+AU33+AU34+AU35+AU36+AU37+AU38+AU39+AU40+AU41+AU42+AU43+AU44</f>
        <v>0</v>
      </c>
      <c r="AV45" s="13" t="n">
        <f aca="false">Construction!AV14*(Construction!AV32+Construction!AV38)+AV33+AV34+AV35+AV36+AV37+AV38+AV39+AV40+AV41+AV42+AV43+AV44</f>
        <v>0</v>
      </c>
      <c r="AW45" s="13" t="n">
        <f aca="false">Construction!AW14*(Construction!AW32+Construction!AW38)+AW33+AW34+AW35+AW36+AW37+AW38+AW39+AW40+AW41+AW42+AW43+AW44</f>
        <v>0</v>
      </c>
      <c r="AX45" s="13" t="n">
        <f aca="false">Construction!AX14*(Construction!AX32+Construction!AX38)+AX33+AX34+AX35+AX36+AX37+AX38+AX39+AX40+AX41+AX42+AX43+AX44</f>
        <v>0</v>
      </c>
      <c r="AY45" s="13" t="n">
        <f aca="false">Construction!AY14*(Construction!AY32+Construction!AY38)+AY33+AY34+AY35+AY36+AY37+AY38+AY39+AY40+AY41+AY42+AY43+AY44</f>
        <v>0</v>
      </c>
      <c r="AZ45" s="13" t="n">
        <f aca="false">Construction!AZ14*(Construction!AZ32+Construction!AZ38)+AZ33+AZ34+AZ35+AZ36+AZ37+AZ38+AZ39+AZ40+AZ41+AZ42+AZ43+AZ44</f>
        <v>0</v>
      </c>
      <c r="BA45" s="13" t="n">
        <f aca="false">Construction!BA14*(Construction!BA32+Construction!BA38)+BA33+BA34+BA35+BA36+BA37+BA38+BA39+BA40+BA41+BA42+BA43+BA44</f>
        <v>0</v>
      </c>
      <c r="BB45" s="13" t="n">
        <f aca="false">Construction!BB14*(Construction!BB32+Construction!BB38)+BB33+BB34+BB35+BB36+BB37+BB38+BB39+BB40+BB41+BB42+BB43+BB44</f>
        <v>0</v>
      </c>
      <c r="BC45" s="13" t="n">
        <f aca="false">Construction!BC14*(Construction!BC32+Construction!BC38)+BC33+BC34+BC35+BC36+BC37+BC38+BC39+BC40+BC41+BC42+BC43+BC44</f>
        <v>0</v>
      </c>
      <c r="BD45" s="13" t="n">
        <f aca="false">Construction!BD14*(Construction!BD32+Construction!BD38)+BD33+BD34+BD35+BD36+BD37+BD38+BD39+BD40+BD41+BD42+BD43+BD44</f>
        <v>0</v>
      </c>
      <c r="BE45" s="13" t="n">
        <f aca="false">Construction!BE14*(Construction!BE32+Construction!BE38)+BE33+BE34+BE35+BE36+BE37+BE38+BE39+BE40+BE41+BE42+BE43+BE44</f>
        <v>0</v>
      </c>
      <c r="BF45" s="13" t="n">
        <f aca="false">Construction!BF14*(Construction!BF32+Construction!BF38)+BF33+BF34+BF35+BF36+BF37+BF38+BF39+BF40+BF41+BF42+BF43+BF44</f>
        <v>0</v>
      </c>
      <c r="BG45" s="13" t="n">
        <f aca="false">Construction!BG14*(Construction!BG32+Construction!BG38)+BG33+BG34+BG35+BG36+BG37+BG38+BG39+BG40+BG41+BG42+BG43+BG44</f>
        <v>0</v>
      </c>
      <c r="BH45" s="13" t="n">
        <f aca="false">Construction!BH14*(Construction!BH32+Construction!BH38)+BH33+BH34+BH35+BH36+BH37+BH38+BH39+BH40+BH41+BH42+BH43+BH44</f>
        <v>0</v>
      </c>
      <c r="BI45" s="13" t="n">
        <f aca="false">Construction!BI14*(Construction!BI32+Construction!BI38)+BI33+BI34+BI35+BI36+BI37+BI38+BI39+BI40+BI41+BI42+BI43+BI44</f>
        <v>0</v>
      </c>
      <c r="BJ45" s="13" t="n">
        <f aca="false">Construction!BJ14*(Construction!BJ32+Construction!BJ38)+BJ33+BJ34+BJ35+BJ36+BJ37+BJ38+BJ39+BJ40+BJ41+BJ42+BJ43+BJ44</f>
        <v>0</v>
      </c>
    </row>
    <row r="46" customFormat="false" ht="15" hidden="false" customHeight="false" outlineLevel="0" collapsed="false">
      <c r="D46" s="0" t="s">
        <v>1732</v>
      </c>
      <c r="E46" s="0" t="s">
        <v>151</v>
      </c>
      <c r="J46" s="13" t="n">
        <f aca="false">$F$25-J28-J29-J30-J31</f>
        <v>654.950564098343</v>
      </c>
      <c r="K46" s="13" t="n">
        <f aca="false">$F$25-K28-K29-K30-K31</f>
        <v>563.451045023241</v>
      </c>
      <c r="L46" s="13" t="n">
        <f aca="false">$F$25-L28-L29-L30-L31</f>
        <v>561.596976032897</v>
      </c>
      <c r="M46" s="13" t="n">
        <f aca="false">$F$25-M28-M29-M30-M31</f>
        <v>559.231832835022</v>
      </c>
      <c r="N46" s="13" t="n">
        <f aca="false">$F$25-N28-N29-N30-N31</f>
        <v>555.875882045204</v>
      </c>
      <c r="O46" s="13" t="n">
        <f aca="false">$F$25-O28-O29-O30-O31</f>
        <v>551.038399638502</v>
      </c>
      <c r="P46" s="13" t="n">
        <f aca="false">$F$25-P28-P29-P30-P31</f>
        <v>544.334964376077</v>
      </c>
      <c r="Q46" s="13" t="n">
        <f aca="false">$F$25-Q28-Q29-Q30-Q31</f>
        <v>535.580555353399</v>
      </c>
      <c r="R46" s="13" t="n">
        <f aca="false">$F$25-R28-R29-R30-R31</f>
        <v>524.482590447037</v>
      </c>
      <c r="S46" s="13" t="n">
        <f aca="false">$F$25-S28-S29-S30-S31</f>
        <v>511.034680744566</v>
      </c>
      <c r="T46" s="13" t="n">
        <f aca="false">$F$25-T28-T29-T30-T31</f>
        <v>495.20272622351</v>
      </c>
      <c r="U46" s="13" t="n">
        <f aca="false">$F$25-U28-U29-U30-U31</f>
        <v>477.1310791338</v>
      </c>
      <c r="V46" s="13" t="n">
        <f aca="false">$F$25-V28-V29-V30-V31</f>
        <v>456.895028747524</v>
      </c>
      <c r="W46" s="13" t="n">
        <f aca="false">$F$25-W28-W29-W30-W31</f>
        <v>434.773218396767</v>
      </c>
      <c r="X46" s="13" t="n">
        <f aca="false">$F$25-X28-X29-X30-X31</f>
        <v>411.076120789354</v>
      </c>
      <c r="Y46" s="13" t="n">
        <f aca="false">$F$25-Y28-Y29-Y30-Y31</f>
        <v>386.087749138697</v>
      </c>
      <c r="Z46" s="13" t="n">
        <f aca="false">$F$25-Z28-Z29-Z30-Z31</f>
        <v>360.22614516675</v>
      </c>
      <c r="AA46" s="13" t="n">
        <f aca="false">$F$25-AA28-AA29-AA30-AA31</f>
        <v>333.831552442593</v>
      </c>
      <c r="AB46" s="13" t="n">
        <f aca="false">$F$25-AB28-AB29-AB30-AB31</f>
        <v>306.425612284251</v>
      </c>
      <c r="AC46" s="13" t="n">
        <f aca="false">$F$25-AC28-AC29-AC30-AC31</f>
        <v>280.256991178364</v>
      </c>
      <c r="AD46" s="13" t="n">
        <f aca="false">$F$25-AD28-AD29-AD30-AD31</f>
        <v>254.728246756203</v>
      </c>
      <c r="AE46" s="13" t="n">
        <f aca="false">$F$25-AE28-AE29-AE30-AE31</f>
        <v>230.307073215841</v>
      </c>
      <c r="AF46" s="13" t="n">
        <f aca="false">$F$25-AF28-AF29-AF30-AF31</f>
        <v>207.272264852181</v>
      </c>
      <c r="AG46" s="13" t="n">
        <f aca="false">$F$25-AG28-AG29-AG30-AG31</f>
        <v>185.989623179339</v>
      </c>
      <c r="AH46" s="13" t="n">
        <f aca="false">$F$25-AH28-AH29-AH30-AH31</f>
        <v>166.614430995538</v>
      </c>
      <c r="AI46" s="13" t="n">
        <f aca="false">$F$25-AI28-AI29-AI30-AI31</f>
        <v>149.382285427351</v>
      </c>
      <c r="AJ46" s="13" t="n">
        <f aca="false">$F$25-AJ28-AJ29-AJ30-AJ31</f>
        <v>134.436374001157</v>
      </c>
      <c r="AK46" s="13" t="n">
        <f aca="false">$F$25-AK28-AK29-AK30-AK31</f>
        <v>121.728690076475</v>
      </c>
      <c r="AL46" s="13" t="n">
        <f aca="false">$F$25-AL28-AL29-AL30-AL31</f>
        <v>111.266960024416</v>
      </c>
      <c r="AM46" s="13" t="n">
        <f aca="false">$F$25-AM28-AM29-AM30-AM31</f>
        <v>102.81619725057</v>
      </c>
      <c r="AN46" s="13" t="n">
        <f aca="false">$F$25-AN28-AN29-AN30-AN31</f>
        <v>96.1344195192602</v>
      </c>
      <c r="AO46" s="13" t="n">
        <f aca="false">$F$25-AO28-AO29-AO30-AO31</f>
        <v>90.9977098796626</v>
      </c>
      <c r="AP46" s="13" t="n">
        <f aca="false">$F$25-AP28-AP29-AP30-AP31</f>
        <v>86.7343938485247</v>
      </c>
      <c r="AQ46" s="13" t="n">
        <f aca="false">$F$25-AQ28-AQ29-AQ30-AQ31</f>
        <v>45.900880909265</v>
      </c>
      <c r="AR46" s="13" t="n">
        <f aca="false">$F$25-AR28-AR29-AR30-AR31</f>
        <v>2.98047889408693</v>
      </c>
      <c r="AS46" s="13" t="n">
        <f aca="false">$F$25-AS28-AS29-AS30-AS31</f>
        <v>3.18038928526221E-011</v>
      </c>
      <c r="AT46" s="13" t="n">
        <f aca="false">$F$25-AT28-AT29-AT30-AT31</f>
        <v>3.18038928526221E-011</v>
      </c>
      <c r="AU46" s="13" t="n">
        <f aca="false">$F$25-AU28-AU29-AU30-AU31</f>
        <v>3.18038928526221E-011</v>
      </c>
      <c r="AV46" s="13" t="n">
        <f aca="false">$F$25-AV28-AV29-AV30-AV31</f>
        <v>3.18038928526221E-011</v>
      </c>
      <c r="AW46" s="13" t="n">
        <f aca="false">$F$25-AW28-AW29-AW30-AW31</f>
        <v>3.18038928526221E-011</v>
      </c>
      <c r="AX46" s="13" t="n">
        <f aca="false">$F$25-AX28-AX29-AX30-AX31</f>
        <v>3.18038928526221E-011</v>
      </c>
      <c r="AY46" s="13" t="n">
        <f aca="false">$F$25-AY28-AY29-AY30-AY31</f>
        <v>3.18038928526221E-011</v>
      </c>
      <c r="AZ46" s="13" t="n">
        <f aca="false">$F$25-AZ28-AZ29-AZ30-AZ31</f>
        <v>3.18038928526221E-011</v>
      </c>
      <c r="BA46" s="13" t="n">
        <f aca="false">$F$25-BA28-BA29-BA30-BA31</f>
        <v>3.18038928526221E-011</v>
      </c>
      <c r="BB46" s="13" t="n">
        <f aca="false">$F$25-BB28-BB29-BB30-BB31</f>
        <v>3.18038928526221E-011</v>
      </c>
      <c r="BC46" s="13" t="n">
        <f aca="false">$F$25-BC28-BC29-BC30-BC31</f>
        <v>3.18038928526221E-011</v>
      </c>
      <c r="BD46" s="13" t="n">
        <f aca="false">$F$25-BD28-BD29-BD30-BD31</f>
        <v>3.18038928526221E-011</v>
      </c>
      <c r="BE46" s="13" t="n">
        <f aca="false">$F$25-BE28-BE29-BE30-BE31</f>
        <v>3.18038928526221E-011</v>
      </c>
      <c r="BF46" s="13" t="n">
        <f aca="false">$F$25-BF28-BF29-BF30-BF31</f>
        <v>3.18038928526221E-011</v>
      </c>
      <c r="BG46" s="13" t="n">
        <f aca="false">$F$25-BG28-BG29-BG30-BG31</f>
        <v>3.18038928526221E-011</v>
      </c>
      <c r="BH46" s="13" t="n">
        <f aca="false">$F$25-BH28-BH29-BH30-BH31</f>
        <v>3.18038928526221E-011</v>
      </c>
      <c r="BI46" s="13" t="n">
        <f aca="false">$F$25-BI28-BI29-BI30-BI31</f>
        <v>3.18038928526221E-011</v>
      </c>
      <c r="BJ46" s="13" t="n">
        <f aca="false">$F$25-BJ28-BJ29-BJ30-BJ31</f>
        <v>3.18038928526221E-011</v>
      </c>
    </row>
    <row r="47" customFormat="false" ht="15" hidden="false" customHeight="false" outlineLevel="0" collapsed="false">
      <c r="D47" s="0" t="s">
        <v>1733</v>
      </c>
      <c r="E47" s="0" t="s">
        <v>151</v>
      </c>
      <c r="G47" s="13" t="n">
        <f aca="false">SUM(J47:BJ47)</f>
        <v>654.950564098311</v>
      </c>
      <c r="J47" s="13" t="n">
        <f aca="false">MIN(($F$26*(J45-J44)+J44)/(1-Inputs!$F$94/100*Inputs!$F$75*$F$26),J46)</f>
        <v>91.4995190751015</v>
      </c>
      <c r="K47" s="13" t="n">
        <f aca="false">MIN(($F$26*(K45-K44)+K44)/(1-Inputs!$F$94/100*Inputs!$F$75*$F$26),K46)</f>
        <v>1.85406899034469</v>
      </c>
      <c r="L47" s="13" t="n">
        <f aca="false">MIN(($F$26*(L45-L44)+L44)/(1-Inputs!$F$94/100*Inputs!$F$75*$F$26),L46)</f>
        <v>2.36514319787509</v>
      </c>
      <c r="M47" s="13" t="n">
        <f aca="false">MIN(($F$26*(M45-M44)+M44)/(1-Inputs!$F$94/100*Inputs!$F$75*$F$26),M46)</f>
        <v>3.35595078981723</v>
      </c>
      <c r="N47" s="13" t="n">
        <f aca="false">MIN(($F$26*(N45-N44)+N44)/(1-Inputs!$F$94/100*Inputs!$F$75*$F$26),N46)</f>
        <v>4.83748240670218</v>
      </c>
      <c r="O47" s="13" t="n">
        <f aca="false">MIN(($F$26*(O45-O44)+O44)/(1-Inputs!$F$94/100*Inputs!$F$75*$F$26),O46)</f>
        <v>6.70343526242538</v>
      </c>
      <c r="P47" s="13" t="n">
        <f aca="false">MIN(($F$26*(P45-P44)+P44)/(1-Inputs!$F$94/100*Inputs!$F$75*$F$26),P46)</f>
        <v>8.75440902267789</v>
      </c>
      <c r="Q47" s="13" t="n">
        <f aca="false">MIN(($F$26*(Q45-Q44)+Q44)/(1-Inputs!$F$94/100*Inputs!$F$75*$F$26),Q46)</f>
        <v>11.0979649063617</v>
      </c>
      <c r="R47" s="13" t="n">
        <f aca="false">MIN(($F$26*(R45-R44)+R44)/(1-Inputs!$F$94/100*Inputs!$F$75*$F$26),R46)</f>
        <v>13.4479097024709</v>
      </c>
      <c r="S47" s="13" t="n">
        <f aca="false">MIN(($F$26*(S45-S44)+S44)/(1-Inputs!$F$94/100*Inputs!$F$75*$F$26),S46)</f>
        <v>15.8319545210563</v>
      </c>
      <c r="T47" s="13" t="n">
        <f aca="false">MIN(($F$26*(T45-T44)+T44)/(1-Inputs!$F$94/100*Inputs!$F$75*$F$26),T46)</f>
        <v>18.0716470897097</v>
      </c>
      <c r="U47" s="13" t="n">
        <f aca="false">MIN(($F$26*(U45-U44)+U44)/(1-Inputs!$F$94/100*Inputs!$F$75*$F$26),U46)</f>
        <v>20.2360503862761</v>
      </c>
      <c r="V47" s="13" t="n">
        <f aca="false">MIN(($F$26*(V45-V44)+V44)/(1-Inputs!$F$94/100*Inputs!$F$75*$F$26),V46)</f>
        <v>22.1218103507577</v>
      </c>
      <c r="W47" s="13" t="n">
        <f aca="false">MIN(($F$26*(W45-W44)+W44)/(1-Inputs!$F$94/100*Inputs!$F$75*$F$26),W46)</f>
        <v>23.6970976074128</v>
      </c>
      <c r="X47" s="13" t="n">
        <f aca="false">MIN(($F$26*(X45-X44)+X44)/(1-Inputs!$F$94/100*Inputs!$F$75*$F$26),X46)</f>
        <v>24.9883716506563</v>
      </c>
      <c r="Y47" s="13" t="n">
        <f aca="false">MIN(($F$26*(Y45-Y44)+Y44)/(1-Inputs!$F$94/100*Inputs!$F$75*$F$26),Y46)</f>
        <v>25.861603971947</v>
      </c>
      <c r="Z47" s="13" t="n">
        <f aca="false">MIN(($F$26*(Z45-Z44)+Z44)/(1-Inputs!$F$94/100*Inputs!$F$75*$F$26),Z46)</f>
        <v>26.3945927241569</v>
      </c>
      <c r="AA47" s="13" t="n">
        <f aca="false">MIN(($F$26*(AA45-AA44)+AA44)/(1-Inputs!$F$94/100*Inputs!$F$75*$F$26),AA46)</f>
        <v>27.4059401583427</v>
      </c>
      <c r="AB47" s="13" t="n">
        <f aca="false">MIN(($F$26*(AB45-AB44)+AB44)/(1-Inputs!$F$94/100*Inputs!$F$75*$F$26),AB46)</f>
        <v>26.1686211058867</v>
      </c>
      <c r="AC47" s="13" t="n">
        <f aca="false">MIN(($F$26*(AC45-AC44)+AC44)/(1-Inputs!$F$94/100*Inputs!$F$75*$F$26),AC46)</f>
        <v>25.5287444221611</v>
      </c>
      <c r="AD47" s="13" t="n">
        <f aca="false">MIN(($F$26*(AD45-AD44)+AD44)/(1-Inputs!$F$94/100*Inputs!$F$75*$F$26),AD46)</f>
        <v>24.4211735403625</v>
      </c>
      <c r="AE47" s="13" t="n">
        <f aca="false">MIN(($F$26*(AE45-AE44)+AE44)/(1-Inputs!$F$94/100*Inputs!$F$75*$F$26),AE46)</f>
        <v>23.0348083636592</v>
      </c>
      <c r="AF47" s="13" t="n">
        <f aca="false">MIN(($F$26*(AF45-AF44)+AF44)/(1-Inputs!$F$94/100*Inputs!$F$75*$F$26),AF46)</f>
        <v>21.2826416728428</v>
      </c>
      <c r="AG47" s="13" t="n">
        <f aca="false">MIN(($F$26*(AG45-AG44)+AG44)/(1-Inputs!$F$94/100*Inputs!$F$75*$F$26),AG46)</f>
        <v>19.3751921838002</v>
      </c>
      <c r="AH47" s="13" t="n">
        <f aca="false">MIN(($F$26*(AH45-AH44)+AH44)/(1-Inputs!$F$94/100*Inputs!$F$75*$F$26),AH46)</f>
        <v>17.2321455681872</v>
      </c>
      <c r="AI47" s="13" t="n">
        <f aca="false">MIN(($F$26*(AI45-AI44)+AI44)/(1-Inputs!$F$94/100*Inputs!$F$75*$F$26),AI46)</f>
        <v>14.9459114261938</v>
      </c>
      <c r="AJ47" s="13" t="n">
        <f aca="false">MIN(($F$26*(AJ45-AJ44)+AJ44)/(1-Inputs!$F$94/100*Inputs!$F$75*$F$26),AJ46)</f>
        <v>12.7076839246823</v>
      </c>
      <c r="AK47" s="13" t="n">
        <f aca="false">MIN(($F$26*(AK45-AK44)+AK44)/(1-Inputs!$F$94/100*Inputs!$F$75*$F$26),AK46)</f>
        <v>10.461730052059</v>
      </c>
      <c r="AL47" s="13" t="n">
        <f aca="false">MIN(($F$26*(AL45-AL44)+AL44)/(1-Inputs!$F$94/100*Inputs!$F$75*$F$26),AL46)</f>
        <v>8.45076277384601</v>
      </c>
      <c r="AM47" s="13" t="n">
        <f aca="false">MIN(($F$26*(AM45-AM44)+AM44)/(1-Inputs!$F$94/100*Inputs!$F$75*$F$26),AM46)</f>
        <v>6.68177773130982</v>
      </c>
      <c r="AN47" s="13" t="n">
        <f aca="false">MIN(($F$26*(AN45-AN44)+AN44)/(1-Inputs!$F$94/100*Inputs!$F$75*$F$26),AN46)</f>
        <v>5.13670963959752</v>
      </c>
      <c r="AO47" s="13" t="n">
        <f aca="false">MIN(($F$26*(AO45-AO44)+AO44)/(1-Inputs!$F$94/100*Inputs!$F$75*$F$26),AO46)</f>
        <v>4.26331603113797</v>
      </c>
      <c r="AP47" s="13" t="n">
        <f aca="false">MIN(($F$26*(AP45-AP44)+AP44)/(1-Inputs!$F$94/100*Inputs!$F$75*$F$26),AP46)</f>
        <v>40.8335129392596</v>
      </c>
      <c r="AQ47" s="13" t="n">
        <f aca="false">MIN(($F$26*(AQ45-AQ44)+AQ44)/(1-Inputs!$F$94/100*Inputs!$F$75*$F$26),AQ46)</f>
        <v>42.9204020151781</v>
      </c>
      <c r="AR47" s="13" t="n">
        <f aca="false">MIN(($F$26*(AR45-AR44)+AR44)/(1-Inputs!$F$94/100*Inputs!$F$75*$F$26),AR46)</f>
        <v>2.98047889405514</v>
      </c>
      <c r="AS47" s="13" t="n">
        <f aca="false">MIN(($F$26*(AS45-AS44)+AS44)/(1-Inputs!$F$94/100*Inputs!$F$75*$F$26),AS46)</f>
        <v>0</v>
      </c>
      <c r="AT47" s="13" t="n">
        <f aca="false">MIN(($F$26*(AT45-AT44)+AT44)/(1-Inputs!$F$94/100*Inputs!$F$75*$F$26),AT46)</f>
        <v>0</v>
      </c>
      <c r="AU47" s="13" t="n">
        <f aca="false">MIN(($F$26*(AU45-AU44)+AU44)/(1-Inputs!$F$94/100*Inputs!$F$75*$F$26),AU46)</f>
        <v>0</v>
      </c>
      <c r="AV47" s="13" t="n">
        <f aca="false">MIN(($F$26*(AV45-AV44)+AV44)/(1-Inputs!$F$94/100*Inputs!$F$75*$F$26),AV46)</f>
        <v>0</v>
      </c>
      <c r="AW47" s="13" t="n">
        <f aca="false">MIN(($F$26*(AW45-AW44)+AW44)/(1-Inputs!$F$94/100*Inputs!$F$75*$F$26),AW46)</f>
        <v>0</v>
      </c>
      <c r="AX47" s="13" t="n">
        <f aca="false">MIN(($F$26*(AX45-AX44)+AX44)/(1-Inputs!$F$94/100*Inputs!$F$75*$F$26),AX46)</f>
        <v>0</v>
      </c>
      <c r="AY47" s="13" t="n">
        <f aca="false">MIN(($F$26*(AY45-AY44)+AY44)/(1-Inputs!$F$94/100*Inputs!$F$75*$F$26),AY46)</f>
        <v>0</v>
      </c>
      <c r="AZ47" s="13" t="n">
        <f aca="false">MIN(($F$26*(AZ45-AZ44)+AZ44)/(1-Inputs!$F$94/100*Inputs!$F$75*$F$26),AZ46)</f>
        <v>0</v>
      </c>
      <c r="BA47" s="13" t="n">
        <f aca="false">MIN(($F$26*(BA45-BA44)+BA44)/(1-Inputs!$F$94/100*Inputs!$F$75*$F$26),BA46)</f>
        <v>0</v>
      </c>
      <c r="BB47" s="13" t="n">
        <f aca="false">MIN(($F$26*(BB45-BB44)+BB44)/(1-Inputs!$F$94/100*Inputs!$F$75*$F$26),BB46)</f>
        <v>0</v>
      </c>
      <c r="BC47" s="13" t="n">
        <f aca="false">MIN(($F$26*(BC45-BC44)+BC44)/(1-Inputs!$F$94/100*Inputs!$F$75*$F$26),BC46)</f>
        <v>0</v>
      </c>
      <c r="BD47" s="13" t="n">
        <f aca="false">MIN(($F$26*(BD45-BD44)+BD44)/(1-Inputs!$F$94/100*Inputs!$F$75*$F$26),BD46)</f>
        <v>0</v>
      </c>
      <c r="BE47" s="13" t="n">
        <f aca="false">MIN(($F$26*(BE45-BE44)+BE44)/(1-Inputs!$F$94/100*Inputs!$F$75*$F$26),BE46)</f>
        <v>0</v>
      </c>
      <c r="BF47" s="13" t="n">
        <f aca="false">MIN(($F$26*(BF45-BF44)+BF44)/(1-Inputs!$F$94/100*Inputs!$F$75*$F$26),BF46)</f>
        <v>0</v>
      </c>
      <c r="BG47" s="13" t="n">
        <f aca="false">MIN(($F$26*(BG45-BG44)+BG44)/(1-Inputs!$F$94/100*Inputs!$F$75*$F$26),BG46)</f>
        <v>0</v>
      </c>
      <c r="BH47" s="13" t="n">
        <f aca="false">MIN(($F$26*(BH45-BH44)+BH44)/(1-Inputs!$F$94/100*Inputs!$F$75*$F$26),BH46)</f>
        <v>0</v>
      </c>
      <c r="BI47" s="13" t="n">
        <f aca="false">MIN(($F$26*(BI45-BI44)+BI44)/(1-Inputs!$F$94/100*Inputs!$F$75*$F$26),BI46)</f>
        <v>0</v>
      </c>
      <c r="BJ47" s="13" t="n">
        <f aca="false">MIN(($F$26*(BJ45-BJ44)+BJ44)/(1-Inputs!$F$94/100*Inputs!$F$75*$F$26),BJ46)</f>
        <v>0</v>
      </c>
    </row>
    <row r="48" customFormat="false" ht="15" hidden="false" customHeight="false" outlineLevel="0" collapsed="false">
      <c r="D48" s="0" t="s">
        <v>1734</v>
      </c>
      <c r="E48" s="0" t="s">
        <v>151</v>
      </c>
      <c r="G48" s="13" t="n">
        <f aca="false">SUM(J48:BJ48)</f>
        <v>21.3186408614</v>
      </c>
      <c r="J48" s="13" t="n">
        <f aca="false">Inputs!$F$94/100*Inputs!$F$75*J47</f>
        <v>2.97830934589455</v>
      </c>
      <c r="K48" s="13" t="n">
        <f aca="false">Inputs!$F$94/100*Inputs!$F$75*K47</f>
        <v>0.0603499456357197</v>
      </c>
      <c r="L48" s="13" t="n">
        <f aca="false">Inputs!$F$94/100*Inputs!$F$75*L47</f>
        <v>0.0769854110908342</v>
      </c>
      <c r="M48" s="13" t="n">
        <f aca="false">Inputs!$F$94/100*Inputs!$F$75*M47</f>
        <v>0.109236198208551</v>
      </c>
      <c r="N48" s="13" t="n">
        <f aca="false">Inputs!$F$94/100*Inputs!$F$75*N47</f>
        <v>0.157460052338156</v>
      </c>
      <c r="O48" s="13" t="n">
        <f aca="false">Inputs!$F$94/100*Inputs!$F$75*O47</f>
        <v>0.218196817791946</v>
      </c>
      <c r="P48" s="13" t="n">
        <f aca="false">Inputs!$F$94/100*Inputs!$F$75*P47</f>
        <v>0.284956013688165</v>
      </c>
      <c r="Q48" s="13" t="n">
        <f aca="false">Inputs!$F$94/100*Inputs!$F$75*Q47</f>
        <v>0.361238757702074</v>
      </c>
      <c r="R48" s="13" t="n">
        <f aca="false">Inputs!$F$94/100*Inputs!$F$75*R47</f>
        <v>0.437729460815428</v>
      </c>
      <c r="S48" s="13" t="n">
        <f aca="false">Inputs!$F$94/100*Inputs!$F$75*S47</f>
        <v>0.515330119660381</v>
      </c>
      <c r="T48" s="13" t="n">
        <f aca="false">Inputs!$F$94/100*Inputs!$F$75*T47</f>
        <v>0.588232112770052</v>
      </c>
      <c r="U48" s="13" t="n">
        <f aca="false">Inputs!$F$94/100*Inputs!$F$75*U47</f>
        <v>0.658683440073287</v>
      </c>
      <c r="V48" s="13" t="n">
        <f aca="false">Inputs!$F$94/100*Inputs!$F$75*V47</f>
        <v>0.720064926917163</v>
      </c>
      <c r="W48" s="13" t="n">
        <f aca="false">Inputs!$F$94/100*Inputs!$F$75*W47</f>
        <v>0.771340527121285</v>
      </c>
      <c r="X48" s="13" t="n">
        <f aca="false">Inputs!$F$94/100*Inputs!$F$75*X47</f>
        <v>0.813371497228863</v>
      </c>
      <c r="Y48" s="13" t="n">
        <f aca="false">Inputs!$F$94/100*Inputs!$F$75*Y47</f>
        <v>0.841795209286875</v>
      </c>
      <c r="Z48" s="13" t="n">
        <f aca="false">Inputs!$F$94/100*Inputs!$F$75*Z47</f>
        <v>0.859143993171308</v>
      </c>
      <c r="AA48" s="13" t="n">
        <f aca="false">Inputs!$F$94/100*Inputs!$F$75*AA47</f>
        <v>0.892063352154053</v>
      </c>
      <c r="AB48" s="13" t="n">
        <f aca="false">Inputs!$F$94/100*Inputs!$F$75*AB47</f>
        <v>0.851788616996612</v>
      </c>
      <c r="AC48" s="13" t="n">
        <f aca="false">Inputs!$F$94/100*Inputs!$F$75*AC47</f>
        <v>0.830960630941343</v>
      </c>
      <c r="AD48" s="13" t="n">
        <f aca="false">Inputs!$F$94/100*Inputs!$F$75*AD47</f>
        <v>0.794909198738798</v>
      </c>
      <c r="AE48" s="13" t="n">
        <f aca="false">Inputs!$F$94/100*Inputs!$F$75*AE47</f>
        <v>0.749783012237106</v>
      </c>
      <c r="AF48" s="13" t="n">
        <f aca="false">Inputs!$F$94/100*Inputs!$F$75*AF47</f>
        <v>0.692749986451033</v>
      </c>
      <c r="AG48" s="13" t="n">
        <f aca="false">Inputs!$F$94/100*Inputs!$F$75*AG47</f>
        <v>0.630662505582696</v>
      </c>
      <c r="AH48" s="13" t="n">
        <f aca="false">Inputs!$F$94/100*Inputs!$F$75*AH47</f>
        <v>0.560906338244495</v>
      </c>
      <c r="AI48" s="13" t="n">
        <f aca="false">Inputs!$F$94/100*Inputs!$F$75*AI47</f>
        <v>0.48648941692261</v>
      </c>
      <c r="AJ48" s="13" t="n">
        <f aca="false">Inputs!$F$94/100*Inputs!$F$75*AJ47</f>
        <v>0.413635111748409</v>
      </c>
      <c r="AK48" s="13" t="n">
        <f aca="false">Inputs!$F$94/100*Inputs!$F$75*AK47</f>
        <v>0.34052931319452</v>
      </c>
      <c r="AL48" s="13" t="n">
        <f aca="false">Inputs!$F$94/100*Inputs!$F$75*AL47</f>
        <v>0.275072328288688</v>
      </c>
      <c r="AM48" s="13" t="n">
        <f aca="false">Inputs!$F$94/100*Inputs!$F$75*AM47</f>
        <v>0.217491865154135</v>
      </c>
      <c r="AN48" s="13" t="n">
        <f aca="false">Inputs!$F$94/100*Inputs!$F$75*AN47</f>
        <v>0.167199898768899</v>
      </c>
      <c r="AO48" s="13" t="n">
        <f aca="false">Inputs!$F$94/100*Inputs!$F$75*AO47</f>
        <v>0.138770936813541</v>
      </c>
      <c r="AP48" s="13" t="n">
        <f aca="false">Inputs!$F$94/100*Inputs!$F$75*AP47</f>
        <v>1.3291308461729</v>
      </c>
      <c r="AQ48" s="13" t="n">
        <f aca="false">Inputs!$F$94/100*Inputs!$F$75*AQ47</f>
        <v>1.39705908559405</v>
      </c>
      <c r="AR48" s="13" t="n">
        <f aca="false">Inputs!$F$94/100*Inputs!$F$75*AR47</f>
        <v>0.097014588001495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1735</v>
      </c>
      <c r="E49" s="0" t="s">
        <v>151</v>
      </c>
      <c r="G49" s="13" t="n">
        <f aca="false">SUM(J49:BJ49)</f>
        <v>860.239655410062</v>
      </c>
      <c r="J49" s="13" t="n">
        <f aca="false">J45+J48</f>
        <v>121.999358766866</v>
      </c>
      <c r="K49" s="13" t="n">
        <f aca="false">K45+K48</f>
        <v>2.47209198712756</v>
      </c>
      <c r="L49" s="13" t="n">
        <f aca="false">L45+L48</f>
        <v>3.15352426383511</v>
      </c>
      <c r="M49" s="13" t="n">
        <f aca="false">M45+M48</f>
        <v>4.47460105309199</v>
      </c>
      <c r="N49" s="13" t="n">
        <f aca="false">N45+N48</f>
        <v>6.44997654227296</v>
      </c>
      <c r="O49" s="13" t="n">
        <f aca="false">O45+O48</f>
        <v>8.93791368323853</v>
      </c>
      <c r="P49" s="13" t="n">
        <f aca="false">P45+P48</f>
        <v>11.6725453635766</v>
      </c>
      <c r="Q49" s="13" t="n">
        <f aca="false">Q45+Q48</f>
        <v>14.7972865418234</v>
      </c>
      <c r="R49" s="13" t="n">
        <f aca="false">R45+R48</f>
        <v>17.9305462699706</v>
      </c>
      <c r="S49" s="13" t="n">
        <f aca="false">S45+S48</f>
        <v>21.1092726947528</v>
      </c>
      <c r="T49" s="13" t="n">
        <f aca="false">T45+T48</f>
        <v>24.095529452959</v>
      </c>
      <c r="U49" s="13" t="n">
        <f aca="false">U45+U48</f>
        <v>26.981400515049</v>
      </c>
      <c r="V49" s="13" t="n">
        <f aca="false">V45+V48</f>
        <v>29.4957471343591</v>
      </c>
      <c r="W49" s="13" t="n">
        <f aca="false">W45+W48</f>
        <v>31.5961301432336</v>
      </c>
      <c r="X49" s="13" t="n">
        <f aca="false">X45+X48</f>
        <v>33.3178288675593</v>
      </c>
      <c r="Y49" s="13" t="n">
        <f aca="false">Y45+Y48</f>
        <v>34.4821386292808</v>
      </c>
      <c r="Z49" s="13" t="n">
        <f aca="false">Z45+Z48</f>
        <v>35.1927902988944</v>
      </c>
      <c r="AA49" s="13" t="n">
        <f aca="false">AA45+AA48</f>
        <v>36.5412535444761</v>
      </c>
      <c r="AB49" s="13" t="n">
        <f aca="false">AB45+AB48</f>
        <v>34.8914948078673</v>
      </c>
      <c r="AC49" s="13" t="n">
        <f aca="false">AC45+AC48</f>
        <v>34.0383258962327</v>
      </c>
      <c r="AD49" s="13" t="n">
        <f aca="false">AD45+AD48</f>
        <v>32.5615647205004</v>
      </c>
      <c r="AE49" s="13" t="n">
        <f aca="false">AE45+AE48</f>
        <v>30.7130778182284</v>
      </c>
      <c r="AF49" s="13" t="n">
        <f aca="false">AF45+AF48</f>
        <v>28.3768555638053</v>
      </c>
      <c r="AG49" s="13" t="n">
        <f aca="false">AG45+AG48</f>
        <v>25.8335895784138</v>
      </c>
      <c r="AH49" s="13" t="n">
        <f aca="false">AH45+AH48</f>
        <v>22.9761940909284</v>
      </c>
      <c r="AI49" s="13" t="n">
        <f aca="false">AI45+AI48</f>
        <v>19.9278819016023</v>
      </c>
      <c r="AJ49" s="13" t="n">
        <f aca="false">AJ45+AJ48</f>
        <v>16.943578566252</v>
      </c>
      <c r="AK49" s="13" t="n">
        <f aca="false">AK45+AK48</f>
        <v>13.9489734027526</v>
      </c>
      <c r="AL49" s="13" t="n">
        <f aca="false">AL45+AL48</f>
        <v>11.2676836984673</v>
      </c>
      <c r="AM49" s="13" t="n">
        <f aca="false">AM45+AM48</f>
        <v>8.90903697508444</v>
      </c>
      <c r="AN49" s="13" t="n">
        <f aca="false">AN45+AN48</f>
        <v>6.84894618613363</v>
      </c>
      <c r="AO49" s="13" t="n">
        <f aca="false">AO45+AO48</f>
        <v>5.68442137485362</v>
      </c>
      <c r="AP49" s="13" t="n">
        <f aca="false">AP45+AP48</f>
        <v>54.4446839190414</v>
      </c>
      <c r="AQ49" s="13" t="n">
        <f aca="false">AQ45+AQ48</f>
        <v>44.1994392987896</v>
      </c>
      <c r="AR49" s="13" t="n">
        <f aca="false">AR45+AR48</f>
        <v>3.97397185874228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1736</v>
      </c>
      <c r="E50" s="0" t="s">
        <v>151</v>
      </c>
      <c r="G50" s="13" t="n">
        <f aca="false">SUM(J50:BJ50)</f>
        <v>860.239655410062</v>
      </c>
      <c r="J50" s="13" t="n">
        <f aca="false">J49</f>
        <v>121.999358766866</v>
      </c>
      <c r="K50" s="13" t="n">
        <f aca="false">K49</f>
        <v>2.47209198712756</v>
      </c>
      <c r="L50" s="13" t="n">
        <f aca="false">L49</f>
        <v>3.15352426383511</v>
      </c>
      <c r="M50" s="13" t="n">
        <f aca="false">M49</f>
        <v>4.47460105309199</v>
      </c>
      <c r="N50" s="13" t="n">
        <f aca="false">N49</f>
        <v>6.44997654227296</v>
      </c>
      <c r="O50" s="13" t="n">
        <f aca="false">O49</f>
        <v>8.93791368323853</v>
      </c>
      <c r="P50" s="13" t="n">
        <f aca="false">P49</f>
        <v>11.6725453635766</v>
      </c>
      <c r="Q50" s="13" t="n">
        <f aca="false">Q49</f>
        <v>14.7972865418234</v>
      </c>
      <c r="R50" s="13" t="n">
        <f aca="false">R49</f>
        <v>17.9305462699706</v>
      </c>
      <c r="S50" s="13" t="n">
        <f aca="false">S49</f>
        <v>21.1092726947528</v>
      </c>
      <c r="T50" s="13" t="n">
        <f aca="false">T49</f>
        <v>24.095529452959</v>
      </c>
      <c r="U50" s="13" t="n">
        <f aca="false">U49</f>
        <v>26.981400515049</v>
      </c>
      <c r="V50" s="13" t="n">
        <f aca="false">V49</f>
        <v>29.4957471343591</v>
      </c>
      <c r="W50" s="13" t="n">
        <f aca="false">W49</f>
        <v>31.5961301432336</v>
      </c>
      <c r="X50" s="13" t="n">
        <f aca="false">X49</f>
        <v>33.3178288675593</v>
      </c>
      <c r="Y50" s="13" t="n">
        <f aca="false">Y49</f>
        <v>34.4821386292808</v>
      </c>
      <c r="Z50" s="13" t="n">
        <f aca="false">Z49</f>
        <v>35.1927902988944</v>
      </c>
      <c r="AA50" s="13" t="n">
        <f aca="false">AA49</f>
        <v>36.5412535444761</v>
      </c>
      <c r="AB50" s="13" t="n">
        <f aca="false">AB49</f>
        <v>34.8914948078673</v>
      </c>
      <c r="AC50" s="13" t="n">
        <f aca="false">AC49</f>
        <v>34.0383258962327</v>
      </c>
      <c r="AD50" s="13" t="n">
        <f aca="false">AD49</f>
        <v>32.5615647205004</v>
      </c>
      <c r="AE50" s="13" t="n">
        <f aca="false">AE49</f>
        <v>30.7130778182284</v>
      </c>
      <c r="AF50" s="13" t="n">
        <f aca="false">AF49</f>
        <v>28.3768555638053</v>
      </c>
      <c r="AG50" s="13" t="n">
        <f aca="false">AG49</f>
        <v>25.8335895784138</v>
      </c>
      <c r="AH50" s="13" t="n">
        <f aca="false">AH49</f>
        <v>22.9761940909284</v>
      </c>
      <c r="AI50" s="13" t="n">
        <f aca="false">AI49</f>
        <v>19.9278819016023</v>
      </c>
      <c r="AJ50" s="13" t="n">
        <f aca="false">AJ49</f>
        <v>16.943578566252</v>
      </c>
      <c r="AK50" s="13" t="n">
        <f aca="false">AK49</f>
        <v>13.9489734027526</v>
      </c>
      <c r="AL50" s="13" t="n">
        <f aca="false">AL49</f>
        <v>11.2676836984673</v>
      </c>
      <c r="AM50" s="13" t="n">
        <f aca="false">AM49</f>
        <v>8.90903697508444</v>
      </c>
      <c r="AN50" s="13" t="n">
        <f aca="false">AN49</f>
        <v>6.84894618613363</v>
      </c>
      <c r="AO50" s="13" t="n">
        <f aca="false">AO49</f>
        <v>5.68442137485362</v>
      </c>
      <c r="AP50" s="13" t="n">
        <f aca="false">AP49</f>
        <v>54.4446839190414</v>
      </c>
      <c r="AQ50" s="13" t="n">
        <f aca="false">AQ49</f>
        <v>44.1994392987896</v>
      </c>
      <c r="AR50" s="13" t="n">
        <f aca="false">AR49</f>
        <v>3.97397185874228</v>
      </c>
      <c r="AS50" s="13" t="n">
        <f aca="false">AS49</f>
        <v>0</v>
      </c>
      <c r="AT50" s="13" t="n">
        <f aca="false">AT49</f>
        <v>0</v>
      </c>
      <c r="AU50" s="13" t="n">
        <f aca="false">AU49</f>
        <v>0</v>
      </c>
      <c r="AV50" s="13" t="n">
        <f aca="false">AV49</f>
        <v>0</v>
      </c>
      <c r="AW50" s="13" t="n">
        <f aca="false">AW49</f>
        <v>0</v>
      </c>
      <c r="AX50" s="13" t="n">
        <f aca="false">AX49</f>
        <v>0</v>
      </c>
      <c r="AY50" s="13" t="n">
        <f aca="false">AY49</f>
        <v>0</v>
      </c>
      <c r="AZ50" s="13" t="n">
        <f aca="false">AZ49</f>
        <v>0</v>
      </c>
      <c r="BA50" s="13" t="n">
        <f aca="false">BA49</f>
        <v>0</v>
      </c>
      <c r="BB50" s="13" t="n">
        <f aca="false">BB49</f>
        <v>0</v>
      </c>
      <c r="BC50" s="13" t="n">
        <f aca="false">BC49</f>
        <v>0</v>
      </c>
      <c r="BD50" s="13" t="n">
        <f aca="false">BD49</f>
        <v>0</v>
      </c>
      <c r="BE50" s="13" t="n">
        <f aca="false">BE49</f>
        <v>0</v>
      </c>
      <c r="BF50" s="13" t="n">
        <f aca="false">BF49</f>
        <v>0</v>
      </c>
      <c r="BG50" s="13" t="n">
        <f aca="false">BG49</f>
        <v>0</v>
      </c>
      <c r="BH50" s="13" t="n">
        <f aca="false">BH49</f>
        <v>0</v>
      </c>
      <c r="BI50" s="13" t="n">
        <f aca="false">BI49</f>
        <v>0</v>
      </c>
      <c r="BJ50" s="13" t="n">
        <f aca="false">BJ49</f>
        <v>0</v>
      </c>
    </row>
    <row r="51" customFormat="false" ht="15" hidden="false" customHeight="false" outlineLevel="0" collapsed="false">
      <c r="D51" s="0" t="s">
        <v>1737</v>
      </c>
      <c r="E51" s="0" t="s">
        <v>151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0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1738</v>
      </c>
      <c r="E52" s="0" t="s">
        <v>151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1739</v>
      </c>
      <c r="E53" s="0" t="s">
        <v>151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1740</v>
      </c>
      <c r="E54" s="0" t="s">
        <v>151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1741</v>
      </c>
      <c r="E55" s="0" t="s">
        <v>151</v>
      </c>
      <c r="G55" s="13" t="n">
        <f aca="false">SUM(J55:BJ55)</f>
        <v>0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0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1742</v>
      </c>
      <c r="E56" s="0" t="s">
        <v>151</v>
      </c>
      <c r="G56" s="13" t="n">
        <f aca="false">SUM(J56:BJ56)</f>
        <v>0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0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1743</v>
      </c>
      <c r="E57" s="0" t="s">
        <v>151</v>
      </c>
      <c r="G57" s="13" t="n">
        <f aca="false">SUM(J57:BJ57)</f>
        <v>196.485169229493</v>
      </c>
      <c r="J57" s="13" t="n">
        <f aca="false">Inputs!$F$75*J47</f>
        <v>27.4498557225305</v>
      </c>
      <c r="K57" s="13" t="n">
        <f aca="false">Inputs!$F$75*K47</f>
        <v>0.556220697103408</v>
      </c>
      <c r="L57" s="13" t="n">
        <f aca="false">Inputs!$F$75*L47</f>
        <v>0.709542959362527</v>
      </c>
      <c r="M57" s="13" t="n">
        <f aca="false">Inputs!$F$75*M47</f>
        <v>1.00678523694517</v>
      </c>
      <c r="N57" s="13" t="n">
        <f aca="false">Inputs!$F$75*N47</f>
        <v>1.45124472201065</v>
      </c>
      <c r="O57" s="13" t="n">
        <f aca="false">Inputs!$F$75*O47</f>
        <v>2.01103057872761</v>
      </c>
      <c r="P57" s="13" t="n">
        <f aca="false">Inputs!$F$75*P47</f>
        <v>2.62632270680337</v>
      </c>
      <c r="Q57" s="13" t="n">
        <f aca="false">Inputs!$F$75*Q47</f>
        <v>3.32938947190852</v>
      </c>
      <c r="R57" s="13" t="n">
        <f aca="false">Inputs!$F$75*R47</f>
        <v>4.03437291074127</v>
      </c>
      <c r="S57" s="13" t="n">
        <f aca="false">Inputs!$F$75*S47</f>
        <v>4.74958635631687</v>
      </c>
      <c r="T57" s="13" t="n">
        <f aca="false">Inputs!$F$75*T47</f>
        <v>5.42149412691292</v>
      </c>
      <c r="U57" s="13" t="n">
        <f aca="false">Inputs!$F$75*U47</f>
        <v>6.07081511588283</v>
      </c>
      <c r="V57" s="13" t="n">
        <f aca="false">Inputs!$F$75*V47</f>
        <v>6.63654310522731</v>
      </c>
      <c r="W57" s="13" t="n">
        <f aca="false">Inputs!$F$75*W47</f>
        <v>7.10912928222383</v>
      </c>
      <c r="X57" s="13" t="n">
        <f aca="false">Inputs!$F$75*X47</f>
        <v>7.49651149519689</v>
      </c>
      <c r="Y57" s="13" t="n">
        <f aca="false">Inputs!$F$75*Y47</f>
        <v>7.7584811915841</v>
      </c>
      <c r="Z57" s="13" t="n">
        <f aca="false">Inputs!$F$75*Z47</f>
        <v>7.91837781724708</v>
      </c>
      <c r="AA57" s="13" t="n">
        <f aca="false">Inputs!$F$75*AA47</f>
        <v>8.2217820475028</v>
      </c>
      <c r="AB57" s="13" t="n">
        <f aca="false">Inputs!$F$75*AB47</f>
        <v>7.85058633176601</v>
      </c>
      <c r="AC57" s="13" t="n">
        <f aca="false">Inputs!$F$75*AC47</f>
        <v>7.65862332664832</v>
      </c>
      <c r="AD57" s="13" t="n">
        <f aca="false">Inputs!$F$75*AD47</f>
        <v>7.32635206210874</v>
      </c>
      <c r="AE57" s="13" t="n">
        <f aca="false">Inputs!$F$75*AE47</f>
        <v>6.91044250909775</v>
      </c>
      <c r="AF57" s="13" t="n">
        <f aca="false">Inputs!$F$75*AF47</f>
        <v>6.38479250185284</v>
      </c>
      <c r="AG57" s="13" t="n">
        <f aca="false">Inputs!$F$75*AG47</f>
        <v>5.81255765514006</v>
      </c>
      <c r="AH57" s="13" t="n">
        <f aca="false">Inputs!$F$75*AH47</f>
        <v>5.16964367045617</v>
      </c>
      <c r="AI57" s="13" t="n">
        <f aca="false">Inputs!$F$75*AI47</f>
        <v>4.48377342785815</v>
      </c>
      <c r="AJ57" s="13" t="n">
        <f aca="false">Inputs!$F$75*AJ47</f>
        <v>3.81230517740469</v>
      </c>
      <c r="AK57" s="13" t="n">
        <f aca="false">Inputs!$F$75*AK47</f>
        <v>3.13851901561769</v>
      </c>
      <c r="AL57" s="13" t="n">
        <f aca="false">Inputs!$F$75*AL47</f>
        <v>2.5352288321538</v>
      </c>
      <c r="AM57" s="13" t="n">
        <f aca="false">Inputs!$F$75*AM47</f>
        <v>2.00453331939295</v>
      </c>
      <c r="AN57" s="13" t="n">
        <f aca="false">Inputs!$F$75*AN47</f>
        <v>1.54101289187926</v>
      </c>
      <c r="AO57" s="13" t="n">
        <f aca="false">Inputs!$F$75*AO47</f>
        <v>1.27899480934139</v>
      </c>
      <c r="AP57" s="13" t="n">
        <f aca="false">Inputs!$F$75*AP47</f>
        <v>12.2500538817779</v>
      </c>
      <c r="AQ57" s="13" t="n">
        <f aca="false">Inputs!$F$75*AQ47</f>
        <v>12.8761206045534</v>
      </c>
      <c r="AR57" s="13" t="n">
        <f aca="false">Inputs!$F$75*AR47</f>
        <v>0.894143668216544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1744</v>
      </c>
      <c r="E58" s="0" t="s">
        <v>151</v>
      </c>
      <c r="G58" s="13" t="n">
        <f aca="false">SUM(J58:BJ58)</f>
        <v>144.089124101628</v>
      </c>
      <c r="J58" s="13" t="n">
        <f aca="false">Inputs!$F$76*J47</f>
        <v>20.1298941965223</v>
      </c>
      <c r="K58" s="13" t="n">
        <f aca="false">Inputs!$F$76*K47</f>
        <v>0.407895177875832</v>
      </c>
      <c r="L58" s="13" t="n">
        <f aca="false">Inputs!$F$76*L47</f>
        <v>0.52033150353252</v>
      </c>
      <c r="M58" s="13" t="n">
        <f aca="false">Inputs!$F$76*M47</f>
        <v>0.73830917375979</v>
      </c>
      <c r="N58" s="13" t="n">
        <f aca="false">Inputs!$F$76*N47</f>
        <v>1.06424612947448</v>
      </c>
      <c r="O58" s="13" t="n">
        <f aca="false">Inputs!$F$76*O47</f>
        <v>1.47475575773358</v>
      </c>
      <c r="P58" s="13" t="n">
        <f aca="false">Inputs!$F$76*P47</f>
        <v>1.92596998498914</v>
      </c>
      <c r="Q58" s="13" t="n">
        <f aca="false">Inputs!$F$76*Q47</f>
        <v>2.44155227939958</v>
      </c>
      <c r="R58" s="13" t="n">
        <f aca="false">Inputs!$F$76*R47</f>
        <v>2.9585401345436</v>
      </c>
      <c r="S58" s="13" t="n">
        <f aca="false">Inputs!$F$76*S47</f>
        <v>3.48302999463238</v>
      </c>
      <c r="T58" s="13" t="n">
        <f aca="false">Inputs!$F$76*T47</f>
        <v>3.97576235973614</v>
      </c>
      <c r="U58" s="13" t="n">
        <f aca="false">Inputs!$F$76*U47</f>
        <v>4.45193108498074</v>
      </c>
      <c r="V58" s="13" t="n">
        <f aca="false">Inputs!$F$76*V47</f>
        <v>4.86679827716669</v>
      </c>
      <c r="W58" s="13" t="n">
        <f aca="false">Inputs!$F$76*W47</f>
        <v>5.21336147363081</v>
      </c>
      <c r="X58" s="13" t="n">
        <f aca="false">Inputs!$F$76*X47</f>
        <v>5.49744176314439</v>
      </c>
      <c r="Y58" s="13" t="n">
        <f aca="false">Inputs!$F$76*Y47</f>
        <v>5.68955287382834</v>
      </c>
      <c r="Z58" s="13" t="n">
        <f aca="false">Inputs!$F$76*Z47</f>
        <v>5.80681039931452</v>
      </c>
      <c r="AA58" s="13" t="n">
        <f aca="false">Inputs!$F$76*AA47</f>
        <v>6.02930683483539</v>
      </c>
      <c r="AB58" s="13" t="n">
        <f aca="false">Inputs!$F$76*AB47</f>
        <v>5.75709664329507</v>
      </c>
      <c r="AC58" s="13" t="n">
        <f aca="false">Inputs!$F$76*AC47</f>
        <v>5.61632377287544</v>
      </c>
      <c r="AD58" s="13" t="n">
        <f aca="false">Inputs!$F$76*AD47</f>
        <v>5.37265817887974</v>
      </c>
      <c r="AE58" s="13" t="n">
        <f aca="false">Inputs!$F$76*AE47</f>
        <v>5.06765784000502</v>
      </c>
      <c r="AF58" s="13" t="n">
        <f aca="false">Inputs!$F$76*AF47</f>
        <v>4.68218116802542</v>
      </c>
      <c r="AG58" s="13" t="n">
        <f aca="false">Inputs!$F$76*AG47</f>
        <v>4.26254228043604</v>
      </c>
      <c r="AH58" s="13" t="n">
        <f aca="false">Inputs!$F$76*AH47</f>
        <v>3.79107202500119</v>
      </c>
      <c r="AI58" s="13" t="n">
        <f aca="false">Inputs!$F$76*AI47</f>
        <v>3.28810051376265</v>
      </c>
      <c r="AJ58" s="13" t="n">
        <f aca="false">Inputs!$F$76*AJ47</f>
        <v>2.79569046343011</v>
      </c>
      <c r="AK58" s="13" t="n">
        <f aca="false">Inputs!$F$76*AK47</f>
        <v>2.30158061145297</v>
      </c>
      <c r="AL58" s="13" t="n">
        <f aca="false">Inputs!$F$76*AL47</f>
        <v>1.85916781024612</v>
      </c>
      <c r="AM58" s="13" t="n">
        <f aca="false">Inputs!$F$76*AM47</f>
        <v>1.46999110088816</v>
      </c>
      <c r="AN58" s="13" t="n">
        <f aca="false">Inputs!$F$76*AN47</f>
        <v>1.13007612071146</v>
      </c>
      <c r="AO58" s="13" t="n">
        <f aca="false">Inputs!$F$76*AO47</f>
        <v>0.937929526850354</v>
      </c>
      <c r="AP58" s="13" t="n">
        <f aca="false">Inputs!$F$76*AP47</f>
        <v>8.98337284663711</v>
      </c>
      <c r="AQ58" s="13" t="n">
        <f aca="false">Inputs!$F$76*AQ47</f>
        <v>9.44248844333919</v>
      </c>
      <c r="AR58" s="13" t="n">
        <f aca="false">Inputs!$F$76*AR47</f>
        <v>0.655705356692132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1745</v>
      </c>
      <c r="E59" s="0" t="s">
        <v>151</v>
      </c>
      <c r="G59" s="13" t="n">
        <f aca="false">SUM(J59:BJ59)</f>
        <v>65.4950564098311</v>
      </c>
      <c r="J59" s="13" t="n">
        <f aca="false">Inputs!$F$77*J47</f>
        <v>9.14995190751015</v>
      </c>
      <c r="K59" s="13" t="n">
        <f aca="false">Inputs!$F$77*K47</f>
        <v>0.185406899034469</v>
      </c>
      <c r="L59" s="13" t="n">
        <f aca="false">Inputs!$F$77*L47</f>
        <v>0.236514319787509</v>
      </c>
      <c r="M59" s="13" t="n">
        <f aca="false">Inputs!$F$77*M47</f>
        <v>0.335595078981723</v>
      </c>
      <c r="N59" s="13" t="n">
        <f aca="false">Inputs!$F$77*N47</f>
        <v>0.483748240670218</v>
      </c>
      <c r="O59" s="13" t="n">
        <f aca="false">Inputs!$F$77*O47</f>
        <v>0.670343526242538</v>
      </c>
      <c r="P59" s="13" t="n">
        <f aca="false">Inputs!$F$77*P47</f>
        <v>0.875440902267789</v>
      </c>
      <c r="Q59" s="13" t="n">
        <f aca="false">Inputs!$F$77*Q47</f>
        <v>1.10979649063617</v>
      </c>
      <c r="R59" s="13" t="n">
        <f aca="false">Inputs!$F$77*R47</f>
        <v>1.34479097024709</v>
      </c>
      <c r="S59" s="13" t="n">
        <f aca="false">Inputs!$F$77*S47</f>
        <v>1.58319545210563</v>
      </c>
      <c r="T59" s="13" t="n">
        <f aca="false">Inputs!$F$77*T47</f>
        <v>1.80716470897097</v>
      </c>
      <c r="U59" s="13" t="n">
        <f aca="false">Inputs!$F$77*U47</f>
        <v>2.02360503862761</v>
      </c>
      <c r="V59" s="13" t="n">
        <f aca="false">Inputs!$F$77*V47</f>
        <v>2.21218103507577</v>
      </c>
      <c r="W59" s="13" t="n">
        <f aca="false">Inputs!$F$77*W47</f>
        <v>2.36970976074128</v>
      </c>
      <c r="X59" s="13" t="n">
        <f aca="false">Inputs!$F$77*X47</f>
        <v>2.49883716506563</v>
      </c>
      <c r="Y59" s="13" t="n">
        <f aca="false">Inputs!$F$77*Y47</f>
        <v>2.5861603971947</v>
      </c>
      <c r="Z59" s="13" t="n">
        <f aca="false">Inputs!$F$77*Z47</f>
        <v>2.63945927241569</v>
      </c>
      <c r="AA59" s="13" t="n">
        <f aca="false">Inputs!$F$77*AA47</f>
        <v>2.74059401583427</v>
      </c>
      <c r="AB59" s="13" t="n">
        <f aca="false">Inputs!$F$77*AB47</f>
        <v>2.61686211058867</v>
      </c>
      <c r="AC59" s="13" t="n">
        <f aca="false">Inputs!$F$77*AC47</f>
        <v>2.55287444221611</v>
      </c>
      <c r="AD59" s="13" t="n">
        <f aca="false">Inputs!$F$77*AD47</f>
        <v>2.44211735403625</v>
      </c>
      <c r="AE59" s="13" t="n">
        <f aca="false">Inputs!$F$77*AE47</f>
        <v>2.30348083636592</v>
      </c>
      <c r="AF59" s="13" t="n">
        <f aca="false">Inputs!$F$77*AF47</f>
        <v>2.12826416728428</v>
      </c>
      <c r="AG59" s="13" t="n">
        <f aca="false">Inputs!$F$77*AG47</f>
        <v>1.93751921838002</v>
      </c>
      <c r="AH59" s="13" t="n">
        <f aca="false">Inputs!$F$77*AH47</f>
        <v>1.72321455681872</v>
      </c>
      <c r="AI59" s="13" t="n">
        <f aca="false">Inputs!$F$77*AI47</f>
        <v>1.49459114261938</v>
      </c>
      <c r="AJ59" s="13" t="n">
        <f aca="false">Inputs!$F$77*AJ47</f>
        <v>1.27076839246823</v>
      </c>
      <c r="AK59" s="13" t="n">
        <f aca="false">Inputs!$F$77*AK47</f>
        <v>1.0461730052059</v>
      </c>
      <c r="AL59" s="13" t="n">
        <f aca="false">Inputs!$F$77*AL47</f>
        <v>0.845076277384601</v>
      </c>
      <c r="AM59" s="13" t="n">
        <f aca="false">Inputs!$F$77*AM47</f>
        <v>0.668177773130982</v>
      </c>
      <c r="AN59" s="13" t="n">
        <f aca="false">Inputs!$F$77*AN47</f>
        <v>0.513670963959752</v>
      </c>
      <c r="AO59" s="13" t="n">
        <f aca="false">Inputs!$F$77*AO47</f>
        <v>0.426331603113797</v>
      </c>
      <c r="AP59" s="13" t="n">
        <f aca="false">Inputs!$F$77*AP47</f>
        <v>4.08335129392596</v>
      </c>
      <c r="AQ59" s="13" t="n">
        <f aca="false">Inputs!$F$77*AQ47</f>
        <v>4.29204020151781</v>
      </c>
      <c r="AR59" s="13" t="n">
        <f aca="false">Inputs!$F$77*AR47</f>
        <v>0.298047889405514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1746</v>
      </c>
      <c r="E60" s="0" t="s">
        <v>151</v>
      </c>
      <c r="G60" s="13" t="n">
        <f aca="false">SUM(J60:BJ60)</f>
        <v>248.881214357358</v>
      </c>
      <c r="J60" s="13" t="n">
        <f aca="false">Inputs!$F$78*J47</f>
        <v>34.7698172485386</v>
      </c>
      <c r="K60" s="13" t="n">
        <f aca="false">Inputs!$F$78*K47</f>
        <v>0.704546216330983</v>
      </c>
      <c r="L60" s="13" t="n">
        <f aca="false">Inputs!$F$78*L47</f>
        <v>0.898754415192535</v>
      </c>
      <c r="M60" s="13" t="n">
        <f aca="false">Inputs!$F$78*M47</f>
        <v>1.27526130013055</v>
      </c>
      <c r="N60" s="13" t="n">
        <f aca="false">Inputs!$F$78*N47</f>
        <v>1.83824331454683</v>
      </c>
      <c r="O60" s="13" t="n">
        <f aca="false">Inputs!$F$78*O47</f>
        <v>2.54730539972164</v>
      </c>
      <c r="P60" s="13" t="n">
        <f aca="false">Inputs!$F$78*P47</f>
        <v>3.3266754286176</v>
      </c>
      <c r="Q60" s="13" t="n">
        <f aca="false">Inputs!$F$78*Q47</f>
        <v>4.21722666441745</v>
      </c>
      <c r="R60" s="13" t="n">
        <f aca="false">Inputs!$F$78*R47</f>
        <v>5.11020568693895</v>
      </c>
      <c r="S60" s="13" t="n">
        <f aca="false">Inputs!$F$78*S47</f>
        <v>6.01614271800138</v>
      </c>
      <c r="T60" s="13" t="n">
        <f aca="false">Inputs!$F$78*T47</f>
        <v>6.8672258940897</v>
      </c>
      <c r="U60" s="13" t="n">
        <f aca="false">Inputs!$F$78*U47</f>
        <v>7.68969914678492</v>
      </c>
      <c r="V60" s="13" t="n">
        <f aca="false">Inputs!$F$78*V47</f>
        <v>8.40628793328793</v>
      </c>
      <c r="W60" s="13" t="n">
        <f aca="false">Inputs!$F$78*W47</f>
        <v>9.00489709081685</v>
      </c>
      <c r="X60" s="13" t="n">
        <f aca="false">Inputs!$F$78*X47</f>
        <v>9.4955812272494</v>
      </c>
      <c r="Y60" s="13" t="n">
        <f aca="false">Inputs!$F$78*Y47</f>
        <v>9.82740950933986</v>
      </c>
      <c r="Z60" s="13" t="n">
        <f aca="false">Inputs!$F$78*Z47</f>
        <v>10.0299452351796</v>
      </c>
      <c r="AA60" s="13" t="n">
        <f aca="false">Inputs!$F$78*AA47</f>
        <v>10.4142572601702</v>
      </c>
      <c r="AB60" s="13" t="n">
        <f aca="false">Inputs!$F$78*AB47</f>
        <v>9.94407602023694</v>
      </c>
      <c r="AC60" s="13" t="n">
        <f aca="false">Inputs!$F$78*AC47</f>
        <v>9.70092288042121</v>
      </c>
      <c r="AD60" s="13" t="n">
        <f aca="false">Inputs!$F$78*AD47</f>
        <v>9.28004594533774</v>
      </c>
      <c r="AE60" s="13" t="n">
        <f aca="false">Inputs!$F$78*AE47</f>
        <v>8.75322717819049</v>
      </c>
      <c r="AF60" s="13" t="n">
        <f aca="false">Inputs!$F$78*AF47</f>
        <v>8.08740383568026</v>
      </c>
      <c r="AG60" s="13" t="n">
        <f aca="false">Inputs!$F$78*AG47</f>
        <v>7.36257302984407</v>
      </c>
      <c r="AH60" s="13" t="n">
        <f aca="false">Inputs!$F$78*AH47</f>
        <v>6.54821531591115</v>
      </c>
      <c r="AI60" s="13" t="n">
        <f aca="false">Inputs!$F$78*AI47</f>
        <v>5.67944634195366</v>
      </c>
      <c r="AJ60" s="13" t="n">
        <f aca="false">Inputs!$F$78*AJ47</f>
        <v>4.82891989137928</v>
      </c>
      <c r="AK60" s="13" t="n">
        <f aca="false">Inputs!$F$78*AK47</f>
        <v>3.97545741978241</v>
      </c>
      <c r="AL60" s="13" t="n">
        <f aca="false">Inputs!$F$78*AL47</f>
        <v>3.21128985406148</v>
      </c>
      <c r="AM60" s="13" t="n">
        <f aca="false">Inputs!$F$78*AM47</f>
        <v>2.53907553789773</v>
      </c>
      <c r="AN60" s="13" t="n">
        <f aca="false">Inputs!$F$78*AN47</f>
        <v>1.95194966304706</v>
      </c>
      <c r="AO60" s="13" t="n">
        <f aca="false">Inputs!$F$78*AO47</f>
        <v>1.62006009183243</v>
      </c>
      <c r="AP60" s="13" t="n">
        <f aca="false">Inputs!$F$78*AP47</f>
        <v>15.5167349169186</v>
      </c>
      <c r="AQ60" s="13" t="n">
        <f aca="false">Inputs!$F$78*AQ47</f>
        <v>16.3097527657677</v>
      </c>
      <c r="AR60" s="13" t="n">
        <f aca="false">Inputs!$F$78*AR47</f>
        <v>1.13258197974096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1747</v>
      </c>
      <c r="E61" s="0" t="s">
        <v>151</v>
      </c>
      <c r="J61" s="13" t="n">
        <f aca="false">J28+J57</f>
        <v>27.4498557225305</v>
      </c>
      <c r="K61" s="13" t="n">
        <f aca="false">K28+K57</f>
        <v>28.0060764196339</v>
      </c>
      <c r="L61" s="13" t="n">
        <f aca="false">L28+L57</f>
        <v>28.7156193789964</v>
      </c>
      <c r="M61" s="13" t="n">
        <f aca="false">M28+M57</f>
        <v>29.7224046159416</v>
      </c>
      <c r="N61" s="13" t="n">
        <f aca="false">N28+N57</f>
        <v>31.1736493379522</v>
      </c>
      <c r="O61" s="13" t="n">
        <f aca="false">O28+O57</f>
        <v>33.1846799166798</v>
      </c>
      <c r="P61" s="13" t="n">
        <f aca="false">P28+P57</f>
        <v>35.8110026234832</v>
      </c>
      <c r="Q61" s="13" t="n">
        <f aca="false">Q28+Q57</f>
        <v>39.1403920953917</v>
      </c>
      <c r="R61" s="13" t="n">
        <f aca="false">R28+R57</f>
        <v>43.174765006133</v>
      </c>
      <c r="S61" s="13" t="n">
        <f aca="false">S28+S57</f>
        <v>47.9243513624499</v>
      </c>
      <c r="T61" s="13" t="n">
        <f aca="false">T28+T57</f>
        <v>53.3458454893628</v>
      </c>
      <c r="U61" s="13" t="n">
        <f aca="false">U28+U57</f>
        <v>59.4166606052456</v>
      </c>
      <c r="V61" s="13" t="n">
        <f aca="false">V28+V57</f>
        <v>66.0532037104729</v>
      </c>
      <c r="W61" s="13" t="n">
        <f aca="false">W28+W57</f>
        <v>73.1623329926967</v>
      </c>
      <c r="X61" s="13" t="n">
        <f aca="false">X28+X57</f>
        <v>80.6588444878936</v>
      </c>
      <c r="Y61" s="13" t="n">
        <f aca="false">Y28+Y57</f>
        <v>88.4173256794777</v>
      </c>
      <c r="Z61" s="13" t="n">
        <f aca="false">Z28+Z57</f>
        <v>96.3357034967248</v>
      </c>
      <c r="AA61" s="13" t="n">
        <f aca="false">AA28+AA57</f>
        <v>104.557485544228</v>
      </c>
      <c r="AB61" s="13" t="n">
        <f aca="false">AB28+AB57</f>
        <v>112.408071875994</v>
      </c>
      <c r="AC61" s="13" t="n">
        <f aca="false">AC28+AC57</f>
        <v>120.066695202642</v>
      </c>
      <c r="AD61" s="13" t="n">
        <f aca="false">AD28+AD57</f>
        <v>127.393047264751</v>
      </c>
      <c r="AE61" s="13" t="n">
        <f aca="false">AE28+AE57</f>
        <v>134.303489773848</v>
      </c>
      <c r="AF61" s="13" t="n">
        <f aca="false">AF28+AF57</f>
        <v>140.688282275701</v>
      </c>
      <c r="AG61" s="13" t="n">
        <f aca="false">AG28+AG57</f>
        <v>146.500839930841</v>
      </c>
      <c r="AH61" s="13" t="n">
        <f aca="false">AH28+AH57</f>
        <v>151.670483601298</v>
      </c>
      <c r="AI61" s="13" t="n">
        <f aca="false">AI28+AI57</f>
        <v>156.154257029156</v>
      </c>
      <c r="AJ61" s="13" t="n">
        <f aca="false">AJ28+AJ57</f>
        <v>159.96656220656</v>
      </c>
      <c r="AK61" s="13" t="n">
        <f aca="false">AK28+AK57</f>
        <v>163.105081222178</v>
      </c>
      <c r="AL61" s="13" t="n">
        <f aca="false">AL28+AL57</f>
        <v>165.640310054332</v>
      </c>
      <c r="AM61" s="13" t="n">
        <f aca="false">AM28+AM57</f>
        <v>167.644843373725</v>
      </c>
      <c r="AN61" s="13" t="n">
        <f aca="false">AN28+AN57</f>
        <v>169.185856265604</v>
      </c>
      <c r="AO61" s="13" t="n">
        <f aca="false">AO28+AO57</f>
        <v>170.464851074945</v>
      </c>
      <c r="AP61" s="13" t="n">
        <f aca="false">AP28+AP57</f>
        <v>182.714904956723</v>
      </c>
      <c r="AQ61" s="13" t="n">
        <f aca="false">AQ28+AQ57</f>
        <v>195.591025561277</v>
      </c>
      <c r="AR61" s="13" t="n">
        <f aca="false">AR28+AR57</f>
        <v>196.485169229493</v>
      </c>
      <c r="AS61" s="13" t="n">
        <f aca="false">AS28+AS57</f>
        <v>196.485169229493</v>
      </c>
      <c r="AT61" s="13" t="n">
        <f aca="false">AT28+AT57</f>
        <v>196.485169229493</v>
      </c>
      <c r="AU61" s="13" t="n">
        <f aca="false">AU28+AU57</f>
        <v>196.485169229493</v>
      </c>
      <c r="AV61" s="13" t="n">
        <f aca="false">AV28+AV57</f>
        <v>196.485169229493</v>
      </c>
      <c r="AW61" s="13" t="n">
        <f aca="false">AW28+AW57</f>
        <v>196.485169229493</v>
      </c>
      <c r="AX61" s="13" t="n">
        <f aca="false">AX28+AX57</f>
        <v>196.485169229493</v>
      </c>
      <c r="AY61" s="13" t="n">
        <f aca="false">AY28+AY57</f>
        <v>196.485169229493</v>
      </c>
      <c r="AZ61" s="13" t="n">
        <f aca="false">AZ28+AZ57</f>
        <v>196.485169229493</v>
      </c>
      <c r="BA61" s="13" t="n">
        <f aca="false">BA28+BA57</f>
        <v>196.485169229493</v>
      </c>
      <c r="BB61" s="13" t="n">
        <f aca="false">BB28+BB57</f>
        <v>196.485169229493</v>
      </c>
      <c r="BC61" s="13" t="n">
        <f aca="false">BC28+BC57</f>
        <v>196.485169229493</v>
      </c>
      <c r="BD61" s="13" t="n">
        <f aca="false">BD28+BD57</f>
        <v>196.485169229493</v>
      </c>
      <c r="BE61" s="13" t="n">
        <f aca="false">BE28+BE57</f>
        <v>196.485169229493</v>
      </c>
      <c r="BF61" s="13" t="n">
        <f aca="false">BF28+BF57</f>
        <v>196.485169229493</v>
      </c>
      <c r="BG61" s="13" t="n">
        <f aca="false">BG28+BG57</f>
        <v>196.485169229493</v>
      </c>
      <c r="BH61" s="13" t="n">
        <f aca="false">BH28+BH57</f>
        <v>196.485169229493</v>
      </c>
      <c r="BI61" s="13" t="n">
        <f aca="false">BI28+BI57</f>
        <v>196.485169229493</v>
      </c>
      <c r="BJ61" s="13" t="n">
        <f aca="false">BJ28+BJ57</f>
        <v>196.485169229493</v>
      </c>
    </row>
    <row r="62" customFormat="false" ht="15" hidden="false" customHeight="false" outlineLevel="0" collapsed="false">
      <c r="D62" s="0" t="s">
        <v>1748</v>
      </c>
      <c r="E62" s="0" t="s">
        <v>151</v>
      </c>
      <c r="J62" s="13" t="n">
        <f aca="false">J29+J58</f>
        <v>20.1298941965223</v>
      </c>
      <c r="K62" s="13" t="n">
        <f aca="false">K29+K58</f>
        <v>20.5377893743982</v>
      </c>
      <c r="L62" s="13" t="n">
        <f aca="false">L29+L58</f>
        <v>21.0581208779307</v>
      </c>
      <c r="M62" s="13" t="n">
        <f aca="false">M29+M58</f>
        <v>21.7964300516905</v>
      </c>
      <c r="N62" s="13" t="n">
        <f aca="false">N29+N58</f>
        <v>22.860676181165</v>
      </c>
      <c r="O62" s="13" t="n">
        <f aca="false">O29+O58</f>
        <v>24.3354319388985</v>
      </c>
      <c r="P62" s="13" t="n">
        <f aca="false">P29+P58</f>
        <v>26.2614019238877</v>
      </c>
      <c r="Q62" s="13" t="n">
        <f aca="false">Q29+Q58</f>
        <v>28.7029542032873</v>
      </c>
      <c r="R62" s="13" t="n">
        <f aca="false">R29+R58</f>
        <v>31.6614943378309</v>
      </c>
      <c r="S62" s="13" t="n">
        <f aca="false">S29+S58</f>
        <v>35.1445243324632</v>
      </c>
      <c r="T62" s="13" t="n">
        <f aca="false">T29+T58</f>
        <v>39.1202866921994</v>
      </c>
      <c r="U62" s="13" t="n">
        <f aca="false">U29+U58</f>
        <v>43.5722177771801</v>
      </c>
      <c r="V62" s="13" t="n">
        <f aca="false">V29+V58</f>
        <v>48.4390160543468</v>
      </c>
      <c r="W62" s="13" t="n">
        <f aca="false">W29+W58</f>
        <v>53.6523775279776</v>
      </c>
      <c r="X62" s="13" t="n">
        <f aca="false">X29+X58</f>
        <v>59.149819291122</v>
      </c>
      <c r="Y62" s="13" t="n">
        <f aca="false">Y29+Y58</f>
        <v>64.8393721649503</v>
      </c>
      <c r="Z62" s="13" t="n">
        <f aca="false">Z29+Z58</f>
        <v>70.6461825642649</v>
      </c>
      <c r="AA62" s="13" t="n">
        <f aca="false">AA29+AA58</f>
        <v>76.6754893991002</v>
      </c>
      <c r="AB62" s="13" t="n">
        <f aca="false">AB29+AB58</f>
        <v>82.4325860423953</v>
      </c>
      <c r="AC62" s="13" t="n">
        <f aca="false">AC29+AC58</f>
        <v>88.0489098152708</v>
      </c>
      <c r="AD62" s="13" t="n">
        <f aca="false">AD29+AD58</f>
        <v>93.4215679941505</v>
      </c>
      <c r="AE62" s="13" t="n">
        <f aca="false">AE29+AE58</f>
        <v>98.4892258341555</v>
      </c>
      <c r="AF62" s="13" t="n">
        <f aca="false">AF29+AF58</f>
        <v>103.171407002181</v>
      </c>
      <c r="AG62" s="13" t="n">
        <f aca="false">AG29+AG58</f>
        <v>107.433949282617</v>
      </c>
      <c r="AH62" s="13" t="n">
        <f aca="false">AH29+AH58</f>
        <v>111.225021307618</v>
      </c>
      <c r="AI62" s="13" t="n">
        <f aca="false">AI29+AI58</f>
        <v>114.513121821381</v>
      </c>
      <c r="AJ62" s="13" t="n">
        <f aca="false">AJ29+AJ58</f>
        <v>117.308812284811</v>
      </c>
      <c r="AK62" s="13" t="n">
        <f aca="false">AK29+AK58</f>
        <v>119.610392896264</v>
      </c>
      <c r="AL62" s="13" t="n">
        <f aca="false">AL29+AL58</f>
        <v>121.46956070651</v>
      </c>
      <c r="AM62" s="13" t="n">
        <f aca="false">AM29+AM58</f>
        <v>122.939551807398</v>
      </c>
      <c r="AN62" s="13" t="n">
        <f aca="false">AN29+AN58</f>
        <v>124.06962792811</v>
      </c>
      <c r="AO62" s="13" t="n">
        <f aca="false">AO29+AO58</f>
        <v>125.00755745496</v>
      </c>
      <c r="AP62" s="13" t="n">
        <f aca="false">AP29+AP58</f>
        <v>133.990930301597</v>
      </c>
      <c r="AQ62" s="13" t="n">
        <f aca="false">AQ29+AQ58</f>
        <v>143.433418744936</v>
      </c>
      <c r="AR62" s="13" t="n">
        <f aca="false">AR29+AR58</f>
        <v>144.089124101628</v>
      </c>
      <c r="AS62" s="13" t="n">
        <f aca="false">AS29+AS58</f>
        <v>144.089124101628</v>
      </c>
      <c r="AT62" s="13" t="n">
        <f aca="false">AT29+AT58</f>
        <v>144.089124101628</v>
      </c>
      <c r="AU62" s="13" t="n">
        <f aca="false">AU29+AU58</f>
        <v>144.089124101628</v>
      </c>
      <c r="AV62" s="13" t="n">
        <f aca="false">AV29+AV58</f>
        <v>144.089124101628</v>
      </c>
      <c r="AW62" s="13" t="n">
        <f aca="false">AW29+AW58</f>
        <v>144.089124101628</v>
      </c>
      <c r="AX62" s="13" t="n">
        <f aca="false">AX29+AX58</f>
        <v>144.089124101628</v>
      </c>
      <c r="AY62" s="13" t="n">
        <f aca="false">AY29+AY58</f>
        <v>144.089124101628</v>
      </c>
      <c r="AZ62" s="13" t="n">
        <f aca="false">AZ29+AZ58</f>
        <v>144.089124101628</v>
      </c>
      <c r="BA62" s="13" t="n">
        <f aca="false">BA29+BA58</f>
        <v>144.089124101628</v>
      </c>
      <c r="BB62" s="13" t="n">
        <f aca="false">BB29+BB58</f>
        <v>144.089124101628</v>
      </c>
      <c r="BC62" s="13" t="n">
        <f aca="false">BC29+BC58</f>
        <v>144.089124101628</v>
      </c>
      <c r="BD62" s="13" t="n">
        <f aca="false">BD29+BD58</f>
        <v>144.089124101628</v>
      </c>
      <c r="BE62" s="13" t="n">
        <f aca="false">BE29+BE58</f>
        <v>144.089124101628</v>
      </c>
      <c r="BF62" s="13" t="n">
        <f aca="false">BF29+BF58</f>
        <v>144.089124101628</v>
      </c>
      <c r="BG62" s="13" t="n">
        <f aca="false">BG29+BG58</f>
        <v>144.089124101628</v>
      </c>
      <c r="BH62" s="13" t="n">
        <f aca="false">BH29+BH58</f>
        <v>144.089124101628</v>
      </c>
      <c r="BI62" s="13" t="n">
        <f aca="false">BI29+BI58</f>
        <v>144.089124101628</v>
      </c>
      <c r="BJ62" s="13" t="n">
        <f aca="false">BJ29+BJ58</f>
        <v>144.089124101628</v>
      </c>
    </row>
    <row r="63" customFormat="false" ht="15" hidden="false" customHeight="false" outlineLevel="0" collapsed="false">
      <c r="D63" s="0" t="s">
        <v>1749</v>
      </c>
      <c r="E63" s="0" t="s">
        <v>151</v>
      </c>
      <c r="J63" s="13" t="n">
        <f aca="false">J30+J59</f>
        <v>9.14995190751015</v>
      </c>
      <c r="K63" s="13" t="n">
        <f aca="false">K30+K59</f>
        <v>9.33535880654462</v>
      </c>
      <c r="L63" s="13" t="n">
        <f aca="false">L30+L59</f>
        <v>9.57187312633213</v>
      </c>
      <c r="M63" s="13" t="n">
        <f aca="false">M30+M59</f>
        <v>9.90746820531385</v>
      </c>
      <c r="N63" s="13" t="n">
        <f aca="false">N30+N59</f>
        <v>10.3912164459841</v>
      </c>
      <c r="O63" s="13" t="n">
        <f aca="false">O30+O59</f>
        <v>11.0615599722266</v>
      </c>
      <c r="P63" s="13" t="n">
        <f aca="false">P30+P59</f>
        <v>11.9370008744944</v>
      </c>
      <c r="Q63" s="13" t="n">
        <f aca="false">Q30+Q59</f>
        <v>13.0467973651306</v>
      </c>
      <c r="R63" s="13" t="n">
        <f aca="false">R30+R59</f>
        <v>14.3915883353777</v>
      </c>
      <c r="S63" s="13" t="n">
        <f aca="false">S30+S59</f>
        <v>15.9747837874833</v>
      </c>
      <c r="T63" s="13" t="n">
        <f aca="false">T30+T59</f>
        <v>17.7819484964543</v>
      </c>
      <c r="U63" s="13" t="n">
        <f aca="false">U30+U59</f>
        <v>19.8055535350819</v>
      </c>
      <c r="V63" s="13" t="n">
        <f aca="false">V30+V59</f>
        <v>22.0177345701576</v>
      </c>
      <c r="W63" s="13" t="n">
        <f aca="false">W30+W59</f>
        <v>24.3874443308989</v>
      </c>
      <c r="X63" s="13" t="n">
        <f aca="false">X30+X59</f>
        <v>26.8862814959645</v>
      </c>
      <c r="Y63" s="13" t="n">
        <f aca="false">Y30+Y59</f>
        <v>29.4724418931592</v>
      </c>
      <c r="Z63" s="13" t="n">
        <f aca="false">Z30+Z59</f>
        <v>32.1119011655749</v>
      </c>
      <c r="AA63" s="13" t="n">
        <f aca="false">AA30+AA59</f>
        <v>34.8524951814092</v>
      </c>
      <c r="AB63" s="13" t="n">
        <f aca="false">AB30+AB59</f>
        <v>37.4693572919979</v>
      </c>
      <c r="AC63" s="13" t="n">
        <f aca="false">AC30+AC59</f>
        <v>40.022231734214</v>
      </c>
      <c r="AD63" s="13" t="n">
        <f aca="false">AD30+AD59</f>
        <v>42.4643490882502</v>
      </c>
      <c r="AE63" s="13" t="n">
        <f aca="false">AE30+AE59</f>
        <v>44.7678299246161</v>
      </c>
      <c r="AF63" s="13" t="n">
        <f aca="false">AF30+AF59</f>
        <v>46.8960940919004</v>
      </c>
      <c r="AG63" s="13" t="n">
        <f aca="false">AG30+AG59</f>
        <v>48.8336133102804</v>
      </c>
      <c r="AH63" s="13" t="n">
        <f aca="false">AH30+AH59</f>
        <v>50.5568278670992</v>
      </c>
      <c r="AI63" s="13" t="n">
        <f aca="false">AI30+AI59</f>
        <v>52.0514190097186</v>
      </c>
      <c r="AJ63" s="13" t="n">
        <f aca="false">AJ30+AJ59</f>
        <v>53.3221874021868</v>
      </c>
      <c r="AK63" s="13" t="n">
        <f aca="false">AK30+AK59</f>
        <v>54.3683604073927</v>
      </c>
      <c r="AL63" s="13" t="n">
        <f aca="false">AL30+AL59</f>
        <v>55.2134366847773</v>
      </c>
      <c r="AM63" s="13" t="n">
        <f aca="false">AM30+AM59</f>
        <v>55.8816144579083</v>
      </c>
      <c r="AN63" s="13" t="n">
        <f aca="false">AN30+AN59</f>
        <v>56.395285421868</v>
      </c>
      <c r="AO63" s="13" t="n">
        <f aca="false">AO30+AO59</f>
        <v>56.8216170249818</v>
      </c>
      <c r="AP63" s="13" t="n">
        <f aca="false">AP30+AP59</f>
        <v>60.9049683189078</v>
      </c>
      <c r="AQ63" s="13" t="n">
        <f aca="false">AQ30+AQ59</f>
        <v>65.1970085204256</v>
      </c>
      <c r="AR63" s="13" t="n">
        <f aca="false">AR30+AR59</f>
        <v>65.4950564098311</v>
      </c>
      <c r="AS63" s="13" t="n">
        <f aca="false">AS30+AS59</f>
        <v>65.4950564098311</v>
      </c>
      <c r="AT63" s="13" t="n">
        <f aca="false">AT30+AT59</f>
        <v>65.4950564098311</v>
      </c>
      <c r="AU63" s="13" t="n">
        <f aca="false">AU30+AU59</f>
        <v>65.4950564098311</v>
      </c>
      <c r="AV63" s="13" t="n">
        <f aca="false">AV30+AV59</f>
        <v>65.4950564098311</v>
      </c>
      <c r="AW63" s="13" t="n">
        <f aca="false">AW30+AW59</f>
        <v>65.4950564098311</v>
      </c>
      <c r="AX63" s="13" t="n">
        <f aca="false">AX30+AX59</f>
        <v>65.4950564098311</v>
      </c>
      <c r="AY63" s="13" t="n">
        <f aca="false">AY30+AY59</f>
        <v>65.4950564098311</v>
      </c>
      <c r="AZ63" s="13" t="n">
        <f aca="false">AZ30+AZ59</f>
        <v>65.4950564098311</v>
      </c>
      <c r="BA63" s="13" t="n">
        <f aca="false">BA30+BA59</f>
        <v>65.4950564098311</v>
      </c>
      <c r="BB63" s="13" t="n">
        <f aca="false">BB30+BB59</f>
        <v>65.4950564098311</v>
      </c>
      <c r="BC63" s="13" t="n">
        <f aca="false">BC30+BC59</f>
        <v>65.4950564098311</v>
      </c>
      <c r="BD63" s="13" t="n">
        <f aca="false">BD30+BD59</f>
        <v>65.4950564098311</v>
      </c>
      <c r="BE63" s="13" t="n">
        <f aca="false">BE30+BE59</f>
        <v>65.4950564098311</v>
      </c>
      <c r="BF63" s="13" t="n">
        <f aca="false">BF30+BF59</f>
        <v>65.4950564098311</v>
      </c>
      <c r="BG63" s="13" t="n">
        <f aca="false">BG30+BG59</f>
        <v>65.4950564098311</v>
      </c>
      <c r="BH63" s="13" t="n">
        <f aca="false">BH30+BH59</f>
        <v>65.4950564098311</v>
      </c>
      <c r="BI63" s="13" t="n">
        <f aca="false">BI30+BI59</f>
        <v>65.4950564098311</v>
      </c>
      <c r="BJ63" s="13" t="n">
        <f aca="false">BJ30+BJ59</f>
        <v>65.4950564098311</v>
      </c>
    </row>
    <row r="64" customFormat="false" ht="15" hidden="false" customHeight="false" outlineLevel="0" collapsed="false">
      <c r="D64" s="0" t="s">
        <v>1750</v>
      </c>
      <c r="E64" s="0" t="s">
        <v>151</v>
      </c>
      <c r="J64" s="13" t="n">
        <f aca="false">J31+J60</f>
        <v>34.7698172485386</v>
      </c>
      <c r="K64" s="13" t="n">
        <f aca="false">K31+K60</f>
        <v>35.4743634648696</v>
      </c>
      <c r="L64" s="13" t="n">
        <f aca="false">L31+L60</f>
        <v>36.3731178800621</v>
      </c>
      <c r="M64" s="13" t="n">
        <f aca="false">M31+M60</f>
        <v>37.6483791801926</v>
      </c>
      <c r="N64" s="13" t="n">
        <f aca="false">N31+N60</f>
        <v>39.4866224947395</v>
      </c>
      <c r="O64" s="13" t="n">
        <f aca="false">O31+O60</f>
        <v>42.0339278944611</v>
      </c>
      <c r="P64" s="13" t="n">
        <f aca="false">P31+P60</f>
        <v>45.3606033230787</v>
      </c>
      <c r="Q64" s="13" t="n">
        <f aca="false">Q31+Q60</f>
        <v>49.5778299874962</v>
      </c>
      <c r="R64" s="13" t="n">
        <f aca="false">R31+R60</f>
        <v>54.6880356744351</v>
      </c>
      <c r="S64" s="13" t="n">
        <f aca="false">S31+S60</f>
        <v>60.7041783924365</v>
      </c>
      <c r="T64" s="13" t="n">
        <f aca="false">T31+T60</f>
        <v>67.5714042865262</v>
      </c>
      <c r="U64" s="13" t="n">
        <f aca="false">U31+U60</f>
        <v>75.2611034333111</v>
      </c>
      <c r="V64" s="13" t="n">
        <f aca="false">V31+V60</f>
        <v>83.667391366599</v>
      </c>
      <c r="W64" s="13" t="n">
        <f aca="false">W31+W60</f>
        <v>92.6722884574159</v>
      </c>
      <c r="X64" s="13" t="n">
        <f aca="false">X31+X60</f>
        <v>102.167869684665</v>
      </c>
      <c r="Y64" s="13" t="n">
        <f aca="false">Y31+Y60</f>
        <v>111.995279194005</v>
      </c>
      <c r="Z64" s="13" t="n">
        <f aca="false">Z31+Z60</f>
        <v>122.025224429185</v>
      </c>
      <c r="AA64" s="13" t="n">
        <f aca="false">AA31+AA60</f>
        <v>132.439481689355</v>
      </c>
      <c r="AB64" s="13" t="n">
        <f aca="false">AB31+AB60</f>
        <v>142.383557709592</v>
      </c>
      <c r="AC64" s="13" t="n">
        <f aca="false">AC31+AC60</f>
        <v>152.084480590013</v>
      </c>
      <c r="AD64" s="13" t="n">
        <f aca="false">AD31+AD60</f>
        <v>161.364526535351</v>
      </c>
      <c r="AE64" s="13" t="n">
        <f aca="false">AE31+AE60</f>
        <v>170.117753713541</v>
      </c>
      <c r="AF64" s="13" t="n">
        <f aca="false">AF31+AF60</f>
        <v>178.205157549222</v>
      </c>
      <c r="AG64" s="13" t="n">
        <f aca="false">AG31+AG60</f>
        <v>185.567730579066</v>
      </c>
      <c r="AH64" s="13" t="n">
        <f aca="false">AH31+AH60</f>
        <v>192.115945894977</v>
      </c>
      <c r="AI64" s="13" t="n">
        <f aca="false">AI31+AI60</f>
        <v>197.795392236931</v>
      </c>
      <c r="AJ64" s="13" t="n">
        <f aca="false">AJ31+AJ60</f>
        <v>202.62431212831</v>
      </c>
      <c r="AK64" s="13" t="n">
        <f aca="false">AK31+AK60</f>
        <v>206.599769548092</v>
      </c>
      <c r="AL64" s="13" t="n">
        <f aca="false">AL31+AL60</f>
        <v>209.811059402154</v>
      </c>
      <c r="AM64" s="13" t="n">
        <f aca="false">AM31+AM60</f>
        <v>212.350134940051</v>
      </c>
      <c r="AN64" s="13" t="n">
        <f aca="false">AN31+AN60</f>
        <v>214.302084603098</v>
      </c>
      <c r="AO64" s="13" t="n">
        <f aca="false">AO31+AO60</f>
        <v>215.922144694931</v>
      </c>
      <c r="AP64" s="13" t="n">
        <f aca="false">AP31+AP60</f>
        <v>231.43887961185</v>
      </c>
      <c r="AQ64" s="13" t="n">
        <f aca="false">AQ31+AQ60</f>
        <v>247.748632377617</v>
      </c>
      <c r="AR64" s="13" t="n">
        <f aca="false">AR31+AR60</f>
        <v>248.881214357358</v>
      </c>
      <c r="AS64" s="13" t="n">
        <f aca="false">AS31+AS60</f>
        <v>248.881214357358</v>
      </c>
      <c r="AT64" s="13" t="n">
        <f aca="false">AT31+AT60</f>
        <v>248.881214357358</v>
      </c>
      <c r="AU64" s="13" t="n">
        <f aca="false">AU31+AU60</f>
        <v>248.881214357358</v>
      </c>
      <c r="AV64" s="13" t="n">
        <f aca="false">AV31+AV60</f>
        <v>248.881214357358</v>
      </c>
      <c r="AW64" s="13" t="n">
        <f aca="false">AW31+AW60</f>
        <v>248.881214357358</v>
      </c>
      <c r="AX64" s="13" t="n">
        <f aca="false">AX31+AX60</f>
        <v>248.881214357358</v>
      </c>
      <c r="AY64" s="13" t="n">
        <f aca="false">AY31+AY60</f>
        <v>248.881214357358</v>
      </c>
      <c r="AZ64" s="13" t="n">
        <f aca="false">AZ31+AZ60</f>
        <v>248.881214357358</v>
      </c>
      <c r="BA64" s="13" t="n">
        <f aca="false">BA31+BA60</f>
        <v>248.881214357358</v>
      </c>
      <c r="BB64" s="13" t="n">
        <f aca="false">BB31+BB60</f>
        <v>248.881214357358</v>
      </c>
      <c r="BC64" s="13" t="n">
        <f aca="false">BC31+BC60</f>
        <v>248.881214357358</v>
      </c>
      <c r="BD64" s="13" t="n">
        <f aca="false">BD31+BD60</f>
        <v>248.881214357358</v>
      </c>
      <c r="BE64" s="13" t="n">
        <f aca="false">BE31+BE60</f>
        <v>248.881214357358</v>
      </c>
      <c r="BF64" s="13" t="n">
        <f aca="false">BF31+BF60</f>
        <v>248.881214357358</v>
      </c>
      <c r="BG64" s="13" t="n">
        <f aca="false">BG31+BG60</f>
        <v>248.881214357358</v>
      </c>
      <c r="BH64" s="13" t="n">
        <f aca="false">BH31+BH60</f>
        <v>248.881214357358</v>
      </c>
      <c r="BI64" s="13" t="n">
        <f aca="false">BI31+BI60</f>
        <v>248.881214357358</v>
      </c>
      <c r="BJ64" s="13" t="n">
        <f aca="false">BJ31+BJ60</f>
        <v>248.881214357358</v>
      </c>
    </row>
    <row r="65" customFormat="false" ht="15" hidden="false" customHeight="false" outlineLevel="0" collapsed="false">
      <c r="D65" s="0" t="s">
        <v>1751</v>
      </c>
      <c r="E65" s="0" t="s">
        <v>151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0</v>
      </c>
      <c r="AS65" s="13" t="n">
        <f aca="false">AS32+AS55</f>
        <v>0</v>
      </c>
      <c r="AT65" s="13" t="n">
        <f aca="false">AT32+AT55</f>
        <v>0</v>
      </c>
      <c r="AU65" s="13" t="n">
        <f aca="false">AU32+AU55</f>
        <v>0</v>
      </c>
      <c r="AV65" s="13" t="n">
        <f aca="false">AV32+AV55</f>
        <v>0</v>
      </c>
      <c r="AW65" s="13" t="n">
        <f aca="false">AW32+AW55</f>
        <v>0</v>
      </c>
      <c r="AX65" s="13" t="n">
        <f aca="false">AX32+AX55</f>
        <v>0</v>
      </c>
      <c r="AY65" s="13" t="n">
        <f aca="false">AY32+AY55</f>
        <v>0</v>
      </c>
      <c r="AZ65" s="13" t="n">
        <f aca="false">AZ32+AZ55</f>
        <v>0</v>
      </c>
      <c r="BA65" s="13" t="n">
        <f aca="false">BA32+BA55</f>
        <v>0</v>
      </c>
      <c r="BB65" s="13" t="n">
        <f aca="false">BB32+BB55</f>
        <v>0</v>
      </c>
      <c r="BC65" s="13" t="n">
        <f aca="false">BC32+BC55</f>
        <v>0</v>
      </c>
      <c r="BD65" s="13" t="n">
        <f aca="false">BD32+BD55</f>
        <v>0</v>
      </c>
      <c r="BE65" s="13" t="n">
        <f aca="false">BE32+BE55</f>
        <v>0</v>
      </c>
      <c r="BF65" s="13" t="n">
        <f aca="false">BF32+BF55</f>
        <v>0</v>
      </c>
      <c r="BG65" s="13" t="n">
        <f aca="false">BG32+BG55</f>
        <v>0</v>
      </c>
      <c r="BH65" s="13" t="n">
        <f aca="false">BH32+BH55</f>
        <v>0</v>
      </c>
      <c r="BI65" s="13" t="n">
        <f aca="false">BI32+BI55</f>
        <v>0</v>
      </c>
      <c r="BJ65" s="13" t="n">
        <f aca="false">BJ32+BJ55</f>
        <v>0</v>
      </c>
    </row>
    <row r="66" customFormat="false" ht="15" hidden="false" customHeight="false" outlineLevel="0" collapsed="false">
      <c r="B66" s="2" t="s">
        <v>1752</v>
      </c>
    </row>
    <row r="67" customFormat="false" ht="15" hidden="false" customHeight="false" outlineLevel="0" collapsed="false">
      <c r="D67" s="0" t="s">
        <v>1753</v>
      </c>
      <c r="E67" s="0" t="s">
        <v>151</v>
      </c>
      <c r="G67" s="13" t="n">
        <f aca="false">SUM(J67:BJ67)</f>
        <v>205.289091311751</v>
      </c>
      <c r="J67" s="13" t="n">
        <f aca="false">J50-J47+J56</f>
        <v>30.4998396917646</v>
      </c>
      <c r="K67" s="13" t="n">
        <f aca="false">K50-K47+K56</f>
        <v>0.618022996782863</v>
      </c>
      <c r="L67" s="13" t="n">
        <f aca="false">L50-L47+L56</f>
        <v>0.788381065960021</v>
      </c>
      <c r="M67" s="13" t="n">
        <f aca="false">M50-M47+M56</f>
        <v>1.11865026327476</v>
      </c>
      <c r="N67" s="13" t="n">
        <f aca="false">N50-N47+N56</f>
        <v>1.61249413557078</v>
      </c>
      <c r="O67" s="13" t="n">
        <f aca="false">O50-O47+O56</f>
        <v>2.23447842081315</v>
      </c>
      <c r="P67" s="13" t="n">
        <f aca="false">P50-P47+P56</f>
        <v>2.91813634089876</v>
      </c>
      <c r="Q67" s="13" t="n">
        <f aca="false">Q50-Q47+Q56</f>
        <v>3.69932163546168</v>
      </c>
      <c r="R67" s="13" t="n">
        <f aca="false">R50-R47+R56</f>
        <v>4.48263656749973</v>
      </c>
      <c r="S67" s="13" t="n">
        <f aca="false">S50-S47+S56</f>
        <v>5.2773181736965</v>
      </c>
      <c r="T67" s="13" t="n">
        <f aca="false">T50-T47+T56</f>
        <v>6.02388236324923</v>
      </c>
      <c r="U67" s="13" t="n">
        <f aca="false">U50-U47+U56</f>
        <v>6.74535012877287</v>
      </c>
      <c r="V67" s="13" t="n">
        <f aca="false">V50-V47+V56</f>
        <v>7.3739367836014</v>
      </c>
      <c r="W67" s="13" t="n">
        <f aca="false">W50-W47+W56</f>
        <v>7.89903253582085</v>
      </c>
      <c r="X67" s="13" t="n">
        <f aca="false">X50-X47+X56</f>
        <v>8.32945721690294</v>
      </c>
      <c r="Y67" s="13" t="n">
        <f aca="false">Y50-Y47+Y56</f>
        <v>8.62053465733378</v>
      </c>
      <c r="Z67" s="13" t="n">
        <f aca="false">Z50-Z47+Z56</f>
        <v>8.79819757473747</v>
      </c>
      <c r="AA67" s="13" t="n">
        <f aca="false">AA50-AA47+AA56</f>
        <v>9.13531338613342</v>
      </c>
      <c r="AB67" s="13" t="n">
        <f aca="false">AB50-AB47+AB56</f>
        <v>8.72287370198056</v>
      </c>
      <c r="AC67" s="13" t="n">
        <f aca="false">AC50-AC47+AC56</f>
        <v>8.50958147407157</v>
      </c>
      <c r="AD67" s="13" t="n">
        <f aca="false">AD50-AD47+AD56</f>
        <v>8.14039118013793</v>
      </c>
      <c r="AE67" s="13" t="n">
        <f aca="false">AE50-AE47+AE56</f>
        <v>7.67826945456919</v>
      </c>
      <c r="AF67" s="13" t="n">
        <f aca="false">AF50-AF47+AF56</f>
        <v>7.09421389096251</v>
      </c>
      <c r="AG67" s="13" t="n">
        <f aca="false">AG50-AG47+AG56</f>
        <v>6.45839739461363</v>
      </c>
      <c r="AH67" s="13" t="n">
        <f aca="false">AH50-AH47+AH56</f>
        <v>5.74404852274115</v>
      </c>
      <c r="AI67" s="13" t="n">
        <f aca="false">AI50-AI47+AI56</f>
        <v>4.98197047540842</v>
      </c>
      <c r="AJ67" s="13" t="n">
        <f aca="false">AJ50-AJ47+AJ56</f>
        <v>4.23589464156967</v>
      </c>
      <c r="AK67" s="13" t="n">
        <f aca="false">AK50-AK47+AK56</f>
        <v>3.48724335069365</v>
      </c>
      <c r="AL67" s="13" t="n">
        <f aca="false">AL50-AL47+AL56</f>
        <v>2.81692092462126</v>
      </c>
      <c r="AM67" s="13" t="n">
        <f aca="false">AM50-AM47+AM56</f>
        <v>2.22725924377462</v>
      </c>
      <c r="AN67" s="13" t="n">
        <f aca="false">AN50-AN47+AN56</f>
        <v>1.71223654653611</v>
      </c>
      <c r="AO67" s="13" t="n">
        <f aca="false">AO50-AO47+AO56</f>
        <v>1.42110534371564</v>
      </c>
      <c r="AP67" s="13" t="n">
        <f aca="false">AP50-AP47+AP56</f>
        <v>13.6111709797818</v>
      </c>
      <c r="AQ67" s="13" t="n">
        <f aca="false">AQ50-AQ47+AQ56</f>
        <v>1.27903728361143</v>
      </c>
      <c r="AR67" s="13" t="n">
        <f aca="false">AR50-AR47+AR56</f>
        <v>0.993492964687136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1754</v>
      </c>
      <c r="E68" s="0" t="s">
        <v>151</v>
      </c>
      <c r="G68" s="13" t="n">
        <f aca="false">SUM(J68:BJ68)</f>
        <v>191.089091311751</v>
      </c>
      <c r="J68" s="13" t="n">
        <f aca="false">J67-IF(Construction!J8=1,Inputs!$F$68,0)</f>
        <v>16.2998396917646</v>
      </c>
      <c r="K68" s="13" t="n">
        <f aca="false">K67-IF(Construction!K8=1,Inputs!$F$68,0)</f>
        <v>0.618022996782863</v>
      </c>
      <c r="L68" s="13" t="n">
        <f aca="false">L67-IF(Construction!L8=1,Inputs!$F$68,0)</f>
        <v>0.788381065960021</v>
      </c>
      <c r="M68" s="13" t="n">
        <f aca="false">M67-IF(Construction!M8=1,Inputs!$F$68,0)</f>
        <v>1.11865026327476</v>
      </c>
      <c r="N68" s="13" t="n">
        <f aca="false">N67-IF(Construction!N8=1,Inputs!$F$68,0)</f>
        <v>1.61249413557078</v>
      </c>
      <c r="O68" s="13" t="n">
        <f aca="false">O67-IF(Construction!O8=1,Inputs!$F$68,0)</f>
        <v>2.23447842081315</v>
      </c>
      <c r="P68" s="13" t="n">
        <f aca="false">P67-IF(Construction!P8=1,Inputs!$F$68,0)</f>
        <v>2.91813634089876</v>
      </c>
      <c r="Q68" s="13" t="n">
        <f aca="false">Q67-IF(Construction!Q8=1,Inputs!$F$68,0)</f>
        <v>3.69932163546168</v>
      </c>
      <c r="R68" s="13" t="n">
        <f aca="false">R67-IF(Construction!R8=1,Inputs!$F$68,0)</f>
        <v>4.48263656749973</v>
      </c>
      <c r="S68" s="13" t="n">
        <f aca="false">S67-IF(Construction!S8=1,Inputs!$F$68,0)</f>
        <v>5.2773181736965</v>
      </c>
      <c r="T68" s="13" t="n">
        <f aca="false">T67-IF(Construction!T8=1,Inputs!$F$68,0)</f>
        <v>6.02388236324923</v>
      </c>
      <c r="U68" s="13" t="n">
        <f aca="false">U67-IF(Construction!U8=1,Inputs!$F$68,0)</f>
        <v>6.74535012877287</v>
      </c>
      <c r="V68" s="13" t="n">
        <f aca="false">V67-IF(Construction!V8=1,Inputs!$F$68,0)</f>
        <v>7.3739367836014</v>
      </c>
      <c r="W68" s="13" t="n">
        <f aca="false">W67-IF(Construction!W8=1,Inputs!$F$68,0)</f>
        <v>7.89903253582085</v>
      </c>
      <c r="X68" s="13" t="n">
        <f aca="false">X67-IF(Construction!X8=1,Inputs!$F$68,0)</f>
        <v>8.32945721690294</v>
      </c>
      <c r="Y68" s="13" t="n">
        <f aca="false">Y67-IF(Construction!Y8=1,Inputs!$F$68,0)</f>
        <v>8.62053465733378</v>
      </c>
      <c r="Z68" s="13" t="n">
        <f aca="false">Z67-IF(Construction!Z8=1,Inputs!$F$68,0)</f>
        <v>8.79819757473747</v>
      </c>
      <c r="AA68" s="13" t="n">
        <f aca="false">AA67-IF(Construction!AA8=1,Inputs!$F$68,0)</f>
        <v>9.13531338613342</v>
      </c>
      <c r="AB68" s="13" t="n">
        <f aca="false">AB67-IF(Construction!AB8=1,Inputs!$F$68,0)</f>
        <v>8.72287370198056</v>
      </c>
      <c r="AC68" s="13" t="n">
        <f aca="false">AC67-IF(Construction!AC8=1,Inputs!$F$68,0)</f>
        <v>8.50958147407157</v>
      </c>
      <c r="AD68" s="13" t="n">
        <f aca="false">AD67-IF(Construction!AD8=1,Inputs!$F$68,0)</f>
        <v>8.14039118013793</v>
      </c>
      <c r="AE68" s="13" t="n">
        <f aca="false">AE67-IF(Construction!AE8=1,Inputs!$F$68,0)</f>
        <v>7.67826945456919</v>
      </c>
      <c r="AF68" s="13" t="n">
        <f aca="false">AF67-IF(Construction!AF8=1,Inputs!$F$68,0)</f>
        <v>7.09421389096251</v>
      </c>
      <c r="AG68" s="13" t="n">
        <f aca="false">AG67-IF(Construction!AG8=1,Inputs!$F$68,0)</f>
        <v>6.45839739461363</v>
      </c>
      <c r="AH68" s="13" t="n">
        <f aca="false">AH67-IF(Construction!AH8=1,Inputs!$F$68,0)</f>
        <v>5.74404852274115</v>
      </c>
      <c r="AI68" s="13" t="n">
        <f aca="false">AI67-IF(Construction!AI8=1,Inputs!$F$68,0)</f>
        <v>4.98197047540842</v>
      </c>
      <c r="AJ68" s="13" t="n">
        <f aca="false">AJ67-IF(Construction!AJ8=1,Inputs!$F$68,0)</f>
        <v>4.23589464156967</v>
      </c>
      <c r="AK68" s="13" t="n">
        <f aca="false">AK67-IF(Construction!AK8=1,Inputs!$F$68,0)</f>
        <v>3.48724335069365</v>
      </c>
      <c r="AL68" s="13" t="n">
        <f aca="false">AL67-IF(Construction!AL8=1,Inputs!$F$68,0)</f>
        <v>2.81692092462126</v>
      </c>
      <c r="AM68" s="13" t="n">
        <f aca="false">AM67-IF(Construction!AM8=1,Inputs!$F$68,0)</f>
        <v>2.22725924377462</v>
      </c>
      <c r="AN68" s="13" t="n">
        <f aca="false">AN67-IF(Construction!AN8=1,Inputs!$F$68,0)</f>
        <v>1.71223654653611</v>
      </c>
      <c r="AO68" s="13" t="n">
        <f aca="false">AO67-IF(Construction!AO8=1,Inputs!$F$68,0)</f>
        <v>1.42110534371564</v>
      </c>
      <c r="AP68" s="13" t="n">
        <f aca="false">AP67-IF(Construction!AP8=1,Inputs!$F$68,0)</f>
        <v>13.6111709797818</v>
      </c>
      <c r="AQ68" s="13" t="n">
        <f aca="false">AQ67-IF(Construction!AQ8=1,Inputs!$F$68,0)</f>
        <v>1.27903728361143</v>
      </c>
      <c r="AR68" s="13" t="n">
        <f aca="false">AR67-IF(Construction!AR8=1,Inputs!$F$68,0)</f>
        <v>0.993492964687136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1755</v>
      </c>
      <c r="E69" s="0" t="s">
        <v>151</v>
      </c>
      <c r="G69" s="13" t="n">
        <f aca="false">SUM(J69:BJ69)</f>
        <v>41.0578182623502</v>
      </c>
      <c r="J69" s="13" t="n">
        <f aca="false">(1-Inputs!$F$53)*J67</f>
        <v>6.09996793835292</v>
      </c>
      <c r="K69" s="13" t="n">
        <f aca="false">(1-Inputs!$F$53)*K67</f>
        <v>0.123604599356573</v>
      </c>
      <c r="L69" s="13" t="n">
        <f aca="false">(1-Inputs!$F$53)*L67</f>
        <v>0.157676213192004</v>
      </c>
      <c r="M69" s="13" t="n">
        <f aca="false">(1-Inputs!$F$53)*M67</f>
        <v>0.223730052654952</v>
      </c>
      <c r="N69" s="13" t="n">
        <f aca="false">(1-Inputs!$F$53)*N67</f>
        <v>0.322498827114156</v>
      </c>
      <c r="O69" s="13" t="n">
        <f aca="false">(1-Inputs!$F$53)*O67</f>
        <v>0.446895684162631</v>
      </c>
      <c r="P69" s="13" t="n">
        <f aca="false">(1-Inputs!$F$53)*P67</f>
        <v>0.583627268179752</v>
      </c>
      <c r="Q69" s="13" t="n">
        <f aca="false">(1-Inputs!$F$53)*Q67</f>
        <v>0.739864327092336</v>
      </c>
      <c r="R69" s="13" t="n">
        <f aca="false">(1-Inputs!$F$53)*R67</f>
        <v>0.896527313499945</v>
      </c>
      <c r="S69" s="13" t="n">
        <f aca="false">(1-Inputs!$F$53)*S67</f>
        <v>1.0554636347393</v>
      </c>
      <c r="T69" s="13" t="n">
        <f aca="false">(1-Inputs!$F$53)*T67</f>
        <v>1.20477647264985</v>
      </c>
      <c r="U69" s="13" t="n">
        <f aca="false">(1-Inputs!$F$53)*U67</f>
        <v>1.34907002575457</v>
      </c>
      <c r="V69" s="13" t="n">
        <f aca="false">(1-Inputs!$F$53)*V67</f>
        <v>1.47478735672028</v>
      </c>
      <c r="W69" s="13" t="n">
        <f aca="false">(1-Inputs!$F$53)*W67</f>
        <v>1.57980650716417</v>
      </c>
      <c r="X69" s="13" t="n">
        <f aca="false">(1-Inputs!$F$53)*X67</f>
        <v>1.66589144338059</v>
      </c>
      <c r="Y69" s="13" t="n">
        <f aca="false">(1-Inputs!$F$53)*Y67</f>
        <v>1.72410693146676</v>
      </c>
      <c r="Z69" s="13" t="n">
        <f aca="false">(1-Inputs!$F$53)*Z67</f>
        <v>1.75963951494749</v>
      </c>
      <c r="AA69" s="13" t="n">
        <f aca="false">(1-Inputs!$F$53)*AA67</f>
        <v>1.82706267722668</v>
      </c>
      <c r="AB69" s="13" t="n">
        <f aca="false">(1-Inputs!$F$53)*AB67</f>
        <v>1.74457474039611</v>
      </c>
      <c r="AC69" s="13" t="n">
        <f aca="false">(1-Inputs!$F$53)*AC67</f>
        <v>1.70191629481431</v>
      </c>
      <c r="AD69" s="13" t="n">
        <f aca="false">(1-Inputs!$F$53)*AD67</f>
        <v>1.62807823602758</v>
      </c>
      <c r="AE69" s="13" t="n">
        <f aca="false">(1-Inputs!$F$53)*AE67</f>
        <v>1.53565389091384</v>
      </c>
      <c r="AF69" s="13" t="n">
        <f aca="false">(1-Inputs!$F$53)*AF67</f>
        <v>1.4188427781925</v>
      </c>
      <c r="AG69" s="13" t="n">
        <f aca="false">(1-Inputs!$F$53)*AG67</f>
        <v>1.29167947892273</v>
      </c>
      <c r="AH69" s="13" t="n">
        <f aca="false">(1-Inputs!$F$53)*AH67</f>
        <v>1.14880970454823</v>
      </c>
      <c r="AI69" s="13" t="n">
        <f aca="false">(1-Inputs!$F$53)*AI67</f>
        <v>0.996394095081684</v>
      </c>
      <c r="AJ69" s="13" t="n">
        <f aca="false">(1-Inputs!$F$53)*AJ67</f>
        <v>0.847178928313934</v>
      </c>
      <c r="AK69" s="13" t="n">
        <f aca="false">(1-Inputs!$F$53)*AK67</f>
        <v>0.697448670138731</v>
      </c>
      <c r="AL69" s="13" t="n">
        <f aca="false">(1-Inputs!$F$53)*AL67</f>
        <v>0.563384184924251</v>
      </c>
      <c r="AM69" s="13" t="n">
        <f aca="false">(1-Inputs!$F$53)*AM67</f>
        <v>0.445451848754924</v>
      </c>
      <c r="AN69" s="13" t="n">
        <f aca="false">(1-Inputs!$F$53)*AN67</f>
        <v>0.342447309307221</v>
      </c>
      <c r="AO69" s="13" t="n">
        <f aca="false">(1-Inputs!$F$53)*AO67</f>
        <v>0.284221068743129</v>
      </c>
      <c r="AP69" s="13" t="n">
        <f aca="false">(1-Inputs!$F$53)*AP67</f>
        <v>2.72223419595636</v>
      </c>
      <c r="AQ69" s="13" t="n">
        <f aca="false">(1-Inputs!$F$53)*AQ67</f>
        <v>0.255807456722286</v>
      </c>
      <c r="AR69" s="13" t="n">
        <f aca="false">(1-Inputs!$F$53)*AR67</f>
        <v>0.198698592937427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1756</v>
      </c>
      <c r="E70" s="0" t="s">
        <v>151</v>
      </c>
      <c r="G70" s="13" t="n">
        <f aca="false">SUM(J70:BJ70)</f>
        <v>164.231273049401</v>
      </c>
      <c r="J70" s="13" t="n">
        <f aca="false">Inputs!$F$53*J67</f>
        <v>24.3998717534117</v>
      </c>
      <c r="K70" s="13" t="n">
        <f aca="false">Inputs!$F$53*K67</f>
        <v>0.494418397426291</v>
      </c>
      <c r="L70" s="13" t="n">
        <f aca="false">Inputs!$F$53*L67</f>
        <v>0.630704852768017</v>
      </c>
      <c r="M70" s="13" t="n">
        <f aca="false">Inputs!$F$53*M67</f>
        <v>0.894920210619808</v>
      </c>
      <c r="N70" s="13" t="n">
        <f aca="false">Inputs!$F$53*N67</f>
        <v>1.28999530845663</v>
      </c>
      <c r="O70" s="13" t="n">
        <f aca="false">Inputs!$F$53*O67</f>
        <v>1.78758273665052</v>
      </c>
      <c r="P70" s="13" t="n">
        <f aca="false">Inputs!$F$53*P67</f>
        <v>2.33450907271901</v>
      </c>
      <c r="Q70" s="13" t="n">
        <f aca="false">Inputs!$F$53*Q67</f>
        <v>2.95945730836934</v>
      </c>
      <c r="R70" s="13" t="n">
        <f aca="false">Inputs!$F$53*R67</f>
        <v>3.58610925399978</v>
      </c>
      <c r="S70" s="13" t="n">
        <f aca="false">Inputs!$F$53*S67</f>
        <v>4.2218545389572</v>
      </c>
      <c r="T70" s="13" t="n">
        <f aca="false">Inputs!$F$53*T67</f>
        <v>4.81910589059939</v>
      </c>
      <c r="U70" s="13" t="n">
        <f aca="false">Inputs!$F$53*U67</f>
        <v>5.3962801030183</v>
      </c>
      <c r="V70" s="13" t="n">
        <f aca="false">Inputs!$F$53*V67</f>
        <v>5.89914942688112</v>
      </c>
      <c r="W70" s="13" t="n">
        <f aca="false">Inputs!$F$53*W67</f>
        <v>6.31922602865668</v>
      </c>
      <c r="X70" s="13" t="n">
        <f aca="false">Inputs!$F$53*X67</f>
        <v>6.66356577352235</v>
      </c>
      <c r="Y70" s="13" t="n">
        <f aca="false">Inputs!$F$53*Y67</f>
        <v>6.89642772586702</v>
      </c>
      <c r="Z70" s="13" t="n">
        <f aca="false">Inputs!$F$53*Z67</f>
        <v>7.03855805978997</v>
      </c>
      <c r="AA70" s="13" t="n">
        <f aca="false">Inputs!$F$53*AA67</f>
        <v>7.30825070890674</v>
      </c>
      <c r="AB70" s="13" t="n">
        <f aca="false">Inputs!$F$53*AB67</f>
        <v>6.97829896158445</v>
      </c>
      <c r="AC70" s="13" t="n">
        <f aca="false">Inputs!$F$53*AC67</f>
        <v>6.80766517925726</v>
      </c>
      <c r="AD70" s="13" t="n">
        <f aca="false">Inputs!$F$53*AD67</f>
        <v>6.51231294411034</v>
      </c>
      <c r="AE70" s="13" t="n">
        <f aca="false">Inputs!$F$53*AE67</f>
        <v>6.14261556365535</v>
      </c>
      <c r="AF70" s="13" t="n">
        <f aca="false">Inputs!$F$53*AF67</f>
        <v>5.67537111277001</v>
      </c>
      <c r="AG70" s="13" t="n">
        <f aca="false">Inputs!$F$53*AG67</f>
        <v>5.16671791569091</v>
      </c>
      <c r="AH70" s="13" t="n">
        <f aca="false">Inputs!$F$53*AH67</f>
        <v>4.59523881819292</v>
      </c>
      <c r="AI70" s="13" t="n">
        <f aca="false">Inputs!$F$53*AI67</f>
        <v>3.98557638032674</v>
      </c>
      <c r="AJ70" s="13" t="n">
        <f aca="false">Inputs!$F$53*AJ67</f>
        <v>3.38871571325574</v>
      </c>
      <c r="AK70" s="13" t="n">
        <f aca="false">Inputs!$F$53*AK67</f>
        <v>2.78979468055492</v>
      </c>
      <c r="AL70" s="13" t="n">
        <f aca="false">Inputs!$F$53*AL67</f>
        <v>2.25353673969701</v>
      </c>
      <c r="AM70" s="13" t="n">
        <f aca="false">Inputs!$F$53*AM67</f>
        <v>1.7818073950197</v>
      </c>
      <c r="AN70" s="13" t="n">
        <f aca="false">Inputs!$F$53*AN67</f>
        <v>1.36978923722888</v>
      </c>
      <c r="AO70" s="13" t="n">
        <f aca="false">Inputs!$F$53*AO67</f>
        <v>1.13688427497251</v>
      </c>
      <c r="AP70" s="13" t="n">
        <f aca="false">Inputs!$F$53*AP67</f>
        <v>10.8889367838254</v>
      </c>
      <c r="AQ70" s="13" t="n">
        <f aca="false">Inputs!$F$53*AQ67</f>
        <v>1.02322982688914</v>
      </c>
      <c r="AR70" s="13" t="n">
        <f aca="false">Inputs!$F$53*AR67</f>
        <v>0.794794371749709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1757</v>
      </c>
      <c r="E71" s="0" t="s">
        <v>151</v>
      </c>
      <c r="G71" s="13" t="n">
        <f aca="false">SUM(J71:BJ71)</f>
        <v>23.3586633480754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0.190519546567735</v>
      </c>
      <c r="L71" s="13" t="n">
        <f aca="false">IF(Construction!L8&lt;=Time!$F$11,K72*Inputs!$F$104/100*Construction!L11/Inputs!$F$248,0)</f>
        <v>0.202396615229753</v>
      </c>
      <c r="M71" s="13" t="n">
        <f aca="false">IF(Construction!M8&lt;=Time!$F$11,L72*Inputs!$F$104/100*Construction!M11/Inputs!$F$248,0)</f>
        <v>0.202372731017534</v>
      </c>
      <c r="N71" s="13" t="n">
        <f aca="false">IF(Construction!N8&lt;=Time!$F$11,M72*Inputs!$F$104/100*Construction!N11/Inputs!$F$248,0)</f>
        <v>0.217971989302014</v>
      </c>
      <c r="O71" s="13" t="n">
        <f aca="false">IF(Construction!O8&lt;=Time!$F$11,N72*Inputs!$F$104/100*Construction!O11/Inputs!$F$248,0)</f>
        <v>0.230139013115437</v>
      </c>
      <c r="P71" s="13" t="n">
        <f aca="false">IF(Construction!P8&lt;=Time!$F$11,O72*Inputs!$F$104/100*Construction!P11/Inputs!$F$248,0)</f>
        <v>0.222571988468888</v>
      </c>
      <c r="Q71" s="13" t="n">
        <f aca="false">IF(Construction!Q8&lt;=Time!$F$11,P72*Inputs!$F$104/100*Construction!Q11/Inputs!$F$248,0)</f>
        <v>0.267050778261352</v>
      </c>
      <c r="R71" s="13" t="n">
        <f aca="false">IF(Construction!R8&lt;=Time!$F$11,Q72*Inputs!$F$104/100*Construction!R11/Inputs!$F$248,0)</f>
        <v>0.283629519347382</v>
      </c>
      <c r="S71" s="13" t="n">
        <f aca="false">IF(Construction!S8&lt;=Time!$F$11,R72*Inputs!$F$104/100*Construction!S11/Inputs!$F$248,0)</f>
        <v>0.324306797446653</v>
      </c>
      <c r="T71" s="13" t="n">
        <f aca="false">IF(Construction!T8&lt;=Time!$F$11,S72*Inputs!$F$104/100*Construction!T11/Inputs!$F$248,0)</f>
        <v>0.349342711985164</v>
      </c>
      <c r="U71" s="13" t="n">
        <f aca="false">IF(Construction!U8&lt;=Time!$F$11,T72*Inputs!$F$104/100*Construction!U11/Inputs!$F$248,0)</f>
        <v>0.402689061200957</v>
      </c>
      <c r="V71" s="13" t="n">
        <f aca="false">IF(Construction!V8&lt;=Time!$F$11,U72*Inputs!$F$104/100*Construction!V11/Inputs!$F$248,0)</f>
        <v>0.449478004183493</v>
      </c>
      <c r="W71" s="13" t="n">
        <f aca="false">IF(Construction!W8&lt;=Time!$F$11,V72*Inputs!$F$104/100*Construction!W11/Inputs!$F$248,0)</f>
        <v>0.484550188187698</v>
      </c>
      <c r="X71" s="13" t="n">
        <f aca="false">IF(Construction!X8&lt;=Time!$F$11,W72*Inputs!$F$104/100*Construction!X11/Inputs!$F$248,0)</f>
        <v>0.55559808293169</v>
      </c>
      <c r="Y71" s="13" t="n">
        <f aca="false">IF(Construction!Y8&lt;=Time!$F$11,X72*Inputs!$F$104/100*Construction!Y11/Inputs!$F$248,0)</f>
        <v>0.594044377801124</v>
      </c>
      <c r="Z71" s="13" t="n">
        <f aca="false">IF(Construction!Z8&lt;=Time!$F$11,Y72*Inputs!$F$104/100*Construction!Z11/Inputs!$F$248,0)</f>
        <v>0.674282679925005</v>
      </c>
      <c r="AA71" s="13" t="n">
        <f aca="false">IF(Construction!AA8&lt;=Time!$F$11,Z72*Inputs!$F$104/100*Construction!AA11/Inputs!$F$248,0)</f>
        <v>0.736513682605719</v>
      </c>
      <c r="AB71" s="13" t="n">
        <f aca="false">IF(Construction!AB8&lt;=Time!$F$11,AA72*Inputs!$F$104/100*Construction!AB11/Inputs!$F$248,0)</f>
        <v>0.749718111642833</v>
      </c>
      <c r="AC71" s="13" t="n">
        <f aca="false">IF(Construction!AC8&lt;=Time!$F$11,AB72*Inputs!$F$104/100*Construction!AC11/Inputs!$F$248,0)</f>
        <v>0.863776261821222</v>
      </c>
      <c r="AD71" s="13" t="n">
        <f aca="false">IF(Construction!AD8&lt;=Time!$F$11,AC72*Inputs!$F$104/100*Construction!AD11/Inputs!$F$248,0)</f>
        <v>0.895812807623655</v>
      </c>
      <c r="AE71" s="13" t="n">
        <f aca="false">IF(Construction!AE8&lt;=Time!$F$11,AD72*Inputs!$F$104/100*Construction!AE11/Inputs!$F$248,0)</f>
        <v>0.985445646431722</v>
      </c>
      <c r="AF71" s="13" t="n">
        <f aca="false">IF(Construction!AF8&lt;=Time!$F$11,AE72*Inputs!$F$104/100*Construction!AF11/Inputs!$F$248,0)</f>
        <v>1.00931454143514</v>
      </c>
      <c r="AG71" s="13" t="n">
        <f aca="false">IF(Construction!AG8&lt;=Time!$F$11,AF72*Inputs!$F$104/100*Construction!AG11/Inputs!$F$248,0)</f>
        <v>1.09689369989841</v>
      </c>
      <c r="AH71" s="13" t="n">
        <f aca="false">IF(Construction!AH8&lt;=Time!$F$11,AG72*Inputs!$F$104/100*Construction!AH11/Inputs!$F$248,0)</f>
        <v>1.14743160731734</v>
      </c>
      <c r="AI71" s="13" t="n">
        <f aca="false">IF(Construction!AI8&lt;=Time!$F$11,AH72*Inputs!$F$104/100*Construction!AI11/Inputs!$F$248,0)</f>
        <v>1.15525771385053</v>
      </c>
      <c r="AJ71" s="13" t="n">
        <f aca="false">IF(Construction!AJ8&lt;=Time!$F$11,AI72*Inputs!$F$104/100*Construction!AJ11/Inputs!$F$248,0)</f>
        <v>1.23524508898989</v>
      </c>
      <c r="AK71" s="13" t="n">
        <f aca="false">IF(Construction!AK8&lt;=Time!$F$11,AJ72*Inputs!$F$104/100*Construction!AK11/Inputs!$F$248,0)</f>
        <v>1.23150337263082</v>
      </c>
      <c r="AL71" s="13" t="n">
        <f aca="false">IF(Construction!AL8&lt;=Time!$F$11,AK72*Inputs!$F$104/100*Construction!AL11/Inputs!$F$248,0)</f>
        <v>1.30499930085084</v>
      </c>
      <c r="AM71" s="13" t="n">
        <f aca="false">IF(Construction!AM8&lt;=Time!$F$11,AL72*Inputs!$F$104/100*Construction!AM11/Inputs!$F$248,0)</f>
        <v>1.33371132452046</v>
      </c>
      <c r="AN71" s="13" t="n">
        <f aca="false">IF(Construction!AN8&lt;=Time!$F$11,AM72*Inputs!$F$104/100*Construction!AN11/Inputs!$F$248,0)</f>
        <v>1.22734736281152</v>
      </c>
      <c r="AO71" s="13" t="n">
        <f aca="false">IF(Construction!AO8&lt;=Time!$F$11,AN72*Inputs!$F$104/100*Construction!AO11/Inputs!$F$248,0)</f>
        <v>1.37980384483872</v>
      </c>
      <c r="AP71" s="13" t="n">
        <f aca="false">IF(Construction!AP8&lt;=Time!$F$11,AO72*Inputs!$F$104/100*Construction!AP11/Inputs!$F$248,0)</f>
        <v>1.35494489583467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1758</v>
      </c>
      <c r="E72" s="0" t="s">
        <v>151</v>
      </c>
      <c r="J72" s="13" t="n">
        <f aca="false">I72+J71+J70</f>
        <v>24.3998717534117</v>
      </c>
      <c r="K72" s="13" t="n">
        <f aca="false">J72+K71+K70</f>
        <v>25.0848096974057</v>
      </c>
      <c r="L72" s="13" t="n">
        <f aca="false">K72+L71+L70</f>
        <v>25.9179111654035</v>
      </c>
      <c r="M72" s="13" t="n">
        <f aca="false">L72+M71+M70</f>
        <v>27.0152041070408</v>
      </c>
      <c r="N72" s="13" t="n">
        <f aca="false">M72+N71+N70</f>
        <v>28.5231714047995</v>
      </c>
      <c r="O72" s="13" t="n">
        <f aca="false">N72+O71+O70</f>
        <v>30.5408931545654</v>
      </c>
      <c r="P72" s="13" t="n">
        <f aca="false">O72+P71+P70</f>
        <v>33.0979742157533</v>
      </c>
      <c r="Q72" s="13" t="n">
        <f aca="false">P72+Q71+Q70</f>
        <v>36.324482302384</v>
      </c>
      <c r="R72" s="13" t="n">
        <f aca="false">Q72+R71+R70</f>
        <v>40.1942210757312</v>
      </c>
      <c r="S72" s="13" t="n">
        <f aca="false">R72+S71+S70</f>
        <v>44.740382412135</v>
      </c>
      <c r="T72" s="13" t="n">
        <f aca="false">S72+T71+T70</f>
        <v>49.9088310147196</v>
      </c>
      <c r="U72" s="13" t="n">
        <f aca="false">T72+U71+U70</f>
        <v>55.7078001789389</v>
      </c>
      <c r="V72" s="13" t="n">
        <f aca="false">U72+V71+V70</f>
        <v>62.0564276100035</v>
      </c>
      <c r="W72" s="13" t="n">
        <f aca="false">V72+W71+W70</f>
        <v>68.8602038268478</v>
      </c>
      <c r="X72" s="13" t="n">
        <f aca="false">W72+X71+X70</f>
        <v>76.0793676833019</v>
      </c>
      <c r="Y72" s="13" t="n">
        <f aca="false">X72+Y71+Y70</f>
        <v>83.56983978697</v>
      </c>
      <c r="Z72" s="13" t="n">
        <f aca="false">Y72+Z71+Z70</f>
        <v>91.282680526685</v>
      </c>
      <c r="AA72" s="13" t="n">
        <f aca="false">Z72+AA71+AA70</f>
        <v>99.3274449181975</v>
      </c>
      <c r="AB72" s="13" t="n">
        <f aca="false">AA72+AB71+AB70</f>
        <v>107.055461991425</v>
      </c>
      <c r="AC72" s="13" t="n">
        <f aca="false">AB72+AC71+AC70</f>
        <v>114.726903432503</v>
      </c>
      <c r="AD72" s="13" t="n">
        <f aca="false">AC72+AD71+AD70</f>
        <v>122.135029184237</v>
      </c>
      <c r="AE72" s="13" t="n">
        <f aca="false">AD72+AE71+AE70</f>
        <v>129.263090394324</v>
      </c>
      <c r="AF72" s="13" t="n">
        <f aca="false">AE72+AF71+AF70</f>
        <v>135.947776048529</v>
      </c>
      <c r="AG72" s="13" t="n">
        <f aca="false">AF72+AG71+AG70</f>
        <v>142.211387664119</v>
      </c>
      <c r="AH72" s="13" t="n">
        <f aca="false">AG72+AH71+AH70</f>
        <v>147.954058089629</v>
      </c>
      <c r="AI72" s="13" t="n">
        <f aca="false">AH72+AI71+AI70</f>
        <v>153.094892183806</v>
      </c>
      <c r="AJ72" s="13" t="n">
        <f aca="false">AI72+AJ71+AJ70</f>
        <v>157.718852986052</v>
      </c>
      <c r="AK72" s="13" t="n">
        <f aca="false">AJ72+AK71+AK70</f>
        <v>161.740151039238</v>
      </c>
      <c r="AL72" s="13" t="n">
        <f aca="false">AK72+AL71+AL70</f>
        <v>165.298687079785</v>
      </c>
      <c r="AM72" s="13" t="n">
        <f aca="false">AL72+AM71+AM70</f>
        <v>168.414205799326</v>
      </c>
      <c r="AN72" s="13" t="n">
        <f aca="false">AM72+AN71+AN70</f>
        <v>171.011342399366</v>
      </c>
      <c r="AO72" s="13" t="n">
        <f aca="false">AN72+AO71+AO70</f>
        <v>173.528030519177</v>
      </c>
      <c r="AP72" s="13" t="n">
        <f aca="false">AO72+AP71+AP70</f>
        <v>185.771912198837</v>
      </c>
      <c r="AQ72" s="13" t="n">
        <f aca="false">AP72+AQ71+AQ70</f>
        <v>186.795142025727</v>
      </c>
      <c r="AR72" s="13" t="n">
        <f aca="false">AQ72+AR71+AR70</f>
        <v>187.589936397476</v>
      </c>
      <c r="AS72" s="13" t="n">
        <f aca="false">AR72+AS71+AS70</f>
        <v>187.589936397476</v>
      </c>
      <c r="AT72" s="13" t="n">
        <f aca="false">AS72+AT71+AT70</f>
        <v>187.589936397476</v>
      </c>
      <c r="AU72" s="13" t="n">
        <f aca="false">AT72+AU71+AU70</f>
        <v>187.589936397476</v>
      </c>
      <c r="AV72" s="13" t="n">
        <f aca="false">AU72+AV71+AV70</f>
        <v>187.589936397476</v>
      </c>
      <c r="AW72" s="13" t="n">
        <f aca="false">AV72+AW71+AW70</f>
        <v>187.589936397476</v>
      </c>
      <c r="AX72" s="13" t="n">
        <f aca="false">AW72+AX71+AX70</f>
        <v>187.589936397476</v>
      </c>
      <c r="AY72" s="13" t="n">
        <f aca="false">AX72+AY71+AY70</f>
        <v>187.589936397476</v>
      </c>
      <c r="AZ72" s="13" t="n">
        <f aca="false">AY72+AZ71+AZ70</f>
        <v>187.589936397476</v>
      </c>
      <c r="BA72" s="13" t="n">
        <f aca="false">AZ72+BA71+BA70</f>
        <v>187.589936397476</v>
      </c>
      <c r="BB72" s="13" t="n">
        <f aca="false">BA72+BB71+BB70</f>
        <v>187.589936397476</v>
      </c>
      <c r="BC72" s="13" t="n">
        <f aca="false">BB72+BC71+BC70</f>
        <v>187.589936397476</v>
      </c>
      <c r="BD72" s="13" t="n">
        <f aca="false">BC72+BD71+BD70</f>
        <v>187.589936397476</v>
      </c>
      <c r="BE72" s="13" t="n">
        <f aca="false">BD72+BE71+BE70</f>
        <v>187.589936397476</v>
      </c>
      <c r="BF72" s="13" t="n">
        <f aca="false">BE72+BF71+BF70</f>
        <v>187.589936397476</v>
      </c>
      <c r="BG72" s="13" t="n">
        <f aca="false">BF72+BG71+BG70</f>
        <v>187.589936397476</v>
      </c>
      <c r="BH72" s="13" t="n">
        <f aca="false">BG72+BH71+BH70</f>
        <v>187.589936397476</v>
      </c>
      <c r="BI72" s="13" t="n">
        <f aca="false">BH72+BI71+BI70</f>
        <v>187.589936397476</v>
      </c>
      <c r="BJ72" s="13" t="n">
        <f aca="false">BI72+BJ71+BJ70</f>
        <v>187.589936397476</v>
      </c>
    </row>
    <row r="73" customFormat="false" ht="15" hidden="false" customHeight="false" outlineLevel="0" collapsed="false">
      <c r="D73" s="0" t="s">
        <v>1759</v>
      </c>
      <c r="E73" s="0" t="s">
        <v>151</v>
      </c>
      <c r="G73" s="13" t="n">
        <f aca="false">SUM(J73:BJ73)</f>
        <v>654.950564098311</v>
      </c>
      <c r="J73" s="13" t="n">
        <f aca="false">J47+J55</f>
        <v>91.4995190751015</v>
      </c>
      <c r="K73" s="13" t="n">
        <f aca="false">K47+K55</f>
        <v>1.85406899034469</v>
      </c>
      <c r="L73" s="13" t="n">
        <f aca="false">L47+L55</f>
        <v>2.36514319787509</v>
      </c>
      <c r="M73" s="13" t="n">
        <f aca="false">M47+M55</f>
        <v>3.35595078981723</v>
      </c>
      <c r="N73" s="13" t="n">
        <f aca="false">N47+N55</f>
        <v>4.83748240670218</v>
      </c>
      <c r="O73" s="13" t="n">
        <f aca="false">O47+O55</f>
        <v>6.70343526242538</v>
      </c>
      <c r="P73" s="13" t="n">
        <f aca="false">P47+P55</f>
        <v>8.75440902267789</v>
      </c>
      <c r="Q73" s="13" t="n">
        <f aca="false">Q47+Q55</f>
        <v>11.0979649063617</v>
      </c>
      <c r="R73" s="13" t="n">
        <f aca="false">R47+R55</f>
        <v>13.4479097024709</v>
      </c>
      <c r="S73" s="13" t="n">
        <f aca="false">S47+S55</f>
        <v>15.8319545210563</v>
      </c>
      <c r="T73" s="13" t="n">
        <f aca="false">T47+T55</f>
        <v>18.0716470897097</v>
      </c>
      <c r="U73" s="13" t="n">
        <f aca="false">U47+U55</f>
        <v>20.2360503862761</v>
      </c>
      <c r="V73" s="13" t="n">
        <f aca="false">V47+V55</f>
        <v>22.1218103507577</v>
      </c>
      <c r="W73" s="13" t="n">
        <f aca="false">W47+W55</f>
        <v>23.6970976074128</v>
      </c>
      <c r="X73" s="13" t="n">
        <f aca="false">X47+X55</f>
        <v>24.9883716506563</v>
      </c>
      <c r="Y73" s="13" t="n">
        <f aca="false">Y47+Y55</f>
        <v>25.861603971947</v>
      </c>
      <c r="Z73" s="13" t="n">
        <f aca="false">Z47+Z55</f>
        <v>26.3945927241569</v>
      </c>
      <c r="AA73" s="13" t="n">
        <f aca="false">AA47+AA55</f>
        <v>27.4059401583427</v>
      </c>
      <c r="AB73" s="13" t="n">
        <f aca="false">AB47+AB55</f>
        <v>26.1686211058867</v>
      </c>
      <c r="AC73" s="13" t="n">
        <f aca="false">AC47+AC55</f>
        <v>25.5287444221611</v>
      </c>
      <c r="AD73" s="13" t="n">
        <f aca="false">AD47+AD55</f>
        <v>24.4211735403625</v>
      </c>
      <c r="AE73" s="13" t="n">
        <f aca="false">AE47+AE55</f>
        <v>23.0348083636592</v>
      </c>
      <c r="AF73" s="13" t="n">
        <f aca="false">AF47+AF55</f>
        <v>21.2826416728428</v>
      </c>
      <c r="AG73" s="13" t="n">
        <f aca="false">AG47+AG55</f>
        <v>19.3751921838002</v>
      </c>
      <c r="AH73" s="13" t="n">
        <f aca="false">AH47+AH55</f>
        <v>17.2321455681872</v>
      </c>
      <c r="AI73" s="13" t="n">
        <f aca="false">AI47+AI55</f>
        <v>14.9459114261938</v>
      </c>
      <c r="AJ73" s="13" t="n">
        <f aca="false">AJ47+AJ55</f>
        <v>12.7076839246823</v>
      </c>
      <c r="AK73" s="13" t="n">
        <f aca="false">AK47+AK55</f>
        <v>10.461730052059</v>
      </c>
      <c r="AL73" s="13" t="n">
        <f aca="false">AL47+AL55</f>
        <v>8.45076277384601</v>
      </c>
      <c r="AM73" s="13" t="n">
        <f aca="false">AM47+AM55</f>
        <v>6.68177773130982</v>
      </c>
      <c r="AN73" s="13" t="n">
        <f aca="false">AN47+AN55</f>
        <v>5.13670963959752</v>
      </c>
      <c r="AO73" s="13" t="n">
        <f aca="false">AO47+AO55</f>
        <v>4.26331603113797</v>
      </c>
      <c r="AP73" s="13" t="n">
        <f aca="false">AP47+AP55</f>
        <v>40.8335129392596</v>
      </c>
      <c r="AQ73" s="13" t="n">
        <f aca="false">AQ47+AQ55</f>
        <v>42.9204020151781</v>
      </c>
      <c r="AR73" s="13" t="n">
        <f aca="false">AR47+AR55</f>
        <v>2.98047889405514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1760</v>
      </c>
      <c r="E74" s="0" t="s">
        <v>151</v>
      </c>
      <c r="G74" s="13" t="n">
        <f aca="false">SUM(J74:BJ74)</f>
        <v>110.16636524571</v>
      </c>
      <c r="J74" s="13" t="n">
        <f aca="false">J33+J34+J35+J36+J37+J38+J39+J40+J41+J42+J43+J48+Construction!J14*Construction!J38</f>
        <v>13.8877587668661</v>
      </c>
      <c r="K74" s="13" t="n">
        <f aca="false">K33+K34+K35+K36+K37+K38+K39+K40+K41+K42+K43+K48+Construction!K14*Construction!K38</f>
        <v>1.05126260803665</v>
      </c>
      <c r="L74" s="13" t="n">
        <f aca="false">L33+L34+L35+L36+L37+L38+L39+L40+L41+L42+L43+L48+Construction!L14*Construction!L38</f>
        <v>1.09884979383511</v>
      </c>
      <c r="M74" s="13" t="n">
        <f aca="false">M33+M34+M35+M36+M37+M38+M39+M40+M41+M42+M43+M48+Construction!M14*Construction!M38</f>
        <v>1.11760681581926</v>
      </c>
      <c r="N74" s="13" t="n">
        <f aca="false">N33+N34+N35+N36+N37+N38+N39+N40+N41+N42+N43+N48+Construction!N14*Construction!N38</f>
        <v>1.20381474136386</v>
      </c>
      <c r="O74" s="13" t="n">
        <f aca="false">O33+O34+O35+O36+O37+O38+O39+O40+O41+O42+O43+O48+Construction!O14*Construction!O38</f>
        <v>1.3295194459658</v>
      </c>
      <c r="P74" s="13" t="n">
        <f aca="false">P33+P34+P35+P36+P37+P38+P39+P40+P41+P42+P43+P48+Construction!P14*Construction!P38</f>
        <v>1.35438606448574</v>
      </c>
      <c r="Q74" s="13" t="n">
        <f aca="false">Q33+Q34+Q35+Q36+Q37+Q38+Q39+Q40+Q41+Q42+Q43+Q48+Construction!Q14*Construction!Q38</f>
        <v>1.54798018818704</v>
      </c>
      <c r="R74" s="13" t="n">
        <f aca="false">R33+R34+R35+R36+R37+R38+R39+R40+R41+R42+R43+R48+Construction!R14*Construction!R38</f>
        <v>1.65300634542518</v>
      </c>
      <c r="S74" s="13" t="n">
        <f aca="false">S33+S34+S35+S36+S37+S38+S39+S40+S41+S42+S43+S48+Construction!S14*Construction!S38</f>
        <v>1.82266914838912</v>
      </c>
      <c r="T74" s="13" t="n">
        <f aca="false">T33+T34+T35+T36+T37+T38+T39+T40+T41+T42+T43+T48+Construction!T14*Construction!T38</f>
        <v>1.92724968841351</v>
      </c>
      <c r="U74" s="13" t="n">
        <f aca="false">U33+U34+U35+U36+U37+U38+U39+U40+U41+U42+U43+U48+Construction!U14*Construction!U38</f>
        <v>2.15530006686714</v>
      </c>
      <c r="V74" s="13" t="n">
        <f aca="false">V33+V34+V35+V36+V37+V38+V39+V40+V41+V42+V43+V48+Construction!V14*Construction!V38</f>
        <v>2.32101872981363</v>
      </c>
      <c r="W74" s="13" t="n">
        <f aca="false">W33+W34+W35+W36+W37+W38+W39+W40+W41+W42+W43+W48+Construction!W14*Construction!W38</f>
        <v>2.4549359932336</v>
      </c>
      <c r="X74" s="13" t="n">
        <f aca="false">X33+X34+X35+X36+X37+X38+X39+X40+X41+X42+X43+X48+Construction!X14*Construction!X38</f>
        <v>2.64922264483197</v>
      </c>
      <c r="Y74" s="13" t="n">
        <f aca="false">Y33+Y34+Y35+Y36+Y37+Y38+Y39+Y40+Y41+Y42+Y43+Y48+Construction!Y14*Construction!Y38</f>
        <v>2.77093453018984</v>
      </c>
      <c r="Z74" s="13" t="n">
        <f aca="false">Z33+Z34+Z35+Z36+Z37+Z38+Z39+Z40+Z41+Z42+Z43+Z48+Construction!Z14*Construction!Z38</f>
        <v>2.95286663616711</v>
      </c>
      <c r="AA74" s="13" t="n">
        <f aca="false">AA33+AA34+AA35+AA36+AA37+AA38+AA39+AA40+AA41+AA42+AA43+AA48+Construction!AA14*Construction!AA38</f>
        <v>3.1583298817488</v>
      </c>
      <c r="AB74" s="13" t="n">
        <f aca="false">AB33+AB34+AB35+AB36+AB37+AB38+AB39+AB40+AB41+AB42+AB43+AB48+Construction!AB14*Construction!AB38</f>
        <v>3.18029070877635</v>
      </c>
      <c r="AC74" s="13" t="n">
        <f aca="false">AC33+AC34+AC35+AC36+AC37+AC38+AC39+AC40+AC41+AC42+AC43+AC48+Construction!AC14*Construction!AC38</f>
        <v>3.36971967350538</v>
      </c>
      <c r="AD74" s="13" t="n">
        <f aca="false">AD33+AD34+AD35+AD36+AD37+AD38+AD39+AD40+AD41+AD42+AD43+AD48+Construction!AD14*Construction!AD38</f>
        <v>3.42037057050039</v>
      </c>
      <c r="AE74" s="13" t="n">
        <f aca="false">AE33+AE34+AE35+AE36+AE37+AE38+AE39+AE40+AE41+AE42+AE43+AE48+Construction!AE14*Construction!AE38</f>
        <v>3.5383494136829</v>
      </c>
      <c r="AF74" s="13" t="n">
        <f aca="false">AF33+AF34+AF35+AF36+AF37+AF38+AF39+AF40+AF41+AF42+AF43+AF48+Construction!AF14*Construction!AF38</f>
        <v>3.55075511562348</v>
      </c>
      <c r="AG74" s="13" t="n">
        <f aca="false">AG33+AG34+AG35+AG36+AG37+AG38+AG39+AG40+AG41+AG42+AG43+AG48+Construction!AG14*Construction!AG38</f>
        <v>3.66530981386836</v>
      </c>
      <c r="AH74" s="13" t="n">
        <f aca="false">AH33+AH34+AH35+AH36+AH37+AH38+AH39+AH40+AH41+AH42+AH43+AH48+Construction!AH14*Construction!AH38</f>
        <v>3.68959054456475</v>
      </c>
      <c r="AI74" s="13" t="n">
        <f aca="false">AI33+AI34+AI35+AI36+AI37+AI38+AI39+AI40+AI41+AI42+AI43+AI48+Construction!AI14*Construction!AI38</f>
        <v>3.65034197705681</v>
      </c>
      <c r="AJ74" s="13" t="n">
        <f aca="false">AJ33+AJ34+AJ35+AJ36+AJ37+AJ38+AJ39+AJ40+AJ41+AJ42+AJ43+AJ48+Construction!AJ14*Construction!AJ38</f>
        <v>3.69427221261561</v>
      </c>
      <c r="AK74" s="13" t="n">
        <f aca="false">AK33+AK34+AK35+AK36+AK37+AK38+AK39+AK40+AK41+AK42+AK43+AK48+Construction!AK14*Construction!AK38</f>
        <v>3.63081410366172</v>
      </c>
      <c r="AL74" s="13" t="n">
        <f aca="false">AL33+AL34+AL35+AL36+AL37+AL38+AL39+AL40+AL41+AL42+AL43+AL48+Construction!AL14*Construction!AL38</f>
        <v>3.65928946119454</v>
      </c>
      <c r="AM74" s="13" t="n">
        <f aca="false">AM33+AM34+AM35+AM36+AM37+AM38+AM39+AM40+AM41+AM42+AM43+AM48+Construction!AM14*Construction!AM38</f>
        <v>3.66287517417535</v>
      </c>
      <c r="AN74" s="13" t="n">
        <f aca="false">AN33+AN34+AN35+AN36+AN37+AN38+AN39+AN40+AN41+AN42+AN43+AN48+Construction!AN14*Construction!AN38</f>
        <v>3.4919519488609</v>
      </c>
      <c r="AO74" s="13" t="n">
        <f aca="false">AO33+AO34+AO35+AO36+AO37+AO38+AO39+AO40+AO41+AO42+AO43+AO48+Construction!AO14*Construction!AO38</f>
        <v>3.62974690485362</v>
      </c>
      <c r="AP74" s="13" t="n">
        <f aca="false">AP33+AP34+AP35+AP36+AP37+AP38+AP39+AP40+AP41+AP42+AP43+AP48+Construction!AP14*Construction!AP38</f>
        <v>4.78585453995047</v>
      </c>
      <c r="AQ74" s="13" t="n">
        <f aca="false">AQ33+AQ34+AQ35+AQ36+AQ37+AQ38+AQ39+AQ40+AQ41+AQ42+AQ43+AQ48+Construction!AQ14*Construction!AQ38</f>
        <v>5.11614913443766</v>
      </c>
      <c r="AR74" s="13" t="n">
        <f aca="false">AR33+AR34+AR35+AR36+AR37+AR38+AR39+AR40+AR41+AR42+AR43+AR48+Construction!AR14*Construction!AR38</f>
        <v>3.97397185874228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1761</v>
      </c>
      <c r="E75" s="0" t="s">
        <v>151</v>
      </c>
      <c r="F75" s="17" t="n">
        <f aca="false">SUM(Funding!$J$49:$BJ$49)</f>
        <v>860.239655410062</v>
      </c>
    </row>
    <row r="76" customFormat="false" ht="15" hidden="false" customHeight="false" outlineLevel="0" collapsed="false">
      <c r="D76" s="0" t="s">
        <v>1762</v>
      </c>
      <c r="E76" s="0" t="s">
        <v>151</v>
      </c>
      <c r="F76" s="17" t="n">
        <f aca="false">SUM(Funding!$J$49:$BJ$49)-SUM(Funding!$J$44:$BJ$44)-SUM(Construction!$J$28:$BJ$28)+SUM(Funding!$J$71:$BJ$71)-SUM(Funding!$J$52:$BJ$52)-Inputs!$F$48*Inputs!$F$267</f>
        <v>839.165028593786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1763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1764</v>
      </c>
    </row>
    <row r="8" customFormat="false" ht="15" hidden="false" customHeight="false" outlineLevel="0" collapsed="false">
      <c r="D8" s="0" t="s">
        <v>1765</v>
      </c>
      <c r="E8" s="0" t="s">
        <v>105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1766</v>
      </c>
      <c r="E9" s="0" t="s">
        <v>105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1767</v>
      </c>
      <c r="E10" s="0" t="s">
        <v>101</v>
      </c>
      <c r="J10" s="16" t="n">
        <f aca="false">(Operations!J9+Inputs!$F$79+J9)/100*0.5</f>
        <v>0.01935</v>
      </c>
      <c r="K10" s="16" t="n">
        <f aca="false">(Operations!K9+Inputs!$F$79+K9)/100*0.5</f>
        <v>0.0207</v>
      </c>
      <c r="L10" s="16" t="n">
        <f aca="false">(Operations!L9+Inputs!$F$79+L9)/100*0.5</f>
        <v>0.02145</v>
      </c>
      <c r="M10" s="16" t="n">
        <f aca="false">(Operations!M9+Inputs!$F$79+M9)/100*0.5</f>
        <v>0.02185</v>
      </c>
      <c r="N10" s="16" t="n">
        <f aca="false">(Operations!N9+Inputs!$F$79+N9)/100*0.5</f>
        <v>0.02205</v>
      </c>
      <c r="O10" s="16" t="n">
        <f aca="false">(Operations!O9+Inputs!$F$79+O9)/100*0.5</f>
        <v>0.0222</v>
      </c>
      <c r="P10" s="16" t="n">
        <f aca="false">(Operations!P9+Inputs!$F$79+P9)/100*0.5</f>
        <v>0.0222</v>
      </c>
      <c r="Q10" s="16" t="n">
        <f aca="false">(Operations!Q9+Inputs!$F$79+Q9)/100*0.5</f>
        <v>0.0223</v>
      </c>
      <c r="R10" s="16" t="n">
        <f aca="false">(Operations!R9+Inputs!$F$79+R9)/100*0.5</f>
        <v>0.0223</v>
      </c>
      <c r="S10" s="16" t="n">
        <f aca="false">(Operations!S9+Inputs!$F$79+S9)/100*0.5</f>
        <v>0.02235</v>
      </c>
      <c r="T10" s="16" t="n">
        <f aca="false">(Operations!T9+Inputs!$F$79+T9)/100*0.5</f>
        <v>0.02235</v>
      </c>
      <c r="U10" s="16" t="n">
        <f aca="false">(Operations!U9+Inputs!$F$79+U9)/100*0.5</f>
        <v>0.02235</v>
      </c>
      <c r="V10" s="16" t="n">
        <f aca="false">(Operations!V9+Inputs!$F$79+V9)/100*0.5</f>
        <v>0.02235</v>
      </c>
      <c r="W10" s="16" t="n">
        <f aca="false">(Operations!W9+Inputs!$F$79+W9)/100*0.5</f>
        <v>0.02235</v>
      </c>
      <c r="X10" s="16" t="n">
        <f aca="false">(Operations!X9+Inputs!$F$79+X9)/100*0.5</f>
        <v>0.02235</v>
      </c>
      <c r="Y10" s="16" t="n">
        <f aca="false">(Operations!Y9+Inputs!$F$79+Y9)/100*0.5</f>
        <v>0.02235</v>
      </c>
      <c r="Z10" s="16" t="n">
        <f aca="false">(Operations!Z9+Inputs!$F$79+Z9)/100*0.5</f>
        <v>0.02235</v>
      </c>
      <c r="AA10" s="16" t="n">
        <f aca="false">(Operations!AA9+Inputs!$F$79+AA9)/100*0.5</f>
        <v>0.02235</v>
      </c>
      <c r="AB10" s="16" t="n">
        <f aca="false">(Operations!AB9+Inputs!$F$79+AB9)/100*0.5</f>
        <v>0.02235</v>
      </c>
      <c r="AC10" s="16" t="n">
        <f aca="false">(Operations!AC9+Inputs!$F$79+AC9)/100*0.5</f>
        <v>0.02235</v>
      </c>
      <c r="AD10" s="16" t="n">
        <f aca="false">(Operations!AD9+Inputs!$F$79+AD9)/100*0.5</f>
        <v>0.02235</v>
      </c>
      <c r="AE10" s="16" t="n">
        <f aca="false">(Operations!AE9+Inputs!$F$79+AE9)/100*0.5</f>
        <v>0.02235</v>
      </c>
      <c r="AF10" s="16" t="n">
        <f aca="false">(Operations!AF9+Inputs!$F$79+AF9)/100*0.5</f>
        <v>0.02235</v>
      </c>
      <c r="AG10" s="16" t="n">
        <f aca="false">(Operations!AG9+Inputs!$F$79+AG9)/100*0.5</f>
        <v>0.02235</v>
      </c>
      <c r="AH10" s="16" t="n">
        <f aca="false">(Operations!AH9+Inputs!$F$79+AH9)/100*0.5</f>
        <v>0.02235</v>
      </c>
      <c r="AI10" s="16" t="n">
        <f aca="false">(Operations!AI9+Inputs!$F$79+AI9)/100*0.5</f>
        <v>0.02235</v>
      </c>
      <c r="AJ10" s="16" t="n">
        <f aca="false">(Operations!AJ9+Inputs!$F$79+AJ9)/100*0.5</f>
        <v>0.02235</v>
      </c>
      <c r="AK10" s="16" t="n">
        <f aca="false">(Operations!AK9+Inputs!$F$79+AK9)/100*0.5</f>
        <v>0.02235</v>
      </c>
      <c r="AL10" s="16" t="n">
        <f aca="false">(Operations!AL9+Inputs!$F$79+AL9)/100*0.5</f>
        <v>0.02235</v>
      </c>
      <c r="AM10" s="16" t="n">
        <f aca="false">(Operations!AM9+Inputs!$F$79+AM9)/100*0.5</f>
        <v>0.02235</v>
      </c>
      <c r="AN10" s="16" t="n">
        <f aca="false">(Operations!AN9+Inputs!$F$79+AN9)/100*0.5</f>
        <v>0.02235</v>
      </c>
      <c r="AO10" s="16" t="n">
        <f aca="false">(Operations!AO9+Inputs!$F$79+AO9)/100*0.5</f>
        <v>0.02235</v>
      </c>
      <c r="AP10" s="16" t="n">
        <f aca="false">(Operations!AP9+Inputs!$F$79+AP9)/100*0.5</f>
        <v>0.02235</v>
      </c>
      <c r="AQ10" s="16" t="n">
        <f aca="false">(Operations!AQ9+Inputs!$F$79+AQ9)/100*0.5</f>
        <v>0.02235</v>
      </c>
      <c r="AR10" s="16" t="n">
        <f aca="false">(Operations!AR9+Inputs!$F$79+AR9)/100*0.5</f>
        <v>0.02235</v>
      </c>
      <c r="AS10" s="16" t="n">
        <f aca="false">(Operations!AS9+Inputs!$F$79+AS9)/100*0.5</f>
        <v>0.02235</v>
      </c>
      <c r="AT10" s="16" t="n">
        <f aca="false">(Operations!AT9+Inputs!$F$79+AT9)/100*0.5</f>
        <v>0.02235</v>
      </c>
      <c r="AU10" s="16" t="n">
        <f aca="false">(Operations!AU9+Inputs!$F$79+AU9)/100*0.5</f>
        <v>0.02235</v>
      </c>
      <c r="AV10" s="16" t="n">
        <f aca="false">(Operations!AV9+Inputs!$F$79+AV9)/100*0.5</f>
        <v>0.02235</v>
      </c>
      <c r="AW10" s="16" t="n">
        <f aca="false">(Operations!AW9+Inputs!$F$79+AW9)/100*0.5</f>
        <v>0.02235</v>
      </c>
      <c r="AX10" s="16" t="n">
        <f aca="false">(Operations!AX9+Inputs!$F$79+AX9)/100*0.5</f>
        <v>0.02235</v>
      </c>
      <c r="AY10" s="16" t="n">
        <f aca="false">(Operations!AY9+Inputs!$F$79+AY9)/100*0.5</f>
        <v>0.02235</v>
      </c>
      <c r="AZ10" s="16" t="n">
        <f aca="false">(Operations!AZ9+Inputs!$F$79+AZ9)/100*0.5</f>
        <v>0.02235</v>
      </c>
      <c r="BA10" s="16" t="n">
        <f aca="false">(Operations!BA9+Inputs!$F$79+BA9)/100*0.5</f>
        <v>0.02235</v>
      </c>
      <c r="BB10" s="16" t="n">
        <f aca="false">(Operations!BB9+Inputs!$F$79+BB9)/100*0.5</f>
        <v>0.02235</v>
      </c>
      <c r="BC10" s="16" t="n">
        <f aca="false">(Operations!BC9+Inputs!$F$79+BC9)/100*0.5</f>
        <v>0.02235</v>
      </c>
      <c r="BD10" s="16" t="n">
        <f aca="false">(Operations!BD9+Inputs!$F$79+BD9)/100*0.5</f>
        <v>0.02235</v>
      </c>
      <c r="BE10" s="16" t="n">
        <f aca="false">(Operations!BE9+Inputs!$F$79+BE9)/100*0.5</f>
        <v>0.02235</v>
      </c>
      <c r="BF10" s="16" t="n">
        <f aca="false">(Operations!BF9+Inputs!$F$79+BF9)/100*0.5</f>
        <v>0.02235</v>
      </c>
      <c r="BG10" s="16" t="n">
        <f aca="false">(Operations!BG9+Inputs!$F$79+BG9)/100*0.5</f>
        <v>0.02235</v>
      </c>
      <c r="BH10" s="16" t="n">
        <f aca="false">(Operations!BH9+Inputs!$F$79+BH9)/100*0.5</f>
        <v>0.02235</v>
      </c>
      <c r="BI10" s="16" t="n">
        <f aca="false">(Operations!BI9+Inputs!$F$79+BI9)/100*0.5</f>
        <v>0.02235</v>
      </c>
      <c r="BJ10" s="16" t="n">
        <f aca="false">(Operations!BJ9+Inputs!$F$79+BJ9)/100*0.5</f>
        <v>0.02235</v>
      </c>
      <c r="BK10" s="16" t="n">
        <f aca="false">(Operations!BK9+Inputs!$F$79+BK9)/100*0.5</f>
        <v>0.02235</v>
      </c>
      <c r="BL10" s="16" t="n">
        <f aca="false">(Operations!BL9+Inputs!$F$79+BL9)/100*0.5</f>
        <v>0.02235</v>
      </c>
      <c r="BM10" s="16" t="n">
        <f aca="false">(Operations!BM9+Inputs!$F$79+BM9)/100*0.5</f>
        <v>0.02235</v>
      </c>
      <c r="BN10" s="16" t="n">
        <f aca="false">(Operations!BN9+Inputs!$F$79+BN9)/100*0.5</f>
        <v>0.02235</v>
      </c>
    </row>
    <row r="11" customFormat="false" ht="15" hidden="false" customHeight="false" outlineLevel="0" collapsed="false">
      <c r="D11" s="0" t="s">
        <v>1768</v>
      </c>
      <c r="E11" s="0" t="s">
        <v>101</v>
      </c>
      <c r="J11" s="16" t="n">
        <f aca="false">(Operations!J9+Inputs!$F$80+J9)/100*0.5</f>
        <v>0.03085</v>
      </c>
      <c r="K11" s="16" t="n">
        <f aca="false">(Operations!K9+Inputs!$F$80+K9)/100*0.5</f>
        <v>0.0322</v>
      </c>
      <c r="L11" s="16" t="n">
        <f aca="false">(Operations!L9+Inputs!$F$80+L9)/100*0.5</f>
        <v>0.03295</v>
      </c>
      <c r="M11" s="16" t="n">
        <f aca="false">(Operations!M9+Inputs!$F$80+M9)/100*0.5</f>
        <v>0.03335</v>
      </c>
      <c r="N11" s="16" t="n">
        <f aca="false">(Operations!N9+Inputs!$F$80+N9)/100*0.5</f>
        <v>0.03355</v>
      </c>
      <c r="O11" s="16" t="n">
        <f aca="false">(Operations!O9+Inputs!$F$80+O9)/100*0.5</f>
        <v>0.0337</v>
      </c>
      <c r="P11" s="16" t="n">
        <f aca="false">(Operations!P9+Inputs!$F$80+P9)/100*0.5</f>
        <v>0.0337</v>
      </c>
      <c r="Q11" s="16" t="n">
        <f aca="false">(Operations!Q9+Inputs!$F$80+Q9)/100*0.5</f>
        <v>0.0338</v>
      </c>
      <c r="R11" s="16" t="n">
        <f aca="false">(Operations!R9+Inputs!$F$80+R9)/100*0.5</f>
        <v>0.0338</v>
      </c>
      <c r="S11" s="16" t="n">
        <f aca="false">(Operations!S9+Inputs!$F$80+S9)/100*0.5</f>
        <v>0.03385</v>
      </c>
      <c r="T11" s="16" t="n">
        <f aca="false">(Operations!T9+Inputs!$F$80+T9)/100*0.5</f>
        <v>0.03385</v>
      </c>
      <c r="U11" s="16" t="n">
        <f aca="false">(Operations!U9+Inputs!$F$80+U9)/100*0.5</f>
        <v>0.03385</v>
      </c>
      <c r="V11" s="16" t="n">
        <f aca="false">(Operations!V9+Inputs!$F$80+V9)/100*0.5</f>
        <v>0.03385</v>
      </c>
      <c r="W11" s="16" t="n">
        <f aca="false">(Operations!W9+Inputs!$F$80+W9)/100*0.5</f>
        <v>0.03385</v>
      </c>
      <c r="X11" s="16" t="n">
        <f aca="false">(Operations!X9+Inputs!$F$80+X9)/100*0.5</f>
        <v>0.03385</v>
      </c>
      <c r="Y11" s="16" t="n">
        <f aca="false">(Operations!Y9+Inputs!$F$80+Y9)/100*0.5</f>
        <v>0.03385</v>
      </c>
      <c r="Z11" s="16" t="n">
        <f aca="false">(Operations!Z9+Inputs!$F$80+Z9)/100*0.5</f>
        <v>0.03385</v>
      </c>
      <c r="AA11" s="16" t="n">
        <f aca="false">(Operations!AA9+Inputs!$F$80+AA9)/100*0.5</f>
        <v>0.03385</v>
      </c>
      <c r="AB11" s="16" t="n">
        <f aca="false">(Operations!AB9+Inputs!$F$80+AB9)/100*0.5</f>
        <v>0.03385</v>
      </c>
      <c r="AC11" s="16" t="n">
        <f aca="false">(Operations!AC9+Inputs!$F$80+AC9)/100*0.5</f>
        <v>0.03385</v>
      </c>
      <c r="AD11" s="16" t="n">
        <f aca="false">(Operations!AD9+Inputs!$F$80+AD9)/100*0.5</f>
        <v>0.03385</v>
      </c>
      <c r="AE11" s="16" t="n">
        <f aca="false">(Operations!AE9+Inputs!$F$80+AE9)/100*0.5</f>
        <v>0.03385</v>
      </c>
      <c r="AF11" s="16" t="n">
        <f aca="false">(Operations!AF9+Inputs!$F$80+AF9)/100*0.5</f>
        <v>0.03385</v>
      </c>
      <c r="AG11" s="16" t="n">
        <f aca="false">(Operations!AG9+Inputs!$F$80+AG9)/100*0.5</f>
        <v>0.03385</v>
      </c>
      <c r="AH11" s="16" t="n">
        <f aca="false">(Operations!AH9+Inputs!$F$80+AH9)/100*0.5</f>
        <v>0.03385</v>
      </c>
      <c r="AI11" s="16" t="n">
        <f aca="false">(Operations!AI9+Inputs!$F$80+AI9)/100*0.5</f>
        <v>0.03385</v>
      </c>
      <c r="AJ11" s="16" t="n">
        <f aca="false">(Operations!AJ9+Inputs!$F$80+AJ9)/100*0.5</f>
        <v>0.03385</v>
      </c>
      <c r="AK11" s="16" t="n">
        <f aca="false">(Operations!AK9+Inputs!$F$80+AK9)/100*0.5</f>
        <v>0.03385</v>
      </c>
      <c r="AL11" s="16" t="n">
        <f aca="false">(Operations!AL9+Inputs!$F$80+AL9)/100*0.5</f>
        <v>0.03385</v>
      </c>
      <c r="AM11" s="16" t="n">
        <f aca="false">(Operations!AM9+Inputs!$F$80+AM9)/100*0.5</f>
        <v>0.03385</v>
      </c>
      <c r="AN11" s="16" t="n">
        <f aca="false">(Operations!AN9+Inputs!$F$80+AN9)/100*0.5</f>
        <v>0.03385</v>
      </c>
      <c r="AO11" s="16" t="n">
        <f aca="false">(Operations!AO9+Inputs!$F$80+AO9)/100*0.5</f>
        <v>0.03385</v>
      </c>
      <c r="AP11" s="16" t="n">
        <f aca="false">(Operations!AP9+Inputs!$F$80+AP9)/100*0.5</f>
        <v>0.03385</v>
      </c>
      <c r="AQ11" s="16" t="n">
        <f aca="false">(Operations!AQ9+Inputs!$F$80+AQ9)/100*0.5</f>
        <v>0.03385</v>
      </c>
      <c r="AR11" s="16" t="n">
        <f aca="false">(Operations!AR9+Inputs!$F$80+AR9)/100*0.5</f>
        <v>0.03385</v>
      </c>
      <c r="AS11" s="16" t="n">
        <f aca="false">(Operations!AS9+Inputs!$F$80+AS9)/100*0.5</f>
        <v>0.03385</v>
      </c>
      <c r="AT11" s="16" t="n">
        <f aca="false">(Operations!AT9+Inputs!$F$80+AT9)/100*0.5</f>
        <v>0.03385</v>
      </c>
      <c r="AU11" s="16" t="n">
        <f aca="false">(Operations!AU9+Inputs!$F$80+AU9)/100*0.5</f>
        <v>0.03385</v>
      </c>
      <c r="AV11" s="16" t="n">
        <f aca="false">(Operations!AV9+Inputs!$F$80+AV9)/100*0.5</f>
        <v>0.03385</v>
      </c>
      <c r="AW11" s="16" t="n">
        <f aca="false">(Operations!AW9+Inputs!$F$80+AW9)/100*0.5</f>
        <v>0.03385</v>
      </c>
      <c r="AX11" s="16" t="n">
        <f aca="false">(Operations!AX9+Inputs!$F$80+AX9)/100*0.5</f>
        <v>0.03385</v>
      </c>
      <c r="AY11" s="16" t="n">
        <f aca="false">(Operations!AY9+Inputs!$F$80+AY9)/100*0.5</f>
        <v>0.03385</v>
      </c>
      <c r="AZ11" s="16" t="n">
        <f aca="false">(Operations!AZ9+Inputs!$F$80+AZ9)/100*0.5</f>
        <v>0.03385</v>
      </c>
      <c r="BA11" s="16" t="n">
        <f aca="false">(Operations!BA9+Inputs!$F$80+BA9)/100*0.5</f>
        <v>0.03385</v>
      </c>
      <c r="BB11" s="16" t="n">
        <f aca="false">(Operations!BB9+Inputs!$F$80+BB9)/100*0.5</f>
        <v>0.03385</v>
      </c>
      <c r="BC11" s="16" t="n">
        <f aca="false">(Operations!BC9+Inputs!$F$80+BC9)/100*0.5</f>
        <v>0.03385</v>
      </c>
      <c r="BD11" s="16" t="n">
        <f aca="false">(Operations!BD9+Inputs!$F$80+BD9)/100*0.5</f>
        <v>0.03385</v>
      </c>
      <c r="BE11" s="16" t="n">
        <f aca="false">(Operations!BE9+Inputs!$F$80+BE9)/100*0.5</f>
        <v>0.03385</v>
      </c>
      <c r="BF11" s="16" t="n">
        <f aca="false">(Operations!BF9+Inputs!$F$80+BF9)/100*0.5</f>
        <v>0.03385</v>
      </c>
      <c r="BG11" s="16" t="n">
        <f aca="false">(Operations!BG9+Inputs!$F$80+BG9)/100*0.5</f>
        <v>0.03385</v>
      </c>
      <c r="BH11" s="16" t="n">
        <f aca="false">(Operations!BH9+Inputs!$F$80+BH9)/100*0.5</f>
        <v>0.03385</v>
      </c>
      <c r="BI11" s="16" t="n">
        <f aca="false">(Operations!BI9+Inputs!$F$80+BI9)/100*0.5</f>
        <v>0.03385</v>
      </c>
      <c r="BJ11" s="16" t="n">
        <f aca="false">(Operations!BJ9+Inputs!$F$80+BJ9)/100*0.5</f>
        <v>0.03385</v>
      </c>
      <c r="BK11" s="16" t="n">
        <f aca="false">(Operations!BK9+Inputs!$F$80+BK9)/100*0.5</f>
        <v>0.03385</v>
      </c>
      <c r="BL11" s="16" t="n">
        <f aca="false">(Operations!BL9+Inputs!$F$80+BL9)/100*0.5</f>
        <v>0.03385</v>
      </c>
      <c r="BM11" s="16" t="n">
        <f aca="false">(Operations!BM9+Inputs!$F$80+BM9)/100*0.5</f>
        <v>0.03385</v>
      </c>
      <c r="BN11" s="16" t="n">
        <f aca="false">(Operations!BN9+Inputs!$F$80+BN9)/100*0.5</f>
        <v>0.03385</v>
      </c>
    </row>
    <row r="12" customFormat="false" ht="15" hidden="false" customHeight="false" outlineLevel="0" collapsed="false">
      <c r="D12" s="0" t="s">
        <v>1769</v>
      </c>
      <c r="E12" s="0" t="s">
        <v>101</v>
      </c>
      <c r="J12" s="16" t="n">
        <f aca="false">(Operations!J9+Inputs!$F$81+J9)/100*0.5</f>
        <v>0.0296</v>
      </c>
      <c r="K12" s="16" t="n">
        <f aca="false">(Operations!K9+Inputs!$F$81+K9)/100*0.5</f>
        <v>0.03095</v>
      </c>
      <c r="L12" s="16" t="n">
        <f aca="false">(Operations!L9+Inputs!$F$81+L9)/100*0.5</f>
        <v>0.0317</v>
      </c>
      <c r="M12" s="16" t="n">
        <f aca="false">(Operations!M9+Inputs!$F$81+M9)/100*0.5</f>
        <v>0.0321</v>
      </c>
      <c r="N12" s="16" t="n">
        <f aca="false">(Operations!N9+Inputs!$F$81+N9)/100*0.5</f>
        <v>0.0323</v>
      </c>
      <c r="O12" s="16" t="n">
        <f aca="false">(Operations!O9+Inputs!$F$81+O9)/100*0.5</f>
        <v>0.03245</v>
      </c>
      <c r="P12" s="16" t="n">
        <f aca="false">(Operations!P9+Inputs!$F$81+P9)/100*0.5</f>
        <v>0.03245</v>
      </c>
      <c r="Q12" s="16" t="n">
        <f aca="false">(Operations!Q9+Inputs!$F$81+Q9)/100*0.5</f>
        <v>0.03255</v>
      </c>
      <c r="R12" s="16" t="n">
        <f aca="false">(Operations!R9+Inputs!$F$81+R9)/100*0.5</f>
        <v>0.03255</v>
      </c>
      <c r="S12" s="16" t="n">
        <f aca="false">(Operations!S9+Inputs!$F$81+S9)/100*0.5</f>
        <v>0.0326</v>
      </c>
      <c r="T12" s="16" t="n">
        <f aca="false">(Operations!T9+Inputs!$F$81+T9)/100*0.5</f>
        <v>0.0326</v>
      </c>
      <c r="U12" s="16" t="n">
        <f aca="false">(Operations!U9+Inputs!$F$81+U9)/100*0.5</f>
        <v>0.0326</v>
      </c>
      <c r="V12" s="16" t="n">
        <f aca="false">(Operations!V9+Inputs!$F$81+V9)/100*0.5</f>
        <v>0.0326</v>
      </c>
      <c r="W12" s="16" t="n">
        <f aca="false">(Operations!W9+Inputs!$F$81+W9)/100*0.5</f>
        <v>0.0326</v>
      </c>
      <c r="X12" s="16" t="n">
        <f aca="false">(Operations!X9+Inputs!$F$81+X9)/100*0.5</f>
        <v>0.0326</v>
      </c>
      <c r="Y12" s="16" t="n">
        <f aca="false">(Operations!Y9+Inputs!$F$81+Y9)/100*0.5</f>
        <v>0.0326</v>
      </c>
      <c r="Z12" s="16" t="n">
        <f aca="false">(Operations!Z9+Inputs!$F$81+Z9)/100*0.5</f>
        <v>0.0326</v>
      </c>
      <c r="AA12" s="16" t="n">
        <f aca="false">(Operations!AA9+Inputs!$F$81+AA9)/100*0.5</f>
        <v>0.0326</v>
      </c>
      <c r="AB12" s="16" t="n">
        <f aca="false">(Operations!AB9+Inputs!$F$81+AB9)/100*0.5</f>
        <v>0.0326</v>
      </c>
      <c r="AC12" s="16" t="n">
        <f aca="false">(Operations!AC9+Inputs!$F$81+AC9)/100*0.5</f>
        <v>0.0326</v>
      </c>
      <c r="AD12" s="16" t="n">
        <f aca="false">(Operations!AD9+Inputs!$F$81+AD9)/100*0.5</f>
        <v>0.0326</v>
      </c>
      <c r="AE12" s="16" t="n">
        <f aca="false">(Operations!AE9+Inputs!$F$81+AE9)/100*0.5</f>
        <v>0.0326</v>
      </c>
      <c r="AF12" s="16" t="n">
        <f aca="false">(Operations!AF9+Inputs!$F$81+AF9)/100*0.5</f>
        <v>0.0326</v>
      </c>
      <c r="AG12" s="16" t="n">
        <f aca="false">(Operations!AG9+Inputs!$F$81+AG9)/100*0.5</f>
        <v>0.0326</v>
      </c>
      <c r="AH12" s="16" t="n">
        <f aca="false">(Operations!AH9+Inputs!$F$81+AH9)/100*0.5</f>
        <v>0.0326</v>
      </c>
      <c r="AI12" s="16" t="n">
        <f aca="false">(Operations!AI9+Inputs!$F$81+AI9)/100*0.5</f>
        <v>0.0326</v>
      </c>
      <c r="AJ12" s="16" t="n">
        <f aca="false">(Operations!AJ9+Inputs!$F$81+AJ9)/100*0.5</f>
        <v>0.0326</v>
      </c>
      <c r="AK12" s="16" t="n">
        <f aca="false">(Operations!AK9+Inputs!$F$81+AK9)/100*0.5</f>
        <v>0.0326</v>
      </c>
      <c r="AL12" s="16" t="n">
        <f aca="false">(Operations!AL9+Inputs!$F$81+AL9)/100*0.5</f>
        <v>0.0326</v>
      </c>
      <c r="AM12" s="16" t="n">
        <f aca="false">(Operations!AM9+Inputs!$F$81+AM9)/100*0.5</f>
        <v>0.0326</v>
      </c>
      <c r="AN12" s="16" t="n">
        <f aca="false">(Operations!AN9+Inputs!$F$81+AN9)/100*0.5</f>
        <v>0.0326</v>
      </c>
      <c r="AO12" s="16" t="n">
        <f aca="false">(Operations!AO9+Inputs!$F$81+AO9)/100*0.5</f>
        <v>0.0326</v>
      </c>
      <c r="AP12" s="16" t="n">
        <f aca="false">(Operations!AP9+Inputs!$F$81+AP9)/100*0.5</f>
        <v>0.0326</v>
      </c>
      <c r="AQ12" s="16" t="n">
        <f aca="false">(Operations!AQ9+Inputs!$F$81+AQ9)/100*0.5</f>
        <v>0.0326</v>
      </c>
      <c r="AR12" s="16" t="n">
        <f aca="false">(Operations!AR9+Inputs!$F$81+AR9)/100*0.5</f>
        <v>0.0326</v>
      </c>
      <c r="AS12" s="16" t="n">
        <f aca="false">(Operations!AS9+Inputs!$F$81+AS9)/100*0.5</f>
        <v>0.0326</v>
      </c>
      <c r="AT12" s="16" t="n">
        <f aca="false">(Operations!AT9+Inputs!$F$81+AT9)/100*0.5</f>
        <v>0.0326</v>
      </c>
      <c r="AU12" s="16" t="n">
        <f aca="false">(Operations!AU9+Inputs!$F$81+AU9)/100*0.5</f>
        <v>0.0326</v>
      </c>
      <c r="AV12" s="16" t="n">
        <f aca="false">(Operations!AV9+Inputs!$F$81+AV9)/100*0.5</f>
        <v>0.0326</v>
      </c>
      <c r="AW12" s="16" t="n">
        <f aca="false">(Operations!AW9+Inputs!$F$81+AW9)/100*0.5</f>
        <v>0.0326</v>
      </c>
      <c r="AX12" s="16" t="n">
        <f aca="false">(Operations!AX9+Inputs!$F$81+AX9)/100*0.5</f>
        <v>0.0326</v>
      </c>
      <c r="AY12" s="16" t="n">
        <f aca="false">(Operations!AY9+Inputs!$F$81+AY9)/100*0.5</f>
        <v>0.0326</v>
      </c>
      <c r="AZ12" s="16" t="n">
        <f aca="false">(Operations!AZ9+Inputs!$F$81+AZ9)/100*0.5</f>
        <v>0.0326</v>
      </c>
      <c r="BA12" s="16" t="n">
        <f aca="false">(Operations!BA9+Inputs!$F$81+BA9)/100*0.5</f>
        <v>0.0326</v>
      </c>
      <c r="BB12" s="16" t="n">
        <f aca="false">(Operations!BB9+Inputs!$F$81+BB9)/100*0.5</f>
        <v>0.0326</v>
      </c>
      <c r="BC12" s="16" t="n">
        <f aca="false">(Operations!BC9+Inputs!$F$81+BC9)/100*0.5</f>
        <v>0.0326</v>
      </c>
      <c r="BD12" s="16" t="n">
        <f aca="false">(Operations!BD9+Inputs!$F$81+BD9)/100*0.5</f>
        <v>0.0326</v>
      </c>
      <c r="BE12" s="16" t="n">
        <f aca="false">(Operations!BE9+Inputs!$F$81+BE9)/100*0.5</f>
        <v>0.0326</v>
      </c>
      <c r="BF12" s="16" t="n">
        <f aca="false">(Operations!BF9+Inputs!$F$81+BF9)/100*0.5</f>
        <v>0.0326</v>
      </c>
      <c r="BG12" s="16" t="n">
        <f aca="false">(Operations!BG9+Inputs!$F$81+BG9)/100*0.5</f>
        <v>0.0326</v>
      </c>
      <c r="BH12" s="16" t="n">
        <f aca="false">(Operations!BH9+Inputs!$F$81+BH9)/100*0.5</f>
        <v>0.0326</v>
      </c>
      <c r="BI12" s="16" t="n">
        <f aca="false">(Operations!BI9+Inputs!$F$81+BI9)/100*0.5</f>
        <v>0.0326</v>
      </c>
      <c r="BJ12" s="16" t="n">
        <f aca="false">(Operations!BJ9+Inputs!$F$81+BJ9)/100*0.5</f>
        <v>0.0326</v>
      </c>
      <c r="BK12" s="16" t="n">
        <f aca="false">(Operations!BK9+Inputs!$F$81+BK9)/100*0.5</f>
        <v>0.0326</v>
      </c>
      <c r="BL12" s="16" t="n">
        <f aca="false">(Operations!BL9+Inputs!$F$81+BL9)/100*0.5</f>
        <v>0.0326</v>
      </c>
      <c r="BM12" s="16" t="n">
        <f aca="false">(Operations!BM9+Inputs!$F$81+BM9)/100*0.5</f>
        <v>0.0326</v>
      </c>
      <c r="BN12" s="16" t="n">
        <f aca="false">(Operations!BN9+Inputs!$F$81+BN9)/100*0.5</f>
        <v>0.0326</v>
      </c>
    </row>
    <row r="13" customFormat="false" ht="15" hidden="false" customHeight="false" outlineLevel="0" collapsed="false">
      <c r="D13" s="0" t="s">
        <v>1770</v>
      </c>
      <c r="E13" s="0" t="s">
        <v>101</v>
      </c>
      <c r="J13" s="16" t="n">
        <f aca="false">(Operations!J9+J8+J9)/100*0.5/(1-Inputs!$F$93/100)</f>
        <v>0.0367777777777778</v>
      </c>
      <c r="K13" s="16" t="n">
        <f aca="false">(Operations!K9+K8+K9)/100*0.5/(1-Inputs!$F$93/100)</f>
        <v>0.0382777777777778</v>
      </c>
      <c r="L13" s="16" t="n">
        <f aca="false">(Operations!L9+L8+L9)/100*0.5/(1-Inputs!$F$93/100)</f>
        <v>0.0391111111111111</v>
      </c>
      <c r="M13" s="16" t="n">
        <f aca="false">(Operations!M9+M8+M9)/100*0.5/(1-Inputs!$F$93/100)</f>
        <v>0.0395555555555555</v>
      </c>
      <c r="N13" s="16" t="n">
        <f aca="false">(Operations!N9+N8+N9)/100*0.5/(1-Inputs!$F$93/100)</f>
        <v>0.0397777777777778</v>
      </c>
      <c r="O13" s="16" t="n">
        <f aca="false">(Operations!O9+O8+O9)/100*0.5/(1-Inputs!$F$93/100)</f>
        <v>0.0399444444444444</v>
      </c>
      <c r="P13" s="16" t="n">
        <f aca="false">(Operations!P9+P8+P9)/100*0.5/(1-Inputs!$F$93/100)</f>
        <v>0.0399444444444444</v>
      </c>
      <c r="Q13" s="16" t="n">
        <f aca="false">(Operations!Q9+Q8+Q9)/100*0.5/(1-Inputs!$F$93/100)</f>
        <v>0.0400555555555556</v>
      </c>
      <c r="R13" s="16" t="n">
        <f aca="false">(Operations!R9+R8+R9)/100*0.5/(1-Inputs!$F$93/100)</f>
        <v>0.0400555555555556</v>
      </c>
      <c r="S13" s="16" t="n">
        <f aca="false">(Operations!S9+S8+S9)/100*0.5/(1-Inputs!$F$93/100)</f>
        <v>0.0401111111111111</v>
      </c>
      <c r="T13" s="16" t="n">
        <f aca="false">(Operations!T9+T8+T9)/100*0.5/(1-Inputs!$F$93/100)</f>
        <v>0.0401111111111111</v>
      </c>
      <c r="U13" s="16" t="n">
        <f aca="false">(Operations!U9+U8+U9)/100*0.5/(1-Inputs!$F$93/100)</f>
        <v>0.0401111111111111</v>
      </c>
      <c r="V13" s="16" t="n">
        <f aca="false">(Operations!V9+V8+V9)/100*0.5/(1-Inputs!$F$93/100)</f>
        <v>0.0401111111111111</v>
      </c>
      <c r="W13" s="16" t="n">
        <f aca="false">(Operations!W9+W8+W9)/100*0.5/(1-Inputs!$F$93/100)</f>
        <v>0.0401111111111111</v>
      </c>
      <c r="X13" s="16" t="n">
        <f aca="false">(Operations!X9+X8+X9)/100*0.5/(1-Inputs!$F$93/100)</f>
        <v>0.0401111111111111</v>
      </c>
      <c r="Y13" s="16" t="n">
        <f aca="false">(Operations!Y9+Y8+Y9)/100*0.5/(1-Inputs!$F$93/100)</f>
        <v>0.0428888888888889</v>
      </c>
      <c r="Z13" s="16" t="n">
        <f aca="false">(Operations!Z9+Z8+Z9)/100*0.5/(1-Inputs!$F$93/100)</f>
        <v>0.0428888888888889</v>
      </c>
      <c r="AA13" s="16" t="n">
        <f aca="false">(Operations!AA9+AA8+AA9)/100*0.5/(1-Inputs!$F$93/100)</f>
        <v>0.0428888888888889</v>
      </c>
      <c r="AB13" s="16" t="n">
        <f aca="false">(Operations!AB9+AB8+AB9)/100*0.5/(1-Inputs!$F$93/100)</f>
        <v>0.0428888888888889</v>
      </c>
      <c r="AC13" s="16" t="n">
        <f aca="false">(Operations!AC9+AC8+AC9)/100*0.5/(1-Inputs!$F$93/100)</f>
        <v>0.0428888888888889</v>
      </c>
      <c r="AD13" s="16" t="n">
        <f aca="false">(Operations!AD9+AD8+AD9)/100*0.5/(1-Inputs!$F$93/100)</f>
        <v>0.0428888888888889</v>
      </c>
      <c r="AE13" s="16" t="n">
        <f aca="false">(Operations!AE9+AE8+AE9)/100*0.5/(1-Inputs!$F$93/100)</f>
        <v>0.0428888888888889</v>
      </c>
      <c r="AF13" s="16" t="n">
        <f aca="false">(Operations!AF9+AF8+AF9)/100*0.5/(1-Inputs!$F$93/100)</f>
        <v>0.0428888888888889</v>
      </c>
      <c r="AG13" s="16" t="n">
        <f aca="false">(Operations!AG9+AG8+AG9)/100*0.5/(1-Inputs!$F$93/100)</f>
        <v>0.0456666666666667</v>
      </c>
      <c r="AH13" s="16" t="n">
        <f aca="false">(Operations!AH9+AH8+AH9)/100*0.5/(1-Inputs!$F$93/100)</f>
        <v>0.0456666666666667</v>
      </c>
      <c r="AI13" s="16" t="n">
        <f aca="false">(Operations!AI9+AI8+AI9)/100*0.5/(1-Inputs!$F$93/100)</f>
        <v>0.0456666666666667</v>
      </c>
      <c r="AJ13" s="16" t="n">
        <f aca="false">(Operations!AJ9+AJ8+AJ9)/100*0.5/(1-Inputs!$F$93/100)</f>
        <v>0.0456666666666667</v>
      </c>
      <c r="AK13" s="16" t="n">
        <f aca="false">(Operations!AK9+AK8+AK9)/100*0.5/(1-Inputs!$F$93/100)</f>
        <v>0.0456666666666667</v>
      </c>
      <c r="AL13" s="16" t="n">
        <f aca="false">(Operations!AL9+AL8+AL9)/100*0.5/(1-Inputs!$F$93/100)</f>
        <v>0.0456666666666667</v>
      </c>
      <c r="AM13" s="16" t="n">
        <f aca="false">(Operations!AM9+AM8+AM9)/100*0.5/(1-Inputs!$F$93/100)</f>
        <v>0.0456666666666667</v>
      </c>
      <c r="AN13" s="16" t="n">
        <f aca="false">(Operations!AN9+AN8+AN9)/100*0.5/(1-Inputs!$F$93/100)</f>
        <v>0.0456666666666667</v>
      </c>
      <c r="AO13" s="16" t="n">
        <f aca="false">(Operations!AO9+AO8+AO9)/100*0.5/(1-Inputs!$F$93/100)</f>
        <v>0.0456666666666667</v>
      </c>
      <c r="AP13" s="16" t="n">
        <f aca="false">(Operations!AP9+AP8+AP9)/100*0.5/(1-Inputs!$F$93/100)</f>
        <v>0.0456666666666667</v>
      </c>
      <c r="AQ13" s="16" t="n">
        <f aca="false">(Operations!AQ9+AQ8+AQ9)/100*0.5/(1-Inputs!$F$93/100)</f>
        <v>0.0456666666666667</v>
      </c>
      <c r="AR13" s="16" t="n">
        <f aca="false">(Operations!AR9+AR8+AR9)/100*0.5/(1-Inputs!$F$93/100)</f>
        <v>0.0456666666666667</v>
      </c>
      <c r="AS13" s="16" t="n">
        <f aca="false">(Operations!AS9+AS8+AS9)/100*0.5/(1-Inputs!$F$93/100)</f>
        <v>0.0456666666666667</v>
      </c>
      <c r="AT13" s="16" t="n">
        <f aca="false">(Operations!AT9+AT8+AT9)/100*0.5/(1-Inputs!$F$93/100)</f>
        <v>0.0456666666666667</v>
      </c>
      <c r="AU13" s="16" t="n">
        <f aca="false">(Operations!AU9+AU8+AU9)/100*0.5/(1-Inputs!$F$93/100)</f>
        <v>0.0456666666666667</v>
      </c>
      <c r="AV13" s="16" t="n">
        <f aca="false">(Operations!AV9+AV8+AV9)/100*0.5/(1-Inputs!$F$93/100)</f>
        <v>0.0456666666666667</v>
      </c>
      <c r="AW13" s="16" t="n">
        <f aca="false">(Operations!AW9+AW8+AW9)/100*0.5/(1-Inputs!$F$93/100)</f>
        <v>0.0456666666666667</v>
      </c>
      <c r="AX13" s="16" t="n">
        <f aca="false">(Operations!AX9+AX8+AX9)/100*0.5/(1-Inputs!$F$93/100)</f>
        <v>0.0456666666666667</v>
      </c>
      <c r="AY13" s="16" t="n">
        <f aca="false">(Operations!AY9+AY8+AY9)/100*0.5/(1-Inputs!$F$93/100)</f>
        <v>0.0456666666666667</v>
      </c>
      <c r="AZ13" s="16" t="n">
        <f aca="false">(Operations!AZ9+AZ8+AZ9)/100*0.5/(1-Inputs!$F$93/100)</f>
        <v>0.0456666666666667</v>
      </c>
      <c r="BA13" s="16" t="n">
        <f aca="false">(Operations!BA9+BA8+BA9)/100*0.5/(1-Inputs!$F$93/100)</f>
        <v>0.0456666666666667</v>
      </c>
      <c r="BB13" s="16" t="n">
        <f aca="false">(Operations!BB9+BB8+BB9)/100*0.5/(1-Inputs!$F$93/100)</f>
        <v>0.0456666666666667</v>
      </c>
      <c r="BC13" s="16" t="n">
        <f aca="false">(Operations!BC9+BC8+BC9)/100*0.5/(1-Inputs!$F$93/100)</f>
        <v>0.0456666666666667</v>
      </c>
      <c r="BD13" s="16" t="n">
        <f aca="false">(Operations!BD9+BD8+BD9)/100*0.5/(1-Inputs!$F$93/100)</f>
        <v>0.0456666666666667</v>
      </c>
      <c r="BE13" s="16" t="n">
        <f aca="false">(Operations!BE9+BE8+BE9)/100*0.5/(1-Inputs!$F$93/100)</f>
        <v>0.0456666666666667</v>
      </c>
      <c r="BF13" s="16" t="n">
        <f aca="false">(Operations!BF9+BF8+BF9)/100*0.5/(1-Inputs!$F$93/100)</f>
        <v>0.0456666666666667</v>
      </c>
      <c r="BG13" s="16" t="n">
        <f aca="false">(Operations!BG9+BG8+BG9)/100*0.5/(1-Inputs!$F$93/100)</f>
        <v>0.0456666666666667</v>
      </c>
      <c r="BH13" s="16" t="n">
        <f aca="false">(Operations!BH9+BH8+BH9)/100*0.5/(1-Inputs!$F$93/100)</f>
        <v>0.0456666666666667</v>
      </c>
      <c r="BI13" s="16" t="n">
        <f aca="false">(Operations!BI9+BI8+BI9)/100*0.5/(1-Inputs!$F$93/100)</f>
        <v>0.0456666666666667</v>
      </c>
      <c r="BJ13" s="16" t="n">
        <f aca="false">(Operations!BJ9+BJ8+BJ9)/100*0.5/(1-Inputs!$F$93/100)</f>
        <v>0.0456666666666667</v>
      </c>
      <c r="BK13" s="16" t="n">
        <f aca="false">(Operations!BK9+BK8+BK9)/100*0.5/(1-Inputs!$F$93/100)</f>
        <v>0.0456666666666667</v>
      </c>
      <c r="BL13" s="16" t="n">
        <f aca="false">(Operations!BL9+BL8+BL9)/100*0.5/(1-Inputs!$F$93/100)</f>
        <v>0.0456666666666667</v>
      </c>
      <c r="BM13" s="16" t="n">
        <f aca="false">(Operations!BM9+BM8+BM9)/100*0.5/(1-Inputs!$F$93/100)</f>
        <v>0.0456666666666667</v>
      </c>
      <c r="BN13" s="16" t="n">
        <f aca="false">(Operations!BN9+BN8+BN9)/100*0.5/(1-Inputs!$F$93/100)</f>
        <v>0.0456666666666667</v>
      </c>
    </row>
    <row r="14" customFormat="false" ht="15" hidden="false" customHeight="false" outlineLevel="0" collapsed="false">
      <c r="D14" s="0" t="s">
        <v>1771</v>
      </c>
      <c r="E14" s="0" t="s">
        <v>101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1772</v>
      </c>
      <c r="E15" s="0" t="s">
        <v>101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1773</v>
      </c>
    </row>
    <row r="17" customFormat="false" ht="15" hidden="false" customHeight="false" outlineLevel="0" collapsed="false">
      <c r="D17" s="0" t="s">
        <v>1774</v>
      </c>
      <c r="E17" s="0" t="s">
        <v>111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0.0182970986139281</v>
      </c>
      <c r="Q17" s="11" t="n">
        <f aca="false">IF(Inputs!$F$47=1,Inputs!Q298,Inputs!Q299)</f>
        <v>0.0191004482956148</v>
      </c>
      <c r="R17" s="11" t="n">
        <f aca="false">IF(Inputs!$F$47=1,Inputs!R298,Inputs!R299)</f>
        <v>0.0204643033332145</v>
      </c>
      <c r="S17" s="11" t="n">
        <f aca="false">IF(Inputs!$F$47=1,Inputs!S298,Inputs!S299)</f>
        <v>0.0213635765416322</v>
      </c>
      <c r="T17" s="11" t="n">
        <f aca="false">IF(Inputs!$F$47=1,Inputs!T298,Inputs!T299)</f>
        <v>0.023833839539545</v>
      </c>
      <c r="U17" s="11" t="n">
        <f aca="false">IF(Inputs!$F$47=1,Inputs!U298,Inputs!U299)</f>
        <v>0.0243455688245799</v>
      </c>
      <c r="V17" s="11" t="n">
        <f aca="false">IF(Inputs!$F$47=1,Inputs!V298,Inputs!V299)</f>
        <v>0.0251254970966024</v>
      </c>
      <c r="W17" s="11" t="n">
        <f aca="false">IF(Inputs!$F$47=1,Inputs!W298,Inputs!W299)</f>
        <v>0.0265892726359127</v>
      </c>
      <c r="X17" s="11" t="n">
        <f aca="false">IF(Inputs!$F$47=1,Inputs!X298,Inputs!X299)</f>
        <v>0.0276068949445476</v>
      </c>
      <c r="Y17" s="11" t="n">
        <f aca="false">IF(Inputs!$F$47=1,Inputs!Y298,Inputs!Y299)</f>
        <v>0.0279564106773475</v>
      </c>
      <c r="Z17" s="11" t="n">
        <f aca="false">IF(Inputs!$F$47=1,Inputs!Z298,Inputs!Z299)</f>
        <v>0.0298127745262109</v>
      </c>
      <c r="AA17" s="11" t="n">
        <f aca="false">IF(Inputs!$F$47=1,Inputs!AA298,Inputs!AA299)</f>
        <v>0.0311814312275997</v>
      </c>
      <c r="AB17" s="11" t="n">
        <f aca="false">IF(Inputs!$F$47=1,Inputs!AB298,Inputs!AB299)</f>
        <v>0.0342350394591605</v>
      </c>
      <c r="AC17" s="11" t="n">
        <f aca="false">IF(Inputs!$F$47=1,Inputs!AC298,Inputs!AC299)</f>
        <v>0.0346909866633385</v>
      </c>
      <c r="AD17" s="11" t="n">
        <f aca="false">IF(Inputs!$F$47=1,Inputs!AD298,Inputs!AD299)</f>
        <v>0.0372240330987492</v>
      </c>
      <c r="AE17" s="11" t="n">
        <f aca="false">IF(Inputs!$F$47=1,Inputs!AE298,Inputs!AE299)</f>
        <v>0.0393162022590524</v>
      </c>
      <c r="AF17" s="11" t="n">
        <f aca="false">IF(Inputs!$F$47=1,Inputs!AF298,Inputs!AF299)</f>
        <v>0.0444538284926945</v>
      </c>
      <c r="AG17" s="11" t="n">
        <f aca="false">IF(Inputs!$F$47=1,Inputs!AG298,Inputs!AG299)</f>
        <v>0.0462352130320656</v>
      </c>
      <c r="AH17" s="11" t="n">
        <f aca="false">IF(Inputs!$F$47=1,Inputs!AH298,Inputs!AH299)</f>
        <v>0.0490670598865618</v>
      </c>
      <c r="AI17" s="11" t="n">
        <f aca="false">IF(Inputs!$F$47=1,Inputs!AI298,Inputs!AI299)</f>
        <v>0.0512134519091222</v>
      </c>
      <c r="AJ17" s="11" t="n">
        <f aca="false">IF(Inputs!$F$47=1,Inputs!AJ298,Inputs!AJ299)</f>
        <v>0.0553609016027669</v>
      </c>
      <c r="AK17" s="11" t="n">
        <f aca="false">IF(Inputs!$F$47=1,Inputs!AK298,Inputs!AK299)</f>
        <v>0.0571635779302507</v>
      </c>
      <c r="AL17" s="11" t="n">
        <f aca="false">IF(Inputs!$F$47=1,Inputs!AL298,Inputs!AL299)</f>
        <v>0.0596970223757127</v>
      </c>
      <c r="AM17" s="11" t="n">
        <f aca="false">IF(Inputs!$F$47=1,Inputs!AM298,Inputs!AM299)</f>
        <v>0.0625341836205768</v>
      </c>
      <c r="AN17" s="11" t="n">
        <f aca="false">IF(Inputs!$F$47=1,Inputs!AN298,Inputs!AN299)</f>
        <v>0.0650417285886632</v>
      </c>
      <c r="AO17" s="11" t="n">
        <f aca="false">IF(Inputs!$F$47=1,Inputs!AO298,Inputs!AO299)</f>
        <v>0.0680896548245498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1775</v>
      </c>
      <c r="E18" s="0" t="s">
        <v>111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0.981702901386072</v>
      </c>
      <c r="R18" s="11" t="n">
        <f aca="false">SUM(R17:BN17)</f>
        <v>0.962602453090457</v>
      </c>
      <c r="S18" s="11" t="n">
        <f aca="false">SUM(S17:BN17)</f>
        <v>0.942138149757243</v>
      </c>
      <c r="T18" s="11" t="n">
        <f aca="false">SUM(T17:BN17)</f>
        <v>0.92077457321561</v>
      </c>
      <c r="U18" s="11" t="n">
        <f aca="false">SUM(U17:BN17)</f>
        <v>0.896940733676065</v>
      </c>
      <c r="V18" s="11" t="n">
        <f aca="false">SUM(V17:BN17)</f>
        <v>0.872595164851486</v>
      </c>
      <c r="W18" s="11" t="n">
        <f aca="false">SUM(W17:BN17)</f>
        <v>0.847469667754883</v>
      </c>
      <c r="X18" s="11" t="n">
        <f aca="false">SUM(X17:BN17)</f>
        <v>0.820880395118971</v>
      </c>
      <c r="Y18" s="11" t="n">
        <f aca="false">SUM(Y17:BN17)</f>
        <v>0.793273500174423</v>
      </c>
      <c r="Z18" s="11" t="n">
        <f aca="false">SUM(Z17:BN17)</f>
        <v>0.765317089497075</v>
      </c>
      <c r="AA18" s="11" t="n">
        <f aca="false">SUM(AA17:BN17)</f>
        <v>0.735504314970865</v>
      </c>
      <c r="AB18" s="11" t="n">
        <f aca="false">SUM(AB17:BN17)</f>
        <v>0.704322883743265</v>
      </c>
      <c r="AC18" s="11" t="n">
        <f aca="false">SUM(AC17:BN17)</f>
        <v>0.670087844284104</v>
      </c>
      <c r="AD18" s="11" t="n">
        <f aca="false">SUM(AD17:BN17)</f>
        <v>0.635396857620766</v>
      </c>
      <c r="AE18" s="11" t="n">
        <f aca="false">SUM(AE17:BN17)</f>
        <v>0.598172824522017</v>
      </c>
      <c r="AF18" s="11" t="n">
        <f aca="false">SUM(AF17:BN17)</f>
        <v>0.558856622262964</v>
      </c>
      <c r="AG18" s="11" t="n">
        <f aca="false">SUM(AG17:BN17)</f>
        <v>0.51440279377027</v>
      </c>
      <c r="AH18" s="11" t="n">
        <f aca="false">SUM(AH17:BN17)</f>
        <v>0.468167580738204</v>
      </c>
      <c r="AI18" s="11" t="n">
        <f aca="false">SUM(AI17:BN17)</f>
        <v>0.419100520851642</v>
      </c>
      <c r="AJ18" s="11" t="n">
        <f aca="false">SUM(AJ17:BN17)</f>
        <v>0.36788706894252</v>
      </c>
      <c r="AK18" s="11" t="n">
        <f aca="false">SUM(AK17:BN17)</f>
        <v>0.312526167339753</v>
      </c>
      <c r="AL18" s="11" t="n">
        <f aca="false">SUM(AL17:BN17)</f>
        <v>0.255362589409503</v>
      </c>
      <c r="AM18" s="11" t="n">
        <f aca="false">SUM(AM17:BN17)</f>
        <v>0.19566556703379</v>
      </c>
      <c r="AN18" s="11" t="n">
        <f aca="false">SUM(AN17:BN17)</f>
        <v>0.133131383413213</v>
      </c>
      <c r="AO18" s="11" t="n">
        <f aca="false">SUM(AO17:BN17)</f>
        <v>0.0680896548245498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1776</v>
      </c>
      <c r="E19" s="0" t="s">
        <v>111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0.0182970986139281</v>
      </c>
      <c r="Q19" s="11" t="n">
        <f aca="false">IF(Q18&gt;Inputs!$F$253,Q17/Q18,0)</f>
        <v>0.0194564447845135</v>
      </c>
      <c r="R19" s="11" t="n">
        <f aca="false">IF(R18&gt;Inputs!$F$253,R17/R18,0)</f>
        <v>0.0212593509059876</v>
      </c>
      <c r="S19" s="11" t="n">
        <f aca="false">IF(S18&gt;Inputs!$F$253,S17/S18,0)</f>
        <v>0.0226756304764189</v>
      </c>
      <c r="T19" s="11" t="n">
        <f aca="false">IF(T18&gt;Inputs!$F$253,T17/T18,0)</f>
        <v>0.0258845544097839</v>
      </c>
      <c r="U19" s="11" t="n">
        <f aca="false">IF(U18&gt;Inputs!$F$253,U17/U18,0)</f>
        <v>0.0271428957460777</v>
      </c>
      <c r="V19" s="11" t="n">
        <f aca="false">IF(V18&gt;Inputs!$F$253,V17/V18,0)</f>
        <v>0.0287939907401145</v>
      </c>
      <c r="W19" s="11" t="n">
        <f aca="false">IF(W18&gt;Inputs!$F$253,W17/W18,0)</f>
        <v>0.0313748959374004</v>
      </c>
      <c r="X19" s="11" t="n">
        <f aca="false">IF(X18&gt;Inputs!$F$253,X17/X18,0)</f>
        <v>0.0336308372190403</v>
      </c>
      <c r="Y19" s="11" t="n">
        <f aca="false">IF(Y18&gt;Inputs!$F$253,Y17/Y18,0)</f>
        <v>0.0352418310597802</v>
      </c>
      <c r="Z19" s="11" t="n">
        <f aca="false">IF(Z18&gt;Inputs!$F$253,Z17/Z18,0)</f>
        <v>0.0389548004811996</v>
      </c>
      <c r="AA19" s="11" t="n">
        <f aca="false">IF(AA18&gt;Inputs!$F$253,AA17/AA18,0)</f>
        <v>0.0423946271869729</v>
      </c>
      <c r="AB19" s="11" t="n">
        <f aca="false">IF(AB18&gt;Inputs!$F$253,AB17/AB18,0)</f>
        <v>0.0486070242063009</v>
      </c>
      <c r="AC19" s="11" t="n">
        <f aca="false">IF(AC18&gt;Inputs!$F$253,AC17/AC18,0)</f>
        <v>0.0517708043195456</v>
      </c>
      <c r="AD19" s="11" t="n">
        <f aca="false">IF(AD18&gt;Inputs!$F$253,AD17/AD18,0)</f>
        <v>0.0585839112238201</v>
      </c>
      <c r="AE19" s="11" t="n">
        <f aca="false">IF(AE18&gt;Inputs!$F$253,AE17/AE18,0)</f>
        <v>0.0657271621967596</v>
      </c>
      <c r="AF19" s="11" t="n">
        <f aca="false">IF(AF18&gt;Inputs!$F$253,AF17/AF18,0)</f>
        <v>0.0795442457363906</v>
      </c>
      <c r="AG19" s="11" t="n">
        <f aca="false">IF(AG18&gt;Inputs!$F$253,AG17/AG18,0)</f>
        <v>0.0898813412213193</v>
      </c>
      <c r="AH19" s="11" t="n">
        <f aca="false">IF(AH18&gt;Inputs!$F$253,AH17/AH18,0)</f>
        <v>0.104806616060841</v>
      </c>
      <c r="AI19" s="11" t="n">
        <f aca="false">IF(AI18&gt;Inputs!$F$253,AI17/AI18,0)</f>
        <v>0.12219849263144</v>
      </c>
      <c r="AJ19" s="11" t="n">
        <f aca="false">IF(AJ18&gt;Inputs!$F$253,AJ17/AJ18,0)</f>
        <v>0.150483412645897</v>
      </c>
      <c r="AK19" s="11" t="n">
        <f aca="false">IF(AK18&gt;Inputs!$F$253,AK17/AK18,0)</f>
        <v>0.182908133475131</v>
      </c>
      <c r="AL19" s="11" t="n">
        <f aca="false">IF(AL18&gt;Inputs!$F$253,AL17/AL18,0)</f>
        <v>0.233773562970815</v>
      </c>
      <c r="AM19" s="11" t="n">
        <f aca="false">IF(AM18&gt;Inputs!$F$253,AM17/AM18,0)</f>
        <v>0.319597283101823</v>
      </c>
      <c r="AN19" s="11" t="n">
        <f aca="false">IF(AN18&gt;Inputs!$F$253,AN17/AN18,0)</f>
        <v>0.488552938616936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1777</v>
      </c>
    </row>
    <row r="21" customFormat="false" ht="15" hidden="false" customHeight="false" outlineLevel="0" collapsed="false">
      <c r="D21" s="0" t="s">
        <v>1778</v>
      </c>
      <c r="E21" s="0" t="s">
        <v>151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196.485169229493</v>
      </c>
      <c r="Q21" s="13" t="n">
        <f aca="false">Time!Q35*P33</f>
        <v>188.928047336051</v>
      </c>
      <c r="R21" s="13" t="n">
        <f aca="false">Time!R35*Q33</f>
        <v>181.370925442609</v>
      </c>
      <c r="S21" s="13" t="n">
        <f aca="false">Time!S35*R33</f>
        <v>173.813803549167</v>
      </c>
      <c r="T21" s="13" t="n">
        <f aca="false">Time!T35*S33</f>
        <v>166.256681655725</v>
      </c>
      <c r="U21" s="13" t="n">
        <f aca="false">Time!U35*T33</f>
        <v>158.699559762283</v>
      </c>
      <c r="V21" s="13" t="n">
        <f aca="false">Time!V35*U33</f>
        <v>151.142437868841</v>
      </c>
      <c r="W21" s="13" t="n">
        <f aca="false">Time!W35*V33</f>
        <v>143.585315975399</v>
      </c>
      <c r="X21" s="13" t="n">
        <f aca="false">Time!X35*W33</f>
        <v>136.028194081957</v>
      </c>
      <c r="Y21" s="13" t="n">
        <f aca="false">Time!Y35*X33</f>
        <v>128.471072188515</v>
      </c>
      <c r="Z21" s="13" t="n">
        <f aca="false">Time!Z35*Y33</f>
        <v>120.913950295073</v>
      </c>
      <c r="AA21" s="13" t="n">
        <f aca="false">Time!AA35*Z33</f>
        <v>113.356828401631</v>
      </c>
      <c r="AB21" s="13" t="n">
        <f aca="false">Time!AB35*AA33</f>
        <v>105.799706508189</v>
      </c>
      <c r="AC21" s="13" t="n">
        <f aca="false">Time!AC35*AB33</f>
        <v>98.2425846147466</v>
      </c>
      <c r="AD21" s="13" t="n">
        <f aca="false">Time!AD35*AC33</f>
        <v>90.6854627213046</v>
      </c>
      <c r="AE21" s="13" t="n">
        <f aca="false">Time!AE35*AD33</f>
        <v>83.1283408278625</v>
      </c>
      <c r="AF21" s="13" t="n">
        <f aca="false">Time!AF35*AE33</f>
        <v>75.5712189344205</v>
      </c>
      <c r="AG21" s="13" t="n">
        <f aca="false">Time!AG35*AF33</f>
        <v>68.0140970409784</v>
      </c>
      <c r="AH21" s="13" t="n">
        <f aca="false">Time!AH35*AG33</f>
        <v>60.4569751475364</v>
      </c>
      <c r="AI21" s="13" t="n">
        <f aca="false">Time!AI35*AH33</f>
        <v>52.8998532540943</v>
      </c>
      <c r="AJ21" s="13" t="n">
        <f aca="false">Time!AJ35*AI33</f>
        <v>45.3427313606523</v>
      </c>
      <c r="AK21" s="13" t="n">
        <f aca="false">Time!AK35*AJ33</f>
        <v>37.7856094672102</v>
      </c>
      <c r="AL21" s="13" t="n">
        <f aca="false">Time!AL35*AK33</f>
        <v>30.2284875737682</v>
      </c>
      <c r="AM21" s="13" t="n">
        <f aca="false">Time!AM35*AL33</f>
        <v>22.6713656803261</v>
      </c>
      <c r="AN21" s="13" t="n">
        <f aca="false">Time!AN35*AM33</f>
        <v>15.1142437868841</v>
      </c>
      <c r="AO21" s="13" t="n">
        <f aca="false">Time!AO35*AN33</f>
        <v>7.55712189344205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1779</v>
      </c>
      <c r="E22" s="0" t="s">
        <v>151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1780</v>
      </c>
      <c r="E23" s="0" t="s">
        <v>151</v>
      </c>
      <c r="G23" s="13" t="n">
        <f aca="false">SUM(J23:BN23)</f>
        <v>59.2364999617455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4.36197075689475</v>
      </c>
      <c r="Q23" s="13" t="n">
        <f aca="false">Q21*Q10</f>
        <v>4.21309545559394</v>
      </c>
      <c r="R23" s="13" t="n">
        <f aca="false">R21*R10</f>
        <v>4.04457163737018</v>
      </c>
      <c r="S23" s="13" t="n">
        <f aca="false">S21*S10</f>
        <v>3.88473850932389</v>
      </c>
      <c r="T23" s="13" t="n">
        <f aca="false">T21*T10</f>
        <v>3.71583683500546</v>
      </c>
      <c r="U23" s="13" t="n">
        <f aca="false">U21*U10</f>
        <v>3.54693516068703</v>
      </c>
      <c r="V23" s="13" t="n">
        <f aca="false">V21*V10</f>
        <v>3.3780334863686</v>
      </c>
      <c r="W23" s="13" t="n">
        <f aca="false">W21*W10</f>
        <v>3.20913181205017</v>
      </c>
      <c r="X23" s="13" t="n">
        <f aca="false">X21*X10</f>
        <v>3.04023013773174</v>
      </c>
      <c r="Y23" s="13" t="n">
        <f aca="false">Y21*Y10</f>
        <v>2.87132846341331</v>
      </c>
      <c r="Z23" s="13" t="n">
        <f aca="false">Z21*Z10</f>
        <v>2.70242678909488</v>
      </c>
      <c r="AA23" s="13" t="n">
        <f aca="false">AA21*AA10</f>
        <v>2.53352511477645</v>
      </c>
      <c r="AB23" s="13" t="n">
        <f aca="false">AB21*AB10</f>
        <v>2.36462344045802</v>
      </c>
      <c r="AC23" s="13" t="n">
        <f aca="false">AC21*AC10</f>
        <v>2.19572176613959</v>
      </c>
      <c r="AD23" s="13" t="n">
        <f aca="false">AD21*AD10</f>
        <v>2.02682009182116</v>
      </c>
      <c r="AE23" s="13" t="n">
        <f aca="false">AE21*AE10</f>
        <v>1.85791841750273</v>
      </c>
      <c r="AF23" s="13" t="n">
        <f aca="false">AF21*AF10</f>
        <v>1.6890167431843</v>
      </c>
      <c r="AG23" s="13" t="n">
        <f aca="false">AG21*AG10</f>
        <v>1.52011506886587</v>
      </c>
      <c r="AH23" s="13" t="n">
        <f aca="false">AH21*AH10</f>
        <v>1.35121339454744</v>
      </c>
      <c r="AI23" s="13" t="n">
        <f aca="false">AI21*AI10</f>
        <v>1.18231172022901</v>
      </c>
      <c r="AJ23" s="13" t="n">
        <f aca="false">AJ21*AJ10</f>
        <v>1.01341004591058</v>
      </c>
      <c r="AK23" s="13" t="n">
        <f aca="false">AK21*AK10</f>
        <v>0.844508371592149</v>
      </c>
      <c r="AL23" s="13" t="n">
        <f aca="false">AL21*AL10</f>
        <v>0.675606697273719</v>
      </c>
      <c r="AM23" s="13" t="n">
        <f aca="false">AM21*AM10</f>
        <v>0.506705022955289</v>
      </c>
      <c r="AN23" s="13" t="n">
        <f aca="false">AN21*AN10</f>
        <v>0.33780334863686</v>
      </c>
      <c r="AO23" s="13" t="n">
        <f aca="false">AO21*AO10</f>
        <v>0.16890167431843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1781</v>
      </c>
      <c r="E24" s="0" t="s">
        <v>151</v>
      </c>
      <c r="G24" s="13" t="n">
        <f aca="false">SUM(J24:BN24)</f>
        <v>196.485169229493</v>
      </c>
      <c r="J24" s="13" t="n">
        <f aca="false">Time!J35*(J21-J22)*J147</f>
        <v>0</v>
      </c>
      <c r="K24" s="13" t="n">
        <f aca="false">Time!K35*(K21-K22)*K147</f>
        <v>0</v>
      </c>
      <c r="L24" s="13" t="n">
        <f aca="false">Time!L35*(L21-L22)*L147</f>
        <v>0</v>
      </c>
      <c r="M24" s="13" t="n">
        <f aca="false">Time!M35*(M21-M22)*M147</f>
        <v>0</v>
      </c>
      <c r="N24" s="13" t="n">
        <f aca="false">Time!N35*(N21-N22)*N147</f>
        <v>0</v>
      </c>
      <c r="O24" s="13" t="n">
        <f aca="false">Time!O35*(O21-O22)*O147</f>
        <v>0</v>
      </c>
      <c r="P24" s="13" t="n">
        <f aca="false">Time!P35*(P21-P22)*P147</f>
        <v>7.55712189344205</v>
      </c>
      <c r="Q24" s="13" t="n">
        <f aca="false">Time!Q35*(Q21-Q22)*Q147</f>
        <v>7.55712189344205</v>
      </c>
      <c r="R24" s="13" t="n">
        <f aca="false">Time!R35*(R21-R22)*R147</f>
        <v>7.55712189344205</v>
      </c>
      <c r="S24" s="13" t="n">
        <f aca="false">Time!S35*(S21-S22)*S147</f>
        <v>7.55712189344205</v>
      </c>
      <c r="T24" s="13" t="n">
        <f aca="false">Time!T35*(T21-T22)*T147</f>
        <v>7.55712189344205</v>
      </c>
      <c r="U24" s="13" t="n">
        <f aca="false">Time!U35*(U21-U22)*U147</f>
        <v>7.55712189344205</v>
      </c>
      <c r="V24" s="13" t="n">
        <f aca="false">Time!V35*(V21-V22)*V147</f>
        <v>7.55712189344205</v>
      </c>
      <c r="W24" s="13" t="n">
        <f aca="false">Time!W35*(W21-W22)*W147</f>
        <v>7.55712189344205</v>
      </c>
      <c r="X24" s="13" t="n">
        <f aca="false">Time!X35*(X21-X22)*X147</f>
        <v>7.55712189344205</v>
      </c>
      <c r="Y24" s="13" t="n">
        <f aca="false">Time!Y35*(Y21-Y22)*Y147</f>
        <v>7.55712189344205</v>
      </c>
      <c r="Z24" s="13" t="n">
        <f aca="false">Time!Z35*(Z21-Z22)*Z147</f>
        <v>7.55712189344205</v>
      </c>
      <c r="AA24" s="13" t="n">
        <f aca="false">Time!AA35*(AA21-AA22)*AA147</f>
        <v>7.55712189344205</v>
      </c>
      <c r="AB24" s="13" t="n">
        <f aca="false">Time!AB35*(AB21-AB22)*AB147</f>
        <v>7.55712189344205</v>
      </c>
      <c r="AC24" s="13" t="n">
        <f aca="false">Time!AC35*(AC21-AC22)*AC147</f>
        <v>7.55712189344205</v>
      </c>
      <c r="AD24" s="13" t="n">
        <f aca="false">Time!AD35*(AD21-AD22)*AD147</f>
        <v>7.55712189344205</v>
      </c>
      <c r="AE24" s="13" t="n">
        <f aca="false">Time!AE35*(AE21-AE22)*AE147</f>
        <v>7.55712189344204</v>
      </c>
      <c r="AF24" s="13" t="n">
        <f aca="false">Time!AF35*(AF21-AF22)*AF147</f>
        <v>7.55712189344205</v>
      </c>
      <c r="AG24" s="13" t="n">
        <f aca="false">Time!AG35*(AG21-AG22)*AG147</f>
        <v>7.55712189344205</v>
      </c>
      <c r="AH24" s="13" t="n">
        <f aca="false">Time!AH35*(AH21-AH22)*AH147</f>
        <v>7.55712189344205</v>
      </c>
      <c r="AI24" s="13" t="n">
        <f aca="false">Time!AI35*(AI21-AI22)*AI147</f>
        <v>7.55712189344205</v>
      </c>
      <c r="AJ24" s="13" t="n">
        <f aca="false">Time!AJ35*(AJ21-AJ22)*AJ147</f>
        <v>7.55712189344205</v>
      </c>
      <c r="AK24" s="13" t="n">
        <f aca="false">Time!AK35*(AK21-AK22)*AK147</f>
        <v>7.55712189344205</v>
      </c>
      <c r="AL24" s="13" t="n">
        <f aca="false">Time!AL35*(AL21-AL22)*AL147</f>
        <v>7.55712189344205</v>
      </c>
      <c r="AM24" s="13" t="n">
        <f aca="false">Time!AM35*(AM21-AM22)*AM147</f>
        <v>7.55712189344205</v>
      </c>
      <c r="AN24" s="13" t="n">
        <f aca="false">Time!AN35*(AN21-AN22)*AN147</f>
        <v>7.55712189344205</v>
      </c>
      <c r="AO24" s="13" t="n">
        <f aca="false">Time!AO35*(AO21-AO22)*AO147</f>
        <v>7.55712189344205</v>
      </c>
      <c r="AP24" s="13" t="n">
        <f aca="false">Time!AP35*(AP21-AP22)*AP147</f>
        <v>0</v>
      </c>
      <c r="AQ24" s="13" t="n">
        <f aca="false">Time!AQ35*(AQ21-AQ22)*AQ147</f>
        <v>0</v>
      </c>
      <c r="AR24" s="13" t="n">
        <f aca="false">Time!AR35*(AR21-AR22)*AR147</f>
        <v>0</v>
      </c>
      <c r="AS24" s="13" t="n">
        <f aca="false">Time!AS35*(AS21-AS22)*AS147</f>
        <v>0</v>
      </c>
      <c r="AT24" s="13" t="n">
        <f aca="false">Time!AT35*(AT21-AT22)*AT147</f>
        <v>0</v>
      </c>
      <c r="AU24" s="13" t="n">
        <f aca="false">Time!AU35*(AU21-AU22)*AU147</f>
        <v>0</v>
      </c>
      <c r="AV24" s="13" t="n">
        <f aca="false">Time!AV35*(AV21-AV22)*AV147</f>
        <v>0</v>
      </c>
      <c r="AW24" s="13" t="n">
        <f aca="false">Time!AW35*(AW21-AW22)*AW147</f>
        <v>0</v>
      </c>
      <c r="AX24" s="13" t="n">
        <f aca="false">Time!AX35*(AX21-AX22)*AX147</f>
        <v>0</v>
      </c>
      <c r="AY24" s="13" t="n">
        <f aca="false">Time!AY35*(AY21-AY22)*AY147</f>
        <v>0</v>
      </c>
      <c r="AZ24" s="13" t="n">
        <f aca="false">Time!AZ35*(AZ21-AZ22)*AZ147</f>
        <v>0</v>
      </c>
      <c r="BA24" s="13" t="n">
        <f aca="false">Time!BA35*(BA21-BA22)*BA147</f>
        <v>0</v>
      </c>
      <c r="BB24" s="13" t="n">
        <f aca="false">Time!BB35*(BB21-BB22)*BB147</f>
        <v>0</v>
      </c>
      <c r="BC24" s="13" t="n">
        <f aca="false">Time!BC35*(BC21-BC22)*BC147</f>
        <v>0</v>
      </c>
      <c r="BD24" s="13" t="n">
        <f aca="false">Time!BD35*(BD21-BD22)*BD147</f>
        <v>0</v>
      </c>
      <c r="BE24" s="13" t="n">
        <f aca="false">Time!BE35*(BE21-BE22)*BE147</f>
        <v>0</v>
      </c>
      <c r="BF24" s="13" t="n">
        <f aca="false">Time!BF35*(BF21-BF22)*BF147</f>
        <v>0</v>
      </c>
      <c r="BG24" s="13" t="n">
        <f aca="false">Time!BG35*(BG21-BG22)*BG147</f>
        <v>0</v>
      </c>
      <c r="BH24" s="13" t="n">
        <f aca="false">Time!BH35*(BH21-BH22)*BH147</f>
        <v>0</v>
      </c>
      <c r="BI24" s="13" t="n">
        <f aca="false">Time!BI35*(BI21-BI22)*BI147</f>
        <v>0</v>
      </c>
      <c r="BJ24" s="13" t="n">
        <f aca="false">Time!BJ35*(BJ21-BJ22)*BJ147</f>
        <v>0</v>
      </c>
      <c r="BK24" s="13" t="n">
        <f aca="false">Time!BK35*(BK21-BK22)*BK147</f>
        <v>0</v>
      </c>
      <c r="BL24" s="13" t="n">
        <f aca="false">Time!BL35*(BL21-BL22)*BL147</f>
        <v>0</v>
      </c>
      <c r="BM24" s="13" t="n">
        <f aca="false">Time!BM35*(BM21-BM22)*BM147</f>
        <v>0</v>
      </c>
      <c r="BN24" s="13" t="n">
        <f aca="false">Time!BN35*(BN21-BN22)*BN147</f>
        <v>0</v>
      </c>
    </row>
    <row r="25" customFormat="false" ht="15" hidden="false" customHeight="false" outlineLevel="0" collapsed="false">
      <c r="D25" s="0" t="s">
        <v>1782</v>
      </c>
      <c r="E25" s="0" t="s">
        <v>151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1783</v>
      </c>
      <c r="E26" s="0" t="s">
        <v>151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1784</v>
      </c>
      <c r="E27" s="0" t="s">
        <v>151</v>
      </c>
      <c r="G27" s="13" t="n">
        <f aca="false">SUM(J27:BN27)</f>
        <v>196.485169229493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7.55712189344205</v>
      </c>
      <c r="Q27" s="13" t="n">
        <f aca="false">Q24-Q25+Q26</f>
        <v>7.55712189344205</v>
      </c>
      <c r="R27" s="13" t="n">
        <f aca="false">R24-R25+R26</f>
        <v>7.55712189344205</v>
      </c>
      <c r="S27" s="13" t="n">
        <f aca="false">S24-S25+S26</f>
        <v>7.55712189344205</v>
      </c>
      <c r="T27" s="13" t="n">
        <f aca="false">T24-T25+T26</f>
        <v>7.55712189344205</v>
      </c>
      <c r="U27" s="13" t="n">
        <f aca="false">U24-U25+U26</f>
        <v>7.55712189344205</v>
      </c>
      <c r="V27" s="13" t="n">
        <f aca="false">V24-V25+V26</f>
        <v>7.55712189344205</v>
      </c>
      <c r="W27" s="13" t="n">
        <f aca="false">W24-W25+W26</f>
        <v>7.55712189344205</v>
      </c>
      <c r="X27" s="13" t="n">
        <f aca="false">X24-X25+X26</f>
        <v>7.55712189344205</v>
      </c>
      <c r="Y27" s="13" t="n">
        <f aca="false">Y24-Y25+Y26</f>
        <v>7.55712189344205</v>
      </c>
      <c r="Z27" s="13" t="n">
        <f aca="false">Z24-Z25+Z26</f>
        <v>7.55712189344205</v>
      </c>
      <c r="AA27" s="13" t="n">
        <f aca="false">AA24-AA25+AA26</f>
        <v>7.55712189344205</v>
      </c>
      <c r="AB27" s="13" t="n">
        <f aca="false">AB24-AB25+AB26</f>
        <v>7.55712189344205</v>
      </c>
      <c r="AC27" s="13" t="n">
        <f aca="false">AC24-AC25+AC26</f>
        <v>7.55712189344205</v>
      </c>
      <c r="AD27" s="13" t="n">
        <f aca="false">AD24-AD25+AD26</f>
        <v>7.55712189344205</v>
      </c>
      <c r="AE27" s="13" t="n">
        <f aca="false">AE24-AE25+AE26</f>
        <v>7.55712189344204</v>
      </c>
      <c r="AF27" s="13" t="n">
        <f aca="false">AF24-AF25+AF26</f>
        <v>7.55712189344205</v>
      </c>
      <c r="AG27" s="13" t="n">
        <f aca="false">AG24-AG25+AG26</f>
        <v>7.55712189344205</v>
      </c>
      <c r="AH27" s="13" t="n">
        <f aca="false">AH24-AH25+AH26</f>
        <v>7.55712189344205</v>
      </c>
      <c r="AI27" s="13" t="n">
        <f aca="false">AI24-AI25+AI26</f>
        <v>7.55712189344205</v>
      </c>
      <c r="AJ27" s="13" t="n">
        <f aca="false">AJ24-AJ25+AJ26</f>
        <v>7.55712189344205</v>
      </c>
      <c r="AK27" s="13" t="n">
        <f aca="false">AK24-AK25+AK26</f>
        <v>7.55712189344205</v>
      </c>
      <c r="AL27" s="13" t="n">
        <f aca="false">AL24-AL25+AL26</f>
        <v>7.55712189344205</v>
      </c>
      <c r="AM27" s="13" t="n">
        <f aca="false">AM24-AM25+AM26</f>
        <v>7.55712189344205</v>
      </c>
      <c r="AN27" s="13" t="n">
        <f aca="false">AN24-AN25+AN26</f>
        <v>7.55712189344205</v>
      </c>
      <c r="AO27" s="13" t="n">
        <f aca="false">AO24-AO25+AO26</f>
        <v>7.55712189344205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1785</v>
      </c>
      <c r="E28" s="0" t="s">
        <v>151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1786</v>
      </c>
      <c r="E29" s="0" t="s">
        <v>151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1787</v>
      </c>
      <c r="E30" s="0" t="s">
        <v>151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1788</v>
      </c>
      <c r="E31" s="0" t="s">
        <v>151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188.928047336051</v>
      </c>
      <c r="Q31" s="13" t="n">
        <f aca="false">Q21-Q27-Q28-Q29</f>
        <v>181.370925442609</v>
      </c>
      <c r="R31" s="13" t="n">
        <f aca="false">R21-R27-R28-R29</f>
        <v>173.813803549167</v>
      </c>
      <c r="S31" s="13" t="n">
        <f aca="false">S21-S27-S28-S29</f>
        <v>166.256681655725</v>
      </c>
      <c r="T31" s="13" t="n">
        <f aca="false">T21-T27-T28-T29</f>
        <v>158.699559762283</v>
      </c>
      <c r="U31" s="13" t="n">
        <f aca="false">U21-U27-U28-U29</f>
        <v>151.142437868841</v>
      </c>
      <c r="V31" s="13" t="n">
        <f aca="false">V21-V27-V28-V29</f>
        <v>143.585315975399</v>
      </c>
      <c r="W31" s="13" t="n">
        <f aca="false">W21-W27-W28-W29</f>
        <v>136.028194081957</v>
      </c>
      <c r="X31" s="13" t="n">
        <f aca="false">X21-X27-X28-X29</f>
        <v>128.471072188515</v>
      </c>
      <c r="Y31" s="13" t="n">
        <f aca="false">Y21-Y27-Y28-Y29</f>
        <v>120.913950295073</v>
      </c>
      <c r="Z31" s="13" t="n">
        <f aca="false">Z21-Z27-Z28-Z29</f>
        <v>113.356828401631</v>
      </c>
      <c r="AA31" s="13" t="n">
        <f aca="false">AA21-AA27-AA28-AA29</f>
        <v>105.799706508189</v>
      </c>
      <c r="AB31" s="13" t="n">
        <f aca="false">AB21-AB27-AB28-AB29</f>
        <v>98.2425846147466</v>
      </c>
      <c r="AC31" s="13" t="n">
        <f aca="false">AC21-AC27-AC28-AC29</f>
        <v>90.6854627213046</v>
      </c>
      <c r="AD31" s="13" t="n">
        <f aca="false">AD21-AD27-AD28-AD29</f>
        <v>83.1283408278625</v>
      </c>
      <c r="AE31" s="13" t="n">
        <f aca="false">AE21-AE27-AE28-AE29</f>
        <v>75.5712189344205</v>
      </c>
      <c r="AF31" s="13" t="n">
        <f aca="false">AF21-AF27-AF28-AF29</f>
        <v>68.0140970409784</v>
      </c>
      <c r="AG31" s="13" t="n">
        <f aca="false">AG21-AG27-AG28-AG29</f>
        <v>60.4569751475364</v>
      </c>
      <c r="AH31" s="13" t="n">
        <f aca="false">AH21-AH27-AH28-AH29</f>
        <v>52.8998532540943</v>
      </c>
      <c r="AI31" s="13" t="n">
        <f aca="false">AI21-AI27-AI28-AI29</f>
        <v>45.3427313606523</v>
      </c>
      <c r="AJ31" s="13" t="n">
        <f aca="false">AJ21-AJ27-AJ28-AJ29</f>
        <v>37.7856094672102</v>
      </c>
      <c r="AK31" s="13" t="n">
        <f aca="false">AK21-AK27-AK28-AK29</f>
        <v>30.2284875737682</v>
      </c>
      <c r="AL31" s="13" t="n">
        <f aca="false">AL21-AL27-AL28-AL29</f>
        <v>22.6713656803261</v>
      </c>
      <c r="AM31" s="13" t="n">
        <f aca="false">AM21-AM27-AM28-AM29</f>
        <v>15.1142437868841</v>
      </c>
      <c r="AN31" s="13" t="n">
        <f aca="false">AN21-AN27-AN28-AN29</f>
        <v>7.55712189344205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1789</v>
      </c>
      <c r="E32" s="0" t="s">
        <v>151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1790</v>
      </c>
      <c r="E33" s="0" t="s">
        <v>151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196.485169229493</v>
      </c>
      <c r="P33" s="13" t="n">
        <f aca="false">IF(Time!P34=1,INDEX(Funding!$J$61:$BJ$61,1,Time!$F$14),Time!P35*(P31-P32))</f>
        <v>188.928047336051</v>
      </c>
      <c r="Q33" s="13" t="n">
        <f aca="false">IF(Time!Q34=1,INDEX(Funding!$J$61:$BJ$61,1,Time!$F$14),Time!Q35*(Q31-Q32))</f>
        <v>181.370925442609</v>
      </c>
      <c r="R33" s="13" t="n">
        <f aca="false">IF(Time!R34=1,INDEX(Funding!$J$61:$BJ$61,1,Time!$F$14),Time!R35*(R31-R32))</f>
        <v>173.813803549167</v>
      </c>
      <c r="S33" s="13" t="n">
        <f aca="false">IF(Time!S34=1,INDEX(Funding!$J$61:$BJ$61,1,Time!$F$14),Time!S35*(S31-S32))</f>
        <v>166.256681655725</v>
      </c>
      <c r="T33" s="13" t="n">
        <f aca="false">IF(Time!T34=1,INDEX(Funding!$J$61:$BJ$61,1,Time!$F$14),Time!T35*(T31-T32))</f>
        <v>158.699559762283</v>
      </c>
      <c r="U33" s="13" t="n">
        <f aca="false">IF(Time!U34=1,INDEX(Funding!$J$61:$BJ$61,1,Time!$F$14),Time!U35*(U31-U32))</f>
        <v>151.142437868841</v>
      </c>
      <c r="V33" s="13" t="n">
        <f aca="false">IF(Time!V34=1,INDEX(Funding!$J$61:$BJ$61,1,Time!$F$14),Time!V35*(V31-V32))</f>
        <v>143.585315975399</v>
      </c>
      <c r="W33" s="13" t="n">
        <f aca="false">IF(Time!W34=1,INDEX(Funding!$J$61:$BJ$61,1,Time!$F$14),Time!W35*(W31-W32))</f>
        <v>136.028194081957</v>
      </c>
      <c r="X33" s="13" t="n">
        <f aca="false">IF(Time!X34=1,INDEX(Funding!$J$61:$BJ$61,1,Time!$F$14),Time!X35*(X31-X32))</f>
        <v>128.471072188515</v>
      </c>
      <c r="Y33" s="13" t="n">
        <f aca="false">IF(Time!Y34=1,INDEX(Funding!$J$61:$BJ$61,1,Time!$F$14),Time!Y35*(Y31-Y32))</f>
        <v>120.913950295073</v>
      </c>
      <c r="Z33" s="13" t="n">
        <f aca="false">IF(Time!Z34=1,INDEX(Funding!$J$61:$BJ$61,1,Time!$F$14),Time!Z35*(Z31-Z32))</f>
        <v>113.356828401631</v>
      </c>
      <c r="AA33" s="13" t="n">
        <f aca="false">IF(Time!AA34=1,INDEX(Funding!$J$61:$BJ$61,1,Time!$F$14),Time!AA35*(AA31-AA32))</f>
        <v>105.799706508189</v>
      </c>
      <c r="AB33" s="13" t="n">
        <f aca="false">IF(Time!AB34=1,INDEX(Funding!$J$61:$BJ$61,1,Time!$F$14),Time!AB35*(AB31-AB32))</f>
        <v>98.2425846147466</v>
      </c>
      <c r="AC33" s="13" t="n">
        <f aca="false">IF(Time!AC34=1,INDEX(Funding!$J$61:$BJ$61,1,Time!$F$14),Time!AC35*(AC31-AC32))</f>
        <v>90.6854627213046</v>
      </c>
      <c r="AD33" s="13" t="n">
        <f aca="false">IF(Time!AD34=1,INDEX(Funding!$J$61:$BJ$61,1,Time!$F$14),Time!AD35*(AD31-AD32))</f>
        <v>83.1283408278625</v>
      </c>
      <c r="AE33" s="13" t="n">
        <f aca="false">IF(Time!AE34=1,INDEX(Funding!$J$61:$BJ$61,1,Time!$F$14),Time!AE35*(AE31-AE32))</f>
        <v>75.5712189344205</v>
      </c>
      <c r="AF33" s="13" t="n">
        <f aca="false">IF(Time!AF34=1,INDEX(Funding!$J$61:$BJ$61,1,Time!$F$14),Time!AF35*(AF31-AF32))</f>
        <v>68.0140970409784</v>
      </c>
      <c r="AG33" s="13" t="n">
        <f aca="false">IF(Time!AG34=1,INDEX(Funding!$J$61:$BJ$61,1,Time!$F$14),Time!AG35*(AG31-AG32))</f>
        <v>60.4569751475364</v>
      </c>
      <c r="AH33" s="13" t="n">
        <f aca="false">IF(Time!AH34=1,INDEX(Funding!$J$61:$BJ$61,1,Time!$F$14),Time!AH35*(AH31-AH32))</f>
        <v>52.8998532540943</v>
      </c>
      <c r="AI33" s="13" t="n">
        <f aca="false">IF(Time!AI34=1,INDEX(Funding!$J$61:$BJ$61,1,Time!$F$14),Time!AI35*(AI31-AI32))</f>
        <v>45.3427313606523</v>
      </c>
      <c r="AJ33" s="13" t="n">
        <f aca="false">IF(Time!AJ34=1,INDEX(Funding!$J$61:$BJ$61,1,Time!$F$14),Time!AJ35*(AJ31-AJ32))</f>
        <v>37.7856094672102</v>
      </c>
      <c r="AK33" s="13" t="n">
        <f aca="false">IF(Time!AK34=1,INDEX(Funding!$J$61:$BJ$61,1,Time!$F$14),Time!AK35*(AK31-AK32))</f>
        <v>30.2284875737682</v>
      </c>
      <c r="AL33" s="13" t="n">
        <f aca="false">IF(Time!AL34=1,INDEX(Funding!$J$61:$BJ$61,1,Time!$F$14),Time!AL35*(AL31-AL32))</f>
        <v>22.6713656803261</v>
      </c>
      <c r="AM33" s="13" t="n">
        <f aca="false">IF(Time!AM34=1,INDEX(Funding!$J$61:$BJ$61,1,Time!$F$14),Time!AM35*(AM31-AM32))</f>
        <v>15.1142437868841</v>
      </c>
      <c r="AN33" s="13" t="n">
        <f aca="false">IF(Time!AN34=1,INDEX(Funding!$J$61:$BJ$61,1,Time!$F$14),Time!AN35*(AN31-AN32))</f>
        <v>7.55712189344205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1791</v>
      </c>
    </row>
    <row r="35" customFormat="false" ht="15" hidden="false" customHeight="false" outlineLevel="0" collapsed="false">
      <c r="D35" s="0" t="s">
        <v>1778</v>
      </c>
      <c r="E35" s="0" t="s">
        <v>151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144.089124101628</v>
      </c>
      <c r="Q35" s="13" t="n">
        <f aca="false">Time!Q35*P47</f>
        <v>141.452711188746</v>
      </c>
      <c r="R35" s="13" t="n">
        <f aca="false">Time!R35*Q47</f>
        <v>138.700544323883</v>
      </c>
      <c r="S35" s="13" t="n">
        <f aca="false">Time!S35*R47</f>
        <v>135.75186078125</v>
      </c>
      <c r="T35" s="13" t="n">
        <f aca="false">Time!T35*S47</f>
        <v>132.673601749688</v>
      </c>
      <c r="U35" s="13" t="n">
        <f aca="false">Time!U35*T47</f>
        <v>129.239404686456</v>
      </c>
      <c r="V35" s="13" t="n">
        <f aca="false">Time!V35*U47</f>
        <v>125.731472998767</v>
      </c>
      <c r="W35" s="13" t="n">
        <f aca="false">Time!W35*V47</f>
        <v>122.111162129499</v>
      </c>
      <c r="X35" s="13" t="n">
        <f aca="false">Time!X35*W47</f>
        <v>118.279937124891</v>
      </c>
      <c r="Y35" s="13" t="n">
        <f aca="false">Time!Y35*X47</f>
        <v>114.302083813166</v>
      </c>
      <c r="Z35" s="13" t="n">
        <f aca="false">Time!Z35*Y47</f>
        <v>110.273869085641</v>
      </c>
      <c r="AA35" s="13" t="n">
        <f aca="false">Time!AA35*Z47</f>
        <v>105.97817251712</v>
      </c>
      <c r="AB35" s="13" t="n">
        <f aca="false">Time!AB35*AA47</f>
        <v>101.4852674033</v>
      </c>
      <c r="AC35" s="13" t="n">
        <f aca="false">Time!AC35*AB47</f>
        <v>96.5523705540449</v>
      </c>
      <c r="AD35" s="13" t="n">
        <f aca="false">Time!AD35*AC47</f>
        <v>91.5537766715032</v>
      </c>
      <c r="AE35" s="13" t="n">
        <f aca="false">Time!AE35*AD47</f>
        <v>86.1901983467744</v>
      </c>
      <c r="AF35" s="13" t="n">
        <f aca="false">Time!AF35*AE47</f>
        <v>80.5251612002651</v>
      </c>
      <c r="AG35" s="13" t="n">
        <f aca="false">Time!AG35*AF47</f>
        <v>74.1198479897888</v>
      </c>
      <c r="AH35" s="13" t="n">
        <f aca="false">Time!AH35*AG47</f>
        <v>67.4578566413462</v>
      </c>
      <c r="AI35" s="13" t="n">
        <f aca="false">Time!AI35*AH47</f>
        <v>60.3878269600494</v>
      </c>
      <c r="AJ35" s="13" t="n">
        <f aca="false">Time!AJ35*AI47</f>
        <v>53.0085255322431</v>
      </c>
      <c r="AK35" s="13" t="n">
        <f aca="false">Time!AK35*AJ47</f>
        <v>45.031621710824</v>
      </c>
      <c r="AL35" s="13" t="n">
        <f aca="false">Time!AL35*AK47</f>
        <v>36.794971836339</v>
      </c>
      <c r="AM35" s="13" t="n">
        <f aca="false">Time!AM35*AL47</f>
        <v>28.1932801707472</v>
      </c>
      <c r="AN35" s="13" t="n">
        <f aca="false">Time!AN35*AM47</f>
        <v>19.1827844264479</v>
      </c>
      <c r="AO35" s="13" t="n">
        <f aca="false">Time!AO35*AN47</f>
        <v>9.81097872405161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1779</v>
      </c>
      <c r="E36" s="0" t="s">
        <v>151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1780</v>
      </c>
      <c r="E37" s="0" t="s">
        <v>151</v>
      </c>
      <c r="G37" s="13" t="n">
        <f aca="false">SUM(J37:BN37)</f>
        <v>80.1509132374365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4.85580348222488</v>
      </c>
      <c r="Q37" s="13" t="n">
        <f aca="false">Q35*Q11</f>
        <v>4.78110163817963</v>
      </c>
      <c r="R37" s="13" t="n">
        <f aca="false">R35*R11</f>
        <v>4.68807839814724</v>
      </c>
      <c r="S37" s="13" t="n">
        <f aca="false">S35*S11</f>
        <v>4.59520048744531</v>
      </c>
      <c r="T37" s="13" t="n">
        <f aca="false">T35*T11</f>
        <v>4.49100141922694</v>
      </c>
      <c r="U37" s="13" t="n">
        <f aca="false">U35*U11</f>
        <v>4.37475384863654</v>
      </c>
      <c r="V37" s="13" t="n">
        <f aca="false">V35*V11</f>
        <v>4.25601036100825</v>
      </c>
      <c r="W37" s="13" t="n">
        <f aca="false">W35*W11</f>
        <v>4.13346283808355</v>
      </c>
      <c r="X37" s="13" t="n">
        <f aca="false">X35*X11</f>
        <v>4.00377587167756</v>
      </c>
      <c r="Y37" s="13" t="n">
        <f aca="false">Y35*Y11</f>
        <v>3.86912553707565</v>
      </c>
      <c r="Z37" s="13" t="n">
        <f aca="false">Z35*Z11</f>
        <v>3.73277046854895</v>
      </c>
      <c r="AA37" s="13" t="n">
        <f aca="false">AA35*AA11</f>
        <v>3.58736113970451</v>
      </c>
      <c r="AB37" s="13" t="n">
        <f aca="false">AB35*AB11</f>
        <v>3.43527630160171</v>
      </c>
      <c r="AC37" s="13" t="n">
        <f aca="false">AC35*AC11</f>
        <v>3.26829774325442</v>
      </c>
      <c r="AD37" s="13" t="n">
        <f aca="false">AD35*AD11</f>
        <v>3.09909534033038</v>
      </c>
      <c r="AE37" s="13" t="n">
        <f aca="false">AE35*AE11</f>
        <v>2.91753821403831</v>
      </c>
      <c r="AF37" s="13" t="n">
        <f aca="false">AF35*AF11</f>
        <v>2.72577670662897</v>
      </c>
      <c r="AG37" s="13" t="n">
        <f aca="false">AG35*AG11</f>
        <v>2.50895685445435</v>
      </c>
      <c r="AH37" s="13" t="n">
        <f aca="false">AH35*AH11</f>
        <v>2.28344844730957</v>
      </c>
      <c r="AI37" s="13" t="n">
        <f aca="false">AI35*AI11</f>
        <v>2.04412794259767</v>
      </c>
      <c r="AJ37" s="13" t="n">
        <f aca="false">AJ35*AJ11</f>
        <v>1.79433858926643</v>
      </c>
      <c r="AK37" s="13" t="n">
        <f aca="false">AK35*AK11</f>
        <v>1.52432039491139</v>
      </c>
      <c r="AL37" s="13" t="n">
        <f aca="false">AL35*AL11</f>
        <v>1.24550979666007</v>
      </c>
      <c r="AM37" s="13" t="n">
        <f aca="false">AM35*AM11</f>
        <v>0.954342533779794</v>
      </c>
      <c r="AN37" s="13" t="n">
        <f aca="false">AN35*AN11</f>
        <v>0.649337252835262</v>
      </c>
      <c r="AO37" s="13" t="n">
        <f aca="false">AO35*AO11</f>
        <v>0.332101629809147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1781</v>
      </c>
      <c r="E38" s="0" t="s">
        <v>151</v>
      </c>
      <c r="G38" s="13" t="n">
        <f aca="false">SUM(J38:BN38)</f>
        <v>144.089124101628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2.63641291288202</v>
      </c>
      <c r="Q38" s="13" t="n">
        <f aca="false">Time!Q35*(Q35-Q36)*Q19</f>
        <v>2.75216686486358</v>
      </c>
      <c r="R38" s="13" t="n">
        <f aca="false">Time!R35*(R35-R36)*R19</f>
        <v>2.94868354263292</v>
      </c>
      <c r="S38" s="13" t="n">
        <f aca="false">Time!S35*(S35-S36)*S19</f>
        <v>3.07825903156188</v>
      </c>
      <c r="T38" s="13" t="n">
        <f aca="false">Time!T35*(T35-T36)*T19</f>
        <v>3.4341970632318</v>
      </c>
      <c r="U38" s="13" t="n">
        <f aca="false">Time!U35*(U35-U36)*U19</f>
        <v>3.50793168768962</v>
      </c>
      <c r="V38" s="13" t="n">
        <f aca="false">Time!V35*(V35-V36)*V19</f>
        <v>3.62031086926744</v>
      </c>
      <c r="W38" s="13" t="n">
        <f aca="false">Time!W35*(W35-W36)*W19</f>
        <v>3.83122500460806</v>
      </c>
      <c r="X38" s="13" t="n">
        <f aca="false">Time!X35*(X35-X36)*X19</f>
        <v>3.97785331172553</v>
      </c>
      <c r="Y38" s="13" t="n">
        <f aca="false">Time!Y35*(Y35-Y36)*Y19</f>
        <v>4.02821472752442</v>
      </c>
      <c r="Z38" s="13" t="n">
        <f aca="false">Time!Z35*(Z35-Z36)*Z19</f>
        <v>4.29569656852107</v>
      </c>
      <c r="AA38" s="13" t="n">
        <f aca="false">Time!AA35*(AA35-AA36)*AA19</f>
        <v>4.49290511382</v>
      </c>
      <c r="AB38" s="13" t="n">
        <f aca="false">Time!AB35*(AB35-AB36)*AB19</f>
        <v>4.93289684925513</v>
      </c>
      <c r="AC38" s="13" t="n">
        <f aca="false">Time!AC35*(AC35-AC36)*AC19</f>
        <v>4.99859388254172</v>
      </c>
      <c r="AD38" s="13" t="n">
        <f aca="false">Time!AD35*(AD35-AD36)*AD19</f>
        <v>5.36357832472879</v>
      </c>
      <c r="AE38" s="13" t="n">
        <f aca="false">Time!AE35*(AE35-AE36)*AE19</f>
        <v>5.66503714650932</v>
      </c>
      <c r="AF38" s="13" t="n">
        <f aca="false">Time!AF35*(AF35-AF36)*AF19</f>
        <v>6.40531321047636</v>
      </c>
      <c r="AG38" s="13" t="n">
        <f aca="false">Time!AG35*(AG35-AG36)*AG19</f>
        <v>6.66199134844252</v>
      </c>
      <c r="AH38" s="13" t="n">
        <f aca="false">Time!AH35*(AH35-AH36)*AH19</f>
        <v>7.07002968129684</v>
      </c>
      <c r="AI38" s="13" t="n">
        <f aca="false">Time!AI35*(AI35-AI36)*AI19</f>
        <v>7.37930142780629</v>
      </c>
      <c r="AJ38" s="13" t="n">
        <f aca="false">Time!AJ35*(AJ35-AJ36)*AJ19</f>
        <v>7.97690382141913</v>
      </c>
      <c r="AK38" s="13" t="n">
        <f aca="false">Time!AK35*(AK35-AK36)*AK19</f>
        <v>8.236649874485</v>
      </c>
      <c r="AL38" s="13" t="n">
        <f aca="false">Time!AL35*(AL35-AL36)*AL19</f>
        <v>8.60169166559175</v>
      </c>
      <c r="AM38" s="13" t="n">
        <f aca="false">Time!AM35*(AM35-AM36)*AM19</f>
        <v>9.01049574429931</v>
      </c>
      <c r="AN38" s="13" t="n">
        <f aca="false">Time!AN35*(AN35-AN36)*AN19</f>
        <v>9.37180570239633</v>
      </c>
      <c r="AO38" s="13" t="n">
        <f aca="false">Time!AO35*(AO35-AO36)*AO19</f>
        <v>9.81097872405161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1782</v>
      </c>
      <c r="E39" s="0" t="s">
        <v>151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1783</v>
      </c>
      <c r="E40" s="0" t="s">
        <v>151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1784</v>
      </c>
      <c r="E41" s="0" t="s">
        <v>151</v>
      </c>
      <c r="G41" s="13" t="n">
        <f aca="false">SUM(J41:BN41)</f>
        <v>144.089124101628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2.63641291288202</v>
      </c>
      <c r="Q41" s="13" t="n">
        <f aca="false">Q38-Q39+Q40</f>
        <v>2.75216686486358</v>
      </c>
      <c r="R41" s="13" t="n">
        <f aca="false">R38-R39+R40</f>
        <v>2.94868354263292</v>
      </c>
      <c r="S41" s="13" t="n">
        <f aca="false">S38-S39+S40</f>
        <v>3.07825903156188</v>
      </c>
      <c r="T41" s="13" t="n">
        <f aca="false">T38-T39+T40</f>
        <v>3.4341970632318</v>
      </c>
      <c r="U41" s="13" t="n">
        <f aca="false">U38-U39+U40</f>
        <v>3.50793168768962</v>
      </c>
      <c r="V41" s="13" t="n">
        <f aca="false">V38-V39+V40</f>
        <v>3.62031086926744</v>
      </c>
      <c r="W41" s="13" t="n">
        <f aca="false">W38-W39+W40</f>
        <v>3.83122500460806</v>
      </c>
      <c r="X41" s="13" t="n">
        <f aca="false">X38-X39+X40</f>
        <v>3.97785331172553</v>
      </c>
      <c r="Y41" s="13" t="n">
        <f aca="false">Y38-Y39+Y40</f>
        <v>4.02821472752442</v>
      </c>
      <c r="Z41" s="13" t="n">
        <f aca="false">Z38-Z39+Z40</f>
        <v>4.29569656852107</v>
      </c>
      <c r="AA41" s="13" t="n">
        <f aca="false">AA38-AA39+AA40</f>
        <v>4.49290511382</v>
      </c>
      <c r="AB41" s="13" t="n">
        <f aca="false">AB38-AB39+AB40</f>
        <v>4.93289684925513</v>
      </c>
      <c r="AC41" s="13" t="n">
        <f aca="false">AC38-AC39+AC40</f>
        <v>4.99859388254172</v>
      </c>
      <c r="AD41" s="13" t="n">
        <f aca="false">AD38-AD39+AD40</f>
        <v>5.36357832472879</v>
      </c>
      <c r="AE41" s="13" t="n">
        <f aca="false">AE38-AE39+AE40</f>
        <v>5.66503714650932</v>
      </c>
      <c r="AF41" s="13" t="n">
        <f aca="false">AF38-AF39+AF40</f>
        <v>6.40531321047636</v>
      </c>
      <c r="AG41" s="13" t="n">
        <f aca="false">AG38-AG39+AG40</f>
        <v>6.66199134844252</v>
      </c>
      <c r="AH41" s="13" t="n">
        <f aca="false">AH38-AH39+AH40</f>
        <v>7.07002968129684</v>
      </c>
      <c r="AI41" s="13" t="n">
        <f aca="false">AI38-AI39+AI40</f>
        <v>7.37930142780629</v>
      </c>
      <c r="AJ41" s="13" t="n">
        <f aca="false">AJ38-AJ39+AJ40</f>
        <v>7.97690382141913</v>
      </c>
      <c r="AK41" s="13" t="n">
        <f aca="false">AK38-AK39+AK40</f>
        <v>8.236649874485</v>
      </c>
      <c r="AL41" s="13" t="n">
        <f aca="false">AL38-AL39+AL40</f>
        <v>8.60169166559175</v>
      </c>
      <c r="AM41" s="13" t="n">
        <f aca="false">AM38-AM39+AM40</f>
        <v>9.01049574429931</v>
      </c>
      <c r="AN41" s="13" t="n">
        <f aca="false">AN38-AN39+AN40</f>
        <v>9.37180570239633</v>
      </c>
      <c r="AO41" s="13" t="n">
        <f aca="false">AO38-AO39+AO40</f>
        <v>9.81097872405161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1785</v>
      </c>
      <c r="E42" s="0" t="s">
        <v>151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1786</v>
      </c>
      <c r="E43" s="0" t="s">
        <v>151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1787</v>
      </c>
      <c r="E44" s="0" t="s">
        <v>151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1788</v>
      </c>
      <c r="E45" s="0" t="s">
        <v>151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141.452711188746</v>
      </c>
      <c r="Q45" s="13" t="n">
        <f aca="false">Q35-Q41-Q42-Q43</f>
        <v>138.700544323883</v>
      </c>
      <c r="R45" s="13" t="n">
        <f aca="false">R35-R41-R42-R43</f>
        <v>135.75186078125</v>
      </c>
      <c r="S45" s="13" t="n">
        <f aca="false">S35-S41-S42-S43</f>
        <v>132.673601749688</v>
      </c>
      <c r="T45" s="13" t="n">
        <f aca="false">T35-T41-T42-T43</f>
        <v>129.239404686456</v>
      </c>
      <c r="U45" s="13" t="n">
        <f aca="false">U35-U41-U42-U43</f>
        <v>125.731472998767</v>
      </c>
      <c r="V45" s="13" t="n">
        <f aca="false">V35-V41-V42-V43</f>
        <v>122.111162129499</v>
      </c>
      <c r="W45" s="13" t="n">
        <f aca="false">W35-W41-W42-W43</f>
        <v>118.279937124891</v>
      </c>
      <c r="X45" s="13" t="n">
        <f aca="false">X35-X41-X42-X43</f>
        <v>114.302083813166</v>
      </c>
      <c r="Y45" s="13" t="n">
        <f aca="false">Y35-Y41-Y42-Y43</f>
        <v>110.273869085641</v>
      </c>
      <c r="Z45" s="13" t="n">
        <f aca="false">Z35-Z41-Z42-Z43</f>
        <v>105.97817251712</v>
      </c>
      <c r="AA45" s="13" t="n">
        <f aca="false">AA35-AA41-AA42-AA43</f>
        <v>101.4852674033</v>
      </c>
      <c r="AB45" s="13" t="n">
        <f aca="false">AB35-AB41-AB42-AB43</f>
        <v>96.5523705540449</v>
      </c>
      <c r="AC45" s="13" t="n">
        <f aca="false">AC35-AC41-AC42-AC43</f>
        <v>91.5537766715032</v>
      </c>
      <c r="AD45" s="13" t="n">
        <f aca="false">AD35-AD41-AD42-AD43</f>
        <v>86.1901983467744</v>
      </c>
      <c r="AE45" s="13" t="n">
        <f aca="false">AE35-AE41-AE42-AE43</f>
        <v>80.5251612002651</v>
      </c>
      <c r="AF45" s="13" t="n">
        <f aca="false">AF35-AF41-AF42-AF43</f>
        <v>74.1198479897888</v>
      </c>
      <c r="AG45" s="13" t="n">
        <f aca="false">AG35-AG41-AG42-AG43</f>
        <v>67.4578566413462</v>
      </c>
      <c r="AH45" s="13" t="n">
        <f aca="false">AH35-AH41-AH42-AH43</f>
        <v>60.3878269600494</v>
      </c>
      <c r="AI45" s="13" t="n">
        <f aca="false">AI35-AI41-AI42-AI43</f>
        <v>53.0085255322431</v>
      </c>
      <c r="AJ45" s="13" t="n">
        <f aca="false">AJ35-AJ41-AJ42-AJ43</f>
        <v>45.031621710824</v>
      </c>
      <c r="AK45" s="13" t="n">
        <f aca="false">AK35-AK41-AK42-AK43</f>
        <v>36.794971836339</v>
      </c>
      <c r="AL45" s="13" t="n">
        <f aca="false">AL35-AL41-AL42-AL43</f>
        <v>28.1932801707472</v>
      </c>
      <c r="AM45" s="13" t="n">
        <f aca="false">AM35-AM41-AM42-AM43</f>
        <v>19.1827844264479</v>
      </c>
      <c r="AN45" s="13" t="n">
        <f aca="false">AN35-AN41-AN42-AN43</f>
        <v>9.81097872405161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1789</v>
      </c>
      <c r="E46" s="0" t="s">
        <v>151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1790</v>
      </c>
      <c r="E47" s="0" t="s">
        <v>151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144.089124101628</v>
      </c>
      <c r="P47" s="13" t="n">
        <f aca="false">IF(Time!P34=1,INDEX(Funding!$J$62:$BJ$62,1,Time!$F$14),Time!P35*(P45-P46))</f>
        <v>141.452711188746</v>
      </c>
      <c r="Q47" s="13" t="n">
        <f aca="false">IF(Time!Q34=1,INDEX(Funding!$J$62:$BJ$62,1,Time!$F$14),Time!Q35*(Q45-Q46))</f>
        <v>138.700544323883</v>
      </c>
      <c r="R47" s="13" t="n">
        <f aca="false">IF(Time!R34=1,INDEX(Funding!$J$62:$BJ$62,1,Time!$F$14),Time!R35*(R45-R46))</f>
        <v>135.75186078125</v>
      </c>
      <c r="S47" s="13" t="n">
        <f aca="false">IF(Time!S34=1,INDEX(Funding!$J$62:$BJ$62,1,Time!$F$14),Time!S35*(S45-S46))</f>
        <v>132.673601749688</v>
      </c>
      <c r="T47" s="13" t="n">
        <f aca="false">IF(Time!T34=1,INDEX(Funding!$J$62:$BJ$62,1,Time!$F$14),Time!T35*(T45-T46))</f>
        <v>129.239404686456</v>
      </c>
      <c r="U47" s="13" t="n">
        <f aca="false">IF(Time!U34=1,INDEX(Funding!$J$62:$BJ$62,1,Time!$F$14),Time!U35*(U45-U46))</f>
        <v>125.731472998767</v>
      </c>
      <c r="V47" s="13" t="n">
        <f aca="false">IF(Time!V34=1,INDEX(Funding!$J$62:$BJ$62,1,Time!$F$14),Time!V35*(V45-V46))</f>
        <v>122.111162129499</v>
      </c>
      <c r="W47" s="13" t="n">
        <f aca="false">IF(Time!W34=1,INDEX(Funding!$J$62:$BJ$62,1,Time!$F$14),Time!W35*(W45-W46))</f>
        <v>118.279937124891</v>
      </c>
      <c r="X47" s="13" t="n">
        <f aca="false">IF(Time!X34=1,INDEX(Funding!$J$62:$BJ$62,1,Time!$F$14),Time!X35*(X45-X46))</f>
        <v>114.302083813166</v>
      </c>
      <c r="Y47" s="13" t="n">
        <f aca="false">IF(Time!Y34=1,INDEX(Funding!$J$62:$BJ$62,1,Time!$F$14),Time!Y35*(Y45-Y46))</f>
        <v>110.273869085641</v>
      </c>
      <c r="Z47" s="13" t="n">
        <f aca="false">IF(Time!Z34=1,INDEX(Funding!$J$62:$BJ$62,1,Time!$F$14),Time!Z35*(Z45-Z46))</f>
        <v>105.97817251712</v>
      </c>
      <c r="AA47" s="13" t="n">
        <f aca="false">IF(Time!AA34=1,INDEX(Funding!$J$62:$BJ$62,1,Time!$F$14),Time!AA35*(AA45-AA46))</f>
        <v>101.4852674033</v>
      </c>
      <c r="AB47" s="13" t="n">
        <f aca="false">IF(Time!AB34=1,INDEX(Funding!$J$62:$BJ$62,1,Time!$F$14),Time!AB35*(AB45-AB46))</f>
        <v>96.5523705540449</v>
      </c>
      <c r="AC47" s="13" t="n">
        <f aca="false">IF(Time!AC34=1,INDEX(Funding!$J$62:$BJ$62,1,Time!$F$14),Time!AC35*(AC45-AC46))</f>
        <v>91.5537766715032</v>
      </c>
      <c r="AD47" s="13" t="n">
        <f aca="false">IF(Time!AD34=1,INDEX(Funding!$J$62:$BJ$62,1,Time!$F$14),Time!AD35*(AD45-AD46))</f>
        <v>86.1901983467744</v>
      </c>
      <c r="AE47" s="13" t="n">
        <f aca="false">IF(Time!AE34=1,INDEX(Funding!$J$62:$BJ$62,1,Time!$F$14),Time!AE35*(AE45-AE46))</f>
        <v>80.5251612002651</v>
      </c>
      <c r="AF47" s="13" t="n">
        <f aca="false">IF(Time!AF34=1,INDEX(Funding!$J$62:$BJ$62,1,Time!$F$14),Time!AF35*(AF45-AF46))</f>
        <v>74.1198479897888</v>
      </c>
      <c r="AG47" s="13" t="n">
        <f aca="false">IF(Time!AG34=1,INDEX(Funding!$J$62:$BJ$62,1,Time!$F$14),Time!AG35*(AG45-AG46))</f>
        <v>67.4578566413462</v>
      </c>
      <c r="AH47" s="13" t="n">
        <f aca="false">IF(Time!AH34=1,INDEX(Funding!$J$62:$BJ$62,1,Time!$F$14),Time!AH35*(AH45-AH46))</f>
        <v>60.3878269600494</v>
      </c>
      <c r="AI47" s="13" t="n">
        <f aca="false">IF(Time!AI34=1,INDEX(Funding!$J$62:$BJ$62,1,Time!$F$14),Time!AI35*(AI45-AI46))</f>
        <v>53.0085255322431</v>
      </c>
      <c r="AJ47" s="13" t="n">
        <f aca="false">IF(Time!AJ34=1,INDEX(Funding!$J$62:$BJ$62,1,Time!$F$14),Time!AJ35*(AJ45-AJ46))</f>
        <v>45.031621710824</v>
      </c>
      <c r="AK47" s="13" t="n">
        <f aca="false">IF(Time!AK34=1,INDEX(Funding!$J$62:$BJ$62,1,Time!$F$14),Time!AK35*(AK45-AK46))</f>
        <v>36.794971836339</v>
      </c>
      <c r="AL47" s="13" t="n">
        <f aca="false">IF(Time!AL34=1,INDEX(Funding!$J$62:$BJ$62,1,Time!$F$14),Time!AL35*(AL45-AL46))</f>
        <v>28.1932801707472</v>
      </c>
      <c r="AM47" s="13" t="n">
        <f aca="false">IF(Time!AM34=1,INDEX(Funding!$J$62:$BJ$62,1,Time!$F$14),Time!AM35*(AM45-AM46))</f>
        <v>19.1827844264479</v>
      </c>
      <c r="AN47" s="13" t="n">
        <f aca="false">IF(Time!AN34=1,INDEX(Funding!$J$62:$BJ$62,1,Time!$F$14),Time!AN35*(AN45-AN46))</f>
        <v>9.81097872405161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1792</v>
      </c>
    </row>
    <row r="49" customFormat="false" ht="15" hidden="false" customHeight="false" outlineLevel="0" collapsed="false">
      <c r="D49" s="0" t="s">
        <v>1778</v>
      </c>
      <c r="E49" s="0" t="s">
        <v>151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65.4950564098311</v>
      </c>
      <c r="Q49" s="13" t="n">
        <f aca="false">Time!Q35*P61</f>
        <v>64.2966869039756</v>
      </c>
      <c r="R49" s="13" t="n">
        <f aca="false">Time!R35*Q61</f>
        <v>63.0457019654013</v>
      </c>
      <c r="S49" s="13" t="n">
        <f aca="false">Time!S35*R61</f>
        <v>61.7053912642045</v>
      </c>
      <c r="T49" s="13" t="n">
        <f aca="false">Time!T35*S61</f>
        <v>60.3061826134945</v>
      </c>
      <c r="U49" s="13" t="n">
        <f aca="false">Time!U35*T61</f>
        <v>58.7451839483892</v>
      </c>
      <c r="V49" s="13" t="n">
        <f aca="false">Time!V35*U61</f>
        <v>57.1506695448939</v>
      </c>
      <c r="W49" s="13" t="n">
        <f aca="false">Time!W35*V61</f>
        <v>55.5050736952269</v>
      </c>
      <c r="X49" s="13" t="n">
        <f aca="false">Time!X35*W61</f>
        <v>53.7636077840414</v>
      </c>
      <c r="Y49" s="13" t="n">
        <f aca="false">Time!Y35*X61</f>
        <v>51.955492642348</v>
      </c>
      <c r="Z49" s="13" t="n">
        <f aca="false">Time!Z35*Y61</f>
        <v>50.1244859480187</v>
      </c>
      <c r="AA49" s="13" t="n">
        <f aca="false">Time!AA35*Z61</f>
        <v>48.1718965986909</v>
      </c>
      <c r="AB49" s="13" t="n">
        <f aca="false">Time!AB35*AA61</f>
        <v>46.1296670015</v>
      </c>
      <c r="AC49" s="13" t="n">
        <f aca="false">Time!AC35*AB61</f>
        <v>43.8874411609295</v>
      </c>
      <c r="AD49" s="13" t="n">
        <f aca="false">Time!AD35*AC61</f>
        <v>41.6153530325015</v>
      </c>
      <c r="AE49" s="13" t="n">
        <f aca="false">Time!AE35*AD61</f>
        <v>39.1773628848975</v>
      </c>
      <c r="AF49" s="13" t="n">
        <f aca="false">Time!AF35*AE61</f>
        <v>36.6023460001205</v>
      </c>
      <c r="AG49" s="13" t="n">
        <f aca="false">Time!AG35*AF61</f>
        <v>33.6908399953585</v>
      </c>
      <c r="AH49" s="13" t="n">
        <f aca="false">Time!AH35*AG61</f>
        <v>30.6626621097028</v>
      </c>
      <c r="AI49" s="13" t="n">
        <f aca="false">Time!AI35*AH61</f>
        <v>27.4490122545679</v>
      </c>
      <c r="AJ49" s="13" t="n">
        <f aca="false">Time!AJ35*AI61</f>
        <v>24.0947843328378</v>
      </c>
      <c r="AK49" s="13" t="n">
        <f aca="false">Time!AK35*AJ61</f>
        <v>20.4689189594654</v>
      </c>
      <c r="AL49" s="13" t="n">
        <f aca="false">Time!AL35*AK61</f>
        <v>16.7249871983359</v>
      </c>
      <c r="AM49" s="13" t="n">
        <f aca="false">Time!AM35*AL61</f>
        <v>12.8151273503397</v>
      </c>
      <c r="AN49" s="13" t="n">
        <f aca="false">Time!AN35*AM61</f>
        <v>8.71944746656724</v>
      </c>
      <c r="AO49" s="13" t="n">
        <f aca="false">Time!AO35*AN61</f>
        <v>4.45953578365982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1779</v>
      </c>
      <c r="E50" s="0" t="s">
        <v>151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1780</v>
      </c>
      <c r="E51" s="0" t="s">
        <v>151</v>
      </c>
      <c r="G51" s="13" t="n">
        <f aca="false">SUM(J51:BN51)</f>
        <v>35.0862796461822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2.12531458049902</v>
      </c>
      <c r="Q51" s="13" t="n">
        <f aca="false">Q49*Q12</f>
        <v>2.09285715872441</v>
      </c>
      <c r="R51" s="13" t="n">
        <f aca="false">R49*R12</f>
        <v>2.05213759897381</v>
      </c>
      <c r="S51" s="13" t="n">
        <f aca="false">S49*S12</f>
        <v>2.01159575521307</v>
      </c>
      <c r="T51" s="13" t="n">
        <f aca="false">T49*T12</f>
        <v>1.96598155319992</v>
      </c>
      <c r="U51" s="13" t="n">
        <f aca="false">U49*U12</f>
        <v>1.91509299671749</v>
      </c>
      <c r="V51" s="13" t="n">
        <f aca="false">V49*V12</f>
        <v>1.86311182716354</v>
      </c>
      <c r="W51" s="13" t="n">
        <f aca="false">W49*W12</f>
        <v>1.8094654024644</v>
      </c>
      <c r="X51" s="13" t="n">
        <f aca="false">X49*X12</f>
        <v>1.75269361375975</v>
      </c>
      <c r="Y51" s="13" t="n">
        <f aca="false">Y49*Y12</f>
        <v>1.69374906014054</v>
      </c>
      <c r="Z51" s="13" t="n">
        <f aca="false">Z49*Z12</f>
        <v>1.63405824190541</v>
      </c>
      <c r="AA51" s="13" t="n">
        <f aca="false">AA49*AA12</f>
        <v>1.57040382911732</v>
      </c>
      <c r="AB51" s="13" t="n">
        <f aca="false">AB49*AB12</f>
        <v>1.5038271442489</v>
      </c>
      <c r="AC51" s="13" t="n">
        <f aca="false">AC49*AC12</f>
        <v>1.4307305818463</v>
      </c>
      <c r="AD51" s="13" t="n">
        <f aca="false">AD49*AD12</f>
        <v>1.35666050885955</v>
      </c>
      <c r="AE51" s="13" t="n">
        <f aca="false">AE49*AE12</f>
        <v>1.27718203004766</v>
      </c>
      <c r="AF51" s="13" t="n">
        <f aca="false">AF49*AF12</f>
        <v>1.19323647960393</v>
      </c>
      <c r="AG51" s="13" t="n">
        <f aca="false">AG49*AG12</f>
        <v>1.09832138384869</v>
      </c>
      <c r="AH51" s="13" t="n">
        <f aca="false">AH49*AH12</f>
        <v>0.999602784776312</v>
      </c>
      <c r="AI51" s="13" t="n">
        <f aca="false">AI49*AI12</f>
        <v>0.894837799498914</v>
      </c>
      <c r="AJ51" s="13" t="n">
        <f aca="false">AJ49*AJ12</f>
        <v>0.785489969250511</v>
      </c>
      <c r="AK51" s="13" t="n">
        <f aca="false">AK49*AK12</f>
        <v>0.667286758078573</v>
      </c>
      <c r="AL51" s="13" t="n">
        <f aca="false">AL49*AL12</f>
        <v>0.54523458266575</v>
      </c>
      <c r="AM51" s="13" t="n">
        <f aca="false">AM49*AM12</f>
        <v>0.417773151621073</v>
      </c>
      <c r="AN51" s="13" t="n">
        <f aca="false">AN49*AN12</f>
        <v>0.284253987410092</v>
      </c>
      <c r="AO51" s="13" t="n">
        <f aca="false">AO49*AO12</f>
        <v>0.14538086654731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1781</v>
      </c>
      <c r="E52" s="0" t="s">
        <v>151</v>
      </c>
      <c r="G52" s="13" t="n">
        <f aca="false">SUM(J52:BN52)</f>
        <v>65.4950564098311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1.19836950585546</v>
      </c>
      <c r="Q52" s="13" t="n">
        <f aca="false">Time!Q35*(Q49-Q50)*Q19</f>
        <v>1.25098493857435</v>
      </c>
      <c r="R52" s="13" t="n">
        <f aca="false">Time!R35*(R49-R50)*R19</f>
        <v>1.34031070119678</v>
      </c>
      <c r="S52" s="13" t="n">
        <f aca="false">Time!S35*(S49-S50)*S19</f>
        <v>1.39920865070995</v>
      </c>
      <c r="T52" s="13" t="n">
        <f aca="false">Time!T35*(T49-T50)*T19</f>
        <v>1.56099866510536</v>
      </c>
      <c r="U52" s="13" t="n">
        <f aca="false">Time!U35*(U49-U50)*U19</f>
        <v>1.59451440349528</v>
      </c>
      <c r="V52" s="13" t="n">
        <f aca="false">Time!V35*(V49-V50)*V19</f>
        <v>1.64559584966702</v>
      </c>
      <c r="W52" s="13" t="n">
        <f aca="false">Time!W35*(W49-W50)*W19</f>
        <v>1.74146591118548</v>
      </c>
      <c r="X52" s="13" t="n">
        <f aca="false">Time!X35*(X49-X50)*X19</f>
        <v>1.80811514169342</v>
      </c>
      <c r="Y52" s="13" t="n">
        <f aca="false">Time!Y35*(Y49-Y50)*Y19</f>
        <v>1.83100669432928</v>
      </c>
      <c r="Z52" s="13" t="n">
        <f aca="false">Time!Z35*(Z49-Z50)*Z19</f>
        <v>1.95258934932776</v>
      </c>
      <c r="AA52" s="13" t="n">
        <f aca="false">Time!AA35*(AA49-AA50)*AA19</f>
        <v>2.04222959719091</v>
      </c>
      <c r="AB52" s="13" t="n">
        <f aca="false">Time!AB35*(AB49-AB50)*AB19</f>
        <v>2.24222584057051</v>
      </c>
      <c r="AC52" s="13" t="n">
        <f aca="false">Time!AC35*(AC49-AC50)*AC19</f>
        <v>2.27208812842805</v>
      </c>
      <c r="AD52" s="13" t="n">
        <f aca="false">Time!AD35*(AD49-AD50)*AD19</f>
        <v>2.437990147604</v>
      </c>
      <c r="AE52" s="13" t="n">
        <f aca="false">Time!AE35*(AE49-AE50)*AE19</f>
        <v>2.57501688477696</v>
      </c>
      <c r="AF52" s="13" t="n">
        <f aca="false">Time!AF35*(AF49-AF50)*AF19</f>
        <v>2.91150600476198</v>
      </c>
      <c r="AG52" s="13" t="n">
        <f aca="false">Time!AG35*(AG49-AG50)*AG19</f>
        <v>3.02817788565569</v>
      </c>
      <c r="AH52" s="13" t="n">
        <f aca="false">Time!AH35*(AH49-AH50)*AH19</f>
        <v>3.21364985513493</v>
      </c>
      <c r="AI52" s="13" t="n">
        <f aca="false">Time!AI35*(AI49-AI50)*AI19</f>
        <v>3.35422792173013</v>
      </c>
      <c r="AJ52" s="13" t="n">
        <f aca="false">Time!AJ35*(AJ49-AJ50)*AJ19</f>
        <v>3.62586537337233</v>
      </c>
      <c r="AK52" s="13" t="n">
        <f aca="false">Time!AK35*(AK49-AK50)*AK19</f>
        <v>3.74393176112954</v>
      </c>
      <c r="AL52" s="13" t="n">
        <f aca="false">Time!AL35*(AL49-AL50)*AL19</f>
        <v>3.90985984799625</v>
      </c>
      <c r="AM52" s="13" t="n">
        <f aca="false">Time!AM35*(AM49-AM50)*AM19</f>
        <v>4.09567988377241</v>
      </c>
      <c r="AN52" s="13" t="n">
        <f aca="false">Time!AN35*(AN49-AN50)*AN19</f>
        <v>4.25991168290742</v>
      </c>
      <c r="AO52" s="13" t="n">
        <f aca="false">Time!AO35*(AO49-AO50)*AO19</f>
        <v>4.45953578365982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1782</v>
      </c>
      <c r="E53" s="0" t="s">
        <v>151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1783</v>
      </c>
      <c r="E54" s="0" t="s">
        <v>151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1784</v>
      </c>
      <c r="E55" s="0" t="s">
        <v>151</v>
      </c>
      <c r="G55" s="13" t="n">
        <f aca="false">SUM(J55:BN55)</f>
        <v>65.4950564098311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1.19836950585546</v>
      </c>
      <c r="Q55" s="13" t="n">
        <f aca="false">Q52-Q53+Q54</f>
        <v>1.25098493857435</v>
      </c>
      <c r="R55" s="13" t="n">
        <f aca="false">R52-R53+R54</f>
        <v>1.34031070119678</v>
      </c>
      <c r="S55" s="13" t="n">
        <f aca="false">S52-S53+S54</f>
        <v>1.39920865070995</v>
      </c>
      <c r="T55" s="13" t="n">
        <f aca="false">T52-T53+T54</f>
        <v>1.56099866510536</v>
      </c>
      <c r="U55" s="13" t="n">
        <f aca="false">U52-U53+U54</f>
        <v>1.59451440349528</v>
      </c>
      <c r="V55" s="13" t="n">
        <f aca="false">V52-V53+V54</f>
        <v>1.64559584966702</v>
      </c>
      <c r="W55" s="13" t="n">
        <f aca="false">W52-W53+W54</f>
        <v>1.74146591118548</v>
      </c>
      <c r="X55" s="13" t="n">
        <f aca="false">X52-X53+X54</f>
        <v>1.80811514169342</v>
      </c>
      <c r="Y55" s="13" t="n">
        <f aca="false">Y52-Y53+Y54</f>
        <v>1.83100669432928</v>
      </c>
      <c r="Z55" s="13" t="n">
        <f aca="false">Z52-Z53+Z54</f>
        <v>1.95258934932776</v>
      </c>
      <c r="AA55" s="13" t="n">
        <f aca="false">AA52-AA53+AA54</f>
        <v>2.04222959719091</v>
      </c>
      <c r="AB55" s="13" t="n">
        <f aca="false">AB52-AB53+AB54</f>
        <v>2.24222584057051</v>
      </c>
      <c r="AC55" s="13" t="n">
        <f aca="false">AC52-AC53+AC54</f>
        <v>2.27208812842805</v>
      </c>
      <c r="AD55" s="13" t="n">
        <f aca="false">AD52-AD53+AD54</f>
        <v>2.437990147604</v>
      </c>
      <c r="AE55" s="13" t="n">
        <f aca="false">AE52-AE53+AE54</f>
        <v>2.57501688477696</v>
      </c>
      <c r="AF55" s="13" t="n">
        <f aca="false">AF52-AF53+AF54</f>
        <v>2.91150600476198</v>
      </c>
      <c r="AG55" s="13" t="n">
        <f aca="false">AG52-AG53+AG54</f>
        <v>3.02817788565569</v>
      </c>
      <c r="AH55" s="13" t="n">
        <f aca="false">AH52-AH53+AH54</f>
        <v>3.21364985513493</v>
      </c>
      <c r="AI55" s="13" t="n">
        <f aca="false">AI52-AI53+AI54</f>
        <v>3.35422792173013</v>
      </c>
      <c r="AJ55" s="13" t="n">
        <f aca="false">AJ52-AJ53+AJ54</f>
        <v>3.62586537337233</v>
      </c>
      <c r="AK55" s="13" t="n">
        <f aca="false">AK52-AK53+AK54</f>
        <v>3.74393176112954</v>
      </c>
      <c r="AL55" s="13" t="n">
        <f aca="false">AL52-AL53+AL54</f>
        <v>3.90985984799625</v>
      </c>
      <c r="AM55" s="13" t="n">
        <f aca="false">AM52-AM53+AM54</f>
        <v>4.09567988377241</v>
      </c>
      <c r="AN55" s="13" t="n">
        <f aca="false">AN52-AN53+AN54</f>
        <v>4.25991168290742</v>
      </c>
      <c r="AO55" s="13" t="n">
        <f aca="false">AO52-AO53+AO54</f>
        <v>4.45953578365982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1785</v>
      </c>
      <c r="E56" s="0" t="s">
        <v>151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1793</v>
      </c>
      <c r="E57" s="0" t="s">
        <v>151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1787</v>
      </c>
      <c r="E58" s="0" t="s">
        <v>151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1788</v>
      </c>
      <c r="E59" s="0" t="s">
        <v>151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64.2966869039756</v>
      </c>
      <c r="Q59" s="13" t="n">
        <f aca="false">Q49-Q55-Q56-Q57</f>
        <v>63.0457019654013</v>
      </c>
      <c r="R59" s="13" t="n">
        <f aca="false">R49-R55-R56-R57</f>
        <v>61.7053912642045</v>
      </c>
      <c r="S59" s="13" t="n">
        <f aca="false">S49-S55-S56-S57</f>
        <v>60.3061826134945</v>
      </c>
      <c r="T59" s="13" t="n">
        <f aca="false">T49-T55-T56-T57</f>
        <v>58.7451839483892</v>
      </c>
      <c r="U59" s="13" t="n">
        <f aca="false">U49-U55-U56-U57</f>
        <v>57.1506695448939</v>
      </c>
      <c r="V59" s="13" t="n">
        <f aca="false">V49-V55-V56-V57</f>
        <v>55.5050736952269</v>
      </c>
      <c r="W59" s="13" t="n">
        <f aca="false">W49-W55-W56-W57</f>
        <v>53.7636077840414</v>
      </c>
      <c r="X59" s="13" t="n">
        <f aca="false">X49-X55-X56-X57</f>
        <v>51.955492642348</v>
      </c>
      <c r="Y59" s="13" t="n">
        <f aca="false">Y49-Y55-Y56-Y57</f>
        <v>50.1244859480187</v>
      </c>
      <c r="Z59" s="13" t="n">
        <f aca="false">Z49-Z55-Z56-Z57</f>
        <v>48.1718965986909</v>
      </c>
      <c r="AA59" s="13" t="n">
        <f aca="false">AA49-AA55-AA56-AA57</f>
        <v>46.1296670015</v>
      </c>
      <c r="AB59" s="13" t="n">
        <f aca="false">AB49-AB55-AB56-AB57</f>
        <v>43.8874411609295</v>
      </c>
      <c r="AC59" s="13" t="n">
        <f aca="false">AC49-AC55-AC56-AC57</f>
        <v>41.6153530325015</v>
      </c>
      <c r="AD59" s="13" t="n">
        <f aca="false">AD49-AD55-AD56-AD57</f>
        <v>39.1773628848975</v>
      </c>
      <c r="AE59" s="13" t="n">
        <f aca="false">AE49-AE55-AE56-AE57</f>
        <v>36.6023460001205</v>
      </c>
      <c r="AF59" s="13" t="n">
        <f aca="false">AF49-AF55-AF56-AF57</f>
        <v>33.6908399953585</v>
      </c>
      <c r="AG59" s="13" t="n">
        <f aca="false">AG49-AG55-AG56-AG57</f>
        <v>30.6626621097028</v>
      </c>
      <c r="AH59" s="13" t="n">
        <f aca="false">AH49-AH55-AH56-AH57</f>
        <v>27.4490122545679</v>
      </c>
      <c r="AI59" s="13" t="n">
        <f aca="false">AI49-AI55-AI56-AI57</f>
        <v>24.0947843328378</v>
      </c>
      <c r="AJ59" s="13" t="n">
        <f aca="false">AJ49-AJ55-AJ56-AJ57</f>
        <v>20.4689189594654</v>
      </c>
      <c r="AK59" s="13" t="n">
        <f aca="false">AK49-AK55-AK56-AK57</f>
        <v>16.7249871983359</v>
      </c>
      <c r="AL59" s="13" t="n">
        <f aca="false">AL49-AL55-AL56-AL57</f>
        <v>12.8151273503397</v>
      </c>
      <c r="AM59" s="13" t="n">
        <f aca="false">AM49-AM55-AM56-AM57</f>
        <v>8.71944746656724</v>
      </c>
      <c r="AN59" s="13" t="n">
        <f aca="false">AN49-AN55-AN56-AN57</f>
        <v>4.45953578365982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1789</v>
      </c>
      <c r="E60" s="0" t="s">
        <v>151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1790</v>
      </c>
      <c r="E61" s="0" t="s">
        <v>151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65.4950564098311</v>
      </c>
      <c r="P61" s="13" t="n">
        <f aca="false">IF(Time!P34=1,INDEX(Funding!$J$63:$BJ$63,1,Time!$F$14),Time!P35*(P59-P60))</f>
        <v>64.2966869039756</v>
      </c>
      <c r="Q61" s="13" t="n">
        <f aca="false">IF(Time!Q34=1,INDEX(Funding!$J$63:$BJ$63,1,Time!$F$14),Time!Q35*(Q59-Q60))</f>
        <v>63.0457019654013</v>
      </c>
      <c r="R61" s="13" t="n">
        <f aca="false">IF(Time!R34=1,INDEX(Funding!$J$63:$BJ$63,1,Time!$F$14),Time!R35*(R59-R60))</f>
        <v>61.7053912642045</v>
      </c>
      <c r="S61" s="13" t="n">
        <f aca="false">IF(Time!S34=1,INDEX(Funding!$J$63:$BJ$63,1,Time!$F$14),Time!S35*(S59-S60))</f>
        <v>60.3061826134945</v>
      </c>
      <c r="T61" s="13" t="n">
        <f aca="false">IF(Time!T34=1,INDEX(Funding!$J$63:$BJ$63,1,Time!$F$14),Time!T35*(T59-T60))</f>
        <v>58.7451839483892</v>
      </c>
      <c r="U61" s="13" t="n">
        <f aca="false">IF(Time!U34=1,INDEX(Funding!$J$63:$BJ$63,1,Time!$F$14),Time!U35*(U59-U60))</f>
        <v>57.1506695448939</v>
      </c>
      <c r="V61" s="13" t="n">
        <f aca="false">IF(Time!V34=1,INDEX(Funding!$J$63:$BJ$63,1,Time!$F$14),Time!V35*(V59-V60))</f>
        <v>55.5050736952269</v>
      </c>
      <c r="W61" s="13" t="n">
        <f aca="false">IF(Time!W34=1,INDEX(Funding!$J$63:$BJ$63,1,Time!$F$14),Time!W35*(W59-W60))</f>
        <v>53.7636077840414</v>
      </c>
      <c r="X61" s="13" t="n">
        <f aca="false">IF(Time!X34=1,INDEX(Funding!$J$63:$BJ$63,1,Time!$F$14),Time!X35*(X59-X60))</f>
        <v>51.955492642348</v>
      </c>
      <c r="Y61" s="13" t="n">
        <f aca="false">IF(Time!Y34=1,INDEX(Funding!$J$63:$BJ$63,1,Time!$F$14),Time!Y35*(Y59-Y60))</f>
        <v>50.1244859480187</v>
      </c>
      <c r="Z61" s="13" t="n">
        <f aca="false">IF(Time!Z34=1,INDEX(Funding!$J$63:$BJ$63,1,Time!$F$14),Time!Z35*(Z59-Z60))</f>
        <v>48.1718965986909</v>
      </c>
      <c r="AA61" s="13" t="n">
        <f aca="false">IF(Time!AA34=1,INDEX(Funding!$J$63:$BJ$63,1,Time!$F$14),Time!AA35*(AA59-AA60))</f>
        <v>46.1296670015</v>
      </c>
      <c r="AB61" s="13" t="n">
        <f aca="false">IF(Time!AB34=1,INDEX(Funding!$J$63:$BJ$63,1,Time!$F$14),Time!AB35*(AB59-AB60))</f>
        <v>43.8874411609295</v>
      </c>
      <c r="AC61" s="13" t="n">
        <f aca="false">IF(Time!AC34=1,INDEX(Funding!$J$63:$BJ$63,1,Time!$F$14),Time!AC35*(AC59-AC60))</f>
        <v>41.6153530325015</v>
      </c>
      <c r="AD61" s="13" t="n">
        <f aca="false">IF(Time!AD34=1,INDEX(Funding!$J$63:$BJ$63,1,Time!$F$14),Time!AD35*(AD59-AD60))</f>
        <v>39.1773628848975</v>
      </c>
      <c r="AE61" s="13" t="n">
        <f aca="false">IF(Time!AE34=1,INDEX(Funding!$J$63:$BJ$63,1,Time!$F$14),Time!AE35*(AE59-AE60))</f>
        <v>36.6023460001205</v>
      </c>
      <c r="AF61" s="13" t="n">
        <f aca="false">IF(Time!AF34=1,INDEX(Funding!$J$63:$BJ$63,1,Time!$F$14),Time!AF35*(AF59-AF60))</f>
        <v>33.6908399953585</v>
      </c>
      <c r="AG61" s="13" t="n">
        <f aca="false">IF(Time!AG34=1,INDEX(Funding!$J$63:$BJ$63,1,Time!$F$14),Time!AG35*(AG59-AG60))</f>
        <v>30.6626621097028</v>
      </c>
      <c r="AH61" s="13" t="n">
        <f aca="false">IF(Time!AH34=1,INDEX(Funding!$J$63:$BJ$63,1,Time!$F$14),Time!AH35*(AH59-AH60))</f>
        <v>27.4490122545679</v>
      </c>
      <c r="AI61" s="13" t="n">
        <f aca="false">IF(Time!AI34=1,INDEX(Funding!$J$63:$BJ$63,1,Time!$F$14),Time!AI35*(AI59-AI60))</f>
        <v>24.0947843328378</v>
      </c>
      <c r="AJ61" s="13" t="n">
        <f aca="false">IF(Time!AJ34=1,INDEX(Funding!$J$63:$BJ$63,1,Time!$F$14),Time!AJ35*(AJ59-AJ60))</f>
        <v>20.4689189594654</v>
      </c>
      <c r="AK61" s="13" t="n">
        <f aca="false">IF(Time!AK34=1,INDEX(Funding!$J$63:$BJ$63,1,Time!$F$14),Time!AK35*(AK59-AK60))</f>
        <v>16.7249871983359</v>
      </c>
      <c r="AL61" s="13" t="n">
        <f aca="false">IF(Time!AL34=1,INDEX(Funding!$J$63:$BJ$63,1,Time!$F$14),Time!AL35*(AL59-AL60))</f>
        <v>12.8151273503397</v>
      </c>
      <c r="AM61" s="13" t="n">
        <f aca="false">IF(Time!AM34=1,INDEX(Funding!$J$63:$BJ$63,1,Time!$F$14),Time!AM35*(AM59-AM60))</f>
        <v>8.71944746656724</v>
      </c>
      <c r="AN61" s="13" t="n">
        <f aca="false">IF(Time!AN34=1,INDEX(Funding!$J$63:$BJ$63,1,Time!$F$14),Time!AN35*(AN59-AN60))</f>
        <v>4.45953578365982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1794</v>
      </c>
    </row>
    <row r="63" customFormat="false" ht="15" hidden="false" customHeight="false" outlineLevel="0" collapsed="false">
      <c r="D63" s="0" t="s">
        <v>1778</v>
      </c>
      <c r="E63" s="0" t="s">
        <v>151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248.881214357358</v>
      </c>
      <c r="Q63" s="13" t="n">
        <f aca="false">Time!Q35*P75</f>
        <v>244.327410235107</v>
      </c>
      <c r="R63" s="13" t="n">
        <f aca="false">Time!R35*Q75</f>
        <v>239.573667468525</v>
      </c>
      <c r="S63" s="13" t="n">
        <f aca="false">Time!S35*R75</f>
        <v>234.480486803977</v>
      </c>
      <c r="T63" s="13" t="n">
        <f aca="false">Time!T35*S75</f>
        <v>229.163493931279</v>
      </c>
      <c r="U63" s="13" t="n">
        <f aca="false">Time!U35*T75</f>
        <v>223.231699003879</v>
      </c>
      <c r="V63" s="13" t="n">
        <f aca="false">Time!V35*U75</f>
        <v>217.172544270597</v>
      </c>
      <c r="W63" s="13" t="n">
        <f aca="false">Time!W35*V75</f>
        <v>210.919280041862</v>
      </c>
      <c r="X63" s="13" t="n">
        <f aca="false">Time!X35*W75</f>
        <v>204.301709579357</v>
      </c>
      <c r="Y63" s="13" t="n">
        <f aca="false">Time!Y35*X75</f>
        <v>197.430872040922</v>
      </c>
      <c r="Z63" s="13" t="n">
        <f aca="false">Time!Z35*Y75</f>
        <v>190.473046602471</v>
      </c>
      <c r="AA63" s="13" t="n">
        <f aca="false">Time!AA35*Z75</f>
        <v>183.053207075026</v>
      </c>
      <c r="AB63" s="13" t="n">
        <f aca="false">Time!AB35*AA75</f>
        <v>167.433645886282</v>
      </c>
      <c r="AC63" s="13" t="n">
        <f aca="false">Time!AC35*AB75</f>
        <v>149.815666715314</v>
      </c>
      <c r="AD63" s="13" t="n">
        <f aca="false">Time!AD35*AC75</f>
        <v>132.688228063343</v>
      </c>
      <c r="AE63" s="13" t="n">
        <f aca="false">Time!AE35*AD75</f>
        <v>114.729643030154</v>
      </c>
      <c r="AF63" s="13" t="n">
        <f aca="false">Time!AF35*AE75</f>
        <v>98.1018267988679</v>
      </c>
      <c r="AG63" s="13" t="n">
        <f aca="false">Time!AG35*AF75</f>
        <v>82.2898427517398</v>
      </c>
      <c r="AH63" s="13" t="n">
        <f aca="false">Time!AH35*AG75</f>
        <v>66.6141523087005</v>
      </c>
      <c r="AI63" s="13" t="n">
        <f aca="false">Time!AI35*AH75</f>
        <v>50.5309897671394</v>
      </c>
      <c r="AJ63" s="13" t="n">
        <f aca="false">Time!AJ35*AI75</f>
        <v>35.0950461133541</v>
      </c>
      <c r="AK63" s="13" t="n">
        <f aca="false">Time!AK35*AJ75</f>
        <v>19.1014297648385</v>
      </c>
      <c r="AL63" s="13" t="n">
        <f aca="false">Time!AL35*AK75</f>
        <v>3.84460514839851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1779</v>
      </c>
      <c r="E64" s="0" t="s">
        <v>151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1780</v>
      </c>
      <c r="E65" s="0" t="s">
        <v>151</v>
      </c>
      <c r="G65" s="13" t="n">
        <f aca="false">SUM(J65:BN65)</f>
        <v>146.912919204272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9.94142184016336</v>
      </c>
      <c r="Q65" s="13" t="n">
        <f aca="false">Q63*Q13</f>
        <v>9.78667015441736</v>
      </c>
      <c r="R65" s="13" t="n">
        <f aca="false">R63*R13</f>
        <v>9.59625634693369</v>
      </c>
      <c r="S65" s="13" t="n">
        <f aca="false">S63*S13</f>
        <v>9.40527285958175</v>
      </c>
      <c r="T65" s="13" t="n">
        <f aca="false">T63*T13</f>
        <v>9.19200236768798</v>
      </c>
      <c r="U65" s="13" t="n">
        <f aca="false">U63*U13</f>
        <v>8.9540714822667</v>
      </c>
      <c r="V65" s="13" t="n">
        <f aca="false">V63*V13</f>
        <v>8.71103205352061</v>
      </c>
      <c r="W65" s="13" t="n">
        <f aca="false">W63*W13</f>
        <v>8.46020667723469</v>
      </c>
      <c r="X65" s="13" t="n">
        <f aca="false">X63*X13</f>
        <v>8.19476857312756</v>
      </c>
      <c r="Y65" s="13" t="n">
        <f aca="false">Y63*Y13</f>
        <v>8.46759073419956</v>
      </c>
      <c r="Z65" s="13" t="n">
        <f aca="false">Z63*Z13</f>
        <v>8.16917733206154</v>
      </c>
      <c r="AA65" s="13" t="n">
        <f aca="false">AA63*AA13</f>
        <v>7.85094865899554</v>
      </c>
      <c r="AB65" s="13" t="n">
        <f aca="false">AB63*AB13</f>
        <v>7.18104303467834</v>
      </c>
      <c r="AC65" s="13" t="n">
        <f aca="false">AC63*AC13</f>
        <v>6.42542748356792</v>
      </c>
      <c r="AD65" s="13" t="n">
        <f aca="false">AD63*AD13</f>
        <v>5.69085067027228</v>
      </c>
      <c r="AE65" s="13" t="n">
        <f aca="false">AE63*AE13</f>
        <v>4.92062691218217</v>
      </c>
      <c r="AF65" s="13" t="n">
        <f aca="false">AF63*AF13</f>
        <v>4.20747834937367</v>
      </c>
      <c r="AG65" s="13" t="n">
        <f aca="false">AG63*AG13</f>
        <v>3.75790281899612</v>
      </c>
      <c r="AH65" s="13" t="n">
        <f aca="false">AH63*AH13</f>
        <v>3.04204628876399</v>
      </c>
      <c r="AI65" s="13" t="n">
        <f aca="false">AI63*AI13</f>
        <v>2.3075818660327</v>
      </c>
      <c r="AJ65" s="13" t="n">
        <f aca="false">AJ63*AJ13</f>
        <v>1.60267377250984</v>
      </c>
      <c r="AK65" s="13" t="n">
        <f aca="false">AK63*AK13</f>
        <v>0.872298625927622</v>
      </c>
      <c r="AL65" s="13" t="n">
        <f aca="false">AL63*AL13</f>
        <v>0.175570301776865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1781</v>
      </c>
      <c r="E66" s="0" t="s">
        <v>151</v>
      </c>
      <c r="G66" s="13" t="n">
        <f aca="false">SUM(J66:BN66)</f>
        <v>142.827225959555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4.55380412225076</v>
      </c>
      <c r="Q66" s="13" t="n">
        <f aca="false">Time!Q35*(Q63-Q64)*Q19</f>
        <v>4.75374276658254</v>
      </c>
      <c r="R66" s="13" t="n">
        <f aca="false">Time!R35*(R63-R64)*R19</f>
        <v>5.09318066454777</v>
      </c>
      <c r="S66" s="13" t="n">
        <f aca="false">Time!S35*(S63-S64)*S19</f>
        <v>5.3169928726978</v>
      </c>
      <c r="T66" s="13" t="n">
        <f aca="false">Time!T35*(T63-T64)*T19</f>
        <v>5.93179492740038</v>
      </c>
      <c r="U66" s="13" t="n">
        <f aca="false">Time!U35*(U63-U64)*U19</f>
        <v>6.05915473328208</v>
      </c>
      <c r="V66" s="13" t="n">
        <f aca="false">Time!V35*(V63-V64)*V19</f>
        <v>6.25326422873468</v>
      </c>
      <c r="W66" s="13" t="n">
        <f aca="false">Time!W35*(W63-W64)*W19</f>
        <v>6.61757046250483</v>
      </c>
      <c r="X66" s="13" t="n">
        <f aca="false">Time!X35*(X63-X64)*X19</f>
        <v>6.87083753843501</v>
      </c>
      <c r="Y66" s="13" t="n">
        <f aca="false">Time!Y35*(Y63-Y64)*Y19</f>
        <v>6.95782543845127</v>
      </c>
      <c r="Z66" s="13" t="n">
        <f aca="false">Time!Z35*(Z63-Z64)*Z19</f>
        <v>7.41983952744549</v>
      </c>
      <c r="AA66" s="13" t="n">
        <f aca="false">Time!AA35*(AA63-AA64)*AA19</f>
        <v>7.76047246932546</v>
      </c>
      <c r="AB66" s="13" t="n">
        <f aca="false">Time!AB35*(AB63-AB64)*AB19</f>
        <v>8.13845127854375</v>
      </c>
      <c r="AC66" s="13" t="n">
        <f aca="false">Time!AC35*(AC63-AC64)*AC19</f>
        <v>7.75607756552078</v>
      </c>
      <c r="AD66" s="13" t="n">
        <f aca="false">Time!AD35*(AD63-AD64)*AD19</f>
        <v>7.77339537330889</v>
      </c>
      <c r="AE66" s="13" t="n">
        <f aca="false">Time!AE35*(AE63-AE64)*AE19</f>
        <v>7.54085385621927</v>
      </c>
      <c r="AF66" s="13" t="n">
        <f aca="false">Time!AF35*(AF63-AF64)*AF19</f>
        <v>7.80343581807798</v>
      </c>
      <c r="AG66" s="13" t="n">
        <f aca="false">Time!AG35*(AG63-AG64)*AG19</f>
        <v>7.39632143541784</v>
      </c>
      <c r="AH66" s="13" t="n">
        <f aca="false">Time!AH35*(AH63-AH64)*AH19</f>
        <v>6.98160388523637</v>
      </c>
      <c r="AI66" s="13" t="n">
        <f aca="false">Time!AI35*(AI63-AI64)*AI19</f>
        <v>6.17481078071917</v>
      </c>
      <c r="AJ66" s="13" t="n">
        <f aca="false">Time!AJ35*(AJ63-AJ64)*AJ19</f>
        <v>5.28122230610266</v>
      </c>
      <c r="AK66" s="13" t="n">
        <f aca="false">Time!AK35*(AK63-AK64)*AK19</f>
        <v>3.49380686499291</v>
      </c>
      <c r="AL66" s="13" t="n">
        <f aca="false">Time!AL35*(AL63-AL64)*AL19</f>
        <v>0.898767043757058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1782</v>
      </c>
      <c r="E67" s="0" t="s">
        <v>151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1783</v>
      </c>
      <c r="E68" s="0" t="s">
        <v>151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1784</v>
      </c>
      <c r="E69" s="0" t="s">
        <v>151</v>
      </c>
      <c r="G69" s="13" t="n">
        <f aca="false">SUM(J69:BN69)</f>
        <v>142.827225959555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4.55380412225076</v>
      </c>
      <c r="Q69" s="13" t="n">
        <f aca="false">Q66-Q67+Q68</f>
        <v>4.75374276658254</v>
      </c>
      <c r="R69" s="13" t="n">
        <f aca="false">R66-R67+R68</f>
        <v>5.09318066454777</v>
      </c>
      <c r="S69" s="13" t="n">
        <f aca="false">S66-S67+S68</f>
        <v>5.3169928726978</v>
      </c>
      <c r="T69" s="13" t="n">
        <f aca="false">T66-T67+T68</f>
        <v>5.93179492740038</v>
      </c>
      <c r="U69" s="13" t="n">
        <f aca="false">U66-U67+U68</f>
        <v>6.05915473328208</v>
      </c>
      <c r="V69" s="13" t="n">
        <f aca="false">V66-V67+V68</f>
        <v>6.25326422873468</v>
      </c>
      <c r="W69" s="13" t="n">
        <f aca="false">W66-W67+W68</f>
        <v>6.61757046250483</v>
      </c>
      <c r="X69" s="13" t="n">
        <f aca="false">X66-X67+X68</f>
        <v>6.87083753843501</v>
      </c>
      <c r="Y69" s="13" t="n">
        <f aca="false">Y66-Y67+Y68</f>
        <v>6.95782543845127</v>
      </c>
      <c r="Z69" s="13" t="n">
        <f aca="false">Z66-Z67+Z68</f>
        <v>7.41983952744549</v>
      </c>
      <c r="AA69" s="13" t="n">
        <f aca="false">AA66-AA67+AA68</f>
        <v>7.76047246932546</v>
      </c>
      <c r="AB69" s="13" t="n">
        <f aca="false">AB66-AB67+AB68</f>
        <v>8.13845127854375</v>
      </c>
      <c r="AC69" s="13" t="n">
        <f aca="false">AC66-AC67+AC68</f>
        <v>7.75607756552078</v>
      </c>
      <c r="AD69" s="13" t="n">
        <f aca="false">AD66-AD67+AD68</f>
        <v>7.77339537330889</v>
      </c>
      <c r="AE69" s="13" t="n">
        <f aca="false">AE66-AE67+AE68</f>
        <v>7.54085385621927</v>
      </c>
      <c r="AF69" s="13" t="n">
        <f aca="false">AF66-AF67+AF68</f>
        <v>7.80343581807798</v>
      </c>
      <c r="AG69" s="13" t="n">
        <f aca="false">AG66-AG67+AG68</f>
        <v>7.39632143541784</v>
      </c>
      <c r="AH69" s="13" t="n">
        <f aca="false">AH66-AH67+AH68</f>
        <v>6.98160388523637</v>
      </c>
      <c r="AI69" s="13" t="n">
        <f aca="false">AI66-AI67+AI68</f>
        <v>6.17481078071917</v>
      </c>
      <c r="AJ69" s="13" t="n">
        <f aca="false">AJ66-AJ67+AJ68</f>
        <v>5.28122230610266</v>
      </c>
      <c r="AK69" s="13" t="n">
        <f aca="false">AK66-AK67+AK68</f>
        <v>3.49380686499291</v>
      </c>
      <c r="AL69" s="13" t="n">
        <f aca="false">AL66-AL67+AL68</f>
        <v>0.898767043757058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1785</v>
      </c>
      <c r="E70" s="0" t="s">
        <v>151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1793</v>
      </c>
      <c r="E71" s="0" t="s">
        <v>151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1787</v>
      </c>
      <c r="E72" s="0" t="s">
        <v>151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1788</v>
      </c>
      <c r="E73" s="0" t="s">
        <v>151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244.327410235107</v>
      </c>
      <c r="Q73" s="13" t="n">
        <f aca="false">Q63-Q69-Q70-Q71</f>
        <v>239.573667468525</v>
      </c>
      <c r="R73" s="13" t="n">
        <f aca="false">R63-R69-R70-R71</f>
        <v>234.480486803977</v>
      </c>
      <c r="S73" s="13" t="n">
        <f aca="false">S63-S69-S70-S71</f>
        <v>229.163493931279</v>
      </c>
      <c r="T73" s="13" t="n">
        <f aca="false">T63-T69-T70-T71</f>
        <v>223.231699003879</v>
      </c>
      <c r="U73" s="13" t="n">
        <f aca="false">U63-U69-U70-U71</f>
        <v>217.172544270597</v>
      </c>
      <c r="V73" s="13" t="n">
        <f aca="false">V63-V69-V70-V71</f>
        <v>210.919280041862</v>
      </c>
      <c r="W73" s="13" t="n">
        <f aca="false">W63-W69-W70-W71</f>
        <v>204.301709579357</v>
      </c>
      <c r="X73" s="13" t="n">
        <f aca="false">X63-X69-X70-X71</f>
        <v>197.430872040922</v>
      </c>
      <c r="Y73" s="13" t="n">
        <f aca="false">Y63-Y69-Y70-Y71</f>
        <v>190.473046602471</v>
      </c>
      <c r="Z73" s="13" t="n">
        <f aca="false">Z63-Z69-Z70-Z71</f>
        <v>183.053207075026</v>
      </c>
      <c r="AA73" s="13" t="n">
        <f aca="false">AA63-AA69-AA70-AA71</f>
        <v>175.2927346057</v>
      </c>
      <c r="AB73" s="13" t="n">
        <f aca="false">AB63-AB69-AB70-AB71</f>
        <v>159.295194607739</v>
      </c>
      <c r="AC73" s="13" t="n">
        <f aca="false">AC63-AC69-AC70-AC71</f>
        <v>142.059589149793</v>
      </c>
      <c r="AD73" s="13" t="n">
        <f aca="false">AD63-AD69-AD70-AD71</f>
        <v>124.914832690034</v>
      </c>
      <c r="AE73" s="13" t="n">
        <f aca="false">AE63-AE69-AE70-AE71</f>
        <v>107.188789173935</v>
      </c>
      <c r="AF73" s="13" t="n">
        <f aca="false">AF63-AF69-AF70-AF71</f>
        <v>90.2983909807899</v>
      </c>
      <c r="AG73" s="13" t="n">
        <f aca="false">AG63-AG69-AG70-AG71</f>
        <v>74.893521316322</v>
      </c>
      <c r="AH73" s="13" t="n">
        <f aca="false">AH63-AH69-AH70-AH71</f>
        <v>59.6325484234642</v>
      </c>
      <c r="AI73" s="13" t="n">
        <f aca="false">AI63-AI69-AI70-AI71</f>
        <v>44.3561789864202</v>
      </c>
      <c r="AJ73" s="13" t="n">
        <f aca="false">AJ63-AJ69-AJ70-AJ71</f>
        <v>29.8138238072514</v>
      </c>
      <c r="AK73" s="13" t="n">
        <f aca="false">AK63-AK69-AK70-AK71</f>
        <v>15.6076228998455</v>
      </c>
      <c r="AL73" s="13" t="n">
        <f aca="false">AL63-AL69-AL70-AL71</f>
        <v>2.94583810464145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1789</v>
      </c>
      <c r="E74" s="0" t="s">
        <v>151</v>
      </c>
      <c r="G74" s="13" t="n">
        <f aca="false">SUM(J74:BN74)</f>
        <v>106.053988397803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7.85908871941768</v>
      </c>
      <c r="AB74" s="13" t="n">
        <f aca="false">Waterfall!AB28*AB73/(AB31+AB45+AB59+AB73+AB87+Inputs!$F$253)+Waterfall!AB29</f>
        <v>9.4795278924246</v>
      </c>
      <c r="AC74" s="13" t="n">
        <f aca="false">Waterfall!AC28*AC73/(AC31+AC45+AC59+AC73+AC87+Inputs!$F$253)+Waterfall!AC29</f>
        <v>9.37136108645005</v>
      </c>
      <c r="AD74" s="13" t="n">
        <f aca="false">Waterfall!AD28*AD73/(AD31+AD45+AD59+AD73+AD87+Inputs!$F$253)+Waterfall!AD29</f>
        <v>10.1851896598801</v>
      </c>
      <c r="AE74" s="13" t="n">
        <f aca="false">Waterfall!AE28*AE73/(AE31+AE45+AE59+AE73+AE87+Inputs!$F$253)+Waterfall!AE29</f>
        <v>9.08696237506704</v>
      </c>
      <c r="AF74" s="13" t="n">
        <f aca="false">Waterfall!AF28*AF73/(AF31+AF45+AF59+AF73+AF87+Inputs!$F$253)+Waterfall!AF29</f>
        <v>8.00854822905012</v>
      </c>
      <c r="AG74" s="13" t="n">
        <f aca="false">Waterfall!AG28*AG73/(AG31+AG45+AG59+AG73+AG87+Inputs!$F$253)+Waterfall!AG29</f>
        <v>8.27936900762144</v>
      </c>
      <c r="AH74" s="13" t="n">
        <f aca="false">Waterfall!AH28*AH73/(AH31+AH45+AH59+AH73+AH87+Inputs!$F$253)+Waterfall!AH29</f>
        <v>9.10155865632477</v>
      </c>
      <c r="AI74" s="13" t="n">
        <f aca="false">Waterfall!AI28*AI73/(AI31+AI45+AI59+AI73+AI87+Inputs!$F$253)+Waterfall!AI29</f>
        <v>9.26113287306614</v>
      </c>
      <c r="AJ74" s="13" t="n">
        <f aca="false">Waterfall!AJ28*AJ73/(AJ31+AJ45+AJ59+AJ73+AJ87+Inputs!$F$253)+Waterfall!AJ29</f>
        <v>10.712394042413</v>
      </c>
      <c r="AK74" s="13" t="n">
        <f aca="false">Waterfall!AK28*AK73/(AK31+AK45+AK59+AK73+AK87+Inputs!$F$253)+Waterfall!AK29</f>
        <v>11.763017751447</v>
      </c>
      <c r="AL74" s="13" t="n">
        <f aca="false">Waterfall!AL28*AL73/(AL31+AL45+AL59+AL73+AL87+Inputs!$F$253)+Waterfall!AL29</f>
        <v>2.94583810464145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1790</v>
      </c>
      <c r="E75" s="0" t="s">
        <v>151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248.881214357358</v>
      </c>
      <c r="P75" s="13" t="n">
        <f aca="false">IF(Time!P34=1,INDEX(Funding!$J$64:$BJ$64,1,Time!$F$14),Time!P35*(P73-P74))</f>
        <v>244.327410235107</v>
      </c>
      <c r="Q75" s="13" t="n">
        <f aca="false">IF(Time!Q34=1,INDEX(Funding!$J$64:$BJ$64,1,Time!$F$14),Time!Q35*(Q73-Q74))</f>
        <v>239.573667468525</v>
      </c>
      <c r="R75" s="13" t="n">
        <f aca="false">IF(Time!R34=1,INDEX(Funding!$J$64:$BJ$64,1,Time!$F$14),Time!R35*(R73-R74))</f>
        <v>234.480486803977</v>
      </c>
      <c r="S75" s="13" t="n">
        <f aca="false">IF(Time!S34=1,INDEX(Funding!$J$64:$BJ$64,1,Time!$F$14),Time!S35*(S73-S74))</f>
        <v>229.163493931279</v>
      </c>
      <c r="T75" s="13" t="n">
        <f aca="false">IF(Time!T34=1,INDEX(Funding!$J$64:$BJ$64,1,Time!$F$14),Time!T35*(T73-T74))</f>
        <v>223.231699003879</v>
      </c>
      <c r="U75" s="13" t="n">
        <f aca="false">IF(Time!U34=1,INDEX(Funding!$J$64:$BJ$64,1,Time!$F$14),Time!U35*(U73-U74))</f>
        <v>217.172544270597</v>
      </c>
      <c r="V75" s="13" t="n">
        <f aca="false">IF(Time!V34=1,INDEX(Funding!$J$64:$BJ$64,1,Time!$F$14),Time!V35*(V73-V74))</f>
        <v>210.919280041862</v>
      </c>
      <c r="W75" s="13" t="n">
        <f aca="false">IF(Time!W34=1,INDEX(Funding!$J$64:$BJ$64,1,Time!$F$14),Time!W35*(W73-W74))</f>
        <v>204.301709579357</v>
      </c>
      <c r="X75" s="13" t="n">
        <f aca="false">IF(Time!X34=1,INDEX(Funding!$J$64:$BJ$64,1,Time!$F$14),Time!X35*(X73-X74))</f>
        <v>197.430872040922</v>
      </c>
      <c r="Y75" s="13" t="n">
        <f aca="false">IF(Time!Y34=1,INDEX(Funding!$J$64:$BJ$64,1,Time!$F$14),Time!Y35*(Y73-Y74))</f>
        <v>190.473046602471</v>
      </c>
      <c r="Z75" s="13" t="n">
        <f aca="false">IF(Time!Z34=1,INDEX(Funding!$J$64:$BJ$64,1,Time!$F$14),Time!Z35*(Z73-Z74))</f>
        <v>183.053207075026</v>
      </c>
      <c r="AA75" s="13" t="n">
        <f aca="false">IF(Time!AA34=1,INDEX(Funding!$J$64:$BJ$64,1,Time!$F$14),Time!AA35*(AA73-AA74))</f>
        <v>167.433645886282</v>
      </c>
      <c r="AB75" s="13" t="n">
        <f aca="false">IF(Time!AB34=1,INDEX(Funding!$J$64:$BJ$64,1,Time!$F$14),Time!AB35*(AB73-AB74))</f>
        <v>149.815666715314</v>
      </c>
      <c r="AC75" s="13" t="n">
        <f aca="false">IF(Time!AC34=1,INDEX(Funding!$J$64:$BJ$64,1,Time!$F$14),Time!AC35*(AC73-AC74))</f>
        <v>132.688228063343</v>
      </c>
      <c r="AD75" s="13" t="n">
        <f aca="false">IF(Time!AD34=1,INDEX(Funding!$J$64:$BJ$64,1,Time!$F$14),Time!AD35*(AD73-AD74))</f>
        <v>114.729643030154</v>
      </c>
      <c r="AE75" s="13" t="n">
        <f aca="false">IF(Time!AE34=1,INDEX(Funding!$J$64:$BJ$64,1,Time!$F$14),Time!AE35*(AE73-AE74))</f>
        <v>98.1018267988679</v>
      </c>
      <c r="AF75" s="13" t="n">
        <f aca="false">IF(Time!AF34=1,INDEX(Funding!$J$64:$BJ$64,1,Time!$F$14),Time!AF35*(AF73-AF74))</f>
        <v>82.2898427517398</v>
      </c>
      <c r="AG75" s="13" t="n">
        <f aca="false">IF(Time!AG34=1,INDEX(Funding!$J$64:$BJ$64,1,Time!$F$14),Time!AG35*(AG73-AG74))</f>
        <v>66.6141523087005</v>
      </c>
      <c r="AH75" s="13" t="n">
        <f aca="false">IF(Time!AH34=1,INDEX(Funding!$J$64:$BJ$64,1,Time!$F$14),Time!AH35*(AH73-AH74))</f>
        <v>50.5309897671394</v>
      </c>
      <c r="AI75" s="13" t="n">
        <f aca="false">IF(Time!AI34=1,INDEX(Funding!$J$64:$BJ$64,1,Time!$F$14),Time!AI35*(AI73-AI74))</f>
        <v>35.0950461133541</v>
      </c>
      <c r="AJ75" s="13" t="n">
        <f aca="false">IF(Time!AJ34=1,INDEX(Funding!$J$64:$BJ$64,1,Time!$F$14),Time!AJ35*(AJ73-AJ74))</f>
        <v>19.1014297648385</v>
      </c>
      <c r="AK75" s="13" t="n">
        <f aca="false">IF(Time!AK34=1,INDEX(Funding!$J$64:$BJ$64,1,Time!$F$14),Time!AK35*(AK73-AK74))</f>
        <v>3.84460514839851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196</v>
      </c>
    </row>
    <row r="77" customFormat="false" ht="15" hidden="false" customHeight="false" outlineLevel="0" collapsed="false">
      <c r="D77" s="0" t="s">
        <v>1778</v>
      </c>
      <c r="E77" s="0" t="s">
        <v>151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0</v>
      </c>
      <c r="Q77" s="13" t="n">
        <f aca="false">Time!Q35*P89</f>
        <v>0</v>
      </c>
      <c r="R77" s="13" t="n">
        <f aca="false">Time!R35*Q89</f>
        <v>0</v>
      </c>
      <c r="S77" s="13" t="n">
        <f aca="false">Time!S35*R89</f>
        <v>0</v>
      </c>
      <c r="T77" s="13" t="n">
        <f aca="false">Time!T35*S89</f>
        <v>0</v>
      </c>
      <c r="U77" s="13" t="n">
        <f aca="false">Time!U35*T89</f>
        <v>0</v>
      </c>
      <c r="V77" s="13" t="n">
        <f aca="false">Time!V35*U89</f>
        <v>0</v>
      </c>
      <c r="W77" s="13" t="n">
        <f aca="false">Time!W35*V89</f>
        <v>0</v>
      </c>
      <c r="X77" s="13" t="n">
        <f aca="false">Time!X35*W89</f>
        <v>0</v>
      </c>
      <c r="Y77" s="13" t="n">
        <f aca="false">Time!Y35*X89</f>
        <v>0</v>
      </c>
      <c r="Z77" s="13" t="n">
        <f aca="false">Time!Z35*Y89</f>
        <v>0</v>
      </c>
      <c r="AA77" s="13" t="n">
        <f aca="false">Time!AA35*Z89</f>
        <v>0</v>
      </c>
      <c r="AB77" s="13" t="n">
        <f aca="false">Time!AB35*AA89</f>
        <v>0</v>
      </c>
      <c r="AC77" s="13" t="n">
        <f aca="false">Time!AC35*AB89</f>
        <v>0</v>
      </c>
      <c r="AD77" s="13" t="n">
        <f aca="false">Time!AD35*AC89</f>
        <v>0</v>
      </c>
      <c r="AE77" s="13" t="n">
        <f aca="false">Time!AE35*AD89</f>
        <v>0</v>
      </c>
      <c r="AF77" s="13" t="n">
        <f aca="false">Time!AF35*AE89</f>
        <v>0</v>
      </c>
      <c r="AG77" s="13" t="n">
        <f aca="false">Time!AG35*AF89</f>
        <v>0</v>
      </c>
      <c r="AH77" s="13" t="n">
        <f aca="false">Time!AH35*AG89</f>
        <v>0</v>
      </c>
      <c r="AI77" s="13" t="n">
        <f aca="false">Time!AI35*AH89</f>
        <v>0</v>
      </c>
      <c r="AJ77" s="13" t="n">
        <f aca="false">Time!AJ35*AI89</f>
        <v>0</v>
      </c>
      <c r="AK77" s="13" t="n">
        <f aca="false">Time!AK35*AJ89</f>
        <v>0</v>
      </c>
      <c r="AL77" s="13" t="n">
        <f aca="false">Time!AL35*AK89</f>
        <v>0</v>
      </c>
      <c r="AM77" s="13" t="n">
        <f aca="false">Time!AM35*AL89</f>
        <v>0</v>
      </c>
      <c r="AN77" s="13" t="n">
        <f aca="false">Time!AN35*AM89</f>
        <v>0</v>
      </c>
      <c r="AO77" s="13" t="n">
        <f aca="false">Time!AO35*AN89</f>
        <v>0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1779</v>
      </c>
      <c r="E78" s="0" t="s">
        <v>151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1780</v>
      </c>
      <c r="E79" s="0" t="s">
        <v>151</v>
      </c>
      <c r="G79" s="13" t="n">
        <f aca="false">SUM(J79:BN79)</f>
        <v>0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0</v>
      </c>
      <c r="Q79" s="13" t="n">
        <f aca="false">Q77*Q14</f>
        <v>0</v>
      </c>
      <c r="R79" s="13" t="n">
        <f aca="false">R77*R14</f>
        <v>0</v>
      </c>
      <c r="S79" s="13" t="n">
        <f aca="false">S77*S14</f>
        <v>0</v>
      </c>
      <c r="T79" s="13" t="n">
        <f aca="false">T77*T14</f>
        <v>0</v>
      </c>
      <c r="U79" s="13" t="n">
        <f aca="false">U77*U14</f>
        <v>0</v>
      </c>
      <c r="V79" s="13" t="n">
        <f aca="false">V77*V14</f>
        <v>0</v>
      </c>
      <c r="W79" s="13" t="n">
        <f aca="false">W77*W14</f>
        <v>0</v>
      </c>
      <c r="X79" s="13" t="n">
        <f aca="false">X77*X14</f>
        <v>0</v>
      </c>
      <c r="Y79" s="13" t="n">
        <f aca="false">Y77*Y14</f>
        <v>0</v>
      </c>
      <c r="Z79" s="13" t="n">
        <f aca="false">Z77*Z14</f>
        <v>0</v>
      </c>
      <c r="AA79" s="13" t="n">
        <f aca="false">AA77*AA14</f>
        <v>0</v>
      </c>
      <c r="AB79" s="13" t="n">
        <f aca="false">AB77*AB14</f>
        <v>0</v>
      </c>
      <c r="AC79" s="13" t="n">
        <f aca="false">AC77*AC14</f>
        <v>0</v>
      </c>
      <c r="AD79" s="13" t="n">
        <f aca="false">AD77*AD14</f>
        <v>0</v>
      </c>
      <c r="AE79" s="13" t="n">
        <f aca="false">AE77*AE14</f>
        <v>0</v>
      </c>
      <c r="AF79" s="13" t="n">
        <f aca="false">AF77*AF14</f>
        <v>0</v>
      </c>
      <c r="AG79" s="13" t="n">
        <f aca="false">AG77*AG14</f>
        <v>0</v>
      </c>
      <c r="AH79" s="13" t="n">
        <f aca="false">AH77*AH14</f>
        <v>0</v>
      </c>
      <c r="AI79" s="13" t="n">
        <f aca="false">AI77*AI14</f>
        <v>0</v>
      </c>
      <c r="AJ79" s="13" t="n">
        <f aca="false">AJ77*AJ14</f>
        <v>0</v>
      </c>
      <c r="AK79" s="13" t="n">
        <f aca="false">AK77*AK14</f>
        <v>0</v>
      </c>
      <c r="AL79" s="13" t="n">
        <f aca="false">AL77*AL14</f>
        <v>0</v>
      </c>
      <c r="AM79" s="13" t="n">
        <f aca="false">AM77*AM14</f>
        <v>0</v>
      </c>
      <c r="AN79" s="13" t="n">
        <f aca="false">AN77*AN14</f>
        <v>0</v>
      </c>
      <c r="AO79" s="13" t="n">
        <f aca="false">AO77*AO14</f>
        <v>0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1781</v>
      </c>
      <c r="E80" s="0" t="s">
        <v>151</v>
      </c>
      <c r="G80" s="13" t="n">
        <f aca="false">SUM(J80:BN80)</f>
        <v>0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0</v>
      </c>
      <c r="Q80" s="13" t="n">
        <f aca="false">Time!Q35*(Q77-Q78)*Q19</f>
        <v>0</v>
      </c>
      <c r="R80" s="13" t="n">
        <f aca="false">Time!R35*(R77-R78)*R19</f>
        <v>0</v>
      </c>
      <c r="S80" s="13" t="n">
        <f aca="false">Time!S35*(S77-S78)*S19</f>
        <v>0</v>
      </c>
      <c r="T80" s="13" t="n">
        <f aca="false">Time!T35*(T77-T78)*T19</f>
        <v>0</v>
      </c>
      <c r="U80" s="13" t="n">
        <f aca="false">Time!U35*(U77-U78)*U19</f>
        <v>0</v>
      </c>
      <c r="V80" s="13" t="n">
        <f aca="false">Time!V35*(V77-V78)*V19</f>
        <v>0</v>
      </c>
      <c r="W80" s="13" t="n">
        <f aca="false">Time!W35*(W77-W78)*W19</f>
        <v>0</v>
      </c>
      <c r="X80" s="13" t="n">
        <f aca="false">Time!X35*(X77-X78)*X19</f>
        <v>0</v>
      </c>
      <c r="Y80" s="13" t="n">
        <f aca="false">Time!Y35*(Y77-Y78)*Y19</f>
        <v>0</v>
      </c>
      <c r="Z80" s="13" t="n">
        <f aca="false">Time!Z35*(Z77-Z78)*Z19</f>
        <v>0</v>
      </c>
      <c r="AA80" s="13" t="n">
        <f aca="false">Time!AA35*(AA77-AA78)*AA19</f>
        <v>0</v>
      </c>
      <c r="AB80" s="13" t="n">
        <f aca="false">Time!AB35*(AB77-AB78)*AB19</f>
        <v>0</v>
      </c>
      <c r="AC80" s="13" t="n">
        <f aca="false">Time!AC35*(AC77-AC78)*AC19</f>
        <v>0</v>
      </c>
      <c r="AD80" s="13" t="n">
        <f aca="false">Time!AD35*(AD77-AD78)*AD19</f>
        <v>0</v>
      </c>
      <c r="AE80" s="13" t="n">
        <f aca="false">Time!AE35*(AE77-AE78)*AE19</f>
        <v>0</v>
      </c>
      <c r="AF80" s="13" t="n">
        <f aca="false">Time!AF35*(AF77-AF78)*AF19</f>
        <v>0</v>
      </c>
      <c r="AG80" s="13" t="n">
        <f aca="false">Time!AG35*(AG77-AG78)*AG19</f>
        <v>0</v>
      </c>
      <c r="AH80" s="13" t="n">
        <f aca="false">Time!AH35*(AH77-AH78)*AH19</f>
        <v>0</v>
      </c>
      <c r="AI80" s="13" t="n">
        <f aca="false">Time!AI35*(AI77-AI78)*AI19</f>
        <v>0</v>
      </c>
      <c r="AJ80" s="13" t="n">
        <f aca="false">Time!AJ35*(AJ77-AJ78)*AJ19</f>
        <v>0</v>
      </c>
      <c r="AK80" s="13" t="n">
        <f aca="false">Time!AK35*(AK77-AK78)*AK19</f>
        <v>0</v>
      </c>
      <c r="AL80" s="13" t="n">
        <f aca="false">Time!AL35*(AL77-AL78)*AL19</f>
        <v>0</v>
      </c>
      <c r="AM80" s="13" t="n">
        <f aca="false">Time!AM35*(AM77-AM78)*AM19</f>
        <v>0</v>
      </c>
      <c r="AN80" s="13" t="n">
        <f aca="false">Time!AN35*(AN77-AN78)*AN19</f>
        <v>0</v>
      </c>
      <c r="AO80" s="13" t="n">
        <f aca="false">Time!AO35*(AO77-AO78)*AO19</f>
        <v>0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1782</v>
      </c>
      <c r="E81" s="0" t="s">
        <v>151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1783</v>
      </c>
      <c r="E82" s="0" t="s">
        <v>151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1784</v>
      </c>
      <c r="E83" s="0" t="s">
        <v>151</v>
      </c>
      <c r="G83" s="13" t="n">
        <f aca="false">SUM(J83:BN83)</f>
        <v>0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0</v>
      </c>
      <c r="Q83" s="13" t="n">
        <f aca="false">Q80-Q81+Q82</f>
        <v>0</v>
      </c>
      <c r="R83" s="13" t="n">
        <f aca="false">R80-R81+R82</f>
        <v>0</v>
      </c>
      <c r="S83" s="13" t="n">
        <f aca="false">S80-S81+S82</f>
        <v>0</v>
      </c>
      <c r="T83" s="13" t="n">
        <f aca="false">T80-T81+T82</f>
        <v>0</v>
      </c>
      <c r="U83" s="13" t="n">
        <f aca="false">U80-U81+U82</f>
        <v>0</v>
      </c>
      <c r="V83" s="13" t="n">
        <f aca="false">V80-V81+V82</f>
        <v>0</v>
      </c>
      <c r="W83" s="13" t="n">
        <f aca="false">W80-W81+W82</f>
        <v>0</v>
      </c>
      <c r="X83" s="13" t="n">
        <f aca="false">X80-X81+X82</f>
        <v>0</v>
      </c>
      <c r="Y83" s="13" t="n">
        <f aca="false">Y80-Y81+Y82</f>
        <v>0</v>
      </c>
      <c r="Z83" s="13" t="n">
        <f aca="false">Z80-Z81+Z82</f>
        <v>0</v>
      </c>
      <c r="AA83" s="13" t="n">
        <f aca="false">AA80-AA81+AA82</f>
        <v>0</v>
      </c>
      <c r="AB83" s="13" t="n">
        <f aca="false">AB80-AB81+AB82</f>
        <v>0</v>
      </c>
      <c r="AC83" s="13" t="n">
        <f aca="false">AC80-AC81+AC82</f>
        <v>0</v>
      </c>
      <c r="AD83" s="13" t="n">
        <f aca="false">AD80-AD81+AD82</f>
        <v>0</v>
      </c>
      <c r="AE83" s="13" t="n">
        <f aca="false">AE80-AE81+AE82</f>
        <v>0</v>
      </c>
      <c r="AF83" s="13" t="n">
        <f aca="false">AF80-AF81+AF82</f>
        <v>0</v>
      </c>
      <c r="AG83" s="13" t="n">
        <f aca="false">AG80-AG81+AG82</f>
        <v>0</v>
      </c>
      <c r="AH83" s="13" t="n">
        <f aca="false">AH80-AH81+AH82</f>
        <v>0</v>
      </c>
      <c r="AI83" s="13" t="n">
        <f aca="false">AI80-AI81+AI82</f>
        <v>0</v>
      </c>
      <c r="AJ83" s="13" t="n">
        <f aca="false">AJ80-AJ81+AJ82</f>
        <v>0</v>
      </c>
      <c r="AK83" s="13" t="n">
        <f aca="false">AK80-AK81+AK82</f>
        <v>0</v>
      </c>
      <c r="AL83" s="13" t="n">
        <f aca="false">AL80-AL81+AL82</f>
        <v>0</v>
      </c>
      <c r="AM83" s="13" t="n">
        <f aca="false">AM80-AM81+AM82</f>
        <v>0</v>
      </c>
      <c r="AN83" s="13" t="n">
        <f aca="false">AN80-AN81+AN82</f>
        <v>0</v>
      </c>
      <c r="AO83" s="13" t="n">
        <f aca="false">AO80-AO81+AO82</f>
        <v>0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1785</v>
      </c>
      <c r="E84" s="0" t="s">
        <v>151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1793</v>
      </c>
      <c r="E85" s="0" t="s">
        <v>151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1787</v>
      </c>
      <c r="E86" s="0" t="s">
        <v>151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1788</v>
      </c>
      <c r="E87" s="0" t="s">
        <v>151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0</v>
      </c>
      <c r="Q87" s="13" t="n">
        <f aca="false">Q77-Q83-Q84-Q85</f>
        <v>0</v>
      </c>
      <c r="R87" s="13" t="n">
        <f aca="false">R77-R83-R84-R85</f>
        <v>0</v>
      </c>
      <c r="S87" s="13" t="n">
        <f aca="false">S77-S83-S84-S85</f>
        <v>0</v>
      </c>
      <c r="T87" s="13" t="n">
        <f aca="false">T77-T83-T84-T85</f>
        <v>0</v>
      </c>
      <c r="U87" s="13" t="n">
        <f aca="false">U77-U83-U84-U85</f>
        <v>0</v>
      </c>
      <c r="V87" s="13" t="n">
        <f aca="false">V77-V83-V84-V85</f>
        <v>0</v>
      </c>
      <c r="W87" s="13" t="n">
        <f aca="false">W77-W83-W84-W85</f>
        <v>0</v>
      </c>
      <c r="X87" s="13" t="n">
        <f aca="false">X77-X83-X84-X85</f>
        <v>0</v>
      </c>
      <c r="Y87" s="13" t="n">
        <f aca="false">Y77-Y83-Y84-Y85</f>
        <v>0</v>
      </c>
      <c r="Z87" s="13" t="n">
        <f aca="false">Z77-Z83-Z84-Z85</f>
        <v>0</v>
      </c>
      <c r="AA87" s="13" t="n">
        <f aca="false">AA77-AA83-AA84-AA85</f>
        <v>0</v>
      </c>
      <c r="AB87" s="13" t="n">
        <f aca="false">AB77-AB83-AB84-AB85</f>
        <v>0</v>
      </c>
      <c r="AC87" s="13" t="n">
        <f aca="false">AC77-AC83-AC84-AC85</f>
        <v>0</v>
      </c>
      <c r="AD87" s="13" t="n">
        <f aca="false">AD77-AD83-AD84-AD85</f>
        <v>0</v>
      </c>
      <c r="AE87" s="13" t="n">
        <f aca="false">AE77-AE83-AE84-AE85</f>
        <v>0</v>
      </c>
      <c r="AF87" s="13" t="n">
        <f aca="false">AF77-AF83-AF84-AF85</f>
        <v>0</v>
      </c>
      <c r="AG87" s="13" t="n">
        <f aca="false">AG77-AG83-AG84-AG85</f>
        <v>0</v>
      </c>
      <c r="AH87" s="13" t="n">
        <f aca="false">AH77-AH83-AH84-AH85</f>
        <v>0</v>
      </c>
      <c r="AI87" s="13" t="n">
        <f aca="false">AI77-AI83-AI84-AI85</f>
        <v>0</v>
      </c>
      <c r="AJ87" s="13" t="n">
        <f aca="false">AJ77-AJ83-AJ84-AJ85</f>
        <v>0</v>
      </c>
      <c r="AK87" s="13" t="n">
        <f aca="false">AK77-AK83-AK84-AK85</f>
        <v>0</v>
      </c>
      <c r="AL87" s="13" t="n">
        <f aca="false">AL77-AL83-AL84-AL85</f>
        <v>0</v>
      </c>
      <c r="AM87" s="13" t="n">
        <f aca="false">AM77-AM83-AM84-AM85</f>
        <v>0</v>
      </c>
      <c r="AN87" s="13" t="n">
        <f aca="false">AN77-AN83-AN84-AN85</f>
        <v>0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1789</v>
      </c>
      <c r="E88" s="0" t="s">
        <v>151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1790</v>
      </c>
      <c r="E89" s="0" t="s">
        <v>151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0</v>
      </c>
      <c r="P89" s="13" t="n">
        <f aca="false">IF(Time!P34=1,INDEX(Funding!$J$65:$BJ$65,1,Time!$F$14),Time!P35*(P87-P88))</f>
        <v>0</v>
      </c>
      <c r="Q89" s="13" t="n">
        <f aca="false">IF(Time!Q34=1,INDEX(Funding!$J$65:$BJ$65,1,Time!$F$14),Time!Q35*(Q87-Q88))</f>
        <v>0</v>
      </c>
      <c r="R89" s="13" t="n">
        <f aca="false">IF(Time!R34=1,INDEX(Funding!$J$65:$BJ$65,1,Time!$F$14),Time!R35*(R87-R88))</f>
        <v>0</v>
      </c>
      <c r="S89" s="13" t="n">
        <f aca="false">IF(Time!S34=1,INDEX(Funding!$J$65:$BJ$65,1,Time!$F$14),Time!S35*(S87-S88))</f>
        <v>0</v>
      </c>
      <c r="T89" s="13" t="n">
        <f aca="false">IF(Time!T34=1,INDEX(Funding!$J$65:$BJ$65,1,Time!$F$14),Time!T35*(T87-T88))</f>
        <v>0</v>
      </c>
      <c r="U89" s="13" t="n">
        <f aca="false">IF(Time!U34=1,INDEX(Funding!$J$65:$BJ$65,1,Time!$F$14),Time!U35*(U87-U88))</f>
        <v>0</v>
      </c>
      <c r="V89" s="13" t="n">
        <f aca="false">IF(Time!V34=1,INDEX(Funding!$J$65:$BJ$65,1,Time!$F$14),Time!V35*(V87-V88))</f>
        <v>0</v>
      </c>
      <c r="W89" s="13" t="n">
        <f aca="false">IF(Time!W34=1,INDEX(Funding!$J$65:$BJ$65,1,Time!$F$14),Time!W35*(W87-W88))</f>
        <v>0</v>
      </c>
      <c r="X89" s="13" t="n">
        <f aca="false">IF(Time!X34=1,INDEX(Funding!$J$65:$BJ$65,1,Time!$F$14),Time!X35*(X87-X88))</f>
        <v>0</v>
      </c>
      <c r="Y89" s="13" t="n">
        <f aca="false">IF(Time!Y34=1,INDEX(Funding!$J$65:$BJ$65,1,Time!$F$14),Time!Y35*(Y87-Y88))</f>
        <v>0</v>
      </c>
      <c r="Z89" s="13" t="n">
        <f aca="false">IF(Time!Z34=1,INDEX(Funding!$J$65:$BJ$65,1,Time!$F$14),Time!Z35*(Z87-Z88))</f>
        <v>0</v>
      </c>
      <c r="AA89" s="13" t="n">
        <f aca="false">IF(Time!AA34=1,INDEX(Funding!$J$65:$BJ$65,1,Time!$F$14),Time!AA35*(AA87-AA88))</f>
        <v>0</v>
      </c>
      <c r="AB89" s="13" t="n">
        <f aca="false">IF(Time!AB34=1,INDEX(Funding!$J$65:$BJ$65,1,Time!$F$14),Time!AB35*(AB87-AB88))</f>
        <v>0</v>
      </c>
      <c r="AC89" s="13" t="n">
        <f aca="false">IF(Time!AC34=1,INDEX(Funding!$J$65:$BJ$65,1,Time!$F$14),Time!AC35*(AC87-AC88))</f>
        <v>0</v>
      </c>
      <c r="AD89" s="13" t="n">
        <f aca="false">IF(Time!AD34=1,INDEX(Funding!$J$65:$BJ$65,1,Time!$F$14),Time!AD35*(AD87-AD88))</f>
        <v>0</v>
      </c>
      <c r="AE89" s="13" t="n">
        <f aca="false">IF(Time!AE34=1,INDEX(Funding!$J$65:$BJ$65,1,Time!$F$14),Time!AE35*(AE87-AE88))</f>
        <v>0</v>
      </c>
      <c r="AF89" s="13" t="n">
        <f aca="false">IF(Time!AF34=1,INDEX(Funding!$J$65:$BJ$65,1,Time!$F$14),Time!AF35*(AF87-AF88))</f>
        <v>0</v>
      </c>
      <c r="AG89" s="13" t="n">
        <f aca="false">IF(Time!AG34=1,INDEX(Funding!$J$65:$BJ$65,1,Time!$F$14),Time!AG35*(AG87-AG88))</f>
        <v>0</v>
      </c>
      <c r="AH89" s="13" t="n">
        <f aca="false">IF(Time!AH34=1,INDEX(Funding!$J$65:$BJ$65,1,Time!$F$14),Time!AH35*(AH87-AH88))</f>
        <v>0</v>
      </c>
      <c r="AI89" s="13" t="n">
        <f aca="false">IF(Time!AI34=1,INDEX(Funding!$J$65:$BJ$65,1,Time!$F$14),Time!AI35*(AI87-AI88))</f>
        <v>0</v>
      </c>
      <c r="AJ89" s="13" t="n">
        <f aca="false">IF(Time!AJ34=1,INDEX(Funding!$J$65:$BJ$65,1,Time!$F$14),Time!AJ35*(AJ87-AJ88))</f>
        <v>0</v>
      </c>
      <c r="AK89" s="13" t="n">
        <f aca="false">IF(Time!AK34=1,INDEX(Funding!$J$65:$BJ$65,1,Time!$F$14),Time!AK35*(AK87-AK88))</f>
        <v>0</v>
      </c>
      <c r="AL89" s="13" t="n">
        <f aca="false">IF(Time!AL34=1,INDEX(Funding!$J$65:$BJ$65,1,Time!$F$14),Time!AL35*(AL87-AL88))</f>
        <v>0</v>
      </c>
      <c r="AM89" s="13" t="n">
        <f aca="false">IF(Time!AM34=1,INDEX(Funding!$J$65:$BJ$65,1,Time!$F$14),Time!AM35*(AM87-AM88))</f>
        <v>0</v>
      </c>
      <c r="AN89" s="13" t="n">
        <f aca="false">IF(Time!AN34=1,INDEX(Funding!$J$65:$BJ$65,1,Time!$F$14),Time!AN35*(AN87-AN88))</f>
        <v>0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1795</v>
      </c>
    </row>
    <row r="91" customFormat="false" ht="15" hidden="false" customHeight="false" outlineLevel="0" collapsed="false">
      <c r="D91" s="0" t="s">
        <v>1778</v>
      </c>
      <c r="E91" s="0" t="s">
        <v>151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1780</v>
      </c>
      <c r="E92" s="0" t="s">
        <v>151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1784</v>
      </c>
      <c r="E93" s="0" t="s">
        <v>151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1796</v>
      </c>
      <c r="E94" s="0" t="s">
        <v>151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1797</v>
      </c>
      <c r="E95" s="0" t="s">
        <v>151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1798</v>
      </c>
    </row>
    <row r="97" customFormat="false" ht="15" hidden="false" customHeight="false" outlineLevel="0" collapsed="false">
      <c r="D97" s="0" t="s">
        <v>1799</v>
      </c>
      <c r="E97" s="0" t="s">
        <v>101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1800</v>
      </c>
      <c r="E98" s="0" t="s">
        <v>151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1801</v>
      </c>
      <c r="E99" s="0" t="s">
        <v>151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1802</v>
      </c>
      <c r="E100" s="0" t="s">
        <v>151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1803</v>
      </c>
      <c r="E101" s="0" t="s">
        <v>151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1804</v>
      </c>
      <c r="E102" s="0" t="s">
        <v>151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1805</v>
      </c>
      <c r="E103" s="0" t="s">
        <v>151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1806</v>
      </c>
      <c r="E104" s="0" t="s">
        <v>151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1807</v>
      </c>
    </row>
    <row r="106" customFormat="false" ht="15" hidden="false" customHeight="false" outlineLevel="0" collapsed="false">
      <c r="D106" s="0" t="s">
        <v>1808</v>
      </c>
      <c r="E106" s="0" t="s">
        <v>111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1809</v>
      </c>
      <c r="E107" s="0" t="s">
        <v>151</v>
      </c>
      <c r="G107" s="13" t="n">
        <f aca="false">SUM(J107:BN107)</f>
        <v>8.7999185645444</v>
      </c>
      <c r="J107" s="13" t="n">
        <f aca="false">-1*Time!J35*Inputs!J301*J106*(Inputs!$F$97/100*Time!J24-Operations!J9/100*Time!J25/Inputs!$F$247)</f>
        <v>-0</v>
      </c>
      <c r="K107" s="13" t="n">
        <f aca="false">-1*Time!K35*Inputs!K301*K106*(Inputs!$F$97/100*Time!K24-Operations!K9/100*Time!K25/Inputs!$F$247)</f>
        <v>-0</v>
      </c>
      <c r="L107" s="13" t="n">
        <f aca="false">-1*Time!L35*Inputs!L301*L106*(Inputs!$F$97/100*Time!L24-Operations!L9/100*Time!L25/Inputs!$F$247)</f>
        <v>0</v>
      </c>
      <c r="M107" s="13" t="n">
        <f aca="false">-1*Time!M35*Inputs!M301*M106*(Inputs!$F$97/100*Time!M24-Operations!M9/100*Time!M25/Inputs!$F$247)</f>
        <v>0</v>
      </c>
      <c r="N107" s="13" t="n">
        <f aca="false">-1*Time!N35*Inputs!N301*N106*(Inputs!$F$97/100*Time!N24-Operations!N9/100*Time!N25/Inputs!$F$247)</f>
        <v>0</v>
      </c>
      <c r="O107" s="13" t="n">
        <f aca="false">-1*Time!O35*Inputs!O301*O106*(Inputs!$F$97/100*Time!O24-Operations!O9/100*Time!O25/Inputs!$F$247)</f>
        <v>0</v>
      </c>
      <c r="P107" s="13" t="n">
        <f aca="false">-1*Time!P35*Inputs!P301*P106*(Inputs!$F$97/100*Time!P24-Operations!P9/100*Time!P25/Inputs!$F$247)</f>
        <v>0.554524810898945</v>
      </c>
      <c r="Q107" s="13" t="n">
        <f aca="false">-1*Time!Q35*Inputs!Q301*Q106*(Inputs!$F$97/100*Time!Q24-Operations!Q9/100*Time!Q25/Inputs!$F$247)</f>
        <v>0.460793501441914</v>
      </c>
      <c r="R107" s="13" t="n">
        <f aca="false">-1*Time!R35*Inputs!R301*R106*(Inputs!$F$97/100*Time!R24-Operations!R9/100*Time!R25/Inputs!$F$247)</f>
        <v>0.578133850222852</v>
      </c>
      <c r="S107" s="13" t="n">
        <f aca="false">-1*Time!S35*Inputs!S301*S106*(Inputs!$F$97/100*Time!S24-Operations!S9/100*Time!S25/Inputs!$F$247)</f>
        <v>0.461178840914844</v>
      </c>
      <c r="T107" s="13" t="n">
        <f aca="false">-1*Time!T35*Inputs!T301*T106*(Inputs!$F$97/100*Time!T24-Operations!T9/100*Time!T25/Inputs!$F$247)</f>
        <v>0.570355694473019</v>
      </c>
      <c r="U107" s="13" t="n">
        <f aca="false">-1*Time!U35*Inputs!U301*U106*(Inputs!$F$97/100*Time!U24-Operations!U9/100*Time!U25/Inputs!$F$247)</f>
        <v>0.473410097208986</v>
      </c>
      <c r="V107" s="13" t="n">
        <f aca="false">-1*Time!V35*Inputs!V301*V106*(Inputs!$F$97/100*Time!V24-Operations!V9/100*Time!V25/Inputs!$F$247)</f>
        <v>0.534293746156567</v>
      </c>
      <c r="W107" s="13" t="n">
        <f aca="false">-1*Time!W35*Inputs!W301*W106*(Inputs!$F$97/100*Time!W24-Operations!W9/100*Time!W25/Inputs!$F$247)</f>
        <v>0.405121326614881</v>
      </c>
      <c r="X107" s="13" t="n">
        <f aca="false">-1*Time!X35*Inputs!X301*X106*(Inputs!$F$97/100*Time!X24-Operations!X9/100*Time!X25/Inputs!$F$247)</f>
        <v>0.496660662780396</v>
      </c>
      <c r="Y107" s="13" t="n">
        <f aca="false">-1*Time!Y35*Inputs!Y301*Y106*(Inputs!$F$97/100*Time!Y24-Operations!Y9/100*Time!Y25/Inputs!$F$247)</f>
        <v>0.374697448389388</v>
      </c>
      <c r="Z107" s="13" t="n">
        <f aca="false">-1*Time!Z35*Inputs!Z301*Z106*(Inputs!$F$97/100*Time!Z24-Operations!Z9/100*Time!Z25/Inputs!$F$247)</f>
        <v>0.457317267774286</v>
      </c>
      <c r="AA107" s="13" t="n">
        <f aca="false">-1*Time!AA35*Inputs!AA301*AA106*(Inputs!$F$97/100*Time!AA24-Operations!AA9/100*Time!AA25/Inputs!$F$247)</f>
        <v>0.343026426273126</v>
      </c>
      <c r="AB107" s="13" t="n">
        <f aca="false">-1*Time!AB35*Inputs!AB301*AB106*(Inputs!$F$97/100*Time!AB24-Operations!AB9/100*Time!AB25/Inputs!$F$247)</f>
        <v>0.415560349307922</v>
      </c>
      <c r="AC107" s="13" t="n">
        <f aca="false">-1*Time!AC35*Inputs!AC301*AC106*(Inputs!$F$97/100*Time!AC24-Operations!AC9/100*Time!AC25/Inputs!$F$247)</f>
        <v>0.336797681467552</v>
      </c>
      <c r="AD107" s="13" t="n">
        <f aca="false">-1*Time!AD35*Inputs!AD301*AD106*(Inputs!$F$97/100*Time!AD24-Operations!AD9/100*Time!AD25/Inputs!$F$247)</f>
        <v>0.370278483949263</v>
      </c>
      <c r="AE107" s="13" t="n">
        <f aca="false">-1*Time!AE35*Inputs!AE301*AE106*(Inputs!$F$97/100*Time!AE24-Operations!AE9/100*Time!AE25/Inputs!$F$247)</f>
        <v>0.272077602733067</v>
      </c>
      <c r="AF107" s="13" t="n">
        <f aca="false">-1*Time!AF35*Inputs!AF301*AF106*(Inputs!$F$97/100*Time!AF24-Operations!AF9/100*Time!AF25/Inputs!$F$247)</f>
        <v>0.321612819924763</v>
      </c>
      <c r="AG107" s="13" t="n">
        <f aca="false">-1*Time!AG35*Inputs!AG301*AG106*(Inputs!$F$97/100*Time!AG24-Operations!AG9/100*Time!AG25/Inputs!$F$247)</f>
        <v>0.231331115813434</v>
      </c>
      <c r="AH107" s="13" t="n">
        <f aca="false">-1*Time!AH35*Inputs!AH301*AH106*(Inputs!$F$97/100*Time!AH24-Operations!AH9/100*Time!AH25/Inputs!$F$247)</f>
        <v>0.266659344526624</v>
      </c>
      <c r="AI107" s="13" t="n">
        <f aca="false">-1*Time!AI35*Inputs!AI301*AI106*(Inputs!$F$97/100*Time!AI24-Operations!AI9/100*Time!AI25/Inputs!$F$247)</f>
        <v>0.186559357573471</v>
      </c>
      <c r="AJ107" s="13" t="n">
        <f aca="false">-1*Time!AJ35*Inputs!AJ301*AJ106*(Inputs!$F$97/100*Time!AJ24-Operations!AJ9/100*Time!AJ25/Inputs!$F$247)</f>
        <v>0.207443364211267</v>
      </c>
      <c r="AK107" s="13" t="n">
        <f aca="false">-1*Time!AK35*Inputs!AK301*AK106*(Inputs!$F$97/100*Time!AK24-Operations!AK9/100*Time!AK25/Inputs!$F$247)</f>
        <v>0.150407187030197</v>
      </c>
      <c r="AL107" s="13" t="n">
        <f aca="false">-1*Time!AL35*Inputs!AL301*AL106*(Inputs!$F$97/100*Time!AL24-Operations!AL9/100*Time!AL25/Inputs!$F$247)</f>
        <v>0.14278609374826</v>
      </c>
      <c r="AM107" s="13" t="n">
        <f aca="false">-1*Time!AM35*Inputs!AM301*AM106*(Inputs!$F$97/100*Time!AM24-Operations!AM9/100*Time!AM25/Inputs!$F$247)</f>
        <v>0.0855565517578938</v>
      </c>
      <c r="AN107" s="13" t="n">
        <f aca="false">-1*Time!AN35*Inputs!AN301*AN106*(Inputs!$F$97/100*Time!AN24-Operations!AN9/100*Time!AN25/Inputs!$F$247)</f>
        <v>0.0738150978488926</v>
      </c>
      <c r="AO107" s="13" t="n">
        <f aca="false">-1*Time!AO35*Inputs!AO301*AO106*(Inputs!$F$97/100*Time!AO24-Operations!AO9/100*Time!AO25/Inputs!$F$247)</f>
        <v>0.0295198415025888</v>
      </c>
      <c r="AP107" s="13" t="n">
        <f aca="false">-1*Time!AP35*Inputs!AP301*AP106*(Inputs!$F$97/100*Time!AP24-Operations!AP9/100*Time!AP25/Inputs!$F$247)</f>
        <v>0</v>
      </c>
      <c r="AQ107" s="13" t="n">
        <f aca="false">-1*Time!AQ35*Inputs!AQ301*AQ106*(Inputs!$F$97/100*Time!AQ24-Operations!AQ9/100*Time!AQ25/Inputs!$F$247)</f>
        <v>0</v>
      </c>
      <c r="AR107" s="13" t="n">
        <f aca="false">-1*Time!AR35*Inputs!AR301*AR106*(Inputs!$F$97/100*Time!AR24-Operations!AR9/100*Time!AR25/Inputs!$F$247)</f>
        <v>0</v>
      </c>
      <c r="AS107" s="13" t="n">
        <f aca="false">-1*Time!AS35*Inputs!AS301*AS106*(Inputs!$F$97/100*Time!AS24-Operations!AS9/100*Time!AS25/Inputs!$F$247)</f>
        <v>0</v>
      </c>
      <c r="AT107" s="13" t="n">
        <f aca="false">-1*Time!AT35*Inputs!AT301*AT106*(Inputs!$F$97/100*Time!AT24-Operations!AT9/100*Time!AT25/Inputs!$F$247)</f>
        <v>0</v>
      </c>
      <c r="AU107" s="13" t="n">
        <f aca="false">-1*Time!AU35*Inputs!AU301*AU106*(Inputs!$F$97/100*Time!AU24-Operations!AU9/100*Time!AU25/Inputs!$F$247)</f>
        <v>0</v>
      </c>
      <c r="AV107" s="13" t="n">
        <f aca="false">-1*Time!AV35*Inputs!AV301*AV106*(Inputs!$F$97/100*Time!AV24-Operations!AV9/100*Time!AV25/Inputs!$F$247)</f>
        <v>0</v>
      </c>
      <c r="AW107" s="13" t="n">
        <f aca="false">-1*Time!AW35*Inputs!AW301*AW106*(Inputs!$F$97/100*Time!AW24-Operations!AW9/100*Time!AW25/Inputs!$F$247)</f>
        <v>0</v>
      </c>
      <c r="AX107" s="13" t="n">
        <f aca="false">-1*Time!AX35*Inputs!AX301*AX106*(Inputs!$F$97/100*Time!AX24-Operations!AX9/100*Time!AX25/Inputs!$F$247)</f>
        <v>0</v>
      </c>
      <c r="AY107" s="13" t="n">
        <f aca="false">-1*Time!AY35*Inputs!AY301*AY106*(Inputs!$F$97/100*Time!AY24-Operations!AY9/100*Time!AY25/Inputs!$F$247)</f>
        <v>0</v>
      </c>
      <c r="AZ107" s="13" t="n">
        <f aca="false">-1*Time!AZ35*Inputs!AZ301*AZ106*(Inputs!$F$97/100*Time!AZ24-Operations!AZ9/100*Time!AZ25/Inputs!$F$247)</f>
        <v>0</v>
      </c>
      <c r="BA107" s="13" t="n">
        <f aca="false">-1*Time!BA35*Inputs!BA301*BA106*(Inputs!$F$97/100*Time!BA24-Operations!BA9/100*Time!BA25/Inputs!$F$247)</f>
        <v>0</v>
      </c>
      <c r="BB107" s="13" t="n">
        <f aca="false">-1*Time!BB35*Inputs!BB301*BB106*(Inputs!$F$97/100*Time!BB24-Operations!BB9/100*Time!BB25/Inputs!$F$247)</f>
        <v>0</v>
      </c>
      <c r="BC107" s="13" t="n">
        <f aca="false">-1*Time!BC35*Inputs!BC301*BC106*(Inputs!$F$97/100*Time!BC24-Operations!BC9/100*Time!BC25/Inputs!$F$247)</f>
        <v>0</v>
      </c>
      <c r="BD107" s="13" t="n">
        <f aca="false">-1*Time!BD35*Inputs!BD301*BD106*(Inputs!$F$97/100*Time!BD24-Operations!BD9/100*Time!BD25/Inputs!$F$247)</f>
        <v>0</v>
      </c>
      <c r="BE107" s="13" t="n">
        <f aca="false">-1*Time!BE35*Inputs!BE301*BE106*(Inputs!$F$97/100*Time!BE24-Operations!BE9/100*Time!BE25/Inputs!$F$247)</f>
        <v>0</v>
      </c>
      <c r="BF107" s="13" t="n">
        <f aca="false">-1*Time!BF35*Inputs!BF301*BF106*(Inputs!$F$97/100*Time!BF24-Operations!BF9/100*Time!BF25/Inputs!$F$247)</f>
        <v>0</v>
      </c>
      <c r="BG107" s="13" t="n">
        <f aca="false">-1*Time!BG35*Inputs!BG301*BG106*(Inputs!$F$97/100*Time!BG24-Operations!BG9/100*Time!BG25/Inputs!$F$247)</f>
        <v>0</v>
      </c>
      <c r="BH107" s="13" t="n">
        <f aca="false">-1*Time!BH35*Inputs!BH301*BH106*(Inputs!$F$97/100*Time!BH24-Operations!BH9/100*Time!BH25/Inputs!$F$247)</f>
        <v>0</v>
      </c>
      <c r="BI107" s="13" t="n">
        <f aca="false">-1*Time!BI35*Inputs!BI301*BI106*(Inputs!$F$97/100*Time!BI24-Operations!BI9/100*Time!BI25/Inputs!$F$247)</f>
        <v>0</v>
      </c>
      <c r="BJ107" s="13" t="n">
        <f aca="false">-1*Time!BJ35*Inputs!BJ301*BJ106*(Inputs!$F$97/100*Time!BJ24-Operations!BJ9/100*Time!BJ25/Inputs!$F$247)</f>
        <v>0</v>
      </c>
      <c r="BK107" s="13" t="n">
        <f aca="false">-1*Time!BK35*Inputs!BK301*BK106*(Inputs!$F$97/100*Time!BK24-Operations!BK9/100*Time!BK25/Inputs!$F$247)</f>
        <v>0</v>
      </c>
      <c r="BL107" s="13" t="n">
        <f aca="false">-1*Time!BL35*Inputs!BL301*BL106*(Inputs!$F$97/100*Time!BL24-Operations!BL9/100*Time!BL25/Inputs!$F$247)</f>
        <v>0</v>
      </c>
      <c r="BM107" s="13" t="n">
        <f aca="false">-1*Time!BM35*Inputs!BM301*BM106*(Inputs!$F$97/100*Time!BM24-Operations!BM9/100*Time!BM25/Inputs!$F$247)</f>
        <v>0</v>
      </c>
      <c r="BN107" s="13" t="n">
        <f aca="false">-1*Time!BN35*Inputs!BN301*BN106*(Inputs!$F$97/100*Time!BN24-Operations!BN9/100*Time!BN25/Inputs!$F$247)</f>
        <v>0</v>
      </c>
    </row>
    <row r="108" customFormat="false" ht="15" hidden="false" customHeight="false" outlineLevel="0" collapsed="false">
      <c r="D108" s="0" t="s">
        <v>1810</v>
      </c>
      <c r="E108" s="0" t="s">
        <v>151</v>
      </c>
      <c r="G108" s="13" t="n">
        <f aca="false">SUM(J108:BN108)</f>
        <v>18.3527078882686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1.29854625923878</v>
      </c>
      <c r="Q108" s="13" t="n">
        <f aca="false">(Inputs!$F$95/100*Inputs!$F$96/100)*Q63*Time!Q25/Inputs!$F$248</f>
        <v>1.25400206565463</v>
      </c>
      <c r="R108" s="13" t="n">
        <f aca="false">(Inputs!$F$95/100*Inputs!$F$96/100)*R63*Time!R25/Inputs!$F$248</f>
        <v>1.24998381459468</v>
      </c>
      <c r="S108" s="13" t="n">
        <f aca="false">(Inputs!$F$95/100*Inputs!$F$96/100)*S63*Time!S25/Inputs!$F$248</f>
        <v>1.20346306836775</v>
      </c>
      <c r="T108" s="13" t="n">
        <f aca="false">(Inputs!$F$95/100*Inputs!$F$96/100)*T63*Time!T25/Inputs!$F$248</f>
        <v>1.19566837765131</v>
      </c>
      <c r="U108" s="13" t="n">
        <f aca="false">(Inputs!$F$95/100*Inputs!$F$96/100)*U63*Time!U25/Inputs!$F$248</f>
        <v>1.15205904496879</v>
      </c>
      <c r="V108" s="13" t="n">
        <f aca="false">(Inputs!$F$95/100*Inputs!$F$96/100)*V63*Time!V25/Inputs!$F$248</f>
        <v>1.13310518714774</v>
      </c>
      <c r="W108" s="13" t="n">
        <f aca="false">(Inputs!$F$95/100*Inputs!$F$96/100)*W63*Time!W25/Inputs!$F$248</f>
        <v>1.08253598155184</v>
      </c>
      <c r="X108" s="13" t="n">
        <f aca="false">(Inputs!$F$95/100*Inputs!$F$96/100)*X63*Time!X25/Inputs!$F$248</f>
        <v>1.06595116636419</v>
      </c>
      <c r="Y108" s="13" t="n">
        <f aca="false">(Inputs!$F$95/100*Inputs!$F$96/100)*Y63*Time!Y25/Inputs!$F$248</f>
        <v>1.0133071894188</v>
      </c>
      <c r="Z108" s="13" t="n">
        <f aca="false">(Inputs!$F$95/100*Inputs!$F$96/100)*Z63*Time!Z25/Inputs!$F$248</f>
        <v>0.993799643697934</v>
      </c>
      <c r="AA108" s="13" t="n">
        <f aca="false">(Inputs!$F$95/100*Inputs!$F$96/100)*AA63*Time!AA25/Inputs!$F$248</f>
        <v>0.939514316367121</v>
      </c>
      <c r="AB108" s="13" t="n">
        <f aca="false">(Inputs!$F$95/100*Inputs!$F$96/100)*AB63*Time!AB25/Inputs!$F$248</f>
        <v>0.873590781440647</v>
      </c>
      <c r="AC108" s="13" t="n">
        <f aca="false">(Inputs!$F$95/100*Inputs!$F$96/100)*AC63*Time!AC25/Inputs!$F$248</f>
        <v>0.773171976415444</v>
      </c>
      <c r="AD108" s="13" t="n">
        <f aca="false">(Inputs!$F$95/100*Inputs!$F$96/100)*AD63*Time!AD25/Inputs!$F$248</f>
        <v>0.692305374037893</v>
      </c>
      <c r="AE108" s="13" t="n">
        <f aca="false">(Inputs!$F$95/100*Inputs!$F$96/100)*AE63*Time!AE25/Inputs!$F$248</f>
        <v>0.588845963754903</v>
      </c>
      <c r="AF108" s="13" t="n">
        <f aca="false">(Inputs!$F$95/100*Inputs!$F$96/100)*AF63*Time!AF25/Inputs!$F$248</f>
        <v>0.511849640974696</v>
      </c>
      <c r="AG108" s="13" t="n">
        <f aca="false">(Inputs!$F$95/100*Inputs!$F$96/100)*AG63*Time!AG25/Inputs!$F$248</f>
        <v>0.422349799778005</v>
      </c>
      <c r="AH108" s="13" t="n">
        <f aca="false">(Inputs!$F$95/100*Inputs!$F$96/100)*AH63*Time!AH25/Inputs!$F$248</f>
        <v>0.347561620977231</v>
      </c>
      <c r="AI108" s="13" t="n">
        <f aca="false">(Inputs!$F$95/100*Inputs!$F$96/100)*AI63*Time!AI25/Inputs!$F$248</f>
        <v>0.259348574466495</v>
      </c>
      <c r="AJ108" s="13" t="n">
        <f aca="false">(Inputs!$F$95/100*Inputs!$F$96/100)*AJ63*Time!AJ25/Inputs!$F$248</f>
        <v>0.183109604981566</v>
      </c>
      <c r="AK108" s="13" t="n">
        <f aca="false">(Inputs!$F$95/100*Inputs!$F$96/100)*AK63*Time!AK25/Inputs!$F$248</f>
        <v>0.0985790773918526</v>
      </c>
      <c r="AL108" s="13" t="n">
        <f aca="false">(Inputs!$F$95/100*Inputs!$F$96/100)*AL63*Time!AL25/Inputs!$F$248</f>
        <v>0.0200593590263291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1811</v>
      </c>
      <c r="E109" s="0" t="s">
        <v>151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387</v>
      </c>
      <c r="E110" s="0" t="s">
        <v>151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1812</v>
      </c>
      <c r="E111" s="0" t="s">
        <v>151</v>
      </c>
      <c r="G111" s="13" t="n">
        <f aca="false">SUM(J111:BN111)</f>
        <v>321.386612049636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21.284510659782</v>
      </c>
      <c r="Q111" s="13" t="n">
        <f aca="false">Q23+Q37+Q51+Q65+Q79+Q92</f>
        <v>20.8737244069153</v>
      </c>
      <c r="R111" s="13" t="n">
        <f aca="false">R23+R37+R51+R65+R79+R92</f>
        <v>20.3810439814249</v>
      </c>
      <c r="S111" s="13" t="n">
        <f aca="false">S23+S37+S51+S65+S79+S92</f>
        <v>19.896807611564</v>
      </c>
      <c r="T111" s="13" t="n">
        <f aca="false">T23+T37+T51+T65+T79+T92</f>
        <v>19.3648221751203</v>
      </c>
      <c r="U111" s="13" t="n">
        <f aca="false">U23+U37+U51+U65+U79+U92</f>
        <v>18.7908534883078</v>
      </c>
      <c r="V111" s="13" t="n">
        <f aca="false">V23+V37+V51+V65+V79+V92</f>
        <v>18.208187728061</v>
      </c>
      <c r="W111" s="13" t="n">
        <f aca="false">W23+W37+W51+W65+W79+W92</f>
        <v>17.6122667298328</v>
      </c>
      <c r="X111" s="13" t="n">
        <f aca="false">X23+X37+X51+X65+X79+X92</f>
        <v>16.9914681962966</v>
      </c>
      <c r="Y111" s="13" t="n">
        <f aca="false">Y23+Y37+Y51+Y65+Y79+Y92</f>
        <v>16.9017937948291</v>
      </c>
      <c r="Z111" s="13" t="n">
        <f aca="false">Z23+Z37+Z51+Z65+Z79+Z92</f>
        <v>16.2384328316108</v>
      </c>
      <c r="AA111" s="13" t="n">
        <f aca="false">AA23+AA37+AA51+AA65+AA79+AA92</f>
        <v>15.5422387425938</v>
      </c>
      <c r="AB111" s="13" t="n">
        <f aca="false">AB23+AB37+AB51+AB65+AB79+AB92</f>
        <v>14.484769920987</v>
      </c>
      <c r="AC111" s="13" t="n">
        <f aca="false">AC23+AC37+AC51+AC65+AC79+AC92</f>
        <v>13.3201775748082</v>
      </c>
      <c r="AD111" s="13" t="n">
        <f aca="false">AD23+AD37+AD51+AD65+AD79+AD92</f>
        <v>12.1734266112834</v>
      </c>
      <c r="AE111" s="13" t="n">
        <f aca="false">AE23+AE37+AE51+AE65+AE79+AE92</f>
        <v>10.9732655737709</v>
      </c>
      <c r="AF111" s="13" t="n">
        <f aca="false">AF23+AF37+AF51+AF65+AF79+AF92</f>
        <v>9.81550827879087</v>
      </c>
      <c r="AG111" s="13" t="n">
        <f aca="false">AG23+AG37+AG51+AG65+AG79+AG92</f>
        <v>8.88529612616502</v>
      </c>
      <c r="AH111" s="13" t="n">
        <f aca="false">AH23+AH37+AH51+AH65+AH79+AH92</f>
        <v>7.67631091539731</v>
      </c>
      <c r="AI111" s="13" t="n">
        <f aca="false">AI23+AI37+AI51+AI65+AI79+AI92</f>
        <v>6.42885932835829</v>
      </c>
      <c r="AJ111" s="13" t="n">
        <f aca="false">AJ23+AJ37+AJ51+AJ65+AJ79+AJ92</f>
        <v>5.19591237693736</v>
      </c>
      <c r="AK111" s="13" t="n">
        <f aca="false">AK23+AK37+AK51+AK65+AK79+AK92</f>
        <v>3.90841415050974</v>
      </c>
      <c r="AL111" s="13" t="n">
        <f aca="false">AL23+AL37+AL51+AL65+AL79+AL92</f>
        <v>2.64192137837641</v>
      </c>
      <c r="AM111" s="13" t="n">
        <f aca="false">AM23+AM37+AM51+AM65+AM79+AM92</f>
        <v>1.87882070835616</v>
      </c>
      <c r="AN111" s="13" t="n">
        <f aca="false">AN23+AN37+AN51+AN65+AN79+AN92</f>
        <v>1.27139458888221</v>
      </c>
      <c r="AO111" s="13" t="n">
        <f aca="false">AO23+AO37+AO51+AO65+AO79+AO92</f>
        <v>0.646384170674887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1813</v>
      </c>
      <c r="E112" s="0" t="s">
        <v>151</v>
      </c>
      <c r="G112" s="13" t="n">
        <f aca="false">SUM(J112:BN112)</f>
        <v>348.539238502449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23.1375817299197</v>
      </c>
      <c r="Q112" s="13" t="n">
        <f aca="false">Q111+Q107+Q108+Q109</f>
        <v>22.5885199740119</v>
      </c>
      <c r="R112" s="13" t="n">
        <f aca="false">R111+R107+R108+R109</f>
        <v>22.2091616462425</v>
      </c>
      <c r="S112" s="13" t="n">
        <f aca="false">S111+S107+S108+S109</f>
        <v>21.5614495208466</v>
      </c>
      <c r="T112" s="13" t="n">
        <f aca="false">T111+T107+T108+T109</f>
        <v>21.1308462472446</v>
      </c>
      <c r="U112" s="13" t="n">
        <f aca="false">U111+U107+U108+U109</f>
        <v>20.4163226304855</v>
      </c>
      <c r="V112" s="13" t="n">
        <f aca="false">V111+V107+V108+V109</f>
        <v>19.8755866613653</v>
      </c>
      <c r="W112" s="13" t="n">
        <f aca="false">W111+W107+W108+W109</f>
        <v>19.0999240379995</v>
      </c>
      <c r="X112" s="13" t="n">
        <f aca="false">X111+X107+X108+X109</f>
        <v>18.5540800254412</v>
      </c>
      <c r="Y112" s="13" t="n">
        <f aca="false">Y111+Y107+Y108+Y109</f>
        <v>18.2897984326372</v>
      </c>
      <c r="Z112" s="13" t="n">
        <f aca="false">Z111+Z107+Z108+Z109</f>
        <v>17.689549743083</v>
      </c>
      <c r="AA112" s="13" t="n">
        <f aca="false">AA111+AA107+AA108+AA109</f>
        <v>16.8247794852341</v>
      </c>
      <c r="AB112" s="13" t="n">
        <f aca="false">AB111+AB107+AB108+AB109</f>
        <v>15.7739210517355</v>
      </c>
      <c r="AC112" s="13" t="n">
        <f aca="false">AC111+AC107+AC108+AC109</f>
        <v>14.4301472326912</v>
      </c>
      <c r="AD112" s="13" t="n">
        <f aca="false">AD111+AD107+AD108+AD109</f>
        <v>13.2360104692705</v>
      </c>
      <c r="AE112" s="13" t="n">
        <f aca="false">AE111+AE107+AE108+AE109</f>
        <v>11.8341891402588</v>
      </c>
      <c r="AF112" s="13" t="n">
        <f aca="false">AF111+AF107+AF108+AF109</f>
        <v>10.6489707396903</v>
      </c>
      <c r="AG112" s="13" t="n">
        <f aca="false">AG111+AG107+AG108+AG109</f>
        <v>9.53897704175646</v>
      </c>
      <c r="AH112" s="13" t="n">
        <f aca="false">AH111+AH107+AH108+AH109</f>
        <v>8.29053188090117</v>
      </c>
      <c r="AI112" s="13" t="n">
        <f aca="false">AI111+AI107+AI108+AI109</f>
        <v>6.87476726039826</v>
      </c>
      <c r="AJ112" s="13" t="n">
        <f aca="false">AJ111+AJ107+AJ108+AJ109</f>
        <v>5.58646534613019</v>
      </c>
      <c r="AK112" s="13" t="n">
        <f aca="false">AK111+AK107+AK108+AK109</f>
        <v>4.15740041493179</v>
      </c>
      <c r="AL112" s="13" t="n">
        <f aca="false">AL111+AL107+AL108+AL109</f>
        <v>2.804766831151</v>
      </c>
      <c r="AM112" s="13" t="n">
        <f aca="false">AM111+AM107+AM108+AM109</f>
        <v>1.96437726011405</v>
      </c>
      <c r="AN112" s="13" t="n">
        <f aca="false">AN111+AN107+AN108+AN109</f>
        <v>1.34520968673111</v>
      </c>
      <c r="AO112" s="13" t="n">
        <f aca="false">AO111+AO107+AO108+AO109</f>
        <v>0.675904012177475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1814</v>
      </c>
      <c r="E113" s="0" t="s">
        <v>151</v>
      </c>
      <c r="G113" s="13" t="n">
        <f aca="false">SUM(J113:BN113)</f>
        <v>548.896575700507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15.9457084344303</v>
      </c>
      <c r="Q113" s="13" t="n">
        <f aca="false">Q27+Q41+Q55+Q69+Q83+Q93</f>
        <v>16.3140164634625</v>
      </c>
      <c r="R113" s="13" t="n">
        <f aca="false">R27+R41+R55+R69+R83+R93</f>
        <v>16.9392968018195</v>
      </c>
      <c r="S113" s="13" t="n">
        <f aca="false">S27+S41+S55+S69+S83+S93</f>
        <v>17.3515824484117</v>
      </c>
      <c r="T113" s="13" t="n">
        <f aca="false">T27+T41+T55+T69+T83+T93</f>
        <v>18.4841125491796</v>
      </c>
      <c r="U113" s="13" t="n">
        <f aca="false">U27+U41+U55+U69+U83+U93</f>
        <v>18.718722717909</v>
      </c>
      <c r="V113" s="13" t="n">
        <f aca="false">V27+V41+V55+V69+V83+V93</f>
        <v>19.0762928411112</v>
      </c>
      <c r="W113" s="13" t="n">
        <f aca="false">W27+W41+W55+W69+W83+W93</f>
        <v>19.7473832717404</v>
      </c>
      <c r="X113" s="13" t="n">
        <f aca="false">X27+X41+X55+X69+X83+X93</f>
        <v>20.213927885296</v>
      </c>
      <c r="Y113" s="13" t="n">
        <f aca="false">Y27+Y41+Y55+Y69+Y83+Y93</f>
        <v>20.374168753747</v>
      </c>
      <c r="Z113" s="13" t="n">
        <f aca="false">Z27+Z41+Z55+Z69+Z83+Z93</f>
        <v>21.2252473387364</v>
      </c>
      <c r="AA113" s="13" t="n">
        <f aca="false">AA27+AA41+AA55+AA69+AA83+AA93</f>
        <v>21.8527290737784</v>
      </c>
      <c r="AB113" s="13" t="n">
        <f aca="false">AB27+AB41+AB55+AB69+AB83+AB93</f>
        <v>22.8706958618114</v>
      </c>
      <c r="AC113" s="13" t="n">
        <f aca="false">AC27+AC41+AC55+AC69+AC83+AC93</f>
        <v>22.5838814699326</v>
      </c>
      <c r="AD113" s="13" t="n">
        <f aca="false">AD27+AD41+AD55+AD69+AD83+AD93</f>
        <v>23.1320857390837</v>
      </c>
      <c r="AE113" s="13" t="n">
        <f aca="false">AE27+AE41+AE55+AE69+AE83+AE93</f>
        <v>23.3380297809476</v>
      </c>
      <c r="AF113" s="13" t="n">
        <f aca="false">AF27+AF41+AF55+AF69+AF83+AF93</f>
        <v>24.6773769267584</v>
      </c>
      <c r="AG113" s="13" t="n">
        <f aca="false">AG27+AG41+AG55+AG69+AG83+AG93</f>
        <v>24.6436125629581</v>
      </c>
      <c r="AH113" s="13" t="n">
        <f aca="false">AH27+AH41+AH55+AH69+AH83+AH93</f>
        <v>24.8224053151102</v>
      </c>
      <c r="AI113" s="13" t="n">
        <f aca="false">AI27+AI41+AI55+AI69+AI83+AI93</f>
        <v>24.4654620236976</v>
      </c>
      <c r="AJ113" s="13" t="n">
        <f aca="false">AJ27+AJ41+AJ55+AJ69+AJ83+AJ93</f>
        <v>24.4411133943362</v>
      </c>
      <c r="AK113" s="13" t="n">
        <f aca="false">AK27+AK41+AK55+AK69+AK83+AK93</f>
        <v>23.0315103940495</v>
      </c>
      <c r="AL113" s="13" t="n">
        <f aca="false">AL27+AL41+AL55+AL69+AL83+AL93</f>
        <v>20.9674404507871</v>
      </c>
      <c r="AM113" s="13" t="n">
        <f aca="false">AM27+AM41+AM55+AM69+AM83+AM93</f>
        <v>20.6632975215138</v>
      </c>
      <c r="AN113" s="13" t="n">
        <f aca="false">AN27+AN41+AN55+AN69+AN83+AN93</f>
        <v>21.1888392787458</v>
      </c>
      <c r="AO113" s="13" t="n">
        <f aca="false">AO27+AO41+AO55+AO69+AO83+AO93</f>
        <v>21.8276364011535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1815</v>
      </c>
      <c r="E114" s="0" t="s">
        <v>151</v>
      </c>
      <c r="G114" s="13" t="n">
        <f aca="false">SUM(J114:BN114)</f>
        <v>897.435814202957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39.08329016435</v>
      </c>
      <c r="Q114" s="13" t="n">
        <f aca="false">Q112+Q113</f>
        <v>38.9025364374744</v>
      </c>
      <c r="R114" s="13" t="n">
        <f aca="false">R112+R113</f>
        <v>39.148458448062</v>
      </c>
      <c r="S114" s="13" t="n">
        <f aca="false">S112+S113</f>
        <v>38.9130319692583</v>
      </c>
      <c r="T114" s="13" t="n">
        <f aca="false">T112+T113</f>
        <v>39.6149587964242</v>
      </c>
      <c r="U114" s="13" t="n">
        <f aca="false">U112+U113</f>
        <v>39.1350453483946</v>
      </c>
      <c r="V114" s="13" t="n">
        <f aca="false">V112+V113</f>
        <v>38.9518795024765</v>
      </c>
      <c r="W114" s="13" t="n">
        <f aca="false">W112+W113</f>
        <v>38.8473073097399</v>
      </c>
      <c r="X114" s="13" t="n">
        <f aca="false">X112+X113</f>
        <v>38.7680079107372</v>
      </c>
      <c r="Y114" s="13" t="n">
        <f aca="false">Y112+Y113</f>
        <v>38.6639671863843</v>
      </c>
      <c r="Z114" s="13" t="n">
        <f aca="false">Z112+Z113</f>
        <v>38.9147970818194</v>
      </c>
      <c r="AA114" s="13" t="n">
        <f aca="false">AA112+AA113</f>
        <v>38.6775085590125</v>
      </c>
      <c r="AB114" s="13" t="n">
        <f aca="false">AB112+AB113</f>
        <v>38.644616913547</v>
      </c>
      <c r="AC114" s="13" t="n">
        <f aca="false">AC112+AC113</f>
        <v>37.0140287026238</v>
      </c>
      <c r="AD114" s="13" t="n">
        <f aca="false">AD112+AD113</f>
        <v>36.3680962083542</v>
      </c>
      <c r="AE114" s="13" t="n">
        <f aca="false">AE112+AE113</f>
        <v>35.1722189212064</v>
      </c>
      <c r="AF114" s="13" t="n">
        <f aca="false">AF112+AF113</f>
        <v>35.3263476664487</v>
      </c>
      <c r="AG114" s="13" t="n">
        <f aca="false">AG112+AG113</f>
        <v>34.1825896047146</v>
      </c>
      <c r="AH114" s="13" t="n">
        <f aca="false">AH112+AH113</f>
        <v>33.1129371960114</v>
      </c>
      <c r="AI114" s="13" t="n">
        <f aca="false">AI112+AI113</f>
        <v>31.3402292840959</v>
      </c>
      <c r="AJ114" s="13" t="n">
        <f aca="false">AJ112+AJ113</f>
        <v>30.0275787404664</v>
      </c>
      <c r="AK114" s="13" t="n">
        <f aca="false">AK112+AK113</f>
        <v>27.1889108089813</v>
      </c>
      <c r="AL114" s="13" t="n">
        <f aca="false">AL112+AL113</f>
        <v>23.7722072819381</v>
      </c>
      <c r="AM114" s="13" t="n">
        <f aca="false">AM112+AM113</f>
        <v>22.6276747816278</v>
      </c>
      <c r="AN114" s="13" t="n">
        <f aca="false">AN112+AN113</f>
        <v>22.5340489654769</v>
      </c>
      <c r="AO114" s="13" t="n">
        <f aca="false">AO112+AO113</f>
        <v>22.503540413331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1816</v>
      </c>
      <c r="E115" s="0" t="s">
        <v>151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654.950564098311</v>
      </c>
      <c r="Q115" s="13" t="n">
        <f aca="false">Q21+Q35+Q49+Q63+Q77+Q91</f>
        <v>639.004855663881</v>
      </c>
      <c r="R115" s="13" t="n">
        <f aca="false">R21+R35+R49+R63+R77+R91</f>
        <v>622.690839200418</v>
      </c>
      <c r="S115" s="13" t="n">
        <f aca="false">S21+S35+S49+S63+S77+S91</f>
        <v>605.751542398599</v>
      </c>
      <c r="T115" s="13" t="n">
        <f aca="false">T21+T35+T49+T63+T77+T91</f>
        <v>588.399959950187</v>
      </c>
      <c r="U115" s="13" t="n">
        <f aca="false">U21+U35+U49+U63+U77+U91</f>
        <v>569.915847401007</v>
      </c>
      <c r="V115" s="13" t="n">
        <f aca="false">V21+V35+V49+V63+V77+V91</f>
        <v>551.197124683098</v>
      </c>
      <c r="W115" s="13" t="n">
        <f aca="false">W21+W35+W49+W63+W77+W91</f>
        <v>532.120831841987</v>
      </c>
      <c r="X115" s="13" t="n">
        <f aca="false">X21+X35+X49+X63+X77+X91</f>
        <v>512.373448570247</v>
      </c>
      <c r="Y115" s="13" t="n">
        <f aca="false">Y21+Y35+Y49+Y63+Y77+Y91</f>
        <v>492.159520684951</v>
      </c>
      <c r="Z115" s="13" t="n">
        <f aca="false">Z21+Z35+Z49+Z63+Z77+Z91</f>
        <v>471.785351931204</v>
      </c>
      <c r="AA115" s="13" t="n">
        <f aca="false">AA21+AA35+AA49+AA63+AA77+AA91</f>
        <v>450.560104592467</v>
      </c>
      <c r="AB115" s="13" t="n">
        <f aca="false">AB21+AB35+AB49+AB63+AB77+AB91</f>
        <v>420.848286799271</v>
      </c>
      <c r="AC115" s="13" t="n">
        <f aca="false">AC21+AC35+AC49+AC63+AC77+AC91</f>
        <v>388.498063045035</v>
      </c>
      <c r="AD115" s="13" t="n">
        <f aca="false">AD21+AD35+AD49+AD63+AD77+AD91</f>
        <v>356.542820488653</v>
      </c>
      <c r="AE115" s="13" t="n">
        <f aca="false">AE21+AE35+AE49+AE63+AE77+AE91</f>
        <v>323.225545089689</v>
      </c>
      <c r="AF115" s="13" t="n">
        <f aca="false">AF21+AF35+AF49+AF63+AF77+AF91</f>
        <v>290.800552933674</v>
      </c>
      <c r="AG115" s="13" t="n">
        <f aca="false">AG21+AG35+AG49+AG63+AG77+AG91</f>
        <v>258.114627777866</v>
      </c>
      <c r="AH115" s="13" t="n">
        <f aca="false">AH21+AH35+AH49+AH63+AH77+AH91</f>
        <v>225.191646207286</v>
      </c>
      <c r="AI115" s="13" t="n">
        <f aca="false">AI21+AI35+AI49+AI63+AI77+AI91</f>
        <v>191.267682235851</v>
      </c>
      <c r="AJ115" s="13" t="n">
        <f aca="false">AJ21+AJ35+AJ49+AJ63+AJ77+AJ91</f>
        <v>157.541087339087</v>
      </c>
      <c r="AK115" s="13" t="n">
        <f aca="false">AK21+AK35+AK49+AK63+AK77+AK91</f>
        <v>122.387579902338</v>
      </c>
      <c r="AL115" s="13" t="n">
        <f aca="false">AL21+AL35+AL49+AL63+AL77+AL91</f>
        <v>87.5930517568416</v>
      </c>
      <c r="AM115" s="13" t="n">
        <f aca="false">AM21+AM35+AM49+AM63+AM77+AM91</f>
        <v>63.679773201413</v>
      </c>
      <c r="AN115" s="13" t="n">
        <f aca="false">AN21+AN35+AN49+AN63+AN77+AN91</f>
        <v>43.0164756798993</v>
      </c>
      <c r="AO115" s="13" t="n">
        <f aca="false">AO21+AO35+AO49+AO63+AO77+AO91</f>
        <v>21.8276364011535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1817</v>
      </c>
      <c r="E116" s="0" t="s">
        <v>151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654.950564098311</v>
      </c>
      <c r="P116" s="13" t="n">
        <f aca="false">P33+P47+P61+P75+P89+P95</f>
        <v>639.004855663881</v>
      </c>
      <c r="Q116" s="13" t="n">
        <f aca="false">Q33+Q47+Q61+Q75+Q89+Q95</f>
        <v>622.690839200418</v>
      </c>
      <c r="R116" s="13" t="n">
        <f aca="false">R33+R47+R61+R75+R89+R95</f>
        <v>605.751542398599</v>
      </c>
      <c r="S116" s="13" t="n">
        <f aca="false">S33+S47+S61+S75+S89+S95</f>
        <v>588.399959950187</v>
      </c>
      <c r="T116" s="13" t="n">
        <f aca="false">T33+T47+T61+T75+T89+T95</f>
        <v>569.915847401007</v>
      </c>
      <c r="U116" s="13" t="n">
        <f aca="false">U33+U47+U61+U75+U89+U95</f>
        <v>551.197124683098</v>
      </c>
      <c r="V116" s="13" t="n">
        <f aca="false">V33+V47+V61+V75+V89+V95</f>
        <v>532.120831841987</v>
      </c>
      <c r="W116" s="13" t="n">
        <f aca="false">W33+W47+W61+W75+W89+W95</f>
        <v>512.373448570247</v>
      </c>
      <c r="X116" s="13" t="n">
        <f aca="false">X33+X47+X61+X75+X89+X95</f>
        <v>492.159520684951</v>
      </c>
      <c r="Y116" s="13" t="n">
        <f aca="false">Y33+Y47+Y61+Y75+Y89+Y95</f>
        <v>471.785351931204</v>
      </c>
      <c r="Z116" s="13" t="n">
        <f aca="false">Z33+Z47+Z61+Z75+Z89+Z95</f>
        <v>450.560104592467</v>
      </c>
      <c r="AA116" s="13" t="n">
        <f aca="false">AA33+AA47+AA61+AA75+AA89+AA95</f>
        <v>420.848286799271</v>
      </c>
      <c r="AB116" s="13" t="n">
        <f aca="false">AB33+AB47+AB61+AB75+AB89+AB95</f>
        <v>388.498063045035</v>
      </c>
      <c r="AC116" s="13" t="n">
        <f aca="false">AC33+AC47+AC61+AC75+AC89+AC95</f>
        <v>356.542820488653</v>
      </c>
      <c r="AD116" s="13" t="n">
        <f aca="false">AD33+AD47+AD61+AD75+AD89+AD95</f>
        <v>323.225545089689</v>
      </c>
      <c r="AE116" s="13" t="n">
        <f aca="false">AE33+AE47+AE61+AE75+AE89+AE95</f>
        <v>290.800552933674</v>
      </c>
      <c r="AF116" s="13" t="n">
        <f aca="false">AF33+AF47+AF61+AF75+AF89+AF95</f>
        <v>258.114627777866</v>
      </c>
      <c r="AG116" s="13" t="n">
        <f aca="false">AG33+AG47+AG61+AG75+AG89+AG95</f>
        <v>225.191646207286</v>
      </c>
      <c r="AH116" s="13" t="n">
        <f aca="false">AH33+AH47+AH61+AH75+AH89+AH95</f>
        <v>191.267682235851</v>
      </c>
      <c r="AI116" s="13" t="n">
        <f aca="false">AI33+AI47+AI61+AI75+AI89+AI95</f>
        <v>157.541087339087</v>
      </c>
      <c r="AJ116" s="13" t="n">
        <f aca="false">AJ33+AJ47+AJ61+AJ75+AJ89+AJ95</f>
        <v>122.387579902338</v>
      </c>
      <c r="AK116" s="13" t="n">
        <f aca="false">AK33+AK47+AK61+AK75+AK89+AK95</f>
        <v>87.5930517568416</v>
      </c>
      <c r="AL116" s="13" t="n">
        <f aca="false">AL33+AL47+AL61+AL75+AL89+AL95</f>
        <v>63.679773201413</v>
      </c>
      <c r="AM116" s="13" t="n">
        <f aca="false">AM33+AM47+AM61+AM75+AM89+AM95</f>
        <v>43.0164756798993</v>
      </c>
      <c r="AN116" s="13" t="n">
        <f aca="false">AN33+AN47+AN61+AN75+AN89+AN95</f>
        <v>21.8276364011535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1818</v>
      </c>
    </row>
    <row r="118" customFormat="false" ht="15" hidden="false" customHeight="false" outlineLevel="0" collapsed="false">
      <c r="D118" s="0" t="s">
        <v>1819</v>
      </c>
      <c r="E118" s="0" t="s">
        <v>151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248.881214357358</v>
      </c>
      <c r="P118" s="13" t="n">
        <f aca="false">IF(Time!P34=1,P75,P73)</f>
        <v>244.327410235107</v>
      </c>
      <c r="Q118" s="13" t="n">
        <f aca="false">IF(Time!Q34=1,Q75,Q73)</f>
        <v>239.573667468525</v>
      </c>
      <c r="R118" s="13" t="n">
        <f aca="false">IF(Time!R34=1,R75,R73)</f>
        <v>234.480486803977</v>
      </c>
      <c r="S118" s="13" t="n">
        <f aca="false">IF(Time!S34=1,S75,S73)</f>
        <v>229.163493931279</v>
      </c>
      <c r="T118" s="13" t="n">
        <f aca="false">IF(Time!T34=1,T75,T73)</f>
        <v>223.231699003879</v>
      </c>
      <c r="U118" s="13" t="n">
        <f aca="false">IF(Time!U34=1,U75,U73)</f>
        <v>217.172544270597</v>
      </c>
      <c r="V118" s="13" t="n">
        <f aca="false">IF(Time!V34=1,V75,V73)</f>
        <v>210.919280041862</v>
      </c>
      <c r="W118" s="13" t="n">
        <f aca="false">IF(Time!W34=1,W75,W73)</f>
        <v>204.301709579357</v>
      </c>
      <c r="X118" s="13" t="n">
        <f aca="false">IF(Time!X34=1,X75,X73)</f>
        <v>197.430872040922</v>
      </c>
      <c r="Y118" s="13" t="n">
        <f aca="false">IF(Time!Y34=1,Y75,Y73)</f>
        <v>190.473046602471</v>
      </c>
      <c r="Z118" s="13" t="n">
        <f aca="false">IF(Time!Z34=1,Z75,Z73)</f>
        <v>183.053207075026</v>
      </c>
      <c r="AA118" s="13" t="n">
        <f aca="false">IF(Time!AA34=1,AA75,AA73)</f>
        <v>175.2927346057</v>
      </c>
      <c r="AB118" s="13" t="n">
        <f aca="false">IF(Time!AB34=1,AB75,AB73)</f>
        <v>159.295194607739</v>
      </c>
      <c r="AC118" s="13" t="n">
        <f aca="false">IF(Time!AC34=1,AC75,AC73)</f>
        <v>142.059589149793</v>
      </c>
      <c r="AD118" s="13" t="n">
        <f aca="false">IF(Time!AD34=1,AD75,AD73)</f>
        <v>124.914832690034</v>
      </c>
      <c r="AE118" s="13" t="n">
        <f aca="false">IF(Time!AE34=1,AE75,AE73)</f>
        <v>107.188789173935</v>
      </c>
      <c r="AF118" s="13" t="n">
        <f aca="false">IF(Time!AF34=1,AF75,AF73)</f>
        <v>90.2983909807899</v>
      </c>
      <c r="AG118" s="13" t="n">
        <f aca="false">IF(Time!AG34=1,AG75,AG73)</f>
        <v>74.893521316322</v>
      </c>
      <c r="AH118" s="13" t="n">
        <f aca="false">IF(Time!AH34=1,AH75,AH73)</f>
        <v>59.6325484234642</v>
      </c>
      <c r="AI118" s="13" t="n">
        <f aca="false">IF(Time!AI34=1,AI75,AI73)</f>
        <v>44.3561789864202</v>
      </c>
      <c r="AJ118" s="13" t="n">
        <f aca="false">IF(Time!AJ34=1,AJ75,AJ73)</f>
        <v>29.8138238072514</v>
      </c>
      <c r="AK118" s="13" t="n">
        <f aca="false">IF(Time!AK34=1,AK75,AK73)</f>
        <v>15.6076228998455</v>
      </c>
      <c r="AL118" s="13" t="n">
        <f aca="false">IF(Time!AL34=1,AL75,AL73)</f>
        <v>2.94583810464145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1820</v>
      </c>
      <c r="E119" s="0" t="s">
        <v>151</v>
      </c>
      <c r="J119" s="13" t="n">
        <f aca="false">IF(AND(Time!J20&gt;=Time!$F$12,Time!K20&gt;0),(IF(Time!J34=1,J33,J31)-J30)*K147+IF(Time!K46&gt;0,Time!K45*J30/Time!K46,0)+IF(Time!J34=1,J33,J31)*K10,0)</f>
        <v>0</v>
      </c>
      <c r="K119" s="13" t="n">
        <f aca="false">IF(AND(Time!K20&gt;=Time!$F$12,Time!L20&gt;0),(IF(Time!K34=1,K33,K31)-K30)*L147+IF(Time!L46&gt;0,Time!L45*K30/Time!L46,0)+IF(Time!K34=1,K33,K31)*L10,0)</f>
        <v>0</v>
      </c>
      <c r="L119" s="13" t="n">
        <f aca="false">IF(AND(Time!L20&gt;=Time!$F$12,Time!M20&gt;0),(IF(Time!L34=1,L33,L31)-L30)*M147+IF(Time!M46&gt;0,Time!M45*L30/Time!M46,0)+IF(Time!L34=1,L33,L31)*M10,0)</f>
        <v>0</v>
      </c>
      <c r="M119" s="13" t="n">
        <f aca="false">IF(AND(Time!M20&gt;=Time!$F$12,Time!N20&gt;0),(IF(Time!M34=1,M33,M31)-M30)*N147+IF(Time!N46&gt;0,Time!N45*M30/Time!N46,0)+IF(Time!M34=1,M33,M31)*N10,0)</f>
        <v>0</v>
      </c>
      <c r="N119" s="13" t="n">
        <f aca="false">IF(AND(Time!N20&gt;=Time!$F$12,Time!O20&gt;0),(IF(Time!N34=1,N33,N31)-N30)*O147+IF(Time!O46&gt;0,Time!O45*N30/Time!O46,0)+IF(Time!N34=1,N33,N31)*O10,0)</f>
        <v>0</v>
      </c>
      <c r="O119" s="13" t="n">
        <f aca="false">IF(AND(Time!O20&gt;=Time!$F$12,Time!P20&gt;0),(IF(Time!O34=1,O33,O31)-O30)*P147+IF(Time!P46&gt;0,Time!P45*O30/Time!P46,0)+IF(Time!O34=1,O33,O31)*P10,0)</f>
        <v>11.9190926503368</v>
      </c>
      <c r="P119" s="13" t="n">
        <f aca="false">IF(AND(Time!P20&gt;=Time!$F$12,Time!Q20&gt;0),(IF(Time!P34=1,P33,P31)-P30)*Q147+IF(Time!Q46&gt;0,Time!Q45*P30/Time!Q46,0)+IF(Time!P34=1,P33,P31)*Q10,0)</f>
        <v>11.770217349036</v>
      </c>
      <c r="Q119" s="13" t="n">
        <f aca="false">IF(AND(Time!Q20&gt;=Time!$F$12,Time!R20&gt;0),(IF(Time!Q34=1,Q33,Q31)-Q30)*R147+IF(Time!R46&gt;0,Time!R45*Q30/Time!R46,0)+IF(Time!Q34=1,Q33,Q31)*R10,0)</f>
        <v>11.6016935308122</v>
      </c>
      <c r="R119" s="13" t="n">
        <f aca="false">IF(AND(Time!R20&gt;=Time!$F$12,Time!S20&gt;0),(IF(Time!R34=1,R33,R31)-R30)*S147+IF(Time!S46&gt;0,Time!S45*R30/Time!S46,0)+IF(Time!R34=1,R33,R31)*S10,0)</f>
        <v>11.4418604027659</v>
      </c>
      <c r="S119" s="13" t="n">
        <f aca="false">IF(AND(Time!S20&gt;=Time!$F$12,Time!T20&gt;0),(IF(Time!S34=1,S33,S31)-S30)*T147+IF(Time!T46&gt;0,Time!T45*S30/Time!T46,0)+IF(Time!S34=1,S33,S31)*T10,0)</f>
        <v>11.2729587284475</v>
      </c>
      <c r="T119" s="13" t="n">
        <f aca="false">IF(AND(Time!T20&gt;=Time!$F$12,Time!U20&gt;0),(IF(Time!T34=1,T33,T31)-T30)*U147+IF(Time!U46&gt;0,Time!U45*T30/Time!U46,0)+IF(Time!T34=1,T33,T31)*U10,0)</f>
        <v>11.1040570541291</v>
      </c>
      <c r="U119" s="13" t="n">
        <f aca="false">IF(AND(Time!U20&gt;=Time!$F$12,Time!V20&gt;0),(IF(Time!U34=1,U33,U31)-U30)*V147+IF(Time!V46&gt;0,Time!V45*U30/Time!V46,0)+IF(Time!U34=1,U33,U31)*V10,0)</f>
        <v>10.9351553798106</v>
      </c>
      <c r="V119" s="13" t="n">
        <f aca="false">IF(AND(Time!V20&gt;=Time!$F$12,Time!W20&gt;0),(IF(Time!V34=1,V33,V31)-V30)*W147+IF(Time!W46&gt;0,Time!W45*V30/Time!W46,0)+IF(Time!V34=1,V33,V31)*W10,0)</f>
        <v>10.7662537054922</v>
      </c>
      <c r="W119" s="13" t="n">
        <f aca="false">IF(AND(Time!W20&gt;=Time!$F$12,Time!X20&gt;0),(IF(Time!W34=1,W33,W31)-W30)*X147+IF(Time!X46&gt;0,Time!X45*W30/Time!X46,0)+IF(Time!W34=1,W33,W31)*X10,0)</f>
        <v>10.5973520311738</v>
      </c>
      <c r="X119" s="13" t="n">
        <f aca="false">IF(AND(Time!X20&gt;=Time!$F$12,Time!Y20&gt;0),(IF(Time!X34=1,X33,X31)-X30)*Y147+IF(Time!Y46&gt;0,Time!Y45*X30/Time!Y46,0)+IF(Time!X34=1,X33,X31)*Y10,0)</f>
        <v>10.4284503568554</v>
      </c>
      <c r="Y119" s="13" t="n">
        <f aca="false">IF(AND(Time!Y20&gt;=Time!$F$12,Time!Z20&gt;0),(IF(Time!Y34=1,Y33,Y31)-Y30)*Z147+IF(Time!Z46&gt;0,Time!Z45*Y30/Time!Z46,0)+IF(Time!Y34=1,Y33,Y31)*Z10,0)</f>
        <v>10.2595486825369</v>
      </c>
      <c r="Z119" s="13" t="n">
        <f aca="false">IF(AND(Time!Z20&gt;=Time!$F$12,Time!AA20&gt;0),(IF(Time!Z34=1,Z33,Z31)-Z30)*AA147+IF(Time!AA46&gt;0,Time!AA45*Z30/Time!AA46,0)+IF(Time!Z34=1,Z33,Z31)*AA10,0)</f>
        <v>10.0906470082185</v>
      </c>
      <c r="AA119" s="13" t="n">
        <f aca="false">IF(AND(Time!AA20&gt;=Time!$F$12,Time!AB20&gt;0),(IF(Time!AA34=1,AA33,AA31)-AA30)*AB147+IF(Time!AB46&gt;0,Time!AB45*AA30/Time!AB46,0)+IF(Time!AA34=1,AA33,AA31)*AB10,0)</f>
        <v>9.92174533390006</v>
      </c>
      <c r="AB119" s="13" t="n">
        <f aca="false">IF(AND(Time!AB20&gt;=Time!$F$12,Time!AC20&gt;0),(IF(Time!AB34=1,AB33,AB31)-AB30)*AC147+IF(Time!AC46&gt;0,Time!AC45*AB30/Time!AC46,0)+IF(Time!AB34=1,AB33,AB31)*AC10,0)</f>
        <v>9.75284365958163</v>
      </c>
      <c r="AC119" s="13" t="n">
        <f aca="false">IF(AND(Time!AC20&gt;=Time!$F$12,Time!AD20&gt;0),(IF(Time!AC34=1,AC33,AC31)-AC30)*AD147+IF(Time!AD46&gt;0,Time!AD45*AC30/Time!AD46,0)+IF(Time!AC34=1,AC33,AC31)*AD10,0)</f>
        <v>9.5839419852632</v>
      </c>
      <c r="AD119" s="13" t="n">
        <f aca="false">IF(AND(Time!AD20&gt;=Time!$F$12,Time!AE20&gt;0),(IF(Time!AD34=1,AD33,AD31)-AD30)*AE147+IF(Time!AE46&gt;0,Time!AE45*AD30/Time!AE46,0)+IF(Time!AD34=1,AD33,AD31)*AE10,0)</f>
        <v>9.41504031094477</v>
      </c>
      <c r="AE119" s="13" t="n">
        <f aca="false">IF(AND(Time!AE20&gt;=Time!$F$12,Time!AF20&gt;0),(IF(Time!AE34=1,AE33,AE31)-AE30)*AF147+IF(Time!AF46&gt;0,Time!AF45*AE30/Time!AF46,0)+IF(Time!AE34=1,AE33,AE31)*AF10,0)</f>
        <v>9.24613863662635</v>
      </c>
      <c r="AF119" s="13" t="n">
        <f aca="false">IF(AND(Time!AF20&gt;=Time!$F$12,Time!AG20&gt;0),(IF(Time!AF34=1,AF33,AF31)-AF30)*AG147+IF(Time!AG46&gt;0,Time!AG45*AF30/Time!AG46,0)+IF(Time!AF34=1,AF33,AF31)*AG10,0)</f>
        <v>9.07723696230791</v>
      </c>
      <c r="AG119" s="13" t="n">
        <f aca="false">IF(AND(Time!AG20&gt;=Time!$F$12,Time!AH20&gt;0),(IF(Time!AG34=1,AG33,AG31)-AG30)*AH147+IF(Time!AH46&gt;0,Time!AH45*AG30/Time!AH46,0)+IF(Time!AG34=1,AG33,AG31)*AH10,0)</f>
        <v>8.90833528798948</v>
      </c>
      <c r="AH119" s="13" t="n">
        <f aca="false">IF(AND(Time!AH20&gt;=Time!$F$12,Time!AI20&gt;0),(IF(Time!AH34=1,AH33,AH31)-AH30)*AI147+IF(Time!AI46&gt;0,Time!AI45*AH30/Time!AI46,0)+IF(Time!AH34=1,AH33,AH31)*AI10,0)</f>
        <v>8.73943361367105</v>
      </c>
      <c r="AI119" s="13" t="n">
        <f aca="false">IF(AND(Time!AI20&gt;=Time!$F$12,Time!AJ20&gt;0),(IF(Time!AI34=1,AI33,AI31)-AI30)*AJ147+IF(Time!AJ46&gt;0,Time!AJ45*AI30/Time!AJ46,0)+IF(Time!AI34=1,AI33,AI31)*AJ10,0)</f>
        <v>8.57053193935263</v>
      </c>
      <c r="AJ119" s="13" t="n">
        <f aca="false">IF(AND(Time!AJ20&gt;=Time!$F$12,Time!AK20&gt;0),(IF(Time!AJ34=1,AJ33,AJ31)-AJ30)*AK147+IF(Time!AK46&gt;0,Time!AK45*AJ30/Time!AK46,0)+IF(Time!AJ34=1,AJ33,AJ31)*AK10,0)</f>
        <v>8.4016302650342</v>
      </c>
      <c r="AK119" s="13" t="n">
        <f aca="false">IF(AND(Time!AK20&gt;=Time!$F$12,Time!AL20&gt;0),(IF(Time!AK34=1,AK33,AK31)-AK30)*AL147+IF(Time!AL46&gt;0,Time!AL45*AK30/Time!AL46,0)+IF(Time!AK34=1,AK33,AK31)*AL10,0)</f>
        <v>8.23272859071577</v>
      </c>
      <c r="AL119" s="13" t="n">
        <f aca="false">IF(AND(Time!AL20&gt;=Time!$F$12,Time!AM20&gt;0),(IF(Time!AL34=1,AL33,AL31)-AL30)*AM147+IF(Time!AM46&gt;0,Time!AM45*AL30/Time!AM46,0)+IF(Time!AL34=1,AL33,AL31)*AM10,0)</f>
        <v>8.06382691639734</v>
      </c>
      <c r="AM119" s="13" t="n">
        <f aca="false">IF(AND(Time!AM20&gt;=Time!$F$12,Time!AN20&gt;0),(IF(Time!AM34=1,AM33,AM31)-AM30)*AN147+IF(Time!AN46&gt;0,Time!AN45*AM30/Time!AN46,0)+IF(Time!AM34=1,AM33,AM31)*AN10,0)</f>
        <v>7.89492524207891</v>
      </c>
      <c r="AN119" s="13" t="n">
        <f aca="false">IF(AND(Time!AN20&gt;=Time!$F$12,Time!AO20&gt;0),(IF(Time!AN34=1,AN33,AN31)-AN30)*AO147+IF(Time!AO46&gt;0,Time!AO45*AN30/Time!AO46,0)+IF(Time!AN34=1,AN33,AN31)*AO10,0)</f>
        <v>7.72602356776048</v>
      </c>
      <c r="AO119" s="13" t="n">
        <f aca="false">IF(AND(Time!AO20&gt;=Time!$F$12,Time!AP20&gt;0),(IF(Time!AO34=1,AO33,AO31)-AO30)*AP147+IF(Time!AP46&gt;0,Time!AP45*AO30/Time!AP46,0)+IF(Time!AO34=1,AO33,AO31)*AP10,0)</f>
        <v>0</v>
      </c>
      <c r="AP119" s="13" t="n">
        <f aca="false">IF(AND(Time!AP20&gt;=Time!$F$12,Time!AQ20&gt;0),(IF(Time!AP34=1,AP33,AP31)-AP30)*AQ147+IF(Time!AQ46&gt;0,Time!AQ45*AP30/Time!AQ46,0)+IF(Time!AP34=1,AP33,AP31)*AQ10,0)</f>
        <v>0</v>
      </c>
      <c r="AQ119" s="13" t="n">
        <f aca="false">IF(AND(Time!AQ20&gt;=Time!$F$12,Time!AR20&gt;0),(IF(Time!AQ34=1,AQ33,AQ31)-AQ30)*AR147+IF(Time!AR46&gt;0,Time!AR45*AQ30/Time!AR46,0)+IF(Time!AQ34=1,AQ33,AQ31)*AR10,0)</f>
        <v>0</v>
      </c>
      <c r="AR119" s="13" t="n">
        <f aca="false">IF(AND(Time!AR20&gt;=Time!$F$12,Time!AS20&gt;0),(IF(Time!AR34=1,AR33,AR31)-AR30)*AS147+IF(Time!AS46&gt;0,Time!AS45*AR30/Time!AS46,0)+IF(Time!AR34=1,AR33,AR31)*AS10,0)</f>
        <v>0</v>
      </c>
      <c r="AS119" s="13" t="n">
        <f aca="false">IF(AND(Time!AS20&gt;=Time!$F$12,Time!AT20&gt;0),(IF(Time!AS34=1,AS33,AS31)-AS30)*AT147+IF(Time!AT46&gt;0,Time!AT45*AS30/Time!AT46,0)+IF(Time!AS34=1,AS33,AS31)*AT10,0)</f>
        <v>0</v>
      </c>
      <c r="AT119" s="13" t="n">
        <f aca="false">IF(AND(Time!AT20&gt;=Time!$F$12,Time!AU20&gt;0),(IF(Time!AT34=1,AT33,AT31)-AT30)*AU147+IF(Time!AU46&gt;0,Time!AU45*AT30/Time!AU46,0)+IF(Time!AT34=1,AT33,AT31)*AU10,0)</f>
        <v>0</v>
      </c>
      <c r="AU119" s="13" t="n">
        <f aca="false">IF(AND(Time!AU20&gt;=Time!$F$12,Time!AV20&gt;0),(IF(Time!AU34=1,AU33,AU31)-AU30)*AV147+IF(Time!AV46&gt;0,Time!AV45*AU30/Time!AV46,0)+IF(Time!AU34=1,AU33,AU31)*AV10,0)</f>
        <v>0</v>
      </c>
      <c r="AV119" s="13" t="n">
        <f aca="false">IF(AND(Time!AV20&gt;=Time!$F$12,Time!AW20&gt;0),(IF(Time!AV34=1,AV33,AV31)-AV30)*AW147+IF(Time!AW46&gt;0,Time!AW45*AV30/Time!AW46,0)+IF(Time!AV34=1,AV33,AV31)*AW10,0)</f>
        <v>0</v>
      </c>
      <c r="AW119" s="13" t="n">
        <f aca="false">IF(AND(Time!AW20&gt;=Time!$F$12,Time!AX20&gt;0),(IF(Time!AW34=1,AW33,AW31)-AW30)*AX147+IF(Time!AX46&gt;0,Time!AX45*AW30/Time!AX46,0)+IF(Time!AW34=1,AW33,AW31)*AX10,0)</f>
        <v>0</v>
      </c>
      <c r="AX119" s="13" t="n">
        <f aca="false">IF(AND(Time!AX20&gt;=Time!$F$12,Time!AY20&gt;0),(IF(Time!AX34=1,AX33,AX31)-AX30)*AY147+IF(Time!AY46&gt;0,Time!AY45*AX30/Time!AY46,0)+IF(Time!AX34=1,AX33,AX31)*AY10,0)</f>
        <v>0</v>
      </c>
      <c r="AY119" s="13" t="n">
        <f aca="false">IF(AND(Time!AY20&gt;=Time!$F$12,Time!AZ20&gt;0),(IF(Time!AY34=1,AY33,AY31)-AY30)*AZ147+IF(Time!AZ46&gt;0,Time!AZ45*AY30/Time!AZ46,0)+IF(Time!AY34=1,AY33,AY31)*AZ10,0)</f>
        <v>0</v>
      </c>
      <c r="AZ119" s="13" t="n">
        <f aca="false">IF(AND(Time!AZ20&gt;=Time!$F$12,Time!BA20&gt;0),(IF(Time!AZ34=1,AZ33,AZ31)-AZ30)*BA147+IF(Time!BA46&gt;0,Time!BA45*AZ30/Time!BA46,0)+IF(Time!AZ34=1,AZ33,AZ31)*BA10,0)</f>
        <v>0</v>
      </c>
      <c r="BA119" s="13" t="n">
        <f aca="false">IF(AND(Time!BA20&gt;=Time!$F$12,Time!BB20&gt;0),(IF(Time!BA34=1,BA33,BA31)-BA30)*BB147+IF(Time!BB46&gt;0,Time!BB45*BA30/Time!BB46,0)+IF(Time!BA34=1,BA33,BA31)*BB10,0)</f>
        <v>0</v>
      </c>
      <c r="BB119" s="13" t="n">
        <f aca="false">IF(AND(Time!BB20&gt;=Time!$F$12,Time!BC20&gt;0),(IF(Time!BB34=1,BB33,BB31)-BB30)*BC147+IF(Time!BC46&gt;0,Time!BC45*BB30/Time!BC46,0)+IF(Time!BB34=1,BB33,BB31)*BC10,0)</f>
        <v>0</v>
      </c>
      <c r="BC119" s="13" t="n">
        <f aca="false">IF(AND(Time!BC20&gt;=Time!$F$12,Time!BD20&gt;0),(IF(Time!BC34=1,BC33,BC31)-BC30)*BD147+IF(Time!BD46&gt;0,Time!BD45*BC30/Time!BD46,0)+IF(Time!BC34=1,BC33,BC31)*BD10,0)</f>
        <v>0</v>
      </c>
      <c r="BD119" s="13" t="n">
        <f aca="false">IF(AND(Time!BD20&gt;=Time!$F$12,Time!BE20&gt;0),(IF(Time!BD34=1,BD33,BD31)-BD30)*BE147+IF(Time!BE46&gt;0,Time!BE45*BD30/Time!BE46,0)+IF(Time!BD34=1,BD33,BD31)*BE10,0)</f>
        <v>0</v>
      </c>
      <c r="BE119" s="13" t="n">
        <f aca="false">IF(AND(Time!BE20&gt;=Time!$F$12,Time!BF20&gt;0),(IF(Time!BE34=1,BE33,BE31)-BE30)*BF147+IF(Time!BF46&gt;0,Time!BF45*BE30/Time!BF46,0)+IF(Time!BE34=1,BE33,BE31)*BF10,0)</f>
        <v>0</v>
      </c>
      <c r="BF119" s="13" t="n">
        <f aca="false">IF(AND(Time!BF20&gt;=Time!$F$12,Time!BG20&gt;0),(IF(Time!BF34=1,BF33,BF31)-BF30)*BG147+IF(Time!BG46&gt;0,Time!BG45*BF30/Time!BG46,0)+IF(Time!BF34=1,BF33,BF31)*BG10,0)</f>
        <v>0</v>
      </c>
      <c r="BG119" s="13" t="n">
        <f aca="false">IF(AND(Time!BG20&gt;=Time!$F$12,Time!BH20&gt;0),(IF(Time!BG34=1,BG33,BG31)-BG30)*BH147+IF(Time!BH46&gt;0,Time!BH45*BG30/Time!BH46,0)+IF(Time!BG34=1,BG33,BG31)*BH10,0)</f>
        <v>0</v>
      </c>
      <c r="BH119" s="13" t="n">
        <f aca="false">IF(AND(Time!BH20&gt;=Time!$F$12,Time!BI20&gt;0),(IF(Time!BH34=1,BH33,BH31)-BH30)*BI147+IF(Time!BI46&gt;0,Time!BI45*BH30/Time!BI46,0)+IF(Time!BH34=1,BH33,BH31)*BI10,0)</f>
        <v>0</v>
      </c>
      <c r="BI119" s="13" t="n">
        <f aca="false">IF(AND(Time!BI20&gt;=Time!$F$12,Time!BJ20&gt;0),(IF(Time!BI34=1,BI33,BI31)-BI30)*BJ147+IF(Time!BJ46&gt;0,Time!BJ45*BI30/Time!BJ46,0)+IF(Time!BI34=1,BI33,BI31)*BJ10,0)</f>
        <v>0</v>
      </c>
      <c r="BJ119" s="13" t="n">
        <f aca="false">IF(AND(Time!BJ20&gt;=Time!$F$12,Time!BK20&gt;0),(IF(Time!BJ34=1,BJ33,BJ31)-BJ30)*BK147+IF(Time!BK46&gt;0,Time!BK45*BJ30/Time!BK46,0)+IF(Time!BJ34=1,BJ33,BJ31)*BK10,0)</f>
        <v>0</v>
      </c>
      <c r="BK119" s="13" t="n">
        <f aca="false">IF(AND(Time!BK20&gt;=Time!$F$12,Time!BL20&gt;0),(IF(Time!BK34=1,BK33,BK31)-BK30)*BL147+IF(Time!BL46&gt;0,Time!BL45*BK30/Time!BL46,0)+IF(Time!BK34=1,BK33,BK31)*BL10,0)</f>
        <v>0</v>
      </c>
      <c r="BL119" s="13" t="n">
        <f aca="false">IF(AND(Time!BL20&gt;=Time!$F$12,Time!BM20&gt;0),(IF(Time!BL34=1,BL33,BL31)-BL30)*BM147+IF(Time!BM46&gt;0,Time!BM45*BL30/Time!BM46,0)+IF(Time!BL34=1,BL33,BL31)*BM10,0)</f>
        <v>0</v>
      </c>
      <c r="BM119" s="13" t="n">
        <f aca="false">IF(AND(Time!BM20&gt;=Time!$F$12,Time!BN20&gt;0),(IF(Time!BM34=1,BM33,BM31)-BM30)*BN147+IF(Time!BN46&gt;0,Time!BN45*BM30/Time!BN46,0)+IF(Time!BM34=1,BM33,BM31)*BN10,0)</f>
        <v>0</v>
      </c>
      <c r="BN119" s="13" t="n">
        <f aca="false">IF(AND(Time!BN20&gt;=Time!$F$12,Time!BO20&gt;0),(IF(Time!BN34=1,BN33,BN31)-BN30)*BO147+IF(Time!BO46&gt;0,Time!BO45*BN30/Time!BO46,0)+IF(Time!BN34=1,BN33,BN31)*BO10,0)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1821</v>
      </c>
      <c r="E120" s="0" t="s">
        <v>151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7.4922163951069</v>
      </c>
      <c r="P120" s="13" t="n">
        <f aca="false">IF(AND(Time!P20&gt;=Time!$F$12,Time!Q20&gt;0),(IF(Time!P34=1,P47,P45)-P44)*Q19+IF(Time!Q46&gt;0,Time!Q45*P44/Time!Q46,0)+IF(Time!P34=1,P47,P45)*Q11,0)</f>
        <v>7.5332685030432</v>
      </c>
      <c r="Q120" s="13" t="n">
        <f aca="false">IF(AND(Time!Q20&gt;=Time!$F$12,Time!R20&gt;0),(IF(Time!Q34=1,Q47,Q45)-Q44)*R19+IF(Time!R46&gt;0,Time!R45*Q44/Time!R46,0)+IF(Time!Q34=1,Q47,Q45)*R11,0)</f>
        <v>7.63676194078016</v>
      </c>
      <c r="R120" s="13" t="n">
        <f aca="false">IF(AND(Time!R20&gt;=Time!$F$12,Time!S20&gt;0),(IF(Time!R34=1,R47,R45)-R44)*S19+IF(Time!S46&gt;0,Time!S45*R44/Time!S46,0)+IF(Time!R34=1,R47,R45)*S11,0)</f>
        <v>7.67345951900719</v>
      </c>
      <c r="S120" s="13" t="n">
        <f aca="false">IF(AND(Time!S20&gt;=Time!$F$12,Time!T20&gt;0),(IF(Time!S34=1,S47,S45)-S44)*T19+IF(Time!T46&gt;0,Time!T45*S44/Time!T46,0)+IF(Time!S34=1,S47,S45)*T11,0)</f>
        <v>7.92519848245874</v>
      </c>
      <c r="T120" s="13" t="n">
        <f aca="false">IF(AND(Time!T20&gt;=Time!$F$12,Time!U20&gt;0),(IF(Time!T34=1,T47,T45)-T44)*U19+IF(Time!U46&gt;0,Time!U45*T44/Time!U46,0)+IF(Time!T34=1,T47,T45)*U11,0)</f>
        <v>7.88268553632616</v>
      </c>
      <c r="U120" s="13" t="n">
        <f aca="false">IF(AND(Time!U20&gt;=Time!$F$12,Time!V20&gt;0),(IF(Time!U34=1,U47,U45)-U44)*V19+IF(Time!V46&gt;0,Time!V45*U44/Time!V46,0)+IF(Time!U34=1,U47,U45)*V11,0)</f>
        <v>7.87632123027569</v>
      </c>
      <c r="V120" s="13" t="n">
        <f aca="false">IF(AND(Time!V20&gt;=Time!$F$12,Time!W20&gt;0),(IF(Time!V34=1,V47,V45)-V44)*W19+IF(Time!W46&gt;0,Time!W45*V44/Time!W46,0)+IF(Time!V34=1,V47,V45)*W11,0)</f>
        <v>7.9646878426916</v>
      </c>
      <c r="W120" s="13" t="n">
        <f aca="false">IF(AND(Time!W20&gt;=Time!$F$12,Time!X20&gt;0),(IF(Time!W34=1,W47,W45)-W44)*X19+IF(Time!X46&gt;0,Time!X45*W44/Time!X46,0)+IF(Time!W34=1,W47,W45)*X11,0)</f>
        <v>7.98162918340309</v>
      </c>
      <c r="X120" s="13" t="n">
        <f aca="false">IF(AND(Time!X20&gt;=Time!$F$12,Time!Y20&gt;0),(IF(Time!X34=1,X47,X45)-X44)*Y19+IF(Time!Y46&gt;0,Time!Y45*X44/Time!Y46,0)+IF(Time!X34=1,X47,X45)*Y11,0)</f>
        <v>7.89734026460007</v>
      </c>
      <c r="Y120" s="13" t="n">
        <f aca="false">IF(AND(Time!Y20&gt;=Time!$F$12,Time!Z20&gt;0),(IF(Time!Y34=1,Y47,Y45)-Y44)*Z19+IF(Time!Z46&gt;0,Time!Z45*Y44/Time!Z46,0)+IF(Time!Y34=1,Y47,Y45)*Z11,0)</f>
        <v>8.02846703707002</v>
      </c>
      <c r="Z120" s="13" t="n">
        <f aca="false">IF(AND(Time!Z20&gt;=Time!$F$12,Time!AA20&gt;0),(IF(Time!Z34=1,Z47,Z45)-Z44)*AA19+IF(Time!AA46&gt;0,Time!AA45*Z44/Time!AA46,0)+IF(Time!Z34=1,Z47,Z45)*AA11,0)</f>
        <v>8.08026625352451</v>
      </c>
      <c r="AA120" s="13" t="n">
        <f aca="false">IF(AND(Time!AA20&gt;=Time!$F$12,Time!AB20&gt;0),(IF(Time!AA34=1,AA47,AA45)-AA44)*AB19+IF(Time!AB46&gt;0,Time!AB45*AA44/Time!AB46,0)+IF(Time!AA34=1,AA47,AA45)*AB11,0)</f>
        <v>8.36817315085684</v>
      </c>
      <c r="AB120" s="13" t="n">
        <f aca="false">IF(AND(Time!AB20&gt;=Time!$F$12,Time!AC20&gt;0),(IF(Time!AB34=1,AB47,AB45)-AB44)*AC19+IF(Time!AC46&gt;0,Time!AC45*AB44/Time!AC46,0)+IF(Time!AB34=1,AB47,AB45)*AC11,0)</f>
        <v>8.26689162579614</v>
      </c>
      <c r="AC120" s="13" t="n">
        <f aca="false">IF(AND(Time!AC20&gt;=Time!$F$12,Time!AD20&gt;0),(IF(Time!AC34=1,AC47,AC45)-AC44)*AD19+IF(Time!AD46&gt;0,Time!AD45*AC44/Time!AD46,0)+IF(Time!AC34=1,AC47,AC45)*AD11,0)</f>
        <v>8.46267366505918</v>
      </c>
      <c r="AD120" s="13" t="n">
        <f aca="false">IF(AND(Time!AD20&gt;=Time!$F$12,Time!AE20&gt;0),(IF(Time!AD34=1,AD47,AD45)-AD44)*AE19+IF(Time!AE46&gt;0,Time!AE45*AD44/Time!AE46,0)+IF(Time!AD34=1,AD47,AD45)*AE11,0)</f>
        <v>8.58257536054764</v>
      </c>
      <c r="AE120" s="13" t="n">
        <f aca="false">IF(AND(Time!AE20&gt;=Time!$F$12,Time!AF20&gt;0),(IF(Time!AE34=1,AE47,AE45)-AE44)*AF19+IF(Time!AF46&gt;0,Time!AF45*AE44/Time!AF46,0)+IF(Time!AE34=1,AE47,AE45)*AF11,0)</f>
        <v>9.13108991710533</v>
      </c>
      <c r="AF120" s="13" t="n">
        <f aca="false">IF(AND(Time!AF20&gt;=Time!$F$12,Time!AG20&gt;0),(IF(Time!AF34=1,AF47,AF45)-AF44)*AG19+IF(Time!AG46&gt;0,Time!AG45*AF44/Time!AG46,0)+IF(Time!AF34=1,AF47,AF45)*AG11,0)</f>
        <v>9.17094820289687</v>
      </c>
      <c r="AG120" s="13" t="n">
        <f aca="false">IF(AND(Time!AG20&gt;=Time!$F$12,Time!AH20&gt;0),(IF(Time!AG34=1,AG47,AG45)-AG44)*AH19+IF(Time!AH46&gt;0,Time!AH45*AG44/Time!AH46,0)+IF(Time!AG34=1,AG47,AG45)*AH11,0)</f>
        <v>9.35347812860641</v>
      </c>
      <c r="AH120" s="13" t="n">
        <f aca="false">IF(AND(Time!AH20&gt;=Time!$F$12,Time!AI20&gt;0),(IF(Time!AH34=1,AH47,AH45)-AH44)*AI19+IF(Time!AI46&gt;0,Time!AI45*AH44/Time!AI46,0)+IF(Time!AH34=1,AH47,AH45)*AI11,0)</f>
        <v>9.42342937040396</v>
      </c>
      <c r="AI120" s="13" t="n">
        <f aca="false">IF(AND(Time!AI20&gt;=Time!$F$12,Time!AJ20&gt;0),(IF(Time!AI34=1,AI47,AI45)-AI44)*AJ19+IF(Time!AJ46&gt;0,Time!AJ45*AI44/Time!AJ46,0)+IF(Time!AI34=1,AI47,AI45)*AJ11,0)</f>
        <v>9.77124241068556</v>
      </c>
      <c r="AJ120" s="13" t="n">
        <f aca="false">IF(AND(Time!AJ20&gt;=Time!$F$12,Time!AK20&gt;0),(IF(Time!AJ34=1,AJ47,AJ45)-AJ44)*AK19+IF(Time!AK46&gt;0,Time!AK45*AJ44/Time!AK46,0)+IF(Time!AJ34=1,AJ47,AJ45)*AK11,0)</f>
        <v>9.76097026939639</v>
      </c>
      <c r="AK120" s="13" t="n">
        <f aca="false">IF(AND(Time!AK20&gt;=Time!$F$12,Time!AL20&gt;0),(IF(Time!AK34=1,AK47,AK45)-AK44)*AL19+IF(Time!AL46&gt;0,Time!AL45*AK44/Time!AL46,0)+IF(Time!AK34=1,AK47,AK45)*AL11,0)</f>
        <v>9.84720146225182</v>
      </c>
      <c r="AL120" s="13" t="n">
        <f aca="false">IF(AND(Time!AL20&gt;=Time!$F$12,Time!AM20&gt;0),(IF(Time!AL34=1,AL47,AL45)-AL44)*AM19+IF(Time!AM46&gt;0,Time!AM45*AL44/Time!AM46,0)+IF(Time!AL34=1,AL47,AL45)*AM11,0)</f>
        <v>9.9648382780791</v>
      </c>
      <c r="AM120" s="13" t="n">
        <f aca="false">IF(AND(Time!AM20&gt;=Time!$F$12,Time!AN20&gt;0),(IF(Time!AM34=1,AM47,AM45)-AM44)*AN19+IF(Time!AN46&gt;0,Time!AN45*AM44/Time!AN46,0)+IF(Time!AM34=1,AM47,AM45)*AN11,0)</f>
        <v>10.0211429552316</v>
      </c>
      <c r="AN120" s="13" t="n">
        <f aca="false">IF(AND(Time!AN20&gt;=Time!$F$12,Time!AO20&gt;0),(IF(Time!AN34=1,AN47,AN45)-AN44)*AO19+IF(Time!AO46&gt;0,Time!AO45*AN44/Time!AO46,0)+IF(Time!AN34=1,AN47,AN45)*AO11,0)</f>
        <v>10.1430803538608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1822</v>
      </c>
      <c r="E121" s="0" t="s">
        <v>151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3.32368408635448</v>
      </c>
      <c r="P121" s="13" t="n">
        <f aca="false">IF(AND(Time!P20&gt;=Time!$F$12,Time!Q20&gt;0),(IF(Time!P34=1,P61,P59)-P58)*Q19+IF(Time!Q46&gt;0,Time!Q45*P58/Time!Q46,0)+IF(Time!P34=1,P61,P59)*Q12,0)</f>
        <v>3.34384209729876</v>
      </c>
      <c r="Q121" s="13" t="n">
        <f aca="false">IF(AND(Time!Q20&gt;=Time!$F$12,Time!R20&gt;0),(IF(Time!Q34=1,Q61,Q59)-Q58)*R19+IF(Time!R46&gt;0,Time!R45*Q58/Time!R46,0)+IF(Time!Q34=1,Q61,Q59)*R12,0)</f>
        <v>3.39244830017059</v>
      </c>
      <c r="R121" s="13" t="n">
        <f aca="false">IF(AND(Time!R20&gt;=Time!$F$12,Time!S20&gt;0),(IF(Time!R34=1,R61,R59)-R58)*S19+IF(Time!S46&gt;0,Time!S45*R58/Time!S46,0)+IF(Time!R34=1,R61,R59)*S12,0)</f>
        <v>3.41080440592301</v>
      </c>
      <c r="S121" s="13" t="n">
        <f aca="false">IF(AND(Time!S20&gt;=Time!$F$12,Time!T20&gt;0),(IF(Time!S34=1,S61,S59)-S58)*T19+IF(Time!T46&gt;0,Time!T45*S58/Time!T46,0)+IF(Time!S34=1,S61,S59)*T12,0)</f>
        <v>3.52698021830529</v>
      </c>
      <c r="T121" s="13" t="n">
        <f aca="false">IF(AND(Time!T20&gt;=Time!$F$12,Time!U20&gt;0),(IF(Time!T34=1,T61,T59)-T58)*U19+IF(Time!U46&gt;0,Time!U45*T58/Time!U46,0)+IF(Time!T34=1,T61,T59)*U12,0)</f>
        <v>3.50960740021277</v>
      </c>
      <c r="U121" s="13" t="n">
        <f aca="false">IF(AND(Time!U20&gt;=Time!$F$12,Time!V20&gt;0),(IF(Time!U34=1,U61,U59)-U58)*V19+IF(Time!V46&gt;0,Time!V45*U58/Time!V46,0)+IF(Time!U34=1,U61,U59)*V12,0)</f>
        <v>3.50870767683056</v>
      </c>
      <c r="V121" s="13" t="n">
        <f aca="false">IF(AND(Time!V20&gt;=Time!$F$12,Time!W20&gt;0),(IF(Time!V34=1,V61,V59)-V58)*W19+IF(Time!W46&gt;0,Time!W45*V58/Time!W46,0)+IF(Time!V34=1,V61,V59)*W12,0)</f>
        <v>3.55093131364988</v>
      </c>
      <c r="W121" s="13" t="n">
        <f aca="false">IF(AND(Time!W20&gt;=Time!$F$12,Time!X20&gt;0),(IF(Time!W34=1,W61,W59)-W58)*X19+IF(Time!X46&gt;0,Time!X45*W58/Time!X46,0)+IF(Time!W34=1,W61,W59)*X12,0)</f>
        <v>3.56080875545317</v>
      </c>
      <c r="X121" s="13" t="n">
        <f aca="false">IF(AND(Time!X20&gt;=Time!$F$12,Time!Y20&gt;0),(IF(Time!X34=1,X61,X59)-X58)*Y19+IF(Time!Y46&gt;0,Time!Y45*X58/Time!Y46,0)+IF(Time!X34=1,X61,X59)*Y12,0)</f>
        <v>3.52475575446982</v>
      </c>
      <c r="Y121" s="13" t="n">
        <f aca="false">IF(AND(Time!Y20&gt;=Time!$F$12,Time!Z20&gt;0),(IF(Time!Y34=1,Y61,Y59)-Y58)*Z19+IF(Time!Z46&gt;0,Time!Z45*Y58/Time!Z46,0)+IF(Time!Y34=1,Y61,Y59)*Z12,0)</f>
        <v>3.58664759123317</v>
      </c>
      <c r="Z121" s="13" t="n">
        <f aca="false">IF(AND(Time!Z20&gt;=Time!$F$12,Time!AA20&gt;0),(IF(Time!Z34=1,Z61,Z59)-Z58)*AA19+IF(Time!AA46&gt;0,Time!AA45*Z58/Time!AA46,0)+IF(Time!Z34=1,Z61,Z59)*AA12,0)</f>
        <v>3.61263342630823</v>
      </c>
      <c r="AA121" s="13" t="n">
        <f aca="false">IF(AND(Time!AA20&gt;=Time!$F$12,Time!AB20&gt;0),(IF(Time!AA34=1,AA61,AA59)-AA58)*AB19+IF(Time!AB46&gt;0,Time!AB45*AA58/Time!AB46,0)+IF(Time!AA34=1,AA61,AA59)*AB12,0)</f>
        <v>3.74605298481941</v>
      </c>
      <c r="AB121" s="13" t="n">
        <f aca="false">IF(AND(Time!AB20&gt;=Time!$F$12,Time!AC20&gt;0),(IF(Time!AB34=1,AB61,AB59)-AB58)*AC19+IF(Time!AC46&gt;0,Time!AC45*AB58/Time!AC46,0)+IF(Time!AB34=1,AB61,AB59)*AC12,0)</f>
        <v>3.70281871027435</v>
      </c>
      <c r="AC121" s="13" t="n">
        <f aca="false">IF(AND(Time!AC20&gt;=Time!$F$12,Time!AD20&gt;0),(IF(Time!AC34=1,AC61,AC59)-AC58)*AD19+IF(Time!AD46&gt;0,Time!AD45*AC58/Time!AD46,0)+IF(Time!AC34=1,AC61,AC59)*AD12,0)</f>
        <v>3.79465065646354</v>
      </c>
      <c r="AD121" s="13" t="n">
        <f aca="false">IF(AND(Time!AD20&gt;=Time!$F$12,Time!AE20&gt;0),(IF(Time!AD34=1,AD61,AD59)-AD58)*AE19+IF(Time!AE46&gt;0,Time!AE45*AD58/Time!AE46,0)+IF(Time!AD34=1,AD61,AD59)*AE12,0)</f>
        <v>3.85219891482462</v>
      </c>
      <c r="AE121" s="13" t="n">
        <f aca="false">IF(AND(Time!AE20&gt;=Time!$F$12,Time!AF20&gt;0),(IF(Time!AE34=1,AE61,AE59)-AE58)*AF19+IF(Time!AF46&gt;0,Time!AF45*AE58/Time!AF46,0)+IF(Time!AE34=1,AE61,AE59)*AF12,0)</f>
        <v>4.10474248436591</v>
      </c>
      <c r="AF121" s="13" t="n">
        <f aca="false">IF(AND(Time!AF20&gt;=Time!$F$12,Time!AG20&gt;0),(IF(Time!AF34=1,AF61,AF59)-AF58)*AG19+IF(Time!AG46&gt;0,Time!AG45*AF58/Time!AG46,0)+IF(Time!AF34=1,AF61,AF59)*AG12,0)</f>
        <v>4.12649926950438</v>
      </c>
      <c r="AG121" s="13" t="n">
        <f aca="false">IF(AND(Time!AG20&gt;=Time!$F$12,Time!AH20&gt;0),(IF(Time!AG34=1,AG61,AG59)-AG58)*AH19+IF(Time!AH46&gt;0,Time!AH45*AG58/Time!AH46,0)+IF(Time!AG34=1,AG61,AG59)*AH12,0)</f>
        <v>4.21325263991124</v>
      </c>
      <c r="AH121" s="13" t="n">
        <f aca="false">IF(AND(Time!AH20&gt;=Time!$F$12,Time!AI20&gt;0),(IF(Time!AH34=1,AH61,AH59)-AH58)*AI19+IF(Time!AI46&gt;0,Time!AI45*AH58/Time!AI46,0)+IF(Time!AH34=1,AH61,AH59)*AI12,0)</f>
        <v>4.24906572122904</v>
      </c>
      <c r="AI121" s="13" t="n">
        <f aca="false">IF(AND(Time!AI20&gt;=Time!$F$12,Time!AJ20&gt;0),(IF(Time!AI34=1,AI61,AI59)-AI58)*AJ19+IF(Time!AJ46&gt;0,Time!AJ45*AI58/Time!AJ46,0)+IF(Time!AI34=1,AI61,AI59)*AJ12,0)</f>
        <v>4.41135534262284</v>
      </c>
      <c r="AJ121" s="13" t="n">
        <f aca="false">IF(AND(Time!AJ20&gt;=Time!$F$12,Time!AK20&gt;0),(IF(Time!AJ34=1,AJ61,AJ59)-AJ58)*AK19+IF(Time!AK46&gt;0,Time!AK45*AJ58/Time!AK46,0)+IF(Time!AJ34=1,AJ61,AJ59)*AK12,0)</f>
        <v>4.41121851920812</v>
      </c>
      <c r="AK121" s="13" t="n">
        <f aca="false">IF(AND(Time!AK20&gt;=Time!$F$12,Time!AL20&gt;0),(IF(Time!AK34=1,AK61,AK59)-AK58)*AL19+IF(Time!AL46&gt;0,Time!AL45*AK58/Time!AL46,0)+IF(Time!AK34=1,AK61,AK59)*AL12,0)</f>
        <v>4.455094430662</v>
      </c>
      <c r="AL121" s="13" t="n">
        <f aca="false">IF(AND(Time!AL20&gt;=Time!$F$12,Time!AM20&gt;0),(IF(Time!AL34=1,AL61,AL59)-AL58)*AM19+IF(Time!AM46&gt;0,Time!AM45*AL58/Time!AM46,0)+IF(Time!AL34=1,AL61,AL59)*AM12,0)</f>
        <v>4.51345303539348</v>
      </c>
      <c r="AM121" s="13" t="n">
        <f aca="false">IF(AND(Time!AM20&gt;=Time!$F$12,Time!AN20&gt;0),(IF(Time!AM34=1,AM61,AM59)-AM58)*AN19+IF(Time!AN46&gt;0,Time!AN45*AM58/Time!AN46,0)+IF(Time!AM34=1,AM61,AM59)*AN12,0)</f>
        <v>4.54416567031751</v>
      </c>
      <c r="AN121" s="13" t="n">
        <f aca="false">IF(AND(Time!AN20&gt;=Time!$F$12,Time!AO20&gt;0),(IF(Time!AN34=1,AN61,AN59)-AN58)*AO19+IF(Time!AO46&gt;0,Time!AO45*AN58/Time!AO46,0)+IF(Time!AN34=1,AN61,AN59)*AO12,0)</f>
        <v>4.60491665020713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1823</v>
      </c>
      <c r="E122" s="0" t="s">
        <v>151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14.4952259624141</v>
      </c>
      <c r="P122" s="13" t="n">
        <f aca="false">IF(AND(Time!P20&gt;=Time!$F$12,Time!Q20&gt;0),(IF(Time!P34=1,P75,P73)-P72)*Q19+IF(Time!Q46&gt;0,Time!Q45*P72/Time!Q46,0)+IF(Time!P34=1,P75,P73)*Q13,0)</f>
        <v>14.5404129209999</v>
      </c>
      <c r="Q122" s="13" t="n">
        <f aca="false">IF(AND(Time!Q20&gt;=Time!$F$12,Time!R20&gt;0),(IF(Time!Q34=1,Q75,Q73)-Q72)*R19+IF(Time!R46&gt;0,Time!R45*Q72/Time!R46,0)+IF(Time!Q34=1,Q75,Q73)*R13,0)</f>
        <v>14.6894370114815</v>
      </c>
      <c r="R122" s="13" t="n">
        <f aca="false">IF(AND(Time!R20&gt;=Time!$F$12,Time!S20&gt;0),(IF(Time!R34=1,R75,R73)-R72)*S19+IF(Time!S46&gt;0,Time!S45*R72/Time!S46,0)+IF(Time!R34=1,R75,R73)*S13,0)</f>
        <v>14.7222657322795</v>
      </c>
      <c r="S122" s="13" t="n">
        <f aca="false">IF(AND(Time!S20&gt;=Time!$F$12,Time!T20&gt;0),(IF(Time!S34=1,S75,S73)-S72)*T19+IF(Time!T46&gt;0,Time!T45*S72/Time!T46,0)+IF(Time!S34=1,S75,S73)*T13,0)</f>
        <v>15.1237972950884</v>
      </c>
      <c r="T122" s="13" t="n">
        <f aca="false">IF(AND(Time!T20&gt;=Time!$F$12,Time!U20&gt;0),(IF(Time!T34=1,T75,T73)-T72)*U19+IF(Time!U46&gt;0,Time!U45*T72/Time!U46,0)+IF(Time!T34=1,T75,T73)*U13,0)</f>
        <v>15.0132262155488</v>
      </c>
      <c r="U122" s="13" t="n">
        <f aca="false">IF(AND(Time!U20&gt;=Time!$F$12,Time!V20&gt;0),(IF(Time!U34=1,U75,U73)-U72)*V19+IF(Time!V46&gt;0,Time!V45*U72/Time!V46,0)+IF(Time!U34=1,U75,U73)*V13,0)</f>
        <v>14.9642962822553</v>
      </c>
      <c r="V122" s="13" t="n">
        <f aca="false">IF(AND(Time!V20&gt;=Time!$F$12,Time!W20&gt;0),(IF(Time!V34=1,V75,V73)-V72)*W19+IF(Time!W46&gt;0,Time!W45*V72/Time!W46,0)+IF(Time!V34=1,V75,V73)*W13,0)</f>
        <v>15.0777771397395</v>
      </c>
      <c r="W122" s="13" t="n">
        <f aca="false">IF(AND(Time!W20&gt;=Time!$F$12,Time!X20&gt;0),(IF(Time!W34=1,W75,W73)-W72)*X19+IF(Time!X46&gt;0,Time!X45*W72/Time!X46,0)+IF(Time!W34=1,W75,W73)*X13,0)</f>
        <v>15.0656061115626</v>
      </c>
      <c r="X122" s="13" t="n">
        <f aca="false">IF(AND(Time!X20&gt;=Time!$F$12,Time!Y20&gt;0),(IF(Time!X34=1,X75,X73)-X72)*Y19+IF(Time!Y46&gt;0,Time!Y45*X72/Time!Y46,0)+IF(Time!X34=1,X75,X73)*Y13,0)</f>
        <v>15.4254161726508</v>
      </c>
      <c r="Y122" s="13" t="n">
        <f aca="false">IF(AND(Time!Y20&gt;=Time!$F$12,Time!Z20&gt;0),(IF(Time!Y34=1,Y75,Y73)-Y72)*Z19+IF(Time!Z46&gt;0,Time!Z45*Y72/Time!Z46,0)+IF(Time!Y34=1,Y75,Y73)*Z13,0)</f>
        <v>15.589016859507</v>
      </c>
      <c r="Z122" s="13" t="n">
        <f aca="false">IF(AND(Time!Z20&gt;=Time!$F$12,Time!AA20&gt;0),(IF(Time!Z34=1,Z75,Z73)-Z72)*AA19+IF(Time!AA46&gt;0,Time!AA45*Z72/Time!AA46,0)+IF(Time!Z34=1,Z75,Z73)*AA13,0)</f>
        <v>15.611421128321</v>
      </c>
      <c r="AA122" s="13" t="n">
        <f aca="false">IF(AND(Time!AA20&gt;=Time!$F$12,Time!AB20&gt;0),(IF(Time!AA34=1,AA75,AA73)-AA72)*AB19+IF(Time!AB46&gt;0,Time!AB45*AA72/Time!AB46,0)+IF(Time!AA34=1,AA75,AA73)*AB13,0)</f>
        <v>16.0385688117013</v>
      </c>
      <c r="AB122" s="13" t="n">
        <f aca="false">IF(AND(Time!AB20&gt;=Time!$F$12,Time!AC20&gt;0),(IF(Time!AB34=1,AB75,AB73)-AB72)*AC19+IF(Time!AC46&gt;0,Time!AC45*AB72/Time!AC46,0)+IF(Time!AB34=1,AB75,AB73)*AC13,0)</f>
        <v>15.0788342511464</v>
      </c>
      <c r="AC122" s="13" t="n">
        <f aca="false">IF(AND(Time!AC20&gt;=Time!$F$12,Time!AD20&gt;0),(IF(Time!AC34=1,AC75,AC73)-AC72)*AD19+IF(Time!AD46&gt;0,Time!AD45*AC72/Time!AD46,0)+IF(Time!AC34=1,AC75,AC73)*AD13,0)</f>
        <v>14.4151842938905</v>
      </c>
      <c r="AD122" s="13" t="n">
        <f aca="false">IF(AND(Time!AD20&gt;=Time!$F$12,Time!AE20&gt;0),(IF(Time!AD34=1,AD75,AD73)-AD72)*AE19+IF(Time!AE46&gt;0,Time!AE45*AD72/Time!AE46,0)+IF(Time!AD34=1,AD75,AD73)*AE13,0)</f>
        <v>13.567755848816</v>
      </c>
      <c r="AE122" s="13" t="n">
        <f aca="false">IF(AND(Time!AE20&gt;=Time!$F$12,Time!AF20&gt;0),(IF(Time!AE34=1,AE75,AE73)-AE72)*AF19+IF(Time!AF46&gt;0,Time!AF45*AE72/Time!AF46,0)+IF(Time!AE34=1,AE75,AE73)*AF13,0)</f>
        <v>13.1234594552531</v>
      </c>
      <c r="AF122" s="13" t="n">
        <f aca="false">IF(AND(Time!AF20&gt;=Time!$F$12,Time!AG20&gt;0),(IF(Time!AF34=1,AF75,AF73)-AF72)*AG19+IF(Time!AG46&gt;0,Time!AG45*AF72/Time!AG46,0)+IF(Time!AF34=1,AF75,AF73)*AG13,0)</f>
        <v>12.2397670129366</v>
      </c>
      <c r="AG122" s="13" t="n">
        <f aca="false">IF(AND(Time!AG20&gt;=Time!$F$12,Time!AH20&gt;0),(IF(Time!AG34=1,AG75,AG73)-AG72)*AH19+IF(Time!AH46&gt;0,Time!AH45*AG72/Time!AH46,0)+IF(Time!AG34=1,AG75,AG73)*AH13,0)</f>
        <v>11.2694740074896</v>
      </c>
      <c r="AH122" s="13" t="n">
        <f aca="false">IF(AND(Time!AH20&gt;=Time!$F$12,Time!AI20&gt;0),(IF(Time!AH34=1,AH75,AH73)-AH72)*AI19+IF(Time!AI46&gt;0,Time!AI45*AH72/Time!AI46,0)+IF(Time!AH34=1,AH75,AH73)*AI13,0)</f>
        <v>10.0102272404569</v>
      </c>
      <c r="AI122" s="13" t="n">
        <f aca="false">IF(AND(Time!AI20&gt;=Time!$F$12,Time!AJ20&gt;0),(IF(Time!AI34=1,AI75,AI73)-AI72)*AJ19+IF(Time!AJ46&gt;0,Time!AJ45*AI72/Time!AJ46,0)+IF(Time!AI34=1,AI75,AI73)*AJ13,0)</f>
        <v>8.70046802618861</v>
      </c>
      <c r="AJ122" s="13" t="n">
        <f aca="false">IF(AND(Time!AJ20&gt;=Time!$F$12,Time!AK20&gt;0),(IF(Time!AJ34=1,AJ75,AJ73)-AJ72)*AK19+IF(Time!AK46&gt;0,Time!AK45*AJ72/Time!AK46,0)+IF(Time!AJ34=1,AJ75,AJ73)*AK13,0)</f>
        <v>6.81468881820527</v>
      </c>
      <c r="AK122" s="13" t="n">
        <f aca="false">IF(AND(Time!AK20&gt;=Time!$F$12,Time!AL20&gt;0),(IF(Time!AK34=1,AK75,AK73)-AK72)*AL19+IF(Time!AL46&gt;0,Time!AL45*AK72/Time!AL46,0)+IF(Time!AK34=1,AK75,AK73)*AL13,0)</f>
        <v>4.36139772722805</v>
      </c>
      <c r="AL122" s="13" t="n">
        <f aca="false">IF(AND(Time!AL20&gt;=Time!$F$12,Time!AM20&gt;0),(IF(Time!AL34=1,AL75,AL73)-AL72)*AM19+IF(Time!AM46&gt;0,Time!AM45*AL72/Time!AM46,0)+IF(Time!AL34=1,AL75,AL73)*AM13,0)</f>
        <v>1.07600846147986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1824</v>
      </c>
      <c r="E123" s="0" t="s">
        <v>151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0</v>
      </c>
      <c r="P123" s="13" t="n">
        <f aca="false">IF(AND(Time!P20&gt;=Time!$F$12,Time!Q20&gt;0),(IF(Time!P34=1,P89,P87)-P86)*Q19+IF(Time!Q46&gt;0,Time!Q45*P86/Time!Q46,0)+IF(Time!P34=1,P89,P87)*Q14,0)</f>
        <v>0</v>
      </c>
      <c r="Q123" s="13" t="n">
        <f aca="false">IF(AND(Time!Q20&gt;=Time!$F$12,Time!R20&gt;0),(IF(Time!Q34=1,Q89,Q87)-Q86)*R19+IF(Time!R46&gt;0,Time!R45*Q86/Time!R46,0)+IF(Time!Q34=1,Q89,Q87)*R14,0)</f>
        <v>0</v>
      </c>
      <c r="R123" s="13" t="n">
        <f aca="false">IF(AND(Time!R20&gt;=Time!$F$12,Time!S20&gt;0),(IF(Time!R34=1,R89,R87)-R86)*S19+IF(Time!S46&gt;0,Time!S45*R86/Time!S46,0)+IF(Time!R34=1,R89,R87)*S14,0)</f>
        <v>0</v>
      </c>
      <c r="S123" s="13" t="n">
        <f aca="false">IF(AND(Time!S20&gt;=Time!$F$12,Time!T20&gt;0),(IF(Time!S34=1,S89,S87)-S86)*T19+IF(Time!T46&gt;0,Time!T45*S86/Time!T46,0)+IF(Time!S34=1,S89,S87)*T14,0)</f>
        <v>0</v>
      </c>
      <c r="T123" s="13" t="n">
        <f aca="false">IF(AND(Time!T20&gt;=Time!$F$12,Time!U20&gt;0),(IF(Time!T34=1,T89,T87)-T86)*U19+IF(Time!U46&gt;0,Time!U45*T86/Time!U46,0)+IF(Time!T34=1,T89,T87)*U14,0)</f>
        <v>0</v>
      </c>
      <c r="U123" s="13" t="n">
        <f aca="false">IF(AND(Time!U20&gt;=Time!$F$12,Time!V20&gt;0),(IF(Time!U34=1,U89,U87)-U86)*V19+IF(Time!V46&gt;0,Time!V45*U86/Time!V46,0)+IF(Time!U34=1,U89,U87)*V14,0)</f>
        <v>0</v>
      </c>
      <c r="V123" s="13" t="n">
        <f aca="false">IF(AND(Time!V20&gt;=Time!$F$12,Time!W20&gt;0),(IF(Time!V34=1,V89,V87)-V86)*W19+IF(Time!W46&gt;0,Time!W45*V86/Time!W46,0)+IF(Time!V34=1,V89,V87)*W14,0)</f>
        <v>0</v>
      </c>
      <c r="W123" s="13" t="n">
        <f aca="false">IF(AND(Time!W20&gt;=Time!$F$12,Time!X20&gt;0),(IF(Time!W34=1,W89,W87)-W86)*X19+IF(Time!X46&gt;0,Time!X45*W86/Time!X46,0)+IF(Time!W34=1,W89,W87)*X14,0)</f>
        <v>0</v>
      </c>
      <c r="X123" s="13" t="n">
        <f aca="false">IF(AND(Time!X20&gt;=Time!$F$12,Time!Y20&gt;0),(IF(Time!X34=1,X89,X87)-X86)*Y19+IF(Time!Y46&gt;0,Time!Y45*X86/Time!Y46,0)+IF(Time!X34=1,X89,X87)*Y14,0)</f>
        <v>0</v>
      </c>
      <c r="Y123" s="13" t="n">
        <f aca="false">IF(AND(Time!Y20&gt;=Time!$F$12,Time!Z20&gt;0),(IF(Time!Y34=1,Y89,Y87)-Y86)*Z19+IF(Time!Z46&gt;0,Time!Z45*Y86/Time!Z46,0)+IF(Time!Y34=1,Y89,Y87)*Z14,0)</f>
        <v>0</v>
      </c>
      <c r="Z123" s="13" t="n">
        <f aca="false">IF(AND(Time!Z20&gt;=Time!$F$12,Time!AA20&gt;0),(IF(Time!Z34=1,Z89,Z87)-Z86)*AA19+IF(Time!AA46&gt;0,Time!AA45*Z86/Time!AA46,0)+IF(Time!Z34=1,Z89,Z87)*AA14,0)</f>
        <v>0</v>
      </c>
      <c r="AA123" s="13" t="n">
        <f aca="false">IF(AND(Time!AA20&gt;=Time!$F$12,Time!AB20&gt;0),(IF(Time!AA34=1,AA89,AA87)-AA86)*AB19+IF(Time!AB46&gt;0,Time!AB45*AA86/Time!AB46,0)+IF(Time!AA34=1,AA89,AA87)*AB14,0)</f>
        <v>0</v>
      </c>
      <c r="AB123" s="13" t="n">
        <f aca="false">IF(AND(Time!AB20&gt;=Time!$F$12,Time!AC20&gt;0),(IF(Time!AB34=1,AB89,AB87)-AB86)*AC19+IF(Time!AC46&gt;0,Time!AC45*AB86/Time!AC46,0)+IF(Time!AB34=1,AB89,AB87)*AC14,0)</f>
        <v>0</v>
      </c>
      <c r="AC123" s="13" t="n">
        <f aca="false">IF(AND(Time!AC20&gt;=Time!$F$12,Time!AD20&gt;0),(IF(Time!AC34=1,AC89,AC87)-AC86)*AD19+IF(Time!AD46&gt;0,Time!AD45*AC86/Time!AD46,0)+IF(Time!AC34=1,AC89,AC87)*AD14,0)</f>
        <v>0</v>
      </c>
      <c r="AD123" s="13" t="n">
        <f aca="false">IF(AND(Time!AD20&gt;=Time!$F$12,Time!AE20&gt;0),(IF(Time!AD34=1,AD89,AD87)-AD86)*AE19+IF(Time!AE46&gt;0,Time!AE45*AD86/Time!AE46,0)+IF(Time!AD34=1,AD89,AD87)*AE14,0)</f>
        <v>0</v>
      </c>
      <c r="AE123" s="13" t="n">
        <f aca="false">IF(AND(Time!AE20&gt;=Time!$F$12,Time!AF20&gt;0),(IF(Time!AE34=1,AE89,AE87)-AE86)*AF19+IF(Time!AF46&gt;0,Time!AF45*AE86/Time!AF46,0)+IF(Time!AE34=1,AE89,AE87)*AF14,0)</f>
        <v>0</v>
      </c>
      <c r="AF123" s="13" t="n">
        <f aca="false">IF(AND(Time!AF20&gt;=Time!$F$12,Time!AG20&gt;0),(IF(Time!AF34=1,AF89,AF87)-AF86)*AG19+IF(Time!AG46&gt;0,Time!AG45*AF86/Time!AG46,0)+IF(Time!AF34=1,AF89,AF87)*AG14,0)</f>
        <v>0</v>
      </c>
      <c r="AG123" s="13" t="n">
        <f aca="false">IF(AND(Time!AG20&gt;=Time!$F$12,Time!AH20&gt;0),(IF(Time!AG34=1,AG89,AG87)-AG86)*AH19+IF(Time!AH46&gt;0,Time!AH45*AG86/Time!AH46,0)+IF(Time!AG34=1,AG89,AG87)*AH14,0)</f>
        <v>0</v>
      </c>
      <c r="AH123" s="13" t="n">
        <f aca="false">IF(AND(Time!AH20&gt;=Time!$F$12,Time!AI20&gt;0),(IF(Time!AH34=1,AH89,AH87)-AH86)*AI19+IF(Time!AI46&gt;0,Time!AI45*AH86/Time!AI46,0)+IF(Time!AH34=1,AH89,AH87)*AI14,0)</f>
        <v>0</v>
      </c>
      <c r="AI123" s="13" t="n">
        <f aca="false">IF(AND(Time!AI20&gt;=Time!$F$12,Time!AJ20&gt;0),(IF(Time!AI34=1,AI89,AI87)-AI86)*AJ19+IF(Time!AJ46&gt;0,Time!AJ45*AI86/Time!AJ46,0)+IF(Time!AI34=1,AI89,AI87)*AJ14,0)</f>
        <v>0</v>
      </c>
      <c r="AJ123" s="13" t="n">
        <f aca="false">IF(AND(Time!AJ20&gt;=Time!$F$12,Time!AK20&gt;0),(IF(Time!AJ34=1,AJ89,AJ87)-AJ86)*AK19+IF(Time!AK46&gt;0,Time!AK45*AJ86/Time!AK46,0)+IF(Time!AJ34=1,AJ89,AJ87)*AK14,0)</f>
        <v>0</v>
      </c>
      <c r="AK123" s="13" t="n">
        <f aca="false">IF(AND(Time!AK20&gt;=Time!$F$12,Time!AL20&gt;0),(IF(Time!AK34=1,AK89,AK87)-AK86)*AL19+IF(Time!AL46&gt;0,Time!AL45*AK86/Time!AL46,0)+IF(Time!AK34=1,AK89,AK87)*AL14,0)</f>
        <v>0</v>
      </c>
      <c r="AL123" s="13" t="n">
        <f aca="false">IF(AND(Time!AL20&gt;=Time!$F$12,Time!AM20&gt;0),(IF(Time!AL34=1,AL89,AL87)-AL86)*AM19+IF(Time!AM46&gt;0,Time!AM45*AL86/Time!AM46,0)+IF(Time!AL34=1,AL89,AL87)*AM14,0)</f>
        <v>0</v>
      </c>
      <c r="AM123" s="13" t="n">
        <f aca="false">IF(AND(Time!AM20&gt;=Time!$F$12,Time!AN20&gt;0),(IF(Time!AM34=1,AM89,AM87)-AM86)*AN19+IF(Time!AN46&gt;0,Time!AN45*AM86/Time!AN46,0)+IF(Time!AM34=1,AM89,AM87)*AN14,0)</f>
        <v>0</v>
      </c>
      <c r="AN123" s="13" t="n">
        <f aca="false">IF(AND(Time!AN20&gt;=Time!$F$12,Time!AO20&gt;0),(IF(Time!AN34=1,AN89,AN87)-AN86)*AO19+IF(Time!AO46&gt;0,Time!AO45*AN86/Time!AO46,0)+IF(Time!AN34=1,AN89,AN87)*AO14,0)</f>
        <v>0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1825</v>
      </c>
      <c r="E124" s="0" t="s">
        <v>151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1826</v>
      </c>
      <c r="E125" s="0" t="s">
        <v>151</v>
      </c>
      <c r="J125" s="13" t="n">
        <f aca="false">IF(AND(Time!J20&gt;=Time!$F$12,Time!K20&gt;0),J119+J120+J121+J122+J123+J124+-1*Inputs!K301*K106*(Inputs!$F$97/100*Time!K24-Operations!K9/100*Time!K25/Inputs!$F$247)+(Inputs!$F$95/100*Inputs!$F$96/100)*J118*Time!K25/Inputs!$F$248,0)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IF(AND(Time!K20&gt;=Time!$F$12,Time!L20&gt;0),K119+K120+K121+K122+K123+K124+-1*Inputs!L301*L106*(Inputs!$F$97/100*Time!L24-Operations!L9/100*Time!L25/Inputs!$F$247)+(Inputs!$F$95/100*Inputs!$F$96/100)*K118*Time!L25/Inputs!$F$248,0)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IF(AND(Time!L20&gt;=Time!$F$12,Time!M20&gt;0),L119+L120+L121+L122+L123+L124+-1*Inputs!M301*M106*(Inputs!$F$97/100*Time!M24-Operations!M9/100*Time!M25/Inputs!$F$247)+(Inputs!$F$95/100*Inputs!$F$96/100)*L118*Time!M25/Inputs!$F$248,0)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IF(AND(Time!M20&gt;=Time!$F$12,Time!N20&gt;0),M119+M120+M121+M122+M123+M124+-1*Inputs!N301*N106*(Inputs!$F$97/100*Time!N24-Operations!N9/100*Time!N25/Inputs!$F$247)+(Inputs!$F$95/100*Inputs!$F$96/100)*M118*Time!N25/Inputs!$F$248,0)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IF(AND(Time!N20&gt;=Time!$F$12,Time!O20&gt;0),N119+N120+N121+N122+N123+N124+-1*Inputs!O301*O106*(Inputs!$F$97/100*Time!O24-Operations!O9/100*Time!O25/Inputs!$F$247)+(Inputs!$F$95/100*Inputs!$F$96/100)*N118*Time!O25/Inputs!$F$248,0)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IF(AND(Time!O20&gt;=Time!$F$12,Time!P20&gt;0),O119+O120+O121+O122+O123+O124+-1*Inputs!P301*P106*(Inputs!$F$97/100*Time!P24-Operations!P9/100*Time!P25/Inputs!$F$247)+(Inputs!$F$95/100*Inputs!$F$96/100)*O118*Time!P25/Inputs!$F$248,0)</f>
        <v>39.08329016435</v>
      </c>
      <c r="P125" s="13" t="n">
        <f aca="false">IF(AND(Time!P20&gt;=Time!$F$12,Time!Q20&gt;0),P119+P120+P121+P122+P123+P124+-1*Inputs!Q301*Q106*(Inputs!$F$97/100*Time!Q24-Operations!Q9/100*Time!Q25/Inputs!$F$247)+(Inputs!$F$95/100*Inputs!$F$96/100)*P118*Time!Q25/Inputs!$F$248,0)</f>
        <v>38.9025364374744</v>
      </c>
      <c r="Q125" s="13" t="n">
        <f aca="false">IF(AND(Time!Q20&gt;=Time!$F$12,Time!R20&gt;0),Q119+Q120+Q121+Q122+Q123+Q124+-1*Inputs!R301*R106*(Inputs!$F$97/100*Time!R24-Operations!R9/100*Time!R25/Inputs!$F$247)+(Inputs!$F$95/100*Inputs!$F$96/100)*Q118*Time!R25/Inputs!$F$248,0)</f>
        <v>39.148458448062</v>
      </c>
      <c r="R125" s="13" t="n">
        <f aca="false">IF(AND(Time!R20&gt;=Time!$F$12,Time!S20&gt;0),R119+R120+R121+R122+R123+R124+-1*Inputs!S301*S106*(Inputs!$F$97/100*Time!S24-Operations!S9/100*Time!S25/Inputs!$F$247)+(Inputs!$F$95/100*Inputs!$F$96/100)*R118*Time!S25/Inputs!$F$248,0)</f>
        <v>38.9130319692583</v>
      </c>
      <c r="S125" s="13" t="n">
        <f aca="false">IF(AND(Time!S20&gt;=Time!$F$12,Time!T20&gt;0),S119+S120+S121+S122+S123+S124+-1*Inputs!T301*T106*(Inputs!$F$97/100*Time!T24-Operations!T9/100*Time!T25/Inputs!$F$247)+(Inputs!$F$95/100*Inputs!$F$96/100)*S118*Time!T25/Inputs!$F$248,0)</f>
        <v>39.6149587964242</v>
      </c>
      <c r="T125" s="13" t="n">
        <f aca="false">IF(AND(Time!T20&gt;=Time!$F$12,Time!U20&gt;0),T119+T120+T121+T122+T123+T124+-1*Inputs!U301*U106*(Inputs!$F$97/100*Time!U24-Operations!U9/100*Time!U25/Inputs!$F$247)+(Inputs!$F$95/100*Inputs!$F$96/100)*T118*Time!U25/Inputs!$F$248,0)</f>
        <v>39.1350453483946</v>
      </c>
      <c r="U125" s="13" t="n">
        <f aca="false">IF(AND(Time!U20&gt;=Time!$F$12,Time!V20&gt;0),U119+U120+U121+U122+U123+U124+-1*Inputs!V301*V106*(Inputs!$F$97/100*Time!V24-Operations!V9/100*Time!V25/Inputs!$F$247)+(Inputs!$F$95/100*Inputs!$F$96/100)*U118*Time!V25/Inputs!$F$248,0)</f>
        <v>38.9518795024765</v>
      </c>
      <c r="V125" s="13" t="n">
        <f aca="false">IF(AND(Time!V20&gt;=Time!$F$12,Time!W20&gt;0),V119+V120+V121+V122+V123+V124+-1*Inputs!W301*W106*(Inputs!$F$97/100*Time!W24-Operations!W9/100*Time!W25/Inputs!$F$247)+(Inputs!$F$95/100*Inputs!$F$96/100)*V118*Time!W25/Inputs!$F$248,0)</f>
        <v>38.8473073097399</v>
      </c>
      <c r="W125" s="13" t="n">
        <f aca="false">IF(AND(Time!W20&gt;=Time!$F$12,Time!X20&gt;0),W119+W120+W121+W122+W123+W124+-1*Inputs!X301*X106*(Inputs!$F$97/100*Time!X24-Operations!X9/100*Time!X25/Inputs!$F$247)+(Inputs!$F$95/100*Inputs!$F$96/100)*W118*Time!X25/Inputs!$F$248,0)</f>
        <v>38.7680079107372</v>
      </c>
      <c r="X125" s="13" t="n">
        <f aca="false">IF(AND(Time!X20&gt;=Time!$F$12,Time!Y20&gt;0),X119+X120+X121+X122+X123+X124+-1*Inputs!Y301*Y106*(Inputs!$F$97/100*Time!Y24-Operations!Y9/100*Time!Y25/Inputs!$F$247)+(Inputs!$F$95/100*Inputs!$F$96/100)*X118*Time!Y25/Inputs!$F$248,0)</f>
        <v>38.6639671863843</v>
      </c>
      <c r="Y125" s="13" t="n">
        <f aca="false">IF(AND(Time!Y20&gt;=Time!$F$12,Time!Z20&gt;0),Y119+Y120+Y121+Y122+Y123+Y124+-1*Inputs!Z301*Z106*(Inputs!$F$97/100*Time!Z24-Operations!Z9/100*Time!Z25/Inputs!$F$247)+(Inputs!$F$95/100*Inputs!$F$96/100)*Y118*Time!Z25/Inputs!$F$248,0)</f>
        <v>38.9147970818194</v>
      </c>
      <c r="Z125" s="13" t="n">
        <f aca="false">IF(AND(Time!Z20&gt;=Time!$F$12,Time!AA20&gt;0),Z119+Z120+Z121+Z122+Z123+Z124+-1*Inputs!AA301*AA106*(Inputs!$F$97/100*Time!AA24-Operations!AA9/100*Time!AA25/Inputs!$F$247)+(Inputs!$F$95/100*Inputs!$F$96/100)*Z118*Time!AA25/Inputs!$F$248,0)</f>
        <v>38.6775085590125</v>
      </c>
      <c r="AA125" s="13" t="n">
        <f aca="false">IF(AND(Time!AA20&gt;=Time!$F$12,Time!AB20&gt;0),AA119+AA120+AA121+AA122+AA123+AA124+-1*Inputs!AB301*AB106*(Inputs!$F$97/100*Time!AB24-Operations!AB9/100*Time!AB25/Inputs!$F$247)+(Inputs!$F$95/100*Inputs!$F$96/100)*AA118*Time!AB25/Inputs!$F$248,0)</f>
        <v>39.4046964765666</v>
      </c>
      <c r="AB125" s="13" t="n">
        <f aca="false">IF(AND(Time!AB20&gt;=Time!$F$12,Time!AC20&gt;0),AB119+AB120+AB121+AB122+AB123+AB124+-1*Inputs!AC301*AC106*(Inputs!$F$97/100*Time!AC24-Operations!AC9/100*Time!AC25/Inputs!$F$247)+(Inputs!$F$95/100*Inputs!$F$96/100)*AB118*Time!AC25/Inputs!$F$248,0)</f>
        <v>37.9602800599992</v>
      </c>
      <c r="AC125" s="13" t="n">
        <f aca="false">IF(AND(Time!AC20&gt;=Time!$F$12,Time!AD20&gt;0),AC119+AC120+AC121+AC122+AC123+AC124+-1*Inputs!AD301*AD106*(Inputs!$F$97/100*Time!AD24-Operations!AD9/100*Time!AD25/Inputs!$F$247)+(Inputs!$F$95/100*Inputs!$F$96/100)*AC118*Time!AD25/Inputs!$F$248,0)</f>
        <v>37.3679298560692</v>
      </c>
      <c r="AD125" s="13" t="n">
        <f aca="false">IF(AND(Time!AD20&gt;=Time!$F$12,Time!AE20&gt;0),AD119+AD120+AD121+AD122+AD123+AD124+-1*Inputs!AE301*AE106*(Inputs!$F$97/100*Time!AE24-Operations!AE9/100*Time!AE25/Inputs!$F$247)+(Inputs!$F$95/100*Inputs!$F$96/100)*AD118*Time!AE25/Inputs!$F$248,0)</f>
        <v>36.3307691387425</v>
      </c>
      <c r="AE125" s="13" t="n">
        <f aca="false">IF(AND(Time!AE20&gt;=Time!$F$12,Time!AF20&gt;0),AE119+AE120+AE121+AE122+AE123+AE124+-1*Inputs!AF301*AF106*(Inputs!$F$97/100*Time!AF24-Operations!AF9/100*Time!AF25/Inputs!$F$247)+(Inputs!$F$95/100*Inputs!$F$96/100)*AE118*Time!AF25/Inputs!$F$248,0)</f>
        <v>36.4863044916394</v>
      </c>
      <c r="AF125" s="13" t="n">
        <f aca="false">IF(AND(Time!AF20&gt;=Time!$F$12,Time!AG20&gt;0),AF119+AF120+AF121+AF122+AF123+AF124+-1*Inputs!AG301*AG106*(Inputs!$F$97/100*Time!AG24-Operations!AG9/100*Time!AG25/Inputs!$F$247)+(Inputs!$F$95/100*Inputs!$F$96/100)*AF118*Time!AG25/Inputs!$F$248,0)</f>
        <v>35.3092359627574</v>
      </c>
      <c r="AG125" s="13" t="n">
        <f aca="false">IF(AND(Time!AG20&gt;=Time!$F$12,Time!AH20&gt;0),AG119+AG120+AG121+AG122+AG123+AG124+-1*Inputs!AH301*AH106*(Inputs!$F$97/100*Time!AH24-Operations!AH9/100*Time!AH25/Inputs!$F$247)+(Inputs!$F$95/100*Inputs!$F$96/100)*AG118*Time!AH25/Inputs!$F$248,0)</f>
        <v>34.4019589208378</v>
      </c>
      <c r="AH125" s="13" t="n">
        <f aca="false">IF(AND(Time!AH20&gt;=Time!$F$12,Time!AI20&gt;0),AH119+AH120+AH121+AH122+AH123+AH124+-1*Inputs!AI301*AI106*(Inputs!$F$97/100*Time!AI24-Operations!AI9/100*Time!AI25/Inputs!$F$247)+(Inputs!$F$95/100*Inputs!$F$96/100)*AH118*Time!AI25/Inputs!$F$248,0)</f>
        <v>32.9147773159073</v>
      </c>
      <c r="AI125" s="13" t="n">
        <f aca="false">IF(AND(Time!AI20&gt;=Time!$F$12,Time!AJ20&gt;0),AI119+AI120+AI121+AI122+AI123+AI124+-1*Inputs!AJ301*AJ106*(Inputs!$F$97/100*Time!AJ24-Operations!AJ9/100*Time!AJ25/Inputs!$F$247)+(Inputs!$F$95/100*Inputs!$F$96/100)*AI118*Time!AJ25/Inputs!$F$248,0)</f>
        <v>31.8924709659698</v>
      </c>
      <c r="AJ125" s="13" t="n">
        <f aca="false">IF(AND(Time!AJ20&gt;=Time!$F$12,Time!AK20&gt;0),AJ119+AJ120+AJ121+AJ122+AJ123+AJ124+-1*Inputs!AK301*AK106*(Inputs!$F$97/100*Time!AK24-Operations!AK9/100*Time!AK25/Inputs!$F$247)+(Inputs!$F$95/100*Inputs!$F$96/100)*AJ118*Time!AK25/Inputs!$F$248,0)</f>
        <v>29.6927788942323</v>
      </c>
      <c r="AK125" s="13" t="n">
        <f aca="false">IF(AND(Time!AK20&gt;=Time!$F$12,Time!AL20&gt;0),AK119+AK120+AK121+AK122+AK123+AK124+-1*Inputs!AL301*AL106*(Inputs!$F$97/100*Time!AL24-Operations!AL9/100*Time!AL25/Inputs!$F$247)+(Inputs!$F$95/100*Inputs!$F$96/100)*AK118*Time!AL25/Inputs!$F$248,0)</f>
        <v>27.1206416115935</v>
      </c>
      <c r="AL125" s="13" t="n">
        <f aca="false">IF(AND(Time!AL20&gt;=Time!$F$12,Time!AM20&gt;0),AL119+AL120+AL121+AL122+AL123+AL124+-1*Inputs!AM301*AM106*(Inputs!$F$97/100*Time!AM24-Operations!AM9/100*Time!AM25/Inputs!$F$247)+(Inputs!$F$95/100*Inputs!$F$96/100)*AL118*Time!AM25/Inputs!$F$248,0)</f>
        <v>23.7188026562949</v>
      </c>
      <c r="AM125" s="13" t="n">
        <f aca="false">IF(AND(Time!AM20&gt;=Time!$F$12,Time!AN20&gt;0),AM119+AM120+AM121+AM122+AM123+AM124+-1*Inputs!AN301*AN106*(Inputs!$F$97/100*Time!AN24-Operations!AN9/100*Time!AN25/Inputs!$F$247)+(Inputs!$F$95/100*Inputs!$F$96/100)*AM118*Time!AN25/Inputs!$F$248,0)</f>
        <v>22.5340489654769</v>
      </c>
      <c r="AN125" s="13" t="n">
        <f aca="false">IF(AND(Time!AN20&gt;=Time!$F$12,Time!AO20&gt;0),AN119+AN120+AN121+AN122+AN123+AN124+-1*Inputs!AO301*AO106*(Inputs!$F$97/100*Time!AO24-Operations!AO9/100*Time!AO25/Inputs!$F$247)+(Inputs!$F$95/100*Inputs!$F$96/100)*AN118*Time!AO25/Inputs!$F$248,0)</f>
        <v>22.5035404133309</v>
      </c>
      <c r="AO125" s="13" t="n">
        <f aca="false">IF(AND(Time!AO20&gt;=Time!$F$12,Time!AP20&gt;0),AO119+AO120+AO121+AO122+AO123+AO124+-1*Inputs!AP301*AP106*(Inputs!$F$97/100*Time!AP24-Operations!AP9/100*Time!AP25/Inputs!$F$247)+(Inputs!$F$95/100*Inputs!$F$96/100)*AO118*Time!AP25/Inputs!$F$248,0)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IF(AND(Time!AP20&gt;=Time!$F$12,Time!AQ20&gt;0),AP119+AP120+AP121+AP122+AP123+AP124+-1*Inputs!AQ301*AQ106*(Inputs!$F$97/100*Time!AQ24-Operations!AQ9/100*Time!AQ25/Inputs!$F$247)+(Inputs!$F$95/100*Inputs!$F$96/100)*AP118*Time!AQ25/Inputs!$F$248,0)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IF(AND(Time!AQ20&gt;=Time!$F$12,Time!AR20&gt;0),AQ119+AQ120+AQ121+AQ122+AQ123+AQ124+-1*Inputs!AR301*AR106*(Inputs!$F$97/100*Time!AR24-Operations!AR9/100*Time!AR25/Inputs!$F$247)+(Inputs!$F$95/100*Inputs!$F$96/100)*AQ118*Time!AR25/Inputs!$F$248,0)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IF(AND(Time!AR20&gt;=Time!$F$12,Time!AS20&gt;0),AR119+AR120+AR121+AR122+AR123+AR124+-1*Inputs!AS301*AS106*(Inputs!$F$97/100*Time!AS24-Operations!AS9/100*Time!AS25/Inputs!$F$247)+(Inputs!$F$95/100*Inputs!$F$96/100)*AR118*Time!AS25/Inputs!$F$248,0)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IF(AND(Time!AS20&gt;=Time!$F$12,Time!AT20&gt;0),AS119+AS120+AS121+AS122+AS123+AS124+-1*Inputs!AT301*AT106*(Inputs!$F$97/100*Time!AT24-Operations!AT9/100*Time!AT25/Inputs!$F$247)+(Inputs!$F$95/100*Inputs!$F$96/100)*AS118*Time!AT25/Inputs!$F$248,0)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IF(AND(Time!AT20&gt;=Time!$F$12,Time!AU20&gt;0),AT119+AT120+AT121+AT122+AT123+AT124+-1*Inputs!AU301*AU106*(Inputs!$F$97/100*Time!AU24-Operations!AU9/100*Time!AU25/Inputs!$F$247)+(Inputs!$F$95/100*Inputs!$F$96/100)*AT118*Time!AU25/Inputs!$F$248,0)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IF(AND(Time!AU20&gt;=Time!$F$12,Time!AV20&gt;0),AU119+AU120+AU121+AU122+AU123+AU124+-1*Inputs!AV301*AV106*(Inputs!$F$97/100*Time!AV24-Operations!AV9/100*Time!AV25/Inputs!$F$247)+(Inputs!$F$95/100*Inputs!$F$96/100)*AU118*Time!AV25/Inputs!$F$248,0)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IF(AND(Time!AV20&gt;=Time!$F$12,Time!AW20&gt;0),AV119+AV120+AV121+AV122+AV123+AV124+-1*Inputs!AW301*AW106*(Inputs!$F$97/100*Time!AW24-Operations!AW9/100*Time!AW25/Inputs!$F$247)+(Inputs!$F$95/100*Inputs!$F$96/100)*AV118*Time!AW25/Inputs!$F$248,0)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IF(AND(Time!AW20&gt;=Time!$F$12,Time!AX20&gt;0),AW119+AW120+AW121+AW122+AW123+AW124+-1*Inputs!AX301*AX106*(Inputs!$F$97/100*Time!AX24-Operations!AX9/100*Time!AX25/Inputs!$F$247)+(Inputs!$F$95/100*Inputs!$F$96/100)*AW118*Time!AX25/Inputs!$F$248,0)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IF(AND(Time!AX20&gt;=Time!$F$12,Time!AY20&gt;0),AX119+AX120+AX121+AX122+AX123+AX124+-1*Inputs!AY301*AY106*(Inputs!$F$97/100*Time!AY24-Operations!AY9/100*Time!AY25/Inputs!$F$247)+(Inputs!$F$95/100*Inputs!$F$96/100)*AX118*Time!AY25/Inputs!$F$248,0)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IF(AND(Time!AY20&gt;=Time!$F$12,Time!AZ20&gt;0),AY119+AY120+AY121+AY122+AY123+AY124+-1*Inputs!AZ301*AZ106*(Inputs!$F$97/100*Time!AZ24-Operations!AZ9/100*Time!AZ25/Inputs!$F$247)+(Inputs!$F$95/100*Inputs!$F$96/100)*AY118*Time!AZ25/Inputs!$F$248,0)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IF(AND(Time!AZ20&gt;=Time!$F$12,Time!BA20&gt;0),AZ119+AZ120+AZ121+AZ122+AZ123+AZ124+-1*Inputs!BA301*BA106*(Inputs!$F$97/100*Time!BA24-Operations!BA9/100*Time!BA25/Inputs!$F$247)+(Inputs!$F$95/100*Inputs!$F$96/100)*AZ118*Time!BA25/Inputs!$F$248,0)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IF(AND(Time!BA20&gt;=Time!$F$12,Time!BB20&gt;0),BA119+BA120+BA121+BA122+BA123+BA124+-1*Inputs!BB301*BB106*(Inputs!$F$97/100*Time!BB24-Operations!BB9/100*Time!BB25/Inputs!$F$247)+(Inputs!$F$95/100*Inputs!$F$96/100)*BA118*Time!BB25/Inputs!$F$248,0)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IF(AND(Time!BB20&gt;=Time!$F$12,Time!BC20&gt;0),BB119+BB120+BB121+BB122+BB123+BB124+-1*Inputs!BC301*BC106*(Inputs!$F$97/100*Time!BC24-Operations!BC9/100*Time!BC25/Inputs!$F$247)+(Inputs!$F$95/100*Inputs!$F$96/100)*BB118*Time!BC25/Inputs!$F$248,0)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IF(AND(Time!BC20&gt;=Time!$F$12,Time!BD20&gt;0),BC119+BC120+BC121+BC122+BC123+BC124+-1*Inputs!BD301*BD106*(Inputs!$F$97/100*Time!BD24-Operations!BD9/100*Time!BD25/Inputs!$F$247)+(Inputs!$F$95/100*Inputs!$F$96/100)*BC118*Time!BD25/Inputs!$F$248,0)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IF(AND(Time!BD20&gt;=Time!$F$12,Time!BE20&gt;0),BD119+BD120+BD121+BD122+BD123+BD124+-1*Inputs!BE301*BE106*(Inputs!$F$97/100*Time!BE24-Operations!BE9/100*Time!BE25/Inputs!$F$247)+(Inputs!$F$95/100*Inputs!$F$96/100)*BD118*Time!BE25/Inputs!$F$248,0)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IF(AND(Time!BE20&gt;=Time!$F$12,Time!BF20&gt;0),BE119+BE120+BE121+BE122+BE123+BE124+-1*Inputs!BF301*BF106*(Inputs!$F$97/100*Time!BF24-Operations!BF9/100*Time!BF25/Inputs!$F$247)+(Inputs!$F$95/100*Inputs!$F$96/100)*BE118*Time!BF25/Inputs!$F$248,0)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IF(AND(Time!BF20&gt;=Time!$F$12,Time!BG20&gt;0),BF119+BF120+BF121+BF122+BF123+BF124+-1*Inputs!BG301*BG106*(Inputs!$F$97/100*Time!BG24-Operations!BG9/100*Time!BG25/Inputs!$F$247)+(Inputs!$F$95/100*Inputs!$F$96/100)*BF118*Time!BG25/Inputs!$F$248,0)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IF(AND(Time!BG20&gt;=Time!$F$12,Time!BH20&gt;0),BG119+BG120+BG121+BG122+BG123+BG124+-1*Inputs!BH301*BH106*(Inputs!$F$97/100*Time!BH24-Operations!BH9/100*Time!BH25/Inputs!$F$247)+(Inputs!$F$95/100*Inputs!$F$96/100)*BG118*Time!BH25/Inputs!$F$248,0)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IF(AND(Time!BH20&gt;=Time!$F$12,Time!BI20&gt;0),BH119+BH120+BH121+BH122+BH123+BH124+-1*Inputs!BI301*BI106*(Inputs!$F$97/100*Time!BI24-Operations!BI9/100*Time!BI25/Inputs!$F$247)+(Inputs!$F$95/100*Inputs!$F$96/100)*BH118*Time!BI25/Inputs!$F$248,0)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IF(AND(Time!BI20&gt;=Time!$F$12,Time!BJ20&gt;0),BI119+BI120+BI121+BI122+BI123+BI124+-1*Inputs!BJ301*BJ106*(Inputs!$F$97/100*Time!BJ24-Operations!BJ9/100*Time!BJ25/Inputs!$F$247)+(Inputs!$F$95/100*Inputs!$F$96/100)*BI118*Time!BJ25/Inputs!$F$248,0)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IF(AND(Time!BJ20&gt;=Time!$F$12,Time!BK20&gt;0),BJ119+BJ120+BJ121+BJ122+BJ123+BJ124+-1*Inputs!BK301*BK106*(Inputs!$F$97/100*Time!BK24-Operations!BK9/100*Time!BK25/Inputs!$F$247)+(Inputs!$F$95/100*Inputs!$F$96/100)*BJ118*Time!BK25/Inputs!$F$248,0)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IF(AND(Time!BK20&gt;=Time!$F$12,Time!BL20&gt;0),BK119+BK120+BK121+BK122+BK123+BK124+-1*Inputs!BL301*BL106*(Inputs!$F$97/100*Time!BL24-Operations!BL9/100*Time!BL25/Inputs!$F$247)+(Inputs!$F$95/100*Inputs!$F$96/100)*BK118*Time!BL25/Inputs!$F$248,0)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IF(AND(Time!BL20&gt;=Time!$F$12,Time!BM20&gt;0),BL119+BL120+BL121+BL122+BL123+BL124+-1*Inputs!BM301*BM106*(Inputs!$F$97/100*Time!BM24-Operations!BM9/100*Time!BM25/Inputs!$F$247)+(Inputs!$F$95/100*Inputs!$F$96/100)*BL118*Time!BM25/Inputs!$F$248,0)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IF(AND(Time!BM20&gt;=Time!$F$12,Time!BN20&gt;0),BM119+BM120+BM121+BM122+BM123+BM124+-1*Inputs!BN301*BN106*(Inputs!$F$97/100*Time!BN24-Operations!BN9/100*Time!BN25/Inputs!$F$247)+(Inputs!$F$95/100*Inputs!$F$96/100)*BM118*Time!BN25/Inputs!$F$248,0)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IF(AND(Time!BN20&gt;=Time!$F$12,Time!BO20&gt;0),BN119+BN120+BN121+BN122+BN123+BN124+-1*Inputs!BO301*BO106*(Inputs!$F$97/100*Time!BO24-Operations!BO9/100*Time!BO25/Inputs!$F$247)+(Inputs!$F$95/100*Inputs!$F$96/100)*BN118*Time!BO25/Inputs!$F$248,0)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1827</v>
      </c>
    </row>
    <row r="127" customFormat="false" ht="15" hidden="false" customHeight="false" outlineLevel="0" collapsed="false">
      <c r="D127" s="0" t="s">
        <v>1828</v>
      </c>
      <c r="E127" s="0" t="s">
        <v>101</v>
      </c>
      <c r="J127" s="16" t="n">
        <f aca="false">IF(Time!J53=1,(Inputs!$F$76*J11+Inputs!$F$77*J12+Inputs!$F$78*(J13+(Inputs!$F$95/100*Inputs!$F$96/100)*Time!J25/Inputs!$F$248))/(1-Inputs!$F$75)+J148,0)</f>
        <v>0</v>
      </c>
      <c r="K127" s="16" t="n">
        <f aca="false">IF(Time!K53=1,(Inputs!$F$76*K11+Inputs!$F$77*K12+Inputs!$F$78*(K13+(Inputs!$F$95/100*Inputs!$F$96/100)*Time!K25/Inputs!$F$248))/(1-Inputs!$F$75)+K148,0)</f>
        <v>0</v>
      </c>
      <c r="L127" s="16" t="n">
        <f aca="false">IF(Time!L53=1,(Inputs!$F$76*L11+Inputs!$F$77*L12+Inputs!$F$78*(L13+(Inputs!$F$95/100*Inputs!$F$96/100)*Time!L25/Inputs!$F$248))/(1-Inputs!$F$75)+L148,0)</f>
        <v>0</v>
      </c>
      <c r="M127" s="16" t="n">
        <f aca="false">IF(Time!M53=1,(Inputs!$F$76*M11+Inputs!$F$77*M12+Inputs!$F$78*(M13+(Inputs!$F$95/100*Inputs!$F$96/100)*Time!M25/Inputs!$F$248))/(1-Inputs!$F$75)+M148,0)</f>
        <v>0</v>
      </c>
      <c r="N127" s="16" t="n">
        <f aca="false">IF(Time!N53=1,(Inputs!$F$76*N11+Inputs!$F$77*N12+Inputs!$F$78*(N13+(Inputs!$F$95/100*Inputs!$F$96/100)*Time!N25/Inputs!$F$248))/(1-Inputs!$F$75)+N148,0)</f>
        <v>0</v>
      </c>
      <c r="O127" s="16" t="n">
        <f aca="false">IF(Time!O53=1,(Inputs!$F$76*O11+Inputs!$F$77*O12+Inputs!$F$78*(O13+(Inputs!$F$95/100*Inputs!$F$96/100)*Time!O25/Inputs!$F$248))/(1-Inputs!$F$75)+O148,0)</f>
        <v>0</v>
      </c>
      <c r="P127" s="16" t="n">
        <f aca="false">IF(Time!P53=1,(Inputs!$F$76*P11+Inputs!$F$77*P12+Inputs!$F$78*(P13+(Inputs!$F$95/100*Inputs!$F$96/100)*Time!P25/Inputs!$F$248))/(1-Inputs!$F$75)+P148,0)</f>
        <v>0.0405903122417342</v>
      </c>
      <c r="Q127" s="16" t="n">
        <f aca="false">IF(Time!Q53=1,(Inputs!$F$76*Q11+Inputs!$F$77*Q12+Inputs!$F$78*(Q13+(Inputs!$F$95/100*Inputs!$F$96/100)*Time!Q25/Inputs!$F$248))/(1-Inputs!$F$75)+Q148,0)</f>
        <v>0.04052460839308</v>
      </c>
      <c r="R127" s="16" t="n">
        <f aca="false">IF(Time!R53=1,(Inputs!$F$76*R11+Inputs!$F$77*R12+Inputs!$F$78*(R13+(Inputs!$F$95/100*Inputs!$F$96/100)*Time!R25/Inputs!$F$248))/(1-Inputs!$F$75)+R148,0)</f>
        <v>0.0407781217655382</v>
      </c>
      <c r="S127" s="16" t="n">
        <f aca="false">IF(Time!S53=1,(Inputs!$F$76*S11+Inputs!$F$77*S12+Inputs!$F$78*(S13+(Inputs!$F$95/100*Inputs!$F$96/100)*Time!S25/Inputs!$F$248))/(1-Inputs!$F$75)+S148,0)</f>
        <v>0.0406178464883153</v>
      </c>
      <c r="T127" s="16" t="n">
        <f aca="false">IF(Time!T53=1,(Inputs!$F$76*T11+Inputs!$F$77*T12+Inputs!$F$78*(T13+(Inputs!$F$95/100*Inputs!$F$96/100)*Time!T25/Inputs!$F$248))/(1-Inputs!$F$75)+T148,0)</f>
        <v>0.0408720265274402</v>
      </c>
      <c r="U127" s="16" t="n">
        <f aca="false">IF(Time!U53=1,(Inputs!$F$76*U11+Inputs!$F$77*U12+Inputs!$F$78*(U13+(Inputs!$F$95/100*Inputs!$F$96/100)*Time!U25/Inputs!$F$248))/(1-Inputs!$F$75)+U148,0)</f>
        <v>0.0407025731680236</v>
      </c>
      <c r="V127" s="16" t="n">
        <f aca="false">IF(Time!V53=1,(Inputs!$F$76*V11+Inputs!$F$77*V12+Inputs!$F$78*(V13+(Inputs!$F$95/100*Inputs!$F$96/100)*Time!V25/Inputs!$F$248))/(1-Inputs!$F$75)+V148,0)</f>
        <v>0.0408720265274402</v>
      </c>
      <c r="W127" s="16" t="n">
        <f aca="false">IF(Time!W53=1,(Inputs!$F$76*W11+Inputs!$F$77*W12+Inputs!$F$78*(W13+(Inputs!$F$95/100*Inputs!$F$96/100)*Time!W25/Inputs!$F$248))/(1-Inputs!$F$75)+W148,0)</f>
        <v>0.0406178464883153</v>
      </c>
      <c r="X127" s="16" t="n">
        <f aca="false">IF(Time!X53=1,(Inputs!$F$76*X11+Inputs!$F$77*X12+Inputs!$F$78*(X13+(Inputs!$F$95/100*Inputs!$F$96/100)*Time!X25/Inputs!$F$248))/(1-Inputs!$F$75)+X148,0)</f>
        <v>0.0408720265274402</v>
      </c>
      <c r="Y127" s="16" t="n">
        <f aca="false">IF(Time!Y53=1,(Inputs!$F$76*Y11+Inputs!$F$77*Y12+Inputs!$F$78*(Y13+(Inputs!$F$95/100*Inputs!$F$96/100)*Time!Y25/Inputs!$F$248))/(1-Inputs!$F$75)+Y148,0)</f>
        <v>0.0421257829962519</v>
      </c>
      <c r="Z127" s="16" t="n">
        <f aca="false">IF(Time!Z53=1,(Inputs!$F$76*Z11+Inputs!$F$77*Z12+Inputs!$F$78*(Z13+(Inputs!$F$95/100*Inputs!$F$96/100)*Time!Z25/Inputs!$F$248))/(1-Inputs!$F$75)+Z148,0)</f>
        <v>0.0423799630353767</v>
      </c>
      <c r="AA127" s="16" t="n">
        <f aca="false">IF(Time!AA53=1,(Inputs!$F$76*AA11+Inputs!$F$77*AA12+Inputs!$F$78*(AA13+(Inputs!$F$95/100*Inputs!$F$96/100)*Time!AA25/Inputs!$F$248))/(1-Inputs!$F$75)+AA148,0)</f>
        <v>0.0421257829962519</v>
      </c>
      <c r="AB127" s="16" t="n">
        <f aca="false">IF(Time!AB53=1,(Inputs!$F$76*AB11+Inputs!$F$77*AB12+Inputs!$F$78*(AB13+(Inputs!$F$95/100*Inputs!$F$96/100)*Time!AB25/Inputs!$F$248))/(1-Inputs!$F$75)+AB148,0)</f>
        <v>0.0423799630353767</v>
      </c>
      <c r="AC127" s="16" t="n">
        <f aca="false">IF(Time!AC53=1,(Inputs!$F$76*AC11+Inputs!$F$77*AC12+Inputs!$F$78*(AC13+(Inputs!$F$95/100*Inputs!$F$96/100)*Time!AC25/Inputs!$F$248))/(1-Inputs!$F$75)+AC148,0)</f>
        <v>0.0422105096759601</v>
      </c>
      <c r="AD127" s="16" t="n">
        <f aca="false">IF(Time!AD53=1,(Inputs!$F$76*AD11+Inputs!$F$77*AD12+Inputs!$F$78*(AD13+(Inputs!$F$95/100*Inputs!$F$96/100)*Time!AD25/Inputs!$F$248))/(1-Inputs!$F$75)+AD148,0)</f>
        <v>0.0423799630353767</v>
      </c>
      <c r="AE127" s="16" t="n">
        <f aca="false">IF(Time!AE53=1,(Inputs!$F$76*AE11+Inputs!$F$77*AE12+Inputs!$F$78*(AE13+(Inputs!$F$95/100*Inputs!$F$96/100)*Time!AE25/Inputs!$F$248))/(1-Inputs!$F$75)+AE148,0)</f>
        <v>0.0421257829962519</v>
      </c>
      <c r="AF127" s="16" t="n">
        <f aca="false">IF(Time!AF53=1,(Inputs!$F$76*AF11+Inputs!$F$77*AF12+Inputs!$F$78*(AF13+(Inputs!$F$95/100*Inputs!$F$96/100)*Time!AF25/Inputs!$F$248))/(1-Inputs!$F$75)+AF148,0)</f>
        <v>0.0423799630353767</v>
      </c>
      <c r="AG127" s="16" t="n">
        <f aca="false">IF(Time!AG53=1,(Inputs!$F$76*AG11+Inputs!$F$77*AG12+Inputs!$F$78*(AG13+(Inputs!$F$95/100*Inputs!$F$96/100)*Time!AG25/Inputs!$F$248))/(1-Inputs!$F$75)+AG148,0)</f>
        <v>0.0436337195041884</v>
      </c>
      <c r="AH127" s="16" t="n">
        <f aca="false">IF(Time!AH53=1,(Inputs!$F$76*AH11+Inputs!$F$77*AH12+Inputs!$F$78*(AH13+(Inputs!$F$95/100*Inputs!$F$96/100)*Time!AH25/Inputs!$F$248))/(1-Inputs!$F$75)+AH148,0)</f>
        <v>0.0438878995433132</v>
      </c>
      <c r="AI127" s="16" t="n">
        <f aca="false">IF(Time!AI53=1,(Inputs!$F$76*AI11+Inputs!$F$77*AI12+Inputs!$F$78*(AI13+(Inputs!$F$95/100*Inputs!$F$96/100)*Time!AI25/Inputs!$F$248))/(1-Inputs!$F$75)+AI148,0)</f>
        <v>0.0436337195041884</v>
      </c>
      <c r="AJ127" s="16" t="n">
        <f aca="false">IF(Time!AJ53=1,(Inputs!$F$76*AJ11+Inputs!$F$77*AJ12+Inputs!$F$78*(AJ13+(Inputs!$F$95/100*Inputs!$F$96/100)*Time!AJ25/Inputs!$F$248))/(1-Inputs!$F$75)+AJ148,0)</f>
        <v>0.0438878995433132</v>
      </c>
      <c r="AK127" s="16" t="n">
        <f aca="false">IF(Time!AK53=1,(Inputs!$F$76*AK11+Inputs!$F$77*AK12+Inputs!$F$78*(AK13+(Inputs!$F$95/100*Inputs!$F$96/100)*Time!AK25/Inputs!$F$248))/(1-Inputs!$F$75)+AK148,0)</f>
        <v>0.0437184461838966</v>
      </c>
      <c r="AL127" s="16" t="n">
        <f aca="false">IF(Time!AL53=1,(Inputs!$F$76*AL11+Inputs!$F$77*AL12+Inputs!$F$78*(AL13+(Inputs!$F$95/100*Inputs!$F$96/100)*Time!AL25/Inputs!$F$248))/(1-Inputs!$F$75)+AL148,0)</f>
        <v>0.0438878995433132</v>
      </c>
      <c r="AM127" s="16" t="n">
        <f aca="false">IF(Time!AM53=1,(Inputs!$F$76*AM11+Inputs!$F$77*AM12+Inputs!$F$78*(AM13+(Inputs!$F$95/100*Inputs!$F$96/100)*Time!AM25/Inputs!$F$248))/(1-Inputs!$F$75)+AM148,0)</f>
        <v>0.0436337195041884</v>
      </c>
      <c r="AN127" s="16" t="n">
        <f aca="false">IF(Time!AN53=1,(Inputs!$F$76*AN11+Inputs!$F$77*AN12+Inputs!$F$78*(AN13+(Inputs!$F$95/100*Inputs!$F$96/100)*Time!AN25/Inputs!$F$248))/(1-Inputs!$F$75)+AN148,0)</f>
        <v>0.0438878995433132</v>
      </c>
      <c r="AO127" s="16" t="n">
        <f aca="false">IF(Time!AO53=1,(Inputs!$F$76*AO11+Inputs!$F$77*AO12+Inputs!$F$78*(AO13+(Inputs!$F$95/100*Inputs!$F$96/100)*Time!AO25/Inputs!$F$248))/(1-Inputs!$F$75)+AO148,0)</f>
        <v>0.0436337195041884</v>
      </c>
      <c r="AP127" s="16" t="n">
        <f aca="false">IF(Time!AP53=1,(Inputs!$F$76*AP11+Inputs!$F$77*AP12+Inputs!$F$78*(AP13+(Inputs!$F$95/100*Inputs!$F$96/100)*Time!AP25/Inputs!$F$248))/(1-Inputs!$F$75)+AP148,0)</f>
        <v>0</v>
      </c>
      <c r="AQ127" s="16" t="n">
        <f aca="false">IF(Time!AQ53=1,(Inputs!$F$76*AQ11+Inputs!$F$77*AQ12+Inputs!$F$78*(AQ13+(Inputs!$F$95/100*Inputs!$F$96/100)*Time!AQ25/Inputs!$F$248))/(1-Inputs!$F$75)+AQ148,0)</f>
        <v>0</v>
      </c>
      <c r="AR127" s="16" t="n">
        <f aca="false">IF(Time!AR53=1,(Inputs!$F$76*AR11+Inputs!$F$77*AR12+Inputs!$F$78*(AR13+(Inputs!$F$95/100*Inputs!$F$96/100)*Time!AR25/Inputs!$F$248))/(1-Inputs!$F$75)+AR148,0)</f>
        <v>0</v>
      </c>
      <c r="AS127" s="16" t="n">
        <f aca="false">IF(Time!AS53=1,(Inputs!$F$76*AS11+Inputs!$F$77*AS12+Inputs!$F$78*(AS13+(Inputs!$F$95/100*Inputs!$F$96/100)*Time!AS25/Inputs!$F$248))/(1-Inputs!$F$75)+AS148,0)</f>
        <v>0</v>
      </c>
      <c r="AT127" s="16" t="n">
        <f aca="false">IF(Time!AT53=1,(Inputs!$F$76*AT11+Inputs!$F$77*AT12+Inputs!$F$78*(AT13+(Inputs!$F$95/100*Inputs!$F$96/100)*Time!AT25/Inputs!$F$248))/(1-Inputs!$F$75)+AT148,0)</f>
        <v>0</v>
      </c>
      <c r="AU127" s="16" t="n">
        <f aca="false">IF(Time!AU53=1,(Inputs!$F$76*AU11+Inputs!$F$77*AU12+Inputs!$F$78*(AU13+(Inputs!$F$95/100*Inputs!$F$96/100)*Time!AU25/Inputs!$F$248))/(1-Inputs!$F$75)+AU148,0)</f>
        <v>0</v>
      </c>
      <c r="AV127" s="16" t="n">
        <f aca="false">IF(Time!AV53=1,(Inputs!$F$76*AV11+Inputs!$F$77*AV12+Inputs!$F$78*(AV13+(Inputs!$F$95/100*Inputs!$F$96/100)*Time!AV25/Inputs!$F$248))/(1-Inputs!$F$75)+AV148,0)</f>
        <v>0</v>
      </c>
      <c r="AW127" s="16" t="n">
        <f aca="false">IF(Time!AW53=1,(Inputs!$F$76*AW11+Inputs!$F$77*AW12+Inputs!$F$78*(AW13+(Inputs!$F$95/100*Inputs!$F$96/100)*Time!AW25/Inputs!$F$248))/(1-Inputs!$F$75)+AW148,0)</f>
        <v>0</v>
      </c>
      <c r="AX127" s="16" t="n">
        <f aca="false">IF(Time!AX53=1,(Inputs!$F$76*AX11+Inputs!$F$77*AX12+Inputs!$F$78*(AX13+(Inputs!$F$95/100*Inputs!$F$96/100)*Time!AX25/Inputs!$F$248))/(1-Inputs!$F$75)+AX148,0)</f>
        <v>0</v>
      </c>
      <c r="AY127" s="16" t="n">
        <f aca="false">IF(Time!AY53=1,(Inputs!$F$76*AY11+Inputs!$F$77*AY12+Inputs!$F$78*(AY13+(Inputs!$F$95/100*Inputs!$F$96/100)*Time!AY25/Inputs!$F$248))/(1-Inputs!$F$75)+AY148,0)</f>
        <v>0</v>
      </c>
      <c r="AZ127" s="16" t="n">
        <f aca="false">IF(Time!AZ53=1,(Inputs!$F$76*AZ11+Inputs!$F$77*AZ12+Inputs!$F$78*(AZ13+(Inputs!$F$95/100*Inputs!$F$96/100)*Time!AZ25/Inputs!$F$248))/(1-Inputs!$F$75)+AZ148,0)</f>
        <v>0</v>
      </c>
      <c r="BA127" s="16" t="n">
        <f aca="false">IF(Time!BA53=1,(Inputs!$F$76*BA11+Inputs!$F$77*BA12+Inputs!$F$78*(BA13+(Inputs!$F$95/100*Inputs!$F$96/100)*Time!BA25/Inputs!$F$248))/(1-Inputs!$F$75)+BA148,0)</f>
        <v>0</v>
      </c>
      <c r="BB127" s="16" t="n">
        <f aca="false">IF(Time!BB53=1,(Inputs!$F$76*BB11+Inputs!$F$77*BB12+Inputs!$F$78*(BB13+(Inputs!$F$95/100*Inputs!$F$96/100)*Time!BB25/Inputs!$F$248))/(1-Inputs!$F$75)+BB148,0)</f>
        <v>0</v>
      </c>
      <c r="BC127" s="16" t="n">
        <f aca="false">IF(Time!BC53=1,(Inputs!$F$76*BC11+Inputs!$F$77*BC12+Inputs!$F$78*(BC13+(Inputs!$F$95/100*Inputs!$F$96/100)*Time!BC25/Inputs!$F$248))/(1-Inputs!$F$75)+BC148,0)</f>
        <v>0</v>
      </c>
      <c r="BD127" s="16" t="n">
        <f aca="false">IF(Time!BD53=1,(Inputs!$F$76*BD11+Inputs!$F$77*BD12+Inputs!$F$78*(BD13+(Inputs!$F$95/100*Inputs!$F$96/100)*Time!BD25/Inputs!$F$248))/(1-Inputs!$F$75)+BD148,0)</f>
        <v>0</v>
      </c>
      <c r="BE127" s="16" t="n">
        <f aca="false">IF(Time!BE53=1,(Inputs!$F$76*BE11+Inputs!$F$77*BE12+Inputs!$F$78*(BE13+(Inputs!$F$95/100*Inputs!$F$96/100)*Time!BE25/Inputs!$F$248))/(1-Inputs!$F$75)+BE148,0)</f>
        <v>0</v>
      </c>
      <c r="BF127" s="16" t="n">
        <f aca="false">IF(Time!BF53=1,(Inputs!$F$76*BF11+Inputs!$F$77*BF12+Inputs!$F$78*(BF13+(Inputs!$F$95/100*Inputs!$F$96/100)*Time!BF25/Inputs!$F$248))/(1-Inputs!$F$75)+BF148,0)</f>
        <v>0</v>
      </c>
      <c r="BG127" s="16" t="n">
        <f aca="false">IF(Time!BG53=1,(Inputs!$F$76*BG11+Inputs!$F$77*BG12+Inputs!$F$78*(BG13+(Inputs!$F$95/100*Inputs!$F$96/100)*Time!BG25/Inputs!$F$248))/(1-Inputs!$F$75)+BG148,0)</f>
        <v>0</v>
      </c>
      <c r="BH127" s="16" t="n">
        <f aca="false">IF(Time!BH53=1,(Inputs!$F$76*BH11+Inputs!$F$77*BH12+Inputs!$F$78*(BH13+(Inputs!$F$95/100*Inputs!$F$96/100)*Time!BH25/Inputs!$F$248))/(1-Inputs!$F$75)+BH148,0)</f>
        <v>0</v>
      </c>
      <c r="BI127" s="16" t="n">
        <f aca="false">IF(Time!BI53=1,(Inputs!$F$76*BI11+Inputs!$F$77*BI12+Inputs!$F$78*(BI13+(Inputs!$F$95/100*Inputs!$F$96/100)*Time!BI25/Inputs!$F$248))/(1-Inputs!$F$75)+BI148,0)</f>
        <v>0</v>
      </c>
      <c r="BJ127" s="16" t="n">
        <f aca="false">IF(Time!BJ53=1,(Inputs!$F$76*BJ11+Inputs!$F$77*BJ12+Inputs!$F$78*(BJ13+(Inputs!$F$95/100*Inputs!$F$96/100)*Time!BJ25/Inputs!$F$248))/(1-Inputs!$F$75)+BJ148,0)</f>
        <v>0</v>
      </c>
      <c r="BK127" s="16" t="n">
        <f aca="false">IF(Time!BK53=1,(Inputs!$F$76*BK11+Inputs!$F$77*BK12+Inputs!$F$78*(BK13+(Inputs!$F$95/100*Inputs!$F$96/100)*Time!BK25/Inputs!$F$248))/(1-Inputs!$F$75)+BK148,0)</f>
        <v>0</v>
      </c>
      <c r="BL127" s="16" t="n">
        <f aca="false">IF(Time!BL53=1,(Inputs!$F$76*BL11+Inputs!$F$77*BL12+Inputs!$F$78*(BL13+(Inputs!$F$95/100*Inputs!$F$96/100)*Time!BL25/Inputs!$F$248))/(1-Inputs!$F$75)+BL148,0)</f>
        <v>0</v>
      </c>
      <c r="BM127" s="16" t="n">
        <f aca="false">IF(Time!BM53=1,(Inputs!$F$76*BM11+Inputs!$F$77*BM12+Inputs!$F$78*(BM13+(Inputs!$F$95/100*Inputs!$F$96/100)*Time!BM25/Inputs!$F$248))/(1-Inputs!$F$75)+BM148,0)</f>
        <v>0</v>
      </c>
      <c r="BN127" s="16" t="n">
        <f aca="false">IF(Time!BN53=1,(Inputs!$F$76*BN11+Inputs!$F$77*BN12+Inputs!$F$78*(BN13+(Inputs!$F$95/100*Inputs!$F$96/100)*Time!BN25/Inputs!$F$248))/(1-Inputs!$F$75)+BN148,0)</f>
        <v>0</v>
      </c>
    </row>
    <row r="128" customFormat="false" ht="15" hidden="false" customHeight="false" outlineLevel="0" collapsed="false">
      <c r="D128" s="0" t="s">
        <v>1829</v>
      </c>
      <c r="E128" s="0" t="s">
        <v>151</v>
      </c>
      <c r="J128" s="13" t="n">
        <f aca="false">IF(Time!J53=1,(Waterfall!J7+Tax!J27+K128)/(1+J127),0)</f>
        <v>0</v>
      </c>
      <c r="K128" s="13" t="n">
        <f aca="false">IF(Time!K53=1,(Waterfall!K7+Tax!K27+L128)/(1+K127),0)</f>
        <v>0</v>
      </c>
      <c r="L128" s="13" t="n">
        <f aca="false">IF(Time!L53=1,(Waterfall!L7+Tax!L27+M128)/(1+L127),0)</f>
        <v>0</v>
      </c>
      <c r="M128" s="13" t="n">
        <f aca="false">IF(Time!M53=1,(Waterfall!M7+Tax!M27+N128)/(1+M127),0)</f>
        <v>0</v>
      </c>
      <c r="N128" s="13" t="n">
        <f aca="false">IF(Time!N53=1,(Waterfall!N7+Tax!N27+O128)/(1+N127),0)</f>
        <v>0</v>
      </c>
      <c r="O128" s="13" t="n">
        <f aca="false">IF(Time!O53=1,(Waterfall!O7+Tax!O27+P128)/(1+O127),0)</f>
        <v>0</v>
      </c>
      <c r="P128" s="13" t="n">
        <f aca="false">IF(Time!P53=1,(Waterfall!P7+Tax!P27+Q128)/(1+P127),0)</f>
        <v>884.879882031421</v>
      </c>
      <c r="Q128" s="13" t="n">
        <f aca="false">IF(Time!Q53=1,(Waterfall!Q7+Tax!Q27+R128)/(1+Q127),0)</f>
        <v>865.096242149573</v>
      </c>
      <c r="R128" s="13" t="n">
        <f aca="false">IF(Time!R53=1,(Waterfall!R7+Tax!R27+S128)/(1+R127),0)</f>
        <v>844.710346750289</v>
      </c>
      <c r="S128" s="13" t="n">
        <f aca="false">IF(Time!S53=1,(Waterfall!S7+Tax!S27+T128)/(1+S127),0)</f>
        <v>823.361980223687</v>
      </c>
      <c r="T128" s="13" t="n">
        <f aca="false">IF(Time!T53=1,(Waterfall!T7+Tax!T27+U128)/(1+T127),0)</f>
        <v>801.346630758585</v>
      </c>
      <c r="U128" s="13" t="n">
        <f aca="false">IF(Time!U53=1,(Waterfall!U7+Tax!U27+V128)/(1+U127),0)</f>
        <v>777.640371063408</v>
      </c>
      <c r="V128" s="13" t="n">
        <f aca="false">IF(Time!V53=1,(Waterfall!V7+Tax!V27+W128)/(1+V127),0)</f>
        <v>753.517383501915</v>
      </c>
      <c r="W128" s="13" t="n">
        <f aca="false">IF(Time!W53=1,(Waterfall!W7+Tax!W27+X128)/(1+W127),0)</f>
        <v>728.801260816717</v>
      </c>
      <c r="X128" s="13" t="n">
        <f aca="false">IF(Time!X53=1,(Waterfall!X7+Tax!X27+Y128)/(1+X127),0)</f>
        <v>703.03872882174</v>
      </c>
      <c r="Y128" s="13" t="n">
        <f aca="false">IF(Time!Y53=1,(Waterfall!Y7+Tax!Y27+Z128)/(1+Y127),0)</f>
        <v>676.52149353548</v>
      </c>
      <c r="Z128" s="13" t="n">
        <f aca="false">IF(Time!Z53=1,(Waterfall!Z7+Tax!Z27+AA128)/(1+Z127),0)</f>
        <v>649.916916304891</v>
      </c>
      <c r="AA128" s="13" t="n">
        <f aca="false">IF(Time!AA53=1,(Waterfall!AA7+Tax!AA27+AB128)/(1+AA127),0)</f>
        <v>621.999315587531</v>
      </c>
      <c r="AB128" s="13" t="n">
        <f aca="false">IF(Time!AB53=1,(Waterfall!AB7+Tax!AB27+AC128)/(1+AB127),0)</f>
        <v>593.078649864386</v>
      </c>
      <c r="AC128" s="13" t="n">
        <f aca="false">IF(Time!AC53=1,(Waterfall!AC7+Tax!AC27+AD128)/(1+AC127),0)</f>
        <v>562.054044840881</v>
      </c>
      <c r="AD128" s="13" t="n">
        <f aca="false">IF(Time!AD53=1,(Waterfall!AD7+Tax!AD27+AE128)/(1+AD127),0)</f>
        <v>530.614231867456</v>
      </c>
      <c r="AE128" s="13" t="n">
        <f aca="false">IF(Time!AE53=1,(Waterfall!AE7+Tax!AE27+AF128)/(1+AE127),0)</f>
        <v>497.400328589256</v>
      </c>
      <c r="AF128" s="13" t="n">
        <f aca="false">IF(Time!AF53=1,(Waterfall!AF7+Tax!AF27+AG128)/(1+AF127),0)</f>
        <v>462.691286753776</v>
      </c>
      <c r="AG128" s="13" t="n">
        <f aca="false">IF(Time!AG53=1,(Waterfall!AG7+Tax!AG27+AH128)/(1+AG127),0)</f>
        <v>424.496654095028</v>
      </c>
      <c r="AH128" s="13" t="n">
        <f aca="false">IF(Time!AH53=1,(Waterfall!AH7+Tax!AH27+AI128)/(1+AH127),0)</f>
        <v>385.132484805314</v>
      </c>
      <c r="AI128" s="13" t="n">
        <f aca="false">IF(Time!AI53=1,(Waterfall!AI7+Tax!AI27+AJ128)/(1+AI127),0)</f>
        <v>343.76969347341</v>
      </c>
      <c r="AJ128" s="13" t="n">
        <f aca="false">IF(Time!AJ53=1,(Waterfall!AJ7+Tax!AJ27+AK128)/(1+AJ127),0)</f>
        <v>300.845252387711</v>
      </c>
      <c r="AK128" s="13" t="n">
        <f aca="false">IF(Time!AK53=1,(Waterfall!AK7+Tax!AK27+AL128)/(1+AK127),0)</f>
        <v>255.048867176573</v>
      </c>
      <c r="AL128" s="13" t="n">
        <f aca="false">IF(Time!AL53=1,(Waterfall!AL7+Tax!AL27+AM128)/(1+AL127),0)</f>
        <v>207.902264771602</v>
      </c>
      <c r="AM128" s="13" t="n">
        <f aca="false">IF(Time!AM53=1,(Waterfall!AM7+Tax!AM27+AN128)/(1+AM127),0)</f>
        <v>158.922692950396</v>
      </c>
      <c r="AN128" s="13" t="n">
        <f aca="false">IF(Time!AN53=1,(Waterfall!AN7+Tax!AN27+AO128)/(1+AN127),0)</f>
        <v>107.901581630505</v>
      </c>
      <c r="AO128" s="13" t="n">
        <f aca="false">IF(Time!AO53=1,(Waterfall!AO7+Tax!AO27+AP128)/(1+AO127),0)</f>
        <v>55.0484188665681</v>
      </c>
      <c r="AP128" s="13" t="n">
        <f aca="false">IF(Time!AP53=1,(Waterfall!AP7+Tax!AP27+AQ128)/(1+AP127),0)</f>
        <v>0</v>
      </c>
      <c r="AQ128" s="13" t="n">
        <f aca="false">IF(Time!AQ53=1,(Waterfall!AQ7+Tax!AQ27+AR128)/(1+AQ127),0)</f>
        <v>0</v>
      </c>
      <c r="AR128" s="13" t="n">
        <f aca="false">IF(Time!AR53=1,(Waterfall!AR7+Tax!AR27+AS128)/(1+AR127),0)</f>
        <v>0</v>
      </c>
      <c r="AS128" s="13" t="n">
        <f aca="false">IF(Time!AS53=1,(Waterfall!AS7+Tax!AS27+AT128)/(1+AS127),0)</f>
        <v>0</v>
      </c>
      <c r="AT128" s="13" t="n">
        <f aca="false">IF(Time!AT53=1,(Waterfall!AT7+Tax!AT27+AU128)/(1+AT127),0)</f>
        <v>0</v>
      </c>
      <c r="AU128" s="13" t="n">
        <f aca="false">IF(Time!AU53=1,(Waterfall!AU7+Tax!AU27+AV128)/(1+AU127),0)</f>
        <v>0</v>
      </c>
      <c r="AV128" s="13" t="n">
        <f aca="false">IF(Time!AV53=1,(Waterfall!AV7+Tax!AV27+AW128)/(1+AV127),0)</f>
        <v>0</v>
      </c>
      <c r="AW128" s="13" t="n">
        <f aca="false">IF(Time!AW53=1,(Waterfall!AW7+Tax!AW27+AX128)/(1+AW127),0)</f>
        <v>0</v>
      </c>
      <c r="AX128" s="13" t="n">
        <f aca="false">IF(Time!AX53=1,(Waterfall!AX7+Tax!AX27+AY128)/(1+AX127),0)</f>
        <v>0</v>
      </c>
      <c r="AY128" s="13" t="n">
        <f aca="false">IF(Time!AY53=1,(Waterfall!AY7+Tax!AY27+AZ128)/(1+AY127),0)</f>
        <v>0</v>
      </c>
      <c r="AZ128" s="13" t="n">
        <f aca="false">IF(Time!AZ53=1,(Waterfall!AZ7+Tax!AZ27+BA128)/(1+AZ127),0)</f>
        <v>0</v>
      </c>
      <c r="BA128" s="13" t="n">
        <f aca="false">IF(Time!BA53=1,(Waterfall!BA7+Tax!BA27+BB128)/(1+BA127),0)</f>
        <v>0</v>
      </c>
      <c r="BB128" s="13" t="n">
        <f aca="false">IF(Time!BB53=1,(Waterfall!BB7+Tax!BB27+BC128)/(1+BB127),0)</f>
        <v>0</v>
      </c>
      <c r="BC128" s="13" t="n">
        <f aca="false">IF(Time!BC53=1,(Waterfall!BC7+Tax!BC27+BD128)/(1+BC127),0)</f>
        <v>0</v>
      </c>
      <c r="BD128" s="13" t="n">
        <f aca="false">IF(Time!BD53=1,(Waterfall!BD7+Tax!BD27+BE128)/(1+BD127),0)</f>
        <v>0</v>
      </c>
      <c r="BE128" s="13" t="n">
        <f aca="false">IF(Time!BE53=1,(Waterfall!BE7+Tax!BE27+BF128)/(1+BE127),0)</f>
        <v>0</v>
      </c>
      <c r="BF128" s="13" t="n">
        <f aca="false">IF(Time!BF53=1,(Waterfall!BF7+Tax!BF27+BG128)/(1+BF127),0)</f>
        <v>0</v>
      </c>
      <c r="BG128" s="13" t="n">
        <f aca="false">IF(Time!BG53=1,(Waterfall!BG7+Tax!BG27+BH128)/(1+BG127),0)</f>
        <v>0</v>
      </c>
      <c r="BH128" s="13" t="n">
        <f aca="false">IF(Time!BH53=1,(Waterfall!BH7+Tax!BH27+BI128)/(1+BH127),0)</f>
        <v>0</v>
      </c>
      <c r="BI128" s="13" t="n">
        <f aca="false">IF(Time!BI53=1,(Waterfall!BI7+Tax!BI27+BJ128)/(1+BI127),0)</f>
        <v>0</v>
      </c>
      <c r="BJ128" s="13" t="n">
        <f aca="false">IF(Time!BJ53=1,(Waterfall!BJ7+Tax!BJ27+BK128)/(1+BJ127),0)</f>
        <v>0</v>
      </c>
      <c r="BK128" s="13" t="n">
        <f aca="false">IF(Time!BK53=1,(Waterfall!BK7+Tax!BK27+BL128)/(1+BK127),0)</f>
        <v>0</v>
      </c>
      <c r="BL128" s="13" t="n">
        <f aca="false">IF(Time!BL53=1,(Waterfall!BL7+Tax!BL27+BM128)/(1+BL127),0)</f>
        <v>0</v>
      </c>
      <c r="BM128" s="13" t="n">
        <f aca="false">IF(Time!BM53=1,(Waterfall!BM7+Tax!BM27+BN128)/(1+BM127),0)</f>
        <v>0</v>
      </c>
      <c r="BN128" s="13" t="n">
        <f aca="false">IF(Time!BN53=1,(Waterfall!BN7+Tax!BN27+BO128)/(1+BN127),0)</f>
        <v>0</v>
      </c>
    </row>
    <row r="129" customFormat="false" ht="15" hidden="false" customHeight="false" outlineLevel="0" collapsed="false">
      <c r="D129" s="0" t="s">
        <v>1830</v>
      </c>
      <c r="E129" s="0" t="s">
        <v>204</v>
      </c>
      <c r="F129" s="11" t="n">
        <f aca="false">INDEX($J$128:$BN$128,1,Time!$F$13)/(Funding!$F$25*(1-Inputs!$F$75)+INDEX($J$150:$BN$150,1,Time!$F$13))</f>
        <v>1.4251919518219</v>
      </c>
    </row>
    <row r="130" customFormat="false" ht="15" hidden="false" customHeight="false" outlineLevel="0" collapsed="false">
      <c r="D130" s="0" t="s">
        <v>1831</v>
      </c>
      <c r="E130" s="0" t="s">
        <v>151</v>
      </c>
      <c r="F130" s="17" t="n">
        <f aca="false">Funding!$F$25*$F$129/Inputs!$F$106</f>
        <v>691.429831699385</v>
      </c>
    </row>
    <row r="131" customFormat="false" ht="15" hidden="false" customHeight="false" outlineLevel="0" collapsed="false">
      <c r="D131" s="0" t="s">
        <v>1832</v>
      </c>
      <c r="E131" s="0" t="s">
        <v>151</v>
      </c>
      <c r="F131" s="17" t="n">
        <f aca="false">Inputs!$F$105*Funding!$F$24</f>
        <v>643.981473211751</v>
      </c>
    </row>
    <row r="132" customFormat="false" ht="15" hidden="false" customHeight="false" outlineLevel="0" collapsed="false">
      <c r="D132" s="0" t="s">
        <v>1833</v>
      </c>
      <c r="E132" s="0" t="s">
        <v>151</v>
      </c>
      <c r="J132" s="13" t="n">
        <f aca="false">IF(Time!J53=1,(Waterfall!J7+Tax!J27)/$F$129,0)</f>
        <v>0</v>
      </c>
      <c r="K132" s="13" t="n">
        <f aca="false">IF(Time!K53=1,(Waterfall!K7+Tax!K27)/$F$129,0)</f>
        <v>0</v>
      </c>
      <c r="L132" s="13" t="n">
        <f aca="false">IF(Time!L53=1,(Waterfall!L7+Tax!L27)/$F$129,0)</f>
        <v>0</v>
      </c>
      <c r="M132" s="13" t="n">
        <f aca="false">IF(Time!M53=1,(Waterfall!M7+Tax!M27)/$F$129,0)</f>
        <v>0</v>
      </c>
      <c r="N132" s="13" t="n">
        <f aca="false">IF(Time!N53=1,(Waterfall!N7+Tax!N27)/$F$129,0)</f>
        <v>0</v>
      </c>
      <c r="O132" s="13" t="n">
        <f aca="false">IF(Time!O53=1,(Waterfall!O7+Tax!O27)/$F$129,0)</f>
        <v>0</v>
      </c>
      <c r="P132" s="13" t="n">
        <f aca="false">IF(Time!P53=1,(Waterfall!P7+Tax!P27)/$F$129,0)</f>
        <v>39.0832901622316</v>
      </c>
      <c r="Q132" s="13" t="n">
        <f aca="false">IF(Time!Q53=1,(Waterfall!Q7+Tax!Q27)/$F$129,0)</f>
        <v>38.9025364364735</v>
      </c>
      <c r="R132" s="13" t="n">
        <f aca="false">IF(Time!R53=1,(Waterfall!R7+Tax!R27)/$F$129,0)</f>
        <v>39.1484584456644</v>
      </c>
      <c r="S132" s="13" t="n">
        <f aca="false">IF(Time!S53=1,(Waterfall!S7+Tax!S27)/$F$129,0)</f>
        <v>38.9130319682539</v>
      </c>
      <c r="T132" s="13" t="n">
        <f aca="false">IF(Time!T53=1,(Waterfall!T7+Tax!T27)/$F$129,0)</f>
        <v>39.6149587941763</v>
      </c>
      <c r="U132" s="13" t="n">
        <f aca="false">IF(Time!U53=1,(Waterfall!U7+Tax!U27)/$F$129,0)</f>
        <v>39.1350453472678</v>
      </c>
      <c r="V132" s="13" t="n">
        <f aca="false">IF(Time!V53=1,(Waterfall!V7+Tax!V27)/$F$129,0)</f>
        <v>38.9518795005883</v>
      </c>
      <c r="W132" s="13" t="n">
        <f aca="false">IF(Time!W53=1,(Waterfall!W7+Tax!W27)/$F$129,0)</f>
        <v>38.8473073094089</v>
      </c>
      <c r="X132" s="13" t="n">
        <f aca="false">IF(Time!X53=1,(Waterfall!X7+Tax!X27)/$F$129,0)</f>
        <v>38.7680079092846</v>
      </c>
      <c r="Y132" s="13" t="n">
        <f aca="false">IF(Time!Y53=1,(Waterfall!Y7+Tax!Y27)/$F$129,0)</f>
        <v>38.6639671864012</v>
      </c>
      <c r="Z132" s="13" t="n">
        <f aca="false">IF(Time!Z53=1,(Waterfall!Z7+Tax!Z27)/$F$129,0)</f>
        <v>38.9147970808621</v>
      </c>
      <c r="AA132" s="13" t="n">
        <f aca="false">IF(Time!AA53=1,(Waterfall!AA7+Tax!AA27)/$F$129,0)</f>
        <v>38.6775085594158</v>
      </c>
      <c r="AB132" s="13" t="n">
        <f aca="false">IF(Time!AB53=1,(Waterfall!AB7+Tax!AB27)/$F$129,0)</f>
        <v>39.4046964761746</v>
      </c>
      <c r="AC132" s="13" t="n">
        <f aca="false">IF(Time!AC53=1,(Waterfall!AC7+Tax!AC27)/$F$129,0)</f>
        <v>38.7066462177774</v>
      </c>
      <c r="AD132" s="13" t="n">
        <f aca="false">IF(Time!AD53=1,(Waterfall!AD7+Tax!AD27)/$F$129,0)</f>
        <v>39.0833773230209</v>
      </c>
      <c r="AE132" s="13" t="n">
        <f aca="false">IF(Time!AE53=1,(Waterfall!AE7+Tax!AE27)/$F$129,0)</f>
        <v>39.0560864932885</v>
      </c>
      <c r="AF132" s="13" t="n">
        <f aca="false">IF(Time!AF53=1,(Waterfall!AF7+Tax!AF27)/$F$129,0)</f>
        <v>40.558376865847</v>
      </c>
      <c r="AG132" s="13" t="n">
        <f aca="false">IF(Time!AG53=1,(Waterfall!AG7+Tax!AG27)/$F$129,0)</f>
        <v>40.6166601986235</v>
      </c>
      <c r="AH132" s="13" t="n">
        <f aca="false">IF(Time!AH53=1,(Waterfall!AH7+Tax!AH27)/$F$129,0)</f>
        <v>40.8825260775732</v>
      </c>
      <c r="AI132" s="13" t="n">
        <f aca="false">IF(Time!AI53=1,(Waterfall!AI7+Tax!AI27)/$F$129,0)</f>
        <v>40.6432209996067</v>
      </c>
      <c r="AJ132" s="13" t="n">
        <f aca="false">IF(Time!AJ53=1,(Waterfall!AJ7+Tax!AJ27)/$F$129,0)</f>
        <v>41.3978280964821</v>
      </c>
      <c r="AK132" s="13" t="n">
        <f aca="false">IF(Time!AK53=1,(Waterfall!AK7+Tax!AK27)/$F$129,0)</f>
        <v>40.9046251660134</v>
      </c>
      <c r="AL132" s="13" t="n">
        <f aca="false">IF(Time!AL53=1,(Waterfall!AL7+Tax!AL27)/$F$129,0)</f>
        <v>40.7692209165589</v>
      </c>
      <c r="AM132" s="13" t="n">
        <f aca="false">IF(Time!AM53=1,(Waterfall!AM7+Tax!AM27)/$F$129,0)</f>
        <v>40.6650482784804</v>
      </c>
      <c r="AN132" s="13" t="n">
        <f aca="false">IF(Time!AN53=1,(Waterfall!AN7+Tax!AN27)/$F$129,0)</f>
        <v>40.4077054080207</v>
      </c>
      <c r="AO132" s="13" t="n">
        <f aca="false">IF(Time!AO53=1,(Waterfall!AO7+Tax!AO27)/$F$129,0)</f>
        <v>40.3106304811076</v>
      </c>
      <c r="AP132" s="13" t="n">
        <f aca="false">IF(Time!AP53=1,(Waterfall!AP7+Tax!AP27)/$F$129,0)</f>
        <v>0</v>
      </c>
      <c r="AQ132" s="13" t="n">
        <f aca="false">IF(Time!AQ53=1,(Waterfall!AQ7+Tax!AQ27)/$F$129,0)</f>
        <v>0</v>
      </c>
      <c r="AR132" s="13" t="n">
        <f aca="false">IF(Time!AR53=1,(Waterfall!AR7+Tax!AR27)/$F$129,0)</f>
        <v>0</v>
      </c>
      <c r="AS132" s="13" t="n">
        <f aca="false">IF(Time!AS53=1,(Waterfall!AS7+Tax!AS27)/$F$129,0)</f>
        <v>0</v>
      </c>
      <c r="AT132" s="13" t="n">
        <f aca="false">IF(Time!AT53=1,(Waterfall!AT7+Tax!AT27)/$F$129,0)</f>
        <v>0</v>
      </c>
      <c r="AU132" s="13" t="n">
        <f aca="false">IF(Time!AU53=1,(Waterfall!AU7+Tax!AU27)/$F$129,0)</f>
        <v>0</v>
      </c>
      <c r="AV132" s="13" t="n">
        <f aca="false">IF(Time!AV53=1,(Waterfall!AV7+Tax!AV27)/$F$129,0)</f>
        <v>0</v>
      </c>
      <c r="AW132" s="13" t="n">
        <f aca="false">IF(Time!AW53=1,(Waterfall!AW7+Tax!AW27)/$F$129,0)</f>
        <v>0</v>
      </c>
      <c r="AX132" s="13" t="n">
        <f aca="false">IF(Time!AX53=1,(Waterfall!AX7+Tax!AX27)/$F$129,0)</f>
        <v>0</v>
      </c>
      <c r="AY132" s="13" t="n">
        <f aca="false">IF(Time!AY53=1,(Waterfall!AY7+Tax!AY27)/$F$129,0)</f>
        <v>0</v>
      </c>
      <c r="AZ132" s="13" t="n">
        <f aca="false">IF(Time!AZ53=1,(Waterfall!AZ7+Tax!AZ27)/$F$129,0)</f>
        <v>0</v>
      </c>
      <c r="BA132" s="13" t="n">
        <f aca="false">IF(Time!BA53=1,(Waterfall!BA7+Tax!BA27)/$F$129,0)</f>
        <v>0</v>
      </c>
      <c r="BB132" s="13" t="n">
        <f aca="false">IF(Time!BB53=1,(Waterfall!BB7+Tax!BB27)/$F$129,0)</f>
        <v>0</v>
      </c>
      <c r="BC132" s="13" t="n">
        <f aca="false">IF(Time!BC53=1,(Waterfall!BC7+Tax!BC27)/$F$129,0)</f>
        <v>0</v>
      </c>
      <c r="BD132" s="13" t="n">
        <f aca="false">IF(Time!BD53=1,(Waterfall!BD7+Tax!BD27)/$F$129,0)</f>
        <v>0</v>
      </c>
      <c r="BE132" s="13" t="n">
        <f aca="false">IF(Time!BE53=1,(Waterfall!BE7+Tax!BE27)/$F$129,0)</f>
        <v>0</v>
      </c>
      <c r="BF132" s="13" t="n">
        <f aca="false">IF(Time!BF53=1,(Waterfall!BF7+Tax!BF27)/$F$129,0)</f>
        <v>0</v>
      </c>
      <c r="BG132" s="13" t="n">
        <f aca="false">IF(Time!BG53=1,(Waterfall!BG7+Tax!BG27)/$F$129,0)</f>
        <v>0</v>
      </c>
      <c r="BH132" s="13" t="n">
        <f aca="false">IF(Time!BH53=1,(Waterfall!BH7+Tax!BH27)/$F$129,0)</f>
        <v>0</v>
      </c>
      <c r="BI132" s="13" t="n">
        <f aca="false">IF(Time!BI53=1,(Waterfall!BI7+Tax!BI27)/$F$129,0)</f>
        <v>0</v>
      </c>
      <c r="BJ132" s="13" t="n">
        <f aca="false">IF(Time!BJ53=1,(Waterfall!BJ7+Tax!BJ27)/$F$129,0)</f>
        <v>0</v>
      </c>
      <c r="BK132" s="13" t="n">
        <f aca="false">IF(Time!BK53=1,(Waterfall!BK7+Tax!BK27)/$F$129,0)</f>
        <v>0</v>
      </c>
      <c r="BL132" s="13" t="n">
        <f aca="false">IF(Time!BL53=1,(Waterfall!BL7+Tax!BL27)/$F$129,0)</f>
        <v>0</v>
      </c>
      <c r="BM132" s="13" t="n">
        <f aca="false">IF(Time!BM53=1,(Waterfall!BM7+Tax!BM27)/$F$129,0)</f>
        <v>0</v>
      </c>
      <c r="BN132" s="13" t="n">
        <f aca="false">IF(Time!BN53=1,(Waterfall!BN7+Tax!BN27)/$F$129,0)</f>
        <v>0</v>
      </c>
    </row>
    <row r="133" customFormat="false" ht="15" hidden="false" customHeight="false" outlineLevel="0" collapsed="false">
      <c r="D133" s="0" t="s">
        <v>1834</v>
      </c>
      <c r="E133" s="0" t="s">
        <v>151</v>
      </c>
      <c r="J133" s="13" t="n">
        <f aca="false">IF(Time!J53=1,IF(Time!J20=Time!$F$13,Funding!$F$25*(1-Inputs!$F$75),I133-I134),0)</f>
        <v>0</v>
      </c>
      <c r="K133" s="13" t="n">
        <f aca="false">IF(Time!K53=1,IF(Time!K20=Time!$F$13,Funding!$F$25*(1-Inputs!$F$75),J133-J134),0)</f>
        <v>0</v>
      </c>
      <c r="L133" s="13" t="n">
        <f aca="false">IF(Time!L53=1,IF(Time!L20=Time!$F$13,Funding!$F$25*(1-Inputs!$F$75),K133-K134),0)</f>
        <v>0</v>
      </c>
      <c r="M133" s="13" t="n">
        <f aca="false">IF(Time!M53=1,IF(Time!M20=Time!$F$13,Funding!$F$25*(1-Inputs!$F$75),L133-L134),0)</f>
        <v>0</v>
      </c>
      <c r="N133" s="13" t="n">
        <f aca="false">IF(Time!N53=1,IF(Time!N20=Time!$F$13,Funding!$F$25*(1-Inputs!$F$75),M133-M134),0)</f>
        <v>0</v>
      </c>
      <c r="O133" s="13" t="n">
        <f aca="false">IF(Time!O53=1,IF(Time!O20=Time!$F$13,Funding!$F$25*(1-Inputs!$F$75),N133-N134),0)</f>
        <v>0</v>
      </c>
      <c r="P133" s="13" t="n">
        <f aca="false">IF(Time!P53=1,IF(Time!P20=Time!$F$13,Funding!$F$25*(1-Inputs!$F$75),O133-O134),0)</f>
        <v>458.46539486884</v>
      </c>
      <c r="Q133" s="13" t="n">
        <f aca="false">IF(Time!Q53=1,IF(Time!Q20=Time!$F$13,Funding!$F$25*(1-Inputs!$F$75),P133-P134),0)</f>
        <v>450.076808329972</v>
      </c>
      <c r="R133" s="13" t="n">
        <f aca="false">IF(Time!R53=1,IF(Time!R20=Time!$F$13,Funding!$F$25*(1-Inputs!$F$75),Q133-Q134),0)</f>
        <v>441.319913761039</v>
      </c>
      <c r="S133" s="13" t="n">
        <f aca="false">IF(Time!S53=1,IF(Time!S20=Time!$F$13,Funding!$F$25*(1-Inputs!$F$75),R133-R134),0)</f>
        <v>431.937738855192</v>
      </c>
      <c r="T133" s="13" t="n">
        <f aca="false">IF(Time!T53=1,IF(Time!T20=Time!$F$13,Funding!$F$25*(1-Inputs!$F$75),S133-S134),0)</f>
        <v>422.143278301461</v>
      </c>
      <c r="U133" s="13" t="n">
        <f aca="false">IF(Time!U53=1,IF(Time!U20=Time!$F$13,Funding!$F$25*(1-Inputs!$F$75),T133-T134),0)</f>
        <v>411.216287648258</v>
      </c>
      <c r="V133" s="13" t="n">
        <f aca="false">IF(Time!V53=1,IF(Time!V20=Time!$F$13,Funding!$F$25*(1-Inputs!$F$75),U133-U134),0)</f>
        <v>400.054686825306</v>
      </c>
      <c r="W133" s="13" t="n">
        <f aca="false">IF(Time!W53=1,IF(Time!W20=Time!$F$13,Funding!$F$25*(1-Inputs!$F$75),V133-V134),0)</f>
        <v>388.535515879978</v>
      </c>
      <c r="X133" s="13" t="n">
        <f aca="false">IF(Time!X53=1,IF(Time!X20=Time!$F$13,Funding!$F$25*(1-Inputs!$F$75),W133-W134),0)</f>
        <v>376.345254502555</v>
      </c>
      <c r="Y133" s="13" t="n">
        <f aca="false">IF(Time!Y53=1,IF(Time!Y20=Time!$F$13,Funding!$F$25*(1-Inputs!$F$75),X133-X134),0)</f>
        <v>363.688448512737</v>
      </c>
      <c r="Z133" s="13" t="n">
        <f aca="false">IF(Time!Z53=1,IF(Time!Z20=Time!$F$13,Funding!$F$25*(1-Inputs!$F$75),Y133-Y134),0)</f>
        <v>350.871401653102</v>
      </c>
      <c r="AA133" s="13" t="n">
        <f aca="false">IF(Time!AA53=1,IF(Time!AA20=Time!$F$13,Funding!$F$25*(1-Inputs!$F$75),Z133-Z134),0)</f>
        <v>337.203276209485</v>
      </c>
      <c r="AB133" s="13" t="n">
        <f aca="false">IF(Time!AB53=1,IF(Time!AB20=Time!$F$13,Funding!$F$25*(1-Inputs!$F$75),AA133-AA134),0)</f>
        <v>322.907669029531</v>
      </c>
      <c r="AC133" s="13" t="n">
        <f aca="false">IF(Time!AC53=1,IF(Time!AC20=Time!$F$13,Funding!$F$25*(1-Inputs!$F$75),AB133-AB134),0)</f>
        <v>307.212088146737</v>
      </c>
      <c r="AD133" s="13" t="n">
        <f aca="false">IF(Time!AD53=1,IF(Time!AD20=Time!$F$13,Funding!$F$25*(1-Inputs!$F$75),AC133-AC134),0)</f>
        <v>291.307471248112</v>
      </c>
      <c r="AE133" s="13" t="n">
        <f aca="false">IF(Time!AE53=1,IF(Time!AE20=Time!$F$13,Funding!$F$25*(1-Inputs!$F$75),AD133-AD134),0)</f>
        <v>274.241540215637</v>
      </c>
      <c r="AF133" s="13" t="n">
        <f aca="false">IF(Time!AF53=1,IF(Time!AF20=Time!$F$13,Funding!$F$25*(1-Inputs!$F$75),AE133-AE134),0)</f>
        <v>256.216422021789</v>
      </c>
      <c r="AG133" s="13" t="n">
        <f aca="false">IF(Time!AG53=1,IF(Time!AG20=Time!$F$13,Funding!$F$25*(1-Inputs!$F$75),AF133-AF134),0)</f>
        <v>235.835879988457</v>
      </c>
      <c r="AH133" s="13" t="n">
        <f aca="false">IF(Time!AH53=1,IF(Time!AH20=Time!$F$13,Funding!$F$25*(1-Inputs!$F$75),AG133-AG134),0)</f>
        <v>214.638634787792</v>
      </c>
      <c r="AI133" s="13" t="n">
        <f aca="false">IF(Time!AI53=1,IF(Time!AI20=Time!$F$13,Funding!$F$25*(1-Inputs!$F$75),AH133-AH134),0)</f>
        <v>192.143085801128</v>
      </c>
      <c r="AJ133" s="13" t="n">
        <f aca="false">IF(Time!AJ53=1,IF(Time!AJ20=Time!$F$13,Funding!$F$25*(1-Inputs!$F$75),AI133-AI134),0)</f>
        <v>168.663490347317</v>
      </c>
      <c r="AK133" s="13" t="n">
        <f aca="false">IF(Time!AK53=1,IF(Time!AK20=Time!$F$13,Funding!$F$25*(1-Inputs!$F$75),AJ133-AJ134),0)</f>
        <v>143.282432732105</v>
      </c>
      <c r="AL133" s="13" t="n">
        <f aca="false">IF(Time!AL53=1,IF(Time!AL20=Time!$F$13,Funding!$F$25*(1-Inputs!$F$75),AK133-AK134),0)</f>
        <v>117.074910401884</v>
      </c>
      <c r="AM133" s="13" t="n">
        <f aca="false">IF(Time!AM53=1,IF(Time!AM20=Time!$F$13,Funding!$F$25*(1-Inputs!$F$75),AL133-AL134),0)</f>
        <v>89.7058914634213</v>
      </c>
      <c r="AN133" s="13" t="n">
        <f aca="false">IF(Time!AN53=1,IF(Time!AN20=Time!$F$13,Funding!$F$25*(1-Inputs!$F$75),AM133-AM134),0)</f>
        <v>61.0361322737302</v>
      </c>
      <c r="AO133" s="13" t="n">
        <f aca="false">IF(Time!AO53=1,IF(Time!AO20=Time!$F$13,Funding!$F$25*(1-Inputs!$F$75),AN133-AN134),0)</f>
        <v>31.2167504898404</v>
      </c>
      <c r="AP133" s="13" t="n">
        <f aca="false">IF(Time!AP53=1,IF(Time!AP20=Time!$F$13,Funding!$F$25*(1-Inputs!$F$75),AO133-AO134),0)</f>
        <v>0</v>
      </c>
      <c r="AQ133" s="13" t="n">
        <f aca="false">IF(Time!AQ53=1,IF(Time!AQ20=Time!$F$13,Funding!$F$25*(1-Inputs!$F$75),AP133-AP134),0)</f>
        <v>0</v>
      </c>
      <c r="AR133" s="13" t="n">
        <f aca="false">IF(Time!AR53=1,IF(Time!AR20=Time!$F$13,Funding!$F$25*(1-Inputs!$F$75),AQ133-AQ134),0)</f>
        <v>0</v>
      </c>
      <c r="AS133" s="13" t="n">
        <f aca="false">IF(Time!AS53=1,IF(Time!AS20=Time!$F$13,Funding!$F$25*(1-Inputs!$F$75),AR133-AR134),0)</f>
        <v>0</v>
      </c>
      <c r="AT133" s="13" t="n">
        <f aca="false">IF(Time!AT53=1,IF(Time!AT20=Time!$F$13,Funding!$F$25*(1-Inputs!$F$75),AS133-AS134),0)</f>
        <v>0</v>
      </c>
      <c r="AU133" s="13" t="n">
        <f aca="false">IF(Time!AU53=1,IF(Time!AU20=Time!$F$13,Funding!$F$25*(1-Inputs!$F$75),AT133-AT134),0)</f>
        <v>0</v>
      </c>
      <c r="AV133" s="13" t="n">
        <f aca="false">IF(Time!AV53=1,IF(Time!AV20=Time!$F$13,Funding!$F$25*(1-Inputs!$F$75),AU133-AU134),0)</f>
        <v>0</v>
      </c>
      <c r="AW133" s="13" t="n">
        <f aca="false">IF(Time!AW53=1,IF(Time!AW20=Time!$F$13,Funding!$F$25*(1-Inputs!$F$75),AV133-AV134),0)</f>
        <v>0</v>
      </c>
      <c r="AX133" s="13" t="n">
        <f aca="false">IF(Time!AX53=1,IF(Time!AX20=Time!$F$13,Funding!$F$25*(1-Inputs!$F$75),AW133-AW134),0)</f>
        <v>0</v>
      </c>
      <c r="AY133" s="13" t="n">
        <f aca="false">IF(Time!AY53=1,IF(Time!AY20=Time!$F$13,Funding!$F$25*(1-Inputs!$F$75),AX133-AX134),0)</f>
        <v>0</v>
      </c>
      <c r="AZ133" s="13" t="n">
        <f aca="false">IF(Time!AZ53=1,IF(Time!AZ20=Time!$F$13,Funding!$F$25*(1-Inputs!$F$75),AY133-AY134),0)</f>
        <v>0</v>
      </c>
      <c r="BA133" s="13" t="n">
        <f aca="false">IF(Time!BA53=1,IF(Time!BA20=Time!$F$13,Funding!$F$25*(1-Inputs!$F$75),AZ133-AZ134),0)</f>
        <v>0</v>
      </c>
      <c r="BB133" s="13" t="n">
        <f aca="false">IF(Time!BB53=1,IF(Time!BB20=Time!$F$13,Funding!$F$25*(1-Inputs!$F$75),BA133-BA134),0)</f>
        <v>0</v>
      </c>
      <c r="BC133" s="13" t="n">
        <f aca="false">IF(Time!BC53=1,IF(Time!BC20=Time!$F$13,Funding!$F$25*(1-Inputs!$F$75),BB133-BB134),0)</f>
        <v>0</v>
      </c>
      <c r="BD133" s="13" t="n">
        <f aca="false">IF(Time!BD53=1,IF(Time!BD20=Time!$F$13,Funding!$F$25*(1-Inputs!$F$75),BC133-BC134),0)</f>
        <v>0</v>
      </c>
      <c r="BE133" s="13" t="n">
        <f aca="false">IF(Time!BE53=1,IF(Time!BE20=Time!$F$13,Funding!$F$25*(1-Inputs!$F$75),BD133-BD134),0)</f>
        <v>0</v>
      </c>
      <c r="BF133" s="13" t="n">
        <f aca="false">IF(Time!BF53=1,IF(Time!BF20=Time!$F$13,Funding!$F$25*(1-Inputs!$F$75),BE133-BE134),0)</f>
        <v>0</v>
      </c>
      <c r="BG133" s="13" t="n">
        <f aca="false">IF(Time!BG53=1,IF(Time!BG20=Time!$F$13,Funding!$F$25*(1-Inputs!$F$75),BF133-BF134),0)</f>
        <v>0</v>
      </c>
      <c r="BH133" s="13" t="n">
        <f aca="false">IF(Time!BH53=1,IF(Time!BH20=Time!$F$13,Funding!$F$25*(1-Inputs!$F$75),BG133-BG134),0)</f>
        <v>0</v>
      </c>
      <c r="BI133" s="13" t="n">
        <f aca="false">IF(Time!BI53=1,IF(Time!BI20=Time!$F$13,Funding!$F$25*(1-Inputs!$F$75),BH133-BH134),0)</f>
        <v>0</v>
      </c>
      <c r="BJ133" s="13" t="n">
        <f aca="false">IF(Time!BJ53=1,IF(Time!BJ20=Time!$F$13,Funding!$F$25*(1-Inputs!$F$75),BI133-BI134),0)</f>
        <v>0</v>
      </c>
      <c r="BK133" s="13" t="n">
        <f aca="false">IF(Time!BK53=1,IF(Time!BK20=Time!$F$13,Funding!$F$25*(1-Inputs!$F$75),BJ133-BJ134),0)</f>
        <v>0</v>
      </c>
      <c r="BL133" s="13" t="n">
        <f aca="false">IF(Time!BL53=1,IF(Time!BL20=Time!$F$13,Funding!$F$25*(1-Inputs!$F$75),BK133-BK134),0)</f>
        <v>0</v>
      </c>
      <c r="BM133" s="13" t="n">
        <f aca="false">IF(Time!BM53=1,IF(Time!BM20=Time!$F$13,Funding!$F$25*(1-Inputs!$F$75),BL133-BL134),0)</f>
        <v>0</v>
      </c>
      <c r="BN133" s="13" t="n">
        <f aca="false">IF(Time!BN53=1,IF(Time!BN20=Time!$F$13,Funding!$F$25*(1-Inputs!$F$75),BM133-BM134),0)</f>
        <v>0</v>
      </c>
    </row>
    <row r="134" customFormat="false" ht="15" hidden="false" customHeight="false" outlineLevel="0" collapsed="false">
      <c r="D134" s="0" t="s">
        <v>1835</v>
      </c>
      <c r="E134" s="0" t="s">
        <v>151</v>
      </c>
      <c r="J134" s="13" t="n">
        <f aca="false">J132-J149-J133*J127</f>
        <v>0</v>
      </c>
      <c r="K134" s="13" t="n">
        <f aca="false">K132-K149-K133*K127</f>
        <v>0</v>
      </c>
      <c r="L134" s="13" t="n">
        <f aca="false">L132-L149-L133*L127</f>
        <v>0</v>
      </c>
      <c r="M134" s="13" t="n">
        <f aca="false">M132-M149-M133*M127</f>
        <v>0</v>
      </c>
      <c r="N134" s="13" t="n">
        <f aca="false">N132-N149-N133*N127</f>
        <v>0</v>
      </c>
      <c r="O134" s="13" t="n">
        <f aca="false">O132-O149-O133*O127</f>
        <v>0</v>
      </c>
      <c r="P134" s="13" t="n">
        <f aca="false">P132-P149-P133*P127</f>
        <v>8.38858653886835</v>
      </c>
      <c r="Q134" s="13" t="n">
        <f aca="false">Q132-Q149-Q133*Q127</f>
        <v>8.75689456893216</v>
      </c>
      <c r="R134" s="13" t="n">
        <f aca="false">R132-R149-R133*R127</f>
        <v>9.3821749058476</v>
      </c>
      <c r="S134" s="13" t="n">
        <f aca="false">S132-S149-S133*S127</f>
        <v>9.79446055373072</v>
      </c>
      <c r="T134" s="13" t="n">
        <f aca="false">T132-T149-T133*T127</f>
        <v>10.926990653203</v>
      </c>
      <c r="U134" s="13" t="n">
        <f aca="false">U132-U149-U133*U127</f>
        <v>11.1616008229517</v>
      </c>
      <c r="V134" s="13" t="n">
        <f aca="false">V132-V149-V133*V127</f>
        <v>11.5191709453289</v>
      </c>
      <c r="W134" s="13" t="n">
        <f aca="false">W132-W149-W133*W127</f>
        <v>12.190261377423</v>
      </c>
      <c r="X134" s="13" t="n">
        <f aca="false">X132-X149-X133*X127</f>
        <v>12.6568059898178</v>
      </c>
      <c r="Y134" s="13" t="n">
        <f aca="false">Y132-Y149-Y133*Y127</f>
        <v>12.8170468596347</v>
      </c>
      <c r="Z134" s="13" t="n">
        <f aca="false">Z132-Z149-Z133*Z127</f>
        <v>13.6681254436173</v>
      </c>
      <c r="AA134" s="13" t="n">
        <f aca="false">AA132-AA149-AA133*AA127</f>
        <v>14.2956071799537</v>
      </c>
      <c r="AB134" s="13" t="n">
        <f aca="false">AB132-AB149-AB133*AB127</f>
        <v>15.6955808827946</v>
      </c>
      <c r="AC134" s="13" t="n">
        <f aca="false">AC132-AC149-AC133*AC127</f>
        <v>15.9046168986244</v>
      </c>
      <c r="AD134" s="13" t="n">
        <f aca="false">AD132-AD149-AD133*AD127</f>
        <v>17.0659310324746</v>
      </c>
      <c r="AE134" s="13" t="n">
        <f aca="false">AE132-AE149-AE133*AE127</f>
        <v>18.0251181938488</v>
      </c>
      <c r="AF134" s="13" t="n">
        <f aca="false">AF132-AF149-AF133*AF127</f>
        <v>20.3805420333316</v>
      </c>
      <c r="AG134" s="13" t="n">
        <f aca="false">AG132-AG149-AG133*AG127</f>
        <v>21.197245200665</v>
      </c>
      <c r="AH134" s="13" t="n">
        <f aca="false">AH132-AH149-AH133*AH127</f>
        <v>22.4955489866637</v>
      </c>
      <c r="AI134" s="13" t="n">
        <f aca="false">AI132-AI149-AI133*AI127</f>
        <v>23.4795954538115</v>
      </c>
      <c r="AJ134" s="13" t="n">
        <f aca="false">AJ132-AJ149-AJ133*AJ127</f>
        <v>25.3810576152121</v>
      </c>
      <c r="AK134" s="13" t="n">
        <f aca="false">AK132-AK149-AK133*AK127</f>
        <v>26.2075223302205</v>
      </c>
      <c r="AL134" s="13" t="n">
        <f aca="false">AL132-AL149-AL133*AL127</f>
        <v>27.3690189384629</v>
      </c>
      <c r="AM134" s="13" t="n">
        <f aca="false">AM132-AM149-AM133*AM127</f>
        <v>28.6697591896911</v>
      </c>
      <c r="AN134" s="13" t="n">
        <f aca="false">AN132-AN149-AN133*AN127</f>
        <v>29.8193817838898</v>
      </c>
      <c r="AO134" s="13" t="n">
        <f aca="false">AO132-AO149-AO133*AO127</f>
        <v>31.2167504898396</v>
      </c>
      <c r="AP134" s="13" t="n">
        <f aca="false">AP132-AP149-AP133*AP127</f>
        <v>0</v>
      </c>
      <c r="AQ134" s="13" t="n">
        <f aca="false">AQ132-AQ149-AQ133*AQ127</f>
        <v>0</v>
      </c>
      <c r="AR134" s="13" t="n">
        <f aca="false">AR132-AR149-AR133*AR127</f>
        <v>0</v>
      </c>
      <c r="AS134" s="13" t="n">
        <f aca="false">AS132-AS149-AS133*AS127</f>
        <v>0</v>
      </c>
      <c r="AT134" s="13" t="n">
        <f aca="false">AT132-AT149-AT133*AT127</f>
        <v>0</v>
      </c>
      <c r="AU134" s="13" t="n">
        <f aca="false">AU132-AU149-AU133*AU127</f>
        <v>0</v>
      </c>
      <c r="AV134" s="13" t="n">
        <f aca="false">AV132-AV149-AV133*AV127</f>
        <v>0</v>
      </c>
      <c r="AW134" s="13" t="n">
        <f aca="false">AW132-AW149-AW133*AW127</f>
        <v>0</v>
      </c>
      <c r="AX134" s="13" t="n">
        <f aca="false">AX132-AX149-AX133*AX127</f>
        <v>0</v>
      </c>
      <c r="AY134" s="13" t="n">
        <f aca="false">AY132-AY149-AY133*AY127</f>
        <v>0</v>
      </c>
      <c r="AZ134" s="13" t="n">
        <f aca="false">AZ132-AZ149-AZ133*AZ127</f>
        <v>0</v>
      </c>
      <c r="BA134" s="13" t="n">
        <f aca="false">BA132-BA149-BA133*BA127</f>
        <v>0</v>
      </c>
      <c r="BB134" s="13" t="n">
        <f aca="false">BB132-BB149-BB133*BB127</f>
        <v>0</v>
      </c>
      <c r="BC134" s="13" t="n">
        <f aca="false">BC132-BC149-BC133*BC127</f>
        <v>0</v>
      </c>
      <c r="BD134" s="13" t="n">
        <f aca="false">BD132-BD149-BD133*BD127</f>
        <v>0</v>
      </c>
      <c r="BE134" s="13" t="n">
        <f aca="false">BE132-BE149-BE133*BE127</f>
        <v>0</v>
      </c>
      <c r="BF134" s="13" t="n">
        <f aca="false">BF132-BF149-BF133*BF127</f>
        <v>0</v>
      </c>
      <c r="BG134" s="13" t="n">
        <f aca="false">BG132-BG149-BG133*BG127</f>
        <v>0</v>
      </c>
      <c r="BH134" s="13" t="n">
        <f aca="false">BH132-BH149-BH133*BH127</f>
        <v>0</v>
      </c>
      <c r="BI134" s="13" t="n">
        <f aca="false">BI132-BI149-BI133*BI127</f>
        <v>0</v>
      </c>
      <c r="BJ134" s="13" t="n">
        <f aca="false">BJ132-BJ149-BJ133*BJ127</f>
        <v>0</v>
      </c>
      <c r="BK134" s="13" t="n">
        <f aca="false">BK132-BK149-BK133*BK127</f>
        <v>0</v>
      </c>
      <c r="BL134" s="13" t="n">
        <f aca="false">BL132-BL149-BL133*BL127</f>
        <v>0</v>
      </c>
      <c r="BM134" s="13" t="n">
        <f aca="false">BM132-BM149-BM133*BM127</f>
        <v>0</v>
      </c>
      <c r="BN134" s="13" t="n">
        <f aca="false">BN132-BN149-BN133*BN127</f>
        <v>0</v>
      </c>
    </row>
    <row r="135" customFormat="false" ht="15" hidden="false" customHeight="false" outlineLevel="0" collapsed="false">
      <c r="D135" s="0" t="s">
        <v>1836</v>
      </c>
      <c r="E135" s="0" t="s">
        <v>151</v>
      </c>
      <c r="J135" s="13" t="n">
        <f aca="false">IF(Inputs!$F$8=1,J134-Time!J53*Inputs!J298*Funding!$F$25*(1-Inputs!$F$75),0)</f>
        <v>0</v>
      </c>
      <c r="K135" s="13" t="n">
        <f aca="false">IF(Inputs!$F$8=1,K134-Time!K53*Inputs!K298*Funding!$F$25*(1-Inputs!$F$75),0)</f>
        <v>0</v>
      </c>
      <c r="L135" s="13" t="n">
        <f aca="false">IF(Inputs!$F$8=1,L134-Time!L53*Inputs!L298*Funding!$F$25*(1-Inputs!$F$75),0)</f>
        <v>0</v>
      </c>
      <c r="M135" s="13" t="n">
        <f aca="false">IF(Inputs!$F$8=1,M134-Time!M53*Inputs!M298*Funding!$F$25*(1-Inputs!$F$75),0)</f>
        <v>0</v>
      </c>
      <c r="N135" s="13" t="n">
        <f aca="false">IF(Inputs!$F$8=1,N134-Time!N53*Inputs!N298*Funding!$F$25*(1-Inputs!$F$75),0)</f>
        <v>0</v>
      </c>
      <c r="O135" s="13" t="n">
        <f aca="false">IF(Inputs!$F$8=1,O134-Time!O53*Inputs!O298*Funding!$F$25*(1-Inputs!$F$75),0)</f>
        <v>0</v>
      </c>
      <c r="P135" s="13" t="n">
        <f aca="false">IF(Inputs!$F$8=1,P134-Time!P53*Inputs!P298*Funding!$F$25*(1-Inputs!$F$75),0)</f>
        <v>-2.12030215607228E-009</v>
      </c>
      <c r="Q135" s="13" t="n">
        <f aca="false">IF(Inputs!$F$8=1,Q134-Time!Q53*Inputs!Q298*Funding!$F$25*(1-Inputs!$F$75),0)</f>
        <v>-1.08874154136629E-009</v>
      </c>
      <c r="R135" s="13" t="n">
        <f aca="false">IF(Inputs!$F$8=1,R134-Time!R53*Inputs!R298*Funding!$F$25*(1-Inputs!$F$75),0)</f>
        <v>-2.53032439445633E-009</v>
      </c>
      <c r="S135" s="13" t="n">
        <f aca="false">IF(Inputs!$F$8=1,S134-Time!S53*Inputs!S298*Funding!$F$25*(1-Inputs!$F$75),0)</f>
        <v>-1.23939081220215E-009</v>
      </c>
      <c r="T135" s="13" t="n">
        <f aca="false">IF(Inputs!$F$8=1,T134-Time!T53*Inputs!T298*Funding!$F$25*(1-Inputs!$F$75),0)</f>
        <v>-2.53504417457862E-009</v>
      </c>
      <c r="U135" s="13" t="n">
        <f aca="false">IF(Inputs!$F$8=1,U134-Time!U53*Inputs!U298*Funding!$F$25*(1-Inputs!$F$75),0)</f>
        <v>-1.51586476704324E-009</v>
      </c>
      <c r="V135" s="13" t="n">
        <f aca="false">IF(Inputs!$F$8=1,V134-Time!V53*Inputs!V298*Funding!$F$25*(1-Inputs!$F$75),0)</f>
        <v>-2.34081554140175E-009</v>
      </c>
      <c r="W135" s="13" t="n">
        <f aca="false">IF(Inputs!$F$8=1,W134-Time!W53*Inputs!W298*Funding!$F$25*(1-Inputs!$F$75),0)</f>
        <v>-8.76008598993394E-010</v>
      </c>
      <c r="X135" s="13" t="n">
        <f aca="false">IF(Inputs!$F$8=1,X134-Time!X53*Inputs!X298*Funding!$F$25*(1-Inputs!$F$75),0)</f>
        <v>-2.03677785748368E-009</v>
      </c>
      <c r="Y135" s="13" t="n">
        <f aca="false">IF(Inputs!$F$8=1,Y134-Time!Y53*Inputs!Y298*Funding!$F$25*(1-Inputs!$F$75),0)</f>
        <v>-6.70878463893132E-010</v>
      </c>
      <c r="Z135" s="13" t="n">
        <f aca="false">IF(Inputs!$F$8=1,Z134-Time!Z53*Inputs!Z298*Funding!$F$25*(1-Inputs!$F$75),0)</f>
        <v>-1.67766600611685E-009</v>
      </c>
      <c r="AA135" s="13" t="n">
        <f aca="false">IF(Inputs!$F$8=1,AA134-Time!AA53*Inputs!AA298*Funding!$F$25*(1-Inputs!$F$75),0)</f>
        <v>-3.83407083859311E-010</v>
      </c>
      <c r="AB135" s="13" t="n">
        <f aca="false">IF(Inputs!$F$8=1,AB134-Time!AB53*Inputs!AB298*Funding!$F$25*(1-Inputs!$F$75),0)</f>
        <v>-1.19977983104036E-009</v>
      </c>
      <c r="AC135" s="13" t="n">
        <f aca="false">IF(Inputs!$F$8=1,AC134-Time!AC53*Inputs!AC298*Funding!$F$25*(1-Inputs!$F$75),0)</f>
        <v>-3.72690323047209E-010</v>
      </c>
      <c r="AD135" s="13" t="n">
        <f aca="false">IF(Inputs!$F$8=1,AD134-Time!AD53*Inputs!AD298*Funding!$F$25*(1-Inputs!$F$75),0)</f>
        <v>-7.54194928731522E-010</v>
      </c>
      <c r="AE135" s="13" t="n">
        <f aca="false">IF(Inputs!$F$8=1,AE134-Time!AE53*Inputs!AE298*Funding!$F$25*(1-Inputs!$F$75),0)</f>
        <v>4.09180245242169E-010</v>
      </c>
      <c r="AF135" s="13" t="n">
        <f aca="false">IF(Inputs!$F$8=1,AF134-Time!AF53*Inputs!AF298*Funding!$F$25*(1-Inputs!$F$75),0)</f>
        <v>-3.28626015289046E-012</v>
      </c>
      <c r="AG135" s="13" t="n">
        <f aca="false">IF(Inputs!$F$8=1,AG134-Time!AG53*Inputs!AG298*Funding!$F$25*(1-Inputs!$F$75),0)</f>
        <v>1.0741345590759E-009</v>
      </c>
      <c r="AH135" s="13" t="n">
        <f aca="false">IF(Inputs!$F$8=1,AH134-Time!AH53*Inputs!AH298*Funding!$F$25*(1-Inputs!$F$75),0)</f>
        <v>7.18117121323303E-010</v>
      </c>
      <c r="AI135" s="13" t="n">
        <f aca="false">IF(Inputs!$F$8=1,AI134-Time!AI53*Inputs!AI298*Funding!$F$25*(1-Inputs!$F$75),0)</f>
        <v>1.69945479910893E-009</v>
      </c>
      <c r="AJ135" s="13" t="n">
        <f aca="false">IF(Inputs!$F$8=1,AJ134-Time!AJ53*Inputs!AJ298*Funding!$F$25*(1-Inputs!$F$75),0)</f>
        <v>1.60457602760289E-009</v>
      </c>
      <c r="AK135" s="13" t="n">
        <f aca="false">IF(Inputs!$F$8=1,AK134-Time!AK53*Inputs!AK298*Funding!$F$25*(1-Inputs!$F$75),0)</f>
        <v>2.31241159553974E-009</v>
      </c>
      <c r="AL135" s="13" t="n">
        <f aca="false">IF(Inputs!$F$8=1,AL134-Time!AL53*Inputs!AL298*Funding!$F$25*(1-Inputs!$F$75),0)</f>
        <v>2.48783749157155E-009</v>
      </c>
      <c r="AM135" s="13" t="n">
        <f aca="false">IF(Inputs!$F$8=1,AM134-Time!AM53*Inputs!AM298*Funding!$F$25*(1-Inputs!$F$75),0)</f>
        <v>3.28283888961778E-009</v>
      </c>
      <c r="AN135" s="13" t="n">
        <f aca="false">IF(Inputs!$F$8=1,AN134-Time!AN53*Inputs!AN298*Funding!$F$25*(1-Inputs!$F$75),0)</f>
        <v>3.53636053773698E-009</v>
      </c>
      <c r="AO135" s="13" t="n">
        <f aca="false">IF(Inputs!$F$8=1,AO134-Time!AO53*Inputs!AO298*Funding!$F$25*(1-Inputs!$F$75),0)</f>
        <v>4.2193661897727E-009</v>
      </c>
      <c r="AP135" s="13" t="n">
        <f aca="false">IF(Inputs!$F$8=1,AP134-Time!AP53*Inputs!AP298*Funding!$F$25*(1-Inputs!$F$75),0)</f>
        <v>0</v>
      </c>
      <c r="AQ135" s="13" t="n">
        <f aca="false">IF(Inputs!$F$8=1,AQ134-Time!AQ53*Inputs!AQ298*Funding!$F$25*(1-Inputs!$F$75),0)</f>
        <v>0</v>
      </c>
      <c r="AR135" s="13" t="n">
        <f aca="false">IF(Inputs!$F$8=1,AR134-Time!AR53*Inputs!AR298*Funding!$F$25*(1-Inputs!$F$75),0)</f>
        <v>0</v>
      </c>
      <c r="AS135" s="13" t="n">
        <f aca="false">IF(Inputs!$F$8=1,AS134-Time!AS53*Inputs!AS298*Funding!$F$25*(1-Inputs!$F$75),0)</f>
        <v>0</v>
      </c>
      <c r="AT135" s="13" t="n">
        <f aca="false">IF(Inputs!$F$8=1,AT134-Time!AT53*Inputs!AT298*Funding!$F$25*(1-Inputs!$F$75),0)</f>
        <v>0</v>
      </c>
      <c r="AU135" s="13" t="n">
        <f aca="false">IF(Inputs!$F$8=1,AU134-Time!AU53*Inputs!AU298*Funding!$F$25*(1-Inputs!$F$75),0)</f>
        <v>0</v>
      </c>
      <c r="AV135" s="13" t="n">
        <f aca="false">IF(Inputs!$F$8=1,AV134-Time!AV53*Inputs!AV298*Funding!$F$25*(1-Inputs!$F$75),0)</f>
        <v>0</v>
      </c>
      <c r="AW135" s="13" t="n">
        <f aca="false">IF(Inputs!$F$8=1,AW134-Time!AW53*Inputs!AW298*Funding!$F$25*(1-Inputs!$F$75),0)</f>
        <v>0</v>
      </c>
      <c r="AX135" s="13" t="n">
        <f aca="false">IF(Inputs!$F$8=1,AX134-Time!AX53*Inputs!AX298*Funding!$F$25*(1-Inputs!$F$75),0)</f>
        <v>0</v>
      </c>
      <c r="AY135" s="13" t="n">
        <f aca="false">IF(Inputs!$F$8=1,AY134-Time!AY53*Inputs!AY298*Funding!$F$25*(1-Inputs!$F$75),0)</f>
        <v>0</v>
      </c>
      <c r="AZ135" s="13" t="n">
        <f aca="false">IF(Inputs!$F$8=1,AZ134-Time!AZ53*Inputs!AZ298*Funding!$F$25*(1-Inputs!$F$75),0)</f>
        <v>0</v>
      </c>
      <c r="BA135" s="13" t="n">
        <f aca="false">IF(Inputs!$F$8=1,BA134-Time!BA53*Inputs!BA298*Funding!$F$25*(1-Inputs!$F$75),0)</f>
        <v>0</v>
      </c>
      <c r="BB135" s="13" t="n">
        <f aca="false">IF(Inputs!$F$8=1,BB134-Time!BB53*Inputs!BB298*Funding!$F$25*(1-Inputs!$F$75),0)</f>
        <v>0</v>
      </c>
      <c r="BC135" s="13" t="n">
        <f aca="false">IF(Inputs!$F$8=1,BC134-Time!BC53*Inputs!BC298*Funding!$F$25*(1-Inputs!$F$75),0)</f>
        <v>0</v>
      </c>
      <c r="BD135" s="13" t="n">
        <f aca="false">IF(Inputs!$F$8=1,BD134-Time!BD53*Inputs!BD298*Funding!$F$25*(1-Inputs!$F$75),0)</f>
        <v>0</v>
      </c>
      <c r="BE135" s="13" t="n">
        <f aca="false">IF(Inputs!$F$8=1,BE134-Time!BE53*Inputs!BE298*Funding!$F$25*(1-Inputs!$F$75),0)</f>
        <v>0</v>
      </c>
      <c r="BF135" s="13" t="n">
        <f aca="false">IF(Inputs!$F$8=1,BF134-Time!BF53*Inputs!BF298*Funding!$F$25*(1-Inputs!$F$75),0)</f>
        <v>0</v>
      </c>
      <c r="BG135" s="13" t="n">
        <f aca="false">IF(Inputs!$F$8=1,BG134-Time!BG53*Inputs!BG298*Funding!$F$25*(1-Inputs!$F$75),0)</f>
        <v>0</v>
      </c>
      <c r="BH135" s="13" t="n">
        <f aca="false">IF(Inputs!$F$8=1,BH134-Time!BH53*Inputs!BH298*Funding!$F$25*(1-Inputs!$F$75),0)</f>
        <v>0</v>
      </c>
      <c r="BI135" s="13" t="n">
        <f aca="false">IF(Inputs!$F$8=1,BI134-Time!BI53*Inputs!BI298*Funding!$F$25*(1-Inputs!$F$75),0)</f>
        <v>0</v>
      </c>
      <c r="BJ135" s="13" t="n">
        <f aca="false">IF(Inputs!$F$8=1,BJ134-Time!BJ53*Inputs!BJ298*Funding!$F$25*(1-Inputs!$F$75),0)</f>
        <v>0</v>
      </c>
      <c r="BK135" s="13" t="n">
        <f aca="false">IF(Inputs!$F$8=1,BK134-Time!BK53*Inputs!BK298*Funding!$F$25*(1-Inputs!$F$75),0)</f>
        <v>0</v>
      </c>
      <c r="BL135" s="13" t="n">
        <f aca="false">IF(Inputs!$F$8=1,BL134-Time!BL53*Inputs!BL298*Funding!$F$25*(1-Inputs!$F$75),0)</f>
        <v>0</v>
      </c>
      <c r="BM135" s="13" t="n">
        <f aca="false">IF(Inputs!$F$8=1,BM134-Time!BM53*Inputs!BM298*Funding!$F$25*(1-Inputs!$F$75),0)</f>
        <v>0</v>
      </c>
      <c r="BN135" s="13" t="n">
        <f aca="false">IF(Inputs!$F$8=1,BN134-Time!BN53*Inputs!BN298*Funding!$F$25*(1-Inputs!$F$75),0)</f>
        <v>0</v>
      </c>
    </row>
    <row r="137" customFormat="false" ht="15" hidden="false" customHeight="false" outlineLevel="0" collapsed="false">
      <c r="D137" s="0" t="s">
        <v>1837</v>
      </c>
      <c r="E137" s="0" t="s">
        <v>323</v>
      </c>
      <c r="J137" s="3" t="n">
        <f aca="false">(Time!J23-Time!$F$8)/Inputs!$F$1320</f>
        <v>-2.33264887063655</v>
      </c>
      <c r="K137" s="3" t="n">
        <f aca="false">(Time!K23-Time!$F$8)/Inputs!$F$1320</f>
        <v>-1.83709787816564</v>
      </c>
      <c r="L137" s="3" t="n">
        <f aca="false">(Time!L23-Time!$F$8)/Inputs!$F$1320</f>
        <v>-1.33333333333333</v>
      </c>
      <c r="M137" s="3" t="n">
        <f aca="false">(Time!M23-Time!$F$8)/Inputs!$F$1320</f>
        <v>-0.835044490075291</v>
      </c>
      <c r="N137" s="3" t="n">
        <f aca="false">(Time!N23-Time!$F$8)/Inputs!$F$1320</f>
        <v>-0.331279945242984</v>
      </c>
      <c r="O137" s="3" t="n">
        <f aca="false">(Time!O23-Time!$F$8)/Inputs!$F$1320</f>
        <v>0.164271047227926</v>
      </c>
      <c r="P137" s="3" t="n">
        <f aca="false">(Time!P23-Time!$F$8)/Inputs!$F$1320</f>
        <v>0.668035592060233</v>
      </c>
      <c r="Q137" s="3" t="n">
        <f aca="false">(Time!Q23-Time!$F$8)/Inputs!$F$1320</f>
        <v>1.16358658453114</v>
      </c>
      <c r="R137" s="3" t="n">
        <f aca="false">(Time!R23-Time!$F$8)/Inputs!$F$1320</f>
        <v>1.66735112936345</v>
      </c>
      <c r="S137" s="3" t="n">
        <f aca="false">(Time!S23-Time!$F$8)/Inputs!$F$1320</f>
        <v>2.16290212183436</v>
      </c>
      <c r="T137" s="3" t="n">
        <f aca="false">(Time!T23-Time!$F$8)/Inputs!$F$1320</f>
        <v>2.66666666666667</v>
      </c>
      <c r="U137" s="3" t="n">
        <f aca="false">(Time!U23-Time!$F$8)/Inputs!$F$1320</f>
        <v>3.16495550992471</v>
      </c>
      <c r="V137" s="3" t="n">
        <f aca="false">(Time!V23-Time!$F$8)/Inputs!$F$1320</f>
        <v>3.66872005475702</v>
      </c>
      <c r="W137" s="3" t="n">
        <f aca="false">(Time!W23-Time!$F$8)/Inputs!$F$1320</f>
        <v>4.16427104722793</v>
      </c>
      <c r="X137" s="3" t="n">
        <f aca="false">(Time!X23-Time!$F$8)/Inputs!$F$1320</f>
        <v>4.66803559206023</v>
      </c>
      <c r="Y137" s="3" t="n">
        <f aca="false">(Time!Y23-Time!$F$8)/Inputs!$F$1320</f>
        <v>5.16358658453114</v>
      </c>
      <c r="Z137" s="3" t="n">
        <f aca="false">(Time!Z23-Time!$F$8)/Inputs!$F$1320</f>
        <v>5.66735112936345</v>
      </c>
      <c r="AA137" s="3" t="n">
        <f aca="false">(Time!AA23-Time!$F$8)/Inputs!$F$1320</f>
        <v>6.16290212183436</v>
      </c>
      <c r="AB137" s="3" t="n">
        <f aca="false">(Time!AB23-Time!$F$8)/Inputs!$F$1320</f>
        <v>6.66666666666667</v>
      </c>
      <c r="AC137" s="3" t="n">
        <f aca="false">(Time!AC23-Time!$F$8)/Inputs!$F$1320</f>
        <v>7.16495550992471</v>
      </c>
      <c r="AD137" s="3" t="n">
        <f aca="false">(Time!AD23-Time!$F$8)/Inputs!$F$1320</f>
        <v>7.66872005475702</v>
      </c>
      <c r="AE137" s="3" t="n">
        <f aca="false">(Time!AE23-Time!$F$8)/Inputs!$F$1320</f>
        <v>8.16427104722793</v>
      </c>
      <c r="AF137" s="3" t="n">
        <f aca="false">(Time!AF23-Time!$F$8)/Inputs!$F$1320</f>
        <v>8.66803559206023</v>
      </c>
      <c r="AG137" s="3" t="n">
        <f aca="false">(Time!AG23-Time!$F$8)/Inputs!$F$1320</f>
        <v>9.16358658453114</v>
      </c>
      <c r="AH137" s="3" t="n">
        <f aca="false">(Time!AH23-Time!$F$8)/Inputs!$F$1320</f>
        <v>9.66735112936345</v>
      </c>
      <c r="AI137" s="3" t="n">
        <f aca="false">(Time!AI23-Time!$F$8)/Inputs!$F$1320</f>
        <v>10.1629021218344</v>
      </c>
      <c r="AJ137" s="3" t="n">
        <f aca="false">(Time!AJ23-Time!$F$8)/Inputs!$F$1320</f>
        <v>10.6666666666667</v>
      </c>
      <c r="AK137" s="3" t="n">
        <f aca="false">(Time!AK23-Time!$F$8)/Inputs!$F$1320</f>
        <v>11.1649555099247</v>
      </c>
      <c r="AL137" s="3" t="n">
        <f aca="false">(Time!AL23-Time!$F$8)/Inputs!$F$1320</f>
        <v>11.668720054757</v>
      </c>
      <c r="AM137" s="3" t="n">
        <f aca="false">(Time!AM23-Time!$F$8)/Inputs!$F$1320</f>
        <v>12.1642710472279</v>
      </c>
      <c r="AN137" s="3" t="n">
        <f aca="false">(Time!AN23-Time!$F$8)/Inputs!$F$1320</f>
        <v>12.6680355920602</v>
      </c>
      <c r="AO137" s="3" t="n">
        <f aca="false">(Time!AO23-Time!$F$8)/Inputs!$F$1320</f>
        <v>13.1635865845311</v>
      </c>
      <c r="AP137" s="3" t="n">
        <f aca="false">(Time!AP23-Time!$F$8)/Inputs!$F$1320</f>
        <v>13.6673511293635</v>
      </c>
      <c r="AQ137" s="3" t="n">
        <f aca="false">(Time!AQ23-Time!$F$8)/Inputs!$F$1320</f>
        <v>14.1629021218344</v>
      </c>
      <c r="AR137" s="3" t="n">
        <f aca="false">(Time!AR23-Time!$F$8)/Inputs!$F$1320</f>
        <v>14.6666666666667</v>
      </c>
      <c r="AS137" s="3" t="n">
        <f aca="false">(Time!AS23-Time!$F$8)/Inputs!$F$1320</f>
        <v>15.1649555099247</v>
      </c>
      <c r="AT137" s="3" t="n">
        <f aca="false">(Time!AT23-Time!$F$8)/Inputs!$F$1320</f>
        <v>15.668720054757</v>
      </c>
      <c r="AU137" s="3" t="n">
        <f aca="false">(Time!AU23-Time!$F$8)/Inputs!$F$1320</f>
        <v>16.1642710472279</v>
      </c>
      <c r="AV137" s="3" t="n">
        <f aca="false">(Time!AV23-Time!$F$8)/Inputs!$F$1320</f>
        <v>16.6680355920602</v>
      </c>
      <c r="AW137" s="3" t="n">
        <f aca="false">(Time!AW23-Time!$F$8)/Inputs!$F$1320</f>
        <v>17.1635865845311</v>
      </c>
      <c r="AX137" s="3" t="n">
        <f aca="false">(Time!AX23-Time!$F$8)/Inputs!$F$1320</f>
        <v>17.6673511293635</v>
      </c>
      <c r="AY137" s="3" t="n">
        <f aca="false">(Time!AY23-Time!$F$8)/Inputs!$F$1320</f>
        <v>18.1629021218344</v>
      </c>
      <c r="AZ137" s="3" t="n">
        <f aca="false">(Time!AZ23-Time!$F$8)/Inputs!$F$1320</f>
        <v>18.6666666666667</v>
      </c>
      <c r="BA137" s="3" t="n">
        <f aca="false">(Time!BA23-Time!$F$8)/Inputs!$F$1320</f>
        <v>19.1649555099247</v>
      </c>
      <c r="BB137" s="3" t="n">
        <f aca="false">(Time!BB23-Time!$F$8)/Inputs!$F$1320</f>
        <v>19.668720054757</v>
      </c>
      <c r="BC137" s="3" t="n">
        <f aca="false">(Time!BC23-Time!$F$8)/Inputs!$F$1320</f>
        <v>20.1642710472279</v>
      </c>
      <c r="BD137" s="3" t="n">
        <f aca="false">(Time!BD23-Time!$F$8)/Inputs!$F$1320</f>
        <v>20.6680355920602</v>
      </c>
      <c r="BE137" s="3" t="n">
        <f aca="false">(Time!BE23-Time!$F$8)/Inputs!$F$1320</f>
        <v>21.1635865845311</v>
      </c>
      <c r="BF137" s="3" t="n">
        <f aca="false">(Time!BF23-Time!$F$8)/Inputs!$F$1320</f>
        <v>21.6673511293635</v>
      </c>
      <c r="BG137" s="3" t="n">
        <f aca="false">(Time!BG23-Time!$F$8)/Inputs!$F$1320</f>
        <v>22.1629021218344</v>
      </c>
      <c r="BH137" s="3" t="n">
        <f aca="false">(Time!BH23-Time!$F$8)/Inputs!$F$1320</f>
        <v>22.6666666666667</v>
      </c>
      <c r="BI137" s="3" t="n">
        <f aca="false">(Time!BI23-Time!$F$8)/Inputs!$F$1320</f>
        <v>23.1649555099247</v>
      </c>
      <c r="BJ137" s="3" t="n">
        <f aca="false">(Time!BJ23-Time!$F$8)/Inputs!$F$1320</f>
        <v>23.668720054757</v>
      </c>
      <c r="BK137" s="3" t="n">
        <f aca="false">(Time!BK23-Time!$F$8)/Inputs!$F$1320</f>
        <v>24.1642710472279</v>
      </c>
      <c r="BL137" s="3" t="n">
        <f aca="false">(Time!BL23-Time!$F$8)/Inputs!$F$1320</f>
        <v>24.6680355920602</v>
      </c>
      <c r="BM137" s="3" t="n">
        <f aca="false">(Time!BM23-Time!$F$8)/Inputs!$F$1320</f>
        <v>25.1635865845311</v>
      </c>
      <c r="BN137" s="3" t="n">
        <f aca="false">(Time!BN23-Time!$F$8)/Inputs!$F$1320</f>
        <v>25.6673511293635</v>
      </c>
    </row>
    <row r="138" customFormat="false" ht="15" hidden="false" customHeight="false" outlineLevel="0" collapsed="false">
      <c r="D138" s="0" t="s">
        <v>1838</v>
      </c>
      <c r="E138" s="0" t="s">
        <v>323</v>
      </c>
      <c r="F138" s="3" t="n">
        <f aca="false">SUMPRODUCT($J$145:$BN$145,$J$137:$BN$137)/SUM($J$145:$BN$145)</f>
        <v>6.91581108829569</v>
      </c>
    </row>
    <row r="139" customFormat="false" ht="15" hidden="false" customHeight="false" outlineLevel="0" collapsed="false">
      <c r="D139" s="0" t="s">
        <v>1839</v>
      </c>
      <c r="E139" s="0" t="s">
        <v>111</v>
      </c>
      <c r="F139" s="3" t="n">
        <f aca="false">MAX($J$145:$BN$145)/SUM($J$145:$BN$145)</f>
        <v>0.0384615384615385</v>
      </c>
    </row>
    <row r="140" customFormat="false" ht="15" hidden="false" customHeight="false" outlineLevel="0" collapsed="false">
      <c r="D140" s="0" t="s">
        <v>1840</v>
      </c>
      <c r="E140" s="0" t="s">
        <v>323</v>
      </c>
      <c r="F140" s="3" t="n">
        <f aca="false">INDEX($J$137:$BN$137,1,SUMPRODUCT(MAX(($J$145:$BN$145&gt;Inputs!$F$253)*Time!$J$20:$BN$20)))</f>
        <v>13.1635865845311</v>
      </c>
    </row>
    <row r="141" customFormat="false" ht="15" hidden="false" customHeight="false" outlineLevel="0" collapsed="false">
      <c r="D141" s="0" t="s">
        <v>1841</v>
      </c>
      <c r="E141" s="0" t="s">
        <v>99</v>
      </c>
      <c r="F141" s="9" t="n">
        <f aca="false">(YEAR(INDEX(Time!$J$23:$BN$23,1,_xlfn.MINIFS(Time!$J$20:$BN$20,$J$145:$BN$145,"&gt;"&amp;Inputs!$F$253))+1)-YEAR(Time!$F$8))*12+MONTH(INDEX(Time!$J$23:$BN$23,1,_xlfn.MINIFS(Time!$J$20:$BN$20,$J$145:$BN$145,"&gt;"&amp;Inputs!$F$253))+1)-MONTH(Time!$F$8)</f>
        <v>8</v>
      </c>
    </row>
    <row r="142" customFormat="false" ht="15" hidden="false" customHeight="false" outlineLevel="0" collapsed="false">
      <c r="D142" s="0" t="s">
        <v>1842</v>
      </c>
      <c r="E142" s="0" t="s">
        <v>111</v>
      </c>
      <c r="F142" s="3" t="n">
        <f aca="false">SUMIFS($J$145:$BN$145,Time!$J$23:$BN$23,"&lt;="&amp;(EDATE(Time!$F$8,Inputs!$F$1318)-1))/SUM($J$145:$BN$145)</f>
        <v>0.115384615384615</v>
      </c>
    </row>
    <row r="144" customFormat="false" ht="15" hidden="false" customHeight="false" outlineLevel="0" collapsed="false">
      <c r="B144" s="2" t="s">
        <v>1843</v>
      </c>
    </row>
    <row r="145" customFormat="false" ht="15" hidden="false" customHeight="false" outlineLevel="0" collapsed="false">
      <c r="D145" s="0" t="s">
        <v>1844</v>
      </c>
      <c r="E145" s="0" t="s">
        <v>111</v>
      </c>
      <c r="J145" s="11" t="n">
        <f aca="false">IF(Time!J53=1,1/SUM(Time!$J$53:$BN$53),0)</f>
        <v>0</v>
      </c>
      <c r="K145" s="11" t="n">
        <f aca="false">IF(Time!K53=1,1/SUM(Time!$J$53:$BN$53),0)</f>
        <v>0</v>
      </c>
      <c r="L145" s="11" t="n">
        <f aca="false">IF(Time!L53=1,1/SUM(Time!$J$53:$BN$53),0)</f>
        <v>0</v>
      </c>
      <c r="M145" s="11" t="n">
        <f aca="false">IF(Time!M53=1,1/SUM(Time!$J$53:$BN$53),0)</f>
        <v>0</v>
      </c>
      <c r="N145" s="11" t="n">
        <f aca="false">IF(Time!N53=1,1/SUM(Time!$J$53:$BN$53),0)</f>
        <v>0</v>
      </c>
      <c r="O145" s="11" t="n">
        <f aca="false">IF(Time!O53=1,1/SUM(Time!$J$53:$BN$53),0)</f>
        <v>0</v>
      </c>
      <c r="P145" s="11" t="n">
        <f aca="false">IF(Time!P53=1,1/SUM(Time!$J$53:$BN$53),0)</f>
        <v>0.0384615384615385</v>
      </c>
      <c r="Q145" s="11" t="n">
        <f aca="false">IF(Time!Q53=1,1/SUM(Time!$J$53:$BN$53),0)</f>
        <v>0.0384615384615385</v>
      </c>
      <c r="R145" s="11" t="n">
        <f aca="false">IF(Time!R53=1,1/SUM(Time!$J$53:$BN$53),0)</f>
        <v>0.0384615384615385</v>
      </c>
      <c r="S145" s="11" t="n">
        <f aca="false">IF(Time!S53=1,1/SUM(Time!$J$53:$BN$53),0)</f>
        <v>0.0384615384615385</v>
      </c>
      <c r="T145" s="11" t="n">
        <f aca="false">IF(Time!T53=1,1/SUM(Time!$J$53:$BN$53),0)</f>
        <v>0.0384615384615385</v>
      </c>
      <c r="U145" s="11" t="n">
        <f aca="false">IF(Time!U53=1,1/SUM(Time!$J$53:$BN$53),0)</f>
        <v>0.0384615384615385</v>
      </c>
      <c r="V145" s="11" t="n">
        <f aca="false">IF(Time!V53=1,1/SUM(Time!$J$53:$BN$53),0)</f>
        <v>0.0384615384615385</v>
      </c>
      <c r="W145" s="11" t="n">
        <f aca="false">IF(Time!W53=1,1/SUM(Time!$J$53:$BN$53),0)</f>
        <v>0.0384615384615385</v>
      </c>
      <c r="X145" s="11" t="n">
        <f aca="false">IF(Time!X53=1,1/SUM(Time!$J$53:$BN$53),0)</f>
        <v>0.0384615384615385</v>
      </c>
      <c r="Y145" s="11" t="n">
        <f aca="false">IF(Time!Y53=1,1/SUM(Time!$J$53:$BN$53),0)</f>
        <v>0.0384615384615385</v>
      </c>
      <c r="Z145" s="11" t="n">
        <f aca="false">IF(Time!Z53=1,1/SUM(Time!$J$53:$BN$53),0)</f>
        <v>0.0384615384615385</v>
      </c>
      <c r="AA145" s="11" t="n">
        <f aca="false">IF(Time!AA53=1,1/SUM(Time!$J$53:$BN$53),0)</f>
        <v>0.0384615384615385</v>
      </c>
      <c r="AB145" s="11" t="n">
        <f aca="false">IF(Time!AB53=1,1/SUM(Time!$J$53:$BN$53),0)</f>
        <v>0.0384615384615385</v>
      </c>
      <c r="AC145" s="11" t="n">
        <f aca="false">IF(Time!AC53=1,1/SUM(Time!$J$53:$BN$53),0)</f>
        <v>0.0384615384615385</v>
      </c>
      <c r="AD145" s="11" t="n">
        <f aca="false">IF(Time!AD53=1,1/SUM(Time!$J$53:$BN$53),0)</f>
        <v>0.0384615384615385</v>
      </c>
      <c r="AE145" s="11" t="n">
        <f aca="false">IF(Time!AE53=1,1/SUM(Time!$J$53:$BN$53),0)</f>
        <v>0.0384615384615385</v>
      </c>
      <c r="AF145" s="11" t="n">
        <f aca="false">IF(Time!AF53=1,1/SUM(Time!$J$53:$BN$53),0)</f>
        <v>0.0384615384615385</v>
      </c>
      <c r="AG145" s="11" t="n">
        <f aca="false">IF(Time!AG53=1,1/SUM(Time!$J$53:$BN$53),0)</f>
        <v>0.0384615384615385</v>
      </c>
      <c r="AH145" s="11" t="n">
        <f aca="false">IF(Time!AH53=1,1/SUM(Time!$J$53:$BN$53),0)</f>
        <v>0.0384615384615385</v>
      </c>
      <c r="AI145" s="11" t="n">
        <f aca="false">IF(Time!AI53=1,1/SUM(Time!$J$53:$BN$53),0)</f>
        <v>0.0384615384615385</v>
      </c>
      <c r="AJ145" s="11" t="n">
        <f aca="false">IF(Time!AJ53=1,1/SUM(Time!$J$53:$BN$53),0)</f>
        <v>0.0384615384615385</v>
      </c>
      <c r="AK145" s="11" t="n">
        <f aca="false">IF(Time!AK53=1,1/SUM(Time!$J$53:$BN$53),0)</f>
        <v>0.0384615384615385</v>
      </c>
      <c r="AL145" s="11" t="n">
        <f aca="false">IF(Time!AL53=1,1/SUM(Time!$J$53:$BN$53),0)</f>
        <v>0.0384615384615385</v>
      </c>
      <c r="AM145" s="11" t="n">
        <f aca="false">IF(Time!AM53=1,1/SUM(Time!$J$53:$BN$53),0)</f>
        <v>0.0384615384615385</v>
      </c>
      <c r="AN145" s="11" t="n">
        <f aca="false">IF(Time!AN53=1,1/SUM(Time!$J$53:$BN$53),0)</f>
        <v>0.0384615384615385</v>
      </c>
      <c r="AO145" s="11" t="n">
        <f aca="false">IF(Time!AO53=1,1/SUM(Time!$J$53:$BN$53),0)</f>
        <v>0.0384615384615385</v>
      </c>
      <c r="AP145" s="11" t="n">
        <f aca="false">IF(Time!AP53=1,1/SUM(Time!$J$53:$BN$53),0)</f>
        <v>0</v>
      </c>
      <c r="AQ145" s="11" t="n">
        <f aca="false">IF(Time!AQ53=1,1/SUM(Time!$J$53:$BN$53),0)</f>
        <v>0</v>
      </c>
      <c r="AR145" s="11" t="n">
        <f aca="false">IF(Time!AR53=1,1/SUM(Time!$J$53:$BN$53),0)</f>
        <v>0</v>
      </c>
      <c r="AS145" s="11" t="n">
        <f aca="false">IF(Time!AS53=1,1/SUM(Time!$J$53:$BN$53),0)</f>
        <v>0</v>
      </c>
      <c r="AT145" s="11" t="n">
        <f aca="false">IF(Time!AT53=1,1/SUM(Time!$J$53:$BN$53),0)</f>
        <v>0</v>
      </c>
      <c r="AU145" s="11" t="n">
        <f aca="false">IF(Time!AU53=1,1/SUM(Time!$J$53:$BN$53),0)</f>
        <v>0</v>
      </c>
      <c r="AV145" s="11" t="n">
        <f aca="false">IF(Time!AV53=1,1/SUM(Time!$J$53:$BN$53),0)</f>
        <v>0</v>
      </c>
      <c r="AW145" s="11" t="n">
        <f aca="false">IF(Time!AW53=1,1/SUM(Time!$J$53:$BN$53),0)</f>
        <v>0</v>
      </c>
      <c r="AX145" s="11" t="n">
        <f aca="false">IF(Time!AX53=1,1/SUM(Time!$J$53:$BN$53),0)</f>
        <v>0</v>
      </c>
      <c r="AY145" s="11" t="n">
        <f aca="false">IF(Time!AY53=1,1/SUM(Time!$J$53:$BN$53),0)</f>
        <v>0</v>
      </c>
      <c r="AZ145" s="11" t="n">
        <f aca="false">IF(Time!AZ53=1,1/SUM(Time!$J$53:$BN$53),0)</f>
        <v>0</v>
      </c>
      <c r="BA145" s="11" t="n">
        <f aca="false">IF(Time!BA53=1,1/SUM(Time!$J$53:$BN$53),0)</f>
        <v>0</v>
      </c>
      <c r="BB145" s="11" t="n">
        <f aca="false">IF(Time!BB53=1,1/SUM(Time!$J$53:$BN$53),0)</f>
        <v>0</v>
      </c>
      <c r="BC145" s="11" t="n">
        <f aca="false">IF(Time!BC53=1,1/SUM(Time!$J$53:$BN$53),0)</f>
        <v>0</v>
      </c>
      <c r="BD145" s="11" t="n">
        <f aca="false">IF(Time!BD53=1,1/SUM(Time!$J$53:$BN$53),0)</f>
        <v>0</v>
      </c>
      <c r="BE145" s="11" t="n">
        <f aca="false">IF(Time!BE53=1,1/SUM(Time!$J$53:$BN$53),0)</f>
        <v>0</v>
      </c>
      <c r="BF145" s="11" t="n">
        <f aca="false">IF(Time!BF53=1,1/SUM(Time!$J$53:$BN$53),0)</f>
        <v>0</v>
      </c>
      <c r="BG145" s="11" t="n">
        <f aca="false">IF(Time!BG53=1,1/SUM(Time!$J$53:$BN$53),0)</f>
        <v>0</v>
      </c>
      <c r="BH145" s="11" t="n">
        <f aca="false">IF(Time!BH53=1,1/SUM(Time!$J$53:$BN$53),0)</f>
        <v>0</v>
      </c>
      <c r="BI145" s="11" t="n">
        <f aca="false">IF(Time!BI53=1,1/SUM(Time!$J$53:$BN$53),0)</f>
        <v>0</v>
      </c>
      <c r="BJ145" s="11" t="n">
        <f aca="false">IF(Time!BJ53=1,1/SUM(Time!$J$53:$BN$53),0)</f>
        <v>0</v>
      </c>
      <c r="BK145" s="11" t="n">
        <f aca="false">IF(Time!BK53=1,1/SUM(Time!$J$53:$BN$53),0)</f>
        <v>0</v>
      </c>
      <c r="BL145" s="11" t="n">
        <f aca="false">IF(Time!BL53=1,1/SUM(Time!$J$53:$BN$53),0)</f>
        <v>0</v>
      </c>
      <c r="BM145" s="11" t="n">
        <f aca="false">IF(Time!BM53=1,1/SUM(Time!$J$53:$BN$53),0)</f>
        <v>0</v>
      </c>
      <c r="BN145" s="11" t="n">
        <f aca="false">IF(Time!BN53=1,1/SUM(Time!$J$53:$BN$53),0)</f>
        <v>0</v>
      </c>
    </row>
    <row r="146" customFormat="false" ht="15" hidden="false" customHeight="false" outlineLevel="0" collapsed="false">
      <c r="D146" s="0" t="s">
        <v>1845</v>
      </c>
      <c r="E146" s="0" t="s">
        <v>111</v>
      </c>
      <c r="J146" s="11" t="n">
        <f aca="false">SUM(J145:BN145)</f>
        <v>1</v>
      </c>
      <c r="K146" s="11" t="n">
        <f aca="false">SUM(K145:BN145)</f>
        <v>1</v>
      </c>
      <c r="L146" s="11" t="n">
        <f aca="false">SUM(L145:BN145)</f>
        <v>1</v>
      </c>
      <c r="M146" s="11" t="n">
        <f aca="false">SUM(M145:BN145)</f>
        <v>1</v>
      </c>
      <c r="N146" s="11" t="n">
        <f aca="false">SUM(N145:BN145)</f>
        <v>1</v>
      </c>
      <c r="O146" s="11" t="n">
        <f aca="false">SUM(O145:BN145)</f>
        <v>1</v>
      </c>
      <c r="P146" s="11" t="n">
        <f aca="false">SUM(P145:BN145)</f>
        <v>1</v>
      </c>
      <c r="Q146" s="11" t="n">
        <f aca="false">SUM(Q145:BN145)</f>
        <v>0.961538461538462</v>
      </c>
      <c r="R146" s="11" t="n">
        <f aca="false">SUM(R145:BN145)</f>
        <v>0.923076923076923</v>
      </c>
      <c r="S146" s="11" t="n">
        <f aca="false">SUM(S145:BN145)</f>
        <v>0.884615384615385</v>
      </c>
      <c r="T146" s="11" t="n">
        <f aca="false">SUM(T145:BN145)</f>
        <v>0.846153846153846</v>
      </c>
      <c r="U146" s="11" t="n">
        <f aca="false">SUM(U145:BN145)</f>
        <v>0.807692307692308</v>
      </c>
      <c r="V146" s="11" t="n">
        <f aca="false">SUM(V145:BN145)</f>
        <v>0.769230769230769</v>
      </c>
      <c r="W146" s="11" t="n">
        <f aca="false">SUM(W145:BN145)</f>
        <v>0.730769230769231</v>
      </c>
      <c r="X146" s="11" t="n">
        <f aca="false">SUM(X145:BN145)</f>
        <v>0.692307692307692</v>
      </c>
      <c r="Y146" s="11" t="n">
        <f aca="false">SUM(Y145:BN145)</f>
        <v>0.653846153846154</v>
      </c>
      <c r="Z146" s="11" t="n">
        <f aca="false">SUM(Z145:BN145)</f>
        <v>0.615384615384615</v>
      </c>
      <c r="AA146" s="11" t="n">
        <f aca="false">SUM(AA145:BN145)</f>
        <v>0.576923076923077</v>
      </c>
      <c r="AB146" s="11" t="n">
        <f aca="false">SUM(AB145:BN145)</f>
        <v>0.538461538461538</v>
      </c>
      <c r="AC146" s="11" t="n">
        <f aca="false">SUM(AC145:BN145)</f>
        <v>0.5</v>
      </c>
      <c r="AD146" s="11" t="n">
        <f aca="false">SUM(AD145:BN145)</f>
        <v>0.461538461538462</v>
      </c>
      <c r="AE146" s="11" t="n">
        <f aca="false">SUM(AE145:BN145)</f>
        <v>0.423076923076923</v>
      </c>
      <c r="AF146" s="11" t="n">
        <f aca="false">SUM(AF145:BN145)</f>
        <v>0.384615384615385</v>
      </c>
      <c r="AG146" s="11" t="n">
        <f aca="false">SUM(AG145:BN145)</f>
        <v>0.346153846153846</v>
      </c>
      <c r="AH146" s="11" t="n">
        <f aca="false">SUM(AH145:BN145)</f>
        <v>0.307692307692308</v>
      </c>
      <c r="AI146" s="11" t="n">
        <f aca="false">SUM(AI145:BN145)</f>
        <v>0.269230769230769</v>
      </c>
      <c r="AJ146" s="11" t="n">
        <f aca="false">SUM(AJ145:BN145)</f>
        <v>0.230769230769231</v>
      </c>
      <c r="AK146" s="11" t="n">
        <f aca="false">SUM(AK145:BN145)</f>
        <v>0.192307692307692</v>
      </c>
      <c r="AL146" s="11" t="n">
        <f aca="false">SUM(AL145:BN145)</f>
        <v>0.153846153846154</v>
      </c>
      <c r="AM146" s="11" t="n">
        <f aca="false">SUM(AM145:BN145)</f>
        <v>0.115384615384615</v>
      </c>
      <c r="AN146" s="11" t="n">
        <f aca="false">SUM(AN145:BN145)</f>
        <v>0.0769230769230769</v>
      </c>
      <c r="AO146" s="11" t="n">
        <f aca="false">SUM(AO145:BN145)</f>
        <v>0.0384615384615385</v>
      </c>
      <c r="AP146" s="11" t="n">
        <f aca="false">SUM(AP145:BN145)</f>
        <v>0</v>
      </c>
      <c r="AQ146" s="11" t="n">
        <f aca="false">SUM(AQ145:BN145)</f>
        <v>0</v>
      </c>
      <c r="AR146" s="11" t="n">
        <f aca="false">SUM(AR145:BN145)</f>
        <v>0</v>
      </c>
      <c r="AS146" s="11" t="n">
        <f aca="false">SUM(AS145:BN145)</f>
        <v>0</v>
      </c>
      <c r="AT146" s="11" t="n">
        <f aca="false">SUM(AT145:BN145)</f>
        <v>0</v>
      </c>
      <c r="AU146" s="11" t="n">
        <f aca="false">SUM(AU145:BN145)</f>
        <v>0</v>
      </c>
      <c r="AV146" s="11" t="n">
        <f aca="false">SUM(AV145:BN145)</f>
        <v>0</v>
      </c>
      <c r="AW146" s="11" t="n">
        <f aca="false">SUM(AW145:BN145)</f>
        <v>0</v>
      </c>
      <c r="AX146" s="11" t="n">
        <f aca="false">SUM(AX145:BN145)</f>
        <v>0</v>
      </c>
      <c r="AY146" s="11" t="n">
        <f aca="false">SUM(AY145:BN145)</f>
        <v>0</v>
      </c>
      <c r="AZ146" s="11" t="n">
        <f aca="false">SUM(AZ145:BN145)</f>
        <v>0</v>
      </c>
      <c r="BA146" s="11" t="n">
        <f aca="false">SUM(BA145:BN145)</f>
        <v>0</v>
      </c>
      <c r="BB146" s="11" t="n">
        <f aca="false">SUM(BB145:BN145)</f>
        <v>0</v>
      </c>
      <c r="BC146" s="11" t="n">
        <f aca="false">SUM(BC145:BN145)</f>
        <v>0</v>
      </c>
      <c r="BD146" s="11" t="n">
        <f aca="false">SUM(BD145:BN145)</f>
        <v>0</v>
      </c>
      <c r="BE146" s="11" t="n">
        <f aca="false">SUM(BE145:BN145)</f>
        <v>0</v>
      </c>
      <c r="BF146" s="11" t="n">
        <f aca="false">SUM(BF145:BN145)</f>
        <v>0</v>
      </c>
      <c r="BG146" s="11" t="n">
        <f aca="false">SUM(BG145:BN145)</f>
        <v>0</v>
      </c>
      <c r="BH146" s="11" t="n">
        <f aca="false">SUM(BH145:BN145)</f>
        <v>0</v>
      </c>
      <c r="BI146" s="11" t="n">
        <f aca="false">SUM(BI145:BN145)</f>
        <v>0</v>
      </c>
      <c r="BJ146" s="11" t="n">
        <f aca="false">SUM(BJ145:BN145)</f>
        <v>0</v>
      </c>
      <c r="BK146" s="11" t="n">
        <f aca="false">SUM(BK145:BN145)</f>
        <v>0</v>
      </c>
      <c r="BL146" s="11" t="n">
        <f aca="false">SUM(BL145:BN145)</f>
        <v>0</v>
      </c>
      <c r="BM146" s="11" t="n">
        <f aca="false">SUM(BM145:BN145)</f>
        <v>0</v>
      </c>
      <c r="BN146" s="11" t="n">
        <f aca="false">SUM(BN145:BN145)</f>
        <v>0</v>
      </c>
    </row>
    <row r="147" customFormat="false" ht="15" hidden="false" customHeight="false" outlineLevel="0" collapsed="false">
      <c r="D147" s="0" t="s">
        <v>1846</v>
      </c>
      <c r="E147" s="0" t="s">
        <v>111</v>
      </c>
      <c r="J147" s="11" t="n">
        <f aca="false">IF(J146&gt;Inputs!$F$253,J145/J146,0)</f>
        <v>0</v>
      </c>
      <c r="K147" s="11" t="n">
        <f aca="false">IF(K146&gt;Inputs!$F$253,K145/K146,0)</f>
        <v>0</v>
      </c>
      <c r="L147" s="11" t="n">
        <f aca="false">IF(L146&gt;Inputs!$F$253,L145/L146,0)</f>
        <v>0</v>
      </c>
      <c r="M147" s="11" t="n">
        <f aca="false">IF(M146&gt;Inputs!$F$253,M145/M146,0)</f>
        <v>0</v>
      </c>
      <c r="N147" s="11" t="n">
        <f aca="false">IF(N146&gt;Inputs!$F$253,N145/N146,0)</f>
        <v>0</v>
      </c>
      <c r="O147" s="11" t="n">
        <f aca="false">IF(O146&gt;Inputs!$F$253,O145/O146,0)</f>
        <v>0</v>
      </c>
      <c r="P147" s="11" t="n">
        <f aca="false">IF(P146&gt;Inputs!$F$253,P145/P146,0)</f>
        <v>0.0384615384615385</v>
      </c>
      <c r="Q147" s="11" t="n">
        <f aca="false">IF(Q146&gt;Inputs!$F$253,Q145/Q146,0)</f>
        <v>0.04</v>
      </c>
      <c r="R147" s="11" t="n">
        <f aca="false">IF(R146&gt;Inputs!$F$253,R145/R146,0)</f>
        <v>0.0416666666666667</v>
      </c>
      <c r="S147" s="11" t="n">
        <f aca="false">IF(S146&gt;Inputs!$F$253,S145/S146,0)</f>
        <v>0.0434782608695652</v>
      </c>
      <c r="T147" s="11" t="n">
        <f aca="false">IF(T146&gt;Inputs!$F$253,T145/T146,0)</f>
        <v>0.0454545454545455</v>
      </c>
      <c r="U147" s="11" t="n">
        <f aca="false">IF(U146&gt;Inputs!$F$253,U145/U146,0)</f>
        <v>0.0476190476190476</v>
      </c>
      <c r="V147" s="11" t="n">
        <f aca="false">IF(V146&gt;Inputs!$F$253,V145/V146,0)</f>
        <v>0.05</v>
      </c>
      <c r="W147" s="11" t="n">
        <f aca="false">IF(W146&gt;Inputs!$F$253,W145/W146,0)</f>
        <v>0.0526315789473684</v>
      </c>
      <c r="X147" s="11" t="n">
        <f aca="false">IF(X146&gt;Inputs!$F$253,X145/X146,0)</f>
        <v>0.0555555555555556</v>
      </c>
      <c r="Y147" s="11" t="n">
        <f aca="false">IF(Y146&gt;Inputs!$F$253,Y145/Y146,0)</f>
        <v>0.0588235294117647</v>
      </c>
      <c r="Z147" s="11" t="n">
        <f aca="false">IF(Z146&gt;Inputs!$F$253,Z145/Z146,0)</f>
        <v>0.0625</v>
      </c>
      <c r="AA147" s="11" t="n">
        <f aca="false">IF(AA146&gt;Inputs!$F$253,AA145/AA146,0)</f>
        <v>0.0666666666666667</v>
      </c>
      <c r="AB147" s="11" t="n">
        <f aca="false">IF(AB146&gt;Inputs!$F$253,AB145/AB146,0)</f>
        <v>0.0714285714285714</v>
      </c>
      <c r="AC147" s="11" t="n">
        <f aca="false">IF(AC146&gt;Inputs!$F$253,AC145/AC146,0)</f>
        <v>0.0769230769230769</v>
      </c>
      <c r="AD147" s="11" t="n">
        <f aca="false">IF(AD146&gt;Inputs!$F$253,AD145/AD146,0)</f>
        <v>0.0833333333333333</v>
      </c>
      <c r="AE147" s="11" t="n">
        <f aca="false">IF(AE146&gt;Inputs!$F$253,AE145/AE146,0)</f>
        <v>0.0909090909090909</v>
      </c>
      <c r="AF147" s="11" t="n">
        <f aca="false">IF(AF146&gt;Inputs!$F$253,AF145/AF146,0)</f>
        <v>0.1</v>
      </c>
      <c r="AG147" s="11" t="n">
        <f aca="false">IF(AG146&gt;Inputs!$F$253,AG145/AG146,0)</f>
        <v>0.111111111111111</v>
      </c>
      <c r="AH147" s="11" t="n">
        <f aca="false">IF(AH146&gt;Inputs!$F$253,AH145/AH146,0)</f>
        <v>0.125</v>
      </c>
      <c r="AI147" s="11" t="n">
        <f aca="false">IF(AI146&gt;Inputs!$F$253,AI145/AI146,0)</f>
        <v>0.142857142857143</v>
      </c>
      <c r="AJ147" s="11" t="n">
        <f aca="false">IF(AJ146&gt;Inputs!$F$253,AJ145/AJ146,0)</f>
        <v>0.166666666666667</v>
      </c>
      <c r="AK147" s="11" t="n">
        <f aca="false">IF(AK146&gt;Inputs!$F$253,AK145/AK146,0)</f>
        <v>0.2</v>
      </c>
      <c r="AL147" s="11" t="n">
        <f aca="false">IF(AL146&gt;Inputs!$F$253,AL145/AL146,0)</f>
        <v>0.25</v>
      </c>
      <c r="AM147" s="11" t="n">
        <f aca="false">IF(AM146&gt;Inputs!$F$253,AM145/AM146,0)</f>
        <v>0.333333333333333</v>
      </c>
      <c r="AN147" s="11" t="n">
        <f aca="false">IF(AN146&gt;Inputs!$F$253,AN145/AN146,0)</f>
        <v>0.5</v>
      </c>
      <c r="AO147" s="11" t="n">
        <f aca="false">IF(AO146&gt;Inputs!$F$253,AO145/AO146,0)</f>
        <v>1</v>
      </c>
      <c r="AP147" s="11" t="n">
        <f aca="false">IF(AP146&gt;Inputs!$F$253,AP145/AP146,0)</f>
        <v>0</v>
      </c>
      <c r="AQ147" s="11" t="n">
        <f aca="false">IF(AQ146&gt;Inputs!$F$253,AQ145/AQ146,0)</f>
        <v>0</v>
      </c>
      <c r="AR147" s="11" t="n">
        <f aca="false">IF(AR146&gt;Inputs!$F$253,AR145/AR146,0)</f>
        <v>0</v>
      </c>
      <c r="AS147" s="11" t="n">
        <f aca="false">IF(AS146&gt;Inputs!$F$253,AS145/AS146,0)</f>
        <v>0</v>
      </c>
      <c r="AT147" s="11" t="n">
        <f aca="false">IF(AT146&gt;Inputs!$F$253,AT145/AT146,0)</f>
        <v>0</v>
      </c>
      <c r="AU147" s="11" t="n">
        <f aca="false">IF(AU146&gt;Inputs!$F$253,AU145/AU146,0)</f>
        <v>0</v>
      </c>
      <c r="AV147" s="11" t="n">
        <f aca="false">IF(AV146&gt;Inputs!$F$253,AV145/AV146,0)</f>
        <v>0</v>
      </c>
      <c r="AW147" s="11" t="n">
        <f aca="false">IF(AW146&gt;Inputs!$F$253,AW145/AW146,0)</f>
        <v>0</v>
      </c>
      <c r="AX147" s="11" t="n">
        <f aca="false">IF(AX146&gt;Inputs!$F$253,AX145/AX146,0)</f>
        <v>0</v>
      </c>
      <c r="AY147" s="11" t="n">
        <f aca="false">IF(AY146&gt;Inputs!$F$253,AY145/AY146,0)</f>
        <v>0</v>
      </c>
      <c r="AZ147" s="11" t="n">
        <f aca="false">IF(AZ146&gt;Inputs!$F$253,AZ145/AZ146,0)</f>
        <v>0</v>
      </c>
      <c r="BA147" s="11" t="n">
        <f aca="false">IF(BA146&gt;Inputs!$F$253,BA145/BA146,0)</f>
        <v>0</v>
      </c>
      <c r="BB147" s="11" t="n">
        <f aca="false">IF(BB146&gt;Inputs!$F$253,BB145/BB146,0)</f>
        <v>0</v>
      </c>
      <c r="BC147" s="11" t="n">
        <f aca="false">IF(BC146&gt;Inputs!$F$253,BC145/BC146,0)</f>
        <v>0</v>
      </c>
      <c r="BD147" s="11" t="n">
        <f aca="false">IF(BD146&gt;Inputs!$F$253,BD145/BD146,0)</f>
        <v>0</v>
      </c>
      <c r="BE147" s="11" t="n">
        <f aca="false">IF(BE146&gt;Inputs!$F$253,BE145/BE146,0)</f>
        <v>0</v>
      </c>
      <c r="BF147" s="11" t="n">
        <f aca="false">IF(BF146&gt;Inputs!$F$253,BF145/BF146,0)</f>
        <v>0</v>
      </c>
      <c r="BG147" s="11" t="n">
        <f aca="false">IF(BG146&gt;Inputs!$F$253,BG145/BG146,0)</f>
        <v>0</v>
      </c>
      <c r="BH147" s="11" t="n">
        <f aca="false">IF(BH146&gt;Inputs!$F$253,BH145/BH146,0)</f>
        <v>0</v>
      </c>
      <c r="BI147" s="11" t="n">
        <f aca="false">IF(BI146&gt;Inputs!$F$253,BI145/BI146,0)</f>
        <v>0</v>
      </c>
      <c r="BJ147" s="11" t="n">
        <f aca="false">IF(BJ146&gt;Inputs!$F$253,BJ145/BJ146,0)</f>
        <v>0</v>
      </c>
      <c r="BK147" s="11" t="n">
        <f aca="false">IF(BK146&gt;Inputs!$F$253,BK145/BK146,0)</f>
        <v>0</v>
      </c>
      <c r="BL147" s="11" t="n">
        <f aca="false">IF(BL146&gt;Inputs!$F$253,BL145/BL146,0)</f>
        <v>0</v>
      </c>
      <c r="BM147" s="11" t="n">
        <f aca="false">IF(BM146&gt;Inputs!$F$253,BM145/BM146,0)</f>
        <v>0</v>
      </c>
      <c r="BN147" s="11" t="n">
        <f aca="false">IF(BN146&gt;Inputs!$F$253,BN145/BN146,0)</f>
        <v>0</v>
      </c>
    </row>
    <row r="148" customFormat="false" ht="15" hidden="false" customHeight="false" outlineLevel="0" collapsed="false">
      <c r="D148" s="0" t="s">
        <v>1847</v>
      </c>
      <c r="E148" s="0" t="s">
        <v>101</v>
      </c>
      <c r="J148" s="16" t="n">
        <f aca="false">IF(Time!J53=1,-1*Inputs!J301/(Funding!$F$25*(Inputs!$F$75*J146+(1-Inputs!$F$75)*J18))*(Inputs!$F$97/100*Time!J24-Operations!J9/100*Time!J25/Inputs!$F$247),0)</f>
        <v>0</v>
      </c>
      <c r="K148" s="16" t="n">
        <f aca="false">IF(Time!K53=1,-1*Inputs!K301/(Funding!$F$25*(Inputs!$F$75*K146+(1-Inputs!$F$75)*K18))*(Inputs!$F$97/100*Time!K24-Operations!K9/100*Time!K25/Inputs!$F$247),0)</f>
        <v>0</v>
      </c>
      <c r="L148" s="16" t="n">
        <f aca="false">IF(Time!L53=1,-1*Inputs!L301/(Funding!$F$25*(Inputs!$F$75*L146+(1-Inputs!$F$75)*L18))*(Inputs!$F$97/100*Time!L24-Operations!L9/100*Time!L25/Inputs!$F$247),0)</f>
        <v>0</v>
      </c>
      <c r="M148" s="16" t="n">
        <f aca="false">IF(Time!M53=1,-1*Inputs!M301/(Funding!$F$25*(Inputs!$F$75*M146+(1-Inputs!$F$75)*M18))*(Inputs!$F$97/100*Time!M24-Operations!M9/100*Time!M25/Inputs!$F$247),0)</f>
        <v>0</v>
      </c>
      <c r="N148" s="16" t="n">
        <f aca="false">IF(Time!N53=1,-1*Inputs!N301/(Funding!$F$25*(Inputs!$F$75*N146+(1-Inputs!$F$75)*N18))*(Inputs!$F$97/100*Time!N24-Operations!N9/100*Time!N25/Inputs!$F$247),0)</f>
        <v>0</v>
      </c>
      <c r="O148" s="16" t="n">
        <f aca="false">IF(Time!O53=1,-1*Inputs!O301/(Funding!$F$25*(Inputs!$F$75*O146+(1-Inputs!$F$75)*O18))*(Inputs!$F$97/100*Time!O24-Operations!O9/100*Time!O25/Inputs!$F$247),0)</f>
        <v>0</v>
      </c>
      <c r="P148" s="16" t="n">
        <f aca="false">IF(Time!P53=1,-1*Inputs!P301/(Funding!$F$25*(Inputs!$F$75*P146+(1-Inputs!$F$75)*P18))*(Inputs!$F$97/100*Time!P24-Operations!P9/100*Time!P25/Inputs!$F$247),0)</f>
        <v>0.000846666666609179</v>
      </c>
      <c r="Q148" s="16" t="n">
        <f aca="false">IF(Time!Q53=1,-1*Inputs!Q301/(Funding!$F$25*(Inputs!$F$75*Q146+(1-Inputs!$F$75)*Q18))*(Inputs!$F$97/100*Time!Q24-Operations!Q9/100*Time!Q25/Inputs!$F$247),0)</f>
        <v>0.000721111111062153</v>
      </c>
      <c r="R148" s="16" t="n">
        <f aca="false">IF(Time!R53=1,-1*Inputs!R301/(Funding!$F$25*(Inputs!$F$75*R146+(1-Inputs!$F$75)*R18))*(Inputs!$F$97/100*Time!R24-Operations!R9/100*Time!R25/Inputs!$F$247),0)</f>
        <v>0.000928444444381407</v>
      </c>
      <c r="S148" s="16" t="n">
        <f aca="false">IF(Time!S53=1,-1*Inputs!S301/(Funding!$F$25*(Inputs!$F$75*S146+(1-Inputs!$F$75)*S18))*(Inputs!$F$97/100*Time!S24-Operations!S9/100*Time!S25/Inputs!$F$247),0)</f>
        <v>0.000761333333281644</v>
      </c>
      <c r="T148" s="16" t="n">
        <f aca="false">IF(Time!T53=1,-1*Inputs!T301/(Funding!$F$25*(Inputs!$F$75*T146+(1-Inputs!$F$75)*T18))*(Inputs!$F$97/100*Time!T24-Operations!T9/100*Time!T25/Inputs!$F$247),0)</f>
        <v>0.000969333333267522</v>
      </c>
      <c r="U148" s="16" t="n">
        <f aca="false">IF(Time!U53=1,-1*Inputs!U301/(Funding!$F$25*(Inputs!$F$75*U146+(1-Inputs!$F$75)*U18))*(Inputs!$F$97/100*Time!U24-Operations!U9/100*Time!U25/Inputs!$F$247),0)</f>
        <v>0.000830666666610272</v>
      </c>
      <c r="V148" s="16" t="n">
        <f aca="false">IF(Time!V53=1,-1*Inputs!V301/(Funding!$F$25*(Inputs!$F$75*V146+(1-Inputs!$F$75)*V18))*(Inputs!$F$97/100*Time!V24-Operations!V9/100*Time!V25/Inputs!$F$247),0)</f>
        <v>0.000969333333267521</v>
      </c>
      <c r="W148" s="16" t="n">
        <f aca="false">IF(Time!W53=1,-1*Inputs!W301/(Funding!$F$25*(Inputs!$F$75*W146+(1-Inputs!$F$75)*W18))*(Inputs!$F$97/100*Time!W24-Operations!W9/100*Time!W25/Inputs!$F$247),0)</f>
        <v>0.000761333333281644</v>
      </c>
      <c r="X148" s="16" t="n">
        <f aca="false">IF(Time!X53=1,-1*Inputs!X301/(Funding!$F$25*(Inputs!$F$75*X146+(1-Inputs!$F$75)*X18))*(Inputs!$F$97/100*Time!X24-Operations!X9/100*Time!X25/Inputs!$F$247),0)</f>
        <v>0.000969333333267521</v>
      </c>
      <c r="Y148" s="16" t="n">
        <f aca="false">IF(Time!Y53=1,-1*Inputs!Y301/(Funding!$F$25*(Inputs!$F$75*Y146+(1-Inputs!$F$75)*Y18))*(Inputs!$F$97/100*Time!Y24-Operations!Y9/100*Time!Y25/Inputs!$F$247),0)</f>
        <v>0.000761333333281644</v>
      </c>
      <c r="Z148" s="16" t="n">
        <f aca="false">IF(Time!Z53=1,-1*Inputs!Z301/(Funding!$F$25*(Inputs!$F$75*Z146+(1-Inputs!$F$75)*Z18))*(Inputs!$F$97/100*Time!Z24-Operations!Z9/100*Time!Z25/Inputs!$F$247),0)</f>
        <v>0.000969333333267521</v>
      </c>
      <c r="AA148" s="16" t="n">
        <f aca="false">IF(Time!AA53=1,-1*Inputs!AA301/(Funding!$F$25*(Inputs!$F$75*AA146+(1-Inputs!$F$75)*AA18))*(Inputs!$F$97/100*Time!AA24-Operations!AA9/100*Time!AA25/Inputs!$F$247),0)</f>
        <v>0.000761333333281644</v>
      </c>
      <c r="AB148" s="16" t="n">
        <f aca="false">IF(Time!AB53=1,-1*Inputs!AB301/(Funding!$F$25*(Inputs!$F$75*AB146+(1-Inputs!$F$75)*AB18))*(Inputs!$F$97/100*Time!AB24-Operations!AB9/100*Time!AB25/Inputs!$F$247),0)</f>
        <v>0.000969333333267521</v>
      </c>
      <c r="AC148" s="16" t="n">
        <f aca="false">IF(Time!AC53=1,-1*Inputs!AC301/(Funding!$F$25*(Inputs!$F$75*AC146+(1-Inputs!$F$75)*AC18))*(Inputs!$F$97/100*Time!AC24-Operations!AC9/100*Time!AC25/Inputs!$F$247),0)</f>
        <v>0.000830666666610271</v>
      </c>
      <c r="AD148" s="16" t="n">
        <f aca="false">IF(Time!AD53=1,-1*Inputs!AD301/(Funding!$F$25*(Inputs!$F$75*AD146+(1-Inputs!$F$75)*AD18))*(Inputs!$F$97/100*Time!AD24-Operations!AD9/100*Time!AD25/Inputs!$F$247),0)</f>
        <v>0.000969333333267521</v>
      </c>
      <c r="AE148" s="16" t="n">
        <f aca="false">IF(Time!AE53=1,-1*Inputs!AE301/(Funding!$F$25*(Inputs!$F$75*AE146+(1-Inputs!$F$75)*AE18))*(Inputs!$F$97/100*Time!AE24-Operations!AE9/100*Time!AE25/Inputs!$F$247),0)</f>
        <v>0.000761333333281644</v>
      </c>
      <c r="AF148" s="16" t="n">
        <f aca="false">IF(Time!AF53=1,-1*Inputs!AF301/(Funding!$F$25*(Inputs!$F$75*AF146+(1-Inputs!$F$75)*AF18))*(Inputs!$F$97/100*Time!AF24-Operations!AF9/100*Time!AF25/Inputs!$F$247),0)</f>
        <v>0.000969333333267522</v>
      </c>
      <c r="AG148" s="16" t="n">
        <f aca="false">IF(Time!AG53=1,-1*Inputs!AG301/(Funding!$F$25*(Inputs!$F$75*AG146+(1-Inputs!$F$75)*AG18))*(Inputs!$F$97/100*Time!AG24-Operations!AG9/100*Time!AG25/Inputs!$F$247),0)</f>
        <v>0.000761333333281644</v>
      </c>
      <c r="AH148" s="16" t="n">
        <f aca="false">IF(Time!AH53=1,-1*Inputs!AH301/(Funding!$F$25*(Inputs!$F$75*AH146+(1-Inputs!$F$75)*AH18))*(Inputs!$F$97/100*Time!AH24-Operations!AH9/100*Time!AH25/Inputs!$F$247),0)</f>
        <v>0.000969333333267521</v>
      </c>
      <c r="AI148" s="16" t="n">
        <f aca="false">IF(Time!AI53=1,-1*Inputs!AI301/(Funding!$F$25*(Inputs!$F$75*AI146+(1-Inputs!$F$75)*AI18))*(Inputs!$F$97/100*Time!AI24-Operations!AI9/100*Time!AI25/Inputs!$F$247),0)</f>
        <v>0.000761333333281644</v>
      </c>
      <c r="AJ148" s="16" t="n">
        <f aca="false">IF(Time!AJ53=1,-1*Inputs!AJ301/(Funding!$F$25*(Inputs!$F$75*AJ146+(1-Inputs!$F$75)*AJ18))*(Inputs!$F$97/100*Time!AJ24-Operations!AJ9/100*Time!AJ25/Inputs!$F$247),0)</f>
        <v>0.000969333333267522</v>
      </c>
      <c r="AK148" s="16" t="n">
        <f aca="false">IF(Time!AK53=1,-1*Inputs!AK301/(Funding!$F$25*(Inputs!$F$75*AK146+(1-Inputs!$F$75)*AK18))*(Inputs!$F$97/100*Time!AK24-Operations!AK9/100*Time!AK25/Inputs!$F$247),0)</f>
        <v>0.000830666666610271</v>
      </c>
      <c r="AL148" s="16" t="n">
        <f aca="false">IF(Time!AL53=1,-1*Inputs!AL301/(Funding!$F$25*(Inputs!$F$75*AL146+(1-Inputs!$F$75)*AL18))*(Inputs!$F$97/100*Time!AL24-Operations!AL9/100*Time!AL25/Inputs!$F$247),0)</f>
        <v>0.000969333333267521</v>
      </c>
      <c r="AM148" s="16" t="n">
        <f aca="false">IF(Time!AM53=1,-1*Inputs!AM301/(Funding!$F$25*(Inputs!$F$75*AM146+(1-Inputs!$F$75)*AM18))*(Inputs!$F$97/100*Time!AM24-Operations!AM9/100*Time!AM25/Inputs!$F$247),0)</f>
        <v>0.000761333333281644</v>
      </c>
      <c r="AN148" s="16" t="n">
        <f aca="false">IF(Time!AN53=1,-1*Inputs!AN301/(Funding!$F$25*(Inputs!$F$75*AN146+(1-Inputs!$F$75)*AN18))*(Inputs!$F$97/100*Time!AN24-Operations!AN9/100*Time!AN25/Inputs!$F$247),0)</f>
        <v>0.000969333333267521</v>
      </c>
      <c r="AO148" s="16" t="n">
        <f aca="false">IF(Time!AO53=1,-1*Inputs!AO301/(Funding!$F$25*(Inputs!$F$75*AO146+(1-Inputs!$F$75)*AO18))*(Inputs!$F$97/100*Time!AO24-Operations!AO9/100*Time!AO25/Inputs!$F$247),0)</f>
        <v>0.000761333333281644</v>
      </c>
      <c r="AP148" s="16" t="n">
        <f aca="false">IF(Time!AP53=1,-1*Inputs!AP301/(Funding!$F$25*(Inputs!$F$75*AP146+(1-Inputs!$F$75)*AP18))*(Inputs!$F$97/100*Time!AP24-Operations!AP9/100*Time!AP25/Inputs!$F$247),0)</f>
        <v>0</v>
      </c>
      <c r="AQ148" s="16" t="n">
        <f aca="false">IF(Time!AQ53=1,-1*Inputs!AQ301/(Funding!$F$25*(Inputs!$F$75*AQ146+(1-Inputs!$F$75)*AQ18))*(Inputs!$F$97/100*Time!AQ24-Operations!AQ9/100*Time!AQ25/Inputs!$F$247),0)</f>
        <v>0</v>
      </c>
      <c r="AR148" s="16" t="n">
        <f aca="false">IF(Time!AR53=1,-1*Inputs!AR301/(Funding!$F$25*(Inputs!$F$75*AR146+(1-Inputs!$F$75)*AR18))*(Inputs!$F$97/100*Time!AR24-Operations!AR9/100*Time!AR25/Inputs!$F$247),0)</f>
        <v>0</v>
      </c>
      <c r="AS148" s="16" t="n">
        <f aca="false">IF(Time!AS53=1,-1*Inputs!AS301/(Funding!$F$25*(Inputs!$F$75*AS146+(1-Inputs!$F$75)*AS18))*(Inputs!$F$97/100*Time!AS24-Operations!AS9/100*Time!AS25/Inputs!$F$247),0)</f>
        <v>0</v>
      </c>
      <c r="AT148" s="16" t="n">
        <f aca="false">IF(Time!AT53=1,-1*Inputs!AT301/(Funding!$F$25*(Inputs!$F$75*AT146+(1-Inputs!$F$75)*AT18))*(Inputs!$F$97/100*Time!AT24-Operations!AT9/100*Time!AT25/Inputs!$F$247),0)</f>
        <v>0</v>
      </c>
      <c r="AU148" s="16" t="n">
        <f aca="false">IF(Time!AU53=1,-1*Inputs!AU301/(Funding!$F$25*(Inputs!$F$75*AU146+(1-Inputs!$F$75)*AU18))*(Inputs!$F$97/100*Time!AU24-Operations!AU9/100*Time!AU25/Inputs!$F$247),0)</f>
        <v>0</v>
      </c>
      <c r="AV148" s="16" t="n">
        <f aca="false">IF(Time!AV53=1,-1*Inputs!AV301/(Funding!$F$25*(Inputs!$F$75*AV146+(1-Inputs!$F$75)*AV18))*(Inputs!$F$97/100*Time!AV24-Operations!AV9/100*Time!AV25/Inputs!$F$247),0)</f>
        <v>0</v>
      </c>
      <c r="AW148" s="16" t="n">
        <f aca="false">IF(Time!AW53=1,-1*Inputs!AW301/(Funding!$F$25*(Inputs!$F$75*AW146+(1-Inputs!$F$75)*AW18))*(Inputs!$F$97/100*Time!AW24-Operations!AW9/100*Time!AW25/Inputs!$F$247),0)</f>
        <v>0</v>
      </c>
      <c r="AX148" s="16" t="n">
        <f aca="false">IF(Time!AX53=1,-1*Inputs!AX301/(Funding!$F$25*(Inputs!$F$75*AX146+(1-Inputs!$F$75)*AX18))*(Inputs!$F$97/100*Time!AX24-Operations!AX9/100*Time!AX25/Inputs!$F$247),0)</f>
        <v>0</v>
      </c>
      <c r="AY148" s="16" t="n">
        <f aca="false">IF(Time!AY53=1,-1*Inputs!AY301/(Funding!$F$25*(Inputs!$F$75*AY146+(1-Inputs!$F$75)*AY18))*(Inputs!$F$97/100*Time!AY24-Operations!AY9/100*Time!AY25/Inputs!$F$247),0)</f>
        <v>0</v>
      </c>
      <c r="AZ148" s="16" t="n">
        <f aca="false">IF(Time!AZ53=1,-1*Inputs!AZ301/(Funding!$F$25*(Inputs!$F$75*AZ146+(1-Inputs!$F$75)*AZ18))*(Inputs!$F$97/100*Time!AZ24-Operations!AZ9/100*Time!AZ25/Inputs!$F$247),0)</f>
        <v>0</v>
      </c>
      <c r="BA148" s="16" t="n">
        <f aca="false">IF(Time!BA53=1,-1*Inputs!BA301/(Funding!$F$25*(Inputs!$F$75*BA146+(1-Inputs!$F$75)*BA18))*(Inputs!$F$97/100*Time!BA24-Operations!BA9/100*Time!BA25/Inputs!$F$247),0)</f>
        <v>0</v>
      </c>
      <c r="BB148" s="16" t="n">
        <f aca="false">IF(Time!BB53=1,-1*Inputs!BB301/(Funding!$F$25*(Inputs!$F$75*BB146+(1-Inputs!$F$75)*BB18))*(Inputs!$F$97/100*Time!BB24-Operations!BB9/100*Time!BB25/Inputs!$F$247),0)</f>
        <v>0</v>
      </c>
      <c r="BC148" s="16" t="n">
        <f aca="false">IF(Time!BC53=1,-1*Inputs!BC301/(Funding!$F$25*(Inputs!$F$75*BC146+(1-Inputs!$F$75)*BC18))*(Inputs!$F$97/100*Time!BC24-Operations!BC9/100*Time!BC25/Inputs!$F$247),0)</f>
        <v>0</v>
      </c>
      <c r="BD148" s="16" t="n">
        <f aca="false">IF(Time!BD53=1,-1*Inputs!BD301/(Funding!$F$25*(Inputs!$F$75*BD146+(1-Inputs!$F$75)*BD18))*(Inputs!$F$97/100*Time!BD24-Operations!BD9/100*Time!BD25/Inputs!$F$247),0)</f>
        <v>0</v>
      </c>
      <c r="BE148" s="16" t="n">
        <f aca="false">IF(Time!BE53=1,-1*Inputs!BE301/(Funding!$F$25*(Inputs!$F$75*BE146+(1-Inputs!$F$75)*BE18))*(Inputs!$F$97/100*Time!BE24-Operations!BE9/100*Time!BE25/Inputs!$F$247),0)</f>
        <v>0</v>
      </c>
      <c r="BF148" s="16" t="n">
        <f aca="false">IF(Time!BF53=1,-1*Inputs!BF301/(Funding!$F$25*(Inputs!$F$75*BF146+(1-Inputs!$F$75)*BF18))*(Inputs!$F$97/100*Time!BF24-Operations!BF9/100*Time!BF25/Inputs!$F$247),0)</f>
        <v>0</v>
      </c>
      <c r="BG148" s="16" t="n">
        <f aca="false">IF(Time!BG53=1,-1*Inputs!BG301/(Funding!$F$25*(Inputs!$F$75*BG146+(1-Inputs!$F$75)*BG18))*(Inputs!$F$97/100*Time!BG24-Operations!BG9/100*Time!BG25/Inputs!$F$247),0)</f>
        <v>0</v>
      </c>
      <c r="BH148" s="16" t="n">
        <f aca="false">IF(Time!BH53=1,-1*Inputs!BH301/(Funding!$F$25*(Inputs!$F$75*BH146+(1-Inputs!$F$75)*BH18))*(Inputs!$F$97/100*Time!BH24-Operations!BH9/100*Time!BH25/Inputs!$F$247),0)</f>
        <v>0</v>
      </c>
      <c r="BI148" s="16" t="n">
        <f aca="false">IF(Time!BI53=1,-1*Inputs!BI301/(Funding!$F$25*(Inputs!$F$75*BI146+(1-Inputs!$F$75)*BI18))*(Inputs!$F$97/100*Time!BI24-Operations!BI9/100*Time!BI25/Inputs!$F$247),0)</f>
        <v>0</v>
      </c>
      <c r="BJ148" s="16" t="n">
        <f aca="false">IF(Time!BJ53=1,-1*Inputs!BJ301/(Funding!$F$25*(Inputs!$F$75*BJ146+(1-Inputs!$F$75)*BJ18))*(Inputs!$F$97/100*Time!BJ24-Operations!BJ9/100*Time!BJ25/Inputs!$F$247),0)</f>
        <v>0</v>
      </c>
      <c r="BK148" s="16" t="n">
        <f aca="false">IF(Time!BK53=1,-1*Inputs!BK301/(Funding!$F$25*(Inputs!$F$75*BK146+(1-Inputs!$F$75)*BK18))*(Inputs!$F$97/100*Time!BK24-Operations!BK9/100*Time!BK25/Inputs!$F$247),0)</f>
        <v>0</v>
      </c>
      <c r="BL148" s="16" t="n">
        <f aca="false">IF(Time!BL53=1,-1*Inputs!BL301/(Funding!$F$25*(Inputs!$F$75*BL146+(1-Inputs!$F$75)*BL18))*(Inputs!$F$97/100*Time!BL24-Operations!BL9/100*Time!BL25/Inputs!$F$247),0)</f>
        <v>0</v>
      </c>
      <c r="BM148" s="16" t="n">
        <f aca="false">IF(Time!BM53=1,-1*Inputs!BM301/(Funding!$F$25*(Inputs!$F$75*BM146+(1-Inputs!$F$75)*BM18))*(Inputs!$F$97/100*Time!BM24-Operations!BM9/100*Time!BM25/Inputs!$F$247),0)</f>
        <v>0</v>
      </c>
      <c r="BN148" s="16" t="n">
        <f aca="false">IF(Time!BN53=1,-1*Inputs!BN301/(Funding!$F$25*(Inputs!$F$75*BN146+(1-Inputs!$F$75)*BN18))*(Inputs!$F$97/100*Time!BN24-Operations!BN9/100*Time!BN25/Inputs!$F$247),0)</f>
        <v>0</v>
      </c>
    </row>
    <row r="149" customFormat="false" ht="15" hidden="false" customHeight="false" outlineLevel="0" collapsed="false">
      <c r="D149" s="0" t="s">
        <v>1848</v>
      </c>
      <c r="E149" s="0" t="s">
        <v>151</v>
      </c>
      <c r="J149" s="13" t="n">
        <f aca="false">IF(Time!J53=1,Funding!$F$25*Inputs!$F$75*(J145+J146*(J10+J148)),0)</f>
        <v>0</v>
      </c>
      <c r="K149" s="13" t="n">
        <f aca="false">IF(Time!K53=1,Funding!$F$25*Inputs!$F$75*(K145+K146*(K10+K148)),0)</f>
        <v>0</v>
      </c>
      <c r="L149" s="13" t="n">
        <f aca="false">IF(Time!L53=1,Funding!$F$25*Inputs!$F$75*(L145+L146*(L10+L148)),0)</f>
        <v>0</v>
      </c>
      <c r="M149" s="13" t="n">
        <f aca="false">IF(Time!M53=1,Funding!$F$25*Inputs!$F$75*(M145+M146*(M10+M148)),0)</f>
        <v>0</v>
      </c>
      <c r="N149" s="13" t="n">
        <f aca="false">IF(Time!N53=1,Funding!$F$25*Inputs!$F$75*(N145+N146*(N10+N148)),0)</f>
        <v>0</v>
      </c>
      <c r="O149" s="13" t="n">
        <f aca="false">IF(Time!O53=1,Funding!$F$25*Inputs!$F$75*(O145+O146*(O10+O148)),0)</f>
        <v>0</v>
      </c>
      <c r="P149" s="13" t="n">
        <f aca="false">IF(Time!P53=1,Funding!$F$25*Inputs!$F$75*(P145+P146*(P10+P148)),0)</f>
        <v>12.0854500936071</v>
      </c>
      <c r="Q149" s="13" t="n">
        <f aca="false">IF(Time!Q53=1,Funding!$F$25*Inputs!$F$75*(Q145+Q146*(Q10+Q148)),0)</f>
        <v>11.9064554631619</v>
      </c>
      <c r="R149" s="13" t="n">
        <f aca="false">IF(Time!R53=1,Funding!$F$25*Inputs!$F$75*(R145+R146*(R10+R148)),0)</f>
        <v>11.7700863589123</v>
      </c>
      <c r="S149" s="13" t="n">
        <f aca="false">IF(Time!S53=1,Funding!$F$25*Inputs!$F$75*(S145+S146*(S10+S148)),0)</f>
        <v>11.5741906451929</v>
      </c>
      <c r="T149" s="13" t="n">
        <f aca="false">IF(Time!T53=1,Funding!$F$25*Inputs!$F$75*(T145+T146*(T10+T148)),0)</f>
        <v>11.4341168718554</v>
      </c>
      <c r="U149" s="13" t="n">
        <f aca="false">IF(Time!U53=1,Funding!$F$25*Inputs!$F$75*(U145+U146*(U10+U148)),0)</f>
        <v>11.2358834884299</v>
      </c>
      <c r="V149" s="13" t="n">
        <f aca="false">IF(Time!V53=1,Funding!$F$25*Inputs!$F$75*(V145+V146*(V10+V148)),0)</f>
        <v>11.0816627829088</v>
      </c>
      <c r="W149" s="13" t="n">
        <f aca="false">IF(Time!W53=1,Funding!$F$25*Inputs!$F$75*(W145+W146*(W10+W148)),0)</f>
        <v>10.8755699927146</v>
      </c>
      <c r="X149" s="13" t="n">
        <f aca="false">IF(Time!X53=1,Funding!$F$25*Inputs!$F$75*(X145+X146*(X10+X148)),0)</f>
        <v>10.7292086939621</v>
      </c>
      <c r="Y149" s="13" t="n">
        <f aca="false">IF(Time!Y53=1,Funding!$F$25*Inputs!$F$75*(Y145+Y146*(Y10+Y148)),0)</f>
        <v>10.5262596664754</v>
      </c>
      <c r="Z149" s="13" t="n">
        <f aca="false">IF(Time!Z53=1,Funding!$F$25*Inputs!$F$75*(Z145+Z146*(Z10+Z148)),0)</f>
        <v>10.3767546050155</v>
      </c>
      <c r="AA149" s="13" t="n">
        <f aca="false">IF(Time!AA53=1,Funding!$F$25*Inputs!$F$75*(AA145+AA146*(AA10+AA148)),0)</f>
        <v>10.1769493402362</v>
      </c>
      <c r="AB149" s="13" t="n">
        <f aca="false">IF(Time!AB53=1,Funding!$F$25*Inputs!$F$75*(AB145+AB146*(AB10+AB148)),0)</f>
        <v>10.0243005160689</v>
      </c>
      <c r="AC149" s="13" t="n">
        <f aca="false">IF(Time!AC53=1,Funding!$F$25*Inputs!$F$75*(AC145+AC146*(AC10+AC148)),0)</f>
        <v>9.83445049986322</v>
      </c>
      <c r="AD149" s="13" t="n">
        <f aca="false">IF(Time!AD53=1,Funding!$F$25*Inputs!$F$75*(AD145+AD146*(AD10+AD148)),0)</f>
        <v>9.67184642712223</v>
      </c>
      <c r="AE149" s="13" t="n">
        <f aca="false">IF(Time!AE53=1,Funding!$F$25*Inputs!$F$75*(AE145+AE146*(AE10+AE148)),0)</f>
        <v>9.47832868775789</v>
      </c>
      <c r="AF149" s="13" t="n">
        <f aca="false">IF(Time!AF53=1,Funding!$F$25*Inputs!$F$75*(AF145+AF146*(AF10+AF148)),0)</f>
        <v>9.31939233817559</v>
      </c>
      <c r="AG149" s="13" t="n">
        <f aca="false">IF(Time!AG53=1,Funding!$F$25*Inputs!$F$75*(AG145+AG146*(AG10+AG148)),0)</f>
        <v>9.12901836151871</v>
      </c>
      <c r="AH149" s="13" t="n">
        <f aca="false">IF(Time!AH53=1,Funding!$F$25*Inputs!$F$75*(AH145+AH146*(AH10+AH148)),0)</f>
        <v>8.96693824922896</v>
      </c>
      <c r="AI149" s="13" t="n">
        <f aca="false">IF(Time!AI53=1,Funding!$F$25*Inputs!$F$75*(AI145+AI146*(AI10+AI148)),0)</f>
        <v>8.77970803527954</v>
      </c>
      <c r="AJ149" s="13" t="n">
        <f aca="false">IF(Time!AJ53=1,Funding!$F$25*Inputs!$F$75*(AJ145+AJ146*(AJ10+AJ148)),0)</f>
        <v>8.61448416028232</v>
      </c>
      <c r="AK149" s="13" t="n">
        <f aca="false">IF(Time!AK53=1,Funding!$F$25*Inputs!$F$75*(AK145+AK146*(AK10+AK148)),0)</f>
        <v>8.43301751129657</v>
      </c>
      <c r="AL149" s="13" t="n">
        <f aca="false">IF(Time!AL53=1,Funding!$F$25*Inputs!$F$75*(AL145+AL146*(AL10+AL148)),0)</f>
        <v>8.26203007133569</v>
      </c>
      <c r="AM149" s="13" t="n">
        <f aca="false">IF(Time!AM53=1,Funding!$F$25*Inputs!$F$75*(AM145+AM146*(AM10+AM148)),0)</f>
        <v>8.08108738280118</v>
      </c>
      <c r="AN149" s="13" t="n">
        <f aca="false">IF(Time!AN53=1,Funding!$F$25*Inputs!$F$75*(AN145+AN146*(AN10+AN148)),0)</f>
        <v>7.90957598238905</v>
      </c>
      <c r="AO149" s="13" t="n">
        <f aca="false">IF(Time!AO53=1,Funding!$F$25*Inputs!$F$75*(AO145+AO146*(AO10+AO148)),0)</f>
        <v>7.73177705656201</v>
      </c>
      <c r="AP149" s="13" t="n">
        <f aca="false">IF(Time!AP53=1,Funding!$F$25*Inputs!$F$75*(AP145+AP146*(AP10+AP148)),0)</f>
        <v>0</v>
      </c>
      <c r="AQ149" s="13" t="n">
        <f aca="false">IF(Time!AQ53=1,Funding!$F$25*Inputs!$F$75*(AQ145+AQ146*(AQ10+AQ148)),0)</f>
        <v>0</v>
      </c>
      <c r="AR149" s="13" t="n">
        <f aca="false">IF(Time!AR53=1,Funding!$F$25*Inputs!$F$75*(AR145+AR146*(AR10+AR148)),0)</f>
        <v>0</v>
      </c>
      <c r="AS149" s="13" t="n">
        <f aca="false">IF(Time!AS53=1,Funding!$F$25*Inputs!$F$75*(AS145+AS146*(AS10+AS148)),0)</f>
        <v>0</v>
      </c>
      <c r="AT149" s="13" t="n">
        <f aca="false">IF(Time!AT53=1,Funding!$F$25*Inputs!$F$75*(AT145+AT146*(AT10+AT148)),0)</f>
        <v>0</v>
      </c>
      <c r="AU149" s="13" t="n">
        <f aca="false">IF(Time!AU53=1,Funding!$F$25*Inputs!$F$75*(AU145+AU146*(AU10+AU148)),0)</f>
        <v>0</v>
      </c>
      <c r="AV149" s="13" t="n">
        <f aca="false">IF(Time!AV53=1,Funding!$F$25*Inputs!$F$75*(AV145+AV146*(AV10+AV148)),0)</f>
        <v>0</v>
      </c>
      <c r="AW149" s="13" t="n">
        <f aca="false">IF(Time!AW53=1,Funding!$F$25*Inputs!$F$75*(AW145+AW146*(AW10+AW148)),0)</f>
        <v>0</v>
      </c>
      <c r="AX149" s="13" t="n">
        <f aca="false">IF(Time!AX53=1,Funding!$F$25*Inputs!$F$75*(AX145+AX146*(AX10+AX148)),0)</f>
        <v>0</v>
      </c>
      <c r="AY149" s="13" t="n">
        <f aca="false">IF(Time!AY53=1,Funding!$F$25*Inputs!$F$75*(AY145+AY146*(AY10+AY148)),0)</f>
        <v>0</v>
      </c>
      <c r="AZ149" s="13" t="n">
        <f aca="false">IF(Time!AZ53=1,Funding!$F$25*Inputs!$F$75*(AZ145+AZ146*(AZ10+AZ148)),0)</f>
        <v>0</v>
      </c>
      <c r="BA149" s="13" t="n">
        <f aca="false">IF(Time!BA53=1,Funding!$F$25*Inputs!$F$75*(BA145+BA146*(BA10+BA148)),0)</f>
        <v>0</v>
      </c>
      <c r="BB149" s="13" t="n">
        <f aca="false">IF(Time!BB53=1,Funding!$F$25*Inputs!$F$75*(BB145+BB146*(BB10+BB148)),0)</f>
        <v>0</v>
      </c>
      <c r="BC149" s="13" t="n">
        <f aca="false">IF(Time!BC53=1,Funding!$F$25*Inputs!$F$75*(BC145+BC146*(BC10+BC148)),0)</f>
        <v>0</v>
      </c>
      <c r="BD149" s="13" t="n">
        <f aca="false">IF(Time!BD53=1,Funding!$F$25*Inputs!$F$75*(BD145+BD146*(BD10+BD148)),0)</f>
        <v>0</v>
      </c>
      <c r="BE149" s="13" t="n">
        <f aca="false">IF(Time!BE53=1,Funding!$F$25*Inputs!$F$75*(BE145+BE146*(BE10+BE148)),0)</f>
        <v>0</v>
      </c>
      <c r="BF149" s="13" t="n">
        <f aca="false">IF(Time!BF53=1,Funding!$F$25*Inputs!$F$75*(BF145+BF146*(BF10+BF148)),0)</f>
        <v>0</v>
      </c>
      <c r="BG149" s="13" t="n">
        <f aca="false">IF(Time!BG53=1,Funding!$F$25*Inputs!$F$75*(BG145+BG146*(BG10+BG148)),0)</f>
        <v>0</v>
      </c>
      <c r="BH149" s="13" t="n">
        <f aca="false">IF(Time!BH53=1,Funding!$F$25*Inputs!$F$75*(BH145+BH146*(BH10+BH148)),0)</f>
        <v>0</v>
      </c>
      <c r="BI149" s="13" t="n">
        <f aca="false">IF(Time!BI53=1,Funding!$F$25*Inputs!$F$75*(BI145+BI146*(BI10+BI148)),0)</f>
        <v>0</v>
      </c>
      <c r="BJ149" s="13" t="n">
        <f aca="false">IF(Time!BJ53=1,Funding!$F$25*Inputs!$F$75*(BJ145+BJ146*(BJ10+BJ148)),0)</f>
        <v>0</v>
      </c>
      <c r="BK149" s="13" t="n">
        <f aca="false">IF(Time!BK53=1,Funding!$F$25*Inputs!$F$75*(BK145+BK146*(BK10+BK148)),0)</f>
        <v>0</v>
      </c>
      <c r="BL149" s="13" t="n">
        <f aca="false">IF(Time!BL53=1,Funding!$F$25*Inputs!$F$75*(BL145+BL146*(BL10+BL148)),0)</f>
        <v>0</v>
      </c>
      <c r="BM149" s="13" t="n">
        <f aca="false">IF(Time!BM53=1,Funding!$F$25*Inputs!$F$75*(BM145+BM146*(BM10+BM148)),0)</f>
        <v>0</v>
      </c>
      <c r="BN149" s="13" t="n">
        <f aca="false">IF(Time!BN53=1,Funding!$F$25*Inputs!$F$75*(BN145+BN146*(BN10+BN148)),0)</f>
        <v>0</v>
      </c>
    </row>
    <row r="150" customFormat="false" ht="15" hidden="false" customHeight="false" outlineLevel="0" collapsed="false">
      <c r="D150" s="0" t="s">
        <v>1849</v>
      </c>
      <c r="E150" s="0" t="s">
        <v>151</v>
      </c>
      <c r="J150" s="13" t="n">
        <f aca="false">IF(Time!J53=1,(J149+K150)/(1+J127),0)</f>
        <v>0</v>
      </c>
      <c r="K150" s="13" t="n">
        <f aca="false">IF(Time!K53=1,(K149+L150)/(1+K127),0)</f>
        <v>0</v>
      </c>
      <c r="L150" s="13" t="n">
        <f aca="false">IF(Time!L53=1,(L149+M150)/(1+L127),0)</f>
        <v>0</v>
      </c>
      <c r="M150" s="13" t="n">
        <f aca="false">IF(Time!M53=1,(M149+N150)/(1+M127),0)</f>
        <v>0</v>
      </c>
      <c r="N150" s="13" t="n">
        <f aca="false">IF(Time!N53=1,(N149+O150)/(1+N127),0)</f>
        <v>0</v>
      </c>
      <c r="O150" s="13" t="n">
        <f aca="false">IF(Time!O53=1,(O149+P150)/(1+O127),0)</f>
        <v>0</v>
      </c>
      <c r="P150" s="13" t="n">
        <f aca="false">IF(Time!P53=1,(P149+Q150)/(1+P127),0)</f>
        <v>162.419308346213</v>
      </c>
      <c r="Q150" s="13" t="n">
        <f aca="false">IF(Time!Q53=1,(Q149+R150)/(1+Q127),0)</f>
        <v>156.926508692465</v>
      </c>
      <c r="R150" s="13" t="n">
        <f aca="false">IF(Time!R53=1,(R149+S150)/(1+R127),0)</f>
        <v>151.379438540559</v>
      </c>
      <c r="S150" s="13" t="n">
        <f aca="false">IF(Time!S53=1,(S149+T150)/(1+S127),0)</f>
        <v>145.782321359252</v>
      </c>
      <c r="T150" s="13" t="n">
        <f aca="false">IF(Time!T53=1,(T149+U150)/(1+T127),0)</f>
        <v>140.129494663739</v>
      </c>
      <c r="U150" s="13" t="n">
        <f aca="false">IF(Time!U53=1,(U149+V150)/(1+U127),0)</f>
        <v>134.422754215057</v>
      </c>
      <c r="V150" s="13" t="n">
        <f aca="false">IF(Time!V53=1,(V149+W150)/(1+V127),0)</f>
        <v>128.658222715513</v>
      </c>
      <c r="W150" s="13" t="n">
        <f aca="false">IF(Time!W53=1,(W149+X150)/(1+W127),0)</f>
        <v>122.835082224406</v>
      </c>
      <c r="X150" s="13" t="n">
        <f aca="false">IF(Time!X53=1,(X149+Y150)/(1+X127),0)</f>
        <v>116.948808744862</v>
      </c>
      <c r="Y150" s="13" t="n">
        <f aca="false">IF(Time!Y53=1,(Y149+Z150)/(1+Y127),0)</f>
        <v>110.999534864272</v>
      </c>
      <c r="Z150" s="13" t="n">
        <f aca="false">IF(Time!Z53=1,(Z149+AA150)/(1+Z127),0)</f>
        <v>105.149217516174</v>
      </c>
      <c r="AA150" s="13" t="n">
        <f aca="false">IF(Time!AA53=1,(AA149+AB150)/(1+AA127),0)</f>
        <v>99.2286828626927</v>
      </c>
      <c r="AB150" s="13" t="n">
        <f aca="false">IF(Time!AB53=1,(AB149+AC150)/(1+AB127),0)</f>
        <v>93.2318194837342</v>
      </c>
      <c r="AC150" s="13" t="n">
        <f aca="false">IF(Time!AC53=1,(AC149+AD150)/(1+AC127),0)</f>
        <v>87.1586800311069</v>
      </c>
      <c r="AD150" s="13" t="n">
        <f aca="false">IF(Time!AD53=1,(AD149+AE150)/(1+AD127),0)</f>
        <v>81.0032418380406</v>
      </c>
      <c r="AE150" s="13" t="n">
        <f aca="false">IF(Time!AE53=1,(AE149+AF150)/(1+AE127),0)</f>
        <v>74.7643098057602</v>
      </c>
      <c r="AF150" s="13" t="n">
        <f aca="false">IF(Time!AF53=1,(AF149+AG150)/(1+AF127),0)</f>
        <v>68.4354862087444</v>
      </c>
      <c r="AG150" s="13" t="n">
        <f aca="false">IF(Time!AG53=1,(AG149+AH150)/(1+AG127),0)</f>
        <v>62.0163872464034</v>
      </c>
      <c r="AH150" s="13" t="n">
        <f aca="false">IF(Time!AH53=1,(AH149+AI150)/(1+AH127),0)</f>
        <v>55.5933745306574</v>
      </c>
      <c r="AI150" s="13" t="n">
        <f aca="false">IF(Time!AI53=1,(AI149+AJ150)/(1+AI127),0)</f>
        <v>49.0663127181037</v>
      </c>
      <c r="AJ150" s="13" t="n">
        <f aca="false">IF(Time!AJ53=1,(AJ149+AK150)/(1+AJ127),0)</f>
        <v>42.4275504090707</v>
      </c>
      <c r="AK150" s="13" t="n">
        <f aca="false">IF(Time!AK53=1,(AK149+AL150)/(1+AK127),0)</f>
        <v>35.6751223190105</v>
      </c>
      <c r="AL150" s="13" t="n">
        <f aca="false">IF(Time!AL53=1,(AL149+AM150)/(1+AL127),0)</f>
        <v>28.8017657229215</v>
      </c>
      <c r="AM150" s="13" t="n">
        <f aca="false">IF(Time!AM53=1,(AM149+AN150)/(1+AM127),0)</f>
        <v>21.8037846523034</v>
      </c>
      <c r="AN150" s="13" t="n">
        <f aca="false">IF(Time!AN53=1,(AN149+AO150)/(1+AN127),0)</f>
        <v>14.6740774931506</v>
      </c>
      <c r="AO150" s="13" t="n">
        <f aca="false">IF(Time!AO53=1,(AO149+AP150)/(1+AO127),0)</f>
        <v>7.40851594967172</v>
      </c>
      <c r="AP150" s="13" t="n">
        <f aca="false">IF(Time!AP53=1,(AP149+AQ150)/(1+AP127),0)</f>
        <v>0</v>
      </c>
      <c r="AQ150" s="13" t="n">
        <f aca="false">IF(Time!AQ53=1,(AQ149+AR150)/(1+AQ127),0)</f>
        <v>0</v>
      </c>
      <c r="AR150" s="13" t="n">
        <f aca="false">IF(Time!AR53=1,(AR149+AS150)/(1+AR127),0)</f>
        <v>0</v>
      </c>
      <c r="AS150" s="13" t="n">
        <f aca="false">IF(Time!AS53=1,(AS149+AT150)/(1+AS127),0)</f>
        <v>0</v>
      </c>
      <c r="AT150" s="13" t="n">
        <f aca="false">IF(Time!AT53=1,(AT149+AU150)/(1+AT127),0)</f>
        <v>0</v>
      </c>
      <c r="AU150" s="13" t="n">
        <f aca="false">IF(Time!AU53=1,(AU149+AV150)/(1+AU127),0)</f>
        <v>0</v>
      </c>
      <c r="AV150" s="13" t="n">
        <f aca="false">IF(Time!AV53=1,(AV149+AW150)/(1+AV127),0)</f>
        <v>0</v>
      </c>
      <c r="AW150" s="13" t="n">
        <f aca="false">IF(Time!AW53=1,(AW149+AX150)/(1+AW127),0)</f>
        <v>0</v>
      </c>
      <c r="AX150" s="13" t="n">
        <f aca="false">IF(Time!AX53=1,(AX149+AY150)/(1+AX127),0)</f>
        <v>0</v>
      </c>
      <c r="AY150" s="13" t="n">
        <f aca="false">IF(Time!AY53=1,(AY149+AZ150)/(1+AY127),0)</f>
        <v>0</v>
      </c>
      <c r="AZ150" s="13" t="n">
        <f aca="false">IF(Time!AZ53=1,(AZ149+BA150)/(1+AZ127),0)</f>
        <v>0</v>
      </c>
      <c r="BA150" s="13" t="n">
        <f aca="false">IF(Time!BA53=1,(BA149+BB150)/(1+BA127),0)</f>
        <v>0</v>
      </c>
      <c r="BB150" s="13" t="n">
        <f aca="false">IF(Time!BB53=1,(BB149+BC150)/(1+BB127),0)</f>
        <v>0</v>
      </c>
      <c r="BC150" s="13" t="n">
        <f aca="false">IF(Time!BC53=1,(BC149+BD150)/(1+BC127),0)</f>
        <v>0</v>
      </c>
      <c r="BD150" s="13" t="n">
        <f aca="false">IF(Time!BD53=1,(BD149+BE150)/(1+BD127),0)</f>
        <v>0</v>
      </c>
      <c r="BE150" s="13" t="n">
        <f aca="false">IF(Time!BE53=1,(BE149+BF150)/(1+BE127),0)</f>
        <v>0</v>
      </c>
      <c r="BF150" s="13" t="n">
        <f aca="false">IF(Time!BF53=1,(BF149+BG150)/(1+BF127),0)</f>
        <v>0</v>
      </c>
      <c r="BG150" s="13" t="n">
        <f aca="false">IF(Time!BG53=1,(BG149+BH150)/(1+BG127),0)</f>
        <v>0</v>
      </c>
      <c r="BH150" s="13" t="n">
        <f aca="false">IF(Time!BH53=1,(BH149+BI150)/(1+BH127),0)</f>
        <v>0</v>
      </c>
      <c r="BI150" s="13" t="n">
        <f aca="false">IF(Time!BI53=1,(BI149+BJ150)/(1+BI127),0)</f>
        <v>0</v>
      </c>
      <c r="BJ150" s="13" t="n">
        <f aca="false">IF(Time!BJ53=1,(BJ149+BK150)/(1+BJ127),0)</f>
        <v>0</v>
      </c>
      <c r="BK150" s="13" t="n">
        <f aca="false">IF(Time!BK53=1,(BK149+BL150)/(1+BK127),0)</f>
        <v>0</v>
      </c>
      <c r="BL150" s="13" t="n">
        <f aca="false">IF(Time!BL53=1,(BL149+BM150)/(1+BL127),0)</f>
        <v>0</v>
      </c>
      <c r="BM150" s="13" t="n">
        <f aca="false">IF(Time!BM53=1,(BM149+BN150)/(1+BM127),0)</f>
        <v>0</v>
      </c>
      <c r="BN150" s="13" t="n">
        <f aca="false">IF(Time!BN53=1,(BN149+BO150)/(1+BN127),0)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1850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1851</v>
      </c>
      <c r="E7" s="0" t="s">
        <v>151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1852</v>
      </c>
      <c r="E8" s="0" t="s">
        <v>151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1853</v>
      </c>
      <c r="E9" s="0" t="s">
        <v>151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39.0832901643519</v>
      </c>
      <c r="P9" s="13" t="n">
        <f aca="false">IF(Time!P34=1,SUM(Funding!$J$44:$BJ$44),O13)</f>
        <v>39.08329016435</v>
      </c>
      <c r="Q9" s="13" t="n">
        <f aca="false">IF(Time!Q34=1,SUM(Funding!$J$44:$BJ$44),P13)</f>
        <v>38.9025364374744</v>
      </c>
      <c r="R9" s="13" t="n">
        <f aca="false">IF(Time!R34=1,SUM(Funding!$J$44:$BJ$44),Q13)</f>
        <v>39.148458448062</v>
      </c>
      <c r="S9" s="13" t="n">
        <f aca="false">IF(Time!S34=1,SUM(Funding!$J$44:$BJ$44),R13)</f>
        <v>38.9130319692583</v>
      </c>
      <c r="T9" s="13" t="n">
        <f aca="false">IF(Time!T34=1,SUM(Funding!$J$44:$BJ$44),S13)</f>
        <v>39.6149587964242</v>
      </c>
      <c r="U9" s="13" t="n">
        <f aca="false">IF(Time!U34=1,SUM(Funding!$J$44:$BJ$44),T13)</f>
        <v>39.1350453483946</v>
      </c>
      <c r="V9" s="13" t="n">
        <f aca="false">IF(Time!V34=1,SUM(Funding!$J$44:$BJ$44),U13)</f>
        <v>38.9518795024765</v>
      </c>
      <c r="W9" s="13" t="n">
        <f aca="false">IF(Time!W34=1,SUM(Funding!$J$44:$BJ$44),V13)</f>
        <v>38.8473073097399</v>
      </c>
      <c r="X9" s="13" t="n">
        <f aca="false">IF(Time!X34=1,SUM(Funding!$J$44:$BJ$44),W13)</f>
        <v>38.7680079107372</v>
      </c>
      <c r="Y9" s="13" t="n">
        <f aca="false">IF(Time!Y34=1,SUM(Funding!$J$44:$BJ$44),X13)</f>
        <v>38.6639671863843</v>
      </c>
      <c r="Z9" s="13" t="n">
        <f aca="false">IF(Time!Z34=1,SUM(Funding!$J$44:$BJ$44),Y13)</f>
        <v>38.9147970818194</v>
      </c>
      <c r="AA9" s="13" t="n">
        <f aca="false">IF(Time!AA34=1,SUM(Funding!$J$44:$BJ$44),Z13)</f>
        <v>38.6775085590125</v>
      </c>
      <c r="AB9" s="13" t="n">
        <f aca="false">IF(Time!AB34=1,SUM(Funding!$J$44:$BJ$44),AA13)</f>
        <v>39.4046964765666</v>
      </c>
      <c r="AC9" s="13" t="n">
        <f aca="false">IF(Time!AC34=1,SUM(Funding!$J$44:$BJ$44),AB13)</f>
        <v>37.9602800599992</v>
      </c>
      <c r="AD9" s="13" t="n">
        <f aca="false">IF(Time!AD34=1,SUM(Funding!$J$44:$BJ$44),AC13)</f>
        <v>37.3679298560692</v>
      </c>
      <c r="AE9" s="13" t="n">
        <f aca="false">IF(Time!AE34=1,SUM(Funding!$J$44:$BJ$44),AD13)</f>
        <v>36.3307691387425</v>
      </c>
      <c r="AF9" s="13" t="n">
        <f aca="false">IF(Time!AF34=1,SUM(Funding!$J$44:$BJ$44),AE13)</f>
        <v>36.4863044916394</v>
      </c>
      <c r="AG9" s="13" t="n">
        <f aca="false">IF(Time!AG34=1,SUM(Funding!$J$44:$BJ$44),AF13)</f>
        <v>35.3092359627574</v>
      </c>
      <c r="AH9" s="13" t="n">
        <f aca="false">IF(Time!AH34=1,SUM(Funding!$J$44:$BJ$44),AG13)</f>
        <v>34.4019589208378</v>
      </c>
      <c r="AI9" s="13" t="n">
        <f aca="false">IF(Time!AI34=1,SUM(Funding!$J$44:$BJ$44),AH13)</f>
        <v>32.9147773159073</v>
      </c>
      <c r="AJ9" s="13" t="n">
        <f aca="false">IF(Time!AJ34=1,SUM(Funding!$J$44:$BJ$44),AI13)</f>
        <v>31.8924709659698</v>
      </c>
      <c r="AK9" s="13" t="n">
        <f aca="false">IF(Time!AK34=1,SUM(Funding!$J$44:$BJ$44),AJ13)</f>
        <v>29.6927788942323</v>
      </c>
      <c r="AL9" s="13" t="n">
        <f aca="false">IF(Time!AL34=1,SUM(Funding!$J$44:$BJ$44),AK13)</f>
        <v>27.1206416115935</v>
      </c>
      <c r="AM9" s="13" t="n">
        <f aca="false">IF(Time!AM34=1,SUM(Funding!$J$44:$BJ$44),AL13)</f>
        <v>23.7188026562949</v>
      </c>
      <c r="AN9" s="13" t="n">
        <f aca="false">IF(Time!AN34=1,SUM(Funding!$J$44:$BJ$44),AM13)</f>
        <v>22.5340489654769</v>
      </c>
      <c r="AO9" s="13" t="n">
        <f aca="false">IF(Time!AO34=1,SUM(Funding!$J$44:$BJ$44),AN13)</f>
        <v>22.5035404133309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1854</v>
      </c>
      <c r="E10" s="0" t="s">
        <v>151</v>
      </c>
      <c r="G10" s="13" t="n">
        <f aca="false">SUM(J10:BN10)</f>
        <v>0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1855</v>
      </c>
      <c r="E11" s="0" t="s">
        <v>151</v>
      </c>
      <c r="G11" s="13" t="n">
        <f aca="false">SUM(J11:BN11)</f>
        <v>2.08140200363965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0</v>
      </c>
      <c r="P11" s="13" t="n">
        <f aca="false">MIN(Waterfall!P13,MAX(0,Debt!P125-(P9-P10)))</f>
        <v>0</v>
      </c>
      <c r="Q11" s="13" t="n">
        <f aca="false">MIN(Waterfall!Q13,MAX(0,Debt!Q125-(Q9-Q10)))</f>
        <v>0.245922010587577</v>
      </c>
      <c r="R11" s="13" t="n">
        <f aca="false">MIN(Waterfall!R13,MAX(0,Debt!R125-(R9-R10)))</f>
        <v>0</v>
      </c>
      <c r="S11" s="13" t="n">
        <f aca="false">MIN(Waterfall!S13,MAX(0,Debt!S125-(S9-S10)))</f>
        <v>0.701926827165927</v>
      </c>
      <c r="T11" s="13" t="n">
        <f aca="false">MIN(Waterfall!T13,MAX(0,Debt!T125-(T9-T10)))</f>
        <v>0</v>
      </c>
      <c r="U11" s="13" t="n">
        <f aca="false">MIN(Waterfall!U13,MAX(0,Debt!U125-(U9-U10)))</f>
        <v>0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0.250829895435103</v>
      </c>
      <c r="Z11" s="13" t="n">
        <f aca="false">MIN(Waterfall!Z13,MAX(0,Debt!Z125-(Z9-Z10)))</f>
        <v>0</v>
      </c>
      <c r="AA11" s="13" t="n">
        <f aca="false">MIN(Waterfall!AA13,MAX(0,Debt!AA125-(AA9-AA10)))</f>
        <v>0.727187917554147</v>
      </c>
      <c r="AB11" s="13" t="n">
        <f aca="false">MIN(Waterfall!AB13,MAX(0,Debt!AB125-(AB9-AB10)))</f>
        <v>0</v>
      </c>
      <c r="AC11" s="13" t="n">
        <f aca="false">MIN(Waterfall!AC13,MAX(0,Debt!AC125-(AC9-AC10)))</f>
        <v>0</v>
      </c>
      <c r="AD11" s="13" t="n">
        <f aca="false">MIN(Waterfall!AD13,MAX(0,Debt!AD125-(AD9-AD10)))</f>
        <v>0</v>
      </c>
      <c r="AE11" s="13" t="n">
        <f aca="false">MIN(Waterfall!AE13,MAX(0,Debt!AE125-(AE9-AE10)))</f>
        <v>0.155535352896898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1856</v>
      </c>
      <c r="E12" s="0" t="s">
        <v>151</v>
      </c>
      <c r="G12" s="13" t="n">
        <f aca="false">SUM(J12:BN12)</f>
        <v>41.1646921679916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1.86872739504906E-012</v>
      </c>
      <c r="P12" s="13" t="n">
        <f aca="false">MAX(0,P9-P10-Debt!P125)</f>
        <v>0.180753726875643</v>
      </c>
      <c r="Q12" s="13" t="n">
        <f aca="false">MAX(0,Q9-Q10-Debt!Q125)</f>
        <v>0</v>
      </c>
      <c r="R12" s="13" t="n">
        <f aca="false">MAX(0,R9-R10-Debt!R125)</f>
        <v>0.235426478803674</v>
      </c>
      <c r="S12" s="13" t="n">
        <f aca="false">MAX(0,S9-S10-Debt!S125)</f>
        <v>0</v>
      </c>
      <c r="T12" s="13" t="n">
        <f aca="false">MAX(0,T9-T10-Debt!T125)</f>
        <v>0.47991344802967</v>
      </c>
      <c r="U12" s="13" t="n">
        <f aca="false">MAX(0,U9-U10-Debt!U125)</f>
        <v>0.183165845918069</v>
      </c>
      <c r="V12" s="13" t="n">
        <f aca="false">MAX(0,V9-V10-Debt!V125)</f>
        <v>0.104572192736541</v>
      </c>
      <c r="W12" s="13" t="n">
        <f aca="false">MAX(0,W9-W10-Debt!W125)</f>
        <v>0.0792993990027568</v>
      </c>
      <c r="X12" s="13" t="n">
        <f aca="false">MAX(0,X9-X10-Debt!X125)</f>
        <v>0.104040724352934</v>
      </c>
      <c r="Y12" s="13" t="n">
        <f aca="false">MAX(0,Y9-Y10-Debt!Y125)</f>
        <v>0</v>
      </c>
      <c r="Z12" s="13" t="n">
        <f aca="false">MAX(0,Z9-Z10-Debt!Z125)</f>
        <v>0.237288522806871</v>
      </c>
      <c r="AA12" s="13" t="n">
        <f aca="false">MAX(0,AA9-AA10-Debt!AA125)</f>
        <v>0</v>
      </c>
      <c r="AB12" s="13" t="n">
        <f aca="false">MAX(0,AB9-AB10-Debt!AB125)</f>
        <v>1.4444164165674</v>
      </c>
      <c r="AC12" s="13" t="n">
        <f aca="false">MAX(0,AC9-AC10-Debt!AC125)</f>
        <v>0.592350203930046</v>
      </c>
      <c r="AD12" s="13" t="n">
        <f aca="false">MAX(0,AD9-AD10-Debt!AD125)</f>
        <v>1.03716071732671</v>
      </c>
      <c r="AE12" s="13" t="n">
        <f aca="false">MAX(0,AE9-AE10-Debt!AE125)</f>
        <v>0</v>
      </c>
      <c r="AF12" s="13" t="n">
        <f aca="false">MAX(0,AF9-AF10-Debt!AF125)</f>
        <v>1.17706852888197</v>
      </c>
      <c r="AG12" s="13" t="n">
        <f aca="false">MAX(0,AG9-AG10-Debt!AG125)</f>
        <v>0.907277041919571</v>
      </c>
      <c r="AH12" s="13" t="n">
        <f aca="false">MAX(0,AH9-AH10-Debt!AH125)</f>
        <v>1.48718160493055</v>
      </c>
      <c r="AI12" s="13" t="n">
        <f aca="false">MAX(0,AI9-AI10-Debt!AI125)</f>
        <v>1.02230634993752</v>
      </c>
      <c r="AJ12" s="13" t="n">
        <f aca="false">MAX(0,AJ9-AJ10-Debt!AJ125)</f>
        <v>2.19969207173747</v>
      </c>
      <c r="AK12" s="13" t="n">
        <f aca="false">MAX(0,AK9-AK10-Debt!AK125)</f>
        <v>2.57213728263883</v>
      </c>
      <c r="AL12" s="13" t="n">
        <f aca="false">MAX(0,AL9-AL10-Debt!AL125)</f>
        <v>3.40183895529859</v>
      </c>
      <c r="AM12" s="13" t="n">
        <f aca="false">MAX(0,AM9-AM10-Debt!AM125)</f>
        <v>1.18475369081798</v>
      </c>
      <c r="AN12" s="13" t="n">
        <f aca="false">MAX(0,AN9-AN10-Debt!AN125)</f>
        <v>0.0305085521459532</v>
      </c>
      <c r="AO12" s="13" t="n">
        <f aca="false">MAX(0,AO9-AO10-Debt!AO125)</f>
        <v>22.5035404133309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1857</v>
      </c>
      <c r="E13" s="0" t="s">
        <v>151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39.08329016435</v>
      </c>
      <c r="P13" s="13" t="n">
        <f aca="false">(1-Time!P37)*(P9-P10+P11-P12)</f>
        <v>38.9025364374744</v>
      </c>
      <c r="Q13" s="13" t="n">
        <f aca="false">(1-Time!Q37)*(Q9-Q10+Q11-Q12)</f>
        <v>39.148458448062</v>
      </c>
      <c r="R13" s="13" t="n">
        <f aca="false">(1-Time!R37)*(R9-R10+R11-R12)</f>
        <v>38.9130319692583</v>
      </c>
      <c r="S13" s="13" t="n">
        <f aca="false">(1-Time!S37)*(S9-S10+S11-S12)</f>
        <v>39.6149587964242</v>
      </c>
      <c r="T13" s="13" t="n">
        <f aca="false">(1-Time!T37)*(T9-T10+T11-T12)</f>
        <v>39.1350453483946</v>
      </c>
      <c r="U13" s="13" t="n">
        <f aca="false">(1-Time!U37)*(U9-U10+U11-U12)</f>
        <v>38.9518795024765</v>
      </c>
      <c r="V13" s="13" t="n">
        <f aca="false">(1-Time!V37)*(V9-V10+V11-V12)</f>
        <v>38.8473073097399</v>
      </c>
      <c r="W13" s="13" t="n">
        <f aca="false">(1-Time!W37)*(W9-W10+W11-W12)</f>
        <v>38.7680079107372</v>
      </c>
      <c r="X13" s="13" t="n">
        <f aca="false">(1-Time!X37)*(X9-X10+X11-X12)</f>
        <v>38.6639671863843</v>
      </c>
      <c r="Y13" s="13" t="n">
        <f aca="false">(1-Time!Y37)*(Y9-Y10+Y11-Y12)</f>
        <v>38.9147970818194</v>
      </c>
      <c r="Z13" s="13" t="n">
        <f aca="false">(1-Time!Z37)*(Z9-Z10+Z11-Z12)</f>
        <v>38.6775085590125</v>
      </c>
      <c r="AA13" s="13" t="n">
        <f aca="false">(1-Time!AA37)*(AA9-AA10+AA11-AA12)</f>
        <v>39.4046964765666</v>
      </c>
      <c r="AB13" s="13" t="n">
        <f aca="false">(1-Time!AB37)*(AB9-AB10+AB11-AB12)</f>
        <v>37.9602800599992</v>
      </c>
      <c r="AC13" s="13" t="n">
        <f aca="false">(1-Time!AC37)*(AC9-AC10+AC11-AC12)</f>
        <v>37.3679298560692</v>
      </c>
      <c r="AD13" s="13" t="n">
        <f aca="false">(1-Time!AD37)*(AD9-AD10+AD11-AD12)</f>
        <v>36.3307691387425</v>
      </c>
      <c r="AE13" s="13" t="n">
        <f aca="false">(1-Time!AE37)*(AE9-AE10+AE11-AE12)</f>
        <v>36.4863044916394</v>
      </c>
      <c r="AF13" s="13" t="n">
        <f aca="false">(1-Time!AF37)*(AF9-AF10+AF11-AF12)</f>
        <v>35.3092359627574</v>
      </c>
      <c r="AG13" s="13" t="n">
        <f aca="false">(1-Time!AG37)*(AG9-AG10+AG11-AG12)</f>
        <v>34.4019589208378</v>
      </c>
      <c r="AH13" s="13" t="n">
        <f aca="false">(1-Time!AH37)*(AH9-AH10+AH11-AH12)</f>
        <v>32.9147773159073</v>
      </c>
      <c r="AI13" s="13" t="n">
        <f aca="false">(1-Time!AI37)*(AI9-AI10+AI11-AI12)</f>
        <v>31.8924709659698</v>
      </c>
      <c r="AJ13" s="13" t="n">
        <f aca="false">(1-Time!AJ37)*(AJ9-AJ10+AJ11-AJ12)</f>
        <v>29.6927788942323</v>
      </c>
      <c r="AK13" s="13" t="n">
        <f aca="false">(1-Time!AK37)*(AK9-AK10+AK11-AK12)</f>
        <v>27.1206416115935</v>
      </c>
      <c r="AL13" s="13" t="n">
        <f aca="false">(1-Time!AL37)*(AL9-AL10+AL11-AL12)</f>
        <v>23.7188026562949</v>
      </c>
      <c r="AM13" s="13" t="n">
        <f aca="false">(1-Time!AM37)*(AM9-AM10+AM11-AM12)</f>
        <v>22.5340489654769</v>
      </c>
      <c r="AN13" s="13" t="n">
        <f aca="false">(1-Time!AN37)*(AN9-AN10+AN11-AN12)</f>
        <v>22.5035404133309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1858</v>
      </c>
      <c r="E14" s="0" t="s">
        <v>151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1859</v>
      </c>
      <c r="E15" s="0" t="s">
        <v>151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1860</v>
      </c>
      <c r="E16" s="0" t="s">
        <v>151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1861</v>
      </c>
      <c r="E17" s="0" t="s">
        <v>151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1862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1863</v>
      </c>
      <c r="E7" s="0" t="s">
        <v>151</v>
      </c>
      <c r="G7" s="13" t="n">
        <f aca="false">SUM(J7:BN7)</f>
        <v>2473.17562342123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2.51969776990859</v>
      </c>
      <c r="P7" s="13" t="n">
        <f aca="false">Operations!P84-Tax!P27-Operations!P96-Reserves!P7+Operations!P79+Operations!P97</f>
        <v>55.7011905899324</v>
      </c>
      <c r="Q7" s="13" t="n">
        <f aca="false">Operations!Q84-Tax!Q27-Operations!Q96-Reserves!Q7+Operations!Q79+Operations!Q97</f>
        <v>55.4435818347201</v>
      </c>
      <c r="R7" s="13" t="n">
        <f aca="false">Operations!R84-Tax!R27-Operations!R96-Reserves!R7+Operations!R79+Operations!R97</f>
        <v>55.7940679029949</v>
      </c>
      <c r="S7" s="13" t="n">
        <f aca="false">Operations!S84-Tax!S27-Operations!S96-Reserves!S7+Operations!S79+Operations!S97</f>
        <v>55.4585399821437</v>
      </c>
      <c r="T7" s="13" t="n">
        <f aca="false">Operations!T84-Tax!T27-Operations!T96-Reserves!T7+Operations!T79+Operations!T97</f>
        <v>56.4589204452162</v>
      </c>
      <c r="U7" s="13" t="n">
        <f aca="false">Operations!U84-Tax!U27-Operations!U96-Reserves!U7+Operations!U79+Operations!U97</f>
        <v>55.7749516631111</v>
      </c>
      <c r="V7" s="13" t="n">
        <f aca="false">Operations!V84-Tax!V27-Operations!V96-Reserves!V7+Operations!V79+Operations!V97</f>
        <v>55.5139051725749</v>
      </c>
      <c r="W7" s="13" t="n">
        <f aca="false">Operations!W84-Tax!W27-Operations!W96-Reserves!W7+Operations!W79+Operations!W97</f>
        <v>55.3648697273215</v>
      </c>
      <c r="X7" s="13" t="n">
        <f aca="false">Operations!X84-Tax!X27-Operations!X96-Reserves!X7+Operations!X79+Operations!X97</f>
        <v>55.25185286048</v>
      </c>
      <c r="Y7" s="13" t="n">
        <f aca="false">Operations!Y84-Tax!Y27-Operations!Y96-Reserves!Y7+Operations!Y79+Operations!Y97</f>
        <v>55.1035748595649</v>
      </c>
      <c r="Z7" s="13" t="n">
        <f aca="false">Operations!Z84-Tax!Z27-Operations!Z96-Reserves!Z7+Operations!Z79+Operations!Z97</f>
        <v>55.4610556064269</v>
      </c>
      <c r="AA7" s="13" t="n">
        <f aca="false">Operations!AA84-Tax!AA27-Operations!AA96-Reserves!AA7+Operations!AA79+Operations!AA97</f>
        <v>55.122873915402</v>
      </c>
      <c r="AB7" s="13" t="n">
        <f aca="false">Operations!AB84-Tax!AB27-Operations!AB96-Reserves!AB7+Operations!AB79+Operations!AB97</f>
        <v>56.1592562818288</v>
      </c>
      <c r="AC7" s="13" t="n">
        <f aca="false">Operations!AC84-Tax!AC27-Operations!AC96-Reserves!AC7+Operations!AC79+Operations!AC97</f>
        <v>55.1644006715939</v>
      </c>
      <c r="AD7" s="13" t="n">
        <f aca="false">Operations!AD84-Tax!AD27-Operations!AD96-Reserves!AD7+Operations!AD79+Operations!AD97</f>
        <v>55.7013148107878</v>
      </c>
      <c r="AE7" s="13" t="n">
        <f aca="false">Operations!AE84-Tax!AE27-Operations!AE96-Reserves!AE7+Operations!AE79+Operations!AE97</f>
        <v>53.5016790242374</v>
      </c>
      <c r="AF7" s="13" t="n">
        <f aca="false">Operations!AF84-Tax!AF27-Operations!AF96-Reserves!AF7+Operations!AF79+Operations!AF97</f>
        <v>50.166375595667</v>
      </c>
      <c r="AG7" s="13" t="n">
        <f aca="false">Operations!AG84-Tax!AG27-Operations!AG96-Reserves!AG7+Operations!AG79+Operations!AG97</f>
        <v>49.8340505780379</v>
      </c>
      <c r="AH7" s="13" t="n">
        <f aca="false">Operations!AH84-Tax!AH27-Operations!AH96-Reserves!AH7+Operations!AH79+Operations!AH97</f>
        <v>49.8288729037303</v>
      </c>
      <c r="AI7" s="13" t="n">
        <f aca="false">Operations!AI84-Tax!AI27-Operations!AI96-Reserves!AI7+Operations!AI79+Operations!AI97</f>
        <v>48.8401886802907</v>
      </c>
      <c r="AJ7" s="13" t="n">
        <f aca="false">Operations!AJ84-Tax!AJ27-Operations!AJ96-Reserves!AJ7+Operations!AJ79+Operations!AJ97</f>
        <v>49.2526747535548</v>
      </c>
      <c r="AK7" s="13" t="n">
        <f aca="false">Operations!AK84-Tax!AK27-Operations!AK96-Reserves!AK7+Operations!AK79+Operations!AK97</f>
        <v>48.1428090292365</v>
      </c>
      <c r="AL7" s="13" t="n">
        <f aca="false">Operations!AL84-Tax!AL27-Operations!AL96-Reserves!AL7+Operations!AL79+Operations!AL97</f>
        <v>48.6565405726805</v>
      </c>
      <c r="AM7" s="13" t="n">
        <f aca="false">Operations!AM84-Tax!AM27-Operations!AM96-Reserves!AM7+Operations!AM79+Operations!AM97</f>
        <v>47.0384344081635</v>
      </c>
      <c r="AN7" s="13" t="n">
        <f aca="false">Operations!AN84-Tax!AN27-Operations!AN96-Reserves!AN7+Operations!AN79+Operations!AN97</f>
        <v>45.9985869195146</v>
      </c>
      <c r="AO7" s="13" t="n">
        <f aca="false">Operations!AO84-Tax!AO27-Operations!AO96-Reserves!AO7+Operations!AO79+Operations!AO97</f>
        <v>45.6650680456844</v>
      </c>
      <c r="AP7" s="13" t="n">
        <f aca="false">Operations!AP84-Tax!AP27-Operations!AP96-Reserves!AP7+Operations!AP79+Operations!AP97</f>
        <v>45.9309430025086</v>
      </c>
      <c r="AQ7" s="13" t="n">
        <f aca="false">Operations!AQ84-Tax!AQ27-Operations!AQ96-Reserves!AQ7+Operations!AQ79+Operations!AQ97</f>
        <v>45.4691828745509</v>
      </c>
      <c r="AR7" s="13" t="n">
        <f aca="false">Operations!AR84-Tax!AR27-Operations!AR96-Reserves!AR7+Operations!AR79+Operations!AR97</f>
        <v>46.4061291922982</v>
      </c>
      <c r="AS7" s="13" t="n">
        <f aca="false">Operations!AS84-Tax!AS27-Operations!AS96-Reserves!AS7+Operations!AS79+Operations!AS97</f>
        <v>45.6689340901091</v>
      </c>
      <c r="AT7" s="13" t="n">
        <f aca="false">Operations!AT84-Tax!AT27-Operations!AT96-Reserves!AT7+Operations!AT79+Operations!AT97</f>
        <v>51.4111792477814</v>
      </c>
      <c r="AU7" s="13" t="n">
        <f aca="false">Operations!AU84-Tax!AU27-Operations!AU96-Reserves!AU7+Operations!AU79+Operations!AU97</f>
        <v>46.73008753358</v>
      </c>
      <c r="AV7" s="13" t="n">
        <f aca="false">Operations!AV84-Tax!AV27-Operations!AV96-Reserves!AV7+Operations!AV79+Operations!AV97</f>
        <v>48.1801803921068</v>
      </c>
      <c r="AW7" s="13" t="n">
        <f aca="false">Operations!AW84-Tax!AW27-Operations!AW96-Reserves!AW7+Operations!AW79+Operations!AW97</f>
        <v>48.2920442839554</v>
      </c>
      <c r="AX7" s="13" t="n">
        <f aca="false">Operations!AX84-Tax!AX27-Operations!AX96-Reserves!AX7+Operations!AX79+Operations!AX97</f>
        <v>48.7844871932983</v>
      </c>
      <c r="AY7" s="13" t="n">
        <f aca="false">Operations!AY84-Tax!AY27-Operations!AY96-Reserves!AY7+Operations!AY79+Operations!AY97</f>
        <v>48.3130428004442</v>
      </c>
      <c r="AZ7" s="13" t="n">
        <f aca="false">Operations!AZ84-Tax!AZ27-Operations!AZ96-Reserves!AZ7+Operations!AZ79+Operations!AZ97</f>
        <v>49.2872750067212</v>
      </c>
      <c r="BA7" s="13" t="n">
        <f aca="false">Operations!BA84-Tax!BA27-Operations!BA96-Reserves!BA7+Operations!BA79+Operations!BA97</f>
        <v>48.7268218304066</v>
      </c>
      <c r="BB7" s="13" t="n">
        <f aca="false">Operations!BB84-Tax!BB27-Operations!BB96-Reserves!BB7+Operations!BB79+Operations!BB97</f>
        <v>50.068942534344</v>
      </c>
      <c r="BC7" s="13" t="n">
        <f aca="false">Operations!BC84-Tax!BC27-Operations!BC96-Reserves!BC7+Operations!BC79+Operations!BC97</f>
        <v>46.6398409064935</v>
      </c>
      <c r="BD7" s="13" t="n">
        <f aca="false">Operations!BD84-Tax!BD27-Operations!BD96-Reserves!BD7+Operations!BD79+Operations!BD97</f>
        <v>41.5861563387435</v>
      </c>
      <c r="BE7" s="13" t="n">
        <f aca="false">Operations!BE84-Tax!BE27-Operations!BE96-Reserves!BE7+Operations!BE79+Operations!BE97</f>
        <v>41.4595561645473</v>
      </c>
      <c r="BF7" s="13" t="n">
        <f aca="false">Operations!BF84-Tax!BF27-Operations!BF96-Reserves!BF7+Operations!BF79+Operations!BF97</f>
        <v>41.9778129883191</v>
      </c>
      <c r="BG7" s="13" t="n">
        <f aca="false">Operations!BG84-Tax!BG27-Operations!BG96-Reserves!BG7+Operations!BG79+Operations!BG97</f>
        <v>41.495877744253</v>
      </c>
      <c r="BH7" s="13" t="n">
        <f aca="false">Operations!BH84-Tax!BH27-Operations!BH96-Reserves!BH7+Operations!BH79+Operations!BH97</f>
        <v>42.5105709833818</v>
      </c>
      <c r="BI7" s="13" t="n">
        <f aca="false">Operations!BI84-Tax!BI27-Operations!BI96-Reserves!BI7+Operations!BI79+Operations!BI97</f>
        <v>41.7428972093031</v>
      </c>
      <c r="BJ7" s="13" t="n">
        <f aca="false">Operations!BJ84-Tax!BJ27-Operations!BJ96-Reserves!BJ7+Operations!BJ79+Operations!BJ97</f>
        <v>48.7034485117807</v>
      </c>
      <c r="BK7" s="13" t="n">
        <f aca="false">Operations!BK84-Tax!BK27-Operations!BK96-Reserves!BK7+Operations!BK79+Operations!BK97</f>
        <v>43.1924615073564</v>
      </c>
      <c r="BL7" s="13" t="n">
        <f aca="false">Operations!BL84-Tax!BL27-Operations!BL96-Reserves!BL7+Operations!BL79+Operations!BL97</f>
        <v>45.3788593003594</v>
      </c>
      <c r="BM7" s="13" t="n">
        <f aca="false">Operations!BM84-Tax!BM27-Operations!BM96-Reserves!BM7+Operations!BM79+Operations!BM97</f>
        <v>42.2995571797808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1864</v>
      </c>
      <c r="E8" s="0" t="s">
        <v>151</v>
      </c>
      <c r="J8" s="13" t="n">
        <f aca="false">IF(Time!J34=1,INDEX(Funding!$J$54:$BJ$54,1,Time!$F$14),0)+I30+I42</f>
        <v>0</v>
      </c>
      <c r="K8" s="13" t="n">
        <f aca="false">IF(Time!K34=1,INDEX(Funding!$J$54:$BJ$54,1,Time!$F$14),0)+J30+J42</f>
        <v>0</v>
      </c>
      <c r="L8" s="13" t="n">
        <f aca="false">IF(Time!L34=1,INDEX(Funding!$J$54:$BJ$54,1,Time!$F$14),0)+K30+K42</f>
        <v>0</v>
      </c>
      <c r="M8" s="13" t="n">
        <f aca="false">IF(Time!M34=1,INDEX(Funding!$J$54:$BJ$54,1,Time!$F$14),0)+L30+L42</f>
        <v>0</v>
      </c>
      <c r="N8" s="13" t="n">
        <f aca="false">IF(Time!N34=1,INDEX(Funding!$J$54:$BJ$54,1,Time!$F$14),0)+M30+M42</f>
        <v>0</v>
      </c>
      <c r="O8" s="13" t="n">
        <f aca="false">IF(Time!O34=1,INDEX(Funding!$J$54:$BJ$54,1,Time!$F$14),0)+N30+N42</f>
        <v>0</v>
      </c>
      <c r="P8" s="13" t="n">
        <f aca="false">IF(Time!P34=1,INDEX(Funding!$J$54:$BJ$54,1,Time!$F$14),0)+O30+O42</f>
        <v>2.51969776991045</v>
      </c>
      <c r="Q8" s="13" t="n">
        <f aca="false">IF(Time!Q34=1,INDEX(Funding!$J$54:$BJ$54,1,Time!$F$14),0)+P30+P42</f>
        <v>0</v>
      </c>
      <c r="R8" s="13" t="n">
        <f aca="false">IF(Time!R34=1,INDEX(Funding!$J$54:$BJ$54,1,Time!$F$14),0)+Q30+Q42</f>
        <v>0</v>
      </c>
      <c r="S8" s="13" t="n">
        <f aca="false">IF(Time!S34=1,INDEX(Funding!$J$54:$BJ$54,1,Time!$F$14),0)+R30+R42</f>
        <v>0</v>
      </c>
      <c r="T8" s="13" t="n">
        <f aca="false">IF(Time!T34=1,INDEX(Funding!$J$54:$BJ$54,1,Time!$F$14),0)+S30+S42</f>
        <v>0</v>
      </c>
      <c r="U8" s="13" t="n">
        <f aca="false">IF(Time!U34=1,INDEX(Funding!$J$54:$BJ$54,1,Time!$F$14),0)+T30+T42</f>
        <v>0</v>
      </c>
      <c r="V8" s="13" t="n">
        <f aca="false">IF(Time!V34=1,INDEX(Funding!$J$54:$BJ$54,1,Time!$F$14),0)+U30+U42</f>
        <v>0</v>
      </c>
      <c r="W8" s="13" t="n">
        <f aca="false">IF(Time!W34=1,INDEX(Funding!$J$54:$BJ$54,1,Time!$F$14),0)+V30+V42</f>
        <v>0</v>
      </c>
      <c r="X8" s="13" t="n">
        <f aca="false">IF(Time!X34=1,INDEX(Funding!$J$54:$BJ$54,1,Time!$F$14),0)+W30+W42</f>
        <v>0</v>
      </c>
      <c r="Y8" s="13" t="n">
        <f aca="false">IF(Time!Y34=1,INDEX(Funding!$J$54:$BJ$54,1,Time!$F$14),0)+X30+X42</f>
        <v>0</v>
      </c>
      <c r="Z8" s="13" t="n">
        <f aca="false">IF(Time!Z34=1,INDEX(Funding!$J$54:$BJ$54,1,Time!$F$14),0)+Y30+Y42</f>
        <v>0</v>
      </c>
      <c r="AA8" s="13" t="n">
        <f aca="false">IF(Time!AA34=1,INDEX(Funding!$J$54:$BJ$54,1,Time!$F$14),0)+Z30+Z42</f>
        <v>0</v>
      </c>
      <c r="AB8" s="13" t="n">
        <f aca="false">IF(Time!AB34=1,INDEX(Funding!$J$54:$BJ$54,1,Time!$F$14),0)+AA30+AA42</f>
        <v>0</v>
      </c>
      <c r="AC8" s="13" t="n">
        <f aca="false">IF(Time!AC34=1,INDEX(Funding!$J$54:$BJ$54,1,Time!$F$14),0)+AB30+AB42</f>
        <v>0</v>
      </c>
      <c r="AD8" s="13" t="n">
        <f aca="false">IF(Time!AD34=1,INDEX(Funding!$J$54:$BJ$54,1,Time!$F$14),0)+AC30+AC42</f>
        <v>0</v>
      </c>
      <c r="AE8" s="13" t="n">
        <f aca="false">IF(Time!AE34=1,INDEX(Funding!$J$54:$BJ$54,1,Time!$F$14),0)+AD30+AD42</f>
        <v>0</v>
      </c>
      <c r="AF8" s="13" t="n">
        <f aca="false">IF(Time!AF34=1,INDEX(Funding!$J$54:$BJ$54,1,Time!$F$14),0)+AE30+AE42</f>
        <v>0</v>
      </c>
      <c r="AG8" s="13" t="n">
        <f aca="false">IF(Time!AG34=1,INDEX(Funding!$J$54:$BJ$54,1,Time!$F$14),0)+AF30+AF42</f>
        <v>0</v>
      </c>
      <c r="AH8" s="13" t="n">
        <f aca="false">IF(Time!AH34=1,INDEX(Funding!$J$54:$BJ$54,1,Time!$F$14),0)+AG30+AG42</f>
        <v>0</v>
      </c>
      <c r="AI8" s="13" t="n">
        <f aca="false">IF(Time!AI34=1,INDEX(Funding!$J$54:$BJ$54,1,Time!$F$14),0)+AH30+AH42</f>
        <v>0</v>
      </c>
      <c r="AJ8" s="13" t="n">
        <f aca="false">IF(Time!AJ34=1,INDEX(Funding!$J$54:$BJ$54,1,Time!$F$14),0)+AI30+AI42</f>
        <v>0</v>
      </c>
      <c r="AK8" s="13" t="n">
        <f aca="false">IF(Time!AK34=1,INDEX(Funding!$J$54:$BJ$54,1,Time!$F$14),0)+AJ30+AJ42</f>
        <v>0</v>
      </c>
      <c r="AL8" s="13" t="n">
        <f aca="false">IF(Time!AL34=1,INDEX(Funding!$J$54:$BJ$54,1,Time!$F$14),0)+AK30+AK42</f>
        <v>0</v>
      </c>
      <c r="AM8" s="13" t="n">
        <f aca="false">IF(Time!AM34=1,INDEX(Funding!$J$54:$BJ$54,1,Time!$F$14),0)+AL30+AL42</f>
        <v>0</v>
      </c>
      <c r="AN8" s="13" t="n">
        <f aca="false">IF(Time!AN34=1,INDEX(Funding!$J$54:$BJ$54,1,Time!$F$14),0)+AM30+AM42</f>
        <v>0</v>
      </c>
      <c r="AO8" s="13" t="n">
        <f aca="false">IF(Time!AO34=1,INDEX(Funding!$J$54:$BJ$54,1,Time!$F$14),0)+AN30+AN42</f>
        <v>0</v>
      </c>
      <c r="AP8" s="13" t="n">
        <f aca="false">IF(Time!AP34=1,INDEX(Funding!$J$54:$BJ$54,1,Time!$F$14),0)+AO30+AO42</f>
        <v>0</v>
      </c>
      <c r="AQ8" s="13" t="n">
        <f aca="false">IF(Time!AQ34=1,INDEX(Funding!$J$54:$BJ$54,1,Time!$F$14),0)+AP30+AP42</f>
        <v>0</v>
      </c>
      <c r="AR8" s="13" t="n">
        <f aca="false">IF(Time!AR34=1,INDEX(Funding!$J$54:$BJ$54,1,Time!$F$14),0)+AQ30+AQ42</f>
        <v>0</v>
      </c>
      <c r="AS8" s="13" t="n">
        <f aca="false">IF(Time!AS34=1,INDEX(Funding!$J$54:$BJ$54,1,Time!$F$14),0)+AR30+AR42</f>
        <v>0</v>
      </c>
      <c r="AT8" s="13" t="n">
        <f aca="false">IF(Time!AT34=1,INDEX(Funding!$J$54:$BJ$54,1,Time!$F$14),0)+AS30+AS42</f>
        <v>0</v>
      </c>
      <c r="AU8" s="13" t="n">
        <f aca="false">IF(Time!AU34=1,INDEX(Funding!$J$54:$BJ$54,1,Time!$F$14),0)+AT30+AT42</f>
        <v>0</v>
      </c>
      <c r="AV8" s="13" t="n">
        <f aca="false">IF(Time!AV34=1,INDEX(Funding!$J$54:$BJ$54,1,Time!$F$14),0)+AU30+AU42</f>
        <v>0</v>
      </c>
      <c r="AW8" s="13" t="n">
        <f aca="false">IF(Time!AW34=1,INDEX(Funding!$J$54:$BJ$54,1,Time!$F$14),0)+AV30+AV42</f>
        <v>0</v>
      </c>
      <c r="AX8" s="13" t="n">
        <f aca="false">IF(Time!AX34=1,INDEX(Funding!$J$54:$BJ$54,1,Time!$F$14),0)+AW30+AW42</f>
        <v>0</v>
      </c>
      <c r="AY8" s="13" t="n">
        <f aca="false">IF(Time!AY34=1,INDEX(Funding!$J$54:$BJ$54,1,Time!$F$14),0)+AX30+AX42</f>
        <v>0</v>
      </c>
      <c r="AZ8" s="13" t="n">
        <f aca="false">IF(Time!AZ34=1,INDEX(Funding!$J$54:$BJ$54,1,Time!$F$14),0)+AY30+AY42</f>
        <v>0</v>
      </c>
      <c r="BA8" s="13" t="n">
        <f aca="false">IF(Time!BA34=1,INDEX(Funding!$J$54:$BJ$54,1,Time!$F$14),0)+AZ30+AZ42</f>
        <v>0</v>
      </c>
      <c r="BB8" s="13" t="n">
        <f aca="false">IF(Time!BB34=1,INDEX(Funding!$J$54:$BJ$54,1,Time!$F$14),0)+BA30+BA42</f>
        <v>0</v>
      </c>
      <c r="BC8" s="13" t="n">
        <f aca="false">IF(Time!BC34=1,INDEX(Funding!$J$54:$BJ$54,1,Time!$F$14),0)+BB30+BB42</f>
        <v>0</v>
      </c>
      <c r="BD8" s="13" t="n">
        <f aca="false">IF(Time!BD34=1,INDEX(Funding!$J$54:$BJ$54,1,Time!$F$14),0)+BC30+BC42</f>
        <v>0</v>
      </c>
      <c r="BE8" s="13" t="n">
        <f aca="false">IF(Time!BE34=1,INDEX(Funding!$J$54:$BJ$54,1,Time!$F$14),0)+BD30+BD42</f>
        <v>0</v>
      </c>
      <c r="BF8" s="13" t="n">
        <f aca="false">IF(Time!BF34=1,INDEX(Funding!$J$54:$BJ$54,1,Time!$F$14),0)+BE30+BE42</f>
        <v>0</v>
      </c>
      <c r="BG8" s="13" t="n">
        <f aca="false">IF(Time!BG34=1,INDEX(Funding!$J$54:$BJ$54,1,Time!$F$14),0)+BF30+BF42</f>
        <v>0</v>
      </c>
      <c r="BH8" s="13" t="n">
        <f aca="false">IF(Time!BH34=1,INDEX(Funding!$J$54:$BJ$54,1,Time!$F$14),0)+BG30+BG42</f>
        <v>0</v>
      </c>
      <c r="BI8" s="13" t="n">
        <f aca="false">IF(Time!BI34=1,INDEX(Funding!$J$54:$BJ$54,1,Time!$F$14),0)+BH30+BH42</f>
        <v>0</v>
      </c>
      <c r="BJ8" s="13" t="n">
        <f aca="false">IF(Time!BJ34=1,INDEX(Funding!$J$54:$BJ$54,1,Time!$F$14),0)+BI30+BI42</f>
        <v>0</v>
      </c>
      <c r="BK8" s="13" t="n">
        <f aca="false">IF(Time!BK34=1,INDEX(Funding!$J$54:$BJ$54,1,Time!$F$14),0)+BJ30+BJ42</f>
        <v>0</v>
      </c>
      <c r="BL8" s="13" t="n">
        <f aca="false">IF(Time!BL34=1,INDEX(Funding!$J$54:$BJ$54,1,Time!$F$14),0)+BK30+BK42</f>
        <v>0</v>
      </c>
      <c r="BM8" s="13" t="n">
        <f aca="false">IF(Time!BM34=1,INDEX(Funding!$J$54:$BJ$54,1,Time!$F$14),0)+BL30+BL42</f>
        <v>0</v>
      </c>
      <c r="BN8" s="13" t="n">
        <f aca="false">IF(Time!BN34=1,INDEX(Funding!$J$54:$BJ$54,1,Time!$F$14),0)+BM30+BM42</f>
        <v>0</v>
      </c>
    </row>
    <row r="9" customFormat="false" ht="15" hidden="false" customHeight="false" outlineLevel="0" collapsed="false">
      <c r="D9" s="0" t="s">
        <v>1865</v>
      </c>
      <c r="E9" s="0" t="s">
        <v>151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2.51969776990859</v>
      </c>
      <c r="P9" s="13" t="n">
        <f aca="false">P7+P8</f>
        <v>58.2208883598429</v>
      </c>
      <c r="Q9" s="13" t="n">
        <f aca="false">Q7+Q8</f>
        <v>55.4435818347201</v>
      </c>
      <c r="R9" s="13" t="n">
        <f aca="false">R7+R8</f>
        <v>55.7940679029949</v>
      </c>
      <c r="S9" s="13" t="n">
        <f aca="false">S7+S8</f>
        <v>55.4585399821437</v>
      </c>
      <c r="T9" s="13" t="n">
        <f aca="false">T7+T8</f>
        <v>56.4589204452162</v>
      </c>
      <c r="U9" s="13" t="n">
        <f aca="false">U7+U8</f>
        <v>55.7749516631111</v>
      </c>
      <c r="V9" s="13" t="n">
        <f aca="false">V7+V8</f>
        <v>55.5139051725749</v>
      </c>
      <c r="W9" s="13" t="n">
        <f aca="false">W7+W8</f>
        <v>55.3648697273215</v>
      </c>
      <c r="X9" s="13" t="n">
        <f aca="false">X7+X8</f>
        <v>55.25185286048</v>
      </c>
      <c r="Y9" s="13" t="n">
        <f aca="false">Y7+Y8</f>
        <v>55.1035748595649</v>
      </c>
      <c r="Z9" s="13" t="n">
        <f aca="false">Z7+Z8</f>
        <v>55.4610556064269</v>
      </c>
      <c r="AA9" s="13" t="n">
        <f aca="false">AA7+AA8</f>
        <v>55.122873915402</v>
      </c>
      <c r="AB9" s="13" t="n">
        <f aca="false">AB7+AB8</f>
        <v>56.1592562818288</v>
      </c>
      <c r="AC9" s="13" t="n">
        <f aca="false">AC7+AC8</f>
        <v>55.1644006715939</v>
      </c>
      <c r="AD9" s="13" t="n">
        <f aca="false">AD7+AD8</f>
        <v>55.7013148107878</v>
      </c>
      <c r="AE9" s="13" t="n">
        <f aca="false">AE7+AE8</f>
        <v>53.5016790242374</v>
      </c>
      <c r="AF9" s="13" t="n">
        <f aca="false">AF7+AF8</f>
        <v>50.166375595667</v>
      </c>
      <c r="AG9" s="13" t="n">
        <f aca="false">AG7+AG8</f>
        <v>49.8340505780379</v>
      </c>
      <c r="AH9" s="13" t="n">
        <f aca="false">AH7+AH8</f>
        <v>49.8288729037303</v>
      </c>
      <c r="AI9" s="13" t="n">
        <f aca="false">AI7+AI8</f>
        <v>48.8401886802907</v>
      </c>
      <c r="AJ9" s="13" t="n">
        <f aca="false">AJ7+AJ8</f>
        <v>49.2526747535548</v>
      </c>
      <c r="AK9" s="13" t="n">
        <f aca="false">AK7+AK8</f>
        <v>48.1428090292365</v>
      </c>
      <c r="AL9" s="13" t="n">
        <f aca="false">AL7+AL8</f>
        <v>48.6565405726805</v>
      </c>
      <c r="AM9" s="13" t="n">
        <f aca="false">AM7+AM8</f>
        <v>47.0384344081635</v>
      </c>
      <c r="AN9" s="13" t="n">
        <f aca="false">AN7+AN8</f>
        <v>45.9985869195146</v>
      </c>
      <c r="AO9" s="13" t="n">
        <f aca="false">AO7+AO8</f>
        <v>45.6650680456844</v>
      </c>
      <c r="AP9" s="13" t="n">
        <f aca="false">AP7+AP8</f>
        <v>45.9309430025086</v>
      </c>
      <c r="AQ9" s="13" t="n">
        <f aca="false">AQ7+AQ8</f>
        <v>45.4691828745509</v>
      </c>
      <c r="AR9" s="13" t="n">
        <f aca="false">AR7+AR8</f>
        <v>46.4061291922982</v>
      </c>
      <c r="AS9" s="13" t="n">
        <f aca="false">AS7+AS8</f>
        <v>45.6689340901091</v>
      </c>
      <c r="AT9" s="13" t="n">
        <f aca="false">AT7+AT8</f>
        <v>51.4111792477814</v>
      </c>
      <c r="AU9" s="13" t="n">
        <f aca="false">AU7+AU8</f>
        <v>46.73008753358</v>
      </c>
      <c r="AV9" s="13" t="n">
        <f aca="false">AV7+AV8</f>
        <v>48.1801803921068</v>
      </c>
      <c r="AW9" s="13" t="n">
        <f aca="false">AW7+AW8</f>
        <v>48.2920442839554</v>
      </c>
      <c r="AX9" s="13" t="n">
        <f aca="false">AX7+AX8</f>
        <v>48.7844871932983</v>
      </c>
      <c r="AY9" s="13" t="n">
        <f aca="false">AY7+AY8</f>
        <v>48.3130428004442</v>
      </c>
      <c r="AZ9" s="13" t="n">
        <f aca="false">AZ7+AZ8</f>
        <v>49.2872750067212</v>
      </c>
      <c r="BA9" s="13" t="n">
        <f aca="false">BA7+BA8</f>
        <v>48.7268218304066</v>
      </c>
      <c r="BB9" s="13" t="n">
        <f aca="false">BB7+BB8</f>
        <v>50.068942534344</v>
      </c>
      <c r="BC9" s="13" t="n">
        <f aca="false">BC7+BC8</f>
        <v>46.6398409064935</v>
      </c>
      <c r="BD9" s="13" t="n">
        <f aca="false">BD7+BD8</f>
        <v>41.5861563387435</v>
      </c>
      <c r="BE9" s="13" t="n">
        <f aca="false">BE7+BE8</f>
        <v>41.4595561645473</v>
      </c>
      <c r="BF9" s="13" t="n">
        <f aca="false">BF7+BF8</f>
        <v>41.9778129883191</v>
      </c>
      <c r="BG9" s="13" t="n">
        <f aca="false">BG7+BG8</f>
        <v>41.495877744253</v>
      </c>
      <c r="BH9" s="13" t="n">
        <f aca="false">BH7+BH8</f>
        <v>42.5105709833818</v>
      </c>
      <c r="BI9" s="13" t="n">
        <f aca="false">BI7+BI8</f>
        <v>41.7428972093031</v>
      </c>
      <c r="BJ9" s="13" t="n">
        <f aca="false">BJ7+BJ8</f>
        <v>48.7034485117807</v>
      </c>
      <c r="BK9" s="13" t="n">
        <f aca="false">BK7+BK8</f>
        <v>43.1924615073564</v>
      </c>
      <c r="BL9" s="13" t="n">
        <f aca="false">BL7+BL8</f>
        <v>45.3788593003594</v>
      </c>
      <c r="BM9" s="13" t="n">
        <f aca="false">BM7+BM8</f>
        <v>42.2995571797808</v>
      </c>
      <c r="BN9" s="13" t="n">
        <f aca="false">BN7+BN8</f>
        <v>0</v>
      </c>
    </row>
    <row r="10" customFormat="false" ht="15" hidden="false" customHeight="false" outlineLevel="0" collapsed="false">
      <c r="D10" s="0" t="s">
        <v>1866</v>
      </c>
      <c r="E10" s="0" t="s">
        <v>151</v>
      </c>
      <c r="G10" s="13" t="n">
        <f aca="false">SUM(J10:BN10)</f>
        <v>897.435814202957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39.08329016435</v>
      </c>
      <c r="Q10" s="13" t="n">
        <f aca="false">Debt!Q114+Debt!Q110</f>
        <v>38.9025364374744</v>
      </c>
      <c r="R10" s="13" t="n">
        <f aca="false">Debt!R114+Debt!R110</f>
        <v>39.148458448062</v>
      </c>
      <c r="S10" s="13" t="n">
        <f aca="false">Debt!S114+Debt!S110</f>
        <v>38.9130319692583</v>
      </c>
      <c r="T10" s="13" t="n">
        <f aca="false">Debt!T114+Debt!T110</f>
        <v>39.6149587964242</v>
      </c>
      <c r="U10" s="13" t="n">
        <f aca="false">Debt!U114+Debt!U110</f>
        <v>39.1350453483946</v>
      </c>
      <c r="V10" s="13" t="n">
        <f aca="false">Debt!V114+Debt!V110</f>
        <v>38.9518795024765</v>
      </c>
      <c r="W10" s="13" t="n">
        <f aca="false">Debt!W114+Debt!W110</f>
        <v>38.8473073097399</v>
      </c>
      <c r="X10" s="13" t="n">
        <f aca="false">Debt!X114+Debt!X110</f>
        <v>38.7680079107372</v>
      </c>
      <c r="Y10" s="13" t="n">
        <f aca="false">Debt!Y114+Debt!Y110</f>
        <v>38.6639671863843</v>
      </c>
      <c r="Z10" s="13" t="n">
        <f aca="false">Debt!Z114+Debt!Z110</f>
        <v>38.9147970818194</v>
      </c>
      <c r="AA10" s="13" t="n">
        <f aca="false">Debt!AA114+Debt!AA110</f>
        <v>38.6775085590125</v>
      </c>
      <c r="AB10" s="13" t="n">
        <f aca="false">Debt!AB114+Debt!AB110</f>
        <v>38.644616913547</v>
      </c>
      <c r="AC10" s="13" t="n">
        <f aca="false">Debt!AC114+Debt!AC110</f>
        <v>37.0140287026238</v>
      </c>
      <c r="AD10" s="13" t="n">
        <f aca="false">Debt!AD114+Debt!AD110</f>
        <v>36.3680962083542</v>
      </c>
      <c r="AE10" s="13" t="n">
        <f aca="false">Debt!AE114+Debt!AE110</f>
        <v>35.1722189212064</v>
      </c>
      <c r="AF10" s="13" t="n">
        <f aca="false">Debt!AF114+Debt!AF110</f>
        <v>35.3263476664487</v>
      </c>
      <c r="AG10" s="13" t="n">
        <f aca="false">Debt!AG114+Debt!AG110</f>
        <v>34.1825896047146</v>
      </c>
      <c r="AH10" s="13" t="n">
        <f aca="false">Debt!AH114+Debt!AH110</f>
        <v>33.1129371960114</v>
      </c>
      <c r="AI10" s="13" t="n">
        <f aca="false">Debt!AI114+Debt!AI110</f>
        <v>31.3402292840959</v>
      </c>
      <c r="AJ10" s="13" t="n">
        <f aca="false">Debt!AJ114+Debt!AJ110</f>
        <v>30.0275787404664</v>
      </c>
      <c r="AK10" s="13" t="n">
        <f aca="false">Debt!AK114+Debt!AK110</f>
        <v>27.1889108089813</v>
      </c>
      <c r="AL10" s="13" t="n">
        <f aca="false">Debt!AL114+Debt!AL110</f>
        <v>23.7722072819381</v>
      </c>
      <c r="AM10" s="13" t="n">
        <f aca="false">Debt!AM114+Debt!AM110</f>
        <v>22.6276747816278</v>
      </c>
      <c r="AN10" s="13" t="n">
        <f aca="false">Debt!AN114+Debt!AN110</f>
        <v>22.5340489654769</v>
      </c>
      <c r="AO10" s="13" t="n">
        <f aca="false">Debt!AO114+Debt!AO110</f>
        <v>22.503540413331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1867</v>
      </c>
      <c r="E11" s="0" t="s">
        <v>151</v>
      </c>
      <c r="G11" s="13" t="n">
        <f aca="false">SUM(J11:BN11)</f>
        <v>0</v>
      </c>
      <c r="J11" s="13" t="n">
        <f aca="false">MAX(0,J10-J9)</f>
        <v>0</v>
      </c>
      <c r="K11" s="13" t="n">
        <f aca="false">MAX(0,K10-K9)</f>
        <v>0</v>
      </c>
      <c r="L11" s="13" t="n">
        <f aca="false">MAX(0,L10-L9)</f>
        <v>0</v>
      </c>
      <c r="M11" s="13" t="n">
        <f aca="false">MAX(0,M10-M9)</f>
        <v>0</v>
      </c>
      <c r="N11" s="13" t="n">
        <f aca="false">MAX(0,N10-N9)</f>
        <v>0</v>
      </c>
      <c r="O11" s="13" t="n">
        <f aca="false">MAX(0,O10-O9)</f>
        <v>0</v>
      </c>
      <c r="P11" s="13" t="n">
        <f aca="false">MAX(0,P10-P9)</f>
        <v>0</v>
      </c>
      <c r="Q11" s="13" t="n">
        <f aca="false">MAX(0,Q10-Q9)</f>
        <v>0</v>
      </c>
      <c r="R11" s="13" t="n">
        <f aca="false">MAX(0,R10-R9)</f>
        <v>0</v>
      </c>
      <c r="S11" s="13" t="n">
        <f aca="false">MAX(0,S10-S9)</f>
        <v>0</v>
      </c>
      <c r="T11" s="13" t="n">
        <f aca="false">MAX(0,T10-T9)</f>
        <v>0</v>
      </c>
      <c r="U11" s="13" t="n">
        <f aca="false">MAX(0,U10-U9)</f>
        <v>0</v>
      </c>
      <c r="V11" s="13" t="n">
        <f aca="false">MAX(0,V10-V9)</f>
        <v>0</v>
      </c>
      <c r="W11" s="13" t="n">
        <f aca="false">MAX(0,W10-W9)</f>
        <v>0</v>
      </c>
      <c r="X11" s="13" t="n">
        <f aca="false">MAX(0,X10-X9)</f>
        <v>0</v>
      </c>
      <c r="Y11" s="13" t="n">
        <f aca="false">MAX(0,Y10-Y9)</f>
        <v>0</v>
      </c>
      <c r="Z11" s="13" t="n">
        <f aca="false">MAX(0,Z10-Z9)</f>
        <v>0</v>
      </c>
      <c r="AA11" s="13" t="n">
        <f aca="false">MAX(0,AA10-AA9)</f>
        <v>0</v>
      </c>
      <c r="AB11" s="13" t="n">
        <f aca="false">MAX(0,AB10-AB9)</f>
        <v>0</v>
      </c>
      <c r="AC11" s="13" t="n">
        <f aca="false">MAX(0,AC10-AC9)</f>
        <v>0</v>
      </c>
      <c r="AD11" s="13" t="n">
        <f aca="false">MAX(0,AD10-AD9)</f>
        <v>0</v>
      </c>
      <c r="AE11" s="13" t="n">
        <f aca="false">MAX(0,AE10-AE9)</f>
        <v>0</v>
      </c>
      <c r="AF11" s="13" t="n">
        <f aca="false">MAX(0,AF10-AF9)</f>
        <v>0</v>
      </c>
      <c r="AG11" s="13" t="n">
        <f aca="false">MAX(0,AG10-AG9)</f>
        <v>0</v>
      </c>
      <c r="AH11" s="13" t="n">
        <f aca="false">MAX(0,AH10-AH9)</f>
        <v>0</v>
      </c>
      <c r="AI11" s="13" t="n">
        <f aca="false">MAX(0,AI10-AI9)</f>
        <v>0</v>
      </c>
      <c r="AJ11" s="13" t="n">
        <f aca="false">MAX(0,AJ10-AJ9)</f>
        <v>0</v>
      </c>
      <c r="AK11" s="13" t="n">
        <f aca="false">MAX(0,AK10-AK9)</f>
        <v>0</v>
      </c>
      <c r="AL11" s="13" t="n">
        <f aca="false">MAX(0,AL10-AL9)</f>
        <v>0</v>
      </c>
      <c r="AM11" s="13" t="n">
        <f aca="false">MAX(0,AM10-AM9)</f>
        <v>0</v>
      </c>
      <c r="AN11" s="13" t="n">
        <f aca="false">MAX(0,AN10-AN9)</f>
        <v>0</v>
      </c>
      <c r="AO11" s="13" t="n">
        <f aca="false">MAX(0,AO10-AO9)</f>
        <v>0</v>
      </c>
      <c r="AP11" s="13" t="n">
        <f aca="false">MAX(0,AP10-AP9)</f>
        <v>0</v>
      </c>
      <c r="AQ11" s="13" t="n">
        <f aca="false">MAX(0,AQ10-AQ9)</f>
        <v>0</v>
      </c>
      <c r="AR11" s="13" t="n">
        <f aca="false">MAX(0,AR10-AR9)</f>
        <v>0</v>
      </c>
      <c r="AS11" s="13" t="n">
        <f aca="false">MAX(0,AS10-AS9)</f>
        <v>0</v>
      </c>
      <c r="AT11" s="13" t="n">
        <f aca="false">MAX(0,AT10-AT9)</f>
        <v>0</v>
      </c>
      <c r="AU11" s="13" t="n">
        <f aca="false">MAX(0,AU10-AU9)</f>
        <v>0</v>
      </c>
      <c r="AV11" s="13" t="n">
        <f aca="false">MAX(0,AV10-AV9)</f>
        <v>0</v>
      </c>
      <c r="AW11" s="13" t="n">
        <f aca="false">MAX(0,AW10-AW9)</f>
        <v>0</v>
      </c>
      <c r="AX11" s="13" t="n">
        <f aca="false">MAX(0,AX10-AX9)</f>
        <v>0</v>
      </c>
      <c r="AY11" s="13" t="n">
        <f aca="false">MAX(0,AY10-AY9)</f>
        <v>0</v>
      </c>
      <c r="AZ11" s="13" t="n">
        <f aca="false">MAX(0,AZ10-AZ9)</f>
        <v>0</v>
      </c>
      <c r="BA11" s="13" t="n">
        <f aca="false">MAX(0,BA10-BA9)</f>
        <v>0</v>
      </c>
      <c r="BB11" s="13" t="n">
        <f aca="false">MAX(0,BB10-BB9)</f>
        <v>0</v>
      </c>
      <c r="BC11" s="13" t="n">
        <f aca="false">MAX(0,BC10-BC9)</f>
        <v>0</v>
      </c>
      <c r="BD11" s="13" t="n">
        <f aca="false">MAX(0,BD10-BD9)</f>
        <v>0</v>
      </c>
      <c r="BE11" s="13" t="n">
        <f aca="false">MAX(0,BE10-BE9)</f>
        <v>0</v>
      </c>
      <c r="BF11" s="13" t="n">
        <f aca="false">MAX(0,BF10-BF9)</f>
        <v>0</v>
      </c>
      <c r="BG11" s="13" t="n">
        <f aca="false">MAX(0,BG10-BG9)</f>
        <v>0</v>
      </c>
      <c r="BH11" s="13" t="n">
        <f aca="false">MAX(0,BH10-BH9)</f>
        <v>0</v>
      </c>
      <c r="BI11" s="13" t="n">
        <f aca="false">MAX(0,BI10-BI9)</f>
        <v>0</v>
      </c>
      <c r="BJ11" s="13" t="n">
        <f aca="false">MAX(0,BJ10-BJ9)</f>
        <v>0</v>
      </c>
      <c r="BK11" s="13" t="n">
        <f aca="false">MAX(0,BK10-BK9)</f>
        <v>0</v>
      </c>
      <c r="BL11" s="13" t="n">
        <f aca="false">MAX(0,BL10-BL9)</f>
        <v>0</v>
      </c>
      <c r="BM11" s="13" t="n">
        <f aca="false">MAX(0,BM10-BM9)</f>
        <v>0</v>
      </c>
      <c r="BN11" s="13" t="n">
        <f aca="false">MAX(0,BN10-BN9)</f>
        <v>0</v>
      </c>
    </row>
    <row r="12" customFormat="false" ht="15" hidden="false" customHeight="false" outlineLevel="0" collapsed="false">
      <c r="D12" s="0" t="s">
        <v>1868</v>
      </c>
      <c r="E12" s="0" t="s">
        <v>151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1869</v>
      </c>
      <c r="E13" s="0" t="s">
        <v>151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2.51969776990859</v>
      </c>
      <c r="P13" s="13" t="n">
        <f aca="false">MAX(0,P9-P10)</f>
        <v>19.1375981954929</v>
      </c>
      <c r="Q13" s="13" t="n">
        <f aca="false">MAX(0,Q9-Q10)</f>
        <v>16.5410453972457</v>
      </c>
      <c r="R13" s="13" t="n">
        <f aca="false">MAX(0,R9-R10)</f>
        <v>16.6456094549329</v>
      </c>
      <c r="S13" s="13" t="n">
        <f aca="false">MAX(0,S9-S10)</f>
        <v>16.5455080128854</v>
      </c>
      <c r="T13" s="13" t="n">
        <f aca="false">MAX(0,T9-T10)</f>
        <v>16.843961648792</v>
      </c>
      <c r="U13" s="13" t="n">
        <f aca="false">MAX(0,U9-U10)</f>
        <v>16.6399063147165</v>
      </c>
      <c r="V13" s="13" t="n">
        <f aca="false">MAX(0,V9-V10)</f>
        <v>16.5620256700984</v>
      </c>
      <c r="W13" s="13" t="n">
        <f aca="false">MAX(0,W9-W10)</f>
        <v>16.5175624175816</v>
      </c>
      <c r="X13" s="13" t="n">
        <f aca="false">MAX(0,X9-X10)</f>
        <v>16.4838449497429</v>
      </c>
      <c r="Y13" s="13" t="n">
        <f aca="false">MAX(0,Y9-Y10)</f>
        <v>16.4396076731807</v>
      </c>
      <c r="Z13" s="13" t="n">
        <f aca="false">MAX(0,Z9-Z10)</f>
        <v>16.5462585246076</v>
      </c>
      <c r="AA13" s="13" t="n">
        <f aca="false">MAX(0,AA9-AA10)</f>
        <v>16.4453653563895</v>
      </c>
      <c r="AB13" s="13" t="n">
        <f aca="false">MAX(0,AB9-AB10)</f>
        <v>17.5146393682818</v>
      </c>
      <c r="AC13" s="13" t="n">
        <f aca="false">MAX(0,AC9-AC10)</f>
        <v>18.1503719689701</v>
      </c>
      <c r="AD13" s="13" t="n">
        <f aca="false">MAX(0,AD9-AD10)</f>
        <v>19.3332186024336</v>
      </c>
      <c r="AE13" s="13" t="n">
        <f aca="false">MAX(0,AE9-AE10)</f>
        <v>18.329460103031</v>
      </c>
      <c r="AF13" s="13" t="n">
        <f aca="false">MAX(0,AF9-AF10)</f>
        <v>14.8400279292183</v>
      </c>
      <c r="AG13" s="13" t="n">
        <f aca="false">MAX(0,AG9-AG10)</f>
        <v>15.6514609733233</v>
      </c>
      <c r="AH13" s="13" t="n">
        <f aca="false">MAX(0,AH9-AH10)</f>
        <v>16.715935707719</v>
      </c>
      <c r="AI13" s="13" t="n">
        <f aca="false">MAX(0,AI9-AI10)</f>
        <v>17.4999593961948</v>
      </c>
      <c r="AJ13" s="13" t="n">
        <f aca="false">MAX(0,AJ9-AJ10)</f>
        <v>19.2250960130885</v>
      </c>
      <c r="AK13" s="13" t="n">
        <f aca="false">MAX(0,AK9-AK10)</f>
        <v>20.9538982202552</v>
      </c>
      <c r="AL13" s="13" t="n">
        <f aca="false">MAX(0,AL9-AL10)</f>
        <v>24.8843332907424</v>
      </c>
      <c r="AM13" s="13" t="n">
        <f aca="false">MAX(0,AM9-AM10)</f>
        <v>24.4107596265357</v>
      </c>
      <c r="AN13" s="13" t="n">
        <f aca="false">MAX(0,AN9-AN10)</f>
        <v>23.4645379540377</v>
      </c>
      <c r="AO13" s="13" t="n">
        <f aca="false">MAX(0,AO9-AO10)</f>
        <v>23.1615276323534</v>
      </c>
      <c r="AP13" s="13" t="n">
        <f aca="false">MAX(0,AP9-AP10)</f>
        <v>45.9309430025086</v>
      </c>
      <c r="AQ13" s="13" t="n">
        <f aca="false">MAX(0,AQ9-AQ10)</f>
        <v>45.4691828745509</v>
      </c>
      <c r="AR13" s="13" t="n">
        <f aca="false">MAX(0,AR9-AR10)</f>
        <v>46.4061291922982</v>
      </c>
      <c r="AS13" s="13" t="n">
        <f aca="false">MAX(0,AS9-AS10)</f>
        <v>45.6689340901091</v>
      </c>
      <c r="AT13" s="13" t="n">
        <f aca="false">MAX(0,AT9-AT10)</f>
        <v>51.4111792477814</v>
      </c>
      <c r="AU13" s="13" t="n">
        <f aca="false">MAX(0,AU9-AU10)</f>
        <v>46.73008753358</v>
      </c>
      <c r="AV13" s="13" t="n">
        <f aca="false">MAX(0,AV9-AV10)</f>
        <v>48.1801803921068</v>
      </c>
      <c r="AW13" s="13" t="n">
        <f aca="false">MAX(0,AW9-AW10)</f>
        <v>48.2920442839554</v>
      </c>
      <c r="AX13" s="13" t="n">
        <f aca="false">MAX(0,AX9-AX10)</f>
        <v>48.7844871932983</v>
      </c>
      <c r="AY13" s="13" t="n">
        <f aca="false">MAX(0,AY9-AY10)</f>
        <v>48.3130428004442</v>
      </c>
      <c r="AZ13" s="13" t="n">
        <f aca="false">MAX(0,AZ9-AZ10)</f>
        <v>49.2872750067212</v>
      </c>
      <c r="BA13" s="13" t="n">
        <f aca="false">MAX(0,BA9-BA10)</f>
        <v>48.7268218304066</v>
      </c>
      <c r="BB13" s="13" t="n">
        <f aca="false">MAX(0,BB9-BB10)</f>
        <v>50.068942534344</v>
      </c>
      <c r="BC13" s="13" t="n">
        <f aca="false">MAX(0,BC9-BC10)</f>
        <v>46.6398409064935</v>
      </c>
      <c r="BD13" s="13" t="n">
        <f aca="false">MAX(0,BD9-BD10)</f>
        <v>41.5861563387435</v>
      </c>
      <c r="BE13" s="13" t="n">
        <f aca="false">MAX(0,BE9-BE10)</f>
        <v>41.4595561645473</v>
      </c>
      <c r="BF13" s="13" t="n">
        <f aca="false">MAX(0,BF9-BF10)</f>
        <v>41.9778129883191</v>
      </c>
      <c r="BG13" s="13" t="n">
        <f aca="false">MAX(0,BG9-BG10)</f>
        <v>41.495877744253</v>
      </c>
      <c r="BH13" s="13" t="n">
        <f aca="false">MAX(0,BH9-BH10)</f>
        <v>42.5105709833818</v>
      </c>
      <c r="BI13" s="13" t="n">
        <f aca="false">MAX(0,BI9-BI10)</f>
        <v>41.7428972093031</v>
      </c>
      <c r="BJ13" s="13" t="n">
        <f aca="false">MAX(0,BJ9-BJ10)</f>
        <v>48.7034485117807</v>
      </c>
      <c r="BK13" s="13" t="n">
        <f aca="false">MAX(0,BK9-BK10)</f>
        <v>43.1924615073564</v>
      </c>
      <c r="BL13" s="13" t="n">
        <f aca="false">MAX(0,BL9-BL10)</f>
        <v>45.3788593003594</v>
      </c>
      <c r="BM13" s="13" t="n">
        <f aca="false">MAX(0,BM9-BM10)</f>
        <v>42.2995571797808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1870</v>
      </c>
      <c r="E14" s="0" t="s">
        <v>151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2.51969776991045</v>
      </c>
      <c r="P14" s="13" t="n">
        <f aca="false">P13-Reserves!P11+Reserves!P12</f>
        <v>19.3183519223685</v>
      </c>
      <c r="Q14" s="13" t="n">
        <f aca="false">Q13-Reserves!Q11+Reserves!Q12</f>
        <v>16.2951233866581</v>
      </c>
      <c r="R14" s="13" t="n">
        <f aca="false">R13-Reserves!R11+Reserves!R12</f>
        <v>16.8810359337366</v>
      </c>
      <c r="S14" s="13" t="n">
        <f aca="false">S13-Reserves!S11+Reserves!S12</f>
        <v>15.8435811857195</v>
      </c>
      <c r="T14" s="13" t="n">
        <f aca="false">T13-Reserves!T11+Reserves!T12</f>
        <v>17.3238750968216</v>
      </c>
      <c r="U14" s="13" t="n">
        <f aca="false">U13-Reserves!U11+Reserves!U12</f>
        <v>16.8230721606346</v>
      </c>
      <c r="V14" s="13" t="n">
        <f aca="false">V13-Reserves!V11+Reserves!V12</f>
        <v>16.6665978628349</v>
      </c>
      <c r="W14" s="13" t="n">
        <f aca="false">W13-Reserves!W11+Reserves!W12</f>
        <v>16.5968618165843</v>
      </c>
      <c r="X14" s="13" t="n">
        <f aca="false">X13-Reserves!X11+Reserves!X12</f>
        <v>16.5878856740958</v>
      </c>
      <c r="Y14" s="13" t="n">
        <f aca="false">Y13-Reserves!Y11+Reserves!Y12</f>
        <v>16.1887777777456</v>
      </c>
      <c r="Z14" s="13" t="n">
        <f aca="false">Z13-Reserves!Z11+Reserves!Z12</f>
        <v>16.7835470474145</v>
      </c>
      <c r="AA14" s="13" t="n">
        <f aca="false">AA13-Reserves!AA11+Reserves!AA12</f>
        <v>15.7181774388354</v>
      </c>
      <c r="AB14" s="13" t="n">
        <f aca="false">AB13-Reserves!AB11+Reserves!AB12</f>
        <v>18.9590557848492</v>
      </c>
      <c r="AC14" s="13" t="n">
        <f aca="false">AC13-Reserves!AC11+Reserves!AC12</f>
        <v>18.7427221729001</v>
      </c>
      <c r="AD14" s="13" t="n">
        <f aca="false">AD13-Reserves!AD11+Reserves!AD12</f>
        <v>20.3703793197603</v>
      </c>
      <c r="AE14" s="13" t="n">
        <f aca="false">AE13-Reserves!AE11+Reserves!AE12</f>
        <v>18.1739247501341</v>
      </c>
      <c r="AF14" s="13" t="n">
        <f aca="false">AF13-Reserves!AF11+Reserves!AF12</f>
        <v>16.0170964581002</v>
      </c>
      <c r="AG14" s="13" t="n">
        <f aca="false">AG13-Reserves!AG11+Reserves!AG12</f>
        <v>16.5587380152429</v>
      </c>
      <c r="AH14" s="13" t="n">
        <f aca="false">AH13-Reserves!AH11+Reserves!AH12</f>
        <v>18.2031173126495</v>
      </c>
      <c r="AI14" s="13" t="n">
        <f aca="false">AI13-Reserves!AI11+Reserves!AI12</f>
        <v>18.5222657461323</v>
      </c>
      <c r="AJ14" s="13" t="n">
        <f aca="false">AJ13-Reserves!AJ11+Reserves!AJ12</f>
        <v>21.424788084826</v>
      </c>
      <c r="AK14" s="13" t="n">
        <f aca="false">AK13-Reserves!AK11+Reserves!AK12</f>
        <v>23.5260355028941</v>
      </c>
      <c r="AL14" s="13" t="n">
        <f aca="false">AL13-Reserves!AL11+Reserves!AL12</f>
        <v>28.286172246041</v>
      </c>
      <c r="AM14" s="13" t="n">
        <f aca="false">AM13-Reserves!AM11+Reserves!AM12</f>
        <v>25.5955133173537</v>
      </c>
      <c r="AN14" s="13" t="n">
        <f aca="false">AN13-Reserves!AN11+Reserves!AN12</f>
        <v>23.4950465061836</v>
      </c>
      <c r="AO14" s="13" t="n">
        <f aca="false">AO13-Reserves!AO11+Reserves!AO12</f>
        <v>45.6650680456844</v>
      </c>
      <c r="AP14" s="13" t="n">
        <f aca="false">AP13-Reserves!AP11+Reserves!AP12</f>
        <v>45.9309430025086</v>
      </c>
      <c r="AQ14" s="13" t="n">
        <f aca="false">AQ13-Reserves!AQ11+Reserves!AQ12</f>
        <v>45.4691828745509</v>
      </c>
      <c r="AR14" s="13" t="n">
        <f aca="false">AR13-Reserves!AR11+Reserves!AR12</f>
        <v>46.4061291922982</v>
      </c>
      <c r="AS14" s="13" t="n">
        <f aca="false">AS13-Reserves!AS11+Reserves!AS12</f>
        <v>45.6689340901091</v>
      </c>
      <c r="AT14" s="13" t="n">
        <f aca="false">AT13-Reserves!AT11+Reserves!AT12</f>
        <v>51.4111792477814</v>
      </c>
      <c r="AU14" s="13" t="n">
        <f aca="false">AU13-Reserves!AU11+Reserves!AU12</f>
        <v>46.73008753358</v>
      </c>
      <c r="AV14" s="13" t="n">
        <f aca="false">AV13-Reserves!AV11+Reserves!AV12</f>
        <v>48.1801803921068</v>
      </c>
      <c r="AW14" s="13" t="n">
        <f aca="false">AW13-Reserves!AW11+Reserves!AW12</f>
        <v>48.2920442839554</v>
      </c>
      <c r="AX14" s="13" t="n">
        <f aca="false">AX13-Reserves!AX11+Reserves!AX12</f>
        <v>48.7844871932983</v>
      </c>
      <c r="AY14" s="13" t="n">
        <f aca="false">AY13-Reserves!AY11+Reserves!AY12</f>
        <v>48.3130428004442</v>
      </c>
      <c r="AZ14" s="13" t="n">
        <f aca="false">AZ13-Reserves!AZ11+Reserves!AZ12</f>
        <v>49.2872750067212</v>
      </c>
      <c r="BA14" s="13" t="n">
        <f aca="false">BA13-Reserves!BA11+Reserves!BA12</f>
        <v>48.7268218304066</v>
      </c>
      <c r="BB14" s="13" t="n">
        <f aca="false">BB13-Reserves!BB11+Reserves!BB12</f>
        <v>50.068942534344</v>
      </c>
      <c r="BC14" s="13" t="n">
        <f aca="false">BC13-Reserves!BC11+Reserves!BC12</f>
        <v>46.6398409064935</v>
      </c>
      <c r="BD14" s="13" t="n">
        <f aca="false">BD13-Reserves!BD11+Reserves!BD12</f>
        <v>41.5861563387435</v>
      </c>
      <c r="BE14" s="13" t="n">
        <f aca="false">BE13-Reserves!BE11+Reserves!BE12</f>
        <v>41.4595561645473</v>
      </c>
      <c r="BF14" s="13" t="n">
        <f aca="false">BF13-Reserves!BF11+Reserves!BF12</f>
        <v>41.9778129883191</v>
      </c>
      <c r="BG14" s="13" t="n">
        <f aca="false">BG13-Reserves!BG11+Reserves!BG12</f>
        <v>41.495877744253</v>
      </c>
      <c r="BH14" s="13" t="n">
        <f aca="false">BH13-Reserves!BH11+Reserves!BH12</f>
        <v>42.5105709833818</v>
      </c>
      <c r="BI14" s="13" t="n">
        <f aca="false">BI13-Reserves!BI11+Reserves!BI12</f>
        <v>41.7428972093031</v>
      </c>
      <c r="BJ14" s="13" t="n">
        <f aca="false">BJ13-Reserves!BJ11+Reserves!BJ12</f>
        <v>48.7034485117807</v>
      </c>
      <c r="BK14" s="13" t="n">
        <f aca="false">BK13-Reserves!BK11+Reserves!BK12</f>
        <v>43.1924615073564</v>
      </c>
      <c r="BL14" s="13" t="n">
        <f aca="false">BL13-Reserves!BL11+Reserves!BL12</f>
        <v>45.3788593003594</v>
      </c>
      <c r="BM14" s="13" t="n">
        <f aca="false">BM13-Reserves!BM11+Reserves!BM12</f>
        <v>42.2995571797808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1871</v>
      </c>
      <c r="E15" s="0" t="s">
        <v>151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2.51969776991045</v>
      </c>
      <c r="P15" s="13" t="n">
        <f aca="false">P14-Reserves!P14+Reserves!P15</f>
        <v>19.3183519223685</v>
      </c>
      <c r="Q15" s="13" t="n">
        <f aca="false">Q14-Reserves!Q14+Reserves!Q15</f>
        <v>16.2951233866581</v>
      </c>
      <c r="R15" s="13" t="n">
        <f aca="false">R14-Reserves!R14+Reserves!R15</f>
        <v>16.8810359337366</v>
      </c>
      <c r="S15" s="13" t="n">
        <f aca="false">S14-Reserves!S14+Reserves!S15</f>
        <v>15.8435811857195</v>
      </c>
      <c r="T15" s="13" t="n">
        <f aca="false">T14-Reserves!T14+Reserves!T15</f>
        <v>17.3238750968216</v>
      </c>
      <c r="U15" s="13" t="n">
        <f aca="false">U14-Reserves!U14+Reserves!U15</f>
        <v>16.8230721606346</v>
      </c>
      <c r="V15" s="13" t="n">
        <f aca="false">V14-Reserves!V14+Reserves!V15</f>
        <v>16.6665978628349</v>
      </c>
      <c r="W15" s="13" t="n">
        <f aca="false">W14-Reserves!W14+Reserves!W15</f>
        <v>16.5968618165843</v>
      </c>
      <c r="X15" s="13" t="n">
        <f aca="false">X14-Reserves!X14+Reserves!X15</f>
        <v>16.5878856740958</v>
      </c>
      <c r="Y15" s="13" t="n">
        <f aca="false">Y14-Reserves!Y14+Reserves!Y15</f>
        <v>16.1887777777456</v>
      </c>
      <c r="Z15" s="13" t="n">
        <f aca="false">Z14-Reserves!Z14+Reserves!Z15</f>
        <v>16.7835470474145</v>
      </c>
      <c r="AA15" s="13" t="n">
        <f aca="false">AA14-Reserves!AA14+Reserves!AA15</f>
        <v>15.7181774388354</v>
      </c>
      <c r="AB15" s="13" t="n">
        <f aca="false">AB14-Reserves!AB14+Reserves!AB15</f>
        <v>18.9590557848492</v>
      </c>
      <c r="AC15" s="13" t="n">
        <f aca="false">AC14-Reserves!AC14+Reserves!AC15</f>
        <v>18.7427221729001</v>
      </c>
      <c r="AD15" s="13" t="n">
        <f aca="false">AD14-Reserves!AD14+Reserves!AD15</f>
        <v>20.3703793197603</v>
      </c>
      <c r="AE15" s="13" t="n">
        <f aca="false">AE14-Reserves!AE14+Reserves!AE15</f>
        <v>18.1739247501341</v>
      </c>
      <c r="AF15" s="13" t="n">
        <f aca="false">AF14-Reserves!AF14+Reserves!AF15</f>
        <v>16.0170964581002</v>
      </c>
      <c r="AG15" s="13" t="n">
        <f aca="false">AG14-Reserves!AG14+Reserves!AG15</f>
        <v>16.5587380152429</v>
      </c>
      <c r="AH15" s="13" t="n">
        <f aca="false">AH14-Reserves!AH14+Reserves!AH15</f>
        <v>18.2031173126495</v>
      </c>
      <c r="AI15" s="13" t="n">
        <f aca="false">AI14-Reserves!AI14+Reserves!AI15</f>
        <v>18.5222657461323</v>
      </c>
      <c r="AJ15" s="13" t="n">
        <f aca="false">AJ14-Reserves!AJ14+Reserves!AJ15</f>
        <v>21.424788084826</v>
      </c>
      <c r="AK15" s="13" t="n">
        <f aca="false">AK14-Reserves!AK14+Reserves!AK15</f>
        <v>23.5260355028941</v>
      </c>
      <c r="AL15" s="13" t="n">
        <f aca="false">AL14-Reserves!AL14+Reserves!AL15</f>
        <v>28.286172246041</v>
      </c>
      <c r="AM15" s="13" t="n">
        <f aca="false">AM14-Reserves!AM14+Reserves!AM15</f>
        <v>25.5955133173537</v>
      </c>
      <c r="AN15" s="13" t="n">
        <f aca="false">AN14-Reserves!AN14+Reserves!AN15</f>
        <v>23.4950465061836</v>
      </c>
      <c r="AO15" s="13" t="n">
        <f aca="false">AO14-Reserves!AO14+Reserves!AO15</f>
        <v>45.6650680456844</v>
      </c>
      <c r="AP15" s="13" t="n">
        <f aca="false">AP14-Reserves!AP14+Reserves!AP15</f>
        <v>45.9309430025086</v>
      </c>
      <c r="AQ15" s="13" t="n">
        <f aca="false">AQ14-Reserves!AQ14+Reserves!AQ15</f>
        <v>45.4691828745509</v>
      </c>
      <c r="AR15" s="13" t="n">
        <f aca="false">AR14-Reserves!AR14+Reserves!AR15</f>
        <v>46.4061291922982</v>
      </c>
      <c r="AS15" s="13" t="n">
        <f aca="false">AS14-Reserves!AS14+Reserves!AS15</f>
        <v>45.6689340901091</v>
      </c>
      <c r="AT15" s="13" t="n">
        <f aca="false">AT14-Reserves!AT14+Reserves!AT15</f>
        <v>51.4111792477814</v>
      </c>
      <c r="AU15" s="13" t="n">
        <f aca="false">AU14-Reserves!AU14+Reserves!AU15</f>
        <v>46.73008753358</v>
      </c>
      <c r="AV15" s="13" t="n">
        <f aca="false">AV14-Reserves!AV14+Reserves!AV15</f>
        <v>48.1801803921068</v>
      </c>
      <c r="AW15" s="13" t="n">
        <f aca="false">AW14-Reserves!AW14+Reserves!AW15</f>
        <v>48.2920442839554</v>
      </c>
      <c r="AX15" s="13" t="n">
        <f aca="false">AX14-Reserves!AX14+Reserves!AX15</f>
        <v>48.7844871932983</v>
      </c>
      <c r="AY15" s="13" t="n">
        <f aca="false">AY14-Reserves!AY14+Reserves!AY15</f>
        <v>48.3130428004442</v>
      </c>
      <c r="AZ15" s="13" t="n">
        <f aca="false">AZ14-Reserves!AZ14+Reserves!AZ15</f>
        <v>49.2872750067212</v>
      </c>
      <c r="BA15" s="13" t="n">
        <f aca="false">BA14-Reserves!BA14+Reserves!BA15</f>
        <v>48.2318534437979</v>
      </c>
      <c r="BB15" s="13" t="n">
        <f aca="false">BB14-Reserves!BB14+Reserves!BB15</f>
        <v>48.5677922796996</v>
      </c>
      <c r="BC15" s="13" t="n">
        <f aca="false">BC14-Reserves!BC14+Reserves!BC15</f>
        <v>45.1222678331512</v>
      </c>
      <c r="BD15" s="13" t="n">
        <f aca="false">BD14-Reserves!BD14+Reserves!BD15</f>
        <v>40.0519807784969</v>
      </c>
      <c r="BE15" s="13" t="n">
        <f aca="false">BE14-Reserves!BE14+Reserves!BE15</f>
        <v>39.9085964835915</v>
      </c>
      <c r="BF15" s="13" t="n">
        <f aca="false">BF14-Reserves!BF14+Reserves!BF15</f>
        <v>40.4098855657471</v>
      </c>
      <c r="BG15" s="13" t="n">
        <f aca="false">BG14-Reserves!BG14+Reserves!BG15</f>
        <v>39.9107969503162</v>
      </c>
      <c r="BH15" s="13" t="n">
        <f aca="false">BH14-Reserves!BH14+Reserves!BH15</f>
        <v>40.9081491575132</v>
      </c>
      <c r="BI15" s="13" t="n">
        <f aca="false">BI14-Reserves!BI14+Reserves!BI15</f>
        <v>40.1229446378997</v>
      </c>
      <c r="BJ15" s="13" t="n">
        <f aca="false">BJ14-Reserves!BJ14+Reserves!BJ15</f>
        <v>47.065773405743</v>
      </c>
      <c r="BK15" s="13" t="n">
        <f aca="false">BK14-Reserves!BK14+Reserves!BK15</f>
        <v>41.5368699793821</v>
      </c>
      <c r="BL15" s="13" t="n">
        <f aca="false">BL14-Reserves!BL14+Reserves!BL15</f>
        <v>43.7051553419889</v>
      </c>
      <c r="BM15" s="13" t="n">
        <f aca="false">BM14-Reserves!BM14+Reserves!BM15</f>
        <v>60.2407373417418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1872</v>
      </c>
    </row>
    <row r="17" customFormat="false" ht="15" hidden="false" customHeight="false" outlineLevel="0" collapsed="false">
      <c r="D17" s="0" t="s">
        <v>1873</v>
      </c>
      <c r="E17" s="0" t="s">
        <v>204</v>
      </c>
      <c r="J17" s="3" t="n">
        <f aca="false">IF(Debt!J114&gt;Inputs!$F$253,J7/Debt!J114,0)</f>
        <v>0</v>
      </c>
      <c r="K17" s="3" t="n">
        <f aca="false">IF(Debt!K114&gt;Inputs!$F$253,K7/Debt!K114,0)</f>
        <v>0</v>
      </c>
      <c r="L17" s="3" t="n">
        <f aca="false">IF(Debt!L114&gt;Inputs!$F$253,L7/Debt!L114,0)</f>
        <v>0</v>
      </c>
      <c r="M17" s="3" t="n">
        <f aca="false">IF(Debt!M114&gt;Inputs!$F$253,M7/Debt!M114,0)</f>
        <v>0</v>
      </c>
      <c r="N17" s="3" t="n">
        <f aca="false">IF(Debt!N114&gt;Inputs!$F$253,N7/Debt!N114,0)</f>
        <v>0</v>
      </c>
      <c r="O17" s="3" t="n">
        <f aca="false">IF(Debt!O114&gt;Inputs!$F$253,O7/Debt!O114,0)</f>
        <v>0</v>
      </c>
      <c r="P17" s="3" t="n">
        <f aca="false">IF(Debt!P114&gt;Inputs!$F$253,P7/Debt!P114,0)</f>
        <v>1.42519195174465</v>
      </c>
      <c r="Q17" s="3" t="n">
        <f aca="false">IF(Debt!Q114&gt;Inputs!$F$253,Q7/Debt!Q114,0)</f>
        <v>1.42519195178523</v>
      </c>
      <c r="R17" s="3" t="n">
        <f aca="false">IF(Debt!R114&gt;Inputs!$F$253,R7/Debt!R114,0)</f>
        <v>1.42519195173461</v>
      </c>
      <c r="S17" s="3" t="n">
        <f aca="false">IF(Debt!S114&gt;Inputs!$F$253,S7/Debt!S114,0)</f>
        <v>1.42519195178511</v>
      </c>
      <c r="T17" s="3" t="n">
        <f aca="false">IF(Debt!T114&gt;Inputs!$F$253,T7/Debt!T114,0)</f>
        <v>1.42519195174103</v>
      </c>
      <c r="U17" s="3" t="n">
        <f aca="false">IF(Debt!U114&gt;Inputs!$F$253,U7/Debt!U114,0)</f>
        <v>1.42519195178086</v>
      </c>
      <c r="V17" s="3" t="n">
        <f aca="false">IF(Debt!V114&gt;Inputs!$F$253,V7/Debt!V114,0)</f>
        <v>1.42519195175281</v>
      </c>
      <c r="W17" s="3" t="n">
        <f aca="false">IF(Debt!W114&gt;Inputs!$F$253,W7/Debt!W114,0)</f>
        <v>1.42519195180975</v>
      </c>
      <c r="X17" s="3" t="n">
        <f aca="false">IF(Debt!X114&gt;Inputs!$F$253,X7/Debt!X114,0)</f>
        <v>1.4251919517685</v>
      </c>
      <c r="Y17" s="3" t="n">
        <f aca="false">IF(Debt!Y114&gt;Inputs!$F$253,Y7/Debt!Y114,0)</f>
        <v>1.42519195182252</v>
      </c>
      <c r="Z17" s="3" t="n">
        <f aca="false">IF(Debt!Z114&gt;Inputs!$F$253,Z7/Debt!Z114,0)</f>
        <v>1.42519195178684</v>
      </c>
      <c r="AA17" s="3" t="n">
        <f aca="false">IF(Debt!AA114&gt;Inputs!$F$253,AA7/Debt!AA114,0)</f>
        <v>1.42519195183676</v>
      </c>
      <c r="AB17" s="3" t="n">
        <f aca="false">IF(Debt!AB114&gt;Inputs!$F$253,AB7/Debt!AB114,0)</f>
        <v>1.45322326282764</v>
      </c>
      <c r="AC17" s="3" t="n">
        <f aca="false">IF(Debt!AC114&gt;Inputs!$F$253,AC7/Debt!AC114,0)</f>
        <v>1.49036466996859</v>
      </c>
      <c r="AD17" s="3" t="n">
        <f aca="false">IF(Debt!AD114&gt;Inputs!$F$253,AD7/Debt!AD114,0)</f>
        <v>1.53159831330386</v>
      </c>
      <c r="AE17" s="3" t="n">
        <f aca="false">IF(Debt!AE114&gt;Inputs!$F$253,AE7/Debt!AE114,0)</f>
        <v>1.52113459614513</v>
      </c>
      <c r="AF17" s="3" t="n">
        <f aca="false">IF(Debt!AF114&gt;Inputs!$F$253,AF7/Debt!AF114,0)</f>
        <v>1.42008384419861</v>
      </c>
      <c r="AG17" s="3" t="n">
        <f aca="false">IF(Debt!AG114&gt;Inputs!$F$253,AG7/Debt!AG114,0)</f>
        <v>1.45787815242543</v>
      </c>
      <c r="AH17" s="3" t="n">
        <f aca="false">IF(Debt!AH114&gt;Inputs!$F$253,AH7/Debt!AH114,0)</f>
        <v>1.50481585516771</v>
      </c>
      <c r="AI17" s="3" t="n">
        <f aca="false">IF(Debt!AI114&gt;Inputs!$F$253,AI7/Debt!AI114,0)</f>
        <v>1.55838645076778</v>
      </c>
      <c r="AJ17" s="3" t="n">
        <f aca="false">IF(Debt!AJ114&gt;Inputs!$F$253,AJ7/Debt!AJ114,0)</f>
        <v>1.64024795935944</v>
      </c>
      <c r="AK17" s="3" t="n">
        <f aca="false">IF(Debt!AK114&gt;Inputs!$F$253,AK7/Debt!AK114,0)</f>
        <v>1.77067810356469</v>
      </c>
      <c r="AL17" s="3" t="n">
        <f aca="false">IF(Debt!AL114&gt;Inputs!$F$253,AL7/Debt!AL114,0)</f>
        <v>2.04678261448819</v>
      </c>
      <c r="AM17" s="3" t="n">
        <f aca="false">IF(Debt!AM114&gt;Inputs!$F$253,AM7/Debt!AM114,0)</f>
        <v>2.07880106383514</v>
      </c>
      <c r="AN17" s="3" t="n">
        <f aca="false">IF(Debt!AN114&gt;Inputs!$F$253,AN7/Debt!AN114,0)</f>
        <v>2.04129257862119</v>
      </c>
      <c r="AO17" s="3" t="n">
        <f aca="false">IF(Debt!AO114&gt;Inputs!$F$253,AO7/Debt!AO114,0)</f>
        <v>2.02923927555118</v>
      </c>
      <c r="AP17" s="3" t="n">
        <f aca="false">IF(Debt!AP114&gt;Inputs!$F$253,AP7/Debt!AP114,0)</f>
        <v>0</v>
      </c>
      <c r="AQ17" s="3" t="n">
        <f aca="false">IF(Debt!AQ114&gt;Inputs!$F$253,AQ7/Debt!AQ114,0)</f>
        <v>0</v>
      </c>
      <c r="AR17" s="3" t="n">
        <f aca="false">IF(Debt!AR114&gt;Inputs!$F$253,AR7/Debt!AR114,0)</f>
        <v>0</v>
      </c>
      <c r="AS17" s="3" t="n">
        <f aca="false">IF(Debt!AS114&gt;Inputs!$F$253,AS7/Debt!AS114,0)</f>
        <v>0</v>
      </c>
      <c r="AT17" s="3" t="n">
        <f aca="false">IF(Debt!AT114&gt;Inputs!$F$253,AT7/Debt!AT114,0)</f>
        <v>0</v>
      </c>
      <c r="AU17" s="3" t="n">
        <f aca="false">IF(Debt!AU114&gt;Inputs!$F$253,AU7/Debt!AU114,0)</f>
        <v>0</v>
      </c>
      <c r="AV17" s="3" t="n">
        <f aca="false">IF(Debt!AV114&gt;Inputs!$F$253,AV7/Debt!AV114,0)</f>
        <v>0</v>
      </c>
      <c r="AW17" s="3" t="n">
        <f aca="false">IF(Debt!AW114&gt;Inputs!$F$253,AW7/Debt!AW114,0)</f>
        <v>0</v>
      </c>
      <c r="AX17" s="3" t="n">
        <f aca="false">IF(Debt!AX114&gt;Inputs!$F$253,AX7/Debt!AX114,0)</f>
        <v>0</v>
      </c>
      <c r="AY17" s="3" t="n">
        <f aca="false">IF(Debt!AY114&gt;Inputs!$F$253,AY7/Debt!AY114,0)</f>
        <v>0</v>
      </c>
      <c r="AZ17" s="3" t="n">
        <f aca="false">IF(Debt!AZ114&gt;Inputs!$F$253,AZ7/Debt!AZ114,0)</f>
        <v>0</v>
      </c>
      <c r="BA17" s="3" t="n">
        <f aca="false">IF(Debt!BA114&gt;Inputs!$F$253,BA7/Debt!BA114,0)</f>
        <v>0</v>
      </c>
      <c r="BB17" s="3" t="n">
        <f aca="false">IF(Debt!BB114&gt;Inputs!$F$253,BB7/Debt!BB114,0)</f>
        <v>0</v>
      </c>
      <c r="BC17" s="3" t="n">
        <f aca="false">IF(Debt!BC114&gt;Inputs!$F$253,BC7/Debt!BC114,0)</f>
        <v>0</v>
      </c>
      <c r="BD17" s="3" t="n">
        <f aca="false">IF(Debt!BD114&gt;Inputs!$F$253,BD7/Debt!BD114,0)</f>
        <v>0</v>
      </c>
      <c r="BE17" s="3" t="n">
        <f aca="false">IF(Debt!BE114&gt;Inputs!$F$253,BE7/Debt!BE114,0)</f>
        <v>0</v>
      </c>
      <c r="BF17" s="3" t="n">
        <f aca="false">IF(Debt!BF114&gt;Inputs!$F$253,BF7/Debt!BF114,0)</f>
        <v>0</v>
      </c>
      <c r="BG17" s="3" t="n">
        <f aca="false">IF(Debt!BG114&gt;Inputs!$F$253,BG7/Debt!BG114,0)</f>
        <v>0</v>
      </c>
      <c r="BH17" s="3" t="n">
        <f aca="false">IF(Debt!BH114&gt;Inputs!$F$253,BH7/Debt!BH114,0)</f>
        <v>0</v>
      </c>
      <c r="BI17" s="3" t="n">
        <f aca="false">IF(Debt!BI114&gt;Inputs!$F$253,BI7/Debt!BI114,0)</f>
        <v>0</v>
      </c>
      <c r="BJ17" s="3" t="n">
        <f aca="false">IF(Debt!BJ114&gt;Inputs!$F$253,BJ7/Debt!BJ114,0)</f>
        <v>0</v>
      </c>
      <c r="BK17" s="3" t="n">
        <f aca="false">IF(Debt!BK114&gt;Inputs!$F$253,BK7/Debt!BK114,0)</f>
        <v>0</v>
      </c>
      <c r="BL17" s="3" t="n">
        <f aca="false">IF(Debt!BL114&gt;Inputs!$F$253,BL7/Debt!BL114,0)</f>
        <v>0</v>
      </c>
      <c r="BM17" s="3" t="n">
        <f aca="false">IF(Debt!BM114&gt;Inputs!$F$253,BM7/Debt!BM114,0)</f>
        <v>0</v>
      </c>
      <c r="BN17" s="3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1874</v>
      </c>
      <c r="E18" s="0" t="s">
        <v>204</v>
      </c>
      <c r="J18" s="3" t="n">
        <f aca="false">IF(Debt!J114&gt;Inputs!$F$253,IF(Debt!I114&gt;Inputs!$F$253,(J7+I7)/(Debt!J114+Debt!I114),J17),0)</f>
        <v>0</v>
      </c>
      <c r="K18" s="3" t="n">
        <f aca="false">IF(Debt!K114&gt;Inputs!$F$253,IF(Debt!J114&gt;Inputs!$F$253,(K7+J7)/(Debt!K114+Debt!J114),K17),0)</f>
        <v>0</v>
      </c>
      <c r="L18" s="3" t="n">
        <f aca="false">IF(Debt!L114&gt;Inputs!$F$253,IF(Debt!K114&gt;Inputs!$F$253,(L7+K7)/(Debt!L114+Debt!K114),L17),0)</f>
        <v>0</v>
      </c>
      <c r="M18" s="3" t="n">
        <f aca="false">IF(Debt!M114&gt;Inputs!$F$253,IF(Debt!L114&gt;Inputs!$F$253,(M7+L7)/(Debt!M114+Debt!L114),M17),0)</f>
        <v>0</v>
      </c>
      <c r="N18" s="3" t="n">
        <f aca="false">IF(Debt!N114&gt;Inputs!$F$253,IF(Debt!M114&gt;Inputs!$F$253,(N7+M7)/(Debt!N114+Debt!M114),N17),0)</f>
        <v>0</v>
      </c>
      <c r="O18" s="3" t="n">
        <f aca="false">IF(Debt!O114&gt;Inputs!$F$253,IF(Debt!N114&gt;Inputs!$F$253,(O7+N7)/(Debt!O114+Debt!N114),O17),0)</f>
        <v>0</v>
      </c>
      <c r="P18" s="3" t="n">
        <f aca="false">IF(Debt!P114&gt;Inputs!$F$253,IF(Debt!O114&gt;Inputs!$F$253,(P7+O7)/(Debt!P114+Debt!O114),P17),0)</f>
        <v>1.42519195174465</v>
      </c>
      <c r="Q18" s="3" t="n">
        <f aca="false">IF(Debt!Q114&gt;Inputs!$F$253,IF(Debt!P114&gt;Inputs!$F$253,(Q7+P7)/(Debt!Q114+Debt!P114),Q17),0)</f>
        <v>1.42519195176489</v>
      </c>
      <c r="R18" s="3" t="n">
        <f aca="false">IF(Debt!R114&gt;Inputs!$F$253,IF(Debt!Q114&gt;Inputs!$F$253,(R7+Q7)/(Debt!R114+Debt!Q114),R17),0)</f>
        <v>1.42519195175984</v>
      </c>
      <c r="S18" s="3" t="n">
        <f aca="false">IF(Debt!S114&gt;Inputs!$F$253,IF(Debt!R114&gt;Inputs!$F$253,(S7+R7)/(Debt!S114+Debt!R114),S17),0)</f>
        <v>1.42519195175979</v>
      </c>
      <c r="T18" s="3" t="n">
        <f aca="false">IF(Debt!T114&gt;Inputs!$F$253,IF(Debt!S114&gt;Inputs!$F$253,(T7+S7)/(Debt!T114+Debt!S114),T17),0)</f>
        <v>1.42519195176287</v>
      </c>
      <c r="U18" s="3" t="n">
        <f aca="false">IF(Debt!U114&gt;Inputs!$F$253,IF(Debt!T114&gt;Inputs!$F$253,(U7+T7)/(Debt!U114+Debt!T114),U17),0)</f>
        <v>1.42519195176082</v>
      </c>
      <c r="V18" s="3" t="n">
        <f aca="false">IF(Debt!V114&gt;Inputs!$F$253,IF(Debt!U114&gt;Inputs!$F$253,(V7+U7)/(Debt!V114+Debt!U114),V17),0)</f>
        <v>1.42519195176687</v>
      </c>
      <c r="W18" s="3" t="n">
        <f aca="false">IF(Debt!W114&gt;Inputs!$F$253,IF(Debt!V114&gt;Inputs!$F$253,(W7+V7)/(Debt!W114+Debt!V114),W17),0)</f>
        <v>1.42519195178124</v>
      </c>
      <c r="X18" s="3" t="n">
        <f aca="false">IF(Debt!X114&gt;Inputs!$F$253,IF(Debt!W114&gt;Inputs!$F$253,(X7+W7)/(Debt!X114+Debt!W114),X17),0)</f>
        <v>1.42519195178915</v>
      </c>
      <c r="Y18" s="3" t="n">
        <f aca="false">IF(Debt!Y114&gt;Inputs!$F$253,IF(Debt!X114&gt;Inputs!$F$253,(Y7+X7)/(Debt!Y114+Debt!X114),Y17),0)</f>
        <v>1.42519195179547</v>
      </c>
      <c r="Z18" s="3" t="n">
        <f aca="false">IF(Debt!Z114&gt;Inputs!$F$253,IF(Debt!Y114&gt;Inputs!$F$253,(Z7+Y7)/(Debt!Z114+Debt!Y114),Z17),0)</f>
        <v>1.42519195180462</v>
      </c>
      <c r="AA18" s="3" t="n">
        <f aca="false">IF(Debt!AA114&gt;Inputs!$F$253,IF(Debt!Z114&gt;Inputs!$F$253,(AA7+Z7)/(Debt!AA114+Debt!Z114),AA17),0)</f>
        <v>1.42519195181172</v>
      </c>
      <c r="AB18" s="3" t="n">
        <f aca="false">IF(Debt!AB114&gt;Inputs!$F$253,IF(Debt!AA114&gt;Inputs!$F$253,(AB7+AA7)/(Debt!AB114+Debt!AA114),AB17),0)</f>
        <v>1.43920164528746</v>
      </c>
      <c r="AC18" s="3" t="n">
        <f aca="false">IF(Debt!AC114&gt;Inputs!$F$253,IF(Debt!AB114&gt;Inputs!$F$253,(AC7+AB7)/(Debt!AC114+Debt!AB114),AC17),0)</f>
        <v>1.47139373229315</v>
      </c>
      <c r="AD18" s="3" t="n">
        <f aca="false">IF(Debt!AD114&gt;Inputs!$F$253,IF(Debt!AC114&gt;Inputs!$F$253,(AD7+AC7)/(Debt!AD114+Debt!AC114),AD17),0)</f>
        <v>1.51080001590137</v>
      </c>
      <c r="AE18" s="3" t="n">
        <f aca="false">IF(Debt!AE114&gt;Inputs!$F$253,IF(Debt!AD114&gt;Inputs!$F$253,(AE7+AD7)/(Debt!AE114+Debt!AD114),AE17),0)</f>
        <v>1.52645391115844</v>
      </c>
      <c r="AF18" s="3" t="n">
        <f aca="false">IF(Debt!AF114&gt;Inputs!$F$253,IF(Debt!AE114&gt;Inputs!$F$253,(AF7+AE7)/(Debt!AF114+Debt!AE114),AF17),0)</f>
        <v>1.47049875816989</v>
      </c>
      <c r="AG18" s="3" t="n">
        <f aca="false">IF(Debt!AG114&gt;Inputs!$F$253,IF(Debt!AF114&gt;Inputs!$F$253,(AG7+AF7)/(Debt!AG114+Debt!AF114),AG17),0)</f>
        <v>1.43867004876784</v>
      </c>
      <c r="AH18" s="3" t="n">
        <f aca="false">IF(Debt!AH114&gt;Inputs!$F$253,IF(Debt!AG114&gt;Inputs!$F$253,(AH7+AG7)/(Debt!AH114+Debt!AG114),AH17),0)</f>
        <v>1.48097396988789</v>
      </c>
      <c r="AI18" s="3" t="n">
        <f aca="false">IF(Debt!AI114&gt;Inputs!$F$253,IF(Debt!AH114&gt;Inputs!$F$253,(AI7+AH7)/(Debt!AI114+Debt!AH114),AI17),0)</f>
        <v>1.53086445511524</v>
      </c>
      <c r="AJ18" s="3" t="n">
        <f aca="false">IF(Debt!AJ114&gt;Inputs!$F$253,IF(Debt!AI114&gt;Inputs!$F$253,(AJ7+AI7)/(Debt!AJ114+Debt!AI114),AJ17),0)</f>
        <v>1.59844170081135</v>
      </c>
      <c r="AK18" s="3" t="n">
        <f aca="false">IF(Debt!AK114&gt;Inputs!$F$253,IF(Debt!AJ114&gt;Inputs!$F$253,(AK7+AJ7)/(Debt!AK114+Debt!AJ114),AK17),0)</f>
        <v>1.70222753177858</v>
      </c>
      <c r="AL18" s="3" t="n">
        <f aca="false">IF(Debt!AL114&gt;Inputs!$F$253,IF(Debt!AK114&gt;Inputs!$F$253,(AL7+AK7)/(Debt!AL114+Debt!AK114),AL17),0)</f>
        <v>1.89947460393663</v>
      </c>
      <c r="AM18" s="3" t="n">
        <f aca="false">IF(Debt!AM114&gt;Inputs!$F$253,IF(Debt!AL114&gt;Inputs!$F$253,(AM7+AL7)/(Debt!AM114+Debt!AL114),AM17),0)</f>
        <v>2.06239694423675</v>
      </c>
      <c r="AN18" s="3" t="n">
        <f aca="false">IF(Debt!AN114&gt;Inputs!$F$253,IF(Debt!AM114&gt;Inputs!$F$253,(AN7+AM7)/(Debt!AN114+Debt!AM114),AN17),0)</f>
        <v>2.06008570108316</v>
      </c>
      <c r="AO18" s="3" t="n">
        <f aca="false">IF(Debt!AO114&gt;Inputs!$F$253,IF(Debt!AN114&gt;Inputs!$F$253,(AO7+AN7)/(Debt!AO114+Debt!AN114),AO17),0)</f>
        <v>2.03527000955186</v>
      </c>
      <c r="AP18" s="3" t="n">
        <f aca="false">IF(Debt!AP114&gt;Inputs!$F$253,IF(Debt!AO114&gt;Inputs!$F$253,(AP7+AO7)/(Debt!AP114+Debt!AO114),AP17),0)</f>
        <v>0</v>
      </c>
      <c r="AQ18" s="3" t="n">
        <f aca="false">IF(Debt!AQ114&gt;Inputs!$F$253,IF(Debt!AP114&gt;Inputs!$F$253,(AQ7+AP7)/(Debt!AQ114+Debt!AP114),AQ17),0)</f>
        <v>0</v>
      </c>
      <c r="AR18" s="3" t="n">
        <f aca="false">IF(Debt!AR114&gt;Inputs!$F$253,IF(Debt!AQ114&gt;Inputs!$F$253,(AR7+AQ7)/(Debt!AR114+Debt!AQ114),AR17),0)</f>
        <v>0</v>
      </c>
      <c r="AS18" s="3" t="n">
        <f aca="false">IF(Debt!AS114&gt;Inputs!$F$253,IF(Debt!AR114&gt;Inputs!$F$253,(AS7+AR7)/(Debt!AS114+Debt!AR114),AS17),0)</f>
        <v>0</v>
      </c>
      <c r="AT18" s="3" t="n">
        <f aca="false">IF(Debt!AT114&gt;Inputs!$F$253,IF(Debt!AS114&gt;Inputs!$F$253,(AT7+AS7)/(Debt!AT114+Debt!AS114),AT17),0)</f>
        <v>0</v>
      </c>
      <c r="AU18" s="3" t="n">
        <f aca="false">IF(Debt!AU114&gt;Inputs!$F$253,IF(Debt!AT114&gt;Inputs!$F$253,(AU7+AT7)/(Debt!AU114+Debt!AT114),AU17),0)</f>
        <v>0</v>
      </c>
      <c r="AV18" s="3" t="n">
        <f aca="false">IF(Debt!AV114&gt;Inputs!$F$253,IF(Debt!AU114&gt;Inputs!$F$253,(AV7+AU7)/(Debt!AV114+Debt!AU114),AV17),0)</f>
        <v>0</v>
      </c>
      <c r="AW18" s="3" t="n">
        <f aca="false">IF(Debt!AW114&gt;Inputs!$F$253,IF(Debt!AV114&gt;Inputs!$F$253,(AW7+AV7)/(Debt!AW114+Debt!AV114),AW17),0)</f>
        <v>0</v>
      </c>
      <c r="AX18" s="3" t="n">
        <f aca="false">IF(Debt!AX114&gt;Inputs!$F$253,IF(Debt!AW114&gt;Inputs!$F$253,(AX7+AW7)/(Debt!AX114+Debt!AW114),AX17),0)</f>
        <v>0</v>
      </c>
      <c r="AY18" s="3" t="n">
        <f aca="false">IF(Debt!AY114&gt;Inputs!$F$253,IF(Debt!AX114&gt;Inputs!$F$253,(AY7+AX7)/(Debt!AY114+Debt!AX114),AY17),0)</f>
        <v>0</v>
      </c>
      <c r="AZ18" s="3" t="n">
        <f aca="false">IF(Debt!AZ114&gt;Inputs!$F$253,IF(Debt!AY114&gt;Inputs!$F$253,(AZ7+AY7)/(Debt!AZ114+Debt!AY114),AZ17),0)</f>
        <v>0</v>
      </c>
      <c r="BA18" s="3" t="n">
        <f aca="false">IF(Debt!BA114&gt;Inputs!$F$253,IF(Debt!AZ114&gt;Inputs!$F$253,(BA7+AZ7)/(Debt!BA114+Debt!AZ114),BA17),0)</f>
        <v>0</v>
      </c>
      <c r="BB18" s="3" t="n">
        <f aca="false">IF(Debt!BB114&gt;Inputs!$F$253,IF(Debt!BA114&gt;Inputs!$F$253,(BB7+BA7)/(Debt!BB114+Debt!BA114),BB17),0)</f>
        <v>0</v>
      </c>
      <c r="BC18" s="3" t="n">
        <f aca="false">IF(Debt!BC114&gt;Inputs!$F$253,IF(Debt!BB114&gt;Inputs!$F$253,(BC7+BB7)/(Debt!BC114+Debt!BB114),BC17),0)</f>
        <v>0</v>
      </c>
      <c r="BD18" s="3" t="n">
        <f aca="false">IF(Debt!BD114&gt;Inputs!$F$253,IF(Debt!BC114&gt;Inputs!$F$253,(BD7+BC7)/(Debt!BD114+Debt!BC114),BD17),0)</f>
        <v>0</v>
      </c>
      <c r="BE18" s="3" t="n">
        <f aca="false">IF(Debt!BE114&gt;Inputs!$F$253,IF(Debt!BD114&gt;Inputs!$F$253,(BE7+BD7)/(Debt!BE114+Debt!BD114),BE17),0)</f>
        <v>0</v>
      </c>
      <c r="BF18" s="3" t="n">
        <f aca="false">IF(Debt!BF114&gt;Inputs!$F$253,IF(Debt!BE114&gt;Inputs!$F$253,(BF7+BE7)/(Debt!BF114+Debt!BE114),BF17),0)</f>
        <v>0</v>
      </c>
      <c r="BG18" s="3" t="n">
        <f aca="false">IF(Debt!BG114&gt;Inputs!$F$253,IF(Debt!BF114&gt;Inputs!$F$253,(BG7+BF7)/(Debt!BG114+Debt!BF114),BG17),0)</f>
        <v>0</v>
      </c>
      <c r="BH18" s="3" t="n">
        <f aca="false">IF(Debt!BH114&gt;Inputs!$F$253,IF(Debt!BG114&gt;Inputs!$F$253,(BH7+BG7)/(Debt!BH114+Debt!BG114),BH17),0)</f>
        <v>0</v>
      </c>
      <c r="BI18" s="3" t="n">
        <f aca="false">IF(Debt!BI114&gt;Inputs!$F$253,IF(Debt!BH114&gt;Inputs!$F$253,(BI7+BH7)/(Debt!BI114+Debt!BH114),BI17),0)</f>
        <v>0</v>
      </c>
      <c r="BJ18" s="3" t="n">
        <f aca="false">IF(Debt!BJ114&gt;Inputs!$F$253,IF(Debt!BI114&gt;Inputs!$F$253,(BJ7+BI7)/(Debt!BJ114+Debt!BI114),BJ17),0)</f>
        <v>0</v>
      </c>
      <c r="BK18" s="3" t="n">
        <f aca="false">IF(Debt!BK114&gt;Inputs!$F$253,IF(Debt!BJ114&gt;Inputs!$F$253,(BK7+BJ7)/(Debt!BK114+Debt!BJ114),BK17),0)</f>
        <v>0</v>
      </c>
      <c r="BL18" s="3" t="n">
        <f aca="false">IF(Debt!BL114&gt;Inputs!$F$253,IF(Debt!BK114&gt;Inputs!$F$253,(BL7+BK7)/(Debt!BL114+Debt!BK114),BL17),0)</f>
        <v>0</v>
      </c>
      <c r="BM18" s="3" t="n">
        <f aca="false">IF(Debt!BM114&gt;Inputs!$F$253,IF(Debt!BL114&gt;Inputs!$F$253,(BM7+BL7)/(Debt!BM114+Debt!BL114),BM17),0)</f>
        <v>0</v>
      </c>
      <c r="BN18" s="3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1875</v>
      </c>
      <c r="E19" s="0" t="s">
        <v>115</v>
      </c>
      <c r="J19" s="9" t="n">
        <f aca="false">IF(SUM(Debt!J$113:J$113)&gt;Inputs!$F$253,1,0)</f>
        <v>0</v>
      </c>
      <c r="K19" s="9" t="n">
        <f aca="false">IF(SUM(Debt!$J$113:K$113)&gt;Inputs!$F$253,1,0)</f>
        <v>0</v>
      </c>
      <c r="L19" s="9" t="n">
        <f aca="false">IF(SUM(Debt!$J$113:L$113)&gt;Inputs!$F$253,1,0)</f>
        <v>0</v>
      </c>
      <c r="M19" s="9" t="n">
        <f aca="false">IF(SUM(Debt!$J$113:M$113)&gt;Inputs!$F$253,1,0)</f>
        <v>0</v>
      </c>
      <c r="N19" s="9" t="n">
        <f aca="false">IF(SUM(Debt!$J$113:N$113)&gt;Inputs!$F$253,1,0)</f>
        <v>0</v>
      </c>
      <c r="O19" s="9" t="n">
        <f aca="false">IF(SUM(Debt!$J$113:O$113)&gt;Inputs!$F$253,1,0)</f>
        <v>0</v>
      </c>
      <c r="P19" s="9" t="n">
        <f aca="false">IF(SUM(Debt!$J$113:P$113)&gt;Inputs!$F$253,1,0)</f>
        <v>1</v>
      </c>
      <c r="Q19" s="9" t="n">
        <f aca="false">IF(SUM(Debt!$J$113:Q$113)&gt;Inputs!$F$253,1,0)</f>
        <v>1</v>
      </c>
      <c r="R19" s="9" t="n">
        <f aca="false">IF(SUM(Debt!$J$113:R$113)&gt;Inputs!$F$253,1,0)</f>
        <v>1</v>
      </c>
      <c r="S19" s="9" t="n">
        <f aca="false">IF(SUM(Debt!$J$113:S$113)&gt;Inputs!$F$253,1,0)</f>
        <v>1</v>
      </c>
      <c r="T19" s="9" t="n">
        <f aca="false">IF(SUM(Debt!$J$113:T$113)&gt;Inputs!$F$253,1,0)</f>
        <v>1</v>
      </c>
      <c r="U19" s="9" t="n">
        <f aca="false">IF(SUM(Debt!$J$113:U$113)&gt;Inputs!$F$253,1,0)</f>
        <v>1</v>
      </c>
      <c r="V19" s="9" t="n">
        <f aca="false">IF(SUM(Debt!$J$113:V$113)&gt;Inputs!$F$253,1,0)</f>
        <v>1</v>
      </c>
      <c r="W19" s="9" t="n">
        <f aca="false">IF(SUM(Debt!$J$113:W$113)&gt;Inputs!$F$253,1,0)</f>
        <v>1</v>
      </c>
      <c r="X19" s="9" t="n">
        <f aca="false">IF(SUM(Debt!$J$113:X$113)&gt;Inputs!$F$253,1,0)</f>
        <v>1</v>
      </c>
      <c r="Y19" s="9" t="n">
        <f aca="false">IF(SUM(Debt!$J$113:Y$113)&gt;Inputs!$F$253,1,0)</f>
        <v>1</v>
      </c>
      <c r="Z19" s="9" t="n">
        <f aca="false">IF(SUM(Debt!$J$113:Z$113)&gt;Inputs!$F$253,1,0)</f>
        <v>1</v>
      </c>
      <c r="AA19" s="9" t="n">
        <f aca="false">IF(SUM(Debt!$J$113:AA$113)&gt;Inputs!$F$253,1,0)</f>
        <v>1</v>
      </c>
      <c r="AB19" s="9" t="n">
        <f aca="false">IF(SUM(Debt!$J$113:AB$113)&gt;Inputs!$F$253,1,0)</f>
        <v>1</v>
      </c>
      <c r="AC19" s="9" t="n">
        <f aca="false">IF(SUM(Debt!$J$113:AC$113)&gt;Inputs!$F$253,1,0)</f>
        <v>1</v>
      </c>
      <c r="AD19" s="9" t="n">
        <f aca="false">IF(SUM(Debt!$J$113:AD$113)&gt;Inputs!$F$253,1,0)</f>
        <v>1</v>
      </c>
      <c r="AE19" s="9" t="n">
        <f aca="false">IF(SUM(Debt!$J$113:AE$113)&gt;Inputs!$F$253,1,0)</f>
        <v>1</v>
      </c>
      <c r="AF19" s="9" t="n">
        <f aca="false">IF(SUM(Debt!$J$113:AF$113)&gt;Inputs!$F$253,1,0)</f>
        <v>1</v>
      </c>
      <c r="AG19" s="9" t="n">
        <f aca="false">IF(SUM(Debt!$J$113:AG$113)&gt;Inputs!$F$253,1,0)</f>
        <v>1</v>
      </c>
      <c r="AH19" s="9" t="n">
        <f aca="false">IF(SUM(Debt!$J$113:AH$113)&gt;Inputs!$F$253,1,0)</f>
        <v>1</v>
      </c>
      <c r="AI19" s="9" t="n">
        <f aca="false">IF(SUM(Debt!$J$113:AI$113)&gt;Inputs!$F$253,1,0)</f>
        <v>1</v>
      </c>
      <c r="AJ19" s="9" t="n">
        <f aca="false">IF(SUM(Debt!$J$113:AJ$113)&gt;Inputs!$F$253,1,0)</f>
        <v>1</v>
      </c>
      <c r="AK19" s="9" t="n">
        <f aca="false">IF(SUM(Debt!$J$113:AK$113)&gt;Inputs!$F$253,1,0)</f>
        <v>1</v>
      </c>
      <c r="AL19" s="9" t="n">
        <f aca="false">IF(SUM(Debt!$J$113:AL$113)&gt;Inputs!$F$253,1,0)</f>
        <v>1</v>
      </c>
      <c r="AM19" s="9" t="n">
        <f aca="false">IF(SUM(Debt!$J$113:AM$113)&gt;Inputs!$F$253,1,0)</f>
        <v>1</v>
      </c>
      <c r="AN19" s="9" t="n">
        <f aca="false">IF(SUM(Debt!$J$113:AN$113)&gt;Inputs!$F$253,1,0)</f>
        <v>1</v>
      </c>
      <c r="AO19" s="9" t="n">
        <f aca="false">IF(SUM(Debt!$J$113:AO$113)&gt;Inputs!$F$253,1,0)</f>
        <v>1</v>
      </c>
      <c r="AP19" s="9" t="n">
        <f aca="false">IF(SUM(Debt!$J$113:AP$113)&gt;Inputs!$F$253,1,0)</f>
        <v>1</v>
      </c>
      <c r="AQ19" s="9" t="n">
        <f aca="false">IF(SUM(Debt!$J$113:AQ$113)&gt;Inputs!$F$253,1,0)</f>
        <v>1</v>
      </c>
      <c r="AR19" s="9" t="n">
        <f aca="false">IF(SUM(Debt!$J$113:AR$113)&gt;Inputs!$F$253,1,0)</f>
        <v>1</v>
      </c>
      <c r="AS19" s="9" t="n">
        <f aca="false">IF(SUM(Debt!$J$113:AS$113)&gt;Inputs!$F$253,1,0)</f>
        <v>1</v>
      </c>
      <c r="AT19" s="9" t="n">
        <f aca="false">IF(SUM(Debt!$J$113:AT$113)&gt;Inputs!$F$253,1,0)</f>
        <v>1</v>
      </c>
      <c r="AU19" s="9" t="n">
        <f aca="false">IF(SUM(Debt!$J$113:AU$113)&gt;Inputs!$F$253,1,0)</f>
        <v>1</v>
      </c>
      <c r="AV19" s="9" t="n">
        <f aca="false">IF(SUM(Debt!$J$113:AV$113)&gt;Inputs!$F$253,1,0)</f>
        <v>1</v>
      </c>
      <c r="AW19" s="9" t="n">
        <f aca="false">IF(SUM(Debt!$J$113:AW$113)&gt;Inputs!$F$253,1,0)</f>
        <v>1</v>
      </c>
      <c r="AX19" s="9" t="n">
        <f aca="false">IF(SUM(Debt!$J$113:AX$113)&gt;Inputs!$F$253,1,0)</f>
        <v>1</v>
      </c>
      <c r="AY19" s="9" t="n">
        <f aca="false">IF(SUM(Debt!$J$113:AY$113)&gt;Inputs!$F$253,1,0)</f>
        <v>1</v>
      </c>
      <c r="AZ19" s="9" t="n">
        <f aca="false">IF(SUM(Debt!$J$113:AZ$113)&gt;Inputs!$F$253,1,0)</f>
        <v>1</v>
      </c>
      <c r="BA19" s="9" t="n">
        <f aca="false">IF(SUM(Debt!$J$113:BA$113)&gt;Inputs!$F$253,1,0)</f>
        <v>1</v>
      </c>
      <c r="BB19" s="9" t="n">
        <f aca="false">IF(SUM(Debt!$J$113:BB$113)&gt;Inputs!$F$253,1,0)</f>
        <v>1</v>
      </c>
      <c r="BC19" s="9" t="n">
        <f aca="false">IF(SUM(Debt!$J$113:BC$113)&gt;Inputs!$F$253,1,0)</f>
        <v>1</v>
      </c>
      <c r="BD19" s="9" t="n">
        <f aca="false">IF(SUM(Debt!$J$113:BD$113)&gt;Inputs!$F$253,1,0)</f>
        <v>1</v>
      </c>
      <c r="BE19" s="9" t="n">
        <f aca="false">IF(SUM(Debt!$J$113:BE$113)&gt;Inputs!$F$253,1,0)</f>
        <v>1</v>
      </c>
      <c r="BF19" s="9" t="n">
        <f aca="false">IF(SUM(Debt!$J$113:BF$113)&gt;Inputs!$F$253,1,0)</f>
        <v>1</v>
      </c>
      <c r="BG19" s="9" t="n">
        <f aca="false">IF(SUM(Debt!$J$113:BG$113)&gt;Inputs!$F$253,1,0)</f>
        <v>1</v>
      </c>
      <c r="BH19" s="9" t="n">
        <f aca="false">IF(SUM(Debt!$J$113:BH$113)&gt;Inputs!$F$253,1,0)</f>
        <v>1</v>
      </c>
      <c r="BI19" s="9" t="n">
        <f aca="false">IF(SUM(Debt!$J$113:BI$113)&gt;Inputs!$F$253,1,0)</f>
        <v>1</v>
      </c>
      <c r="BJ19" s="9" t="n">
        <f aca="false">IF(SUM(Debt!$J$113:BJ$113)&gt;Inputs!$F$253,1,0)</f>
        <v>1</v>
      </c>
      <c r="BK19" s="9" t="n">
        <f aca="false">IF(SUM(Debt!$J$113:BK$113)&gt;Inputs!$F$253,1,0)</f>
        <v>1</v>
      </c>
      <c r="BL19" s="9" t="n">
        <f aca="false">IF(SUM(Debt!$J$113:BL$113)&gt;Inputs!$F$253,1,0)</f>
        <v>1</v>
      </c>
      <c r="BM19" s="9" t="n">
        <f aca="false">IF(SUM(Debt!$J$113:BM$113)&gt;Inputs!$F$253,1,0)</f>
        <v>1</v>
      </c>
      <c r="BN19" s="9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1876</v>
      </c>
      <c r="E20" s="0" t="s">
        <v>115</v>
      </c>
      <c r="J20" s="9" t="n">
        <f aca="false">IF(AND(Debt!J114&gt;Inputs!$F$253,J18&lt;Inputs!$F$109),1,0)</f>
        <v>0</v>
      </c>
      <c r="K20" s="9" t="n">
        <f aca="false">IF(AND(Debt!K114&gt;Inputs!$F$253,K18&lt;Inputs!$F$109),1,0)</f>
        <v>0</v>
      </c>
      <c r="L20" s="9" t="n">
        <f aca="false">IF(AND(Debt!L114&gt;Inputs!$F$253,L18&lt;Inputs!$F$109),1,0)</f>
        <v>0</v>
      </c>
      <c r="M20" s="9" t="n">
        <f aca="false">IF(AND(Debt!M114&gt;Inputs!$F$253,M18&lt;Inputs!$F$109),1,0)</f>
        <v>0</v>
      </c>
      <c r="N20" s="9" t="n">
        <f aca="false">IF(AND(Debt!N114&gt;Inputs!$F$253,N18&lt;Inputs!$F$109),1,0)</f>
        <v>0</v>
      </c>
      <c r="O20" s="9" t="n">
        <f aca="false">IF(AND(Debt!O114&gt;Inputs!$F$253,O18&lt;Inputs!$F$109),1,0)</f>
        <v>0</v>
      </c>
      <c r="P20" s="9" t="n">
        <f aca="false">IF(AND(Debt!P114&gt;Inputs!$F$253,P18&lt;Inputs!$F$109),1,0)</f>
        <v>0</v>
      </c>
      <c r="Q20" s="9" t="n">
        <f aca="false">IF(AND(Debt!Q114&gt;Inputs!$F$253,Q18&lt;Inputs!$F$109),1,0)</f>
        <v>0</v>
      </c>
      <c r="R20" s="9" t="n">
        <f aca="false">IF(AND(Debt!R114&gt;Inputs!$F$253,R18&lt;Inputs!$F$109),1,0)</f>
        <v>0</v>
      </c>
      <c r="S20" s="9" t="n">
        <f aca="false">IF(AND(Debt!S114&gt;Inputs!$F$253,S18&lt;Inputs!$F$109),1,0)</f>
        <v>0</v>
      </c>
      <c r="T20" s="9" t="n">
        <f aca="false">IF(AND(Debt!T114&gt;Inputs!$F$253,T18&lt;Inputs!$F$109),1,0)</f>
        <v>0</v>
      </c>
      <c r="U20" s="9" t="n">
        <f aca="false">IF(AND(Debt!U114&gt;Inputs!$F$253,U18&lt;Inputs!$F$109),1,0)</f>
        <v>0</v>
      </c>
      <c r="V20" s="9" t="n">
        <f aca="false">IF(AND(Debt!V114&gt;Inputs!$F$253,V18&lt;Inputs!$F$109),1,0)</f>
        <v>0</v>
      </c>
      <c r="W20" s="9" t="n">
        <f aca="false">IF(AND(Debt!W114&gt;Inputs!$F$253,W18&lt;Inputs!$F$109),1,0)</f>
        <v>0</v>
      </c>
      <c r="X20" s="9" t="n">
        <f aca="false">IF(AND(Debt!X114&gt;Inputs!$F$253,X18&lt;Inputs!$F$109),1,0)</f>
        <v>0</v>
      </c>
      <c r="Y20" s="9" t="n">
        <f aca="false">IF(AND(Debt!Y114&gt;Inputs!$F$253,Y18&lt;Inputs!$F$109),1,0)</f>
        <v>0</v>
      </c>
      <c r="Z20" s="9" t="n">
        <f aca="false">IF(AND(Debt!Z114&gt;Inputs!$F$253,Z18&lt;Inputs!$F$109),1,0)</f>
        <v>0</v>
      </c>
      <c r="AA20" s="9" t="n">
        <f aca="false">IF(AND(Debt!AA114&gt;Inputs!$F$253,AA18&lt;Inputs!$F$109),1,0)</f>
        <v>0</v>
      </c>
      <c r="AB20" s="9" t="n">
        <f aca="false">IF(AND(Debt!AB114&gt;Inputs!$F$253,AB18&lt;Inputs!$F$109),1,0)</f>
        <v>0</v>
      </c>
      <c r="AC20" s="9" t="n">
        <f aca="false">IF(AND(Debt!AC114&gt;Inputs!$F$253,AC18&lt;Inputs!$F$109),1,0)</f>
        <v>0</v>
      </c>
      <c r="AD20" s="9" t="n">
        <f aca="false">IF(AND(Debt!AD114&gt;Inputs!$F$253,AD18&lt;Inputs!$F$109),1,0)</f>
        <v>0</v>
      </c>
      <c r="AE20" s="9" t="n">
        <f aca="false">IF(AND(Debt!AE114&gt;Inputs!$F$253,AE18&lt;Inputs!$F$109),1,0)</f>
        <v>0</v>
      </c>
      <c r="AF20" s="9" t="n">
        <f aca="false">IF(AND(Debt!AF114&gt;Inputs!$F$253,AF18&lt;Inputs!$F$109),1,0)</f>
        <v>0</v>
      </c>
      <c r="AG20" s="9" t="n">
        <f aca="false">IF(AND(Debt!AG114&gt;Inputs!$F$253,AG18&lt;Inputs!$F$109),1,0)</f>
        <v>0</v>
      </c>
      <c r="AH20" s="9" t="n">
        <f aca="false">IF(AND(Debt!AH114&gt;Inputs!$F$253,AH18&lt;Inputs!$F$109),1,0)</f>
        <v>0</v>
      </c>
      <c r="AI20" s="9" t="n">
        <f aca="false">IF(AND(Debt!AI114&gt;Inputs!$F$253,AI18&lt;Inputs!$F$109),1,0)</f>
        <v>0</v>
      </c>
      <c r="AJ20" s="9" t="n">
        <f aca="false">IF(AND(Debt!AJ114&gt;Inputs!$F$253,AJ18&lt;Inputs!$F$109),1,0)</f>
        <v>0</v>
      </c>
      <c r="AK20" s="9" t="n">
        <f aca="false">IF(AND(Debt!AK114&gt;Inputs!$F$253,AK18&lt;Inputs!$F$109),1,0)</f>
        <v>0</v>
      </c>
      <c r="AL20" s="9" t="n">
        <f aca="false">IF(AND(Debt!AL114&gt;Inputs!$F$253,AL18&lt;Inputs!$F$109),1,0)</f>
        <v>0</v>
      </c>
      <c r="AM20" s="9" t="n">
        <f aca="false">IF(AND(Debt!AM114&gt;Inputs!$F$253,AM18&lt;Inputs!$F$109),1,0)</f>
        <v>0</v>
      </c>
      <c r="AN20" s="9" t="n">
        <f aca="false">IF(AND(Debt!AN114&gt;Inputs!$F$253,AN18&lt;Inputs!$F$109),1,0)</f>
        <v>0</v>
      </c>
      <c r="AO20" s="9" t="n">
        <f aca="false">IF(AND(Debt!AO114&gt;Inputs!$F$253,AO18&lt;Inputs!$F$109),1,0)</f>
        <v>0</v>
      </c>
      <c r="AP20" s="9" t="n">
        <f aca="false">IF(AND(Debt!AP114&gt;Inputs!$F$253,AP18&lt;Inputs!$F$109),1,0)</f>
        <v>0</v>
      </c>
      <c r="AQ20" s="9" t="n">
        <f aca="false">IF(AND(Debt!AQ114&gt;Inputs!$F$253,AQ18&lt;Inputs!$F$109),1,0)</f>
        <v>0</v>
      </c>
      <c r="AR20" s="9" t="n">
        <f aca="false">IF(AND(Debt!AR114&gt;Inputs!$F$253,AR18&lt;Inputs!$F$109),1,0)</f>
        <v>0</v>
      </c>
      <c r="AS20" s="9" t="n">
        <f aca="false">IF(AND(Debt!AS114&gt;Inputs!$F$253,AS18&lt;Inputs!$F$109),1,0)</f>
        <v>0</v>
      </c>
      <c r="AT20" s="9" t="n">
        <f aca="false">IF(AND(Debt!AT114&gt;Inputs!$F$253,AT18&lt;Inputs!$F$109),1,0)</f>
        <v>0</v>
      </c>
      <c r="AU20" s="9" t="n">
        <f aca="false">IF(AND(Debt!AU114&gt;Inputs!$F$253,AU18&lt;Inputs!$F$109),1,0)</f>
        <v>0</v>
      </c>
      <c r="AV20" s="9" t="n">
        <f aca="false">IF(AND(Debt!AV114&gt;Inputs!$F$253,AV18&lt;Inputs!$F$109),1,0)</f>
        <v>0</v>
      </c>
      <c r="AW20" s="9" t="n">
        <f aca="false">IF(AND(Debt!AW114&gt;Inputs!$F$253,AW18&lt;Inputs!$F$109),1,0)</f>
        <v>0</v>
      </c>
      <c r="AX20" s="9" t="n">
        <f aca="false">IF(AND(Debt!AX114&gt;Inputs!$F$253,AX18&lt;Inputs!$F$109),1,0)</f>
        <v>0</v>
      </c>
      <c r="AY20" s="9" t="n">
        <f aca="false">IF(AND(Debt!AY114&gt;Inputs!$F$253,AY18&lt;Inputs!$F$109),1,0)</f>
        <v>0</v>
      </c>
      <c r="AZ20" s="9" t="n">
        <f aca="false">IF(AND(Debt!AZ114&gt;Inputs!$F$253,AZ18&lt;Inputs!$F$109),1,0)</f>
        <v>0</v>
      </c>
      <c r="BA20" s="9" t="n">
        <f aca="false">IF(AND(Debt!BA114&gt;Inputs!$F$253,BA18&lt;Inputs!$F$109),1,0)</f>
        <v>0</v>
      </c>
      <c r="BB20" s="9" t="n">
        <f aca="false">IF(AND(Debt!BB114&gt;Inputs!$F$253,BB18&lt;Inputs!$F$109),1,0)</f>
        <v>0</v>
      </c>
      <c r="BC20" s="9" t="n">
        <f aca="false">IF(AND(Debt!BC114&gt;Inputs!$F$253,BC18&lt;Inputs!$F$109),1,0)</f>
        <v>0</v>
      </c>
      <c r="BD20" s="9" t="n">
        <f aca="false">IF(AND(Debt!BD114&gt;Inputs!$F$253,BD18&lt;Inputs!$F$109),1,0)</f>
        <v>0</v>
      </c>
      <c r="BE20" s="9" t="n">
        <f aca="false">IF(AND(Debt!BE114&gt;Inputs!$F$253,BE18&lt;Inputs!$F$109),1,0)</f>
        <v>0</v>
      </c>
      <c r="BF20" s="9" t="n">
        <f aca="false">IF(AND(Debt!BF114&gt;Inputs!$F$253,BF18&lt;Inputs!$F$109),1,0)</f>
        <v>0</v>
      </c>
      <c r="BG20" s="9" t="n">
        <f aca="false">IF(AND(Debt!BG114&gt;Inputs!$F$253,BG18&lt;Inputs!$F$109),1,0)</f>
        <v>0</v>
      </c>
      <c r="BH20" s="9" t="n">
        <f aca="false">IF(AND(Debt!BH114&gt;Inputs!$F$253,BH18&lt;Inputs!$F$109),1,0)</f>
        <v>0</v>
      </c>
      <c r="BI20" s="9" t="n">
        <f aca="false">IF(AND(Debt!BI114&gt;Inputs!$F$253,BI18&lt;Inputs!$F$109),1,0)</f>
        <v>0</v>
      </c>
      <c r="BJ20" s="9" t="n">
        <f aca="false">IF(AND(Debt!BJ114&gt;Inputs!$F$253,BJ18&lt;Inputs!$F$109),1,0)</f>
        <v>0</v>
      </c>
      <c r="BK20" s="9" t="n">
        <f aca="false">IF(AND(Debt!BK114&gt;Inputs!$F$253,BK18&lt;Inputs!$F$109),1,0)</f>
        <v>0</v>
      </c>
      <c r="BL20" s="9" t="n">
        <f aca="false">IF(AND(Debt!BL114&gt;Inputs!$F$253,BL18&lt;Inputs!$F$109),1,0)</f>
        <v>0</v>
      </c>
      <c r="BM20" s="9" t="n">
        <f aca="false">IF(AND(Debt!BM114&gt;Inputs!$F$253,BM18&lt;Inputs!$F$109),1,0)</f>
        <v>0</v>
      </c>
      <c r="BN20" s="9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1877</v>
      </c>
      <c r="E21" s="0" t="s">
        <v>115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1878</v>
      </c>
      <c r="E22" s="0" t="s">
        <v>115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1879</v>
      </c>
      <c r="E23" s="0" t="s">
        <v>115</v>
      </c>
      <c r="J23" s="9" t="n">
        <f aca="false">MAX(I23,IF(AND(J22=1,Time!J51=1,J18&gt;=Inputs!$F$110,Time!I51=1,I18&gt;=Inputs!$F$110,Reserves!J13&gt;=Debt!J125-Inputs!$F$254),1,0))</f>
        <v>0</v>
      </c>
      <c r="K23" s="9" t="n">
        <f aca="false">MAX(J23,IF(AND(K22=1,Time!K51=1,K18&gt;=Inputs!$F$110,Time!J51=1,J18&gt;=Inputs!$F$110,Reserves!K13&gt;=Debt!K125-Inputs!$F$254),1,0))</f>
        <v>0</v>
      </c>
      <c r="L23" s="9" t="n">
        <f aca="false">MAX(K23,IF(AND(L22=1,Time!L51=1,L18&gt;=Inputs!$F$110,Time!K51=1,K18&gt;=Inputs!$F$110,Reserves!L13&gt;=Debt!L125-Inputs!$F$254),1,0))</f>
        <v>0</v>
      </c>
      <c r="M23" s="9" t="n">
        <f aca="false">MAX(L23,IF(AND(M22=1,Time!M51=1,M18&gt;=Inputs!$F$110,Time!L51=1,L18&gt;=Inputs!$F$110,Reserves!M13&gt;=Debt!M125-Inputs!$F$254),1,0))</f>
        <v>0</v>
      </c>
      <c r="N23" s="9" t="n">
        <f aca="false">MAX(M23,IF(AND(N22=1,Time!N51=1,N18&gt;=Inputs!$F$110,Time!M51=1,M18&gt;=Inputs!$F$110,Reserves!N13&gt;=Debt!N125-Inputs!$F$254),1,0))</f>
        <v>0</v>
      </c>
      <c r="O23" s="9" t="n">
        <f aca="false">MAX(N23,IF(AND(O22=1,Time!O51=1,O18&gt;=Inputs!$F$110,Time!N51=1,N18&gt;=Inputs!$F$110,Reserves!O13&gt;=Debt!O125-Inputs!$F$254),1,0))</f>
        <v>0</v>
      </c>
      <c r="P23" s="9" t="n">
        <f aca="false">MAX(O23,IF(AND(P22=1,Time!P51=1,P18&gt;=Inputs!$F$110,Time!O51=1,O18&gt;=Inputs!$F$110,Reserves!P13&gt;=Debt!P125-Inputs!$F$254),1,0))</f>
        <v>0</v>
      </c>
      <c r="Q23" s="9" t="n">
        <f aca="false">MAX(P23,IF(AND(Q22=1,Time!Q51=1,Q18&gt;=Inputs!$F$110,Time!P51=1,P18&gt;=Inputs!$F$110,Reserves!Q13&gt;=Debt!Q125-Inputs!$F$254),1,0))</f>
        <v>0</v>
      </c>
      <c r="R23" s="9" t="n">
        <f aca="false">MAX(Q23,IF(AND(R22=1,Time!R51=1,R18&gt;=Inputs!$F$110,Time!Q51=1,Q18&gt;=Inputs!$F$110,Reserves!R13&gt;=Debt!R125-Inputs!$F$254),1,0))</f>
        <v>0</v>
      </c>
      <c r="S23" s="9" t="n">
        <f aca="false">MAX(R23,IF(AND(S22=1,Time!S51=1,S18&gt;=Inputs!$F$110,Time!R51=1,R18&gt;=Inputs!$F$110,Reserves!S13&gt;=Debt!S125-Inputs!$F$254),1,0))</f>
        <v>0</v>
      </c>
      <c r="T23" s="9" t="n">
        <f aca="false">MAX(S23,IF(AND(T22=1,Time!T51=1,T18&gt;=Inputs!$F$110,Time!S51=1,S18&gt;=Inputs!$F$110,Reserves!T13&gt;=Debt!T125-Inputs!$F$254),1,0))</f>
        <v>0</v>
      </c>
      <c r="U23" s="9" t="n">
        <f aca="false">MAX(T23,IF(AND(U22=1,Time!U51=1,U18&gt;=Inputs!$F$110,Time!T51=1,T18&gt;=Inputs!$F$110,Reserves!U13&gt;=Debt!U125-Inputs!$F$254),1,0))</f>
        <v>0</v>
      </c>
      <c r="V23" s="9" t="n">
        <f aca="false">MAX(U23,IF(AND(V22=1,Time!V51=1,V18&gt;=Inputs!$F$110,Time!U51=1,U18&gt;=Inputs!$F$110,Reserves!V13&gt;=Debt!V125-Inputs!$F$254),1,0))</f>
        <v>0</v>
      </c>
      <c r="W23" s="9" t="n">
        <f aca="false">MAX(V23,IF(AND(W22=1,Time!W51=1,W18&gt;=Inputs!$F$110,Time!V51=1,V18&gt;=Inputs!$F$110,Reserves!W13&gt;=Debt!W125-Inputs!$F$254),1,0))</f>
        <v>0</v>
      </c>
      <c r="X23" s="9" t="n">
        <f aca="false">MAX(W23,IF(AND(X22=1,Time!X51=1,X18&gt;=Inputs!$F$110,Time!W51=1,W18&gt;=Inputs!$F$110,Reserves!X13&gt;=Debt!X125-Inputs!$F$254),1,0))</f>
        <v>0</v>
      </c>
      <c r="Y23" s="9" t="n">
        <f aca="false">MAX(X23,IF(AND(Y22=1,Time!Y51=1,Y18&gt;=Inputs!$F$110,Time!X51=1,X18&gt;=Inputs!$F$110,Reserves!Y13&gt;=Debt!Y125-Inputs!$F$254),1,0))</f>
        <v>0</v>
      </c>
      <c r="Z23" s="9" t="n">
        <f aca="false">MAX(Y23,IF(AND(Z22=1,Time!Z51=1,Z18&gt;=Inputs!$F$110,Time!Y51=1,Y18&gt;=Inputs!$F$110,Reserves!Z13&gt;=Debt!Z125-Inputs!$F$254),1,0))</f>
        <v>0</v>
      </c>
      <c r="AA23" s="9" t="n">
        <f aca="false">MAX(Z23,IF(AND(AA22=1,Time!AA51=1,AA18&gt;=Inputs!$F$110,Time!Z51=1,Z18&gt;=Inputs!$F$110,Reserves!AA13&gt;=Debt!AA125-Inputs!$F$254),1,0))</f>
        <v>0</v>
      </c>
      <c r="AB23" s="9" t="n">
        <f aca="false">MAX(AA23,IF(AND(AB22=1,Time!AB51=1,AB18&gt;=Inputs!$F$110,Time!AA51=1,AA18&gt;=Inputs!$F$110,Reserves!AB13&gt;=Debt!AB125-Inputs!$F$254),1,0))</f>
        <v>0</v>
      </c>
      <c r="AC23" s="9" t="n">
        <f aca="false">MAX(AB23,IF(AND(AC22=1,Time!AC51=1,AC18&gt;=Inputs!$F$110,Time!AB51=1,AB18&gt;=Inputs!$F$110,Reserves!AC13&gt;=Debt!AC125-Inputs!$F$254),1,0))</f>
        <v>0</v>
      </c>
      <c r="AD23" s="9" t="n">
        <f aca="false">MAX(AC23,IF(AND(AD22=1,Time!AD51=1,AD18&gt;=Inputs!$F$110,Time!AC51=1,AC18&gt;=Inputs!$F$110,Reserves!AD13&gt;=Debt!AD125-Inputs!$F$254),1,0))</f>
        <v>0</v>
      </c>
      <c r="AE23" s="9" t="n">
        <f aca="false">MAX(AD23,IF(AND(AE22=1,Time!AE51=1,AE18&gt;=Inputs!$F$110,Time!AD51=1,AD18&gt;=Inputs!$F$110,Reserves!AE13&gt;=Debt!AE125-Inputs!$F$254),1,0))</f>
        <v>0</v>
      </c>
      <c r="AF23" s="9" t="n">
        <f aca="false">MAX(AE23,IF(AND(AF22=1,Time!AF51=1,AF18&gt;=Inputs!$F$110,Time!AE51=1,AE18&gt;=Inputs!$F$110,Reserves!AF13&gt;=Debt!AF125-Inputs!$F$254),1,0))</f>
        <v>0</v>
      </c>
      <c r="AG23" s="9" t="n">
        <f aca="false">MAX(AF23,IF(AND(AG22=1,Time!AG51=1,AG18&gt;=Inputs!$F$110,Time!AF51=1,AF18&gt;=Inputs!$F$110,Reserves!AG13&gt;=Debt!AG125-Inputs!$F$254),1,0))</f>
        <v>0</v>
      </c>
      <c r="AH23" s="9" t="n">
        <f aca="false">MAX(AG23,IF(AND(AH22=1,Time!AH51=1,AH18&gt;=Inputs!$F$110,Time!AG51=1,AG18&gt;=Inputs!$F$110,Reserves!AH13&gt;=Debt!AH125-Inputs!$F$254),1,0))</f>
        <v>0</v>
      </c>
      <c r="AI23" s="9" t="n">
        <f aca="false">MAX(AH23,IF(AND(AI22=1,Time!AI51=1,AI18&gt;=Inputs!$F$110,Time!AH51=1,AH18&gt;=Inputs!$F$110,Reserves!AI13&gt;=Debt!AI125-Inputs!$F$254),1,0))</f>
        <v>0</v>
      </c>
      <c r="AJ23" s="9" t="n">
        <f aca="false">MAX(AI23,IF(AND(AJ22=1,Time!AJ51=1,AJ18&gt;=Inputs!$F$110,Time!AI51=1,AI18&gt;=Inputs!$F$110,Reserves!AJ13&gt;=Debt!AJ125-Inputs!$F$254),1,0))</f>
        <v>0</v>
      </c>
      <c r="AK23" s="9" t="n">
        <f aca="false">MAX(AJ23,IF(AND(AK22=1,Time!AK51=1,AK18&gt;=Inputs!$F$110,Time!AJ51=1,AJ18&gt;=Inputs!$F$110,Reserves!AK13&gt;=Debt!AK125-Inputs!$F$254),1,0))</f>
        <v>0</v>
      </c>
      <c r="AL23" s="9" t="n">
        <f aca="false">MAX(AK23,IF(AND(AL22=1,Time!AL51=1,AL18&gt;=Inputs!$F$110,Time!AK51=1,AK18&gt;=Inputs!$F$110,Reserves!AL13&gt;=Debt!AL125-Inputs!$F$254),1,0))</f>
        <v>0</v>
      </c>
      <c r="AM23" s="9" t="n">
        <f aca="false">MAX(AL23,IF(AND(AM22=1,Time!AM51=1,AM18&gt;=Inputs!$F$110,Time!AL51=1,AL18&gt;=Inputs!$F$110,Reserves!AM13&gt;=Debt!AM125-Inputs!$F$254),1,0))</f>
        <v>0</v>
      </c>
      <c r="AN23" s="9" t="n">
        <f aca="false">MAX(AM23,IF(AND(AN22=1,Time!AN51=1,AN18&gt;=Inputs!$F$110,Time!AM51=1,AM18&gt;=Inputs!$F$110,Reserves!AN13&gt;=Debt!AN125-Inputs!$F$254),1,0))</f>
        <v>0</v>
      </c>
      <c r="AO23" s="9" t="n">
        <f aca="false">MAX(AN23,IF(AND(AO22=1,Time!AO51=1,AO18&gt;=Inputs!$F$110,Time!AN51=1,AN18&gt;=Inputs!$F$110,Reserves!AO13&gt;=Debt!AO125-Inputs!$F$254),1,0))</f>
        <v>0</v>
      </c>
      <c r="AP23" s="9" t="n">
        <f aca="false">MAX(AO23,IF(AND(AP22=1,Time!AP51=1,AP18&gt;=Inputs!$F$110,Time!AO51=1,AO18&gt;=Inputs!$F$110,Reserves!AP13&gt;=Debt!AP125-Inputs!$F$254),1,0))</f>
        <v>0</v>
      </c>
      <c r="AQ23" s="9" t="n">
        <f aca="false">MAX(AP23,IF(AND(AQ22=1,Time!AQ51=1,AQ18&gt;=Inputs!$F$110,Time!AP51=1,AP18&gt;=Inputs!$F$110,Reserves!AQ13&gt;=Debt!AQ125-Inputs!$F$254),1,0))</f>
        <v>0</v>
      </c>
      <c r="AR23" s="9" t="n">
        <f aca="false">MAX(AQ23,IF(AND(AR22=1,Time!AR51=1,AR18&gt;=Inputs!$F$110,Time!AQ51=1,AQ18&gt;=Inputs!$F$110,Reserves!AR13&gt;=Debt!AR125-Inputs!$F$254),1,0))</f>
        <v>0</v>
      </c>
      <c r="AS23" s="9" t="n">
        <f aca="false">MAX(AR23,IF(AND(AS22=1,Time!AS51=1,AS18&gt;=Inputs!$F$110,Time!AR51=1,AR18&gt;=Inputs!$F$110,Reserves!AS13&gt;=Debt!AS125-Inputs!$F$254),1,0))</f>
        <v>0</v>
      </c>
      <c r="AT23" s="9" t="n">
        <f aca="false">MAX(AS23,IF(AND(AT22=1,Time!AT51=1,AT18&gt;=Inputs!$F$110,Time!AS51=1,AS18&gt;=Inputs!$F$110,Reserves!AT13&gt;=Debt!AT125-Inputs!$F$254),1,0))</f>
        <v>0</v>
      </c>
      <c r="AU23" s="9" t="n">
        <f aca="false">MAX(AT23,IF(AND(AU22=1,Time!AU51=1,AU18&gt;=Inputs!$F$110,Time!AT51=1,AT18&gt;=Inputs!$F$110,Reserves!AU13&gt;=Debt!AU125-Inputs!$F$254),1,0))</f>
        <v>0</v>
      </c>
      <c r="AV23" s="9" t="n">
        <f aca="false">MAX(AU23,IF(AND(AV22=1,Time!AV51=1,AV18&gt;=Inputs!$F$110,Time!AU51=1,AU18&gt;=Inputs!$F$110,Reserves!AV13&gt;=Debt!AV125-Inputs!$F$254),1,0))</f>
        <v>0</v>
      </c>
      <c r="AW23" s="9" t="n">
        <f aca="false">MAX(AV23,IF(AND(AW22=1,Time!AW51=1,AW18&gt;=Inputs!$F$110,Time!AV51=1,AV18&gt;=Inputs!$F$110,Reserves!AW13&gt;=Debt!AW125-Inputs!$F$254),1,0))</f>
        <v>0</v>
      </c>
      <c r="AX23" s="9" t="n">
        <f aca="false">MAX(AW23,IF(AND(AX22=1,Time!AX51=1,AX18&gt;=Inputs!$F$110,Time!AW51=1,AW18&gt;=Inputs!$F$110,Reserves!AX13&gt;=Debt!AX125-Inputs!$F$254),1,0))</f>
        <v>0</v>
      </c>
      <c r="AY23" s="9" t="n">
        <f aca="false">MAX(AX23,IF(AND(AY22=1,Time!AY51=1,AY18&gt;=Inputs!$F$110,Time!AX51=1,AX18&gt;=Inputs!$F$110,Reserves!AY13&gt;=Debt!AY125-Inputs!$F$254),1,0))</f>
        <v>0</v>
      </c>
      <c r="AZ23" s="9" t="n">
        <f aca="false">MAX(AY23,IF(AND(AZ22=1,Time!AZ51=1,AZ18&gt;=Inputs!$F$110,Time!AY51=1,AY18&gt;=Inputs!$F$110,Reserves!AZ13&gt;=Debt!AZ125-Inputs!$F$254),1,0))</f>
        <v>0</v>
      </c>
      <c r="BA23" s="9" t="n">
        <f aca="false">MAX(AZ23,IF(AND(BA22=1,Time!BA51=1,BA18&gt;=Inputs!$F$110,Time!AZ51=1,AZ18&gt;=Inputs!$F$110,Reserves!BA13&gt;=Debt!BA125-Inputs!$F$254),1,0))</f>
        <v>0</v>
      </c>
      <c r="BB23" s="9" t="n">
        <f aca="false">MAX(BA23,IF(AND(BB22=1,Time!BB51=1,BB18&gt;=Inputs!$F$110,Time!BA51=1,BA18&gt;=Inputs!$F$110,Reserves!BB13&gt;=Debt!BB125-Inputs!$F$254),1,0))</f>
        <v>0</v>
      </c>
      <c r="BC23" s="9" t="n">
        <f aca="false">MAX(BB23,IF(AND(BC22=1,Time!BC51=1,BC18&gt;=Inputs!$F$110,Time!BB51=1,BB18&gt;=Inputs!$F$110,Reserves!BC13&gt;=Debt!BC125-Inputs!$F$254),1,0))</f>
        <v>0</v>
      </c>
      <c r="BD23" s="9" t="n">
        <f aca="false">MAX(BC23,IF(AND(BD22=1,Time!BD51=1,BD18&gt;=Inputs!$F$110,Time!BC51=1,BC18&gt;=Inputs!$F$110,Reserves!BD13&gt;=Debt!BD125-Inputs!$F$254),1,0))</f>
        <v>0</v>
      </c>
      <c r="BE23" s="9" t="n">
        <f aca="false">MAX(BD23,IF(AND(BE22=1,Time!BE51=1,BE18&gt;=Inputs!$F$110,Time!BD51=1,BD18&gt;=Inputs!$F$110,Reserves!BE13&gt;=Debt!BE125-Inputs!$F$254),1,0))</f>
        <v>0</v>
      </c>
      <c r="BF23" s="9" t="n">
        <f aca="false">MAX(BE23,IF(AND(BF22=1,Time!BF51=1,BF18&gt;=Inputs!$F$110,Time!BE51=1,BE18&gt;=Inputs!$F$110,Reserves!BF13&gt;=Debt!BF125-Inputs!$F$254),1,0))</f>
        <v>0</v>
      </c>
      <c r="BG23" s="9" t="n">
        <f aca="false">MAX(BF23,IF(AND(BG22=1,Time!BG51=1,BG18&gt;=Inputs!$F$110,Time!BF51=1,BF18&gt;=Inputs!$F$110,Reserves!BG13&gt;=Debt!BG125-Inputs!$F$254),1,0))</f>
        <v>0</v>
      </c>
      <c r="BH23" s="9" t="n">
        <f aca="false">MAX(BG23,IF(AND(BH22=1,Time!BH51=1,BH18&gt;=Inputs!$F$110,Time!BG51=1,BG18&gt;=Inputs!$F$110,Reserves!BH13&gt;=Debt!BH125-Inputs!$F$254),1,0))</f>
        <v>0</v>
      </c>
      <c r="BI23" s="9" t="n">
        <f aca="false">MAX(BH23,IF(AND(BI22=1,Time!BI51=1,BI18&gt;=Inputs!$F$110,Time!BH51=1,BH18&gt;=Inputs!$F$110,Reserves!BI13&gt;=Debt!BI125-Inputs!$F$254),1,0))</f>
        <v>0</v>
      </c>
      <c r="BJ23" s="9" t="n">
        <f aca="false">MAX(BI23,IF(AND(BJ22=1,Time!BJ51=1,BJ18&gt;=Inputs!$F$110,Time!BI51=1,BI18&gt;=Inputs!$F$110,Reserves!BJ13&gt;=Debt!BJ125-Inputs!$F$254),1,0))</f>
        <v>0</v>
      </c>
      <c r="BK23" s="9" t="n">
        <f aca="false">MAX(BJ23,IF(AND(BK22=1,Time!BK51=1,BK18&gt;=Inputs!$F$110,Time!BJ51=1,BJ18&gt;=Inputs!$F$110,Reserves!BK13&gt;=Debt!BK125-Inputs!$F$254),1,0))</f>
        <v>0</v>
      </c>
      <c r="BL23" s="9" t="n">
        <f aca="false">MAX(BK23,IF(AND(BL22=1,Time!BL51=1,BL18&gt;=Inputs!$F$110,Time!BK51=1,BK18&gt;=Inputs!$F$110,Reserves!BL13&gt;=Debt!BL125-Inputs!$F$254),1,0))</f>
        <v>0</v>
      </c>
      <c r="BM23" s="9" t="n">
        <f aca="false">MAX(BL23,IF(AND(BM22=1,Time!BM51=1,BM18&gt;=Inputs!$F$110,Time!BL51=1,BL18&gt;=Inputs!$F$110,Reserves!BM13&gt;=Debt!BM125-Inputs!$F$254),1,0))</f>
        <v>0</v>
      </c>
      <c r="BN23" s="9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1880</v>
      </c>
      <c r="E24" s="0" t="s">
        <v>115</v>
      </c>
      <c r="J24" s="9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9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9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9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9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9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9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9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9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9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9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9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9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9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9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9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9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9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9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9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9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9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9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9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9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9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9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9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9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9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9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9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9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9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9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9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9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9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9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9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9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9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9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9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9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9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9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9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9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9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9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9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9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9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9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9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9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1881</v>
      </c>
      <c r="E25" s="0" t="s">
        <v>115</v>
      </c>
      <c r="J25" s="9" t="n">
        <f aca="false">IF(AND(J24=0,J19=1,Debt!J114&gt;Inputs!$F$253),1,0)</f>
        <v>0</v>
      </c>
      <c r="K25" s="9" t="n">
        <f aca="false">IF(AND(K24=0,K19=1,Debt!K114&gt;Inputs!$F$253),1,0)</f>
        <v>0</v>
      </c>
      <c r="L25" s="9" t="n">
        <f aca="false">IF(AND(L24=0,L19=1,Debt!L114&gt;Inputs!$F$253),1,0)</f>
        <v>0</v>
      </c>
      <c r="M25" s="9" t="n">
        <f aca="false">IF(AND(M24=0,M19=1,Debt!M114&gt;Inputs!$F$253),1,0)</f>
        <v>0</v>
      </c>
      <c r="N25" s="9" t="n">
        <f aca="false">IF(AND(N24=0,N19=1,Debt!N114&gt;Inputs!$F$253),1,0)</f>
        <v>0</v>
      </c>
      <c r="O25" s="9" t="n">
        <f aca="false">IF(AND(O24=0,O19=1,Debt!O114&gt;Inputs!$F$253),1,0)</f>
        <v>0</v>
      </c>
      <c r="P25" s="9" t="n">
        <f aca="false">IF(AND(P24=0,P19=1,Debt!P114&gt;Inputs!$F$253),1,0)</f>
        <v>0</v>
      </c>
      <c r="Q25" s="9" t="n">
        <f aca="false">IF(AND(Q24=0,Q19=1,Debt!Q114&gt;Inputs!$F$253),1,0)</f>
        <v>0</v>
      </c>
      <c r="R25" s="9" t="n">
        <f aca="false">IF(AND(R24=0,R19=1,Debt!R114&gt;Inputs!$F$253),1,0)</f>
        <v>0</v>
      </c>
      <c r="S25" s="9" t="n">
        <f aca="false">IF(AND(S24=0,S19=1,Debt!S114&gt;Inputs!$F$253),1,0)</f>
        <v>0</v>
      </c>
      <c r="T25" s="9" t="n">
        <f aca="false">IF(AND(T24=0,T19=1,Debt!T114&gt;Inputs!$F$253),1,0)</f>
        <v>0</v>
      </c>
      <c r="U25" s="9" t="n">
        <f aca="false">IF(AND(U24=0,U19=1,Debt!U114&gt;Inputs!$F$253),1,0)</f>
        <v>0</v>
      </c>
      <c r="V25" s="9" t="n">
        <f aca="false">IF(AND(V24=0,V19=1,Debt!V114&gt;Inputs!$F$253),1,0)</f>
        <v>0</v>
      </c>
      <c r="W25" s="9" t="n">
        <f aca="false">IF(AND(W24=0,W19=1,Debt!W114&gt;Inputs!$F$253),1,0)</f>
        <v>0</v>
      </c>
      <c r="X25" s="9" t="n">
        <f aca="false">IF(AND(X24=0,X19=1,Debt!X114&gt;Inputs!$F$253),1,0)</f>
        <v>0</v>
      </c>
      <c r="Y25" s="9" t="n">
        <f aca="false">IF(AND(Y24=0,Y19=1,Debt!Y114&gt;Inputs!$F$253),1,0)</f>
        <v>0</v>
      </c>
      <c r="Z25" s="9" t="n">
        <f aca="false">IF(AND(Z24=0,Z19=1,Debt!Z114&gt;Inputs!$F$253),1,0)</f>
        <v>0</v>
      </c>
      <c r="AA25" s="9" t="n">
        <f aca="false">IF(AND(AA24=0,AA19=1,Debt!AA114&gt;Inputs!$F$253),1,0)</f>
        <v>0</v>
      </c>
      <c r="AB25" s="9" t="n">
        <f aca="false">IF(AND(AB24=0,AB19=1,Debt!AB114&gt;Inputs!$F$253),1,0)</f>
        <v>0</v>
      </c>
      <c r="AC25" s="9" t="n">
        <f aca="false">IF(AND(AC24=0,AC19=1,Debt!AC114&gt;Inputs!$F$253),1,0)</f>
        <v>0</v>
      </c>
      <c r="AD25" s="9" t="n">
        <f aca="false">IF(AND(AD24=0,AD19=1,Debt!AD114&gt;Inputs!$F$253),1,0)</f>
        <v>0</v>
      </c>
      <c r="AE25" s="9" t="n">
        <f aca="false">IF(AND(AE24=0,AE19=1,Debt!AE114&gt;Inputs!$F$253),1,0)</f>
        <v>0</v>
      </c>
      <c r="AF25" s="9" t="n">
        <f aca="false">IF(AND(AF24=0,AF19=1,Debt!AF114&gt;Inputs!$F$253),1,0)</f>
        <v>0</v>
      </c>
      <c r="AG25" s="9" t="n">
        <f aca="false">IF(AND(AG24=0,AG19=1,Debt!AG114&gt;Inputs!$F$253),1,0)</f>
        <v>0</v>
      </c>
      <c r="AH25" s="9" t="n">
        <f aca="false">IF(AND(AH24=0,AH19=1,Debt!AH114&gt;Inputs!$F$253),1,0)</f>
        <v>0</v>
      </c>
      <c r="AI25" s="9" t="n">
        <f aca="false">IF(AND(AI24=0,AI19=1,Debt!AI114&gt;Inputs!$F$253),1,0)</f>
        <v>0</v>
      </c>
      <c r="AJ25" s="9" t="n">
        <f aca="false">IF(AND(AJ24=0,AJ19=1,Debt!AJ114&gt;Inputs!$F$253),1,0)</f>
        <v>0</v>
      </c>
      <c r="AK25" s="9" t="n">
        <f aca="false">IF(AND(AK24=0,AK19=1,Debt!AK114&gt;Inputs!$F$253),1,0)</f>
        <v>0</v>
      </c>
      <c r="AL25" s="9" t="n">
        <f aca="false">IF(AND(AL24=0,AL19=1,Debt!AL114&gt;Inputs!$F$253),1,0)</f>
        <v>0</v>
      </c>
      <c r="AM25" s="9" t="n">
        <f aca="false">IF(AND(AM24=0,AM19=1,Debt!AM114&gt;Inputs!$F$253),1,0)</f>
        <v>0</v>
      </c>
      <c r="AN25" s="9" t="n">
        <f aca="false">IF(AND(AN24=0,AN19=1,Debt!AN114&gt;Inputs!$F$253),1,0)</f>
        <v>0</v>
      </c>
      <c r="AO25" s="9" t="n">
        <f aca="false">IF(AND(AO24=0,AO19=1,Debt!AO114&gt;Inputs!$F$253),1,0)</f>
        <v>0</v>
      </c>
      <c r="AP25" s="9" t="n">
        <f aca="false">IF(AND(AP24=0,AP19=1,Debt!AP114&gt;Inputs!$F$253),1,0)</f>
        <v>0</v>
      </c>
      <c r="AQ25" s="9" t="n">
        <f aca="false">IF(AND(AQ24=0,AQ19=1,Debt!AQ114&gt;Inputs!$F$253),1,0)</f>
        <v>0</v>
      </c>
      <c r="AR25" s="9" t="n">
        <f aca="false">IF(AND(AR24=0,AR19=1,Debt!AR114&gt;Inputs!$F$253),1,0)</f>
        <v>0</v>
      </c>
      <c r="AS25" s="9" t="n">
        <f aca="false">IF(AND(AS24=0,AS19=1,Debt!AS114&gt;Inputs!$F$253),1,0)</f>
        <v>0</v>
      </c>
      <c r="AT25" s="9" t="n">
        <f aca="false">IF(AND(AT24=0,AT19=1,Debt!AT114&gt;Inputs!$F$253),1,0)</f>
        <v>0</v>
      </c>
      <c r="AU25" s="9" t="n">
        <f aca="false">IF(AND(AU24=0,AU19=1,Debt!AU114&gt;Inputs!$F$253),1,0)</f>
        <v>0</v>
      </c>
      <c r="AV25" s="9" t="n">
        <f aca="false">IF(AND(AV24=0,AV19=1,Debt!AV114&gt;Inputs!$F$253),1,0)</f>
        <v>0</v>
      </c>
      <c r="AW25" s="9" t="n">
        <f aca="false">IF(AND(AW24=0,AW19=1,Debt!AW114&gt;Inputs!$F$253),1,0)</f>
        <v>0</v>
      </c>
      <c r="AX25" s="9" t="n">
        <f aca="false">IF(AND(AX24=0,AX19=1,Debt!AX114&gt;Inputs!$F$253),1,0)</f>
        <v>0</v>
      </c>
      <c r="AY25" s="9" t="n">
        <f aca="false">IF(AND(AY24=0,AY19=1,Debt!AY114&gt;Inputs!$F$253),1,0)</f>
        <v>0</v>
      </c>
      <c r="AZ25" s="9" t="n">
        <f aca="false">IF(AND(AZ24=0,AZ19=1,Debt!AZ114&gt;Inputs!$F$253),1,0)</f>
        <v>0</v>
      </c>
      <c r="BA25" s="9" t="n">
        <f aca="false">IF(AND(BA24=0,BA19=1,Debt!BA114&gt;Inputs!$F$253),1,0)</f>
        <v>0</v>
      </c>
      <c r="BB25" s="9" t="n">
        <f aca="false">IF(AND(BB24=0,BB19=1,Debt!BB114&gt;Inputs!$F$253),1,0)</f>
        <v>0</v>
      </c>
      <c r="BC25" s="9" t="n">
        <f aca="false">IF(AND(BC24=0,BC19=1,Debt!BC114&gt;Inputs!$F$253),1,0)</f>
        <v>0</v>
      </c>
      <c r="BD25" s="9" t="n">
        <f aca="false">IF(AND(BD24=0,BD19=1,Debt!BD114&gt;Inputs!$F$253),1,0)</f>
        <v>0</v>
      </c>
      <c r="BE25" s="9" t="n">
        <f aca="false">IF(AND(BE24=0,BE19=1,Debt!BE114&gt;Inputs!$F$253),1,0)</f>
        <v>0</v>
      </c>
      <c r="BF25" s="9" t="n">
        <f aca="false">IF(AND(BF24=0,BF19=1,Debt!BF114&gt;Inputs!$F$253),1,0)</f>
        <v>0</v>
      </c>
      <c r="BG25" s="9" t="n">
        <f aca="false">IF(AND(BG24=0,BG19=1,Debt!BG114&gt;Inputs!$F$253),1,0)</f>
        <v>0</v>
      </c>
      <c r="BH25" s="9" t="n">
        <f aca="false">IF(AND(BH24=0,BH19=1,Debt!BH114&gt;Inputs!$F$253),1,0)</f>
        <v>0</v>
      </c>
      <c r="BI25" s="9" t="n">
        <f aca="false">IF(AND(BI24=0,BI19=1,Debt!BI114&gt;Inputs!$F$253),1,0)</f>
        <v>0</v>
      </c>
      <c r="BJ25" s="9" t="n">
        <f aca="false">IF(AND(BJ24=0,BJ19=1,Debt!BJ114&gt;Inputs!$F$253),1,0)</f>
        <v>0</v>
      </c>
      <c r="BK25" s="9" t="n">
        <f aca="false">IF(AND(BK24=0,BK19=1,Debt!BK114&gt;Inputs!$F$253),1,0)</f>
        <v>0</v>
      </c>
      <c r="BL25" s="9" t="n">
        <f aca="false">IF(AND(BL24=0,BL19=1,Debt!BL114&gt;Inputs!$F$253),1,0)</f>
        <v>0</v>
      </c>
      <c r="BM25" s="9" t="n">
        <f aca="false">IF(AND(BM24=0,BM19=1,Debt!BM114&gt;Inputs!$F$253),1,0)</f>
        <v>0</v>
      </c>
      <c r="BN25" s="9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1882</v>
      </c>
      <c r="E26" s="0" t="s">
        <v>369</v>
      </c>
      <c r="J26" s="9" t="n">
        <f aca="false">IF(J25=1,I26+1,0)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1883</v>
      </c>
    </row>
    <row r="28" customFormat="false" ht="15" hidden="false" customHeight="false" outlineLevel="0" collapsed="false">
      <c r="D28" s="0" t="s">
        <v>1884</v>
      </c>
      <c r="E28" s="0" t="s">
        <v>151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1885</v>
      </c>
      <c r="E29" s="0" t="s">
        <v>151</v>
      </c>
      <c r="G29" s="13" t="n">
        <f aca="false">SUM(J29:BN29)</f>
        <v>106.053988397803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7.85908871941768</v>
      </c>
      <c r="AB29" s="13" t="n">
        <f aca="false">IF(AND(AB24=1,Time!AB52=1,Inputs!$F$52=1),MIN(Inputs!$F$111*AB15,Debt!AB73),0)</f>
        <v>9.4795278924246</v>
      </c>
      <c r="AC29" s="13" t="n">
        <f aca="false">IF(AND(AC24=1,Time!AC52=1,Inputs!$F$52=1),MIN(Inputs!$F$111*AC15,Debt!AC73),0)</f>
        <v>9.37136108645005</v>
      </c>
      <c r="AD29" s="13" t="n">
        <f aca="false">IF(AND(AD24=1,Time!AD52=1,Inputs!$F$52=1),MIN(Inputs!$F$111*AD15,Debt!AD73),0)</f>
        <v>10.1851896598801</v>
      </c>
      <c r="AE29" s="13" t="n">
        <f aca="false">IF(AND(AE24=1,Time!AE52=1,Inputs!$F$52=1),MIN(Inputs!$F$111*AE15,Debt!AE73),0)</f>
        <v>9.08696237506704</v>
      </c>
      <c r="AF29" s="13" t="n">
        <f aca="false">IF(AND(AF24=1,Time!AF52=1,Inputs!$F$52=1),MIN(Inputs!$F$111*AF15,Debt!AF73),0)</f>
        <v>8.00854822905012</v>
      </c>
      <c r="AG29" s="13" t="n">
        <f aca="false">IF(AND(AG24=1,Time!AG52=1,Inputs!$F$52=1),MIN(Inputs!$F$111*AG15,Debt!AG73),0)</f>
        <v>8.27936900762144</v>
      </c>
      <c r="AH29" s="13" t="n">
        <f aca="false">IF(AND(AH24=1,Time!AH52=1,Inputs!$F$52=1),MIN(Inputs!$F$111*AH15,Debt!AH73),0)</f>
        <v>9.10155865632477</v>
      </c>
      <c r="AI29" s="13" t="n">
        <f aca="false">IF(AND(AI24=1,Time!AI52=1,Inputs!$F$52=1),MIN(Inputs!$F$111*AI15,Debt!AI73),0)</f>
        <v>9.26113287306614</v>
      </c>
      <c r="AJ29" s="13" t="n">
        <f aca="false">IF(AND(AJ24=1,Time!AJ52=1,Inputs!$F$52=1),MIN(Inputs!$F$111*AJ15,Debt!AJ73),0)</f>
        <v>10.712394042413</v>
      </c>
      <c r="AK29" s="13" t="n">
        <f aca="false">IF(AND(AK24=1,Time!AK52=1,Inputs!$F$52=1),MIN(Inputs!$F$111*AK15,Debt!AK73),0)</f>
        <v>11.763017751447</v>
      </c>
      <c r="AL29" s="13" t="n">
        <f aca="false">IF(AND(AL24=1,Time!AL52=1,Inputs!$F$52=1),MIN(Inputs!$F$111*AL15,Debt!AL73),0)</f>
        <v>2.94583810464145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1886</v>
      </c>
      <c r="E30" s="0" t="s">
        <v>151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2.51969776991045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1887</v>
      </c>
      <c r="E31" s="0" t="s">
        <v>151</v>
      </c>
      <c r="G31" s="13" t="n">
        <f aca="false">SUM(J31:BN31)</f>
        <v>1508.76911098482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19.3183519223685</v>
      </c>
      <c r="Q31" s="13" t="n">
        <f aca="false">IF(Q24=1,Q15-Q29,0)</f>
        <v>16.2951233866581</v>
      </c>
      <c r="R31" s="13" t="n">
        <f aca="false">IF(R24=1,R15-R29,0)</f>
        <v>16.8810359337366</v>
      </c>
      <c r="S31" s="13" t="n">
        <f aca="false">IF(S24=1,S15-S29,0)</f>
        <v>15.8435811857195</v>
      </c>
      <c r="T31" s="13" t="n">
        <f aca="false">IF(T24=1,T15-T29,0)</f>
        <v>17.3238750968216</v>
      </c>
      <c r="U31" s="13" t="n">
        <f aca="false">IF(U24=1,U15-U29,0)</f>
        <v>16.8230721606346</v>
      </c>
      <c r="V31" s="13" t="n">
        <f aca="false">IF(V24=1,V15-V29,0)</f>
        <v>16.6665978628349</v>
      </c>
      <c r="W31" s="13" t="n">
        <f aca="false">IF(W24=1,W15-W29,0)</f>
        <v>16.5968618165843</v>
      </c>
      <c r="X31" s="13" t="n">
        <f aca="false">IF(X24=1,X15-X29,0)</f>
        <v>16.5878856740958</v>
      </c>
      <c r="Y31" s="13" t="n">
        <f aca="false">IF(Y24=1,Y15-Y29,0)</f>
        <v>16.1887777777456</v>
      </c>
      <c r="Z31" s="13" t="n">
        <f aca="false">IF(Z24=1,Z15-Z29,0)</f>
        <v>16.7835470474145</v>
      </c>
      <c r="AA31" s="13" t="n">
        <f aca="false">IF(AA24=1,AA15-AA29,0)</f>
        <v>7.85908871941768</v>
      </c>
      <c r="AB31" s="13" t="n">
        <f aca="false">IF(AB24=1,AB15-AB29,0)</f>
        <v>9.4795278924246</v>
      </c>
      <c r="AC31" s="13" t="n">
        <f aca="false">IF(AC24=1,AC15-AC29,0)</f>
        <v>9.37136108645005</v>
      </c>
      <c r="AD31" s="13" t="n">
        <f aca="false">IF(AD24=1,AD15-AD29,0)</f>
        <v>10.1851896598801</v>
      </c>
      <c r="AE31" s="13" t="n">
        <f aca="false">IF(AE24=1,AE15-AE29,0)</f>
        <v>9.08696237506704</v>
      </c>
      <c r="AF31" s="13" t="n">
        <f aca="false">IF(AF24=1,AF15-AF29,0)</f>
        <v>8.00854822905012</v>
      </c>
      <c r="AG31" s="13" t="n">
        <f aca="false">IF(AG24=1,AG15-AG29,0)</f>
        <v>8.27936900762144</v>
      </c>
      <c r="AH31" s="13" t="n">
        <f aca="false">IF(AH24=1,AH15-AH29,0)</f>
        <v>9.10155865632477</v>
      </c>
      <c r="AI31" s="13" t="n">
        <f aca="false">IF(AI24=1,AI15-AI29,0)</f>
        <v>9.26113287306614</v>
      </c>
      <c r="AJ31" s="13" t="n">
        <f aca="false">IF(AJ24=1,AJ15-AJ29,0)</f>
        <v>10.712394042413</v>
      </c>
      <c r="AK31" s="13" t="n">
        <f aca="false">IF(AK24=1,AK15-AK29,0)</f>
        <v>11.763017751447</v>
      </c>
      <c r="AL31" s="13" t="n">
        <f aca="false">IF(AL24=1,AL15-AL29,0)</f>
        <v>25.3403341413996</v>
      </c>
      <c r="AM31" s="13" t="n">
        <f aca="false">IF(AM24=1,AM15-AM29,0)</f>
        <v>25.5955133173537</v>
      </c>
      <c r="AN31" s="13" t="n">
        <f aca="false">IF(AN24=1,AN15-AN29,0)</f>
        <v>23.4950465061836</v>
      </c>
      <c r="AO31" s="13" t="n">
        <f aca="false">IF(AO24=1,AO15-AO29,0)</f>
        <v>45.6650680456844</v>
      </c>
      <c r="AP31" s="13" t="n">
        <f aca="false">IF(AP24=1,AP15-AP29,0)</f>
        <v>45.9309430025086</v>
      </c>
      <c r="AQ31" s="13" t="n">
        <f aca="false">IF(AQ24=1,AQ15-AQ29,0)</f>
        <v>45.4691828745509</v>
      </c>
      <c r="AR31" s="13" t="n">
        <f aca="false">IF(AR24=1,AR15-AR29,0)</f>
        <v>46.4061291922982</v>
      </c>
      <c r="AS31" s="13" t="n">
        <f aca="false">IF(AS24=1,AS15-AS29,0)</f>
        <v>45.6689340901091</v>
      </c>
      <c r="AT31" s="13" t="n">
        <f aca="false">IF(AT24=1,AT15-AT29,0)</f>
        <v>51.4111792477814</v>
      </c>
      <c r="AU31" s="13" t="n">
        <f aca="false">IF(AU24=1,AU15-AU29,0)</f>
        <v>46.73008753358</v>
      </c>
      <c r="AV31" s="13" t="n">
        <f aca="false">IF(AV24=1,AV15-AV29,0)</f>
        <v>48.1801803921068</v>
      </c>
      <c r="AW31" s="13" t="n">
        <f aca="false">IF(AW24=1,AW15-AW29,0)</f>
        <v>48.2920442839554</v>
      </c>
      <c r="AX31" s="13" t="n">
        <f aca="false">IF(AX24=1,AX15-AX29,0)</f>
        <v>48.7844871932983</v>
      </c>
      <c r="AY31" s="13" t="n">
        <f aca="false">IF(AY24=1,AY15-AY29,0)</f>
        <v>48.3130428004442</v>
      </c>
      <c r="AZ31" s="13" t="n">
        <f aca="false">IF(AZ24=1,AZ15-AZ29,0)</f>
        <v>49.2872750067212</v>
      </c>
      <c r="BA31" s="13" t="n">
        <f aca="false">IF(BA24=1,BA15-BA29,0)</f>
        <v>48.2318534437979</v>
      </c>
      <c r="BB31" s="13" t="n">
        <f aca="false">IF(BB24=1,BB15-BB29,0)</f>
        <v>48.5677922796996</v>
      </c>
      <c r="BC31" s="13" t="n">
        <f aca="false">IF(BC24=1,BC15-BC29,0)</f>
        <v>45.1222678331512</v>
      </c>
      <c r="BD31" s="13" t="n">
        <f aca="false">IF(BD24=1,BD15-BD29,0)</f>
        <v>40.0519807784969</v>
      </c>
      <c r="BE31" s="13" t="n">
        <f aca="false">IF(BE24=1,BE15-BE29,0)</f>
        <v>39.9085964835915</v>
      </c>
      <c r="BF31" s="13" t="n">
        <f aca="false">IF(BF24=1,BF15-BF29,0)</f>
        <v>40.4098855657471</v>
      </c>
      <c r="BG31" s="13" t="n">
        <f aca="false">IF(BG24=1,BG15-BG29,0)</f>
        <v>39.9107969503162</v>
      </c>
      <c r="BH31" s="13" t="n">
        <f aca="false">IF(BH24=1,BH15-BH29,0)</f>
        <v>40.9081491575132</v>
      </c>
      <c r="BI31" s="13" t="n">
        <f aca="false">IF(BI24=1,BI15-BI29,0)</f>
        <v>40.1229446378997</v>
      </c>
      <c r="BJ31" s="13" t="n">
        <f aca="false">IF(BJ24=1,BJ15-BJ29,0)</f>
        <v>47.065773405743</v>
      </c>
      <c r="BK31" s="13" t="n">
        <f aca="false">IF(BK24=1,BK15-BK29,0)</f>
        <v>41.5368699793821</v>
      </c>
      <c r="BL31" s="13" t="n">
        <f aca="false">IF(BL24=1,BL15-BL29,0)</f>
        <v>43.7051553419889</v>
      </c>
      <c r="BM31" s="13" t="n">
        <f aca="false">IF(BM24=1,BM15-BM29,0)</f>
        <v>60.2407373417418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1888</v>
      </c>
      <c r="E32" s="0" t="s">
        <v>151</v>
      </c>
      <c r="F32" s="17" t="n">
        <f aca="false">SUM(Funding!$J$69:$BJ$69)</f>
        <v>41.0578182623502</v>
      </c>
    </row>
    <row r="33" customFormat="false" ht="15" hidden="false" customHeight="false" outlineLevel="0" collapsed="false">
      <c r="D33" s="0" t="s">
        <v>1889</v>
      </c>
      <c r="E33" s="0" t="s">
        <v>151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187.589936397476</v>
      </c>
      <c r="P33" s="13" t="n">
        <f aca="false">IF(Time!P20&lt;Time!$F$12,0,IF(Time!P34=1,INDEX(Funding!$J$72:$BJ$72,1,Time!$F$14),O36))</f>
        <v>190.568247853431</v>
      </c>
      <c r="Q33" s="13" t="n">
        <f aca="false">IF(Time!Q20&lt;Time!$F$12,0,IF(Time!Q34=1,INDEX(Funding!$J$72:$BJ$72,1,Time!$F$14),P36))</f>
        <v>180.376287636481</v>
      </c>
      <c r="R33" s="13" t="n">
        <f aca="false">IF(Time!R20&lt;Time!$F$12,0,IF(Time!R34=1,INDEX(Funding!$J$72:$BJ$72,1,Time!$F$14),Q36))</f>
        <v>172.578617033136</v>
      </c>
      <c r="S33" s="13" t="n">
        <f aca="false">IF(Time!S20&lt;Time!$F$12,0,IF(Time!S34=1,INDEX(Funding!$J$72:$BJ$72,1,Time!$F$14),R36))</f>
        <v>163.962441991836</v>
      </c>
      <c r="T33" s="13" t="n">
        <f aca="false">IF(Time!T20&lt;Time!$F$12,0,IF(Time!T34=1,INDEX(Funding!$J$72:$BJ$72,1,Time!$F$14),S36))</f>
        <v>155.843064066526</v>
      </c>
      <c r="U33" s="13" t="n">
        <f aca="false">IF(Time!U20&lt;Time!$F$12,0,IF(Time!U34=1,INDEX(Funding!$J$72:$BJ$72,1,Time!$F$14),T36))</f>
        <v>145.982577352946</v>
      </c>
      <c r="V33" s="13" t="n">
        <f aca="false">IF(Time!V20&lt;Time!$F$12,0,IF(Time!V34=1,INDEX(Funding!$J$72:$BJ$72,1,Time!$F$14),U36))</f>
        <v>136.074679883907</v>
      </c>
      <c r="W33" s="13" t="n">
        <f aca="false">IF(Time!W20&lt;Time!$F$12,0,IF(Time!W34=1,INDEX(Funding!$J$72:$BJ$72,1,Time!$F$14),V36))</f>
        <v>125.924754361813</v>
      </c>
      <c r="X33" s="13" t="n">
        <f aca="false">IF(Time!X20&lt;Time!$F$12,0,IF(Time!X34=1,INDEX(Funding!$J$72:$BJ$72,1,Time!$F$14),W36))</f>
        <v>115.260155973315</v>
      </c>
      <c r="Y33" s="13" t="n">
        <f aca="false">IF(Time!Y20&lt;Time!$F$12,0,IF(Time!Y34=1,INDEX(Funding!$J$72:$BJ$72,1,Time!$F$14),X36))</f>
        <v>104.192126535969</v>
      </c>
      <c r="Z33" s="13" t="n">
        <f aca="false">IF(Time!Z20&lt;Time!$F$12,0,IF(Time!Z34=1,INDEX(Funding!$J$72:$BJ$72,1,Time!$F$14),Y36))</f>
        <v>92.9117970206503</v>
      </c>
      <c r="AA33" s="13" t="n">
        <f aca="false">IF(Time!AA20&lt;Time!$F$12,0,IF(Time!AA34=1,INDEX(Funding!$J$72:$BJ$72,1,Time!$F$14),Z36))</f>
        <v>80.5778341154851</v>
      </c>
      <c r="AB33" s="13" t="n">
        <f aca="false">IF(Time!AB20&lt;Time!$F$12,0,IF(Time!AB34=1,INDEX(Funding!$J$72:$BJ$72,1,Time!$F$14),AA36))</f>
        <v>76.5147340470695</v>
      </c>
      <c r="AC33" s="13" t="n">
        <f aca="false">IF(Time!AC20&lt;Time!$F$12,0,IF(Time!AC34=1,INDEX(Funding!$J$72:$BJ$72,1,Time!$F$14),AB36))</f>
        <v>70.6995282125703</v>
      </c>
      <c r="AD33" s="13" t="n">
        <f aca="false">IF(Time!AD20&lt;Time!$F$12,0,IF(Time!AD34=1,INDEX(Funding!$J$72:$BJ$72,1,Time!$F$14),AC36))</f>
        <v>64.6771940926828</v>
      </c>
      <c r="AE33" s="13" t="n">
        <f aca="false">IF(Time!AE20&lt;Time!$F$12,0,IF(Time!AE34=1,INDEX(Funding!$J$72:$BJ$72,1,Time!$F$14),AD36))</f>
        <v>57.5894218375701</v>
      </c>
      <c r="AF33" s="13" t="n">
        <f aca="false">IF(Time!AF20&lt;Time!$F$12,0,IF(Time!AF34=1,INDEX(Funding!$J$72:$BJ$72,1,Time!$F$14),AE36))</f>
        <v>51.2154734583853</v>
      </c>
      <c r="AG33" s="13" t="n">
        <f aca="false">IF(Time!AG20&lt;Time!$F$12,0,IF(Time!AG34=1,INDEX(Funding!$J$72:$BJ$72,1,Time!$F$14),AF36))</f>
        <v>45.659655300712</v>
      </c>
      <c r="AH33" s="13" t="n">
        <f aca="false">IF(Time!AH20&lt;Time!$F$12,0,IF(Time!AH34=1,INDEX(Funding!$J$72:$BJ$72,1,Time!$F$14),AG36))</f>
        <v>39.5312938900652</v>
      </c>
      <c r="AI33" s="13" t="n">
        <f aca="false">IF(Time!AI20&lt;Time!$F$12,0,IF(Time!AI34=1,INDEX(Funding!$J$72:$BJ$72,1,Time!$F$14),AH36))</f>
        <v>32.3229051438729</v>
      </c>
      <c r="AJ33" s="13" t="n">
        <f aca="false">IF(Time!AJ20&lt;Time!$F$12,0,IF(Time!AJ34=1,INDEX(Funding!$J$72:$BJ$72,1,Time!$F$14),AI36))</f>
        <v>24.584491048749</v>
      </c>
      <c r="AK33" s="13" t="n">
        <f aca="false">IF(Time!AK20&lt;Time!$F$12,0,IF(Time!AK34=1,INDEX(Funding!$J$72:$BJ$72,1,Time!$F$14),AJ36))</f>
        <v>15.0494583858761</v>
      </c>
      <c r="AL33" s="13" t="n">
        <f aca="false">IF(Time!AL20&lt;Time!$F$12,0,IF(Time!AL34=1,INDEX(Funding!$J$72:$BJ$72,1,Time!$F$14),AK36))</f>
        <v>3.99933141659835</v>
      </c>
      <c r="AM33" s="13" t="n">
        <f aca="false">IF(Time!AM20&lt;Time!$F$12,0,IF(Time!AM34=1,INDEX(Funding!$J$72:$BJ$72,1,Time!$F$14),AL36))</f>
        <v>0</v>
      </c>
      <c r="AN33" s="13" t="n">
        <f aca="false">IF(Time!AN20&lt;Time!$F$12,0,IF(Time!AN34=1,INDEX(Funding!$J$72:$BJ$72,1,Time!$F$14),AM36))</f>
        <v>0</v>
      </c>
      <c r="AO33" s="13" t="n">
        <f aca="false">IF(Time!AO20&lt;Time!$F$12,0,IF(Time!AO34=1,INDEX(Funding!$J$72:$BJ$72,1,Time!$F$14),AN36))</f>
        <v>0</v>
      </c>
      <c r="AP33" s="13" t="n">
        <f aca="false">IF(Time!AP20&lt;Time!$F$12,0,IF(Time!AP34=1,INDEX(Funding!$J$72:$BJ$72,1,Time!$F$14),AO36))</f>
        <v>0</v>
      </c>
      <c r="AQ33" s="13" t="n">
        <f aca="false">IF(Time!AQ20&lt;Time!$F$12,0,IF(Time!AQ34=1,INDEX(Funding!$J$72:$BJ$72,1,Time!$F$14),AP36))</f>
        <v>0</v>
      </c>
      <c r="AR33" s="13" t="n">
        <f aca="false">IF(Time!AR20&lt;Time!$F$12,0,IF(Time!AR34=1,INDEX(Funding!$J$72:$BJ$72,1,Time!$F$14),AQ36))</f>
        <v>0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1890</v>
      </c>
      <c r="E34" s="0" t="s">
        <v>151</v>
      </c>
      <c r="G34" s="13" t="n">
        <f aca="false">SUM(J34:BN34)</f>
        <v>102.039473346045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9.12639170541909</v>
      </c>
      <c r="Q34" s="13" t="n">
        <f aca="false">Q24*MIN(Q31,Tax!Q13)</f>
        <v>8.49745278331314</v>
      </c>
      <c r="R34" s="13" t="n">
        <f aca="false">R24*MIN(R31,Tax!R13)</f>
        <v>8.26486089243623</v>
      </c>
      <c r="S34" s="13" t="n">
        <f aca="false">S24*MIN(S31,Tax!S13)</f>
        <v>7.72420326040992</v>
      </c>
      <c r="T34" s="13" t="n">
        <f aca="false">T24*MIN(T31,Tax!T13)</f>
        <v>7.46338838324077</v>
      </c>
      <c r="U34" s="13" t="n">
        <f aca="false">U24*MIN(U31,Tax!U13)</f>
        <v>6.91517469159569</v>
      </c>
      <c r="V34" s="13" t="n">
        <f aca="false">V24*MIN(V31,Tax!V13)</f>
        <v>6.51667234074161</v>
      </c>
      <c r="W34" s="13" t="n">
        <f aca="false">W24*MIN(W31,Tax!W13)</f>
        <v>5.93226342808597</v>
      </c>
      <c r="X34" s="13" t="n">
        <f aca="false">X24*MIN(X31,Tax!X13)</f>
        <v>5.51985623674944</v>
      </c>
      <c r="Y34" s="13" t="n">
        <f aca="false">Y24*MIN(Y31,Tax!Y13)</f>
        <v>4.90844826242734</v>
      </c>
      <c r="Z34" s="13" t="n">
        <f aca="false">Z24*MIN(Z31,Tax!Z13)</f>
        <v>4.44958414224923</v>
      </c>
      <c r="AA34" s="13" t="n">
        <f aca="false">AA24*MIN(AA31,Tax!AA13)</f>
        <v>3.7959886510021</v>
      </c>
      <c r="AB34" s="13" t="n">
        <f aca="false">AB24*MIN(AB31,Tax!AB13)</f>
        <v>3.66432205792541</v>
      </c>
      <c r="AC34" s="13" t="n">
        <f aca="false">AC24*MIN(AC31,Tax!AC13)</f>
        <v>3.34902696656258</v>
      </c>
      <c r="AD34" s="13" t="n">
        <f aca="false">AD24*MIN(AD31,Tax!AD13)</f>
        <v>3.09741740476739</v>
      </c>
      <c r="AE34" s="13" t="n">
        <f aca="false">AE24*MIN(AE31,Tax!AE13)</f>
        <v>2.71301399588224</v>
      </c>
      <c r="AF34" s="13" t="n">
        <f aca="false">AF24*MIN(AF31,Tax!AF13)</f>
        <v>2.45273007137692</v>
      </c>
      <c r="AG34" s="13" t="n">
        <f aca="false">AG24*MIN(AG31,Tax!AG13)</f>
        <v>2.15100759697464</v>
      </c>
      <c r="AH34" s="13" t="n">
        <f aca="false">AH24*MIN(AH31,Tax!AH13)</f>
        <v>1.89316991013244</v>
      </c>
      <c r="AI34" s="13" t="n">
        <f aca="false">AI24*MIN(AI31,Tax!AI13)</f>
        <v>1.52271877794218</v>
      </c>
      <c r="AJ34" s="13" t="n">
        <f aca="false">AJ24*MIN(AJ31,Tax!AJ13)</f>
        <v>1.17736137954009</v>
      </c>
      <c r="AK34" s="13" t="n">
        <f aca="false">AK24*MIN(AK31,Tax!AK13)</f>
        <v>0.712890782169308</v>
      </c>
      <c r="AL34" s="13" t="n">
        <f aca="false">AL24*MIN(AL31,Tax!AL13)</f>
        <v>0.191529625101751</v>
      </c>
      <c r="AM34" s="13" t="n">
        <f aca="false">AM24*MIN(AM31,Tax!AM13)</f>
        <v>0</v>
      </c>
      <c r="AN34" s="13" t="n">
        <f aca="false">AN24*MIN(AN31,Tax!AN13)</f>
        <v>0</v>
      </c>
      <c r="AO34" s="13" t="n">
        <f aca="false">AO24*MIN(AO31,Tax!AO13)</f>
        <v>0</v>
      </c>
      <c r="AP34" s="13" t="n">
        <f aca="false">AP24*MIN(AP31,Tax!AP13)</f>
        <v>0</v>
      </c>
      <c r="AQ34" s="13" t="n">
        <f aca="false">AQ24*MIN(AQ31,Tax!AQ13)</f>
        <v>0</v>
      </c>
      <c r="AR34" s="13" t="n">
        <f aca="false">AR24*MIN(AR31,Tax!AR13)</f>
        <v>0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1891</v>
      </c>
      <c r="E35" s="0" t="s">
        <v>151</v>
      </c>
      <c r="G35" s="13" t="n">
        <f aca="false">SUM(J35:BN35)</f>
        <v>190.568247853431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10.1919602169494</v>
      </c>
      <c r="Q35" s="13" t="n">
        <f aca="false">Q24*MIN(Q31-Q34,Q33+Tax!Q13-Q34)</f>
        <v>7.79767060334499</v>
      </c>
      <c r="R35" s="13" t="n">
        <f aca="false">R24*MIN(R31-R34,R33+Tax!R13-R34)</f>
        <v>8.61617504130036</v>
      </c>
      <c r="S35" s="13" t="n">
        <f aca="false">S24*MIN(S31-S34,S33+Tax!S13-S34)</f>
        <v>8.11937792530954</v>
      </c>
      <c r="T35" s="13" t="n">
        <f aca="false">T24*MIN(T31-T34,T33+Tax!T13-T34)</f>
        <v>9.86048671358087</v>
      </c>
      <c r="U35" s="13" t="n">
        <f aca="false">U24*MIN(U31-U34,U33+Tax!U13-U34)</f>
        <v>9.90789746903891</v>
      </c>
      <c r="V35" s="13" t="n">
        <f aca="false">V24*MIN(V31-V34,V33+Tax!V13-V34)</f>
        <v>10.1499255220933</v>
      </c>
      <c r="W35" s="13" t="n">
        <f aca="false">W24*MIN(W31-W34,W33+Tax!W13-W34)</f>
        <v>10.6645983884984</v>
      </c>
      <c r="X35" s="13" t="n">
        <f aca="false">X24*MIN(X31-X34,X33+Tax!X13-X34)</f>
        <v>11.0680294373464</v>
      </c>
      <c r="Y35" s="13" t="n">
        <f aca="false">Y24*MIN(Y31-Y34,Y33+Tax!Y13-Y34)</f>
        <v>11.2803295153182</v>
      </c>
      <c r="Z35" s="13" t="n">
        <f aca="false">Z24*MIN(Z31-Z34,Z33+Tax!Z13-Z34)</f>
        <v>12.3339629051652</v>
      </c>
      <c r="AA35" s="13" t="n">
        <f aca="false">AA24*MIN(AA31-AA34,AA33+Tax!AA13-AA34)</f>
        <v>4.06310006841559</v>
      </c>
      <c r="AB35" s="13" t="n">
        <f aca="false">AB24*MIN(AB31-AB34,AB33+Tax!AB13-AB34)</f>
        <v>5.81520583449919</v>
      </c>
      <c r="AC35" s="13" t="n">
        <f aca="false">AC24*MIN(AC31-AC34,AC33+Tax!AC13-AC34)</f>
        <v>6.02233411988748</v>
      </c>
      <c r="AD35" s="13" t="n">
        <f aca="false">AD24*MIN(AD31-AD34,AD33+Tax!AD13-AD34)</f>
        <v>7.08777225511276</v>
      </c>
      <c r="AE35" s="13" t="n">
        <f aca="false">AE24*MIN(AE31-AE34,AE33+Tax!AE13-AE34)</f>
        <v>6.3739483791848</v>
      </c>
      <c r="AF35" s="13" t="n">
        <f aca="false">AF24*MIN(AF31-AF34,AF33+Tax!AF13-AF34)</f>
        <v>5.5558181576732</v>
      </c>
      <c r="AG35" s="13" t="n">
        <f aca="false">AG24*MIN(AG31-AG34,AG33+Tax!AG13-AG34)</f>
        <v>6.1283614106468</v>
      </c>
      <c r="AH35" s="13" t="n">
        <f aca="false">AH24*MIN(AH31-AH34,AH33+Tax!AH13-AH34)</f>
        <v>7.20838874619233</v>
      </c>
      <c r="AI35" s="13" t="n">
        <f aca="false">AI24*MIN(AI31-AI34,AI33+Tax!AI13-AI34)</f>
        <v>7.73841409512396</v>
      </c>
      <c r="AJ35" s="13" t="n">
        <f aca="false">AJ24*MIN(AJ31-AJ34,AJ33+Tax!AJ13-AJ34)</f>
        <v>9.53503266287289</v>
      </c>
      <c r="AK35" s="13" t="n">
        <f aca="false">AK24*MIN(AK31-AK34,AK33+Tax!AK13-AK34)</f>
        <v>11.0501269692777</v>
      </c>
      <c r="AL35" s="13" t="n">
        <f aca="false">AL24*MIN(AL31-AL34,AL33+Tax!AL13-AL34)</f>
        <v>3.99933141659835</v>
      </c>
      <c r="AM35" s="13" t="n">
        <f aca="false">AM24*MIN(AM31-AM34,AM33+Tax!AM13-AM34)</f>
        <v>0</v>
      </c>
      <c r="AN35" s="13" t="n">
        <f aca="false">AN24*MIN(AN31-AN34,AN33+Tax!AN13-AN34)</f>
        <v>0</v>
      </c>
      <c r="AO35" s="13" t="n">
        <f aca="false">AO24*MIN(AO31-AO34,AO33+Tax!AO13-AO34)</f>
        <v>0</v>
      </c>
      <c r="AP35" s="13" t="n">
        <f aca="false">AP24*MIN(AP31-AP34,AP33+Tax!AP13-AP34)</f>
        <v>0</v>
      </c>
      <c r="AQ35" s="13" t="n">
        <f aca="false">AQ24*MIN(AQ31-AQ34,AQ33+Tax!AQ13-AQ34)</f>
        <v>0</v>
      </c>
      <c r="AR35" s="13" t="n">
        <f aca="false">AR24*MIN(AR31-AR34,AR33+Tax!AR13-AR34)</f>
        <v>0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1892</v>
      </c>
      <c r="E36" s="0" t="s">
        <v>151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190.568247853431</v>
      </c>
      <c r="P36" s="13" t="n">
        <f aca="false">P33+Tax!P13-P34-P35</f>
        <v>180.376287636481</v>
      </c>
      <c r="Q36" s="13" t="n">
        <f aca="false">Q33+Tax!Q13-Q34-Q35</f>
        <v>172.578617033136</v>
      </c>
      <c r="R36" s="13" t="n">
        <f aca="false">R33+Tax!R13-R34-R35</f>
        <v>163.962441991836</v>
      </c>
      <c r="S36" s="13" t="n">
        <f aca="false">S33+Tax!S13-S34-S35</f>
        <v>155.843064066526</v>
      </c>
      <c r="T36" s="13" t="n">
        <f aca="false">T33+Tax!T13-T34-T35</f>
        <v>145.982577352946</v>
      </c>
      <c r="U36" s="13" t="n">
        <f aca="false">U33+Tax!U13-U34-U35</f>
        <v>136.074679883907</v>
      </c>
      <c r="V36" s="13" t="n">
        <f aca="false">V33+Tax!V13-V34-V35</f>
        <v>125.924754361813</v>
      </c>
      <c r="W36" s="13" t="n">
        <f aca="false">W33+Tax!W13-W34-W35</f>
        <v>115.260155973315</v>
      </c>
      <c r="X36" s="13" t="n">
        <f aca="false">X33+Tax!X13-X34-X35</f>
        <v>104.192126535969</v>
      </c>
      <c r="Y36" s="13" t="n">
        <f aca="false">Y33+Tax!Y13-Y34-Y35</f>
        <v>92.9117970206503</v>
      </c>
      <c r="Z36" s="13" t="n">
        <f aca="false">Z33+Tax!Z13-Z34-Z35</f>
        <v>80.5778341154851</v>
      </c>
      <c r="AA36" s="13" t="n">
        <f aca="false">AA33+Tax!AA13-AA34-AA35</f>
        <v>76.5147340470695</v>
      </c>
      <c r="AB36" s="13" t="n">
        <f aca="false">AB33+Tax!AB13-AB34-AB35</f>
        <v>70.6995282125703</v>
      </c>
      <c r="AC36" s="13" t="n">
        <f aca="false">AC33+Tax!AC13-AC34-AC35</f>
        <v>64.6771940926828</v>
      </c>
      <c r="AD36" s="13" t="n">
        <f aca="false">AD33+Tax!AD13-AD34-AD35</f>
        <v>57.5894218375701</v>
      </c>
      <c r="AE36" s="13" t="n">
        <f aca="false">AE33+Tax!AE13-AE34-AE35</f>
        <v>51.2154734583853</v>
      </c>
      <c r="AF36" s="13" t="n">
        <f aca="false">AF33+Tax!AF13-AF34-AF35</f>
        <v>45.659655300712</v>
      </c>
      <c r="AG36" s="13" t="n">
        <f aca="false">AG33+Tax!AG13-AG34-AG35</f>
        <v>39.5312938900652</v>
      </c>
      <c r="AH36" s="13" t="n">
        <f aca="false">AH33+Tax!AH13-AH34-AH35</f>
        <v>32.3229051438729</v>
      </c>
      <c r="AI36" s="13" t="n">
        <f aca="false">AI33+Tax!AI13-AI34-AI35</f>
        <v>24.584491048749</v>
      </c>
      <c r="AJ36" s="13" t="n">
        <f aca="false">AJ33+Tax!AJ13-AJ34-AJ35</f>
        <v>15.0494583858761</v>
      </c>
      <c r="AK36" s="13" t="n">
        <f aca="false">AK33+Tax!AK13-AK34-AK35</f>
        <v>3.99933141659835</v>
      </c>
      <c r="AL36" s="13" t="n">
        <f aca="false">AL33+Tax!AL13-AL34-AL35</f>
        <v>0</v>
      </c>
      <c r="AM36" s="13" t="n">
        <f aca="false">AM33+Tax!AM13-AM34-AM35</f>
        <v>0</v>
      </c>
      <c r="AN36" s="13" t="n">
        <f aca="false">AN33+Tax!AN13-AN34-AN35</f>
        <v>0</v>
      </c>
      <c r="AO36" s="13" t="n">
        <f aca="false">AO33+Tax!AO13-AO34-AO35</f>
        <v>0</v>
      </c>
      <c r="AP36" s="13" t="n">
        <f aca="false">AP33+Tax!AP13-AP34-AP35</f>
        <v>0</v>
      </c>
      <c r="AQ36" s="13" t="n">
        <f aca="false">AQ33+Tax!AQ13-AQ34-AQ35</f>
        <v>0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1893</v>
      </c>
      <c r="E37" s="0" t="s">
        <v>151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9.51834320938345</v>
      </c>
      <c r="P37" s="13" t="n">
        <f aca="false">MAX(0,O43+Financials!P14)</f>
        <v>14.7923414080365</v>
      </c>
      <c r="Q37" s="13" t="n">
        <f aca="false">MAX(0,P43+Financials!Q14)</f>
        <v>21.2882707044019</v>
      </c>
      <c r="R37" s="13" t="n">
        <f aca="false">MAX(0,Q43+Financials!R14)</f>
        <v>28.1752588698329</v>
      </c>
      <c r="S37" s="13" t="n">
        <f aca="false">MAX(0,R43+Financials!S14)</f>
        <v>36.5886630479412</v>
      </c>
      <c r="T37" s="13" t="n">
        <f aca="false">MAX(0,S43+Financials!T14)</f>
        <v>46.2223487383631</v>
      </c>
      <c r="U37" s="13" t="n">
        <f aca="false">MAX(0,T43+Financials!U14)</f>
        <v>56.5918902029514</v>
      </c>
      <c r="V37" s="13" t="n">
        <f aca="false">MAX(0,U43+Financials!V14)</f>
        <v>64.1899298205569</v>
      </c>
      <c r="W37" s="13" t="n">
        <f aca="false">MAX(0,V43+Financials!W14)</f>
        <v>76.478707632309</v>
      </c>
      <c r="X37" s="13" t="n">
        <f aca="false">MAX(0,W43+Financials!X14)</f>
        <v>91.2485144452664</v>
      </c>
      <c r="Y37" s="13" t="n">
        <f aca="false">MAX(0,X43+Financials!Y14)</f>
        <v>107.110952880946</v>
      </c>
      <c r="Z37" s="13" t="n">
        <f aca="false">MAX(0,Y43+Financials!Z14)</f>
        <v>124.30600802497</v>
      </c>
      <c r="AA37" s="13" t="n">
        <f aca="false">MAX(0,Z43+Financials!AA14)</f>
        <v>143.374038355129</v>
      </c>
      <c r="AB37" s="13" t="n">
        <f aca="false">MAX(0,AA43+Financials!AB14)</f>
        <v>164.176157359806</v>
      </c>
      <c r="AC37" s="13" t="n">
        <f aca="false">MAX(0,AB43+Financials!AC14)</f>
        <v>185.692008453866</v>
      </c>
      <c r="AD37" s="13" t="n">
        <f aca="false">MAX(0,AC43+Financials!AD14)</f>
        <v>194.714197579785</v>
      </c>
      <c r="AE37" s="13" t="n">
        <f aca="false">MAX(0,AD43+Financials!AE14)</f>
        <v>216.510529700763</v>
      </c>
      <c r="AF37" s="13" t="n">
        <f aca="false">MAX(0,AE43+Financials!AF14)</f>
        <v>236.680084063321</v>
      </c>
      <c r="AG37" s="13" t="n">
        <f aca="false">MAX(0,AF43+Financials!AG14)</f>
        <v>257.818881652875</v>
      </c>
      <c r="AH37" s="13" t="n">
        <f aca="false">MAX(0,AG43+Financials!AH14)</f>
        <v>279.853883608015</v>
      </c>
      <c r="AI37" s="13" t="n">
        <f aca="false">MAX(0,AH43+Financials!AI14)</f>
        <v>303.400018851835</v>
      </c>
      <c r="AJ37" s="13" t="n">
        <f aca="false">MAX(0,AI43+Financials!AJ14)</f>
        <v>328.493093167632</v>
      </c>
      <c r="AK37" s="13" t="n">
        <f aca="false">MAX(0,AJ43+Financials!AK14)</f>
        <v>354.535733530229</v>
      </c>
      <c r="AL37" s="13" t="n">
        <f aca="false">MAX(0,AK43+Financials!AL14)</f>
        <v>378.929387182804</v>
      </c>
      <c r="AM37" s="13" t="n">
        <f aca="false">MAX(0,AL43+Financials!AM14)</f>
        <v>385.602728106977</v>
      </c>
      <c r="AN37" s="13" t="n">
        <f aca="false">MAX(0,AM43+Financials!AN14)</f>
        <v>389.400559315388</v>
      </c>
      <c r="AO37" s="13" t="n">
        <f aca="false">MAX(0,AN43+Financials!AO14)</f>
        <v>395.754250429932</v>
      </c>
      <c r="AP37" s="13" t="n">
        <f aca="false">MAX(0,AO43+Financials!AP14)</f>
        <v>380.255935222141</v>
      </c>
      <c r="AQ37" s="13" t="n">
        <f aca="false">MAX(0,AP43+Financials!AQ14)</f>
        <v>364.766125649583</v>
      </c>
      <c r="AR37" s="13" t="n">
        <f aca="false">MAX(0,AQ43+Financials!AR14)</f>
        <v>350.160252012137</v>
      </c>
      <c r="AS37" s="13" t="n">
        <f aca="false">MAX(0,AR43+Financials!AS14)</f>
        <v>333.931863215413</v>
      </c>
      <c r="AT37" s="13" t="n">
        <f aca="false">MAX(0,AS43+Financials!AT14)</f>
        <v>307.036453086999</v>
      </c>
      <c r="AU37" s="13" t="n">
        <f aca="false">MAX(0,AT43+Financials!AU14)</f>
        <v>285.245874846559</v>
      </c>
      <c r="AV37" s="13" t="n">
        <f aca="false">MAX(0,AU43+Financials!AV14)</f>
        <v>269.929379599802</v>
      </c>
      <c r="AW37" s="13" t="n">
        <f aca="false">MAX(0,AV43+Financials!AW14)</f>
        <v>253.155973128386</v>
      </c>
      <c r="AX37" s="13" t="n">
        <f aca="false">MAX(0,AW43+Financials!AX14)</f>
        <v>236.118959929792</v>
      </c>
      <c r="AY37" s="13" t="n">
        <f aca="false">MAX(0,AX43+Financials!AY14)</f>
        <v>218.878613652088</v>
      </c>
      <c r="AZ37" s="13" t="n">
        <f aca="false">MAX(0,AY43+Financials!AZ14)</f>
        <v>202.552334330298</v>
      </c>
      <c r="BA37" s="13" t="n">
        <f aca="false">MAX(0,AZ43+Financials!BA14)</f>
        <v>184.867410939433</v>
      </c>
      <c r="BB37" s="13" t="n">
        <f aca="false">MAX(0,BA43+Financials!BB14)</f>
        <v>164.845266778281</v>
      </c>
      <c r="BC37" s="13" t="n">
        <f aca="false">MAX(0,BB43+Financials!BC14)</f>
        <v>147.640103037189</v>
      </c>
      <c r="BD37" s="13" t="n">
        <f aca="false">MAX(0,BC43+Financials!BD14)</f>
        <v>135.101620197123</v>
      </c>
      <c r="BE37" s="13" t="n">
        <f aca="false">MAX(0,BD43+Financials!BE14)</f>
        <v>127.633412019224</v>
      </c>
      <c r="BF37" s="13" t="n">
        <f aca="false">MAX(0,BE43+Financials!BF14)</f>
        <v>120.160546757586</v>
      </c>
      <c r="BG37" s="13" t="n">
        <f aca="false">MAX(0,BF43+Financials!BG14)</f>
        <v>112.491458221788</v>
      </c>
      <c r="BH37" s="13" t="n">
        <f aca="false">MAX(0,BG43+Financials!BH14)</f>
        <v>105.786321114261</v>
      </c>
      <c r="BI37" s="13" t="n">
        <f aca="false">MAX(0,BH43+Financials!BI14)</f>
        <v>97.3700124976349</v>
      </c>
      <c r="BJ37" s="13" t="n">
        <f aca="false">MAX(0,BI43+Financials!BJ14)</f>
        <v>76.3758098429188</v>
      </c>
      <c r="BK37" s="13" t="n">
        <f aca="false">MAX(0,BJ43+Financials!BK14)</f>
        <v>61.2404704737203</v>
      </c>
      <c r="BL37" s="13" t="n">
        <f aca="false">MAX(0,BK43+Financials!BL14)</f>
        <v>53.5570341137911</v>
      </c>
      <c r="BM37" s="13" t="n">
        <f aca="false">MAX(0,BL43+Financials!BM14)</f>
        <v>19.1829190793915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1894</v>
      </c>
      <c r="E38" s="0" t="s">
        <v>151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21.1494730996995</v>
      </c>
      <c r="AM38" s="13" t="n">
        <f aca="false">AM24*MIN(AM31-AM34-AM35,AM37)</f>
        <v>25.5955133173537</v>
      </c>
      <c r="AN38" s="13" t="n">
        <f aca="false">AN24*MIN(AN31-AN34-AN35,AN37)</f>
        <v>23.4950465061836</v>
      </c>
      <c r="AO38" s="13" t="n">
        <f aca="false">AO24*MIN(AO31-AO34-AO35,AO37)</f>
        <v>45.6650680456844</v>
      </c>
      <c r="AP38" s="13" t="n">
        <f aca="false">AP24*MIN(AP31-AP34-AP35,AP37)</f>
        <v>45.9309430025086</v>
      </c>
      <c r="AQ38" s="13" t="n">
        <f aca="false">AQ24*MIN(AQ31-AQ34-AQ35,AQ37)</f>
        <v>45.4691828745509</v>
      </c>
      <c r="AR38" s="13" t="n">
        <f aca="false">AR24*MIN(AR31-AR34-AR35,AR37)</f>
        <v>46.4061291922982</v>
      </c>
      <c r="AS38" s="13" t="n">
        <f aca="false">AS24*MIN(AS31-AS34-AS35,AS37)</f>
        <v>45.6689340901091</v>
      </c>
      <c r="AT38" s="13" t="n">
        <f aca="false">AT24*MIN(AT31-AT34-AT35,AT37)</f>
        <v>51.4111792477814</v>
      </c>
      <c r="AU38" s="13" t="n">
        <f aca="false">AU24*MIN(AU31-AU34-AU35,AU37)</f>
        <v>46.73008753358</v>
      </c>
      <c r="AV38" s="13" t="n">
        <f aca="false">AV24*MIN(AV31-AV34-AV35,AV37)</f>
        <v>48.1801803921068</v>
      </c>
      <c r="AW38" s="13" t="n">
        <f aca="false">AW24*MIN(AW31-AW34-AW35,AW37)</f>
        <v>48.2920442839554</v>
      </c>
      <c r="AX38" s="13" t="n">
        <f aca="false">AX24*MIN(AX31-AX34-AX35,AX37)</f>
        <v>48.7844871932983</v>
      </c>
      <c r="AY38" s="13" t="n">
        <f aca="false">AY24*MIN(AY31-AY34-AY35,AY37)</f>
        <v>48.3130428004442</v>
      </c>
      <c r="AZ38" s="13" t="n">
        <f aca="false">AZ24*MIN(AZ31-AZ34-AZ35,AZ37)</f>
        <v>49.2872750067212</v>
      </c>
      <c r="BA38" s="13" t="n">
        <f aca="false">BA24*MIN(BA31-BA34-BA35,BA37)</f>
        <v>48.2318534437979</v>
      </c>
      <c r="BB38" s="13" t="n">
        <f aca="false">BB24*MIN(BB31-BB34-BB35,BB37)</f>
        <v>48.5677922796996</v>
      </c>
      <c r="BC38" s="13" t="n">
        <f aca="false">BC24*MIN(BC31-BC34-BC35,BC37)</f>
        <v>45.1222678331512</v>
      </c>
      <c r="BD38" s="13" t="n">
        <f aca="false">BD24*MIN(BD31-BD34-BD35,BD37)</f>
        <v>40.0519807784969</v>
      </c>
      <c r="BE38" s="13" t="n">
        <f aca="false">BE24*MIN(BE31-BE34-BE35,BE37)</f>
        <v>39.9085964835915</v>
      </c>
      <c r="BF38" s="13" t="n">
        <f aca="false">BF24*MIN(BF31-BF34-BF35,BF37)</f>
        <v>40.4098855657471</v>
      </c>
      <c r="BG38" s="13" t="n">
        <f aca="false">BG24*MIN(BG31-BG34-BG35,BG37)</f>
        <v>39.9107969503162</v>
      </c>
      <c r="BH38" s="13" t="n">
        <f aca="false">BH24*MIN(BH31-BH34-BH35,BH37)</f>
        <v>40.9081491575132</v>
      </c>
      <c r="BI38" s="13" t="n">
        <f aca="false">BI24*MIN(BI31-BI34-BI35,BI37)</f>
        <v>40.1229446378997</v>
      </c>
      <c r="BJ38" s="13" t="n">
        <f aca="false">BJ24*MIN(BJ31-BJ34-BJ35,BJ37)</f>
        <v>47.065773405743</v>
      </c>
      <c r="BK38" s="13" t="n">
        <f aca="false">BK24*MIN(BK31-BK34-BK35,BK37)</f>
        <v>41.5368699793821</v>
      </c>
      <c r="BL38" s="13" t="n">
        <f aca="false">BL24*MIN(BL31-BL34-BL35,BL37)</f>
        <v>43.7051553419889</v>
      </c>
      <c r="BM38" s="13" t="n">
        <f aca="false">BM24*MIN(BM31-BM34-BM35,BM37)</f>
        <v>19.1829190793915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1895</v>
      </c>
      <c r="E39" s="0" t="s">
        <v>151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41.0578182623503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1896</v>
      </c>
      <c r="E40" s="0" t="s">
        <v>151</v>
      </c>
      <c r="G40" s="13" t="n">
        <f aca="false">SUM(J40:BN40)</f>
        <v>41.0578182623503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41.0578182623503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1897</v>
      </c>
      <c r="E41" s="0" t="s">
        <v>151</v>
      </c>
      <c r="G41" s="13" t="n">
        <f aca="false">SUM(J41:BN41)</f>
        <v>1216.16138978534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21.1494730996995</v>
      </c>
      <c r="AM41" s="13" t="n">
        <f aca="false">AM38+AM40</f>
        <v>25.5955133173537</v>
      </c>
      <c r="AN41" s="13" t="n">
        <f aca="false">AN38+AN40</f>
        <v>23.4950465061836</v>
      </c>
      <c r="AO41" s="13" t="n">
        <f aca="false">AO38+AO40</f>
        <v>45.6650680456844</v>
      </c>
      <c r="AP41" s="13" t="n">
        <f aca="false">AP38+AP40</f>
        <v>45.9309430025086</v>
      </c>
      <c r="AQ41" s="13" t="n">
        <f aca="false">AQ38+AQ40</f>
        <v>45.4691828745509</v>
      </c>
      <c r="AR41" s="13" t="n">
        <f aca="false">AR38+AR40</f>
        <v>46.4061291922982</v>
      </c>
      <c r="AS41" s="13" t="n">
        <f aca="false">AS38+AS40</f>
        <v>45.6689340901091</v>
      </c>
      <c r="AT41" s="13" t="n">
        <f aca="false">AT38+AT40</f>
        <v>51.4111792477814</v>
      </c>
      <c r="AU41" s="13" t="n">
        <f aca="false">AU38+AU40</f>
        <v>46.73008753358</v>
      </c>
      <c r="AV41" s="13" t="n">
        <f aca="false">AV38+AV40</f>
        <v>48.1801803921068</v>
      </c>
      <c r="AW41" s="13" t="n">
        <f aca="false">AW38+AW40</f>
        <v>48.2920442839554</v>
      </c>
      <c r="AX41" s="13" t="n">
        <f aca="false">AX38+AX40</f>
        <v>48.7844871932983</v>
      </c>
      <c r="AY41" s="13" t="n">
        <f aca="false">AY38+AY40</f>
        <v>48.3130428004442</v>
      </c>
      <c r="AZ41" s="13" t="n">
        <f aca="false">AZ38+AZ40</f>
        <v>49.2872750067212</v>
      </c>
      <c r="BA41" s="13" t="n">
        <f aca="false">BA38+BA40</f>
        <v>48.2318534437979</v>
      </c>
      <c r="BB41" s="13" t="n">
        <f aca="false">BB38+BB40</f>
        <v>48.5677922796996</v>
      </c>
      <c r="BC41" s="13" t="n">
        <f aca="false">BC38+BC40</f>
        <v>45.1222678331512</v>
      </c>
      <c r="BD41" s="13" t="n">
        <f aca="false">BD38+BD40</f>
        <v>40.0519807784969</v>
      </c>
      <c r="BE41" s="13" t="n">
        <f aca="false">BE38+BE40</f>
        <v>39.9085964835915</v>
      </c>
      <c r="BF41" s="13" t="n">
        <f aca="false">BF38+BF40</f>
        <v>40.4098855657471</v>
      </c>
      <c r="BG41" s="13" t="n">
        <f aca="false">BG38+BG40</f>
        <v>39.9107969503162</v>
      </c>
      <c r="BH41" s="13" t="n">
        <f aca="false">BH38+BH40</f>
        <v>40.9081491575132</v>
      </c>
      <c r="BI41" s="13" t="n">
        <f aca="false">BI38+BI40</f>
        <v>40.1229446378997</v>
      </c>
      <c r="BJ41" s="13" t="n">
        <f aca="false">BJ38+BJ40</f>
        <v>47.065773405743</v>
      </c>
      <c r="BK41" s="13" t="n">
        <f aca="false">BK38+BK40</f>
        <v>41.5368699793821</v>
      </c>
      <c r="BL41" s="13" t="n">
        <f aca="false">BL38+BL40</f>
        <v>43.7051553419889</v>
      </c>
      <c r="BM41" s="13" t="n">
        <f aca="false">BM38+BM40</f>
        <v>60.2407373417418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1898</v>
      </c>
      <c r="E42" s="0" t="s">
        <v>151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1899</v>
      </c>
      <c r="E43" s="0" t="s">
        <v>151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9.51834320938345</v>
      </c>
      <c r="P43" s="13" t="n">
        <f aca="false">IF(Time!P20&lt;Time!$F$12,0,O43+Financials!P14-P41)</f>
        <v>14.7923414080365</v>
      </c>
      <c r="Q43" s="13" t="n">
        <f aca="false">IF(Time!Q20&lt;Time!$F$12,0,P43+Financials!Q14-Q41)</f>
        <v>21.2882707044019</v>
      </c>
      <c r="R43" s="13" t="n">
        <f aca="false">IF(Time!R20&lt;Time!$F$12,0,Q43+Financials!R14-R41)</f>
        <v>28.1752588698329</v>
      </c>
      <c r="S43" s="13" t="n">
        <f aca="false">IF(Time!S20&lt;Time!$F$12,0,R43+Financials!S14-S41)</f>
        <v>36.5886630479412</v>
      </c>
      <c r="T43" s="13" t="n">
        <f aca="false">IF(Time!T20&lt;Time!$F$12,0,S43+Financials!T14-T41)</f>
        <v>46.2223487383631</v>
      </c>
      <c r="U43" s="13" t="n">
        <f aca="false">IF(Time!U20&lt;Time!$F$12,0,T43+Financials!U14-U41)</f>
        <v>56.5918902029514</v>
      </c>
      <c r="V43" s="13" t="n">
        <f aca="false">IF(Time!V20&lt;Time!$F$12,0,U43+Financials!V14-V41)</f>
        <v>64.1899298205569</v>
      </c>
      <c r="W43" s="13" t="n">
        <f aca="false">IF(Time!W20&lt;Time!$F$12,0,V43+Financials!W14-W41)</f>
        <v>76.478707632309</v>
      </c>
      <c r="X43" s="13" t="n">
        <f aca="false">IF(Time!X20&lt;Time!$F$12,0,W43+Financials!X14-X41)</f>
        <v>91.2485144452664</v>
      </c>
      <c r="Y43" s="13" t="n">
        <f aca="false">IF(Time!Y20&lt;Time!$F$12,0,X43+Financials!Y14-Y41)</f>
        <v>107.110952880946</v>
      </c>
      <c r="Z43" s="13" t="n">
        <f aca="false">IF(Time!Z20&lt;Time!$F$12,0,Y43+Financials!Z14-Z41)</f>
        <v>124.30600802497</v>
      </c>
      <c r="AA43" s="13" t="n">
        <f aca="false">IF(Time!AA20&lt;Time!$F$12,0,Z43+Financials!AA14-AA41)</f>
        <v>143.374038355129</v>
      </c>
      <c r="AB43" s="13" t="n">
        <f aca="false">IF(Time!AB20&lt;Time!$F$12,0,AA43+Financials!AB14-AB41)</f>
        <v>164.176157359806</v>
      </c>
      <c r="AC43" s="13" t="n">
        <f aca="false">IF(Time!AC20&lt;Time!$F$12,0,AB43+Financials!AC14-AC41)</f>
        <v>185.692008453866</v>
      </c>
      <c r="AD43" s="13" t="n">
        <f aca="false">IF(Time!AD20&lt;Time!$F$12,0,AC43+Financials!AD14-AD41)</f>
        <v>194.714197579785</v>
      </c>
      <c r="AE43" s="13" t="n">
        <f aca="false">IF(Time!AE20&lt;Time!$F$12,0,AD43+Financials!AE14-AE41)</f>
        <v>216.510529700763</v>
      </c>
      <c r="AF43" s="13" t="n">
        <f aca="false">IF(Time!AF20&lt;Time!$F$12,0,AE43+Financials!AF14-AF41)</f>
        <v>236.680084063321</v>
      </c>
      <c r="AG43" s="13" t="n">
        <f aca="false">IF(Time!AG20&lt;Time!$F$12,0,AF43+Financials!AG14-AG41)</f>
        <v>257.818881652875</v>
      </c>
      <c r="AH43" s="13" t="n">
        <f aca="false">IF(Time!AH20&lt;Time!$F$12,0,AG43+Financials!AH14-AH41)</f>
        <v>279.853883608015</v>
      </c>
      <c r="AI43" s="13" t="n">
        <f aca="false">IF(Time!AI20&lt;Time!$F$12,0,AH43+Financials!AI14-AI41)</f>
        <v>303.400018851835</v>
      </c>
      <c r="AJ43" s="13" t="n">
        <f aca="false">IF(Time!AJ20&lt;Time!$F$12,0,AI43+Financials!AJ14-AJ41)</f>
        <v>328.493093167632</v>
      </c>
      <c r="AK43" s="13" t="n">
        <f aca="false">IF(Time!AK20&lt;Time!$F$12,0,AJ43+Financials!AK14-AK41)</f>
        <v>354.535733530229</v>
      </c>
      <c r="AL43" s="13" t="n">
        <f aca="false">IF(Time!AL20&lt;Time!$F$12,0,AK43+Financials!AL14-AL41)</f>
        <v>357.779914083104</v>
      </c>
      <c r="AM43" s="13" t="n">
        <f aca="false">IF(Time!AM20&lt;Time!$F$12,0,AL43+Financials!AM14-AM41)</f>
        <v>360.007214789623</v>
      </c>
      <c r="AN43" s="13" t="n">
        <f aca="false">IF(Time!AN20&lt;Time!$F$12,0,AM43+Financials!AN14-AN41)</f>
        <v>365.905512809204</v>
      </c>
      <c r="AO43" s="13" t="n">
        <f aca="false">IF(Time!AO20&lt;Time!$F$12,0,AN43+Financials!AO14-AO41)</f>
        <v>350.089182384248</v>
      </c>
      <c r="AP43" s="13" t="n">
        <f aca="false">IF(Time!AP20&lt;Time!$F$12,0,AO43+Financials!AP14-AP41)</f>
        <v>334.324992219633</v>
      </c>
      <c r="AQ43" s="13" t="n">
        <f aca="false">IF(Time!AQ20&lt;Time!$F$12,0,AP43+Financials!AQ14-AQ41)</f>
        <v>319.296942775032</v>
      </c>
      <c r="AR43" s="13" t="n">
        <f aca="false">IF(Time!AR20&lt;Time!$F$12,0,AQ43+Financials!AR14-AR41)</f>
        <v>303.754122819839</v>
      </c>
      <c r="AS43" s="13" t="n">
        <f aca="false">IF(Time!AS20&lt;Time!$F$12,0,AR43+Financials!AS14-AS41)</f>
        <v>288.262929125304</v>
      </c>
      <c r="AT43" s="13" t="n">
        <f aca="false">IF(Time!AT20&lt;Time!$F$12,0,AS43+Financials!AT14-AT41)</f>
        <v>255.625273839217</v>
      </c>
      <c r="AU43" s="13" t="n">
        <f aca="false">IF(Time!AU20&lt;Time!$F$12,0,AT43+Financials!AU14-AU41)</f>
        <v>238.515787312979</v>
      </c>
      <c r="AV43" s="13" t="n">
        <f aca="false">IF(Time!AV20&lt;Time!$F$12,0,AU43+Financials!AV14-AV41)</f>
        <v>221.749199207695</v>
      </c>
      <c r="AW43" s="13" t="n">
        <f aca="false">IF(Time!AW20&lt;Time!$F$12,0,AV43+Financials!AW14-AW41)</f>
        <v>204.863928844431</v>
      </c>
      <c r="AX43" s="13" t="n">
        <f aca="false">IF(Time!AX20&lt;Time!$F$12,0,AW43+Financials!AX14-AX41)</f>
        <v>187.334472736494</v>
      </c>
      <c r="AY43" s="13" t="n">
        <f aca="false">IF(Time!AY20&lt;Time!$F$12,0,AX43+Financials!AY14-AY41)</f>
        <v>170.565570851644</v>
      </c>
      <c r="AZ43" s="13" t="n">
        <f aca="false">IF(Time!AZ20&lt;Time!$F$12,0,AY43+Financials!AZ14-AZ41)</f>
        <v>153.265059323576</v>
      </c>
      <c r="BA43" s="13" t="n">
        <f aca="false">IF(Time!BA20&lt;Time!$F$12,0,AZ43+Financials!BA14-BA41)</f>
        <v>136.635557495635</v>
      </c>
      <c r="BB43" s="13" t="n">
        <f aca="false">IF(Time!BB20&lt;Time!$F$12,0,BA43+Financials!BB14-BB41)</f>
        <v>116.277474498581</v>
      </c>
      <c r="BC43" s="13" t="n">
        <f aca="false">IF(Time!BC20&lt;Time!$F$12,0,BB43+Financials!BC14-BC41)</f>
        <v>102.517835204038</v>
      </c>
      <c r="BD43" s="13" t="n">
        <f aca="false">IF(Time!BD20&lt;Time!$F$12,0,BC43+Financials!BD14-BD41)</f>
        <v>95.0496394186259</v>
      </c>
      <c r="BE43" s="13" t="n">
        <f aca="false">IF(Time!BE20&lt;Time!$F$12,0,BD43+Financials!BE14-BE41)</f>
        <v>87.7248155356326</v>
      </c>
      <c r="BF43" s="13" t="n">
        <f aca="false">IF(Time!BF20&lt;Time!$F$12,0,BE43+Financials!BF14-BF41)</f>
        <v>79.7506611918386</v>
      </c>
      <c r="BG43" s="13" t="n">
        <f aca="false">IF(Time!BG20&lt;Time!$F$12,0,BF43+Financials!BG14-BG41)</f>
        <v>72.5806612714715</v>
      </c>
      <c r="BH43" s="13" t="n">
        <f aca="false">IF(Time!BH20&lt;Time!$F$12,0,BG43+Financials!BH14-BH41)</f>
        <v>64.8781719567481</v>
      </c>
      <c r="BI43" s="13" t="n">
        <f aca="false">IF(Time!BI20&lt;Time!$F$12,0,BH43+Financials!BI14-BI41)</f>
        <v>57.2470678597352</v>
      </c>
      <c r="BJ43" s="13" t="n">
        <f aca="false">IF(Time!BJ20&lt;Time!$F$12,0,BI43+Financials!BJ14-BJ41)</f>
        <v>29.3100364371759</v>
      </c>
      <c r="BK43" s="13" t="n">
        <f aca="false">IF(Time!BK20&lt;Time!$F$12,0,BJ43+Financials!BK14-BK41)</f>
        <v>19.7036004943382</v>
      </c>
      <c r="BL43" s="13" t="n">
        <f aca="false">IF(Time!BL20&lt;Time!$F$12,0,BK43+Financials!BL14-BL41)</f>
        <v>9.85187877180224</v>
      </c>
      <c r="BM43" s="13" t="n">
        <f aca="false">IF(Time!BM20&lt;Time!$F$12,0,BL43+Financials!BM14-BM41)</f>
        <v>-41.0578182623503</v>
      </c>
      <c r="BN43" s="13" t="n">
        <f aca="false">IF(Time!BN20&lt;Time!$F$12,0,BM43+Financials!BN14-BN41)</f>
        <v>-41.0578182623503</v>
      </c>
    </row>
    <row r="44" customFormat="false" ht="15" hidden="false" customHeight="false" outlineLevel="0" collapsed="false">
      <c r="D44" s="0" t="s">
        <v>1900</v>
      </c>
      <c r="E44" s="0" t="s">
        <v>151</v>
      </c>
      <c r="G44" s="13" t="n">
        <f aca="false">SUM(J44:BN44)</f>
        <v>1508.76911098482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19.3183519223685</v>
      </c>
      <c r="Q44" s="13" t="n">
        <f aca="false">Q34+Q35+Q41</f>
        <v>16.2951233866581</v>
      </c>
      <c r="R44" s="13" t="n">
        <f aca="false">R34+R35+R41</f>
        <v>16.8810359337366</v>
      </c>
      <c r="S44" s="13" t="n">
        <f aca="false">S34+S35+S41</f>
        <v>15.8435811857195</v>
      </c>
      <c r="T44" s="13" t="n">
        <f aca="false">T34+T35+T41</f>
        <v>17.3238750968216</v>
      </c>
      <c r="U44" s="13" t="n">
        <f aca="false">U34+U35+U41</f>
        <v>16.8230721606346</v>
      </c>
      <c r="V44" s="13" t="n">
        <f aca="false">V34+V35+V41</f>
        <v>16.6665978628349</v>
      </c>
      <c r="W44" s="13" t="n">
        <f aca="false">W34+W35+W41</f>
        <v>16.5968618165843</v>
      </c>
      <c r="X44" s="13" t="n">
        <f aca="false">X34+X35+X41</f>
        <v>16.5878856740958</v>
      </c>
      <c r="Y44" s="13" t="n">
        <f aca="false">Y34+Y35+Y41</f>
        <v>16.1887777777456</v>
      </c>
      <c r="Z44" s="13" t="n">
        <f aca="false">Z34+Z35+Z41</f>
        <v>16.7835470474145</v>
      </c>
      <c r="AA44" s="13" t="n">
        <f aca="false">AA34+AA35+AA41</f>
        <v>7.85908871941768</v>
      </c>
      <c r="AB44" s="13" t="n">
        <f aca="false">AB34+AB35+AB41</f>
        <v>9.4795278924246</v>
      </c>
      <c r="AC44" s="13" t="n">
        <f aca="false">AC34+AC35+AC41</f>
        <v>9.37136108645005</v>
      </c>
      <c r="AD44" s="13" t="n">
        <f aca="false">AD34+AD35+AD41</f>
        <v>10.1851896598801</v>
      </c>
      <c r="AE44" s="13" t="n">
        <f aca="false">AE34+AE35+AE41</f>
        <v>9.08696237506704</v>
      </c>
      <c r="AF44" s="13" t="n">
        <f aca="false">AF34+AF35+AF41</f>
        <v>8.00854822905012</v>
      </c>
      <c r="AG44" s="13" t="n">
        <f aca="false">AG34+AG35+AG41</f>
        <v>8.27936900762144</v>
      </c>
      <c r="AH44" s="13" t="n">
        <f aca="false">AH34+AH35+AH41</f>
        <v>9.10155865632477</v>
      </c>
      <c r="AI44" s="13" t="n">
        <f aca="false">AI34+AI35+AI41</f>
        <v>9.26113287306614</v>
      </c>
      <c r="AJ44" s="13" t="n">
        <f aca="false">AJ34+AJ35+AJ41</f>
        <v>10.712394042413</v>
      </c>
      <c r="AK44" s="13" t="n">
        <f aca="false">AK34+AK35+AK41</f>
        <v>11.763017751447</v>
      </c>
      <c r="AL44" s="13" t="n">
        <f aca="false">AL34+AL35+AL41</f>
        <v>25.3403341413996</v>
      </c>
      <c r="AM44" s="13" t="n">
        <f aca="false">AM34+AM35+AM41</f>
        <v>25.5955133173537</v>
      </c>
      <c r="AN44" s="13" t="n">
        <f aca="false">AN34+AN35+AN41</f>
        <v>23.4950465061836</v>
      </c>
      <c r="AO44" s="13" t="n">
        <f aca="false">AO34+AO35+AO41</f>
        <v>45.6650680456844</v>
      </c>
      <c r="AP44" s="13" t="n">
        <f aca="false">AP34+AP35+AP41</f>
        <v>45.9309430025086</v>
      </c>
      <c r="AQ44" s="13" t="n">
        <f aca="false">AQ34+AQ35+AQ41</f>
        <v>45.4691828745509</v>
      </c>
      <c r="AR44" s="13" t="n">
        <f aca="false">AR34+AR35+AR41</f>
        <v>46.4061291922982</v>
      </c>
      <c r="AS44" s="13" t="n">
        <f aca="false">AS34+AS35+AS41</f>
        <v>45.6689340901091</v>
      </c>
      <c r="AT44" s="13" t="n">
        <f aca="false">AT34+AT35+AT41</f>
        <v>51.4111792477814</v>
      </c>
      <c r="AU44" s="13" t="n">
        <f aca="false">AU34+AU35+AU41</f>
        <v>46.73008753358</v>
      </c>
      <c r="AV44" s="13" t="n">
        <f aca="false">AV34+AV35+AV41</f>
        <v>48.1801803921068</v>
      </c>
      <c r="AW44" s="13" t="n">
        <f aca="false">AW34+AW35+AW41</f>
        <v>48.2920442839554</v>
      </c>
      <c r="AX44" s="13" t="n">
        <f aca="false">AX34+AX35+AX41</f>
        <v>48.7844871932983</v>
      </c>
      <c r="AY44" s="13" t="n">
        <f aca="false">AY34+AY35+AY41</f>
        <v>48.3130428004442</v>
      </c>
      <c r="AZ44" s="13" t="n">
        <f aca="false">AZ34+AZ35+AZ41</f>
        <v>49.2872750067212</v>
      </c>
      <c r="BA44" s="13" t="n">
        <f aca="false">BA34+BA35+BA41</f>
        <v>48.2318534437979</v>
      </c>
      <c r="BB44" s="13" t="n">
        <f aca="false">BB34+BB35+BB41</f>
        <v>48.5677922796996</v>
      </c>
      <c r="BC44" s="13" t="n">
        <f aca="false">BC34+BC35+BC41</f>
        <v>45.1222678331512</v>
      </c>
      <c r="BD44" s="13" t="n">
        <f aca="false">BD34+BD35+BD41</f>
        <v>40.0519807784969</v>
      </c>
      <c r="BE44" s="13" t="n">
        <f aca="false">BE34+BE35+BE41</f>
        <v>39.9085964835915</v>
      </c>
      <c r="BF44" s="13" t="n">
        <f aca="false">BF34+BF35+BF41</f>
        <v>40.4098855657471</v>
      </c>
      <c r="BG44" s="13" t="n">
        <f aca="false">BG34+BG35+BG41</f>
        <v>39.9107969503162</v>
      </c>
      <c r="BH44" s="13" t="n">
        <f aca="false">BH34+BH35+BH41</f>
        <v>40.9081491575132</v>
      </c>
      <c r="BI44" s="13" t="n">
        <f aca="false">BI34+BI35+BI41</f>
        <v>40.1229446378997</v>
      </c>
      <c r="BJ44" s="13" t="n">
        <f aca="false">BJ34+BJ35+BJ41</f>
        <v>47.065773405743</v>
      </c>
      <c r="BK44" s="13" t="n">
        <f aca="false">BK34+BK35+BK41</f>
        <v>41.5368699793821</v>
      </c>
      <c r="BL44" s="13" t="n">
        <f aca="false">BL34+BL35+BL41</f>
        <v>43.7051553419889</v>
      </c>
      <c r="BM44" s="13" t="n">
        <f aca="false">BM34+BM35+BM41</f>
        <v>60.2407373417418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1901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1902</v>
      </c>
    </row>
    <row r="8" customFormat="false" ht="15" hidden="false" customHeight="false" outlineLevel="0" collapsed="false">
      <c r="D8" s="0" t="s">
        <v>1903</v>
      </c>
      <c r="E8" s="0" t="s">
        <v>151</v>
      </c>
      <c r="G8" s="13" t="n">
        <f aca="false">SUM(J8:BN8)</f>
        <v>839.165028593785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5.59443352395857</v>
      </c>
      <c r="P8" s="13" t="n">
        <f aca="false">Funding!$F$76/Time!$F$9*Time!P30</f>
        <v>16.7833005718757</v>
      </c>
      <c r="Q8" s="13" t="n">
        <f aca="false">Funding!$F$76/Time!$F$9*Time!Q30</f>
        <v>16.7833005718757</v>
      </c>
      <c r="R8" s="13" t="n">
        <f aca="false">Funding!$F$76/Time!$F$9*Time!R30</f>
        <v>16.7833005718757</v>
      </c>
      <c r="S8" s="13" t="n">
        <f aca="false">Funding!$F$76/Time!$F$9*Time!S30</f>
        <v>16.7833005718757</v>
      </c>
      <c r="T8" s="13" t="n">
        <f aca="false">Funding!$F$76/Time!$F$9*Time!T30</f>
        <v>16.7833005718757</v>
      </c>
      <c r="U8" s="13" t="n">
        <f aca="false">Funding!$F$76/Time!$F$9*Time!U30</f>
        <v>16.7833005718757</v>
      </c>
      <c r="V8" s="13" t="n">
        <f aca="false">Funding!$F$76/Time!$F$9*Time!V30</f>
        <v>16.7833005718757</v>
      </c>
      <c r="W8" s="13" t="n">
        <f aca="false">Funding!$F$76/Time!$F$9*Time!W30</f>
        <v>16.7833005718757</v>
      </c>
      <c r="X8" s="13" t="n">
        <f aca="false">Funding!$F$76/Time!$F$9*Time!X30</f>
        <v>16.7833005718757</v>
      </c>
      <c r="Y8" s="13" t="n">
        <f aca="false">Funding!$F$76/Time!$F$9*Time!Y30</f>
        <v>16.7833005718757</v>
      </c>
      <c r="Z8" s="13" t="n">
        <f aca="false">Funding!$F$76/Time!$F$9*Time!Z30</f>
        <v>16.7833005718757</v>
      </c>
      <c r="AA8" s="13" t="n">
        <f aca="false">Funding!$F$76/Time!$F$9*Time!AA30</f>
        <v>16.7833005718757</v>
      </c>
      <c r="AB8" s="13" t="n">
        <f aca="false">Funding!$F$76/Time!$F$9*Time!AB30</f>
        <v>16.7833005718757</v>
      </c>
      <c r="AC8" s="13" t="n">
        <f aca="false">Funding!$F$76/Time!$F$9*Time!AC30</f>
        <v>16.7833005718757</v>
      </c>
      <c r="AD8" s="13" t="n">
        <f aca="false">Funding!$F$76/Time!$F$9*Time!AD30</f>
        <v>16.7833005718757</v>
      </c>
      <c r="AE8" s="13" t="n">
        <f aca="false">Funding!$F$76/Time!$F$9*Time!AE30</f>
        <v>16.7833005718757</v>
      </c>
      <c r="AF8" s="13" t="n">
        <f aca="false">Funding!$F$76/Time!$F$9*Time!AF30</f>
        <v>16.7833005718757</v>
      </c>
      <c r="AG8" s="13" t="n">
        <f aca="false">Funding!$F$76/Time!$F$9*Time!AG30</f>
        <v>16.7833005718757</v>
      </c>
      <c r="AH8" s="13" t="n">
        <f aca="false">Funding!$F$76/Time!$F$9*Time!AH30</f>
        <v>16.7833005718757</v>
      </c>
      <c r="AI8" s="13" t="n">
        <f aca="false">Funding!$F$76/Time!$F$9*Time!AI30</f>
        <v>16.7833005718757</v>
      </c>
      <c r="AJ8" s="13" t="n">
        <f aca="false">Funding!$F$76/Time!$F$9*Time!AJ30</f>
        <v>16.7833005718757</v>
      </c>
      <c r="AK8" s="13" t="n">
        <f aca="false">Funding!$F$76/Time!$F$9*Time!AK30</f>
        <v>16.7833005718757</v>
      </c>
      <c r="AL8" s="13" t="n">
        <f aca="false">Funding!$F$76/Time!$F$9*Time!AL30</f>
        <v>16.7833005718757</v>
      </c>
      <c r="AM8" s="13" t="n">
        <f aca="false">Funding!$F$76/Time!$F$9*Time!AM30</f>
        <v>16.7833005718757</v>
      </c>
      <c r="AN8" s="13" t="n">
        <f aca="false">Funding!$F$76/Time!$F$9*Time!AN30</f>
        <v>16.7833005718757</v>
      </c>
      <c r="AO8" s="13" t="n">
        <f aca="false">Funding!$F$76/Time!$F$9*Time!AO30</f>
        <v>16.7833005718757</v>
      </c>
      <c r="AP8" s="13" t="n">
        <f aca="false">Funding!$F$76/Time!$F$9*Time!AP30</f>
        <v>16.7833005718757</v>
      </c>
      <c r="AQ8" s="13" t="n">
        <f aca="false">Funding!$F$76/Time!$F$9*Time!AQ30</f>
        <v>16.7833005718757</v>
      </c>
      <c r="AR8" s="13" t="n">
        <f aca="false">Funding!$F$76/Time!$F$9*Time!AR30</f>
        <v>16.7833005718757</v>
      </c>
      <c r="AS8" s="13" t="n">
        <f aca="false">Funding!$F$76/Time!$F$9*Time!AS30</f>
        <v>16.7833005718757</v>
      </c>
      <c r="AT8" s="13" t="n">
        <f aca="false">Funding!$F$76/Time!$F$9*Time!AT30</f>
        <v>16.7833005718757</v>
      </c>
      <c r="AU8" s="13" t="n">
        <f aca="false">Funding!$F$76/Time!$F$9*Time!AU30</f>
        <v>16.7833005718757</v>
      </c>
      <c r="AV8" s="13" t="n">
        <f aca="false">Funding!$F$76/Time!$F$9*Time!AV30</f>
        <v>16.7833005718757</v>
      </c>
      <c r="AW8" s="13" t="n">
        <f aca="false">Funding!$F$76/Time!$F$9*Time!AW30</f>
        <v>16.7833005718757</v>
      </c>
      <c r="AX8" s="13" t="n">
        <f aca="false">Funding!$F$76/Time!$F$9*Time!AX30</f>
        <v>16.7833005718757</v>
      </c>
      <c r="AY8" s="13" t="n">
        <f aca="false">Funding!$F$76/Time!$F$9*Time!AY30</f>
        <v>16.7833005718757</v>
      </c>
      <c r="AZ8" s="13" t="n">
        <f aca="false">Funding!$F$76/Time!$F$9*Time!AZ30</f>
        <v>16.7833005718757</v>
      </c>
      <c r="BA8" s="13" t="n">
        <f aca="false">Funding!$F$76/Time!$F$9*Time!BA30</f>
        <v>16.7833005718757</v>
      </c>
      <c r="BB8" s="13" t="n">
        <f aca="false">Funding!$F$76/Time!$F$9*Time!BB30</f>
        <v>16.7833005718757</v>
      </c>
      <c r="BC8" s="13" t="n">
        <f aca="false">Funding!$F$76/Time!$F$9*Time!BC30</f>
        <v>16.7833005718757</v>
      </c>
      <c r="BD8" s="13" t="n">
        <f aca="false">Funding!$F$76/Time!$F$9*Time!BD30</f>
        <v>16.7833005718757</v>
      </c>
      <c r="BE8" s="13" t="n">
        <f aca="false">Funding!$F$76/Time!$F$9*Time!BE30</f>
        <v>16.7833005718757</v>
      </c>
      <c r="BF8" s="13" t="n">
        <f aca="false">Funding!$F$76/Time!$F$9*Time!BF30</f>
        <v>16.7833005718757</v>
      </c>
      <c r="BG8" s="13" t="n">
        <f aca="false">Funding!$F$76/Time!$F$9*Time!BG30</f>
        <v>16.7833005718757</v>
      </c>
      <c r="BH8" s="13" t="n">
        <f aca="false">Funding!$F$76/Time!$F$9*Time!BH30</f>
        <v>16.7833005718757</v>
      </c>
      <c r="BI8" s="13" t="n">
        <f aca="false">Funding!$F$76/Time!$F$9*Time!BI30</f>
        <v>16.7833005718757</v>
      </c>
      <c r="BJ8" s="13" t="n">
        <f aca="false">Funding!$F$76/Time!$F$9*Time!BJ30</f>
        <v>16.7833005718757</v>
      </c>
      <c r="BK8" s="13" t="n">
        <f aca="false">Funding!$F$76/Time!$F$9*Time!BK30</f>
        <v>16.7833005718757</v>
      </c>
      <c r="BL8" s="13" t="n">
        <f aca="false">Funding!$F$76/Time!$F$9*Time!BL30</f>
        <v>16.7833005718757</v>
      </c>
      <c r="BM8" s="13" t="n">
        <f aca="false">Funding!$F$76/Time!$F$9*Time!BM30</f>
        <v>11.1888670479171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1904</v>
      </c>
      <c r="E9" s="0" t="s">
        <v>151</v>
      </c>
      <c r="G9" s="13" t="n">
        <f aca="false">SUM(J9:BN9)</f>
        <v>453.557023304449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2.97831145595445</v>
      </c>
      <c r="P9" s="13" t="n">
        <f aca="false">Debt!P112+Debt!P110+Debt!P104-Debt!P103+Tax!P13</f>
        <v>32.2639734353388</v>
      </c>
      <c r="Q9" s="13" t="n">
        <f aca="false">Debt!Q112+Debt!Q110+Debt!Q104-Debt!Q103+Tax!Q13</f>
        <v>31.085972757325</v>
      </c>
      <c r="R9" s="13" t="n">
        <f aca="false">Debt!R112+Debt!R110+Debt!R104-Debt!R103+Tax!R13</f>
        <v>30.4740225386787</v>
      </c>
      <c r="S9" s="13" t="n">
        <f aca="false">Debt!S112+Debt!S110+Debt!S104-Debt!S103+Tax!S13</f>
        <v>29.2856527812565</v>
      </c>
      <c r="T9" s="13" t="n">
        <f aca="false">Debt!T112+Debt!T110+Debt!T104-Debt!T103+Tax!T13</f>
        <v>28.5942346304854</v>
      </c>
      <c r="U9" s="13" t="n">
        <f aca="false">Debt!U112+Debt!U110+Debt!U104-Debt!U103+Tax!U13</f>
        <v>27.3314973220812</v>
      </c>
      <c r="V9" s="13" t="n">
        <f aca="false">Debt!V112+Debt!V110+Debt!V104-Debt!V103+Tax!V13</f>
        <v>26.3922590021069</v>
      </c>
      <c r="W9" s="13" t="n">
        <f aca="false">Debt!W112+Debt!W110+Debt!W104-Debt!W103+Tax!W13</f>
        <v>25.0321874660855</v>
      </c>
      <c r="X9" s="13" t="n">
        <f aca="false">Debt!X112+Debt!X110+Debt!X104-Debt!X103+Tax!X13</f>
        <v>24.0739362621906</v>
      </c>
      <c r="Y9" s="13" t="n">
        <f aca="false">Debt!Y112+Debt!Y110+Debt!Y104-Debt!Y103+Tax!Y13</f>
        <v>23.1982466950646</v>
      </c>
      <c r="Z9" s="13" t="n">
        <f aca="false">Debt!Z112+Debt!Z110+Debt!Z104-Debt!Z103+Tax!Z13</f>
        <v>22.1391338853322</v>
      </c>
      <c r="AA9" s="13" t="n">
        <f aca="false">Debt!AA112+Debt!AA110+Debt!AA104-Debt!AA103+Tax!AA13</f>
        <v>20.6207681362362</v>
      </c>
      <c r="AB9" s="13" t="n">
        <f aca="false">Debt!AB112+Debt!AB110+Debt!AB104-Debt!AB103+Tax!AB13</f>
        <v>19.4382431096609</v>
      </c>
      <c r="AC9" s="13" t="n">
        <f aca="false">Debt!AC112+Debt!AC110+Debt!AC104-Debt!AC103+Tax!AC13</f>
        <v>17.7791741992538</v>
      </c>
      <c r="AD9" s="13" t="n">
        <f aca="false">Debt!AD112+Debt!AD110+Debt!AD104-Debt!AD103+Tax!AD13</f>
        <v>16.3334278740379</v>
      </c>
      <c r="AE9" s="13" t="n">
        <f aca="false">Debt!AE112+Debt!AE110+Debt!AE104-Debt!AE103+Tax!AE13</f>
        <v>14.5472031361411</v>
      </c>
      <c r="AF9" s="13" t="n">
        <f aca="false">Debt!AF112+Debt!AF110+Debt!AF104-Debt!AF103+Tax!AF13</f>
        <v>13.1017008110672</v>
      </c>
      <c r="AG9" s="13" t="n">
        <f aca="false">Debt!AG112+Debt!AG110+Debt!AG104-Debt!AG103+Tax!AG13</f>
        <v>11.6899846387311</v>
      </c>
      <c r="AH9" s="13" t="n">
        <f aca="false">Debt!AH112+Debt!AH110+Debt!AH104-Debt!AH103+Tax!AH13</f>
        <v>10.1837017910336</v>
      </c>
      <c r="AI9" s="13" t="n">
        <f aca="false">Debt!AI112+Debt!AI110+Debt!AI104-Debt!AI103+Tax!AI13</f>
        <v>8.39748603834044</v>
      </c>
      <c r="AJ9" s="13" t="n">
        <f aca="false">Debt!AJ112+Debt!AJ110+Debt!AJ104-Debt!AJ103+Tax!AJ13</f>
        <v>6.76382672567028</v>
      </c>
      <c r="AK9" s="13" t="n">
        <f aca="false">Debt!AK112+Debt!AK110+Debt!AK104-Debt!AK103+Tax!AK13</f>
        <v>4.87029119710109</v>
      </c>
      <c r="AL9" s="13" t="n">
        <f aca="false">Debt!AL112+Debt!AL110+Debt!AL104-Debt!AL103+Tax!AL13</f>
        <v>2.99629645625275</v>
      </c>
      <c r="AM9" s="13" t="n">
        <f aca="false">Debt!AM112+Debt!AM110+Debt!AM104-Debt!AM103+Tax!AM13</f>
        <v>1.96437726011405</v>
      </c>
      <c r="AN9" s="13" t="n">
        <f aca="false">Debt!AN112+Debt!AN110+Debt!AN104-Debt!AN103+Tax!AN13</f>
        <v>1.34520968673111</v>
      </c>
      <c r="AO9" s="13" t="n">
        <f aca="false">Debt!AO112+Debt!AO110+Debt!AO104-Debt!AO103+Tax!AO13</f>
        <v>0.675904012177475</v>
      </c>
      <c r="AP9" s="13" t="n">
        <f aca="false">Debt!AP112+Debt!AP110+Debt!AP104-Debt!AP103+Tax!AP13</f>
        <v>0</v>
      </c>
      <c r="AQ9" s="13" t="n">
        <f aca="false">Debt!AQ112+Debt!AQ110+Debt!AQ104-Debt!AQ103+Tax!AQ13</f>
        <v>0</v>
      </c>
      <c r="AR9" s="13" t="n">
        <f aca="false">Debt!AR112+Debt!AR110+Debt!AR104-Debt!AR103+Tax!AR13</f>
        <v>0</v>
      </c>
      <c r="AS9" s="13" t="n">
        <f aca="false">Debt!AS112+Debt!AS110+Debt!AS104-Debt!AS103+Tax!AS13</f>
        <v>0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1905</v>
      </c>
      <c r="E10" s="0" t="s">
        <v>151</v>
      </c>
      <c r="J10" s="13" t="n">
        <f aca="false">Funding!$F$76-SUM(Tax!J$10:J$10)</f>
        <v>839.165028593786</v>
      </c>
      <c r="K10" s="13" t="n">
        <f aca="false">Funding!$F$76-SUM(Tax!$J$10:K$10)</f>
        <v>839.165028593786</v>
      </c>
      <c r="L10" s="13" t="n">
        <f aca="false">Funding!$F$76-SUM(Tax!$J$10:L$10)</f>
        <v>839.165028593786</v>
      </c>
      <c r="M10" s="13" t="n">
        <f aca="false">Funding!$F$76-SUM(Tax!$J$10:M$10)</f>
        <v>839.165028593786</v>
      </c>
      <c r="N10" s="13" t="n">
        <f aca="false">Funding!$F$76-SUM(Tax!$J$10:N$10)</f>
        <v>839.165028593786</v>
      </c>
      <c r="O10" s="13" t="n">
        <f aca="false">Funding!$F$76-SUM(Tax!$J$10:O$10)</f>
        <v>831.612543336441</v>
      </c>
      <c r="P10" s="13" t="n">
        <f aca="false">Funding!$F$76-SUM(Tax!$J$10:P$10)</f>
        <v>808.955087564409</v>
      </c>
      <c r="Q10" s="13" t="n">
        <f aca="false">Funding!$F$76-SUM(Tax!$J$10:Q$10)</f>
        <v>786.297631792377</v>
      </c>
      <c r="R10" s="13" t="n">
        <f aca="false">Funding!$F$76-SUM(Tax!$J$10:R$10)</f>
        <v>763.640176020345</v>
      </c>
      <c r="S10" s="13" t="n">
        <f aca="false">Funding!$F$76-SUM(Tax!$J$10:S$10)</f>
        <v>740.982720248313</v>
      </c>
      <c r="T10" s="13" t="n">
        <f aca="false">Funding!$F$76-SUM(Tax!$J$10:T$10)</f>
        <v>718.32526447628</v>
      </c>
      <c r="U10" s="13" t="n">
        <f aca="false">Funding!$F$76-SUM(Tax!$J$10:U$10)</f>
        <v>695.667808704248</v>
      </c>
      <c r="V10" s="13" t="n">
        <f aca="false">Funding!$F$76-SUM(Tax!$J$10:V$10)</f>
        <v>673.010352932216</v>
      </c>
      <c r="W10" s="13" t="n">
        <f aca="false">Funding!$F$76-SUM(Tax!$J$10:W$10)</f>
        <v>650.352897160184</v>
      </c>
      <c r="X10" s="13" t="n">
        <f aca="false">Funding!$F$76-SUM(Tax!$J$10:X$10)</f>
        <v>627.695441388152</v>
      </c>
      <c r="Y10" s="13" t="n">
        <f aca="false">Funding!$F$76-SUM(Tax!$J$10:Y$10)</f>
        <v>605.877150644713</v>
      </c>
      <c r="Z10" s="13" t="n">
        <f aca="false">Funding!$F$76-SUM(Tax!$J$10:Z$10)</f>
        <v>585.737189958462</v>
      </c>
      <c r="AA10" s="13" t="n">
        <f aca="false">Funding!$F$76-SUM(Tax!$J$10:AA$10)</f>
        <v>565.597229272211</v>
      </c>
      <c r="AB10" s="13" t="n">
        <f aca="false">Funding!$F$76-SUM(Tax!$J$10:AB$10)</f>
        <v>545.457268585961</v>
      </c>
      <c r="AC10" s="13" t="n">
        <f aca="false">Funding!$F$76-SUM(Tax!$J$10:AC$10)</f>
        <v>525.31730789971</v>
      </c>
      <c r="AD10" s="13" t="n">
        <f aca="false">Funding!$F$76-SUM(Tax!$J$10:AD$10)</f>
        <v>505.177347213459</v>
      </c>
      <c r="AE10" s="13" t="n">
        <f aca="false">Funding!$F$76-SUM(Tax!$J$10:AE$10)</f>
        <v>485.037386527208</v>
      </c>
      <c r="AF10" s="13" t="n">
        <f aca="false">Funding!$F$76-SUM(Tax!$J$10:AF$10)</f>
        <v>464.897425840957</v>
      </c>
      <c r="AG10" s="13" t="n">
        <f aca="false">Funding!$F$76-SUM(Tax!$J$10:AG$10)</f>
        <v>444.757465154706</v>
      </c>
      <c r="AH10" s="13" t="n">
        <f aca="false">Funding!$F$76-SUM(Tax!$J$10:AH$10)</f>
        <v>424.617504468455</v>
      </c>
      <c r="AI10" s="13" t="n">
        <f aca="false">Funding!$F$76-SUM(Tax!$J$10:AI$10)</f>
        <v>404.477543782205</v>
      </c>
      <c r="AJ10" s="13" t="n">
        <f aca="false">Funding!$F$76-SUM(Tax!$J$10:AJ$10)</f>
        <v>384.337583095954</v>
      </c>
      <c r="AK10" s="13" t="n">
        <f aca="false">Funding!$F$76-SUM(Tax!$J$10:AK$10)</f>
        <v>364.197622409703</v>
      </c>
      <c r="AL10" s="13" t="n">
        <f aca="false">Funding!$F$76-SUM(Tax!$J$10:AL$10)</f>
        <v>344.057661723452</v>
      </c>
      <c r="AM10" s="13" t="n">
        <f aca="false">Funding!$F$76-SUM(Tax!$J$10:AM$10)</f>
        <v>323.917701037201</v>
      </c>
      <c r="AN10" s="13" t="n">
        <f aca="false">Funding!$F$76-SUM(Tax!$J$10:AN$10)</f>
        <v>303.77774035095</v>
      </c>
      <c r="AO10" s="13" t="n">
        <f aca="false">Funding!$F$76-SUM(Tax!$J$10:AO$10)</f>
        <v>283.637779664699</v>
      </c>
      <c r="AP10" s="13" t="n">
        <f aca="false">Funding!$F$76-SUM(Tax!$J$10:AP$10)</f>
        <v>263.497818978449</v>
      </c>
      <c r="AQ10" s="13" t="n">
        <f aca="false">Funding!$F$76-SUM(Tax!$J$10:AQ$10)</f>
        <v>243.357858292198</v>
      </c>
      <c r="AR10" s="13" t="n">
        <f aca="false">Funding!$F$76-SUM(Tax!$J$10:AR$10)</f>
        <v>223.217897605947</v>
      </c>
      <c r="AS10" s="13" t="n">
        <f aca="false">Funding!$F$76-SUM(Tax!$J$10:AS$10)</f>
        <v>203.077936919696</v>
      </c>
      <c r="AT10" s="13" t="n">
        <f aca="false">Funding!$F$76-SUM(Tax!$J$10:AT$10)</f>
        <v>182.937976233445</v>
      </c>
      <c r="AU10" s="13" t="n">
        <f aca="false">Funding!$F$76-SUM(Tax!$J$10:AU$10)</f>
        <v>162.798015547194</v>
      </c>
      <c r="AV10" s="13" t="n">
        <f aca="false">Funding!$F$76-SUM(Tax!$J$10:AV$10)</f>
        <v>142.658054860943</v>
      </c>
      <c r="AW10" s="13" t="n">
        <f aca="false">Funding!$F$76-SUM(Tax!$J$10:AW$10)</f>
        <v>122.518094174693</v>
      </c>
      <c r="AX10" s="13" t="n">
        <f aca="false">Funding!$F$76-SUM(Tax!$J$10:AX$10)</f>
        <v>102.378133488442</v>
      </c>
      <c r="AY10" s="13" t="n">
        <f aca="false">Funding!$F$76-SUM(Tax!$J$10:AY$10)</f>
        <v>82.2381728021909</v>
      </c>
      <c r="AZ10" s="13" t="n">
        <f aca="false">Funding!$F$76-SUM(Tax!$J$10:AZ$10)</f>
        <v>62.09821211594</v>
      </c>
      <c r="BA10" s="13" t="n">
        <f aca="false">Funding!$F$76-SUM(Tax!$J$10:BA$10)</f>
        <v>41.9582514296892</v>
      </c>
      <c r="BB10" s="13" t="n">
        <f aca="false">Funding!$F$76-SUM(Tax!$J$10:BB$10)</f>
        <v>21.8182907434383</v>
      </c>
      <c r="BC10" s="13" t="n">
        <f aca="false">Funding!$F$76-SUM(Tax!$J$10:BC$10)</f>
        <v>8.11192860973995</v>
      </c>
      <c r="BD10" s="13" t="n">
        <f aca="false">Funding!$F$76-SUM(Tax!$J$10:BD$10)</f>
        <v>7.27276358114602</v>
      </c>
      <c r="BE10" s="13" t="n">
        <f aca="false">Funding!$F$76-SUM(Tax!$J$10:BE$10)</f>
        <v>6.43359855255233</v>
      </c>
      <c r="BF10" s="13" t="n">
        <f aca="false">Funding!$F$76-SUM(Tax!$J$10:BF$10)</f>
        <v>5.59443352395851</v>
      </c>
      <c r="BG10" s="13" t="n">
        <f aca="false">Funding!$F$76-SUM(Tax!$J$10:BG$10)</f>
        <v>4.7552684953647</v>
      </c>
      <c r="BH10" s="13" t="n">
        <f aca="false">Funding!$F$76-SUM(Tax!$J$10:BH$10)</f>
        <v>3.91610346677089</v>
      </c>
      <c r="BI10" s="13" t="n">
        <f aca="false">Funding!$F$76-SUM(Tax!$J$10:BI$10)</f>
        <v>3.07693843817719</v>
      </c>
      <c r="BJ10" s="13" t="n">
        <f aca="false">Funding!$F$76-SUM(Tax!$J$10:BJ$10)</f>
        <v>2.23777340958338</v>
      </c>
      <c r="BK10" s="13" t="n">
        <f aca="false">Funding!$F$76-SUM(Tax!$J$10:BK$10)</f>
        <v>1.39860838098957</v>
      </c>
      <c r="BL10" s="13" t="n">
        <f aca="false">Funding!$F$76-SUM(Tax!$J$10:BL$10)</f>
        <v>0.559443352395761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1906</v>
      </c>
      <c r="E11" s="0" t="s">
        <v>151</v>
      </c>
      <c r="J11" s="13" t="n">
        <f aca="false">Funding!$F$76-SUM(J$8:J$8)</f>
        <v>839.165028593786</v>
      </c>
      <c r="K11" s="13" t="n">
        <f aca="false">Funding!$F$76-SUM($J$8:K$8)</f>
        <v>839.165028593786</v>
      </c>
      <c r="L11" s="13" t="n">
        <f aca="false">Funding!$F$76-SUM($J$8:L$8)</f>
        <v>839.165028593786</v>
      </c>
      <c r="M11" s="13" t="n">
        <f aca="false">Funding!$F$76-SUM($J$8:M$8)</f>
        <v>839.165028593786</v>
      </c>
      <c r="N11" s="13" t="n">
        <f aca="false">Funding!$F$76-SUM($J$8:N$8)</f>
        <v>839.165028593786</v>
      </c>
      <c r="O11" s="13" t="n">
        <f aca="false">Funding!$F$76-SUM($J$8:O$8)</f>
        <v>833.570595069827</v>
      </c>
      <c r="P11" s="13" t="n">
        <f aca="false">Funding!$F$76-SUM($J$8:P$8)</f>
        <v>816.787294497951</v>
      </c>
      <c r="Q11" s="13" t="n">
        <f aca="false">Funding!$F$76-SUM($J$8:Q$8)</f>
        <v>800.003993926076</v>
      </c>
      <c r="R11" s="13" t="n">
        <f aca="false">Funding!$F$76-SUM($J$8:R$8)</f>
        <v>783.2206933542</v>
      </c>
      <c r="S11" s="13" t="n">
        <f aca="false">Funding!$F$76-SUM($J$8:S$8)</f>
        <v>766.437392782324</v>
      </c>
      <c r="T11" s="13" t="n">
        <f aca="false">Funding!$F$76-SUM($J$8:T$8)</f>
        <v>749.654092210448</v>
      </c>
      <c r="U11" s="13" t="n">
        <f aca="false">Funding!$F$76-SUM($J$8:U$8)</f>
        <v>732.870791638573</v>
      </c>
      <c r="V11" s="13" t="n">
        <f aca="false">Funding!$F$76-SUM($J$8:V$8)</f>
        <v>716.087491066697</v>
      </c>
      <c r="W11" s="13" t="n">
        <f aca="false">Funding!$F$76-SUM($J$8:W$8)</f>
        <v>699.304190494821</v>
      </c>
      <c r="X11" s="13" t="n">
        <f aca="false">Funding!$F$76-SUM($J$8:X$8)</f>
        <v>682.520889922946</v>
      </c>
      <c r="Y11" s="13" t="n">
        <f aca="false">Funding!$F$76-SUM($J$8:Y$8)</f>
        <v>665.73758935107</v>
      </c>
      <c r="Z11" s="13" t="n">
        <f aca="false">Funding!$F$76-SUM($J$8:Z$8)</f>
        <v>648.954288779194</v>
      </c>
      <c r="AA11" s="13" t="n">
        <f aca="false">Funding!$F$76-SUM($J$8:AA$8)</f>
        <v>632.170988207318</v>
      </c>
      <c r="AB11" s="13" t="n">
        <f aca="false">Funding!$F$76-SUM($J$8:AB$8)</f>
        <v>615.387687635443</v>
      </c>
      <c r="AC11" s="13" t="n">
        <f aca="false">Funding!$F$76-SUM($J$8:AC$8)</f>
        <v>598.604387063567</v>
      </c>
      <c r="AD11" s="13" t="n">
        <f aca="false">Funding!$F$76-SUM($J$8:AD$8)</f>
        <v>581.821086491691</v>
      </c>
      <c r="AE11" s="13" t="n">
        <f aca="false">Funding!$F$76-SUM($J$8:AE$8)</f>
        <v>565.037785919816</v>
      </c>
      <c r="AF11" s="13" t="n">
        <f aca="false">Funding!$F$76-SUM($J$8:AF$8)</f>
        <v>548.25448534794</v>
      </c>
      <c r="AG11" s="13" t="n">
        <f aca="false">Funding!$F$76-SUM($J$8:AG$8)</f>
        <v>531.471184776064</v>
      </c>
      <c r="AH11" s="13" t="n">
        <f aca="false">Funding!$F$76-SUM($J$8:AH$8)</f>
        <v>514.687884204188</v>
      </c>
      <c r="AI11" s="13" t="n">
        <f aca="false">Funding!$F$76-SUM($J$8:AI$8)</f>
        <v>497.904583632313</v>
      </c>
      <c r="AJ11" s="13" t="n">
        <f aca="false">Funding!$F$76-SUM($J$8:AJ$8)</f>
        <v>481.121283060437</v>
      </c>
      <c r="AK11" s="13" t="n">
        <f aca="false">Funding!$F$76-SUM($J$8:AK$8)</f>
        <v>464.337982488561</v>
      </c>
      <c r="AL11" s="13" t="n">
        <f aca="false">Funding!$F$76-SUM($J$8:AL$8)</f>
        <v>447.554681916686</v>
      </c>
      <c r="AM11" s="13" t="n">
        <f aca="false">Funding!$F$76-SUM($J$8:AM$8)</f>
        <v>430.77138134481</v>
      </c>
      <c r="AN11" s="13" t="n">
        <f aca="false">Funding!$F$76-SUM($J$8:AN$8)</f>
        <v>413.988080772934</v>
      </c>
      <c r="AO11" s="13" t="n">
        <f aca="false">Funding!$F$76-SUM($J$8:AO$8)</f>
        <v>397.204780201059</v>
      </c>
      <c r="AP11" s="13" t="n">
        <f aca="false">Funding!$F$76-SUM($J$8:AP$8)</f>
        <v>380.421479629183</v>
      </c>
      <c r="AQ11" s="13" t="n">
        <f aca="false">Funding!$F$76-SUM($J$8:AQ$8)</f>
        <v>363.638179057307</v>
      </c>
      <c r="AR11" s="13" t="n">
        <f aca="false">Funding!$F$76-SUM($J$8:AR$8)</f>
        <v>346.854878485431</v>
      </c>
      <c r="AS11" s="13" t="n">
        <f aca="false">Funding!$F$76-SUM($J$8:AS$8)</f>
        <v>330.071577913556</v>
      </c>
      <c r="AT11" s="13" t="n">
        <f aca="false">Funding!$F$76-SUM($J$8:AT$8)</f>
        <v>313.28827734168</v>
      </c>
      <c r="AU11" s="13" t="n">
        <f aca="false">Funding!$F$76-SUM($J$8:AU$8)</f>
        <v>296.504976769804</v>
      </c>
      <c r="AV11" s="13" t="n">
        <f aca="false">Funding!$F$76-SUM($J$8:AV$8)</f>
        <v>279.721676197929</v>
      </c>
      <c r="AW11" s="13" t="n">
        <f aca="false">Funding!$F$76-SUM($J$8:AW$8)</f>
        <v>262.938375626053</v>
      </c>
      <c r="AX11" s="13" t="n">
        <f aca="false">Funding!$F$76-SUM($J$8:AX$8)</f>
        <v>246.155075054177</v>
      </c>
      <c r="AY11" s="13" t="n">
        <f aca="false">Funding!$F$76-SUM($J$8:AY$8)</f>
        <v>229.371774482301</v>
      </c>
      <c r="AZ11" s="13" t="n">
        <f aca="false">Funding!$F$76-SUM($J$8:AZ$8)</f>
        <v>212.588473910426</v>
      </c>
      <c r="BA11" s="13" t="n">
        <f aca="false">Funding!$F$76-SUM($J$8:BA$8)</f>
        <v>195.80517333855</v>
      </c>
      <c r="BB11" s="13" t="n">
        <f aca="false">Funding!$F$76-SUM($J$8:BB$8)</f>
        <v>179.021872766674</v>
      </c>
      <c r="BC11" s="13" t="n">
        <f aca="false">Funding!$F$76-SUM($J$8:BC$8)</f>
        <v>162.238572194799</v>
      </c>
      <c r="BD11" s="13" t="n">
        <f aca="false">Funding!$F$76-SUM($J$8:BD$8)</f>
        <v>145.455271622923</v>
      </c>
      <c r="BE11" s="13" t="n">
        <f aca="false">Funding!$F$76-SUM($J$8:BE$8)</f>
        <v>128.671971051047</v>
      </c>
      <c r="BF11" s="13" t="n">
        <f aca="false">Funding!$F$76-SUM($J$8:BF$8)</f>
        <v>111.888670479172</v>
      </c>
      <c r="BG11" s="13" t="n">
        <f aca="false">Funding!$F$76-SUM($J$8:BG$8)</f>
        <v>95.1053699072959</v>
      </c>
      <c r="BH11" s="13" t="n">
        <f aca="false">Funding!$F$76-SUM($J$8:BH$8)</f>
        <v>78.3220693354201</v>
      </c>
      <c r="BI11" s="13" t="n">
        <f aca="false">Funding!$F$76-SUM($J$8:BI$8)</f>
        <v>61.5387687635445</v>
      </c>
      <c r="BJ11" s="13" t="n">
        <f aca="false">Funding!$F$76-SUM($J$8:BJ$8)</f>
        <v>44.7554681916687</v>
      </c>
      <c r="BK11" s="13" t="n">
        <f aca="false">Funding!$F$76-SUM($J$8:BK$8)</f>
        <v>27.972167619793</v>
      </c>
      <c r="BL11" s="13" t="n">
        <f aca="false">Funding!$F$76-SUM($J$8:BL$8)</f>
        <v>11.1888670479174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1907</v>
      </c>
      <c r="E12" s="0" t="s">
        <v>151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0.587415520015668</v>
      </c>
      <c r="P12" s="13" t="n">
        <f aca="false">IF(Time!P20&gt;=Time!$F$12,Inputs!$F$184/100*(P11-P10-Tax!P21),0)</f>
        <v>2.3496620800626</v>
      </c>
      <c r="Q12" s="13" t="n">
        <f aca="false">IF(Time!Q20&gt;=Time!$F$12,Inputs!$F$184/100*(Q11-Q10-Tax!Q21),0)</f>
        <v>4.11190864010957</v>
      </c>
      <c r="R12" s="13" t="n">
        <f aca="false">IF(Time!R20&gt;=Time!$F$12,Inputs!$F$184/100*(R11-R10-Tax!R21),0)</f>
        <v>5.87415520015647</v>
      </c>
      <c r="S12" s="13" t="n">
        <f aca="false">IF(Time!S20&gt;=Time!$F$12,Inputs!$F$184/100*(S11-S10-Tax!S21),0)</f>
        <v>7.63640176020348</v>
      </c>
      <c r="T12" s="13" t="n">
        <f aca="false">IF(Time!T20&gt;=Time!$F$12,Inputs!$F$184/100*(T11-T10-Tax!T21),0)</f>
        <v>9.39864832025038</v>
      </c>
      <c r="U12" s="13" t="n">
        <f aca="false">IF(Time!U20&gt;=Time!$F$12,Inputs!$F$184/100*(U11-U10-Tax!U21),0)</f>
        <v>11.1608948802973</v>
      </c>
      <c r="V12" s="13" t="n">
        <f aca="false">IF(Time!V20&gt;=Time!$F$12,Inputs!$F$184/100*(V11-V10-Tax!V21),0)</f>
        <v>12.9231414403443</v>
      </c>
      <c r="W12" s="13" t="n">
        <f aca="false">IF(Time!W20&gt;=Time!$F$12,Inputs!$F$184/100*(W11-W10-Tax!W21),0)</f>
        <v>14.6853880003913</v>
      </c>
      <c r="X12" s="13" t="n">
        <f aca="false">IF(Time!X20&gt;=Time!$F$12,Inputs!$F$184/100*(X11-X10-Tax!X21),0)</f>
        <v>16.4476345604382</v>
      </c>
      <c r="Y12" s="13" t="n">
        <f aca="false">IF(Time!Y20&gt;=Time!$F$12,Inputs!$F$184/100*(Y11-Y10-Tax!Y21),0)</f>
        <v>17.958131611907</v>
      </c>
      <c r="Z12" s="13" t="n">
        <f aca="false">IF(Time!Z20&gt;=Time!$F$12,Inputs!$F$184/100*(Z11-Z10-Tax!Z21),0)</f>
        <v>18.9651296462196</v>
      </c>
      <c r="AA12" s="13" t="n">
        <f aca="false">IF(Time!AA20&gt;=Time!$F$12,Inputs!$F$184/100*(AA11-AA10-Tax!AA21),0)</f>
        <v>19.9721276805321</v>
      </c>
      <c r="AB12" s="13" t="n">
        <f aca="false">IF(Time!AB20&gt;=Time!$F$12,Inputs!$F$184/100*(AB11-AB10-Tax!AB21),0)</f>
        <v>20.9791257148447</v>
      </c>
      <c r="AC12" s="13" t="n">
        <f aca="false">IF(Time!AC20&gt;=Time!$F$12,Inputs!$F$184/100*(AC11-AC10-Tax!AC21),0)</f>
        <v>21.9861237491572</v>
      </c>
      <c r="AD12" s="13" t="n">
        <f aca="false">IF(Time!AD20&gt;=Time!$F$12,Inputs!$F$184/100*(AD11-AD10-Tax!AD21),0)</f>
        <v>22.9931217834697</v>
      </c>
      <c r="AE12" s="13" t="n">
        <f aca="false">IF(Time!AE20&gt;=Time!$F$12,Inputs!$F$184/100*(AE11-AE10-Tax!AE21),0)</f>
        <v>24.0001198177823</v>
      </c>
      <c r="AF12" s="13" t="n">
        <f aca="false">IF(Time!AF20&gt;=Time!$F$12,Inputs!$F$184/100*(AF11-AF10-Tax!AF21),0)</f>
        <v>25.0071178520948</v>
      </c>
      <c r="AG12" s="13" t="n">
        <f aca="false">IF(Time!AG20&gt;=Time!$F$12,Inputs!$F$184/100*(AG11-AG10-Tax!AG21),0)</f>
        <v>26.0141158864073</v>
      </c>
      <c r="AH12" s="13" t="n">
        <f aca="false">IF(Time!AH20&gt;=Time!$F$12,Inputs!$F$184/100*(AH11-AH10-Tax!AH21),0)</f>
        <v>27.0211139207199</v>
      </c>
      <c r="AI12" s="13" t="n">
        <f aca="false">IF(Time!AI20&gt;=Time!$F$12,Inputs!$F$184/100*(AI11-AI10-Tax!AI21),0)</f>
        <v>28.0281119550324</v>
      </c>
      <c r="AJ12" s="13" t="n">
        <f aca="false">IF(Time!AJ20&gt;=Time!$F$12,Inputs!$F$184/100*(AJ11-AJ10-Tax!AJ21),0)</f>
        <v>29.035109989345</v>
      </c>
      <c r="AK12" s="13" t="n">
        <f aca="false">IF(Time!AK20&gt;=Time!$F$12,Inputs!$F$184/100*(AK11-AK10-Tax!AK21),0)</f>
        <v>30.0421080236575</v>
      </c>
      <c r="AL12" s="13" t="n">
        <f aca="false">IF(Time!AL20&gt;=Time!$F$12,Inputs!$F$184/100*(AL11-AL10-Tax!AL21),0)</f>
        <v>31.0491060579701</v>
      </c>
      <c r="AM12" s="13" t="n">
        <f aca="false">IF(Time!AM20&gt;=Time!$F$12,Inputs!$F$184/100*(AM11-AM10-Tax!AM21),0)</f>
        <v>32.0561040922826</v>
      </c>
      <c r="AN12" s="13" t="n">
        <f aca="false">IF(Time!AN20&gt;=Time!$F$12,Inputs!$F$184/100*(AN11-AN10-Tax!AN21),0)</f>
        <v>33.0631021265952</v>
      </c>
      <c r="AO12" s="13" t="n">
        <f aca="false">IF(Time!AO20&gt;=Time!$F$12,Inputs!$F$184/100*(AO11-AO10-Tax!AO21),0)</f>
        <v>34.0701001609077</v>
      </c>
      <c r="AP12" s="13" t="n">
        <f aca="false">IF(Time!AP20&gt;=Time!$F$12,Inputs!$F$184/100*(AP11-AP10-Tax!AP21),0)</f>
        <v>35.0770981952203</v>
      </c>
      <c r="AQ12" s="13" t="n">
        <f aca="false">IF(Time!AQ20&gt;=Time!$F$12,Inputs!$F$184/100*(AQ11-AQ10-Tax!AQ21),0)</f>
        <v>36.0840962295328</v>
      </c>
      <c r="AR12" s="13" t="n">
        <f aca="false">IF(Time!AR20&gt;=Time!$F$12,Inputs!$F$184/100*(AR11-AR10-Tax!AR21),0)</f>
        <v>37.0910942638454</v>
      </c>
      <c r="AS12" s="13" t="n">
        <f aca="false">IF(Time!AS20&gt;=Time!$F$12,Inputs!$F$184/100*(AS11-AS10-Tax!AS21),0)</f>
        <v>38.0980922981579</v>
      </c>
      <c r="AT12" s="13" t="n">
        <f aca="false">IF(Time!AT20&gt;=Time!$F$12,Inputs!$F$184/100*(AT11-AT10-Tax!AT21),0)</f>
        <v>39.1050903324704</v>
      </c>
      <c r="AU12" s="13" t="n">
        <f aca="false">IF(Time!AU20&gt;=Time!$F$12,Inputs!$F$184/100*(AU11-AU10-Tax!AU21),0)</f>
        <v>40.112088366783</v>
      </c>
      <c r="AV12" s="13" t="n">
        <f aca="false">IF(Time!AV20&gt;=Time!$F$12,Inputs!$F$184/100*(AV11-AV10-Tax!AV21),0)</f>
        <v>41.1190864010956</v>
      </c>
      <c r="AW12" s="13" t="n">
        <f aca="false">IF(Time!AW20&gt;=Time!$F$12,Inputs!$F$184/100*(AW11-AW10-Tax!AW21),0)</f>
        <v>42.1260844354081</v>
      </c>
      <c r="AX12" s="13" t="n">
        <f aca="false">IF(Time!AX20&gt;=Time!$F$12,Inputs!$F$184/100*(AX11-AX10-Tax!AX21),0)</f>
        <v>43.1330824697206</v>
      </c>
      <c r="AY12" s="13" t="n">
        <f aca="false">IF(Time!AY20&gt;=Time!$F$12,Inputs!$F$184/100*(AY11-AY10-Tax!AY21),0)</f>
        <v>44.1400805040332</v>
      </c>
      <c r="AZ12" s="13" t="n">
        <f aca="false">IF(Time!AZ20&gt;=Time!$F$12,Inputs!$F$184/100*(AZ11-AZ10-Tax!AZ21),0)</f>
        <v>45.1470785383457</v>
      </c>
      <c r="BA12" s="13" t="n">
        <f aca="false">IF(Time!BA20&gt;=Time!$F$12,Inputs!$F$184/100*(BA11-BA10-Tax!BA21),0)</f>
        <v>46.1540765726583</v>
      </c>
      <c r="BB12" s="13" t="n">
        <f aca="false">IF(Time!BB20&gt;=Time!$F$12,Inputs!$F$184/100*(BB11-BB10-Tax!BB21),0)</f>
        <v>47.1610746069708</v>
      </c>
      <c r="BC12" s="13" t="n">
        <f aca="false">IF(Time!BC20&gt;=Time!$F$12,Inputs!$F$184/100*(BC11-BC10-Tax!BC21),0)</f>
        <v>46.2379930755176</v>
      </c>
      <c r="BD12" s="13" t="n">
        <f aca="false">IF(Time!BD20&gt;=Time!$F$12,Inputs!$F$184/100*(BD11-BD10-Tax!BD21),0)</f>
        <v>41.4547524125331</v>
      </c>
      <c r="BE12" s="13" t="n">
        <f aca="false">IF(Time!BE20&gt;=Time!$F$12,Inputs!$F$184/100*(BE11-BE10-Tax!BE21),0)</f>
        <v>36.6715117495485</v>
      </c>
      <c r="BF12" s="13" t="n">
        <f aca="false">IF(Time!BF20&gt;=Time!$F$12,Inputs!$F$184/100*(BF11-BF10-Tax!BF21),0)</f>
        <v>31.8882710865639</v>
      </c>
      <c r="BG12" s="13" t="n">
        <f aca="false">IF(Time!BG20&gt;=Time!$F$12,Inputs!$F$184/100*(BG11-BG10-Tax!BG21),0)</f>
        <v>27.1050304235794</v>
      </c>
      <c r="BH12" s="13" t="n">
        <f aca="false">IF(Time!BH20&gt;=Time!$F$12,Inputs!$F$184/100*(BH11-BH10-Tax!BH21),0)</f>
        <v>22.3217897605948</v>
      </c>
      <c r="BI12" s="13" t="n">
        <f aca="false">IF(Time!BI20&gt;=Time!$F$12,Inputs!$F$184/100*(BI11-BI10-Tax!BI21),0)</f>
        <v>17.5385490976102</v>
      </c>
      <c r="BJ12" s="13" t="n">
        <f aca="false">IF(Time!BJ20&gt;=Time!$F$12,Inputs!$F$184/100*(BJ11-BJ10-Tax!BJ21),0)</f>
        <v>12.7553084346256</v>
      </c>
      <c r="BK12" s="13" t="n">
        <f aca="false">IF(Time!BK20&gt;=Time!$F$12,Inputs!$F$184/100*(BK11-BK10-Tax!BK21),0)</f>
        <v>7.97206777164104</v>
      </c>
      <c r="BL12" s="13" t="n">
        <f aca="false">IF(Time!BL20&gt;=Time!$F$12,Inputs!$F$184/100*(BL11-BL10-Tax!BL21),0)</f>
        <v>3.18882710865648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1908</v>
      </c>
      <c r="E13" s="0" t="s">
        <v>151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0.587415520015668</v>
      </c>
      <c r="P13" s="13" t="n">
        <f aca="false">P12-O12</f>
        <v>1.76224656004694</v>
      </c>
      <c r="Q13" s="13" t="n">
        <f aca="false">Q12-P12</f>
        <v>1.76224656004697</v>
      </c>
      <c r="R13" s="13" t="n">
        <f aca="false">R12-Q12</f>
        <v>1.7622465600469</v>
      </c>
      <c r="S13" s="13" t="n">
        <f aca="false">S12-R12</f>
        <v>1.762246560047</v>
      </c>
      <c r="T13" s="13" t="n">
        <f aca="false">T12-S12</f>
        <v>1.7622465600469</v>
      </c>
      <c r="U13" s="13" t="n">
        <f aca="false">U12-T12</f>
        <v>1.76224656004697</v>
      </c>
      <c r="V13" s="13" t="n">
        <f aca="false">V12-U12</f>
        <v>1.76224656004693</v>
      </c>
      <c r="W13" s="13" t="n">
        <f aca="false">W12-V12</f>
        <v>1.76224656004697</v>
      </c>
      <c r="X13" s="13" t="n">
        <f aca="false">X12-W12</f>
        <v>1.76224656004697</v>
      </c>
      <c r="Y13" s="13" t="n">
        <f aca="false">Y12-X12</f>
        <v>1.51049705146879</v>
      </c>
      <c r="Z13" s="13" t="n">
        <f aca="false">Z12-Y12</f>
        <v>1.00699803431254</v>
      </c>
      <c r="AA13" s="13" t="n">
        <f aca="false">AA12-Z12</f>
        <v>1.00699803431254</v>
      </c>
      <c r="AB13" s="13" t="n">
        <f aca="false">AB12-AA12</f>
        <v>1.00699803431257</v>
      </c>
      <c r="AC13" s="13" t="n">
        <f aca="false">AC12-AB12</f>
        <v>1.00699803431251</v>
      </c>
      <c r="AD13" s="13" t="n">
        <f aca="false">AD12-AC12</f>
        <v>1.00699803431256</v>
      </c>
      <c r="AE13" s="13" t="n">
        <f aca="false">AE12-AD12</f>
        <v>1.00699803431256</v>
      </c>
      <c r="AF13" s="13" t="n">
        <f aca="false">AF12-AE12</f>
        <v>1.00699803431254</v>
      </c>
      <c r="AG13" s="13" t="n">
        <f aca="false">AG12-AF12</f>
        <v>1.00699803431252</v>
      </c>
      <c r="AH13" s="13" t="n">
        <f aca="false">AH12-AG12</f>
        <v>1.00699803431256</v>
      </c>
      <c r="AI13" s="13" t="n">
        <f aca="false">AI12-AH12</f>
        <v>1.00699803431254</v>
      </c>
      <c r="AJ13" s="13" t="n">
        <f aca="false">AJ12-AI12</f>
        <v>1.00699803431256</v>
      </c>
      <c r="AK13" s="13" t="n">
        <f aca="false">AK12-AJ12</f>
        <v>1.00699803431254</v>
      </c>
      <c r="AL13" s="13" t="n">
        <f aca="false">AL12-AK12</f>
        <v>1.00699803431254</v>
      </c>
      <c r="AM13" s="13" t="n">
        <f aca="false">AM12-AL12</f>
        <v>1.00699803431255</v>
      </c>
      <c r="AN13" s="13" t="n">
        <f aca="false">AN12-AM12</f>
        <v>1.00699803431256</v>
      </c>
      <c r="AO13" s="13" t="n">
        <f aca="false">AO12-AN12</f>
        <v>1.00699803431252</v>
      </c>
      <c r="AP13" s="13" t="n">
        <f aca="false">AP12-AO12</f>
        <v>1.00699803431255</v>
      </c>
      <c r="AQ13" s="13" t="n">
        <f aca="false">AQ12-AP12</f>
        <v>1.00699803431252</v>
      </c>
      <c r="AR13" s="13" t="n">
        <f aca="false">AR12-AQ12</f>
        <v>1.00699803431257</v>
      </c>
      <c r="AS13" s="13" t="n">
        <f aca="false">AS12-AR12</f>
        <v>1.00699803431256</v>
      </c>
      <c r="AT13" s="13" t="n">
        <f aca="false">AT12-AS12</f>
        <v>1.00699803431252</v>
      </c>
      <c r="AU13" s="13" t="n">
        <f aca="false">AU12-AT12</f>
        <v>1.00699803431257</v>
      </c>
      <c r="AV13" s="13" t="n">
        <f aca="false">AV12-AU12</f>
        <v>1.00699803431254</v>
      </c>
      <c r="AW13" s="13" t="n">
        <f aca="false">AW12-AV12</f>
        <v>1.00699803431254</v>
      </c>
      <c r="AX13" s="13" t="n">
        <f aca="false">AX12-AW12</f>
        <v>1.00699803431254</v>
      </c>
      <c r="AY13" s="13" t="n">
        <f aca="false">AY12-AX12</f>
        <v>1.00699803431254</v>
      </c>
      <c r="AZ13" s="13" t="n">
        <f aca="false">AZ12-AY12</f>
        <v>1.00699803431257</v>
      </c>
      <c r="BA13" s="13" t="n">
        <f aca="false">BA12-AZ12</f>
        <v>1.00699803431251</v>
      </c>
      <c r="BB13" s="13" t="n">
        <f aca="false">BB12-BA12</f>
        <v>1.00699803431257</v>
      </c>
      <c r="BC13" s="13" t="n">
        <f aca="false">BC12-BB12</f>
        <v>-0.923081531453228</v>
      </c>
      <c r="BD13" s="13" t="n">
        <f aca="false">BD12-BC12</f>
        <v>-4.78324066298452</v>
      </c>
      <c r="BE13" s="13" t="n">
        <f aca="false">BE12-BD12</f>
        <v>-4.78324066298459</v>
      </c>
      <c r="BF13" s="13" t="n">
        <f aca="false">BF12-BE12</f>
        <v>-4.78324066298459</v>
      </c>
      <c r="BG13" s="13" t="n">
        <f aca="false">BG12-BF12</f>
        <v>-4.78324066298455</v>
      </c>
      <c r="BH13" s="13" t="n">
        <f aca="false">BH12-BG12</f>
        <v>-4.78324066298459</v>
      </c>
      <c r="BI13" s="13" t="n">
        <f aca="false">BI12-BH12</f>
        <v>-4.78324066298459</v>
      </c>
      <c r="BJ13" s="13" t="n">
        <f aca="false">BJ12-BI12</f>
        <v>-4.78324066298459</v>
      </c>
      <c r="BK13" s="13" t="n">
        <f aca="false">BK12-BJ12</f>
        <v>-4.78324066298455</v>
      </c>
      <c r="BL13" s="13" t="n">
        <f aca="false">BL12-BK12</f>
        <v>-4.78324066298455</v>
      </c>
      <c r="BM13" s="13" t="n">
        <f aca="false">BM12-BL12</f>
        <v>-3.18882710865648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1909</v>
      </c>
      <c r="E14" s="0" t="s">
        <v>151</v>
      </c>
      <c r="G14" s="13" t="n">
        <f aca="false">SUM(J14:BN14)</f>
        <v>1175.10357152299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9.51834320938345</v>
      </c>
      <c r="P14" s="13" t="n">
        <f aca="false">Operations!P84-P8-P9-Tax!P27-P13</f>
        <v>5.27399819865309</v>
      </c>
      <c r="Q14" s="13" t="n">
        <f aca="false">Operations!Q84-Q8-Q9-Tax!Q27-Q13</f>
        <v>6.49592929636532</v>
      </c>
      <c r="R14" s="13" t="n">
        <f aca="false">Operations!R84-R8-R9-Tax!R27-R13</f>
        <v>6.88698816543105</v>
      </c>
      <c r="S14" s="13" t="n">
        <f aca="false">Operations!S84-S8-S9-Tax!S27-S13</f>
        <v>8.41340417810831</v>
      </c>
      <c r="T14" s="13" t="n">
        <f aca="false">Operations!T84-T8-T9-Tax!T27-T13</f>
        <v>9.63368569042185</v>
      </c>
      <c r="U14" s="13" t="n">
        <f aca="false">Operations!U84-U8-U9-Tax!U27-U13</f>
        <v>10.3695414645884</v>
      </c>
      <c r="V14" s="13" t="n">
        <f aca="false">Operations!V84-V8-V9-Tax!V27-V13</f>
        <v>7.59803961760546</v>
      </c>
      <c r="W14" s="13" t="n">
        <f aca="false">Operations!W84-W8-W9-Tax!W27-W13</f>
        <v>12.2887778117521</v>
      </c>
      <c r="X14" s="13" t="n">
        <f aca="false">Operations!X84-X8-X9-Tax!X27-X13</f>
        <v>14.7698068129574</v>
      </c>
      <c r="Y14" s="13" t="n">
        <f aca="false">Operations!Y84-Y8-Y9-Tax!Y27-Y13</f>
        <v>15.8624384356793</v>
      </c>
      <c r="Z14" s="13" t="n">
        <f aca="false">Operations!Z84-Z8-Z9-Tax!Z27-Z13</f>
        <v>17.1950551440239</v>
      </c>
      <c r="AA14" s="13" t="n">
        <f aca="false">Operations!AA84-AA8-AA9-Tax!AA27-AA13</f>
        <v>19.0680303301592</v>
      </c>
      <c r="AB14" s="13" t="n">
        <f aca="false">Operations!AB84-AB8-AB9-Tax!AB27-AB13</f>
        <v>20.8021190046773</v>
      </c>
      <c r="AC14" s="13" t="n">
        <f aca="false">Operations!AC84-AC8-AC9-Tax!AC27-AC13</f>
        <v>21.5158510940594</v>
      </c>
      <c r="AD14" s="13" t="n">
        <f aca="false">Operations!AD84-AD8-AD9-Tax!AD27-AD13</f>
        <v>9.02218912591958</v>
      </c>
      <c r="AE14" s="13" t="n">
        <f aca="false">Operations!AE84-AE8-AE9-Tax!AE27-AE13</f>
        <v>21.7963321209783</v>
      </c>
      <c r="AF14" s="13" t="n">
        <f aca="false">Operations!AF84-AF8-AF9-Tax!AF27-AF13</f>
        <v>20.1695543625572</v>
      </c>
      <c r="AG14" s="13" t="n">
        <f aca="false">Operations!AG84-AG8-AG9-Tax!AG27-AG13</f>
        <v>21.1387975895546</v>
      </c>
      <c r="AH14" s="13" t="n">
        <f aca="false">Operations!AH84-AH8-AH9-Tax!AH27-AH13</f>
        <v>22.0350019551394</v>
      </c>
      <c r="AI14" s="13" t="n">
        <f aca="false">Operations!AI84-AI8-AI9-Tax!AI27-AI13</f>
        <v>23.5461352438203</v>
      </c>
      <c r="AJ14" s="13" t="n">
        <f aca="false">Operations!AJ84-AJ8-AJ9-Tax!AJ27-AJ13</f>
        <v>25.0930743157975</v>
      </c>
      <c r="AK14" s="13" t="n">
        <f aca="false">Operations!AK84-AK8-AK9-Tax!AK27-AK13</f>
        <v>26.0426403625962</v>
      </c>
      <c r="AL14" s="13" t="n">
        <f aca="false">Operations!AL84-AL8-AL9-Tax!AL27-AL13</f>
        <v>24.393653652575</v>
      </c>
      <c r="AM14" s="13" t="n">
        <f aca="false">Operations!AM84-AM8-AM9-Tax!AM27-AM13</f>
        <v>27.8228140238725</v>
      </c>
      <c r="AN14" s="13" t="n">
        <f aca="false">Operations!AN84-AN8-AN9-Tax!AN27-AN13</f>
        <v>29.3933445257647</v>
      </c>
      <c r="AO14" s="13" t="n">
        <f aca="false">Operations!AO84-AO8-AO9-Tax!AO27-AO13</f>
        <v>29.8487376207281</v>
      </c>
      <c r="AP14" s="13" t="n">
        <f aca="false">Operations!AP84-AP8-AP9-Tax!AP27-AP13</f>
        <v>30.1667528378937</v>
      </c>
      <c r="AQ14" s="13" t="n">
        <f aca="false">Operations!AQ84-AQ8-AQ9-Tax!AQ27-AQ13</f>
        <v>30.4411334299498</v>
      </c>
      <c r="AR14" s="13" t="n">
        <f aca="false">Operations!AR84-AR8-AR9-Tax!AR27-AR13</f>
        <v>30.8633092371057</v>
      </c>
      <c r="AS14" s="13" t="n">
        <f aca="false">Operations!AS84-AS8-AS9-Tax!AS27-AS13</f>
        <v>30.1777403955739</v>
      </c>
      <c r="AT14" s="13" t="n">
        <f aca="false">Operations!AT84-AT8-AT9-Tax!AT27-AT13</f>
        <v>18.7735239616945</v>
      </c>
      <c r="AU14" s="13" t="n">
        <f aca="false">Operations!AU84-AU8-AU9-Tax!AU27-AU13</f>
        <v>29.6206010073413</v>
      </c>
      <c r="AV14" s="13" t="n">
        <f aca="false">Operations!AV84-AV8-AV9-Tax!AV27-AV13</f>
        <v>31.4135922868234</v>
      </c>
      <c r="AW14" s="13" t="n">
        <f aca="false">Operations!AW84-AW8-AW9-Tax!AW27-AW13</f>
        <v>31.4067739206908</v>
      </c>
      <c r="AX14" s="13" t="n">
        <f aca="false">Operations!AX84-AX8-AX9-Tax!AX27-AX13</f>
        <v>31.2550310853613</v>
      </c>
      <c r="AY14" s="13" t="n">
        <f aca="false">Operations!AY84-AY8-AY9-Tax!AY27-AY13</f>
        <v>31.5441409155944</v>
      </c>
      <c r="AZ14" s="13" t="n">
        <f aca="false">Operations!AZ84-AZ8-AZ9-Tax!AZ27-AZ13</f>
        <v>31.9867634786539</v>
      </c>
      <c r="BA14" s="13" t="n">
        <f aca="false">Operations!BA84-BA8-BA9-Tax!BA27-BA13</f>
        <v>31.6023516158564</v>
      </c>
      <c r="BB14" s="13" t="n">
        <f aca="false">Operations!BB84-BB8-BB9-Tax!BB27-BB13</f>
        <v>28.209709282646</v>
      </c>
      <c r="BC14" s="13" t="n">
        <f aca="false">Operations!BC84-BC8-BC9-Tax!BC27-BC13</f>
        <v>31.3626285386076</v>
      </c>
      <c r="BD14" s="13" t="n">
        <f aca="false">Operations!BD84-BD8-BD9-Tax!BD27-BD13</f>
        <v>32.5837849930851</v>
      </c>
      <c r="BE14" s="13" t="n">
        <f aca="false">Operations!BE84-BE8-BE9-Tax!BE27-BE13</f>
        <v>32.5837726005982</v>
      </c>
      <c r="BF14" s="13" t="n">
        <f aca="false">Operations!BF84-BF8-BF9-Tax!BF27-BF13</f>
        <v>32.4357312219532</v>
      </c>
      <c r="BG14" s="13" t="n">
        <f aca="false">Operations!BG84-BG8-BG9-Tax!BG27-BG13</f>
        <v>32.740797029949</v>
      </c>
      <c r="BH14" s="13" t="n">
        <f aca="false">Operations!BH84-BH8-BH9-Tax!BH27-BH13</f>
        <v>33.2056598427898</v>
      </c>
      <c r="BI14" s="13" t="n">
        <f aca="false">Operations!BI84-BI8-BI9-Tax!BI27-BI13</f>
        <v>32.4918405408868</v>
      </c>
      <c r="BJ14" s="13" t="n">
        <f aca="false">Operations!BJ84-BJ8-BJ9-Tax!BJ27-BJ13</f>
        <v>19.1287419831836</v>
      </c>
      <c r="BK14" s="13" t="n">
        <f aca="false">Operations!BK84-BK8-BK9-Tax!BK27-BK13</f>
        <v>31.9304340365445</v>
      </c>
      <c r="BL14" s="13" t="n">
        <f aca="false">Operations!BL84-BL8-BL9-Tax!BL27-BL13</f>
        <v>33.8534336194529</v>
      </c>
      <c r="BM14" s="13" t="n">
        <f aca="false">Operations!BM84-BM8-BM9-Tax!BM27-BM13</f>
        <v>9.33104030758926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1910</v>
      </c>
    </row>
    <row r="16" customFormat="false" ht="15" hidden="false" customHeight="false" outlineLevel="0" collapsed="false">
      <c r="D16" s="0" t="s">
        <v>1911</v>
      </c>
      <c r="E16" s="0" t="s">
        <v>151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139.362813495311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239.582948310257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433.809626292863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636.172779695533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754.242011717487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833.570595069827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816.787294497951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800.003993926076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783.2206933542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766.437392782324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749.654092210448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732.870791638573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716.087491066697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699.304190494821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682.520889922946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665.73758935107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648.954288779194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632.170988207318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615.387687635443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598.604387063567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581.821086491691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565.037785919816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548.25448534794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531.471184776064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514.687884204188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497.904583632313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481.121283060437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464.337982488561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447.554681916686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430.77138134481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413.988080772934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397.204780201059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380.421479629183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363.638179057307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346.854878485431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330.071577913556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313.28827734168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296.504976769804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279.721676197929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262.938375626053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246.155075054177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229.371774482301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212.588473910426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195.80517333855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179.021872766674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162.238572194799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145.455271622923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128.671971051047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111.888670479172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95.1053699072959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78.3220693354201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61.5387687635445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44.7554681916687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27.972167619793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11.1888670479174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1912</v>
      </c>
      <c r="E17" s="0" t="s">
        <v>151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41.6029879342605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39.3188047399293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39.9809950529717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40.1618368766229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41.2800320062437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41.2163868606689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41.4494893172056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38.8473073097399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38.7680079107372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40.6367097300177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42.8602821690863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44.5957361899129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47.2956666511005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47.8239927781665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49.20438511787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36.3307691387425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36.4863044916394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35.8046639176733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35.3928148306697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34.401061180655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33.8741827856334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32.1699186688119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30.093209341089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23.7188026562949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22.5340489654769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24.8514294988179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1913</v>
      </c>
      <c r="E18" s="0" t="s">
        <v>151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39.8998422901722</v>
      </c>
      <c r="P18" s="13" t="n">
        <f aca="false">Operations!P88+Operations!P89</f>
        <v>39.7710075250773</v>
      </c>
      <c r="Q18" s="13" t="n">
        <f aca="false">Operations!Q88+Operations!Q89</f>
        <v>40.7703114107742</v>
      </c>
      <c r="R18" s="13" t="n">
        <f aca="false">Operations!R88+Operations!R89</f>
        <v>39.9842857055218</v>
      </c>
      <c r="S18" s="13" t="n">
        <f aca="false">Operations!S88+Operations!S89</f>
        <v>41.2367118162762</v>
      </c>
      <c r="T18" s="13" t="n">
        <f aca="false">Operations!T88+Operations!T89</f>
        <v>40.9281067306461</v>
      </c>
      <c r="U18" s="13" t="n">
        <f aca="false">Operations!U88+Operations!U89</f>
        <v>41.4288754424805</v>
      </c>
      <c r="V18" s="13" t="n">
        <f aca="false">Operations!V88+Operations!V89</f>
        <v>40.2075038703794</v>
      </c>
      <c r="W18" s="13" t="n">
        <f aca="false">Operations!W88+Operations!W89</f>
        <v>41.7982841306774</v>
      </c>
      <c r="X18" s="13" t="n">
        <f aca="false">Operations!X88+Operations!X89</f>
        <v>42.1308357668947</v>
      </c>
      <c r="Y18" s="13" t="n">
        <f aca="false">Operations!Y88+Operations!Y89</f>
        <v>43.1995184565926</v>
      </c>
      <c r="Z18" s="13" t="n">
        <f aca="false">Operations!Z88+Operations!Z89</f>
        <v>42.3687923342472</v>
      </c>
      <c r="AA18" s="13" t="n">
        <f aca="false">Operations!AA88+Operations!AA89</f>
        <v>43.7059790437496</v>
      </c>
      <c r="AB18" s="13" t="n">
        <f aca="false">Operations!AB88+Operations!AB89</f>
        <v>43.3809968133692</v>
      </c>
      <c r="AC18" s="13" t="n">
        <f aca="false">Operations!AC88+Operations!AC89</f>
        <v>43.6432528667267</v>
      </c>
      <c r="AD18" s="13" t="n">
        <f aca="false">Operations!AD88+Operations!AD89</f>
        <v>41.8006802761898</v>
      </c>
      <c r="AE18" s="13" t="n">
        <f aca="false">Operations!AE88+Operations!AE89</f>
        <v>43.7570402107006</v>
      </c>
      <c r="AF18" s="13" t="n">
        <f aca="false">Operations!AF88+Operations!AF89</f>
        <v>44.6804632478686</v>
      </c>
      <c r="AG18" s="13" t="n">
        <f aca="false">Operations!AG88+Operations!AG89</f>
        <v>45.8241062826513</v>
      </c>
      <c r="AH18" s="13" t="n">
        <f aca="false">Operations!AH88+Operations!AH89</f>
        <v>44.9450565836044</v>
      </c>
      <c r="AI18" s="13" t="n">
        <f aca="false">Operations!AI88+Operations!AI89</f>
        <v>46.3738436133806</v>
      </c>
      <c r="AJ18" s="13" t="n">
        <f aca="false">Operations!AJ88+Operations!AJ89</f>
        <v>46.0311824571802</v>
      </c>
      <c r="AK18" s="13" t="n">
        <f aca="false">Operations!AK88+Operations!AK89</f>
        <v>46.6153663903817</v>
      </c>
      <c r="AL18" s="13" t="n">
        <f aca="false">Operations!AL88+Operations!AL89</f>
        <v>45.245450679439</v>
      </c>
      <c r="AM18" s="13" t="n">
        <f aca="false">Operations!AM88+Operations!AM89</f>
        <v>47.0563794440971</v>
      </c>
      <c r="AN18" s="13" t="n">
        <f aca="false">Operations!AN88+Operations!AN89</f>
        <v>47.4351787586038</v>
      </c>
      <c r="AO18" s="13" t="n">
        <f aca="false">Operations!AO88+Operations!AO89</f>
        <v>48.6598117878004</v>
      </c>
      <c r="AP18" s="13" t="n">
        <f aca="false">Operations!AP88+Operations!AP89</f>
        <v>47.7285230848898</v>
      </c>
      <c r="AQ18" s="13" t="n">
        <f aca="false">Operations!AQ88+Operations!AQ89</f>
        <v>49.2563008734514</v>
      </c>
      <c r="AR18" s="13" t="n">
        <f aca="false">Operations!AR88+Operations!AR89</f>
        <v>48.89455643662</v>
      </c>
      <c r="AS18" s="13" t="n">
        <f aca="false">Operations!AS88+Operations!AS89</f>
        <v>49.2112693591076</v>
      </c>
      <c r="AT18" s="13" t="n">
        <f aca="false">Operations!AT88+Operations!AT89</f>
        <v>47.1377834751966</v>
      </c>
      <c r="AU18" s="13" t="n">
        <f aca="false">Operations!AU88+Operations!AU89</f>
        <v>49.3650016029389</v>
      </c>
      <c r="AV18" s="13" t="n">
        <f aca="false">Operations!AV88+Operations!AV89</f>
        <v>50.4115028992306</v>
      </c>
      <c r="AW18" s="13" t="n">
        <f aca="false">Operations!AW88+Operations!AW89</f>
        <v>51.7236395467434</v>
      </c>
      <c r="AX18" s="13" t="n">
        <f aca="false">Operations!AX88+Operations!AX89</f>
        <v>50.7358806941368</v>
      </c>
      <c r="AY18" s="13" t="n">
        <f aca="false">Operations!AY88+Operations!AY89</f>
        <v>52.3706346042136</v>
      </c>
      <c r="AZ18" s="13" t="n">
        <f aca="false">Operations!AZ88+Operations!AZ89</f>
        <v>51.9882919586777</v>
      </c>
      <c r="BA18" s="13" t="n">
        <f aca="false">Operations!BA88+Operations!BA89</f>
        <v>52.6696397760149</v>
      </c>
      <c r="BB18" s="13" t="n">
        <f aca="false">Operations!BB88+Operations!BB89</f>
        <v>51.1260354424171</v>
      </c>
      <c r="BC18" s="13" t="n">
        <f aca="false">Operations!BC88+Operations!BC89</f>
        <v>53.1941678411978</v>
      </c>
      <c r="BD18" s="13" t="n">
        <f aca="false">Operations!BD88+Operations!BD89</f>
        <v>53.6272872414301</v>
      </c>
      <c r="BE18" s="13" t="n">
        <f aca="false">Operations!BE88+Operations!BE89</f>
        <v>55.0339638314985</v>
      </c>
      <c r="BF18" s="13" t="n">
        <f aca="false">Operations!BF88+Operations!BF89</f>
        <v>53.9851626429981</v>
      </c>
      <c r="BG18" s="13" t="n">
        <f aca="false">Operations!BG88+Operations!BG89</f>
        <v>55.7355207038488</v>
      </c>
      <c r="BH18" s="13" t="n">
        <f aca="false">Operations!BH88+Operations!BH89</f>
        <v>55.3309457325197</v>
      </c>
      <c r="BI18" s="13" t="n">
        <f aca="false">Operations!BI88+Operations!BI89</f>
        <v>55.7108895133611</v>
      </c>
      <c r="BJ18" s="13" t="n">
        <f aca="false">Operations!BJ88+Operations!BJ89</f>
        <v>53.3673262480332</v>
      </c>
      <c r="BK18" s="13" t="n">
        <f aca="false">Operations!BK88+Operations!BK89</f>
        <v>55.9110600910135</v>
      </c>
      <c r="BL18" s="13" t="n">
        <f aca="false">Operations!BL88+Operations!BL89</f>
        <v>57.1018214595071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1914</v>
      </c>
      <c r="E19" s="0" t="s">
        <v>151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5.35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1915</v>
      </c>
      <c r="E20" s="0" t="s">
        <v>151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0</v>
      </c>
      <c r="P20" s="13" t="n">
        <f aca="false">MAX(0,-P12)</f>
        <v>0</v>
      </c>
      <c r="Q20" s="13" t="n">
        <f aca="false">MAX(0,-Q12)</f>
        <v>0</v>
      </c>
      <c r="R20" s="13" t="n">
        <f aca="false">MAX(0,-R12)</f>
        <v>0</v>
      </c>
      <c r="S20" s="13" t="n">
        <f aca="false">MAX(0,-S12)</f>
        <v>0</v>
      </c>
      <c r="T20" s="13" t="n">
        <f aca="false">MAX(0,-T12)</f>
        <v>0</v>
      </c>
      <c r="U20" s="13" t="n">
        <f aca="false">MAX(0,-U12)</f>
        <v>0</v>
      </c>
      <c r="V20" s="13" t="n">
        <f aca="false">MAX(0,-V12)</f>
        <v>0</v>
      </c>
      <c r="W20" s="13" t="n">
        <f aca="false">MAX(0,-W12)</f>
        <v>0</v>
      </c>
      <c r="X20" s="13" t="n">
        <f aca="false">MAX(0,-X12)</f>
        <v>0</v>
      </c>
      <c r="Y20" s="13" t="n">
        <f aca="false">MAX(0,-Y12)</f>
        <v>0</v>
      </c>
      <c r="Z20" s="13" t="n">
        <f aca="false">MAX(0,-Z12)</f>
        <v>0</v>
      </c>
      <c r="AA20" s="13" t="n">
        <f aca="false">MAX(0,-AA12)</f>
        <v>0</v>
      </c>
      <c r="AB20" s="13" t="n">
        <f aca="false">MAX(0,-AB12)</f>
        <v>0</v>
      </c>
      <c r="AC20" s="13" t="n">
        <f aca="false">MAX(0,-AC12)</f>
        <v>0</v>
      </c>
      <c r="AD20" s="13" t="n">
        <f aca="false">MAX(0,-AD12)</f>
        <v>0</v>
      </c>
      <c r="AE20" s="13" t="n">
        <f aca="false">MAX(0,-AE12)</f>
        <v>0</v>
      </c>
      <c r="AF20" s="13" t="n">
        <f aca="false">MAX(0,-AF12)</f>
        <v>0</v>
      </c>
      <c r="AG20" s="13" t="n">
        <f aca="false">MAX(0,-AG12)</f>
        <v>0</v>
      </c>
      <c r="AH20" s="13" t="n">
        <f aca="false">MAX(0,-AH12)</f>
        <v>0</v>
      </c>
      <c r="AI20" s="13" t="n">
        <f aca="false">MAX(0,-AI12)</f>
        <v>0</v>
      </c>
      <c r="AJ20" s="13" t="n">
        <f aca="false">MAX(0,-AJ12)</f>
        <v>0</v>
      </c>
      <c r="AK20" s="13" t="n">
        <f aca="false">MAX(0,-AK12)</f>
        <v>0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1916</v>
      </c>
      <c r="E21" s="0" t="s">
        <v>151</v>
      </c>
      <c r="J21" s="13" t="n">
        <f aca="false">J16+J17+J18+J19+J20</f>
        <v>139.362813495311</v>
      </c>
      <c r="K21" s="13" t="n">
        <f aca="false">K16+K17+K18+K19+K20</f>
        <v>239.582948310257</v>
      </c>
      <c r="L21" s="13" t="n">
        <f aca="false">L16+L17+L18+L19+L20</f>
        <v>433.809626292863</v>
      </c>
      <c r="M21" s="13" t="n">
        <f aca="false">M16+M17+M18+M19+M20</f>
        <v>636.172779695533</v>
      </c>
      <c r="N21" s="13" t="n">
        <f aca="false">N16+N17+N18+N19+N20</f>
        <v>754.242011717487</v>
      </c>
      <c r="O21" s="13" t="n">
        <f aca="false">O16+O17+O18+O19+O20</f>
        <v>920.42342529426</v>
      </c>
      <c r="P21" s="13" t="n">
        <f aca="false">P16+P17+P18+P19+P20</f>
        <v>901.227106762958</v>
      </c>
      <c r="Q21" s="13" t="n">
        <f aca="false">Q16+Q17+Q18+Q19+Q20</f>
        <v>886.105300389821</v>
      </c>
      <c r="R21" s="13" t="n">
        <f aca="false">R16+R17+R18+R19+R20</f>
        <v>868.716815936344</v>
      </c>
      <c r="S21" s="13" t="n">
        <f aca="false">S16+S17+S18+S19+S20</f>
        <v>854.304136604844</v>
      </c>
      <c r="T21" s="13" t="n">
        <f aca="false">T16+T17+T18+T19+T20</f>
        <v>837.148585801763</v>
      </c>
      <c r="U21" s="13" t="n">
        <f aca="false">U16+U17+U18+U19+U20</f>
        <v>821.099156398259</v>
      </c>
      <c r="V21" s="13" t="n">
        <f aca="false">V16+V17+V18+V19+V20</f>
        <v>800.492302246816</v>
      </c>
      <c r="W21" s="13" t="n">
        <f aca="false">W16+W17+W18+W19+W20</f>
        <v>785.220482536236</v>
      </c>
      <c r="X21" s="13" t="n">
        <f aca="false">X16+X17+X18+X19+X20</f>
        <v>770.638435419858</v>
      </c>
      <c r="Y21" s="13" t="n">
        <f aca="false">Y16+Y17+Y18+Y19+Y20</f>
        <v>757.147389976749</v>
      </c>
      <c r="Z21" s="13" t="n">
        <f aca="false">Z16+Z17+Z18+Z19+Z20</f>
        <v>741.268817303354</v>
      </c>
      <c r="AA21" s="13" t="n">
        <f aca="false">AA16+AA17+AA18+AA19+AA20</f>
        <v>728.522633902168</v>
      </c>
      <c r="AB21" s="13" t="n">
        <f aca="false">AB16+AB17+AB18+AB19+AB20</f>
        <v>711.942677226979</v>
      </c>
      <c r="AC21" s="13" t="n">
        <f aca="false">AC16+AC17+AC18+AC19+AC20</f>
        <v>696.802025048164</v>
      </c>
      <c r="AD21" s="13" t="n">
        <f aca="false">AD16+AD17+AD18+AD19+AD20</f>
        <v>665.302535906624</v>
      </c>
      <c r="AE21" s="13" t="n">
        <f aca="false">AE16+AE17+AE18+AE19+AE20</f>
        <v>650.631130622156</v>
      </c>
      <c r="AF21" s="13" t="n">
        <f aca="false">AF16+AF17+AF18+AF19+AF20</f>
        <v>634.089612513482</v>
      </c>
      <c r="AG21" s="13" t="n">
        <f aca="false">AG16+AG17+AG18+AG19+AG20</f>
        <v>618.038105889385</v>
      </c>
      <c r="AH21" s="13" t="n">
        <f aca="false">AH16+AH17+AH18+AH19+AH20</f>
        <v>599.384001968448</v>
      </c>
      <c r="AI21" s="13" t="n">
        <f aca="false">AI16+AI17+AI18+AI19+AI20</f>
        <v>583.502610031327</v>
      </c>
      <c r="AJ21" s="13" t="n">
        <f aca="false">AJ16+AJ17+AJ18+AJ19+AJ20</f>
        <v>564.672384186429</v>
      </c>
      <c r="AK21" s="13" t="n">
        <f aca="false">AK16+AK17+AK18+AK19+AK20</f>
        <v>546.396558220032</v>
      </c>
      <c r="AL21" s="13" t="n">
        <f aca="false">AL16+AL17+AL18+AL19+AL20</f>
        <v>521.86893525242</v>
      </c>
      <c r="AM21" s="13" t="n">
        <f aca="false">AM16+AM17+AM18+AM19+AM20</f>
        <v>505.711809754384</v>
      </c>
      <c r="AN21" s="13" t="n">
        <f aca="false">AN16+AN17+AN18+AN19+AN20</f>
        <v>491.624689030356</v>
      </c>
      <c r="AO21" s="13" t="n">
        <f aca="false">AO16+AO17+AO18+AO19+AO20</f>
        <v>455.910370159833</v>
      </c>
      <c r="AP21" s="13" t="n">
        <f aca="false">AP16+AP17+AP18+AP19+AP20</f>
        <v>440.543669970533</v>
      </c>
      <c r="AQ21" s="13" t="n">
        <f aca="false">AQ16+AQ17+AQ18+AQ19+AQ20</f>
        <v>427.636036272706</v>
      </c>
      <c r="AR21" s="13" t="n">
        <f aca="false">AR16+AR17+AR18+AR19+AR20</f>
        <v>412.838880349486</v>
      </c>
      <c r="AS21" s="13" t="n">
        <f aca="false">AS16+AS17+AS18+AS19+AS20</f>
        <v>398.720181785585</v>
      </c>
      <c r="AT21" s="13" t="n">
        <f aca="false">AT16+AT17+AT18+AT19+AT20</f>
        <v>365.776060816877</v>
      </c>
      <c r="AU21" s="13" t="n">
        <f aca="false">AU16+AU17+AU18+AU19+AU20</f>
        <v>351.219978372743</v>
      </c>
      <c r="AV21" s="13" t="n">
        <f aca="false">AV16+AV17+AV18+AV19+AV20</f>
        <v>336.072820098083</v>
      </c>
      <c r="AW21" s="13" t="n">
        <f aca="false">AW16+AW17+AW18+AW19+AW20</f>
        <v>321.191297174643</v>
      </c>
      <c r="AX21" s="13" t="n">
        <f aca="false">AX16+AX17+AX18+AX19+AX20</f>
        <v>304.009878751084</v>
      </c>
      <c r="AY21" s="13" t="n">
        <f aca="false">AY16+AY17+AY18+AY19+AY20</f>
        <v>289.450973090209</v>
      </c>
      <c r="AZ21" s="13" t="n">
        <f aca="false">AZ16+AZ17+AZ18+AZ19+AZ20</f>
        <v>272.874970873721</v>
      </c>
      <c r="BA21" s="13" t="n">
        <f aca="false">BA16+BA17+BA18+BA19+BA20</f>
        <v>257.857627506714</v>
      </c>
      <c r="BB21" s="13" t="n">
        <f aca="false">BB16+BB17+BB18+BB19+BB20</f>
        <v>237.494026850345</v>
      </c>
      <c r="BC21" s="13" t="n">
        <f aca="false">BC16+BC17+BC18+BC19+BC20</f>
        <v>224.296431750592</v>
      </c>
      <c r="BD21" s="13" t="n">
        <f aca="false">BD16+BD17+BD18+BD19+BD20</f>
        <v>212.274801500308</v>
      </c>
      <c r="BE21" s="13" t="n">
        <f aca="false">BE16+BE17+BE18+BE19+BE20</f>
        <v>201.243512560569</v>
      </c>
      <c r="BF21" s="13" t="n">
        <f aca="false">BF16+BF17+BF18+BF19+BF20</f>
        <v>187.773713583878</v>
      </c>
      <c r="BG21" s="13" t="n">
        <f aca="false">BG16+BG17+BG18+BG19+BG20</f>
        <v>177.120227227903</v>
      </c>
      <c r="BH21" s="13" t="n">
        <f aca="false">BH16+BH17+BH18+BH19+BH20</f>
        <v>164.32914887168</v>
      </c>
      <c r="BI21" s="13" t="n">
        <f aca="false">BI16+BI17+BI18+BI19+BI20</f>
        <v>152.340120013162</v>
      </c>
      <c r="BJ21" s="13" t="n">
        <f aca="false">BJ16+BJ17+BJ18+BJ19+BJ20</f>
        <v>118.084679115318</v>
      </c>
      <c r="BK21" s="13" t="n">
        <f aca="false">BK16+BK17+BK18+BK19+BK20</f>
        <v>105.500703914397</v>
      </c>
      <c r="BL21" s="13" t="n">
        <f aca="false">BL16+BL17+BL18+BL19+BL20</f>
        <v>91.5818686693855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1917</v>
      </c>
      <c r="E22" s="0" t="s">
        <v>151</v>
      </c>
      <c r="J22" s="13" t="n">
        <f aca="false">IF(Time!J20&lt;Time!$F$12,SUMIFS(Funding!$J$73:$BJ$73,Construction!$J$12:$BJ$12,"&lt;="&amp;Time!J20),Debt!J116)</f>
        <v>103.912164459841</v>
      </c>
      <c r="K22" s="13" t="n">
        <f aca="false">IF(Time!K20&lt;Time!$F$12,SUMIFS(Funding!$J$73:$BJ$73,Construction!$J$12:$BJ$12,"&lt;="&amp;Time!K20),Debt!K116)</f>
        <v>177.819484964543</v>
      </c>
      <c r="L22" s="13" t="n">
        <f aca="false">IF(Time!L20&lt;Time!$F$12,SUMIFS(Funding!$J$73:$BJ$73,Construction!$J$12:$BJ$12,"&lt;="&amp;Time!L20),Debt!L116)</f>
        <v>321.119011655749</v>
      </c>
      <c r="M22" s="13" t="n">
        <f aca="false">IF(Time!M20&lt;Time!$F$12,SUMIFS(Funding!$J$73:$BJ$73,Construction!$J$12:$BJ$12,"&lt;="&amp;Time!M20),Debt!M116)</f>
        <v>468.960940919004</v>
      </c>
      <c r="N22" s="13" t="n">
        <f aca="false">IF(Time!N20&lt;Time!$F$12,SUMIFS(Funding!$J$73:$BJ$73,Construction!$J$12:$BJ$12,"&lt;="&amp;Time!N20),Debt!N116)</f>
        <v>552.134366847773</v>
      </c>
      <c r="O22" s="13" t="n">
        <f aca="false">IF(Time!O20&lt;Time!$F$12,SUMIFS(Funding!$J$73:$BJ$73,Construction!$J$12:$BJ$12,"&lt;="&amp;Time!O20),Debt!O116)</f>
        <v>654.950564098311</v>
      </c>
      <c r="P22" s="13" t="n">
        <f aca="false">IF(Time!P20&lt;Time!$F$12,SUMIFS(Funding!$J$73:$BJ$73,Construction!$J$12:$BJ$12,"&lt;="&amp;Time!P20),Debt!P116)</f>
        <v>639.004855663881</v>
      </c>
      <c r="Q22" s="13" t="n">
        <f aca="false">IF(Time!Q20&lt;Time!$F$12,SUMIFS(Funding!$J$73:$BJ$73,Construction!$J$12:$BJ$12,"&lt;="&amp;Time!Q20),Debt!Q116)</f>
        <v>622.690839200418</v>
      </c>
      <c r="R22" s="13" t="n">
        <f aca="false">IF(Time!R20&lt;Time!$F$12,SUMIFS(Funding!$J$73:$BJ$73,Construction!$J$12:$BJ$12,"&lt;="&amp;Time!R20),Debt!R116)</f>
        <v>605.751542398599</v>
      </c>
      <c r="S22" s="13" t="n">
        <f aca="false">IF(Time!S20&lt;Time!$F$12,SUMIFS(Funding!$J$73:$BJ$73,Construction!$J$12:$BJ$12,"&lt;="&amp;Time!S20),Debt!S116)</f>
        <v>588.399959950187</v>
      </c>
      <c r="T22" s="13" t="n">
        <f aca="false">IF(Time!T20&lt;Time!$F$12,SUMIFS(Funding!$J$73:$BJ$73,Construction!$J$12:$BJ$12,"&lt;="&amp;Time!T20),Debt!T116)</f>
        <v>569.915847401007</v>
      </c>
      <c r="U22" s="13" t="n">
        <f aca="false">IF(Time!U20&lt;Time!$F$12,SUMIFS(Funding!$J$73:$BJ$73,Construction!$J$12:$BJ$12,"&lt;="&amp;Time!U20),Debt!U116)</f>
        <v>551.197124683098</v>
      </c>
      <c r="V22" s="13" t="n">
        <f aca="false">IF(Time!V20&lt;Time!$F$12,SUMIFS(Funding!$J$73:$BJ$73,Construction!$J$12:$BJ$12,"&lt;="&amp;Time!V20),Debt!V116)</f>
        <v>532.120831841987</v>
      </c>
      <c r="W22" s="13" t="n">
        <f aca="false">IF(Time!W20&lt;Time!$F$12,SUMIFS(Funding!$J$73:$BJ$73,Construction!$J$12:$BJ$12,"&lt;="&amp;Time!W20),Debt!W116)</f>
        <v>512.373448570247</v>
      </c>
      <c r="X22" s="13" t="n">
        <f aca="false">IF(Time!X20&lt;Time!$F$12,SUMIFS(Funding!$J$73:$BJ$73,Construction!$J$12:$BJ$12,"&lt;="&amp;Time!X20),Debt!X116)</f>
        <v>492.159520684951</v>
      </c>
      <c r="Y22" s="13" t="n">
        <f aca="false">IF(Time!Y20&lt;Time!$F$12,SUMIFS(Funding!$J$73:$BJ$73,Construction!$J$12:$BJ$12,"&lt;="&amp;Time!Y20),Debt!Y116)</f>
        <v>471.785351931204</v>
      </c>
      <c r="Z22" s="13" t="n">
        <f aca="false">IF(Time!Z20&lt;Time!$F$12,SUMIFS(Funding!$J$73:$BJ$73,Construction!$J$12:$BJ$12,"&lt;="&amp;Time!Z20),Debt!Z116)</f>
        <v>450.560104592467</v>
      </c>
      <c r="AA22" s="13" t="n">
        <f aca="false">IF(Time!AA20&lt;Time!$F$12,SUMIFS(Funding!$J$73:$BJ$73,Construction!$J$12:$BJ$12,"&lt;="&amp;Time!AA20),Debt!AA116)</f>
        <v>420.848286799271</v>
      </c>
      <c r="AB22" s="13" t="n">
        <f aca="false">IF(Time!AB20&lt;Time!$F$12,SUMIFS(Funding!$J$73:$BJ$73,Construction!$J$12:$BJ$12,"&lt;="&amp;Time!AB20),Debt!AB116)</f>
        <v>388.498063045035</v>
      </c>
      <c r="AC22" s="13" t="n">
        <f aca="false">IF(Time!AC20&lt;Time!$F$12,SUMIFS(Funding!$J$73:$BJ$73,Construction!$J$12:$BJ$12,"&lt;="&amp;Time!AC20),Debt!AC116)</f>
        <v>356.542820488653</v>
      </c>
      <c r="AD22" s="13" t="n">
        <f aca="false">IF(Time!AD20&lt;Time!$F$12,SUMIFS(Funding!$J$73:$BJ$73,Construction!$J$12:$BJ$12,"&lt;="&amp;Time!AD20),Debt!AD116)</f>
        <v>323.225545089689</v>
      </c>
      <c r="AE22" s="13" t="n">
        <f aca="false">IF(Time!AE20&lt;Time!$F$12,SUMIFS(Funding!$J$73:$BJ$73,Construction!$J$12:$BJ$12,"&lt;="&amp;Time!AE20),Debt!AE116)</f>
        <v>290.800552933674</v>
      </c>
      <c r="AF22" s="13" t="n">
        <f aca="false">IF(Time!AF20&lt;Time!$F$12,SUMIFS(Funding!$J$73:$BJ$73,Construction!$J$12:$BJ$12,"&lt;="&amp;Time!AF20),Debt!AF116)</f>
        <v>258.114627777866</v>
      </c>
      <c r="AG22" s="13" t="n">
        <f aca="false">IF(Time!AG20&lt;Time!$F$12,SUMIFS(Funding!$J$73:$BJ$73,Construction!$J$12:$BJ$12,"&lt;="&amp;Time!AG20),Debt!AG116)</f>
        <v>225.191646207286</v>
      </c>
      <c r="AH22" s="13" t="n">
        <f aca="false">IF(Time!AH20&lt;Time!$F$12,SUMIFS(Funding!$J$73:$BJ$73,Construction!$J$12:$BJ$12,"&lt;="&amp;Time!AH20),Debt!AH116)</f>
        <v>191.267682235851</v>
      </c>
      <c r="AI22" s="13" t="n">
        <f aca="false">IF(Time!AI20&lt;Time!$F$12,SUMIFS(Funding!$J$73:$BJ$73,Construction!$J$12:$BJ$12,"&lt;="&amp;Time!AI20),Debt!AI116)</f>
        <v>157.541087339087</v>
      </c>
      <c r="AJ22" s="13" t="n">
        <f aca="false">IF(Time!AJ20&lt;Time!$F$12,SUMIFS(Funding!$J$73:$BJ$73,Construction!$J$12:$BJ$12,"&lt;="&amp;Time!AJ20),Debt!AJ116)</f>
        <v>122.387579902338</v>
      </c>
      <c r="AK22" s="13" t="n">
        <f aca="false">IF(Time!AK20&lt;Time!$F$12,SUMIFS(Funding!$J$73:$BJ$73,Construction!$J$12:$BJ$12,"&lt;="&amp;Time!AK20),Debt!AK116)</f>
        <v>87.5930517568416</v>
      </c>
      <c r="AL22" s="13" t="n">
        <f aca="false">IF(Time!AL20&lt;Time!$F$12,SUMIFS(Funding!$J$73:$BJ$73,Construction!$J$12:$BJ$12,"&lt;="&amp;Time!AL20),Debt!AL116)</f>
        <v>63.679773201413</v>
      </c>
      <c r="AM22" s="13" t="n">
        <f aca="false">IF(Time!AM20&lt;Time!$F$12,SUMIFS(Funding!$J$73:$BJ$73,Construction!$J$12:$BJ$12,"&lt;="&amp;Time!AM20),Debt!AM116)</f>
        <v>43.0164756798993</v>
      </c>
      <c r="AN22" s="13" t="n">
        <f aca="false">IF(Time!AN20&lt;Time!$F$12,SUMIFS(Funding!$J$73:$BJ$73,Construction!$J$12:$BJ$12,"&lt;="&amp;Time!AN20),Debt!AN116)</f>
        <v>21.8276364011535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1918</v>
      </c>
      <c r="E23" s="0" t="s">
        <v>151</v>
      </c>
      <c r="J23" s="13" t="n">
        <f aca="false">IF(Time!J20&lt;Time!$F$12,SUMIFS(Funding!$J$70:$BJ$70,Construction!$J$12:$BJ$12,"&lt;="&amp;Time!J20)+SUMIFS(Funding!$J$71:$BJ$71,Construction!$J$12:$BJ$12,"&lt;="&amp;Time!J20),Waterfall!J36)</f>
        <v>28.5231714047995</v>
      </c>
      <c r="K23" s="13" t="n">
        <f aca="false">IF(Time!K20&lt;Time!$F$12,SUMIFS(Funding!$J$70:$BJ$70,Construction!$J$12:$BJ$12,"&lt;="&amp;Time!K20)+SUMIFS(Funding!$J$71:$BJ$71,Construction!$J$12:$BJ$12,"&lt;="&amp;Time!K20),Waterfall!K36)</f>
        <v>49.9088310147196</v>
      </c>
      <c r="L23" s="13" t="n">
        <f aca="false">IF(Time!L20&lt;Time!$F$12,SUMIFS(Funding!$J$70:$BJ$70,Construction!$J$12:$BJ$12,"&lt;="&amp;Time!L20)+SUMIFS(Funding!$J$71:$BJ$71,Construction!$J$12:$BJ$12,"&lt;="&amp;Time!L20),Waterfall!L36)</f>
        <v>91.282680526685</v>
      </c>
      <c r="M23" s="13" t="n">
        <f aca="false">IF(Time!M20&lt;Time!$F$12,SUMIFS(Funding!$J$70:$BJ$70,Construction!$J$12:$BJ$12,"&lt;="&amp;Time!M20)+SUMIFS(Funding!$J$71:$BJ$71,Construction!$J$12:$BJ$12,"&lt;="&amp;Time!M20),Waterfall!M36)</f>
        <v>135.947776048529</v>
      </c>
      <c r="N23" s="13" t="n">
        <f aca="false">IF(Time!N20&lt;Time!$F$12,SUMIFS(Funding!$J$70:$BJ$70,Construction!$J$12:$BJ$12,"&lt;="&amp;Time!N20)+SUMIFS(Funding!$J$71:$BJ$71,Construction!$J$12:$BJ$12,"&lt;="&amp;Time!N20),Waterfall!N36)</f>
        <v>165.298687079785</v>
      </c>
      <c r="O23" s="13" t="n">
        <f aca="false">IF(Time!O20&lt;Time!$F$12,SUMIFS(Funding!$J$70:$BJ$70,Construction!$J$12:$BJ$12,"&lt;="&amp;Time!O20)+SUMIFS(Funding!$J$71:$BJ$71,Construction!$J$12:$BJ$12,"&lt;="&amp;Time!O20),Waterfall!O36)</f>
        <v>190.568247853431</v>
      </c>
      <c r="P23" s="13" t="n">
        <f aca="false">IF(Time!P20&lt;Time!$F$12,SUMIFS(Funding!$J$70:$BJ$70,Construction!$J$12:$BJ$12,"&lt;="&amp;Time!P20)+SUMIFS(Funding!$J$71:$BJ$71,Construction!$J$12:$BJ$12,"&lt;="&amp;Time!P20),Waterfall!P36)</f>
        <v>180.376287636481</v>
      </c>
      <c r="Q23" s="13" t="n">
        <f aca="false">IF(Time!Q20&lt;Time!$F$12,SUMIFS(Funding!$J$70:$BJ$70,Construction!$J$12:$BJ$12,"&lt;="&amp;Time!Q20)+SUMIFS(Funding!$J$71:$BJ$71,Construction!$J$12:$BJ$12,"&lt;="&amp;Time!Q20),Waterfall!Q36)</f>
        <v>172.578617033136</v>
      </c>
      <c r="R23" s="13" t="n">
        <f aca="false">IF(Time!R20&lt;Time!$F$12,SUMIFS(Funding!$J$70:$BJ$70,Construction!$J$12:$BJ$12,"&lt;="&amp;Time!R20)+SUMIFS(Funding!$J$71:$BJ$71,Construction!$J$12:$BJ$12,"&lt;="&amp;Time!R20),Waterfall!R36)</f>
        <v>163.962441991836</v>
      </c>
      <c r="S23" s="13" t="n">
        <f aca="false">IF(Time!S20&lt;Time!$F$12,SUMIFS(Funding!$J$70:$BJ$70,Construction!$J$12:$BJ$12,"&lt;="&amp;Time!S20)+SUMIFS(Funding!$J$71:$BJ$71,Construction!$J$12:$BJ$12,"&lt;="&amp;Time!S20),Waterfall!S36)</f>
        <v>155.843064066526</v>
      </c>
      <c r="T23" s="13" t="n">
        <f aca="false">IF(Time!T20&lt;Time!$F$12,SUMIFS(Funding!$J$70:$BJ$70,Construction!$J$12:$BJ$12,"&lt;="&amp;Time!T20)+SUMIFS(Funding!$J$71:$BJ$71,Construction!$J$12:$BJ$12,"&lt;="&amp;Time!T20),Waterfall!T36)</f>
        <v>145.982577352946</v>
      </c>
      <c r="U23" s="13" t="n">
        <f aca="false">IF(Time!U20&lt;Time!$F$12,SUMIFS(Funding!$J$70:$BJ$70,Construction!$J$12:$BJ$12,"&lt;="&amp;Time!U20)+SUMIFS(Funding!$J$71:$BJ$71,Construction!$J$12:$BJ$12,"&lt;="&amp;Time!U20),Waterfall!U36)</f>
        <v>136.074679883907</v>
      </c>
      <c r="V23" s="13" t="n">
        <f aca="false">IF(Time!V20&lt;Time!$F$12,SUMIFS(Funding!$J$70:$BJ$70,Construction!$J$12:$BJ$12,"&lt;="&amp;Time!V20)+SUMIFS(Funding!$J$71:$BJ$71,Construction!$J$12:$BJ$12,"&lt;="&amp;Time!V20),Waterfall!V36)</f>
        <v>125.924754361813</v>
      </c>
      <c r="W23" s="13" t="n">
        <f aca="false">IF(Time!W20&lt;Time!$F$12,SUMIFS(Funding!$J$70:$BJ$70,Construction!$J$12:$BJ$12,"&lt;="&amp;Time!W20)+SUMIFS(Funding!$J$71:$BJ$71,Construction!$J$12:$BJ$12,"&lt;="&amp;Time!W20),Waterfall!W36)</f>
        <v>115.260155973315</v>
      </c>
      <c r="X23" s="13" t="n">
        <f aca="false">IF(Time!X20&lt;Time!$F$12,SUMIFS(Funding!$J$70:$BJ$70,Construction!$J$12:$BJ$12,"&lt;="&amp;Time!X20)+SUMIFS(Funding!$J$71:$BJ$71,Construction!$J$12:$BJ$12,"&lt;="&amp;Time!X20),Waterfall!X36)</f>
        <v>104.192126535969</v>
      </c>
      <c r="Y23" s="13" t="n">
        <f aca="false">IF(Time!Y20&lt;Time!$F$12,SUMIFS(Funding!$J$70:$BJ$70,Construction!$J$12:$BJ$12,"&lt;="&amp;Time!Y20)+SUMIFS(Funding!$J$71:$BJ$71,Construction!$J$12:$BJ$12,"&lt;="&amp;Time!Y20),Waterfall!Y36)</f>
        <v>92.9117970206503</v>
      </c>
      <c r="Z23" s="13" t="n">
        <f aca="false">IF(Time!Z20&lt;Time!$F$12,SUMIFS(Funding!$J$70:$BJ$70,Construction!$J$12:$BJ$12,"&lt;="&amp;Time!Z20)+SUMIFS(Funding!$J$71:$BJ$71,Construction!$J$12:$BJ$12,"&lt;="&amp;Time!Z20),Waterfall!Z36)</f>
        <v>80.5778341154851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76.5147340470695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70.6995282125703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64.6771940926828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57.5894218375701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51.2154734583853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45.659655300712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39.5312938900652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32.3229051438729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24.584491048749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15.0494583858761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3.99933141659835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0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0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0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0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0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0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1919</v>
      </c>
      <c r="E24" s="0" t="s">
        <v>151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23.7410363507687</v>
      </c>
      <c r="P24" s="13" t="n">
        <f aca="false">Operations!P90+Operations!P91+Operations!P92+Operations!P93+Operations!P94</f>
        <v>23.6461417121465</v>
      </c>
      <c r="Q24" s="13" t="n">
        <f aca="false">Operations!Q90+Operations!Q91+Operations!Q92+Operations!Q93+Operations!Q94</f>
        <v>24.3778465494053</v>
      </c>
      <c r="R24" s="13" t="n">
        <f aca="false">Operations!R90+Operations!R91+Operations!R92+Operations!R93+Operations!R94</f>
        <v>23.8955992135703</v>
      </c>
      <c r="S24" s="13" t="n">
        <f aca="false">Operations!S90+Operations!S91+Operations!S92+Operations!S93+Operations!S94</f>
        <v>24.7782295176357</v>
      </c>
      <c r="T24" s="13" t="n">
        <f aca="false">Operations!T90+Operations!T91+Operations!T92+Operations!T93+Operations!T94</f>
        <v>24.5713457268468</v>
      </c>
      <c r="U24" s="13" t="n">
        <f aca="false">Operations!U90+Operations!U91+Operations!U92+Operations!U93+Operations!U94</f>
        <v>25.0167484856549</v>
      </c>
      <c r="V24" s="13" t="n">
        <f aca="false">Operations!V90+Operations!V91+Operations!V92+Operations!V93+Operations!V94</f>
        <v>24.2758265197645</v>
      </c>
      <c r="W24" s="13" t="n">
        <f aca="false">Operations!W90+Operations!W91+Operations!W92+Operations!W93+Operations!W94</f>
        <v>25.3649640976238</v>
      </c>
      <c r="X24" s="13" t="n">
        <f aca="false">Operations!X90+Operations!X91+Operations!X92+Operations!X93+Operations!X94</f>
        <v>25.5328209308838</v>
      </c>
      <c r="Y24" s="13" t="n">
        <f aca="false">Operations!Y90+Operations!Y91+Operations!Y92+Operations!Y93+Operations!Y94</f>
        <v>26.3233382696918</v>
      </c>
      <c r="Z24" s="13" t="n">
        <f aca="false">Operations!Z90+Operations!Z91+Operations!Z92+Operations!Z93+Operations!Z94</f>
        <v>25.8019226618623</v>
      </c>
      <c r="AA24" s="13" t="n">
        <f aca="false">Operations!AA90+Operations!AA91+Operations!AA92+Operations!AA93+Operations!AA94</f>
        <v>26.7556287578167</v>
      </c>
      <c r="AB24" s="13" t="n">
        <f aca="false">Operations!AB90+Operations!AB91+Operations!AB92+Operations!AB93+Operations!AB94</f>
        <v>26.531984632372</v>
      </c>
      <c r="AC24" s="13" t="n">
        <f aca="false">Operations!AC90+Operations!AC91+Operations!AC92+Operations!AC93+Operations!AC94</f>
        <v>26.8460600014554</v>
      </c>
      <c r="AD24" s="13" t="n">
        <f aca="false">Operations!AD90+Operations!AD91+Operations!AD92+Operations!AD93+Operations!AD94</f>
        <v>25.7224313537598</v>
      </c>
      <c r="AE24" s="13" t="n">
        <f aca="false">Operations!AE90+Operations!AE91+Operations!AE92+Operations!AE93+Operations!AE94</f>
        <v>27.0466364492004</v>
      </c>
      <c r="AF24" s="13" t="n">
        <f aca="false">Operations!AF90+Operations!AF91+Operations!AF92+Operations!AF93+Operations!AF94</f>
        <v>27.5703092571385</v>
      </c>
      <c r="AG24" s="13" t="n">
        <f aca="false">Operations!AG90+Operations!AG91+Operations!AG92+Operations!AG93+Operations!AG94</f>
        <v>28.424349990401</v>
      </c>
      <c r="AH24" s="13" t="n">
        <f aca="false">Operations!AH90+Operations!AH91+Operations!AH92+Operations!AH93+Operations!AH94</f>
        <v>27.8605987976391</v>
      </c>
      <c r="AI24" s="13" t="n">
        <f aca="false">Operations!AI90+Operations!AI91+Operations!AI92+Operations!AI93+Operations!AI94</f>
        <v>28.8910825742729</v>
      </c>
      <c r="AJ24" s="13" t="n">
        <f aca="false">Operations!AJ90+Operations!AJ91+Operations!AJ92+Operations!AJ93+Operations!AJ94</f>
        <v>28.6493244788872</v>
      </c>
      <c r="AK24" s="13" t="n">
        <f aca="false">Operations!AK90+Operations!AK91+Operations!AK92+Operations!AK93+Operations!AK94</f>
        <v>29.1685152303556</v>
      </c>
      <c r="AL24" s="13" t="n">
        <f aca="false">Operations!AL90+Operations!AL91+Operations!AL92+Operations!AL93+Operations!AL94</f>
        <v>28.302323647582</v>
      </c>
      <c r="AM24" s="13" t="n">
        <f aca="false">Operations!AM90+Operations!AM91+Operations!AM92+Operations!AM93+Operations!AM94</f>
        <v>29.5741969302288</v>
      </c>
      <c r="AN24" s="13" t="n">
        <f aca="false">Operations!AN90+Operations!AN91+Operations!AN92+Operations!AN93+Operations!AN94</f>
        <v>29.770619431053</v>
      </c>
      <c r="AO24" s="13" t="n">
        <f aca="false">Operations!AO90+Operations!AO91+Operations!AO92+Operations!AO93+Operations!AO94</f>
        <v>30.693269352327</v>
      </c>
      <c r="AP24" s="13" t="n">
        <f aca="false">Operations!AP90+Operations!AP91+Operations!AP92+Operations!AP93+Operations!AP94</f>
        <v>30.0837612933299</v>
      </c>
      <c r="AQ24" s="13" t="n">
        <f aca="false">Operations!AQ90+Operations!AQ91+Operations!AQ92+Operations!AQ93+Operations!AQ94</f>
        <v>31.1971790057914</v>
      </c>
      <c r="AR24" s="13" t="n">
        <f aca="false">Operations!AR90+Operations!AR91+Operations!AR92+Operations!AR93+Operations!AR94</f>
        <v>30.9358450034511</v>
      </c>
      <c r="AS24" s="13" t="n">
        <f aca="false">Operations!AS90+Operations!AS91+Operations!AS92+Operations!AS93+Operations!AS94</f>
        <v>31.3013420997725</v>
      </c>
      <c r="AT24" s="13" t="n">
        <f aca="false">Operations!AT90+Operations!AT91+Operations!AT92+Operations!AT93+Operations!AT94</f>
        <v>29.9878783828385</v>
      </c>
      <c r="AU24" s="13" t="n">
        <f aca="false">Operations!AU90+Operations!AU91+Operations!AU92+Operations!AU93+Operations!AU94</f>
        <v>31.5342844306313</v>
      </c>
      <c r="AV24" s="13" t="n">
        <f aca="false">Operations!AV90+Operations!AV91+Operations!AV92+Operations!AV93+Operations!AV94</f>
        <v>32.1467162269415</v>
      </c>
      <c r="AW24" s="13" t="n">
        <f aca="false">Operations!AW90+Operations!AW91+Operations!AW92+Operations!AW93+Operations!AW94</f>
        <v>33.143465632454</v>
      </c>
      <c r="AX24" s="13" t="n">
        <f aca="false">Operations!AX90+Operations!AX91+Operations!AX92+Operations!AX93+Operations!AX94</f>
        <v>32.4845052825196</v>
      </c>
      <c r="AY24" s="13" t="n">
        <f aca="false">Operations!AY90+Operations!AY91+Operations!AY92+Operations!AY93+Operations!AY94</f>
        <v>33.6875034721813</v>
      </c>
      <c r="AZ24" s="13" t="n">
        <f aca="false">Operations!AZ90+Operations!AZ91+Operations!AZ92+Operations!AZ93+Operations!AZ94</f>
        <v>33.4050147494478</v>
      </c>
      <c r="BA24" s="13" t="n">
        <f aca="false">Operations!BA90+Operations!BA91+Operations!BA92+Operations!BA93+Operations!BA94</f>
        <v>34.0101751760704</v>
      </c>
      <c r="BB24" s="13" t="n">
        <f aca="false">Operations!BB90+Operations!BB91+Operations!BB92+Operations!BB93+Operations!BB94</f>
        <v>32.997659482442</v>
      </c>
      <c r="BC24" s="13" t="n">
        <f aca="false">Operations!BC90+Operations!BC91+Operations!BC92+Operations!BC93+Operations!BC94</f>
        <v>34.482785208686</v>
      </c>
      <c r="BD24" s="13" t="n">
        <f aca="false">Operations!BD90+Operations!BD91+Operations!BD92+Operations!BD93+Operations!BD94</f>
        <v>34.7125914067986</v>
      </c>
      <c r="BE24" s="13" t="n">
        <f aca="false">Operations!BE90+Operations!BE91+Operations!BE92+Operations!BE93+Operations!BE94</f>
        <v>35.7893670130379</v>
      </c>
      <c r="BF24" s="13" t="n">
        <f aca="false">Operations!BF90+Operations!BF91+Operations!BF92+Operations!BF93+Operations!BF94</f>
        <v>35.0769630431253</v>
      </c>
      <c r="BG24" s="13" t="n">
        <f aca="false">Operations!BG90+Operations!BG91+Operations!BG92+Operations!BG93+Operations!BG94</f>
        <v>36.3767172705018</v>
      </c>
      <c r="BH24" s="13" t="n">
        <f aca="false">Operations!BH90+Operations!BH91+Operations!BH92+Operations!BH93+Operations!BH94</f>
        <v>36.0713688919866</v>
      </c>
      <c r="BI24" s="13" t="n">
        <f aca="false">Operations!BI90+Operations!BI91+Operations!BI92+Operations!BI93+Operations!BI94</f>
        <v>36.4966847934661</v>
      </c>
      <c r="BJ24" s="13" t="n">
        <f aca="false">Operations!BJ90+Operations!BJ91+Operations!BJ92+Operations!BJ93+Operations!BJ94</f>
        <v>34.9615159811662</v>
      </c>
      <c r="BK24" s="13" t="n">
        <f aca="false">Operations!BK90+Operations!BK91+Operations!BK92+Operations!BK93+Operations!BK94</f>
        <v>36.7672173860673</v>
      </c>
      <c r="BL24" s="13" t="n">
        <f aca="false">Operations!BL90+Operations!BL91+Operations!BL92+Operations!BL93+Operations!BL94</f>
        <v>37.4833445265763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1920</v>
      </c>
      <c r="E25" s="0" t="s">
        <v>151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0.587415520015668</v>
      </c>
      <c r="P25" s="13" t="n">
        <f aca="false">MAX(0,P12)</f>
        <v>2.3496620800626</v>
      </c>
      <c r="Q25" s="13" t="n">
        <f aca="false">MAX(0,Q12)</f>
        <v>4.11190864010957</v>
      </c>
      <c r="R25" s="13" t="n">
        <f aca="false">MAX(0,R12)</f>
        <v>5.87415520015647</v>
      </c>
      <c r="S25" s="13" t="n">
        <f aca="false">MAX(0,S12)</f>
        <v>7.63640176020348</v>
      </c>
      <c r="T25" s="13" t="n">
        <f aca="false">MAX(0,T12)</f>
        <v>9.39864832025038</v>
      </c>
      <c r="U25" s="13" t="n">
        <f aca="false">MAX(0,U12)</f>
        <v>11.1608948802973</v>
      </c>
      <c r="V25" s="13" t="n">
        <f aca="false">MAX(0,V12)</f>
        <v>12.9231414403443</v>
      </c>
      <c r="W25" s="13" t="n">
        <f aca="false">MAX(0,W12)</f>
        <v>14.6853880003913</v>
      </c>
      <c r="X25" s="13" t="n">
        <f aca="false">MAX(0,X12)</f>
        <v>16.4476345604382</v>
      </c>
      <c r="Y25" s="13" t="n">
        <f aca="false">MAX(0,Y12)</f>
        <v>17.958131611907</v>
      </c>
      <c r="Z25" s="13" t="n">
        <f aca="false">MAX(0,Z12)</f>
        <v>18.9651296462196</v>
      </c>
      <c r="AA25" s="13" t="n">
        <f aca="false">MAX(0,AA12)</f>
        <v>19.9721276805321</v>
      </c>
      <c r="AB25" s="13" t="n">
        <f aca="false">MAX(0,AB12)</f>
        <v>20.9791257148447</v>
      </c>
      <c r="AC25" s="13" t="n">
        <f aca="false">MAX(0,AC12)</f>
        <v>21.9861237491572</v>
      </c>
      <c r="AD25" s="13" t="n">
        <f aca="false">MAX(0,AD12)</f>
        <v>22.9931217834697</v>
      </c>
      <c r="AE25" s="13" t="n">
        <f aca="false">MAX(0,AE12)</f>
        <v>24.0001198177823</v>
      </c>
      <c r="AF25" s="13" t="n">
        <f aca="false">MAX(0,AF12)</f>
        <v>25.0071178520948</v>
      </c>
      <c r="AG25" s="13" t="n">
        <f aca="false">MAX(0,AG12)</f>
        <v>26.0141158864073</v>
      </c>
      <c r="AH25" s="13" t="n">
        <f aca="false">MAX(0,AH12)</f>
        <v>27.0211139207199</v>
      </c>
      <c r="AI25" s="13" t="n">
        <f aca="false">MAX(0,AI12)</f>
        <v>28.0281119550324</v>
      </c>
      <c r="AJ25" s="13" t="n">
        <f aca="false">MAX(0,AJ12)</f>
        <v>29.035109989345</v>
      </c>
      <c r="AK25" s="13" t="n">
        <f aca="false">MAX(0,AK12)</f>
        <v>30.0421080236575</v>
      </c>
      <c r="AL25" s="13" t="n">
        <f aca="false">MAX(0,AL12)</f>
        <v>31.0491060579701</v>
      </c>
      <c r="AM25" s="13" t="n">
        <f aca="false">MAX(0,AM12)</f>
        <v>32.0561040922826</v>
      </c>
      <c r="AN25" s="13" t="n">
        <f aca="false">MAX(0,AN12)</f>
        <v>33.0631021265952</v>
      </c>
      <c r="AO25" s="13" t="n">
        <f aca="false">MAX(0,AO12)</f>
        <v>34.0701001609077</v>
      </c>
      <c r="AP25" s="13" t="n">
        <f aca="false">MAX(0,AP12)</f>
        <v>35.0770981952203</v>
      </c>
      <c r="AQ25" s="13" t="n">
        <f aca="false">MAX(0,AQ12)</f>
        <v>36.0840962295328</v>
      </c>
      <c r="AR25" s="13" t="n">
        <f aca="false">MAX(0,AR12)</f>
        <v>37.0910942638454</v>
      </c>
      <c r="AS25" s="13" t="n">
        <f aca="false">MAX(0,AS12)</f>
        <v>38.0980922981579</v>
      </c>
      <c r="AT25" s="13" t="n">
        <f aca="false">MAX(0,AT12)</f>
        <v>39.1050903324704</v>
      </c>
      <c r="AU25" s="13" t="n">
        <f aca="false">MAX(0,AU12)</f>
        <v>40.112088366783</v>
      </c>
      <c r="AV25" s="13" t="n">
        <f aca="false">MAX(0,AV12)</f>
        <v>41.1190864010956</v>
      </c>
      <c r="AW25" s="13" t="n">
        <f aca="false">MAX(0,AW12)</f>
        <v>42.1260844354081</v>
      </c>
      <c r="AX25" s="13" t="n">
        <f aca="false">MAX(0,AX12)</f>
        <v>43.1330824697206</v>
      </c>
      <c r="AY25" s="13" t="n">
        <f aca="false">MAX(0,AY12)</f>
        <v>44.1400805040332</v>
      </c>
      <c r="AZ25" s="13" t="n">
        <f aca="false">MAX(0,AZ12)</f>
        <v>45.1470785383457</v>
      </c>
      <c r="BA25" s="13" t="n">
        <f aca="false">MAX(0,BA12)</f>
        <v>46.1540765726583</v>
      </c>
      <c r="BB25" s="13" t="n">
        <f aca="false">MAX(0,BB12)</f>
        <v>47.1610746069708</v>
      </c>
      <c r="BC25" s="13" t="n">
        <f aca="false">MAX(0,BC12)</f>
        <v>46.2379930755176</v>
      </c>
      <c r="BD25" s="13" t="n">
        <f aca="false">MAX(0,BD12)</f>
        <v>41.4547524125331</v>
      </c>
      <c r="BE25" s="13" t="n">
        <f aca="false">MAX(0,BE12)</f>
        <v>36.6715117495485</v>
      </c>
      <c r="BF25" s="13" t="n">
        <f aca="false">MAX(0,BF12)</f>
        <v>31.8882710865639</v>
      </c>
      <c r="BG25" s="13" t="n">
        <f aca="false">MAX(0,BG12)</f>
        <v>27.1050304235794</v>
      </c>
      <c r="BH25" s="13" t="n">
        <f aca="false">MAX(0,BH12)</f>
        <v>22.3217897605948</v>
      </c>
      <c r="BI25" s="13" t="n">
        <f aca="false">MAX(0,BI12)</f>
        <v>17.5385490976102</v>
      </c>
      <c r="BJ25" s="13" t="n">
        <f aca="false">MAX(0,BJ12)</f>
        <v>12.7553084346256</v>
      </c>
      <c r="BK25" s="13" t="n">
        <f aca="false">MAX(0,BK12)</f>
        <v>7.97206777164104</v>
      </c>
      <c r="BL25" s="13" t="n">
        <f aca="false">MAX(0,BL12)</f>
        <v>3.18882710865648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1755</v>
      </c>
      <c r="E26" s="0" t="s">
        <v>151</v>
      </c>
      <c r="J26" s="13" t="n">
        <f aca="false">SUMIFS(Funding!$J$69:$BJ$69,Construction!$J$12:$BJ$12,"&lt;="&amp;Time!J20)</f>
        <v>6.92747763067061</v>
      </c>
      <c r="K26" s="13" t="n">
        <f aca="false">SUMIFS(Funding!$J$69:$BJ$69,Construction!$J$12:$BJ$12,"&lt;="&amp;Time!K20)</f>
        <v>11.8546323309944</v>
      </c>
      <c r="L26" s="13" t="n">
        <f aca="false">SUMIFS(Funding!$J$69:$BJ$69,Construction!$J$12:$BJ$12,"&lt;="&amp;Time!L20)</f>
        <v>21.4079341104283</v>
      </c>
      <c r="M26" s="13" t="n">
        <f aca="false">SUMIFS(Funding!$J$69:$BJ$69,Construction!$J$12:$BJ$12,"&lt;="&amp;Time!M20)</f>
        <v>31.2640627279993</v>
      </c>
      <c r="N26" s="13" t="n">
        <f aca="false">SUMIFS(Funding!$J$69:$BJ$69,Construction!$J$12:$BJ$12,"&lt;="&amp;Time!N20)</f>
        <v>36.8089577899289</v>
      </c>
      <c r="O26" s="13" t="n">
        <f aca="false">SUMIFS(Funding!$J$69:$BJ$69,Construction!$J$12:$BJ$12,"&lt;="&amp;Time!O20)</f>
        <v>41.0578182623502</v>
      </c>
      <c r="P26" s="13" t="n">
        <f aca="false">SUMIFS(Funding!$J$69:$BJ$69,Construction!$J$12:$BJ$12,"&lt;="&amp;Time!P20)</f>
        <v>41.0578182623502</v>
      </c>
      <c r="Q26" s="13" t="n">
        <f aca="false">SUMIFS(Funding!$J$69:$BJ$69,Construction!$J$12:$BJ$12,"&lt;="&amp;Time!Q20)</f>
        <v>41.0578182623502</v>
      </c>
      <c r="R26" s="13" t="n">
        <f aca="false">SUMIFS(Funding!$J$69:$BJ$69,Construction!$J$12:$BJ$12,"&lt;="&amp;Time!R20)</f>
        <v>41.0578182623502</v>
      </c>
      <c r="S26" s="13" t="n">
        <f aca="false">SUMIFS(Funding!$J$69:$BJ$69,Construction!$J$12:$BJ$12,"&lt;="&amp;Time!S20)</f>
        <v>41.0578182623502</v>
      </c>
      <c r="T26" s="13" t="n">
        <f aca="false">SUMIFS(Funding!$J$69:$BJ$69,Construction!$J$12:$BJ$12,"&lt;="&amp;Time!T20)</f>
        <v>41.0578182623502</v>
      </c>
      <c r="U26" s="13" t="n">
        <f aca="false">SUMIFS(Funding!$J$69:$BJ$69,Construction!$J$12:$BJ$12,"&lt;="&amp;Time!U20)</f>
        <v>41.0578182623502</v>
      </c>
      <c r="V26" s="13" t="n">
        <f aca="false">SUMIFS(Funding!$J$69:$BJ$69,Construction!$J$12:$BJ$12,"&lt;="&amp;Time!V20)</f>
        <v>41.0578182623502</v>
      </c>
      <c r="W26" s="13" t="n">
        <f aca="false">SUMIFS(Funding!$J$69:$BJ$69,Construction!$J$12:$BJ$12,"&lt;="&amp;Time!W20)</f>
        <v>41.0578182623502</v>
      </c>
      <c r="X26" s="13" t="n">
        <f aca="false">SUMIFS(Funding!$J$69:$BJ$69,Construction!$J$12:$BJ$12,"&lt;="&amp;Time!X20)</f>
        <v>41.0578182623502</v>
      </c>
      <c r="Y26" s="13" t="n">
        <f aca="false">SUMIFS(Funding!$J$69:$BJ$69,Construction!$J$12:$BJ$12,"&lt;="&amp;Time!Y20)</f>
        <v>41.0578182623502</v>
      </c>
      <c r="Z26" s="13" t="n">
        <f aca="false">SUMIFS(Funding!$J$69:$BJ$69,Construction!$J$12:$BJ$12,"&lt;="&amp;Time!Z20)</f>
        <v>41.0578182623502</v>
      </c>
      <c r="AA26" s="13" t="n">
        <f aca="false">SUMIFS(Funding!$J$69:$BJ$69,Construction!$J$12:$BJ$12,"&lt;="&amp;Time!AA20)</f>
        <v>41.0578182623502</v>
      </c>
      <c r="AB26" s="13" t="n">
        <f aca="false">SUMIFS(Funding!$J$69:$BJ$69,Construction!$J$12:$BJ$12,"&lt;="&amp;Time!AB20)</f>
        <v>41.0578182623502</v>
      </c>
      <c r="AC26" s="13" t="n">
        <f aca="false">SUMIFS(Funding!$J$69:$BJ$69,Construction!$J$12:$BJ$12,"&lt;="&amp;Time!AC20)</f>
        <v>41.0578182623502</v>
      </c>
      <c r="AD26" s="13" t="n">
        <f aca="false">SUMIFS(Funding!$J$69:$BJ$69,Construction!$J$12:$BJ$12,"&lt;="&amp;Time!AD20)</f>
        <v>41.0578182623502</v>
      </c>
      <c r="AE26" s="13" t="n">
        <f aca="false">SUMIFS(Funding!$J$69:$BJ$69,Construction!$J$12:$BJ$12,"&lt;="&amp;Time!AE20)</f>
        <v>41.0578182623502</v>
      </c>
      <c r="AF26" s="13" t="n">
        <f aca="false">SUMIFS(Funding!$J$69:$BJ$69,Construction!$J$12:$BJ$12,"&lt;="&amp;Time!AF20)</f>
        <v>41.0578182623502</v>
      </c>
      <c r="AG26" s="13" t="n">
        <f aca="false">SUMIFS(Funding!$J$69:$BJ$69,Construction!$J$12:$BJ$12,"&lt;="&amp;Time!AG20)</f>
        <v>41.0578182623502</v>
      </c>
      <c r="AH26" s="13" t="n">
        <f aca="false">SUMIFS(Funding!$J$69:$BJ$69,Construction!$J$12:$BJ$12,"&lt;="&amp;Time!AH20)</f>
        <v>41.0578182623502</v>
      </c>
      <c r="AI26" s="13" t="n">
        <f aca="false">SUMIFS(Funding!$J$69:$BJ$69,Construction!$J$12:$BJ$12,"&lt;="&amp;Time!AI20)</f>
        <v>41.0578182623502</v>
      </c>
      <c r="AJ26" s="13" t="n">
        <f aca="false">SUMIFS(Funding!$J$69:$BJ$69,Construction!$J$12:$BJ$12,"&lt;="&amp;Time!AJ20)</f>
        <v>41.0578182623502</v>
      </c>
      <c r="AK26" s="13" t="n">
        <f aca="false">SUMIFS(Funding!$J$69:$BJ$69,Construction!$J$12:$BJ$12,"&lt;="&amp;Time!AK20)</f>
        <v>41.0578182623502</v>
      </c>
      <c r="AL26" s="13" t="n">
        <f aca="false">SUMIFS(Funding!$J$69:$BJ$69,Construction!$J$12:$BJ$12,"&lt;="&amp;Time!AL20)</f>
        <v>41.0578182623502</v>
      </c>
      <c r="AM26" s="13" t="n">
        <f aca="false">SUMIFS(Funding!$J$69:$BJ$69,Construction!$J$12:$BJ$12,"&lt;="&amp;Time!AM20)</f>
        <v>41.0578182623502</v>
      </c>
      <c r="AN26" s="13" t="n">
        <f aca="false">SUMIFS(Funding!$J$69:$BJ$69,Construction!$J$12:$BJ$12,"&lt;="&amp;Time!AN20)</f>
        <v>41.0578182623502</v>
      </c>
      <c r="AO26" s="13" t="n">
        <f aca="false">SUMIFS(Funding!$J$69:$BJ$69,Construction!$J$12:$BJ$12,"&lt;="&amp;Time!AO20)</f>
        <v>41.0578182623502</v>
      </c>
      <c r="AP26" s="13" t="n">
        <f aca="false">SUMIFS(Funding!$J$69:$BJ$69,Construction!$J$12:$BJ$12,"&lt;="&amp;Time!AP20)</f>
        <v>41.0578182623502</v>
      </c>
      <c r="AQ26" s="13" t="n">
        <f aca="false">SUMIFS(Funding!$J$69:$BJ$69,Construction!$J$12:$BJ$12,"&lt;="&amp;Time!AQ20)</f>
        <v>41.0578182623502</v>
      </c>
      <c r="AR26" s="13" t="n">
        <f aca="false">SUMIFS(Funding!$J$69:$BJ$69,Construction!$J$12:$BJ$12,"&lt;="&amp;Time!AR20)</f>
        <v>41.0578182623502</v>
      </c>
      <c r="AS26" s="13" t="n">
        <f aca="false">SUMIFS(Funding!$J$69:$BJ$69,Construction!$J$12:$BJ$12,"&lt;="&amp;Time!AS20)</f>
        <v>41.0578182623502</v>
      </c>
      <c r="AT26" s="13" t="n">
        <f aca="false">SUMIFS(Funding!$J$69:$BJ$69,Construction!$J$12:$BJ$12,"&lt;="&amp;Time!AT20)</f>
        <v>41.0578182623502</v>
      </c>
      <c r="AU26" s="13" t="n">
        <f aca="false">SUMIFS(Funding!$J$69:$BJ$69,Construction!$J$12:$BJ$12,"&lt;="&amp;Time!AU20)</f>
        <v>41.0578182623502</v>
      </c>
      <c r="AV26" s="13" t="n">
        <f aca="false">SUMIFS(Funding!$J$69:$BJ$69,Construction!$J$12:$BJ$12,"&lt;="&amp;Time!AV20)</f>
        <v>41.0578182623502</v>
      </c>
      <c r="AW26" s="13" t="n">
        <f aca="false">SUMIFS(Funding!$J$69:$BJ$69,Construction!$J$12:$BJ$12,"&lt;="&amp;Time!AW20)</f>
        <v>41.0578182623502</v>
      </c>
      <c r="AX26" s="13" t="n">
        <f aca="false">SUMIFS(Funding!$J$69:$BJ$69,Construction!$J$12:$BJ$12,"&lt;="&amp;Time!AX20)</f>
        <v>41.0578182623502</v>
      </c>
      <c r="AY26" s="13" t="n">
        <f aca="false">SUMIFS(Funding!$J$69:$BJ$69,Construction!$J$12:$BJ$12,"&lt;="&amp;Time!AY20)</f>
        <v>41.0578182623502</v>
      </c>
      <c r="AZ26" s="13" t="n">
        <f aca="false">SUMIFS(Funding!$J$69:$BJ$69,Construction!$J$12:$BJ$12,"&lt;="&amp;Time!AZ20)</f>
        <v>41.0578182623502</v>
      </c>
      <c r="BA26" s="13" t="n">
        <f aca="false">SUMIFS(Funding!$J$69:$BJ$69,Construction!$J$12:$BJ$12,"&lt;="&amp;Time!BA20)</f>
        <v>41.0578182623502</v>
      </c>
      <c r="BB26" s="13" t="n">
        <f aca="false">SUMIFS(Funding!$J$69:$BJ$69,Construction!$J$12:$BJ$12,"&lt;="&amp;Time!BB20)</f>
        <v>41.0578182623502</v>
      </c>
      <c r="BC26" s="13" t="n">
        <f aca="false">SUMIFS(Funding!$J$69:$BJ$69,Construction!$J$12:$BJ$12,"&lt;="&amp;Time!BC20)</f>
        <v>41.0578182623502</v>
      </c>
      <c r="BD26" s="13" t="n">
        <f aca="false">SUMIFS(Funding!$J$69:$BJ$69,Construction!$J$12:$BJ$12,"&lt;="&amp;Time!BD20)</f>
        <v>41.0578182623502</v>
      </c>
      <c r="BE26" s="13" t="n">
        <f aca="false">SUMIFS(Funding!$J$69:$BJ$69,Construction!$J$12:$BJ$12,"&lt;="&amp;Time!BE20)</f>
        <v>41.0578182623502</v>
      </c>
      <c r="BF26" s="13" t="n">
        <f aca="false">SUMIFS(Funding!$J$69:$BJ$69,Construction!$J$12:$BJ$12,"&lt;="&amp;Time!BF20)</f>
        <v>41.0578182623502</v>
      </c>
      <c r="BG26" s="13" t="n">
        <f aca="false">SUMIFS(Funding!$J$69:$BJ$69,Construction!$J$12:$BJ$12,"&lt;="&amp;Time!BG20)</f>
        <v>41.0578182623502</v>
      </c>
      <c r="BH26" s="13" t="n">
        <f aca="false">SUMIFS(Funding!$J$69:$BJ$69,Construction!$J$12:$BJ$12,"&lt;="&amp;Time!BH20)</f>
        <v>41.0578182623502</v>
      </c>
      <c r="BI26" s="13" t="n">
        <f aca="false">SUMIFS(Funding!$J$69:$BJ$69,Construction!$J$12:$BJ$12,"&lt;="&amp;Time!BI20)</f>
        <v>41.0578182623502</v>
      </c>
      <c r="BJ26" s="13" t="n">
        <f aca="false">SUMIFS(Funding!$J$69:$BJ$69,Construction!$J$12:$BJ$12,"&lt;="&amp;Time!BJ20)</f>
        <v>41.0578182623502</v>
      </c>
      <c r="BK26" s="13" t="n">
        <f aca="false">SUMIFS(Funding!$J$69:$BJ$69,Construction!$J$12:$BJ$12,"&lt;="&amp;Time!BK20)</f>
        <v>41.0578182623502</v>
      </c>
      <c r="BL26" s="13" t="n">
        <f aca="false">SUMIFS(Funding!$J$69:$BJ$69,Construction!$J$12:$BJ$12,"&lt;="&amp;Time!BL20)</f>
        <v>41.0578182623502</v>
      </c>
      <c r="BM26" s="13" t="n">
        <f aca="false">SUMIFS(Funding!$J$69:$BJ$69,Construction!$J$12:$BJ$12,"&lt;="&amp;Time!BM20)</f>
        <v>41.0578182623502</v>
      </c>
      <c r="BN26" s="13" t="n">
        <f aca="false">SUMIFS(Funding!$J$69:$BJ$69,Construction!$J$12:$BJ$12,"&lt;="&amp;Time!BN20)</f>
        <v>41.0578182623502</v>
      </c>
    </row>
    <row r="27" customFormat="false" ht="15" hidden="false" customHeight="false" outlineLevel="0" collapsed="false">
      <c r="D27" s="0" t="s">
        <v>1921</v>
      </c>
      <c r="E27" s="0" t="s">
        <v>151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9.51834320938345</v>
      </c>
      <c r="P27" s="18" t="n">
        <f aca="false">Waterfall!P43</f>
        <v>14.7923414080365</v>
      </c>
      <c r="Q27" s="18" t="n">
        <f aca="false">Waterfall!Q43</f>
        <v>21.2882707044019</v>
      </c>
      <c r="R27" s="18" t="n">
        <f aca="false">Waterfall!R43</f>
        <v>28.1752588698329</v>
      </c>
      <c r="S27" s="18" t="n">
        <f aca="false">Waterfall!S43</f>
        <v>36.5886630479412</v>
      </c>
      <c r="T27" s="18" t="n">
        <f aca="false">Waterfall!T43</f>
        <v>46.2223487383631</v>
      </c>
      <c r="U27" s="18" t="n">
        <f aca="false">Waterfall!U43</f>
        <v>56.5918902029514</v>
      </c>
      <c r="V27" s="18" t="n">
        <f aca="false">Waterfall!V43</f>
        <v>64.1899298205569</v>
      </c>
      <c r="W27" s="18" t="n">
        <f aca="false">Waterfall!W43</f>
        <v>76.478707632309</v>
      </c>
      <c r="X27" s="18" t="n">
        <f aca="false">Waterfall!X43</f>
        <v>91.2485144452664</v>
      </c>
      <c r="Y27" s="18" t="n">
        <f aca="false">Waterfall!Y43</f>
        <v>107.110952880946</v>
      </c>
      <c r="Z27" s="18" t="n">
        <f aca="false">Waterfall!Z43</f>
        <v>124.30600802497</v>
      </c>
      <c r="AA27" s="18" t="n">
        <f aca="false">Waterfall!AA43</f>
        <v>143.374038355129</v>
      </c>
      <c r="AB27" s="18" t="n">
        <f aca="false">Waterfall!AB43</f>
        <v>164.176157359806</v>
      </c>
      <c r="AC27" s="18" t="n">
        <f aca="false">Waterfall!AC43</f>
        <v>185.692008453866</v>
      </c>
      <c r="AD27" s="18" t="n">
        <f aca="false">Waterfall!AD43</f>
        <v>194.714197579785</v>
      </c>
      <c r="AE27" s="18" t="n">
        <f aca="false">Waterfall!AE43</f>
        <v>216.510529700763</v>
      </c>
      <c r="AF27" s="18" t="n">
        <f aca="false">Waterfall!AF43</f>
        <v>236.680084063321</v>
      </c>
      <c r="AG27" s="18" t="n">
        <f aca="false">Waterfall!AG43</f>
        <v>257.818881652875</v>
      </c>
      <c r="AH27" s="18" t="n">
        <f aca="false">Waterfall!AH43</f>
        <v>279.853883608015</v>
      </c>
      <c r="AI27" s="18" t="n">
        <f aca="false">Waterfall!AI43</f>
        <v>303.400018851835</v>
      </c>
      <c r="AJ27" s="18" t="n">
        <f aca="false">Waterfall!AJ43</f>
        <v>328.493093167632</v>
      </c>
      <c r="AK27" s="18" t="n">
        <f aca="false">Waterfall!AK43</f>
        <v>354.535733530229</v>
      </c>
      <c r="AL27" s="18" t="n">
        <f aca="false">Waterfall!AL43</f>
        <v>357.779914083104</v>
      </c>
      <c r="AM27" s="18" t="n">
        <f aca="false">Waterfall!AM43</f>
        <v>360.007214789623</v>
      </c>
      <c r="AN27" s="18" t="n">
        <f aca="false">Waterfall!AN43</f>
        <v>365.905512809204</v>
      </c>
      <c r="AO27" s="18" t="n">
        <f aca="false">Waterfall!AO43</f>
        <v>350.089182384248</v>
      </c>
      <c r="AP27" s="18" t="n">
        <f aca="false">Waterfall!AP43</f>
        <v>334.324992219633</v>
      </c>
      <c r="AQ27" s="18" t="n">
        <f aca="false">Waterfall!AQ43</f>
        <v>319.296942775032</v>
      </c>
      <c r="AR27" s="18" t="n">
        <f aca="false">Waterfall!AR43</f>
        <v>303.754122819839</v>
      </c>
      <c r="AS27" s="18" t="n">
        <f aca="false">Waterfall!AS43</f>
        <v>288.262929125304</v>
      </c>
      <c r="AT27" s="18" t="n">
        <f aca="false">Waterfall!AT43</f>
        <v>255.625273839217</v>
      </c>
      <c r="AU27" s="18" t="n">
        <f aca="false">Waterfall!AU43</f>
        <v>238.515787312979</v>
      </c>
      <c r="AV27" s="18" t="n">
        <f aca="false">Waterfall!AV43</f>
        <v>221.749199207695</v>
      </c>
      <c r="AW27" s="18" t="n">
        <f aca="false">Waterfall!AW43</f>
        <v>204.863928844431</v>
      </c>
      <c r="AX27" s="18" t="n">
        <f aca="false">Waterfall!AX43</f>
        <v>187.334472736494</v>
      </c>
      <c r="AY27" s="18" t="n">
        <f aca="false">Waterfall!AY43</f>
        <v>170.565570851644</v>
      </c>
      <c r="AZ27" s="18" t="n">
        <f aca="false">Waterfall!AZ43</f>
        <v>153.265059323576</v>
      </c>
      <c r="BA27" s="18" t="n">
        <f aca="false">Waterfall!BA43</f>
        <v>136.635557495635</v>
      </c>
      <c r="BB27" s="18" t="n">
        <f aca="false">Waterfall!BB43</f>
        <v>116.277474498581</v>
      </c>
      <c r="BC27" s="18" t="n">
        <f aca="false">Waterfall!BC43</f>
        <v>102.517835204038</v>
      </c>
      <c r="BD27" s="18" t="n">
        <f aca="false">Waterfall!BD43</f>
        <v>95.0496394186259</v>
      </c>
      <c r="BE27" s="18" t="n">
        <f aca="false">Waterfall!BE43</f>
        <v>87.7248155356326</v>
      </c>
      <c r="BF27" s="18" t="n">
        <f aca="false">Waterfall!BF43</f>
        <v>79.7506611918386</v>
      </c>
      <c r="BG27" s="18" t="n">
        <f aca="false">Waterfall!BG43</f>
        <v>72.5806612714715</v>
      </c>
      <c r="BH27" s="18" t="n">
        <f aca="false">Waterfall!BH43</f>
        <v>64.8781719567481</v>
      </c>
      <c r="BI27" s="18" t="n">
        <f aca="false">Waterfall!BI43</f>
        <v>57.2470678597352</v>
      </c>
      <c r="BJ27" s="18" t="n">
        <f aca="false">Waterfall!BJ43</f>
        <v>29.3100364371759</v>
      </c>
      <c r="BK27" s="18" t="n">
        <f aca="false">Waterfall!BK43</f>
        <v>19.7036004943382</v>
      </c>
      <c r="BL27" s="18" t="n">
        <f aca="false">Waterfall!BL43</f>
        <v>9.85187877180224</v>
      </c>
      <c r="BM27" s="18" t="n">
        <f aca="false">Waterfall!BM43</f>
        <v>-41.0578182623503</v>
      </c>
      <c r="BN27" s="18" t="n">
        <f aca="false">Waterfall!BN43</f>
        <v>-41.0578182623503</v>
      </c>
    </row>
    <row r="28" customFormat="false" ht="15" hidden="false" customHeight="false" outlineLevel="0" collapsed="false">
      <c r="D28" s="0" t="s">
        <v>1922</v>
      </c>
      <c r="E28" s="0" t="s">
        <v>151</v>
      </c>
      <c r="J28" s="13" t="n">
        <f aca="false">J22+J23+J24+J25+J26+J27</f>
        <v>139.362813495311</v>
      </c>
      <c r="K28" s="13" t="n">
        <f aca="false">K22+K23+K24+K25+K26+K27</f>
        <v>239.582948310257</v>
      </c>
      <c r="L28" s="13" t="n">
        <f aca="false">L22+L23+L24+L25+L26+L27</f>
        <v>433.809626292863</v>
      </c>
      <c r="M28" s="13" t="n">
        <f aca="false">M22+M23+M24+M25+M26+M27</f>
        <v>636.172779695533</v>
      </c>
      <c r="N28" s="13" t="n">
        <f aca="false">N22+N23+N24+N25+N26+N27</f>
        <v>754.242011717487</v>
      </c>
      <c r="O28" s="13" t="n">
        <f aca="false">O22+O23+O24+O25+O26+O27</f>
        <v>920.42342529426</v>
      </c>
      <c r="P28" s="13" t="n">
        <f aca="false">P22+P23+P24+P25+P26+P27</f>
        <v>901.227106762958</v>
      </c>
      <c r="Q28" s="13" t="n">
        <f aca="false">Q22+Q23+Q24+Q25+Q26+Q27</f>
        <v>886.105300389821</v>
      </c>
      <c r="R28" s="13" t="n">
        <f aca="false">R22+R23+R24+R25+R26+R27</f>
        <v>868.716815936344</v>
      </c>
      <c r="S28" s="13" t="n">
        <f aca="false">S22+S23+S24+S25+S26+S27</f>
        <v>854.304136604844</v>
      </c>
      <c r="T28" s="13" t="n">
        <f aca="false">T22+T23+T24+T25+T26+T27</f>
        <v>837.148585801763</v>
      </c>
      <c r="U28" s="13" t="n">
        <f aca="false">U22+U23+U24+U25+U26+U27</f>
        <v>821.099156398259</v>
      </c>
      <c r="V28" s="13" t="n">
        <f aca="false">V22+V23+V24+V25+V26+V27</f>
        <v>800.492302246816</v>
      </c>
      <c r="W28" s="13" t="n">
        <f aca="false">W22+W23+W24+W25+W26+W27</f>
        <v>785.220482536236</v>
      </c>
      <c r="X28" s="13" t="n">
        <f aca="false">X22+X23+X24+X25+X26+X27</f>
        <v>770.638435419858</v>
      </c>
      <c r="Y28" s="13" t="n">
        <f aca="false">Y22+Y23+Y24+Y25+Y26+Y27</f>
        <v>757.147389976749</v>
      </c>
      <c r="Z28" s="13" t="n">
        <f aca="false">Z22+Z23+Z24+Z25+Z26+Z27</f>
        <v>741.268817303354</v>
      </c>
      <c r="AA28" s="13" t="n">
        <f aca="false">AA22+AA23+AA24+AA25+AA26+AA27</f>
        <v>728.522633902169</v>
      </c>
      <c r="AB28" s="13" t="n">
        <f aca="false">AB22+AB23+AB24+AB25+AB26+AB27</f>
        <v>711.942677226978</v>
      </c>
      <c r="AC28" s="13" t="n">
        <f aca="false">AC22+AC23+AC24+AC25+AC26+AC27</f>
        <v>696.802025048164</v>
      </c>
      <c r="AD28" s="13" t="n">
        <f aca="false">AD22+AD23+AD24+AD25+AD26+AD27</f>
        <v>665.302535906624</v>
      </c>
      <c r="AE28" s="13" t="n">
        <f aca="false">AE22+AE23+AE24+AE25+AE26+AE27</f>
        <v>650.631130622156</v>
      </c>
      <c r="AF28" s="13" t="n">
        <f aca="false">AF22+AF23+AF24+AF25+AF26+AF27</f>
        <v>634.089612513482</v>
      </c>
      <c r="AG28" s="13" t="n">
        <f aca="false">AG22+AG23+AG24+AG25+AG26+AG27</f>
        <v>618.038105889385</v>
      </c>
      <c r="AH28" s="13" t="n">
        <f aca="false">AH22+AH23+AH24+AH25+AH26+AH27</f>
        <v>599.384001968448</v>
      </c>
      <c r="AI28" s="13" t="n">
        <f aca="false">AI22+AI23+AI24+AI25+AI26+AI27</f>
        <v>583.502610031327</v>
      </c>
      <c r="AJ28" s="13" t="n">
        <f aca="false">AJ22+AJ23+AJ24+AJ25+AJ26+AJ27</f>
        <v>564.672384186429</v>
      </c>
      <c r="AK28" s="13" t="n">
        <f aca="false">AK22+AK23+AK24+AK25+AK26+AK27</f>
        <v>546.396558220032</v>
      </c>
      <c r="AL28" s="13" t="n">
        <f aca="false">AL22+AL23+AL24+AL25+AL26+AL27</f>
        <v>521.868935252419</v>
      </c>
      <c r="AM28" s="13" t="n">
        <f aca="false">AM22+AM23+AM24+AM25+AM26+AM27</f>
        <v>505.711809754384</v>
      </c>
      <c r="AN28" s="13" t="n">
        <f aca="false">AN22+AN23+AN24+AN25+AN26+AN27</f>
        <v>491.624689030356</v>
      </c>
      <c r="AO28" s="13" t="n">
        <f aca="false">AO22+AO23+AO24+AO25+AO26+AO27</f>
        <v>455.910370159833</v>
      </c>
      <c r="AP28" s="13" t="n">
        <f aca="false">AP22+AP23+AP24+AP25+AP26+AP27</f>
        <v>440.543669970533</v>
      </c>
      <c r="AQ28" s="13" t="n">
        <f aca="false">AQ22+AQ23+AQ24+AQ25+AQ26+AQ27</f>
        <v>427.636036272706</v>
      </c>
      <c r="AR28" s="13" t="n">
        <f aca="false">AR22+AR23+AR24+AR25+AR26+AR27</f>
        <v>412.838880349486</v>
      </c>
      <c r="AS28" s="13" t="n">
        <f aca="false">AS22+AS23+AS24+AS25+AS26+AS27</f>
        <v>398.720181785585</v>
      </c>
      <c r="AT28" s="13" t="n">
        <f aca="false">AT22+AT23+AT24+AT25+AT26+AT27</f>
        <v>365.776060816876</v>
      </c>
      <c r="AU28" s="13" t="n">
        <f aca="false">AU22+AU23+AU24+AU25+AU26+AU27</f>
        <v>351.219978372743</v>
      </c>
      <c r="AV28" s="13" t="n">
        <f aca="false">AV22+AV23+AV24+AV25+AV26+AV27</f>
        <v>336.072820098082</v>
      </c>
      <c r="AW28" s="13" t="n">
        <f aca="false">AW22+AW23+AW24+AW25+AW26+AW27</f>
        <v>321.191297174643</v>
      </c>
      <c r="AX28" s="13" t="n">
        <f aca="false">AX22+AX23+AX24+AX25+AX26+AX27</f>
        <v>304.009878751084</v>
      </c>
      <c r="AY28" s="13" t="n">
        <f aca="false">AY22+AY23+AY24+AY25+AY26+AY27</f>
        <v>289.450973090208</v>
      </c>
      <c r="AZ28" s="13" t="n">
        <f aca="false">AZ22+AZ23+AZ24+AZ25+AZ26+AZ27</f>
        <v>272.87497087372</v>
      </c>
      <c r="BA28" s="13" t="n">
        <f aca="false">BA22+BA23+BA24+BA25+BA26+BA27</f>
        <v>257.857627506714</v>
      </c>
      <c r="BB28" s="13" t="n">
        <f aca="false">BB22+BB23+BB24+BB25+BB26+BB27</f>
        <v>237.494026850344</v>
      </c>
      <c r="BC28" s="13" t="n">
        <f aca="false">BC22+BC23+BC24+BC25+BC26+BC27</f>
        <v>224.296431750592</v>
      </c>
      <c r="BD28" s="13" t="n">
        <f aca="false">BD22+BD23+BD24+BD25+BD26+BD27</f>
        <v>212.274801500308</v>
      </c>
      <c r="BE28" s="13" t="n">
        <f aca="false">BE22+BE23+BE24+BE25+BE26+BE27</f>
        <v>201.243512560569</v>
      </c>
      <c r="BF28" s="13" t="n">
        <f aca="false">BF22+BF23+BF24+BF25+BF26+BF27</f>
        <v>187.773713583878</v>
      </c>
      <c r="BG28" s="13" t="n">
        <f aca="false">BG22+BG23+BG24+BG25+BG26+BG27</f>
        <v>177.120227227903</v>
      </c>
      <c r="BH28" s="13" t="n">
        <f aca="false">BH22+BH23+BH24+BH25+BH26+BH27</f>
        <v>164.32914887168</v>
      </c>
      <c r="BI28" s="13" t="n">
        <f aca="false">BI22+BI23+BI24+BI25+BI26+BI27</f>
        <v>152.340120013162</v>
      </c>
      <c r="BJ28" s="13" t="n">
        <f aca="false">BJ22+BJ23+BJ24+BJ25+BJ26+BJ27</f>
        <v>118.084679115318</v>
      </c>
      <c r="BK28" s="13" t="n">
        <f aca="false">BK22+BK23+BK24+BK25+BK26+BK27</f>
        <v>105.500703914397</v>
      </c>
      <c r="BL28" s="13" t="n">
        <f aca="false">BL22+BL23+BL24+BL25+BL26+BL27</f>
        <v>91.5818686693852</v>
      </c>
      <c r="BM28" s="13" t="n">
        <f aca="false">BM22+BM23+BM24+BM25+BM26+BM27</f>
        <v>0</v>
      </c>
      <c r="BN28" s="13" t="n">
        <f aca="false">BN22+BN23+BN24+BN25+BN26+BN27</f>
        <v>0</v>
      </c>
    </row>
    <row r="29" customFormat="false" ht="15" hidden="false" customHeight="false" outlineLevel="0" collapsed="false">
      <c r="D29" s="0" t="s">
        <v>1923</v>
      </c>
      <c r="E29" s="0" t="s">
        <v>151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0</v>
      </c>
      <c r="BN29" s="13" t="n">
        <f aca="false">BN21-BN28</f>
        <v>0</v>
      </c>
    </row>
    <row r="31" customFormat="false" ht="15" hidden="false" customHeight="false" outlineLevel="0" collapsed="false">
      <c r="B31" s="2" t="s">
        <v>1924</v>
      </c>
    </row>
    <row r="32" customFormat="false" ht="15" hidden="false" customHeight="false" outlineLevel="0" collapsed="false">
      <c r="D32" s="0" t="s">
        <v>1654</v>
      </c>
      <c r="E32" s="0" t="s">
        <v>151</v>
      </c>
      <c r="G32" s="13" t="n">
        <f aca="false">SUM(J32:BN32)</f>
        <v>2904.81207370705</v>
      </c>
      <c r="J32" s="18" t="n">
        <f aca="false">Operations!J84</f>
        <v>0</v>
      </c>
      <c r="K32" s="18" t="n">
        <f aca="false">Operations!K84</f>
        <v>0</v>
      </c>
      <c r="L32" s="18" t="n">
        <f aca="false">Operations!L84</f>
        <v>0</v>
      </c>
      <c r="M32" s="18" t="n">
        <f aca="false">Operations!M84</f>
        <v>0</v>
      </c>
      <c r="N32" s="18" t="n">
        <f aca="false">Operations!N84</f>
        <v>0</v>
      </c>
      <c r="O32" s="18" t="n">
        <f aca="false">Operations!O84</f>
        <v>18.6785037093121</v>
      </c>
      <c r="P32" s="18" t="n">
        <f aca="false">Operations!P84</f>
        <v>56.0835187659146</v>
      </c>
      <c r="Q32" s="18" t="n">
        <f aca="false">Operations!Q84</f>
        <v>56.127449185613</v>
      </c>
      <c r="R32" s="18" t="n">
        <f aca="false">Operations!R84</f>
        <v>55.9065578360323</v>
      </c>
      <c r="S32" s="18" t="n">
        <f aca="false">Operations!S84</f>
        <v>56.2446040912875</v>
      </c>
      <c r="T32" s="18" t="n">
        <f aca="false">Operations!T84</f>
        <v>56.7734674528299</v>
      </c>
      <c r="U32" s="18" t="n">
        <f aca="false">Operations!U84</f>
        <v>56.2465859185922</v>
      </c>
      <c r="V32" s="18" t="n">
        <f aca="false">Operations!V84</f>
        <v>52.535845751635</v>
      </c>
      <c r="W32" s="18" t="n">
        <f aca="false">Operations!W84</f>
        <v>55.8665124097603</v>
      </c>
      <c r="X32" s="18" t="n">
        <f aca="false">Operations!X84</f>
        <v>57.3892902070707</v>
      </c>
      <c r="Y32" s="18" t="n">
        <f aca="false">Operations!Y84</f>
        <v>57.3544827540884</v>
      </c>
      <c r="Z32" s="18" t="n">
        <f aca="false">Operations!Z84</f>
        <v>57.1244876355444</v>
      </c>
      <c r="AA32" s="18" t="n">
        <f aca="false">Operations!AA84</f>
        <v>57.4790970725836</v>
      </c>
      <c r="AB32" s="18" t="n">
        <f aca="false">Operations!AB84</f>
        <v>58.0306607205265</v>
      </c>
      <c r="AC32" s="18" t="n">
        <f aca="false">Operations!AC84</f>
        <v>57.0853238995014</v>
      </c>
      <c r="AD32" s="18" t="n">
        <f aca="false">Operations!AD84</f>
        <v>43.1459156061458</v>
      </c>
      <c r="AE32" s="18" t="n">
        <f aca="false">Operations!AE84</f>
        <v>56.2945749789649</v>
      </c>
      <c r="AF32" s="18" t="n">
        <f aca="false">Operations!AF84</f>
        <v>58.6986504723104</v>
      </c>
      <c r="AG32" s="18" t="n">
        <f aca="false">Operations!AG84</f>
        <v>58.6715674813991</v>
      </c>
      <c r="AH32" s="18" t="n">
        <f aca="false">Operations!AH84</f>
        <v>58.4455765845371</v>
      </c>
      <c r="AI32" s="18" t="n">
        <f aca="false">Operations!AI84</f>
        <v>58.8181226728165</v>
      </c>
      <c r="AJ32" s="18" t="n">
        <f aca="false">Operations!AJ84</f>
        <v>59.3943763201139</v>
      </c>
      <c r="AK32" s="18" t="n">
        <f aca="false">Operations!AK84</f>
        <v>58.8573637155428</v>
      </c>
      <c r="AL32" s="18" t="n">
        <f aca="false">Operations!AL84</f>
        <v>54.6276736746641</v>
      </c>
      <c r="AM32" s="18" t="n">
        <f aca="false">Operations!AM84</f>
        <v>58.4945550089505</v>
      </c>
      <c r="AN32" s="18" t="n">
        <f aca="false">Operations!AN84</f>
        <v>60.1190024382707</v>
      </c>
      <c r="AO32" s="18" t="n">
        <f aca="false">Operations!AO84</f>
        <v>60.1002583279504</v>
      </c>
      <c r="AP32" s="18" t="n">
        <f aca="false">Operations!AP84</f>
        <v>59.8786617688668</v>
      </c>
      <c r="AQ32" s="18" t="n">
        <f aca="false">Operations!AQ84</f>
        <v>60.2706340432325</v>
      </c>
      <c r="AR32" s="18" t="n">
        <f aca="false">Operations!AR84</f>
        <v>60.8737423391696</v>
      </c>
      <c r="AS32" s="18" t="n">
        <f aca="false">Operations!AS84</f>
        <v>59.8943582798385</v>
      </c>
      <c r="AT32" s="18" t="n">
        <f aca="false">Operations!AT84</f>
        <v>43.6026205171535</v>
      </c>
      <c r="AU32" s="18" t="n">
        <f aca="false">Operations!AU84</f>
        <v>59.0984448680776</v>
      </c>
      <c r="AV32" s="18" t="n">
        <f aca="false">Operations!AV84</f>
        <v>61.6598609816234</v>
      </c>
      <c r="AW32" s="18" t="n">
        <f aca="false">Operations!AW84</f>
        <v>61.6501204585769</v>
      </c>
      <c r="AX32" s="18" t="n">
        <f aca="false">Operations!AX84</f>
        <v>61.4333449795348</v>
      </c>
      <c r="AY32" s="18" t="n">
        <f aca="false">Operations!AY84</f>
        <v>61.8463590227248</v>
      </c>
      <c r="AZ32" s="18" t="n">
        <f aca="false">Operations!AZ84</f>
        <v>62.4786769699527</v>
      </c>
      <c r="BA32" s="18" t="n">
        <f aca="false">Operations!BA84</f>
        <v>61.9295171659562</v>
      </c>
      <c r="BB32" s="18" t="n">
        <f aca="false">Operations!BB84</f>
        <v>57.08288526137</v>
      </c>
      <c r="BC32" s="18" t="n">
        <f aca="false">Operations!BC84</f>
        <v>61.5870556270293</v>
      </c>
      <c r="BD32" s="18" t="n">
        <f aca="false">Operations!BD84</f>
        <v>63.3315648477116</v>
      </c>
      <c r="BE32" s="18" t="n">
        <f aca="false">Operations!BE84</f>
        <v>63.3315471441588</v>
      </c>
      <c r="BF32" s="18" t="n">
        <f aca="false">Operations!BF84</f>
        <v>63.1200594603803</v>
      </c>
      <c r="BG32" s="18" t="n">
        <f aca="false">Operations!BG84</f>
        <v>63.5558677575172</v>
      </c>
      <c r="BH32" s="18" t="n">
        <f aca="false">Operations!BH84</f>
        <v>64.2199574901468</v>
      </c>
      <c r="BI32" s="18" t="n">
        <f aca="false">Operations!BI84</f>
        <v>63.2002156302854</v>
      </c>
      <c r="BJ32" s="18" t="n">
        <f aca="false">Operations!BJ84</f>
        <v>44.1100748335666</v>
      </c>
      <c r="BK32" s="18" t="n">
        <f aca="false">Operations!BK84</f>
        <v>62.3982063383679</v>
      </c>
      <c r="BL32" s="18" t="n">
        <f aca="false">Operations!BL84</f>
        <v>65.1453485996656</v>
      </c>
      <c r="BM32" s="18" t="n">
        <f aca="false">Operations!BM84</f>
        <v>24.5189246301874</v>
      </c>
      <c r="BN32" s="18" t="n">
        <f aca="false">Operations!BN84</f>
        <v>0</v>
      </c>
    </row>
    <row r="33" customFormat="false" ht="15" hidden="false" customHeight="false" outlineLevel="0" collapsed="false">
      <c r="D33" s="0" t="s">
        <v>1925</v>
      </c>
      <c r="E33" s="0" t="s">
        <v>151</v>
      </c>
      <c r="G33" s="13" t="n">
        <f aca="false">SUM(J33:BN33)</f>
        <v>-436.986450285824</v>
      </c>
      <c r="J33" s="13" t="n">
        <f aca="false">-Tax!J27</f>
        <v>-0</v>
      </c>
      <c r="K33" s="13" t="n">
        <f aca="false">-Tax!K27</f>
        <v>-0</v>
      </c>
      <c r="L33" s="13" t="n">
        <f aca="false">-Tax!L27</f>
        <v>-0</v>
      </c>
      <c r="M33" s="13" t="n">
        <f aca="false">-Tax!M27</f>
        <v>-0</v>
      </c>
      <c r="N33" s="13" t="n">
        <f aca="false">-Tax!N27</f>
        <v>-0</v>
      </c>
      <c r="O33" s="13" t="n">
        <f aca="false">-Tax!O27</f>
        <v>-0</v>
      </c>
      <c r="P33" s="13" t="n">
        <f aca="false">-Tax!P27</f>
        <v>-0</v>
      </c>
      <c r="Q33" s="13" t="n">
        <f aca="false">-Tax!Q27</f>
        <v>-0</v>
      </c>
      <c r="R33" s="13" t="n">
        <f aca="false">-Tax!R27</f>
        <v>-0</v>
      </c>
      <c r="S33" s="13" t="n">
        <f aca="false">-Tax!S27</f>
        <v>-0</v>
      </c>
      <c r="T33" s="13" t="n">
        <f aca="false">-Tax!T27</f>
        <v>-0</v>
      </c>
      <c r="U33" s="13" t="n">
        <f aca="false">-Tax!U27</f>
        <v>-0</v>
      </c>
      <c r="V33" s="13" t="n">
        <f aca="false">-Tax!V27</f>
        <v>-0</v>
      </c>
      <c r="W33" s="13" t="n">
        <f aca="false">-Tax!W27</f>
        <v>-0</v>
      </c>
      <c r="X33" s="13" t="n">
        <f aca="false">-Tax!X27</f>
        <v>-0</v>
      </c>
      <c r="Y33" s="13" t="n">
        <f aca="false">-Tax!Y27</f>
        <v>-0</v>
      </c>
      <c r="Z33" s="13" t="n">
        <f aca="false">-Tax!Z27</f>
        <v>-0</v>
      </c>
      <c r="AA33" s="13" t="n">
        <f aca="false">-Tax!AA27</f>
        <v>-0</v>
      </c>
      <c r="AB33" s="13" t="n">
        <f aca="false">-Tax!AB27</f>
        <v>-0</v>
      </c>
      <c r="AC33" s="13" t="n">
        <f aca="false">-Tax!AC27</f>
        <v>-0</v>
      </c>
      <c r="AD33" s="13" t="n">
        <f aca="false">-Tax!AD27</f>
        <v>-0</v>
      </c>
      <c r="AE33" s="13" t="n">
        <f aca="false">-Tax!AE27</f>
        <v>-2.1607411156573</v>
      </c>
      <c r="AF33" s="13" t="n">
        <f aca="false">-Tax!AF27</f>
        <v>-7.63709669249769</v>
      </c>
      <c r="AG33" s="13" t="n">
        <f aca="false">-Tax!AG27</f>
        <v>-8.05248664692513</v>
      </c>
      <c r="AH33" s="13" t="n">
        <f aca="false">-Tax!AH27</f>
        <v>-8.4365742321758</v>
      </c>
      <c r="AI33" s="13" t="n">
        <f aca="false">-Tax!AI27</f>
        <v>-9.08420278446756</v>
      </c>
      <c r="AJ33" s="13" t="n">
        <f aca="false">-Tax!AJ27</f>
        <v>-9.74717667245783</v>
      </c>
      <c r="AK33" s="13" t="n">
        <f aca="false">-Tax!AK27</f>
        <v>-10.1541335496573</v>
      </c>
      <c r="AL33" s="13" t="n">
        <f aca="false">-Tax!AL27</f>
        <v>-9.44742495964816</v>
      </c>
      <c r="AM33" s="13" t="n">
        <f aca="false">-Tax!AM27</f>
        <v>-10.9170651187757</v>
      </c>
      <c r="AN33" s="13" t="n">
        <f aca="false">-Tax!AN27</f>
        <v>-11.5901496195866</v>
      </c>
      <c r="AO33" s="13" t="n">
        <f aca="false">-Tax!AO27</f>
        <v>-11.7853180888566</v>
      </c>
      <c r="AP33" s="13" t="n">
        <f aca="false">-Tax!AP27</f>
        <v>-11.9216103247848</v>
      </c>
      <c r="AQ33" s="13" t="n">
        <f aca="false">-Tax!AQ27</f>
        <v>-12.0392020070945</v>
      </c>
      <c r="AR33" s="13" t="n">
        <f aca="false">-Tax!AR27</f>
        <v>-12.2201344958756</v>
      </c>
      <c r="AS33" s="13" t="n">
        <f aca="false">-Tax!AS27</f>
        <v>-11.9263192780763</v>
      </c>
      <c r="AT33" s="13" t="n">
        <f aca="false">-Tax!AT27</f>
        <v>-7.03879794927079</v>
      </c>
      <c r="AU33" s="13" t="n">
        <f aca="false">-Tax!AU27</f>
        <v>-11.687545254548</v>
      </c>
      <c r="AV33" s="13" t="n">
        <f aca="false">-Tax!AV27</f>
        <v>-12.4559700886118</v>
      </c>
      <c r="AW33" s="13" t="n">
        <f aca="false">-Tax!AW27</f>
        <v>-12.4530479316978</v>
      </c>
      <c r="AX33" s="13" t="n">
        <f aca="false">-Tax!AX27</f>
        <v>-12.3880152879852</v>
      </c>
      <c r="AY33" s="13" t="n">
        <f aca="false">-Tax!AY27</f>
        <v>-12.5119195009422</v>
      </c>
      <c r="AZ33" s="13" t="n">
        <f aca="false">-Tax!AZ27</f>
        <v>-12.7016148851106</v>
      </c>
      <c r="BA33" s="13" t="n">
        <f aca="false">-Tax!BA27</f>
        <v>-12.5368669439116</v>
      </c>
      <c r="BB33" s="13" t="n">
        <f aca="false">-Tax!BB27</f>
        <v>-11.0828773725358</v>
      </c>
      <c r="BC33" s="13" t="n">
        <f aca="false">-Tax!BC27</f>
        <v>-14.3642080479992</v>
      </c>
      <c r="BD33" s="13" t="n">
        <f aca="false">-Tax!BD27</f>
        <v>-18.7477199457354</v>
      </c>
      <c r="BE33" s="13" t="n">
        <f aca="false">-Tax!BE27</f>
        <v>-18.7477146346695</v>
      </c>
      <c r="BF33" s="13" t="n">
        <f aca="false">-Tax!BF27</f>
        <v>-18.6842683295359</v>
      </c>
      <c r="BG33" s="13" t="n">
        <f aca="false">-Tax!BG27</f>
        <v>-18.815010818677</v>
      </c>
      <c r="BH33" s="13" t="n">
        <f aca="false">-Tax!BH27</f>
        <v>-19.0142377384659</v>
      </c>
      <c r="BI33" s="13" t="n">
        <f aca="false">-Tax!BI27</f>
        <v>-18.7083151805075</v>
      </c>
      <c r="BJ33" s="13" t="n">
        <f aca="false">-Tax!BJ27</f>
        <v>-12.9812729414918</v>
      </c>
      <c r="BK33" s="13" t="n">
        <f aca="false">-Tax!BK27</f>
        <v>-18.4677123929322</v>
      </c>
      <c r="BL33" s="13" t="n">
        <f aca="false">-Tax!BL27</f>
        <v>-19.2918550713215</v>
      </c>
      <c r="BM33" s="13" t="n">
        <f aca="false">-Tax!BM27</f>
        <v>-7.18784438333745</v>
      </c>
      <c r="BN33" s="13" t="n">
        <f aca="false">-Tax!BN27</f>
        <v>-0</v>
      </c>
    </row>
    <row r="34" customFormat="false" ht="15" hidden="false" customHeight="false" outlineLevel="0" collapsed="false">
      <c r="D34" s="0" t="s">
        <v>1926</v>
      </c>
      <c r="E34" s="0" t="s">
        <v>151</v>
      </c>
      <c r="G34" s="13" t="n">
        <f aca="false">SUM(J34:BN34)</f>
        <v>5.35</v>
      </c>
      <c r="J34" s="13" t="n">
        <f aca="false">-Operations!J96+Operations!J97</f>
        <v>0</v>
      </c>
      <c r="K34" s="13" t="n">
        <f aca="false">-Operations!K96+Operations!K97</f>
        <v>0</v>
      </c>
      <c r="L34" s="13" t="n">
        <f aca="false">-Operations!L96+Operations!L97</f>
        <v>0</v>
      </c>
      <c r="M34" s="13" t="n">
        <f aca="false">-Operations!M96+Operations!M97</f>
        <v>0</v>
      </c>
      <c r="N34" s="13" t="n">
        <f aca="false">-Operations!N96+Operations!N97</f>
        <v>0</v>
      </c>
      <c r="O34" s="13" t="n">
        <f aca="false">-Operations!O96+Operations!O97</f>
        <v>-16.1588059394036</v>
      </c>
      <c r="P34" s="13" t="n">
        <f aca="false">-Operations!P96+Operations!P97</f>
        <v>0.0339401264727321</v>
      </c>
      <c r="Q34" s="13" t="n">
        <f aca="false">-Operations!Q96+Operations!Q97</f>
        <v>-0.267599048438044</v>
      </c>
      <c r="R34" s="13" t="n">
        <f aca="false">-Operations!R96+Operations!R97</f>
        <v>0.303778369417401</v>
      </c>
      <c r="S34" s="13" t="n">
        <f aca="false">-Operations!S96+Operations!S97</f>
        <v>-0.369795806689016</v>
      </c>
      <c r="T34" s="13" t="n">
        <f aca="false">-Operations!T96+Operations!T97</f>
        <v>0.101721294841202</v>
      </c>
      <c r="U34" s="13" t="n">
        <f aca="false">-Operations!U96+Operations!U97</f>
        <v>-0.0553659530262998</v>
      </c>
      <c r="V34" s="13" t="n">
        <f aca="false">-Operations!V96+Operations!V97</f>
        <v>0.480449606210716</v>
      </c>
      <c r="W34" s="13" t="n">
        <f aca="false">-Operations!W96+Operations!W97</f>
        <v>-0.501642682438735</v>
      </c>
      <c r="X34" s="13" t="n">
        <f aca="false">-Operations!X96+Operations!X97</f>
        <v>-0.16469480295725</v>
      </c>
      <c r="Y34" s="13" t="n">
        <f aca="false">-Operations!Y96+Operations!Y97</f>
        <v>-0.278165350889974</v>
      </c>
      <c r="Z34" s="13" t="n">
        <f aca="false">-Operations!Z96+Operations!Z97</f>
        <v>0.309310514515978</v>
      </c>
      <c r="AA34" s="13" t="n">
        <f aca="false">-Operations!AA96+Operations!AA97</f>
        <v>-0.383480613548134</v>
      </c>
      <c r="AB34" s="13" t="n">
        <f aca="false">-Operations!AB96+Operations!AB97</f>
        <v>0.101338104935707</v>
      </c>
      <c r="AC34" s="13" t="n">
        <f aca="false">-Operations!AC96+Operations!AC97</f>
        <v>0.0518193157259006</v>
      </c>
      <c r="AD34" s="13" t="n">
        <f aca="false">-Operations!AD96+Operations!AD97</f>
        <v>0.718943942841328</v>
      </c>
      <c r="AE34" s="13" t="n">
        <f aca="false">-Operations!AE96+Operations!AE97</f>
        <v>-0.632154839070207</v>
      </c>
      <c r="AF34" s="13" t="n">
        <f aca="false">-Operations!AF96+Operations!AF97</f>
        <v>-0.399750229229834</v>
      </c>
      <c r="AG34" s="13" t="n">
        <f aca="false">-Operations!AG96+Operations!AG97</f>
        <v>-0.289602301520134</v>
      </c>
      <c r="AH34" s="13" t="n">
        <f aca="false">-Operations!AH96+Operations!AH97</f>
        <v>0.315298506284943</v>
      </c>
      <c r="AI34" s="13" t="n">
        <f aca="false">-Operations!AI96+Operations!AI97</f>
        <v>-0.398303253142377</v>
      </c>
      <c r="AJ34" s="13" t="n">
        <f aca="false">-Operations!AJ96+Operations!AJ97</f>
        <v>0.100903060814673</v>
      </c>
      <c r="AK34" s="13" t="n">
        <f aca="false">-Operations!AK96+Operations!AK97</f>
        <v>-0.0649931817331151</v>
      </c>
      <c r="AL34" s="13" t="n">
        <f aca="false">-Operations!AL96+Operations!AL97</f>
        <v>0.503724128169093</v>
      </c>
      <c r="AM34" s="13" t="n">
        <f aca="false">-Operations!AM96+Operations!AM97</f>
        <v>-0.539055482011325</v>
      </c>
      <c r="AN34" s="13" t="n">
        <f aca="false">-Operations!AN96+Operations!AN97</f>
        <v>-0.182376813682559</v>
      </c>
      <c r="AO34" s="13" t="n">
        <f aca="false">-Operations!AO96+Operations!AO97</f>
        <v>-0.301983107922492</v>
      </c>
      <c r="AP34" s="13" t="n">
        <f aca="false">-Operations!AP96+Operations!AP97</f>
        <v>0.321780643913549</v>
      </c>
      <c r="AQ34" s="13" t="n">
        <f aca="false">-Operations!AQ96+Operations!AQ97</f>
        <v>-0.414360076100159</v>
      </c>
      <c r="AR34" s="13" t="n">
        <f aca="false">-Operations!AR96+Operations!AR97</f>
        <v>0.100410434491089</v>
      </c>
      <c r="AS34" s="13" t="n">
        <f aca="false">-Operations!AS96+Operations!AS97</f>
        <v>0.0487841738337984</v>
      </c>
      <c r="AT34" s="13" t="n">
        <f aca="false">-Operations!AT96+Operations!AT97</f>
        <v>0.76002216697702</v>
      </c>
      <c r="AU34" s="13" t="n">
        <f aca="false">-Operations!AU96+Operations!AU97</f>
        <v>-0.680812079949604</v>
      </c>
      <c r="AV34" s="13" t="n">
        <f aca="false">-Operations!AV96+Operations!AV97</f>
        <v>-0.434069499981412</v>
      </c>
      <c r="AW34" s="13" t="n">
        <f aca="false">-Operations!AW96+Operations!AW97</f>
        <v>-0.315387242000284</v>
      </c>
      <c r="AX34" s="13" t="n">
        <f aca="false">-Operations!AX96+Operations!AX97</f>
        <v>0.328798502672097</v>
      </c>
      <c r="AY34" s="13" t="n">
        <f aca="false">-Operations!AY96+Operations!AY97</f>
        <v>-0.431755720414987</v>
      </c>
      <c r="AZ34" s="13" t="n">
        <f aca="false">-Operations!AZ96+Operations!AZ97</f>
        <v>0.0998539228023816</v>
      </c>
      <c r="BA34" s="13" t="n">
        <f aca="false">-Operations!BA96+Operations!BA97</f>
        <v>-0.0761873907146224</v>
      </c>
      <c r="BB34" s="13" t="n">
        <f aca="false">-Operations!BB96+Operations!BB97</f>
        <v>0.531088639969397</v>
      </c>
      <c r="BC34" s="13" t="n">
        <f aca="false">-Operations!BC96+Operations!BC97</f>
        <v>-0.583006672536598</v>
      </c>
      <c r="BD34" s="13" t="n">
        <f aca="false">-Operations!BD96+Operations!BD97</f>
        <v>-0.203313202119826</v>
      </c>
      <c r="BE34" s="13" t="n">
        <f aca="false">-Operations!BE96+Operations!BE97</f>
        <v>-0.329900983829035</v>
      </c>
      <c r="BF34" s="13" t="n">
        <f aca="false">-Operations!BF96+Operations!BF97</f>
        <v>0.33639721858782</v>
      </c>
      <c r="BG34" s="13" t="n">
        <f aca="false">-Operations!BG96+Operations!BG97</f>
        <v>-0.450603833474233</v>
      </c>
      <c r="BH34" s="13" t="n">
        <f aca="false">-Operations!BH96+Operations!BH97</f>
        <v>0.0992265928138814</v>
      </c>
      <c r="BI34" s="13" t="n">
        <f aca="false">-Operations!BI96+Operations!BI97</f>
        <v>0.0453721206381452</v>
      </c>
      <c r="BJ34" s="13" t="n">
        <f aca="false">-Operations!BJ96+Operations!BJ97</f>
        <v>0.808394453027983</v>
      </c>
      <c r="BK34" s="13" t="n">
        <f aca="false">-Operations!BK96+Operations!BK97</f>
        <v>-0.738032438079237</v>
      </c>
      <c r="BL34" s="13" t="n">
        <f aca="false">-Operations!BL96+Operations!BL97</f>
        <v>-0.474634227984641</v>
      </c>
      <c r="BM34" s="13" t="n">
        <f aca="false">-Operations!BM96+Operations!BM97</f>
        <v>24.9684769329309</v>
      </c>
      <c r="BN34" s="13" t="n">
        <f aca="false">-Operations!BN96+Operations!BN97</f>
        <v>0</v>
      </c>
    </row>
    <row r="35" customFormat="false" ht="15" hidden="false" customHeight="false" outlineLevel="0" collapsed="false">
      <c r="D35" s="0" t="s">
        <v>1927</v>
      </c>
      <c r="E35" s="0" t="s">
        <v>151</v>
      </c>
      <c r="G35" s="13" t="n">
        <f aca="false">SUM(J35:BN35)</f>
        <v>0</v>
      </c>
      <c r="J35" s="13" t="n">
        <f aca="false">Operations!J79-Reserves!J7</f>
        <v>0</v>
      </c>
      <c r="K35" s="13" t="n">
        <f aca="false">Operations!K79-Reserves!K7</f>
        <v>0</v>
      </c>
      <c r="L35" s="13" t="n">
        <f aca="false">Operations!L79-Reserves!L7</f>
        <v>0</v>
      </c>
      <c r="M35" s="13" t="n">
        <f aca="false">Operations!M79-Reserves!M7</f>
        <v>0</v>
      </c>
      <c r="N35" s="13" t="n">
        <f aca="false">Operations!N79-Reserves!N7</f>
        <v>0</v>
      </c>
      <c r="O35" s="13" t="n">
        <f aca="false">Operations!O79-Reserves!O7</f>
        <v>0</v>
      </c>
      <c r="P35" s="13" t="n">
        <f aca="false">Operations!P79-Reserves!P7</f>
        <v>-0.41626830245486</v>
      </c>
      <c r="Q35" s="13" t="n">
        <f aca="false">Operations!Q79-Reserves!Q7</f>
        <v>-0.41626830245486</v>
      </c>
      <c r="R35" s="13" t="n">
        <f aca="false">Operations!R79-Reserves!R7</f>
        <v>-0.41626830245486</v>
      </c>
      <c r="S35" s="13" t="n">
        <f aca="false">Operations!S79-Reserves!S7</f>
        <v>-0.41626830245486</v>
      </c>
      <c r="T35" s="13" t="n">
        <f aca="false">Operations!T79-Reserves!T7</f>
        <v>-0.41626830245486</v>
      </c>
      <c r="U35" s="13" t="n">
        <f aca="false">Operations!U79-Reserves!U7</f>
        <v>-0.41626830245486</v>
      </c>
      <c r="V35" s="13" t="n">
        <f aca="false">Operations!V79-Reserves!V7</f>
        <v>2.49760981472916</v>
      </c>
      <c r="W35" s="13" t="n">
        <f aca="false">Operations!W79-Reserves!W7</f>
        <v>0</v>
      </c>
      <c r="X35" s="13" t="n">
        <f aca="false">Operations!X79-Reserves!X7</f>
        <v>-1.97274254363346</v>
      </c>
      <c r="Y35" s="13" t="n">
        <f aca="false">Operations!Y79-Reserves!Y7</f>
        <v>-1.97274254363346</v>
      </c>
      <c r="Z35" s="13" t="n">
        <f aca="false">Operations!Z79-Reserves!Z7</f>
        <v>-1.97274254363346</v>
      </c>
      <c r="AA35" s="13" t="n">
        <f aca="false">Operations!AA79-Reserves!AA7</f>
        <v>-1.97274254363346</v>
      </c>
      <c r="AB35" s="13" t="n">
        <f aca="false">Operations!AB79-Reserves!AB7</f>
        <v>-1.97274254363346</v>
      </c>
      <c r="AC35" s="13" t="n">
        <f aca="false">Operations!AC79-Reserves!AC7</f>
        <v>-1.97274254363346</v>
      </c>
      <c r="AD35" s="13" t="n">
        <f aca="false">Operations!AD79-Reserves!AD7</f>
        <v>11.8364552618008</v>
      </c>
      <c r="AE35" s="13" t="n">
        <f aca="false">Operations!AE79-Reserves!AE7</f>
        <v>0</v>
      </c>
      <c r="AF35" s="13" t="n">
        <f aca="false">Operations!AF79-Reserves!AF7</f>
        <v>-0.495427954915913</v>
      </c>
      <c r="AG35" s="13" t="n">
        <f aca="false">Operations!AG79-Reserves!AG7</f>
        <v>-0.495427954915913</v>
      </c>
      <c r="AH35" s="13" t="n">
        <f aca="false">Operations!AH79-Reserves!AH7</f>
        <v>-0.495427954915913</v>
      </c>
      <c r="AI35" s="13" t="n">
        <f aca="false">Operations!AI79-Reserves!AI7</f>
        <v>-0.495427954915913</v>
      </c>
      <c r="AJ35" s="13" t="n">
        <f aca="false">Operations!AJ79-Reserves!AJ7</f>
        <v>-0.495427954915913</v>
      </c>
      <c r="AK35" s="13" t="n">
        <f aca="false">Operations!AK79-Reserves!AK7</f>
        <v>-0.495427954915913</v>
      </c>
      <c r="AL35" s="13" t="n">
        <f aca="false">Operations!AL79-Reserves!AL7</f>
        <v>2.97256772949548</v>
      </c>
      <c r="AM35" s="13" t="n">
        <f aca="false">Operations!AM79-Reserves!AM7</f>
        <v>0</v>
      </c>
      <c r="AN35" s="13" t="n">
        <f aca="false">Operations!AN79-Reserves!AN7</f>
        <v>-2.34788908548694</v>
      </c>
      <c r="AO35" s="13" t="n">
        <f aca="false">Operations!AO79-Reserves!AO7</f>
        <v>-2.34788908548694</v>
      </c>
      <c r="AP35" s="13" t="n">
        <f aca="false">Operations!AP79-Reserves!AP7</f>
        <v>-2.34788908548694</v>
      </c>
      <c r="AQ35" s="13" t="n">
        <f aca="false">Operations!AQ79-Reserves!AQ7</f>
        <v>-2.34788908548694</v>
      </c>
      <c r="AR35" s="13" t="n">
        <f aca="false">Operations!AR79-Reserves!AR7</f>
        <v>-2.34788908548694</v>
      </c>
      <c r="AS35" s="13" t="n">
        <f aca="false">Operations!AS79-Reserves!AS7</f>
        <v>-2.34788908548694</v>
      </c>
      <c r="AT35" s="13" t="n">
        <f aca="false">Operations!AT79-Reserves!AT7</f>
        <v>14.0873345129217</v>
      </c>
      <c r="AU35" s="13" t="n">
        <f aca="false">Operations!AU79-Reserves!AU7</f>
        <v>0</v>
      </c>
      <c r="AV35" s="13" t="n">
        <f aca="false">Operations!AV79-Reserves!AV7</f>
        <v>-0.589641000923391</v>
      </c>
      <c r="AW35" s="13" t="n">
        <f aca="false">Operations!AW79-Reserves!AW7</f>
        <v>-0.589641000923391</v>
      </c>
      <c r="AX35" s="13" t="n">
        <f aca="false">Operations!AX79-Reserves!AX7</f>
        <v>-0.589641000923391</v>
      </c>
      <c r="AY35" s="13" t="n">
        <f aca="false">Operations!AY79-Reserves!AY7</f>
        <v>-0.589641000923391</v>
      </c>
      <c r="AZ35" s="13" t="n">
        <f aca="false">Operations!AZ79-Reserves!AZ7</f>
        <v>-0.589641000923391</v>
      </c>
      <c r="BA35" s="13" t="n">
        <f aca="false">Operations!BA79-Reserves!BA7</f>
        <v>-0.589641000923391</v>
      </c>
      <c r="BB35" s="13" t="n">
        <f aca="false">Operations!BB79-Reserves!BB7</f>
        <v>3.53784600554035</v>
      </c>
      <c r="BC35" s="13" t="n">
        <f aca="false">Operations!BC79-Reserves!BC7</f>
        <v>0</v>
      </c>
      <c r="BD35" s="13" t="n">
        <f aca="false">Operations!BD79-Reserves!BD7</f>
        <v>-2.79437536111299</v>
      </c>
      <c r="BE35" s="13" t="n">
        <f aca="false">Operations!BE79-Reserves!BE7</f>
        <v>-2.79437536111299</v>
      </c>
      <c r="BF35" s="13" t="n">
        <f aca="false">Operations!BF79-Reserves!BF7</f>
        <v>-2.79437536111299</v>
      </c>
      <c r="BG35" s="13" t="n">
        <f aca="false">Operations!BG79-Reserves!BG7</f>
        <v>-2.79437536111299</v>
      </c>
      <c r="BH35" s="13" t="n">
        <f aca="false">Operations!BH79-Reserves!BH7</f>
        <v>-2.79437536111299</v>
      </c>
      <c r="BI35" s="13" t="n">
        <f aca="false">Operations!BI79-Reserves!BI7</f>
        <v>-2.79437536111299</v>
      </c>
      <c r="BJ35" s="13" t="n">
        <f aca="false">Operations!BJ79-Reserves!BJ7</f>
        <v>16.7662521666779</v>
      </c>
      <c r="BK35" s="13" t="n">
        <f aca="false">Operations!BK79-Reserves!BK7</f>
        <v>0</v>
      </c>
      <c r="BL35" s="13" t="n">
        <f aca="false">Operations!BL79-Reserves!BL7</f>
        <v>0</v>
      </c>
      <c r="BM35" s="13" t="n">
        <f aca="false">Operations!BM79-Reserves!BM7</f>
        <v>0</v>
      </c>
      <c r="BN35" s="13" t="n">
        <f aca="false">Operations!BN79-Reserves!BN7</f>
        <v>0</v>
      </c>
    </row>
    <row r="36" customFormat="false" ht="15" hidden="false" customHeight="false" outlineLevel="0" collapsed="false">
      <c r="D36" s="0" t="s">
        <v>1863</v>
      </c>
      <c r="E36" s="0" t="s">
        <v>151</v>
      </c>
      <c r="G36" s="13" t="n">
        <f aca="false">SUM(J36:BN36)</f>
        <v>2473.17562342123</v>
      </c>
      <c r="J36" s="13" t="n">
        <f aca="false">J32+J33+J34+J35</f>
        <v>0</v>
      </c>
      <c r="K36" s="13" t="n">
        <f aca="false">K32+K33+K34+K35</f>
        <v>0</v>
      </c>
      <c r="L36" s="13" t="n">
        <f aca="false">L32+L33+L34+L35</f>
        <v>0</v>
      </c>
      <c r="M36" s="13" t="n">
        <f aca="false">M32+M33+M34+M35</f>
        <v>0</v>
      </c>
      <c r="N36" s="13" t="n">
        <f aca="false">N32+N33+N34+N35</f>
        <v>0</v>
      </c>
      <c r="O36" s="13" t="n">
        <f aca="false">O32+O33+O34+O35</f>
        <v>2.51969776990859</v>
      </c>
      <c r="P36" s="13" t="n">
        <f aca="false">P32+P33+P34+P35</f>
        <v>55.7011905899324</v>
      </c>
      <c r="Q36" s="13" t="n">
        <f aca="false">Q32+Q33+Q34+Q35</f>
        <v>55.4435818347201</v>
      </c>
      <c r="R36" s="13" t="n">
        <f aca="false">R32+R33+R34+R35</f>
        <v>55.7940679029949</v>
      </c>
      <c r="S36" s="13" t="n">
        <f aca="false">S32+S33+S34+S35</f>
        <v>55.4585399821437</v>
      </c>
      <c r="T36" s="13" t="n">
        <f aca="false">T32+T33+T34+T35</f>
        <v>56.4589204452162</v>
      </c>
      <c r="U36" s="13" t="n">
        <f aca="false">U32+U33+U34+U35</f>
        <v>55.7749516631111</v>
      </c>
      <c r="V36" s="13" t="n">
        <f aca="false">V32+V33+V34+V35</f>
        <v>55.5139051725749</v>
      </c>
      <c r="W36" s="13" t="n">
        <f aca="false">W32+W33+W34+W35</f>
        <v>55.3648697273215</v>
      </c>
      <c r="X36" s="13" t="n">
        <f aca="false">X32+X33+X34+X35</f>
        <v>55.25185286048</v>
      </c>
      <c r="Y36" s="13" t="n">
        <f aca="false">Y32+Y33+Y34+Y35</f>
        <v>55.1035748595649</v>
      </c>
      <c r="Z36" s="13" t="n">
        <f aca="false">Z32+Z33+Z34+Z35</f>
        <v>55.4610556064269</v>
      </c>
      <c r="AA36" s="13" t="n">
        <f aca="false">AA32+AA33+AA34+AA35</f>
        <v>55.122873915402</v>
      </c>
      <c r="AB36" s="13" t="n">
        <f aca="false">AB32+AB33+AB34+AB35</f>
        <v>56.1592562818288</v>
      </c>
      <c r="AC36" s="13" t="n">
        <f aca="false">AC32+AC33+AC34+AC35</f>
        <v>55.1644006715939</v>
      </c>
      <c r="AD36" s="13" t="n">
        <f aca="false">AD32+AD33+AD34+AD35</f>
        <v>55.7013148107878</v>
      </c>
      <c r="AE36" s="13" t="n">
        <f aca="false">AE32+AE33+AE34+AE35</f>
        <v>53.5016790242374</v>
      </c>
      <c r="AF36" s="13" t="n">
        <f aca="false">AF32+AF33+AF34+AF35</f>
        <v>50.166375595667</v>
      </c>
      <c r="AG36" s="13" t="n">
        <f aca="false">AG32+AG33+AG34+AG35</f>
        <v>49.8340505780379</v>
      </c>
      <c r="AH36" s="13" t="n">
        <f aca="false">AH32+AH33+AH34+AH35</f>
        <v>49.8288729037303</v>
      </c>
      <c r="AI36" s="13" t="n">
        <f aca="false">AI32+AI33+AI34+AI35</f>
        <v>48.8401886802907</v>
      </c>
      <c r="AJ36" s="13" t="n">
        <f aca="false">AJ32+AJ33+AJ34+AJ35</f>
        <v>49.2526747535548</v>
      </c>
      <c r="AK36" s="13" t="n">
        <f aca="false">AK32+AK33+AK34+AK35</f>
        <v>48.1428090292365</v>
      </c>
      <c r="AL36" s="13" t="n">
        <f aca="false">AL32+AL33+AL34+AL35</f>
        <v>48.6565405726805</v>
      </c>
      <c r="AM36" s="13" t="n">
        <f aca="false">AM32+AM33+AM34+AM35</f>
        <v>47.0384344081635</v>
      </c>
      <c r="AN36" s="13" t="n">
        <f aca="false">AN32+AN33+AN34+AN35</f>
        <v>45.9985869195146</v>
      </c>
      <c r="AO36" s="13" t="n">
        <f aca="false">AO32+AO33+AO34+AO35</f>
        <v>45.6650680456844</v>
      </c>
      <c r="AP36" s="13" t="n">
        <f aca="false">AP32+AP33+AP34+AP35</f>
        <v>45.9309430025086</v>
      </c>
      <c r="AQ36" s="13" t="n">
        <f aca="false">AQ32+AQ33+AQ34+AQ35</f>
        <v>45.4691828745509</v>
      </c>
      <c r="AR36" s="13" t="n">
        <f aca="false">AR32+AR33+AR34+AR35</f>
        <v>46.4061291922982</v>
      </c>
      <c r="AS36" s="13" t="n">
        <f aca="false">AS32+AS33+AS34+AS35</f>
        <v>45.6689340901091</v>
      </c>
      <c r="AT36" s="13" t="n">
        <f aca="false">AT32+AT33+AT34+AT35</f>
        <v>51.4111792477814</v>
      </c>
      <c r="AU36" s="13" t="n">
        <f aca="false">AU32+AU33+AU34+AU35</f>
        <v>46.73008753358</v>
      </c>
      <c r="AV36" s="13" t="n">
        <f aca="false">AV32+AV33+AV34+AV35</f>
        <v>48.1801803921068</v>
      </c>
      <c r="AW36" s="13" t="n">
        <f aca="false">AW32+AW33+AW34+AW35</f>
        <v>48.2920442839554</v>
      </c>
      <c r="AX36" s="13" t="n">
        <f aca="false">AX32+AX33+AX34+AX35</f>
        <v>48.7844871932983</v>
      </c>
      <c r="AY36" s="13" t="n">
        <f aca="false">AY32+AY33+AY34+AY35</f>
        <v>48.3130428004442</v>
      </c>
      <c r="AZ36" s="13" t="n">
        <f aca="false">AZ32+AZ33+AZ34+AZ35</f>
        <v>49.2872750067212</v>
      </c>
      <c r="BA36" s="13" t="n">
        <f aca="false">BA32+BA33+BA34+BA35</f>
        <v>48.7268218304066</v>
      </c>
      <c r="BB36" s="13" t="n">
        <f aca="false">BB32+BB33+BB34+BB35</f>
        <v>50.068942534344</v>
      </c>
      <c r="BC36" s="13" t="n">
        <f aca="false">BC32+BC33+BC34+BC35</f>
        <v>46.6398409064935</v>
      </c>
      <c r="BD36" s="13" t="n">
        <f aca="false">BD32+BD33+BD34+BD35</f>
        <v>41.5861563387435</v>
      </c>
      <c r="BE36" s="13" t="n">
        <f aca="false">BE32+BE33+BE34+BE35</f>
        <v>41.4595561645473</v>
      </c>
      <c r="BF36" s="13" t="n">
        <f aca="false">BF32+BF33+BF34+BF35</f>
        <v>41.9778129883191</v>
      </c>
      <c r="BG36" s="13" t="n">
        <f aca="false">BG32+BG33+BG34+BG35</f>
        <v>41.495877744253</v>
      </c>
      <c r="BH36" s="13" t="n">
        <f aca="false">BH32+BH33+BH34+BH35</f>
        <v>42.5105709833818</v>
      </c>
      <c r="BI36" s="13" t="n">
        <f aca="false">BI32+BI33+BI34+BI35</f>
        <v>41.7428972093031</v>
      </c>
      <c r="BJ36" s="13" t="n">
        <f aca="false">BJ32+BJ33+BJ34+BJ35</f>
        <v>48.7034485117807</v>
      </c>
      <c r="BK36" s="13" t="n">
        <f aca="false">BK32+BK33+BK34+BK35</f>
        <v>43.1924615073564</v>
      </c>
      <c r="BL36" s="13" t="n">
        <f aca="false">BL32+BL33+BL34+BL35</f>
        <v>45.3788593003594</v>
      </c>
      <c r="BM36" s="13" t="n">
        <f aca="false">BM32+BM33+BM34+BM35</f>
        <v>42.2995571797808</v>
      </c>
      <c r="BN36" s="13" t="n">
        <f aca="false">BN32+BN33+BN34+BN35</f>
        <v>0</v>
      </c>
    </row>
    <row r="37" customFormat="false" ht="15" hidden="false" customHeight="false" outlineLevel="0" collapsed="false">
      <c r="D37" s="0" t="s">
        <v>1928</v>
      </c>
      <c r="E37" s="0" t="s">
        <v>151</v>
      </c>
      <c r="G37" s="13" t="n">
        <f aca="false">SUM(J37:BN37)</f>
        <v>-897.435814202957</v>
      </c>
      <c r="J37" s="13" t="n">
        <f aca="false">-(Debt!J114+Debt!J110)</f>
        <v>-0</v>
      </c>
      <c r="K37" s="13" t="n">
        <f aca="false">-(Debt!K114+Debt!K110)</f>
        <v>-0</v>
      </c>
      <c r="L37" s="13" t="n">
        <f aca="false">-(Debt!L114+Debt!L110)</f>
        <v>-0</v>
      </c>
      <c r="M37" s="13" t="n">
        <f aca="false">-(Debt!M114+Debt!M110)</f>
        <v>-0</v>
      </c>
      <c r="N37" s="13" t="n">
        <f aca="false">-(Debt!N114+Debt!N110)</f>
        <v>-0</v>
      </c>
      <c r="O37" s="13" t="n">
        <f aca="false">-(Debt!O114+Debt!O110)</f>
        <v>-0</v>
      </c>
      <c r="P37" s="13" t="n">
        <f aca="false">-(Debt!P114+Debt!P110)</f>
        <v>-39.08329016435</v>
      </c>
      <c r="Q37" s="13" t="n">
        <f aca="false">-(Debt!Q114+Debt!Q110)</f>
        <v>-38.9025364374744</v>
      </c>
      <c r="R37" s="13" t="n">
        <f aca="false">-(Debt!R114+Debt!R110)</f>
        <v>-39.148458448062</v>
      </c>
      <c r="S37" s="13" t="n">
        <f aca="false">-(Debt!S114+Debt!S110)</f>
        <v>-38.9130319692583</v>
      </c>
      <c r="T37" s="13" t="n">
        <f aca="false">-(Debt!T114+Debt!T110)</f>
        <v>-39.6149587964242</v>
      </c>
      <c r="U37" s="13" t="n">
        <f aca="false">-(Debt!U114+Debt!U110)</f>
        <v>-39.1350453483946</v>
      </c>
      <c r="V37" s="13" t="n">
        <f aca="false">-(Debt!V114+Debt!V110)</f>
        <v>-38.9518795024765</v>
      </c>
      <c r="W37" s="13" t="n">
        <f aca="false">-(Debt!W114+Debt!W110)</f>
        <v>-38.8473073097399</v>
      </c>
      <c r="X37" s="13" t="n">
        <f aca="false">-(Debt!X114+Debt!X110)</f>
        <v>-38.7680079107372</v>
      </c>
      <c r="Y37" s="13" t="n">
        <f aca="false">-(Debt!Y114+Debt!Y110)</f>
        <v>-38.6639671863843</v>
      </c>
      <c r="Z37" s="13" t="n">
        <f aca="false">-(Debt!Z114+Debt!Z110)</f>
        <v>-38.9147970818194</v>
      </c>
      <c r="AA37" s="13" t="n">
        <f aca="false">-(Debt!AA114+Debt!AA110)</f>
        <v>-38.6775085590125</v>
      </c>
      <c r="AB37" s="13" t="n">
        <f aca="false">-(Debt!AB114+Debt!AB110)</f>
        <v>-38.644616913547</v>
      </c>
      <c r="AC37" s="13" t="n">
        <f aca="false">-(Debt!AC114+Debt!AC110)</f>
        <v>-37.0140287026238</v>
      </c>
      <c r="AD37" s="13" t="n">
        <f aca="false">-(Debt!AD114+Debt!AD110)</f>
        <v>-36.3680962083542</v>
      </c>
      <c r="AE37" s="13" t="n">
        <f aca="false">-(Debt!AE114+Debt!AE110)</f>
        <v>-35.1722189212064</v>
      </c>
      <c r="AF37" s="13" t="n">
        <f aca="false">-(Debt!AF114+Debt!AF110)</f>
        <v>-35.3263476664487</v>
      </c>
      <c r="AG37" s="13" t="n">
        <f aca="false">-(Debt!AG114+Debt!AG110)</f>
        <v>-34.1825896047146</v>
      </c>
      <c r="AH37" s="13" t="n">
        <f aca="false">-(Debt!AH114+Debt!AH110)</f>
        <v>-33.1129371960114</v>
      </c>
      <c r="AI37" s="13" t="n">
        <f aca="false">-(Debt!AI114+Debt!AI110)</f>
        <v>-31.3402292840959</v>
      </c>
      <c r="AJ37" s="13" t="n">
        <f aca="false">-(Debt!AJ114+Debt!AJ110)</f>
        <v>-30.0275787404664</v>
      </c>
      <c r="AK37" s="13" t="n">
        <f aca="false">-(Debt!AK114+Debt!AK110)</f>
        <v>-27.1889108089813</v>
      </c>
      <c r="AL37" s="13" t="n">
        <f aca="false">-(Debt!AL114+Debt!AL110)</f>
        <v>-23.7722072819381</v>
      </c>
      <c r="AM37" s="13" t="n">
        <f aca="false">-(Debt!AM114+Debt!AM110)</f>
        <v>-22.6276747816278</v>
      </c>
      <c r="AN37" s="13" t="n">
        <f aca="false">-(Debt!AN114+Debt!AN110)</f>
        <v>-22.5340489654769</v>
      </c>
      <c r="AO37" s="13" t="n">
        <f aca="false">-(Debt!AO114+Debt!AO110)</f>
        <v>-22.503540413331</v>
      </c>
      <c r="AP37" s="13" t="n">
        <f aca="false">-(Debt!AP114+Debt!AP110)</f>
        <v>-0</v>
      </c>
      <c r="AQ37" s="13" t="n">
        <f aca="false">-(Debt!AQ114+Debt!AQ110)</f>
        <v>-0</v>
      </c>
      <c r="AR37" s="13" t="n">
        <f aca="false">-(Debt!AR114+Debt!AR110)</f>
        <v>-0</v>
      </c>
      <c r="AS37" s="13" t="n">
        <f aca="false">-(Debt!AS114+Debt!AS110)</f>
        <v>-0</v>
      </c>
      <c r="AT37" s="13" t="n">
        <f aca="false">-(Debt!AT114+Debt!AT110)</f>
        <v>-0</v>
      </c>
      <c r="AU37" s="13" t="n">
        <f aca="false">-(Debt!AU114+Debt!AU110)</f>
        <v>-0</v>
      </c>
      <c r="AV37" s="13" t="n">
        <f aca="false">-(Debt!AV114+Debt!AV110)</f>
        <v>-0</v>
      </c>
      <c r="AW37" s="13" t="n">
        <f aca="false">-(Debt!AW114+Debt!AW110)</f>
        <v>-0</v>
      </c>
      <c r="AX37" s="13" t="n">
        <f aca="false">-(Debt!AX114+Debt!AX110)</f>
        <v>-0</v>
      </c>
      <c r="AY37" s="13" t="n">
        <f aca="false">-(Debt!AY114+Debt!AY110)</f>
        <v>-0</v>
      </c>
      <c r="AZ37" s="13" t="n">
        <f aca="false">-(Debt!AZ114+Debt!AZ110)</f>
        <v>-0</v>
      </c>
      <c r="BA37" s="13" t="n">
        <f aca="false">-(Debt!BA114+Debt!BA110)</f>
        <v>-0</v>
      </c>
      <c r="BB37" s="13" t="n">
        <f aca="false">-(Debt!BB114+Debt!BB110)</f>
        <v>-0</v>
      </c>
      <c r="BC37" s="13" t="n">
        <f aca="false">-(Debt!BC114+Debt!BC110)</f>
        <v>-0</v>
      </c>
      <c r="BD37" s="13" t="n">
        <f aca="false">-(Debt!BD114+Debt!BD110)</f>
        <v>-0</v>
      </c>
      <c r="BE37" s="13" t="n">
        <f aca="false">-(Debt!BE114+Debt!BE110)</f>
        <v>-0</v>
      </c>
      <c r="BF37" s="13" t="n">
        <f aca="false">-(Debt!BF114+Debt!BF110)</f>
        <v>-0</v>
      </c>
      <c r="BG37" s="13" t="n">
        <f aca="false">-(Debt!BG114+Debt!BG110)</f>
        <v>-0</v>
      </c>
      <c r="BH37" s="13" t="n">
        <f aca="false">-(Debt!BH114+Debt!BH110)</f>
        <v>-0</v>
      </c>
      <c r="BI37" s="13" t="n">
        <f aca="false">-(Debt!BI114+Debt!BI110)</f>
        <v>-0</v>
      </c>
      <c r="BJ37" s="13" t="n">
        <f aca="false">-(Debt!BJ114+Debt!BJ110)</f>
        <v>-0</v>
      </c>
      <c r="BK37" s="13" t="n">
        <f aca="false">-(Debt!BK114+Debt!BK110)</f>
        <v>-0</v>
      </c>
      <c r="BL37" s="13" t="n">
        <f aca="false">-(Debt!BL114+Debt!BL110)</f>
        <v>-0</v>
      </c>
      <c r="BM37" s="13" t="n">
        <f aca="false">-(Debt!BM114+Debt!BM110)</f>
        <v>-0</v>
      </c>
      <c r="BN37" s="13" t="n">
        <f aca="false">-(Debt!BN114+Debt!BN110)</f>
        <v>-0</v>
      </c>
    </row>
    <row r="38" customFormat="false" ht="15" hidden="false" customHeight="false" outlineLevel="0" collapsed="false">
      <c r="D38" s="0" t="s">
        <v>1929</v>
      </c>
      <c r="E38" s="0" t="s">
        <v>151</v>
      </c>
      <c r="G38" s="13" t="n">
        <f aca="false">SUM(J38:BN38)</f>
        <v>0</v>
      </c>
      <c r="J38" s="13" t="n">
        <f aca="false">Reserves!J17-Reserves!I17+Debt!J28+Debt!J42+Debt!J56+Debt!J70+Debt!J84</f>
        <v>0</v>
      </c>
      <c r="K38" s="13" t="n">
        <f aca="false">Reserves!K17-Reserves!J17+Debt!K28+Debt!K42+Debt!K56+Debt!K70+Debt!K84</f>
        <v>0</v>
      </c>
      <c r="L38" s="13" t="n">
        <f aca="false">Reserves!L17-Reserves!K17+Debt!L28+Debt!L42+Debt!L56+Debt!L70+Debt!L84</f>
        <v>0</v>
      </c>
      <c r="M38" s="13" t="n">
        <f aca="false">Reserves!M17-Reserves!L17+Debt!M28+Debt!M42+Debt!M56+Debt!M70+Debt!M84</f>
        <v>0</v>
      </c>
      <c r="N38" s="13" t="n">
        <f aca="false">Reserves!N17-Reserves!M17+Debt!N28+Debt!N42+Debt!N56+Debt!N70+Debt!N84</f>
        <v>0</v>
      </c>
      <c r="O38" s="13" t="n">
        <f aca="false">Reserves!O17-Reserves!N17+Debt!O28+Debt!O42+Debt!O56+Debt!O70+Debt!O84</f>
        <v>0</v>
      </c>
      <c r="P38" s="13" t="n">
        <f aca="false">Reserves!P17-Reserves!O17+Debt!P28+Debt!P42+Debt!P56+Debt!P70+Debt!P84</f>
        <v>0</v>
      </c>
      <c r="Q38" s="13" t="n">
        <f aca="false">Reserves!Q17-Reserves!P17+Debt!Q28+Debt!Q42+Debt!Q56+Debt!Q70+Debt!Q84</f>
        <v>0</v>
      </c>
      <c r="R38" s="13" t="n">
        <f aca="false">Reserves!R17-Reserves!Q17+Debt!R28+Debt!R42+Debt!R56+Debt!R70+Debt!R84</f>
        <v>0</v>
      </c>
      <c r="S38" s="13" t="n">
        <f aca="false">Reserves!S17-Reserves!R17+Debt!S28+Debt!S42+Debt!S56+Debt!S70+Debt!S84</f>
        <v>0</v>
      </c>
      <c r="T38" s="13" t="n">
        <f aca="false">Reserves!T17-Reserves!S17+Debt!T28+Debt!T42+Debt!T56+Debt!T70+Debt!T84</f>
        <v>0</v>
      </c>
      <c r="U38" s="13" t="n">
        <f aca="false">Reserves!U17-Reserves!T17+Debt!U28+Debt!U42+Debt!U56+Debt!U70+Debt!U84</f>
        <v>0</v>
      </c>
      <c r="V38" s="13" t="n">
        <f aca="false">Reserves!V17-Reserves!U17+Debt!V28+Debt!V42+Debt!V56+Debt!V70+Debt!V84</f>
        <v>0</v>
      </c>
      <c r="W38" s="13" t="n">
        <f aca="false">Reserves!W17-Reserves!V17+Debt!W28+Debt!W42+Debt!W56+Debt!W70+Debt!W84</f>
        <v>0</v>
      </c>
      <c r="X38" s="13" t="n">
        <f aca="false">Reserves!X17-Reserves!W17+Debt!X28+Debt!X42+Debt!X56+Debt!X70+Debt!X84</f>
        <v>0</v>
      </c>
      <c r="Y38" s="13" t="n">
        <f aca="false">Reserves!Y17-Reserves!X17+Debt!Y28+Debt!Y42+Debt!Y56+Debt!Y70+Debt!Y84</f>
        <v>0</v>
      </c>
      <c r="Z38" s="13" t="n">
        <f aca="false">Reserves!Z17-Reserves!Y17+Debt!Z28+Debt!Z42+Debt!Z56+Debt!Z70+Debt!Z84</f>
        <v>0</v>
      </c>
      <c r="AA38" s="13" t="n">
        <f aca="false">Reserves!AA17-Reserves!Z17+Debt!AA28+Debt!AA42+Debt!AA56+Debt!AA70+Debt!AA84</f>
        <v>0</v>
      </c>
      <c r="AB38" s="13" t="n">
        <f aca="false">Reserves!AB17-Reserves!AA17+Debt!AB28+Debt!AB42+Debt!AB56+Debt!AB70+Debt!AB84</f>
        <v>0</v>
      </c>
      <c r="AC38" s="13" t="n">
        <f aca="false">Reserves!AC17-Reserves!AB17+Debt!AC28+Debt!AC42+Debt!AC56+Debt!AC70+Debt!AC84</f>
        <v>0</v>
      </c>
      <c r="AD38" s="13" t="n">
        <f aca="false">Reserves!AD17-Reserves!AC17+Debt!AD28+Debt!AD42+Debt!AD56+Debt!AD70+Debt!AD84</f>
        <v>0</v>
      </c>
      <c r="AE38" s="13" t="n">
        <f aca="false">Reserves!AE17-Reserves!AD17+Debt!AE28+Debt!AE42+Debt!AE56+Debt!AE70+Debt!AE84</f>
        <v>0</v>
      </c>
      <c r="AF38" s="13" t="n">
        <f aca="false">Reserves!AF17-Reserves!AE17+Debt!AF28+Debt!AF42+Debt!AF56+Debt!AF70+Debt!AF84</f>
        <v>0</v>
      </c>
      <c r="AG38" s="13" t="n">
        <f aca="false">Reserves!AG17-Reserves!AF17+Debt!AG28+Debt!AG42+Debt!AG56+Debt!AG70+Debt!AG84</f>
        <v>0</v>
      </c>
      <c r="AH38" s="13" t="n">
        <f aca="false">Reserves!AH17-Reserves!AG17+Debt!AH28+Debt!AH42+Debt!AH56+Debt!AH70+Debt!AH84</f>
        <v>0</v>
      </c>
      <c r="AI38" s="13" t="n">
        <f aca="false">Reserves!AI17-Reserves!AH17+Debt!AI28+Debt!AI42+Debt!AI56+Debt!AI70+Debt!AI84</f>
        <v>0</v>
      </c>
      <c r="AJ38" s="13" t="n">
        <f aca="false">Reserves!AJ17-Reserves!AI17+Debt!AJ28+Debt!AJ42+Debt!AJ56+Debt!AJ70+Debt!AJ84</f>
        <v>0</v>
      </c>
      <c r="AK38" s="13" t="n">
        <f aca="false">Reserves!AK17-Reserves!AJ17+Debt!AK28+Debt!AK42+Debt!AK56+Debt!AK70+Debt!AK84</f>
        <v>0</v>
      </c>
      <c r="AL38" s="13" t="n">
        <f aca="false">Reserves!AL17-Reserves!AK17+Debt!AL28+Debt!AL42+Debt!AL56+Debt!AL70+Debt!AL84</f>
        <v>0</v>
      </c>
      <c r="AM38" s="13" t="n">
        <f aca="false">Reserves!AM17-Reserves!AL17+Debt!AM28+Debt!AM42+Debt!AM56+Debt!AM70+Debt!AM84</f>
        <v>0</v>
      </c>
      <c r="AN38" s="13" t="n">
        <f aca="false">Reserves!AN17-Reserves!AM17+Debt!AN28+Debt!AN42+Debt!AN56+Debt!AN70+Debt!AN84</f>
        <v>0</v>
      </c>
      <c r="AO38" s="13" t="n">
        <f aca="false">Reserves!AO17-Reserves!AN17+Debt!AO28+Debt!AO42+Debt!AO56+Debt!AO70+Debt!AO84</f>
        <v>0</v>
      </c>
      <c r="AP38" s="13" t="n">
        <f aca="false">Reserves!AP17-Reserves!AO17+Debt!AP28+Debt!AP42+Debt!AP56+Debt!AP70+Debt!AP84</f>
        <v>0</v>
      </c>
      <c r="AQ38" s="13" t="n">
        <f aca="false">Reserves!AQ17-Reserves!AP17+Debt!AQ28+Debt!AQ42+Debt!AQ56+Debt!AQ70+Debt!AQ84</f>
        <v>0</v>
      </c>
      <c r="AR38" s="13" t="n">
        <f aca="false">Reserves!AR17-Reserves!AQ17+Debt!AR28+Debt!AR42+Debt!AR56+Debt!AR70+Debt!AR84</f>
        <v>0</v>
      </c>
      <c r="AS38" s="13" t="n">
        <f aca="false">Reserves!AS17-Reserves!AR17+Debt!AS28+Debt!AS42+Debt!AS56+Debt!AS70+Debt!AS84</f>
        <v>0</v>
      </c>
      <c r="AT38" s="13" t="n">
        <f aca="false">Reserves!AT17-Reserves!AS17+Debt!AT28+Debt!AT42+Debt!AT56+Debt!AT70+Debt!AT84</f>
        <v>0</v>
      </c>
      <c r="AU38" s="13" t="n">
        <f aca="false">Reserves!AU17-Reserves!AT17+Debt!AU28+Debt!AU42+Debt!AU56+Debt!AU70+Debt!AU84</f>
        <v>0</v>
      </c>
      <c r="AV38" s="13" t="n">
        <f aca="false">Reserves!AV17-Reserves!AU17+Debt!AV28+Debt!AV42+Debt!AV56+Debt!AV70+Debt!AV84</f>
        <v>0</v>
      </c>
      <c r="AW38" s="13" t="n">
        <f aca="false">Reserves!AW17-Reserves!AV17+Debt!AW28+Debt!AW42+Debt!AW56+Debt!AW70+Debt!AW84</f>
        <v>0</v>
      </c>
      <c r="AX38" s="13" t="n">
        <f aca="false">Reserves!AX17-Reserves!AW17+Debt!AX28+Debt!AX42+Debt!AX56+Debt!AX70+Debt!AX84</f>
        <v>0</v>
      </c>
      <c r="AY38" s="13" t="n">
        <f aca="false">Reserves!AY17-Reserves!AX17+Debt!AY28+Debt!AY42+Debt!AY56+Debt!AY70+Debt!AY84</f>
        <v>0</v>
      </c>
      <c r="AZ38" s="13" t="n">
        <f aca="false">Reserves!AZ17-Reserves!AY17+Debt!AZ28+Debt!AZ42+Debt!AZ56+Debt!AZ70+Debt!AZ84</f>
        <v>0</v>
      </c>
      <c r="BA38" s="13" t="n">
        <f aca="false">Reserves!BA17-Reserves!AZ17+Debt!BA28+Debt!BA42+Debt!BA56+Debt!BA70+Debt!BA84</f>
        <v>0</v>
      </c>
      <c r="BB38" s="13" t="n">
        <f aca="false">Reserves!BB17-Reserves!BA17+Debt!BB28+Debt!BB42+Debt!BB56+Debt!BB70+Debt!BB84</f>
        <v>0</v>
      </c>
      <c r="BC38" s="13" t="n">
        <f aca="false">Reserves!BC17-Reserves!BB17+Debt!BC28+Debt!BC42+Debt!BC56+Debt!BC70+Debt!BC84</f>
        <v>0</v>
      </c>
      <c r="BD38" s="13" t="n">
        <f aca="false">Reserves!BD17-Reserves!BC17+Debt!BD28+Debt!BD42+Debt!BD56+Debt!BD70+Debt!BD84</f>
        <v>0</v>
      </c>
      <c r="BE38" s="13" t="n">
        <f aca="false">Reserves!BE17-Reserves!BD17+Debt!BE28+Debt!BE42+Debt!BE56+Debt!BE70+Debt!BE84</f>
        <v>0</v>
      </c>
      <c r="BF38" s="13" t="n">
        <f aca="false">Reserves!BF17-Reserves!BE17+Debt!BF28+Debt!BF42+Debt!BF56+Debt!BF70+Debt!BF84</f>
        <v>0</v>
      </c>
      <c r="BG38" s="13" t="n">
        <f aca="false">Reserves!BG17-Reserves!BF17+Debt!BG28+Debt!BG42+Debt!BG56+Debt!BG70+Debt!BG84</f>
        <v>0</v>
      </c>
      <c r="BH38" s="13" t="n">
        <f aca="false">Reserves!BH17-Reserves!BG17+Debt!BH28+Debt!BH42+Debt!BH56+Debt!BH70+Debt!BH84</f>
        <v>0</v>
      </c>
      <c r="BI38" s="13" t="n">
        <f aca="false">Reserves!BI17-Reserves!BH17+Debt!BI28+Debt!BI42+Debt!BI56+Debt!BI70+Debt!BI84</f>
        <v>0</v>
      </c>
      <c r="BJ38" s="13" t="n">
        <f aca="false">Reserves!BJ17-Reserves!BI17+Debt!BJ28+Debt!BJ42+Debt!BJ56+Debt!BJ70+Debt!BJ84</f>
        <v>0</v>
      </c>
      <c r="BK38" s="13" t="n">
        <f aca="false">Reserves!BK17-Reserves!BJ17+Debt!BK28+Debt!BK42+Debt!BK56+Debt!BK70+Debt!BK84</f>
        <v>0</v>
      </c>
      <c r="BL38" s="13" t="n">
        <f aca="false">Reserves!BL17-Reserves!BK17+Debt!BL28+Debt!BL42+Debt!BL56+Debt!BL70+Debt!BL84</f>
        <v>0</v>
      </c>
      <c r="BM38" s="13" t="n">
        <f aca="false">Reserves!BM17-Reserves!BL17+Debt!BM28+Debt!BM42+Debt!BM56+Debt!BM70+Debt!BM84</f>
        <v>0</v>
      </c>
      <c r="BN38" s="13" t="n">
        <f aca="false">Reserves!BN17-Reserves!BM17+Debt!BN28+Debt!BN42+Debt!BN56+Debt!BN70+Debt!BN84</f>
        <v>0</v>
      </c>
    </row>
    <row r="39" customFormat="false" ht="15" hidden="false" customHeight="false" outlineLevel="0" collapsed="false">
      <c r="D39" s="0" t="s">
        <v>1930</v>
      </c>
      <c r="E39" s="0" t="s">
        <v>151</v>
      </c>
      <c r="G39" s="13" t="n">
        <f aca="false">SUM(J39:BN39)</f>
        <v>0</v>
      </c>
      <c r="J39" s="13" t="n">
        <f aca="false">-(Debt!J28+Debt!J42+Debt!J56+Debt!J70+Debt!J84)</f>
        <v>-0</v>
      </c>
      <c r="K39" s="13" t="n">
        <f aca="false">-(Debt!K28+Debt!K42+Debt!K56+Debt!K70+Debt!K84)</f>
        <v>-0</v>
      </c>
      <c r="L39" s="13" t="n">
        <f aca="false">-(Debt!L28+Debt!L42+Debt!L56+Debt!L70+Debt!L84)</f>
        <v>-0</v>
      </c>
      <c r="M39" s="13" t="n">
        <f aca="false">-(Debt!M28+Debt!M42+Debt!M56+Debt!M70+Debt!M84)</f>
        <v>-0</v>
      </c>
      <c r="N39" s="13" t="n">
        <f aca="false">-(Debt!N28+Debt!N42+Debt!N56+Debt!N70+Debt!N84)</f>
        <v>-0</v>
      </c>
      <c r="O39" s="13" t="n">
        <f aca="false">-(Debt!O28+Debt!O42+Debt!O56+Debt!O70+Debt!O84)</f>
        <v>-0</v>
      </c>
      <c r="P39" s="13" t="n">
        <f aca="false">-(Debt!P28+Debt!P42+Debt!P56+Debt!P70+Debt!P84)</f>
        <v>-0</v>
      </c>
      <c r="Q39" s="13" t="n">
        <f aca="false">-(Debt!Q28+Debt!Q42+Debt!Q56+Debt!Q70+Debt!Q84)</f>
        <v>-0</v>
      </c>
      <c r="R39" s="13" t="n">
        <f aca="false">-(Debt!R28+Debt!R42+Debt!R56+Debt!R70+Debt!R84)</f>
        <v>-0</v>
      </c>
      <c r="S39" s="13" t="n">
        <f aca="false">-(Debt!S28+Debt!S42+Debt!S56+Debt!S70+Debt!S84)</f>
        <v>-0</v>
      </c>
      <c r="T39" s="13" t="n">
        <f aca="false">-(Debt!T28+Debt!T42+Debt!T56+Debt!T70+Debt!T84)</f>
        <v>-0</v>
      </c>
      <c r="U39" s="13" t="n">
        <f aca="false">-(Debt!U28+Debt!U42+Debt!U56+Debt!U70+Debt!U84)</f>
        <v>-0</v>
      </c>
      <c r="V39" s="13" t="n">
        <f aca="false">-(Debt!V28+Debt!V42+Debt!V56+Debt!V70+Debt!V84)</f>
        <v>-0</v>
      </c>
      <c r="W39" s="13" t="n">
        <f aca="false">-(Debt!W28+Debt!W42+Debt!W56+Debt!W70+Debt!W84)</f>
        <v>-0</v>
      </c>
      <c r="X39" s="13" t="n">
        <f aca="false">-(Debt!X28+Debt!X42+Debt!X56+Debt!X70+Debt!X84)</f>
        <v>-0</v>
      </c>
      <c r="Y39" s="13" t="n">
        <f aca="false">-(Debt!Y28+Debt!Y42+Debt!Y56+Debt!Y70+Debt!Y84)</f>
        <v>-0</v>
      </c>
      <c r="Z39" s="13" t="n">
        <f aca="false">-(Debt!Z28+Debt!Z42+Debt!Z56+Debt!Z70+Debt!Z84)</f>
        <v>-0</v>
      </c>
      <c r="AA39" s="13" t="n">
        <f aca="false">-(Debt!AA28+Debt!AA42+Debt!AA56+Debt!AA70+Debt!AA84)</f>
        <v>-0</v>
      </c>
      <c r="AB39" s="13" t="n">
        <f aca="false">-(Debt!AB28+Debt!AB42+Debt!AB56+Debt!AB70+Debt!AB84)</f>
        <v>-0</v>
      </c>
      <c r="AC39" s="13" t="n">
        <f aca="false">-(Debt!AC28+Debt!AC42+Debt!AC56+Debt!AC70+Debt!AC84)</f>
        <v>-0</v>
      </c>
      <c r="AD39" s="13" t="n">
        <f aca="false">-(Debt!AD28+Debt!AD42+Debt!AD56+Debt!AD70+Debt!AD84)</f>
        <v>-0</v>
      </c>
      <c r="AE39" s="13" t="n">
        <f aca="false">-(Debt!AE28+Debt!AE42+Debt!AE56+Debt!AE70+Debt!AE84)</f>
        <v>-0</v>
      </c>
      <c r="AF39" s="13" t="n">
        <f aca="false">-(Debt!AF28+Debt!AF42+Debt!AF56+Debt!AF70+Debt!AF84)</f>
        <v>-0</v>
      </c>
      <c r="AG39" s="13" t="n">
        <f aca="false">-(Debt!AG28+Debt!AG42+Debt!AG56+Debt!AG70+Debt!AG84)</f>
        <v>-0</v>
      </c>
      <c r="AH39" s="13" t="n">
        <f aca="false">-(Debt!AH28+Debt!AH42+Debt!AH56+Debt!AH70+Debt!AH84)</f>
        <v>-0</v>
      </c>
      <c r="AI39" s="13" t="n">
        <f aca="false">-(Debt!AI28+Debt!AI42+Debt!AI56+Debt!AI70+Debt!AI84)</f>
        <v>-0</v>
      </c>
      <c r="AJ39" s="13" t="n">
        <f aca="false">-(Debt!AJ28+Debt!AJ42+Debt!AJ56+Debt!AJ70+Debt!AJ84)</f>
        <v>-0</v>
      </c>
      <c r="AK39" s="13" t="n">
        <f aca="false">-(Debt!AK28+Debt!AK42+Debt!AK56+Debt!AK70+Debt!AK84)</f>
        <v>-0</v>
      </c>
      <c r="AL39" s="13" t="n">
        <f aca="false">-(Debt!AL28+Debt!AL42+Debt!AL56+Debt!AL70+Debt!AL84)</f>
        <v>-0</v>
      </c>
      <c r="AM39" s="13" t="n">
        <f aca="false">-(Debt!AM28+Debt!AM42+Debt!AM56+Debt!AM70+Debt!AM84)</f>
        <v>-0</v>
      </c>
      <c r="AN39" s="13" t="n">
        <f aca="false">-(Debt!AN28+Debt!AN42+Debt!AN56+Debt!AN70+Debt!AN84)</f>
        <v>-0</v>
      </c>
      <c r="AO39" s="13" t="n">
        <f aca="false">-(Debt!AO28+Debt!AO42+Debt!AO56+Debt!AO70+Debt!AO84)</f>
        <v>-0</v>
      </c>
      <c r="AP39" s="13" t="n">
        <f aca="false">-(Debt!AP28+Debt!AP42+Debt!AP56+Debt!AP70+Debt!AP84)</f>
        <v>-0</v>
      </c>
      <c r="AQ39" s="13" t="n">
        <f aca="false">-(Debt!AQ28+Debt!AQ42+Debt!AQ56+Debt!AQ70+Debt!AQ84)</f>
        <v>-0</v>
      </c>
      <c r="AR39" s="13" t="n">
        <f aca="false">-(Debt!AR28+Debt!AR42+Debt!AR56+Debt!AR70+Debt!AR84)</f>
        <v>-0</v>
      </c>
      <c r="AS39" s="13" t="n">
        <f aca="false">-(Debt!AS28+Debt!AS42+Debt!AS56+Debt!AS70+Debt!AS84)</f>
        <v>-0</v>
      </c>
      <c r="AT39" s="13" t="n">
        <f aca="false">-(Debt!AT28+Debt!AT42+Debt!AT56+Debt!AT70+Debt!AT84)</f>
        <v>-0</v>
      </c>
      <c r="AU39" s="13" t="n">
        <f aca="false">-(Debt!AU28+Debt!AU42+Debt!AU56+Debt!AU70+Debt!AU84)</f>
        <v>-0</v>
      </c>
      <c r="AV39" s="13" t="n">
        <f aca="false">-(Debt!AV28+Debt!AV42+Debt!AV56+Debt!AV70+Debt!AV84)</f>
        <v>-0</v>
      </c>
      <c r="AW39" s="13" t="n">
        <f aca="false">-(Debt!AW28+Debt!AW42+Debt!AW56+Debt!AW70+Debt!AW84)</f>
        <v>-0</v>
      </c>
      <c r="AX39" s="13" t="n">
        <f aca="false">-(Debt!AX28+Debt!AX42+Debt!AX56+Debt!AX70+Debt!AX84)</f>
        <v>-0</v>
      </c>
      <c r="AY39" s="13" t="n">
        <f aca="false">-(Debt!AY28+Debt!AY42+Debt!AY56+Debt!AY70+Debt!AY84)</f>
        <v>-0</v>
      </c>
      <c r="AZ39" s="13" t="n">
        <f aca="false">-(Debt!AZ28+Debt!AZ42+Debt!AZ56+Debt!AZ70+Debt!AZ84)</f>
        <v>-0</v>
      </c>
      <c r="BA39" s="13" t="n">
        <f aca="false">-(Debt!BA28+Debt!BA42+Debt!BA56+Debt!BA70+Debt!BA84)</f>
        <v>-0</v>
      </c>
      <c r="BB39" s="13" t="n">
        <f aca="false">-(Debt!BB28+Debt!BB42+Debt!BB56+Debt!BB70+Debt!BB84)</f>
        <v>-0</v>
      </c>
      <c r="BC39" s="13" t="n">
        <f aca="false">-(Debt!BC28+Debt!BC42+Debt!BC56+Debt!BC70+Debt!BC84)</f>
        <v>-0</v>
      </c>
      <c r="BD39" s="13" t="n">
        <f aca="false">-(Debt!BD28+Debt!BD42+Debt!BD56+Debt!BD70+Debt!BD84)</f>
        <v>-0</v>
      </c>
      <c r="BE39" s="13" t="n">
        <f aca="false">-(Debt!BE28+Debt!BE42+Debt!BE56+Debt!BE70+Debt!BE84)</f>
        <v>-0</v>
      </c>
      <c r="BF39" s="13" t="n">
        <f aca="false">-(Debt!BF28+Debt!BF42+Debt!BF56+Debt!BF70+Debt!BF84)</f>
        <v>-0</v>
      </c>
      <c r="BG39" s="13" t="n">
        <f aca="false">-(Debt!BG28+Debt!BG42+Debt!BG56+Debt!BG70+Debt!BG84)</f>
        <v>-0</v>
      </c>
      <c r="BH39" s="13" t="n">
        <f aca="false">-(Debt!BH28+Debt!BH42+Debt!BH56+Debt!BH70+Debt!BH84)</f>
        <v>-0</v>
      </c>
      <c r="BI39" s="13" t="n">
        <f aca="false">-(Debt!BI28+Debt!BI42+Debt!BI56+Debt!BI70+Debt!BI84)</f>
        <v>-0</v>
      </c>
      <c r="BJ39" s="13" t="n">
        <f aca="false">-(Debt!BJ28+Debt!BJ42+Debt!BJ56+Debt!BJ70+Debt!BJ84)</f>
        <v>-0</v>
      </c>
      <c r="BK39" s="13" t="n">
        <f aca="false">-(Debt!BK28+Debt!BK42+Debt!BK56+Debt!BK70+Debt!BK84)</f>
        <v>-0</v>
      </c>
      <c r="BL39" s="13" t="n">
        <f aca="false">-(Debt!BL28+Debt!BL42+Debt!BL56+Debt!BL70+Debt!BL84)</f>
        <v>-0</v>
      </c>
      <c r="BM39" s="13" t="n">
        <f aca="false">-(Debt!BM28+Debt!BM42+Debt!BM56+Debt!BM70+Debt!BM84)</f>
        <v>-0</v>
      </c>
      <c r="BN39" s="13" t="n">
        <f aca="false">-(Debt!BN28+Debt!BN42+Debt!BN56+Debt!BN70+Debt!BN84)</f>
        <v>-0</v>
      </c>
    </row>
    <row r="40" customFormat="false" ht="15" hidden="false" customHeight="false" outlineLevel="0" collapsed="false">
      <c r="D40" s="0" t="s">
        <v>1931</v>
      </c>
      <c r="E40" s="0" t="s">
        <v>151</v>
      </c>
      <c r="G40" s="13" t="n">
        <f aca="false">SUM(J40:BN40)</f>
        <v>0</v>
      </c>
      <c r="J40" s="13" t="n">
        <f aca="false">Debt!J100-Debt!J104</f>
        <v>0</v>
      </c>
      <c r="K40" s="13" t="n">
        <f aca="false">Debt!K100-Debt!K104</f>
        <v>0</v>
      </c>
      <c r="L40" s="13" t="n">
        <f aca="false">Debt!L100-Debt!L104</f>
        <v>0</v>
      </c>
      <c r="M40" s="13" t="n">
        <f aca="false">Debt!M100-Debt!M104</f>
        <v>0</v>
      </c>
      <c r="N40" s="13" t="n">
        <f aca="false">Debt!N100-Debt!N104</f>
        <v>0</v>
      </c>
      <c r="O40" s="13" t="n">
        <f aca="false">Debt!O100-Debt!O104</f>
        <v>0</v>
      </c>
      <c r="P40" s="13" t="n">
        <f aca="false">Debt!P100-Debt!P104</f>
        <v>0</v>
      </c>
      <c r="Q40" s="13" t="n">
        <f aca="false">Debt!Q100-Debt!Q104</f>
        <v>0</v>
      </c>
      <c r="R40" s="13" t="n">
        <f aca="false">Debt!R100-Debt!R104</f>
        <v>0</v>
      </c>
      <c r="S40" s="13" t="n">
        <f aca="false">Debt!S100-Debt!S104</f>
        <v>0</v>
      </c>
      <c r="T40" s="13" t="n">
        <f aca="false">Debt!T100-Debt!T104</f>
        <v>0</v>
      </c>
      <c r="U40" s="13" t="n">
        <f aca="false">Debt!U100-Debt!U104</f>
        <v>0</v>
      </c>
      <c r="V40" s="13" t="n">
        <f aca="false">Debt!V100-Debt!V104</f>
        <v>0</v>
      </c>
      <c r="W40" s="13" t="n">
        <f aca="false">Debt!W100-Debt!W104</f>
        <v>0</v>
      </c>
      <c r="X40" s="13" t="n">
        <f aca="false">Debt!X100-Debt!X104</f>
        <v>0</v>
      </c>
      <c r="Y40" s="13" t="n">
        <f aca="false">Debt!Y100-Debt!Y104</f>
        <v>0</v>
      </c>
      <c r="Z40" s="13" t="n">
        <f aca="false">Debt!Z100-Debt!Z104</f>
        <v>0</v>
      </c>
      <c r="AA40" s="13" t="n">
        <f aca="false">Debt!AA100-Debt!AA104</f>
        <v>0</v>
      </c>
      <c r="AB40" s="13" t="n">
        <f aca="false">Debt!AB100-Debt!AB104</f>
        <v>0</v>
      </c>
      <c r="AC40" s="13" t="n">
        <f aca="false">Debt!AC100-Debt!AC104</f>
        <v>0</v>
      </c>
      <c r="AD40" s="13" t="n">
        <f aca="false">Debt!AD100-Debt!AD104</f>
        <v>0</v>
      </c>
      <c r="AE40" s="13" t="n">
        <f aca="false">Debt!AE100-Debt!AE104</f>
        <v>0</v>
      </c>
      <c r="AF40" s="13" t="n">
        <f aca="false">Debt!AF100-Debt!AF104</f>
        <v>0</v>
      </c>
      <c r="AG40" s="13" t="n">
        <f aca="false">Debt!AG100-Debt!AG104</f>
        <v>0</v>
      </c>
      <c r="AH40" s="13" t="n">
        <f aca="false">Debt!AH100-Debt!AH104</f>
        <v>0</v>
      </c>
      <c r="AI40" s="13" t="n">
        <f aca="false">Debt!AI100-Debt!AI104</f>
        <v>0</v>
      </c>
      <c r="AJ40" s="13" t="n">
        <f aca="false">Debt!AJ100-Debt!AJ104</f>
        <v>0</v>
      </c>
      <c r="AK40" s="13" t="n">
        <f aca="false">Debt!AK100-Debt!AK104</f>
        <v>0</v>
      </c>
      <c r="AL40" s="13" t="n">
        <f aca="false">Debt!AL100-Debt!AL104</f>
        <v>0</v>
      </c>
      <c r="AM40" s="13" t="n">
        <f aca="false">Debt!AM100-Debt!AM104</f>
        <v>0</v>
      </c>
      <c r="AN40" s="13" t="n">
        <f aca="false">Debt!AN100-Debt!AN104</f>
        <v>0</v>
      </c>
      <c r="AO40" s="13" t="n">
        <f aca="false">Debt!AO100-Debt!AO104</f>
        <v>0</v>
      </c>
      <c r="AP40" s="13" t="n">
        <f aca="false">Debt!AP100-Debt!AP104</f>
        <v>0</v>
      </c>
      <c r="AQ40" s="13" t="n">
        <f aca="false">Debt!AQ100-Debt!AQ104</f>
        <v>0</v>
      </c>
      <c r="AR40" s="13" t="n">
        <f aca="false">Debt!AR100-Debt!AR104</f>
        <v>0</v>
      </c>
      <c r="AS40" s="13" t="n">
        <f aca="false">Debt!AS100-Debt!AS104</f>
        <v>0</v>
      </c>
      <c r="AT40" s="13" t="n">
        <f aca="false">Debt!AT100-Debt!AT104</f>
        <v>0</v>
      </c>
      <c r="AU40" s="13" t="n">
        <f aca="false">Debt!AU100-Debt!AU104</f>
        <v>0</v>
      </c>
      <c r="AV40" s="13" t="n">
        <f aca="false">Debt!AV100-Debt!AV104</f>
        <v>0</v>
      </c>
      <c r="AW40" s="13" t="n">
        <f aca="false">Debt!AW100-Debt!AW104</f>
        <v>0</v>
      </c>
      <c r="AX40" s="13" t="n">
        <f aca="false">Debt!AX100-Debt!AX104</f>
        <v>0</v>
      </c>
      <c r="AY40" s="13" t="n">
        <f aca="false">Debt!AY100-Debt!AY104</f>
        <v>0</v>
      </c>
      <c r="AZ40" s="13" t="n">
        <f aca="false">Debt!AZ100-Debt!AZ104</f>
        <v>0</v>
      </c>
      <c r="BA40" s="13" t="n">
        <f aca="false">Debt!BA100-Debt!BA104</f>
        <v>0</v>
      </c>
      <c r="BB40" s="13" t="n">
        <f aca="false">Debt!BB100-Debt!BB104</f>
        <v>0</v>
      </c>
      <c r="BC40" s="13" t="n">
        <f aca="false">Debt!BC100-Debt!BC104</f>
        <v>0</v>
      </c>
      <c r="BD40" s="13" t="n">
        <f aca="false">Debt!BD100-Debt!BD104</f>
        <v>0</v>
      </c>
      <c r="BE40" s="13" t="n">
        <f aca="false">Debt!BE100-Debt!BE104</f>
        <v>0</v>
      </c>
      <c r="BF40" s="13" t="n">
        <f aca="false">Debt!BF100-Debt!BF104</f>
        <v>0</v>
      </c>
      <c r="BG40" s="13" t="n">
        <f aca="false">Debt!BG100-Debt!BG104</f>
        <v>0</v>
      </c>
      <c r="BH40" s="13" t="n">
        <f aca="false">Debt!BH100-Debt!BH104</f>
        <v>0</v>
      </c>
      <c r="BI40" s="13" t="n">
        <f aca="false">Debt!BI100-Debt!BI104</f>
        <v>0</v>
      </c>
      <c r="BJ40" s="13" t="n">
        <f aca="false">Debt!BJ100-Debt!BJ104</f>
        <v>0</v>
      </c>
      <c r="BK40" s="13" t="n">
        <f aca="false">Debt!BK100-Debt!BK104</f>
        <v>0</v>
      </c>
      <c r="BL40" s="13" t="n">
        <f aca="false">Debt!BL100-Debt!BL104</f>
        <v>0</v>
      </c>
      <c r="BM40" s="13" t="n">
        <f aca="false">Debt!BM100-Debt!BM104</f>
        <v>0</v>
      </c>
      <c r="BN40" s="13" t="n">
        <f aca="false">Debt!BN100-Debt!BN104</f>
        <v>0</v>
      </c>
    </row>
    <row r="41" customFormat="false" ht="15" hidden="false" customHeight="false" outlineLevel="0" collapsed="false">
      <c r="D41" s="0" t="s">
        <v>1932</v>
      </c>
      <c r="E41" s="0" t="s">
        <v>151</v>
      </c>
      <c r="G41" s="13" t="n">
        <f aca="false">SUM(J41:BN41)</f>
        <v>0</v>
      </c>
      <c r="J41" s="13" t="n">
        <f aca="false">-Debt!J99</f>
        <v>-0</v>
      </c>
      <c r="K41" s="13" t="n">
        <f aca="false">-Debt!K99</f>
        <v>-0</v>
      </c>
      <c r="L41" s="13" t="n">
        <f aca="false">-Debt!L99</f>
        <v>-0</v>
      </c>
      <c r="M41" s="13" t="n">
        <f aca="false">-Debt!M99</f>
        <v>-0</v>
      </c>
      <c r="N41" s="13" t="n">
        <f aca="false">-Debt!N99</f>
        <v>-0</v>
      </c>
      <c r="O41" s="13" t="n">
        <f aca="false">-Debt!O99</f>
        <v>-0</v>
      </c>
      <c r="P41" s="13" t="n">
        <f aca="false">-Debt!P99</f>
        <v>-0</v>
      </c>
      <c r="Q41" s="13" t="n">
        <f aca="false">-Debt!Q99</f>
        <v>-0</v>
      </c>
      <c r="R41" s="13" t="n">
        <f aca="false">-Debt!R99</f>
        <v>-0</v>
      </c>
      <c r="S41" s="13" t="n">
        <f aca="false">-Debt!S99</f>
        <v>-0</v>
      </c>
      <c r="T41" s="13" t="n">
        <f aca="false">-Debt!T99</f>
        <v>-0</v>
      </c>
      <c r="U41" s="13" t="n">
        <f aca="false">-Debt!U99</f>
        <v>-0</v>
      </c>
      <c r="V41" s="13" t="n">
        <f aca="false">-Debt!V99</f>
        <v>-0</v>
      </c>
      <c r="W41" s="13" t="n">
        <f aca="false">-Debt!W99</f>
        <v>-0</v>
      </c>
      <c r="X41" s="13" t="n">
        <f aca="false">-Debt!X99</f>
        <v>-0</v>
      </c>
      <c r="Y41" s="13" t="n">
        <f aca="false">-Debt!Y99</f>
        <v>-0</v>
      </c>
      <c r="Z41" s="13" t="n">
        <f aca="false">-Debt!Z99</f>
        <v>-0</v>
      </c>
      <c r="AA41" s="13" t="n">
        <f aca="false">-Debt!AA99</f>
        <v>-0</v>
      </c>
      <c r="AB41" s="13" t="n">
        <f aca="false">-Debt!AB99</f>
        <v>-0</v>
      </c>
      <c r="AC41" s="13" t="n">
        <f aca="false">-Debt!AC99</f>
        <v>-0</v>
      </c>
      <c r="AD41" s="13" t="n">
        <f aca="false">-Debt!AD99</f>
        <v>-0</v>
      </c>
      <c r="AE41" s="13" t="n">
        <f aca="false">-Debt!AE99</f>
        <v>-0</v>
      </c>
      <c r="AF41" s="13" t="n">
        <f aca="false">-Debt!AF99</f>
        <v>-0</v>
      </c>
      <c r="AG41" s="13" t="n">
        <f aca="false">-Debt!AG99</f>
        <v>-0</v>
      </c>
      <c r="AH41" s="13" t="n">
        <f aca="false">-Debt!AH99</f>
        <v>-0</v>
      </c>
      <c r="AI41" s="13" t="n">
        <f aca="false">-Debt!AI99</f>
        <v>-0</v>
      </c>
      <c r="AJ41" s="13" t="n">
        <f aca="false">-Debt!AJ99</f>
        <v>-0</v>
      </c>
      <c r="AK41" s="13" t="n">
        <f aca="false">-Debt!AK99</f>
        <v>-0</v>
      </c>
      <c r="AL41" s="13" t="n">
        <f aca="false">-Debt!AL99</f>
        <v>-0</v>
      </c>
      <c r="AM41" s="13" t="n">
        <f aca="false">-Debt!AM99</f>
        <v>-0</v>
      </c>
      <c r="AN41" s="13" t="n">
        <f aca="false">-Debt!AN99</f>
        <v>-0</v>
      </c>
      <c r="AO41" s="13" t="n">
        <f aca="false">-Debt!AO99</f>
        <v>-0</v>
      </c>
      <c r="AP41" s="13" t="n">
        <f aca="false">-Debt!AP99</f>
        <v>-0</v>
      </c>
      <c r="AQ41" s="13" t="n">
        <f aca="false">-Debt!AQ99</f>
        <v>-0</v>
      </c>
      <c r="AR41" s="13" t="n">
        <f aca="false">-Debt!AR99</f>
        <v>-0</v>
      </c>
      <c r="AS41" s="13" t="n">
        <f aca="false">-Debt!AS99</f>
        <v>-0</v>
      </c>
      <c r="AT41" s="13" t="n">
        <f aca="false">-Debt!AT99</f>
        <v>-0</v>
      </c>
      <c r="AU41" s="13" t="n">
        <f aca="false">-Debt!AU99</f>
        <v>-0</v>
      </c>
      <c r="AV41" s="13" t="n">
        <f aca="false">-Debt!AV99</f>
        <v>-0</v>
      </c>
      <c r="AW41" s="13" t="n">
        <f aca="false">-Debt!AW99</f>
        <v>-0</v>
      </c>
      <c r="AX41" s="13" t="n">
        <f aca="false">-Debt!AX99</f>
        <v>-0</v>
      </c>
      <c r="AY41" s="13" t="n">
        <f aca="false">-Debt!AY99</f>
        <v>-0</v>
      </c>
      <c r="AZ41" s="13" t="n">
        <f aca="false">-Debt!AZ99</f>
        <v>-0</v>
      </c>
      <c r="BA41" s="13" t="n">
        <f aca="false">-Debt!BA99</f>
        <v>-0</v>
      </c>
      <c r="BB41" s="13" t="n">
        <f aca="false">-Debt!BB99</f>
        <v>-0</v>
      </c>
      <c r="BC41" s="13" t="n">
        <f aca="false">-Debt!BC99</f>
        <v>-0</v>
      </c>
      <c r="BD41" s="13" t="n">
        <f aca="false">-Debt!BD99</f>
        <v>-0</v>
      </c>
      <c r="BE41" s="13" t="n">
        <f aca="false">-Debt!BE99</f>
        <v>-0</v>
      </c>
      <c r="BF41" s="13" t="n">
        <f aca="false">-Debt!BF99</f>
        <v>-0</v>
      </c>
      <c r="BG41" s="13" t="n">
        <f aca="false">-Debt!BG99</f>
        <v>-0</v>
      </c>
      <c r="BH41" s="13" t="n">
        <f aca="false">-Debt!BH99</f>
        <v>-0</v>
      </c>
      <c r="BI41" s="13" t="n">
        <f aca="false">-Debt!BI99</f>
        <v>-0</v>
      </c>
      <c r="BJ41" s="13" t="n">
        <f aca="false">-Debt!BJ99</f>
        <v>-0</v>
      </c>
      <c r="BK41" s="13" t="n">
        <f aca="false">-Debt!BK99</f>
        <v>-0</v>
      </c>
      <c r="BL41" s="13" t="n">
        <f aca="false">-Debt!BL99</f>
        <v>-0</v>
      </c>
      <c r="BM41" s="13" t="n">
        <f aca="false">-Debt!BM99</f>
        <v>-0</v>
      </c>
      <c r="BN41" s="13" t="n">
        <f aca="false">-Debt!BN99</f>
        <v>-0</v>
      </c>
    </row>
    <row r="42" customFormat="false" ht="15" hidden="false" customHeight="false" outlineLevel="0" collapsed="false">
      <c r="D42" s="0" t="s">
        <v>1805</v>
      </c>
      <c r="E42" s="0" t="s">
        <v>151</v>
      </c>
      <c r="G42" s="13" t="n">
        <f aca="false">SUM(J42:BN42)</f>
        <v>0</v>
      </c>
      <c r="J42" s="18" t="n">
        <f aca="false">Debt!J103</f>
        <v>0</v>
      </c>
      <c r="K42" s="18" t="n">
        <f aca="false">Debt!K103</f>
        <v>0</v>
      </c>
      <c r="L42" s="18" t="n">
        <f aca="false">Debt!L103</f>
        <v>0</v>
      </c>
      <c r="M42" s="18" t="n">
        <f aca="false">Debt!M103</f>
        <v>0</v>
      </c>
      <c r="N42" s="18" t="n">
        <f aca="false">Debt!N103</f>
        <v>0</v>
      </c>
      <c r="O42" s="18" t="n">
        <f aca="false">Debt!O103</f>
        <v>0</v>
      </c>
      <c r="P42" s="18" t="n">
        <f aca="false">Debt!P103</f>
        <v>0</v>
      </c>
      <c r="Q42" s="18" t="n">
        <f aca="false">Debt!Q103</f>
        <v>0</v>
      </c>
      <c r="R42" s="18" t="n">
        <f aca="false">Debt!R103</f>
        <v>0</v>
      </c>
      <c r="S42" s="18" t="n">
        <f aca="false">Debt!S103</f>
        <v>0</v>
      </c>
      <c r="T42" s="18" t="n">
        <f aca="false">Debt!T103</f>
        <v>0</v>
      </c>
      <c r="U42" s="18" t="n">
        <f aca="false">Debt!U103</f>
        <v>0</v>
      </c>
      <c r="V42" s="18" t="n">
        <f aca="false">Debt!V103</f>
        <v>0</v>
      </c>
      <c r="W42" s="18" t="n">
        <f aca="false">Debt!W103</f>
        <v>0</v>
      </c>
      <c r="X42" s="18" t="n">
        <f aca="false">Debt!X103</f>
        <v>0</v>
      </c>
      <c r="Y42" s="18" t="n">
        <f aca="false">Debt!Y103</f>
        <v>0</v>
      </c>
      <c r="Z42" s="18" t="n">
        <f aca="false">Debt!Z103</f>
        <v>0</v>
      </c>
      <c r="AA42" s="18" t="n">
        <f aca="false">Debt!AA103</f>
        <v>0</v>
      </c>
      <c r="AB42" s="18" t="n">
        <f aca="false">Debt!AB103</f>
        <v>0</v>
      </c>
      <c r="AC42" s="18" t="n">
        <f aca="false">Debt!AC103</f>
        <v>0</v>
      </c>
      <c r="AD42" s="18" t="n">
        <f aca="false">Debt!AD103</f>
        <v>0</v>
      </c>
      <c r="AE42" s="18" t="n">
        <f aca="false">Debt!AE103</f>
        <v>0</v>
      </c>
      <c r="AF42" s="18" t="n">
        <f aca="false">Debt!AF103</f>
        <v>0</v>
      </c>
      <c r="AG42" s="18" t="n">
        <f aca="false">Debt!AG103</f>
        <v>0</v>
      </c>
      <c r="AH42" s="18" t="n">
        <f aca="false">Debt!AH103</f>
        <v>0</v>
      </c>
      <c r="AI42" s="18" t="n">
        <f aca="false">Debt!AI103</f>
        <v>0</v>
      </c>
      <c r="AJ42" s="18" t="n">
        <f aca="false">Debt!AJ103</f>
        <v>0</v>
      </c>
      <c r="AK42" s="18" t="n">
        <f aca="false">Debt!AK103</f>
        <v>0</v>
      </c>
      <c r="AL42" s="18" t="n">
        <f aca="false">Debt!AL103</f>
        <v>0</v>
      </c>
      <c r="AM42" s="18" t="n">
        <f aca="false">Debt!AM103</f>
        <v>0</v>
      </c>
      <c r="AN42" s="18" t="n">
        <f aca="false">Debt!AN103</f>
        <v>0</v>
      </c>
      <c r="AO42" s="18" t="n">
        <f aca="false">Debt!AO103</f>
        <v>0</v>
      </c>
      <c r="AP42" s="18" t="n">
        <f aca="false">Debt!AP103</f>
        <v>0</v>
      </c>
      <c r="AQ42" s="18" t="n">
        <f aca="false">Debt!AQ103</f>
        <v>0</v>
      </c>
      <c r="AR42" s="18" t="n">
        <f aca="false">Debt!AR103</f>
        <v>0</v>
      </c>
      <c r="AS42" s="18" t="n">
        <f aca="false">Debt!AS103</f>
        <v>0</v>
      </c>
      <c r="AT42" s="18" t="n">
        <f aca="false">Debt!AT103</f>
        <v>0</v>
      </c>
      <c r="AU42" s="18" t="n">
        <f aca="false">Debt!AU103</f>
        <v>0</v>
      </c>
      <c r="AV42" s="18" t="n">
        <f aca="false">Debt!AV103</f>
        <v>0</v>
      </c>
      <c r="AW42" s="18" t="n">
        <f aca="false">Debt!AW103</f>
        <v>0</v>
      </c>
      <c r="AX42" s="18" t="n">
        <f aca="false">Debt!AX103</f>
        <v>0</v>
      </c>
      <c r="AY42" s="18" t="n">
        <f aca="false">Debt!AY103</f>
        <v>0</v>
      </c>
      <c r="AZ42" s="18" t="n">
        <f aca="false">Debt!AZ103</f>
        <v>0</v>
      </c>
      <c r="BA42" s="18" t="n">
        <f aca="false">Debt!BA103</f>
        <v>0</v>
      </c>
      <c r="BB42" s="18" t="n">
        <f aca="false">Debt!BB103</f>
        <v>0</v>
      </c>
      <c r="BC42" s="18" t="n">
        <f aca="false">Debt!BC103</f>
        <v>0</v>
      </c>
      <c r="BD42" s="18" t="n">
        <f aca="false">Debt!BD103</f>
        <v>0</v>
      </c>
      <c r="BE42" s="18" t="n">
        <f aca="false">Debt!BE103</f>
        <v>0</v>
      </c>
      <c r="BF42" s="18" t="n">
        <f aca="false">Debt!BF103</f>
        <v>0</v>
      </c>
      <c r="BG42" s="18" t="n">
        <f aca="false">Debt!BG103</f>
        <v>0</v>
      </c>
      <c r="BH42" s="18" t="n">
        <f aca="false">Debt!BH103</f>
        <v>0</v>
      </c>
      <c r="BI42" s="18" t="n">
        <f aca="false">Debt!BI103</f>
        <v>0</v>
      </c>
      <c r="BJ42" s="18" t="n">
        <f aca="false">Debt!BJ103</f>
        <v>0</v>
      </c>
      <c r="BK42" s="18" t="n">
        <f aca="false">Debt!BK103</f>
        <v>0</v>
      </c>
      <c r="BL42" s="18" t="n">
        <f aca="false">Debt!BL103</f>
        <v>0</v>
      </c>
      <c r="BM42" s="18" t="n">
        <f aca="false">Debt!BM103</f>
        <v>0</v>
      </c>
      <c r="BN42" s="18" t="n">
        <f aca="false">Debt!BN103</f>
        <v>0</v>
      </c>
    </row>
    <row r="43" customFormat="false" ht="15" hidden="false" customHeight="false" outlineLevel="0" collapsed="false">
      <c r="D43" s="0" t="s">
        <v>1933</v>
      </c>
      <c r="E43" s="0" t="s">
        <v>151</v>
      </c>
      <c r="G43" s="13" t="n">
        <f aca="false">SUM(J43:BN43)</f>
        <v>-106.053988397803</v>
      </c>
      <c r="J43" s="13" t="n">
        <f aca="false">-(Waterfall!J28+Waterfall!J29)</f>
        <v>-0</v>
      </c>
      <c r="K43" s="13" t="n">
        <f aca="false">-(Waterfall!K28+Waterfall!K29)</f>
        <v>-0</v>
      </c>
      <c r="L43" s="13" t="n">
        <f aca="false">-(Waterfall!L28+Waterfall!L29)</f>
        <v>-0</v>
      </c>
      <c r="M43" s="13" t="n">
        <f aca="false">-(Waterfall!M28+Waterfall!M29)</f>
        <v>-0</v>
      </c>
      <c r="N43" s="13" t="n">
        <f aca="false">-(Waterfall!N28+Waterfall!N29)</f>
        <v>-0</v>
      </c>
      <c r="O43" s="13" t="n">
        <f aca="false">-(Waterfall!O28+Waterfall!O29)</f>
        <v>-0</v>
      </c>
      <c r="P43" s="13" t="n">
        <f aca="false">-(Waterfall!P28+Waterfall!P29)</f>
        <v>-0</v>
      </c>
      <c r="Q43" s="13" t="n">
        <f aca="false">-(Waterfall!Q28+Waterfall!Q29)</f>
        <v>-0</v>
      </c>
      <c r="R43" s="13" t="n">
        <f aca="false">-(Waterfall!R28+Waterfall!R29)</f>
        <v>-0</v>
      </c>
      <c r="S43" s="13" t="n">
        <f aca="false">-(Waterfall!S28+Waterfall!S29)</f>
        <v>-0</v>
      </c>
      <c r="T43" s="13" t="n">
        <f aca="false">-(Waterfall!T28+Waterfall!T29)</f>
        <v>-0</v>
      </c>
      <c r="U43" s="13" t="n">
        <f aca="false">-(Waterfall!U28+Waterfall!U29)</f>
        <v>-0</v>
      </c>
      <c r="V43" s="13" t="n">
        <f aca="false">-(Waterfall!V28+Waterfall!V29)</f>
        <v>-0</v>
      </c>
      <c r="W43" s="13" t="n">
        <f aca="false">-(Waterfall!W28+Waterfall!W29)</f>
        <v>-0</v>
      </c>
      <c r="X43" s="13" t="n">
        <f aca="false">-(Waterfall!X28+Waterfall!X29)</f>
        <v>-0</v>
      </c>
      <c r="Y43" s="13" t="n">
        <f aca="false">-(Waterfall!Y28+Waterfall!Y29)</f>
        <v>-0</v>
      </c>
      <c r="Z43" s="13" t="n">
        <f aca="false">-(Waterfall!Z28+Waterfall!Z29)</f>
        <v>-0</v>
      </c>
      <c r="AA43" s="13" t="n">
        <f aca="false">-(Waterfall!AA28+Waterfall!AA29)</f>
        <v>-7.85908871941768</v>
      </c>
      <c r="AB43" s="13" t="n">
        <f aca="false">-(Waterfall!AB28+Waterfall!AB29)</f>
        <v>-9.4795278924246</v>
      </c>
      <c r="AC43" s="13" t="n">
        <f aca="false">-(Waterfall!AC28+Waterfall!AC29)</f>
        <v>-9.37136108645005</v>
      </c>
      <c r="AD43" s="13" t="n">
        <f aca="false">-(Waterfall!AD28+Waterfall!AD29)</f>
        <v>-10.1851896598801</v>
      </c>
      <c r="AE43" s="13" t="n">
        <f aca="false">-(Waterfall!AE28+Waterfall!AE29)</f>
        <v>-9.08696237506704</v>
      </c>
      <c r="AF43" s="13" t="n">
        <f aca="false">-(Waterfall!AF28+Waterfall!AF29)</f>
        <v>-8.00854822905012</v>
      </c>
      <c r="AG43" s="13" t="n">
        <f aca="false">-(Waterfall!AG28+Waterfall!AG29)</f>
        <v>-8.27936900762144</v>
      </c>
      <c r="AH43" s="13" t="n">
        <f aca="false">-(Waterfall!AH28+Waterfall!AH29)</f>
        <v>-9.10155865632477</v>
      </c>
      <c r="AI43" s="13" t="n">
        <f aca="false">-(Waterfall!AI28+Waterfall!AI29)</f>
        <v>-9.26113287306614</v>
      </c>
      <c r="AJ43" s="13" t="n">
        <f aca="false">-(Waterfall!AJ28+Waterfall!AJ29)</f>
        <v>-10.712394042413</v>
      </c>
      <c r="AK43" s="13" t="n">
        <f aca="false">-(Waterfall!AK28+Waterfall!AK29)</f>
        <v>-11.763017751447</v>
      </c>
      <c r="AL43" s="13" t="n">
        <f aca="false">-(Waterfall!AL28+Waterfall!AL29)</f>
        <v>-2.94583810464145</v>
      </c>
      <c r="AM43" s="13" t="n">
        <f aca="false">-(Waterfall!AM28+Waterfall!AM29)</f>
        <v>-0</v>
      </c>
      <c r="AN43" s="13" t="n">
        <f aca="false">-(Waterfall!AN28+Waterfall!AN29)</f>
        <v>-0</v>
      </c>
      <c r="AO43" s="13" t="n">
        <f aca="false">-(Waterfall!AO28+Waterfall!AO29)</f>
        <v>-0</v>
      </c>
      <c r="AP43" s="13" t="n">
        <f aca="false">-(Waterfall!AP28+Waterfall!AP29)</f>
        <v>-0</v>
      </c>
      <c r="AQ43" s="13" t="n">
        <f aca="false">-(Waterfall!AQ28+Waterfall!AQ29)</f>
        <v>-0</v>
      </c>
      <c r="AR43" s="13" t="n">
        <f aca="false">-(Waterfall!AR28+Waterfall!AR29)</f>
        <v>-0</v>
      </c>
      <c r="AS43" s="13" t="n">
        <f aca="false">-(Waterfall!AS28+Waterfall!AS29)</f>
        <v>-0</v>
      </c>
      <c r="AT43" s="13" t="n">
        <f aca="false">-(Waterfall!AT28+Waterfall!AT29)</f>
        <v>-0</v>
      </c>
      <c r="AU43" s="13" t="n">
        <f aca="false">-(Waterfall!AU28+Waterfall!AU29)</f>
        <v>-0</v>
      </c>
      <c r="AV43" s="13" t="n">
        <f aca="false">-(Waterfall!AV28+Waterfall!AV29)</f>
        <v>-0</v>
      </c>
      <c r="AW43" s="13" t="n">
        <f aca="false">-(Waterfall!AW28+Waterfall!AW29)</f>
        <v>-0</v>
      </c>
      <c r="AX43" s="13" t="n">
        <f aca="false">-(Waterfall!AX28+Waterfall!AX29)</f>
        <v>-0</v>
      </c>
      <c r="AY43" s="13" t="n">
        <f aca="false">-(Waterfall!AY28+Waterfall!AY29)</f>
        <v>-0</v>
      </c>
      <c r="AZ43" s="13" t="n">
        <f aca="false">-(Waterfall!AZ28+Waterfall!AZ29)</f>
        <v>-0</v>
      </c>
      <c r="BA43" s="13" t="n">
        <f aca="false">-(Waterfall!BA28+Waterfall!BA29)</f>
        <v>-0</v>
      </c>
      <c r="BB43" s="13" t="n">
        <f aca="false">-(Waterfall!BB28+Waterfall!BB29)</f>
        <v>-0</v>
      </c>
      <c r="BC43" s="13" t="n">
        <f aca="false">-(Waterfall!BC28+Waterfall!BC29)</f>
        <v>-0</v>
      </c>
      <c r="BD43" s="13" t="n">
        <f aca="false">-(Waterfall!BD28+Waterfall!BD29)</f>
        <v>-0</v>
      </c>
      <c r="BE43" s="13" t="n">
        <f aca="false">-(Waterfall!BE28+Waterfall!BE29)</f>
        <v>-0</v>
      </c>
      <c r="BF43" s="13" t="n">
        <f aca="false">-(Waterfall!BF28+Waterfall!BF29)</f>
        <v>-0</v>
      </c>
      <c r="BG43" s="13" t="n">
        <f aca="false">-(Waterfall!BG28+Waterfall!BG29)</f>
        <v>-0</v>
      </c>
      <c r="BH43" s="13" t="n">
        <f aca="false">-(Waterfall!BH28+Waterfall!BH29)</f>
        <v>-0</v>
      </c>
      <c r="BI43" s="13" t="n">
        <f aca="false">-(Waterfall!BI28+Waterfall!BI29)</f>
        <v>-0</v>
      </c>
      <c r="BJ43" s="13" t="n">
        <f aca="false">-(Waterfall!BJ28+Waterfall!BJ29)</f>
        <v>-0</v>
      </c>
      <c r="BK43" s="13" t="n">
        <f aca="false">-(Waterfall!BK28+Waterfall!BK29)</f>
        <v>-0</v>
      </c>
      <c r="BL43" s="13" t="n">
        <f aca="false">-(Waterfall!BL28+Waterfall!BL29)</f>
        <v>-0</v>
      </c>
      <c r="BM43" s="13" t="n">
        <f aca="false">-(Waterfall!BM28+Waterfall!BM29)</f>
        <v>-0</v>
      </c>
      <c r="BN43" s="13" t="n">
        <f aca="false">-(Waterfall!BN28+Waterfall!BN29)</f>
        <v>-0</v>
      </c>
    </row>
    <row r="44" customFormat="false" ht="15" hidden="false" customHeight="false" outlineLevel="0" collapsed="false">
      <c r="D44" s="0" t="s">
        <v>1934</v>
      </c>
      <c r="E44" s="0" t="s">
        <v>151</v>
      </c>
      <c r="G44" s="13" t="n">
        <f aca="false">SUM(J44:BN44)</f>
        <v>-292.607721199476</v>
      </c>
      <c r="J44" s="13" t="n">
        <f aca="false">-(Waterfall!J34+Waterfall!J35)</f>
        <v>-0</v>
      </c>
      <c r="K44" s="13" t="n">
        <f aca="false">-(Waterfall!K34+Waterfall!K35)</f>
        <v>-0</v>
      </c>
      <c r="L44" s="13" t="n">
        <f aca="false">-(Waterfall!L34+Waterfall!L35)</f>
        <v>-0</v>
      </c>
      <c r="M44" s="13" t="n">
        <f aca="false">-(Waterfall!M34+Waterfall!M35)</f>
        <v>-0</v>
      </c>
      <c r="N44" s="13" t="n">
        <f aca="false">-(Waterfall!N34+Waterfall!N35)</f>
        <v>-0</v>
      </c>
      <c r="O44" s="13" t="n">
        <f aca="false">-(Waterfall!O34+Waterfall!O35)</f>
        <v>-0</v>
      </c>
      <c r="P44" s="13" t="n">
        <f aca="false">-(Waterfall!P34+Waterfall!P35)</f>
        <v>-19.3183519223685</v>
      </c>
      <c r="Q44" s="13" t="n">
        <f aca="false">-(Waterfall!Q34+Waterfall!Q35)</f>
        <v>-16.2951233866581</v>
      </c>
      <c r="R44" s="13" t="n">
        <f aca="false">-(Waterfall!R34+Waterfall!R35)</f>
        <v>-16.8810359337366</v>
      </c>
      <c r="S44" s="13" t="n">
        <f aca="false">-(Waterfall!S34+Waterfall!S35)</f>
        <v>-15.8435811857195</v>
      </c>
      <c r="T44" s="13" t="n">
        <f aca="false">-(Waterfall!T34+Waterfall!T35)</f>
        <v>-17.3238750968216</v>
      </c>
      <c r="U44" s="13" t="n">
        <f aca="false">-(Waterfall!U34+Waterfall!U35)</f>
        <v>-16.8230721606346</v>
      </c>
      <c r="V44" s="13" t="n">
        <f aca="false">-(Waterfall!V34+Waterfall!V35)</f>
        <v>-16.6665978628349</v>
      </c>
      <c r="W44" s="13" t="n">
        <f aca="false">-(Waterfall!W34+Waterfall!W35)</f>
        <v>-16.5968618165843</v>
      </c>
      <c r="X44" s="13" t="n">
        <f aca="false">-(Waterfall!X34+Waterfall!X35)</f>
        <v>-16.5878856740958</v>
      </c>
      <c r="Y44" s="13" t="n">
        <f aca="false">-(Waterfall!Y34+Waterfall!Y35)</f>
        <v>-16.1887777777456</v>
      </c>
      <c r="Z44" s="13" t="n">
        <f aca="false">-(Waterfall!Z34+Waterfall!Z35)</f>
        <v>-16.7835470474145</v>
      </c>
      <c r="AA44" s="13" t="n">
        <f aca="false">-(Waterfall!AA34+Waterfall!AA35)</f>
        <v>-7.85908871941768</v>
      </c>
      <c r="AB44" s="13" t="n">
        <f aca="false">-(Waterfall!AB34+Waterfall!AB35)</f>
        <v>-9.4795278924246</v>
      </c>
      <c r="AC44" s="13" t="n">
        <f aca="false">-(Waterfall!AC34+Waterfall!AC35)</f>
        <v>-9.37136108645005</v>
      </c>
      <c r="AD44" s="13" t="n">
        <f aca="false">-(Waterfall!AD34+Waterfall!AD35)</f>
        <v>-10.1851896598801</v>
      </c>
      <c r="AE44" s="13" t="n">
        <f aca="false">-(Waterfall!AE34+Waterfall!AE35)</f>
        <v>-9.08696237506704</v>
      </c>
      <c r="AF44" s="13" t="n">
        <f aca="false">-(Waterfall!AF34+Waterfall!AF35)</f>
        <v>-8.00854822905012</v>
      </c>
      <c r="AG44" s="13" t="n">
        <f aca="false">-(Waterfall!AG34+Waterfall!AG35)</f>
        <v>-8.27936900762144</v>
      </c>
      <c r="AH44" s="13" t="n">
        <f aca="false">-(Waterfall!AH34+Waterfall!AH35)</f>
        <v>-9.10155865632477</v>
      </c>
      <c r="AI44" s="13" t="n">
        <f aca="false">-(Waterfall!AI34+Waterfall!AI35)</f>
        <v>-9.26113287306614</v>
      </c>
      <c r="AJ44" s="13" t="n">
        <f aca="false">-(Waterfall!AJ34+Waterfall!AJ35)</f>
        <v>-10.712394042413</v>
      </c>
      <c r="AK44" s="13" t="n">
        <f aca="false">-(Waterfall!AK34+Waterfall!AK35)</f>
        <v>-11.763017751447</v>
      </c>
      <c r="AL44" s="13" t="n">
        <f aca="false">-(Waterfall!AL34+Waterfall!AL35)</f>
        <v>-4.1908610417001</v>
      </c>
      <c r="AM44" s="13" t="n">
        <f aca="false">-(Waterfall!AM34+Waterfall!AM35)</f>
        <v>-0</v>
      </c>
      <c r="AN44" s="13" t="n">
        <f aca="false">-(Waterfall!AN34+Waterfall!AN35)</f>
        <v>-0</v>
      </c>
      <c r="AO44" s="13" t="n">
        <f aca="false">-(Waterfall!AO34+Waterfall!AO35)</f>
        <v>-0</v>
      </c>
      <c r="AP44" s="13" t="n">
        <f aca="false">-(Waterfall!AP34+Waterfall!AP35)</f>
        <v>-0</v>
      </c>
      <c r="AQ44" s="13" t="n">
        <f aca="false">-(Waterfall!AQ34+Waterfall!AQ35)</f>
        <v>-0</v>
      </c>
      <c r="AR44" s="13" t="n">
        <f aca="false">-(Waterfall!AR34+Waterfall!AR35)</f>
        <v>-0</v>
      </c>
      <c r="AS44" s="13" t="n">
        <f aca="false">-(Waterfall!AS34+Waterfall!AS35)</f>
        <v>-0</v>
      </c>
      <c r="AT44" s="13" t="n">
        <f aca="false">-(Waterfall!AT34+Waterfall!AT35)</f>
        <v>-0</v>
      </c>
      <c r="AU44" s="13" t="n">
        <f aca="false">-(Waterfall!AU34+Waterfall!AU35)</f>
        <v>-0</v>
      </c>
      <c r="AV44" s="13" t="n">
        <f aca="false">-(Waterfall!AV34+Waterfall!AV35)</f>
        <v>-0</v>
      </c>
      <c r="AW44" s="13" t="n">
        <f aca="false">-(Waterfall!AW34+Waterfall!AW35)</f>
        <v>-0</v>
      </c>
      <c r="AX44" s="13" t="n">
        <f aca="false">-(Waterfall!AX34+Waterfall!AX35)</f>
        <v>-0</v>
      </c>
      <c r="AY44" s="13" t="n">
        <f aca="false">-(Waterfall!AY34+Waterfall!AY35)</f>
        <v>-0</v>
      </c>
      <c r="AZ44" s="13" t="n">
        <f aca="false">-(Waterfall!AZ34+Waterfall!AZ35)</f>
        <v>-0</v>
      </c>
      <c r="BA44" s="13" t="n">
        <f aca="false">-(Waterfall!BA34+Waterfall!BA35)</f>
        <v>-0</v>
      </c>
      <c r="BB44" s="13" t="n">
        <f aca="false">-(Waterfall!BB34+Waterfall!BB35)</f>
        <v>-0</v>
      </c>
      <c r="BC44" s="13" t="n">
        <f aca="false">-(Waterfall!BC34+Waterfall!BC35)</f>
        <v>-0</v>
      </c>
      <c r="BD44" s="13" t="n">
        <f aca="false">-(Waterfall!BD34+Waterfall!BD35)</f>
        <v>-0</v>
      </c>
      <c r="BE44" s="13" t="n">
        <f aca="false">-(Waterfall!BE34+Waterfall!BE35)</f>
        <v>-0</v>
      </c>
      <c r="BF44" s="13" t="n">
        <f aca="false">-(Waterfall!BF34+Waterfall!BF35)</f>
        <v>-0</v>
      </c>
      <c r="BG44" s="13" t="n">
        <f aca="false">-(Waterfall!BG34+Waterfall!BG35)</f>
        <v>-0</v>
      </c>
      <c r="BH44" s="13" t="n">
        <f aca="false">-(Waterfall!BH34+Waterfall!BH35)</f>
        <v>-0</v>
      </c>
      <c r="BI44" s="13" t="n">
        <f aca="false">-(Waterfall!BI34+Waterfall!BI35)</f>
        <v>-0</v>
      </c>
      <c r="BJ44" s="13" t="n">
        <f aca="false">-(Waterfall!BJ34+Waterfall!BJ35)</f>
        <v>-0</v>
      </c>
      <c r="BK44" s="13" t="n">
        <f aca="false">-(Waterfall!BK34+Waterfall!BK35)</f>
        <v>-0</v>
      </c>
      <c r="BL44" s="13" t="n">
        <f aca="false">-(Waterfall!BL34+Waterfall!BL35)</f>
        <v>-0</v>
      </c>
      <c r="BM44" s="13" t="n">
        <f aca="false">-(Waterfall!BM34+Waterfall!BM35)</f>
        <v>-0</v>
      </c>
      <c r="BN44" s="13" t="n">
        <f aca="false">-(Waterfall!BN34+Waterfall!BN35)</f>
        <v>-0</v>
      </c>
    </row>
    <row r="45" customFormat="false" ht="15" hidden="false" customHeight="false" outlineLevel="0" collapsed="false">
      <c r="D45" s="0" t="s">
        <v>1897</v>
      </c>
      <c r="E45" s="0" t="s">
        <v>151</v>
      </c>
      <c r="G45" s="13" t="n">
        <f aca="false">SUM(J45:BN45)</f>
        <v>-1216.16138978534</v>
      </c>
      <c r="J45" s="13" t="n">
        <f aca="false">-Waterfall!J41</f>
        <v>-0</v>
      </c>
      <c r="K45" s="13" t="n">
        <f aca="false">-Waterfall!K41</f>
        <v>-0</v>
      </c>
      <c r="L45" s="13" t="n">
        <f aca="false">-Waterfall!L41</f>
        <v>-0</v>
      </c>
      <c r="M45" s="13" t="n">
        <f aca="false">-Waterfall!M41</f>
        <v>-0</v>
      </c>
      <c r="N45" s="13" t="n">
        <f aca="false">-Waterfall!N41</f>
        <v>-0</v>
      </c>
      <c r="O45" s="13" t="n">
        <f aca="false">-Waterfall!O41</f>
        <v>-0</v>
      </c>
      <c r="P45" s="13" t="n">
        <f aca="false">-Waterfall!P41</f>
        <v>-0</v>
      </c>
      <c r="Q45" s="13" t="n">
        <f aca="false">-Waterfall!Q41</f>
        <v>-0</v>
      </c>
      <c r="R45" s="13" t="n">
        <f aca="false">-Waterfall!R41</f>
        <v>-0</v>
      </c>
      <c r="S45" s="13" t="n">
        <f aca="false">-Waterfall!S41</f>
        <v>-0</v>
      </c>
      <c r="T45" s="13" t="n">
        <f aca="false">-Waterfall!T41</f>
        <v>-0</v>
      </c>
      <c r="U45" s="13" t="n">
        <f aca="false">-Waterfall!U41</f>
        <v>-0</v>
      </c>
      <c r="V45" s="13" t="n">
        <f aca="false">-Waterfall!V41</f>
        <v>-0</v>
      </c>
      <c r="W45" s="13" t="n">
        <f aca="false">-Waterfall!W41</f>
        <v>-0</v>
      </c>
      <c r="X45" s="13" t="n">
        <f aca="false">-Waterfall!X41</f>
        <v>-0</v>
      </c>
      <c r="Y45" s="13" t="n">
        <f aca="false">-Waterfall!Y41</f>
        <v>-0</v>
      </c>
      <c r="Z45" s="13" t="n">
        <f aca="false">-Waterfall!Z41</f>
        <v>-0</v>
      </c>
      <c r="AA45" s="13" t="n">
        <f aca="false">-Waterfall!AA41</f>
        <v>-0</v>
      </c>
      <c r="AB45" s="13" t="n">
        <f aca="false">-Waterfall!AB41</f>
        <v>-0</v>
      </c>
      <c r="AC45" s="13" t="n">
        <f aca="false">-Waterfall!AC41</f>
        <v>-0</v>
      </c>
      <c r="AD45" s="13" t="n">
        <f aca="false">-Waterfall!AD41</f>
        <v>-0</v>
      </c>
      <c r="AE45" s="13" t="n">
        <f aca="false">-Waterfall!AE41</f>
        <v>-0</v>
      </c>
      <c r="AF45" s="13" t="n">
        <f aca="false">-Waterfall!AF41</f>
        <v>-0</v>
      </c>
      <c r="AG45" s="13" t="n">
        <f aca="false">-Waterfall!AG41</f>
        <v>-0</v>
      </c>
      <c r="AH45" s="13" t="n">
        <f aca="false">-Waterfall!AH41</f>
        <v>-0</v>
      </c>
      <c r="AI45" s="13" t="n">
        <f aca="false">-Waterfall!AI41</f>
        <v>-0</v>
      </c>
      <c r="AJ45" s="13" t="n">
        <f aca="false">-Waterfall!AJ41</f>
        <v>-0</v>
      </c>
      <c r="AK45" s="13" t="n">
        <f aca="false">-Waterfall!AK41</f>
        <v>-0</v>
      </c>
      <c r="AL45" s="13" t="n">
        <f aca="false">-Waterfall!AL41</f>
        <v>-21.1494730996995</v>
      </c>
      <c r="AM45" s="13" t="n">
        <f aca="false">-Waterfall!AM41</f>
        <v>-25.5955133173537</v>
      </c>
      <c r="AN45" s="13" t="n">
        <f aca="false">-Waterfall!AN41</f>
        <v>-23.4950465061836</v>
      </c>
      <c r="AO45" s="13" t="n">
        <f aca="false">-Waterfall!AO41</f>
        <v>-45.6650680456844</v>
      </c>
      <c r="AP45" s="13" t="n">
        <f aca="false">-Waterfall!AP41</f>
        <v>-45.9309430025086</v>
      </c>
      <c r="AQ45" s="13" t="n">
        <f aca="false">-Waterfall!AQ41</f>
        <v>-45.4691828745509</v>
      </c>
      <c r="AR45" s="13" t="n">
        <f aca="false">-Waterfall!AR41</f>
        <v>-46.4061291922982</v>
      </c>
      <c r="AS45" s="13" t="n">
        <f aca="false">-Waterfall!AS41</f>
        <v>-45.6689340901091</v>
      </c>
      <c r="AT45" s="13" t="n">
        <f aca="false">-Waterfall!AT41</f>
        <v>-51.4111792477814</v>
      </c>
      <c r="AU45" s="13" t="n">
        <f aca="false">-Waterfall!AU41</f>
        <v>-46.73008753358</v>
      </c>
      <c r="AV45" s="13" t="n">
        <f aca="false">-Waterfall!AV41</f>
        <v>-48.1801803921068</v>
      </c>
      <c r="AW45" s="13" t="n">
        <f aca="false">-Waterfall!AW41</f>
        <v>-48.2920442839554</v>
      </c>
      <c r="AX45" s="13" t="n">
        <f aca="false">-Waterfall!AX41</f>
        <v>-48.7844871932983</v>
      </c>
      <c r="AY45" s="13" t="n">
        <f aca="false">-Waterfall!AY41</f>
        <v>-48.3130428004442</v>
      </c>
      <c r="AZ45" s="13" t="n">
        <f aca="false">-Waterfall!AZ41</f>
        <v>-49.2872750067212</v>
      </c>
      <c r="BA45" s="13" t="n">
        <f aca="false">-Waterfall!BA41</f>
        <v>-48.2318534437979</v>
      </c>
      <c r="BB45" s="13" t="n">
        <f aca="false">-Waterfall!BB41</f>
        <v>-48.5677922796996</v>
      </c>
      <c r="BC45" s="13" t="n">
        <f aca="false">-Waterfall!BC41</f>
        <v>-45.1222678331512</v>
      </c>
      <c r="BD45" s="13" t="n">
        <f aca="false">-Waterfall!BD41</f>
        <v>-40.0519807784969</v>
      </c>
      <c r="BE45" s="13" t="n">
        <f aca="false">-Waterfall!BE41</f>
        <v>-39.9085964835915</v>
      </c>
      <c r="BF45" s="13" t="n">
        <f aca="false">-Waterfall!BF41</f>
        <v>-40.4098855657471</v>
      </c>
      <c r="BG45" s="13" t="n">
        <f aca="false">-Waterfall!BG41</f>
        <v>-39.9107969503162</v>
      </c>
      <c r="BH45" s="13" t="n">
        <f aca="false">-Waterfall!BH41</f>
        <v>-40.9081491575132</v>
      </c>
      <c r="BI45" s="13" t="n">
        <f aca="false">-Waterfall!BI41</f>
        <v>-40.1229446378997</v>
      </c>
      <c r="BJ45" s="13" t="n">
        <f aca="false">-Waterfall!BJ41</f>
        <v>-47.065773405743</v>
      </c>
      <c r="BK45" s="13" t="n">
        <f aca="false">-Waterfall!BK41</f>
        <v>-41.5368699793821</v>
      </c>
      <c r="BL45" s="13" t="n">
        <f aca="false">-Waterfall!BL41</f>
        <v>-43.7051553419889</v>
      </c>
      <c r="BM45" s="13" t="n">
        <f aca="false">-Waterfall!BM41</f>
        <v>-60.2407373417418</v>
      </c>
      <c r="BN45" s="13" t="n">
        <f aca="false">-Waterfall!BN41</f>
        <v>-0</v>
      </c>
    </row>
    <row r="46" customFormat="false" ht="15" hidden="false" customHeight="false" outlineLevel="0" collapsed="false">
      <c r="D46" s="0" t="s">
        <v>1935</v>
      </c>
      <c r="E46" s="0" t="s">
        <v>151</v>
      </c>
      <c r="G46" s="13" t="n">
        <f aca="false">SUM(J46:BN46)</f>
        <v>39.0832901643519</v>
      </c>
      <c r="J46" s="13" t="n">
        <f aca="false">Time!J34*SUM(Funding!$J$44:$BJ$44)</f>
        <v>0</v>
      </c>
      <c r="K46" s="13" t="n">
        <f aca="false">Time!K34*SUM(Funding!$J$44:$BJ$44)</f>
        <v>0</v>
      </c>
      <c r="L46" s="13" t="n">
        <f aca="false">Time!L34*SUM(Funding!$J$44:$BJ$44)</f>
        <v>0</v>
      </c>
      <c r="M46" s="13" t="n">
        <f aca="false">Time!M34*SUM(Funding!$J$44:$BJ$44)</f>
        <v>0</v>
      </c>
      <c r="N46" s="13" t="n">
        <f aca="false">Time!N34*SUM(Funding!$J$44:$BJ$44)</f>
        <v>0</v>
      </c>
      <c r="O46" s="13" t="n">
        <f aca="false">Time!O34*SUM(Funding!$J$44:$BJ$44)</f>
        <v>39.0832901643519</v>
      </c>
      <c r="P46" s="13" t="n">
        <f aca="false">Time!P34*SUM(Funding!$J$44:$BJ$44)</f>
        <v>0</v>
      </c>
      <c r="Q46" s="13" t="n">
        <f aca="false">Time!Q34*SUM(Funding!$J$44:$BJ$44)</f>
        <v>0</v>
      </c>
      <c r="R46" s="13" t="n">
        <f aca="false">Time!R34*SUM(Funding!$J$44:$BJ$44)</f>
        <v>0</v>
      </c>
      <c r="S46" s="13" t="n">
        <f aca="false">Time!S34*SUM(Funding!$J$44:$BJ$44)</f>
        <v>0</v>
      </c>
      <c r="T46" s="13" t="n">
        <f aca="false">Time!T34*SUM(Funding!$J$44:$BJ$44)</f>
        <v>0</v>
      </c>
      <c r="U46" s="13" t="n">
        <f aca="false">Time!U34*SUM(Funding!$J$44:$BJ$44)</f>
        <v>0</v>
      </c>
      <c r="V46" s="13" t="n">
        <f aca="false">Time!V34*SUM(Funding!$J$44:$BJ$44)</f>
        <v>0</v>
      </c>
      <c r="W46" s="13" t="n">
        <f aca="false">Time!W34*SUM(Funding!$J$44:$BJ$44)</f>
        <v>0</v>
      </c>
      <c r="X46" s="13" t="n">
        <f aca="false">Time!X34*SUM(Funding!$J$44:$BJ$44)</f>
        <v>0</v>
      </c>
      <c r="Y46" s="13" t="n">
        <f aca="false">Time!Y34*SUM(Funding!$J$44:$BJ$44)</f>
        <v>0</v>
      </c>
      <c r="Z46" s="13" t="n">
        <f aca="false">Time!Z34*SUM(Funding!$J$44:$BJ$44)</f>
        <v>0</v>
      </c>
      <c r="AA46" s="13" t="n">
        <f aca="false">Time!AA34*SUM(Funding!$J$44:$BJ$44)</f>
        <v>0</v>
      </c>
      <c r="AB46" s="13" t="n">
        <f aca="false">Time!AB34*SUM(Funding!$J$44:$BJ$44)</f>
        <v>0</v>
      </c>
      <c r="AC46" s="13" t="n">
        <f aca="false">Time!AC34*SUM(Funding!$J$44:$BJ$44)</f>
        <v>0</v>
      </c>
      <c r="AD46" s="13" t="n">
        <f aca="false">Time!AD34*SUM(Funding!$J$44:$BJ$44)</f>
        <v>0</v>
      </c>
      <c r="AE46" s="13" t="n">
        <f aca="false">Time!AE34*SUM(Funding!$J$44:$BJ$44)</f>
        <v>0</v>
      </c>
      <c r="AF46" s="13" t="n">
        <f aca="false">Time!AF34*SUM(Funding!$J$44:$BJ$44)</f>
        <v>0</v>
      </c>
      <c r="AG46" s="13" t="n">
        <f aca="false">Time!AG34*SUM(Funding!$J$44:$BJ$44)</f>
        <v>0</v>
      </c>
      <c r="AH46" s="13" t="n">
        <f aca="false">Time!AH34*SUM(Funding!$J$44:$BJ$44)</f>
        <v>0</v>
      </c>
      <c r="AI46" s="13" t="n">
        <f aca="false">Time!AI34*SUM(Funding!$J$44:$BJ$44)</f>
        <v>0</v>
      </c>
      <c r="AJ46" s="13" t="n">
        <f aca="false">Time!AJ34*SUM(Funding!$J$44:$BJ$44)</f>
        <v>0</v>
      </c>
      <c r="AK46" s="13" t="n">
        <f aca="false">Time!AK34*SUM(Funding!$J$44:$BJ$44)</f>
        <v>0</v>
      </c>
      <c r="AL46" s="13" t="n">
        <f aca="false">Time!AL34*SUM(Funding!$J$44:$BJ$44)</f>
        <v>0</v>
      </c>
      <c r="AM46" s="13" t="n">
        <f aca="false">Time!AM34*SUM(Funding!$J$44:$BJ$44)</f>
        <v>0</v>
      </c>
      <c r="AN46" s="13" t="n">
        <f aca="false">Time!AN34*SUM(Funding!$J$44:$BJ$44)</f>
        <v>0</v>
      </c>
      <c r="AO46" s="13" t="n">
        <f aca="false">Time!AO34*SUM(Funding!$J$44:$BJ$44)</f>
        <v>0</v>
      </c>
      <c r="AP46" s="13" t="n">
        <f aca="false">Time!AP34*SUM(Funding!$J$44:$BJ$44)</f>
        <v>0</v>
      </c>
      <c r="AQ46" s="13" t="n">
        <f aca="false">Time!AQ34*SUM(Funding!$J$44:$BJ$44)</f>
        <v>0</v>
      </c>
      <c r="AR46" s="13" t="n">
        <f aca="false">Time!AR34*SUM(Funding!$J$44:$BJ$44)</f>
        <v>0</v>
      </c>
      <c r="AS46" s="13" t="n">
        <f aca="false">Time!AS34*SUM(Funding!$J$44:$BJ$44)</f>
        <v>0</v>
      </c>
      <c r="AT46" s="13" t="n">
        <f aca="false">Time!AT34*SUM(Funding!$J$44:$BJ$44)</f>
        <v>0</v>
      </c>
      <c r="AU46" s="13" t="n">
        <f aca="false">Time!AU34*SUM(Funding!$J$44:$BJ$44)</f>
        <v>0</v>
      </c>
      <c r="AV46" s="13" t="n">
        <f aca="false">Time!AV34*SUM(Funding!$J$44:$BJ$44)</f>
        <v>0</v>
      </c>
      <c r="AW46" s="13" t="n">
        <f aca="false">Time!AW34*SUM(Funding!$J$44:$BJ$44)</f>
        <v>0</v>
      </c>
      <c r="AX46" s="13" t="n">
        <f aca="false">Time!AX34*SUM(Funding!$J$44:$BJ$44)</f>
        <v>0</v>
      </c>
      <c r="AY46" s="13" t="n">
        <f aca="false">Time!AY34*SUM(Funding!$J$44:$BJ$44)</f>
        <v>0</v>
      </c>
      <c r="AZ46" s="13" t="n">
        <f aca="false">Time!AZ34*SUM(Funding!$J$44:$BJ$44)</f>
        <v>0</v>
      </c>
      <c r="BA46" s="13" t="n">
        <f aca="false">Time!BA34*SUM(Funding!$J$44:$BJ$44)</f>
        <v>0</v>
      </c>
      <c r="BB46" s="13" t="n">
        <f aca="false">Time!BB34*SUM(Funding!$J$44:$BJ$44)</f>
        <v>0</v>
      </c>
      <c r="BC46" s="13" t="n">
        <f aca="false">Time!BC34*SUM(Funding!$J$44:$BJ$44)</f>
        <v>0</v>
      </c>
      <c r="BD46" s="13" t="n">
        <f aca="false">Time!BD34*SUM(Funding!$J$44:$BJ$44)</f>
        <v>0</v>
      </c>
      <c r="BE46" s="13" t="n">
        <f aca="false">Time!BE34*SUM(Funding!$J$44:$BJ$44)</f>
        <v>0</v>
      </c>
      <c r="BF46" s="13" t="n">
        <f aca="false">Time!BF34*SUM(Funding!$J$44:$BJ$44)</f>
        <v>0</v>
      </c>
      <c r="BG46" s="13" t="n">
        <f aca="false">Time!BG34*SUM(Funding!$J$44:$BJ$44)</f>
        <v>0</v>
      </c>
      <c r="BH46" s="13" t="n">
        <f aca="false">Time!BH34*SUM(Funding!$J$44:$BJ$44)</f>
        <v>0</v>
      </c>
      <c r="BI46" s="13" t="n">
        <f aca="false">Time!BI34*SUM(Funding!$J$44:$BJ$44)</f>
        <v>0</v>
      </c>
      <c r="BJ46" s="13" t="n">
        <f aca="false">Time!BJ34*SUM(Funding!$J$44:$BJ$44)</f>
        <v>0</v>
      </c>
      <c r="BK46" s="13" t="n">
        <f aca="false">Time!BK34*SUM(Funding!$J$44:$BJ$44)</f>
        <v>0</v>
      </c>
      <c r="BL46" s="13" t="n">
        <f aca="false">Time!BL34*SUM(Funding!$J$44:$BJ$44)</f>
        <v>0</v>
      </c>
      <c r="BM46" s="13" t="n">
        <f aca="false">Time!BM34*SUM(Funding!$J$44:$BJ$44)</f>
        <v>0</v>
      </c>
      <c r="BN46" s="13" t="n">
        <f aca="false">Time!BN34*SUM(Funding!$J$44:$BJ$44)</f>
        <v>0</v>
      </c>
    </row>
    <row r="47" customFormat="false" ht="15" hidden="false" customHeight="false" outlineLevel="0" collapsed="false">
      <c r="D47" s="0" t="s">
        <v>1936</v>
      </c>
      <c r="E47" s="0" t="s">
        <v>151</v>
      </c>
      <c r="G47" s="13" t="n">
        <f aca="false">SUM(J47:BN47)</f>
        <v>0</v>
      </c>
      <c r="J47" s="13" t="n">
        <f aca="false">SUMIFS(Funding!$J$52:$BJ$52,Construction!$J$12:$BJ$12,Time!J20)-SUMIFS(Funding!$J$53:$BJ$53,Construction!$J$12:$BJ$12,Time!J20)</f>
        <v>0</v>
      </c>
      <c r="K47" s="13" t="n">
        <f aca="false">SUMIFS(Funding!$J$52:$BJ$52,Construction!$J$12:$BJ$12,Time!K20)-SUMIFS(Funding!$J$53:$BJ$53,Construction!$J$12:$BJ$12,Time!K20)</f>
        <v>0</v>
      </c>
      <c r="L47" s="13" t="n">
        <f aca="false">SUMIFS(Funding!$J$52:$BJ$52,Construction!$J$12:$BJ$12,Time!L20)-SUMIFS(Funding!$J$53:$BJ$53,Construction!$J$12:$BJ$12,Time!L20)</f>
        <v>0</v>
      </c>
      <c r="M47" s="13" t="n">
        <f aca="false">SUMIFS(Funding!$J$52:$BJ$52,Construction!$J$12:$BJ$12,Time!M20)-SUMIFS(Funding!$J$53:$BJ$53,Construction!$J$12:$BJ$12,Time!M20)</f>
        <v>0</v>
      </c>
      <c r="N47" s="13" t="n">
        <f aca="false">SUMIFS(Funding!$J$52:$BJ$52,Construction!$J$12:$BJ$12,Time!N20)-SUMIFS(Funding!$J$53:$BJ$53,Construction!$J$12:$BJ$12,Time!N20)</f>
        <v>0</v>
      </c>
      <c r="O47" s="13" t="n">
        <f aca="false">SUMIFS(Funding!$J$52:$BJ$52,Construction!$J$12:$BJ$12,Time!O20)-SUMIFS(Funding!$J$53:$BJ$53,Construction!$J$12:$BJ$12,Time!O20)</f>
        <v>0</v>
      </c>
      <c r="P47" s="13" t="n">
        <f aca="false">SUMIFS(Funding!$J$52:$BJ$52,Construction!$J$12:$BJ$12,Time!P20)-SUMIFS(Funding!$J$53:$BJ$53,Construction!$J$12:$BJ$12,Time!P20)</f>
        <v>0</v>
      </c>
      <c r="Q47" s="13" t="n">
        <f aca="false">SUMIFS(Funding!$J$52:$BJ$52,Construction!$J$12:$BJ$12,Time!Q20)-SUMIFS(Funding!$J$53:$BJ$53,Construction!$J$12:$BJ$12,Time!Q20)</f>
        <v>0</v>
      </c>
      <c r="R47" s="13" t="n">
        <f aca="false">SUMIFS(Funding!$J$52:$BJ$52,Construction!$J$12:$BJ$12,Time!R20)-SUMIFS(Funding!$J$53:$BJ$53,Construction!$J$12:$BJ$12,Time!R20)</f>
        <v>0</v>
      </c>
      <c r="S47" s="13" t="n">
        <f aca="false">SUMIFS(Funding!$J$52:$BJ$52,Construction!$J$12:$BJ$12,Time!S20)-SUMIFS(Funding!$J$53:$BJ$53,Construction!$J$12:$BJ$12,Time!S20)</f>
        <v>0</v>
      </c>
      <c r="T47" s="13" t="n">
        <f aca="false">SUMIFS(Funding!$J$52:$BJ$52,Construction!$J$12:$BJ$12,Time!T20)-SUMIFS(Funding!$J$53:$BJ$53,Construction!$J$12:$BJ$12,Time!T20)</f>
        <v>0</v>
      </c>
      <c r="U47" s="13" t="n">
        <f aca="false">SUMIFS(Funding!$J$52:$BJ$52,Construction!$J$12:$BJ$12,Time!U20)-SUMIFS(Funding!$J$53:$BJ$53,Construction!$J$12:$BJ$12,Time!U20)</f>
        <v>0</v>
      </c>
      <c r="V47" s="13" t="n">
        <f aca="false">SUMIFS(Funding!$J$52:$BJ$52,Construction!$J$12:$BJ$12,Time!V20)-SUMIFS(Funding!$J$53:$BJ$53,Construction!$J$12:$BJ$12,Time!V20)</f>
        <v>0</v>
      </c>
      <c r="W47" s="13" t="n">
        <f aca="false">SUMIFS(Funding!$J$52:$BJ$52,Construction!$J$12:$BJ$12,Time!W20)-SUMIFS(Funding!$J$53:$BJ$53,Construction!$J$12:$BJ$12,Time!W20)</f>
        <v>0</v>
      </c>
      <c r="X47" s="13" t="n">
        <f aca="false">SUMIFS(Funding!$J$52:$BJ$52,Construction!$J$12:$BJ$12,Time!X20)-SUMIFS(Funding!$J$53:$BJ$53,Construction!$J$12:$BJ$12,Time!X20)</f>
        <v>0</v>
      </c>
      <c r="Y47" s="13" t="n">
        <f aca="false">SUMIFS(Funding!$J$52:$BJ$52,Construction!$J$12:$BJ$12,Time!Y20)-SUMIFS(Funding!$J$53:$BJ$53,Construction!$J$12:$BJ$12,Time!Y20)</f>
        <v>0</v>
      </c>
      <c r="Z47" s="13" t="n">
        <f aca="false">SUMIFS(Funding!$J$52:$BJ$52,Construction!$J$12:$BJ$12,Time!Z20)-SUMIFS(Funding!$J$53:$BJ$53,Construction!$J$12:$BJ$12,Time!Z20)</f>
        <v>0</v>
      </c>
      <c r="AA47" s="13" t="n">
        <f aca="false">SUMIFS(Funding!$J$52:$BJ$52,Construction!$J$12:$BJ$12,Time!AA20)-SUMIFS(Funding!$J$53:$BJ$53,Construction!$J$12:$BJ$12,Time!AA20)</f>
        <v>0</v>
      </c>
      <c r="AB47" s="13" t="n">
        <f aca="false">SUMIFS(Funding!$J$52:$BJ$52,Construction!$J$12:$BJ$12,Time!AB20)-SUMIFS(Funding!$J$53:$BJ$53,Construction!$J$12:$BJ$12,Time!AB20)</f>
        <v>0</v>
      </c>
      <c r="AC47" s="13" t="n">
        <f aca="false">SUMIFS(Funding!$J$52:$BJ$52,Construction!$J$12:$BJ$12,Time!AC20)-SUMIFS(Funding!$J$53:$BJ$53,Construction!$J$12:$BJ$12,Time!AC20)</f>
        <v>0</v>
      </c>
      <c r="AD47" s="13" t="n">
        <f aca="false">SUMIFS(Funding!$J$52:$BJ$52,Construction!$J$12:$BJ$12,Time!AD20)-SUMIFS(Funding!$J$53:$BJ$53,Construction!$J$12:$BJ$12,Time!AD20)</f>
        <v>0</v>
      </c>
      <c r="AE47" s="13" t="n">
        <f aca="false">SUMIFS(Funding!$J$52:$BJ$52,Construction!$J$12:$BJ$12,Time!AE20)-SUMIFS(Funding!$J$53:$BJ$53,Construction!$J$12:$BJ$12,Time!AE20)</f>
        <v>0</v>
      </c>
      <c r="AF47" s="13" t="n">
        <f aca="false">SUMIFS(Funding!$J$52:$BJ$52,Construction!$J$12:$BJ$12,Time!AF20)-SUMIFS(Funding!$J$53:$BJ$53,Construction!$J$12:$BJ$12,Time!AF20)</f>
        <v>0</v>
      </c>
      <c r="AG47" s="13" t="n">
        <f aca="false">SUMIFS(Funding!$J$52:$BJ$52,Construction!$J$12:$BJ$12,Time!AG20)-SUMIFS(Funding!$J$53:$BJ$53,Construction!$J$12:$BJ$12,Time!AG20)</f>
        <v>0</v>
      </c>
      <c r="AH47" s="13" t="n">
        <f aca="false">SUMIFS(Funding!$J$52:$BJ$52,Construction!$J$12:$BJ$12,Time!AH20)-SUMIFS(Funding!$J$53:$BJ$53,Construction!$J$12:$BJ$12,Time!AH20)</f>
        <v>0</v>
      </c>
      <c r="AI47" s="13" t="n">
        <f aca="false">SUMIFS(Funding!$J$52:$BJ$52,Construction!$J$12:$BJ$12,Time!AI20)-SUMIFS(Funding!$J$53:$BJ$53,Construction!$J$12:$BJ$12,Time!AI20)</f>
        <v>0</v>
      </c>
      <c r="AJ47" s="13" t="n">
        <f aca="false">SUMIFS(Funding!$J$52:$BJ$52,Construction!$J$12:$BJ$12,Time!AJ20)-SUMIFS(Funding!$J$53:$BJ$53,Construction!$J$12:$BJ$12,Time!AJ20)</f>
        <v>0</v>
      </c>
      <c r="AK47" s="13" t="n">
        <f aca="false">SUMIFS(Funding!$J$52:$BJ$52,Construction!$J$12:$BJ$12,Time!AK20)-SUMIFS(Funding!$J$53:$BJ$53,Construction!$J$12:$BJ$12,Time!AK20)</f>
        <v>0</v>
      </c>
      <c r="AL47" s="13" t="n">
        <f aca="false">SUMIFS(Funding!$J$52:$BJ$52,Construction!$J$12:$BJ$12,Time!AL20)-SUMIFS(Funding!$J$53:$BJ$53,Construction!$J$12:$BJ$12,Time!AL20)</f>
        <v>0</v>
      </c>
      <c r="AM47" s="13" t="n">
        <f aca="false">SUMIFS(Funding!$J$52:$BJ$52,Construction!$J$12:$BJ$12,Time!AM20)-SUMIFS(Funding!$J$53:$BJ$53,Construction!$J$12:$BJ$12,Time!AM20)</f>
        <v>0</v>
      </c>
      <c r="AN47" s="13" t="n">
        <f aca="false">SUMIFS(Funding!$J$52:$BJ$52,Construction!$J$12:$BJ$12,Time!AN20)-SUMIFS(Funding!$J$53:$BJ$53,Construction!$J$12:$BJ$12,Time!AN20)</f>
        <v>0</v>
      </c>
      <c r="AO47" s="13" t="n">
        <f aca="false">SUMIFS(Funding!$J$52:$BJ$52,Construction!$J$12:$BJ$12,Time!AO20)-SUMIFS(Funding!$J$53:$BJ$53,Construction!$J$12:$BJ$12,Time!AO20)</f>
        <v>0</v>
      </c>
      <c r="AP47" s="13" t="n">
        <f aca="false">SUMIFS(Funding!$J$52:$BJ$52,Construction!$J$12:$BJ$12,Time!AP20)-SUMIFS(Funding!$J$53:$BJ$53,Construction!$J$12:$BJ$12,Time!AP20)</f>
        <v>0</v>
      </c>
      <c r="AQ47" s="13" t="n">
        <f aca="false">SUMIFS(Funding!$J$52:$BJ$52,Construction!$J$12:$BJ$12,Time!AQ20)-SUMIFS(Funding!$J$53:$BJ$53,Construction!$J$12:$BJ$12,Time!AQ20)</f>
        <v>0</v>
      </c>
      <c r="AR47" s="13" t="n">
        <f aca="false">SUMIFS(Funding!$J$52:$BJ$52,Construction!$J$12:$BJ$12,Time!AR20)-SUMIFS(Funding!$J$53:$BJ$53,Construction!$J$12:$BJ$12,Time!AR20)</f>
        <v>0</v>
      </c>
      <c r="AS47" s="13" t="n">
        <f aca="false">SUMIFS(Funding!$J$52:$BJ$52,Construction!$J$12:$BJ$12,Time!AS20)-SUMIFS(Funding!$J$53:$BJ$53,Construction!$J$12:$BJ$12,Time!AS20)</f>
        <v>0</v>
      </c>
      <c r="AT47" s="13" t="n">
        <f aca="false">SUMIFS(Funding!$J$52:$BJ$52,Construction!$J$12:$BJ$12,Time!AT20)-SUMIFS(Funding!$J$53:$BJ$53,Construction!$J$12:$BJ$12,Time!AT20)</f>
        <v>0</v>
      </c>
      <c r="AU47" s="13" t="n">
        <f aca="false">SUMIFS(Funding!$J$52:$BJ$52,Construction!$J$12:$BJ$12,Time!AU20)-SUMIFS(Funding!$J$53:$BJ$53,Construction!$J$12:$BJ$12,Time!AU20)</f>
        <v>0</v>
      </c>
      <c r="AV47" s="13" t="n">
        <f aca="false">SUMIFS(Funding!$J$52:$BJ$52,Construction!$J$12:$BJ$12,Time!AV20)-SUMIFS(Funding!$J$53:$BJ$53,Construction!$J$12:$BJ$12,Time!AV20)</f>
        <v>0</v>
      </c>
      <c r="AW47" s="13" t="n">
        <f aca="false">SUMIFS(Funding!$J$52:$BJ$52,Construction!$J$12:$BJ$12,Time!AW20)-SUMIFS(Funding!$J$53:$BJ$53,Construction!$J$12:$BJ$12,Time!AW20)</f>
        <v>0</v>
      </c>
      <c r="AX47" s="13" t="n">
        <f aca="false">SUMIFS(Funding!$J$52:$BJ$52,Construction!$J$12:$BJ$12,Time!AX20)-SUMIFS(Funding!$J$53:$BJ$53,Construction!$J$12:$BJ$12,Time!AX20)</f>
        <v>0</v>
      </c>
      <c r="AY47" s="13" t="n">
        <f aca="false">SUMIFS(Funding!$J$52:$BJ$52,Construction!$J$12:$BJ$12,Time!AY20)-SUMIFS(Funding!$J$53:$BJ$53,Construction!$J$12:$BJ$12,Time!AY20)</f>
        <v>0</v>
      </c>
      <c r="AZ47" s="13" t="n">
        <f aca="false">SUMIFS(Funding!$J$52:$BJ$52,Construction!$J$12:$BJ$12,Time!AZ20)-SUMIFS(Funding!$J$53:$BJ$53,Construction!$J$12:$BJ$12,Time!AZ20)</f>
        <v>0</v>
      </c>
      <c r="BA47" s="13" t="n">
        <f aca="false">SUMIFS(Funding!$J$52:$BJ$52,Construction!$J$12:$BJ$12,Time!BA20)-SUMIFS(Funding!$J$53:$BJ$53,Construction!$J$12:$BJ$12,Time!BA20)</f>
        <v>0</v>
      </c>
      <c r="BB47" s="13" t="n">
        <f aca="false">SUMIFS(Funding!$J$52:$BJ$52,Construction!$J$12:$BJ$12,Time!BB20)-SUMIFS(Funding!$J$53:$BJ$53,Construction!$J$12:$BJ$12,Time!BB20)</f>
        <v>0</v>
      </c>
      <c r="BC47" s="13" t="n">
        <f aca="false">SUMIFS(Funding!$J$52:$BJ$52,Construction!$J$12:$BJ$12,Time!BC20)-SUMIFS(Funding!$J$53:$BJ$53,Construction!$J$12:$BJ$12,Time!BC20)</f>
        <v>0</v>
      </c>
      <c r="BD47" s="13" t="n">
        <f aca="false">SUMIFS(Funding!$J$52:$BJ$52,Construction!$J$12:$BJ$12,Time!BD20)-SUMIFS(Funding!$J$53:$BJ$53,Construction!$J$12:$BJ$12,Time!BD20)</f>
        <v>0</v>
      </c>
      <c r="BE47" s="13" t="n">
        <f aca="false">SUMIFS(Funding!$J$52:$BJ$52,Construction!$J$12:$BJ$12,Time!BE20)-SUMIFS(Funding!$J$53:$BJ$53,Construction!$J$12:$BJ$12,Time!BE20)</f>
        <v>0</v>
      </c>
      <c r="BF47" s="13" t="n">
        <f aca="false">SUMIFS(Funding!$J$52:$BJ$52,Construction!$J$12:$BJ$12,Time!BF20)-SUMIFS(Funding!$J$53:$BJ$53,Construction!$J$12:$BJ$12,Time!BF20)</f>
        <v>0</v>
      </c>
      <c r="BG47" s="13" t="n">
        <f aca="false">SUMIFS(Funding!$J$52:$BJ$52,Construction!$J$12:$BJ$12,Time!BG20)-SUMIFS(Funding!$J$53:$BJ$53,Construction!$J$12:$BJ$12,Time!BG20)</f>
        <v>0</v>
      </c>
      <c r="BH47" s="13" t="n">
        <f aca="false">SUMIFS(Funding!$J$52:$BJ$52,Construction!$J$12:$BJ$12,Time!BH20)-SUMIFS(Funding!$J$53:$BJ$53,Construction!$J$12:$BJ$12,Time!BH20)</f>
        <v>0</v>
      </c>
      <c r="BI47" s="13" t="n">
        <f aca="false">SUMIFS(Funding!$J$52:$BJ$52,Construction!$J$12:$BJ$12,Time!BI20)-SUMIFS(Funding!$J$53:$BJ$53,Construction!$J$12:$BJ$12,Time!BI20)</f>
        <v>0</v>
      </c>
      <c r="BJ47" s="13" t="n">
        <f aca="false">SUMIFS(Funding!$J$52:$BJ$52,Construction!$J$12:$BJ$12,Time!BJ20)-SUMIFS(Funding!$J$53:$BJ$53,Construction!$J$12:$BJ$12,Time!BJ20)</f>
        <v>0</v>
      </c>
      <c r="BK47" s="13" t="n">
        <f aca="false">SUMIFS(Funding!$J$52:$BJ$52,Construction!$J$12:$BJ$12,Time!BK20)-SUMIFS(Funding!$J$53:$BJ$53,Construction!$J$12:$BJ$12,Time!BK20)</f>
        <v>0</v>
      </c>
      <c r="BL47" s="13" t="n">
        <f aca="false">SUMIFS(Funding!$J$52:$BJ$52,Construction!$J$12:$BJ$12,Time!BL20)-SUMIFS(Funding!$J$53:$BJ$53,Construction!$J$12:$BJ$12,Time!BL20)</f>
        <v>0</v>
      </c>
      <c r="BM47" s="13" t="n">
        <f aca="false">SUMIFS(Funding!$J$52:$BJ$52,Construction!$J$12:$BJ$12,Time!BM20)-SUMIFS(Funding!$J$53:$BJ$53,Construction!$J$12:$BJ$12,Time!BM20)</f>
        <v>0</v>
      </c>
      <c r="BN47" s="13" t="n">
        <f aca="false">SUMIFS(Funding!$J$52:$BJ$52,Construction!$J$12:$BJ$12,Time!BN20)-SUMIFS(Funding!$J$53:$BJ$53,Construction!$J$12:$BJ$12,Time!BN20)</f>
        <v>0</v>
      </c>
    </row>
    <row r="48" customFormat="false" ht="15" hidden="false" customHeight="false" outlineLevel="0" collapsed="false">
      <c r="D48" s="0" t="s">
        <v>1937</v>
      </c>
      <c r="E48" s="0" t="s">
        <v>151</v>
      </c>
      <c r="G48" s="13" t="n">
        <f aca="false">SUM(J48:BN48)</f>
        <v>0</v>
      </c>
      <c r="J48" s="13" t="n">
        <f aca="false">Reserves!J7-Operations!J79</f>
        <v>0</v>
      </c>
      <c r="K48" s="13" t="n">
        <f aca="false">Reserves!K7-Operations!K79</f>
        <v>0</v>
      </c>
      <c r="L48" s="13" t="n">
        <f aca="false">Reserves!L7-Operations!L79</f>
        <v>0</v>
      </c>
      <c r="M48" s="13" t="n">
        <f aca="false">Reserves!M7-Operations!M79</f>
        <v>0</v>
      </c>
      <c r="N48" s="13" t="n">
        <f aca="false">Reserves!N7-Operations!N79</f>
        <v>0</v>
      </c>
      <c r="O48" s="13" t="n">
        <f aca="false">Reserves!O7-Operations!O79</f>
        <v>0</v>
      </c>
      <c r="P48" s="13" t="n">
        <f aca="false">Reserves!P7-Operations!P79</f>
        <v>0.41626830245486</v>
      </c>
      <c r="Q48" s="13" t="n">
        <f aca="false">Reserves!Q7-Operations!Q79</f>
        <v>0.41626830245486</v>
      </c>
      <c r="R48" s="13" t="n">
        <f aca="false">Reserves!R7-Operations!R79</f>
        <v>0.41626830245486</v>
      </c>
      <c r="S48" s="13" t="n">
        <f aca="false">Reserves!S7-Operations!S79</f>
        <v>0.41626830245486</v>
      </c>
      <c r="T48" s="13" t="n">
        <f aca="false">Reserves!T7-Operations!T79</f>
        <v>0.41626830245486</v>
      </c>
      <c r="U48" s="13" t="n">
        <f aca="false">Reserves!U7-Operations!U79</f>
        <v>0.41626830245486</v>
      </c>
      <c r="V48" s="13" t="n">
        <f aca="false">Reserves!V7-Operations!V79</f>
        <v>-2.49760981472916</v>
      </c>
      <c r="W48" s="13" t="n">
        <f aca="false">Reserves!W7-Operations!W79</f>
        <v>0</v>
      </c>
      <c r="X48" s="13" t="n">
        <f aca="false">Reserves!X7-Operations!X79</f>
        <v>1.97274254363346</v>
      </c>
      <c r="Y48" s="13" t="n">
        <f aca="false">Reserves!Y7-Operations!Y79</f>
        <v>1.97274254363346</v>
      </c>
      <c r="Z48" s="13" t="n">
        <f aca="false">Reserves!Z7-Operations!Z79</f>
        <v>1.97274254363346</v>
      </c>
      <c r="AA48" s="13" t="n">
        <f aca="false">Reserves!AA7-Operations!AA79</f>
        <v>1.97274254363346</v>
      </c>
      <c r="AB48" s="13" t="n">
        <f aca="false">Reserves!AB7-Operations!AB79</f>
        <v>1.97274254363346</v>
      </c>
      <c r="AC48" s="13" t="n">
        <f aca="false">Reserves!AC7-Operations!AC79</f>
        <v>1.97274254363346</v>
      </c>
      <c r="AD48" s="13" t="n">
        <f aca="false">Reserves!AD7-Operations!AD79</f>
        <v>-11.8364552618008</v>
      </c>
      <c r="AE48" s="13" t="n">
        <f aca="false">Reserves!AE7-Operations!AE79</f>
        <v>0</v>
      </c>
      <c r="AF48" s="13" t="n">
        <f aca="false">Reserves!AF7-Operations!AF79</f>
        <v>0.495427954915913</v>
      </c>
      <c r="AG48" s="13" t="n">
        <f aca="false">Reserves!AG7-Operations!AG79</f>
        <v>0.495427954915913</v>
      </c>
      <c r="AH48" s="13" t="n">
        <f aca="false">Reserves!AH7-Operations!AH79</f>
        <v>0.495427954915913</v>
      </c>
      <c r="AI48" s="13" t="n">
        <f aca="false">Reserves!AI7-Operations!AI79</f>
        <v>0.495427954915913</v>
      </c>
      <c r="AJ48" s="13" t="n">
        <f aca="false">Reserves!AJ7-Operations!AJ79</f>
        <v>0.495427954915913</v>
      </c>
      <c r="AK48" s="13" t="n">
        <f aca="false">Reserves!AK7-Operations!AK79</f>
        <v>0.495427954915913</v>
      </c>
      <c r="AL48" s="13" t="n">
        <f aca="false">Reserves!AL7-Operations!AL79</f>
        <v>-2.97256772949548</v>
      </c>
      <c r="AM48" s="13" t="n">
        <f aca="false">Reserves!AM7-Operations!AM79</f>
        <v>0</v>
      </c>
      <c r="AN48" s="13" t="n">
        <f aca="false">Reserves!AN7-Operations!AN79</f>
        <v>2.34788908548694</v>
      </c>
      <c r="AO48" s="13" t="n">
        <f aca="false">Reserves!AO7-Operations!AO79</f>
        <v>2.34788908548694</v>
      </c>
      <c r="AP48" s="13" t="n">
        <f aca="false">Reserves!AP7-Operations!AP79</f>
        <v>2.34788908548694</v>
      </c>
      <c r="AQ48" s="13" t="n">
        <f aca="false">Reserves!AQ7-Operations!AQ79</f>
        <v>2.34788908548694</v>
      </c>
      <c r="AR48" s="13" t="n">
        <f aca="false">Reserves!AR7-Operations!AR79</f>
        <v>2.34788908548694</v>
      </c>
      <c r="AS48" s="13" t="n">
        <f aca="false">Reserves!AS7-Operations!AS79</f>
        <v>2.34788908548694</v>
      </c>
      <c r="AT48" s="13" t="n">
        <f aca="false">Reserves!AT7-Operations!AT79</f>
        <v>-14.0873345129217</v>
      </c>
      <c r="AU48" s="13" t="n">
        <f aca="false">Reserves!AU7-Operations!AU79</f>
        <v>0</v>
      </c>
      <c r="AV48" s="13" t="n">
        <f aca="false">Reserves!AV7-Operations!AV79</f>
        <v>0.589641000923391</v>
      </c>
      <c r="AW48" s="13" t="n">
        <f aca="false">Reserves!AW7-Operations!AW79</f>
        <v>0.589641000923391</v>
      </c>
      <c r="AX48" s="13" t="n">
        <f aca="false">Reserves!AX7-Operations!AX79</f>
        <v>0.589641000923391</v>
      </c>
      <c r="AY48" s="13" t="n">
        <f aca="false">Reserves!AY7-Operations!AY79</f>
        <v>0.589641000923391</v>
      </c>
      <c r="AZ48" s="13" t="n">
        <f aca="false">Reserves!AZ7-Operations!AZ79</f>
        <v>0.589641000923391</v>
      </c>
      <c r="BA48" s="13" t="n">
        <f aca="false">Reserves!BA7-Operations!BA79</f>
        <v>0.589641000923391</v>
      </c>
      <c r="BB48" s="13" t="n">
        <f aca="false">Reserves!BB7-Operations!BB79</f>
        <v>-3.53784600554035</v>
      </c>
      <c r="BC48" s="13" t="n">
        <f aca="false">Reserves!BC7-Operations!BC79</f>
        <v>0</v>
      </c>
      <c r="BD48" s="13" t="n">
        <f aca="false">Reserves!BD7-Operations!BD79</f>
        <v>2.79437536111299</v>
      </c>
      <c r="BE48" s="13" t="n">
        <f aca="false">Reserves!BE7-Operations!BE79</f>
        <v>2.79437536111299</v>
      </c>
      <c r="BF48" s="13" t="n">
        <f aca="false">Reserves!BF7-Operations!BF79</f>
        <v>2.79437536111299</v>
      </c>
      <c r="BG48" s="13" t="n">
        <f aca="false">Reserves!BG7-Operations!BG79</f>
        <v>2.79437536111299</v>
      </c>
      <c r="BH48" s="13" t="n">
        <f aca="false">Reserves!BH7-Operations!BH79</f>
        <v>2.79437536111299</v>
      </c>
      <c r="BI48" s="13" t="n">
        <f aca="false">Reserves!BI7-Operations!BI79</f>
        <v>2.79437536111299</v>
      </c>
      <c r="BJ48" s="13" t="n">
        <f aca="false">Reserves!BJ7-Operations!BJ79</f>
        <v>-16.7662521666779</v>
      </c>
      <c r="BK48" s="13" t="n">
        <f aca="false">Reserves!BK7-Operations!BK79</f>
        <v>0</v>
      </c>
      <c r="BL48" s="13" t="n">
        <f aca="false">Reserves!BL7-Operations!BL79</f>
        <v>0</v>
      </c>
      <c r="BM48" s="13" t="n">
        <f aca="false">Reserves!BM7-Operations!BM79</f>
        <v>0</v>
      </c>
      <c r="BN48" s="13" t="n">
        <f aca="false">Reserves!BN7-Operations!BN79</f>
        <v>0</v>
      </c>
    </row>
    <row r="49" customFormat="false" ht="15" hidden="false" customHeight="false" outlineLevel="0" collapsed="false">
      <c r="D49" s="0" t="s">
        <v>1938</v>
      </c>
      <c r="E49" s="0" t="s">
        <v>151</v>
      </c>
      <c r="G49" s="13" t="n">
        <f aca="false">SUM(J49:BN49)</f>
        <v>0</v>
      </c>
      <c r="J49" s="13" t="n">
        <f aca="false">J36+J37+J38+J39+J40+J41+J42+J43+J44+J45+J46+J47+J48</f>
        <v>0</v>
      </c>
      <c r="K49" s="13" t="n">
        <f aca="false">K36+K37+K38+K39+K40+K41+K42+K43+K44+K45+K46+K47+K48</f>
        <v>0</v>
      </c>
      <c r="L49" s="13" t="n">
        <f aca="false">L36+L37+L38+L39+L40+L41+L42+L43+L44+L45+L46+L47+L48</f>
        <v>0</v>
      </c>
      <c r="M49" s="13" t="n">
        <f aca="false">M36+M37+M38+M39+M40+M41+M42+M43+M44+M45+M46+M47+M48</f>
        <v>0</v>
      </c>
      <c r="N49" s="13" t="n">
        <f aca="false">N36+N37+N38+N39+N40+N41+N42+N43+N44+N45+N46+N47+N48</f>
        <v>0</v>
      </c>
      <c r="O49" s="13" t="n">
        <f aca="false">O36+O37+O38+O39+O40+O41+O42+O43+O44+O45+O46+O47+O48</f>
        <v>41.6029879342605</v>
      </c>
      <c r="P49" s="13" t="n">
        <f aca="false">P36+P37+P38+P39+P40+P41+P42+P43+P44+P45+P46+P47+P48</f>
        <v>-2.28418319433124</v>
      </c>
      <c r="Q49" s="13" t="n">
        <f aca="false">Q36+Q37+Q38+Q39+Q40+Q41+Q42+Q43+Q44+Q45+Q46+Q47+Q48</f>
        <v>0.662190313042437</v>
      </c>
      <c r="R49" s="13" t="n">
        <f aca="false">R36+R37+R38+R39+R40+R41+R42+R43+R44+R45+R46+R47+R48</f>
        <v>0.180841823651186</v>
      </c>
      <c r="S49" s="13" t="n">
        <f aca="false">S36+S37+S38+S39+S40+S41+S42+S43+S44+S45+S46+S47+S48</f>
        <v>1.11819512962079</v>
      </c>
      <c r="T49" s="13" t="n">
        <f aca="false">T36+T37+T38+T39+T40+T41+T42+T43+T44+T45+T46+T47+T48</f>
        <v>-0.0636451455748102</v>
      </c>
      <c r="U49" s="13" t="n">
        <f aca="false">U36+U37+U38+U39+U40+U41+U42+U43+U44+U45+U46+U47+U48</f>
        <v>0.233102456536791</v>
      </c>
      <c r="V49" s="13" t="n">
        <f aca="false">V36+V37+V38+V39+V40+V41+V42+V43+V44+V45+V46+V47+V48</f>
        <v>-2.6021820074657</v>
      </c>
      <c r="W49" s="13" t="n">
        <f aca="false">W36+W37+W38+W39+W40+W41+W42+W43+W44+W45+W46+W47+W48</f>
        <v>-0.0792993990027568</v>
      </c>
      <c r="X49" s="13" t="n">
        <f aca="false">X36+X37+X38+X39+X40+X41+X42+X43+X44+X45+X46+X47+X48</f>
        <v>1.86870181928053</v>
      </c>
      <c r="Y49" s="13" t="n">
        <f aca="false">Y36+Y37+Y38+Y39+Y40+Y41+Y42+Y43+Y44+Y45+Y46+Y47+Y48</f>
        <v>2.22357243906856</v>
      </c>
      <c r="Z49" s="13" t="n">
        <f aca="false">Z36+Z37+Z38+Z39+Z40+Z41+Z42+Z43+Z44+Z45+Z46+Z47+Z48</f>
        <v>1.73545402082659</v>
      </c>
      <c r="AA49" s="13" t="n">
        <f aca="false">AA36+AA37+AA38+AA39+AA40+AA41+AA42+AA43+AA44+AA45+AA46+AA47+AA48</f>
        <v>2.69993046118761</v>
      </c>
      <c r="AB49" s="13" t="n">
        <f aca="false">AB36+AB37+AB38+AB39+AB40+AB41+AB42+AB43+AB44+AB45+AB46+AB47+AB48</f>
        <v>0.528326127066061</v>
      </c>
      <c r="AC49" s="13" t="n">
        <f aca="false">AC36+AC37+AC38+AC39+AC40+AC41+AC42+AC43+AC44+AC45+AC46+AC47+AC48</f>
        <v>1.38039233970341</v>
      </c>
      <c r="AD49" s="13" t="n">
        <f aca="false">AD36+AD37+AD38+AD39+AD40+AD41+AD42+AD43+AD44+AD45+AD46+AD47+AD48</f>
        <v>-12.8736159791275</v>
      </c>
      <c r="AE49" s="13" t="n">
        <f aca="false">AE36+AE37+AE38+AE39+AE40+AE41+AE42+AE43+AE44+AE45+AE46+AE47+AE48</f>
        <v>0.155535352896898</v>
      </c>
      <c r="AF49" s="13" t="n">
        <f aca="false">AF36+AF37+AF38+AF39+AF40+AF41+AF42+AF43+AF44+AF45+AF46+AF47+AF48</f>
        <v>-0.681640573966054</v>
      </c>
      <c r="AG49" s="13" t="n">
        <f aca="false">AG36+AG37+AG38+AG39+AG40+AG41+AG42+AG43+AG44+AG45+AG46+AG47+AG48</f>
        <v>-0.411849087003657</v>
      </c>
      <c r="AH49" s="13" t="n">
        <f aca="false">AH36+AH37+AH38+AH39+AH40+AH41+AH42+AH43+AH44+AH45+AH46+AH47+AH48</f>
        <v>-0.991753650014634</v>
      </c>
      <c r="AI49" s="13" t="n">
        <f aca="false">AI36+AI37+AI38+AI39+AI40+AI41+AI42+AI43+AI44+AI45+AI46+AI47+AI48</f>
        <v>-0.526878395021602</v>
      </c>
      <c r="AJ49" s="13" t="n">
        <f aca="false">AJ36+AJ37+AJ38+AJ39+AJ40+AJ41+AJ42+AJ43+AJ44+AJ45+AJ46+AJ47+AJ48</f>
        <v>-1.70426411682155</v>
      </c>
      <c r="AK49" s="13" t="n">
        <f aca="false">AK36+AK37+AK38+AK39+AK40+AK41+AK42+AK43+AK44+AK45+AK46+AK47+AK48</f>
        <v>-2.07670932772292</v>
      </c>
      <c r="AL49" s="13" t="n">
        <f aca="false">AL36+AL37+AL38+AL39+AL40+AL41+AL42+AL43+AL44+AL45+AL46+AL47+AL48</f>
        <v>-6.37440668479407</v>
      </c>
      <c r="AM49" s="13" t="n">
        <f aca="false">AM36+AM37+AM38+AM39+AM40+AM41+AM42+AM43+AM44+AM45+AM46+AM47+AM48</f>
        <v>-1.18475369081798</v>
      </c>
      <c r="AN49" s="13" t="n">
        <f aca="false">AN36+AN37+AN38+AN39+AN40+AN41+AN42+AN43+AN44+AN45+AN46+AN47+AN48</f>
        <v>2.31738053334099</v>
      </c>
      <c r="AO49" s="13" t="n">
        <f aca="false">AO36+AO37+AO38+AO39+AO40+AO41+AO42+AO43+AO44+AO45+AO46+AO47+AO48</f>
        <v>-20.155651327844</v>
      </c>
      <c r="AP49" s="13" t="n">
        <f aca="false">AP36+AP37+AP38+AP39+AP40+AP41+AP42+AP43+AP44+AP45+AP46+AP47+AP48</f>
        <v>2.34788908548694</v>
      </c>
      <c r="AQ49" s="13" t="n">
        <f aca="false">AQ36+AQ37+AQ38+AQ39+AQ40+AQ41+AQ42+AQ43+AQ44+AQ45+AQ46+AQ47+AQ48</f>
        <v>2.34788908548694</v>
      </c>
      <c r="AR49" s="13" t="n">
        <f aca="false">AR36+AR37+AR38+AR39+AR40+AR41+AR42+AR43+AR44+AR45+AR46+AR47+AR48</f>
        <v>2.34788908548694</v>
      </c>
      <c r="AS49" s="13" t="n">
        <f aca="false">AS36+AS37+AS38+AS39+AS40+AS41+AS42+AS43+AS44+AS45+AS46+AS47+AS48</f>
        <v>2.34788908548694</v>
      </c>
      <c r="AT49" s="13" t="n">
        <f aca="false">AT36+AT37+AT38+AT39+AT40+AT41+AT42+AT43+AT44+AT45+AT46+AT47+AT48</f>
        <v>-14.0873345129217</v>
      </c>
      <c r="AU49" s="13" t="n">
        <f aca="false">AU36+AU37+AU38+AU39+AU40+AU41+AU42+AU43+AU44+AU45+AU46+AU47+AU48</f>
        <v>0</v>
      </c>
      <c r="AV49" s="13" t="n">
        <f aca="false">AV36+AV37+AV38+AV39+AV40+AV41+AV42+AV43+AV44+AV45+AV46+AV47+AV48</f>
        <v>0.589641000923391</v>
      </c>
      <c r="AW49" s="13" t="n">
        <f aca="false">AW36+AW37+AW38+AW39+AW40+AW41+AW42+AW43+AW44+AW45+AW46+AW47+AW48</f>
        <v>0.589641000923391</v>
      </c>
      <c r="AX49" s="13" t="n">
        <f aca="false">AX36+AX37+AX38+AX39+AX40+AX41+AX42+AX43+AX44+AX45+AX46+AX47+AX48</f>
        <v>0.589641000923391</v>
      </c>
      <c r="AY49" s="13" t="n">
        <f aca="false">AY36+AY37+AY38+AY39+AY40+AY41+AY42+AY43+AY44+AY45+AY46+AY47+AY48</f>
        <v>0.589641000923391</v>
      </c>
      <c r="AZ49" s="13" t="n">
        <f aca="false">AZ36+AZ37+AZ38+AZ39+AZ40+AZ41+AZ42+AZ43+AZ44+AZ45+AZ46+AZ47+AZ48</f>
        <v>0.589641000923391</v>
      </c>
      <c r="BA49" s="13" t="n">
        <f aca="false">BA36+BA37+BA38+BA39+BA40+BA41+BA42+BA43+BA44+BA45+BA46+BA47+BA48</f>
        <v>1.08460938753208</v>
      </c>
      <c r="BB49" s="13" t="n">
        <f aca="false">BB36+BB37+BB38+BB39+BB40+BB41+BB42+BB43+BB44+BB45+BB46+BB47+BB48</f>
        <v>-2.03669575089593</v>
      </c>
      <c r="BC49" s="13" t="n">
        <f aca="false">BC36+BC37+BC38+BC39+BC40+BC41+BC42+BC43+BC44+BC45+BC46+BC47+BC48</f>
        <v>1.51757307334223</v>
      </c>
      <c r="BD49" s="13" t="n">
        <f aca="false">BD36+BD37+BD38+BD39+BD40+BD41+BD42+BD43+BD44+BD45+BD46+BD47+BD48</f>
        <v>4.32855092135958</v>
      </c>
      <c r="BE49" s="13" t="n">
        <f aca="false">BE36+BE37+BE38+BE39+BE40+BE41+BE42+BE43+BE44+BE45+BE46+BE47+BE48</f>
        <v>4.34533504206875</v>
      </c>
      <c r="BF49" s="13" t="n">
        <f aca="false">BF36+BF37+BF38+BF39+BF40+BF41+BF42+BF43+BF44+BF45+BF46+BF47+BF48</f>
        <v>4.362302783685</v>
      </c>
      <c r="BG49" s="13" t="n">
        <f aca="false">BG36+BG37+BG38+BG39+BG40+BG41+BG42+BG43+BG44+BG45+BG46+BG47+BG48</f>
        <v>4.37945615504978</v>
      </c>
      <c r="BH49" s="13" t="n">
        <f aca="false">BH36+BH37+BH38+BH39+BH40+BH41+BH42+BH43+BH44+BH45+BH46+BH47+BH48</f>
        <v>4.39679718698159</v>
      </c>
      <c r="BI49" s="13" t="n">
        <f aca="false">BI36+BI37+BI38+BI39+BI40+BI41+BI42+BI43+BI44+BI45+BI46+BI47+BI48</f>
        <v>4.41432793251639</v>
      </c>
      <c r="BJ49" s="13" t="n">
        <f aca="false">BJ36+BJ37+BJ38+BJ39+BJ40+BJ41+BJ42+BJ43+BJ44+BJ45+BJ46+BJ47+BJ48</f>
        <v>-15.1285770606402</v>
      </c>
      <c r="BK49" s="13" t="n">
        <f aca="false">BK36+BK37+BK38+BK39+BK40+BK41+BK42+BK43+BK44+BK45+BK46+BK47+BK48</f>
        <v>1.65559152797427</v>
      </c>
      <c r="BL49" s="13" t="n">
        <f aca="false">BL36+BL37+BL38+BL39+BL40+BL41+BL42+BL43+BL44+BL45+BL46+BL47+BL48</f>
        <v>1.67370395837054</v>
      </c>
      <c r="BM49" s="13" t="n">
        <f aca="false">BM36+BM37+BM38+BM39+BM40+BM41+BM42+BM43+BM44+BM45+BM46+BM47+BM48</f>
        <v>-17.941180161961</v>
      </c>
      <c r="BN49" s="13" t="n">
        <f aca="false">BN36+BN37+BN38+BN39+BN40+BN41+BN42+BN43+BN44+BN45+BN46+BN47+BN48</f>
        <v>0</v>
      </c>
    </row>
    <row r="50" customFormat="false" ht="15" hidden="false" customHeight="false" outlineLevel="0" collapsed="false">
      <c r="D50" s="0" t="s">
        <v>1939</v>
      </c>
      <c r="E50" s="0" t="s">
        <v>151</v>
      </c>
      <c r="G50" s="13" t="n">
        <f aca="false">SUM(J50:BN50)</f>
        <v>-39.0832901643519</v>
      </c>
      <c r="J50" s="13" t="n">
        <f aca="false">Reserves!J11-Reserves!J10-Reserves!J12</f>
        <v>0</v>
      </c>
      <c r="K50" s="13" t="n">
        <f aca="false">Reserves!K11-Reserves!K10-Reserves!K12</f>
        <v>0</v>
      </c>
      <c r="L50" s="13" t="n">
        <f aca="false">Reserves!L11-Reserves!L10-Reserves!L12</f>
        <v>0</v>
      </c>
      <c r="M50" s="13" t="n">
        <f aca="false">Reserves!M11-Reserves!M10-Reserves!M12</f>
        <v>0</v>
      </c>
      <c r="N50" s="13" t="n">
        <f aca="false">Reserves!N11-Reserves!N10-Reserves!N12</f>
        <v>0</v>
      </c>
      <c r="O50" s="13" t="n">
        <f aca="false">Reserves!O11-Reserves!O10-Reserves!O12</f>
        <v>-1.86872739504906E-012</v>
      </c>
      <c r="P50" s="13" t="n">
        <f aca="false">Reserves!P11-Reserves!P10-Reserves!P12</f>
        <v>-0.180753726875643</v>
      </c>
      <c r="Q50" s="13" t="n">
        <f aca="false">Reserves!Q11-Reserves!Q10-Reserves!Q12</f>
        <v>0.245922010587577</v>
      </c>
      <c r="R50" s="13" t="n">
        <f aca="false">Reserves!R11-Reserves!R10-Reserves!R12</f>
        <v>-0.235426478803674</v>
      </c>
      <c r="S50" s="13" t="n">
        <f aca="false">Reserves!S11-Reserves!S10-Reserves!S12</f>
        <v>0.701926827165927</v>
      </c>
      <c r="T50" s="13" t="n">
        <f aca="false">Reserves!T11-Reserves!T10-Reserves!T12</f>
        <v>-0.47991344802967</v>
      </c>
      <c r="U50" s="13" t="n">
        <f aca="false">Reserves!U11-Reserves!U10-Reserves!U12</f>
        <v>-0.183165845918069</v>
      </c>
      <c r="V50" s="13" t="n">
        <f aca="false">Reserves!V11-Reserves!V10-Reserves!V12</f>
        <v>-0.104572192736541</v>
      </c>
      <c r="W50" s="13" t="n">
        <f aca="false">Reserves!W11-Reserves!W10-Reserves!W12</f>
        <v>-0.0792993990027568</v>
      </c>
      <c r="X50" s="13" t="n">
        <f aca="false">Reserves!X11-Reserves!X10-Reserves!X12</f>
        <v>-0.104040724352934</v>
      </c>
      <c r="Y50" s="13" t="n">
        <f aca="false">Reserves!Y11-Reserves!Y10-Reserves!Y12</f>
        <v>0.250829895435103</v>
      </c>
      <c r="Z50" s="13" t="n">
        <f aca="false">Reserves!Z11-Reserves!Z10-Reserves!Z12</f>
        <v>-0.237288522806871</v>
      </c>
      <c r="AA50" s="13" t="n">
        <f aca="false">Reserves!AA11-Reserves!AA10-Reserves!AA12</f>
        <v>0.727187917554147</v>
      </c>
      <c r="AB50" s="13" t="n">
        <f aca="false">Reserves!AB11-Reserves!AB10-Reserves!AB12</f>
        <v>-1.4444164165674</v>
      </c>
      <c r="AC50" s="13" t="n">
        <f aca="false">Reserves!AC11-Reserves!AC10-Reserves!AC12</f>
        <v>-0.592350203930046</v>
      </c>
      <c r="AD50" s="13" t="n">
        <f aca="false">Reserves!AD11-Reserves!AD10-Reserves!AD12</f>
        <v>-1.03716071732671</v>
      </c>
      <c r="AE50" s="13" t="n">
        <f aca="false">Reserves!AE11-Reserves!AE10-Reserves!AE12</f>
        <v>0.155535352896898</v>
      </c>
      <c r="AF50" s="13" t="n">
        <f aca="false">Reserves!AF11-Reserves!AF10-Reserves!AF12</f>
        <v>-1.17706852888197</v>
      </c>
      <c r="AG50" s="13" t="n">
        <f aca="false">Reserves!AG11-Reserves!AG10-Reserves!AG12</f>
        <v>-0.907277041919571</v>
      </c>
      <c r="AH50" s="13" t="n">
        <f aca="false">Reserves!AH11-Reserves!AH10-Reserves!AH12</f>
        <v>-1.48718160493055</v>
      </c>
      <c r="AI50" s="13" t="n">
        <f aca="false">Reserves!AI11-Reserves!AI10-Reserves!AI12</f>
        <v>-1.02230634993752</v>
      </c>
      <c r="AJ50" s="13" t="n">
        <f aca="false">Reserves!AJ11-Reserves!AJ10-Reserves!AJ12</f>
        <v>-2.19969207173747</v>
      </c>
      <c r="AK50" s="13" t="n">
        <f aca="false">Reserves!AK11-Reserves!AK10-Reserves!AK12</f>
        <v>-2.57213728263883</v>
      </c>
      <c r="AL50" s="13" t="n">
        <f aca="false">Reserves!AL11-Reserves!AL10-Reserves!AL12</f>
        <v>-3.40183895529859</v>
      </c>
      <c r="AM50" s="13" t="n">
        <f aca="false">Reserves!AM11-Reserves!AM10-Reserves!AM12</f>
        <v>-1.18475369081798</v>
      </c>
      <c r="AN50" s="13" t="n">
        <f aca="false">Reserves!AN11-Reserves!AN10-Reserves!AN12</f>
        <v>-0.0305085521459532</v>
      </c>
      <c r="AO50" s="13" t="n">
        <f aca="false">Reserves!AO11-Reserves!AO10-Reserves!AO12</f>
        <v>-22.5035404133309</v>
      </c>
      <c r="AP50" s="13" t="n">
        <f aca="false">Reserves!AP11-Reserves!AP10-Reserves!AP12</f>
        <v>0</v>
      </c>
      <c r="AQ50" s="13" t="n">
        <f aca="false">Reserves!AQ11-Reserves!AQ10-Reserves!AQ12</f>
        <v>0</v>
      </c>
      <c r="AR50" s="13" t="n">
        <f aca="false">Reserves!AR11-Reserves!AR10-Reserves!AR12</f>
        <v>0</v>
      </c>
      <c r="AS50" s="13" t="n">
        <f aca="false">Reserves!AS11-Reserves!AS10-Reserves!AS12</f>
        <v>0</v>
      </c>
      <c r="AT50" s="13" t="n">
        <f aca="false">Reserves!AT11-Reserves!AT10-Reserves!AT12</f>
        <v>0</v>
      </c>
      <c r="AU50" s="13" t="n">
        <f aca="false">Reserves!AU11-Reserves!AU10-Reserves!AU12</f>
        <v>0</v>
      </c>
      <c r="AV50" s="13" t="n">
        <f aca="false">Reserves!AV11-Reserves!AV10-Reserves!AV12</f>
        <v>0</v>
      </c>
      <c r="AW50" s="13" t="n">
        <f aca="false">Reserves!AW11-Reserves!AW10-Reserves!AW12</f>
        <v>0</v>
      </c>
      <c r="AX50" s="13" t="n">
        <f aca="false">Reserves!AX11-Reserves!AX10-Reserves!AX12</f>
        <v>0</v>
      </c>
      <c r="AY50" s="13" t="n">
        <f aca="false">Reserves!AY11-Reserves!AY10-Reserves!AY12</f>
        <v>0</v>
      </c>
      <c r="AZ50" s="13" t="n">
        <f aca="false">Reserves!AZ11-Reserves!AZ10-Reserves!AZ12</f>
        <v>0</v>
      </c>
      <c r="BA50" s="13" t="n">
        <f aca="false">Reserves!BA11-Reserves!BA10-Reserves!BA12</f>
        <v>0</v>
      </c>
      <c r="BB50" s="13" t="n">
        <f aca="false">Reserves!BB11-Reserves!BB10-Reserves!BB12</f>
        <v>0</v>
      </c>
      <c r="BC50" s="13" t="n">
        <f aca="false">Reserves!BC11-Reserves!BC10-Reserves!BC12</f>
        <v>0</v>
      </c>
      <c r="BD50" s="13" t="n">
        <f aca="false">Reserves!BD11-Reserves!BD10-Reserves!BD12</f>
        <v>0</v>
      </c>
      <c r="BE50" s="13" t="n">
        <f aca="false">Reserves!BE11-Reserves!BE10-Reserves!BE12</f>
        <v>0</v>
      </c>
      <c r="BF50" s="13" t="n">
        <f aca="false">Reserves!BF11-Reserves!BF10-Reserves!BF12</f>
        <v>0</v>
      </c>
      <c r="BG50" s="13" t="n">
        <f aca="false">Reserves!BG11-Reserves!BG10-Reserves!BG12</f>
        <v>0</v>
      </c>
      <c r="BH50" s="13" t="n">
        <f aca="false">Reserves!BH11-Reserves!BH10-Reserves!BH12</f>
        <v>0</v>
      </c>
      <c r="BI50" s="13" t="n">
        <f aca="false">Reserves!BI11-Reserves!BI10-Reserves!BI12</f>
        <v>0</v>
      </c>
      <c r="BJ50" s="13" t="n">
        <f aca="false">Reserves!BJ11-Reserves!BJ10-Reserves!BJ12</f>
        <v>0</v>
      </c>
      <c r="BK50" s="13" t="n">
        <f aca="false">Reserves!BK11-Reserves!BK10-Reserves!BK12</f>
        <v>0</v>
      </c>
      <c r="BL50" s="13" t="n">
        <f aca="false">Reserves!BL11-Reserves!BL10-Reserves!BL12</f>
        <v>0</v>
      </c>
      <c r="BM50" s="13" t="n">
        <f aca="false">Reserves!BM11-Reserves!BM10-Reserves!BM12</f>
        <v>0</v>
      </c>
      <c r="BN50" s="13" t="n">
        <f aca="false">Reserves!BN11-Reserves!BN10-Reserves!BN12</f>
        <v>0</v>
      </c>
    </row>
    <row r="51" customFormat="false" ht="15" hidden="false" customHeight="false" outlineLevel="0" collapsed="false">
      <c r="D51" s="0" t="s">
        <v>1940</v>
      </c>
      <c r="E51" s="0" t="s">
        <v>151</v>
      </c>
      <c r="G51" s="13" t="n">
        <f aca="false">SUM(J51:BN51)</f>
        <v>0</v>
      </c>
      <c r="J51" s="13" t="n">
        <f aca="false">J17-I17</f>
        <v>0</v>
      </c>
      <c r="K51" s="13" t="n">
        <f aca="false">K17-J17</f>
        <v>0</v>
      </c>
      <c r="L51" s="13" t="n">
        <f aca="false">L17-K17</f>
        <v>0</v>
      </c>
      <c r="M51" s="13" t="n">
        <f aca="false">M17-L17</f>
        <v>0</v>
      </c>
      <c r="N51" s="13" t="n">
        <f aca="false">N17-M17</f>
        <v>0</v>
      </c>
      <c r="O51" s="13" t="n">
        <f aca="false">O17-N17</f>
        <v>41.6029879342605</v>
      </c>
      <c r="P51" s="13" t="n">
        <f aca="false">P17-O17</f>
        <v>-2.28418319433123</v>
      </c>
      <c r="Q51" s="13" t="n">
        <f aca="false">Q17-P17</f>
        <v>0.662190313042437</v>
      </c>
      <c r="R51" s="13" t="n">
        <f aca="false">R17-Q17</f>
        <v>0.180841823651186</v>
      </c>
      <c r="S51" s="13" t="n">
        <f aca="false">S17-R17</f>
        <v>1.11819512962079</v>
      </c>
      <c r="T51" s="13" t="n">
        <f aca="false">T17-S17</f>
        <v>-0.0636451455748102</v>
      </c>
      <c r="U51" s="13" t="n">
        <f aca="false">U17-T17</f>
        <v>0.233102456536791</v>
      </c>
      <c r="V51" s="13" t="n">
        <f aca="false">V17-U17</f>
        <v>-2.6021820074657</v>
      </c>
      <c r="W51" s="13" t="n">
        <f aca="false">W17-V17</f>
        <v>-0.0792993990027568</v>
      </c>
      <c r="X51" s="13" t="n">
        <f aca="false">X17-W17</f>
        <v>1.86870181928052</v>
      </c>
      <c r="Y51" s="13" t="n">
        <f aca="false">Y17-X17</f>
        <v>2.22357243906857</v>
      </c>
      <c r="Z51" s="13" t="n">
        <f aca="false">Z17-Y17</f>
        <v>1.73545402082659</v>
      </c>
      <c r="AA51" s="13" t="n">
        <f aca="false">AA17-Z17</f>
        <v>2.69993046118761</v>
      </c>
      <c r="AB51" s="13" t="n">
        <f aca="false">AB17-AA17</f>
        <v>0.528326127066059</v>
      </c>
      <c r="AC51" s="13" t="n">
        <f aca="false">AC17-AB17</f>
        <v>1.38039233970342</v>
      </c>
      <c r="AD51" s="13" t="n">
        <f aca="false">AD17-AC17</f>
        <v>-12.8736159791275</v>
      </c>
      <c r="AE51" s="13" t="n">
        <f aca="false">AE17-AD17</f>
        <v>0.155535352896898</v>
      </c>
      <c r="AF51" s="13" t="n">
        <f aca="false">AF17-AE17</f>
        <v>-0.681640573966057</v>
      </c>
      <c r="AG51" s="13" t="n">
        <f aca="false">AG17-AF17</f>
        <v>-0.411849087003652</v>
      </c>
      <c r="AH51" s="13" t="n">
        <f aca="false">AH17-AG17</f>
        <v>-0.991753650014637</v>
      </c>
      <c r="AI51" s="13" t="n">
        <f aca="false">AI17-AH17</f>
        <v>-0.526878395021605</v>
      </c>
      <c r="AJ51" s="13" t="n">
        <f aca="false">AJ17-AI17</f>
        <v>-1.70426411682155</v>
      </c>
      <c r="AK51" s="13" t="n">
        <f aca="false">AK17-AJ17</f>
        <v>-2.07670932772292</v>
      </c>
      <c r="AL51" s="13" t="n">
        <f aca="false">AL17-AK17</f>
        <v>-6.37440668479407</v>
      </c>
      <c r="AM51" s="13" t="n">
        <f aca="false">AM17-AL17</f>
        <v>-1.18475369081798</v>
      </c>
      <c r="AN51" s="13" t="n">
        <f aca="false">AN17-AM17</f>
        <v>2.31738053334099</v>
      </c>
      <c r="AO51" s="13" t="n">
        <f aca="false">AO17-AN17</f>
        <v>-20.155651327844</v>
      </c>
      <c r="AP51" s="13" t="n">
        <f aca="false">AP17-AO17</f>
        <v>2.34788908548694</v>
      </c>
      <c r="AQ51" s="13" t="n">
        <f aca="false">AQ17-AP17</f>
        <v>2.34788908548694</v>
      </c>
      <c r="AR51" s="13" t="n">
        <f aca="false">AR17-AQ17</f>
        <v>2.34788908548694</v>
      </c>
      <c r="AS51" s="13" t="n">
        <f aca="false">AS17-AR17</f>
        <v>2.34788908548694</v>
      </c>
      <c r="AT51" s="13" t="n">
        <f aca="false">AT17-AS17</f>
        <v>-14.0873345129217</v>
      </c>
      <c r="AU51" s="13" t="n">
        <f aca="false">AU17-AT17</f>
        <v>0</v>
      </c>
      <c r="AV51" s="13" t="n">
        <f aca="false">AV17-AU17</f>
        <v>0.589641000923391</v>
      </c>
      <c r="AW51" s="13" t="n">
        <f aca="false">AW17-AV17</f>
        <v>0.589641000923391</v>
      </c>
      <c r="AX51" s="13" t="n">
        <f aca="false">AX17-AW17</f>
        <v>0.589641000923391</v>
      </c>
      <c r="AY51" s="13" t="n">
        <f aca="false">AY17-AX17</f>
        <v>0.589641000923391</v>
      </c>
      <c r="AZ51" s="13" t="n">
        <f aca="false">AZ17-AY17</f>
        <v>0.589641000923391</v>
      </c>
      <c r="BA51" s="13" t="n">
        <f aca="false">BA17-AZ17</f>
        <v>1.08460938753208</v>
      </c>
      <c r="BB51" s="13" t="n">
        <f aca="false">BB17-BA17</f>
        <v>-2.03669575089593</v>
      </c>
      <c r="BC51" s="13" t="n">
        <f aca="false">BC17-BB17</f>
        <v>1.51757307334224</v>
      </c>
      <c r="BD51" s="13" t="n">
        <f aca="false">BD17-BC17</f>
        <v>4.32855092135958</v>
      </c>
      <c r="BE51" s="13" t="n">
        <f aca="false">BE17-BD17</f>
        <v>4.34533504206875</v>
      </c>
      <c r="BF51" s="13" t="n">
        <f aca="false">BF17-BE17</f>
        <v>4.362302783685</v>
      </c>
      <c r="BG51" s="13" t="n">
        <f aca="false">BG17-BF17</f>
        <v>4.37945615504978</v>
      </c>
      <c r="BH51" s="13" t="n">
        <f aca="false">BH17-BG17</f>
        <v>4.39679718698159</v>
      </c>
      <c r="BI51" s="13" t="n">
        <f aca="false">BI17-BH17</f>
        <v>4.41432793251639</v>
      </c>
      <c r="BJ51" s="13" t="n">
        <f aca="false">BJ17-BI17</f>
        <v>-15.1285770606402</v>
      </c>
      <c r="BK51" s="13" t="n">
        <f aca="false">BK17-BJ17</f>
        <v>1.65559152797428</v>
      </c>
      <c r="BL51" s="13" t="n">
        <f aca="false">BL17-BK17</f>
        <v>1.67370395837053</v>
      </c>
      <c r="BM51" s="13" t="n">
        <f aca="false">BM17-BL17</f>
        <v>-17.941180161961</v>
      </c>
      <c r="BN51" s="13" t="n">
        <f aca="false">BN17-BM17</f>
        <v>0</v>
      </c>
    </row>
    <row r="52" customFormat="false" ht="15" hidden="false" customHeight="false" outlineLevel="0" collapsed="false">
      <c r="D52" s="0" t="s">
        <v>1941</v>
      </c>
      <c r="E52" s="0" t="s">
        <v>151</v>
      </c>
      <c r="J52" s="13" t="n">
        <f aca="false">J51-J49</f>
        <v>0</v>
      </c>
      <c r="K52" s="13" t="n">
        <f aca="false">K51-K49</f>
        <v>0</v>
      </c>
      <c r="L52" s="13" t="n">
        <f aca="false">L51-L49</f>
        <v>0</v>
      </c>
      <c r="M52" s="13" t="n">
        <f aca="false">M51-M49</f>
        <v>0</v>
      </c>
      <c r="N52" s="13" t="n">
        <f aca="false">N51-N49</f>
        <v>0</v>
      </c>
      <c r="O52" s="13" t="n">
        <f aca="false">O51-O49</f>
        <v>0</v>
      </c>
      <c r="P52" s="13" t="n">
        <f aca="false">P51-P49</f>
        <v>0</v>
      </c>
      <c r="Q52" s="13" t="n">
        <f aca="false">Q51-Q49</f>
        <v>0</v>
      </c>
      <c r="R52" s="13" t="n">
        <f aca="false">R51-R49</f>
        <v>0</v>
      </c>
      <c r="S52" s="13" t="n">
        <f aca="false">S51-S49</f>
        <v>0</v>
      </c>
      <c r="T52" s="13" t="n">
        <f aca="false">T51-T49</f>
        <v>0</v>
      </c>
      <c r="U52" s="13" t="n">
        <f aca="false">U51-U49</f>
        <v>0</v>
      </c>
      <c r="V52" s="13" t="n">
        <f aca="false">V51-V49</f>
        <v>0</v>
      </c>
      <c r="W52" s="13" t="n">
        <f aca="false">W51-W49</f>
        <v>0</v>
      </c>
      <c r="X52" s="13" t="n">
        <f aca="false">X51-X49</f>
        <v>0</v>
      </c>
      <c r="Y52" s="13" t="n">
        <f aca="false">Y51-Y49</f>
        <v>0</v>
      </c>
      <c r="Z52" s="13" t="n">
        <f aca="false">Z51-Z49</f>
        <v>0</v>
      </c>
      <c r="AA52" s="13" t="n">
        <f aca="false">AA51-AA49</f>
        <v>0</v>
      </c>
      <c r="AB52" s="13" t="n">
        <f aca="false">AB51-AB49</f>
        <v>0</v>
      </c>
      <c r="AC52" s="13" t="n">
        <f aca="false">AC51-AC49</f>
        <v>5.32907051820075E-015</v>
      </c>
      <c r="AD52" s="13" t="n">
        <f aca="false">AD51-AD49</f>
        <v>0</v>
      </c>
      <c r="AE52" s="13" t="n">
        <f aca="false">AE51-AE49</f>
        <v>0</v>
      </c>
      <c r="AF52" s="13" t="n">
        <f aca="false">AF51-AF49</f>
        <v>-2.44249065417534E-015</v>
      </c>
      <c r="AG52" s="13" t="n">
        <f aca="false">AG51-AG49</f>
        <v>4.71844785465692E-015</v>
      </c>
      <c r="AH52" s="13" t="n">
        <f aca="false">AH51-AH49</f>
        <v>0</v>
      </c>
      <c r="AI52" s="13" t="n">
        <f aca="false">AI51-AI49</f>
        <v>-2.44249065417534E-015</v>
      </c>
      <c r="AJ52" s="13" t="n">
        <f aca="false">AJ51-AJ49</f>
        <v>0</v>
      </c>
      <c r="AK52" s="13" t="n">
        <f aca="false">AK51-AK49</f>
        <v>0</v>
      </c>
      <c r="AL52" s="13" t="n">
        <f aca="false">AL51-AL49</f>
        <v>0</v>
      </c>
      <c r="AM52" s="13" t="n">
        <f aca="false">AM51-AM49</f>
        <v>0</v>
      </c>
      <c r="AN52" s="13" t="n">
        <f aca="false">AN51-AN49</f>
        <v>0</v>
      </c>
      <c r="AO52" s="13" t="n">
        <f aca="false">AO51-AO49</f>
        <v>0</v>
      </c>
      <c r="AP52" s="13" t="n">
        <f aca="false">AP51-AP49</f>
        <v>0</v>
      </c>
      <c r="AQ52" s="13" t="n">
        <f aca="false">AQ51-AQ49</f>
        <v>0</v>
      </c>
      <c r="AR52" s="13" t="n">
        <f aca="false">AR51-AR49</f>
        <v>0</v>
      </c>
      <c r="AS52" s="13" t="n">
        <f aca="false">AS51-AS49</f>
        <v>0</v>
      </c>
      <c r="AT52" s="13" t="n">
        <f aca="false">AT51-AT49</f>
        <v>0</v>
      </c>
      <c r="AU52" s="13" t="n">
        <f aca="false">AU51-AU49</f>
        <v>0</v>
      </c>
      <c r="AV52" s="13" t="n">
        <f aca="false">AV51-AV49</f>
        <v>0</v>
      </c>
      <c r="AW52" s="13" t="n">
        <f aca="false">AW51-AW49</f>
        <v>0</v>
      </c>
      <c r="AX52" s="13" t="n">
        <f aca="false">AX51-AX49</f>
        <v>0</v>
      </c>
      <c r="AY52" s="13" t="n">
        <f aca="false">AY51-AY49</f>
        <v>0</v>
      </c>
      <c r="AZ52" s="13" t="n">
        <f aca="false">AZ51-AZ49</f>
        <v>0</v>
      </c>
      <c r="BA52" s="13" t="n">
        <f aca="false">BA51-BA49</f>
        <v>0</v>
      </c>
      <c r="BB52" s="13" t="n">
        <f aca="false">BB51-BB49</f>
        <v>0</v>
      </c>
      <c r="BC52" s="13" t="n">
        <f aca="false">BC51-BC49</f>
        <v>0</v>
      </c>
      <c r="BD52" s="13" t="n">
        <f aca="false">BD51-BD49</f>
        <v>0</v>
      </c>
      <c r="BE52" s="13" t="n">
        <f aca="false">BE51-BE49</f>
        <v>0</v>
      </c>
      <c r="BF52" s="13" t="n">
        <f aca="false">BF51-BF49</f>
        <v>0</v>
      </c>
      <c r="BG52" s="13" t="n">
        <f aca="false">BG51-BG49</f>
        <v>0</v>
      </c>
      <c r="BH52" s="13" t="n">
        <f aca="false">BH51-BH49</f>
        <v>0</v>
      </c>
      <c r="BI52" s="13" t="n">
        <f aca="false">BI51-BI49</f>
        <v>0</v>
      </c>
      <c r="BJ52" s="13" t="n">
        <f aca="false">BJ51-BJ49</f>
        <v>0</v>
      </c>
      <c r="BK52" s="13" t="n">
        <f aca="false">BK51-BK49</f>
        <v>0</v>
      </c>
      <c r="BL52" s="13" t="n">
        <f aca="false">BL51-BL49</f>
        <v>0</v>
      </c>
      <c r="BM52" s="13" t="n">
        <f aca="false">BM51-BM49</f>
        <v>0</v>
      </c>
      <c r="BN52" s="13" t="n">
        <f aca="false">BN51-BN49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1942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1943</v>
      </c>
      <c r="E7" s="0" t="s">
        <v>101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0.0353272185691967</v>
      </c>
      <c r="Q7" s="16" t="n">
        <f aca="false">IF(Debt!Q115&gt;Inputs!$F$253,Debt!Q112/Debt!Q115,0)</f>
        <v>0.0353495279007606</v>
      </c>
      <c r="R7" s="16" t="n">
        <f aca="false">IF(Debt!R115&gt;Inputs!$F$253,Debt!R112/Debt!R115,0)</f>
        <v>0.0356664338835636</v>
      </c>
      <c r="S7" s="16" t="n">
        <f aca="false">IF(Debt!S115&gt;Inputs!$F$253,Debt!S112/Debt!S115,0)</f>
        <v>0.0355945433262449</v>
      </c>
      <c r="T7" s="16" t="n">
        <f aca="false">IF(Debt!T115&gt;Inputs!$F$253,Debt!T112/Debt!T115,0)</f>
        <v>0.0359123855974319</v>
      </c>
      <c r="U7" s="16" t="n">
        <f aca="false">IF(Debt!U115&gt;Inputs!$F$253,Debt!U112/Debt!U115,0)</f>
        <v>0.0358233987063007</v>
      </c>
      <c r="V7" s="16" t="n">
        <f aca="false">IF(Debt!V115&gt;Inputs!$F$253,Debt!V112/Debt!V115,0)</f>
        <v>0.0360589447428494</v>
      </c>
      <c r="W7" s="16" t="n">
        <f aca="false">IF(Debt!W115&gt;Inputs!$F$253,Debt!W112/Debt!W115,0)</f>
        <v>0.0358939603470951</v>
      </c>
      <c r="X7" s="16" t="n">
        <f aca="false">IF(Debt!X115&gt;Inputs!$F$253,Debt!X112/Debt!X115,0)</f>
        <v>0.0362120247979583</v>
      </c>
      <c r="Y7" s="16" t="n">
        <f aca="false">IF(Debt!Y115&gt;Inputs!$F$253,Debt!Y112/Debt!Y115,0)</f>
        <v>0.0371623379492545</v>
      </c>
      <c r="Z7" s="16" t="n">
        <f aca="false">IF(Debt!Z115&gt;Inputs!$F$253,Debt!Z112/Debt!Z115,0)</f>
        <v>0.0374949109180111</v>
      </c>
      <c r="AA7" s="16" t="n">
        <f aca="false">IF(Debt!AA115&gt;Inputs!$F$253,Debt!AA112/Debt!AA115,0)</f>
        <v>0.0373419202316018</v>
      </c>
      <c r="AB7" s="16" t="n">
        <f aca="false">IF(Debt!AB115&gt;Inputs!$F$253,Debt!AB112/Debt!AB115,0)</f>
        <v>0.0374812528564696</v>
      </c>
      <c r="AC7" s="16" t="n">
        <f aca="false">IF(Debt!AC115&gt;Inputs!$F$253,Debt!AC112/Debt!AC115,0)</f>
        <v>0.0371434213071442</v>
      </c>
      <c r="AD7" s="16" t="n">
        <f aca="false">IF(Debt!AD115&gt;Inputs!$F$253,Debt!AD112/Debt!AD115,0)</f>
        <v>0.0371232001001456</v>
      </c>
      <c r="AE7" s="16" t="n">
        <f aca="false">IF(Debt!AE115&gt;Inputs!$F$253,Debt!AE112/Debt!AE115,0)</f>
        <v>0.0366127904184525</v>
      </c>
      <c r="AF7" s="16" t="n">
        <f aca="false">IF(Debt!AF115&gt;Inputs!$F$253,Debt!AF112/Debt!AF115,0)</f>
        <v>0.0366194996270146</v>
      </c>
      <c r="AG7" s="16" t="n">
        <f aca="false">IF(Debt!AG115&gt;Inputs!$F$253,Debt!AG112/Debt!AG115,0)</f>
        <v>0.0369563597533331</v>
      </c>
      <c r="AH7" s="16" t="n">
        <f aca="false">IF(Debt!AH115&gt;Inputs!$F$253,Debt!AH112/Debt!AH115,0)</f>
        <v>0.0368154503976131</v>
      </c>
      <c r="AI7" s="16" t="n">
        <f aca="false">IF(Debt!AI115&gt;Inputs!$F$253,Debt!AI112/Debt!AI115,0)</f>
        <v>0.0359431723124089</v>
      </c>
      <c r="AJ7" s="16" t="n">
        <f aca="false">IF(Debt!AJ115&gt;Inputs!$F$253,Debt!AJ112/Debt!AJ115,0)</f>
        <v>0.0354603706276702</v>
      </c>
      <c r="AK7" s="16" t="n">
        <f aca="false">IF(Debt!AK115&gt;Inputs!$F$253,Debt!AK112/Debt!AK115,0)</f>
        <v>0.0339691365598476</v>
      </c>
      <c r="AL7" s="16" t="n">
        <f aca="false">IF(Debt!AL115&gt;Inputs!$F$253,Debt!AL112/Debt!AL115,0)</f>
        <v>0.0320204259915163</v>
      </c>
      <c r="AM7" s="16" t="n">
        <f aca="false">IF(Debt!AM115&gt;Inputs!$F$253,Debt!AM112/Debt!AM115,0)</f>
        <v>0.0308477427188836</v>
      </c>
      <c r="AN7" s="16" t="n">
        <f aca="false">IF(Debt!AN115&gt;Inputs!$F$253,Debt!AN112/Debt!AN115,0)</f>
        <v>0.031271964182777</v>
      </c>
      <c r="AO7" s="16" t="n">
        <f aca="false">IF(Debt!AO115&gt;Inputs!$F$253,Debt!AO112/Debt!AO115,0)</f>
        <v>0.0309655154481938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1944</v>
      </c>
      <c r="E8" s="0" t="s">
        <v>93</v>
      </c>
      <c r="F8" s="9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1945</v>
      </c>
      <c r="E9" s="0" t="s">
        <v>101</v>
      </c>
      <c r="F9" s="16" t="n">
        <f aca="false">INDEX(Ratios!$J$7:$BN$7,1,Ratios!$F$8)</f>
        <v>0.0309655154481938</v>
      </c>
    </row>
    <row r="10" customFormat="false" ht="15" hidden="false" customHeight="false" outlineLevel="0" collapsed="false">
      <c r="D10" s="0" t="s">
        <v>1946</v>
      </c>
      <c r="E10" s="0" t="s">
        <v>101</v>
      </c>
      <c r="J10" s="16" t="n">
        <f aca="false">IF(J7&gt;0,J7,$F$9)</f>
        <v>0.0309655154481938</v>
      </c>
      <c r="K10" s="16" t="n">
        <f aca="false">IF(K7&gt;0,K7,$F$9)</f>
        <v>0.0309655154481938</v>
      </c>
      <c r="L10" s="16" t="n">
        <f aca="false">IF(L7&gt;0,L7,$F$9)</f>
        <v>0.0309655154481938</v>
      </c>
      <c r="M10" s="16" t="n">
        <f aca="false">IF(M7&gt;0,M7,$F$9)</f>
        <v>0.0309655154481938</v>
      </c>
      <c r="N10" s="16" t="n">
        <f aca="false">IF(N7&gt;0,N7,$F$9)</f>
        <v>0.0309655154481938</v>
      </c>
      <c r="O10" s="16" t="n">
        <f aca="false">IF(O7&gt;0,O7,$F$9)</f>
        <v>0.0309655154481938</v>
      </c>
      <c r="P10" s="16" t="n">
        <f aca="false">IF(P7&gt;0,P7,$F$9)</f>
        <v>0.0353272185691967</v>
      </c>
      <c r="Q10" s="16" t="n">
        <f aca="false">IF(Q7&gt;0,Q7,$F$9)</f>
        <v>0.0353495279007606</v>
      </c>
      <c r="R10" s="16" t="n">
        <f aca="false">IF(R7&gt;0,R7,$F$9)</f>
        <v>0.0356664338835636</v>
      </c>
      <c r="S10" s="16" t="n">
        <f aca="false">IF(S7&gt;0,S7,$F$9)</f>
        <v>0.0355945433262449</v>
      </c>
      <c r="T10" s="16" t="n">
        <f aca="false">IF(T7&gt;0,T7,$F$9)</f>
        <v>0.0359123855974319</v>
      </c>
      <c r="U10" s="16" t="n">
        <f aca="false">IF(U7&gt;0,U7,$F$9)</f>
        <v>0.0358233987063007</v>
      </c>
      <c r="V10" s="16" t="n">
        <f aca="false">IF(V7&gt;0,V7,$F$9)</f>
        <v>0.0360589447428494</v>
      </c>
      <c r="W10" s="16" t="n">
        <f aca="false">IF(W7&gt;0,W7,$F$9)</f>
        <v>0.0358939603470951</v>
      </c>
      <c r="X10" s="16" t="n">
        <f aca="false">IF(X7&gt;0,X7,$F$9)</f>
        <v>0.0362120247979583</v>
      </c>
      <c r="Y10" s="16" t="n">
        <f aca="false">IF(Y7&gt;0,Y7,$F$9)</f>
        <v>0.0371623379492545</v>
      </c>
      <c r="Z10" s="16" t="n">
        <f aca="false">IF(Z7&gt;0,Z7,$F$9)</f>
        <v>0.0374949109180111</v>
      </c>
      <c r="AA10" s="16" t="n">
        <f aca="false">IF(AA7&gt;0,AA7,$F$9)</f>
        <v>0.0373419202316018</v>
      </c>
      <c r="AB10" s="16" t="n">
        <f aca="false">IF(AB7&gt;0,AB7,$F$9)</f>
        <v>0.0374812528564696</v>
      </c>
      <c r="AC10" s="16" t="n">
        <f aca="false">IF(AC7&gt;0,AC7,$F$9)</f>
        <v>0.0371434213071442</v>
      </c>
      <c r="AD10" s="16" t="n">
        <f aca="false">IF(AD7&gt;0,AD7,$F$9)</f>
        <v>0.0371232001001456</v>
      </c>
      <c r="AE10" s="16" t="n">
        <f aca="false">IF(AE7&gt;0,AE7,$F$9)</f>
        <v>0.0366127904184525</v>
      </c>
      <c r="AF10" s="16" t="n">
        <f aca="false">IF(AF7&gt;0,AF7,$F$9)</f>
        <v>0.0366194996270146</v>
      </c>
      <c r="AG10" s="16" t="n">
        <f aca="false">IF(AG7&gt;0,AG7,$F$9)</f>
        <v>0.0369563597533331</v>
      </c>
      <c r="AH10" s="16" t="n">
        <f aca="false">IF(AH7&gt;0,AH7,$F$9)</f>
        <v>0.0368154503976131</v>
      </c>
      <c r="AI10" s="16" t="n">
        <f aca="false">IF(AI7&gt;0,AI7,$F$9)</f>
        <v>0.0359431723124089</v>
      </c>
      <c r="AJ10" s="16" t="n">
        <f aca="false">IF(AJ7&gt;0,AJ7,$F$9)</f>
        <v>0.0354603706276702</v>
      </c>
      <c r="AK10" s="16" t="n">
        <f aca="false">IF(AK7&gt;0,AK7,$F$9)</f>
        <v>0.0339691365598476</v>
      </c>
      <c r="AL10" s="16" t="n">
        <f aca="false">IF(AL7&gt;0,AL7,$F$9)</f>
        <v>0.0320204259915163</v>
      </c>
      <c r="AM10" s="16" t="n">
        <f aca="false">IF(AM7&gt;0,AM7,$F$9)</f>
        <v>0.0308477427188836</v>
      </c>
      <c r="AN10" s="16" t="n">
        <f aca="false">IF(AN7&gt;0,AN7,$F$9)</f>
        <v>0.031271964182777</v>
      </c>
      <c r="AO10" s="16" t="n">
        <f aca="false">IF(AO7&gt;0,AO7,$F$9)</f>
        <v>0.0309655154481938</v>
      </c>
      <c r="AP10" s="16" t="n">
        <f aca="false">IF(AP7&gt;0,AP7,$F$9)</f>
        <v>0.0309655154481938</v>
      </c>
      <c r="AQ10" s="16" t="n">
        <f aca="false">IF(AQ7&gt;0,AQ7,$F$9)</f>
        <v>0.0309655154481938</v>
      </c>
      <c r="AR10" s="16" t="n">
        <f aca="false">IF(AR7&gt;0,AR7,$F$9)</f>
        <v>0.0309655154481938</v>
      </c>
      <c r="AS10" s="16" t="n">
        <f aca="false">IF(AS7&gt;0,AS7,$F$9)</f>
        <v>0.0309655154481938</v>
      </c>
      <c r="AT10" s="16" t="n">
        <f aca="false">IF(AT7&gt;0,AT7,$F$9)</f>
        <v>0.0309655154481938</v>
      </c>
      <c r="AU10" s="16" t="n">
        <f aca="false">IF(AU7&gt;0,AU7,$F$9)</f>
        <v>0.0309655154481938</v>
      </c>
      <c r="AV10" s="16" t="n">
        <f aca="false">IF(AV7&gt;0,AV7,$F$9)</f>
        <v>0.0309655154481938</v>
      </c>
      <c r="AW10" s="16" t="n">
        <f aca="false">IF(AW7&gt;0,AW7,$F$9)</f>
        <v>0.0309655154481938</v>
      </c>
      <c r="AX10" s="16" t="n">
        <f aca="false">IF(AX7&gt;0,AX7,$F$9)</f>
        <v>0.0309655154481938</v>
      </c>
      <c r="AY10" s="16" t="n">
        <f aca="false">IF(AY7&gt;0,AY7,$F$9)</f>
        <v>0.0309655154481938</v>
      </c>
      <c r="AZ10" s="16" t="n">
        <f aca="false">IF(AZ7&gt;0,AZ7,$F$9)</f>
        <v>0.0309655154481938</v>
      </c>
      <c r="BA10" s="16" t="n">
        <f aca="false">IF(BA7&gt;0,BA7,$F$9)</f>
        <v>0.0309655154481938</v>
      </c>
      <c r="BB10" s="16" t="n">
        <f aca="false">IF(BB7&gt;0,BB7,$F$9)</f>
        <v>0.0309655154481938</v>
      </c>
      <c r="BC10" s="16" t="n">
        <f aca="false">IF(BC7&gt;0,BC7,$F$9)</f>
        <v>0.0309655154481938</v>
      </c>
      <c r="BD10" s="16" t="n">
        <f aca="false">IF(BD7&gt;0,BD7,$F$9)</f>
        <v>0.0309655154481938</v>
      </c>
      <c r="BE10" s="16" t="n">
        <f aca="false">IF(BE7&gt;0,BE7,$F$9)</f>
        <v>0.0309655154481938</v>
      </c>
      <c r="BF10" s="16" t="n">
        <f aca="false">IF(BF7&gt;0,BF7,$F$9)</f>
        <v>0.0309655154481938</v>
      </c>
      <c r="BG10" s="16" t="n">
        <f aca="false">IF(BG7&gt;0,BG7,$F$9)</f>
        <v>0.0309655154481938</v>
      </c>
      <c r="BH10" s="16" t="n">
        <f aca="false">IF(BH7&gt;0,BH7,$F$9)</f>
        <v>0.0309655154481938</v>
      </c>
      <c r="BI10" s="16" t="n">
        <f aca="false">IF(BI7&gt;0,BI7,$F$9)</f>
        <v>0.0309655154481938</v>
      </c>
      <c r="BJ10" s="16" t="n">
        <f aca="false">IF(BJ7&gt;0,BJ7,$F$9)</f>
        <v>0.0309655154481938</v>
      </c>
      <c r="BK10" s="16" t="n">
        <f aca="false">IF(BK7&gt;0,BK7,$F$9)</f>
        <v>0.0309655154481938</v>
      </c>
      <c r="BL10" s="16" t="n">
        <f aca="false">IF(BL7&gt;0,BL7,$F$9)</f>
        <v>0.0309655154481938</v>
      </c>
      <c r="BM10" s="16" t="n">
        <f aca="false">IF(BM7&gt;0,BM7,$F$9)</f>
        <v>0.0309655154481938</v>
      </c>
      <c r="BN10" s="16" t="n">
        <f aca="false">IF(BN7&gt;0,BN7,$F$9)</f>
        <v>0.0309655154481938</v>
      </c>
    </row>
    <row r="11" customFormat="false" ht="15" hidden="false" customHeight="false" outlineLevel="0" collapsed="false">
      <c r="D11" s="0" t="s">
        <v>1947</v>
      </c>
      <c r="E11" s="0" t="s">
        <v>151</v>
      </c>
      <c r="J11" s="13" t="n">
        <f aca="false">IF(Time!J20&lt;=$F$8,(Waterfall!J7+K11)/(1+J10),0)</f>
        <v>745.961132632677</v>
      </c>
      <c r="K11" s="13" t="n">
        <f aca="false">IF(Time!K20&lt;=$F$8,(Waterfall!K7+L11)/(1+K10),0)</f>
        <v>769.060203608967</v>
      </c>
      <c r="L11" s="13" t="n">
        <f aca="false">IF(Time!L20&lt;=$F$8,(Waterfall!L7+M11)/(1+L10),0)</f>
        <v>792.874549224411</v>
      </c>
      <c r="M11" s="13" t="n">
        <f aca="false">IF(Time!M20&lt;=$F$8,(Waterfall!M7+N11)/(1+M10),0)</f>
        <v>817.426318326899</v>
      </c>
      <c r="N11" s="13" t="n">
        <f aca="false">IF(Time!N20&lt;=$F$8,(Waterfall!N7+O11)/(1+N10),0)</f>
        <v>842.738345614811</v>
      </c>
      <c r="O11" s="13" t="n">
        <f aca="false">IF(Time!O20&lt;=$F$8,(Waterfall!O7+P11)/(1+O10),0)</f>
        <v>868.834172874732</v>
      </c>
      <c r="P11" s="13" t="n">
        <f aca="false">IF(Time!P20&lt;=$F$8,(Waterfall!P7+Q11)/(1+P10),0)</f>
        <v>893.218373106894</v>
      </c>
      <c r="Q11" s="13" t="n">
        <f aca="false">IF(Time!Q20&lt;=$F$8,(Waterfall!Q7+R11)/(1+Q10),0)</f>
        <v>869.072103213732</v>
      </c>
      <c r="R11" s="13" t="n">
        <f aca="false">IF(Time!R20&lt;=$F$8,(Waterfall!R7+S11)/(1+R10),0)</f>
        <v>844.349809939338</v>
      </c>
      <c r="S11" s="13" t="n">
        <f aca="false">IF(Time!S20&lt;=$F$8,(Waterfall!S7+T11)/(1+S10),0)</f>
        <v>818.670688707144</v>
      </c>
      <c r="T11" s="13" t="n">
        <f aca="false">IF(Time!T20&lt;=$F$8,(Waterfall!T7+U11)/(1+T10),0)</f>
        <v>792.352358024114</v>
      </c>
      <c r="U11" s="13" t="n">
        <f aca="false">IF(Time!U20&lt;=$F$8,(Waterfall!U7+V11)/(1+U10),0)</f>
        <v>764.348700989294</v>
      </c>
      <c r="V11" s="13" t="n">
        <f aca="false">IF(Time!V20&lt;=$F$8,(Waterfall!V7+W11)/(1+V10),0)</f>
        <v>735.955317592366</v>
      </c>
      <c r="W11" s="13" t="n">
        <f aca="false">IF(Time!W20&lt;=$F$8,(Waterfall!W7+X11)/(1+W10),0)</f>
        <v>706.97918455006</v>
      </c>
      <c r="X11" s="13" t="n">
        <f aca="false">IF(Time!X20&lt;=$F$8,(Waterfall!X7+Y11)/(1+X10),0)</f>
        <v>676.9905976392</v>
      </c>
      <c r="Y11" s="13" t="n">
        <f aca="false">IF(Time!Y20&lt;=$F$8,(Waterfall!Y7+Z11)/(1+Y10),0)</f>
        <v>646.253945088415</v>
      </c>
      <c r="Z11" s="13" t="n">
        <f aca="false">IF(Time!Z20&lt;=$F$8,(Waterfall!Z7+AA11)/(1+Z10),0)</f>
        <v>615.166677737265</v>
      </c>
      <c r="AA11" s="13" t="n">
        <f aca="false">IF(Time!AA20&lt;=$F$8,(Waterfall!AA7+AB11)/(1+AA10),0)</f>
        <v>582.771241912326</v>
      </c>
      <c r="AB11" s="13" t="n">
        <f aca="false">IF(Time!AB20&lt;=$F$8,(Waterfall!AB7+AC11)/(1+AB10),0)</f>
        <v>549.410165225685</v>
      </c>
      <c r="AC11" s="13" t="n">
        <f aca="false">IF(Time!AC20&lt;=$F$8,(Waterfall!AC7+AD11)/(1+AC10),0)</f>
        <v>513.843490268595</v>
      </c>
      <c r="AD11" s="13" t="n">
        <f aca="false">IF(Time!AD20&lt;=$F$8,(Waterfall!AD7+AE11)/(1+AD10),0)</f>
        <v>477.764994841981</v>
      </c>
      <c r="AE11" s="13" t="n">
        <f aca="false">IF(Time!AE20&lt;=$F$8,(Waterfall!AE7+AF11)/(1+AE10),0)</f>
        <v>439.799845535557</v>
      </c>
      <c r="AF11" s="13" t="n">
        <f aca="false">IF(Time!AF20&lt;=$F$8,(Waterfall!AF7+AG11)/(1+AF10),0)</f>
        <v>402.400466081981</v>
      </c>
      <c r="AG11" s="13" t="n">
        <f aca="false">IF(Time!AG20&lt;=$F$8,(Waterfall!AG7+AH11)/(1+AG10),0)</f>
        <v>366.969794203914</v>
      </c>
      <c r="AH11" s="13" t="n">
        <f aca="false">IF(Time!AH20&lt;=$F$8,(Waterfall!AH7+AI11)/(1+AH10),0)</f>
        <v>330.697611359082</v>
      </c>
      <c r="AI11" s="13" t="n">
        <f aca="false">IF(Time!AI20&lt;=$F$8,(Waterfall!AI7+AJ11)/(1+AI10),0)</f>
        <v>293.043519962951</v>
      </c>
      <c r="AJ11" s="13" t="n">
        <f aca="false">IF(Time!AJ20&lt;=$F$8,(Waterfall!AJ7+AK11)/(1+AJ10),0)</f>
        <v>254.736245015724</v>
      </c>
      <c r="AK11" s="13" t="n">
        <f aca="false">IF(Time!AK20&lt;=$F$8,(Waterfall!AK7+AL11)/(1+AK10),0)</f>
        <v>214.516611922728</v>
      </c>
      <c r="AL11" s="13" t="n">
        <f aca="false">IF(Time!AL20&lt;=$F$8,(Waterfall!AL7+AM11)/(1+AL10),0)</f>
        <v>173.66074697825</v>
      </c>
      <c r="AM11" s="13" t="n">
        <f aca="false">IF(Time!AM20&lt;=$F$8,(Waterfall!AM7+AN11)/(1+AM10),0)</f>
        <v>130.564897501818</v>
      </c>
      <c r="AN11" s="13" t="n">
        <f aca="false">IF(Time!AN20&lt;=$F$8,(Waterfall!AN7+AO11)/(1+AN10),0)</f>
        <v>87.5540954599081</v>
      </c>
      <c r="AO11" s="13" t="n">
        <f aca="false">IF(Time!AO20&lt;=$F$8,(Waterfall!AO7+AP11)/(1+AO10),0)</f>
        <v>44.2934970776712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1948</v>
      </c>
      <c r="E12" s="0" t="s">
        <v>151</v>
      </c>
      <c r="J12" s="13" t="n">
        <f aca="false">IF(Time!J20&lt;=Time!$F$15,(Waterfall!J7+K12)/(1+J10),0)</f>
        <v>1006.05811306145</v>
      </c>
      <c r="K12" s="13" t="n">
        <f aca="false">IF(Time!K20&lt;=Time!$F$15,(Waterfall!K7+L12)/(1+K10),0)</f>
        <v>1037.21122110324</v>
      </c>
      <c r="L12" s="13" t="n">
        <f aca="false">IF(Time!L20&lt;=Time!$F$15,(Waterfall!L7+M12)/(1+L10),0)</f>
        <v>1069.32900119335</v>
      </c>
      <c r="M12" s="13" t="n">
        <f aca="false">IF(Time!M20&lt;=Time!$F$15,(Waterfall!M7+N12)/(1+M10),0)</f>
        <v>1102.44132489901</v>
      </c>
      <c r="N12" s="13" t="n">
        <f aca="false">IF(Time!N20&lt;=Time!$F$15,(Waterfall!N7+O12)/(1+N10),0)</f>
        <v>1136.57898877589</v>
      </c>
      <c r="O12" s="13" t="n">
        <f aca="false">IF(Time!O20&lt;=Time!$F$15,(Waterfall!O7+P12)/(1+O10),0)</f>
        <v>1171.77374301092</v>
      </c>
      <c r="P12" s="13" t="n">
        <f aca="false">IF(Time!P20&lt;=Time!$F$15,(Waterfall!P7+Q12)/(1+P10),0)</f>
        <v>1205.53862318201</v>
      </c>
      <c r="Q12" s="13" t="n">
        <f aca="false">IF(Time!Q20&lt;=Time!$F$15,(Waterfall!Q7+R12)/(1+Q10),0)</f>
        <v>1192.42575902684</v>
      </c>
      <c r="R12" s="13" t="n">
        <f aca="false">IF(Time!R20&lt;=Time!$F$15,(Waterfall!R7+S12)/(1+R10),0)</f>
        <v>1179.13386483042</v>
      </c>
      <c r="S12" s="13" t="n">
        <f aca="false">IF(Time!S20&lt;=Time!$F$15,(Waterfall!S7+T12)/(1+S10),0)</f>
        <v>1165.39529695727</v>
      </c>
      <c r="T12" s="13" t="n">
        <f aca="false">IF(Time!T20&lt;=Time!$F$15,(Waterfall!T7+U12)/(1+T10),0)</f>
        <v>1151.41847036488</v>
      </c>
      <c r="U12" s="13" t="n">
        <f aca="false">IF(Time!U20&lt;=Time!$F$15,(Waterfall!U7+V12)/(1+U10),0)</f>
        <v>1136.30973401141</v>
      </c>
      <c r="V12" s="13" t="n">
        <f aca="false">IF(Time!V20&lt;=Time!$F$15,(Waterfall!V7+W12)/(1+V10),0)</f>
        <v>1121.24125900364</v>
      </c>
      <c r="W12" s="13" t="n">
        <f aca="false">IF(Time!W20&lt;=Time!$F$15,(Waterfall!W7+X12)/(1+W10),0)</f>
        <v>1106.15813043288</v>
      </c>
      <c r="X12" s="13" t="n">
        <f aca="false">IF(Time!X20&lt;=Time!$F$15,(Waterfall!X7+Y12)/(1+X10),0)</f>
        <v>1090.49765677693</v>
      </c>
      <c r="Y12" s="13" t="n">
        <f aca="false">IF(Time!Y20&lt;=Time!$F$15,(Waterfall!Y7+Z12)/(1+Y10),0)</f>
        <v>1074.73493210577</v>
      </c>
      <c r="Z12" s="13" t="n">
        <f aca="false">IF(Time!Z20&lt;=Time!$F$15,(Waterfall!Z7+AA12)/(1+Z10),0)</f>
        <v>1059.57101999899</v>
      </c>
      <c r="AA12" s="13" t="n">
        <f aca="false">IF(Time!AA20&lt;=Time!$F$15,(Waterfall!AA7+AB12)/(1+AA10),0)</f>
        <v>1043.83848539873</v>
      </c>
      <c r="AB12" s="13" t="n">
        <f aca="false">IF(Time!AB20&lt;=Time!$F$15,(Waterfall!AB7+AC12)/(1+AB10),0)</f>
        <v>1027.69454493977</v>
      </c>
      <c r="AC12" s="13" t="n">
        <f aca="false">IF(Time!AC20&lt;=Time!$F$15,(Waterfall!AC7+AD12)/(1+AC10),0)</f>
        <v>1010.05456775604</v>
      </c>
      <c r="AD12" s="13" t="n">
        <f aca="false">IF(Time!AD20&lt;=Time!$F$15,(Waterfall!AD7+AE12)/(1+AD10),0)</f>
        <v>992.407049437814</v>
      </c>
      <c r="AE12" s="13" t="n">
        <f aca="false">IF(Time!AE20&lt;=Time!$F$15,(Waterfall!AE7+AF12)/(1+AE10),0)</f>
        <v>973.547060104101</v>
      </c>
      <c r="AF12" s="13" t="n">
        <f aca="false">IF(Time!AF20&lt;=Time!$F$15,(Waterfall!AF7+AG12)/(1+AF10),0)</f>
        <v>955.689655553956</v>
      </c>
      <c r="AG12" s="13" t="n">
        <f aca="false">IF(Time!AG20&lt;=Time!$F$15,(Waterfall!AG7+AH12)/(1+AG10),0)</f>
        <v>940.520156943388</v>
      </c>
      <c r="AH12" s="13" t="n">
        <f aca="false">IF(Time!AH20&lt;=Time!$F$15,(Waterfall!AH7+AI12)/(1+AH10),0)</f>
        <v>925.444307640612</v>
      </c>
      <c r="AI12" s="13" t="n">
        <f aca="false">IF(Time!AI20&lt;=Time!$F$15,(Waterfall!AI7+AJ12)/(1+AI10),0)</f>
        <v>909.686083740578</v>
      </c>
      <c r="AJ12" s="13" t="n">
        <f aca="false">IF(Time!AJ20&lt;=Time!$F$15,(Waterfall!AJ7+AK12)/(1+AJ10),0)</f>
        <v>893.542898718375</v>
      </c>
      <c r="AK12" s="13" t="n">
        <f aca="false">IF(Time!AK20&lt;=Time!$F$15,(Waterfall!AK7+AL12)/(1+AK10),0)</f>
        <v>875.975586325096</v>
      </c>
      <c r="AL12" s="13" t="n">
        <f aca="false">IF(Time!AL20&lt;=Time!$F$15,(Waterfall!AL7+AM12)/(1+AL10),0)</f>
        <v>857.588911610829</v>
      </c>
      <c r="AM12" s="13" t="n">
        <f aca="false">IF(Time!AM20&lt;=Time!$F$15,(Waterfall!AM7+AN12)/(1+AM10),0)</f>
        <v>836.392733313528</v>
      </c>
      <c r="AN12" s="13" t="n">
        <f aca="false">IF(Time!AN20&lt;=Time!$F$15,(Waterfall!AN7+AO12)/(1+AN10),0)</f>
        <v>815.155126754564</v>
      </c>
      <c r="AO12" s="13" t="n">
        <f aca="false">IF(Time!AO20&lt;=Time!$F$15,(Waterfall!AO7+AP12)/(1+AO10),0)</f>
        <v>794.648041762326</v>
      </c>
      <c r="AP12" s="13" t="n">
        <f aca="false">IF(Time!AP20&lt;=Time!$F$15,(Waterfall!AP7+AQ12)/(1+AP10),0)</f>
        <v>773.589659929709</v>
      </c>
      <c r="AQ12" s="13" t="n">
        <f aca="false">IF(Time!AQ20&lt;=Time!$F$15,(Waterfall!AQ7+AR12)/(1+AQ10),0)</f>
        <v>751.613319492317</v>
      </c>
      <c r="AR12" s="13" t="n">
        <f aca="false">IF(Time!AR20&lt;=Time!$F$15,(Waterfall!AR7+AS12)/(1+AR10),0)</f>
        <v>729.418230473574</v>
      </c>
      <c r="AS12" s="13" t="n">
        <f aca="false">IF(Time!AS20&lt;=Time!$F$15,(Waterfall!AS7+AT12)/(1+AS10),0)</f>
        <v>705.598912765199</v>
      </c>
      <c r="AT12" s="13" t="n">
        <f aca="false">IF(Time!AT20&lt;=Time!$F$15,(Waterfall!AT7+AU12)/(1+AT10),0)</f>
        <v>681.77921270855</v>
      </c>
      <c r="AU12" s="13" t="n">
        <f aca="false">IF(Time!AU20&lt;=Time!$F$15,(Waterfall!AU7+AV12)/(1+AU10),0)</f>
        <v>651.479678204153</v>
      </c>
      <c r="AV12" s="13" t="n">
        <f aca="false">IF(Time!AV20&lt;=Time!$F$15,(Waterfall!AV7+AW12)/(1+AV10),0)</f>
        <v>624.922994710188</v>
      </c>
      <c r="AW12" s="13" t="n">
        <f aca="false">IF(Time!AW20&lt;=Time!$F$15,(Waterfall!AW7+AX12)/(1+AW10),0)</f>
        <v>596.093876964711</v>
      </c>
      <c r="AX12" s="13" t="n">
        <f aca="false">IF(Time!AX20&lt;=Time!$F$15,(Waterfall!AX7+AY12)/(1+AX10),0)</f>
        <v>566.26018683648</v>
      </c>
      <c r="AY12" s="13" t="n">
        <f aca="false">IF(Time!AY20&lt;=Time!$F$15,(Waterfall!AY7+AZ12)/(1+AY10),0)</f>
        <v>535.010238206363</v>
      </c>
      <c r="AZ12" s="13" t="n">
        <f aca="false">IF(Time!AZ20&lt;=Time!$F$15,(Waterfall!AZ7+BA12)/(1+AZ10),0)</f>
        <v>503.26406320204</v>
      </c>
      <c r="BA12" s="13" t="n">
        <f aca="false">IF(Time!BA20&lt;=Time!$F$15,(Waterfall!BA7+BB12)/(1+BA10),0)</f>
        <v>469.560619318923</v>
      </c>
      <c r="BB12" s="13" t="n">
        <f aca="false">IF(Time!BB20&lt;=Time!$F$15,(Waterfall!BB7+BC12)/(1+BB10),0)</f>
        <v>435.3739840999</v>
      </c>
      <c r="BC12" s="13" t="n">
        <f aca="false">IF(Time!BC20&lt;=Time!$F$15,(Waterfall!BC7+BD12)/(1+BC10),0)</f>
        <v>398.786621395943</v>
      </c>
      <c r="BD12" s="13" t="n">
        <f aca="false">IF(Time!BD20&lt;=Time!$F$15,(Waterfall!BD7+BE12)/(1+BD10),0)</f>
        <v>364.495413774818</v>
      </c>
      <c r="BE12" s="13" t="n">
        <f aca="false">IF(Time!BE20&lt;=Time!$F$15,(Waterfall!BE7+BF12)/(1+BE10),0)</f>
        <v>334.196045802115</v>
      </c>
      <c r="BF12" s="13" t="n">
        <f aca="false">IF(Time!BF20&lt;=Time!$F$15,(Waterfall!BF7+BG12)/(1+BF10),0)</f>
        <v>303.085042456578</v>
      </c>
      <c r="BG12" s="13" t="n">
        <f aca="false">IF(Time!BG20&lt;=Time!$F$15,(Waterfall!BG7+BH12)/(1+BG10),0)</f>
        <v>270.492414032565</v>
      </c>
      <c r="BH12" s="13" t="n">
        <f aca="false">IF(Time!BH20&lt;=Time!$F$15,(Waterfall!BH7+BI12)/(1+BH10),0)</f>
        <v>237.372473313656</v>
      </c>
      <c r="BI12" s="13" t="n">
        <f aca="false">IF(Time!BI20&lt;=Time!$F$15,(Waterfall!BI7+BJ12)/(1+BI10),0)</f>
        <v>202.212263319644</v>
      </c>
      <c r="BJ12" s="13" t="n">
        <f aca="false">IF(Time!BJ20&lt;=Time!$F$15,(Waterfall!BJ7+BK12)/(1+BJ10),0)</f>
        <v>166.73097307398</v>
      </c>
      <c r="BK12" s="13" t="n">
        <f aca="false">IF(Time!BK20&lt;=Time!$F$15,(Waterfall!BK7+BL12)/(1+BK10),0)</f>
        <v>123.190435084614</v>
      </c>
      <c r="BL12" s="13" t="n">
        <f aca="false">IF(Time!BL20&lt;=Time!$F$15,(Waterfall!BL7+BM12)/(1+BL10),0)</f>
        <v>83.81262889794</v>
      </c>
      <c r="BM12" s="13" t="n">
        <f aca="false">IF(Time!BM20&lt;=Time!$F$15,(Waterfall!BM7+BN12)/(1+BM10),0)</f>
        <v>41.0290708524735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1949</v>
      </c>
      <c r="E13" s="0" t="s">
        <v>204</v>
      </c>
      <c r="J13" s="3" t="n">
        <f aca="false">IF(Debt!J115&gt;Inputs!$F$253,(J11+Reserves!J9)/Debt!J115,0)</f>
        <v>0</v>
      </c>
      <c r="K13" s="3" t="n">
        <f aca="false">IF(Debt!K115&gt;Inputs!$F$253,(K11+Reserves!K9)/Debt!K115,0)</f>
        <v>0</v>
      </c>
      <c r="L13" s="3" t="n">
        <f aca="false">IF(Debt!L115&gt;Inputs!$F$253,(L11+Reserves!L9)/Debt!L115,0)</f>
        <v>0</v>
      </c>
      <c r="M13" s="3" t="n">
        <f aca="false">IF(Debt!M115&gt;Inputs!$F$253,(M11+Reserves!M9)/Debt!M115,0)</f>
        <v>0</v>
      </c>
      <c r="N13" s="3" t="n">
        <f aca="false">IF(Debt!N115&gt;Inputs!$F$253,(N11+Reserves!N9)/Debt!N115,0)</f>
        <v>0</v>
      </c>
      <c r="O13" s="3" t="n">
        <f aca="false">IF(Debt!O115&gt;Inputs!$F$253,(O11+Reserves!O9)/Debt!O115,0)</f>
        <v>0</v>
      </c>
      <c r="P13" s="3" t="n">
        <f aca="false">IF(Debt!P115&gt;Inputs!$F$253,(P11+Reserves!P9)/Debt!P115,0)</f>
        <v>1.42346875379025</v>
      </c>
      <c r="Q13" s="3" t="n">
        <f aca="false">IF(Debt!Q115&gt;Inputs!$F$253,(Q11+Reserves!Q9)/Debt!Q115,0)</f>
        <v>1.42091978113043</v>
      </c>
      <c r="R13" s="3" t="n">
        <f aca="false">IF(Debt!R115&gt;Inputs!$F$253,(R11+Reserves!R9)/Debt!R115,0)</f>
        <v>1.4188393545694</v>
      </c>
      <c r="S13" s="3" t="n">
        <f aca="false">IF(Debt!S115&gt;Inputs!$F$253,(S11+Reserves!S9)/Debt!S115,0)</f>
        <v>1.41573510036908</v>
      </c>
      <c r="T13" s="3" t="n">
        <f aca="false">IF(Debt!T115&gt;Inputs!$F$253,(T11+Reserves!T9)/Debt!T115,0)</f>
        <v>1.41394862924697</v>
      </c>
      <c r="U13" s="3" t="n">
        <f aca="false">IF(Debt!U115&gt;Inputs!$F$253,(U11+Reserves!U9)/Debt!U115,0)</f>
        <v>1.40982874928259</v>
      </c>
      <c r="V13" s="3" t="n">
        <f aca="false">IF(Debt!V115&gt;Inputs!$F$253,(V11+Reserves!V9)/Debt!V115,0)</f>
        <v>1.40586219048287</v>
      </c>
      <c r="W13" s="3" t="n">
        <f aca="false">IF(Debt!W115&gt;Inputs!$F$253,(W11+Reserves!W9)/Debt!W115,0)</f>
        <v>1.40161115150867</v>
      </c>
      <c r="X13" s="3" t="n">
        <f aca="false">IF(Debt!X115&gt;Inputs!$F$253,(X11+Reserves!X9)/Debt!X115,0)</f>
        <v>1.396947104787</v>
      </c>
      <c r="Y13" s="3" t="n">
        <f aca="false">IF(Debt!Y115&gt;Inputs!$F$253,(Y11+Reserves!Y9)/Debt!Y115,0)</f>
        <v>1.39165836174739</v>
      </c>
      <c r="Z13" s="3" t="n">
        <f aca="false">IF(Debt!Z115&gt;Inputs!$F$253,(Z11+Reserves!Z9)/Debt!Z115,0)</f>
        <v>1.38639631803249</v>
      </c>
      <c r="AA13" s="3" t="n">
        <f aca="false">IF(Debt!AA115&gt;Inputs!$F$253,(AA11+Reserves!AA9)/Debt!AA115,0)</f>
        <v>1.37928046477493</v>
      </c>
      <c r="AB13" s="3" t="n">
        <f aca="false">IF(Debt!AB115&gt;Inputs!$F$253,(AB11+Reserves!AB9)/Debt!AB115,0)</f>
        <v>1.39911431309472</v>
      </c>
      <c r="AC13" s="3" t="n">
        <f aca="false">IF(Debt!AC115&gt;Inputs!$F$253,(AC11+Reserves!AC9)/Debt!AC115,0)</f>
        <v>1.42035140665458</v>
      </c>
      <c r="AD13" s="3" t="n">
        <f aca="false">IF(Debt!AD115&gt;Inputs!$F$253,(AD11+Reserves!AD9)/Debt!AD115,0)</f>
        <v>1.44479960076617</v>
      </c>
      <c r="AE13" s="3" t="n">
        <f aca="false">IF(Debt!AE115&gt;Inputs!$F$253,(AE11+Reserves!AE9)/Debt!AE115,0)</f>
        <v>1.47305997903781</v>
      </c>
      <c r="AF13" s="3" t="n">
        <f aca="false">IF(Debt!AF115&gt;Inputs!$F$253,(AF11+Reserves!AF9)/Debt!AF115,0)</f>
        <v>1.50923636886523</v>
      </c>
      <c r="AG13" s="3" t="n">
        <f aca="false">IF(Debt!AG115&gt;Inputs!$F$253,(AG11+Reserves!AG9)/Debt!AG115,0)</f>
        <v>1.55852860269847</v>
      </c>
      <c r="AH13" s="3" t="n">
        <f aca="false">IF(Debt!AH115&gt;Inputs!$F$253,(AH11+Reserves!AH9)/Debt!AH115,0)</f>
        <v>1.62128381060748</v>
      </c>
      <c r="AI13" s="3" t="n">
        <f aca="false">IF(Debt!AI115&gt;Inputs!$F$253,(AI11+Reserves!AI9)/Debt!AI115,0)</f>
        <v>1.70419954625121</v>
      </c>
      <c r="AJ13" s="3" t="n">
        <f aca="false">IF(Debt!AJ115&gt;Inputs!$F$253,(AJ11+Reserves!AJ9)/Debt!AJ115,0)</f>
        <v>1.81939023541688</v>
      </c>
      <c r="AK13" s="3" t="n">
        <f aca="false">IF(Debt!AK115&gt;Inputs!$F$253,(AK11+Reserves!AK9)/Debt!AK115,0)</f>
        <v>1.99537723527038</v>
      </c>
      <c r="AL13" s="3" t="n">
        <f aca="false">IF(Debt!AL115&gt;Inputs!$F$253,(AL11+Reserves!AL9)/Debt!AL115,0)</f>
        <v>2.29220679680408</v>
      </c>
      <c r="AM13" s="3" t="n">
        <f aca="false">IF(Debt!AM115&gt;Inputs!$F$253,(AM11+Reserves!AM9)/Debt!AM115,0)</f>
        <v>2.42280542787312</v>
      </c>
      <c r="AN13" s="3" t="n">
        <f aca="false">IF(Debt!AN115&gt;Inputs!$F$253,(AN11+Reserves!AN9)/Debt!AN115,0)</f>
        <v>2.55920883069523</v>
      </c>
      <c r="AO13" s="3" t="n">
        <f aca="false">IF(Debt!AO115&gt;Inputs!$F$253,(AO11+Reserves!AO9)/Debt!AO115,0)</f>
        <v>3.06020479099937</v>
      </c>
      <c r="AP13" s="3" t="n">
        <f aca="false">IF(Debt!AP115&gt;Inputs!$F$253,(AP11+Reserves!AP9)/Debt!AP115,0)</f>
        <v>0</v>
      </c>
      <c r="AQ13" s="3" t="n">
        <f aca="false">IF(Debt!AQ115&gt;Inputs!$F$253,(AQ11+Reserves!AQ9)/Debt!AQ115,0)</f>
        <v>0</v>
      </c>
      <c r="AR13" s="3" t="n">
        <f aca="false">IF(Debt!AR115&gt;Inputs!$F$253,(AR11+Reserves!AR9)/Debt!AR115,0)</f>
        <v>0</v>
      </c>
      <c r="AS13" s="3" t="n">
        <f aca="false">IF(Debt!AS115&gt;Inputs!$F$253,(AS11+Reserves!AS9)/Debt!AS115,0)</f>
        <v>0</v>
      </c>
      <c r="AT13" s="3" t="n">
        <f aca="false">IF(Debt!AT115&gt;Inputs!$F$253,(AT11+Reserves!AT9)/Debt!AT115,0)</f>
        <v>0</v>
      </c>
      <c r="AU13" s="3" t="n">
        <f aca="false">IF(Debt!AU115&gt;Inputs!$F$253,(AU11+Reserves!AU9)/Debt!AU115,0)</f>
        <v>0</v>
      </c>
      <c r="AV13" s="3" t="n">
        <f aca="false">IF(Debt!AV115&gt;Inputs!$F$253,(AV11+Reserves!AV9)/Debt!AV115,0)</f>
        <v>0</v>
      </c>
      <c r="AW13" s="3" t="n">
        <f aca="false">IF(Debt!AW115&gt;Inputs!$F$253,(AW11+Reserves!AW9)/Debt!AW115,0)</f>
        <v>0</v>
      </c>
      <c r="AX13" s="3" t="n">
        <f aca="false">IF(Debt!AX115&gt;Inputs!$F$253,(AX11+Reserves!AX9)/Debt!AX115,0)</f>
        <v>0</v>
      </c>
      <c r="AY13" s="3" t="n">
        <f aca="false">IF(Debt!AY115&gt;Inputs!$F$253,(AY11+Reserves!AY9)/Debt!AY115,0)</f>
        <v>0</v>
      </c>
      <c r="AZ13" s="3" t="n">
        <f aca="false">IF(Debt!AZ115&gt;Inputs!$F$253,(AZ11+Reserves!AZ9)/Debt!AZ115,0)</f>
        <v>0</v>
      </c>
      <c r="BA13" s="3" t="n">
        <f aca="false">IF(Debt!BA115&gt;Inputs!$F$253,(BA11+Reserves!BA9)/Debt!BA115,0)</f>
        <v>0</v>
      </c>
      <c r="BB13" s="3" t="n">
        <f aca="false">IF(Debt!BB115&gt;Inputs!$F$253,(BB11+Reserves!BB9)/Debt!BB115,0)</f>
        <v>0</v>
      </c>
      <c r="BC13" s="3" t="n">
        <f aca="false">IF(Debt!BC115&gt;Inputs!$F$253,(BC11+Reserves!BC9)/Debt!BC115,0)</f>
        <v>0</v>
      </c>
      <c r="BD13" s="3" t="n">
        <f aca="false">IF(Debt!BD115&gt;Inputs!$F$253,(BD11+Reserves!BD9)/Debt!BD115,0)</f>
        <v>0</v>
      </c>
      <c r="BE13" s="3" t="n">
        <f aca="false">IF(Debt!BE115&gt;Inputs!$F$253,(BE11+Reserves!BE9)/Debt!BE115,0)</f>
        <v>0</v>
      </c>
      <c r="BF13" s="3" t="n">
        <f aca="false">IF(Debt!BF115&gt;Inputs!$F$253,(BF11+Reserves!BF9)/Debt!BF115,0)</f>
        <v>0</v>
      </c>
      <c r="BG13" s="3" t="n">
        <f aca="false">IF(Debt!BG115&gt;Inputs!$F$253,(BG11+Reserves!BG9)/Debt!BG115,0)</f>
        <v>0</v>
      </c>
      <c r="BH13" s="3" t="n">
        <f aca="false">IF(Debt!BH115&gt;Inputs!$F$253,(BH11+Reserves!BH9)/Debt!BH115,0)</f>
        <v>0</v>
      </c>
      <c r="BI13" s="3" t="n">
        <f aca="false">IF(Debt!BI115&gt;Inputs!$F$253,(BI11+Reserves!BI9)/Debt!BI115,0)</f>
        <v>0</v>
      </c>
      <c r="BJ13" s="3" t="n">
        <f aca="false">IF(Debt!BJ115&gt;Inputs!$F$253,(BJ11+Reserves!BJ9)/Debt!BJ115,0)</f>
        <v>0</v>
      </c>
      <c r="BK13" s="3" t="n">
        <f aca="false">IF(Debt!BK115&gt;Inputs!$F$253,(BK11+Reserves!BK9)/Debt!BK115,0)</f>
        <v>0</v>
      </c>
      <c r="BL13" s="3" t="n">
        <f aca="false">IF(Debt!BL115&gt;Inputs!$F$253,(BL11+Reserves!BL9)/Debt!BL115,0)</f>
        <v>0</v>
      </c>
      <c r="BM13" s="3" t="n">
        <f aca="false">IF(Debt!BM115&gt;Inputs!$F$253,(BM11+Reserves!BM9)/Debt!BM115,0)</f>
        <v>0</v>
      </c>
      <c r="BN13" s="3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1950</v>
      </c>
      <c r="E14" s="0" t="s">
        <v>204</v>
      </c>
      <c r="J14" s="3" t="n">
        <f aca="false">IF(Debt!J115&gt;Inputs!$F$253,J11/Debt!J115,0)</f>
        <v>0</v>
      </c>
      <c r="K14" s="3" t="n">
        <f aca="false">IF(Debt!K115&gt;Inputs!$F$253,K11/Debt!K115,0)</f>
        <v>0</v>
      </c>
      <c r="L14" s="3" t="n">
        <f aca="false">IF(Debt!L115&gt;Inputs!$F$253,L11/Debt!L115,0)</f>
        <v>0</v>
      </c>
      <c r="M14" s="3" t="n">
        <f aca="false">IF(Debt!M115&gt;Inputs!$F$253,M11/Debt!M115,0)</f>
        <v>0</v>
      </c>
      <c r="N14" s="3" t="n">
        <f aca="false">IF(Debt!N115&gt;Inputs!$F$253,N11/Debt!N115,0)</f>
        <v>0</v>
      </c>
      <c r="O14" s="3" t="n">
        <f aca="false">IF(Debt!O115&gt;Inputs!$F$253,O11/Debt!O115,0)</f>
        <v>0</v>
      </c>
      <c r="P14" s="3" t="n">
        <f aca="false">IF(Debt!P115&gt;Inputs!$F$253,P11/Debt!P115,0)</f>
        <v>1.36379510465284</v>
      </c>
      <c r="Q14" s="3" t="n">
        <f aca="false">IF(Debt!Q115&gt;Inputs!$F$253,Q11/Debt!Q115,0)</f>
        <v>1.36003990503457</v>
      </c>
      <c r="R14" s="3" t="n">
        <f aca="false">IF(Debt!R115&gt;Inputs!$F$253,R11/Debt!R115,0)</f>
        <v>1.35596953862939</v>
      </c>
      <c r="S14" s="3" t="n">
        <f aca="false">IF(Debt!S115&gt;Inputs!$F$253,S11/Debt!S115,0)</f>
        <v>1.35149583848429</v>
      </c>
      <c r="T14" s="3" t="n">
        <f aca="false">IF(Debt!T115&gt;Inputs!$F$253,T11/Debt!T115,0)</f>
        <v>1.34662204615241</v>
      </c>
      <c r="U14" s="3" t="n">
        <f aca="false">IF(Debt!U115&gt;Inputs!$F$253,U11/Debt!U115,0)</f>
        <v>1.34116063709223</v>
      </c>
      <c r="V14" s="3" t="n">
        <f aca="false">IF(Debt!V115&gt;Inputs!$F$253,V11/Debt!V115,0)</f>
        <v>1.33519440620357</v>
      </c>
      <c r="W14" s="3" t="n">
        <f aca="false">IF(Debt!W115&gt;Inputs!$F$253,W11/Debt!W115,0)</f>
        <v>1.32860647853756</v>
      </c>
      <c r="X14" s="3" t="n">
        <f aca="false">IF(Debt!X115&gt;Inputs!$F$253,X11/Debt!X115,0)</f>
        <v>1.32128352772438</v>
      </c>
      <c r="Y14" s="3" t="n">
        <f aca="false">IF(Debt!Y115&gt;Inputs!$F$253,Y11/Debt!Y115,0)</f>
        <v>1.31309853396518</v>
      </c>
      <c r="Z14" s="3" t="n">
        <f aca="false">IF(Debt!Z115&gt;Inputs!$F$253,Z11/Debt!Z115,0)</f>
        <v>1.30391220333388</v>
      </c>
      <c r="AA14" s="3" t="n">
        <f aca="false">IF(Debt!AA115&gt;Inputs!$F$253,AA11/Debt!AA115,0)</f>
        <v>1.29343729276573</v>
      </c>
      <c r="AB14" s="3" t="n">
        <f aca="false">IF(Debt!AB115&gt;Inputs!$F$253,AB11/Debt!AB115,0)</f>
        <v>1.30548271778455</v>
      </c>
      <c r="AC14" s="3" t="n">
        <f aca="false">IF(Debt!AC115&gt;Inputs!$F$253,AC11/Debt!AC115,0)</f>
        <v>1.32264106091317</v>
      </c>
      <c r="AD14" s="3" t="n">
        <f aca="false">IF(Debt!AD115&gt;Inputs!$F$253,AD11/Debt!AD115,0)</f>
        <v>1.33999331184734</v>
      </c>
      <c r="AE14" s="3" t="n">
        <f aca="false">IF(Debt!AE115&gt;Inputs!$F$253,AE11/Debt!AE115,0)</f>
        <v>1.36065930498631</v>
      </c>
      <c r="AF14" s="3" t="n">
        <f aca="false">IF(Debt!AF115&gt;Inputs!$F$253,AF11/Debt!AF115,0)</f>
        <v>1.3837678849729</v>
      </c>
      <c r="AG14" s="3" t="n">
        <f aca="false">IF(Debt!AG115&gt;Inputs!$F$253,AG11/Debt!AG115,0)</f>
        <v>1.42173187689204</v>
      </c>
      <c r="AH14" s="3" t="n">
        <f aca="false">IF(Debt!AH115&gt;Inputs!$F$253,AH11/Debt!AH115,0)</f>
        <v>1.46851633676802</v>
      </c>
      <c r="AI14" s="3" t="n">
        <f aca="false">IF(Debt!AI115&gt;Inputs!$F$253,AI11/Debt!AI115,0)</f>
        <v>1.53211204599427</v>
      </c>
      <c r="AJ14" s="3" t="n">
        <f aca="false">IF(Debt!AJ115&gt;Inputs!$F$253,AJ11/Debt!AJ115,0)</f>
        <v>1.61695116695136</v>
      </c>
      <c r="AK14" s="3" t="n">
        <f aca="false">IF(Debt!AK115&gt;Inputs!$F$253,AK11/Debt!AK115,0)</f>
        <v>1.75276455416396</v>
      </c>
      <c r="AL14" s="3" t="n">
        <f aca="false">IF(Debt!AL115&gt;Inputs!$F$253,AL11/Debt!AL115,0)</f>
        <v>1.9825858729107</v>
      </c>
      <c r="AM14" s="3" t="n">
        <f aca="false">IF(Debt!AM115&gt;Inputs!$F$253,AM11/Debt!AM115,0)</f>
        <v>2.0503354666301</v>
      </c>
      <c r="AN14" s="3" t="n">
        <f aca="false">IF(Debt!AN115&gt;Inputs!$F$253,AN11/Debt!AN115,0)</f>
        <v>2.03536189508943</v>
      </c>
      <c r="AO14" s="3" t="n">
        <f aca="false">IF(Debt!AO115&gt;Inputs!$F$253,AO11/Debt!AO115,0)</f>
        <v>2.02923927555118</v>
      </c>
      <c r="AP14" s="3" t="n">
        <f aca="false">IF(Debt!AP115&gt;Inputs!$F$253,AP11/Debt!AP115,0)</f>
        <v>0</v>
      </c>
      <c r="AQ14" s="3" t="n">
        <f aca="false">IF(Debt!AQ115&gt;Inputs!$F$253,AQ11/Debt!AQ115,0)</f>
        <v>0</v>
      </c>
      <c r="AR14" s="3" t="n">
        <f aca="false">IF(Debt!AR115&gt;Inputs!$F$253,AR11/Debt!AR115,0)</f>
        <v>0</v>
      </c>
      <c r="AS14" s="3" t="n">
        <f aca="false">IF(Debt!AS115&gt;Inputs!$F$253,AS11/Debt!AS115,0)</f>
        <v>0</v>
      </c>
      <c r="AT14" s="3" t="n">
        <f aca="false">IF(Debt!AT115&gt;Inputs!$F$253,AT11/Debt!AT115,0)</f>
        <v>0</v>
      </c>
      <c r="AU14" s="3" t="n">
        <f aca="false">IF(Debt!AU115&gt;Inputs!$F$253,AU11/Debt!AU115,0)</f>
        <v>0</v>
      </c>
      <c r="AV14" s="3" t="n">
        <f aca="false">IF(Debt!AV115&gt;Inputs!$F$253,AV11/Debt!AV115,0)</f>
        <v>0</v>
      </c>
      <c r="AW14" s="3" t="n">
        <f aca="false">IF(Debt!AW115&gt;Inputs!$F$253,AW11/Debt!AW115,0)</f>
        <v>0</v>
      </c>
      <c r="AX14" s="3" t="n">
        <f aca="false">IF(Debt!AX115&gt;Inputs!$F$253,AX11/Debt!AX115,0)</f>
        <v>0</v>
      </c>
      <c r="AY14" s="3" t="n">
        <f aca="false">IF(Debt!AY115&gt;Inputs!$F$253,AY11/Debt!AY115,0)</f>
        <v>0</v>
      </c>
      <c r="AZ14" s="3" t="n">
        <f aca="false">IF(Debt!AZ115&gt;Inputs!$F$253,AZ11/Debt!AZ115,0)</f>
        <v>0</v>
      </c>
      <c r="BA14" s="3" t="n">
        <f aca="false">IF(Debt!BA115&gt;Inputs!$F$253,BA11/Debt!BA115,0)</f>
        <v>0</v>
      </c>
      <c r="BB14" s="3" t="n">
        <f aca="false">IF(Debt!BB115&gt;Inputs!$F$253,BB11/Debt!BB115,0)</f>
        <v>0</v>
      </c>
      <c r="BC14" s="3" t="n">
        <f aca="false">IF(Debt!BC115&gt;Inputs!$F$253,BC11/Debt!BC115,0)</f>
        <v>0</v>
      </c>
      <c r="BD14" s="3" t="n">
        <f aca="false">IF(Debt!BD115&gt;Inputs!$F$253,BD11/Debt!BD115,0)</f>
        <v>0</v>
      </c>
      <c r="BE14" s="3" t="n">
        <f aca="false">IF(Debt!BE115&gt;Inputs!$F$253,BE11/Debt!BE115,0)</f>
        <v>0</v>
      </c>
      <c r="BF14" s="3" t="n">
        <f aca="false">IF(Debt!BF115&gt;Inputs!$F$253,BF11/Debt!BF115,0)</f>
        <v>0</v>
      </c>
      <c r="BG14" s="3" t="n">
        <f aca="false">IF(Debt!BG115&gt;Inputs!$F$253,BG11/Debt!BG115,0)</f>
        <v>0</v>
      </c>
      <c r="BH14" s="3" t="n">
        <f aca="false">IF(Debt!BH115&gt;Inputs!$F$253,BH11/Debt!BH115,0)</f>
        <v>0</v>
      </c>
      <c r="BI14" s="3" t="n">
        <f aca="false">IF(Debt!BI115&gt;Inputs!$F$253,BI11/Debt!BI115,0)</f>
        <v>0</v>
      </c>
      <c r="BJ14" s="3" t="n">
        <f aca="false">IF(Debt!BJ115&gt;Inputs!$F$253,BJ11/Debt!BJ115,0)</f>
        <v>0</v>
      </c>
      <c r="BK14" s="3" t="n">
        <f aca="false">IF(Debt!BK115&gt;Inputs!$F$253,BK11/Debt!BK115,0)</f>
        <v>0</v>
      </c>
      <c r="BL14" s="3" t="n">
        <f aca="false">IF(Debt!BL115&gt;Inputs!$F$253,BL11/Debt!BL115,0)</f>
        <v>0</v>
      </c>
      <c r="BM14" s="3" t="n">
        <f aca="false">IF(Debt!BM115&gt;Inputs!$F$253,BM11/Debt!BM115,0)</f>
        <v>0</v>
      </c>
      <c r="BN14" s="3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1951</v>
      </c>
      <c r="E15" s="0" t="s">
        <v>204</v>
      </c>
      <c r="J15" s="3" t="n">
        <f aca="false">IF(Debt!J115&gt;Inputs!$F$253,J12/Debt!J115,0)</f>
        <v>0</v>
      </c>
      <c r="K15" s="3" t="n">
        <f aca="false">IF(Debt!K115&gt;Inputs!$F$253,K12/Debt!K115,0)</f>
        <v>0</v>
      </c>
      <c r="L15" s="3" t="n">
        <f aca="false">IF(Debt!L115&gt;Inputs!$F$253,L12/Debt!L115,0)</f>
        <v>0</v>
      </c>
      <c r="M15" s="3" t="n">
        <f aca="false">IF(Debt!M115&gt;Inputs!$F$253,M12/Debt!M115,0)</f>
        <v>0</v>
      </c>
      <c r="N15" s="3" t="n">
        <f aca="false">IF(Debt!N115&gt;Inputs!$F$253,N12/Debt!N115,0)</f>
        <v>0</v>
      </c>
      <c r="O15" s="3" t="n">
        <f aca="false">IF(Debt!O115&gt;Inputs!$F$253,O12/Debt!O115,0)</f>
        <v>0</v>
      </c>
      <c r="P15" s="3" t="n">
        <f aca="false">IF(Debt!P115&gt;Inputs!$F$253,P12/Debt!P115,0)</f>
        <v>1.84065590483414</v>
      </c>
      <c r="Q15" s="3" t="n">
        <f aca="false">IF(Debt!Q115&gt;Inputs!$F$253,Q12/Debt!Q115,0)</f>
        <v>1.86606682008385</v>
      </c>
      <c r="R15" s="3" t="n">
        <f aca="false">IF(Debt!R115&gt;Inputs!$F$253,R12/Debt!R115,0)</f>
        <v>1.89361042527062</v>
      </c>
      <c r="S15" s="3" t="n">
        <f aca="false">IF(Debt!S115&gt;Inputs!$F$253,S12/Debt!S115,0)</f>
        <v>1.92388333398649</v>
      </c>
      <c r="T15" s="3" t="n">
        <f aca="false">IF(Debt!T115&gt;Inputs!$F$253,T12/Debt!T115,0)</f>
        <v>1.95686361104163</v>
      </c>
      <c r="U15" s="3" t="n">
        <f aca="false">IF(Debt!U115&gt;Inputs!$F$253,U12/Debt!U115,0)</f>
        <v>1.99382020905952</v>
      </c>
      <c r="V15" s="3" t="n">
        <f aca="false">IF(Debt!V115&gt;Inputs!$F$253,V12/Debt!V115,0)</f>
        <v>2.03419286638746</v>
      </c>
      <c r="W15" s="3" t="n">
        <f aca="false">IF(Debt!W115&gt;Inputs!$F$253,W12/Debt!W115,0)</f>
        <v>2.07877245963817</v>
      </c>
      <c r="X15" s="3" t="n">
        <f aca="false">IF(Debt!X115&gt;Inputs!$F$253,X12/Debt!X115,0)</f>
        <v>2.12832585259816</v>
      </c>
      <c r="Y15" s="3" t="n">
        <f aca="false">IF(Debt!Y115&gt;Inputs!$F$253,Y12/Debt!Y115,0)</f>
        <v>2.1837125706926</v>
      </c>
      <c r="Z15" s="3" t="n">
        <f aca="false">IF(Debt!Z115&gt;Inputs!$F$253,Z12/Debt!Z115,0)</f>
        <v>2.24587519655231</v>
      </c>
      <c r="AA15" s="3" t="n">
        <f aca="false">IF(Debt!AA115&gt;Inputs!$F$253,AA12/Debt!AA115,0)</f>
        <v>2.31675746422974</v>
      </c>
      <c r="AB15" s="3" t="n">
        <f aca="false">IF(Debt!AB115&gt;Inputs!$F$253,AB12/Debt!AB115,0)</f>
        <v>2.44195967329656</v>
      </c>
      <c r="AC15" s="3" t="n">
        <f aca="false">IF(Debt!AC115&gt;Inputs!$F$253,AC12/Debt!AC115,0)</f>
        <v>2.59989601965906</v>
      </c>
      <c r="AD15" s="3" t="n">
        <f aca="false">IF(Debt!AD115&gt;Inputs!$F$253,AD12/Debt!AD115,0)</f>
        <v>2.78341616324707</v>
      </c>
      <c r="AE15" s="3" t="n">
        <f aca="false">IF(Debt!AE115&gt;Inputs!$F$253,AE12/Debt!AE115,0)</f>
        <v>3.01197437793464</v>
      </c>
      <c r="AF15" s="3" t="n">
        <f aca="false">IF(Debt!AF115&gt;Inputs!$F$253,AF12/Debt!AF115,0)</f>
        <v>3.28640934796273</v>
      </c>
      <c r="AG15" s="3" t="n">
        <f aca="false">IF(Debt!AG115&gt;Inputs!$F$253,AG12/Debt!AG115,0)</f>
        <v>3.64380804389282</v>
      </c>
      <c r="AH15" s="3" t="n">
        <f aca="false">IF(Debt!AH115&gt;Inputs!$F$253,AH12/Debt!AH115,0)</f>
        <v>4.10958542746631</v>
      </c>
      <c r="AI15" s="3" t="n">
        <f aca="false">IF(Debt!AI115&gt;Inputs!$F$253,AI12/Debt!AI115,0)</f>
        <v>4.75608881284424</v>
      </c>
      <c r="AJ15" s="3" t="n">
        <f aca="false">IF(Debt!AJ115&gt;Inputs!$F$253,AJ12/Debt!AJ115,0)</f>
        <v>5.67180862980295</v>
      </c>
      <c r="AK15" s="3" t="n">
        <f aca="false">IF(Debt!AK115&gt;Inputs!$F$253,AK12/Debt!AK115,0)</f>
        <v>7.15738955720916</v>
      </c>
      <c r="AL15" s="3" t="n">
        <f aca="false">IF(Debt!AL115&gt;Inputs!$F$253,AL12/Debt!AL115,0)</f>
        <v>9.79060432774391</v>
      </c>
      <c r="AM15" s="3" t="n">
        <f aca="false">IF(Debt!AM115&gt;Inputs!$F$253,AM12/Debt!AM115,0)</f>
        <v>13.1343547764861</v>
      </c>
      <c r="AN15" s="3" t="n">
        <f aca="false">IF(Debt!AN115&gt;Inputs!$F$253,AN12/Debt!AN115,0)</f>
        <v>18.9498352403489</v>
      </c>
      <c r="AO15" s="3" t="n">
        <f aca="false">IF(Debt!AO115&gt;Inputs!$F$253,AO12/Debt!AO115,0)</f>
        <v>36.4055927613094</v>
      </c>
      <c r="AP15" s="3" t="n">
        <f aca="false">IF(Debt!AP115&gt;Inputs!$F$253,AP12/Debt!AP115,0)</f>
        <v>0</v>
      </c>
      <c r="AQ15" s="3" t="n">
        <f aca="false">IF(Debt!AQ115&gt;Inputs!$F$253,AQ12/Debt!AQ115,0)</f>
        <v>0</v>
      </c>
      <c r="AR15" s="3" t="n">
        <f aca="false">IF(Debt!AR115&gt;Inputs!$F$253,AR12/Debt!AR115,0)</f>
        <v>0</v>
      </c>
      <c r="AS15" s="3" t="n">
        <f aca="false">IF(Debt!AS115&gt;Inputs!$F$253,AS12/Debt!AS115,0)</f>
        <v>0</v>
      </c>
      <c r="AT15" s="3" t="n">
        <f aca="false">IF(Debt!AT115&gt;Inputs!$F$253,AT12/Debt!AT115,0)</f>
        <v>0</v>
      </c>
      <c r="AU15" s="3" t="n">
        <f aca="false">IF(Debt!AU115&gt;Inputs!$F$253,AU12/Debt!AU115,0)</f>
        <v>0</v>
      </c>
      <c r="AV15" s="3" t="n">
        <f aca="false">IF(Debt!AV115&gt;Inputs!$F$253,AV12/Debt!AV115,0)</f>
        <v>0</v>
      </c>
      <c r="AW15" s="3" t="n">
        <f aca="false">IF(Debt!AW115&gt;Inputs!$F$253,AW12/Debt!AW115,0)</f>
        <v>0</v>
      </c>
      <c r="AX15" s="3" t="n">
        <f aca="false">IF(Debt!AX115&gt;Inputs!$F$253,AX12/Debt!AX115,0)</f>
        <v>0</v>
      </c>
      <c r="AY15" s="3" t="n">
        <f aca="false">IF(Debt!AY115&gt;Inputs!$F$253,AY12/Debt!AY115,0)</f>
        <v>0</v>
      </c>
      <c r="AZ15" s="3" t="n">
        <f aca="false">IF(Debt!AZ115&gt;Inputs!$F$253,AZ12/Debt!AZ115,0)</f>
        <v>0</v>
      </c>
      <c r="BA15" s="3" t="n">
        <f aca="false">IF(Debt!BA115&gt;Inputs!$F$253,BA12/Debt!BA115,0)</f>
        <v>0</v>
      </c>
      <c r="BB15" s="3" t="n">
        <f aca="false">IF(Debt!BB115&gt;Inputs!$F$253,BB12/Debt!BB115,0)</f>
        <v>0</v>
      </c>
      <c r="BC15" s="3" t="n">
        <f aca="false">IF(Debt!BC115&gt;Inputs!$F$253,BC12/Debt!BC115,0)</f>
        <v>0</v>
      </c>
      <c r="BD15" s="3" t="n">
        <f aca="false">IF(Debt!BD115&gt;Inputs!$F$253,BD12/Debt!BD115,0)</f>
        <v>0</v>
      </c>
      <c r="BE15" s="3" t="n">
        <f aca="false">IF(Debt!BE115&gt;Inputs!$F$253,BE12/Debt!BE115,0)</f>
        <v>0</v>
      </c>
      <c r="BF15" s="3" t="n">
        <f aca="false">IF(Debt!BF115&gt;Inputs!$F$253,BF12/Debt!BF115,0)</f>
        <v>0</v>
      </c>
      <c r="BG15" s="3" t="n">
        <f aca="false">IF(Debt!BG115&gt;Inputs!$F$253,BG12/Debt!BG115,0)</f>
        <v>0</v>
      </c>
      <c r="BH15" s="3" t="n">
        <f aca="false">IF(Debt!BH115&gt;Inputs!$F$253,BH12/Debt!BH115,0)</f>
        <v>0</v>
      </c>
      <c r="BI15" s="3" t="n">
        <f aca="false">IF(Debt!BI115&gt;Inputs!$F$253,BI12/Debt!BI115,0)</f>
        <v>0</v>
      </c>
      <c r="BJ15" s="3" t="n">
        <f aca="false">IF(Debt!BJ115&gt;Inputs!$F$253,BJ12/Debt!BJ115,0)</f>
        <v>0</v>
      </c>
      <c r="BK15" s="3" t="n">
        <f aca="false">IF(Debt!BK115&gt;Inputs!$F$253,BK12/Debt!BK115,0)</f>
        <v>0</v>
      </c>
      <c r="BL15" s="3" t="n">
        <f aca="false">IF(Debt!BL115&gt;Inputs!$F$253,BL12/Debt!BL115,0)</f>
        <v>0</v>
      </c>
      <c r="BM15" s="3" t="n">
        <f aca="false">IF(Debt!BM115&gt;Inputs!$F$253,BM12/Debt!BM115,0)</f>
        <v>0</v>
      </c>
      <c r="BN15" s="3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1952</v>
      </c>
      <c r="E16" s="0" t="s">
        <v>204</v>
      </c>
      <c r="F16" s="3" t="n">
        <f aca="false">_xlfn.MINIFS(Waterfall!$J$17:$BN$17,Debt!$J$114:$BN$114,"&gt;"&amp;Inputs!$F$253)</f>
        <v>1.42008384419861</v>
      </c>
    </row>
    <row r="17" customFormat="false" ht="15" hidden="false" customHeight="false" outlineLevel="0" collapsed="false">
      <c r="D17" s="0" t="s">
        <v>1953</v>
      </c>
      <c r="E17" s="0" t="s">
        <v>204</v>
      </c>
      <c r="F17" s="3" t="n">
        <f aca="false">SUMIFS(Waterfall!$J$7:$BN$7,Debt!$J$114:$BN$114,"&gt;"&amp;Inputs!$F$253)/SUM(Debt!$J$114:$BN$114)</f>
        <v>1.52701687981106</v>
      </c>
    </row>
    <row r="18" customFormat="false" ht="15" hidden="false" customHeight="false" outlineLevel="0" collapsed="false">
      <c r="D18" s="0" t="s">
        <v>1954</v>
      </c>
      <c r="E18" s="0" t="s">
        <v>204</v>
      </c>
      <c r="F18" s="3" t="n">
        <f aca="false">INDEX(Ratios!$J$13:$BN$13,1,Time!$F$13)</f>
        <v>1.42346875379025</v>
      </c>
    </row>
    <row r="19" customFormat="false" ht="15" hidden="false" customHeight="false" outlineLevel="0" collapsed="false">
      <c r="D19" s="0" t="s">
        <v>1955</v>
      </c>
      <c r="E19" s="0" t="s">
        <v>204</v>
      </c>
      <c r="F19" s="3" t="n">
        <f aca="false">INDEX(Ratios!$J$15:$BN$15,1,Time!$F$13)</f>
        <v>1.84065590483414</v>
      </c>
    </row>
    <row r="20" customFormat="false" ht="15" hidden="false" customHeight="false" outlineLevel="0" collapsed="false">
      <c r="D20" s="0" t="s">
        <v>1956</v>
      </c>
      <c r="E20" s="0" t="s">
        <v>204</v>
      </c>
      <c r="J20" s="3" t="n">
        <f aca="false">IF(Debt!K114&gt;Inputs!$F$253,(Waterfall!K7+IF(Debt!L114&gt;Inputs!$F$253,Waterfall!L7,0))/(Debt!K114+Debt!L114),0)</f>
        <v>0</v>
      </c>
      <c r="K20" s="3" t="n">
        <f aca="false">IF(Debt!L114&gt;Inputs!$F$253,(Waterfall!L7+IF(Debt!M114&gt;Inputs!$F$253,Waterfall!M7,0))/(Debt!L114+Debt!M114),0)</f>
        <v>0</v>
      </c>
      <c r="L20" s="3" t="n">
        <f aca="false">IF(Debt!M114&gt;Inputs!$F$253,(Waterfall!M7+IF(Debt!N114&gt;Inputs!$F$253,Waterfall!N7,0))/(Debt!M114+Debt!N114),0)</f>
        <v>0</v>
      </c>
      <c r="M20" s="3" t="n">
        <f aca="false">IF(Debt!N114&gt;Inputs!$F$253,(Waterfall!N7+IF(Debt!O114&gt;Inputs!$F$253,Waterfall!O7,0))/(Debt!N114+Debt!O114),0)</f>
        <v>0</v>
      </c>
      <c r="N20" s="3" t="n">
        <f aca="false">IF(Debt!O114&gt;Inputs!$F$253,(Waterfall!O7+IF(Debt!P114&gt;Inputs!$F$253,Waterfall!P7,0))/(Debt!O114+Debt!P114),0)</f>
        <v>0</v>
      </c>
      <c r="O20" s="3" t="n">
        <f aca="false">IF(Debt!P114&gt;Inputs!$F$253,(Waterfall!P7+IF(Debt!Q114&gt;Inputs!$F$253,Waterfall!Q7,0))/(Debt!P114+Debt!Q114),0)</f>
        <v>1.42519195176489</v>
      </c>
      <c r="P20" s="3" t="n">
        <f aca="false">IF(Debt!Q114&gt;Inputs!$F$253,(Waterfall!Q7+IF(Debt!R114&gt;Inputs!$F$253,Waterfall!R7,0))/(Debt!Q114+Debt!R114),0)</f>
        <v>1.42519195175984</v>
      </c>
      <c r="Q20" s="3" t="n">
        <f aca="false">IF(Debt!R114&gt;Inputs!$F$253,(Waterfall!R7+IF(Debt!S114&gt;Inputs!$F$253,Waterfall!S7,0))/(Debt!R114+Debt!S114),0)</f>
        <v>1.42519195175979</v>
      </c>
      <c r="R20" s="3" t="n">
        <f aca="false">IF(Debt!S114&gt;Inputs!$F$253,(Waterfall!S7+IF(Debt!T114&gt;Inputs!$F$253,Waterfall!T7,0))/(Debt!S114+Debt!T114),0)</f>
        <v>1.42519195176287</v>
      </c>
      <c r="S20" s="3" t="n">
        <f aca="false">IF(Debt!T114&gt;Inputs!$F$253,(Waterfall!T7+IF(Debt!U114&gt;Inputs!$F$253,Waterfall!U7,0))/(Debt!T114+Debt!U114),0)</f>
        <v>1.42519195176082</v>
      </c>
      <c r="T20" s="3" t="n">
        <f aca="false">IF(Debt!U114&gt;Inputs!$F$253,(Waterfall!U7+IF(Debt!V114&gt;Inputs!$F$253,Waterfall!V7,0))/(Debt!U114+Debt!V114),0)</f>
        <v>1.42519195176687</v>
      </c>
      <c r="U20" s="3" t="n">
        <f aca="false">IF(Debt!V114&gt;Inputs!$F$253,(Waterfall!V7+IF(Debt!W114&gt;Inputs!$F$253,Waterfall!W7,0))/(Debt!V114+Debt!W114),0)</f>
        <v>1.42519195178124</v>
      </c>
      <c r="V20" s="3" t="n">
        <f aca="false">IF(Debt!W114&gt;Inputs!$F$253,(Waterfall!W7+IF(Debt!X114&gt;Inputs!$F$253,Waterfall!X7,0))/(Debt!W114+Debt!X114),0)</f>
        <v>1.42519195178915</v>
      </c>
      <c r="W20" s="3" t="n">
        <f aca="false">IF(Debt!X114&gt;Inputs!$F$253,(Waterfall!X7+IF(Debt!Y114&gt;Inputs!$F$253,Waterfall!Y7,0))/(Debt!X114+Debt!Y114),0)</f>
        <v>1.42519195179547</v>
      </c>
      <c r="X20" s="3" t="n">
        <f aca="false">IF(Debt!Y114&gt;Inputs!$F$253,(Waterfall!Y7+IF(Debt!Z114&gt;Inputs!$F$253,Waterfall!Z7,0))/(Debt!Y114+Debt!Z114),0)</f>
        <v>1.42519195180462</v>
      </c>
      <c r="Y20" s="3" t="n">
        <f aca="false">IF(Debt!Z114&gt;Inputs!$F$253,(Waterfall!Z7+IF(Debt!AA114&gt;Inputs!$F$253,Waterfall!AA7,0))/(Debt!Z114+Debt!AA114),0)</f>
        <v>1.42519195181172</v>
      </c>
      <c r="Z20" s="3" t="n">
        <f aca="false">IF(Debt!AA114&gt;Inputs!$F$253,(Waterfall!AA7+IF(Debt!AB114&gt;Inputs!$F$253,Waterfall!AB7,0))/(Debt!AA114+Debt!AB114),0)</f>
        <v>1.43920164528746</v>
      </c>
      <c r="AA20" s="3" t="n">
        <f aca="false">IF(Debt!AB114&gt;Inputs!$F$253,(Waterfall!AB7+IF(Debt!AC114&gt;Inputs!$F$253,Waterfall!AC7,0))/(Debt!AB114+Debt!AC114),0)</f>
        <v>1.47139373229315</v>
      </c>
      <c r="AB20" s="3" t="n">
        <f aca="false">IF(Debt!AC114&gt;Inputs!$F$253,(Waterfall!AC7+IF(Debt!AD114&gt;Inputs!$F$253,Waterfall!AD7,0))/(Debt!AC114+Debt!AD114),0)</f>
        <v>1.51080001590137</v>
      </c>
      <c r="AC20" s="3" t="n">
        <f aca="false">IF(Debt!AD114&gt;Inputs!$F$253,(Waterfall!AD7+IF(Debt!AE114&gt;Inputs!$F$253,Waterfall!AE7,0))/(Debt!AD114+Debt!AE114),0)</f>
        <v>1.52645391115844</v>
      </c>
      <c r="AD20" s="3" t="n">
        <f aca="false">IF(Debt!AE114&gt;Inputs!$F$253,(Waterfall!AE7+IF(Debt!AF114&gt;Inputs!$F$253,Waterfall!AF7,0))/(Debt!AE114+Debt!AF114),0)</f>
        <v>1.47049875816989</v>
      </c>
      <c r="AE20" s="3" t="n">
        <f aca="false">IF(Debt!AF114&gt;Inputs!$F$253,(Waterfall!AF7+IF(Debt!AG114&gt;Inputs!$F$253,Waterfall!AG7,0))/(Debt!AF114+Debt!AG114),0)</f>
        <v>1.43867004876784</v>
      </c>
      <c r="AF20" s="3" t="n">
        <f aca="false">IF(Debt!AG114&gt;Inputs!$F$253,(Waterfall!AG7+IF(Debt!AH114&gt;Inputs!$F$253,Waterfall!AH7,0))/(Debt!AG114+Debt!AH114),0)</f>
        <v>1.48097396988789</v>
      </c>
      <c r="AG20" s="3" t="n">
        <f aca="false">IF(Debt!AH114&gt;Inputs!$F$253,(Waterfall!AH7+IF(Debt!AI114&gt;Inputs!$F$253,Waterfall!AI7,0))/(Debt!AH114+Debt!AI114),0)</f>
        <v>1.53086445511524</v>
      </c>
      <c r="AH20" s="3" t="n">
        <f aca="false">IF(Debt!AI114&gt;Inputs!$F$253,(Waterfall!AI7+IF(Debt!AJ114&gt;Inputs!$F$253,Waterfall!AJ7,0))/(Debt!AI114+Debt!AJ114),0)</f>
        <v>1.59844170081135</v>
      </c>
      <c r="AI20" s="3" t="n">
        <f aca="false">IF(Debt!AJ114&gt;Inputs!$F$253,(Waterfall!AJ7+IF(Debt!AK114&gt;Inputs!$F$253,Waterfall!AK7,0))/(Debt!AJ114+Debt!AK114),0)</f>
        <v>1.70222753177858</v>
      </c>
      <c r="AJ20" s="3" t="n">
        <f aca="false">IF(Debt!AK114&gt;Inputs!$F$253,(Waterfall!AK7+IF(Debt!AL114&gt;Inputs!$F$253,Waterfall!AL7,0))/(Debt!AK114+Debt!AL114),0)</f>
        <v>1.89947460393663</v>
      </c>
      <c r="AK20" s="3" t="n">
        <f aca="false">IF(Debt!AL114&gt;Inputs!$F$253,(Waterfall!AL7+IF(Debt!AM114&gt;Inputs!$F$253,Waterfall!AM7,0))/(Debt!AL114+Debt!AM114),0)</f>
        <v>2.06239694423675</v>
      </c>
      <c r="AL20" s="3" t="n">
        <f aca="false">IF(Debt!AM114&gt;Inputs!$F$253,(Waterfall!AM7+IF(Debt!AN114&gt;Inputs!$F$253,Waterfall!AN7,0))/(Debt!AM114+Debt!AN114),0)</f>
        <v>2.06008570108316</v>
      </c>
      <c r="AM20" s="3" t="n">
        <f aca="false">IF(Debt!AN114&gt;Inputs!$F$253,(Waterfall!AN7+IF(Debt!AO114&gt;Inputs!$F$253,Waterfall!AO7,0))/(Debt!AN114+Debt!AO114),0)</f>
        <v>2.03527000955186</v>
      </c>
      <c r="AN20" s="3" t="n">
        <f aca="false">IF(Debt!AO114&gt;Inputs!$F$253,(Waterfall!AO7+IF(Debt!AP114&gt;Inputs!$F$253,Waterfall!AP7,0))/(Debt!AO114+Debt!AP114),0)</f>
        <v>2.02923927555118</v>
      </c>
      <c r="AO20" s="3" t="n">
        <f aca="false">IF(Debt!AP114&gt;Inputs!$F$253,(Waterfall!AP7+IF(Debt!AQ114&gt;Inputs!$F$253,Waterfall!AQ7,0))/(Debt!AP114+Debt!AQ114),0)</f>
        <v>0</v>
      </c>
      <c r="AP20" s="3" t="n">
        <f aca="false">IF(Debt!AQ114&gt;Inputs!$F$253,(Waterfall!AQ7+IF(Debt!AR114&gt;Inputs!$F$253,Waterfall!AR7,0))/(Debt!AQ114+Debt!AR114),0)</f>
        <v>0</v>
      </c>
      <c r="AQ20" s="3" t="n">
        <f aca="false">IF(Debt!AR114&gt;Inputs!$F$253,(Waterfall!AR7+IF(Debt!AS114&gt;Inputs!$F$253,Waterfall!AS7,0))/(Debt!AR114+Debt!AS114),0)</f>
        <v>0</v>
      </c>
      <c r="AR20" s="3" t="n">
        <f aca="false">IF(Debt!AS114&gt;Inputs!$F$253,(Waterfall!AS7+IF(Debt!AT114&gt;Inputs!$F$253,Waterfall!AT7,0))/(Debt!AS114+Debt!AT114),0)</f>
        <v>0</v>
      </c>
      <c r="AS20" s="3" t="n">
        <f aca="false">IF(Debt!AT114&gt;Inputs!$F$253,(Waterfall!AT7+IF(Debt!AU114&gt;Inputs!$F$253,Waterfall!AU7,0))/(Debt!AT114+Debt!AU114),0)</f>
        <v>0</v>
      </c>
      <c r="AT20" s="3" t="n">
        <f aca="false">IF(Debt!AU114&gt;Inputs!$F$253,(Waterfall!AU7+IF(Debt!AV114&gt;Inputs!$F$253,Waterfall!AV7,0))/(Debt!AU114+Debt!AV114),0)</f>
        <v>0</v>
      </c>
      <c r="AU20" s="3" t="n">
        <f aca="false">IF(Debt!AV114&gt;Inputs!$F$253,(Waterfall!AV7+IF(Debt!AW114&gt;Inputs!$F$253,Waterfall!AW7,0))/(Debt!AV114+Debt!AW114),0)</f>
        <v>0</v>
      </c>
      <c r="AV20" s="3" t="n">
        <f aca="false">IF(Debt!AW114&gt;Inputs!$F$253,(Waterfall!AW7+IF(Debt!AX114&gt;Inputs!$F$253,Waterfall!AX7,0))/(Debt!AW114+Debt!AX114),0)</f>
        <v>0</v>
      </c>
      <c r="AW20" s="3" t="n">
        <f aca="false">IF(Debt!AX114&gt;Inputs!$F$253,(Waterfall!AX7+IF(Debt!AY114&gt;Inputs!$F$253,Waterfall!AY7,0))/(Debt!AX114+Debt!AY114),0)</f>
        <v>0</v>
      </c>
      <c r="AX20" s="3" t="n">
        <f aca="false">IF(Debt!AY114&gt;Inputs!$F$253,(Waterfall!AY7+IF(Debt!AZ114&gt;Inputs!$F$253,Waterfall!AZ7,0))/(Debt!AY114+Debt!AZ114),0)</f>
        <v>0</v>
      </c>
      <c r="AY20" s="3" t="n">
        <f aca="false">IF(Debt!AZ114&gt;Inputs!$F$253,(Waterfall!AZ7+IF(Debt!BA114&gt;Inputs!$F$253,Waterfall!BA7,0))/(Debt!AZ114+Debt!BA114),0)</f>
        <v>0</v>
      </c>
      <c r="AZ20" s="3" t="n">
        <f aca="false">IF(Debt!BA114&gt;Inputs!$F$253,(Waterfall!BA7+IF(Debt!BB114&gt;Inputs!$F$253,Waterfall!BB7,0))/(Debt!BA114+Debt!BB114),0)</f>
        <v>0</v>
      </c>
      <c r="BA20" s="3" t="n">
        <f aca="false">IF(Debt!BB114&gt;Inputs!$F$253,(Waterfall!BB7+IF(Debt!BC114&gt;Inputs!$F$253,Waterfall!BC7,0))/(Debt!BB114+Debt!BC114),0)</f>
        <v>0</v>
      </c>
      <c r="BB20" s="3" t="n">
        <f aca="false">IF(Debt!BC114&gt;Inputs!$F$253,(Waterfall!BC7+IF(Debt!BD114&gt;Inputs!$F$253,Waterfall!BD7,0))/(Debt!BC114+Debt!BD114),0)</f>
        <v>0</v>
      </c>
      <c r="BC20" s="3" t="n">
        <f aca="false">IF(Debt!BD114&gt;Inputs!$F$253,(Waterfall!BD7+IF(Debt!BE114&gt;Inputs!$F$253,Waterfall!BE7,0))/(Debt!BD114+Debt!BE114),0)</f>
        <v>0</v>
      </c>
      <c r="BD20" s="3" t="n">
        <f aca="false">IF(Debt!BE114&gt;Inputs!$F$253,(Waterfall!BE7+IF(Debt!BF114&gt;Inputs!$F$253,Waterfall!BF7,0))/(Debt!BE114+Debt!BF114),0)</f>
        <v>0</v>
      </c>
      <c r="BE20" s="3" t="n">
        <f aca="false">IF(Debt!BF114&gt;Inputs!$F$253,(Waterfall!BF7+IF(Debt!BG114&gt;Inputs!$F$253,Waterfall!BG7,0))/(Debt!BF114+Debt!BG114),0)</f>
        <v>0</v>
      </c>
      <c r="BF20" s="3" t="n">
        <f aca="false">IF(Debt!BG114&gt;Inputs!$F$253,(Waterfall!BG7+IF(Debt!BH114&gt;Inputs!$F$253,Waterfall!BH7,0))/(Debt!BG114+Debt!BH114),0)</f>
        <v>0</v>
      </c>
      <c r="BG20" s="3" t="n">
        <f aca="false">IF(Debt!BH114&gt;Inputs!$F$253,(Waterfall!BH7+IF(Debt!BI114&gt;Inputs!$F$253,Waterfall!BI7,0))/(Debt!BH114+Debt!BI114),0)</f>
        <v>0</v>
      </c>
      <c r="BH20" s="3" t="n">
        <f aca="false">IF(Debt!BI114&gt;Inputs!$F$253,(Waterfall!BI7+IF(Debt!BJ114&gt;Inputs!$F$253,Waterfall!BJ7,0))/(Debt!BI114+Debt!BJ114),0)</f>
        <v>0</v>
      </c>
      <c r="BI20" s="3" t="n">
        <f aca="false">IF(Debt!BJ114&gt;Inputs!$F$253,(Waterfall!BJ7+IF(Debt!BK114&gt;Inputs!$F$253,Waterfall!BK7,0))/(Debt!BJ114+Debt!BK114),0)</f>
        <v>0</v>
      </c>
      <c r="BJ20" s="3" t="n">
        <f aca="false">IF(Debt!BK114&gt;Inputs!$F$253,(Waterfall!BK7+IF(Debt!BL114&gt;Inputs!$F$253,Waterfall!BL7,0))/(Debt!BK114+Debt!BL114),0)</f>
        <v>0</v>
      </c>
      <c r="BK20" s="3" t="n">
        <f aca="false">IF(Debt!BL114&gt;Inputs!$F$253,(Waterfall!BL7+IF(Debt!BM114&gt;Inputs!$F$253,Waterfall!BM7,0))/(Debt!BL114+Debt!BM114),0)</f>
        <v>0</v>
      </c>
      <c r="BL20" s="3" t="n">
        <f aca="false">IF(Debt!BM114&gt;Inputs!$F$253,(Waterfall!BM7+IF(Debt!BN114&gt;Inputs!$F$253,Waterfall!BN7,0))/(Debt!BM114+Debt!BN114),0)</f>
        <v>0</v>
      </c>
      <c r="BM20" s="3" t="n">
        <f aca="false">IF(Debt!BN114&gt;Inputs!$F$253,(Waterfall!BN7+IF(Debt!BO114&gt;Inputs!$F$253,Waterfall!BO7,0))/(Debt!BN114+Debt!BO114),0)</f>
        <v>0</v>
      </c>
      <c r="BN20" s="3" t="n">
        <f aca="false">IF(Debt!BO114&gt;Inputs!$F$253,(Waterfall!BO7+IF(Debt!BP114&gt;Inputs!$F$253,Waterfall!BP7,0))/(Debt!BO114+Debt!BP114),0)</f>
        <v>0</v>
      </c>
    </row>
    <row r="21" customFormat="false" ht="15" hidden="false" customHeight="false" outlineLevel="0" collapsed="false">
      <c r="D21" s="0" t="s">
        <v>1957</v>
      </c>
      <c r="E21" s="0" t="s">
        <v>115</v>
      </c>
      <c r="J21" s="9" t="n">
        <f aca="false">IF(AND(J20&gt;0,J20&lt;Inputs!$F$108),1,0)</f>
        <v>0</v>
      </c>
      <c r="K21" s="9" t="n">
        <f aca="false">IF(AND(K20&gt;0,K20&lt;Inputs!$F$108),1,0)</f>
        <v>0</v>
      </c>
      <c r="L21" s="9" t="n">
        <f aca="false">IF(AND(L20&gt;0,L20&lt;Inputs!$F$108),1,0)</f>
        <v>0</v>
      </c>
      <c r="M21" s="9" t="n">
        <f aca="false">IF(AND(M20&gt;0,M20&lt;Inputs!$F$108),1,0)</f>
        <v>0</v>
      </c>
      <c r="N21" s="9" t="n">
        <f aca="false">IF(AND(N20&gt;0,N20&lt;Inputs!$F$108),1,0)</f>
        <v>0</v>
      </c>
      <c r="O21" s="9" t="n">
        <f aca="false">IF(AND(O20&gt;0,O20&lt;Inputs!$F$108),1,0)</f>
        <v>0</v>
      </c>
      <c r="P21" s="9" t="n">
        <f aca="false">IF(AND(P20&gt;0,P20&lt;Inputs!$F$108),1,0)</f>
        <v>0</v>
      </c>
      <c r="Q21" s="9" t="n">
        <f aca="false">IF(AND(Q20&gt;0,Q20&lt;Inputs!$F$108),1,0)</f>
        <v>0</v>
      </c>
      <c r="R21" s="9" t="n">
        <f aca="false">IF(AND(R20&gt;0,R20&lt;Inputs!$F$108),1,0)</f>
        <v>0</v>
      </c>
      <c r="S21" s="9" t="n">
        <f aca="false">IF(AND(S20&gt;0,S20&lt;Inputs!$F$108),1,0)</f>
        <v>0</v>
      </c>
      <c r="T21" s="9" t="n">
        <f aca="false">IF(AND(T20&gt;0,T20&lt;Inputs!$F$108),1,0)</f>
        <v>0</v>
      </c>
      <c r="U21" s="9" t="n">
        <f aca="false">IF(AND(U20&gt;0,U20&lt;Inputs!$F$108),1,0)</f>
        <v>0</v>
      </c>
      <c r="V21" s="9" t="n">
        <f aca="false">IF(AND(V20&gt;0,V20&lt;Inputs!$F$108),1,0)</f>
        <v>0</v>
      </c>
      <c r="W21" s="9" t="n">
        <f aca="false">IF(AND(W20&gt;0,W20&lt;Inputs!$F$108),1,0)</f>
        <v>0</v>
      </c>
      <c r="X21" s="9" t="n">
        <f aca="false">IF(AND(X20&gt;0,X20&lt;Inputs!$F$108),1,0)</f>
        <v>0</v>
      </c>
      <c r="Y21" s="9" t="n">
        <f aca="false">IF(AND(Y20&gt;0,Y20&lt;Inputs!$F$108),1,0)</f>
        <v>0</v>
      </c>
      <c r="Z21" s="9" t="n">
        <f aca="false">IF(AND(Z20&gt;0,Z20&lt;Inputs!$F$108),1,0)</f>
        <v>0</v>
      </c>
      <c r="AA21" s="9" t="n">
        <f aca="false">IF(AND(AA20&gt;0,AA20&lt;Inputs!$F$108),1,0)</f>
        <v>0</v>
      </c>
      <c r="AB21" s="9" t="n">
        <f aca="false">IF(AND(AB20&gt;0,AB20&lt;Inputs!$F$108),1,0)</f>
        <v>0</v>
      </c>
      <c r="AC21" s="9" t="n">
        <f aca="false">IF(AND(AC20&gt;0,AC20&lt;Inputs!$F$108),1,0)</f>
        <v>0</v>
      </c>
      <c r="AD21" s="9" t="n">
        <f aca="false">IF(AND(AD20&gt;0,AD20&lt;Inputs!$F$108),1,0)</f>
        <v>0</v>
      </c>
      <c r="AE21" s="9" t="n">
        <f aca="false">IF(AND(AE20&gt;0,AE20&lt;Inputs!$F$108),1,0)</f>
        <v>0</v>
      </c>
      <c r="AF21" s="9" t="n">
        <f aca="false">IF(AND(AF20&gt;0,AF20&lt;Inputs!$F$108),1,0)</f>
        <v>0</v>
      </c>
      <c r="AG21" s="9" t="n">
        <f aca="false">IF(AND(AG20&gt;0,AG20&lt;Inputs!$F$108),1,0)</f>
        <v>0</v>
      </c>
      <c r="AH21" s="9" t="n">
        <f aca="false">IF(AND(AH20&gt;0,AH20&lt;Inputs!$F$108),1,0)</f>
        <v>0</v>
      </c>
      <c r="AI21" s="9" t="n">
        <f aca="false">IF(AND(AI20&gt;0,AI20&lt;Inputs!$F$108),1,0)</f>
        <v>0</v>
      </c>
      <c r="AJ21" s="9" t="n">
        <f aca="false">IF(AND(AJ20&gt;0,AJ20&lt;Inputs!$F$108),1,0)</f>
        <v>0</v>
      </c>
      <c r="AK21" s="9" t="n">
        <f aca="false">IF(AND(AK20&gt;0,AK20&lt;Inputs!$F$108),1,0)</f>
        <v>0</v>
      </c>
      <c r="AL21" s="9" t="n">
        <f aca="false">IF(AND(AL20&gt;0,AL20&lt;Inputs!$F$108),1,0)</f>
        <v>0</v>
      </c>
      <c r="AM21" s="9" t="n">
        <f aca="false">IF(AND(AM20&gt;0,AM20&lt;Inputs!$F$108),1,0)</f>
        <v>0</v>
      </c>
      <c r="AN21" s="9" t="n">
        <f aca="false">IF(AND(AN20&gt;0,AN20&lt;Inputs!$F$108),1,0)</f>
        <v>0</v>
      </c>
      <c r="AO21" s="9" t="n">
        <f aca="false">IF(AND(AO20&gt;0,AO20&lt;Inputs!$F$108),1,0)</f>
        <v>0</v>
      </c>
      <c r="AP21" s="9" t="n">
        <f aca="false">IF(AND(AP20&gt;0,AP20&lt;Inputs!$F$108),1,0)</f>
        <v>0</v>
      </c>
      <c r="AQ21" s="9" t="n">
        <f aca="false">IF(AND(AQ20&gt;0,AQ20&lt;Inputs!$F$108),1,0)</f>
        <v>0</v>
      </c>
      <c r="AR21" s="9" t="n">
        <f aca="false">IF(AND(AR20&gt;0,AR20&lt;Inputs!$F$108),1,0)</f>
        <v>0</v>
      </c>
      <c r="AS21" s="9" t="n">
        <f aca="false">IF(AND(AS20&gt;0,AS20&lt;Inputs!$F$108),1,0)</f>
        <v>0</v>
      </c>
      <c r="AT21" s="9" t="n">
        <f aca="false">IF(AND(AT20&gt;0,AT20&lt;Inputs!$F$108),1,0)</f>
        <v>0</v>
      </c>
      <c r="AU21" s="9" t="n">
        <f aca="false">IF(AND(AU20&gt;0,AU20&lt;Inputs!$F$108),1,0)</f>
        <v>0</v>
      </c>
      <c r="AV21" s="9" t="n">
        <f aca="false">IF(AND(AV20&gt;0,AV20&lt;Inputs!$F$108),1,0)</f>
        <v>0</v>
      </c>
      <c r="AW21" s="9" t="n">
        <f aca="false">IF(AND(AW20&gt;0,AW20&lt;Inputs!$F$108),1,0)</f>
        <v>0</v>
      </c>
      <c r="AX21" s="9" t="n">
        <f aca="false">IF(AND(AX20&gt;0,AX20&lt;Inputs!$F$108),1,0)</f>
        <v>0</v>
      </c>
      <c r="AY21" s="9" t="n">
        <f aca="false">IF(AND(AY20&gt;0,AY20&lt;Inputs!$F$108),1,0)</f>
        <v>0</v>
      </c>
      <c r="AZ21" s="9" t="n">
        <f aca="false">IF(AND(AZ20&gt;0,AZ20&lt;Inputs!$F$108),1,0)</f>
        <v>0</v>
      </c>
      <c r="BA21" s="9" t="n">
        <f aca="false">IF(AND(BA20&gt;0,BA20&lt;Inputs!$F$108),1,0)</f>
        <v>0</v>
      </c>
      <c r="BB21" s="9" t="n">
        <f aca="false">IF(AND(BB20&gt;0,BB20&lt;Inputs!$F$108),1,0)</f>
        <v>0</v>
      </c>
      <c r="BC21" s="9" t="n">
        <f aca="false">IF(AND(BC20&gt;0,BC20&lt;Inputs!$F$108),1,0)</f>
        <v>0</v>
      </c>
      <c r="BD21" s="9" t="n">
        <f aca="false">IF(AND(BD20&gt;0,BD20&lt;Inputs!$F$108),1,0)</f>
        <v>0</v>
      </c>
      <c r="BE21" s="9" t="n">
        <f aca="false">IF(AND(BE20&gt;0,BE20&lt;Inputs!$F$108),1,0)</f>
        <v>0</v>
      </c>
      <c r="BF21" s="9" t="n">
        <f aca="false">IF(AND(BF20&gt;0,BF20&lt;Inputs!$F$108),1,0)</f>
        <v>0</v>
      </c>
      <c r="BG21" s="9" t="n">
        <f aca="false">IF(AND(BG20&gt;0,BG20&lt;Inputs!$F$108),1,0)</f>
        <v>0</v>
      </c>
      <c r="BH21" s="9" t="n">
        <f aca="false">IF(AND(BH20&gt;0,BH20&lt;Inputs!$F$108),1,0)</f>
        <v>0</v>
      </c>
      <c r="BI21" s="9" t="n">
        <f aca="false">IF(AND(BI20&gt;0,BI20&lt;Inputs!$F$108),1,0)</f>
        <v>0</v>
      </c>
      <c r="BJ21" s="9" t="n">
        <f aca="false">IF(AND(BJ20&gt;0,BJ20&lt;Inputs!$F$108),1,0)</f>
        <v>0</v>
      </c>
      <c r="BK21" s="9" t="n">
        <f aca="false">IF(AND(BK20&gt;0,BK20&lt;Inputs!$F$108),1,0)</f>
        <v>0</v>
      </c>
      <c r="BL21" s="9" t="n">
        <f aca="false">IF(AND(BL20&gt;0,BL20&lt;Inputs!$F$108),1,0)</f>
        <v>0</v>
      </c>
      <c r="BM21" s="9" t="n">
        <f aca="false">IF(AND(BM20&gt;0,BM20&lt;Inputs!$F$108),1,0)</f>
        <v>0</v>
      </c>
      <c r="BN21" s="9" t="n">
        <f aca="false">IF(AND(BN20&gt;0,BN20&lt;Inputs!$F$108),1,0)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1958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1959</v>
      </c>
      <c r="J5" s="4" t="s">
        <v>1960</v>
      </c>
      <c r="K5" s="4" t="s">
        <v>1499</v>
      </c>
      <c r="L5" s="4" t="s">
        <v>1500</v>
      </c>
      <c r="M5" s="4" t="s">
        <v>1501</v>
      </c>
      <c r="N5" s="4" t="s">
        <v>1502</v>
      </c>
      <c r="O5" s="4" t="s">
        <v>1503</v>
      </c>
      <c r="P5" s="4" t="s">
        <v>1504</v>
      </c>
      <c r="Q5" s="4" t="s">
        <v>1505</v>
      </c>
      <c r="R5" s="4" t="s">
        <v>1506</v>
      </c>
      <c r="S5" s="4" t="s">
        <v>1507</v>
      </c>
      <c r="T5" s="4" t="s">
        <v>1508</v>
      </c>
      <c r="U5" s="4" t="s">
        <v>1509</v>
      </c>
      <c r="V5" s="4" t="s">
        <v>1510</v>
      </c>
      <c r="W5" s="4" t="s">
        <v>1511</v>
      </c>
      <c r="X5" s="4" t="s">
        <v>1512</v>
      </c>
      <c r="Y5" s="4" t="s">
        <v>1513</v>
      </c>
      <c r="Z5" s="4" t="s">
        <v>1514</v>
      </c>
      <c r="AA5" s="4" t="s">
        <v>1515</v>
      </c>
      <c r="AB5" s="4" t="s">
        <v>1516</v>
      </c>
      <c r="AC5" s="4" t="s">
        <v>1517</v>
      </c>
      <c r="AD5" s="4" t="s">
        <v>1518</v>
      </c>
      <c r="AE5" s="4" t="s">
        <v>1519</v>
      </c>
      <c r="AF5" s="4" t="s">
        <v>1520</v>
      </c>
      <c r="AG5" s="4" t="s">
        <v>1521</v>
      </c>
      <c r="AH5" s="4" t="s">
        <v>1522</v>
      </c>
      <c r="AI5" s="4" t="s">
        <v>1523</v>
      </c>
      <c r="AJ5" s="4" t="s">
        <v>1524</v>
      </c>
      <c r="AK5" s="4" t="s">
        <v>1525</v>
      </c>
      <c r="AL5" s="4" t="s">
        <v>1526</v>
      </c>
      <c r="AM5" s="4" t="s">
        <v>1527</v>
      </c>
      <c r="AN5" s="4" t="s">
        <v>1528</v>
      </c>
      <c r="AO5" s="4" t="s">
        <v>1529</v>
      </c>
      <c r="AP5" s="4" t="s">
        <v>1530</v>
      </c>
      <c r="AQ5" s="4" t="s">
        <v>1531</v>
      </c>
      <c r="AR5" s="4" t="s">
        <v>1532</v>
      </c>
      <c r="AS5" s="4" t="s">
        <v>1533</v>
      </c>
      <c r="AT5" s="4" t="s">
        <v>1534</v>
      </c>
      <c r="AU5" s="4" t="s">
        <v>1535</v>
      </c>
      <c r="AV5" s="4" t="s">
        <v>1536</v>
      </c>
      <c r="AW5" s="4" t="s">
        <v>1537</v>
      </c>
      <c r="AX5" s="4" t="s">
        <v>1538</v>
      </c>
      <c r="AY5" s="4" t="s">
        <v>1539</v>
      </c>
      <c r="AZ5" s="4" t="s">
        <v>1540</v>
      </c>
      <c r="BA5" s="4" t="s">
        <v>1541</v>
      </c>
      <c r="BB5" s="4" t="s">
        <v>1542</v>
      </c>
      <c r="BC5" s="4" t="s">
        <v>1543</v>
      </c>
      <c r="BD5" s="4" t="s">
        <v>1544</v>
      </c>
      <c r="BE5" s="4" t="s">
        <v>1545</v>
      </c>
      <c r="BF5" s="4" t="s">
        <v>1546</v>
      </c>
      <c r="BG5" s="4" t="s">
        <v>1547</v>
      </c>
      <c r="BH5" s="4" t="s">
        <v>1548</v>
      </c>
      <c r="BI5" s="4" t="s">
        <v>1549</v>
      </c>
      <c r="BJ5" s="4" t="s">
        <v>1550</v>
      </c>
      <c r="BK5" s="4" t="s">
        <v>1551</v>
      </c>
      <c r="BL5" s="4" t="s">
        <v>34</v>
      </c>
      <c r="BM5" s="4" t="s">
        <v>35</v>
      </c>
      <c r="BN5" s="4" t="s">
        <v>36</v>
      </c>
      <c r="BO5" s="4" t="s">
        <v>37</v>
      </c>
      <c r="BP5" s="4" t="s">
        <v>38</v>
      </c>
      <c r="BQ5" s="4" t="s">
        <v>39</v>
      </c>
      <c r="BR5" s="4" t="s">
        <v>40</v>
      </c>
      <c r="BS5" s="4" t="s">
        <v>41</v>
      </c>
      <c r="BT5" s="4" t="s">
        <v>42</v>
      </c>
      <c r="BU5" s="4" t="s">
        <v>43</v>
      </c>
      <c r="BV5" s="4" t="s">
        <v>44</v>
      </c>
      <c r="BW5" s="4" t="s">
        <v>45</v>
      </c>
      <c r="BX5" s="4" t="s">
        <v>46</v>
      </c>
      <c r="BY5" s="4" t="s">
        <v>47</v>
      </c>
      <c r="BZ5" s="4" t="s">
        <v>48</v>
      </c>
      <c r="CA5" s="4" t="s">
        <v>49</v>
      </c>
      <c r="CB5" s="4" t="s">
        <v>50</v>
      </c>
      <c r="CC5" s="4" t="s">
        <v>51</v>
      </c>
      <c r="CD5" s="4" t="s">
        <v>52</v>
      </c>
      <c r="CE5" s="4" t="s">
        <v>53</v>
      </c>
      <c r="CF5" s="4" t="s">
        <v>54</v>
      </c>
      <c r="CG5" s="4" t="s">
        <v>55</v>
      </c>
      <c r="CH5" s="4" t="s">
        <v>56</v>
      </c>
      <c r="CI5" s="4" t="s">
        <v>57</v>
      </c>
      <c r="CJ5" s="4" t="s">
        <v>58</v>
      </c>
      <c r="CK5" s="4" t="s">
        <v>59</v>
      </c>
      <c r="CL5" s="4" t="s">
        <v>60</v>
      </c>
      <c r="CM5" s="4" t="s">
        <v>61</v>
      </c>
      <c r="CN5" s="4" t="s">
        <v>62</v>
      </c>
      <c r="CO5" s="4" t="s">
        <v>63</v>
      </c>
      <c r="CP5" s="4" t="s">
        <v>64</v>
      </c>
      <c r="CQ5" s="4" t="s">
        <v>65</v>
      </c>
      <c r="CR5" s="4" t="s">
        <v>66</v>
      </c>
      <c r="CS5" s="4" t="s">
        <v>67</v>
      </c>
      <c r="CT5" s="4" t="s">
        <v>68</v>
      </c>
      <c r="CU5" s="4" t="s">
        <v>69</v>
      </c>
      <c r="CV5" s="4" t="s">
        <v>70</v>
      </c>
      <c r="CW5" s="4" t="s">
        <v>71</v>
      </c>
      <c r="CX5" s="4" t="s">
        <v>72</v>
      </c>
      <c r="CY5" s="4" t="s">
        <v>73</v>
      </c>
      <c r="CZ5" s="4" t="s">
        <v>74</v>
      </c>
      <c r="DA5" s="4" t="s">
        <v>75</v>
      </c>
      <c r="DB5" s="4" t="s">
        <v>76</v>
      </c>
      <c r="DC5" s="4" t="s">
        <v>77</v>
      </c>
      <c r="DD5" s="4" t="s">
        <v>78</v>
      </c>
      <c r="DE5" s="4" t="s">
        <v>79</v>
      </c>
      <c r="DF5" s="4" t="s">
        <v>80</v>
      </c>
      <c r="DG5" s="4" t="s">
        <v>81</v>
      </c>
      <c r="DH5" s="4" t="s">
        <v>82</v>
      </c>
      <c r="DI5" s="4" t="s">
        <v>83</v>
      </c>
      <c r="DJ5" s="4" t="s">
        <v>84</v>
      </c>
      <c r="DK5" s="4" t="s">
        <v>85</v>
      </c>
      <c r="DL5" s="4" t="s">
        <v>86</v>
      </c>
      <c r="DM5" s="4" t="s">
        <v>87</v>
      </c>
      <c r="DN5" s="4" t="s">
        <v>88</v>
      </c>
      <c r="DO5" s="4" t="s">
        <v>89</v>
      </c>
      <c r="DP5" s="4" t="s">
        <v>90</v>
      </c>
    </row>
    <row r="7" customFormat="false" ht="15" hidden="false" customHeight="false" outlineLevel="0" collapsed="false">
      <c r="D7" s="0" t="s">
        <v>1961</v>
      </c>
      <c r="E7" s="0" t="s">
        <v>298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1962</v>
      </c>
      <c r="E8" s="0" t="s">
        <v>151</v>
      </c>
      <c r="G8" s="13" t="n">
        <f aca="false">SUM(J8:DP8)</f>
        <v>1303.48001967307</v>
      </c>
      <c r="J8" s="13" t="n">
        <f aca="false">-Inputs!$F$68</f>
        <v>-14.2</v>
      </c>
      <c r="K8" s="13" t="n">
        <f aca="false">-Funding!J68</f>
        <v>-16.2998396917646</v>
      </c>
      <c r="L8" s="13" t="n">
        <f aca="false">-Funding!K68</f>
        <v>-0.618022996782863</v>
      </c>
      <c r="M8" s="13" t="n">
        <f aca="false">-Funding!L68</f>
        <v>-0.788381065960021</v>
      </c>
      <c r="N8" s="13" t="n">
        <f aca="false">-Funding!M68</f>
        <v>-1.11865026327476</v>
      </c>
      <c r="O8" s="13" t="n">
        <f aca="false">-Funding!N68</f>
        <v>-1.61249413557078</v>
      </c>
      <c r="P8" s="13" t="n">
        <f aca="false">-Funding!O68</f>
        <v>-2.23447842081315</v>
      </c>
      <c r="Q8" s="13" t="n">
        <f aca="false">-Funding!P68</f>
        <v>-2.91813634089876</v>
      </c>
      <c r="R8" s="13" t="n">
        <f aca="false">-Funding!Q68</f>
        <v>-3.69932163546168</v>
      </c>
      <c r="S8" s="13" t="n">
        <f aca="false">-Funding!R68</f>
        <v>-4.48263656749973</v>
      </c>
      <c r="T8" s="13" t="n">
        <f aca="false">-Funding!S68</f>
        <v>-5.2773181736965</v>
      </c>
      <c r="U8" s="13" t="n">
        <f aca="false">-Funding!T68</f>
        <v>-6.02388236324923</v>
      </c>
      <c r="V8" s="13" t="n">
        <f aca="false">-Funding!U68</f>
        <v>-6.74535012877287</v>
      </c>
      <c r="W8" s="13" t="n">
        <f aca="false">-Funding!V68</f>
        <v>-7.3739367836014</v>
      </c>
      <c r="X8" s="13" t="n">
        <f aca="false">-Funding!W68</f>
        <v>-7.89903253582085</v>
      </c>
      <c r="Y8" s="13" t="n">
        <f aca="false">-Funding!X68</f>
        <v>-8.32945721690294</v>
      </c>
      <c r="Z8" s="13" t="n">
        <f aca="false">-Funding!Y68</f>
        <v>-8.62053465733378</v>
      </c>
      <c r="AA8" s="13" t="n">
        <f aca="false">-Funding!Z68</f>
        <v>-8.79819757473747</v>
      </c>
      <c r="AB8" s="13" t="n">
        <f aca="false">-Funding!AA68</f>
        <v>-9.13531338613342</v>
      </c>
      <c r="AC8" s="13" t="n">
        <f aca="false">-Funding!AB68</f>
        <v>-8.72287370198056</v>
      </c>
      <c r="AD8" s="13" t="n">
        <f aca="false">-Funding!AC68</f>
        <v>-8.50958147407157</v>
      </c>
      <c r="AE8" s="13" t="n">
        <f aca="false">-Funding!AD68</f>
        <v>-8.14039118013793</v>
      </c>
      <c r="AF8" s="13" t="n">
        <f aca="false">-Funding!AE68</f>
        <v>-7.67826945456919</v>
      </c>
      <c r="AG8" s="13" t="n">
        <f aca="false">-Funding!AF68</f>
        <v>-7.09421389096251</v>
      </c>
      <c r="AH8" s="13" t="n">
        <f aca="false">-Funding!AG68</f>
        <v>-6.45839739461363</v>
      </c>
      <c r="AI8" s="13" t="n">
        <f aca="false">-Funding!AH68</f>
        <v>-5.74404852274115</v>
      </c>
      <c r="AJ8" s="13" t="n">
        <f aca="false">-Funding!AI68</f>
        <v>-4.98197047540842</v>
      </c>
      <c r="AK8" s="13" t="n">
        <f aca="false">-Funding!AJ68</f>
        <v>-4.23589464156967</v>
      </c>
      <c r="AL8" s="13" t="n">
        <f aca="false">-Funding!AK68</f>
        <v>-3.48724335069365</v>
      </c>
      <c r="AM8" s="13" t="n">
        <f aca="false">-Funding!AL68</f>
        <v>-2.81692092462126</v>
      </c>
      <c r="AN8" s="13" t="n">
        <f aca="false">-Funding!AM68</f>
        <v>-2.22725924377462</v>
      </c>
      <c r="AO8" s="13" t="n">
        <f aca="false">-Funding!AN68</f>
        <v>-1.71223654653611</v>
      </c>
      <c r="AP8" s="13" t="n">
        <f aca="false">-Funding!AO68</f>
        <v>-1.42110534371564</v>
      </c>
      <c r="AQ8" s="13" t="n">
        <f aca="false">-Funding!AP68</f>
        <v>-13.6111709797818</v>
      </c>
      <c r="AR8" s="13" t="n">
        <f aca="false">-Funding!AQ68</f>
        <v>-1.27903728361143</v>
      </c>
      <c r="AS8" s="13" t="n">
        <f aca="false">-Funding!AR68</f>
        <v>-0.993492964687136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19.3183519223685</v>
      </c>
      <c r="BS8" s="18" t="n">
        <f aca="false">Waterfall!Q44</f>
        <v>16.2951233866581</v>
      </c>
      <c r="BT8" s="18" t="n">
        <f aca="false">Waterfall!R44</f>
        <v>16.8810359337366</v>
      </c>
      <c r="BU8" s="18" t="n">
        <f aca="false">Waterfall!S44</f>
        <v>15.8435811857195</v>
      </c>
      <c r="BV8" s="18" t="n">
        <f aca="false">Waterfall!T44</f>
        <v>17.3238750968216</v>
      </c>
      <c r="BW8" s="18" t="n">
        <f aca="false">Waterfall!U44</f>
        <v>16.8230721606346</v>
      </c>
      <c r="BX8" s="18" t="n">
        <f aca="false">Waterfall!V44</f>
        <v>16.6665978628349</v>
      </c>
      <c r="BY8" s="18" t="n">
        <f aca="false">Waterfall!W44</f>
        <v>16.5968618165843</v>
      </c>
      <c r="BZ8" s="18" t="n">
        <f aca="false">Waterfall!X44</f>
        <v>16.5878856740958</v>
      </c>
      <c r="CA8" s="18" t="n">
        <f aca="false">Waterfall!Y44</f>
        <v>16.1887777777456</v>
      </c>
      <c r="CB8" s="18" t="n">
        <f aca="false">Waterfall!Z44</f>
        <v>16.7835470474145</v>
      </c>
      <c r="CC8" s="18" t="n">
        <f aca="false">Waterfall!AA44</f>
        <v>7.85908871941768</v>
      </c>
      <c r="CD8" s="18" t="n">
        <f aca="false">Waterfall!AB44</f>
        <v>9.4795278924246</v>
      </c>
      <c r="CE8" s="18" t="n">
        <f aca="false">Waterfall!AC44</f>
        <v>9.37136108645005</v>
      </c>
      <c r="CF8" s="18" t="n">
        <f aca="false">Waterfall!AD44</f>
        <v>10.1851896598801</v>
      </c>
      <c r="CG8" s="18" t="n">
        <f aca="false">Waterfall!AE44</f>
        <v>9.08696237506704</v>
      </c>
      <c r="CH8" s="18" t="n">
        <f aca="false">Waterfall!AF44</f>
        <v>8.00854822905012</v>
      </c>
      <c r="CI8" s="18" t="n">
        <f aca="false">Waterfall!AG44</f>
        <v>8.27936900762144</v>
      </c>
      <c r="CJ8" s="18" t="n">
        <f aca="false">Waterfall!AH44</f>
        <v>9.10155865632477</v>
      </c>
      <c r="CK8" s="18" t="n">
        <f aca="false">Waterfall!AI44</f>
        <v>9.26113287306614</v>
      </c>
      <c r="CL8" s="18" t="n">
        <f aca="false">Waterfall!AJ44</f>
        <v>10.712394042413</v>
      </c>
      <c r="CM8" s="18" t="n">
        <f aca="false">Waterfall!AK44</f>
        <v>11.763017751447</v>
      </c>
      <c r="CN8" s="18" t="n">
        <f aca="false">Waterfall!AL44</f>
        <v>25.3403341413996</v>
      </c>
      <c r="CO8" s="18" t="n">
        <f aca="false">Waterfall!AM44</f>
        <v>25.5955133173537</v>
      </c>
      <c r="CP8" s="18" t="n">
        <f aca="false">Waterfall!AN44</f>
        <v>23.4950465061836</v>
      </c>
      <c r="CQ8" s="18" t="n">
        <f aca="false">Waterfall!AO44</f>
        <v>45.6650680456844</v>
      </c>
      <c r="CR8" s="18" t="n">
        <f aca="false">Waterfall!AP44</f>
        <v>45.9309430025086</v>
      </c>
      <c r="CS8" s="18" t="n">
        <f aca="false">Waterfall!AQ44</f>
        <v>45.4691828745509</v>
      </c>
      <c r="CT8" s="18" t="n">
        <f aca="false">Waterfall!AR44</f>
        <v>46.4061291922982</v>
      </c>
      <c r="CU8" s="18" t="n">
        <f aca="false">Waterfall!AS44</f>
        <v>45.6689340901091</v>
      </c>
      <c r="CV8" s="18" t="n">
        <f aca="false">Waterfall!AT44</f>
        <v>51.4111792477814</v>
      </c>
      <c r="CW8" s="18" t="n">
        <f aca="false">Waterfall!AU44</f>
        <v>46.73008753358</v>
      </c>
      <c r="CX8" s="18" t="n">
        <f aca="false">Waterfall!AV44</f>
        <v>48.1801803921068</v>
      </c>
      <c r="CY8" s="18" t="n">
        <f aca="false">Waterfall!AW44</f>
        <v>48.2920442839554</v>
      </c>
      <c r="CZ8" s="18" t="n">
        <f aca="false">Waterfall!AX44</f>
        <v>48.7844871932983</v>
      </c>
      <c r="DA8" s="18" t="n">
        <f aca="false">Waterfall!AY44</f>
        <v>48.3130428004442</v>
      </c>
      <c r="DB8" s="18" t="n">
        <f aca="false">Waterfall!AZ44</f>
        <v>49.2872750067212</v>
      </c>
      <c r="DC8" s="18" t="n">
        <f aca="false">Waterfall!BA44</f>
        <v>48.2318534437979</v>
      </c>
      <c r="DD8" s="18" t="n">
        <f aca="false">Waterfall!BB44</f>
        <v>48.5677922796996</v>
      </c>
      <c r="DE8" s="18" t="n">
        <f aca="false">Waterfall!BC44</f>
        <v>45.1222678331512</v>
      </c>
      <c r="DF8" s="18" t="n">
        <f aca="false">Waterfall!BD44</f>
        <v>40.0519807784969</v>
      </c>
      <c r="DG8" s="18" t="n">
        <f aca="false">Waterfall!BE44</f>
        <v>39.9085964835915</v>
      </c>
      <c r="DH8" s="18" t="n">
        <f aca="false">Waterfall!BF44</f>
        <v>40.4098855657471</v>
      </c>
      <c r="DI8" s="18" t="n">
        <f aca="false">Waterfall!BG44</f>
        <v>39.9107969503162</v>
      </c>
      <c r="DJ8" s="18" t="n">
        <f aca="false">Waterfall!BH44</f>
        <v>40.9081491575132</v>
      </c>
      <c r="DK8" s="18" t="n">
        <f aca="false">Waterfall!BI44</f>
        <v>40.1229446378997</v>
      </c>
      <c r="DL8" s="18" t="n">
        <f aca="false">Waterfall!BJ44</f>
        <v>47.065773405743</v>
      </c>
      <c r="DM8" s="18" t="n">
        <f aca="false">Waterfall!BK44</f>
        <v>41.5368699793821</v>
      </c>
      <c r="DN8" s="18" t="n">
        <f aca="false">Waterfall!BL44</f>
        <v>43.7051553419889</v>
      </c>
      <c r="DO8" s="18" t="n">
        <f aca="false">Waterfall!BM44</f>
        <v>60.2407373417418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1963</v>
      </c>
      <c r="E9" s="0" t="s">
        <v>151</v>
      </c>
      <c r="G9" s="13" t="n">
        <f aca="false">SUM(J9:DP9)</f>
        <v>1762.18562342123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-1.42082937909091</v>
      </c>
      <c r="M9" s="13" t="n">
        <f aca="false">-Construction!L32</f>
        <v>-2.05467447</v>
      </c>
      <c r="N9" s="13" t="n">
        <f aca="false">-Construction!M32</f>
        <v>-3.35699423727273</v>
      </c>
      <c r="O9" s="13" t="n">
        <f aca="false">-Construction!N32</f>
        <v>-5.24616180090909</v>
      </c>
      <c r="P9" s="13" t="n">
        <f aca="false">-Construction!O32</f>
        <v>-7.60839423727273</v>
      </c>
      <c r="Q9" s="13" t="n">
        <f aca="false">-Construction!P32</f>
        <v>-10.3181592990909</v>
      </c>
      <c r="R9" s="13" t="n">
        <f aca="false">-Construction!Q32</f>
        <v>-13.2493063536364</v>
      </c>
      <c r="S9" s="13" t="n">
        <f aca="false">-Construction!R32</f>
        <v>-16.2775399245455</v>
      </c>
      <c r="T9" s="13" t="n">
        <f aca="false">-Construction!S32</f>
        <v>-19.2866035463636</v>
      </c>
      <c r="U9" s="13" t="n">
        <f aca="false">-Construction!T32</f>
        <v>-22.1682797645455</v>
      </c>
      <c r="V9" s="13" t="n">
        <f aca="false">-Construction!U32</f>
        <v>-24.8261004481818</v>
      </c>
      <c r="W9" s="13" t="n">
        <f aca="false">-Construction!V32</f>
        <v>-27.1747284045455</v>
      </c>
      <c r="X9" s="13" t="n">
        <f aca="false">-Construction!W32</f>
        <v>-29.14119415</v>
      </c>
      <c r="Y9" s="13" t="n">
        <f aca="false">-Construction!X32</f>
        <v>-30.6686062227273</v>
      </c>
      <c r="Z9" s="13" t="n">
        <f aca="false">-Construction!Y32</f>
        <v>-31.7112040990909</v>
      </c>
      <c r="AA9" s="13" t="n">
        <f aca="false">-Construction!Z32</f>
        <v>-32.2399236627273</v>
      </c>
      <c r="AB9" s="13" t="n">
        <f aca="false">-Construction!AA32</f>
        <v>-33.3829236627273</v>
      </c>
      <c r="AC9" s="13" t="n">
        <f aca="false">-Construction!AB32</f>
        <v>-31.7112040990909</v>
      </c>
      <c r="AD9" s="13" t="n">
        <f aca="false">-Construction!AC32</f>
        <v>-30.6686062227273</v>
      </c>
      <c r="AE9" s="13" t="n">
        <f aca="false">-Construction!AD32</f>
        <v>-29.14119415</v>
      </c>
      <c r="AF9" s="13" t="n">
        <f aca="false">-Construction!AE32</f>
        <v>-27.1747284045455</v>
      </c>
      <c r="AG9" s="13" t="n">
        <f aca="false">-Construction!AF32</f>
        <v>-24.8261004481818</v>
      </c>
      <c r="AH9" s="13" t="n">
        <f aca="false">-Construction!AG32</f>
        <v>-22.1682797645455</v>
      </c>
      <c r="AI9" s="13" t="n">
        <f aca="false">-Construction!AH32</f>
        <v>-19.2866035463636</v>
      </c>
      <c r="AJ9" s="13" t="n">
        <f aca="false">-Construction!AI32</f>
        <v>-16.2775399245455</v>
      </c>
      <c r="AK9" s="13" t="n">
        <f aca="false">-Construction!AJ32</f>
        <v>-13.2493063536364</v>
      </c>
      <c r="AL9" s="13" t="n">
        <f aca="false">-Construction!AK32</f>
        <v>-10.3181592990909</v>
      </c>
      <c r="AM9" s="13" t="n">
        <f aca="false">-Construction!AL32</f>
        <v>-7.60839423727273</v>
      </c>
      <c r="AN9" s="13" t="n">
        <f aca="false">-Construction!AM32</f>
        <v>-5.24616180090909</v>
      </c>
      <c r="AO9" s="13" t="n">
        <f aca="false">-Construction!AN32</f>
        <v>-3.35699423727273</v>
      </c>
      <c r="AP9" s="13" t="n">
        <f aca="false">-Construction!AO32</f>
        <v>-2.05467447</v>
      </c>
      <c r="AQ9" s="13" t="n">
        <f aca="false">-Construction!AP32</f>
        <v>-49.6588293790909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2.51969776990859</v>
      </c>
      <c r="BR9" s="18" t="n">
        <f aca="false">Waterfall!P7</f>
        <v>55.7011905899324</v>
      </c>
      <c r="BS9" s="18" t="n">
        <f aca="false">Waterfall!Q7</f>
        <v>55.4435818347201</v>
      </c>
      <c r="BT9" s="18" t="n">
        <f aca="false">Waterfall!R7</f>
        <v>55.7940679029949</v>
      </c>
      <c r="BU9" s="18" t="n">
        <f aca="false">Waterfall!S7</f>
        <v>55.4585399821437</v>
      </c>
      <c r="BV9" s="18" t="n">
        <f aca="false">Waterfall!T7</f>
        <v>56.4589204452162</v>
      </c>
      <c r="BW9" s="18" t="n">
        <f aca="false">Waterfall!U7</f>
        <v>55.7749516631111</v>
      </c>
      <c r="BX9" s="18" t="n">
        <f aca="false">Waterfall!V7</f>
        <v>55.5139051725749</v>
      </c>
      <c r="BY9" s="18" t="n">
        <f aca="false">Waterfall!W7</f>
        <v>55.3648697273215</v>
      </c>
      <c r="BZ9" s="18" t="n">
        <f aca="false">Waterfall!X7</f>
        <v>55.25185286048</v>
      </c>
      <c r="CA9" s="18" t="n">
        <f aca="false">Waterfall!Y7</f>
        <v>55.1035748595649</v>
      </c>
      <c r="CB9" s="18" t="n">
        <f aca="false">Waterfall!Z7</f>
        <v>55.4610556064269</v>
      </c>
      <c r="CC9" s="18" t="n">
        <f aca="false">Waterfall!AA7</f>
        <v>55.122873915402</v>
      </c>
      <c r="CD9" s="18" t="n">
        <f aca="false">Waterfall!AB7</f>
        <v>56.1592562818288</v>
      </c>
      <c r="CE9" s="18" t="n">
        <f aca="false">Waterfall!AC7</f>
        <v>55.1644006715939</v>
      </c>
      <c r="CF9" s="18" t="n">
        <f aca="false">Waterfall!AD7</f>
        <v>55.7013148107878</v>
      </c>
      <c r="CG9" s="18" t="n">
        <f aca="false">Waterfall!AE7</f>
        <v>53.5016790242374</v>
      </c>
      <c r="CH9" s="18" t="n">
        <f aca="false">Waterfall!AF7</f>
        <v>50.166375595667</v>
      </c>
      <c r="CI9" s="18" t="n">
        <f aca="false">Waterfall!AG7</f>
        <v>49.8340505780379</v>
      </c>
      <c r="CJ9" s="18" t="n">
        <f aca="false">Waterfall!AH7</f>
        <v>49.8288729037303</v>
      </c>
      <c r="CK9" s="18" t="n">
        <f aca="false">Waterfall!AI7</f>
        <v>48.8401886802907</v>
      </c>
      <c r="CL9" s="18" t="n">
        <f aca="false">Waterfall!AJ7</f>
        <v>49.2526747535548</v>
      </c>
      <c r="CM9" s="18" t="n">
        <f aca="false">Waterfall!AK7</f>
        <v>48.1428090292365</v>
      </c>
      <c r="CN9" s="18" t="n">
        <f aca="false">Waterfall!AL7</f>
        <v>48.6565405726805</v>
      </c>
      <c r="CO9" s="18" t="n">
        <f aca="false">Waterfall!AM7</f>
        <v>47.0384344081635</v>
      </c>
      <c r="CP9" s="18" t="n">
        <f aca="false">Waterfall!AN7</f>
        <v>45.9985869195146</v>
      </c>
      <c r="CQ9" s="18" t="n">
        <f aca="false">Waterfall!AO7</f>
        <v>45.6650680456844</v>
      </c>
      <c r="CR9" s="18" t="n">
        <f aca="false">Waterfall!AP7</f>
        <v>45.9309430025086</v>
      </c>
      <c r="CS9" s="18" t="n">
        <f aca="false">Waterfall!AQ7</f>
        <v>45.4691828745509</v>
      </c>
      <c r="CT9" s="18" t="n">
        <f aca="false">Waterfall!AR7</f>
        <v>46.4061291922982</v>
      </c>
      <c r="CU9" s="18" t="n">
        <f aca="false">Waterfall!AS7</f>
        <v>45.6689340901091</v>
      </c>
      <c r="CV9" s="18" t="n">
        <f aca="false">Waterfall!AT7</f>
        <v>51.4111792477814</v>
      </c>
      <c r="CW9" s="18" t="n">
        <f aca="false">Waterfall!AU7</f>
        <v>46.73008753358</v>
      </c>
      <c r="CX9" s="18" t="n">
        <f aca="false">Waterfall!AV7</f>
        <v>48.1801803921068</v>
      </c>
      <c r="CY9" s="18" t="n">
        <f aca="false">Waterfall!AW7</f>
        <v>48.2920442839554</v>
      </c>
      <c r="CZ9" s="18" t="n">
        <f aca="false">Waterfall!AX7</f>
        <v>48.7844871932983</v>
      </c>
      <c r="DA9" s="18" t="n">
        <f aca="false">Waterfall!AY7</f>
        <v>48.3130428004442</v>
      </c>
      <c r="DB9" s="18" t="n">
        <f aca="false">Waterfall!AZ7</f>
        <v>49.2872750067212</v>
      </c>
      <c r="DC9" s="18" t="n">
        <f aca="false">Waterfall!BA7</f>
        <v>48.7268218304066</v>
      </c>
      <c r="DD9" s="18" t="n">
        <f aca="false">Waterfall!BB7</f>
        <v>50.068942534344</v>
      </c>
      <c r="DE9" s="18" t="n">
        <f aca="false">Waterfall!BC7</f>
        <v>46.6398409064935</v>
      </c>
      <c r="DF9" s="18" t="n">
        <f aca="false">Waterfall!BD7</f>
        <v>41.5861563387435</v>
      </c>
      <c r="DG9" s="18" t="n">
        <f aca="false">Waterfall!BE7</f>
        <v>41.4595561645473</v>
      </c>
      <c r="DH9" s="18" t="n">
        <f aca="false">Waterfall!BF7</f>
        <v>41.9778129883191</v>
      </c>
      <c r="DI9" s="18" t="n">
        <f aca="false">Waterfall!BG7</f>
        <v>41.495877744253</v>
      </c>
      <c r="DJ9" s="18" t="n">
        <f aca="false">Waterfall!BH7</f>
        <v>42.5105709833818</v>
      </c>
      <c r="DK9" s="18" t="n">
        <f aca="false">Waterfall!BI7</f>
        <v>41.7428972093031</v>
      </c>
      <c r="DL9" s="18" t="n">
        <f aca="false">Waterfall!BJ7</f>
        <v>48.7034485117807</v>
      </c>
      <c r="DM9" s="18" t="n">
        <f aca="false">Waterfall!BK7</f>
        <v>43.1924615073564</v>
      </c>
      <c r="DN9" s="18" t="n">
        <f aca="false">Waterfall!BL7</f>
        <v>45.3788593003594</v>
      </c>
      <c r="DO9" s="18" t="n">
        <f aca="false">Waterfall!BM7</f>
        <v>42.2995571797808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1964</v>
      </c>
      <c r="E10" s="0" t="s">
        <v>151</v>
      </c>
      <c r="G10" s="13" t="n">
        <f aca="false">SUM(J10:DP10)</f>
        <v>2199.17207370705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-1.42082937909091</v>
      </c>
      <c r="M10" s="13" t="n">
        <f aca="false">-Construction!L32</f>
        <v>-2.05467447</v>
      </c>
      <c r="N10" s="13" t="n">
        <f aca="false">-Construction!M32</f>
        <v>-3.35699423727273</v>
      </c>
      <c r="O10" s="13" t="n">
        <f aca="false">-Construction!N32</f>
        <v>-5.24616180090909</v>
      </c>
      <c r="P10" s="13" t="n">
        <f aca="false">-Construction!O32</f>
        <v>-7.60839423727273</v>
      </c>
      <c r="Q10" s="13" t="n">
        <f aca="false">-Construction!P32</f>
        <v>-10.3181592990909</v>
      </c>
      <c r="R10" s="13" t="n">
        <f aca="false">-Construction!Q32</f>
        <v>-13.2493063536364</v>
      </c>
      <c r="S10" s="13" t="n">
        <f aca="false">-Construction!R32</f>
        <v>-16.2775399245455</v>
      </c>
      <c r="T10" s="13" t="n">
        <f aca="false">-Construction!S32</f>
        <v>-19.2866035463636</v>
      </c>
      <c r="U10" s="13" t="n">
        <f aca="false">-Construction!T32</f>
        <v>-22.1682797645455</v>
      </c>
      <c r="V10" s="13" t="n">
        <f aca="false">-Construction!U32</f>
        <v>-24.8261004481818</v>
      </c>
      <c r="W10" s="13" t="n">
        <f aca="false">-Construction!V32</f>
        <v>-27.1747284045455</v>
      </c>
      <c r="X10" s="13" t="n">
        <f aca="false">-Construction!W32</f>
        <v>-29.14119415</v>
      </c>
      <c r="Y10" s="13" t="n">
        <f aca="false">-Construction!X32</f>
        <v>-30.6686062227273</v>
      </c>
      <c r="Z10" s="13" t="n">
        <f aca="false">-Construction!Y32</f>
        <v>-31.7112040990909</v>
      </c>
      <c r="AA10" s="13" t="n">
        <f aca="false">-Construction!Z32</f>
        <v>-32.2399236627273</v>
      </c>
      <c r="AB10" s="13" t="n">
        <f aca="false">-Construction!AA32</f>
        <v>-33.3829236627273</v>
      </c>
      <c r="AC10" s="13" t="n">
        <f aca="false">-Construction!AB32</f>
        <v>-31.7112040990909</v>
      </c>
      <c r="AD10" s="13" t="n">
        <f aca="false">-Construction!AC32</f>
        <v>-30.6686062227273</v>
      </c>
      <c r="AE10" s="13" t="n">
        <f aca="false">-Construction!AD32</f>
        <v>-29.14119415</v>
      </c>
      <c r="AF10" s="13" t="n">
        <f aca="false">-Construction!AE32</f>
        <v>-27.1747284045455</v>
      </c>
      <c r="AG10" s="13" t="n">
        <f aca="false">-Construction!AF32</f>
        <v>-24.8261004481818</v>
      </c>
      <c r="AH10" s="13" t="n">
        <f aca="false">-Construction!AG32</f>
        <v>-22.1682797645455</v>
      </c>
      <c r="AI10" s="13" t="n">
        <f aca="false">-Construction!AH32</f>
        <v>-19.2866035463636</v>
      </c>
      <c r="AJ10" s="13" t="n">
        <f aca="false">-Construction!AI32</f>
        <v>-16.2775399245455</v>
      </c>
      <c r="AK10" s="13" t="n">
        <f aca="false">-Construction!AJ32</f>
        <v>-13.2493063536364</v>
      </c>
      <c r="AL10" s="13" t="n">
        <f aca="false">-Construction!AK32</f>
        <v>-10.3181592990909</v>
      </c>
      <c r="AM10" s="13" t="n">
        <f aca="false">-Construction!AL32</f>
        <v>-7.60839423727273</v>
      </c>
      <c r="AN10" s="13" t="n">
        <f aca="false">-Construction!AM32</f>
        <v>-5.24616180090909</v>
      </c>
      <c r="AO10" s="13" t="n">
        <f aca="false">-Construction!AN32</f>
        <v>-3.35699423727273</v>
      </c>
      <c r="AP10" s="13" t="n">
        <f aca="false">-Construction!AO32</f>
        <v>-2.05467447</v>
      </c>
      <c r="AQ10" s="13" t="n">
        <f aca="false">-Construction!AP32</f>
        <v>-49.6588293790909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2.51969776990859</v>
      </c>
      <c r="BR10" s="13" t="n">
        <f aca="false">Waterfall!P7+Tax!P27</f>
        <v>55.7011905899324</v>
      </c>
      <c r="BS10" s="13" t="n">
        <f aca="false">Waterfall!Q7+Tax!Q27</f>
        <v>55.4435818347201</v>
      </c>
      <c r="BT10" s="13" t="n">
        <f aca="false">Waterfall!R7+Tax!R27</f>
        <v>55.7940679029949</v>
      </c>
      <c r="BU10" s="13" t="n">
        <f aca="false">Waterfall!S7+Tax!S27</f>
        <v>55.4585399821437</v>
      </c>
      <c r="BV10" s="13" t="n">
        <f aca="false">Waterfall!T7+Tax!T27</f>
        <v>56.4589204452162</v>
      </c>
      <c r="BW10" s="13" t="n">
        <f aca="false">Waterfall!U7+Tax!U27</f>
        <v>55.7749516631111</v>
      </c>
      <c r="BX10" s="13" t="n">
        <f aca="false">Waterfall!V7+Tax!V27</f>
        <v>55.5139051725749</v>
      </c>
      <c r="BY10" s="13" t="n">
        <f aca="false">Waterfall!W7+Tax!W27</f>
        <v>55.3648697273215</v>
      </c>
      <c r="BZ10" s="13" t="n">
        <f aca="false">Waterfall!X7+Tax!X27</f>
        <v>55.25185286048</v>
      </c>
      <c r="CA10" s="13" t="n">
        <f aca="false">Waterfall!Y7+Tax!Y27</f>
        <v>55.1035748595649</v>
      </c>
      <c r="CB10" s="13" t="n">
        <f aca="false">Waterfall!Z7+Tax!Z27</f>
        <v>55.4610556064269</v>
      </c>
      <c r="CC10" s="13" t="n">
        <f aca="false">Waterfall!AA7+Tax!AA27</f>
        <v>55.122873915402</v>
      </c>
      <c r="CD10" s="13" t="n">
        <f aca="false">Waterfall!AB7+Tax!AB27</f>
        <v>56.1592562818288</v>
      </c>
      <c r="CE10" s="13" t="n">
        <f aca="false">Waterfall!AC7+Tax!AC27</f>
        <v>55.1644006715939</v>
      </c>
      <c r="CF10" s="13" t="n">
        <f aca="false">Waterfall!AD7+Tax!AD27</f>
        <v>55.7013148107878</v>
      </c>
      <c r="CG10" s="13" t="n">
        <f aca="false">Waterfall!AE7+Tax!AE27</f>
        <v>55.6624201398947</v>
      </c>
      <c r="CH10" s="13" t="n">
        <f aca="false">Waterfall!AF7+Tax!AF27</f>
        <v>57.8034722881646</v>
      </c>
      <c r="CI10" s="13" t="n">
        <f aca="false">Waterfall!AG7+Tax!AG27</f>
        <v>57.886537224963</v>
      </c>
      <c r="CJ10" s="13" t="n">
        <f aca="false">Waterfall!AH7+Tax!AH27</f>
        <v>58.2654471359061</v>
      </c>
      <c r="CK10" s="13" t="n">
        <f aca="false">Waterfall!AI7+Tax!AI27</f>
        <v>57.9243914647582</v>
      </c>
      <c r="CL10" s="13" t="n">
        <f aca="false">Waterfall!AJ7+Tax!AJ27</f>
        <v>58.9998514260127</v>
      </c>
      <c r="CM10" s="13" t="n">
        <f aca="false">Waterfall!AK7+Tax!AK27</f>
        <v>58.2969425788938</v>
      </c>
      <c r="CN10" s="13" t="n">
        <f aca="false">Waterfall!AL7+Tax!AL27</f>
        <v>58.1039655323287</v>
      </c>
      <c r="CO10" s="13" t="n">
        <f aca="false">Waterfall!AM7+Tax!AM27</f>
        <v>57.9554995269392</v>
      </c>
      <c r="CP10" s="13" t="n">
        <f aca="false">Waterfall!AN7+Tax!AN27</f>
        <v>57.5887365391012</v>
      </c>
      <c r="CQ10" s="13" t="n">
        <f aca="false">Waterfall!AO7+Tax!AO27</f>
        <v>57.450386134541</v>
      </c>
      <c r="CR10" s="13" t="n">
        <f aca="false">Waterfall!AP7+Tax!AP27</f>
        <v>57.8525533272934</v>
      </c>
      <c r="CS10" s="13" t="n">
        <f aca="false">Waterfall!AQ7+Tax!AQ27</f>
        <v>57.5083848816454</v>
      </c>
      <c r="CT10" s="13" t="n">
        <f aca="false">Waterfall!AR7+Tax!AR27</f>
        <v>58.6262636881738</v>
      </c>
      <c r="CU10" s="13" t="n">
        <f aca="false">Waterfall!AS7+Tax!AS27</f>
        <v>57.5952533681853</v>
      </c>
      <c r="CV10" s="13" t="n">
        <f aca="false">Waterfall!AT7+Tax!AT27</f>
        <v>58.4499771970522</v>
      </c>
      <c r="CW10" s="13" t="n">
        <f aca="false">Waterfall!AU7+Tax!AU27</f>
        <v>58.417632788128</v>
      </c>
      <c r="CX10" s="13" t="n">
        <f aca="false">Waterfall!AV7+Tax!AV27</f>
        <v>60.6361504807186</v>
      </c>
      <c r="CY10" s="13" t="n">
        <f aca="false">Waterfall!AW7+Tax!AW27</f>
        <v>60.7450922156532</v>
      </c>
      <c r="CZ10" s="13" t="n">
        <f aca="false">Waterfall!AX7+Tax!AX27</f>
        <v>61.1725024812835</v>
      </c>
      <c r="DA10" s="13" t="n">
        <f aca="false">Waterfall!AY7+Tax!AY27</f>
        <v>60.8249623013864</v>
      </c>
      <c r="DB10" s="13" t="n">
        <f aca="false">Waterfall!AZ7+Tax!AZ27</f>
        <v>61.9888898918317</v>
      </c>
      <c r="DC10" s="13" t="n">
        <f aca="false">Waterfall!BA7+Tax!BA27</f>
        <v>61.2636887743182</v>
      </c>
      <c r="DD10" s="13" t="n">
        <f aca="false">Waterfall!BB7+Tax!BB27</f>
        <v>61.1518199068798</v>
      </c>
      <c r="DE10" s="13" t="n">
        <f aca="false">Waterfall!BC7+Tax!BC27</f>
        <v>61.0040489544927</v>
      </c>
      <c r="DF10" s="13" t="n">
        <f aca="false">Waterfall!BD7+Tax!BD27</f>
        <v>60.3338762844788</v>
      </c>
      <c r="DG10" s="13" t="n">
        <f aca="false">Waterfall!BE7+Tax!BE27</f>
        <v>60.2072707992168</v>
      </c>
      <c r="DH10" s="13" t="n">
        <f aca="false">Waterfall!BF7+Tax!BF27</f>
        <v>60.6620813178551</v>
      </c>
      <c r="DI10" s="13" t="n">
        <f aca="false">Waterfall!BG7+Tax!BG27</f>
        <v>60.31088856293</v>
      </c>
      <c r="DJ10" s="13" t="n">
        <f aca="false">Waterfall!BH7+Tax!BH27</f>
        <v>61.5248087218477</v>
      </c>
      <c r="DK10" s="13" t="n">
        <f aca="false">Waterfall!BI7+Tax!BI27</f>
        <v>60.4512123898106</v>
      </c>
      <c r="DL10" s="13" t="n">
        <f aca="false">Waterfall!BJ7+Tax!BJ27</f>
        <v>61.6847214532725</v>
      </c>
      <c r="DM10" s="13" t="n">
        <f aca="false">Waterfall!BK7+Tax!BK27</f>
        <v>61.6601739002886</v>
      </c>
      <c r="DN10" s="13" t="n">
        <f aca="false">Waterfall!BL7+Tax!BL27</f>
        <v>64.670714371681</v>
      </c>
      <c r="DO10" s="13" t="n">
        <f aca="false">Waterfall!BM7+Tax!BM27</f>
        <v>49.4874015631182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1965</v>
      </c>
      <c r="E11" s="0" t="s">
        <v>151</v>
      </c>
      <c r="J11" s="13" t="n">
        <f aca="false">J8</f>
        <v>-14.2</v>
      </c>
      <c r="K11" s="13" t="n">
        <f aca="false">J11+K8</f>
        <v>-30.4998396917646</v>
      </c>
      <c r="L11" s="13" t="n">
        <f aca="false">K11+L8</f>
        <v>-31.1178626885475</v>
      </c>
      <c r="M11" s="13" t="n">
        <f aca="false">L11+M8</f>
        <v>-31.9062437545075</v>
      </c>
      <c r="N11" s="13" t="n">
        <f aca="false">M11+N8</f>
        <v>-33.0248940177823</v>
      </c>
      <c r="O11" s="13" t="n">
        <f aca="false">N11+O8</f>
        <v>-34.637388153353</v>
      </c>
      <c r="P11" s="13" t="n">
        <f aca="false">O11+P8</f>
        <v>-36.8718665741662</v>
      </c>
      <c r="Q11" s="13" t="n">
        <f aca="false">P11+Q8</f>
        <v>-39.7900029150649</v>
      </c>
      <c r="R11" s="13" t="n">
        <f aca="false">Q11+R8</f>
        <v>-43.4893245505266</v>
      </c>
      <c r="S11" s="13" t="n">
        <f aca="false">R11+S8</f>
        <v>-47.9719611180264</v>
      </c>
      <c r="T11" s="13" t="n">
        <f aca="false">S11+T8</f>
        <v>-53.2492792917229</v>
      </c>
      <c r="U11" s="13" t="n">
        <f aca="false">T11+U8</f>
        <v>-59.2731616549721</v>
      </c>
      <c r="V11" s="13" t="n">
        <f aca="false">U11+V8</f>
        <v>-66.018511783745</v>
      </c>
      <c r="W11" s="13" t="n">
        <f aca="false">V11+W8</f>
        <v>-73.3924485673464</v>
      </c>
      <c r="X11" s="13" t="n">
        <f aca="false">W11+X8</f>
        <v>-81.2914811031672</v>
      </c>
      <c r="Y11" s="13" t="n">
        <f aca="false">X11+Y8</f>
        <v>-89.6209383200701</v>
      </c>
      <c r="Z11" s="13" t="n">
        <f aca="false">Y11+Z8</f>
        <v>-98.2414729774039</v>
      </c>
      <c r="AA11" s="13" t="n">
        <f aca="false">Z11+AA8</f>
        <v>-107.039670552141</v>
      </c>
      <c r="AB11" s="13" t="n">
        <f aca="false">AA11+AB8</f>
        <v>-116.174983938275</v>
      </c>
      <c r="AC11" s="13" t="n">
        <f aca="false">AB11+AC8</f>
        <v>-124.897857640255</v>
      </c>
      <c r="AD11" s="13" t="n">
        <f aca="false">AC11+AD8</f>
        <v>-133.407439114327</v>
      </c>
      <c r="AE11" s="13" t="n">
        <f aca="false">AD11+AE8</f>
        <v>-141.547830294465</v>
      </c>
      <c r="AF11" s="13" t="n">
        <f aca="false">AE11+AF8</f>
        <v>-149.226099749034</v>
      </c>
      <c r="AG11" s="13" t="n">
        <f aca="false">AF11+AG8</f>
        <v>-156.320313639997</v>
      </c>
      <c r="AH11" s="13" t="n">
        <f aca="false">AG11+AH8</f>
        <v>-162.77871103461</v>
      </c>
      <c r="AI11" s="13" t="n">
        <f aca="false">AH11+AI8</f>
        <v>-168.522759557351</v>
      </c>
      <c r="AJ11" s="13" t="n">
        <f aca="false">AI11+AJ8</f>
        <v>-173.50473003276</v>
      </c>
      <c r="AK11" s="13" t="n">
        <f aca="false">AJ11+AK8</f>
        <v>-177.740624674329</v>
      </c>
      <c r="AL11" s="13" t="n">
        <f aca="false">AK11+AL8</f>
        <v>-181.227868025023</v>
      </c>
      <c r="AM11" s="13" t="n">
        <f aca="false">AL11+AM8</f>
        <v>-184.044788949644</v>
      </c>
      <c r="AN11" s="13" t="n">
        <f aca="false">AM11+AN8</f>
        <v>-186.272048193419</v>
      </c>
      <c r="AO11" s="13" t="n">
        <f aca="false">AN11+AO8</f>
        <v>-187.984284739955</v>
      </c>
      <c r="AP11" s="13" t="n">
        <f aca="false">AO11+AP8</f>
        <v>-189.405390083671</v>
      </c>
      <c r="AQ11" s="13" t="n">
        <f aca="false">AP11+AQ8</f>
        <v>-203.016561063453</v>
      </c>
      <c r="AR11" s="13" t="n">
        <f aca="false">AQ11+AR8</f>
        <v>-204.295598347064</v>
      </c>
      <c r="AS11" s="13" t="n">
        <f aca="false">AR11+AS8</f>
        <v>-205.289091311751</v>
      </c>
      <c r="AT11" s="13" t="n">
        <f aca="false">AS11+AT8</f>
        <v>-205.289091311751</v>
      </c>
      <c r="AU11" s="13" t="n">
        <f aca="false">AT11+AU8</f>
        <v>-205.289091311751</v>
      </c>
      <c r="AV11" s="13" t="n">
        <f aca="false">AU11+AV8</f>
        <v>-205.289091311751</v>
      </c>
      <c r="AW11" s="13" t="n">
        <f aca="false">AV11+AW8</f>
        <v>-205.289091311751</v>
      </c>
      <c r="AX11" s="13" t="n">
        <f aca="false">AW11+AX8</f>
        <v>-205.289091311751</v>
      </c>
      <c r="AY11" s="13" t="n">
        <f aca="false">AX11+AY8</f>
        <v>-205.289091311751</v>
      </c>
      <c r="AZ11" s="13" t="n">
        <f aca="false">AY11+AZ8</f>
        <v>-205.289091311751</v>
      </c>
      <c r="BA11" s="13" t="n">
        <f aca="false">AZ11+BA8</f>
        <v>-205.289091311751</v>
      </c>
      <c r="BB11" s="13" t="n">
        <f aca="false">BA11+BB8</f>
        <v>-205.289091311751</v>
      </c>
      <c r="BC11" s="13" t="n">
        <f aca="false">BB11+BC8</f>
        <v>-205.289091311751</v>
      </c>
      <c r="BD11" s="13" t="n">
        <f aca="false">BC11+BD8</f>
        <v>-205.289091311751</v>
      </c>
      <c r="BE11" s="13" t="n">
        <f aca="false">BD11+BE8</f>
        <v>-205.289091311751</v>
      </c>
      <c r="BF11" s="13" t="n">
        <f aca="false">BE11+BF8</f>
        <v>-205.289091311751</v>
      </c>
      <c r="BG11" s="13" t="n">
        <f aca="false">BF11+BG8</f>
        <v>-205.289091311751</v>
      </c>
      <c r="BH11" s="13" t="n">
        <f aca="false">BG11+BH8</f>
        <v>-205.289091311751</v>
      </c>
      <c r="BI11" s="13" t="n">
        <f aca="false">BH11+BI8</f>
        <v>-205.289091311751</v>
      </c>
      <c r="BJ11" s="13" t="n">
        <f aca="false">BI11+BJ8</f>
        <v>-205.289091311751</v>
      </c>
      <c r="BK11" s="13" t="n">
        <f aca="false">BJ11+BK8</f>
        <v>-205.289091311751</v>
      </c>
      <c r="BL11" s="13" t="n">
        <f aca="false">BK11+BL8</f>
        <v>-205.289091311751</v>
      </c>
      <c r="BM11" s="13" t="n">
        <f aca="false">BL11+BM8</f>
        <v>-205.289091311751</v>
      </c>
      <c r="BN11" s="13" t="n">
        <f aca="false">BM11+BN8</f>
        <v>-205.289091311751</v>
      </c>
      <c r="BO11" s="13" t="n">
        <f aca="false">BN11+BO8</f>
        <v>-205.289091311751</v>
      </c>
      <c r="BP11" s="13" t="n">
        <f aca="false">BO11+BP8</f>
        <v>-205.289091311751</v>
      </c>
      <c r="BQ11" s="13" t="n">
        <f aca="false">BP11+BQ8</f>
        <v>-205.289091311751</v>
      </c>
      <c r="BR11" s="13" t="n">
        <f aca="false">BQ11+BR8</f>
        <v>-185.970739389383</v>
      </c>
      <c r="BS11" s="13" t="n">
        <f aca="false">BR11+BS8</f>
        <v>-169.675616002724</v>
      </c>
      <c r="BT11" s="13" t="n">
        <f aca="false">BS11+BT8</f>
        <v>-152.794580068988</v>
      </c>
      <c r="BU11" s="13" t="n">
        <f aca="false">BT11+BU8</f>
        <v>-136.950998883268</v>
      </c>
      <c r="BV11" s="13" t="n">
        <f aca="false">BU11+BV8</f>
        <v>-119.627123786447</v>
      </c>
      <c r="BW11" s="13" t="n">
        <f aca="false">BV11+BW8</f>
        <v>-102.804051625812</v>
      </c>
      <c r="BX11" s="13" t="n">
        <f aca="false">BW11+BX8</f>
        <v>-86.1374537629772</v>
      </c>
      <c r="BY11" s="13" t="n">
        <f aca="false">BX11+BY8</f>
        <v>-69.5405919463929</v>
      </c>
      <c r="BZ11" s="13" t="n">
        <f aca="false">BY11+BZ8</f>
        <v>-52.9527062722971</v>
      </c>
      <c r="CA11" s="13" t="n">
        <f aca="false">BZ11+CA8</f>
        <v>-36.7639284945516</v>
      </c>
      <c r="CB11" s="13" t="n">
        <f aca="false">CA11+CB8</f>
        <v>-19.9803814471371</v>
      </c>
      <c r="CC11" s="13" t="n">
        <f aca="false">CB11+CC8</f>
        <v>-12.1212927277194</v>
      </c>
      <c r="CD11" s="13" t="n">
        <f aca="false">CC11+CD8</f>
        <v>-2.64176483529482</v>
      </c>
      <c r="CE11" s="13" t="n">
        <f aca="false">CD11+CE8</f>
        <v>6.72959625115524</v>
      </c>
      <c r="CF11" s="13" t="n">
        <f aca="false">CE11+CF8</f>
        <v>16.9147859110354</v>
      </c>
      <c r="CG11" s="13" t="n">
        <f aca="false">CF11+CG8</f>
        <v>26.0017482861024</v>
      </c>
      <c r="CH11" s="13" t="n">
        <f aca="false">CG11+CH8</f>
        <v>34.0102965151526</v>
      </c>
      <c r="CI11" s="13" t="n">
        <f aca="false">CH11+CI8</f>
        <v>42.289665522774</v>
      </c>
      <c r="CJ11" s="13" t="n">
        <f aca="false">CI11+CJ8</f>
        <v>51.3912241790988</v>
      </c>
      <c r="CK11" s="13" t="n">
        <f aca="false">CJ11+CK8</f>
        <v>60.6523570521649</v>
      </c>
      <c r="CL11" s="13" t="n">
        <f aca="false">CK11+CL8</f>
        <v>71.3647510945779</v>
      </c>
      <c r="CM11" s="13" t="n">
        <f aca="false">CL11+CM8</f>
        <v>83.1277688460249</v>
      </c>
      <c r="CN11" s="13" t="n">
        <f aca="false">CM11+CN8</f>
        <v>108.468102987424</v>
      </c>
      <c r="CO11" s="13" t="n">
        <f aca="false">CN11+CO8</f>
        <v>134.063616304778</v>
      </c>
      <c r="CP11" s="13" t="n">
        <f aca="false">CO11+CP8</f>
        <v>157.558662810962</v>
      </c>
      <c r="CQ11" s="13" t="n">
        <f aca="false">CP11+CQ8</f>
        <v>203.223730856646</v>
      </c>
      <c r="CR11" s="13" t="n">
        <f aca="false">CQ11+CR8</f>
        <v>249.154673859155</v>
      </c>
      <c r="CS11" s="13" t="n">
        <f aca="false">CR11+CS8</f>
        <v>294.623856733706</v>
      </c>
      <c r="CT11" s="13" t="n">
        <f aca="false">CS11+CT8</f>
        <v>341.029985926004</v>
      </c>
      <c r="CU11" s="13" t="n">
        <f aca="false">CT11+CU8</f>
        <v>386.698920016113</v>
      </c>
      <c r="CV11" s="13" t="n">
        <f aca="false">CU11+CV8</f>
        <v>438.110099263894</v>
      </c>
      <c r="CW11" s="13" t="n">
        <f aca="false">CV11+CW8</f>
        <v>484.840186797474</v>
      </c>
      <c r="CX11" s="13" t="n">
        <f aca="false">CW11+CX8</f>
        <v>533.020367189581</v>
      </c>
      <c r="CY11" s="13" t="n">
        <f aca="false">CX11+CY8</f>
        <v>581.312411473536</v>
      </c>
      <c r="CZ11" s="13" t="n">
        <f aca="false">CY11+CZ8</f>
        <v>630.096898666835</v>
      </c>
      <c r="DA11" s="13" t="n">
        <f aca="false">CZ11+DA8</f>
        <v>678.409941467279</v>
      </c>
      <c r="DB11" s="13" t="n">
        <f aca="false">DA11+DB8</f>
        <v>727.697216474</v>
      </c>
      <c r="DC11" s="13" t="n">
        <f aca="false">DB11+DC8</f>
        <v>775.929069917798</v>
      </c>
      <c r="DD11" s="13" t="n">
        <f aca="false">DC11+DD8</f>
        <v>824.496862197498</v>
      </c>
      <c r="DE11" s="13" t="n">
        <f aca="false">DD11+DE8</f>
        <v>869.619130030649</v>
      </c>
      <c r="DF11" s="13" t="n">
        <f aca="false">DE11+DF8</f>
        <v>909.671110809146</v>
      </c>
      <c r="DG11" s="13" t="n">
        <f aca="false">DF11+DG8</f>
        <v>949.579707292737</v>
      </c>
      <c r="DH11" s="13" t="n">
        <f aca="false">DG11+DH8</f>
        <v>989.989592858484</v>
      </c>
      <c r="DI11" s="13" t="n">
        <f aca="false">DH11+DI8</f>
        <v>1029.9003898088</v>
      </c>
      <c r="DJ11" s="13" t="n">
        <f aca="false">DI11+DJ8</f>
        <v>1070.80853896631</v>
      </c>
      <c r="DK11" s="13" t="n">
        <f aca="false">DJ11+DK8</f>
        <v>1110.93148360421</v>
      </c>
      <c r="DL11" s="13" t="n">
        <f aca="false">DK11+DL8</f>
        <v>1157.99725700996</v>
      </c>
      <c r="DM11" s="13" t="n">
        <f aca="false">DL11+DM8</f>
        <v>1199.53412698934</v>
      </c>
      <c r="DN11" s="13" t="n">
        <f aca="false">DM11+DN8</f>
        <v>1243.23928233133</v>
      </c>
      <c r="DO11" s="13" t="n">
        <f aca="false">DN11+DO8</f>
        <v>1303.48001967307</v>
      </c>
      <c r="DP11" s="13" t="n">
        <f aca="false">DO11+DP8</f>
        <v>1303.48001967307</v>
      </c>
    </row>
    <row r="12" customFormat="false" ht="15" hidden="false" customHeight="false" outlineLevel="0" collapsed="false">
      <c r="D12" s="0" t="s">
        <v>1966</v>
      </c>
      <c r="E12" s="0" t="s">
        <v>105</v>
      </c>
      <c r="F12" s="20" t="n">
        <f aca="false">XIRR(Returns!$J$8:$DP$8,Returns!$J$7:$DP$7)</f>
        <v>0.150954035020506</v>
      </c>
    </row>
    <row r="13" customFormat="false" ht="15" hidden="false" customHeight="false" outlineLevel="0" collapsed="false">
      <c r="D13" s="0" t="s">
        <v>1967</v>
      </c>
      <c r="E13" s="0" t="s">
        <v>105</v>
      </c>
      <c r="F13" s="20" t="n">
        <f aca="false">XIRR(Returns!$J$9:$DP$9,Returns!$J$7:$DP$7,Inputs!$F$255)</f>
        <v>0.118376621113026</v>
      </c>
    </row>
    <row r="14" customFormat="false" ht="15" hidden="false" customHeight="false" outlineLevel="0" collapsed="false">
      <c r="D14" s="0" t="s">
        <v>1968</v>
      </c>
      <c r="E14" s="0" t="s">
        <v>105</v>
      </c>
      <c r="F14" s="20" t="n">
        <f aca="false">XIRR(Returns!$J$10:$DP$10,Returns!$J$7:$DP$7,Inputs!$F$255)</f>
        <v>0.127782476701729</v>
      </c>
    </row>
    <row r="15" customFormat="false" ht="15" hidden="false" customHeight="false" outlineLevel="0" collapsed="false">
      <c r="D15" s="0" t="s">
        <v>1969</v>
      </c>
      <c r="E15" s="0" t="s">
        <v>151</v>
      </c>
      <c r="F15" s="21" t="n">
        <f aca="false">XNPV(Inputs!$F$252/100,Returns!$J$8:$DP$8,Returns!$J$7:$DP$7)*(1+Inputs!$F$252/100)^((Inputs!$F$187-Inputs!$F$186)/Inputs!$F$248)</f>
        <v>-13.3774704257513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1971</v>
      </c>
      <c r="E7" s="0" t="s">
        <v>1972</v>
      </c>
      <c r="F7" s="3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1973</v>
      </c>
      <c r="E8" s="0" t="s">
        <v>1972</v>
      </c>
      <c r="F8" s="3" t="n">
        <f aca="false">IF(AND(Inputs!$F$34=1,Inputs!$F$312=0),IF(ABS(SUM(Funding!$J$47:$BJ$47)-Funding!$F$25)&lt;=Inputs!$F$254,0,SUM(Funding!$J$47:$BJ$47)-Funding!$F$25),0)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1974</v>
      </c>
      <c r="E9" s="0" t="s">
        <v>1972</v>
      </c>
      <c r="F9" s="3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1975</v>
      </c>
      <c r="E10" s="0" t="s">
        <v>1972</v>
      </c>
      <c r="F10" s="3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1976</v>
      </c>
      <c r="E11" s="0" t="s">
        <v>1972</v>
      </c>
      <c r="F11" s="3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1977</v>
      </c>
      <c r="E12" s="0" t="s">
        <v>1972</v>
      </c>
      <c r="F12" s="3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1978</v>
      </c>
      <c r="E13" s="0" t="s">
        <v>1972</v>
      </c>
      <c r="F13" s="3" t="n">
        <f aca="false">IF(Inputs!$F$312=1,0,IF(MAX(MAX(Debt!$J$135:$BN$135),-MIN(Debt!$J$135:$BN$135))&lt;=Inputs!$F$260,0,MAX(MAX(Debt!$J$135:$BN$135),-MIN(Debt!$J$135:$BN$135))))</f>
        <v>0</v>
      </c>
    </row>
    <row r="14" customFormat="false" ht="15" hidden="false" customHeight="false" outlineLevel="0" collapsed="false">
      <c r="D14" s="0" t="s">
        <v>1979</v>
      </c>
      <c r="E14" s="0" t="s">
        <v>1972</v>
      </c>
      <c r="F14" s="3" t="n">
        <f aca="false">IF(AND(Inputs!$F$8=1,Inputs!$F$312=0),IF(Funding!$F$25&lt;=MIN(Debt!$F$130,Debt!$F$131)+Inputs!$F$254,0,1),0)</f>
        <v>1</v>
      </c>
    </row>
    <row r="15" customFormat="false" ht="15" hidden="false" customHeight="false" outlineLevel="0" collapsed="false">
      <c r="D15" s="0" t="s">
        <v>1980</v>
      </c>
      <c r="E15" s="0" t="s">
        <v>1972</v>
      </c>
      <c r="F15" s="3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1981</v>
      </c>
      <c r="E16" s="0" t="s">
        <v>1972</v>
      </c>
      <c r="F16" s="3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1982</v>
      </c>
      <c r="E17" s="0" t="s">
        <v>1972</v>
      </c>
      <c r="F17" s="3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1983</v>
      </c>
      <c r="E18" s="0" t="s">
        <v>1972</v>
      </c>
      <c r="F18" s="3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1984</v>
      </c>
      <c r="E19" s="0" t="s">
        <v>1972</v>
      </c>
      <c r="F19" s="3" t="n">
        <f aca="false">ABS($F$7)+ABS($F$8)+ABS($F$9)+ABS($F$10)+ABS($F$11)+ABS($F$12)+ABS($F$13)+ABS($F$14)+ABS($F$15)+ABS($F$16)+ABS($F$17)+ABS($F$18)+ABS($F$20)+ABS($F$21)+ABS($F$22)+ABS($F$23)+ABS($F$24)+ABS($F$25)</f>
        <v>1</v>
      </c>
    </row>
    <row r="20" customFormat="false" ht="15" hidden="false" customHeight="false" outlineLevel="0" collapsed="false">
      <c r="D20" s="0" t="s">
        <v>1985</v>
      </c>
      <c r="E20" s="0" t="s">
        <v>1972</v>
      </c>
      <c r="F20" s="3" t="n">
        <f aca="false">SUM(Time!$J$30:$BN$30)-Time!$F$9</f>
        <v>0</v>
      </c>
    </row>
    <row r="21" customFormat="false" ht="15" hidden="false" customHeight="false" outlineLevel="0" collapsed="false">
      <c r="D21" s="0" t="s">
        <v>1986</v>
      </c>
      <c r="E21" s="0" t="s">
        <v>1972</v>
      </c>
      <c r="F21" s="3" t="n">
        <f aca="false">SUM(Construction!$J$13:$BJ$13)-Time!$F$11</f>
        <v>0</v>
      </c>
    </row>
    <row r="22" customFormat="false" ht="15" hidden="false" customHeight="false" outlineLevel="0" collapsed="false">
      <c r="D22" s="0" t="s">
        <v>1987</v>
      </c>
      <c r="E22" s="0" t="s">
        <v>1972</v>
      </c>
      <c r="F22" s="3" t="n">
        <f aca="false">IF(MAX(MAX(Financials!$J$52:$BN$52),-MIN(Financials!$J$52:$BN$52))&lt;=Inputs!$F$254,0,MAX(MAX(Financials!$J$52:$BN$52),-MIN(Financials!$J$52:$BN$52)))</f>
        <v>0</v>
      </c>
    </row>
    <row r="23" customFormat="false" ht="15" hidden="false" customHeight="false" outlineLevel="0" collapsed="false">
      <c r="D23" s="0" t="s">
        <v>1988</v>
      </c>
      <c r="E23" s="0" t="s">
        <v>1972</v>
      </c>
      <c r="F23" s="3" t="n">
        <f aca="false">(Debt!$F$140&gt;Inputs!$F$1315)+(Debt!$F$138&gt;Inputs!$F$1316)+(Debt!$F$139&gt;Inputs!$F$1317/100)+(Debt!$F$141&gt;Inputs!$F$1318)+(Debt!$F$142&lt;Inputs!$F$1319/100)</f>
        <v>0</v>
      </c>
    </row>
    <row r="24" customFormat="false" ht="15" hidden="false" customHeight="false" outlineLevel="0" collapsed="false">
      <c r="D24" s="0" t="s">
        <v>1989</v>
      </c>
      <c r="E24" s="0" t="s">
        <v>1972</v>
      </c>
      <c r="F24" s="3" t="n">
        <f aca="false">COLUMNS(Operations!$K$79:$P$79)-Inputs!$F$225</f>
        <v>0</v>
      </c>
    </row>
    <row r="25" customFormat="false" ht="15" hidden="false" customHeight="false" outlineLevel="0" collapsed="false">
      <c r="D25" s="0" t="s">
        <v>1990</v>
      </c>
      <c r="E25" s="0" t="s">
        <v>1972</v>
      </c>
      <c r="F25" s="3" t="n">
        <f aca="false">Outputs!$F$44</f>
        <v>0</v>
      </c>
    </row>
  </sheetData>
  <conditionalFormatting sqref="F7:F26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1991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1992</v>
      </c>
      <c r="E7" s="0" t="s">
        <v>151</v>
      </c>
      <c r="F7" s="22" t="n">
        <f aca="false">Funding!$F$75</f>
        <v>860.239655410062</v>
      </c>
    </row>
    <row r="8" customFormat="false" ht="15" hidden="false" customHeight="false" outlineLevel="0" collapsed="false">
      <c r="D8" s="0" t="s">
        <v>1993</v>
      </c>
      <c r="E8" s="0" t="s">
        <v>151</v>
      </c>
      <c r="F8" s="22" t="n">
        <f aca="false">Funding!$F$25</f>
        <v>654.950564098343</v>
      </c>
    </row>
    <row r="9" customFormat="false" ht="15" hidden="false" customHeight="false" outlineLevel="0" collapsed="false">
      <c r="D9" s="0" t="s">
        <v>1994</v>
      </c>
      <c r="E9" s="0" t="s">
        <v>151</v>
      </c>
      <c r="F9" s="22" t="n">
        <f aca="false">SUM(Funding!$J$67:$BJ$67)</f>
        <v>205.289091311751</v>
      </c>
    </row>
    <row r="10" customFormat="false" ht="15" hidden="false" customHeight="false" outlineLevel="0" collapsed="false">
      <c r="D10" s="0" t="s">
        <v>1995</v>
      </c>
      <c r="E10" s="0" t="s">
        <v>105</v>
      </c>
      <c r="F10" s="20" t="n">
        <f aca="false">SUM(Funding!$J$73:$BJ$73)/Funding!$F$75</f>
        <v>0.76135825636416</v>
      </c>
    </row>
    <row r="11" customFormat="false" ht="15" hidden="false" customHeight="false" outlineLevel="0" collapsed="false">
      <c r="D11" s="0" t="s">
        <v>1996</v>
      </c>
      <c r="E11" s="0" t="s">
        <v>151</v>
      </c>
      <c r="F11" s="22" t="n">
        <f aca="false">SUM(Funding!$J$33:$BJ$33)+SUM(Funding!$J$34:$BJ$34)+SUM(Funding!$J$35:$BJ$35)+SUM(Funding!$J$36:$BJ$36)+SUM(Funding!$J$37:$BJ$37)+SUM(Funding!$J$39:$BJ$39)+SUM(Funding!$J$38:$BJ$38)</f>
        <v>65.6692149393836</v>
      </c>
    </row>
    <row r="12" customFormat="false" ht="15" hidden="false" customHeight="false" outlineLevel="0" collapsed="false">
      <c r="D12" s="0" t="s">
        <v>1997</v>
      </c>
      <c r="E12" s="0" t="s">
        <v>151</v>
      </c>
      <c r="F12" s="22" t="n">
        <f aca="false">SUM(Funding!$J$40:$BJ$40)+SUM(Funding!$J$41:$BJ$41)+SUM(Funding!$J$42:$BJ$42)+SUM(Funding!$J$43:$BJ$43)</f>
        <v>21.6550395130652</v>
      </c>
    </row>
    <row r="13" customFormat="false" ht="15" hidden="false" customHeight="false" outlineLevel="0" collapsed="false">
      <c r="D13" s="0" t="s">
        <v>1998</v>
      </c>
      <c r="E13" s="0" t="s">
        <v>151</v>
      </c>
      <c r="F13" s="22" t="n">
        <f aca="false">SUM(Funding!$J$48:$BJ$48)</f>
        <v>21.3186408614</v>
      </c>
    </row>
    <row r="14" customFormat="false" ht="15" hidden="false" customHeight="false" outlineLevel="0" collapsed="false">
      <c r="D14" s="0" t="s">
        <v>1999</v>
      </c>
      <c r="E14" s="0" t="s">
        <v>151</v>
      </c>
      <c r="F14" s="22" t="n">
        <f aca="false">SUM(Funding!$J$44:$BJ$44)</f>
        <v>39.0832901643519</v>
      </c>
    </row>
    <row r="15" customFormat="false" ht="15" hidden="false" customHeight="false" outlineLevel="0" collapsed="false">
      <c r="D15" s="0" t="s">
        <v>2000</v>
      </c>
      <c r="E15" s="0" t="s">
        <v>151</v>
      </c>
      <c r="F15" s="22" t="n">
        <f aca="false">SUM(Funding!$J$55:$BJ$55)</f>
        <v>0</v>
      </c>
    </row>
    <row r="16" customFormat="false" ht="15" hidden="false" customHeight="false" outlineLevel="0" collapsed="false">
      <c r="D16" s="0" t="s">
        <v>2001</v>
      </c>
      <c r="E16" s="0" t="s">
        <v>151</v>
      </c>
      <c r="F16" s="22" t="n">
        <f aca="false">SUM(Funding!$J$56:$BJ$56)</f>
        <v>0</v>
      </c>
    </row>
    <row r="17" customFormat="false" ht="15" hidden="false" customHeight="false" outlineLevel="0" collapsed="false">
      <c r="D17" s="0" t="s">
        <v>1952</v>
      </c>
      <c r="E17" s="0" t="s">
        <v>204</v>
      </c>
      <c r="F17" s="22" t="n">
        <f aca="false">Ratios!$F$16</f>
        <v>1.42008384419861</v>
      </c>
    </row>
    <row r="18" customFormat="false" ht="15" hidden="false" customHeight="false" outlineLevel="0" collapsed="false">
      <c r="D18" s="0" t="s">
        <v>2002</v>
      </c>
      <c r="E18" s="0" t="s">
        <v>204</v>
      </c>
      <c r="F18" s="22" t="n">
        <f aca="false">Ratios!$F$17</f>
        <v>1.52701687981106</v>
      </c>
    </row>
    <row r="19" customFormat="false" ht="15" hidden="false" customHeight="false" outlineLevel="0" collapsed="false">
      <c r="D19" s="0" t="s">
        <v>2003</v>
      </c>
      <c r="E19" s="0" t="s">
        <v>204</v>
      </c>
      <c r="F19" s="22" t="n">
        <f aca="false">Ratios!$F$18</f>
        <v>1.42346875379025</v>
      </c>
    </row>
    <row r="20" customFormat="false" ht="15" hidden="false" customHeight="false" outlineLevel="0" collapsed="false">
      <c r="D20" s="0" t="s">
        <v>1955</v>
      </c>
      <c r="E20" s="0" t="s">
        <v>204</v>
      </c>
      <c r="F20" s="22" t="n">
        <f aca="false">Ratios!$F$19</f>
        <v>1.84065590483414</v>
      </c>
    </row>
    <row r="21" customFormat="false" ht="15" hidden="false" customHeight="false" outlineLevel="0" collapsed="false">
      <c r="D21" s="0" t="s">
        <v>436</v>
      </c>
      <c r="E21" s="0" t="s">
        <v>105</v>
      </c>
      <c r="F21" s="20" t="n">
        <f aca="false">Returns!$F$12</f>
        <v>0.150954035020506</v>
      </c>
    </row>
    <row r="22" customFormat="false" ht="15" hidden="false" customHeight="false" outlineLevel="0" collapsed="false">
      <c r="D22" s="0" t="s">
        <v>2004</v>
      </c>
      <c r="E22" s="0" t="s">
        <v>105</v>
      </c>
      <c r="F22" s="20" t="n">
        <f aca="false">Returns!$F$13</f>
        <v>0.118376621113026</v>
      </c>
    </row>
    <row r="23" customFormat="false" ht="15" hidden="false" customHeight="false" outlineLevel="0" collapsed="false">
      <c r="D23" s="0" t="s">
        <v>2005</v>
      </c>
      <c r="E23" s="0" t="s">
        <v>151</v>
      </c>
      <c r="F23" s="22" t="n">
        <f aca="false">Returns!$F$15</f>
        <v>-13.3774704257513</v>
      </c>
    </row>
    <row r="24" customFormat="false" ht="15" hidden="false" customHeight="false" outlineLevel="0" collapsed="false">
      <c r="D24" s="0" t="s">
        <v>2006</v>
      </c>
      <c r="E24" s="0" t="s">
        <v>1972</v>
      </c>
      <c r="F24" s="22" t="n">
        <f aca="false">Checks!$F$19</f>
        <v>1</v>
      </c>
    </row>
    <row r="26" customFormat="false" ht="15" hidden="false" customHeight="false" outlineLevel="0" collapsed="false">
      <c r="D26" s="2" t="s">
        <v>2007</v>
      </c>
    </row>
    <row r="27" customFormat="false" ht="15" hidden="false" customHeight="false" outlineLevel="0" collapsed="false">
      <c r="D27" s="2" t="s">
        <v>2008</v>
      </c>
      <c r="J27" s="2" t="s">
        <v>1992</v>
      </c>
      <c r="K27" s="2" t="s">
        <v>1993</v>
      </c>
      <c r="L27" s="2" t="s">
        <v>1994</v>
      </c>
      <c r="M27" s="2" t="s">
        <v>1995</v>
      </c>
      <c r="N27" s="2" t="s">
        <v>1996</v>
      </c>
      <c r="O27" s="2" t="s">
        <v>1997</v>
      </c>
      <c r="P27" s="2" t="s">
        <v>1998</v>
      </c>
      <c r="Q27" s="2" t="s">
        <v>1999</v>
      </c>
      <c r="R27" s="2" t="s">
        <v>2000</v>
      </c>
      <c r="S27" s="2" t="s">
        <v>2001</v>
      </c>
      <c r="T27" s="2" t="s">
        <v>1952</v>
      </c>
      <c r="U27" s="2" t="s">
        <v>2002</v>
      </c>
      <c r="V27" s="2" t="s">
        <v>2003</v>
      </c>
      <c r="W27" s="2" t="s">
        <v>1955</v>
      </c>
      <c r="X27" s="2" t="s">
        <v>436</v>
      </c>
      <c r="Y27" s="2" t="s">
        <v>2004</v>
      </c>
      <c r="Z27" s="2" t="s">
        <v>2005</v>
      </c>
    </row>
    <row r="28" customFormat="false" ht="15" hidden="false" customHeight="false" outlineLevel="0" collapsed="false">
      <c r="D28" s="0" t="s">
        <v>2009</v>
      </c>
      <c r="J28" s="23" t="n">
        <v>860.239655410062</v>
      </c>
      <c r="K28" s="23" t="n">
        <v>654.950564098343</v>
      </c>
      <c r="L28" s="23" t="n">
        <v>205.289091311751</v>
      </c>
      <c r="M28" s="24" t="n">
        <v>0.76135825636416</v>
      </c>
      <c r="N28" s="23" t="n">
        <v>65.6692149393836</v>
      </c>
      <c r="O28" s="23" t="n">
        <v>21.6550395130652</v>
      </c>
      <c r="P28" s="23" t="n">
        <v>21.3186408614</v>
      </c>
      <c r="Q28" s="23" t="n">
        <v>39.0832901643519</v>
      </c>
      <c r="R28" s="23" t="n">
        <v>0</v>
      </c>
      <c r="S28" s="23" t="n">
        <v>0</v>
      </c>
      <c r="T28" s="23" t="n">
        <v>1.42008384419861</v>
      </c>
      <c r="U28" s="23" t="n">
        <v>1.52701687981106</v>
      </c>
      <c r="V28" s="23" t="n">
        <v>1.42346875379025</v>
      </c>
      <c r="W28" s="23" t="n">
        <v>1.84065590483414</v>
      </c>
      <c r="X28" s="24" t="n">
        <v>0.150954035020506</v>
      </c>
      <c r="Y28" s="24" t="n">
        <v>0.118376621113026</v>
      </c>
      <c r="Z28" s="23" t="n">
        <v>-13.3774704257513</v>
      </c>
    </row>
    <row r="29" customFormat="false" ht="15" hidden="false" customHeight="false" outlineLevel="0" collapsed="false">
      <c r="D29" s="0" t="s">
        <v>2010</v>
      </c>
      <c r="J29" s="23" t="n">
        <v>860.239655410062</v>
      </c>
      <c r="K29" s="23" t="n">
        <v>654.950564098343</v>
      </c>
      <c r="L29" s="23" t="n">
        <v>205.289091311751</v>
      </c>
      <c r="M29" s="24" t="n">
        <v>0.76135825636416</v>
      </c>
      <c r="N29" s="23" t="n">
        <v>65.6692149393836</v>
      </c>
      <c r="O29" s="23" t="n">
        <v>21.6550395130652</v>
      </c>
      <c r="P29" s="23" t="n">
        <v>21.3186408614</v>
      </c>
      <c r="Q29" s="23" t="n">
        <v>39.0832901643519</v>
      </c>
      <c r="R29" s="23" t="n">
        <v>0</v>
      </c>
      <c r="S29" s="23" t="n">
        <v>0</v>
      </c>
      <c r="T29" s="23" t="n">
        <v>1.53614275301773</v>
      </c>
      <c r="U29" s="23" t="n">
        <v>1.68156372191895</v>
      </c>
      <c r="V29" s="23" t="n">
        <v>1.5319471444929</v>
      </c>
      <c r="W29" s="23" t="n">
        <v>1.99828366557193</v>
      </c>
      <c r="X29" s="24" t="n">
        <v>0.174320872302943</v>
      </c>
      <c r="Y29" s="24" t="n">
        <v>0.1283742545016</v>
      </c>
      <c r="Z29" s="23" t="n">
        <v>21.3032310452624</v>
      </c>
    </row>
    <row r="30" customFormat="false" ht="15" hidden="false" customHeight="false" outlineLevel="0" collapsed="false">
      <c r="D30" s="0" t="s">
        <v>2011</v>
      </c>
      <c r="J30" s="23" t="n">
        <v>860.239655410062</v>
      </c>
      <c r="K30" s="23" t="n">
        <v>654.950564098343</v>
      </c>
      <c r="L30" s="23" t="n">
        <v>205.289091311751</v>
      </c>
      <c r="M30" s="24" t="n">
        <v>0.76135825636416</v>
      </c>
      <c r="N30" s="23" t="n">
        <v>65.6692149393836</v>
      </c>
      <c r="O30" s="23" t="n">
        <v>21.6550395130652</v>
      </c>
      <c r="P30" s="23" t="n">
        <v>21.3186408614</v>
      </c>
      <c r="Q30" s="23" t="n">
        <v>39.0832901643519</v>
      </c>
      <c r="R30" s="23" t="n">
        <v>0</v>
      </c>
      <c r="S30" s="23" t="n">
        <v>0</v>
      </c>
      <c r="T30" s="23" t="n">
        <v>1.25292615303561</v>
      </c>
      <c r="U30" s="23" t="n">
        <v>1.3356670939227</v>
      </c>
      <c r="V30" s="23" t="n">
        <v>1.28578317101448</v>
      </c>
      <c r="W30" s="23" t="n">
        <v>1.64279083713389</v>
      </c>
      <c r="X30" s="24" t="n">
        <v>0.120455674372001</v>
      </c>
      <c r="Y30" s="24" t="n">
        <v>0.104990903676443</v>
      </c>
      <c r="Z30" s="23" t="n">
        <v>-58.9223797612172</v>
      </c>
    </row>
    <row r="31" customFormat="false" ht="15" hidden="false" customHeight="false" outlineLevel="0" collapsed="false">
      <c r="D31" s="0" t="s">
        <v>2012</v>
      </c>
      <c r="J31" s="23" t="n">
        <v>860.239655410062</v>
      </c>
      <c r="K31" s="23" t="n">
        <v>654.950564098343</v>
      </c>
      <c r="L31" s="23" t="n">
        <v>205.289091311751</v>
      </c>
      <c r="M31" s="24" t="n">
        <v>0.76135825636416</v>
      </c>
      <c r="N31" s="23" t="n">
        <v>65.6692149393836</v>
      </c>
      <c r="O31" s="23" t="n">
        <v>21.6550395130652</v>
      </c>
      <c r="P31" s="23" t="n">
        <v>21.3186408614</v>
      </c>
      <c r="Q31" s="23" t="n">
        <v>39.0832901643519</v>
      </c>
      <c r="R31" s="23" t="n">
        <v>0</v>
      </c>
      <c r="S31" s="23" t="n">
        <v>0</v>
      </c>
      <c r="T31" s="23" t="n">
        <v>1.37433325329667</v>
      </c>
      <c r="U31" s="23" t="n">
        <v>1.47137611926579</v>
      </c>
      <c r="V31" s="23" t="n">
        <v>1.3833146423823</v>
      </c>
      <c r="W31" s="23" t="n">
        <v>1.78351890314739</v>
      </c>
      <c r="X31" s="24" t="n">
        <v>0.142083829748944</v>
      </c>
      <c r="Y31" s="24" t="n">
        <v>0.114561715130917</v>
      </c>
      <c r="Z31" s="23" t="n">
        <v>-26.5476374135928</v>
      </c>
    </row>
    <row r="32" customFormat="false" ht="15" hidden="false" customHeight="false" outlineLevel="0" collapsed="false">
      <c r="D32" s="0" t="s">
        <v>2013</v>
      </c>
      <c r="J32" s="23" t="n">
        <v>860.239655410062</v>
      </c>
      <c r="K32" s="23" t="n">
        <v>654.950564098343</v>
      </c>
      <c r="L32" s="23" t="n">
        <v>205.289091311751</v>
      </c>
      <c r="M32" s="24" t="n">
        <v>0.76135825636416</v>
      </c>
      <c r="N32" s="23" t="n">
        <v>65.6692149393836</v>
      </c>
      <c r="O32" s="23" t="n">
        <v>21.6550395130652</v>
      </c>
      <c r="P32" s="23" t="n">
        <v>21.3186408614</v>
      </c>
      <c r="Q32" s="23" t="n">
        <v>39.0832901643519</v>
      </c>
      <c r="R32" s="23" t="n">
        <v>0</v>
      </c>
      <c r="S32" s="23" t="n">
        <v>0</v>
      </c>
      <c r="T32" s="23" t="n">
        <v>1.37877013542842</v>
      </c>
      <c r="U32" s="23" t="n">
        <v>1.47678779924783</v>
      </c>
      <c r="V32" s="23" t="n">
        <v>1.38771166151681</v>
      </c>
      <c r="W32" s="23" t="n">
        <v>1.78753265429906</v>
      </c>
      <c r="X32" s="24" t="n">
        <v>0.142942932674424</v>
      </c>
      <c r="Y32" s="24" t="n">
        <v>0.114898838799549</v>
      </c>
      <c r="Z32" s="23" t="n">
        <v>-25.208698108411</v>
      </c>
    </row>
    <row r="33" customFormat="false" ht="15" hidden="false" customHeight="false" outlineLevel="0" collapsed="false">
      <c r="D33" s="0" t="s">
        <v>2014</v>
      </c>
      <c r="J33" s="23" t="n">
        <v>860.239655410062</v>
      </c>
      <c r="K33" s="23" t="n">
        <v>654.950564098343</v>
      </c>
      <c r="L33" s="23" t="n">
        <v>205.289091311751</v>
      </c>
      <c r="M33" s="24" t="n">
        <v>0.76135825636416</v>
      </c>
      <c r="N33" s="23" t="n">
        <v>65.6692149393836</v>
      </c>
      <c r="O33" s="23" t="n">
        <v>21.6550395130652</v>
      </c>
      <c r="P33" s="23" t="n">
        <v>21.3186408614</v>
      </c>
      <c r="Q33" s="23" t="n">
        <v>39.0832901643519</v>
      </c>
      <c r="R33" s="23" t="n">
        <v>0</v>
      </c>
      <c r="S33" s="23" t="n">
        <v>0</v>
      </c>
      <c r="T33" s="23" t="n">
        <v>1.39208675421854</v>
      </c>
      <c r="U33" s="23" t="n">
        <v>1.49305940061524</v>
      </c>
      <c r="V33" s="23" t="n">
        <v>1.39950660462379</v>
      </c>
      <c r="W33" s="23" t="n">
        <v>1.80477975057447</v>
      </c>
      <c r="X33" s="24" t="n">
        <v>0.145565379843463</v>
      </c>
      <c r="Y33" s="24" t="n">
        <v>0.11603623225775</v>
      </c>
      <c r="Z33" s="23" t="n">
        <v>-21.33001262369</v>
      </c>
    </row>
    <row r="34" customFormat="false" ht="15" hidden="false" customHeight="false" outlineLevel="0" collapsed="false">
      <c r="D34" s="0" t="s">
        <v>2015</v>
      </c>
    </row>
    <row r="35" customFormat="false" ht="15" hidden="false" customHeight="false" outlineLevel="0" collapsed="false">
      <c r="D35" s="0" t="s">
        <v>2016</v>
      </c>
    </row>
    <row r="36" customFormat="false" ht="15" hidden="false" customHeight="false" outlineLevel="0" collapsed="false">
      <c r="D36" s="0" t="s">
        <v>2017</v>
      </c>
      <c r="J36" s="23" t="n">
        <v>860.239655410062</v>
      </c>
      <c r="K36" s="23" t="n">
        <v>654.950564098343</v>
      </c>
      <c r="L36" s="23" t="n">
        <v>205.289091311751</v>
      </c>
      <c r="M36" s="24" t="n">
        <v>0.76135825636416</v>
      </c>
      <c r="N36" s="23" t="n">
        <v>65.6692149393836</v>
      </c>
      <c r="O36" s="23" t="n">
        <v>21.6550395130652</v>
      </c>
      <c r="P36" s="23" t="n">
        <v>21.3186408614</v>
      </c>
      <c r="Q36" s="23" t="n">
        <v>39.0832901643519</v>
      </c>
      <c r="R36" s="23" t="n">
        <v>0</v>
      </c>
      <c r="S36" s="23" t="n">
        <v>0</v>
      </c>
      <c r="T36" s="23" t="n">
        <v>1.0934647413392</v>
      </c>
      <c r="U36" s="23" t="n">
        <v>1.40061783635973</v>
      </c>
      <c r="V36" s="23" t="n">
        <v>1.21773163989675</v>
      </c>
      <c r="W36" s="23" t="n">
        <v>1.38570690404651</v>
      </c>
      <c r="X36" s="24" t="n">
        <v>0.118352816175237</v>
      </c>
      <c r="Y36" s="24" t="n">
        <v>0.120303073948444</v>
      </c>
      <c r="Z36" s="23" t="n">
        <v>-71.4302488343058</v>
      </c>
    </row>
    <row r="37" customFormat="false" ht="15" hidden="false" customHeight="false" outlineLevel="0" collapsed="false">
      <c r="D37" s="0" t="s">
        <v>2018</v>
      </c>
      <c r="J37" s="23" t="n">
        <v>860.239655410062</v>
      </c>
      <c r="K37" s="23" t="n">
        <v>654.950564098343</v>
      </c>
      <c r="L37" s="23" t="n">
        <v>205.289091311751</v>
      </c>
      <c r="M37" s="24" t="n">
        <v>0.76135825636416</v>
      </c>
      <c r="N37" s="23" t="n">
        <v>65.6692149393836</v>
      </c>
      <c r="O37" s="23" t="n">
        <v>21.6550395130652</v>
      </c>
      <c r="P37" s="23" t="n">
        <v>21.3186408614</v>
      </c>
      <c r="Q37" s="23" t="n">
        <v>39.0832901643519</v>
      </c>
      <c r="R37" s="23" t="n">
        <v>0</v>
      </c>
      <c r="S37" s="23" t="n">
        <v>0</v>
      </c>
      <c r="T37" s="23" t="n">
        <v>0.52635877658938</v>
      </c>
      <c r="U37" s="23" t="n">
        <v>1.49626817042801</v>
      </c>
      <c r="V37" s="23" t="n">
        <v>1.399245226501</v>
      </c>
      <c r="W37" s="23" t="n">
        <v>1.8051150549961</v>
      </c>
      <c r="X37" s="24" t="n">
        <v>0.145310510719393</v>
      </c>
      <c r="Y37" s="24" t="n">
        <v>0.115882405886728</v>
      </c>
      <c r="Z37" s="23" t="n">
        <v>-21.8995232592314</v>
      </c>
    </row>
    <row r="38" customFormat="false" ht="15" hidden="false" customHeight="false" outlineLevel="0" collapsed="false">
      <c r="D38" s="0" t="s">
        <v>2019</v>
      </c>
      <c r="J38" s="23" t="n">
        <v>860.239655410062</v>
      </c>
      <c r="K38" s="23" t="n">
        <v>654.950564098343</v>
      </c>
      <c r="L38" s="23" t="n">
        <v>205.289091311751</v>
      </c>
      <c r="M38" s="24" t="n">
        <v>0.76135825636416</v>
      </c>
      <c r="N38" s="23" t="n">
        <v>65.6692149393836</v>
      </c>
      <c r="O38" s="23" t="n">
        <v>21.6550395130652</v>
      </c>
      <c r="P38" s="23" t="n">
        <v>21.3186408614</v>
      </c>
      <c r="Q38" s="23" t="n">
        <v>39.0832901643519</v>
      </c>
      <c r="R38" s="23" t="n">
        <v>0</v>
      </c>
      <c r="S38" s="23" t="n">
        <v>0</v>
      </c>
      <c r="T38" s="23" t="n">
        <v>0.208381791068377</v>
      </c>
      <c r="U38" s="23" t="n">
        <v>1.5278134325277</v>
      </c>
      <c r="V38" s="23" t="n">
        <v>1.41932013825083</v>
      </c>
      <c r="W38" s="23" t="n">
        <v>1.83655048346813</v>
      </c>
      <c r="X38" s="24" t="n">
        <v>0.149861728044351</v>
      </c>
      <c r="Y38" s="24" t="n">
        <v>0.117750823903841</v>
      </c>
      <c r="Z38" s="23" t="n">
        <v>-15.1756523282707</v>
      </c>
    </row>
    <row r="39" customFormat="false" ht="15" hidden="false" customHeight="false" outlineLevel="0" collapsed="false">
      <c r="D39" s="0" t="s">
        <v>2020</v>
      </c>
      <c r="J39" s="23" t="n">
        <v>860.239655410062</v>
      </c>
      <c r="K39" s="23" t="n">
        <v>654.950564098343</v>
      </c>
      <c r="L39" s="23" t="n">
        <v>205.289091311751</v>
      </c>
      <c r="M39" s="24" t="n">
        <v>0.76135825636416</v>
      </c>
      <c r="N39" s="23" t="n">
        <v>65.6692149393836</v>
      </c>
      <c r="O39" s="23" t="n">
        <v>21.6550395130652</v>
      </c>
      <c r="P39" s="23" t="n">
        <v>21.3186408614</v>
      </c>
      <c r="Q39" s="23" t="n">
        <v>39.0832901643519</v>
      </c>
      <c r="R39" s="23" t="n">
        <v>0</v>
      </c>
      <c r="S39" s="23" t="n">
        <v>0</v>
      </c>
      <c r="T39" s="23" t="n">
        <v>2.078568892575</v>
      </c>
      <c r="U39" s="23" t="n">
        <v>2.42374296658621</v>
      </c>
      <c r="V39" s="23" t="n">
        <v>2.07762843951438</v>
      </c>
      <c r="W39" s="23" t="n">
        <v>2.77983656227848</v>
      </c>
      <c r="X39" s="24" t="n">
        <v>0.284634281529264</v>
      </c>
      <c r="Y39" s="24" t="n">
        <v>0.173640888566521</v>
      </c>
      <c r="Z39" s="23" t="n">
        <v>194.283936247816</v>
      </c>
    </row>
    <row r="40" customFormat="false" ht="15" hidden="false" customHeight="false" outlineLevel="0" collapsed="false">
      <c r="D40" s="0" t="s">
        <v>2021</v>
      </c>
      <c r="J40" s="23" t="n">
        <v>860.239655410062</v>
      </c>
      <c r="K40" s="23" t="n">
        <v>654.950564098343</v>
      </c>
      <c r="L40" s="23" t="n">
        <v>205.289091311751</v>
      </c>
      <c r="M40" s="24" t="n">
        <v>0.76135825636416</v>
      </c>
      <c r="N40" s="23" t="n">
        <v>65.6692149393836</v>
      </c>
      <c r="O40" s="23" t="n">
        <v>21.6550395130652</v>
      </c>
      <c r="P40" s="23" t="n">
        <v>21.3186408614</v>
      </c>
      <c r="Q40" s="23" t="n">
        <v>39.0832901643519</v>
      </c>
      <c r="R40" s="23" t="n">
        <v>0</v>
      </c>
      <c r="S40" s="23" t="n">
        <v>0</v>
      </c>
      <c r="T40" s="23" t="n">
        <v>1.42012181540671</v>
      </c>
      <c r="U40" s="23" t="n">
        <v>1.52740658594019</v>
      </c>
      <c r="V40" s="23" t="n">
        <v>1.42390180638023</v>
      </c>
      <c r="W40" s="23" t="n">
        <v>1.84068530402381</v>
      </c>
      <c r="X40" s="24" t="n">
        <v>0.151032006243364</v>
      </c>
      <c r="Y40" s="24" t="n">
        <v>0.118399594604346</v>
      </c>
      <c r="Z40" s="23" t="n">
        <v>-13.2534695386211</v>
      </c>
    </row>
    <row r="41" customFormat="false" ht="15" hidden="false" customHeight="false" outlineLevel="0" collapsed="false">
      <c r="D41" s="0" t="s">
        <v>2022</v>
      </c>
      <c r="J41" s="23" t="n">
        <v>893.429481554617</v>
      </c>
      <c r="K41" s="23" t="n">
        <v>654.950564098343</v>
      </c>
      <c r="L41" s="23" t="n">
        <v>209.28162284789</v>
      </c>
      <c r="M41" s="24" t="n">
        <v>0.746481028974145</v>
      </c>
      <c r="N41" s="23" t="n">
        <v>64.5428043824099</v>
      </c>
      <c r="O41" s="23" t="n">
        <v>23.8194550387156</v>
      </c>
      <c r="P41" s="23" t="n">
        <v>21.3186408614011</v>
      </c>
      <c r="Q41" s="23" t="n">
        <v>39.3467939889093</v>
      </c>
      <c r="R41" s="23" t="n">
        <v>11.9775946083842</v>
      </c>
      <c r="S41" s="23" t="n">
        <v>3.99253153612807</v>
      </c>
      <c r="T41" s="23" t="n">
        <v>1.34430725604212</v>
      </c>
      <c r="U41" s="23" t="n">
        <v>1.5119206918871</v>
      </c>
      <c r="V41" s="23" t="n">
        <v>1.35083574488353</v>
      </c>
      <c r="W41" s="23" t="n">
        <v>1.79599801682805</v>
      </c>
      <c r="X41" s="24" t="n">
        <v>0.14095969106261</v>
      </c>
      <c r="Y41" s="24" t="n">
        <v>0.109007371927536</v>
      </c>
      <c r="Z41" s="23" t="n">
        <v>-28.6676142531365</v>
      </c>
    </row>
    <row r="42" customFormat="false" ht="15" hidden="false" customHeight="false" outlineLevel="0" collapsed="false">
      <c r="D42" s="0" t="s">
        <v>2023</v>
      </c>
      <c r="J42" s="23" t="n">
        <v>876.950267318636</v>
      </c>
      <c r="K42" s="23" t="n">
        <v>654.950564098343</v>
      </c>
      <c r="L42" s="23" t="n">
        <v>205.289091311762</v>
      </c>
      <c r="M42" s="24" t="n">
        <v>0.746850293005691</v>
      </c>
      <c r="N42" s="23" t="n">
        <v>64.5428043824099</v>
      </c>
      <c r="O42" s="23" t="n">
        <v>23.8194550387156</v>
      </c>
      <c r="P42" s="23" t="n">
        <v>21.3186408614011</v>
      </c>
      <c r="Q42" s="23" t="n">
        <v>22.8675797529288</v>
      </c>
      <c r="R42" s="23" t="n">
        <v>1.06581410364015E-014</v>
      </c>
      <c r="S42" s="23" t="n">
        <v>3.5527136788005E-015</v>
      </c>
      <c r="T42" s="23" t="n">
        <v>0.824838454811151</v>
      </c>
      <c r="U42" s="23" t="n">
        <v>1.48170565232514</v>
      </c>
      <c r="V42" s="23" t="n">
        <v>1.42045633377572</v>
      </c>
      <c r="W42" s="23" t="n">
        <v>1.65696501693751</v>
      </c>
      <c r="X42" s="24" t="n">
        <v>0.134426755072535</v>
      </c>
      <c r="Y42" s="24" t="n">
        <v>0.111645249533194</v>
      </c>
      <c r="Z42" s="23" t="n">
        <v>-39.2999446812348</v>
      </c>
    </row>
    <row r="44" customFormat="false" ht="15" hidden="false" customHeight="false" outlineLevel="0" collapsed="false">
      <c r="D44" s="0" t="s">
        <v>2024</v>
      </c>
      <c r="E44" s="0" t="s">
        <v>1972</v>
      </c>
      <c r="F44" s="11" t="n">
        <f aca="false"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2" t="s">
        <v>2025</v>
      </c>
    </row>
    <row r="2" customFormat="false" ht="15" hidden="false" customHeight="false" outlineLevel="0" collapsed="false">
      <c r="A2" s="0" t="s">
        <v>2026</v>
      </c>
    </row>
    <row r="4" customFormat="false" ht="15" hidden="false" customHeight="false" outlineLevel="0" collapsed="false">
      <c r="A4" s="2" t="s">
        <v>2027</v>
      </c>
      <c r="B4" s="2" t="s">
        <v>2028</v>
      </c>
      <c r="C4" s="2" t="s">
        <v>2029</v>
      </c>
      <c r="D4" s="2" t="s">
        <v>2030</v>
      </c>
      <c r="E4" s="2" t="s">
        <v>2031</v>
      </c>
      <c r="F4" s="2" t="s">
        <v>2032</v>
      </c>
      <c r="G4" s="2" t="s">
        <v>2033</v>
      </c>
      <c r="H4" s="2" t="s">
        <v>436</v>
      </c>
      <c r="I4" s="2" t="s">
        <v>2034</v>
      </c>
    </row>
    <row r="5" customFormat="false" ht="15" hidden="false" customHeight="false" outlineLevel="0" collapsed="false">
      <c r="A5" s="0" t="s">
        <v>2035</v>
      </c>
      <c r="B5" s="0" t="s">
        <v>2036</v>
      </c>
      <c r="D5" s="0" t="n">
        <v>629.95</v>
      </c>
      <c r="E5" s="0" t="n">
        <v>0</v>
      </c>
      <c r="F5" s="0" t="n">
        <v>1.35</v>
      </c>
      <c r="G5" s="0" t="n">
        <v>1.2</v>
      </c>
      <c r="H5" s="0" t="n">
        <v>13.15</v>
      </c>
      <c r="I5" s="0" t="s">
        <v>2037</v>
      </c>
    </row>
    <row r="6" customFormat="false" ht="15" hidden="false" customHeight="false" outlineLevel="0" collapsed="false">
      <c r="A6" s="0" t="s">
        <v>2038</v>
      </c>
      <c r="B6" s="0" t="s">
        <v>2039</v>
      </c>
      <c r="C6" s="0" t="s">
        <v>2040</v>
      </c>
      <c r="D6" s="0" t="n">
        <v>639</v>
      </c>
      <c r="E6" s="0" t="n">
        <v>9.05</v>
      </c>
      <c r="F6" s="0" t="n">
        <v>1.37</v>
      </c>
      <c r="G6" s="0" t="n">
        <v>1.2</v>
      </c>
      <c r="H6" s="0" t="n">
        <v>14.02</v>
      </c>
      <c r="I6" s="0" t="s">
        <v>2041</v>
      </c>
    </row>
    <row r="7" customFormat="false" ht="15" hidden="false" customHeight="false" outlineLevel="0" collapsed="false">
      <c r="A7" s="0" t="s">
        <v>2042</v>
      </c>
      <c r="B7" s="0" t="s">
        <v>2043</v>
      </c>
      <c r="C7" s="0" t="s">
        <v>2044</v>
      </c>
      <c r="D7" s="0" t="n">
        <v>643.26</v>
      </c>
      <c r="E7" s="0" t="n">
        <v>13.31</v>
      </c>
      <c r="F7" s="0" t="n">
        <v>1.371</v>
      </c>
      <c r="G7" s="0" t="n">
        <v>1.222</v>
      </c>
      <c r="H7" s="0" t="n">
        <v>14.31</v>
      </c>
      <c r="I7" s="0" t="s">
        <v>2045</v>
      </c>
    </row>
    <row r="8" customFormat="false" ht="15" hidden="false" customHeight="false" outlineLevel="0" collapsed="false">
      <c r="A8" s="0" t="s">
        <v>2046</v>
      </c>
      <c r="B8" s="0" t="s">
        <v>2047</v>
      </c>
      <c r="C8" s="0" t="s">
        <v>2048</v>
      </c>
      <c r="D8" s="0" t="n">
        <v>636.98</v>
      </c>
      <c r="E8" s="0" t="n">
        <v>7.03</v>
      </c>
      <c r="F8" s="0" t="n">
        <v>1.35</v>
      </c>
      <c r="G8" s="0" t="n">
        <v>1.201</v>
      </c>
      <c r="H8" s="0" t="n">
        <v>13.52</v>
      </c>
      <c r="I8" s="0" t="s">
        <v>2037</v>
      </c>
    </row>
    <row r="9" customFormat="false" ht="15" hidden="false" customHeight="false" outlineLevel="0" collapsed="false">
      <c r="A9" s="0" t="s">
        <v>2049</v>
      </c>
      <c r="B9" s="0" t="s">
        <v>2050</v>
      </c>
      <c r="C9" s="0" t="s">
        <v>2051</v>
      </c>
      <c r="D9" s="0" t="n">
        <v>632.93</v>
      </c>
      <c r="E9" s="0" t="n">
        <v>2.98</v>
      </c>
      <c r="F9" s="0" t="n">
        <v>1.35</v>
      </c>
      <c r="G9" s="0" t="n">
        <v>1.2</v>
      </c>
      <c r="H9" s="0" t="n">
        <v>13.29</v>
      </c>
      <c r="I9" s="0" t="s">
        <v>2037</v>
      </c>
    </row>
    <row r="10" customFormat="false" ht="15" hidden="false" customHeight="false" outlineLevel="0" collapsed="false">
      <c r="A10" s="0" t="s">
        <v>2052</v>
      </c>
      <c r="B10" s="0" t="s">
        <v>2053</v>
      </c>
      <c r="C10" s="0" t="s">
        <v>2054</v>
      </c>
      <c r="D10" s="0" t="n">
        <v>635.43</v>
      </c>
      <c r="E10" s="0" t="n">
        <v>5.48</v>
      </c>
      <c r="F10" s="0" t="n">
        <v>1.35</v>
      </c>
      <c r="G10" s="0" t="n">
        <v>1.2</v>
      </c>
      <c r="H10" s="0" t="n">
        <v>13.57</v>
      </c>
      <c r="I10" s="0" t="s">
        <v>2037</v>
      </c>
    </row>
    <row r="11" customFormat="false" ht="15" hidden="false" customHeight="false" outlineLevel="0" collapsed="false">
      <c r="A11" s="0" t="s">
        <v>2055</v>
      </c>
      <c r="B11" s="0" t="s">
        <v>2056</v>
      </c>
      <c r="C11" s="0" t="s">
        <v>2057</v>
      </c>
      <c r="D11" s="0" t="n">
        <v>611.72</v>
      </c>
      <c r="E11" s="0" t="n">
        <v>-18.23</v>
      </c>
      <c r="F11" s="0" t="n">
        <v>1.35</v>
      </c>
      <c r="G11" s="0" t="n">
        <v>1.2</v>
      </c>
      <c r="H11" s="0" t="n">
        <v>12.43</v>
      </c>
      <c r="I11" s="0" t="s">
        <v>2037</v>
      </c>
    </row>
    <row r="12" customFormat="false" ht="15" hidden="false" customHeight="false" outlineLevel="0" collapsed="false">
      <c r="A12" s="0" t="s">
        <v>2058</v>
      </c>
      <c r="B12" s="0" t="s">
        <v>2059</v>
      </c>
      <c r="C12" s="0" t="s">
        <v>2060</v>
      </c>
      <c r="D12" s="0" t="n">
        <v>630.02</v>
      </c>
      <c r="E12" s="0" t="n">
        <v>0.07</v>
      </c>
      <c r="F12" s="0" t="n">
        <v>1.35</v>
      </c>
      <c r="G12" s="0" t="n">
        <v>1.2</v>
      </c>
      <c r="H12" s="0" t="n">
        <v>13.12</v>
      </c>
      <c r="I12" s="0" t="s">
        <v>2037</v>
      </c>
    </row>
    <row r="13" customFormat="false" ht="15" hidden="false" customHeight="false" outlineLevel="0" collapsed="false">
      <c r="A13" s="0" t="s">
        <v>2061</v>
      </c>
      <c r="B13" s="0" t="s">
        <v>2062</v>
      </c>
      <c r="C13" s="0" t="s">
        <v>2063</v>
      </c>
      <c r="D13" s="0" t="n">
        <v>636.73</v>
      </c>
      <c r="E13" s="0" t="n">
        <v>6.78</v>
      </c>
      <c r="F13" s="0" t="n">
        <v>1.34</v>
      </c>
      <c r="G13" s="0" t="n">
        <v>1.2</v>
      </c>
      <c r="H13" s="0" t="n">
        <v>13.25</v>
      </c>
      <c r="I13" s="0" t="s">
        <v>2037</v>
      </c>
    </row>
    <row r="14" customFormat="false" ht="15" hidden="false" customHeight="false" outlineLevel="0" collapsed="false">
      <c r="A14" s="0" t="s">
        <v>2064</v>
      </c>
      <c r="B14" s="0" t="s">
        <v>2065</v>
      </c>
      <c r="C14" s="0" t="s">
        <v>2066</v>
      </c>
      <c r="D14" s="0" t="n">
        <v>629.95</v>
      </c>
      <c r="E14" s="0" t="n">
        <v>0</v>
      </c>
      <c r="F14" s="0" t="n">
        <v>1.35</v>
      </c>
      <c r="G14" s="0" t="n">
        <v>1.2</v>
      </c>
      <c r="H14" s="0" t="n">
        <v>13.15</v>
      </c>
      <c r="I14" s="0" t="s">
        <v>2037</v>
      </c>
    </row>
    <row r="15" customFormat="false" ht="15" hidden="false" customHeight="false" outlineLevel="0" collapsed="false">
      <c r="A15" s="0" t="s">
        <v>2067</v>
      </c>
      <c r="B15" s="0" t="s">
        <v>2068</v>
      </c>
      <c r="C15" s="0" t="s">
        <v>2069</v>
      </c>
      <c r="D15" s="0" t="n">
        <v>619.94</v>
      </c>
      <c r="E15" s="0" t="n">
        <v>-10.01</v>
      </c>
      <c r="F15" s="0" t="n">
        <v>1.35</v>
      </c>
      <c r="G15" s="0" t="n">
        <v>1.2</v>
      </c>
      <c r="H15" s="0" t="n">
        <v>12.77</v>
      </c>
      <c r="I15" s="0" t="s">
        <v>2037</v>
      </c>
    </row>
    <row r="16" customFormat="false" ht="15" hidden="false" customHeight="false" outlineLevel="0" collapsed="false">
      <c r="A16" s="0" t="s">
        <v>2070</v>
      </c>
      <c r="B16" s="0" t="s">
        <v>2071</v>
      </c>
      <c r="C16" s="0" t="s">
        <v>2072</v>
      </c>
      <c r="D16" s="0" t="n">
        <v>654.95</v>
      </c>
      <c r="E16" s="0" t="n">
        <v>25</v>
      </c>
      <c r="F16" s="0" t="n">
        <v>1.42</v>
      </c>
      <c r="G16" s="0" t="n">
        <v>1.253</v>
      </c>
      <c r="H16" s="0" t="n">
        <v>15.1</v>
      </c>
      <c r="I16" s="0" t="s">
        <v>2045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2026-10-03T23:21:56Z</dcterms:created>
  <dc:creator>openpyxl</dc:creator>
  <dc:description/>
  <dc:language>en-US</dc:language>
  <cp:lastModifiedBy/>
  <dcterms:modified xsi:type="dcterms:W3CDTF">2026-10-03T23:22:07Z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