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<sst xmlns="http://schemas.openxmlformats.org/spreadsheetml/2006/main" count="2466" uniqueCount="947">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</sst>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72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72</v>
      </c>
      <c r="K37" s="13" t="n">
        <f aca="false">IF(AND(Inputs!$F$55=1,Inputs!K303&gt;0),Inputs!K303,Inputs!$F$38)</f>
        <v>72</v>
      </c>
      <c r="L37" s="13" t="n">
        <f aca="false">IF(AND(Inputs!$F$55=1,Inputs!L303&gt;0),Inputs!L303,Inputs!$F$38)</f>
        <v>72</v>
      </c>
      <c r="M37" s="13" t="n">
        <f aca="false">IF(AND(Inputs!$F$55=1,Inputs!M303&gt;0),Inputs!M303,Inputs!$F$38)</f>
        <v>72</v>
      </c>
      <c r="N37" s="13" t="n">
        <f aca="false">IF(AND(Inputs!$F$55=1,Inputs!N303&gt;0),Inputs!N303,Inputs!$F$38)</f>
        <v>72</v>
      </c>
      <c r="O37" s="13" t="n">
        <f aca="false">IF(AND(Inputs!$F$55=1,Inputs!O303&gt;0),Inputs!O303,Inputs!$F$38)</f>
        <v>72</v>
      </c>
      <c r="P37" s="13" t="n">
        <f aca="false">IF(AND(Inputs!$F$55=1,Inputs!P303&gt;0),Inputs!P303,Inputs!$F$38)</f>
        <v>72</v>
      </c>
      <c r="Q37" s="13" t="n">
        <f aca="false">IF(AND(Inputs!$F$55=1,Inputs!Q303&gt;0),Inputs!Q303,Inputs!$F$38)</f>
        <v>72</v>
      </c>
      <c r="R37" s="13" t="n">
        <f aca="false">IF(AND(Inputs!$F$55=1,Inputs!R303&gt;0),Inputs!R303,Inputs!$F$38)</f>
        <v>72</v>
      </c>
      <c r="S37" s="13" t="n">
        <f aca="false">IF(AND(Inputs!$F$55=1,Inputs!S303&gt;0),Inputs!S303,Inputs!$F$38)</f>
        <v>72</v>
      </c>
      <c r="T37" s="13" t="n">
        <f aca="false">IF(AND(Inputs!$F$55=1,Inputs!T303&gt;0),Inputs!T303,Inputs!$F$38)</f>
        <v>72</v>
      </c>
      <c r="U37" s="13" t="n">
        <f aca="false">IF(AND(Inputs!$F$55=1,Inputs!U303&gt;0),Inputs!U303,Inputs!$F$38)</f>
        <v>72</v>
      </c>
      <c r="V37" s="13" t="n">
        <f aca="false">IF(AND(Inputs!$F$55=1,Inputs!V303&gt;0),Inputs!V303,Inputs!$F$38)</f>
        <v>72</v>
      </c>
      <c r="W37" s="13" t="n">
        <f aca="false">IF(AND(Inputs!$F$55=1,Inputs!W303&gt;0),Inputs!W303,Inputs!$F$38)</f>
        <v>72</v>
      </c>
      <c r="X37" s="13" t="n">
        <f aca="false">IF(AND(Inputs!$F$55=1,Inputs!X303&gt;0),Inputs!X303,Inputs!$F$38)</f>
        <v>72</v>
      </c>
      <c r="Y37" s="13" t="n">
        <f aca="false">IF(AND(Inputs!$F$55=1,Inputs!Y303&gt;0),Inputs!Y303,Inputs!$F$38)</f>
        <v>72</v>
      </c>
      <c r="Z37" s="13" t="n">
        <f aca="false">IF(AND(Inputs!$F$55=1,Inputs!Z303&gt;0),Inputs!Z303,Inputs!$F$38)</f>
        <v>72</v>
      </c>
      <c r="AA37" s="13" t="n">
        <f aca="false">IF(AND(Inputs!$F$55=1,Inputs!AA303&gt;0),Inputs!AA303,Inputs!$F$38)</f>
        <v>72</v>
      </c>
      <c r="AB37" s="13" t="n">
        <f aca="false">IF(AND(Inputs!$F$55=1,Inputs!AB303&gt;0),Inputs!AB303,Inputs!$F$38)</f>
        <v>72</v>
      </c>
      <c r="AC37" s="13" t="n">
        <f aca="false">IF(AND(Inputs!$F$55=1,Inputs!AC303&gt;0),Inputs!AC303,Inputs!$F$38)</f>
        <v>72</v>
      </c>
      <c r="AD37" s="13" t="n">
        <f aca="false">IF(AND(Inputs!$F$55=1,Inputs!AD303&gt;0),Inputs!AD303,Inputs!$F$38)</f>
        <v>72</v>
      </c>
      <c r="AE37" s="13" t="n">
        <f aca="false">IF(AND(Inputs!$F$55=1,Inputs!AE303&gt;0),Inputs!AE303,Inputs!$F$38)</f>
        <v>72</v>
      </c>
      <c r="AF37" s="13" t="n">
        <f aca="false">IF(AND(Inputs!$F$55=1,Inputs!AF303&gt;0),Inputs!AF303,Inputs!$F$38)</f>
        <v>72</v>
      </c>
      <c r="AG37" s="13" t="n">
        <f aca="false">IF(AND(Inputs!$F$55=1,Inputs!AG303&gt;0),Inputs!AG303,Inputs!$F$38)</f>
        <v>72</v>
      </c>
      <c r="AH37" s="13" t="n">
        <f aca="false">IF(AND(Inputs!$F$55=1,Inputs!AH303&gt;0),Inputs!AH303,Inputs!$F$38)</f>
        <v>72</v>
      </c>
      <c r="AI37" s="13" t="n">
        <f aca="false">IF(AND(Inputs!$F$55=1,Inputs!AI303&gt;0),Inputs!AI303,Inputs!$F$38)</f>
        <v>72</v>
      </c>
      <c r="AJ37" s="13" t="n">
        <f aca="false">IF(AND(Inputs!$F$55=1,Inputs!AJ303&gt;0),Inputs!AJ303,Inputs!$F$38)</f>
        <v>72</v>
      </c>
      <c r="AK37" s="13" t="n">
        <f aca="false">IF(AND(Inputs!$F$55=1,Inputs!AK303&gt;0),Inputs!AK303,Inputs!$F$38)</f>
        <v>72</v>
      </c>
      <c r="AL37" s="13" t="n">
        <f aca="false">IF(AND(Inputs!$F$55=1,Inputs!AL303&gt;0),Inputs!AL303,Inputs!$F$38)</f>
        <v>72</v>
      </c>
      <c r="AM37" s="13" t="n">
        <f aca="false">IF(AND(Inputs!$F$55=1,Inputs!AM303&gt;0),Inputs!AM303,Inputs!$F$38)</f>
        <v>72</v>
      </c>
      <c r="AN37" s="13" t="n">
        <f aca="false">IF(AND(Inputs!$F$55=1,Inputs!AN303&gt;0),Inputs!AN303,Inputs!$F$38)</f>
        <v>72</v>
      </c>
      <c r="AO37" s="13" t="n">
        <f aca="false">IF(AND(Inputs!$F$55=1,Inputs!AO303&gt;0),Inputs!AO303,Inputs!$F$38)</f>
        <v>72</v>
      </c>
      <c r="AP37" s="13" t="n">
        <f aca="false">IF(AND(Inputs!$F$55=1,Inputs!AP303&gt;0),Inputs!AP303,Inputs!$F$38)</f>
        <v>72</v>
      </c>
      <c r="AQ37" s="13" t="n">
        <f aca="false">IF(AND(Inputs!$F$55=1,Inputs!AQ303&gt;0),Inputs!AQ303,Inputs!$F$38)</f>
        <v>72</v>
      </c>
      <c r="AR37" s="13" t="n">
        <f aca="false">IF(AND(Inputs!$F$55=1,Inputs!AR303&gt;0),Inputs!AR303,Inputs!$F$38)</f>
        <v>72</v>
      </c>
      <c r="AS37" s="13" t="n">
        <f aca="false">IF(AND(Inputs!$F$55=1,Inputs!AS303&gt;0),Inputs!AS303,Inputs!$F$38)</f>
        <v>72</v>
      </c>
      <c r="AT37" s="13" t="n">
        <f aca="false">IF(AND(Inputs!$F$55=1,Inputs!AT303&gt;0),Inputs!AT303,Inputs!$F$38)</f>
        <v>72</v>
      </c>
      <c r="AU37" s="13" t="n">
        <f aca="false">IF(AND(Inputs!$F$55=1,Inputs!AU303&gt;0),Inputs!AU303,Inputs!$F$38)</f>
        <v>72</v>
      </c>
      <c r="AV37" s="13" t="n">
        <f aca="false">IF(AND(Inputs!$F$55=1,Inputs!AV303&gt;0),Inputs!AV303,Inputs!$F$38)</f>
        <v>72</v>
      </c>
      <c r="AW37" s="13" t="n">
        <f aca="false">IF(AND(Inputs!$F$55=1,Inputs!AW303&gt;0),Inputs!AW303,Inputs!$F$38)</f>
        <v>72</v>
      </c>
      <c r="AX37" s="13" t="n">
        <f aca="false">IF(AND(Inputs!$F$55=1,Inputs!AX303&gt;0),Inputs!AX303,Inputs!$F$38)</f>
        <v>72</v>
      </c>
      <c r="AY37" s="13" t="n">
        <f aca="false">IF(AND(Inputs!$F$55=1,Inputs!AY303&gt;0),Inputs!AY303,Inputs!$F$38)</f>
        <v>72</v>
      </c>
      <c r="AZ37" s="13" t="n">
        <f aca="false">IF(AND(Inputs!$F$55=1,Inputs!AZ303&gt;0),Inputs!AZ303,Inputs!$F$38)</f>
        <v>72</v>
      </c>
      <c r="BA37" s="13" t="n">
        <f aca="false">IF(AND(Inputs!$F$55=1,Inputs!BA303&gt;0),Inputs!BA303,Inputs!$F$38)</f>
        <v>72</v>
      </c>
      <c r="BB37" s="13" t="n">
        <f aca="false">IF(AND(Inputs!$F$55=1,Inputs!BB303&gt;0),Inputs!BB303,Inputs!$F$38)</f>
        <v>72</v>
      </c>
      <c r="BC37" s="13" t="n">
        <f aca="false">IF(AND(Inputs!$F$55=1,Inputs!BC303&gt;0),Inputs!BC303,Inputs!$F$38)</f>
        <v>72</v>
      </c>
      <c r="BD37" s="13" t="n">
        <f aca="false">IF(AND(Inputs!$F$55=1,Inputs!BD303&gt;0),Inputs!BD303,Inputs!$F$38)</f>
        <v>72</v>
      </c>
      <c r="BE37" s="13" t="n">
        <f aca="false">IF(AND(Inputs!$F$55=1,Inputs!BE303&gt;0),Inputs!BE303,Inputs!$F$38)</f>
        <v>72</v>
      </c>
      <c r="BF37" s="13" t="n">
        <f aca="false">IF(AND(Inputs!$F$55=1,Inputs!BF303&gt;0),Inputs!BF303,Inputs!$F$38)</f>
        <v>72</v>
      </c>
      <c r="BG37" s="13" t="n">
        <f aca="false">IF(AND(Inputs!$F$55=1,Inputs!BG303&gt;0),Inputs!BG303,Inputs!$F$38)</f>
        <v>72</v>
      </c>
      <c r="BH37" s="13" t="n">
        <f aca="false">IF(AND(Inputs!$F$55=1,Inputs!BH303&gt;0),Inputs!BH303,Inputs!$F$38)</f>
        <v>72</v>
      </c>
      <c r="BI37" s="13" t="n">
        <f aca="false">IF(AND(Inputs!$F$55=1,Inputs!BI303&gt;0),Inputs!BI303,Inputs!$F$38)</f>
        <v>72</v>
      </c>
      <c r="BJ37" s="13" t="n">
        <f aca="false">IF(AND(Inputs!$F$55=1,Inputs!BJ303&gt;0),Inputs!BJ303,Inputs!$F$38)</f>
        <v>72</v>
      </c>
      <c r="BK37" s="13" t="n">
        <f aca="false">IF(AND(Inputs!$F$55=1,Inputs!BK303&gt;0),Inputs!BK303,Inputs!$F$38)</f>
        <v>72</v>
      </c>
      <c r="BL37" s="13" t="n">
        <f aca="false">IF(AND(Inputs!$F$55=1,Inputs!BL303&gt;0),Inputs!BL303,Inputs!$F$38)</f>
        <v>72</v>
      </c>
      <c r="BM37" s="13" t="n">
        <f aca="false">IF(AND(Inputs!$F$55=1,Inputs!BM303&gt;0),Inputs!BM303,Inputs!$F$38)</f>
        <v>72</v>
      </c>
      <c r="BN37" s="13" t="n">
        <f aca="false">IF(AND(Inputs!$F$55=1,Inputs!BN303&gt;0),Inputs!BN303,Inputs!$F$38)</f>
        <v>72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574303.891448549</v>
      </c>
      <c r="P38" s="15" t="n">
        <f aca="false">$F$34*Inputs!$F$215*Time!P30*P32/100*P37/100*P36</f>
        <v>1722050.11081303</v>
      </c>
      <c r="Q38" s="15" t="n">
        <f aca="false">$F$34*Inputs!$F$215*Time!Q30*Q32/100*Q37/100*Q36</f>
        <v>1715254.27585895</v>
      </c>
      <c r="R38" s="15" t="n">
        <f aca="false">$F$34*Inputs!$F$215*Time!R30*R32/100*R37/100*R36</f>
        <v>1702967.35115129</v>
      </c>
      <c r="S38" s="15" t="n">
        <f aca="false">$F$34*Inputs!$F$215*Time!S30*S32/100*S37/100*S36</f>
        <v>1707182.62880806</v>
      </c>
      <c r="T38" s="15" t="n">
        <f aca="false">$F$34*Inputs!$F$215*Time!T30*T32/100*T37/100*T36</f>
        <v>1716880.72961735</v>
      </c>
      <c r="U38" s="15" t="n">
        <f aca="false">$F$34*Inputs!$F$215*Time!U30*U32/100*U37/100*U36</f>
        <v>1696079.20581871</v>
      </c>
      <c r="V38" s="15" t="n">
        <f aca="false">$F$34*Inputs!$F$215*Time!V30*V32/100*V37/100*V36</f>
        <v>1655812.59205935</v>
      </c>
      <c r="W38" s="15" t="n">
        <f aca="false">$F$34*Inputs!$F$215*Time!W30*W32/100*W37/100*W36</f>
        <v>1674044.1214398</v>
      </c>
      <c r="X38" s="15" t="n">
        <f aca="false">$F$34*Inputs!$F$215*Time!X30*X32/100*X37/100*X36</f>
        <v>1711711.34842166</v>
      </c>
      <c r="Y38" s="15" t="n">
        <f aca="false">$F$34*Inputs!$F$215*Time!Y30*Y32/100*Y37/100*Y36</f>
        <v>1704948.57987181</v>
      </c>
      <c r="Z38" s="15" t="n">
        <f aca="false">$F$34*Inputs!$F$215*Time!Z30*Z32/100*Z37/100*Z36</f>
        <v>1692727.78797263</v>
      </c>
      <c r="AA38" s="15" t="n">
        <f aca="false">$F$34*Inputs!$F$215*Time!AA30*AA32/100*AA37/100*AA36</f>
        <v>1696909.99922516</v>
      </c>
      <c r="AB38" s="15" t="n">
        <f aca="false">$F$34*Inputs!$F$215*Time!AB30*AB32/100*AB37/100*AB36</f>
        <v>1706541.96722597</v>
      </c>
      <c r="AC38" s="15" t="n">
        <f aca="false">$F$34*Inputs!$F$215*Time!AC30*AC32/100*AC37/100*AC36</f>
        <v>1674344.24498381</v>
      </c>
      <c r="AD38" s="15" t="n">
        <f aca="false">$F$34*Inputs!$F$215*Time!AD30*AD32/100*AD37/100*AD36</f>
        <v>1611311.41190741</v>
      </c>
      <c r="AE38" s="15" t="n">
        <f aca="false">$F$34*Inputs!$F$215*Time!AE30*AE32/100*AE37/100*AE36</f>
        <v>1640947.86558806</v>
      </c>
      <c r="AF38" s="15" t="n">
        <f aca="false">$F$34*Inputs!$F$215*Time!AF30*AF32/100*AF37/100*AF36</f>
        <v>1701372.58603029</v>
      </c>
      <c r="AG38" s="15" t="n">
        <f aca="false">$F$34*Inputs!$F$215*Time!AG30*AG32/100*AG37/100*AG36</f>
        <v>1694642.88388468</v>
      </c>
      <c r="AH38" s="15" t="n">
        <f aca="false">$F$34*Inputs!$F$215*Time!AH30*AH32/100*AH37/100*AH36</f>
        <v>1682488.22479397</v>
      </c>
      <c r="AI38" s="15" t="n">
        <f aca="false">$F$34*Inputs!$F$215*Time!AI30*AI32/100*AI37/100*AI36</f>
        <v>1686637.36964226</v>
      </c>
      <c r="AJ38" s="15" t="n">
        <f aca="false">$F$34*Inputs!$F$215*Time!AJ30*AJ32/100*AJ37/100*AJ36</f>
        <v>1696203.2048346</v>
      </c>
      <c r="AK38" s="15" t="n">
        <f aca="false">$F$34*Inputs!$F$215*Time!AK30*AK32/100*AK37/100*AK36</f>
        <v>1675636.81991054</v>
      </c>
      <c r="AL38" s="15" t="n">
        <f aca="false">$F$34*Inputs!$F$215*Time!AL30*AL32/100*AL37/100*AL36</f>
        <v>1635840.48390032</v>
      </c>
      <c r="AM38" s="15" t="n">
        <f aca="false">$F$34*Inputs!$F$215*Time!AM30*AM32/100*AM37/100*AM36</f>
        <v>1653836.8744062</v>
      </c>
      <c r="AN38" s="15" t="n">
        <f aca="false">$F$34*Inputs!$F$215*Time!AN30*AN32/100*AN37/100*AN36</f>
        <v>1691033.82363891</v>
      </c>
      <c r="AO38" s="15" t="n">
        <f aca="false">$F$34*Inputs!$F$215*Time!AO30*AO32/100*AO37/100*AO36</f>
        <v>1684337.18789754</v>
      </c>
      <c r="AP38" s="15" t="n">
        <f aca="false">$F$34*Inputs!$F$215*Time!AP30*AP32/100*AP37/100*AP36</f>
        <v>1672248.6616153</v>
      </c>
      <c r="AQ38" s="15" t="n">
        <f aca="false">$F$34*Inputs!$F$215*Time!AQ30*AQ32/100*AQ37/100*AQ36</f>
        <v>1676364.74005936</v>
      </c>
      <c r="AR38" s="15" t="n">
        <f aca="false">$F$34*Inputs!$F$215*Time!AR30*AR32/100*AR37/100*AR36</f>
        <v>1685864.44244323</v>
      </c>
      <c r="AS38" s="15" t="n">
        <f aca="false">$F$34*Inputs!$F$215*Time!AS30*AS32/100*AS37/100*AS36</f>
        <v>1654041.47278242</v>
      </c>
      <c r="AT38" s="15" t="n">
        <f aca="false">$F$34*Inputs!$F$215*Time!AT30*AT32/100*AT37/100*AT36</f>
        <v>1591758.14486872</v>
      </c>
      <c r="AU38" s="15" t="n">
        <f aca="false">$F$34*Inputs!$F$215*Time!AU30*AU32/100*AU37/100*AU36</f>
        <v>1621019.84596802</v>
      </c>
      <c r="AV38" s="15" t="n">
        <f aca="false">$F$34*Inputs!$F$215*Time!AV30*AV32/100*AV37/100*AV36</f>
        <v>1680695.06124754</v>
      </c>
      <c r="AW38" s="15" t="n">
        <f aca="false">$F$34*Inputs!$F$215*Time!AW30*AW32/100*AW37/100*AW36</f>
        <v>1674031.4919104</v>
      </c>
      <c r="AX38" s="15" t="n">
        <f aca="false">$F$34*Inputs!$F$215*Time!AX30*AX32/100*AX37/100*AX36</f>
        <v>1662009.09843664</v>
      </c>
      <c r="AY38" s="15" t="n">
        <f aca="false">$F$34*Inputs!$F$215*Time!AY30*AY32/100*AY37/100*AY36</f>
        <v>1666092.11047646</v>
      </c>
      <c r="AZ38" s="15" t="n">
        <f aca="false">$F$34*Inputs!$F$215*Time!AZ30*AZ32/100*AZ37/100*AZ36</f>
        <v>1675525.68005185</v>
      </c>
      <c r="BA38" s="15" t="n">
        <f aca="false">$F$34*Inputs!$F$215*Time!BA30*BA32/100*BA37/100*BA36</f>
        <v>1655194.43400237</v>
      </c>
      <c r="BB38" s="15" t="n">
        <f aca="false">$F$34*Inputs!$F$215*Time!BB30*BB32/100*BB37/100*BB36</f>
        <v>1615868.37574129</v>
      </c>
      <c r="BC38" s="15" t="n">
        <f aca="false">$F$34*Inputs!$F$215*Time!BC30*BC32/100*BC37/100*BC36</f>
        <v>1633629.6273726</v>
      </c>
      <c r="BD38" s="15" t="n">
        <f aca="false">$F$34*Inputs!$F$215*Time!BD30*BD32/100*BD37/100*BD36</f>
        <v>1670356.29885617</v>
      </c>
      <c r="BE38" s="15" t="n">
        <f aca="false">$F$34*Inputs!$F$215*Time!BE30*BE32/100*BE37/100*BE36</f>
        <v>1663725.79592327</v>
      </c>
      <c r="BF38" s="15" t="n">
        <f aca="false">$F$34*Inputs!$F$215*Time!BF30*BF32/100*BF37/100*BF36</f>
        <v>1651769.53525798</v>
      </c>
      <c r="BG38" s="15" t="n">
        <f aca="false">$F$34*Inputs!$F$215*Time!BG30*BG32/100*BG37/100*BG36</f>
        <v>1655819.48089356</v>
      </c>
      <c r="BH38" s="15" t="n">
        <f aca="false">$F$34*Inputs!$F$215*Time!BH30*BH32/100*BH37/100*BH36</f>
        <v>1665186.91766048</v>
      </c>
      <c r="BI38" s="15" t="n">
        <f aca="false">$F$34*Inputs!$F$215*Time!BI30*BI32/100*BI37/100*BI36</f>
        <v>1633738.70058102</v>
      </c>
      <c r="BJ38" s="15" t="n">
        <f aca="false">$F$34*Inputs!$F$215*Time!BJ30*BJ32/100*BJ37/100*BJ36</f>
        <v>1572204.87783002</v>
      </c>
      <c r="BK38" s="15" t="n">
        <f aca="false">$F$34*Inputs!$F$215*Time!BK30*BK32/100*BK37/100*BK36</f>
        <v>1601091.82634797</v>
      </c>
      <c r="BL38" s="15" t="n">
        <f aca="false">$F$34*Inputs!$F$215*Time!BL30*BL32/100*BL37/100*BL36</f>
        <v>1660017.5364648</v>
      </c>
      <c r="BM38" s="15" t="n">
        <f aca="false">$F$34*Inputs!$F$215*Time!BM30*BM32/100*BM37/100*BM36</f>
        <v>1105960.38803268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3894299.10386367</v>
      </c>
      <c r="P42" s="15" t="n">
        <f aca="false">P38*P39*(1000*Inputs!$F$123/Inputs!$F$124)</f>
        <v>11681725.4876804</v>
      </c>
      <c r="Q42" s="15" t="n">
        <f aca="false">Q38*Q39*(1000*Inputs!$F$123/Inputs!$F$124)</f>
        <v>11642603.0438272</v>
      </c>
      <c r="R42" s="15" t="n">
        <f aca="false">R38*R39*(1000*Inputs!$F$123/Inputs!$F$124)</f>
        <v>11566131.1897408</v>
      </c>
      <c r="S42" s="15" t="n">
        <f aca="false">S38*S39*(1000*Inputs!$F$123/Inputs!$F$124)</f>
        <v>11601705.3580069</v>
      </c>
      <c r="T42" s="15" t="n">
        <f aca="false">T38*T39*(1000*Inputs!$F$123/Inputs!$F$124)</f>
        <v>11674596.4054247</v>
      </c>
      <c r="U42" s="15" t="n">
        <f aca="false">U38*U39*(1000*Inputs!$F$123/Inputs!$F$124)</f>
        <v>11540048.2559552</v>
      </c>
      <c r="V42" s="15" t="n">
        <f aca="false">V38*V39*(1000*Inputs!$F$123/Inputs!$F$124)</f>
        <v>11272812.0578001</v>
      </c>
      <c r="W42" s="15" t="n">
        <f aca="false">W38*W39*(1000*Inputs!$F$123/Inputs!$F$124)</f>
        <v>11403742.9871633</v>
      </c>
      <c r="X42" s="15" t="n">
        <f aca="false">X38*X39*(1000*Inputs!$F$123/Inputs!$F$124)</f>
        <v>11667299.0852397</v>
      </c>
      <c r="Y42" s="15" t="n">
        <f aca="false">Y38*Y39*(1000*Inputs!$F$123/Inputs!$F$124)</f>
        <v>11628138.9313389</v>
      </c>
      <c r="Z42" s="15" t="n">
        <f aca="false">Z38*Z39*(1000*Inputs!$F$123/Inputs!$F$124)</f>
        <v>11551676.5832336</v>
      </c>
      <c r="AA42" s="15" t="n">
        <f aca="false">AA38*AA39*(1000*Inputs!$F$123/Inputs!$F$124)</f>
        <v>11587120.4926551</v>
      </c>
      <c r="AB42" s="15" t="n">
        <f aca="false">AB38*AB39*(1000*Inputs!$F$123/Inputs!$F$124)</f>
        <v>11659833.5271253</v>
      </c>
      <c r="AC42" s="15" t="n">
        <f aca="false">AC38*AC39*(1000*Inputs!$F$123/Inputs!$F$124)</f>
        <v>11446656.2081418</v>
      </c>
      <c r="AD42" s="15" t="n">
        <f aca="false">AD38*AD39*(1000*Inputs!$F$123/Inputs!$F$124)</f>
        <v>11022287.2104426</v>
      </c>
      <c r="AE42" s="15" t="n">
        <f aca="false">AE38*AE39*(1000*Inputs!$F$123/Inputs!$F$124)</f>
        <v>11231693.0202219</v>
      </c>
      <c r="AF42" s="15" t="n">
        <f aca="false">AF38*AF39*(1000*Inputs!$F$123/Inputs!$F$124)</f>
        <v>11652199.7310816</v>
      </c>
      <c r="AG42" s="15" t="n">
        <f aca="false">AG38*AG39*(1000*Inputs!$F$123/Inputs!$F$124)</f>
        <v>11613004.0194308</v>
      </c>
      <c r="AH42" s="15" t="n">
        <f aca="false">AH38*AH39*(1000*Inputs!$F$123/Inputs!$F$124)</f>
        <v>11536555.4819018</v>
      </c>
      <c r="AI42" s="15" t="n">
        <f aca="false">AI38*AI39*(1000*Inputs!$F$123/Inputs!$F$124)</f>
        <v>11571866.9801812</v>
      </c>
      <c r="AJ42" s="15" t="n">
        <f aca="false">AJ38*AJ39*(1000*Inputs!$F$123/Inputs!$F$124)</f>
        <v>11644397.6971085</v>
      </c>
      <c r="AK42" s="15" t="n">
        <f aca="false">AK38*AK39*(1000*Inputs!$F$123/Inputs!$F$124)</f>
        <v>11510026.6339029</v>
      </c>
      <c r="AL42" s="15" t="n">
        <f aca="false">AL38*AL39*(1000*Inputs!$F$123/Inputs!$F$124)</f>
        <v>11243318.5856653</v>
      </c>
      <c r="AM42" s="15" t="n">
        <f aca="false">AM38*AM39*(1000*Inputs!$F$123/Inputs!$F$124)</f>
        <v>11373737.8660593</v>
      </c>
      <c r="AN42" s="15" t="n">
        <f aca="false">AN38*AN39*(1000*Inputs!$F$123/Inputs!$F$124)</f>
        <v>11636427.4252061</v>
      </c>
      <c r="AO42" s="15" t="n">
        <f aca="false">AO38*AO39*(1000*Inputs!$F$123/Inputs!$F$124)</f>
        <v>11597198.3081029</v>
      </c>
      <c r="AP42" s="15" t="n">
        <f aca="false">AP38*AP39*(1000*Inputs!$F$123/Inputs!$F$124)</f>
        <v>11520767.8857454</v>
      </c>
      <c r="AQ42" s="15" t="n">
        <f aca="false">AQ38*AQ39*(1000*Inputs!$F$123/Inputs!$F$124)</f>
        <v>11555944.8205851</v>
      </c>
      <c r="AR42" s="15" t="n">
        <f aca="false">AR38*AR39*(1000*Inputs!$F$123/Inputs!$F$124)</f>
        <v>11628288.9153744</v>
      </c>
      <c r="AS42" s="15" t="n">
        <f aca="false">AS38*AS39*(1000*Inputs!$F$123/Inputs!$F$124)</f>
        <v>11415518.1116008</v>
      </c>
      <c r="AT42" s="15" t="n">
        <f aca="false">AT38*AT39*(1000*Inputs!$F$123/Inputs!$F$124)</f>
        <v>10992139.5295154</v>
      </c>
      <c r="AU42" s="15" t="n">
        <f aca="false">AU38*AU39*(1000*Inputs!$F$123/Inputs!$F$124)</f>
        <v>11200805.3973145</v>
      </c>
      <c r="AV42" s="15" t="n">
        <f aca="false">AV38*AV39*(1000*Inputs!$F$123/Inputs!$F$124)</f>
        <v>11619982.1676133</v>
      </c>
      <c r="AW42" s="15" t="n">
        <f aca="false">AW38*AW39*(1000*Inputs!$F$123/Inputs!$F$124)</f>
        <v>11580721.7973554</v>
      </c>
      <c r="AX42" s="15" t="n">
        <f aca="false">AX38*AX39*(1000*Inputs!$F$123/Inputs!$F$124)</f>
        <v>11504313.7947645</v>
      </c>
      <c r="AY42" s="15" t="n">
        <f aca="false">AY38*AY39*(1000*Inputs!$F$123/Inputs!$F$124)</f>
        <v>11539354.0138669</v>
      </c>
      <c r="AZ42" s="15" t="n">
        <f aca="false">AZ38*AZ39*(1000*Inputs!$F$123/Inputs!$F$124)</f>
        <v>11611507.1819229</v>
      </c>
      <c r="BA42" s="15" t="n">
        <f aca="false">BA38*BA39*(1000*Inputs!$F$123/Inputs!$F$124)</f>
        <v>11477343.815436</v>
      </c>
      <c r="BB42" s="15" t="n">
        <f aca="false">BB38*BB39*(1000*Inputs!$F$123/Inputs!$F$124)</f>
        <v>11211225.1380255</v>
      </c>
      <c r="BC42" s="15" t="n">
        <f aca="false">BC38*BC39*(1000*Inputs!$F$123/Inputs!$F$124)</f>
        <v>11341102.1589955</v>
      </c>
      <c r="BD42" s="15" t="n">
        <f aca="false">BD38*BD39*(1000*Inputs!$F$123/Inputs!$F$124)</f>
        <v>11602863.9583032</v>
      </c>
      <c r="BE42" s="15" t="n">
        <f aca="false">BE38*BE39*(1000*Inputs!$F$123/Inputs!$F$124)</f>
        <v>11563574.487188</v>
      </c>
      <c r="BF42" s="15" t="n">
        <f aca="false">BF38*BF39*(1000*Inputs!$F$123/Inputs!$F$124)</f>
        <v>11487193.2089591</v>
      </c>
      <c r="BG42" s="15" t="n">
        <f aca="false">BG38*BG39*(1000*Inputs!$F$123/Inputs!$F$124)</f>
        <v>11522094.5600265</v>
      </c>
      <c r="BH42" s="15" t="n">
        <f aca="false">BH38*BH39*(1000*Inputs!$F$123/Inputs!$F$124)</f>
        <v>11594052.4967541</v>
      </c>
      <c r="BI42" s="15" t="n">
        <f aca="false">BI38*BI39*(1000*Inputs!$F$123/Inputs!$F$124)</f>
        <v>11381736.9936027</v>
      </c>
      <c r="BJ42" s="15" t="n">
        <f aca="false">BJ38*BJ39*(1000*Inputs!$F$123/Inputs!$F$124)</f>
        <v>10959446.3979559</v>
      </c>
      <c r="BK42" s="15" t="n">
        <f aca="false">BK38*BK39*(1000*Inputs!$F$123/Inputs!$F$124)</f>
        <v>11167323.5383623</v>
      </c>
      <c r="BL42" s="15" t="n">
        <f aca="false">BL38*BL39*(1000*Inputs!$F$123/Inputs!$F$124)</f>
        <v>11585072.7972757</v>
      </c>
      <c r="BM42" s="15" t="n">
        <f aca="false">BM38*BM39*(1000*Inputs!$F$123/Inputs!$F$124)</f>
        <v>7722120.56717998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457.234585351882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2.36839691109476</v>
      </c>
      <c r="P50" s="13" t="n">
        <f aca="false">P38*P49/1000000</f>
        <v>7.17933072147889</v>
      </c>
      <c r="Q50" s="13" t="n">
        <f aca="false">Q38*Q49/1000000</f>
        <v>7.22923151825704</v>
      </c>
      <c r="R50" s="13" t="n">
        <f aca="false">R38*R49/1000000</f>
        <v>7.25596856410652</v>
      </c>
      <c r="S50" s="13" t="n">
        <f aca="false">S38*S49/1000000</f>
        <v>7.35350685400336</v>
      </c>
      <c r="T50" s="13" t="n">
        <f aca="false">T38*T49/1000000</f>
        <v>7.47618591223712</v>
      </c>
      <c r="U50" s="13" t="n">
        <f aca="false">U38*U49/1000000</f>
        <v>7.46640500626944</v>
      </c>
      <c r="V50" s="13" t="n">
        <f aca="false">V38*V49/1000000</f>
        <v>7.36888948477391</v>
      </c>
      <c r="W50" s="13" t="n">
        <f aca="false">W38*W49/1000000</f>
        <v>7.53152999942985</v>
      </c>
      <c r="X50" s="13" t="n">
        <f aca="false">X38*X49/1000000</f>
        <v>7.78524506747455</v>
      </c>
      <c r="Y50" s="13" t="n">
        <f aca="false">Y38*Y49/1000000</f>
        <v>7.83932178310342</v>
      </c>
      <c r="Z50" s="13" t="n">
        <f aca="false">Z38*Z49/1000000</f>
        <v>7.86827947882185</v>
      </c>
      <c r="AA50" s="13" t="n">
        <f aca="false">AA38*AA49/1000000</f>
        <v>7.97401247102339</v>
      </c>
      <c r="AB50" s="13" t="n">
        <f aca="false">AB38*AB49/1000000</f>
        <v>8.10700652465728</v>
      </c>
      <c r="AC50" s="13" t="n">
        <f aca="false">AC38*AC49/1000000</f>
        <v>8.04106830539273</v>
      </c>
      <c r="AD50" s="13" t="n">
        <f aca="false">AD38*AD49/1000000</f>
        <v>7.82301077432059</v>
      </c>
      <c r="AE50" s="13" t="n">
        <f aca="false">AE38*AE49/1000000</f>
        <v>8.05405658865189</v>
      </c>
      <c r="AF50" s="13" t="n">
        <f aca="false">AF38*AF49/1000000</f>
        <v>8.44198880781372</v>
      </c>
      <c r="AG50" s="13" t="n">
        <f aca="false">AG38*AG49/1000000</f>
        <v>8.50058826970747</v>
      </c>
      <c r="AH50" s="13" t="n">
        <f aca="false">AH38*AH49/1000000</f>
        <v>8.53194938660919</v>
      </c>
      <c r="AI50" s="13" t="n">
        <f aca="false">AI38*AI49/1000000</f>
        <v>8.64656087453309</v>
      </c>
      <c r="AJ50" s="13" t="n">
        <f aca="false">AJ38*AJ49/1000000</f>
        <v>8.79073143736947</v>
      </c>
      <c r="AK50" s="13" t="n">
        <f aca="false">AK38*AK49/1000000</f>
        <v>8.77915012459341</v>
      </c>
      <c r="AL50" s="13" t="n">
        <f aca="false">AL38*AL49/1000000</f>
        <v>8.66440971374117</v>
      </c>
      <c r="AM50" s="13" t="n">
        <f aca="false">AM38*AM49/1000000</f>
        <v>8.85556239521915</v>
      </c>
      <c r="AN50" s="13" t="n">
        <f aca="false">AN38*AN49/1000000</f>
        <v>9.15379577208578</v>
      </c>
      <c r="AO50" s="13" t="n">
        <f aca="false">AO38*AO49/1000000</f>
        <v>9.21729335298088</v>
      </c>
      <c r="AP50" s="13" t="n">
        <f aca="false">AP38*AP49/1000000</f>
        <v>9.25125553960494</v>
      </c>
      <c r="AQ50" s="13" t="n">
        <f aca="false">AQ38*AQ49/1000000</f>
        <v>9.37548591330346</v>
      </c>
      <c r="AR50" s="13" t="n">
        <f aca="false">AR38*AR49/1000000</f>
        <v>9.53176588435542</v>
      </c>
      <c r="AS50" s="13" t="n">
        <f aca="false">AS38*AS49/1000000</f>
        <v>9.4541515250124</v>
      </c>
      <c r="AT50" s="13" t="n">
        <f aca="false">AT38*AT49/1000000</f>
        <v>9.19768840401151</v>
      </c>
      <c r="AU50" s="13" t="n">
        <f aca="false">AU38*AU49/1000000</f>
        <v>9.46924583575337</v>
      </c>
      <c r="AV50" s="13" t="n">
        <f aca="false">AV38*AV49/1000000</f>
        <v>9.9252494701576</v>
      </c>
      <c r="AW50" s="13" t="n">
        <f aca="false">AW38*AW49/1000000</f>
        <v>9.99405141160341</v>
      </c>
      <c r="AX50" s="13" t="n">
        <f aca="false">AX38*AX49/1000000</f>
        <v>10.0308283880253</v>
      </c>
      <c r="AY50" s="13" t="n">
        <f aca="false">AY38*AY49/1000000</f>
        <v>10.1654792728761</v>
      </c>
      <c r="AZ50" s="13" t="n">
        <f aca="false">AZ38*AZ49/1000000</f>
        <v>10.3348787950234</v>
      </c>
      <c r="BA50" s="13" t="n">
        <f aca="false">BA38*BA49/1000000</f>
        <v>10.3211660309494</v>
      </c>
      <c r="BB50" s="13" t="n">
        <f aca="false">BB38*BB49/1000000</f>
        <v>10.1861760157167</v>
      </c>
      <c r="BC50" s="13" t="n">
        <f aca="false">BC38*BC49/1000000</f>
        <v>10.4108033719646</v>
      </c>
      <c r="BD50" s="13" t="n">
        <f aca="false">BD38*BD49/1000000</f>
        <v>10.761311677415</v>
      </c>
      <c r="BE50" s="13" t="n">
        <f aca="false">BE38*BE49/1000000</f>
        <v>10.835857599785</v>
      </c>
      <c r="BF50" s="13" t="n">
        <f aca="false">BF38*BF49/1000000</f>
        <v>10.8756804461118</v>
      </c>
      <c r="BG50" s="13" t="n">
        <f aca="false">BG38*BG49/1000000</f>
        <v>11.0216197171281</v>
      </c>
      <c r="BH50" s="13" t="n">
        <f aca="false">BH38*BH49/1000000</f>
        <v>11.205232510975</v>
      </c>
      <c r="BI50" s="13" t="n">
        <f aca="false">BI38*BI49/1000000</f>
        <v>11.113885730996</v>
      </c>
      <c r="BJ50" s="13" t="n">
        <f aca="false">BJ38*BJ49/1000000</f>
        <v>10.8122957769278</v>
      </c>
      <c r="BK50" s="13" t="n">
        <f aca="false">BK38*BK49/1000000</f>
        <v>11.1314173629225</v>
      </c>
      <c r="BL50" s="13" t="n">
        <f aca="false">BL38*BL49/1000000</f>
        <v>11.667353327159</v>
      </c>
      <c r="BM50" s="13" t="n">
        <f aca="false">BM38*BM49/1000000</f>
        <v>7.85822924435455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4599.36577715673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24.2627008937847</v>
      </c>
      <c r="P51" s="13" t="n">
        <f aca="false">P38*P40*(1000*Inputs!$F$123/Inputs!$F$124)*P41/1000000</f>
        <v>72.7759526275028</v>
      </c>
      <c r="Q51" s="13" t="n">
        <f aca="false">Q38*Q40*(1000*Inputs!$F$123/Inputs!$F$124)*Q41/1000000</f>
        <v>73.975481208151</v>
      </c>
      <c r="R51" s="13" t="n">
        <f aca="false">R38*R40*(1000*Inputs!$F$123/Inputs!$F$124)*R41/1000000</f>
        <v>73.4822599102704</v>
      </c>
      <c r="S51" s="13" t="n">
        <f aca="false">S38*S40*(1000*Inputs!$F$123/Inputs!$F$124)*S41/1000000</f>
        <v>75.17494571943</v>
      </c>
      <c r="T51" s="13" t="n">
        <f aca="false">T38*T40*(1000*Inputs!$F$123/Inputs!$F$124)*T41/1000000</f>
        <v>75.6397254942039</v>
      </c>
      <c r="U51" s="13" t="n">
        <f aca="false">U38*U40*(1000*Inputs!$F$123/Inputs!$F$124)*U41/1000000</f>
        <v>76.2557661996923</v>
      </c>
      <c r="V51" s="13" t="n">
        <f aca="false">V38*V40*(1000*Inputs!$F$123/Inputs!$F$124)*V41/1000000</f>
        <v>74.4824926128489</v>
      </c>
      <c r="W51" s="13" t="n">
        <f aca="false">W38*W40*(1000*Inputs!$F$123/Inputs!$F$124)*W41/1000000</f>
        <v>76.8469166915968</v>
      </c>
      <c r="X51" s="13" t="n">
        <f aca="false">X38*X40*(1000*Inputs!$F$123/Inputs!$F$124)*X41/1000000</f>
        <v>78.61516371209</v>
      </c>
      <c r="Y51" s="13" t="n">
        <f aca="false">Y38*Y40*(1000*Inputs!$F$123/Inputs!$F$124)*Y41/1000000</f>
        <v>79.9104155359751</v>
      </c>
      <c r="Z51" s="13" t="n">
        <f aca="false">Z38*Z40*(1000*Inputs!$F$123/Inputs!$F$124)*Z41/1000000</f>
        <v>79.377105509786</v>
      </c>
      <c r="AA51" s="13" t="n">
        <f aca="false">AA38*AA40*(1000*Inputs!$F$123/Inputs!$F$124)*AA41/1000000</f>
        <v>81.2050501411663</v>
      </c>
      <c r="AB51" s="13" t="n">
        <f aca="false">AB38*AB40*(1000*Inputs!$F$123/Inputs!$F$124)*AB41/1000000</f>
        <v>81.7065775079112</v>
      </c>
      <c r="AC51" s="13" t="n">
        <f aca="false">AC38*AC40*(1000*Inputs!$F$123/Inputs!$F$124)*AC41/1000000</f>
        <v>81.8089240956146</v>
      </c>
      <c r="AD51" s="13" t="n">
        <f aca="false">AD38*AD40*(1000*Inputs!$F$123/Inputs!$F$124)*AD41/1000000</f>
        <v>78.7682165527954</v>
      </c>
      <c r="AE51" s="13" t="n">
        <f aca="false">AE38*AE40*(1000*Inputs!$F$123/Inputs!$F$124)*AE41/1000000</f>
        <v>81.8619300391864</v>
      </c>
      <c r="AF51" s="13" t="n">
        <f aca="false">AF38*AF40*(1000*Inputs!$F$123/Inputs!$F$124)*AF41/1000000</f>
        <v>84.9184415758167</v>
      </c>
      <c r="AG51" s="13" t="n">
        <f aca="false">AG38*AG40*(1000*Inputs!$F$123/Inputs!$F$124)*AG41/1000000</f>
        <v>86.3169786003738</v>
      </c>
      <c r="AH51" s="13" t="n">
        <f aca="false">AH38*AH40*(1000*Inputs!$F$123/Inputs!$F$124)*AH41/1000000</f>
        <v>85.7403488234929</v>
      </c>
      <c r="AI51" s="13" t="n">
        <f aca="false">AI38*AI40*(1000*Inputs!$F$123/Inputs!$F$124)*AI41/1000000</f>
        <v>87.7142533943758</v>
      </c>
      <c r="AJ51" s="13" t="n">
        <f aca="false">AJ38*AJ40*(1000*Inputs!$F$123/Inputs!$F$124)*AJ41/1000000</f>
        <v>88.2554012689944</v>
      </c>
      <c r="AK51" s="13" t="n">
        <f aca="false">AK38*AK40*(1000*Inputs!$F$123/Inputs!$F$124)*AK41/1000000</f>
        <v>88.9730209187975</v>
      </c>
      <c r="AL51" s="13" t="n">
        <f aca="false">AL38*AL40*(1000*Inputs!$F$123/Inputs!$F$124)*AL41/1000000</f>
        <v>86.9028746805759</v>
      </c>
      <c r="AM51" s="13" t="n">
        <f aca="false">AM38*AM40*(1000*Inputs!$F$123/Inputs!$F$124)*AM41/1000000</f>
        <v>89.6604009338069</v>
      </c>
      <c r="AN51" s="13" t="n">
        <f aca="false">AN38*AN40*(1000*Inputs!$F$123/Inputs!$F$124)*AN41/1000000</f>
        <v>91.722279020641</v>
      </c>
      <c r="AO51" s="13" t="n">
        <f aca="false">AO38*AO40*(1000*Inputs!$F$123/Inputs!$F$124)*AO41/1000000</f>
        <v>93.2322538067391</v>
      </c>
      <c r="AP51" s="13" t="n">
        <f aca="false">AP38*AP40*(1000*Inputs!$F$123/Inputs!$F$124)*AP41/1000000</f>
        <v>92.6088151835709</v>
      </c>
      <c r="AQ51" s="13" t="n">
        <f aca="false">AQ38*AQ40*(1000*Inputs!$F$123/Inputs!$F$124)*AQ41/1000000</f>
        <v>94.7402180107657</v>
      </c>
      <c r="AR51" s="13" t="n">
        <f aca="false">AR38*AR40*(1000*Inputs!$F$123/Inputs!$F$124)*AR41/1000000</f>
        <v>95.3240810025819</v>
      </c>
      <c r="AS51" s="13" t="n">
        <f aca="false">AS38*AS40*(1000*Inputs!$F$123/Inputs!$F$124)*AS41/1000000</f>
        <v>95.4422240882155</v>
      </c>
      <c r="AT51" s="13" t="n">
        <f aca="false">AT38*AT40*(1000*Inputs!$F$123/Inputs!$F$124)*AT41/1000000</f>
        <v>91.8935734702115</v>
      </c>
      <c r="AU51" s="13" t="n">
        <f aca="false">AU38*AU40*(1000*Inputs!$F$123/Inputs!$F$124)*AU41/1000000</f>
        <v>95.5015369441382</v>
      </c>
      <c r="AV51" s="13" t="n">
        <f aca="false">AV38*AV40*(1000*Inputs!$F$123/Inputs!$F$124)*AV41/1000000</f>
        <v>99.0660040301591</v>
      </c>
      <c r="AW51" s="13" t="n">
        <f aca="false">AW38*AW40*(1000*Inputs!$F$123/Inputs!$F$124)*AW41/1000000</f>
        <v>100.696205261975</v>
      </c>
      <c r="AX51" s="13" t="n">
        <f aca="false">AX38*AX40*(1000*Inputs!$F$123/Inputs!$F$124)*AX41/1000000</f>
        <v>100.022190213136</v>
      </c>
      <c r="AY51" s="13" t="n">
        <f aca="false">AY38*AY40*(1000*Inputs!$F$123/Inputs!$F$124)*AY41/1000000</f>
        <v>102.323531467976</v>
      </c>
      <c r="AZ51" s="13" t="n">
        <f aca="false">AZ38*AZ40*(1000*Inputs!$F$123/Inputs!$F$124)*AZ41/1000000</f>
        <v>102.953442722306</v>
      </c>
      <c r="BA51" s="13" t="n">
        <f aca="false">BA38*BA40*(1000*Inputs!$F$123/Inputs!$F$124)*BA41/1000000</f>
        <v>103.789194747798</v>
      </c>
      <c r="BB51" s="13" t="n">
        <f aca="false">BB38*BB40*(1000*Inputs!$F$123/Inputs!$F$124)*BB41/1000000</f>
        <v>101.372969920625</v>
      </c>
      <c r="BC51" s="13" t="n">
        <f aca="false">BC38*BC40*(1000*Inputs!$F$123/Inputs!$F$124)*BC41/1000000</f>
        <v>104.58825587595</v>
      </c>
      <c r="BD51" s="13" t="n">
        <f aca="false">BD38*BD40*(1000*Inputs!$F$123/Inputs!$F$124)*BD41/1000000</f>
        <v>106.991996926046</v>
      </c>
      <c r="BE51" s="13" t="n">
        <f aca="false">BE38*BE40*(1000*Inputs!$F$123/Inputs!$F$124)*BE41/1000000</f>
        <v>108.751898383974</v>
      </c>
      <c r="BF51" s="13" t="n">
        <f aca="false">BF38*BF40*(1000*Inputs!$F$123/Inputs!$F$124)*BF41/1000000</f>
        <v>108.023238839324</v>
      </c>
      <c r="BG51" s="13" t="n">
        <f aca="false">BG38*BG40*(1000*Inputs!$F$123/Inputs!$F$124)*BG41/1000000</f>
        <v>110.507930119183</v>
      </c>
      <c r="BH51" s="13" t="n">
        <f aca="false">BH38*BH40*(1000*Inputs!$F$123/Inputs!$F$124)*BH41/1000000</f>
        <v>111.187479414969</v>
      </c>
      <c r="BI51" s="13" t="n">
        <f aca="false">BI38*BI40*(1000*Inputs!$F$123/Inputs!$F$124)*BI41/1000000</f>
        <v>111.32379368244</v>
      </c>
      <c r="BJ51" s="13" t="n">
        <f aca="false">BJ38*BJ40*(1000*Inputs!$F$123/Inputs!$F$124)*BJ41/1000000</f>
        <v>107.183212797532</v>
      </c>
      <c r="BK51" s="13" t="n">
        <f aca="false">BK38*BK40*(1000*Inputs!$F$123/Inputs!$F$124)*BK41/1000000</f>
        <v>111.389991434017</v>
      </c>
      <c r="BL51" s="13" t="n">
        <f aca="false">BL38*BL40*(1000*Inputs!$F$123/Inputs!$F$124)*BL41/1000000</f>
        <v>115.545923871592</v>
      </c>
      <c r="BM51" s="13" t="n">
        <f aca="false">BM38*BM40*(1000*Inputs!$F$123/Inputs!$F$124)*BM41/1000000</f>
        <v>78.5521912726279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137.816040152181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0.773715028151503</v>
      </c>
      <c r="P53" s="13" t="n">
        <f aca="false">P42*Inputs!$F$148*(1+Inputs!$F$149/100)^(Time!P26-Inputs!$F$256)/1000000</f>
        <v>2.32091226777921</v>
      </c>
      <c r="Q53" s="13" t="n">
        <f aca="false">Q42*Inputs!$F$148*(1+Inputs!$F$149/100)^(Time!Q26-Inputs!$F$256)/1000000</f>
        <v>2.34783655597164</v>
      </c>
      <c r="R53" s="13" t="n">
        <f aca="false">R42*Inputs!$F$148*(1+Inputs!$F$149/100)^(Time!R26-Inputs!$F$256)/1000000</f>
        <v>2.33241531264219</v>
      </c>
      <c r="S53" s="13" t="n">
        <f aca="false">S42*Inputs!$F$148*(1+Inputs!$F$149/100)^(Time!S26-Inputs!$F$256)/1000000</f>
        <v>2.3746830039925</v>
      </c>
      <c r="T53" s="13" t="n">
        <f aca="false">T42*Inputs!$F$148*(1+Inputs!$F$149/100)^(Time!T26-Inputs!$F$256)/1000000</f>
        <v>2.38960263228031</v>
      </c>
      <c r="U53" s="13" t="n">
        <f aca="false">U42*Inputs!$F$148*(1+Inputs!$F$149/100)^(Time!U26-Inputs!$F$256)/1000000</f>
        <v>2.39749372589896</v>
      </c>
      <c r="V53" s="13" t="n">
        <f aca="false">V42*Inputs!$F$148*(1+Inputs!$F$149/100)^(Time!V26-Inputs!$F$256)/1000000</f>
        <v>2.34197427795564</v>
      </c>
      <c r="W53" s="13" t="n">
        <f aca="false">W42*Inputs!$F$148*(1+Inputs!$F$149/100)^(Time!W26-Inputs!$F$256)/1000000</f>
        <v>2.40471336704508</v>
      </c>
      <c r="X53" s="13" t="n">
        <f aca="false">X42*Inputs!$F$148*(1+Inputs!$F$149/100)^(Time!X26-Inputs!$F$256)/1000000</f>
        <v>2.4602895820408</v>
      </c>
      <c r="Y53" s="13" t="n">
        <f aca="false">Y42*Inputs!$F$148*(1+Inputs!$F$149/100)^(Time!Y26-Inputs!$F$256)/1000000</f>
        <v>2.48881233739017</v>
      </c>
      <c r="Z53" s="13" t="n">
        <f aca="false">Z42*Inputs!$F$148*(1+Inputs!$F$149/100)^(Time!Z26-Inputs!$F$256)/1000000</f>
        <v>2.47244682641425</v>
      </c>
      <c r="AA53" s="13" t="n">
        <f aca="false">AA42*Inputs!$F$148*(1+Inputs!$F$149/100)^(Time!AA26-Inputs!$F$256)/1000000</f>
        <v>2.51723350884753</v>
      </c>
      <c r="AB53" s="13" t="n">
        <f aca="false">AB42*Inputs!$F$148*(1+Inputs!$F$149/100)^(Time!AB26-Inputs!$F$256)/1000000</f>
        <v>2.53302998623933</v>
      </c>
      <c r="AC53" s="13" t="n">
        <f aca="false">AC42*Inputs!$F$148*(1+Inputs!$F$149/100)^(Time!AC26-Inputs!$F$256)/1000000</f>
        <v>2.52401924951947</v>
      </c>
      <c r="AD53" s="13" t="n">
        <f aca="false">AD42*Inputs!$F$148*(1+Inputs!$F$149/100)^(Time!AD26-Inputs!$F$256)/1000000</f>
        <v>2.43044471564553</v>
      </c>
      <c r="AE53" s="13" t="n">
        <f aca="false">AE42*Inputs!$F$148*(1+Inputs!$F$149/100)^(Time!AE26-Inputs!$F$256)/1000000</f>
        <v>2.51376856309207</v>
      </c>
      <c r="AF53" s="13" t="n">
        <f aca="false">AF42*Inputs!$F$148*(1+Inputs!$F$149/100)^(Time!AF26-Inputs!$F$256)/1000000</f>
        <v>2.60788229540519</v>
      </c>
      <c r="AG53" s="13" t="n">
        <f aca="false">AG42*Inputs!$F$148*(1+Inputs!$F$149/100)^(Time!AG26-Inputs!$F$256)/1000000</f>
        <v>2.63809653986858</v>
      </c>
      <c r="AH53" s="13" t="n">
        <f aca="false">AH42*Inputs!$F$148*(1+Inputs!$F$149/100)^(Time!AH26-Inputs!$F$256)/1000000</f>
        <v>2.62072992034483</v>
      </c>
      <c r="AI53" s="13" t="n">
        <f aca="false">AI42*Inputs!$F$148*(1+Inputs!$F$149/100)^(Time!AI26-Inputs!$F$256)/1000000</f>
        <v>2.6681828166075</v>
      </c>
      <c r="AJ53" s="13" t="n">
        <f aca="false">AJ42*Inputs!$F$148*(1+Inputs!$F$149/100)^(Time!AJ26-Inputs!$F$256)/1000000</f>
        <v>2.68490658407849</v>
      </c>
      <c r="AK53" s="13" t="n">
        <f aca="false">AK42*Inputs!$F$148*(1+Inputs!$F$149/100)^(Time!AK26-Inputs!$F$256)/1000000</f>
        <v>2.6937328406825</v>
      </c>
      <c r="AL53" s="13" t="n">
        <f aca="false">AL42*Inputs!$F$148*(1+Inputs!$F$149/100)^(Time!AL26-Inputs!$F$256)/1000000</f>
        <v>2.63131419898311</v>
      </c>
      <c r="AM53" s="13" t="n">
        <f aca="false">AM42*Inputs!$F$148*(1+Inputs!$F$149/100)^(Time!AM26-Inputs!$F$256)/1000000</f>
        <v>2.70176424159499</v>
      </c>
      <c r="AN53" s="13" t="n">
        <f aca="false">AN42*Inputs!$F$148*(1+Inputs!$F$149/100)^(Time!AN26-Inputs!$F$256)/1000000</f>
        <v>2.76416459457491</v>
      </c>
      <c r="AO53" s="13" t="n">
        <f aca="false">AO42*Inputs!$F$148*(1+Inputs!$F$149/100)^(Time!AO26-Inputs!$F$256)/1000000</f>
        <v>2.79616863878981</v>
      </c>
      <c r="AP53" s="13" t="n">
        <f aca="false">AP42*Inputs!$F$148*(1+Inputs!$F$149/100)^(Time!AP26-Inputs!$F$256)/1000000</f>
        <v>2.77774070952898</v>
      </c>
      <c r="AQ53" s="13" t="n">
        <f aca="false">AQ42*Inputs!$F$148*(1+Inputs!$F$149/100)^(Time!AQ26-Inputs!$F$256)/1000000</f>
        <v>2.82801545554963</v>
      </c>
      <c r="AR53" s="13" t="n">
        <f aca="false">AR42*Inputs!$F$148*(1+Inputs!$F$149/100)^(Time!AR26-Inputs!$F$256)/1000000</f>
        <v>2.84571978188196</v>
      </c>
      <c r="AS53" s="13" t="n">
        <f aca="false">AS42*Inputs!$F$148*(1+Inputs!$F$149/100)^(Time!AS26-Inputs!$F$256)/1000000</f>
        <v>2.83555443421073</v>
      </c>
      <c r="AT53" s="13" t="n">
        <f aca="false">AT42*Inputs!$F$148*(1+Inputs!$F$149/100)^(Time!AT26-Inputs!$F$256)/1000000</f>
        <v>2.73038942951751</v>
      </c>
      <c r="AU53" s="13" t="n">
        <f aca="false">AU42*Inputs!$F$148*(1+Inputs!$F$149/100)^(Time!AU26-Inputs!$F$256)/1000000</f>
        <v>2.823954243434</v>
      </c>
      <c r="AV53" s="13" t="n">
        <f aca="false">AV42*Inputs!$F$148*(1+Inputs!$F$149/100)^(Time!AV26-Inputs!$F$256)/1000000</f>
        <v>2.92963735971404</v>
      </c>
      <c r="AW53" s="13" t="n">
        <f aca="false">AW42*Inputs!$F$148*(1+Inputs!$F$149/100)^(Time!AW26-Inputs!$F$256)/1000000</f>
        <v>2.96353509512397</v>
      </c>
      <c r="AX53" s="13" t="n">
        <f aca="false">AX42*Inputs!$F$148*(1+Inputs!$F$149/100)^(Time!AX26-Inputs!$F$256)/1000000</f>
        <v>2.94398209996628</v>
      </c>
      <c r="AY53" s="13" t="n">
        <f aca="false">AY42*Inputs!$F$148*(1+Inputs!$F$149/100)^(Time!AY26-Inputs!$F$256)/1000000</f>
        <v>2.9972432125956</v>
      </c>
      <c r="AZ53" s="13" t="n">
        <f aca="false">AZ42*Inputs!$F$148*(1+Inputs!$F$149/100)^(Time!AZ26-Inputs!$F$256)/1000000</f>
        <v>3.01598434775477</v>
      </c>
      <c r="BA53" s="13" t="n">
        <f aca="false">BA42*Inputs!$F$148*(1+Inputs!$F$149/100)^(Time!BA26-Inputs!$F$256)/1000000</f>
        <v>3.02585367172411</v>
      </c>
      <c r="BB53" s="13" t="n">
        <f aca="false">BB42*Inputs!$F$148*(1+Inputs!$F$149/100)^(Time!BB26-Inputs!$F$256)/1000000</f>
        <v>2.95569491460175</v>
      </c>
      <c r="BC53" s="13" t="n">
        <f aca="false">BC42*Inputs!$F$148*(1+Inputs!$F$149/100)^(Time!BC26-Inputs!$F$256)/1000000</f>
        <v>3.03478434587695</v>
      </c>
      <c r="BD53" s="13" t="n">
        <f aca="false">BD42*Inputs!$F$148*(1+Inputs!$F$149/100)^(Time!BD26-Inputs!$F$256)/1000000</f>
        <v>3.10482962011489</v>
      </c>
      <c r="BE53" s="13" t="n">
        <f aca="false">BE42*Inputs!$F$148*(1+Inputs!$F$149/100)^(Time!BE26-Inputs!$F$256)/1000000</f>
        <v>3.14073082662333</v>
      </c>
      <c r="BF53" s="13" t="n">
        <f aca="false">BF42*Inputs!$F$148*(1+Inputs!$F$149/100)^(Time!BF26-Inputs!$F$256)/1000000</f>
        <v>3.11998524874201</v>
      </c>
      <c r="BG53" s="13" t="n">
        <f aca="false">BG42*Inputs!$F$148*(1+Inputs!$F$149/100)^(Time!BG26-Inputs!$F$256)/1000000</f>
        <v>3.17640661857797</v>
      </c>
      <c r="BH53" s="13" t="n">
        <f aca="false">BH42*Inputs!$F$148*(1+Inputs!$F$149/100)^(Time!BH26-Inputs!$F$256)/1000000</f>
        <v>3.19624395503533</v>
      </c>
      <c r="BI53" s="13" t="n">
        <f aca="false">BI42*Inputs!$F$148*(1+Inputs!$F$149/100)^(Time!BI26-Inputs!$F$256)/1000000</f>
        <v>3.18477859185959</v>
      </c>
      <c r="BJ53" s="13" t="n">
        <f aca="false">BJ42*Inputs!$F$148*(1+Inputs!$F$149/100)^(Time!BJ26-Inputs!$F$256)/1000000</f>
        <v>3.06661542842368</v>
      </c>
      <c r="BK53" s="13" t="n">
        <f aca="false">BK42*Inputs!$F$148*(1+Inputs!$F$149/100)^(Time!BK26-Inputs!$F$256)/1000000</f>
        <v>3.17165426925927</v>
      </c>
      <c r="BL53" s="13" t="n">
        <f aca="false">BL42*Inputs!$F$148*(1+Inputs!$F$149/100)^(Time!BL26-Inputs!$F$256)/1000000</f>
        <v>3.29030008586528</v>
      </c>
      <c r="BM53" s="13" t="n">
        <f aca="false">BM42*Inputs!$F$148*(1+Inputs!$F$149/100)^(Time!BM26-Inputs!$F$256)/1000000</f>
        <v>2.22607279436325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3792.04278771637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22.447121655942</v>
      </c>
      <c r="P55" s="13" t="n">
        <f aca="false">P48+P50</f>
        <v>67.6307956285765</v>
      </c>
      <c r="Q55" s="13" t="n">
        <f aca="false">Q48+Q50</f>
        <v>67.8983424115587</v>
      </c>
      <c r="R55" s="13" t="n">
        <f aca="false">R48+R50</f>
        <v>68.1451065247603</v>
      </c>
      <c r="S55" s="13" t="n">
        <f aca="false">S48+S50</f>
        <v>68.4650790125577</v>
      </c>
      <c r="T55" s="13" t="n">
        <f aca="false">T48+T50</f>
        <v>68.8126257336253</v>
      </c>
      <c r="U55" s="13" t="n">
        <f aca="false">U48+U50</f>
        <v>69.0301725779119</v>
      </c>
      <c r="V55" s="13" t="n">
        <f aca="false">V48+V50</f>
        <v>69.1624718078326</v>
      </c>
      <c r="W55" s="13" t="n">
        <f aca="false">W48+W50</f>
        <v>69.5574412832485</v>
      </c>
      <c r="X55" s="13" t="n">
        <f aca="false">X48+X50</f>
        <v>70.0460270272405</v>
      </c>
      <c r="Y55" s="13" t="n">
        <f aca="false">Y48+Y50</f>
        <v>70.3375439407661</v>
      </c>
      <c r="Z55" s="13" t="n">
        <f aca="false">Z48+Z50</f>
        <v>70.6065394673027</v>
      </c>
      <c r="AA55" s="13" t="n">
        <f aca="false">AA48+AA50</f>
        <v>70.9549363417546</v>
      </c>
      <c r="AB55" s="13" t="n">
        <f aca="false">AB48+AB50</f>
        <v>71.3332490584847</v>
      </c>
      <c r="AC55" s="13" t="n">
        <f aca="false">AC48+AC50</f>
        <v>71.5153133268801</v>
      </c>
      <c r="AD55" s="13" t="n">
        <f aca="false">AD48+AD50</f>
        <v>70.6274998150064</v>
      </c>
      <c r="AE55" s="13" t="n">
        <f aca="false">AE48+AE50</f>
        <v>72.0324758262119</v>
      </c>
      <c r="AF55" s="13" t="n">
        <f aca="false">AF48+AF50</f>
        <v>72.6766394638791</v>
      </c>
      <c r="AG55" s="13" t="n">
        <f aca="false">AG48+AG50</f>
        <v>72.9942735560938</v>
      </c>
      <c r="AH55" s="13" t="n">
        <f aca="false">AH48+AH50</f>
        <v>73.287503182708</v>
      </c>
      <c r="AI55" s="13" t="n">
        <f aca="false">AI48+AI50</f>
        <v>73.6668480628199</v>
      </c>
      <c r="AJ55" s="13" t="n">
        <f aca="false">AJ48+AJ50</f>
        <v>74.0786482425825</v>
      </c>
      <c r="AK55" s="13" t="n">
        <f aca="false">AK48+AK50</f>
        <v>74.3376244566225</v>
      </c>
      <c r="AL55" s="13" t="n">
        <f aca="false">AL48+AL50</f>
        <v>74.4964015142688</v>
      </c>
      <c r="AM55" s="13" t="n">
        <f aca="false">AM48+AM50</f>
        <v>74.9640639881529</v>
      </c>
      <c r="AN55" s="13" t="n">
        <f aca="false">AN48+AN50</f>
        <v>75.5418322178251</v>
      </c>
      <c r="AO55" s="13" t="n">
        <f aca="false">AO48+AO50</f>
        <v>75.8879228065592</v>
      </c>
      <c r="AP55" s="13" t="n">
        <f aca="false">AP48+AP50</f>
        <v>76.2075696127505</v>
      </c>
      <c r="AQ55" s="13" t="n">
        <f aca="false">AQ48+AQ50</f>
        <v>76.6206100404605</v>
      </c>
      <c r="AR55" s="13" t="n">
        <f aca="false">AR48+AR50</f>
        <v>77.0688596927102</v>
      </c>
      <c r="AS55" s="13" t="n">
        <f aca="false">AS48+AS50</f>
        <v>77.2864092085669</v>
      </c>
      <c r="AT55" s="13" t="n">
        <f aca="false">AT48+AT50</f>
        <v>76.3442297027827</v>
      </c>
      <c r="AU55" s="13" t="n">
        <f aca="false">AU48+AU50</f>
        <v>77.9015540139461</v>
      </c>
      <c r="AV55" s="13" t="n">
        <f aca="false">AV48+AV50</f>
        <v>78.6625153088464</v>
      </c>
      <c r="AW55" s="13" t="n">
        <f aca="false">AW48+AW50</f>
        <v>79.0396111953163</v>
      </c>
      <c r="AX55" s="13" t="n">
        <f aca="false">AX48+AX50</f>
        <v>79.3880549007652</v>
      </c>
      <c r="AY55" s="13" t="n">
        <f aca="false">AY48+AY50</f>
        <v>79.8377821974307</v>
      </c>
      <c r="AZ55" s="13" t="n">
        <f aca="false">AZ48+AZ50</f>
        <v>80.3257051166436</v>
      </c>
      <c r="BA55" s="13" t="n">
        <f aca="false">BA48+BA50</f>
        <v>80.6340004454442</v>
      </c>
      <c r="BB55" s="13" t="n">
        <f aca="false">BB48+BB50</f>
        <v>80.8245413420125</v>
      </c>
      <c r="BC55" s="13" t="n">
        <f aca="false">BC48+BC50</f>
        <v>81.3782609691782</v>
      </c>
      <c r="BD55" s="13" t="n">
        <f aca="false">BD48+BD50</f>
        <v>82.0614618664893</v>
      </c>
      <c r="BE55" s="13" t="n">
        <f aca="false">BE48+BE50</f>
        <v>82.4723400897373</v>
      </c>
      <c r="BF55" s="13" t="n">
        <f aca="false">BF48+BF50</f>
        <v>82.8521747649458</v>
      </c>
      <c r="BG55" s="13" t="n">
        <f aca="false">BG48+BG50</f>
        <v>83.3418456474595</v>
      </c>
      <c r="BH55" s="13" t="n">
        <f aca="false">BH48+BH50</f>
        <v>83.8729505304233</v>
      </c>
      <c r="BI55" s="13" t="n">
        <f aca="false">BI48+BI50</f>
        <v>84.1328974573946</v>
      </c>
      <c r="BJ55" s="13" t="n">
        <f aca="false">BJ48+BJ50</f>
        <v>83.1265956046938</v>
      </c>
      <c r="BK55" s="13" t="n">
        <f aca="false">BK48+BK50</f>
        <v>84.8645881729019</v>
      </c>
      <c r="BL55" s="13" t="n">
        <f aca="false">BL48+BL50</f>
        <v>85.7634740643476</v>
      </c>
      <c r="BM55" s="13" t="n">
        <f aca="false">BM48+BM50</f>
        <v>57.5002568399538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9219.57133698138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51.2998767456295</v>
      </c>
      <c r="P56" s="13" t="n">
        <f aca="false">P55+P51+P52+P53+P54</f>
        <v>154.239240964289</v>
      </c>
      <c r="Q56" s="13" t="n">
        <f aca="false">Q55+Q51+Q52+Q53+Q54</f>
        <v>155.715410179016</v>
      </c>
      <c r="R56" s="13" t="n">
        <f aca="false">R55+R51+R52+R53+R54</f>
        <v>155.644035894709</v>
      </c>
      <c r="S56" s="13" t="n">
        <f aca="false">S55+S51+S52+S53+S54</f>
        <v>157.680863989365</v>
      </c>
      <c r="T56" s="13" t="n">
        <f aca="false">T55+T51+T52+T53+T54</f>
        <v>158.701471819352</v>
      </c>
      <c r="U56" s="13" t="n">
        <f aca="false">U55+U51+U52+U53+U54</f>
        <v>159.59000181117</v>
      </c>
      <c r="V56" s="13" t="n">
        <f aca="false">V55+V51+V52+V53+V54</f>
        <v>158.024349427268</v>
      </c>
      <c r="W56" s="13" t="n">
        <f aca="false">W55+W51+W52+W53+W54</f>
        <v>160.827837168034</v>
      </c>
      <c r="X56" s="13" t="n">
        <f aca="false">X55+X51+X52+X53+X54</f>
        <v>163.339452210931</v>
      </c>
      <c r="Y56" s="13" t="n">
        <f aca="false">Y55+Y51+Y52+Y53+Y54</f>
        <v>164.935819127667</v>
      </c>
      <c r="Z56" s="13" t="n">
        <f aca="false">Z55+Z51+Z52+Z53+Z54</f>
        <v>164.857333271406</v>
      </c>
      <c r="AA56" s="13" t="n">
        <f aca="false">AA55+AA51+AA52+AA53+AA54</f>
        <v>167.059253015007</v>
      </c>
      <c r="AB56" s="13" t="n">
        <f aca="false">AB55+AB51+AB52+AB53+AB54</f>
        <v>168.160116642557</v>
      </c>
      <c r="AC56" s="13" t="n">
        <f aca="false">AC55+AC51+AC52+AC53+AC54</f>
        <v>168.485455348162</v>
      </c>
      <c r="AD56" s="13" t="n">
        <f aca="false">AD55+AD51+AD52+AD53+AD54</f>
        <v>164.602230074718</v>
      </c>
      <c r="AE56" s="13" t="n">
        <f aca="false">AE55+AE51+AE52+AE53+AE54</f>
        <v>169.164454399856</v>
      </c>
      <c r="AF56" s="13" t="n">
        <f aca="false">AF55+AF51+AF52+AF53+AF54</f>
        <v>173.170673361241</v>
      </c>
      <c r="AG56" s="13" t="n">
        <f aca="false">AG55+AG51+AG52+AG53+AG54</f>
        <v>174.896972867273</v>
      </c>
      <c r="AH56" s="13" t="n">
        <f aca="false">AH55+AH51+AH52+AH53+AH54</f>
        <v>174.810807603078</v>
      </c>
      <c r="AI56" s="13" t="n">
        <f aca="false">AI55+AI51+AI52+AI53+AI54</f>
        <v>177.191122807304</v>
      </c>
      <c r="AJ56" s="13" t="n">
        <f aca="false">AJ55+AJ51+AJ52+AJ53+AJ54</f>
        <v>178.378615157335</v>
      </c>
      <c r="AK56" s="13" t="n">
        <f aca="false">AK55+AK51+AK52+AK53+AK54</f>
        <v>179.417040272973</v>
      </c>
      <c r="AL56" s="13" t="n">
        <f aca="false">AL55+AL51+AL52+AL53+AL54</f>
        <v>177.590644341433</v>
      </c>
      <c r="AM56" s="13" t="n">
        <f aca="false">AM55+AM51+AM52+AM53+AM54</f>
        <v>180.86527976673</v>
      </c>
      <c r="AN56" s="13" t="n">
        <f aca="false">AN55+AN51+AN52+AN53+AN54</f>
        <v>183.79173058986</v>
      </c>
      <c r="AO56" s="13" t="n">
        <f aca="false">AO55+AO51+AO52+AO53+AO54</f>
        <v>185.658481614311</v>
      </c>
      <c r="AP56" s="13" t="n">
        <f aca="false">AP55+AP51+AP52+AP53+AP54</f>
        <v>185.564032084022</v>
      </c>
      <c r="AQ56" s="13" t="n">
        <f aca="false">AQ55+AQ51+AQ52+AQ53+AQ54</f>
        <v>188.137111914432</v>
      </c>
      <c r="AR56" s="13" t="n">
        <f aca="false">AR55+AR51+AR52+AR53+AR54</f>
        <v>189.418115654018</v>
      </c>
      <c r="AS56" s="13" t="n">
        <f aca="false">AS55+AS51+AS52+AS53+AS54</f>
        <v>189.799898355006</v>
      </c>
      <c r="AT56" s="13" t="n">
        <f aca="false">AT55+AT51+AT52+AT53+AT54</f>
        <v>185.360339607009</v>
      </c>
      <c r="AU56" s="13" t="n">
        <f aca="false">AU55+AU51+AU52+AU53+AU54</f>
        <v>190.596900021796</v>
      </c>
      <c r="AV56" s="13" t="n">
        <f aca="false">AV55+AV51+AV52+AV53+AV54</f>
        <v>195.266185908284</v>
      </c>
      <c r="AW56" s="13" t="n">
        <f aca="false">AW55+AW51+AW52+AW53+AW54</f>
        <v>197.284754194997</v>
      </c>
      <c r="AX56" s="13" t="n">
        <f aca="false">AX55+AX51+AX52+AX53+AX54</f>
        <v>197.181376861575</v>
      </c>
      <c r="AY56" s="13" t="n">
        <f aca="false">AY55+AY51+AY52+AY53+AY54</f>
        <v>199.962740560223</v>
      </c>
      <c r="AZ56" s="13" t="n">
        <f aca="false">AZ55+AZ51+AZ52+AZ53+AZ54</f>
        <v>201.344689079128</v>
      </c>
      <c r="BA56" s="13" t="n">
        <f aca="false">BA55+BA51+BA52+BA53+BA54</f>
        <v>202.558313238539</v>
      </c>
      <c r="BB56" s="13" t="n">
        <f aca="false">BB55+BB51+BB52+BB53+BB54</f>
        <v>200.428506423049</v>
      </c>
      <c r="BC56" s="13" t="n">
        <f aca="false">BC55+BC51+BC52+BC53+BC54</f>
        <v>204.252941325021</v>
      </c>
      <c r="BD56" s="13" t="n">
        <f aca="false">BD55+BD51+BD52+BD53+BD54</f>
        <v>207.662718162147</v>
      </c>
      <c r="BE56" s="13" t="n">
        <f aca="false">BE55+BE51+BE52+BE53+BE54</f>
        <v>209.845384036361</v>
      </c>
      <c r="BF56" s="13" t="n">
        <f aca="false">BF55+BF51+BF52+BF53+BF54</f>
        <v>209.732395048751</v>
      </c>
      <c r="BG56" s="13" t="n">
        <f aca="false">BG55+BG51+BG52+BG53+BG54</f>
        <v>212.738803342287</v>
      </c>
      <c r="BH56" s="13" t="n">
        <f aca="false">BH55+BH51+BH52+BH53+BH54</f>
        <v>214.229725039103</v>
      </c>
      <c r="BI56" s="13" t="n">
        <f aca="false">BI55+BI51+BI52+BI53+BI54</f>
        <v>214.677892214561</v>
      </c>
      <c r="BJ56" s="13" t="n">
        <f aca="false">BJ55+BJ51+BJ52+BJ53+BJ54</f>
        <v>209.589070736405</v>
      </c>
      <c r="BK56" s="13" t="n">
        <f aca="false">BK55+BK51+BK52+BK53+BK54</f>
        <v>215.613768801672</v>
      </c>
      <c r="BL56" s="13" t="n">
        <f aca="false">BL55+BL51+BL52+BL53+BL54</f>
        <v>221.055534631147</v>
      </c>
      <c r="BM56" s="13" t="n">
        <f aca="false">BM55+BM51+BM52+BM53+BM54</f>
        <v>149.171569271172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2654.98039215686</v>
      </c>
      <c r="P63" s="15" t="n">
        <f aca="false">IF(P31&gt;0,Inputs!$F$258*(Inputs!$F$129*P32/P31*P37/Inputs!$F$131+Inputs!$F$130*Inputs!$F$132)*Time!P30/12,0)</f>
        <v>7964.94117647059</v>
      </c>
      <c r="Q63" s="15" t="n">
        <f aca="false">IF(Q31&gt;0,Inputs!$F$258*(Inputs!$F$129*Q32/Q31*Q37/Inputs!$F$131+Inputs!$F$130*Inputs!$F$132)*Time!Q30/12,0)</f>
        <v>7964.94117647059</v>
      </c>
      <c r="R63" s="15" t="n">
        <f aca="false">IF(R31&gt;0,Inputs!$F$258*(Inputs!$F$129*R32/R31*R37/Inputs!$F$131+Inputs!$F$130*Inputs!$F$132)*Time!R30/12,0)</f>
        <v>7964.94117647059</v>
      </c>
      <c r="S63" s="15" t="n">
        <f aca="false">IF(S31&gt;0,Inputs!$F$258*(Inputs!$F$129*S32/S31*S37/Inputs!$F$131+Inputs!$F$130*Inputs!$F$132)*Time!S30/12,0)</f>
        <v>7964.94117647059</v>
      </c>
      <c r="T63" s="15" t="n">
        <f aca="false">IF(T31&gt;0,Inputs!$F$258*(Inputs!$F$129*T32/T31*T37/Inputs!$F$131+Inputs!$F$130*Inputs!$F$132)*Time!T30/12,0)</f>
        <v>7964.94117647059</v>
      </c>
      <c r="U63" s="15" t="n">
        <f aca="false">IF(U31&gt;0,Inputs!$F$258*(Inputs!$F$129*U32/U31*U37/Inputs!$F$131+Inputs!$F$130*Inputs!$F$132)*Time!U30/12,0)</f>
        <v>7964.94117647059</v>
      </c>
      <c r="V63" s="15" t="n">
        <f aca="false">IF(V31&gt;0,Inputs!$F$258*(Inputs!$F$129*V32/V31*V37/Inputs!$F$131+Inputs!$F$130*Inputs!$F$132)*Time!V30/12,0)</f>
        <v>7964.94117647059</v>
      </c>
      <c r="W63" s="15" t="n">
        <f aca="false">IF(W31&gt;0,Inputs!$F$258*(Inputs!$F$129*W32/W31*W37/Inputs!$F$131+Inputs!$F$130*Inputs!$F$132)*Time!W30/12,0)</f>
        <v>7964.94117647059</v>
      </c>
      <c r="X63" s="15" t="n">
        <f aca="false">IF(X31&gt;0,Inputs!$F$258*(Inputs!$F$129*X32/X31*X37/Inputs!$F$131+Inputs!$F$130*Inputs!$F$132)*Time!X30/12,0)</f>
        <v>7964.94117647059</v>
      </c>
      <c r="Y63" s="15" t="n">
        <f aca="false">IF(Y31&gt;0,Inputs!$F$258*(Inputs!$F$129*Y32/Y31*Y37/Inputs!$F$131+Inputs!$F$130*Inputs!$F$132)*Time!Y30/12,0)</f>
        <v>7964.94117647059</v>
      </c>
      <c r="Z63" s="15" t="n">
        <f aca="false">IF(Z31&gt;0,Inputs!$F$258*(Inputs!$F$129*Z32/Z31*Z37/Inputs!$F$131+Inputs!$F$130*Inputs!$F$132)*Time!Z30/12,0)</f>
        <v>7964.94117647059</v>
      </c>
      <c r="AA63" s="15" t="n">
        <f aca="false">IF(AA31&gt;0,Inputs!$F$258*(Inputs!$F$129*AA32/AA31*AA37/Inputs!$F$131+Inputs!$F$130*Inputs!$F$132)*Time!AA30/12,0)</f>
        <v>7964.94117647059</v>
      </c>
      <c r="AB63" s="15" t="n">
        <f aca="false">IF(AB31&gt;0,Inputs!$F$258*(Inputs!$F$129*AB32/AB31*AB37/Inputs!$F$131+Inputs!$F$130*Inputs!$F$132)*Time!AB30/12,0)</f>
        <v>7964.94117647059</v>
      </c>
      <c r="AC63" s="15" t="n">
        <f aca="false">IF(AC31&gt;0,Inputs!$F$258*(Inputs!$F$129*AC32/AC31*AC37/Inputs!$F$131+Inputs!$F$130*Inputs!$F$132)*Time!AC30/12,0)</f>
        <v>7964.94117647059</v>
      </c>
      <c r="AD63" s="15" t="n">
        <f aca="false">IF(AD31&gt;0,Inputs!$F$258*(Inputs!$F$129*AD32/AD31*AD37/Inputs!$F$131+Inputs!$F$130*Inputs!$F$132)*Time!AD30/12,0)</f>
        <v>7964.94117647059</v>
      </c>
      <c r="AE63" s="15" t="n">
        <f aca="false">IF(AE31&gt;0,Inputs!$F$258*(Inputs!$F$129*AE32/AE31*AE37/Inputs!$F$131+Inputs!$F$130*Inputs!$F$132)*Time!AE30/12,0)</f>
        <v>7964.94117647059</v>
      </c>
      <c r="AF63" s="15" t="n">
        <f aca="false">IF(AF31&gt;0,Inputs!$F$258*(Inputs!$F$129*AF32/AF31*AF37/Inputs!$F$131+Inputs!$F$130*Inputs!$F$132)*Time!AF30/12,0)</f>
        <v>7964.94117647059</v>
      </c>
      <c r="AG63" s="15" t="n">
        <f aca="false">IF(AG31&gt;0,Inputs!$F$258*(Inputs!$F$129*AG32/AG31*AG37/Inputs!$F$131+Inputs!$F$130*Inputs!$F$132)*Time!AG30/12,0)</f>
        <v>7964.94117647059</v>
      </c>
      <c r="AH63" s="15" t="n">
        <f aca="false">IF(AH31&gt;0,Inputs!$F$258*(Inputs!$F$129*AH32/AH31*AH37/Inputs!$F$131+Inputs!$F$130*Inputs!$F$132)*Time!AH30/12,0)</f>
        <v>7964.94117647059</v>
      </c>
      <c r="AI63" s="15" t="n">
        <f aca="false">IF(AI31&gt;0,Inputs!$F$258*(Inputs!$F$129*AI32/AI31*AI37/Inputs!$F$131+Inputs!$F$130*Inputs!$F$132)*Time!AI30/12,0)</f>
        <v>7964.94117647059</v>
      </c>
      <c r="AJ63" s="15" t="n">
        <f aca="false">IF(AJ31&gt;0,Inputs!$F$258*(Inputs!$F$129*AJ32/AJ31*AJ37/Inputs!$F$131+Inputs!$F$130*Inputs!$F$132)*Time!AJ30/12,0)</f>
        <v>7964.94117647059</v>
      </c>
      <c r="AK63" s="15" t="n">
        <f aca="false">IF(AK31&gt;0,Inputs!$F$258*(Inputs!$F$129*AK32/AK31*AK37/Inputs!$F$131+Inputs!$F$130*Inputs!$F$132)*Time!AK30/12,0)</f>
        <v>7964.94117647059</v>
      </c>
      <c r="AL63" s="15" t="n">
        <f aca="false">IF(AL31&gt;0,Inputs!$F$258*(Inputs!$F$129*AL32/AL31*AL37/Inputs!$F$131+Inputs!$F$130*Inputs!$F$132)*Time!AL30/12,0)</f>
        <v>7964.94117647059</v>
      </c>
      <c r="AM63" s="15" t="n">
        <f aca="false">IF(AM31&gt;0,Inputs!$F$258*(Inputs!$F$129*AM32/AM31*AM37/Inputs!$F$131+Inputs!$F$130*Inputs!$F$132)*Time!AM30/12,0)</f>
        <v>7964.94117647059</v>
      </c>
      <c r="AN63" s="15" t="n">
        <f aca="false">IF(AN31&gt;0,Inputs!$F$258*(Inputs!$F$129*AN32/AN31*AN37/Inputs!$F$131+Inputs!$F$130*Inputs!$F$132)*Time!AN30/12,0)</f>
        <v>7964.94117647059</v>
      </c>
      <c r="AO63" s="15" t="n">
        <f aca="false">IF(AO31&gt;0,Inputs!$F$258*(Inputs!$F$129*AO32/AO31*AO37/Inputs!$F$131+Inputs!$F$130*Inputs!$F$132)*Time!AO30/12,0)</f>
        <v>7964.94117647059</v>
      </c>
      <c r="AP63" s="15" t="n">
        <f aca="false">IF(AP31&gt;0,Inputs!$F$258*(Inputs!$F$129*AP32/AP31*AP37/Inputs!$F$131+Inputs!$F$130*Inputs!$F$132)*Time!AP30/12,0)</f>
        <v>7964.94117647059</v>
      </c>
      <c r="AQ63" s="15" t="n">
        <f aca="false">IF(AQ31&gt;0,Inputs!$F$258*(Inputs!$F$129*AQ32/AQ31*AQ37/Inputs!$F$131+Inputs!$F$130*Inputs!$F$132)*Time!AQ30/12,0)</f>
        <v>7964.94117647059</v>
      </c>
      <c r="AR63" s="15" t="n">
        <f aca="false">IF(AR31&gt;0,Inputs!$F$258*(Inputs!$F$129*AR32/AR31*AR37/Inputs!$F$131+Inputs!$F$130*Inputs!$F$132)*Time!AR30/12,0)</f>
        <v>7964.94117647059</v>
      </c>
      <c r="AS63" s="15" t="n">
        <f aca="false">IF(AS31&gt;0,Inputs!$F$258*(Inputs!$F$129*AS32/AS31*AS37/Inputs!$F$131+Inputs!$F$130*Inputs!$F$132)*Time!AS30/12,0)</f>
        <v>7964.94117647059</v>
      </c>
      <c r="AT63" s="15" t="n">
        <f aca="false">IF(AT31&gt;0,Inputs!$F$258*(Inputs!$F$129*AT32/AT31*AT37/Inputs!$F$131+Inputs!$F$130*Inputs!$F$132)*Time!AT30/12,0)</f>
        <v>7964.94117647059</v>
      </c>
      <c r="AU63" s="15" t="n">
        <f aca="false">IF(AU31&gt;0,Inputs!$F$258*(Inputs!$F$129*AU32/AU31*AU37/Inputs!$F$131+Inputs!$F$130*Inputs!$F$132)*Time!AU30/12,0)</f>
        <v>7964.94117647059</v>
      </c>
      <c r="AV63" s="15" t="n">
        <f aca="false">IF(AV31&gt;0,Inputs!$F$258*(Inputs!$F$129*AV32/AV31*AV37/Inputs!$F$131+Inputs!$F$130*Inputs!$F$132)*Time!AV30/12,0)</f>
        <v>7964.94117647059</v>
      </c>
      <c r="AW63" s="15" t="n">
        <f aca="false">IF(AW31&gt;0,Inputs!$F$258*(Inputs!$F$129*AW32/AW31*AW37/Inputs!$F$131+Inputs!$F$130*Inputs!$F$132)*Time!AW30/12,0)</f>
        <v>7964.94117647059</v>
      </c>
      <c r="AX63" s="15" t="n">
        <f aca="false">IF(AX31&gt;0,Inputs!$F$258*(Inputs!$F$129*AX32/AX31*AX37/Inputs!$F$131+Inputs!$F$130*Inputs!$F$132)*Time!AX30/12,0)</f>
        <v>7964.94117647059</v>
      </c>
      <c r="AY63" s="15" t="n">
        <f aca="false">IF(AY31&gt;0,Inputs!$F$258*(Inputs!$F$129*AY32/AY31*AY37/Inputs!$F$131+Inputs!$F$130*Inputs!$F$132)*Time!AY30/12,0)</f>
        <v>7964.94117647059</v>
      </c>
      <c r="AZ63" s="15" t="n">
        <f aca="false">IF(AZ31&gt;0,Inputs!$F$258*(Inputs!$F$129*AZ32/AZ31*AZ37/Inputs!$F$131+Inputs!$F$130*Inputs!$F$132)*Time!AZ30/12,0)</f>
        <v>7964.94117647059</v>
      </c>
      <c r="BA63" s="15" t="n">
        <f aca="false">IF(BA31&gt;0,Inputs!$F$258*(Inputs!$F$129*BA32/BA31*BA37/Inputs!$F$131+Inputs!$F$130*Inputs!$F$132)*Time!BA30/12,0)</f>
        <v>7964.94117647059</v>
      </c>
      <c r="BB63" s="15" t="n">
        <f aca="false">IF(BB31&gt;0,Inputs!$F$258*(Inputs!$F$129*BB32/BB31*BB37/Inputs!$F$131+Inputs!$F$130*Inputs!$F$132)*Time!BB30/12,0)</f>
        <v>7964.94117647059</v>
      </c>
      <c r="BC63" s="15" t="n">
        <f aca="false">IF(BC31&gt;0,Inputs!$F$258*(Inputs!$F$129*BC32/BC31*BC37/Inputs!$F$131+Inputs!$F$130*Inputs!$F$132)*Time!BC30/12,0)</f>
        <v>7964.94117647059</v>
      </c>
      <c r="BD63" s="15" t="n">
        <f aca="false">IF(BD31&gt;0,Inputs!$F$258*(Inputs!$F$129*BD32/BD31*BD37/Inputs!$F$131+Inputs!$F$130*Inputs!$F$132)*Time!BD30/12,0)</f>
        <v>7964.94117647059</v>
      </c>
      <c r="BE63" s="15" t="n">
        <f aca="false">IF(BE31&gt;0,Inputs!$F$258*(Inputs!$F$129*BE32/BE31*BE37/Inputs!$F$131+Inputs!$F$130*Inputs!$F$132)*Time!BE30/12,0)</f>
        <v>7964.94117647059</v>
      </c>
      <c r="BF63" s="15" t="n">
        <f aca="false">IF(BF31&gt;0,Inputs!$F$258*(Inputs!$F$129*BF32/BF31*BF37/Inputs!$F$131+Inputs!$F$130*Inputs!$F$132)*Time!BF30/12,0)</f>
        <v>7964.94117647059</v>
      </c>
      <c r="BG63" s="15" t="n">
        <f aca="false">IF(BG31&gt;0,Inputs!$F$258*(Inputs!$F$129*BG32/BG31*BG37/Inputs!$F$131+Inputs!$F$130*Inputs!$F$132)*Time!BG30/12,0)</f>
        <v>7964.94117647059</v>
      </c>
      <c r="BH63" s="15" t="n">
        <f aca="false">IF(BH31&gt;0,Inputs!$F$258*(Inputs!$F$129*BH32/BH31*BH37/Inputs!$F$131+Inputs!$F$130*Inputs!$F$132)*Time!BH30/12,0)</f>
        <v>7964.94117647059</v>
      </c>
      <c r="BI63" s="15" t="n">
        <f aca="false">IF(BI31&gt;0,Inputs!$F$258*(Inputs!$F$129*BI32/BI31*BI37/Inputs!$F$131+Inputs!$F$130*Inputs!$F$132)*Time!BI30/12,0)</f>
        <v>7964.94117647059</v>
      </c>
      <c r="BJ63" s="15" t="n">
        <f aca="false">IF(BJ31&gt;0,Inputs!$F$258*(Inputs!$F$129*BJ32/BJ31*BJ37/Inputs!$F$131+Inputs!$F$130*Inputs!$F$132)*Time!BJ30/12,0)</f>
        <v>7964.94117647059</v>
      </c>
      <c r="BK63" s="15" t="n">
        <f aca="false">IF(BK31&gt;0,Inputs!$F$258*(Inputs!$F$129*BK32/BK31*BK37/Inputs!$F$131+Inputs!$F$130*Inputs!$F$132)*Time!BK30/12,0)</f>
        <v>7964.94117647059</v>
      </c>
      <c r="BL63" s="15" t="n">
        <f aca="false">IF(BL31&gt;0,Inputs!$F$258*(Inputs!$F$129*BL32/BL31*BL37/Inputs!$F$131+Inputs!$F$130*Inputs!$F$132)*Time!BL30/12,0)</f>
        <v>7964.94117647059</v>
      </c>
      <c r="BM63" s="15" t="n">
        <f aca="false">IF(BM31&gt;0,Inputs!$F$258*(Inputs!$F$129*BM32/BM31*BM37/Inputs!$F$131+Inputs!$F$130*Inputs!$F$132)*Time!BM30/12,0)</f>
        <v>5309.96078431373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273.557654851988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1.36989585230154</v>
      </c>
      <c r="P64" s="13" t="n">
        <f aca="false">P63*Inputs!$F$156*P21/1000000</f>
        <v>4.15464818189397</v>
      </c>
      <c r="Q64" s="13" t="n">
        <f aca="false">Q63*Inputs!$F$156*Q21/1000000</f>
        <v>4.20010068315651</v>
      </c>
      <c r="R64" s="13" t="n">
        <f aca="false">R63*Inputs!$F$156*R21/1000000</f>
        <v>4.24605044189564</v>
      </c>
      <c r="S64" s="13" t="n">
        <f aca="false">S63*Inputs!$F$156*S21/1000000</f>
        <v>4.29250289818596</v>
      </c>
      <c r="T64" s="13" t="n">
        <f aca="false">T63*Inputs!$F$156*T21/1000000</f>
        <v>4.33946355161734</v>
      </c>
      <c r="U64" s="13" t="n">
        <f aca="false">U63*Inputs!$F$156*U21/1000000</f>
        <v>4.38693796194605</v>
      </c>
      <c r="V64" s="13" t="n">
        <f aca="false">V63*Inputs!$F$156*V21/1000000</f>
        <v>4.43493174975292</v>
      </c>
      <c r="W64" s="13" t="n">
        <f aca="false">W63*Inputs!$F$156*W21/1000000</f>
        <v>4.48345059710886</v>
      </c>
      <c r="X64" s="13" t="n">
        <f aca="false">X63*Inputs!$F$156*X21/1000000</f>
        <v>4.53250024824749</v>
      </c>
      <c r="Y64" s="13" t="n">
        <f aca="false">Y63*Inputs!$F$156*Y21/1000000</f>
        <v>4.58208651024525</v>
      </c>
      <c r="Z64" s="13" t="n">
        <f aca="false">Z63*Inputs!$F$156*Z21/1000000</f>
        <v>4.63221525370893</v>
      </c>
      <c r="AA64" s="13" t="n">
        <f aca="false">AA63*Inputs!$F$156*AA21/1000000</f>
        <v>4.68289241347065</v>
      </c>
      <c r="AB64" s="13" t="n">
        <f aca="false">AB63*Inputs!$F$156*AB21/1000000</f>
        <v>4.73412398929053</v>
      </c>
      <c r="AC64" s="13" t="n">
        <f aca="false">AC63*Inputs!$F$156*AC21/1000000</f>
        <v>4.785916046567</v>
      </c>
      <c r="AD64" s="13" t="n">
        <f aca="false">AD63*Inputs!$F$156*AD21/1000000</f>
        <v>4.83827471705492</v>
      </c>
      <c r="AE64" s="13" t="n">
        <f aca="false">AE63*Inputs!$F$156*AE21/1000000</f>
        <v>4.89120619959147</v>
      </c>
      <c r="AF64" s="13" t="n">
        <f aca="false">AF63*Inputs!$F$156*AF21/1000000</f>
        <v>4.94471676083012</v>
      </c>
      <c r="AG64" s="13" t="n">
        <f aca="false">AG63*Inputs!$F$156*AG21/1000000</f>
        <v>4.99881273598248</v>
      </c>
      <c r="AH64" s="13" t="n">
        <f aca="false">AH63*Inputs!$F$156*AH21/1000000</f>
        <v>5.05350052956839</v>
      </c>
      <c r="AI64" s="13" t="n">
        <f aca="false">AI63*Inputs!$F$156*AI21/1000000</f>
        <v>5.1087866161741</v>
      </c>
      <c r="AJ64" s="13" t="n">
        <f aca="false">AJ63*Inputs!$F$156*AJ21/1000000</f>
        <v>5.16467754121889</v>
      </c>
      <c r="AK64" s="13" t="n">
        <f aca="false">AK63*Inputs!$F$156*AK21/1000000</f>
        <v>5.22117992172993</v>
      </c>
      <c r="AL64" s="13" t="n">
        <f aca="false">AL63*Inputs!$F$156*AL21/1000000</f>
        <v>5.2783004471257</v>
      </c>
      <c r="AM64" s="13" t="n">
        <f aca="false">AM63*Inputs!$F$156*AM21/1000000</f>
        <v>5.33604588000799</v>
      </c>
      <c r="AN64" s="13" t="n">
        <f aca="false">AN63*Inputs!$F$156*AN21/1000000</f>
        <v>5.39442305696247</v>
      </c>
      <c r="AO64" s="13" t="n">
        <f aca="false">AO63*Inputs!$F$156*AO21/1000000</f>
        <v>5.45343888936816</v>
      </c>
      <c r="AP64" s="13" t="n">
        <f aca="false">AP63*Inputs!$F$156*AP21/1000000</f>
        <v>5.51310036421564</v>
      </c>
      <c r="AQ64" s="13" t="n">
        <f aca="false">AQ63*Inputs!$F$156*AQ21/1000000</f>
        <v>5.57341454493426</v>
      </c>
      <c r="AR64" s="13" t="n">
        <f aca="false">AR63*Inputs!$F$156*AR21/1000000</f>
        <v>5.63438857222839</v>
      </c>
      <c r="AS64" s="13" t="n">
        <f aca="false">AS63*Inputs!$F$156*AS21/1000000</f>
        <v>5.69602966492281</v>
      </c>
      <c r="AT64" s="13" t="n">
        <f aca="false">AT63*Inputs!$F$156*AT21/1000000</f>
        <v>5.75834512081741</v>
      </c>
      <c r="AU64" s="13" t="n">
        <f aca="false">AU63*Inputs!$F$156*AU21/1000000</f>
        <v>5.82134231755112</v>
      </c>
      <c r="AV64" s="13" t="n">
        <f aca="false">AV63*Inputs!$F$156*AV21/1000000</f>
        <v>5.88502871347539</v>
      </c>
      <c r="AW64" s="13" t="n">
        <f aca="false">AW63*Inputs!$F$156*AW21/1000000</f>
        <v>5.94941184853724</v>
      </c>
      <c r="AX64" s="13" t="n">
        <f aca="false">AX63*Inputs!$F$156*AX21/1000000</f>
        <v>6.01449934517185</v>
      </c>
      <c r="AY64" s="13" t="n">
        <f aca="false">AY63*Inputs!$F$156*AY21/1000000</f>
        <v>6.08029890920505</v>
      </c>
      <c r="AZ64" s="13" t="n">
        <f aca="false">AZ63*Inputs!$F$156*AZ21/1000000</f>
        <v>6.14681833076563</v>
      </c>
      <c r="BA64" s="13" t="n">
        <f aca="false">BA63*Inputs!$F$156*BA21/1000000</f>
        <v>6.21406548520756</v>
      </c>
      <c r="BB64" s="13" t="n">
        <f aca="false">BB63*Inputs!$F$156*BB21/1000000</f>
        <v>6.28204833404247</v>
      </c>
      <c r="BC64" s="13" t="n">
        <f aca="false">BC63*Inputs!$F$156*BC21/1000000</f>
        <v>6.35077492588213</v>
      </c>
      <c r="BD64" s="13" t="n">
        <f aca="false">BD63*Inputs!$F$156*BD21/1000000</f>
        <v>6.4202533973914</v>
      </c>
      <c r="BE64" s="13" t="n">
        <f aca="false">BE63*Inputs!$F$156*BE21/1000000</f>
        <v>6.49049197425153</v>
      </c>
      <c r="BF64" s="13" t="n">
        <f aca="false">BF63*Inputs!$F$156*BF21/1000000</f>
        <v>6.56149897213401</v>
      </c>
      <c r="BG64" s="13" t="n">
        <f aca="false">BG63*Inputs!$F$156*BG21/1000000</f>
        <v>6.63328279768507</v>
      </c>
      <c r="BH64" s="13" t="n">
        <f aca="false">BH63*Inputs!$F$156*BH21/1000000</f>
        <v>6.70585194952096</v>
      </c>
      <c r="BI64" s="13" t="n">
        <f aca="false">BI63*Inputs!$F$156*BI21/1000000</f>
        <v>6.77921501923413</v>
      </c>
      <c r="BJ64" s="13" t="n">
        <f aca="false">BJ63*Inputs!$F$156*BJ21/1000000</f>
        <v>6.85338069241042</v>
      </c>
      <c r="BK64" s="13" t="n">
        <f aca="false">BK63*Inputs!$F$156*BK21/1000000</f>
        <v>6.92835774965729</v>
      </c>
      <c r="BL64" s="13" t="n">
        <f aca="false">BL63*Inputs!$F$156*BL21/1000000</f>
        <v>7.00415506764345</v>
      </c>
      <c r="BM64" s="13" t="n">
        <f aca="false">BM63*Inputs!$F$156*BM21/1000000</f>
        <v>4.72052108009983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20.8562353324401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0.123459169107681</v>
      </c>
      <c r="P68" s="13" t="n">
        <f aca="false">Inputs!$F$161/100*P55</f>
        <v>0.371969375957171</v>
      </c>
      <c r="Q68" s="13" t="n">
        <f aca="false">Inputs!$F$161/100*Q55</f>
        <v>0.373440883263573</v>
      </c>
      <c r="R68" s="13" t="n">
        <f aca="false">Inputs!$F$161/100*R55</f>
        <v>0.374798085886182</v>
      </c>
      <c r="S68" s="13" t="n">
        <f aca="false">Inputs!$F$161/100*S55</f>
        <v>0.376557934569067</v>
      </c>
      <c r="T68" s="13" t="n">
        <f aca="false">Inputs!$F$161/100*T55</f>
        <v>0.378469441534939</v>
      </c>
      <c r="U68" s="13" t="n">
        <f aca="false">Inputs!$F$161/100*U55</f>
        <v>0.379665949178516</v>
      </c>
      <c r="V68" s="13" t="n">
        <f aca="false">Inputs!$F$161/100*V55</f>
        <v>0.380393594943079</v>
      </c>
      <c r="W68" s="13" t="n">
        <f aca="false">Inputs!$F$161/100*W55</f>
        <v>0.382565927057867</v>
      </c>
      <c r="X68" s="13" t="n">
        <f aca="false">Inputs!$F$161/100*X55</f>
        <v>0.385253148649823</v>
      </c>
      <c r="Y68" s="13" t="n">
        <f aca="false">Inputs!$F$161/100*Y55</f>
        <v>0.386856491674213</v>
      </c>
      <c r="Z68" s="13" t="n">
        <f aca="false">Inputs!$F$161/100*Z55</f>
        <v>0.388335967070165</v>
      </c>
      <c r="AA68" s="13" t="n">
        <f aca="false">Inputs!$F$161/100*AA55</f>
        <v>0.39025214987965</v>
      </c>
      <c r="AB68" s="13" t="n">
        <f aca="false">Inputs!$F$161/100*AB55</f>
        <v>0.392332869821666</v>
      </c>
      <c r="AC68" s="13" t="n">
        <f aca="false">Inputs!$F$161/100*AC55</f>
        <v>0.39333422329784</v>
      </c>
      <c r="AD68" s="13" t="n">
        <f aca="false">Inputs!$F$161/100*AD55</f>
        <v>0.388451248982535</v>
      </c>
      <c r="AE68" s="13" t="n">
        <f aca="false">Inputs!$F$161/100*AE55</f>
        <v>0.396178617044166</v>
      </c>
      <c r="AF68" s="13" t="n">
        <f aca="false">Inputs!$F$161/100*AF55</f>
        <v>0.399721517051335</v>
      </c>
      <c r="AG68" s="13" t="n">
        <f aca="false">Inputs!$F$161/100*AG55</f>
        <v>0.401468504558516</v>
      </c>
      <c r="AH68" s="13" t="n">
        <f aca="false">Inputs!$F$161/100*AH55</f>
        <v>0.403081267504894</v>
      </c>
      <c r="AI68" s="13" t="n">
        <f aca="false">Inputs!$F$161/100*AI55</f>
        <v>0.40516766434551</v>
      </c>
      <c r="AJ68" s="13" t="n">
        <f aca="false">Inputs!$F$161/100*AJ55</f>
        <v>0.407432565334204</v>
      </c>
      <c r="AK68" s="13" t="n">
        <f aca="false">Inputs!$F$161/100*AK55</f>
        <v>0.408856934511424</v>
      </c>
      <c r="AL68" s="13" t="n">
        <f aca="false">Inputs!$F$161/100*AL55</f>
        <v>0.409730208328479</v>
      </c>
      <c r="AM68" s="13" t="n">
        <f aca="false">Inputs!$F$161/100*AM55</f>
        <v>0.412302351934841</v>
      </c>
      <c r="AN68" s="13" t="n">
        <f aca="false">Inputs!$F$161/100*AN55</f>
        <v>0.415480077198038</v>
      </c>
      <c r="AO68" s="13" t="n">
        <f aca="false">Inputs!$F$161/100*AO55</f>
        <v>0.417383575436076</v>
      </c>
      <c r="AP68" s="13" t="n">
        <f aca="false">Inputs!$F$161/100*AP55</f>
        <v>0.419141632870128</v>
      </c>
      <c r="AQ68" s="13" t="n">
        <f aca="false">Inputs!$F$161/100*AQ55</f>
        <v>0.421413355222533</v>
      </c>
      <c r="AR68" s="13" t="n">
        <f aca="false">Inputs!$F$161/100*AR55</f>
        <v>0.423878728309906</v>
      </c>
      <c r="AS68" s="13" t="n">
        <f aca="false">Inputs!$F$161/100*AS55</f>
        <v>0.425075250647118</v>
      </c>
      <c r="AT68" s="13" t="n">
        <f aca="false">Inputs!$F$161/100*AT55</f>
        <v>0.419893263365305</v>
      </c>
      <c r="AU68" s="13" t="n">
        <f aca="false">Inputs!$F$161/100*AU55</f>
        <v>0.428458547076703</v>
      </c>
      <c r="AV68" s="13" t="n">
        <f aca="false">Inputs!$F$161/100*AV55</f>
        <v>0.432643834198655</v>
      </c>
      <c r="AW68" s="13" t="n">
        <f aca="false">Inputs!$F$161/100*AW55</f>
        <v>0.43471786157424</v>
      </c>
      <c r="AX68" s="13" t="n">
        <f aca="false">Inputs!$F$161/100*AX55</f>
        <v>0.436634301954209</v>
      </c>
      <c r="AY68" s="13" t="n">
        <f aca="false">Inputs!$F$161/100*AY55</f>
        <v>0.439107802085869</v>
      </c>
      <c r="AZ68" s="13" t="n">
        <f aca="false">Inputs!$F$161/100*AZ55</f>
        <v>0.44179137814154</v>
      </c>
      <c r="BA68" s="13" t="n">
        <f aca="false">Inputs!$F$161/100*BA55</f>
        <v>0.443487002449943</v>
      </c>
      <c r="BB68" s="13" t="n">
        <f aca="false">Inputs!$F$161/100*BB55</f>
        <v>0.444534977381069</v>
      </c>
      <c r="BC68" s="13" t="n">
        <f aca="false">Inputs!$F$161/100*BC55</f>
        <v>0.44758043533048</v>
      </c>
      <c r="BD68" s="13" t="n">
        <f aca="false">Inputs!$F$161/100*BD55</f>
        <v>0.451338040265691</v>
      </c>
      <c r="BE68" s="13" t="n">
        <f aca="false">Inputs!$F$161/100*BE55</f>
        <v>0.453597870493555</v>
      </c>
      <c r="BF68" s="13" t="n">
        <f aca="false">Inputs!$F$161/100*BF55</f>
        <v>0.455686961207202</v>
      </c>
      <c r="BG68" s="13" t="n">
        <f aca="false">Inputs!$F$161/100*BG55</f>
        <v>0.458380151061027</v>
      </c>
      <c r="BH68" s="13" t="n">
        <f aca="false">Inputs!$F$161/100*BH55</f>
        <v>0.461301227917328</v>
      </c>
      <c r="BI68" s="13" t="n">
        <f aca="false">Inputs!$F$161/100*BI55</f>
        <v>0.46273093601567</v>
      </c>
      <c r="BJ68" s="13" t="n">
        <f aca="false">Inputs!$F$161/100*BJ55</f>
        <v>0.457196275825816</v>
      </c>
      <c r="BK68" s="13" t="n">
        <f aca="false">Inputs!$F$161/100*BK55</f>
        <v>0.466755234950961</v>
      </c>
      <c r="BL68" s="13" t="n">
        <f aca="false">Inputs!$F$161/100*BL55</f>
        <v>0.471699107353912</v>
      </c>
      <c r="BM68" s="13" t="n">
        <f aca="false">Inputs!$F$161/100*BM55</f>
        <v>0.316251412619746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126.936751724505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0.657510652780899</v>
      </c>
      <c r="P69" s="13" t="n">
        <f aca="false">Inputs!$F$162*(Inputs!$F$219*P21+(1-Inputs!$F$219)*P27*Inputs!$F$153/P11)*P38/1000000</f>
        <v>1.99311458611368</v>
      </c>
      <c r="Q69" s="13" t="n">
        <f aca="false">Inputs!$F$162*(Inputs!$F$219*Q21+(1-Inputs!$F$219)*Q27*Inputs!$F$153/Q11)*Q38/1000000</f>
        <v>2.00696796740724</v>
      </c>
      <c r="R69" s="13" t="n">
        <f aca="false">Inputs!$F$162*(Inputs!$F$219*R21+(1-Inputs!$F$219)*R27*Inputs!$F$153/R11)*R38/1000000</f>
        <v>2.01439066433256</v>
      </c>
      <c r="S69" s="13" t="n">
        <f aca="false">Inputs!$F$162*(Inputs!$F$219*S21+(1-Inputs!$F$219)*S27*Inputs!$F$153/S11)*S38/1000000</f>
        <v>2.04146909209134</v>
      </c>
      <c r="T69" s="13" t="n">
        <f aca="false">Inputs!$F$162*(Inputs!$F$219*T21+(1-Inputs!$F$219)*T27*Inputs!$F$153/T11)*T38/1000000</f>
        <v>2.07552706070461</v>
      </c>
      <c r="U69" s="13" t="n">
        <f aca="false">Inputs!$F$162*(Inputs!$F$219*U21+(1-Inputs!$F$219)*U27*Inputs!$F$153/U11)*U38/1000000</f>
        <v>2.07281170086037</v>
      </c>
      <c r="V69" s="13" t="n">
        <f aca="false">Inputs!$F$162*(Inputs!$F$219*V21+(1-Inputs!$F$219)*V27*Inputs!$F$153/V11)*V38/1000000</f>
        <v>2.04573959402962</v>
      </c>
      <c r="W69" s="13" t="n">
        <f aca="false">Inputs!$F$162*(Inputs!$F$219*W21+(1-Inputs!$F$219)*W27*Inputs!$F$153/W11)*W38/1000000</f>
        <v>2.09089159978469</v>
      </c>
      <c r="X69" s="13" t="n">
        <f aca="false">Inputs!$F$162*(Inputs!$F$219*X21+(1-Inputs!$F$219)*X27*Inputs!$F$153/X11)*X38/1000000</f>
        <v>2.16132758086073</v>
      </c>
      <c r="Y69" s="13" t="n">
        <f aca="false">Inputs!$F$162*(Inputs!$F$219*Y21+(1-Inputs!$F$219)*Y27*Inputs!$F$153/Y11)*Y38/1000000</f>
        <v>2.17634027422594</v>
      </c>
      <c r="Z69" s="13" t="n">
        <f aca="false">Inputs!$F$162*(Inputs!$F$219*Z21+(1-Inputs!$F$219)*Z27*Inputs!$F$153/Z11)*Z38/1000000</f>
        <v>2.18437946450087</v>
      </c>
      <c r="AA69" s="13" t="n">
        <f aca="false">Inputs!$F$162*(Inputs!$F$219*AA21+(1-Inputs!$F$219)*AA27*Inputs!$F$153/AA11)*AA38/1000000</f>
        <v>2.21373289271945</v>
      </c>
      <c r="AB69" s="13" t="n">
        <f aca="false">Inputs!$F$162*(Inputs!$F$219*AB21+(1-Inputs!$F$219)*AB27*Inputs!$F$153/AB11)*AB38/1000000</f>
        <v>2.25065449425134</v>
      </c>
      <c r="AC69" s="13" t="n">
        <f aca="false">Inputs!$F$162*(Inputs!$F$219*AC21+(1-Inputs!$F$219)*AC27*Inputs!$F$153/AC11)*AC38/1000000</f>
        <v>2.23234882876565</v>
      </c>
      <c r="AD69" s="13" t="n">
        <f aca="false">Inputs!$F$162*(Inputs!$F$219*AD21+(1-Inputs!$F$219)*AD27*Inputs!$F$153/AD11)*AD38/1000000</f>
        <v>2.17181203743334</v>
      </c>
      <c r="AE69" s="13" t="n">
        <f aca="false">Inputs!$F$162*(Inputs!$F$219*AE21+(1-Inputs!$F$219)*AE27*Inputs!$F$153/AE11)*AE38/1000000</f>
        <v>2.235954615686</v>
      </c>
      <c r="AF69" s="13" t="n">
        <f aca="false">Inputs!$F$162*(Inputs!$F$219*AF21+(1-Inputs!$F$219)*AF27*Inputs!$F$153/AF11)*AF38/1000000</f>
        <v>2.34365175270766</v>
      </c>
      <c r="AG69" s="13" t="n">
        <f aca="false">Inputs!$F$162*(Inputs!$F$219*AG21+(1-Inputs!$F$219)*AG27*Inputs!$F$153/AG11)*AG38/1000000</f>
        <v>2.35992004382976</v>
      </c>
      <c r="AH69" s="13" t="n">
        <f aca="false">Inputs!$F$162*(Inputs!$F$219*AH21+(1-Inputs!$F$219)*AH27*Inputs!$F$153/AH11)*AH38/1000000</f>
        <v>2.36862646814123</v>
      </c>
      <c r="AI69" s="13" t="n">
        <f aca="false">Inputs!$F$162*(Inputs!$F$219*AI21+(1-Inputs!$F$219)*AI27*Inputs!$F$153/AI11)*AI38/1000000</f>
        <v>2.40044473048063</v>
      </c>
      <c r="AJ69" s="13" t="n">
        <f aca="false">Inputs!$F$162*(Inputs!$F$219*AJ21+(1-Inputs!$F$219)*AJ27*Inputs!$F$153/AJ11)*AJ38/1000000</f>
        <v>2.44046913704791</v>
      </c>
      <c r="AK69" s="13" t="n">
        <f aca="false">Inputs!$F$162*(Inputs!$F$219*AK21+(1-Inputs!$F$219)*AK27*Inputs!$F$153/AK11)*AK38/1000000</f>
        <v>2.43725395107643</v>
      </c>
      <c r="AL69" s="13" t="n">
        <f aca="false">Inputs!$F$162*(Inputs!$F$219*AL21+(1-Inputs!$F$219)*AL27*Inputs!$F$153/AL11)*AL38/1000000</f>
        <v>2.40539989735495</v>
      </c>
      <c r="AM69" s="13" t="n">
        <f aca="false">Inputs!$F$162*(Inputs!$F$219*AM21+(1-Inputs!$F$219)*AM27*Inputs!$F$153/AM11)*AM38/1000000</f>
        <v>2.45846740634832</v>
      </c>
      <c r="AN69" s="13" t="n">
        <f aca="false">Inputs!$F$162*(Inputs!$F$219*AN21+(1-Inputs!$F$219)*AN27*Inputs!$F$153/AN11)*AN38/1000000</f>
        <v>2.54126249081497</v>
      </c>
      <c r="AO69" s="13" t="n">
        <f aca="false">Inputs!$F$162*(Inputs!$F$219*AO21+(1-Inputs!$F$219)*AO27*Inputs!$F$153/AO11)*AO38/1000000</f>
        <v>2.558890590087</v>
      </c>
      <c r="AP69" s="13" t="n">
        <f aca="false">Inputs!$F$162*(Inputs!$F$219*AP21+(1-Inputs!$F$219)*AP27*Inputs!$F$153/AP11)*AP38/1000000</f>
        <v>2.56831911931385</v>
      </c>
      <c r="AQ69" s="13" t="n">
        <f aca="false">Inputs!$F$162*(Inputs!$F$219*AQ21+(1-Inputs!$F$219)*AQ27*Inputs!$F$153/AQ11)*AQ38/1000000</f>
        <v>2.60280776170444</v>
      </c>
      <c r="AR69" s="13" t="n">
        <f aca="false">Inputs!$F$162*(Inputs!$F$219*AR21+(1-Inputs!$F$219)*AR27*Inputs!$F$153/AR11)*AR38/1000000</f>
        <v>2.64619396327463</v>
      </c>
      <c r="AS69" s="13" t="n">
        <f aca="false">Inputs!$F$162*(Inputs!$F$219*AS21+(1-Inputs!$F$219)*AS27*Inputs!$F$153/AS11)*AS38/1000000</f>
        <v>2.62464678600981</v>
      </c>
      <c r="AT69" s="13" t="n">
        <f aca="false">Inputs!$F$162*(Inputs!$F$219*AT21+(1-Inputs!$F$219)*AT27*Inputs!$F$153/AT11)*AT38/1000000</f>
        <v>2.55344789476249</v>
      </c>
      <c r="AU69" s="13" t="n">
        <f aca="false">Inputs!$F$162*(Inputs!$F$219*AU21+(1-Inputs!$F$219)*AU27*Inputs!$F$153/AU11)*AU38/1000000</f>
        <v>2.62883724499162</v>
      </c>
      <c r="AV69" s="13" t="n">
        <f aca="false">Inputs!$F$162*(Inputs!$F$219*AV21+(1-Inputs!$F$219)*AV27*Inputs!$F$153/AV11)*AV38/1000000</f>
        <v>2.75543226203586</v>
      </c>
      <c r="AW69" s="13" t="n">
        <f aca="false">Inputs!$F$162*(Inputs!$F$219*AW21+(1-Inputs!$F$219)*AW27*Inputs!$F$153/AW11)*AW38/1000000</f>
        <v>2.77453294960251</v>
      </c>
      <c r="AX69" s="13" t="n">
        <f aca="false">Inputs!$F$162*(Inputs!$F$219*AX21+(1-Inputs!$F$219)*AX27*Inputs!$F$153/AX11)*AX38/1000000</f>
        <v>2.78474291637843</v>
      </c>
      <c r="AY69" s="13" t="n">
        <f aca="false">Inputs!$F$162*(Inputs!$F$219*AY21+(1-Inputs!$F$219)*AY27*Inputs!$F$153/AY11)*AY38/1000000</f>
        <v>2.82212448480602</v>
      </c>
      <c r="AZ69" s="13" t="n">
        <f aca="false">Inputs!$F$162*(Inputs!$F$219*AZ21+(1-Inputs!$F$219)*AZ27*Inputs!$F$153/AZ11)*AZ38/1000000</f>
        <v>2.86915291566829</v>
      </c>
      <c r="BA69" s="13" t="n">
        <f aca="false">Inputs!$F$162*(Inputs!$F$219*BA21+(1-Inputs!$F$219)*BA27*Inputs!$F$153/BA11)*BA38/1000000</f>
        <v>2.86534599951522</v>
      </c>
      <c r="BB69" s="13" t="n">
        <f aca="false">Inputs!$F$162*(Inputs!$F$219*BB21+(1-Inputs!$F$219)*BB27*Inputs!$F$153/BB11)*BB38/1000000</f>
        <v>2.82787028224047</v>
      </c>
      <c r="BC69" s="13" t="n">
        <f aca="false">Inputs!$F$162*(Inputs!$F$219*BC21+(1-Inputs!$F$219)*BC27*Inputs!$F$153/BC11)*BC38/1000000</f>
        <v>2.89023097818088</v>
      </c>
      <c r="BD69" s="13" t="n">
        <f aca="false">Inputs!$F$162*(Inputs!$F$219*BD21+(1-Inputs!$F$219)*BD27*Inputs!$F$153/BD11)*BD38/1000000</f>
        <v>2.98753854670635</v>
      </c>
      <c r="BE69" s="13" t="n">
        <f aca="false">Inputs!$F$162*(Inputs!$F$219*BE21+(1-Inputs!$F$219)*BE27*Inputs!$F$153/BE11)*BE38/1000000</f>
        <v>3.00823386928932</v>
      </c>
      <c r="BF69" s="13" t="n">
        <f aca="false">Inputs!$F$162*(Inputs!$F$219*BF21+(1-Inputs!$F$219)*BF27*Inputs!$F$153/BF11)*BF38/1000000</f>
        <v>3.01928942571288</v>
      </c>
      <c r="BG69" s="13" t="n">
        <f aca="false">Inputs!$F$162*(Inputs!$F$219*BG21+(1-Inputs!$F$219)*BG27*Inputs!$F$153/BG11)*BG38/1000000</f>
        <v>3.05980485828365</v>
      </c>
      <c r="BH69" s="13" t="n">
        <f aca="false">Inputs!$F$162*(Inputs!$F$219*BH21+(1-Inputs!$F$219)*BH27*Inputs!$F$153/BH11)*BH38/1000000</f>
        <v>3.11077915544459</v>
      </c>
      <c r="BI69" s="13" t="n">
        <f aca="false">Inputs!$F$162*(Inputs!$F$219*BI21+(1-Inputs!$F$219)*BI27*Inputs!$F$153/BI11)*BI38/1000000</f>
        <v>3.08541960500265</v>
      </c>
      <c r="BJ69" s="13" t="n">
        <f aca="false">Inputs!$F$162*(Inputs!$F$219*BJ21+(1-Inputs!$F$219)*BJ27*Inputs!$F$153/BJ11)*BJ38/1000000</f>
        <v>3.0016926728138</v>
      </c>
      <c r="BK69" s="13" t="n">
        <f aca="false">Inputs!$F$162*(Inputs!$F$219*BK21+(1-Inputs!$F$219)*BK27*Inputs!$F$153/BK11)*BK38/1000000</f>
        <v>3.0902867092867</v>
      </c>
      <c r="BL69" s="13" t="n">
        <f aca="false">Inputs!$F$162*(Inputs!$F$219*BL21+(1-Inputs!$F$219)*BL27*Inputs!$F$153/BL11)*BL38/1000000</f>
        <v>3.23907241494402</v>
      </c>
      <c r="BM69" s="13" t="n">
        <f aca="false">Inputs!$F$162*(Inputs!$F$219*BM21+(1-Inputs!$F$219)*BM27*Inputs!$F$153/BM11)*BM38/1000000</f>
        <v>2.18158933409907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1103.78763294597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5.63492172762648</v>
      </c>
      <c r="P72" s="13" t="n">
        <f aca="false">P60+P61+P62+P64+P65+P66+P67+P68+P69+P70+P71</f>
        <v>17.083151227781</v>
      </c>
      <c r="Q72" s="13" t="n">
        <f aca="false">Q60+Q61+Q62+Q64+Q65+Q66+Q67+Q68+Q69+Q70+Q71</f>
        <v>17.2238458101386</v>
      </c>
      <c r="R72" s="13" t="n">
        <f aca="false">R60+R61+R62+R64+R65+R66+R67+R68+R69+R70+R71</f>
        <v>17.3261039115629</v>
      </c>
      <c r="S72" s="13" t="n">
        <f aca="false">S60+S61+S62+S64+S65+S66+S67+S68+S69+S70+S71</f>
        <v>17.5485238973743</v>
      </c>
      <c r="T72" s="13" t="n">
        <f aca="false">T60+T61+T62+T64+T65+T66+T67+T68+T69+T70+T71</f>
        <v>17.8141877396976</v>
      </c>
      <c r="U72" s="13" t="n">
        <f aca="false">U60+U61+U62+U64+U65+U66+U67+U68+U69+U70+U71</f>
        <v>17.8567296411035</v>
      </c>
      <c r="V72" s="13" t="n">
        <f aca="false">V60+V61+V62+V64+V65+V66+V67+V68+V69+V70+V71</f>
        <v>17.7513982594743</v>
      </c>
      <c r="W72" s="13" t="n">
        <f aca="false">W60+W61+W62+W64+W65+W66+W67+W68+W69+W70+W71</f>
        <v>18.0868301376703</v>
      </c>
      <c r="X72" s="13" t="n">
        <f aca="false">X60+X61+X62+X64+X65+X66+X67+X68+X69+X70+X71</f>
        <v>18.5774601814756</v>
      </c>
      <c r="Y72" s="13" t="n">
        <f aca="false">Y60+Y61+Y62+Y64+Y65+Y66+Y67+Y68+Y69+Y70+Y71</f>
        <v>18.7308478873788</v>
      </c>
      <c r="Z72" s="13" t="n">
        <f aca="false">Z60+Z61+Z62+Z64+Z65+Z66+Z67+Z68+Z69+Z70+Z71</f>
        <v>18.8423463007108</v>
      </c>
      <c r="AA72" s="13" t="n">
        <f aca="false">AA60+AA61+AA62+AA64+AA65+AA66+AA67+AA68+AA69+AA70+AA71</f>
        <v>19.084803263197</v>
      </c>
      <c r="AB72" s="13" t="n">
        <f aca="false">AB60+AB61+AB62+AB64+AB65+AB66+AB67+AB68+AB69+AB70+AB71</f>
        <v>19.3743899250793</v>
      </c>
      <c r="AC72" s="13" t="n">
        <f aca="false">AC60+AC61+AC62+AC64+AC65+AC66+AC67+AC68+AC69+AC70+AC71</f>
        <v>19.3268505201246</v>
      </c>
      <c r="AD72" s="13" t="n">
        <f aca="false">AD60+AD61+AD62+AD64+AD65+AD66+AD67+AD68+AD69+AD70+AD71</f>
        <v>19.0535809077596</v>
      </c>
      <c r="AE72" s="13" t="n">
        <f aca="false">AE60+AE61+AE62+AE64+AE65+AE66+AE67+AE68+AE69+AE70+AE71</f>
        <v>19.4796918115525</v>
      </c>
      <c r="AF72" s="13" t="n">
        <f aca="false">AF60+AF61+AF62+AF64+AF65+AF66+AF67+AF68+AF69+AF70+AF71</f>
        <v>20.2064610097891</v>
      </c>
      <c r="AG72" s="13" t="n">
        <f aca="false">AG60+AG61+AG62+AG64+AG65+AG66+AG67+AG68+AG69+AG70+AG71</f>
        <v>20.3736869071959</v>
      </c>
      <c r="AH72" s="13" t="n">
        <f aca="false">AH60+AH61+AH62+AH64+AH65+AH66+AH67+AH68+AH69+AH70+AH71</f>
        <v>20.495260576507</v>
      </c>
      <c r="AI72" s="13" t="n">
        <f aca="false">AI60+AI61+AI62+AI64+AI65+AI66+AI67+AI68+AI69+AI70+AI71</f>
        <v>20.7595594065057</v>
      </c>
      <c r="AJ72" s="13" t="n">
        <f aca="false">AJ60+AJ61+AJ62+AJ64+AJ65+AJ66+AJ67+AJ68+AJ69+AJ70+AJ71</f>
        <v>21.0752229049397</v>
      </c>
      <c r="AK72" s="13" t="n">
        <f aca="false">AK60+AK61+AK62+AK64+AK65+AK66+AK67+AK68+AK69+AK70+AK71</f>
        <v>21.1258716539799</v>
      </c>
      <c r="AL72" s="13" t="n">
        <f aca="false">AL60+AL61+AL62+AL64+AL65+AL66+AL67+AL68+AL69+AL70+AL71</f>
        <v>21.0008834075236</v>
      </c>
      <c r="AM72" s="13" t="n">
        <f aca="false">AM60+AM61+AM62+AM64+AM65+AM66+AM67+AM68+AM69+AM70+AM71</f>
        <v>21.399418564436</v>
      </c>
      <c r="AN72" s="13" t="n">
        <f aca="false">AN60+AN61+AN62+AN64+AN65+AN66+AN67+AN68+AN69+AN70+AN71</f>
        <v>21.9822933944452</v>
      </c>
      <c r="AO72" s="13" t="n">
        <f aca="false">AO60+AO61+AO62+AO64+AO65+AO66+AO67+AO68+AO69+AO70+AO71</f>
        <v>22.1646058429543</v>
      </c>
      <c r="AP72" s="13" t="n">
        <f aca="false">AP60+AP61+AP62+AP64+AP65+AP66+AP67+AP68+AP69+AP70+AP71</f>
        <v>22.297165153718</v>
      </c>
      <c r="AQ72" s="13" t="n">
        <f aca="false">AQ60+AQ61+AQ62+AQ64+AQ65+AQ66+AQ67+AQ68+AQ69+AQ70+AQ71</f>
        <v>22.5852733079035</v>
      </c>
      <c r="AR72" s="13" t="n">
        <f aca="false">AR60+AR61+AR62+AR64+AR65+AR66+AR67+AR68+AR69+AR70+AR71</f>
        <v>22.9293615884797</v>
      </c>
      <c r="AS72" s="13" t="n">
        <f aca="false">AS60+AS61+AS62+AS64+AS65+AS66+AS67+AS68+AS69+AS70+AS71</f>
        <v>22.8730261848306</v>
      </c>
      <c r="AT72" s="13" t="n">
        <f aca="false">AT60+AT61+AT62+AT64+AT65+AT66+AT67+AT68+AT69+AT70+AT71</f>
        <v>22.5492696981145</v>
      </c>
      <c r="AU72" s="13" t="n">
        <f aca="false">AU60+AU61+AU62+AU64+AU65+AU66+AU67+AU68+AU69+AU70+AU71</f>
        <v>23.0548295133193</v>
      </c>
      <c r="AV72" s="13" t="n">
        <f aca="false">AV60+AV61+AV62+AV64+AV65+AV66+AV67+AV68+AV69+AV70+AV71</f>
        <v>23.9181910679192</v>
      </c>
      <c r="AW72" s="13" t="n">
        <f aca="false">AW60+AW61+AW62+AW64+AW65+AW66+AW67+AW68+AW69+AW70+AW71</f>
        <v>24.116951035634</v>
      </c>
      <c r="AX72" s="13" t="n">
        <f aca="false">AX60+AX61+AX62+AX64+AX65+AX66+AX67+AX68+AX69+AX70+AX71</f>
        <v>24.2614886309439</v>
      </c>
      <c r="AY72" s="13" t="n">
        <f aca="false">AY60+AY61+AY62+AY64+AY65+AY66+AY67+AY68+AY69+AY70+AY71</f>
        <v>24.5755507726819</v>
      </c>
      <c r="AZ72" s="13" t="n">
        <f aca="false">AZ60+AZ61+AZ62+AZ64+AZ65+AZ66+AZ67+AZ68+AZ69+AZ70+AZ71</f>
        <v>24.9506231673949</v>
      </c>
      <c r="BA72" s="13" t="n">
        <f aca="false">BA60+BA61+BA62+BA64+BA65+BA66+BA67+BA68+BA69+BA70+BA71</f>
        <v>25.0109236102531</v>
      </c>
      <c r="BB72" s="13" t="n">
        <f aca="false">BB60+BB61+BB62+BB64+BB65+BB66+BB67+BB68+BB69+BB70+BB71</f>
        <v>24.8626114735755</v>
      </c>
      <c r="BC72" s="13" t="n">
        <f aca="false">BC60+BC61+BC62+BC64+BC65+BC66+BC67+BC68+BC69+BC70+BC71</f>
        <v>25.3361198477152</v>
      </c>
      <c r="BD72" s="13" t="n">
        <f aca="false">BD60+BD61+BD62+BD64+BD65+BD66+BD67+BD68+BD69+BD70+BD71</f>
        <v>26.0285804030696</v>
      </c>
      <c r="BE72" s="13" t="n">
        <f aca="false">BE60+BE61+BE62+BE64+BE65+BE66+BE67+BE68+BE69+BE70+BE71</f>
        <v>26.2452716237827</v>
      </c>
      <c r="BF72" s="13" t="n">
        <f aca="false">BF60+BF61+BF62+BF64+BF65+BF66+BF67+BF68+BF69+BF70+BF71</f>
        <v>26.4028698363972</v>
      </c>
      <c r="BG72" s="13" t="n">
        <f aca="false">BG60+BG61+BG62+BG64+BG65+BG66+BG67+BG68+BG69+BG70+BG71</f>
        <v>26.7452237950431</v>
      </c>
      <c r="BH72" s="13" t="n">
        <f aca="false">BH60+BH61+BH62+BH64+BH65+BH66+BH67+BH68+BH69+BH70+BH71</f>
        <v>27.1540700515148</v>
      </c>
      <c r="BI72" s="13" t="n">
        <f aca="false">BI60+BI61+BI62+BI64+BI65+BI66+BI67+BI68+BI69+BI70+BI71</f>
        <v>27.0873124215109</v>
      </c>
      <c r="BJ72" s="13" t="n">
        <f aca="false">BJ60+BJ61+BJ62+BJ64+BJ65+BJ66+BJ67+BJ68+BJ69+BJ70+BJ71</f>
        <v>26.7036330439263</v>
      </c>
      <c r="BK72" s="13" t="n">
        <f aca="false">BK60+BK61+BK62+BK64+BK65+BK66+BK67+BK68+BK69+BK70+BK71</f>
        <v>27.3035657606896</v>
      </c>
      <c r="BL72" s="13" t="n">
        <f aca="false">BL60+BL61+BL62+BL64+BL65+BL66+BL67+BL68+BL69+BL70+BL71</f>
        <v>28.3291878863489</v>
      </c>
      <c r="BM72" s="13" t="n">
        <f aca="false">BM60+BM61+BM62+BM64+BM65+BM66+BM67+BM68+BM69+BM70+BM71</f>
        <v>19.0876062532221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4602.87402428052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24.2173955896</v>
      </c>
      <c r="P73" s="13" t="n">
        <f aca="false">P42*P41/1000000</f>
        <v>72.644899572196</v>
      </c>
      <c r="Q73" s="13" t="n">
        <f aca="false">Q42*Q41/1000000</f>
        <v>73.8496418500094</v>
      </c>
      <c r="R73" s="13" t="n">
        <f aca="false">R42*R41/1000000</f>
        <v>73.3645768680095</v>
      </c>
      <c r="S73" s="13" t="n">
        <f aca="false">S42*S41/1000000</f>
        <v>75.0620301971261</v>
      </c>
      <c r="T73" s="13" t="n">
        <f aca="false">T42*T41/1000000</f>
        <v>75.5336289693357</v>
      </c>
      <c r="U73" s="13" t="n">
        <f aca="false">U42*U41/1000000</f>
        <v>76.1563763613696</v>
      </c>
      <c r="V73" s="13" t="n">
        <f aca="false">V42*V41/1000000</f>
        <v>74.3928013716743</v>
      </c>
      <c r="W73" s="13" t="n">
        <f aca="false">W42*W41/1000000</f>
        <v>76.7619925036953</v>
      </c>
      <c r="X73" s="13" t="n">
        <f aca="false">X42*X41/1000000</f>
        <v>78.5360671428393</v>
      </c>
      <c r="Y73" s="13" t="n">
        <f aca="false">Y42*Y41/1000000</f>
        <v>79.8379178462549</v>
      </c>
      <c r="Z73" s="13" t="n">
        <f aca="false">Z42*Z41/1000000</f>
        <v>79.3129331773918</v>
      </c>
      <c r="AA73" s="13" t="n">
        <f aca="false">AA42*AA41/1000000</f>
        <v>81.1474141320701</v>
      </c>
      <c r="AB73" s="13" t="n">
        <f aca="false">AB42*AB41/1000000</f>
        <v>81.6566411418946</v>
      </c>
      <c r="AC73" s="13" t="n">
        <f aca="false">AC42*AC41/1000000</f>
        <v>81.7669828655943</v>
      </c>
      <c r="AD73" s="13" t="n">
        <f aca="false">AD42*AD41/1000000</f>
        <v>78.7355847059395</v>
      </c>
      <c r="AE73" s="13" t="n">
        <f aca="false">AE42*AE41/1000000</f>
        <v>81.83606345096</v>
      </c>
      <c r="AF73" s="13" t="n">
        <f aca="false">AF42*AF41/1000000</f>
        <v>84.8999482819921</v>
      </c>
      <c r="AG73" s="13" t="n">
        <f aca="false">AG42*AG41/1000000</f>
        <v>86.3066487590886</v>
      </c>
      <c r="AH73" s="13" t="n">
        <f aca="false">AH42*AH41/1000000</f>
        <v>85.7384911087835</v>
      </c>
      <c r="AI73" s="13" t="n">
        <f aca="false">AI42*AI41/1000000</f>
        <v>87.7209409744295</v>
      </c>
      <c r="AJ73" s="13" t="n">
        <f aca="false">AJ42*AJ41/1000000</f>
        <v>88.2707626021162</v>
      </c>
      <c r="AK73" s="13" t="n">
        <f aca="false">AK42*AK41/1000000</f>
        <v>88.9972012355363</v>
      </c>
      <c r="AL73" s="13" t="n">
        <f aca="false">AL42*AL41/1000000</f>
        <v>86.9349757867936</v>
      </c>
      <c r="AM73" s="13" t="n">
        <f aca="false">AM42*AM41/1000000</f>
        <v>89.7022645784391</v>
      </c>
      <c r="AN73" s="13" t="n">
        <f aca="false">AN42*AN41/1000000</f>
        <v>91.7740415627583</v>
      </c>
      <c r="AO73" s="13" t="n">
        <f aca="false">AO42*AO41/1000000</f>
        <v>93.2939428108835</v>
      </c>
      <c r="AP73" s="13" t="n">
        <f aca="false">AP42*AP41/1000000</f>
        <v>92.6790964261793</v>
      </c>
      <c r="AQ73" s="13" t="n">
        <f aca="false">AQ42*AQ41/1000000</f>
        <v>94.8213196935165</v>
      </c>
      <c r="AR73" s="13" t="n">
        <f aca="false">AR42*AR41/1000000</f>
        <v>95.4149329935503</v>
      </c>
      <c r="AS73" s="13" t="n">
        <f aca="false">AS42*AS41/1000000</f>
        <v>95.5424415152124</v>
      </c>
      <c r="AT73" s="13" t="n">
        <f aca="false">AT42*AT41/1000000</f>
        <v>91.9989647301703</v>
      </c>
      <c r="AU73" s="13" t="n">
        <f aca="false">AU42*AU41/1000000</f>
        <v>95.6203064825278</v>
      </c>
      <c r="AV73" s="13" t="n">
        <f aca="false">AV42*AV41/1000000</f>
        <v>99.198782299628</v>
      </c>
      <c r="AW73" s="13" t="n">
        <f aca="false">AW42*AW41/1000000</f>
        <v>100.840892314214</v>
      </c>
      <c r="AX73" s="13" t="n">
        <f aca="false">AX42*AX41/1000000</f>
        <v>100.175558037471</v>
      </c>
      <c r="AY73" s="13" t="n">
        <f aca="false">AY42*AY41/1000000</f>
        <v>102.490289583569</v>
      </c>
      <c r="AZ73" s="13" t="n">
        <f aca="false">AZ42*AZ41/1000000</f>
        <v>103.131139936158</v>
      </c>
      <c r="BA73" s="13" t="n">
        <f aca="false">BA42*BA41/1000000</f>
        <v>103.978317649173</v>
      </c>
      <c r="BB73" s="13" t="n">
        <f aca="false">BB42*BB41/1000000</f>
        <v>101.567431226571</v>
      </c>
      <c r="BC73" s="13" t="n">
        <f aca="false">BC42*BC41/1000000</f>
        <v>104.798925306888</v>
      </c>
      <c r="BD73" s="13" t="n">
        <f aca="false">BD42*BD41/1000000</f>
        <v>107.217769160796</v>
      </c>
      <c r="BE73" s="13" t="n">
        <f aca="false">BE42*BE41/1000000</f>
        <v>108.991803901729</v>
      </c>
      <c r="BF73" s="13" t="n">
        <f aca="false">BF42*BF41/1000000</f>
        <v>108.271876572363</v>
      </c>
      <c r="BG73" s="13" t="n">
        <f aca="false">BG42*BG41/1000000</f>
        <v>110.772853987258</v>
      </c>
      <c r="BH73" s="13" t="n">
        <f aca="false">BH42*BH41/1000000</f>
        <v>111.464654074197</v>
      </c>
      <c r="BI73" s="13" t="n">
        <f aca="false">BI42*BI41/1000000</f>
        <v>111.611932467341</v>
      </c>
      <c r="BJ73" s="13" t="n">
        <f aca="false">BJ42*BJ41/1000000</f>
        <v>107.4708536962</v>
      </c>
      <c r="BK73" s="13" t="n">
        <f aca="false">BK42*BK41/1000000</f>
        <v>111.699531673532</v>
      </c>
      <c r="BL73" s="13" t="n">
        <f aca="false">BL42*BL41/1000000</f>
        <v>115.878007959035</v>
      </c>
      <c r="BM73" s="13" t="n">
        <f aca="false">BM42*BM41/1000000</f>
        <v>78.7841771464597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5431.03679638879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28.8074497855027</v>
      </c>
      <c r="P74" s="13" t="n">
        <f aca="false">P73+P52+P53+P54</f>
        <v>86.4773922804052</v>
      </c>
      <c r="Q74" s="13" t="n">
        <f aca="false">Q73+Q52+Q53+Q54</f>
        <v>87.6912284093158</v>
      </c>
      <c r="R74" s="13" t="n">
        <f aca="false">R73+R52+R53+R54</f>
        <v>87.3812463276881</v>
      </c>
      <c r="S74" s="13" t="n">
        <f aca="false">S73+S52+S53+S54</f>
        <v>89.1028694545033</v>
      </c>
      <c r="T74" s="13" t="n">
        <f aca="false">T73+T52+T53+T54</f>
        <v>89.782749560858</v>
      </c>
      <c r="U74" s="13" t="n">
        <f aca="false">U73+U52+U53+U54</f>
        <v>90.4604393949359</v>
      </c>
      <c r="V74" s="13" t="n">
        <f aca="false">V73+V52+V53+V54</f>
        <v>88.7721863782605</v>
      </c>
      <c r="W74" s="13" t="n">
        <f aca="false">W73+W52+W53+W54</f>
        <v>91.1854716968837</v>
      </c>
      <c r="X74" s="13" t="n">
        <f aca="false">X73+X52+X53+X54</f>
        <v>93.2143286144402</v>
      </c>
      <c r="Y74" s="13" t="n">
        <f aca="false">Y73+Y52+Y53+Y54</f>
        <v>94.5257774971806</v>
      </c>
      <c r="Z74" s="13" t="n">
        <f aca="false">Z73+Z52+Z53+Z54</f>
        <v>94.1866214717095</v>
      </c>
      <c r="AA74" s="13" t="n">
        <f aca="false">AA73+AA52+AA53+AA54</f>
        <v>96.0466806641562</v>
      </c>
      <c r="AB74" s="13" t="n">
        <f aca="false">AB73+AB52+AB53+AB54</f>
        <v>96.776931218056</v>
      </c>
      <c r="AC74" s="13" t="n">
        <f aca="false">AC73+AC52+AC53+AC54</f>
        <v>96.9282007912621</v>
      </c>
      <c r="AD74" s="13" t="n">
        <f aca="false">AD73+AD52+AD53+AD54</f>
        <v>93.9420984128559</v>
      </c>
      <c r="AE74" s="13" t="n">
        <f aca="false">AE73+AE52+AE53+AE54</f>
        <v>97.106111985418</v>
      </c>
      <c r="AF74" s="13" t="n">
        <f aca="false">AF73+AF52+AF53+AF54</f>
        <v>100.475540603537</v>
      </c>
      <c r="AG74" s="13" t="n">
        <f aca="false">AG73+AG52+AG53+AG54</f>
        <v>101.892369469894</v>
      </c>
      <c r="AH74" s="13" t="n">
        <f aca="false">AH73+AH52+AH53+AH54</f>
        <v>101.52144670566</v>
      </c>
      <c r="AI74" s="13" t="n">
        <f aca="false">AI73+AI52+AI53+AI54</f>
        <v>103.530962324537</v>
      </c>
      <c r="AJ74" s="13" t="n">
        <f aca="false">AJ73+AJ52+AJ53+AJ54</f>
        <v>104.315328247875</v>
      </c>
      <c r="AK74" s="13" t="n">
        <f aca="false">AK73+AK52+AK53+AK54</f>
        <v>105.103596133089</v>
      </c>
      <c r="AL74" s="13" t="n">
        <f aca="false">AL73+AL52+AL53+AL54</f>
        <v>103.126343933382</v>
      </c>
      <c r="AM74" s="13" t="n">
        <f aca="false">AM73+AM52+AM53+AM54</f>
        <v>105.94307942321</v>
      </c>
      <c r="AN74" s="13" t="n">
        <f aca="false">AN73+AN52+AN53+AN54</f>
        <v>108.301660914152</v>
      </c>
      <c r="AO74" s="13" t="n">
        <f aca="false">AO73+AO52+AO53+AO54</f>
        <v>109.832247811896</v>
      </c>
      <c r="AP74" s="13" t="n">
        <f aca="false">AP73+AP52+AP53+AP54</f>
        <v>109.42674371388</v>
      </c>
      <c r="AQ74" s="13" t="n">
        <f aca="false">AQ73+AQ52+AQ53+AQ54</f>
        <v>111.597603556723</v>
      </c>
      <c r="AR74" s="13" t="n">
        <f aca="false">AR73+AR52+AR53+AR54</f>
        <v>112.440107952276</v>
      </c>
      <c r="AS74" s="13" t="n">
        <f aca="false">AS73+AS52+AS53+AS54</f>
        <v>112.613706573436</v>
      </c>
      <c r="AT74" s="13" t="n">
        <f aca="false">AT73+AT52+AT53+AT54</f>
        <v>109.121501164185</v>
      </c>
      <c r="AU74" s="13" t="n">
        <f aca="false">AU73+AU52+AU53+AU54</f>
        <v>112.81411554624</v>
      </c>
      <c r="AV74" s="13" t="n">
        <f aca="false">AV73+AV52+AV53+AV54</f>
        <v>116.736448868906</v>
      </c>
      <c r="AW74" s="13" t="n">
        <f aca="false">AW73+AW52+AW53+AW54</f>
        <v>118.38983005192</v>
      </c>
      <c r="AX74" s="13" t="n">
        <f aca="false">AX73+AX52+AX53+AX54</f>
        <v>117.946689785145</v>
      </c>
      <c r="AY74" s="13" t="n">
        <f aca="false">AY73+AY52+AY53+AY54</f>
        <v>120.291716478385</v>
      </c>
      <c r="AZ74" s="13" t="n">
        <f aca="false">AZ73+AZ52+AZ53+AZ54</f>
        <v>121.196681176336</v>
      </c>
      <c r="BA74" s="13" t="n">
        <f aca="false">BA73+BA52+BA53+BA54</f>
        <v>122.113435694469</v>
      </c>
      <c r="BB74" s="13" t="n">
        <f aca="false">BB73+BB52+BB53+BB54</f>
        <v>119.798426386982</v>
      </c>
      <c r="BC74" s="13" t="n">
        <f aca="false">BC73+BC52+BC53+BC54</f>
        <v>123.085349786781</v>
      </c>
      <c r="BD74" s="13" t="n">
        <f aca="false">BD73+BD52+BD53+BD54</f>
        <v>125.827028530408</v>
      </c>
      <c r="BE74" s="13" t="n">
        <f aca="false">BE73+BE52+BE53+BE54</f>
        <v>127.612949464379</v>
      </c>
      <c r="BF74" s="13" t="n">
        <f aca="false">BF73+BF52+BF53+BF54</f>
        <v>127.128858016844</v>
      </c>
      <c r="BG74" s="13" t="n">
        <f aca="false">BG73+BG52+BG53+BG54</f>
        <v>129.661881562902</v>
      </c>
      <c r="BH74" s="13" t="n">
        <f aca="false">BH73+BH52+BH53+BH54</f>
        <v>130.633949167908</v>
      </c>
      <c r="BI74" s="13" t="n">
        <f aca="false">BI73+BI52+BI53+BI54</f>
        <v>130.833133542068</v>
      </c>
      <c r="BJ74" s="13" t="n">
        <f aca="false">BJ73+BJ52+BJ53+BJ54</f>
        <v>126.750116030379</v>
      </c>
      <c r="BK74" s="13" t="n">
        <f aca="false">BK73+BK52+BK53+BK54</f>
        <v>131.058720868285</v>
      </c>
      <c r="BL74" s="13" t="n">
        <f aca="false">BL73+BL52+BL53+BL54</f>
        <v>135.624144654243</v>
      </c>
      <c r="BM74" s="13" t="n">
        <f aca="false">BM73+BM52+BM53+BM54</f>
        <v>91.9032983050503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6605.7030818446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34.4423715131292</v>
      </c>
      <c r="P83" s="13" t="n">
        <f aca="false">P72+P74+P75+P76+P79+P82</f>
        <v>103.659189241374</v>
      </c>
      <c r="Q83" s="13" t="n">
        <f aca="false">Q72+Q74+Q75+Q76+Q79+Q82</f>
        <v>104.927825648583</v>
      </c>
      <c r="R83" s="13" t="n">
        <f aca="false">R72+R74+R75+R76+R79+R82</f>
        <v>104.707350239251</v>
      </c>
      <c r="S83" s="13" t="n">
        <f aca="false">S72+S74+S75+S76+S79+S82</f>
        <v>106.651393351878</v>
      </c>
      <c r="T83" s="13" t="n">
        <f aca="false">T72+T74+T75+T76+T79+T82</f>
        <v>107.596937300556</v>
      </c>
      <c r="U83" s="13" t="n">
        <f aca="false">U72+U74+U75+U76+U79+U82</f>
        <v>108.317169036039</v>
      </c>
      <c r="V83" s="13" t="n">
        <f aca="false">V72+V74+V75+V76+V79+V82</f>
        <v>109.021194452464</v>
      </c>
      <c r="W83" s="13" t="n">
        <f aca="false">W72+W74+W75+W76+W79+W82</f>
        <v>109.272301834554</v>
      </c>
      <c r="X83" s="13" t="n">
        <f aca="false">X72+X74+X75+X76+X79+X82</f>
        <v>111.791788795916</v>
      </c>
      <c r="Y83" s="13" t="n">
        <f aca="false">Y72+Y74+Y75+Y76+Y79+Y82</f>
        <v>113.256625384559</v>
      </c>
      <c r="Z83" s="13" t="n">
        <f aca="false">Z72+Z74+Z75+Z76+Z79+Z82</f>
        <v>113.02896777242</v>
      </c>
      <c r="AA83" s="13" t="n">
        <f aca="false">AA72+AA74+AA75+AA76+AA79+AA82</f>
        <v>115.131483927353</v>
      </c>
      <c r="AB83" s="13" t="n">
        <f aca="false">AB72+AB74+AB75+AB76+AB79+AB82</f>
        <v>116.151321143135</v>
      </c>
      <c r="AC83" s="13" t="n">
        <f aca="false">AC72+AC74+AC75+AC76+AC79+AC82</f>
        <v>116.255051311387</v>
      </c>
      <c r="AD83" s="13" t="n">
        <f aca="false">AD72+AD74+AD75+AD76+AD79+AD82</f>
        <v>124.832134582416</v>
      </c>
      <c r="AE83" s="13" t="n">
        <f aca="false">AE72+AE74+AE75+AE76+AE79+AE82</f>
        <v>116.58580379697</v>
      </c>
      <c r="AF83" s="13" t="n">
        <f aca="false">AF72+AF74+AF75+AF76+AF79+AF82</f>
        <v>120.682001613326</v>
      </c>
      <c r="AG83" s="13" t="n">
        <f aca="false">AG72+AG74+AG75+AG76+AG79+AG82</f>
        <v>122.266056377089</v>
      </c>
      <c r="AH83" s="13" t="n">
        <f aca="false">AH72+AH74+AH75+AH76+AH79+AH82</f>
        <v>122.016707282167</v>
      </c>
      <c r="AI83" s="13" t="n">
        <f aca="false">AI72+AI74+AI75+AI76+AI79+AI82</f>
        <v>124.290521731043</v>
      </c>
      <c r="AJ83" s="13" t="n">
        <f aca="false">AJ72+AJ74+AJ75+AJ76+AJ79+AJ82</f>
        <v>125.390551152814</v>
      </c>
      <c r="AK83" s="13" t="n">
        <f aca="false">AK72+AK74+AK75+AK76+AK79+AK82</f>
        <v>126.229467787069</v>
      </c>
      <c r="AL83" s="13" t="n">
        <f aca="false">AL72+AL74+AL75+AL76+AL79+AL82</f>
        <v>127.099795070401</v>
      </c>
      <c r="AM83" s="13" t="n">
        <f aca="false">AM72+AM74+AM75+AM76+AM79+AM82</f>
        <v>127.342497987646</v>
      </c>
      <c r="AN83" s="13" t="n">
        <f aca="false">AN72+AN74+AN75+AN76+AN79+AN82</f>
        <v>130.283954308598</v>
      </c>
      <c r="AO83" s="13" t="n">
        <f aca="false">AO72+AO74+AO75+AO76+AO79+AO82</f>
        <v>131.996853654851</v>
      </c>
      <c r="AP83" s="13" t="n">
        <f aca="false">AP72+AP74+AP75+AP76+AP79+AP82</f>
        <v>131.723908867598</v>
      </c>
      <c r="AQ83" s="13" t="n">
        <f aca="false">AQ72+AQ74+AQ75+AQ76+AQ79+AQ82</f>
        <v>134.182876864626</v>
      </c>
      <c r="AR83" s="13" t="n">
        <f aca="false">AR72+AR74+AR75+AR76+AR79+AR82</f>
        <v>135.369469540756</v>
      </c>
      <c r="AS83" s="13" t="n">
        <f aca="false">AS72+AS74+AS75+AS76+AS79+AS82</f>
        <v>135.486732758267</v>
      </c>
      <c r="AT83" s="13" t="n">
        <f aca="false">AT72+AT74+AT75+AT76+AT79+AT82</f>
        <v>145.758105375221</v>
      </c>
      <c r="AU83" s="13" t="n">
        <f aca="false">AU72+AU74+AU75+AU76+AU79+AU82</f>
        <v>135.868945059559</v>
      </c>
      <c r="AV83" s="13" t="n">
        <f aca="false">AV72+AV74+AV75+AV76+AV79+AV82</f>
        <v>140.654639936825</v>
      </c>
      <c r="AW83" s="13" t="n">
        <f aca="false">AW72+AW74+AW75+AW76+AW79+AW82</f>
        <v>142.506781087554</v>
      </c>
      <c r="AX83" s="13" t="n">
        <f aca="false">AX72+AX74+AX75+AX76+AX79+AX82</f>
        <v>142.208178416089</v>
      </c>
      <c r="AY83" s="13" t="n">
        <f aca="false">AY72+AY74+AY75+AY76+AY79+AY82</f>
        <v>144.867267251067</v>
      </c>
      <c r="AZ83" s="13" t="n">
        <f aca="false">AZ72+AZ74+AZ75+AZ76+AZ79+AZ82</f>
        <v>146.147304343731</v>
      </c>
      <c r="BA83" s="13" t="n">
        <f aca="false">BA72+BA74+BA75+BA76+BA79+BA82</f>
        <v>147.124359304722</v>
      </c>
      <c r="BB83" s="13" t="n">
        <f aca="false">BB72+BB74+BB75+BB76+BB79+BB82</f>
        <v>148.198883866098</v>
      </c>
      <c r="BC83" s="13" t="n">
        <f aca="false">BC72+BC74+BC75+BC76+BC79+BC82</f>
        <v>148.421469634496</v>
      </c>
      <c r="BD83" s="13" t="n">
        <f aca="false">BD72+BD74+BD75+BD76+BD79+BD82</f>
        <v>151.855608933478</v>
      </c>
      <c r="BE83" s="13" t="n">
        <f aca="false">BE72+BE74+BE75+BE76+BE79+BE82</f>
        <v>153.858221088161</v>
      </c>
      <c r="BF83" s="13" t="n">
        <f aca="false">BF72+BF74+BF75+BF76+BF79+BF82</f>
        <v>153.531727853241</v>
      </c>
      <c r="BG83" s="13" t="n">
        <f aca="false">BG72+BG74+BG75+BG76+BG79+BG82</f>
        <v>156.407105357945</v>
      </c>
      <c r="BH83" s="13" t="n">
        <f aca="false">BH72+BH74+BH75+BH76+BH79+BH82</f>
        <v>157.788019219423</v>
      </c>
      <c r="BI83" s="13" t="n">
        <f aca="false">BI72+BI74+BI75+BI76+BI79+BI82</f>
        <v>157.920445963579</v>
      </c>
      <c r="BJ83" s="13" t="n">
        <f aca="false">BJ72+BJ74+BJ75+BJ76+BJ79+BJ82</f>
        <v>170.220001240983</v>
      </c>
      <c r="BK83" s="13" t="n">
        <f aca="false">BK72+BK74+BK75+BK76+BK79+BK82</f>
        <v>158.362286628975</v>
      </c>
      <c r="BL83" s="13" t="n">
        <f aca="false">BL72+BL74+BL75+BL76+BL79+BL82</f>
        <v>163.953332540591</v>
      </c>
      <c r="BM83" s="13" t="n">
        <f aca="false">BM72+BM74+BM75+BM76+BM79+BM82</f>
        <v>130.060094414627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2613.86825513678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16.8575052325003</v>
      </c>
      <c r="P84" s="13" t="n">
        <f aca="false">P56-P83+P58</f>
        <v>50.5800517229148</v>
      </c>
      <c r="Q84" s="13" t="n">
        <f aca="false">Q56-Q83+Q58</f>
        <v>50.7875845304332</v>
      </c>
      <c r="R84" s="13" t="n">
        <f aca="false">R56-R83+R58</f>
        <v>50.9366856554583</v>
      </c>
      <c r="S84" s="13" t="n">
        <f aca="false">S56-S83+S58</f>
        <v>51.0294706374873</v>
      </c>
      <c r="T84" s="13" t="n">
        <f aca="false">T56-T83+T58</f>
        <v>51.104534518796</v>
      </c>
      <c r="U84" s="13" t="n">
        <f aca="false">U56-U83+U58</f>
        <v>51.272832775131</v>
      </c>
      <c r="V84" s="13" t="n">
        <f aca="false">V56-V83+V58</f>
        <v>49.0031549748037</v>
      </c>
      <c r="W84" s="13" t="n">
        <f aca="false">W56-W83+W58</f>
        <v>51.5555353334797</v>
      </c>
      <c r="X84" s="13" t="n">
        <f aca="false">X56-X83+X58</f>
        <v>51.5476634150156</v>
      </c>
      <c r="Y84" s="13" t="n">
        <f aca="false">Y56-Y83+Y58</f>
        <v>51.6791937431074</v>
      </c>
      <c r="Z84" s="13" t="n">
        <f aca="false">Z56-Z83+Z58</f>
        <v>51.8283654989861</v>
      </c>
      <c r="AA84" s="13" t="n">
        <f aca="false">AA56-AA83+AA58</f>
        <v>51.9277690876538</v>
      </c>
      <c r="AB84" s="13" t="n">
        <f aca="false">AB56-AB83+AB58</f>
        <v>52.0087954994221</v>
      </c>
      <c r="AC84" s="13" t="n">
        <f aca="false">AC56-AC83+AC58</f>
        <v>52.2304040367758</v>
      </c>
      <c r="AD84" s="13" t="n">
        <f aca="false">AD56-AD83+AD58</f>
        <v>39.7700954923019</v>
      </c>
      <c r="AE84" s="13" t="n">
        <f aca="false">AE56-AE83+AE58</f>
        <v>52.5786506028858</v>
      </c>
      <c r="AF84" s="13" t="n">
        <f aca="false">AF56-AF83+AF58</f>
        <v>52.4886717479146</v>
      </c>
      <c r="AG84" s="13" t="n">
        <f aca="false">AG56-AG83+AG58</f>
        <v>52.6309164901831</v>
      </c>
      <c r="AH84" s="13" t="n">
        <f aca="false">AH56-AH83+AH58</f>
        <v>52.7941003209103</v>
      </c>
      <c r="AI84" s="13" t="n">
        <f aca="false">AI56-AI83+AI58</f>
        <v>52.9006010762604</v>
      </c>
      <c r="AJ84" s="13" t="n">
        <f aca="false">AJ56-AJ83+AJ58</f>
        <v>52.988064004521</v>
      </c>
      <c r="AK84" s="13" t="n">
        <f aca="false">AK56-AK83+AK58</f>
        <v>53.1875724859039</v>
      </c>
      <c r="AL84" s="13" t="n">
        <f aca="false">AL56-AL83+AL58</f>
        <v>50.490849271032</v>
      </c>
      <c r="AM84" s="13" t="n">
        <f aca="false">AM56-AM83+AM58</f>
        <v>53.5227817790847</v>
      </c>
      <c r="AN84" s="13" t="n">
        <f aca="false">AN56-AN83+AN58</f>
        <v>53.5077762812626</v>
      </c>
      <c r="AO84" s="13" t="n">
        <f aca="false">AO56-AO83+AO58</f>
        <v>53.6616279594606</v>
      </c>
      <c r="AP84" s="13" t="n">
        <f aca="false">AP56-AP83+AP58</f>
        <v>53.8401232164241</v>
      </c>
      <c r="AQ84" s="13" t="n">
        <f aca="false">AQ56-AQ83+AQ58</f>
        <v>53.9542350498062</v>
      </c>
      <c r="AR84" s="13" t="n">
        <f aca="false">AR56-AR83+AR58</f>
        <v>54.048646113262</v>
      </c>
      <c r="AS84" s="13" t="n">
        <f aca="false">AS56-AS83+AS58</f>
        <v>54.3131655967393</v>
      </c>
      <c r="AT84" s="13" t="n">
        <f aca="false">AT56-AT83+AT58</f>
        <v>39.6022342317878</v>
      </c>
      <c r="AU84" s="13" t="n">
        <f aca="false">AU56-AU83+AU58</f>
        <v>54.7279549622371</v>
      </c>
      <c r="AV84" s="13" t="n">
        <f aca="false">AV56-AV83+AV58</f>
        <v>54.6115459714584</v>
      </c>
      <c r="AW84" s="13" t="n">
        <f aca="false">AW56-AW83+AW58</f>
        <v>54.7779731074438</v>
      </c>
      <c r="AX84" s="13" t="n">
        <f aca="false">AX56-AX83+AX58</f>
        <v>54.9731984454866</v>
      </c>
      <c r="AY84" s="13" t="n">
        <f aca="false">AY56-AY83+AY58</f>
        <v>55.095473309156</v>
      </c>
      <c r="AZ84" s="13" t="n">
        <f aca="false">AZ56-AZ83+AZ58</f>
        <v>55.1973847353973</v>
      </c>
      <c r="BA84" s="13" t="n">
        <f aca="false">BA56-BA83+BA58</f>
        <v>55.4339539338162</v>
      </c>
      <c r="BB84" s="13" t="n">
        <f aca="false">BB56-BB83+BB58</f>
        <v>52.2296225569507</v>
      </c>
      <c r="BC84" s="13" t="n">
        <f aca="false">BC56-BC83+BC58</f>
        <v>55.831471690525</v>
      </c>
      <c r="BD84" s="13" t="n">
        <f aca="false">BD56-BD83+BD58</f>
        <v>55.8071092286694</v>
      </c>
      <c r="BE84" s="13" t="n">
        <f aca="false">BE56-BE83+BE58</f>
        <v>55.9871629481993</v>
      </c>
      <c r="BF84" s="13" t="n">
        <f aca="false">BF56-BF83+BF58</f>
        <v>56.2006671955099</v>
      </c>
      <c r="BG84" s="13" t="n">
        <f aca="false">BG56-BG83+BG58</f>
        <v>56.3316979843421</v>
      </c>
      <c r="BH84" s="13" t="n">
        <f aca="false">BH56-BH83+BH58</f>
        <v>56.4417058196806</v>
      </c>
      <c r="BI84" s="13" t="n">
        <f aca="false">BI56-BI83+BI58</f>
        <v>56.7574462509825</v>
      </c>
      <c r="BJ84" s="13" t="n">
        <f aca="false">BJ56-BJ83+BJ58</f>
        <v>39.3690694954219</v>
      </c>
      <c r="BK84" s="13" t="n">
        <f aca="false">BK56-BK83+BK58</f>
        <v>57.2514821726968</v>
      </c>
      <c r="BL84" s="13" t="n">
        <f aca="false">BL56-BL83+BL58</f>
        <v>57.1022020905554</v>
      </c>
      <c r="BM84" s="13" t="n">
        <f aca="false">BM56-BM83+BM58</f>
        <v>19.1114748565457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37.8441713697267</v>
      </c>
      <c r="P88" s="13" t="n">
        <f aca="false">(1-P86)*(P56/MAX(Time!P31,1)*Inputs!$F$168+P55/MAX(Time!P31,1)*P87)</f>
        <v>37.721553496701</v>
      </c>
      <c r="Q88" s="13" t="n">
        <f aca="false">(1-Q86)*(Q56/MAX(Time!Q31,1)*Inputs!$F$168+Q55/MAX(Time!Q31,1)*Q87)</f>
        <v>38.7137760113576</v>
      </c>
      <c r="R88" s="13" t="n">
        <f aca="false">(1-R86)*(R56/MAX(Time!R31,1)*Inputs!$F$168+R55/MAX(Time!R31,1)*R87)</f>
        <v>38.0651174742496</v>
      </c>
      <c r="S88" s="13" t="n">
        <f aca="false">(1-S86)*(S56/MAX(Time!S31,1)*Inputs!$F$168+S55/MAX(Time!S31,1)*S87)</f>
        <v>39.2024247487371</v>
      </c>
      <c r="T88" s="13" t="n">
        <f aca="false">(1-T86)*(T56/MAX(Time!T31,1)*Inputs!$F$168+T55/MAX(Time!T31,1)*T87)</f>
        <v>38.8128599558197</v>
      </c>
      <c r="U88" s="13" t="n">
        <f aca="false">(1-U86)*(U56/MAX(Time!U31,1)*Inputs!$F$168+U55/MAX(Time!U31,1)*U87)</f>
        <v>39.4590663818828</v>
      </c>
      <c r="V88" s="13" t="n">
        <f aca="false">(1-V86)*(V56/MAX(Time!V31,1)*Inputs!$F$168+V55/MAX(Time!V31,1)*V87)</f>
        <v>38.6472593707992</v>
      </c>
      <c r="W88" s="13" t="n">
        <f aca="false">(1-W86)*(W56/MAX(Time!W31,1)*Inputs!$F$168+W55/MAX(Time!W31,1)*W87)</f>
        <v>39.9848213953675</v>
      </c>
      <c r="X88" s="13" t="n">
        <f aca="false">(1-X86)*(X56/MAX(Time!X31,1)*Inputs!$F$168+X55/MAX(Time!X31,1)*X87)</f>
        <v>39.947148638543</v>
      </c>
      <c r="Y88" s="13" t="n">
        <f aca="false">(1-Y86)*(Y56/MAX(Time!Y31,1)*Inputs!$F$168+Y55/MAX(Time!Y31,1)*Y87)</f>
        <v>41.0061428770442</v>
      </c>
      <c r="Z88" s="13" t="n">
        <f aca="false">(1-Z86)*(Z56/MAX(Time!Z31,1)*Inputs!$F$168+Z55/MAX(Time!Z31,1)*Z87)</f>
        <v>40.3183695500722</v>
      </c>
      <c r="AA88" s="13" t="n">
        <f aca="false">(1-AA86)*(AA56/MAX(Time!AA31,1)*Inputs!$F$168+AA55/MAX(Time!AA31,1)*AA87)</f>
        <v>41.5340684291454</v>
      </c>
      <c r="AB88" s="13" t="n">
        <f aca="false">(1-AB86)*(AB56/MAX(Time!AB31,1)*Inputs!$F$168+AB55/MAX(Time!AB31,1)*AB87)</f>
        <v>41.1261154832341</v>
      </c>
      <c r="AC88" s="13" t="n">
        <f aca="false">(1-AC86)*(AC56/MAX(Time!AC31,1)*Inputs!$F$168+AC55/MAX(Time!AC31,1)*AC87)</f>
        <v>41.6584917069633</v>
      </c>
      <c r="AD88" s="13" t="n">
        <f aca="false">(1-AD86)*(AD56/MAX(Time!AD31,1)*Inputs!$F$168+AD55/MAX(Time!AD31,1)*AD87)</f>
        <v>40.2559801813169</v>
      </c>
      <c r="AE88" s="13" t="n">
        <f aca="false">(1-AE86)*(AE56/MAX(Time!AE31,1)*Inputs!$F$168+AE55/MAX(Time!AE31,1)*AE87)</f>
        <v>42.0574610386383</v>
      </c>
      <c r="AF88" s="13" t="n">
        <f aca="false">(1-AF86)*(AF56/MAX(Time!AF31,1)*Inputs!$F$168+AF55/MAX(Time!AF31,1)*AF87)</f>
        <v>42.3515233763904</v>
      </c>
      <c r="AG88" s="13" t="n">
        <f aca="false">(1-AG86)*(AG56/MAX(Time!AG31,1)*Inputs!$F$168+AG55/MAX(Time!AG31,1)*AG87)</f>
        <v>43.4826728123053</v>
      </c>
      <c r="AH88" s="13" t="n">
        <f aca="false">(1-AH86)*(AH56/MAX(Time!AH31,1)*Inputs!$F$168+AH55/MAX(Time!AH31,1)*AH87)</f>
        <v>42.7526431637962</v>
      </c>
      <c r="AI88" s="13" t="n">
        <f aca="false">(1-AI86)*(AI56/MAX(Time!AI31,1)*Inputs!$F$168+AI55/MAX(Time!AI31,1)*AI87)</f>
        <v>44.0530415819263</v>
      </c>
      <c r="AJ88" s="13" t="n">
        <f aca="false">(1-AJ86)*(AJ56/MAX(Time!AJ31,1)*Inputs!$F$168+AJ55/MAX(Time!AJ31,1)*AJ87)</f>
        <v>43.6252047939135</v>
      </c>
      <c r="AK88" s="13" t="n">
        <f aca="false">(1-AK86)*(AK56/MAX(Time!AK31,1)*Inputs!$F$168+AK55/MAX(Time!AK31,1)*AK87)</f>
        <v>44.3613561114493</v>
      </c>
      <c r="AL88" s="13" t="n">
        <f aca="false">(1-AL86)*(AL56/MAX(Time!AL31,1)*Inputs!$F$168+AL55/MAX(Time!AL31,1)*AL87)</f>
        <v>43.4324945400244</v>
      </c>
      <c r="AM88" s="13" t="n">
        <f aca="false">(1-AM86)*(AM56/MAX(Time!AM31,1)*Inputs!$F$168+AM55/MAX(Time!AM31,1)*AM87)</f>
        <v>44.9665060193528</v>
      </c>
      <c r="AN88" s="13" t="n">
        <f aca="false">(1-AN86)*(AN56/MAX(Time!AN31,1)*Inputs!$F$168+AN55/MAX(Time!AN31,1)*AN87)</f>
        <v>44.9490645464332</v>
      </c>
      <c r="AO88" s="13" t="n">
        <f aca="false">(1-AO86)*(AO56/MAX(Time!AO31,1)*Inputs!$F$168+AO55/MAX(Time!AO31,1)*AO87)</f>
        <v>46.1581860367072</v>
      </c>
      <c r="AP88" s="13" t="n">
        <f aca="false">(1-AP86)*(AP56/MAX(Time!AP31,1)*Inputs!$F$168+AP55/MAX(Time!AP31,1)*AP87)</f>
        <v>45.3825078466358</v>
      </c>
      <c r="AQ88" s="13" t="n">
        <f aca="false">(1-AQ86)*(AQ56/MAX(Time!AQ31,1)*Inputs!$F$168+AQ55/MAX(Time!AQ31,1)*AQ87)</f>
        <v>46.7744200892235</v>
      </c>
      <c r="AR88" s="13" t="n">
        <f aca="false">(1-AR86)*(AR56/MAX(Time!AR31,1)*Inputs!$F$168+AR55/MAX(Time!AR31,1)*AR87)</f>
        <v>46.3250826327762</v>
      </c>
      <c r="AS88" s="13" t="n">
        <f aca="false">(1-AS86)*(AS56/MAX(Time!AS31,1)*Inputs!$F$168+AS55/MAX(Time!AS31,1)*AS87)</f>
        <v>46.9285462965675</v>
      </c>
      <c r="AT88" s="13" t="n">
        <f aca="false">(1-AT86)*(AT56/MAX(Time!AT31,1)*Inputs!$F$168+AT55/MAX(Time!AT31,1)*AT87)</f>
        <v>45.332691751714</v>
      </c>
      <c r="AU88" s="13" t="n">
        <f aca="false">(1-AU86)*(AU56/MAX(Time!AU31,1)*Inputs!$F$168+AU55/MAX(Time!AU31,1)*AU87)</f>
        <v>47.3859696186786</v>
      </c>
      <c r="AV88" s="13" t="n">
        <f aca="false">(1-AV86)*(AV56/MAX(Time!AV31,1)*Inputs!$F$168+AV55/MAX(Time!AV31,1)*AV87)</f>
        <v>47.7553172058303</v>
      </c>
      <c r="AW88" s="13" t="n">
        <f aca="false">(1-AW86)*(AW56/MAX(Time!AW31,1)*Inputs!$F$168+AW55/MAX(Time!AW31,1)*AW87)</f>
        <v>49.0486957943364</v>
      </c>
      <c r="AX88" s="13" t="n">
        <f aca="false">(1-AX86)*(AX56/MAX(Time!AX31,1)*Inputs!$F$168+AX55/MAX(Time!AX31,1)*AX87)</f>
        <v>48.2237062976678</v>
      </c>
      <c r="AY88" s="13" t="n">
        <f aca="false">(1-AY86)*(AY56/MAX(Time!AY31,1)*Inputs!$F$168+AY55/MAX(Time!AY31,1)*AY87)</f>
        <v>49.7144935094476</v>
      </c>
      <c r="AZ88" s="13" t="n">
        <f aca="false">(1-AZ86)*(AZ56/MAX(Time!AZ31,1)*Inputs!$F$168+AZ55/MAX(Time!AZ31,1)*AZ87)</f>
        <v>49.2419076552215</v>
      </c>
      <c r="BA88" s="13" t="n">
        <f aca="false">(1-BA86)*(BA56/MAX(Time!BA31,1)*Inputs!$F$168+BA55/MAX(Time!BA31,1)*BA87)</f>
        <v>50.0830994271112</v>
      </c>
      <c r="BB88" s="13" t="n">
        <f aca="false">(1-BB86)*(BB56/MAX(Time!BB31,1)*Inputs!$F$168+BB55/MAX(Time!BB31,1)*BB87)</f>
        <v>49.0178412447673</v>
      </c>
      <c r="BC88" s="13" t="n">
        <f aca="false">(1-BC86)*(BC56/MAX(Time!BC31,1)*Inputs!$F$168+BC55/MAX(Time!BC31,1)*BC87)</f>
        <v>50.7811180089831</v>
      </c>
      <c r="BD88" s="13" t="n">
        <f aca="false">(1-BD86)*(BD56/MAX(Time!BD31,1)*Inputs!$F$168+BD55/MAX(Time!BD31,1)*BD87)</f>
        <v>50.7870778113947</v>
      </c>
      <c r="BE88" s="13" t="n">
        <f aca="false">(1-BE86)*(BE56/MAX(Time!BE31,1)*Inputs!$F$168+BE55/MAX(Time!BE31,1)*BE87)</f>
        <v>52.1715043184322</v>
      </c>
      <c r="BF88" s="13" t="n">
        <f aca="false">(1-BF86)*(BF56/MAX(Time!BF31,1)*Inputs!$F$168+BF55/MAX(Time!BF31,1)*BF87)</f>
        <v>51.2932487890968</v>
      </c>
      <c r="BG88" s="13" t="n">
        <f aca="false">(1-BG86)*(BG56/MAX(Time!BG31,1)*Inputs!$F$168+BG55/MAX(Time!BG31,1)*BG87)</f>
        <v>52.8908627094085</v>
      </c>
      <c r="BH88" s="13" t="n">
        <f aca="false">(1-BH86)*(BH56/MAX(Time!BH31,1)*Inputs!$F$168+BH55/MAX(Time!BH31,1)*BH87)</f>
        <v>52.3931392758677</v>
      </c>
      <c r="BI88" s="13" t="n">
        <f aca="false">(1-BI86)*(BI56/MAX(Time!BI31,1)*Inputs!$F$168+BI55/MAX(Time!BI31,1)*BI87)</f>
        <v>53.0796986244794</v>
      </c>
      <c r="BJ88" s="13" t="n">
        <f aca="false">(1-BJ86)*(BJ56/MAX(Time!BJ31,1)*Inputs!$F$168+BJ55/MAX(Time!BJ31,1)*BJ87)</f>
        <v>51.2581966474904</v>
      </c>
      <c r="BK88" s="13" t="n">
        <f aca="false">(1-BK86)*(BK56/MAX(Time!BK31,1)*Inputs!$F$168+BK55/MAX(Time!BK31,1)*BK87)</f>
        <v>53.6056331274875</v>
      </c>
      <c r="BL88" s="13" t="n">
        <f aca="false">(1-BL86)*(BL56/MAX(Time!BL31,1)*Inputs!$F$168+BL55/MAX(Time!BL31,1)*BL87)</f>
        <v>54.0624948826174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17.8652918283934</v>
      </c>
      <c r="P90" s="13" t="n">
        <f aca="false">(1-P86)*(P73+P54)/MAX(Time!P31,1)*Inputs!$F$169</f>
        <v>17.7664156562436</v>
      </c>
      <c r="Q90" s="13" t="n">
        <f aca="false">(1-Q86)*(Q73+Q54)/MAX(Time!Q31,1)*Inputs!$F$169</f>
        <v>18.3604081947537</v>
      </c>
      <c r="R90" s="13" t="n">
        <f aca="false">(1-R86)*(R73+R54)/MAX(Time!R31,1)*Inputs!$F$169</f>
        <v>17.9424236905458</v>
      </c>
      <c r="S90" s="13" t="n">
        <f aca="false">(1-S86)*(S73+S54)/MAX(Time!S31,1)*Inputs!$F$169</f>
        <v>18.6618307119927</v>
      </c>
      <c r="T90" s="13" t="n">
        <f aca="false">(1-T86)*(T73+T54)/MAX(Time!T31,1)*Inputs!$F$169</f>
        <v>18.4728983892397</v>
      </c>
      <c r="U90" s="13" t="n">
        <f aca="false">(1-U86)*(U73+U54)/MAX(Time!U31,1)*Inputs!$F$169</f>
        <v>18.8298732761628</v>
      </c>
      <c r="V90" s="13" t="n">
        <f aca="false">(1-V86)*(V73+V54)/MAX(Time!V31,1)*Inputs!$F$169</f>
        <v>18.1938916398116</v>
      </c>
      <c r="W90" s="13" t="n">
        <f aca="false">(1-W86)*(W73+W54)/MAX(Time!W31,1)*Inputs!$F$169</f>
        <v>19.0844732743994</v>
      </c>
      <c r="X90" s="13" t="n">
        <f aca="false">(1-X86)*(X73+X54)/MAX(Time!X31,1)*Inputs!$F$169</f>
        <v>19.2071903338466</v>
      </c>
      <c r="Y90" s="13" t="n">
        <f aca="false">(1-Y86)*(Y73+Y54)/MAX(Time!Y31,1)*Inputs!$F$169</f>
        <v>19.8492060943728</v>
      </c>
      <c r="Z90" s="13" t="n">
        <f aca="false">(1-Z86)*(Z73+Z54)/MAX(Time!Z31,1)*Inputs!$F$169</f>
        <v>19.3971847444708</v>
      </c>
      <c r="AA90" s="13" t="n">
        <f aca="false">(1-AA86)*(AA73+AA54)/MAX(Time!AA31,1)*Inputs!$F$169</f>
        <v>20.1747714692992</v>
      </c>
      <c r="AB90" s="13" t="n">
        <f aca="false">(1-AB86)*(AB73+AB54)/MAX(Time!AB31,1)*Inputs!$F$169</f>
        <v>19.9703741923112</v>
      </c>
      <c r="AC90" s="13" t="n">
        <f aca="false">(1-AC86)*(AC73+AC54)/MAX(Time!AC31,1)*Inputs!$F$169</f>
        <v>20.2171111480865</v>
      </c>
      <c r="AD90" s="13" t="n">
        <f aca="false">(1-AD86)*(AD73+AD54)/MAX(Time!AD31,1)*Inputs!$F$169</f>
        <v>19.2559853900395</v>
      </c>
      <c r="AE90" s="13" t="n">
        <f aca="false">(1-AE86)*(AE73+AE54)/MAX(Time!AE31,1)*Inputs!$F$169</f>
        <v>20.3459826259293</v>
      </c>
      <c r="AF90" s="13" t="n">
        <f aca="false">(1-AF86)*(AF73+AF54)/MAX(Time!AF31,1)*Inputs!$F$169</f>
        <v>20.7635743080959</v>
      </c>
      <c r="AG90" s="13" t="n">
        <f aca="false">(1-AG86)*(AG73+AG54)/MAX(Time!AG31,1)*Inputs!$F$169</f>
        <v>21.4574541113756</v>
      </c>
      <c r="AH90" s="13" t="n">
        <f aca="false">(1-AH86)*(AH73+AH54)/MAX(Time!AH31,1)*Inputs!$F$169</f>
        <v>20.9686527168221</v>
      </c>
      <c r="AI90" s="13" t="n">
        <f aca="false">(1-AI86)*(AI73+AI54)/MAX(Time!AI31,1)*Inputs!$F$169</f>
        <v>21.8090737229245</v>
      </c>
      <c r="AJ90" s="13" t="n">
        <f aca="false">(1-AJ86)*(AJ73+AJ54)/MAX(Time!AJ31,1)*Inputs!$F$169</f>
        <v>21.5879582450828</v>
      </c>
      <c r="AK90" s="13" t="n">
        <f aca="false">(1-AK86)*(AK73+AK54)/MAX(Time!AK31,1)*Inputs!$F$169</f>
        <v>22.0048025032919</v>
      </c>
      <c r="AL90" s="13" t="n">
        <f aca="false">(1-AL86)*(AL73+AL54)/MAX(Time!AL31,1)*Inputs!$F$169</f>
        <v>21.261271252205</v>
      </c>
      <c r="AM90" s="13" t="n">
        <f aca="false">(1-AM86)*(AM73+AM54)/MAX(Time!AM31,1)*Inputs!$F$169</f>
        <v>22.3016679891147</v>
      </c>
      <c r="AN90" s="13" t="n">
        <f aca="false">(1-AN86)*(AN73+AN54)/MAX(Time!AN31,1)*Inputs!$F$169</f>
        <v>22.4447384256746</v>
      </c>
      <c r="AO90" s="13" t="n">
        <f aca="false">(1-AO86)*(AO73+AO54)/MAX(Time!AO31,1)*Inputs!$F$169</f>
        <v>23.1946266656893</v>
      </c>
      <c r="AP90" s="13" t="n">
        <f aca="false">(1-AP86)*(AP73+AP54)/MAX(Time!AP31,1)*Inputs!$F$169</f>
        <v>22.6660833650982</v>
      </c>
      <c r="AQ90" s="13" t="n">
        <f aca="false">(1-AQ86)*(AQ73+AQ54)/MAX(Time!AQ31,1)*Inputs!$F$169</f>
        <v>23.5743612497693</v>
      </c>
      <c r="AR90" s="13" t="n">
        <f aca="false">(1-AR86)*(AR73+AR54)/MAX(Time!AR31,1)*Inputs!$F$169</f>
        <v>23.3351738299444</v>
      </c>
      <c r="AS90" s="13" t="n">
        <f aca="false">(1-AS86)*(AS73+AS54)/MAX(Time!AS31,1)*Inputs!$F$169</f>
        <v>23.6231311438712</v>
      </c>
      <c r="AT90" s="13" t="n">
        <f aca="false">(1-AT86)*(AT73+AT54)/MAX(Time!AT31,1)*Inputs!$F$169</f>
        <v>22.4997468090091</v>
      </c>
      <c r="AU90" s="13" t="n">
        <f aca="false">(1-AU86)*(AU73+AU54)/MAX(Time!AU31,1)*Inputs!$F$169</f>
        <v>23.7730043741091</v>
      </c>
      <c r="AV90" s="13" t="n">
        <f aca="false">(1-AV86)*(AV73+AV54)/MAX(Time!AV31,1)*Inputs!$F$169</f>
        <v>24.2605717580612</v>
      </c>
      <c r="AW90" s="13" t="n">
        <f aca="false">(1-AW86)*(AW73+AW54)/MAX(Time!AW31,1)*Inputs!$F$169</f>
        <v>25.0709400781194</v>
      </c>
      <c r="AX90" s="13" t="n">
        <f aca="false">(1-AX86)*(AX73+AX54)/MAX(Time!AX31,1)*Inputs!$F$169</f>
        <v>24.4994571287292</v>
      </c>
      <c r="AY90" s="13" t="n">
        <f aca="false">(1-AY86)*(AY73+AY54)/MAX(Time!AY31,1)*Inputs!$F$169</f>
        <v>25.4810112224342</v>
      </c>
      <c r="AZ90" s="13" t="n">
        <f aca="false">(1-AZ86)*(AZ73+AZ54)/MAX(Time!AZ31,1)*Inputs!$F$169</f>
        <v>25.2222896582995</v>
      </c>
      <c r="BA90" s="13" t="n">
        <f aca="false">(1-BA86)*(BA73+BA54)/MAX(Time!BA31,1)*Inputs!$F$169</f>
        <v>25.7089246934767</v>
      </c>
      <c r="BB90" s="13" t="n">
        <f aca="false">(1-BB86)*(BB73+BB54)/MAX(Time!BB31,1)*Inputs!$F$169</f>
        <v>24.8398608978026</v>
      </c>
      <c r="BC90" s="13" t="n">
        <f aca="false">(1-BC86)*(BC73+BC54)/MAX(Time!BC31,1)*Inputs!$F$169</f>
        <v>26.0549814298892</v>
      </c>
      <c r="BD90" s="13" t="n">
        <f aca="false">(1-BD86)*(BD73+BD54)/MAX(Time!BD31,1)*Inputs!$F$169</f>
        <v>26.2217370230209</v>
      </c>
      <c r="BE90" s="13" t="n">
        <f aca="false">(1-BE86)*(BE73+BE54)/MAX(Time!BE31,1)*Inputs!$F$169</f>
        <v>27.0974098098222</v>
      </c>
      <c r="BF90" s="13" t="n">
        <f aca="false">(1-BF86)*(BF73+BF54)/MAX(Time!BF31,1)*Inputs!$F$169</f>
        <v>26.4795350312844</v>
      </c>
      <c r="BG90" s="13" t="n">
        <f aca="false">(1-BG86)*(BG73+BG54)/MAX(Time!BG31,1)*Inputs!$F$169</f>
        <v>27.540212317274</v>
      </c>
      <c r="BH90" s="13" t="n">
        <f aca="false">(1-BH86)*(BH73+BH54)/MAX(Time!BH31,1)*Inputs!$F$169</f>
        <v>27.2603773551026</v>
      </c>
      <c r="BI90" s="13" t="n">
        <f aca="false">(1-BI86)*(BI73+BI54)/MAX(Time!BI31,1)*Inputs!$F$169</f>
        <v>27.5963569287382</v>
      </c>
      <c r="BJ90" s="13" t="n">
        <f aca="false">(1-BJ86)*(BJ73+BJ54)/MAX(Time!BJ31,1)*Inputs!$F$169</f>
        <v>26.2836326974402</v>
      </c>
      <c r="BK90" s="13" t="n">
        <f aca="false">(1-BK86)*(BK73+BK54)/MAX(Time!BK31,1)*Inputs!$F$169</f>
        <v>27.770601797287</v>
      </c>
      <c r="BL90" s="13" t="n">
        <f aca="false">(1-BL86)*(BL73+BL54)/MAX(Time!BL31,1)*Inputs!$F$169</f>
        <v>28.3397302073728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2.25740370290299</v>
      </c>
      <c r="P91" s="13" t="n">
        <f aca="false">(1-P86)*(P52+P53)/MAX(Time!P31,1)*Inputs!$F$170</f>
        <v>2.25529772416454</v>
      </c>
      <c r="Q91" s="13" t="n">
        <f aca="false">(1-Q86)*(Q52+Q53)/MAX(Time!Q31,1)*Inputs!$F$170</f>
        <v>2.2941856175646</v>
      </c>
      <c r="R91" s="13" t="n">
        <f aca="false">(1-R86)*(R52+R53)/MAX(Time!R31,1)*Inputs!$F$170</f>
        <v>2.28532654233891</v>
      </c>
      <c r="S91" s="13" t="n">
        <f aca="false">(1-S86)*(S52+S53)/MAX(Time!S31,1)*Inputs!$F$170</f>
        <v>2.32721092663712</v>
      </c>
      <c r="T91" s="13" t="n">
        <f aca="false">(1-T86)*(T52+T53)/MAX(Time!T31,1)*Inputs!$F$170</f>
        <v>2.32322618340038</v>
      </c>
      <c r="U91" s="13" t="n">
        <f aca="false">(1-U86)*(U52+U53)/MAX(Time!U31,1)*Inputs!$F$170</f>
        <v>2.35781258795047</v>
      </c>
      <c r="V91" s="13" t="n">
        <f aca="false">(1-V86)*(V52+V53)/MAX(Time!V31,1)*Inputs!$F$170</f>
        <v>2.34446494672602</v>
      </c>
      <c r="W91" s="13" t="n">
        <f aca="false">(1-W86)*(W52+W53)/MAX(Time!W31,1)*Inputs!$F$170</f>
        <v>2.39063191047322</v>
      </c>
      <c r="X91" s="13" t="n">
        <f aca="false">(1-X86)*(X52+X53)/MAX(Time!X31,1)*Inputs!$F$170</f>
        <v>2.39319480515232</v>
      </c>
      <c r="Y91" s="13" t="n">
        <f aca="false">(1-Y86)*(Y52+Y53)/MAX(Time!Y31,1)*Inputs!$F$170</f>
        <v>2.43445187584403</v>
      </c>
      <c r="Z91" s="13" t="n">
        <f aca="false">(1-Z86)*(Z52+Z53)/MAX(Time!Z31,1)*Inputs!$F$170</f>
        <v>2.42505787407354</v>
      </c>
      <c r="AA91" s="13" t="n">
        <f aca="false">(1-AA86)*(AA52+AA53)/MAX(Time!AA31,1)*Inputs!$F$170</f>
        <v>2.469491690401</v>
      </c>
      <c r="AB91" s="13" t="n">
        <f aca="false">(1-AB86)*(AB52+AB53)/MAX(Time!AB31,1)*Inputs!$F$170</f>
        <v>2.46526468633066</v>
      </c>
      <c r="AC91" s="13" t="n">
        <f aca="false">(1-AC86)*(AC52+AC53)/MAX(Time!AC31,1)*Inputs!$F$170</f>
        <v>2.49910185587931</v>
      </c>
      <c r="AD91" s="13" t="n">
        <f aca="false">(1-AD86)*(AD52+AD53)/MAX(Time!AD31,1)*Inputs!$F$170</f>
        <v>2.47932288699724</v>
      </c>
      <c r="AE91" s="13" t="n">
        <f aca="false">(1-AE86)*(AE52+AE53)/MAX(Time!AE31,1)*Inputs!$F$170</f>
        <v>2.53094727090464</v>
      </c>
      <c r="AF91" s="13" t="n">
        <f aca="false">(1-AF86)*(AF52+AF53)/MAX(Time!AF31,1)*Inputs!$F$170</f>
        <v>2.53949874807801</v>
      </c>
      <c r="AG91" s="13" t="n">
        <f aca="false">(1-AG86)*(AG52+AG53)/MAX(Time!AG31,1)*Inputs!$F$170</f>
        <v>2.58326862610027</v>
      </c>
      <c r="AH91" s="13" t="n">
        <f aca="false">(1-AH86)*(AH52+AH53)/MAX(Time!AH31,1)*Inputs!$F$170</f>
        <v>2.57330797775166</v>
      </c>
      <c r="AI91" s="13" t="n">
        <f aca="false">(1-AI86)*(AI52+AI53)/MAX(Time!AI31,1)*Inputs!$F$170</f>
        <v>2.6204455276422</v>
      </c>
      <c r="AJ91" s="13" t="n">
        <f aca="false">(1-AJ86)*(AJ52+AJ53)/MAX(Time!AJ31,1)*Inputs!$F$170</f>
        <v>2.61596179006932</v>
      </c>
      <c r="AK91" s="13" t="n">
        <f aca="false">(1-AK86)*(AK52+AK53)/MAX(Time!AK31,1)*Inputs!$F$170</f>
        <v>2.65490025783838</v>
      </c>
      <c r="AL91" s="13" t="n">
        <f aca="false">(1-AL86)*(AL52+AL53)/MAX(Time!AL31,1)*Inputs!$F$170</f>
        <v>2.63989698042201</v>
      </c>
      <c r="AM91" s="13" t="n">
        <f aca="false">(1-AM86)*(AM52+AM53)/MAX(Time!AM31,1)*Inputs!$F$170</f>
        <v>2.6918477643266</v>
      </c>
      <c r="AN91" s="13" t="n">
        <f aca="false">(1-AN86)*(AN52+AN53)/MAX(Time!AN31,1)*Inputs!$F$170</f>
        <v>2.69472054642297</v>
      </c>
      <c r="AO91" s="13" t="n">
        <f aca="false">(1-AO86)*(AO52+AO53)/MAX(Time!AO31,1)*Inputs!$F$170</f>
        <v>2.74115552502977</v>
      </c>
      <c r="AP91" s="13" t="n">
        <f aca="false">(1-AP86)*(AP52+AP53)/MAX(Time!AP31,1)*Inputs!$F$170</f>
        <v>2.73059466647291</v>
      </c>
      <c r="AQ91" s="13" t="n">
        <f aca="false">(1-AQ86)*(AQ52+AQ53)/MAX(Time!AQ31,1)*Inputs!$F$170</f>
        <v>2.78059953533803</v>
      </c>
      <c r="AR91" s="13" t="n">
        <f aca="false">(1-AR86)*(AR52+AR53)/MAX(Time!AR31,1)*Inputs!$F$170</f>
        <v>2.77584374327056</v>
      </c>
      <c r="AS91" s="13" t="n">
        <f aca="false">(1-AS86)*(AS52+AS53)/MAX(Time!AS31,1)*Inputs!$F$170</f>
        <v>2.81394478981712</v>
      </c>
      <c r="AT91" s="13" t="n">
        <f aca="false">(1-AT86)*(AT52+AT53)/MAX(Time!AT31,1)*Inputs!$F$170</f>
        <v>2.79171789685016</v>
      </c>
      <c r="AU91" s="13" t="n">
        <f aca="false">(1-AU86)*(AU52+AU53)/MAX(Time!AU31,1)*Inputs!$F$170</f>
        <v>2.84980260724506</v>
      </c>
      <c r="AV91" s="13" t="n">
        <f aca="false">(1-AV86)*(AV52+AV53)/MAX(Time!AV31,1)*Inputs!$F$170</f>
        <v>2.8594021580345</v>
      </c>
      <c r="AW91" s="13" t="n">
        <f aca="false">(1-AW86)*(AW52+AW53)/MAX(Time!AW31,1)*Inputs!$F$170</f>
        <v>2.90866371343193</v>
      </c>
      <c r="AX91" s="13" t="n">
        <f aca="false">(1-AX86)*(AX52+AX53)/MAX(Time!AX31,1)*Inputs!$F$170</f>
        <v>2.89746713277293</v>
      </c>
      <c r="AY91" s="13" t="n">
        <f aca="false">(1-AY86)*(AY52+AY53)/MAX(Time!AY31,1)*Inputs!$F$170</f>
        <v>2.95051274499719</v>
      </c>
      <c r="AZ91" s="13" t="n">
        <f aca="false">(1-AZ86)*(AZ52+AZ53)/MAX(Time!AZ31,1)*Inputs!$F$170</f>
        <v>2.94546868046382</v>
      </c>
      <c r="BA91" s="13" t="n">
        <f aca="false">(1-BA86)*(BA52+BA53)/MAX(Time!BA31,1)*Inputs!$F$170</f>
        <v>2.98930517230166</v>
      </c>
      <c r="BB91" s="13" t="n">
        <f aca="false">(1-BB86)*(BB52+BB53)/MAX(Time!BB31,1)*Inputs!$F$170</f>
        <v>2.97244486311056</v>
      </c>
      <c r="BC91" s="13" t="n">
        <f aca="false">(1-BC86)*(BC52+BC53)/MAX(Time!BC31,1)*Inputs!$F$170</f>
        <v>3.03089908506511</v>
      </c>
      <c r="BD91" s="13" t="n">
        <f aca="false">(1-BD86)*(BD52+BD53)/MAX(Time!BD31,1)*Inputs!$F$170</f>
        <v>3.03411837548017</v>
      </c>
      <c r="BE91" s="13" t="n">
        <f aca="false">(1-BE86)*(BE52+BE53)/MAX(Time!BE31,1)*Inputs!$F$170</f>
        <v>3.08637771756621</v>
      </c>
      <c r="BF91" s="13" t="n">
        <f aca="false">(1-BF86)*(BF52+BF53)/MAX(Time!BF31,1)*Inputs!$F$170</f>
        <v>3.0745078442089</v>
      </c>
      <c r="BG91" s="13" t="n">
        <f aca="false">(1-BG86)*(BG52+BG53)/MAX(Time!BG31,1)*Inputs!$F$170</f>
        <v>3.13077805121179</v>
      </c>
      <c r="BH91" s="13" t="n">
        <f aca="false">(1-BH86)*(BH52+BH53)/MAX(Time!BH31,1)*Inputs!$F$170</f>
        <v>3.12542854788761</v>
      </c>
      <c r="BI91" s="13" t="n">
        <f aca="false">(1-BI86)*(BI52+BI53)/MAX(Time!BI31,1)*Inputs!$F$170</f>
        <v>3.16832984748238</v>
      </c>
      <c r="BJ91" s="13" t="n">
        <f aca="false">(1-BJ86)*(BJ52+BJ53)/MAX(Time!BJ31,1)*Inputs!$F$170</f>
        <v>3.14335798926834</v>
      </c>
      <c r="BK91" s="13" t="n">
        <f aca="false">(1-BK86)*(BK52+BK53)/MAX(Time!BK31,1)*Inputs!$F$170</f>
        <v>3.20870539139554</v>
      </c>
      <c r="BL91" s="13" t="n">
        <f aca="false">(1-BL86)*(BL52+BL53)/MAX(Time!BL31,1)*Inputs!$F$170</f>
        <v>3.21947880900116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1.62279433704839</v>
      </c>
      <c r="P92" s="13" t="n">
        <f aca="false">(1-P86)*(P60+P61+P62+P64)/MAX(Time!P31,1)*Inputs!$F$171</f>
        <v>1.63163193951614</v>
      </c>
      <c r="Q92" s="13" t="n">
        <f aca="false">(1-Q86)*(Q60+Q61+Q62+Q64)/MAX(Time!Q31,1)*Inputs!$F$171</f>
        <v>1.67142656726559</v>
      </c>
      <c r="R92" s="13" t="n">
        <f aca="false">(1-R86)*(R60+R61+R62+R64)/MAX(Time!R31,1)*Inputs!$F$171</f>
        <v>1.65143205399881</v>
      </c>
      <c r="S92" s="13" t="n">
        <f aca="false">(1-S86)*(S60+S61+S62+S64)/MAX(Time!S31,1)*Inputs!$F$171</f>
        <v>1.70268409232076</v>
      </c>
      <c r="T92" s="13" t="n">
        <f aca="false">(1-T86)*(T60+T61+T62+T64)/MAX(Time!T31,1)*Inputs!$F$171</f>
        <v>1.70421345471358</v>
      </c>
      <c r="U92" s="13" t="n">
        <f aca="false">(1-U86)*(U60+U61+U62+U64)/MAX(Time!U31,1)*Inputs!$F$171</f>
        <v>1.72186426890952</v>
      </c>
      <c r="V92" s="13" t="n">
        <f aca="false">(1-V86)*(V60+V61+V62+V64)/MAX(Time!V31,1)*Inputs!$F$171</f>
        <v>1.68193088590525</v>
      </c>
      <c r="W92" s="13" t="n">
        <f aca="false">(1-W86)*(W60+W61+W62+W64)/MAX(Time!W31,1)*Inputs!$F$171</f>
        <v>1.74899069753059</v>
      </c>
      <c r="X92" s="13" t="n">
        <f aca="false">(1-X86)*(X60+X61+X62+X64)/MAX(Time!X31,1)*Inputs!$F$171</f>
        <v>1.78002368603306</v>
      </c>
      <c r="Y92" s="13" t="n">
        <f aca="false">(1-Y86)*(Y60+Y61+Y62+Y64)/MAX(Time!Y31,1)*Inputs!$F$171</f>
        <v>1.82343750887836</v>
      </c>
      <c r="Z92" s="13" t="n">
        <f aca="false">(1-Z86)*(Z60+Z61+Z62+Z64)/MAX(Time!Z31,1)*Inputs!$F$171</f>
        <v>1.80162455808743</v>
      </c>
      <c r="AA92" s="13" t="n">
        <f aca="false">(1-AA86)*(AA60+AA61+AA62+AA64)/MAX(Time!AA31,1)*Inputs!$F$171</f>
        <v>1.85753780663391</v>
      </c>
      <c r="AB92" s="13" t="n">
        <f aca="false">(1-AB86)*(AB60+AB61+AB62+AB64)/MAX(Time!AB31,1)*Inputs!$F$171</f>
        <v>1.85920625968255</v>
      </c>
      <c r="AC92" s="13" t="n">
        <f aca="false">(1-AC86)*(AC60+AC61+AC62+AC64)/MAX(Time!AC31,1)*Inputs!$F$171</f>
        <v>1.86555526618163</v>
      </c>
      <c r="AD92" s="13" t="n">
        <f aca="false">(1-AD86)*(AD60+AD61+AD62+AD64)/MAX(Time!AD31,1)*Inputs!$F$171</f>
        <v>1.80229134424263</v>
      </c>
      <c r="AE92" s="13" t="n">
        <f aca="false">(1-AE86)*(AE60+AE61+AE62+AE64)/MAX(Time!AE31,1)*Inputs!$F$171</f>
        <v>1.88152799461196</v>
      </c>
      <c r="AF92" s="13" t="n">
        <f aca="false">(1-AF86)*(AF60+AF61+AF62+AF64)/MAX(Time!AF31,1)*Inputs!$F$171</f>
        <v>1.94191119093827</v>
      </c>
      <c r="AG92" s="13" t="n">
        <f aca="false">(1-AG86)*(AG60+AG61+AG62+AG64)/MAX(Time!AG31,1)*Inputs!$F$171</f>
        <v>1.98927336318699</v>
      </c>
      <c r="AH92" s="13" t="n">
        <f aca="false">(1-AH86)*(AH60+AH61+AH62+AH64)/MAX(Time!AH31,1)*Inputs!$F$171</f>
        <v>1.96547659375035</v>
      </c>
      <c r="AI92" s="13" t="n">
        <f aca="false">(1-AI86)*(AI60+AI61+AI62+AI64)/MAX(Time!AI31,1)*Inputs!$F$171</f>
        <v>2.0264749747978</v>
      </c>
      <c r="AJ92" s="13" t="n">
        <f aca="false">(1-AJ86)*(AJ60+AJ61+AJ62+AJ64)/MAX(Time!AJ31,1)*Inputs!$F$171</f>
        <v>2.02829516835596</v>
      </c>
      <c r="AK92" s="13" t="n">
        <f aca="false">(1-AK86)*(AK60+AK61+AK62+AK64)/MAX(Time!AK31,1)*Inputs!$F$171</f>
        <v>2.04930254924018</v>
      </c>
      <c r="AL92" s="13" t="n">
        <f aca="false">(1-AL86)*(AL60+AL61+AL62+AL64)/MAX(Time!AL31,1)*Inputs!$F$171</f>
        <v>2.0017752353467</v>
      </c>
      <c r="AM92" s="13" t="n">
        <f aca="false">(1-AM86)*(AM60+AM61+AM62+AM64)/MAX(Time!AM31,1)*Inputs!$F$171</f>
        <v>2.08158747455555</v>
      </c>
      <c r="AN92" s="13" t="n">
        <f aca="false">(1-AN86)*(AN60+AN61+AN62+AN64)/MAX(Time!AN31,1)*Inputs!$F$171</f>
        <v>2.11852185062511</v>
      </c>
      <c r="AO92" s="13" t="n">
        <f aca="false">(1-AO86)*(AO60+AO61+AO62+AO64)/MAX(Time!AO31,1)*Inputs!$F$171</f>
        <v>2.17019146212445</v>
      </c>
      <c r="AP92" s="13" t="n">
        <f aca="false">(1-AP86)*(AP60+AP61+AP62+AP64)/MAX(Time!AP31,1)*Inputs!$F$171</f>
        <v>2.1442304520324</v>
      </c>
      <c r="AQ92" s="13" t="n">
        <f aca="false">(1-AQ86)*(AQ60+AQ61+AQ62+AQ64)/MAX(Time!AQ31,1)*Inputs!$F$171</f>
        <v>2.21077644224286</v>
      </c>
      <c r="AR92" s="13" t="n">
        <f aca="false">(1-AR86)*(AR60+AR61+AR62+AR64)/MAX(Time!AR31,1)*Inputs!$F$171</f>
        <v>2.21276217662832</v>
      </c>
      <c r="AS92" s="13" t="n">
        <f aca="false">(1-AS86)*(AS60+AS61+AS62+AS64)/MAX(Time!AS31,1)*Inputs!$F$171</f>
        <v>2.22031854180682</v>
      </c>
      <c r="AT92" s="13" t="n">
        <f aca="false">(1-AT86)*(AT60+AT61+AT62+AT64)/MAX(Time!AT31,1)*Inputs!$F$171</f>
        <v>2.14502403756194</v>
      </c>
      <c r="AU92" s="13" t="n">
        <f aca="false">(1-AU86)*(AU60+AU61+AU62+AU64)/MAX(Time!AU31,1)*Inputs!$F$171</f>
        <v>2.23932872378321</v>
      </c>
      <c r="AV92" s="13" t="n">
        <f aca="false">(1-AV86)*(AV60+AV61+AV62+AV64)/MAX(Time!AV31,1)*Inputs!$F$171</f>
        <v>2.31119468929345</v>
      </c>
      <c r="AW92" s="13" t="n">
        <f aca="false">(1-AW86)*(AW60+AW61+AW62+AW64)/MAX(Time!AW31,1)*Inputs!$F$171</f>
        <v>2.36756348797253</v>
      </c>
      <c r="AX92" s="13" t="n">
        <f aca="false">(1-AX86)*(AX60+AX61+AX62+AX64)/MAX(Time!AX31,1)*Inputs!$F$171</f>
        <v>2.33924140640621</v>
      </c>
      <c r="AY92" s="13" t="n">
        <f aca="false">(1-AY86)*(AY60+AY61+AY62+AY64)/MAX(Time!AY31,1)*Inputs!$F$171</f>
        <v>2.41183954322638</v>
      </c>
      <c r="AZ92" s="13" t="n">
        <f aca="false">(1-AZ86)*(AZ60+AZ61+AZ62+AZ64)/MAX(Time!AZ31,1)*Inputs!$F$171</f>
        <v>2.41400587385198</v>
      </c>
      <c r="BA92" s="13" t="n">
        <f aca="false">(1-BA86)*(BA60+BA61+BA62+BA64)/MAX(Time!BA31,1)*Inputs!$F$171</f>
        <v>2.43900812285396</v>
      </c>
      <c r="BB92" s="13" t="n">
        <f aca="false">(1-BB86)*(BB60+BB61+BB62+BB64)/MAX(Time!BB31,1)*Inputs!$F$171</f>
        <v>2.38244277837293</v>
      </c>
      <c r="BC92" s="13" t="n">
        <f aca="false">(1-BC86)*(BC60+BC61+BC62+BC64)/MAX(Time!BC31,1)*Inputs!$F$171</f>
        <v>2.47743251027255</v>
      </c>
      <c r="BD92" s="13" t="n">
        <f aca="false">(1-BD86)*(BD60+BD61+BD62+BD64)/MAX(Time!BD31,1)*Inputs!$F$171</f>
        <v>2.52139051114441</v>
      </c>
      <c r="BE92" s="13" t="n">
        <f aca="false">(1-BE86)*(BE60+BE61+BE62+BE64)/MAX(Time!BE31,1)*Inputs!$F$171</f>
        <v>2.58288587316322</v>
      </c>
      <c r="BF92" s="13" t="n">
        <f aca="false">(1-BF86)*(BF60+BF61+BF62+BF64)/MAX(Time!BF31,1)*Inputs!$F$171</f>
        <v>2.55198798816547</v>
      </c>
      <c r="BG92" s="13" t="n">
        <f aca="false">(1-BG86)*(BG60+BG61+BG62+BG64)/MAX(Time!BG31,1)*Inputs!$F$171</f>
        <v>2.63118869512154</v>
      </c>
      <c r="BH92" s="13" t="n">
        <f aca="false">(1-BH86)*(BH60+BH61+BH62+BH64)/MAX(Time!BH31,1)*Inputs!$F$171</f>
        <v>2.63355204664216</v>
      </c>
      <c r="BI92" s="13" t="n">
        <f aca="false">(1-BI86)*(BI60+BI61+BI62+BI64)/MAX(Time!BI31,1)*Inputs!$F$171</f>
        <v>2.64254536783646</v>
      </c>
      <c r="BJ92" s="13" t="n">
        <f aca="false">(1-BJ86)*(BJ60+BJ61+BJ62+BJ64)/MAX(Time!BJ31,1)*Inputs!$F$171</f>
        <v>2.55293248586956</v>
      </c>
      <c r="BK92" s="13" t="n">
        <f aca="false">(1-BK86)*(BK60+BK61+BK62+BK64)/MAX(Time!BK31,1)*Inputs!$F$171</f>
        <v>2.6651706206448</v>
      </c>
      <c r="BL92" s="13" t="n">
        <f aca="false">(1-BL86)*(BL60+BL61+BL62+BL64)/MAX(Time!BL31,1)*Inputs!$F$171</f>
        <v>2.75070297588499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1.14847864375152</v>
      </c>
      <c r="P93" s="13" t="n">
        <f aca="false">(1-P86)*(P65+P66+P67+P68+P69+P70+P71)/MAX(Time!P31,1)*Inputs!$F$172</f>
        <v>1.15366445631772</v>
      </c>
      <c r="Q93" s="13" t="n">
        <f aca="false">(1-Q86)*(Q65+Q66+Q67+Q68+Q69+Q70+Q71)/MAX(Time!Q31,1)*Inputs!$F$172</f>
        <v>1.18335450623804</v>
      </c>
      <c r="R93" s="13" t="n">
        <f aca="false">(1-R86)*(R65+R66+R67+R68+R69+R70+R71)/MAX(Time!R31,1)*Inputs!$F$172</f>
        <v>1.17347619245165</v>
      </c>
      <c r="S93" s="13" t="n">
        <f aca="false">(1-S86)*(S65+S66+S67+S68+S69+S70+S71)/MAX(Time!S31,1)*Inputs!$F$172</f>
        <v>1.20591102879099</v>
      </c>
      <c r="T93" s="13" t="n">
        <f aca="false">(1-T86)*(T65+T66+T67+T68+T69+T70+T71)/MAX(Time!T31,1)*Inputs!$F$172</f>
        <v>1.20027367675885</v>
      </c>
      <c r="U93" s="13" t="n">
        <f aca="false">(1-U86)*(U65+U66+U67+U68+U69+U70+U71)/MAX(Time!U31,1)*Inputs!$F$172</f>
        <v>1.22155270489876</v>
      </c>
      <c r="V93" s="13" t="n">
        <f aca="false">(1-V86)*(V65+V66+V67+V68+V69+V70+V71)/MAX(Time!V31,1)*Inputs!$F$172</f>
        <v>1.21231883031339</v>
      </c>
      <c r="W93" s="13" t="n">
        <f aca="false">(1-W86)*(W65+W66+W67+W68+W69+W70+W71)/MAX(Time!W31,1)*Inputs!$F$172</f>
        <v>1.24882645235952</v>
      </c>
      <c r="X93" s="13" t="n">
        <f aca="false">(1-X86)*(X65+X66+X67+X68+X69+X70+X71)/MAX(Time!X31,1)*Inputs!$F$172</f>
        <v>1.24891003920754</v>
      </c>
      <c r="Y93" s="13" t="n">
        <f aca="false">(1-Y86)*(Y65+Y66+Y67+Y68+Y69+Y70+Y71)/MAX(Time!Y31,1)*Inputs!$F$172</f>
        <v>1.28112291444409</v>
      </c>
      <c r="Z93" s="13" t="n">
        <f aca="false">(1-Z86)*(Z65+Z66+Z67+Z68+Z69+Z70+Z71)/MAX(Time!Z31,1)*Inputs!$F$172</f>
        <v>1.27049712137628</v>
      </c>
      <c r="AA93" s="13" t="n">
        <f aca="false">(1-AA86)*(AA65+AA66+AA67+AA68+AA69+AA70+AA71)/MAX(Time!AA31,1)*Inputs!$F$172</f>
        <v>1.30568925356448</v>
      </c>
      <c r="AB93" s="13" t="n">
        <f aca="false">(1-AB86)*(AB65+AB66+AB67+AB68+AB69+AB70+AB71)/MAX(Time!AB31,1)*Inputs!$F$172</f>
        <v>1.29966166288473</v>
      </c>
      <c r="AC93" s="13" t="n">
        <f aca="false">(1-AC86)*(AC65+AC66+AC67+AC68+AC69+AC70+AC71)/MAX(Time!AC31,1)*Inputs!$F$172</f>
        <v>1.3201893250477</v>
      </c>
      <c r="AD93" s="13" t="n">
        <f aca="false">(1-AD86)*(AD65+AD66+AD67+AD68+AD69+AD70+AD71)/MAX(Time!AD31,1)*Inputs!$F$172</f>
        <v>1.3042707602834</v>
      </c>
      <c r="AE93" s="13" t="n">
        <f aca="false">(1-AE86)*(AE65+AE66+AE67+AE68+AE69+AE70+AE71)/MAX(Time!AE31,1)*Inputs!$F$172</f>
        <v>1.34715020619785</v>
      </c>
      <c r="AF93" s="13" t="n">
        <f aca="false">(1-AF86)*(AF65+AF66+AF67+AF68+AF69+AF70+AF71)/MAX(Time!AF31,1)*Inputs!$F$172</f>
        <v>1.35262049544039</v>
      </c>
      <c r="AG93" s="13" t="n">
        <f aca="false">(1-AG86)*(AG65+AG66+AG67+AG68+AG69+AG70+AG71)/MAX(Time!AG31,1)*Inputs!$F$172</f>
        <v>1.38758082032614</v>
      </c>
      <c r="AH93" s="13" t="n">
        <f aca="false">(1-AH86)*(AH65+AH66+AH67+AH68+AH69+AH70+AH71)/MAX(Time!AH31,1)*Inputs!$F$172</f>
        <v>1.37614197850623</v>
      </c>
      <c r="AI93" s="13" t="n">
        <f aca="false">(1-AI86)*(AI65+AI66+AI67+AI68+AI69+AI70+AI71)/MAX(Time!AI31,1)*Inputs!$F$172</f>
        <v>1.41433597655674</v>
      </c>
      <c r="AJ93" s="13" t="n">
        <f aca="false">(1-AJ86)*(AJ65+AJ66+AJ67+AJ68+AJ69+AJ70+AJ71)/MAX(Time!AJ31,1)*Inputs!$F$172</f>
        <v>1.40788247918855</v>
      </c>
      <c r="AK93" s="13" t="n">
        <f aca="false">(1-AK86)*(AK65+AK66+AK67+AK68+AK69+AK70+AK71)/MAX(Time!AK31,1)*Inputs!$F$172</f>
        <v>1.43298398713013</v>
      </c>
      <c r="AL93" s="13" t="n">
        <f aca="false">(1-AL86)*(AL65+AL66+AL67+AL68+AL69+AL70+AL71)/MAX(Time!AL31,1)*Inputs!$F$172</f>
        <v>1.42228184196693</v>
      </c>
      <c r="AM93" s="13" t="n">
        <f aca="false">(1-AM86)*(AM65+AM66+AM67+AM68+AM69+AM70+AM71)/MAX(Time!AM31,1)*Inputs!$F$172</f>
        <v>1.46527748087583</v>
      </c>
      <c r="AN93" s="13" t="n">
        <f aca="false">(1-AN86)*(AN65+AN66+AN67+AN68+AN69+AN70+AN71)/MAX(Time!AN31,1)*Inputs!$F$172</f>
        <v>1.46554772455616</v>
      </c>
      <c r="AO93" s="13" t="n">
        <f aca="false">(1-AO86)*(AO65+AO66+AO67+AO68+AO69+AO70+AO71)/MAX(Time!AO31,1)*Inputs!$F$172</f>
        <v>1.50350011405582</v>
      </c>
      <c r="AP93" s="13" t="n">
        <f aca="false">(1-AP86)*(AP65+AP66+AP67+AP68+AP69+AP70+AP71)/MAX(Time!AP31,1)*Inputs!$F$172</f>
        <v>1.49117690998684</v>
      </c>
      <c r="AQ93" s="13" t="n">
        <f aca="false">(1-AQ86)*(AQ65+AQ66+AQ67+AQ68+AQ69+AQ70+AQ71)/MAX(Time!AQ31,1)*Inputs!$F$172</f>
        <v>1.5326390231555</v>
      </c>
      <c r="AR93" s="13" t="n">
        <f aca="false">(1-AR86)*(AR65+AR66+AR67+AR68+AR69+AR70+AR71)/MAX(Time!AR31,1)*Inputs!$F$172</f>
        <v>1.52572069105859</v>
      </c>
      <c r="AS93" s="13" t="n">
        <f aca="false">(1-AS86)*(AS65+AS66+AS67+AS68+AS69+AS70+AS71)/MAX(Time!AS31,1)*Inputs!$F$172</f>
        <v>1.54996049964877</v>
      </c>
      <c r="AT93" s="13" t="n">
        <f aca="false">(1-AT86)*(AT65+AT66+AT67+AT68+AT69+AT70+AT71)/MAX(Time!AT31,1)*Inputs!$F$172</f>
        <v>1.53148732626107</v>
      </c>
      <c r="AU93" s="13" t="n">
        <f aca="false">(1-AU86)*(AU65+AU66+AU67+AU68+AU69+AU70+AU71)/MAX(Time!AU31,1)*Inputs!$F$172</f>
        <v>1.58191373698795</v>
      </c>
      <c r="AV93" s="13" t="n">
        <f aca="false">(1-AV86)*(AV65+AV66+AV67+AV68+AV69+AV70+AV71)/MAX(Time!AV31,1)*Inputs!$F$172</f>
        <v>1.58851037612815</v>
      </c>
      <c r="AW93" s="13" t="n">
        <f aca="false">(1-AW86)*(AW65+AW66+AW67+AW68+AW69+AW70+AW71)/MAX(Time!AW31,1)*Inputs!$F$172</f>
        <v>1.62972121406626</v>
      </c>
      <c r="AX93" s="13" t="n">
        <f aca="false">(1-AX86)*(AX65+AX66+AX67+AX68+AX69+AX70+AX71)/MAX(Time!AX31,1)*Inputs!$F$172</f>
        <v>1.61643608776943</v>
      </c>
      <c r="AY93" s="13" t="n">
        <f aca="false">(1-AY86)*(AY65+AY66+AY67+AY68+AY69+AY70+AY71)/MAX(Time!AY31,1)*Inputs!$F$172</f>
        <v>1.66145616495294</v>
      </c>
      <c r="AZ93" s="13" t="n">
        <f aca="false">(1-AZ86)*(AZ65+AZ66+AZ67+AZ68+AZ69+AZ70+AZ71)/MAX(Time!AZ31,1)*Inputs!$F$172</f>
        <v>1.65403051213631</v>
      </c>
      <c r="BA93" s="13" t="n">
        <f aca="false">(1-BA86)*(BA65+BA66+BA67+BA68+BA69+BA70+BA71)/MAX(Time!BA31,1)*Inputs!$F$172</f>
        <v>1.68367159312184</v>
      </c>
      <c r="BB93" s="13" t="n">
        <f aca="false">(1-BB86)*(BB65+BB66+BB67+BB68+BB69+BB70+BB71)/MAX(Time!BB31,1)*Inputs!$F$172</f>
        <v>1.67124387492743</v>
      </c>
      <c r="BC93" s="13" t="n">
        <f aca="false">(1-BC86)*(BC65+BC66+BC67+BC68+BC69+BC70+BC71)/MAX(Time!BC31,1)*Inputs!$F$172</f>
        <v>1.72192437056421</v>
      </c>
      <c r="BD93" s="13" t="n">
        <f aca="false">(1-BD86)*(BD65+BD66+BD67+BD68+BD69+BD70+BD71)/MAX(Time!BD31,1)*Inputs!$F$172</f>
        <v>1.72239977196477</v>
      </c>
      <c r="BE93" s="13" t="n">
        <f aca="false">(1-BE86)*(BE65+BE66+BE67+BE68+BE69+BE70+BE71)/MAX(Time!BE31,1)*Inputs!$F$172</f>
        <v>1.76715914735325</v>
      </c>
      <c r="BF93" s="13" t="n">
        <f aca="false">(1-BF86)*(BF65+BF66+BF67+BF68+BF69+BF70+BF71)/MAX(Time!BF31,1)*Inputs!$F$172</f>
        <v>1.75282774602973</v>
      </c>
      <c r="BG93" s="13" t="n">
        <f aca="false">(1-BG86)*(BG65+BG66+BG67+BG68+BG69+BG70+BG71)/MAX(Time!BG31,1)*Inputs!$F$172</f>
        <v>1.80172132615633</v>
      </c>
      <c r="BH93" s="13" t="n">
        <f aca="false">(1-BH86)*(BH65+BH66+BH67+BH68+BH69+BH70+BH71)/MAX(Time!BH31,1)*Inputs!$F$172</f>
        <v>1.79374198349612</v>
      </c>
      <c r="BI93" s="13" t="n">
        <f aca="false">(1-BI86)*(BI65+BI66+BI67+BI68+BI69+BI70+BI71)/MAX(Time!BI31,1)*Inputs!$F$172</f>
        <v>1.8223962401049</v>
      </c>
      <c r="BJ93" s="13" t="n">
        <f aca="false">(1-BJ86)*(BJ65+BJ66+BJ67+BJ68+BJ69+BJ70+BJ71)/MAX(Time!BJ31,1)*Inputs!$F$172</f>
        <v>1.80092072781408</v>
      </c>
      <c r="BK93" s="13" t="n">
        <f aca="false">(1-BK86)*(BK65+BK66+BK67+BK68+BK69+BK70+BK71)/MAX(Time!BK31,1)*Inputs!$F$172</f>
        <v>1.86028226786729</v>
      </c>
      <c r="BL93" s="13" t="n">
        <f aca="false">(1-BL86)*(BL65+BL66+BL67+BL68+BL69+BL70+BL71)/MAX(Time!BL31,1)*Inputs!$F$172</f>
        <v>1.86818635341103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14.9502028576304</v>
      </c>
      <c r="P95" s="13" t="n">
        <f aca="false">P88+P89-P90-P91-P92-P93-P94</f>
        <v>14.914543720459</v>
      </c>
      <c r="Q95" s="13" t="n">
        <f aca="false">Q88+Q89-Q90-Q91-Q92-Q93-Q94</f>
        <v>15.2044011255357</v>
      </c>
      <c r="R95" s="13" t="n">
        <f aca="false">R88+R89-R90-R91-R92-R93-R94</f>
        <v>15.0124589949144</v>
      </c>
      <c r="S95" s="13" t="n">
        <f aca="false">S88+S89-S90-S91-S92-S93-S94</f>
        <v>15.3047879889956</v>
      </c>
      <c r="T95" s="13" t="n">
        <f aca="false">T88+T89-T90-T91-T92-T93-T94</f>
        <v>15.1122482517072</v>
      </c>
      <c r="U95" s="13" t="n">
        <f aca="false">U88+U89-U90-U91-U92-U93-U94</f>
        <v>15.3279635439612</v>
      </c>
      <c r="V95" s="13" t="n">
        <f aca="false">V88+V89-V90-V91-V92-V93-V94</f>
        <v>15.2146530680429</v>
      </c>
      <c r="W95" s="13" t="n">
        <f aca="false">W88+W89-W90-W91-W92-W93-W94</f>
        <v>15.5118990606048</v>
      </c>
      <c r="X95" s="13" t="n">
        <f aca="false">X88+X89-X90-X91-X92-X93-X94</f>
        <v>15.3178297743035</v>
      </c>
      <c r="Y95" s="13" t="n">
        <f aca="false">Y88+Y89-Y90-Y91-Y92-Y93-Y94</f>
        <v>15.617924483505</v>
      </c>
      <c r="Z95" s="13" t="n">
        <f aca="false">Z88+Z89-Z90-Z91-Z92-Z93-Z94</f>
        <v>15.4240052520642</v>
      </c>
      <c r="AA95" s="13" t="n">
        <f aca="false">AA88+AA89-AA90-AA91-AA92-AA93-AA94</f>
        <v>15.7265782092468</v>
      </c>
      <c r="AB95" s="13" t="n">
        <f aca="false">AB88+AB89-AB90-AB91-AB92-AB93-AB94</f>
        <v>15.531608682025</v>
      </c>
      <c r="AC95" s="13" t="n">
        <f aca="false">AC88+AC89-AC90-AC91-AC92-AC93-AC94</f>
        <v>15.7565341117681</v>
      </c>
      <c r="AD95" s="13" t="n">
        <f aca="false">AD88+AD89-AD90-AD91-AD92-AD93-AD94</f>
        <v>15.4141097997541</v>
      </c>
      <c r="AE95" s="13" t="n">
        <f aca="false">AE88+AE89-AE90-AE91-AE92-AE93-AE94</f>
        <v>15.9518529409946</v>
      </c>
      <c r="AF95" s="13" t="n">
        <f aca="false">AF88+AF89-AF90-AF91-AF92-AF93-AF94</f>
        <v>15.7539186338379</v>
      </c>
      <c r="AG95" s="13" t="n">
        <f aca="false">AG88+AG89-AG90-AG91-AG92-AG93-AG94</f>
        <v>16.0650958913163</v>
      </c>
      <c r="AH95" s="13" t="n">
        <f aca="false">AH88+AH89-AH90-AH91-AH92-AH93-AH94</f>
        <v>15.8690638969659</v>
      </c>
      <c r="AI95" s="13" t="n">
        <f aca="false">AI88+AI89-AI90-AI91-AI92-AI93-AI94</f>
        <v>16.1827113800051</v>
      </c>
      <c r="AJ95" s="13" t="n">
        <f aca="false">AJ88+AJ89-AJ90-AJ91-AJ92-AJ93-AJ94</f>
        <v>15.9851071112169</v>
      </c>
      <c r="AK95" s="13" t="n">
        <f aca="false">AK88+AK89-AK90-AK91-AK92-AK93-AK94</f>
        <v>16.2193668139487</v>
      </c>
      <c r="AL95" s="13" t="n">
        <f aca="false">AL88+AL89-AL90-AL91-AL92-AL93-AL94</f>
        <v>16.1072692300838</v>
      </c>
      <c r="AM95" s="13" t="n">
        <f aca="false">AM88+AM89-AM90-AM91-AM92-AM93-AM94</f>
        <v>16.4261253104802</v>
      </c>
      <c r="AN95" s="13" t="n">
        <f aca="false">AN88+AN89-AN90-AN91-AN92-AN93-AN94</f>
        <v>16.2255359991544</v>
      </c>
      <c r="AO95" s="13" t="n">
        <f aca="false">AO88+AO89-AO90-AO91-AO92-AO93-AO94</f>
        <v>16.5487122698079</v>
      </c>
      <c r="AP95" s="13" t="n">
        <f aca="false">AP88+AP89-AP90-AP91-AP92-AP93-AP94</f>
        <v>16.3504224530455</v>
      </c>
      <c r="AQ95" s="13" t="n">
        <f aca="false">AQ88+AQ89-AQ90-AQ91-AQ92-AQ93-AQ94</f>
        <v>16.6760438387178</v>
      </c>
      <c r="AR95" s="13" t="n">
        <f aca="false">AR88+AR89-AR90-AR91-AR92-AR93-AR94</f>
        <v>16.4755821918743</v>
      </c>
      <c r="AS95" s="13" t="n">
        <f aca="false">AS88+AS89-AS90-AS91-AS92-AS93-AS94</f>
        <v>16.7211913214236</v>
      </c>
      <c r="AT95" s="13" t="n">
        <f aca="false">AT88+AT89-AT90-AT91-AT92-AT93-AT94</f>
        <v>16.3647156820318</v>
      </c>
      <c r="AU95" s="13" t="n">
        <f aca="false">AU88+AU89-AU90-AU91-AU92-AU93-AU94</f>
        <v>16.9419201765532</v>
      </c>
      <c r="AV95" s="13" t="n">
        <f aca="false">AV88+AV89-AV90-AV91-AV92-AV93-AV94</f>
        <v>16.735638224313</v>
      </c>
      <c r="AW95" s="13" t="n">
        <f aca="false">AW88+AW89-AW90-AW91-AW92-AW93-AW94</f>
        <v>17.0718073007462</v>
      </c>
      <c r="AX95" s="13" t="n">
        <f aca="false">AX88+AX89-AX90-AX91-AX92-AX93-AX94</f>
        <v>16.87110454199</v>
      </c>
      <c r="AY95" s="13" t="n">
        <f aca="false">AY88+AY89-AY90-AY91-AY92-AY93-AY94</f>
        <v>17.209673833837</v>
      </c>
      <c r="AZ95" s="13" t="n">
        <f aca="false">AZ88+AZ89-AZ90-AZ91-AZ92-AZ93-AZ94</f>
        <v>17.00611293047</v>
      </c>
      <c r="BA95" s="13" t="n">
        <f aca="false">BA88+BA89-BA90-BA91-BA92-BA93-BA94</f>
        <v>17.262189845357</v>
      </c>
      <c r="BB95" s="13" t="n">
        <f aca="false">BB88+BB89-BB90-BB91-BB92-BB93-BB94</f>
        <v>17.1518488305538</v>
      </c>
      <c r="BC95" s="13" t="n">
        <f aca="false">BC88+BC89-BC90-BC91-BC92-BC93-BC94</f>
        <v>17.495880613192</v>
      </c>
      <c r="BD95" s="13" t="n">
        <f aca="false">BD88+BD89-BD90-BD91-BD92-BD93-BD94</f>
        <v>17.2874321297845</v>
      </c>
      <c r="BE95" s="13" t="n">
        <f aca="false">BE88+BE89-BE90-BE91-BE92-BE93-BE94</f>
        <v>17.6376717705274</v>
      </c>
      <c r="BF95" s="13" t="n">
        <f aca="false">BF88+BF89-BF90-BF91-BF92-BF93-BF94</f>
        <v>17.4343901794083</v>
      </c>
      <c r="BG95" s="13" t="n">
        <f aca="false">BG88+BG89-BG90-BG91-BG92-BG93-BG94</f>
        <v>17.7869623196448</v>
      </c>
      <c r="BH95" s="13" t="n">
        <f aca="false">BH88+BH89-BH90-BH91-BH92-BH93-BH94</f>
        <v>17.5800393427392</v>
      </c>
      <c r="BI95" s="13" t="n">
        <f aca="false">BI88+BI89-BI90-BI91-BI92-BI93-BI94</f>
        <v>17.8500702403174</v>
      </c>
      <c r="BJ95" s="13" t="n">
        <f aca="false">BJ88+BJ89-BJ90-BJ91-BJ92-BJ93-BJ94</f>
        <v>17.4773527470982</v>
      </c>
      <c r="BK95" s="13" t="n">
        <f aca="false">BK88+BK89-BK90-BK91-BK92-BK93-BK94</f>
        <v>18.1008730502928</v>
      </c>
      <c r="BL95" s="13" t="n">
        <f aca="false">BL88+BL89-BL90-BL91-BL92-BL93-BL94</f>
        <v>17.8843965369475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14.9502028576304</v>
      </c>
      <c r="P96" s="13" t="n">
        <f aca="false">P95-O95</f>
        <v>-0.0356591371713346</v>
      </c>
      <c r="Q96" s="13" t="n">
        <f aca="false">Q95-P95</f>
        <v>0.28985740507661</v>
      </c>
      <c r="R96" s="13" t="n">
        <f aca="false">R95-Q95</f>
        <v>-0.191942130621261</v>
      </c>
      <c r="S96" s="13" t="n">
        <f aca="false">S95-R95</f>
        <v>0.292328994081212</v>
      </c>
      <c r="T96" s="13" t="n">
        <f aca="false">T95-S95</f>
        <v>-0.192539737288438</v>
      </c>
      <c r="U96" s="13" t="n">
        <f aca="false">U95-T95</f>
        <v>0.21571529225406</v>
      </c>
      <c r="V96" s="13" t="n">
        <f aca="false">V95-U95</f>
        <v>-0.113310475918349</v>
      </c>
      <c r="W96" s="13" t="n">
        <f aca="false">W95-V95</f>
        <v>0.297245992561916</v>
      </c>
      <c r="X96" s="13" t="n">
        <f aca="false">X95-W95</f>
        <v>-0.194069286301271</v>
      </c>
      <c r="Y96" s="13" t="n">
        <f aca="false">Y95-X95</f>
        <v>0.300094709201462</v>
      </c>
      <c r="Z96" s="13" t="n">
        <f aca="false">Z95-Y95</f>
        <v>-0.193919231440828</v>
      </c>
      <c r="AA96" s="13" t="n">
        <f aca="false">AA95-Z95</f>
        <v>0.302572957182624</v>
      </c>
      <c r="AB96" s="13" t="n">
        <f aca="false">AB95-AA95</f>
        <v>-0.194969527221764</v>
      </c>
      <c r="AC96" s="13" t="n">
        <f aca="false">AC95-AB95</f>
        <v>0.224925429743106</v>
      </c>
      <c r="AD96" s="13" t="n">
        <f aca="false">AD95-AC95</f>
        <v>-0.342424312013984</v>
      </c>
      <c r="AE96" s="13" t="n">
        <f aca="false">AE95-AD95</f>
        <v>0.537743141240449</v>
      </c>
      <c r="AF96" s="13" t="n">
        <f aca="false">AF95-AE95</f>
        <v>-0.197934307156711</v>
      </c>
      <c r="AG96" s="13" t="n">
        <f aca="false">AG95-AF95</f>
        <v>0.311177257478441</v>
      </c>
      <c r="AH96" s="13" t="n">
        <f aca="false">AH95-AG95</f>
        <v>-0.196031994350435</v>
      </c>
      <c r="AI96" s="13" t="n">
        <f aca="false">AI95-AH95</f>
        <v>0.313647483039226</v>
      </c>
      <c r="AJ96" s="13" t="n">
        <f aca="false">AJ95-AI95</f>
        <v>-0.197604268788162</v>
      </c>
      <c r="AK96" s="13" t="n">
        <f aca="false">AK95-AJ95</f>
        <v>0.234259702731773</v>
      </c>
      <c r="AL96" s="13" t="n">
        <f aca="false">AL95-AK95</f>
        <v>-0.112097583864944</v>
      </c>
      <c r="AM96" s="13" t="n">
        <f aca="false">AM95-AL95</f>
        <v>0.318856080396397</v>
      </c>
      <c r="AN96" s="13" t="n">
        <f aca="false">AN95-AM95</f>
        <v>-0.200589311325778</v>
      </c>
      <c r="AO96" s="13" t="n">
        <f aca="false">AO95-AN95</f>
        <v>0.323176270653534</v>
      </c>
      <c r="AP96" s="13" t="n">
        <f aca="false">AP95-AO95</f>
        <v>-0.198289816762468</v>
      </c>
      <c r="AQ96" s="13" t="n">
        <f aca="false">AQ95-AP95</f>
        <v>0.325621385672349</v>
      </c>
      <c r="AR96" s="13" t="n">
        <f aca="false">AR95-AQ95</f>
        <v>-0.200461646843468</v>
      </c>
      <c r="AS96" s="13" t="n">
        <f aca="false">AS95-AR95</f>
        <v>0.245609129549219</v>
      </c>
      <c r="AT96" s="13" t="n">
        <f aca="false">AT95-AS95</f>
        <v>-0.356475639391743</v>
      </c>
      <c r="AU96" s="13" t="n">
        <f aca="false">AU95-AT95</f>
        <v>0.577204494521428</v>
      </c>
      <c r="AV96" s="13" t="n">
        <f aca="false">AV95-AU95</f>
        <v>-0.206281952240257</v>
      </c>
      <c r="AW96" s="13" t="n">
        <f aca="false">AW95-AV95</f>
        <v>0.336169076433261</v>
      </c>
      <c r="AX96" s="13" t="n">
        <f aca="false">AX95-AW95</f>
        <v>-0.200702758756215</v>
      </c>
      <c r="AY96" s="13" t="n">
        <f aca="false">AY95-AX95</f>
        <v>0.338569291846948</v>
      </c>
      <c r="AZ96" s="13" t="n">
        <f aca="false">AZ95-AY95</f>
        <v>-0.203560903367013</v>
      </c>
      <c r="BA96" s="13" t="n">
        <f aca="false">BA95-AZ95</f>
        <v>0.256076914887046</v>
      </c>
      <c r="BB96" s="13" t="n">
        <f aca="false">BB95-BA95</f>
        <v>-0.110341014803218</v>
      </c>
      <c r="BC96" s="13" t="n">
        <f aca="false">BC95-BB95</f>
        <v>0.344031782638169</v>
      </c>
      <c r="BD96" s="13" t="n">
        <f aca="false">BD95-BC95</f>
        <v>-0.208448483407501</v>
      </c>
      <c r="BE96" s="13" t="n">
        <f aca="false">BE95-BD95</f>
        <v>0.350239640742888</v>
      </c>
      <c r="BF96" s="13" t="n">
        <f aca="false">BF95-BE95</f>
        <v>-0.203281591119076</v>
      </c>
      <c r="BG96" s="13" t="n">
        <f aca="false">BG95-BF95</f>
        <v>0.352572140236529</v>
      </c>
      <c r="BH96" s="13" t="n">
        <f aca="false">BH95-BG95</f>
        <v>-0.206922976905638</v>
      </c>
      <c r="BI96" s="13" t="n">
        <f aca="false">BI95-BH95</f>
        <v>0.270030897578259</v>
      </c>
      <c r="BJ96" s="13" t="n">
        <f aca="false">BJ95-BI95</f>
        <v>-0.372717493219184</v>
      </c>
      <c r="BK96" s="13" t="n">
        <f aca="false">BK95-BJ95</f>
        <v>0.623520303194564</v>
      </c>
      <c r="BL96" s="13" t="n">
        <f aca="false">BL95-BK95</f>
        <v>-0.216476513345349</v>
      </c>
      <c r="BM96" s="13" t="n">
        <f aca="false">BM95-BL95</f>
        <v>-17.8843965369475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191.448022221901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9.40884870387687</v>
      </c>
      <c r="R13" s="13" t="n">
        <f aca="false">IF(Time!R20&gt;=Time!$F$12,Waterfall!R33*Inputs!$F$104/100*Time!R31/Inputs!$F$248,0)</f>
        <v>9.41883487916738</v>
      </c>
      <c r="S13" s="13" t="n">
        <f aca="false">IF(Time!S20&gt;=Time!$F$12,Waterfall!S33*Inputs!$F$104/100*Time!S31/Inputs!$F$248,0)</f>
        <v>9.07870295407376</v>
      </c>
      <c r="T13" s="13" t="n">
        <f aca="false">IF(Time!T20&gt;=Time!$F$12,Waterfall!T33*Inputs!$F$104/100*Time!T31/Inputs!$F$248,0)</f>
        <v>9.06199553874633</v>
      </c>
      <c r="U13" s="13" t="n">
        <f aca="false">IF(Time!U20&gt;=Time!$F$12,Waterfall!U33*Inputs!$F$104/100*Time!U31/Inputs!$F$248,0)</f>
        <v>8.76226283561649</v>
      </c>
      <c r="V13" s="13" t="n">
        <f aca="false">IF(Time!V20&gt;=Time!$F$12,Waterfall!V33*Inputs!$F$104/100*Time!V31/Inputs!$F$248,0)</f>
        <v>8.68659296259847</v>
      </c>
      <c r="W13" s="13" t="n">
        <f aca="false">IF(Time!W20&gt;=Time!$F$12,Waterfall!W33*Inputs!$F$104/100*Time!W31/Inputs!$F$248,0)</f>
        <v>8.31392629770517</v>
      </c>
      <c r="X13" s="13" t="n">
        <f aca="false">IF(Time!X20&gt;=Time!$F$12,Waterfall!X33*Inputs!$F$104/100*Time!X31/Inputs!$F$248,0)</f>
        <v>8.16354237810204</v>
      </c>
      <c r="Y13" s="13" t="n">
        <f aca="false">IF(Time!Y20&gt;=Time!$F$12,Waterfall!Y33*Inputs!$F$104/100*Time!Y31/Inputs!$F$248,0)</f>
        <v>7.7932417371999</v>
      </c>
      <c r="Z13" s="13" t="n">
        <f aca="false">IF(Time!Z20&gt;=Time!$F$12,Waterfall!Z33*Inputs!$F$104/100*Time!Z31/Inputs!$F$248,0)</f>
        <v>7.70094121130248</v>
      </c>
      <c r="AA13" s="13" t="n">
        <f aca="false">IF(Time!AA20&gt;=Time!$F$12,Waterfall!AA33*Inputs!$F$104/100*Time!AA31/Inputs!$F$248,0)</f>
        <v>7.31998807083216</v>
      </c>
      <c r="AB13" s="13" t="n">
        <f aca="false">IF(Time!AB20&gt;=Time!$F$12,Waterfall!AB33*Inputs!$F$104/100*Time!AB31/Inputs!$F$248,0)</f>
        <v>7.49751433555318</v>
      </c>
      <c r="AC13" s="13" t="n">
        <f aca="false">IF(Time!AC20&gt;=Time!$F$12,Waterfall!AC33*Inputs!$F$104/100*Time!AC31/Inputs!$F$248,0)</f>
        <v>7.43252357775168</v>
      </c>
      <c r="AD13" s="13" t="n">
        <f aca="false">IF(Time!AD20&gt;=Time!$F$12,Waterfall!AD33*Inputs!$F$104/100*Time!AD31/Inputs!$F$248,0)</f>
        <v>7.54345752384141</v>
      </c>
      <c r="AE13" s="13" t="n">
        <f aca="false">IF(Time!AE20&gt;=Time!$F$12,Waterfall!AE33*Inputs!$F$104/100*Time!AE31/Inputs!$F$248,0)</f>
        <v>7.39115945451917</v>
      </c>
      <c r="AF13" s="13" t="n">
        <f aca="false">IF(Time!AF20&gt;=Time!$F$12,Waterfall!AF33*Inputs!$F$104/100*Time!AF31/Inputs!$F$248,0)</f>
        <v>7.4472890047638</v>
      </c>
      <c r="AG13" s="13" t="n">
        <f aca="false">IF(Time!AG20&gt;=Time!$F$12,Waterfall!AG33*Inputs!$F$104/100*Time!AG31/Inputs!$F$248,0)</f>
        <v>7.22144414453167</v>
      </c>
      <c r="AH13" s="13" t="n">
        <f aca="false">IF(Time!AH20&gt;=Time!$F$12,Waterfall!AH33*Inputs!$F$104/100*Time!AH31/Inputs!$F$248,0)</f>
        <v>7.20355185055445</v>
      </c>
      <c r="AI13" s="13" t="n">
        <f aca="false">IF(Time!AI20&gt;=Time!$F$12,Waterfall!AI33*Inputs!$F$104/100*Time!AI31/Inputs!$F$248,0)</f>
        <v>6.88504851878139</v>
      </c>
      <c r="AJ13" s="13" t="n">
        <f aca="false">IF(Time!AJ20&gt;=Time!$F$12,Waterfall!AJ33*Inputs!$F$104/100*Time!AJ31/Inputs!$F$248,0)</f>
        <v>6.73773466451522</v>
      </c>
      <c r="AK13" s="13" t="n">
        <f aca="false">IF(Time!AK20&gt;=Time!$F$12,Waterfall!AK33*Inputs!$F$104/100*Time!AK31/Inputs!$F$248,0)</f>
        <v>6.29184995270785</v>
      </c>
      <c r="AL13" s="13" t="n">
        <f aca="false">IF(Time!AL20&gt;=Time!$F$12,Waterfall!AL33*Inputs!$F$104/100*Time!AL31/Inputs!$F$248,0)</f>
        <v>5.13543879331936</v>
      </c>
      <c r="AM13" s="13" t="n">
        <f aca="false">IF(Time!AM20&gt;=Time!$F$12,Waterfall!AM33*Inputs!$F$104/100*Time!AM31/Inputs!$F$248,0)</f>
        <v>3.89760387685598</v>
      </c>
      <c r="AN13" s="13" t="n">
        <f aca="false">IF(Time!AN20&gt;=Time!$F$12,Waterfall!AN33*Inputs!$F$104/100*Time!AN31/Inputs!$F$248,0)</f>
        <v>2.53509549913211</v>
      </c>
      <c r="AO13" s="13" t="n">
        <f aca="false">IF(Time!AO20&gt;=Time!$F$12,Waterfall!AO33*Inputs!$F$104/100*Time!AO31/Inputs!$F$248,0)</f>
        <v>1.50684289983644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0.792506909179579</v>
      </c>
      <c r="Q14" s="6" t="n">
        <f aca="false">IF(Waterfall!Q33&gt;0,MIN(1,Inputs!$F$183*(Waterfall!$F$32+MAX(0,Waterfall!P43))/Waterfall!Q33),1)</f>
        <v>0.922540506771574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187.59502538803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7.77520382696748</v>
      </c>
      <c r="Q15" s="13" t="n">
        <f aca="false">Q13*Q14</f>
        <v>8.68004405141164</v>
      </c>
      <c r="R15" s="13" t="n">
        <f aca="false">R13*R14</f>
        <v>9.41883487916738</v>
      </c>
      <c r="S15" s="13" t="n">
        <f aca="false">S13*S14</f>
        <v>9.07870295407376</v>
      </c>
      <c r="T15" s="13" t="n">
        <f aca="false">T13*T14</f>
        <v>9.06199553874633</v>
      </c>
      <c r="U15" s="13" t="n">
        <f aca="false">U13*U14</f>
        <v>8.76226283561649</v>
      </c>
      <c r="V15" s="13" t="n">
        <f aca="false">V13*V14</f>
        <v>8.68659296259847</v>
      </c>
      <c r="W15" s="13" t="n">
        <f aca="false">W13*W14</f>
        <v>8.31392629770517</v>
      </c>
      <c r="X15" s="13" t="n">
        <f aca="false">X13*X14</f>
        <v>8.16354237810204</v>
      </c>
      <c r="Y15" s="13" t="n">
        <f aca="false">Y13*Y14</f>
        <v>7.7932417371999</v>
      </c>
      <c r="Z15" s="13" t="n">
        <f aca="false">Z13*Z14</f>
        <v>7.70094121130248</v>
      </c>
      <c r="AA15" s="13" t="n">
        <f aca="false">AA13*AA14</f>
        <v>7.31998807083216</v>
      </c>
      <c r="AB15" s="13" t="n">
        <f aca="false">AB13*AB14</f>
        <v>7.49751433555318</v>
      </c>
      <c r="AC15" s="13" t="n">
        <f aca="false">AC13*AC14</f>
        <v>7.43252357775168</v>
      </c>
      <c r="AD15" s="13" t="n">
        <f aca="false">AD13*AD14</f>
        <v>7.54345752384141</v>
      </c>
      <c r="AE15" s="13" t="n">
        <f aca="false">AE13*AE14</f>
        <v>7.39115945451917</v>
      </c>
      <c r="AF15" s="13" t="n">
        <f aca="false">AF13*AF14</f>
        <v>7.4472890047638</v>
      </c>
      <c r="AG15" s="13" t="n">
        <f aca="false">AG13*AG14</f>
        <v>7.22144414453167</v>
      </c>
      <c r="AH15" s="13" t="n">
        <f aca="false">AH13*AH14</f>
        <v>7.20355185055445</v>
      </c>
      <c r="AI15" s="13" t="n">
        <f aca="false">AI13*AI14</f>
        <v>6.88504851878139</v>
      </c>
      <c r="AJ15" s="13" t="n">
        <f aca="false">AJ13*AJ14</f>
        <v>6.73773466451522</v>
      </c>
      <c r="AK15" s="13" t="n">
        <f aca="false">AK13*AK14</f>
        <v>6.29184995270785</v>
      </c>
      <c r="AL15" s="13" t="n">
        <f aca="false">AL13*AL14</f>
        <v>5.13543879331936</v>
      </c>
      <c r="AM15" s="13" t="n">
        <f aca="false">AM13*AM14</f>
        <v>3.89760387685598</v>
      </c>
      <c r="AN15" s="13" t="n">
        <f aca="false">AN13*AN14</f>
        <v>2.53509549913211</v>
      </c>
      <c r="AO15" s="13" t="n">
        <f aca="false">AO13*AO14</f>
        <v>1.50684289983644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312.836006916053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14.1277897948366</v>
      </c>
      <c r="AC16" s="13" t="n">
        <f aca="false">Debt!AC112+Debt!AC110+Debt!AC104-Debt!AC103</f>
        <v>12.9009930216528</v>
      </c>
      <c r="AD16" s="13" t="n">
        <f aca="false">Debt!AD112+Debt!AD110+Debt!AD104-Debt!AD103</f>
        <v>11.869580831726</v>
      </c>
      <c r="AE16" s="13" t="n">
        <f aca="false">Debt!AE112+Debt!AE110+Debt!AE104-Debt!AE103</f>
        <v>10.5224717902801</v>
      </c>
      <c r="AF16" s="13" t="n">
        <f aca="false">Debt!AF112+Debt!AF110+Debt!AF104-Debt!AF103</f>
        <v>9.35882480975787</v>
      </c>
      <c r="AG16" s="13" t="n">
        <f aca="false">Debt!AG112+Debt!AG110+Debt!AG104-Debt!AG103</f>
        <v>8.16322415454097</v>
      </c>
      <c r="AH16" s="13" t="n">
        <f aca="false">Debt!AH112+Debt!AH110+Debt!AH104-Debt!AH103</f>
        <v>6.89908446556765</v>
      </c>
      <c r="AI16" s="13" t="n">
        <f aca="false">Debt!AI112+Debt!AI110+Debt!AI104-Debt!AI103</f>
        <v>5.45609696432404</v>
      </c>
      <c r="AJ16" s="13" t="n">
        <f aca="false">Debt!AJ112+Debt!AJ110+Debt!AJ104-Debt!AJ103</f>
        <v>4.11815365744431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1263.78359983844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2.44580431093328</v>
      </c>
      <c r="Z18" s="13" t="n">
        <f aca="false">(Operations!Z84-Z16-Z15)*Z17-Z12</f>
        <v>8.11071258113667</v>
      </c>
      <c r="AA18" s="13" t="n">
        <f aca="false">(Operations!AA84-AA16-AA15)*AA17-AA12</f>
        <v>9.49908460531778</v>
      </c>
      <c r="AB18" s="13" t="n">
        <f aca="false">(Operations!AB84-AB16-AB15)*AB17-AB12</f>
        <v>10.3030141126975</v>
      </c>
      <c r="AC18" s="13" t="n">
        <f aca="false">(Operations!AC84-AC16-AC15)*AC17-AC12</f>
        <v>11.8164101810366</v>
      </c>
      <c r="AD18" s="13" t="n">
        <f aca="false">(Operations!AD84-AD16-AD15)*AD17-AD12</f>
        <v>0.276579880399726</v>
      </c>
      <c r="AE18" s="13" t="n">
        <f aca="false">(Operations!AE84-AE16-AE15)*AE17-AE12</f>
        <v>14.5845421017519</v>
      </c>
      <c r="AF18" s="13" t="n">
        <f aca="false">(Operations!AF84-AF16-AF15)*AF17-AF12</f>
        <v>15.6020806770582</v>
      </c>
      <c r="AG18" s="13" t="n">
        <f aca="false">(Operations!AG84-AG16-AG15)*AG17-AG12</f>
        <v>17.1657709347757</v>
      </c>
      <c r="AH18" s="13" t="n">
        <f aca="false">(Operations!AH84-AH16-AH15)*AH17-AH12</f>
        <v>18.6109867484535</v>
      </c>
      <c r="AI18" s="13" t="n">
        <f aca="false">(Operations!AI84-AI16-AI15)*AI17-AI12</f>
        <v>20.4789783368203</v>
      </c>
      <c r="AJ18" s="13" t="n">
        <f aca="false">(Operations!AJ84-AJ16-AJ15)*AJ17-AJ12</f>
        <v>22.0516984262267</v>
      </c>
      <c r="AK18" s="13" t="n">
        <f aca="false">(Operations!AK84-AK16-AK15)*AK17-AK12</f>
        <v>24.0990346297264</v>
      </c>
      <c r="AL18" s="13" t="n">
        <f aca="false">(Operations!AL84-AL16-AL15)*AL17-AL12</f>
        <v>23.1012799699563</v>
      </c>
      <c r="AM18" s="13" t="n">
        <f aca="false">(Operations!AM84-AM16-AM15)*AM17-AM12</f>
        <v>27.9635115964927</v>
      </c>
      <c r="AN18" s="13" t="n">
        <f aca="false">(Operations!AN84-AN16-AN15)*AN17-AN12</f>
        <v>29.9001100566857</v>
      </c>
      <c r="AO18" s="13" t="n">
        <f aca="false">(Operations!AO84-AO16-AO15)*AO17-AO12</f>
        <v>31.5770544192588</v>
      </c>
      <c r="AP18" s="13" t="n">
        <f aca="false">(Operations!AP84-AP16-AP15)*AP17-AP12</f>
        <v>33.7596459600894</v>
      </c>
      <c r="AQ18" s="13" t="n">
        <f aca="false">(Operations!AQ84-AQ16-AQ15)*AQ17-AQ12</f>
        <v>33.8737577934715</v>
      </c>
      <c r="AR18" s="13" t="n">
        <f aca="false">(Operations!AR84-AR16-AR15)*AR17-AR12</f>
        <v>33.9681688569273</v>
      </c>
      <c r="AS18" s="13" t="n">
        <f aca="false">(Operations!AS84-AS16-AS15)*AS17-AS12</f>
        <v>34.2326883404046</v>
      </c>
      <c r="AT18" s="13" t="n">
        <f aca="false">(Operations!AT84-AT16-AT15)*AT17-AT12</f>
        <v>19.521756975453</v>
      </c>
      <c r="AU18" s="13" t="n">
        <f aca="false">(Operations!AU84-AU16-AU15)*AU17-AU12</f>
        <v>34.6474777059024</v>
      </c>
      <c r="AV18" s="13" t="n">
        <f aca="false">(Operations!AV84-AV16-AV15)*AV17-AV12</f>
        <v>34.5310687151237</v>
      </c>
      <c r="AW18" s="13" t="n">
        <f aca="false">(Operations!AW84-AW16-AW15)*AW17-AW12</f>
        <v>34.697495851109</v>
      </c>
      <c r="AX18" s="13" t="n">
        <f aca="false">(Operations!AX84-AX16-AX15)*AX17-AX12</f>
        <v>34.8927211891519</v>
      </c>
      <c r="AY18" s="13" t="n">
        <f aca="false">(Operations!AY84-AY16-AY15)*AY17-AY12</f>
        <v>35.0149960528212</v>
      </c>
      <c r="AZ18" s="13" t="n">
        <f aca="false">(Operations!AZ84-AZ16-AZ15)*AZ17-AZ12</f>
        <v>35.1169074790626</v>
      </c>
      <c r="BA18" s="13" t="n">
        <f aca="false">(Operations!BA84-BA16-BA15)*BA17-BA12</f>
        <v>35.3534766774815</v>
      </c>
      <c r="BB18" s="13" t="n">
        <f aca="false">(Operations!BB84-BB16-BB15)*BB17-BB12</f>
        <v>32.1491453006159</v>
      </c>
      <c r="BC18" s="13" t="n">
        <f aca="false">(Operations!BC84-BC16-BC15)*BC17-BC12</f>
        <v>42.1655913355194</v>
      </c>
      <c r="BD18" s="13" t="n">
        <f aca="false">(Operations!BD84-BD16-BD15)*BD17-BD12</f>
        <v>54.9704226763221</v>
      </c>
      <c r="BE18" s="13" t="n">
        <f aca="false">(Operations!BE84-BE16-BE15)*BE17-BE12</f>
        <v>55.150476395852</v>
      </c>
      <c r="BF18" s="13" t="n">
        <f aca="false">(Operations!BF84-BF16-BF15)*BF17-BF12</f>
        <v>55.3639806431626</v>
      </c>
      <c r="BG18" s="13" t="n">
        <f aca="false">(Operations!BG84-BG16-BG15)*BG17-BG12</f>
        <v>55.4950114319948</v>
      </c>
      <c r="BH18" s="13" t="n">
        <f aca="false">(Operations!BH84-BH16-BH15)*BH17-BH12</f>
        <v>55.6050192673333</v>
      </c>
      <c r="BI18" s="13" t="n">
        <f aca="false">(Operations!BI84-BI16-BI15)*BI17-BI12</f>
        <v>55.9207596986352</v>
      </c>
      <c r="BJ18" s="13" t="n">
        <f aca="false">(Operations!BJ84-BJ16-BJ15)*BJ17-BJ12</f>
        <v>38.5323829430746</v>
      </c>
      <c r="BK18" s="13" t="n">
        <f aca="false">(Operations!BK84-BK16-BK15)*BK17-BK12</f>
        <v>56.4147956203495</v>
      </c>
      <c r="BL18" s="13" t="n">
        <f aca="false">(Operations!BL84-BL16-BL15)*BL17-BL12</f>
        <v>56.2655155382081</v>
      </c>
      <c r="BM18" s="13" t="n">
        <f aca="false">(Operations!BM84-BM16-BM15)*BM17-BM12</f>
        <v>18.5536838216475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2.44580431093328</v>
      </c>
      <c r="Z20" s="13" t="n">
        <f aca="false">MIN(Y21,MAX(0,Z18-Z19))</f>
        <v>8.11071258113667</v>
      </c>
      <c r="AA20" s="13" t="n">
        <f aca="false">MIN(Z21,MAX(0,AA18-AA19))</f>
        <v>9.49908460531778</v>
      </c>
      <c r="AB20" s="13" t="n">
        <f aca="false">MIN(AA21,MAX(0,AB18-AB19))</f>
        <v>10.3030141126975</v>
      </c>
      <c r="AC20" s="13" t="n">
        <f aca="false">MIN(AB21,MAX(0,AC18-AC19))</f>
        <v>11.8164101810366</v>
      </c>
      <c r="AD20" s="13" t="n">
        <f aca="false">MIN(AC21,MAX(0,AD18-AD19))</f>
        <v>0.276579880399726</v>
      </c>
      <c r="AE20" s="13" t="n">
        <f aca="false">MIN(AD21,MAX(0,AE18-AE19))</f>
        <v>14.5845421017519</v>
      </c>
      <c r="AF20" s="13" t="n">
        <f aca="false">MIN(AE21,MAX(0,AF18-AF19))</f>
        <v>15.6020806770582</v>
      </c>
      <c r="AG20" s="13" t="n">
        <f aca="false">MIN(AF21,MAX(0,AG18-AG19))</f>
        <v>17.1657709347757</v>
      </c>
      <c r="AH20" s="13" t="n">
        <f aca="false">MIN(AG21,MAX(0,AH18-AH19))</f>
        <v>18.6109867484535</v>
      </c>
      <c r="AI20" s="13" t="n">
        <f aca="false">MIN(AH21,MAX(0,AI18-AI19))</f>
        <v>20.4789783368203</v>
      </c>
      <c r="AJ20" s="13" t="n">
        <f aca="false">MIN(AI21,MAX(0,AJ18-AJ19))</f>
        <v>22.0516984262267</v>
      </c>
      <c r="AK20" s="13" t="n">
        <f aca="false">MIN(AJ21,MAX(0,AK18-AK19))</f>
        <v>24.0990346297264</v>
      </c>
      <c r="AL20" s="13" t="n">
        <f aca="false">MIN(AK21,MAX(0,AL18-AL19))</f>
        <v>23.1012799699563</v>
      </c>
      <c r="AM20" s="13" t="n">
        <f aca="false">MIN(AL21,MAX(0,AM18-AM19))</f>
        <v>27.7593916374753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223.459564822833</v>
      </c>
      <c r="Z21" s="13" t="n">
        <f aca="false">Y21+Z11-Z20</f>
        <v>215.348852241696</v>
      </c>
      <c r="AA21" s="13" t="n">
        <f aca="false">Z21+AA11-AA20</f>
        <v>205.849767636378</v>
      </c>
      <c r="AB21" s="13" t="n">
        <f aca="false">AA21+AB11-AB20</f>
        <v>195.546753523681</v>
      </c>
      <c r="AC21" s="13" t="n">
        <f aca="false">AB21+AC11-AC20</f>
        <v>183.730343342644</v>
      </c>
      <c r="AD21" s="13" t="n">
        <f aca="false">AC21+AD11-AD20</f>
        <v>183.453763462244</v>
      </c>
      <c r="AE21" s="13" t="n">
        <f aca="false">AD21+AE11-AE20</f>
        <v>168.869221360492</v>
      </c>
      <c r="AF21" s="13" t="n">
        <f aca="false">AE21+AF11-AF20</f>
        <v>153.267140683434</v>
      </c>
      <c r="AG21" s="13" t="n">
        <f aca="false">AF21+AG11-AG20</f>
        <v>136.101369748658</v>
      </c>
      <c r="AH21" s="13" t="n">
        <f aca="false">AG21+AH11-AH20</f>
        <v>117.490383000205</v>
      </c>
      <c r="AI21" s="13" t="n">
        <f aca="false">AH21+AI11-AI20</f>
        <v>97.0114046633847</v>
      </c>
      <c r="AJ21" s="13" t="n">
        <f aca="false">AI21+AJ11-AJ20</f>
        <v>74.959706237158</v>
      </c>
      <c r="AK21" s="13" t="n">
        <f aca="false">AJ21+AK11-AK20</f>
        <v>50.8606716074316</v>
      </c>
      <c r="AL21" s="13" t="n">
        <f aca="false">AK21+AL11-AL20</f>
        <v>27.7593916374753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1037.87823070468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0.204119959017355</v>
      </c>
      <c r="AN23" s="13" t="n">
        <f aca="false">MAX(0,AN18-AN19-AN20)</f>
        <v>29.9001100566857</v>
      </c>
      <c r="AO23" s="13" t="n">
        <f aca="false">MAX(0,AO18-AO19-AO20)</f>
        <v>31.5770544192588</v>
      </c>
      <c r="AP23" s="13" t="n">
        <f aca="false">MAX(0,AP18-AP19-AP20)</f>
        <v>33.7596459600894</v>
      </c>
      <c r="AQ23" s="13" t="n">
        <f aca="false">MAX(0,AQ18-AQ19-AQ20)</f>
        <v>33.8737577934715</v>
      </c>
      <c r="AR23" s="13" t="n">
        <f aca="false">MAX(0,AR18-AR19-AR20)</f>
        <v>33.9681688569273</v>
      </c>
      <c r="AS23" s="13" t="n">
        <f aca="false">MAX(0,AS18-AS19-AS20)</f>
        <v>34.2326883404046</v>
      </c>
      <c r="AT23" s="13" t="n">
        <f aca="false">MAX(0,AT18-AT19-AT20)</f>
        <v>19.521756975453</v>
      </c>
      <c r="AU23" s="13" t="n">
        <f aca="false">MAX(0,AU18-AU19-AU20)</f>
        <v>34.6474777059024</v>
      </c>
      <c r="AV23" s="13" t="n">
        <f aca="false">MAX(0,AV18-AV19-AV20)</f>
        <v>34.5310687151237</v>
      </c>
      <c r="AW23" s="13" t="n">
        <f aca="false">MAX(0,AW18-AW19-AW20)</f>
        <v>34.697495851109</v>
      </c>
      <c r="AX23" s="13" t="n">
        <f aca="false">MAX(0,AX18-AX19-AX20)</f>
        <v>34.8927211891519</v>
      </c>
      <c r="AY23" s="13" t="n">
        <f aca="false">MAX(0,AY18-AY19-AY20)</f>
        <v>35.0149960528212</v>
      </c>
      <c r="AZ23" s="13" t="n">
        <f aca="false">MAX(0,AZ18-AZ19-AZ20)</f>
        <v>35.1169074790626</v>
      </c>
      <c r="BA23" s="13" t="n">
        <f aca="false">MAX(0,BA18-BA19-BA20)</f>
        <v>35.3534766774815</v>
      </c>
      <c r="BB23" s="13" t="n">
        <f aca="false">MAX(0,BB18-BB19-BB20)</f>
        <v>32.1491453006159</v>
      </c>
      <c r="BC23" s="13" t="n">
        <f aca="false">MAX(0,BC18-BC19-BC20)</f>
        <v>42.1655913355194</v>
      </c>
      <c r="BD23" s="13" t="n">
        <f aca="false">MAX(0,BD18-BD19-BD20)</f>
        <v>54.9704226763221</v>
      </c>
      <c r="BE23" s="13" t="n">
        <f aca="false">MAX(0,BE18-BE19-BE20)</f>
        <v>55.150476395852</v>
      </c>
      <c r="BF23" s="13" t="n">
        <f aca="false">MAX(0,BF18-BF19-BF20)</f>
        <v>55.3639806431626</v>
      </c>
      <c r="BG23" s="13" t="n">
        <f aca="false">MAX(0,BG18-BG19-BG20)</f>
        <v>55.4950114319948</v>
      </c>
      <c r="BH23" s="13" t="n">
        <f aca="false">MAX(0,BH18-BH19-BH20)</f>
        <v>55.6050192673333</v>
      </c>
      <c r="BI23" s="13" t="n">
        <f aca="false">MAX(0,BI18-BI19-BI20)</f>
        <v>55.9207596986352</v>
      </c>
      <c r="BJ23" s="13" t="n">
        <f aca="false">MAX(0,BJ18-BJ19-BJ20)</f>
        <v>38.5323829430746</v>
      </c>
      <c r="BK23" s="13" t="n">
        <f aca="false">MAX(0,BK18-BK19-BK20)</f>
        <v>56.4147956203495</v>
      </c>
      <c r="BL23" s="13" t="n">
        <f aca="false">MAX(0,BL18-BL19-BL20)</f>
        <v>56.2655155382081</v>
      </c>
      <c r="BM23" s="13" t="n">
        <f aca="false">MAX(0,BM18-BM19-BM20)</f>
        <v>18.5536838216475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311.363469211402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0.0612359877052064</v>
      </c>
      <c r="AN25" s="13" t="n">
        <f aca="false">AN23*AN24</f>
        <v>8.9700330170057</v>
      </c>
      <c r="AO25" s="13" t="n">
        <f aca="false">AO23*AO24</f>
        <v>9.47311632577764</v>
      </c>
      <c r="AP25" s="13" t="n">
        <f aca="false">AP23*AP24</f>
        <v>10.1278937880268</v>
      </c>
      <c r="AQ25" s="13" t="n">
        <f aca="false">AQ23*AQ24</f>
        <v>10.1621273380414</v>
      </c>
      <c r="AR25" s="13" t="n">
        <f aca="false">AR23*AR24</f>
        <v>10.1904506570782</v>
      </c>
      <c r="AS25" s="13" t="n">
        <f aca="false">AS23*AS24</f>
        <v>10.2698065021214</v>
      </c>
      <c r="AT25" s="13" t="n">
        <f aca="false">AT23*AT24</f>
        <v>5.8565270926359</v>
      </c>
      <c r="AU25" s="13" t="n">
        <f aca="false">AU23*AU24</f>
        <v>10.3942433117707</v>
      </c>
      <c r="AV25" s="13" t="n">
        <f aca="false">AV23*AV24</f>
        <v>10.3593206145371</v>
      </c>
      <c r="AW25" s="13" t="n">
        <f aca="false">AW23*AW24</f>
        <v>10.4092487553327</v>
      </c>
      <c r="AX25" s="13" t="n">
        <f aca="false">AX23*AX24</f>
        <v>10.4678163567456</v>
      </c>
      <c r="AY25" s="13" t="n">
        <f aca="false">AY23*AY24</f>
        <v>10.5044988158464</v>
      </c>
      <c r="AZ25" s="13" t="n">
        <f aca="false">AZ23*AZ24</f>
        <v>10.5350722437188</v>
      </c>
      <c r="BA25" s="13" t="n">
        <f aca="false">BA23*BA24</f>
        <v>10.6060430032444</v>
      </c>
      <c r="BB25" s="13" t="n">
        <f aca="false">BB23*BB24</f>
        <v>9.64474359018478</v>
      </c>
      <c r="BC25" s="13" t="n">
        <f aca="false">BC23*BC24</f>
        <v>12.6496774006558</v>
      </c>
      <c r="BD25" s="13" t="n">
        <f aca="false">BD23*BD24</f>
        <v>16.4911268028966</v>
      </c>
      <c r="BE25" s="13" t="n">
        <f aca="false">BE23*BE24</f>
        <v>16.5451429187556</v>
      </c>
      <c r="BF25" s="13" t="n">
        <f aca="false">BF23*BF24</f>
        <v>16.6091941929488</v>
      </c>
      <c r="BG25" s="13" t="n">
        <f aca="false">BG23*BG24</f>
        <v>16.6485034295984</v>
      </c>
      <c r="BH25" s="13" t="n">
        <f aca="false">BH23*BH24</f>
        <v>16.6815057802</v>
      </c>
      <c r="BI25" s="13" t="n">
        <f aca="false">BI23*BI24</f>
        <v>16.7762279095906</v>
      </c>
      <c r="BJ25" s="13" t="n">
        <f aca="false">BJ23*BJ24</f>
        <v>11.5597148829224</v>
      </c>
      <c r="BK25" s="13" t="n">
        <f aca="false">BK23*BK24</f>
        <v>16.9244386861049</v>
      </c>
      <c r="BL25" s="13" t="n">
        <f aca="false">BL23*BL24</f>
        <v>16.8796546614624</v>
      </c>
      <c r="BM25" s="13" t="n">
        <f aca="false">BM23*BM24</f>
        <v>5.56610514649425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15.519779540463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0.117229239901277</v>
      </c>
      <c r="Z26" s="13" t="n">
        <f aca="false">IF(Time!Z30&gt;0,Inputs!$F$176/100*Operations!Z55*(Z8+Z9)/Time!Z30,0)</f>
        <v>0.353032697336513</v>
      </c>
      <c r="AA26" s="13" t="n">
        <f aca="false">IF(Time!AA30&gt;0,Inputs!$F$176/100*Operations!AA55*(AA8+AA9)/Time!AA30,0)</f>
        <v>0.354774681708773</v>
      </c>
      <c r="AB26" s="13" t="n">
        <f aca="false">IF(Time!AB30&gt;0,Inputs!$F$176/100*Operations!AB55*(AB8+AB9)/Time!AB30,0)</f>
        <v>0.356666245292423</v>
      </c>
      <c r="AC26" s="13" t="n">
        <f aca="false">IF(Time!AC30&gt;0,Inputs!$F$176/100*Operations!AC55*(AC8+AC9)/Time!AC30,0)</f>
        <v>0.3575765666344</v>
      </c>
      <c r="AD26" s="13" t="n">
        <f aca="false">IF(Time!AD30&gt;0,Inputs!$F$176/100*Operations!AD55*(AD8+AD9)/Time!AD30,0)</f>
        <v>0.353137499075032</v>
      </c>
      <c r="AE26" s="13" t="n">
        <f aca="false">IF(Time!AE30&gt;0,Inputs!$F$176/100*Operations!AE55*(AE8+AE9)/Time!AE30,0)</f>
        <v>0.36016237913106</v>
      </c>
      <c r="AF26" s="13" t="n">
        <f aca="false">IF(Time!AF30&gt;0,Inputs!$F$176/100*Operations!AF55*(AF8+AF9)/Time!AF30,0)</f>
        <v>0.363383197319396</v>
      </c>
      <c r="AG26" s="13" t="n">
        <f aca="false">IF(Time!AG30&gt;0,Inputs!$F$176/100*Operations!AG55*(AG8+AG9)/Time!AG30,0)</f>
        <v>0.364971367780469</v>
      </c>
      <c r="AH26" s="13" t="n">
        <f aca="false">IF(Time!AH30&gt;0,Inputs!$F$176/100*Operations!AH55*(AH8+AH9)/Time!AH30,0)</f>
        <v>0.36643751591354</v>
      </c>
      <c r="AI26" s="13" t="n">
        <f aca="false">IF(Time!AI30&gt;0,Inputs!$F$176/100*Operations!AI55*(AI8+AI9)/Time!AI30,0)</f>
        <v>0.3683342403141</v>
      </c>
      <c r="AJ26" s="13" t="n">
        <f aca="false">IF(Time!AJ30&gt;0,Inputs!$F$176/100*Operations!AJ55*(AJ8+AJ9)/Time!AJ30,0)</f>
        <v>0.370393241212912</v>
      </c>
      <c r="AK26" s="13" t="n">
        <f aca="false">IF(Time!AK30&gt;0,Inputs!$F$176/100*Operations!AK55*(AK8+AK9)/Time!AK30,0)</f>
        <v>0.371688122283113</v>
      </c>
      <c r="AL26" s="13" t="n">
        <f aca="false">IF(Time!AL30&gt;0,Inputs!$F$176/100*Operations!AL55*(AL8+AL9)/Time!AL30,0)</f>
        <v>0.372482007571344</v>
      </c>
      <c r="AM26" s="13" t="n">
        <f aca="false">IF(Time!AM30&gt;0,Inputs!$F$176/100*Operations!AM55*(AM8+AM9)/Time!AM30,0)</f>
        <v>0.374820319940765</v>
      </c>
      <c r="AN26" s="13" t="n">
        <f aca="false">IF(Time!AN30&gt;0,Inputs!$F$176/100*Operations!AN55*(AN8+AN9)/Time!AN30,0)</f>
        <v>0.377709161089125</v>
      </c>
      <c r="AO26" s="13" t="n">
        <f aca="false">IF(Time!AO30&gt;0,Inputs!$F$176/100*Operations!AO55*(AO8+AO9)/Time!AO30,0)</f>
        <v>0.379439614032796</v>
      </c>
      <c r="AP26" s="13" t="n">
        <f aca="false">IF(Time!AP30&gt;0,Inputs!$F$176/100*Operations!AP55*(AP8+AP9)/Time!AP30,0)</f>
        <v>0.381037848063752</v>
      </c>
      <c r="AQ26" s="13" t="n">
        <f aca="false">IF(Time!AQ30&gt;0,Inputs!$F$176/100*Operations!AQ55*(AQ8+AQ9)/Time!AQ30,0)</f>
        <v>0.383103050202302</v>
      </c>
      <c r="AR26" s="13" t="n">
        <f aca="false">IF(Time!AR30&gt;0,Inputs!$F$176/100*Operations!AR55*(AR8+AR9)/Time!AR30,0)</f>
        <v>0.385344298463551</v>
      </c>
      <c r="AS26" s="13" t="n">
        <f aca="false">IF(Time!AS30&gt;0,Inputs!$F$176/100*Operations!AS55*(AS8+AS9)/Time!AS30,0)</f>
        <v>0.386432046042835</v>
      </c>
      <c r="AT26" s="13" t="n">
        <f aca="false">IF(Time!AT30&gt;0,Inputs!$F$176/100*Operations!AT55*(AT8+AT9)/Time!AT30,0)</f>
        <v>0.381721148513914</v>
      </c>
      <c r="AU26" s="13" t="n">
        <f aca="false">IF(Time!AU30&gt;0,Inputs!$F$176/100*Operations!AU55*(AU8+AU9)/Time!AU30,0)</f>
        <v>0.38950777006973</v>
      </c>
      <c r="AV26" s="13" t="n">
        <f aca="false">IF(Time!AV30&gt;0,Inputs!$F$176/100*Operations!AV55*(AV8+AV9)/Time!AV30,0)</f>
        <v>0.393312576544232</v>
      </c>
      <c r="AW26" s="13" t="n">
        <f aca="false">IF(Time!AW30&gt;0,Inputs!$F$176/100*Operations!AW55*(AW8+AW9)/Time!AW30,0)</f>
        <v>0.395198055976582</v>
      </c>
      <c r="AX26" s="13" t="n">
        <f aca="false">IF(Time!AX30&gt;0,Inputs!$F$176/100*Operations!AX55*(AX8+AX9)/Time!AX30,0)</f>
        <v>0.396940274503826</v>
      </c>
      <c r="AY26" s="13" t="n">
        <f aca="false">IF(Time!AY30&gt;0,Inputs!$F$176/100*Operations!AY55*(AY8+AY9)/Time!AY30,0)</f>
        <v>0.399188910987154</v>
      </c>
      <c r="AZ26" s="13" t="n">
        <f aca="false">IF(Time!AZ30&gt;0,Inputs!$F$176/100*Operations!AZ55*(AZ8+AZ9)/Time!AZ30,0)</f>
        <v>0.401628525583218</v>
      </c>
      <c r="BA26" s="13" t="n">
        <f aca="false">IF(Time!BA30&gt;0,Inputs!$F$176/100*Operations!BA55*(BA8+BA9)/Time!BA30,0)</f>
        <v>0.403170002227221</v>
      </c>
      <c r="BB26" s="13" t="n">
        <f aca="false">IF(Time!BB30&gt;0,Inputs!$F$176/100*Operations!BB55*(BB8+BB9)/Time!BB30,0)</f>
        <v>0.404122706710063</v>
      </c>
      <c r="BC26" s="13" t="n">
        <f aca="false">IF(Time!BC30&gt;0,Inputs!$F$176/100*Operations!BC55*(BC8+BC9)/Time!BC30,0)</f>
        <v>0.406891304845891</v>
      </c>
      <c r="BD26" s="13" t="n">
        <f aca="false">IF(Time!BD30&gt;0,Inputs!$F$176/100*Operations!BD55*(BD8+BD9)/Time!BD30,0)</f>
        <v>0.410307309332447</v>
      </c>
      <c r="BE26" s="13" t="n">
        <f aca="false">IF(Time!BE30&gt;0,Inputs!$F$176/100*Operations!BE55*(BE8+BE9)/Time!BE30,0)</f>
        <v>0.412361700448687</v>
      </c>
      <c r="BF26" s="13" t="n">
        <f aca="false">IF(Time!BF30&gt;0,Inputs!$F$176/100*Operations!BF55*(BF8+BF9)/Time!BF30,0)</f>
        <v>0.414260873824729</v>
      </c>
      <c r="BG26" s="13" t="n">
        <f aca="false">IF(Time!BG30&gt;0,Inputs!$F$176/100*Operations!BG55*(BG8+BG9)/Time!BG30,0)</f>
        <v>0.416709228237297</v>
      </c>
      <c r="BH26" s="13" t="n">
        <f aca="false">IF(Time!BH30&gt;0,Inputs!$F$176/100*Operations!BH55*(BH8+BH9)/Time!BH30,0)</f>
        <v>0.419364752652117</v>
      </c>
      <c r="BI26" s="13" t="n">
        <f aca="false">IF(Time!BI30&gt;0,Inputs!$F$176/100*Operations!BI55*(BI8+BI9)/Time!BI30,0)</f>
        <v>0.420664487286973</v>
      </c>
      <c r="BJ26" s="13" t="n">
        <f aca="false">IF(Time!BJ30&gt;0,Inputs!$F$176/100*Operations!BJ55*(BJ8+BJ9)/Time!BJ30,0)</f>
        <v>0.415632978023469</v>
      </c>
      <c r="BK26" s="13" t="n">
        <f aca="false">IF(Time!BK30&gt;0,Inputs!$F$176/100*Operations!BK55*(BK8+BK9)/Time!BK30,0)</f>
        <v>0.42432294086451</v>
      </c>
      <c r="BL26" s="13" t="n">
        <f aca="false">IF(Time!BL30&gt;0,Inputs!$F$176/100*Operations!BL55*(BL8+BL9)/Time!BL30,0)</f>
        <v>0.428817370321738</v>
      </c>
      <c r="BM26" s="13" t="n">
        <f aca="false">IF(Time!BM30&gt;0,Inputs!$F$176/100*Operations!BM55*(BM8+BM9)/Time!BM30,0)</f>
        <v>0.287501284199769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316.507322545112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0.117229239901277</v>
      </c>
      <c r="Z27" s="13" t="n">
        <f aca="false">MAX(Z25,Z26)</f>
        <v>0.353032697336513</v>
      </c>
      <c r="AA27" s="13" t="n">
        <f aca="false">MAX(AA25,AA26)</f>
        <v>0.354774681708773</v>
      </c>
      <c r="AB27" s="13" t="n">
        <f aca="false">MAX(AB25,AB26)</f>
        <v>0.356666245292423</v>
      </c>
      <c r="AC27" s="13" t="n">
        <f aca="false">MAX(AC25,AC26)</f>
        <v>0.3575765666344</v>
      </c>
      <c r="AD27" s="13" t="n">
        <f aca="false">MAX(AD25,AD26)</f>
        <v>0.353137499075032</v>
      </c>
      <c r="AE27" s="13" t="n">
        <f aca="false">MAX(AE25,AE26)</f>
        <v>0.36016237913106</v>
      </c>
      <c r="AF27" s="13" t="n">
        <f aca="false">MAX(AF25,AF26)</f>
        <v>0.363383197319396</v>
      </c>
      <c r="AG27" s="13" t="n">
        <f aca="false">MAX(AG25,AG26)</f>
        <v>0.364971367780469</v>
      </c>
      <c r="AH27" s="13" t="n">
        <f aca="false">MAX(AH25,AH26)</f>
        <v>0.36643751591354</v>
      </c>
      <c r="AI27" s="13" t="n">
        <f aca="false">MAX(AI25,AI26)</f>
        <v>0.3683342403141</v>
      </c>
      <c r="AJ27" s="13" t="n">
        <f aca="false">MAX(AJ25,AJ26)</f>
        <v>0.370393241212912</v>
      </c>
      <c r="AK27" s="13" t="n">
        <f aca="false">MAX(AK25,AK26)</f>
        <v>0.371688122283113</v>
      </c>
      <c r="AL27" s="13" t="n">
        <f aca="false">MAX(AL25,AL26)</f>
        <v>0.372482007571344</v>
      </c>
      <c r="AM27" s="13" t="n">
        <f aca="false">MAX(AM25,AM26)</f>
        <v>0.374820319940765</v>
      </c>
      <c r="AN27" s="13" t="n">
        <f aca="false">MAX(AN25,AN26)</f>
        <v>8.9700330170057</v>
      </c>
      <c r="AO27" s="13" t="n">
        <f aca="false">MAX(AO25,AO26)</f>
        <v>9.47311632577764</v>
      </c>
      <c r="AP27" s="13" t="n">
        <f aca="false">MAX(AP25,AP26)</f>
        <v>10.1278937880268</v>
      </c>
      <c r="AQ27" s="13" t="n">
        <f aca="false">MAX(AQ25,AQ26)</f>
        <v>10.1621273380414</v>
      </c>
      <c r="AR27" s="13" t="n">
        <f aca="false">MAX(AR25,AR26)</f>
        <v>10.1904506570782</v>
      </c>
      <c r="AS27" s="13" t="n">
        <f aca="false">MAX(AS25,AS26)</f>
        <v>10.2698065021214</v>
      </c>
      <c r="AT27" s="13" t="n">
        <f aca="false">MAX(AT25,AT26)</f>
        <v>5.8565270926359</v>
      </c>
      <c r="AU27" s="13" t="n">
        <f aca="false">MAX(AU25,AU26)</f>
        <v>10.3942433117707</v>
      </c>
      <c r="AV27" s="13" t="n">
        <f aca="false">MAX(AV25,AV26)</f>
        <v>10.3593206145371</v>
      </c>
      <c r="AW27" s="13" t="n">
        <f aca="false">MAX(AW25,AW26)</f>
        <v>10.4092487553327</v>
      </c>
      <c r="AX27" s="13" t="n">
        <f aca="false">MAX(AX25,AX26)</f>
        <v>10.4678163567456</v>
      </c>
      <c r="AY27" s="13" t="n">
        <f aca="false">MAX(AY25,AY26)</f>
        <v>10.5044988158464</v>
      </c>
      <c r="AZ27" s="13" t="n">
        <f aca="false">MAX(AZ25,AZ26)</f>
        <v>10.5350722437188</v>
      </c>
      <c r="BA27" s="13" t="n">
        <f aca="false">MAX(BA25,BA26)</f>
        <v>10.6060430032444</v>
      </c>
      <c r="BB27" s="13" t="n">
        <f aca="false">MAX(BB25,BB26)</f>
        <v>9.64474359018478</v>
      </c>
      <c r="BC27" s="13" t="n">
        <f aca="false">MAX(BC25,BC26)</f>
        <v>12.6496774006558</v>
      </c>
      <c r="BD27" s="13" t="n">
        <f aca="false">MAX(BD25,BD26)</f>
        <v>16.4911268028966</v>
      </c>
      <c r="BE27" s="13" t="n">
        <f aca="false">MAX(BE25,BE26)</f>
        <v>16.5451429187556</v>
      </c>
      <c r="BF27" s="13" t="n">
        <f aca="false">MAX(BF25,BF26)</f>
        <v>16.6091941929488</v>
      </c>
      <c r="BG27" s="13" t="n">
        <f aca="false">MAX(BG25,BG26)</f>
        <v>16.6485034295984</v>
      </c>
      <c r="BH27" s="13" t="n">
        <f aca="false">MAX(BH25,BH26)</f>
        <v>16.6815057802</v>
      </c>
      <c r="BI27" s="13" t="n">
        <f aca="false">MAX(BI25,BI26)</f>
        <v>16.7762279095906</v>
      </c>
      <c r="BJ27" s="13" t="n">
        <f aca="false">MAX(BJ25,BJ26)</f>
        <v>11.5597148829224</v>
      </c>
      <c r="BK27" s="13" t="n">
        <f aca="false">MAX(BK25,BK26)</f>
        <v>16.9244386861049</v>
      </c>
      <c r="BL27" s="13" t="n">
        <f aca="false">MAX(BL25,BL26)</f>
        <v>16.8796546614624</v>
      </c>
      <c r="BM27" s="13" t="n">
        <f aca="false">MAX(BM25,BM26)</f>
        <v>5.56610514649425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3.85299683387064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2.03569338655529</v>
      </c>
      <c r="Q28" s="13" t="n">
        <f aca="false">Q13-Q15</f>
        <v>0.728804652465236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148.429348871122</v>
      </c>
      <c r="AC63" s="13" t="n">
        <f aca="false">Time!AC35*AB75</f>
        <v>133.042699654056</v>
      </c>
      <c r="AD63" s="13" t="n">
        <f aca="false">Time!AD35*AC75</f>
        <v>118.144662830424</v>
      </c>
      <c r="AE63" s="13" t="n">
        <f aca="false">Time!AE35*AD75</f>
        <v>101.641614676615</v>
      </c>
      <c r="AF63" s="13" t="n">
        <f aca="false">Time!AF35*AE75</f>
        <v>84.8152670699277</v>
      </c>
      <c r="AG63" s="13" t="n">
        <f aca="false">Time!AG35*AF75</f>
        <v>67.6011752154465</v>
      </c>
      <c r="AH63" s="13" t="n">
        <f aca="false">Time!AH35*AG75</f>
        <v>50.7776414758512</v>
      </c>
      <c r="AI63" s="13" t="n">
        <f aca="false">Time!AI35*AH75</f>
        <v>33.4112108166641</v>
      </c>
      <c r="AJ63" s="13" t="n">
        <f aca="false">Time!AJ35*AI75</f>
        <v>16.5499895617474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134.143942609277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6.50743584828554</v>
      </c>
      <c r="AC65" s="13" t="n">
        <f aca="false">AC63*AC13</f>
        <v>5.7694541580844</v>
      </c>
      <c r="AD65" s="13" t="n">
        <f aca="false">AD63*AD13</f>
        <v>5.17969539065928</v>
      </c>
      <c r="AE65" s="13" t="n">
        <f aca="false">AE63*AE13</f>
        <v>4.38351422901013</v>
      </c>
      <c r="AF65" s="13" t="n">
        <f aca="false">AF63*AF13</f>
        <v>3.71846884467564</v>
      </c>
      <c r="AG65" s="13" t="n">
        <f aca="false">AG63*AG13</f>
        <v>3.1042710033656</v>
      </c>
      <c r="AH65" s="13" t="n">
        <f aca="false">AH63*AH13</f>
        <v>2.37037553022825</v>
      </c>
      <c r="AI65" s="13" t="n">
        <f aca="false">AI63*AI13</f>
        <v>1.53425517522374</v>
      </c>
      <c r="AJ65" s="13" t="n">
        <f aca="false">AJ63*AJ13</f>
        <v>0.772578031245425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146.16617508067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8.23754127720719</v>
      </c>
      <c r="AC66" s="13" t="n">
        <f aca="false">Time!AC35*(AC63-AC64)*AC19</f>
        <v>8.07644688023195</v>
      </c>
      <c r="AD66" s="13" t="n">
        <f aca="false">Time!AD35*(AD63-AD64)*AD19</f>
        <v>8.33748980848365</v>
      </c>
      <c r="AE66" s="13" t="n">
        <f aca="false">Time!AE35*(AE63-AE64)*AE19</f>
        <v>8.04919346659676</v>
      </c>
      <c r="AF66" s="13" t="n">
        <f aca="false">Time!AF35*(AF63-AF64)*AF19</f>
        <v>7.55023352566809</v>
      </c>
      <c r="AG66" s="13" t="n">
        <f aca="false">Time!AG35*(AG63-AG64)*AG19</f>
        <v>6.7291817288148</v>
      </c>
      <c r="AH66" s="13" t="n">
        <f aca="false">Time!AH35*(AH63-AH64)*AH19</f>
        <v>5.89508278428228</v>
      </c>
      <c r="AI66" s="13" t="n">
        <f aca="false">Time!AI35*(AI63-AI64)*AI19</f>
        <v>4.5172369009707</v>
      </c>
      <c r="AJ66" s="13" t="n">
        <f aca="false">Time!AJ35*(AJ63-AJ64)*AJ19</f>
        <v>2.71231200985883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146.16617508067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8.23754127720719</v>
      </c>
      <c r="AC69" s="13" t="n">
        <f aca="false">AC66-AC67+AC68</f>
        <v>8.07644688023195</v>
      </c>
      <c r="AD69" s="13" t="n">
        <f aca="false">AD66-AD67+AD68</f>
        <v>8.33748980848365</v>
      </c>
      <c r="AE69" s="13" t="n">
        <f aca="false">AE66-AE67+AE68</f>
        <v>8.04919346659676</v>
      </c>
      <c r="AF69" s="13" t="n">
        <f aca="false">AF66-AF67+AF68</f>
        <v>7.55023352566809</v>
      </c>
      <c r="AG69" s="13" t="n">
        <f aca="false">AG66-AG67+AG68</f>
        <v>6.7291817288148</v>
      </c>
      <c r="AH69" s="13" t="n">
        <f aca="false">AH66-AH67+AH68</f>
        <v>5.89508278428228</v>
      </c>
      <c r="AI69" s="13" t="n">
        <f aca="false">AI66-AI67+AI68</f>
        <v>4.5172369009707</v>
      </c>
      <c r="AJ69" s="13" t="n">
        <f aca="false">AJ66-AJ67+AJ68</f>
        <v>2.71231200985883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140.191807593915</v>
      </c>
      <c r="AC73" s="13" t="n">
        <f aca="false">AC63-AC69-AC70-AC71</f>
        <v>124.966252773824</v>
      </c>
      <c r="AD73" s="13" t="n">
        <f aca="false">AD63-AD69-AD70-AD71</f>
        <v>109.80717302194</v>
      </c>
      <c r="AE73" s="13" t="n">
        <f aca="false">AE63-AE69-AE70-AE71</f>
        <v>93.5924212100187</v>
      </c>
      <c r="AF73" s="13" t="n">
        <f aca="false">AF63-AF69-AF70-AF71</f>
        <v>77.2650335442596</v>
      </c>
      <c r="AG73" s="13" t="n">
        <f aca="false">AG63-AG69-AG70-AG71</f>
        <v>60.8719934866317</v>
      </c>
      <c r="AH73" s="13" t="n">
        <f aca="false">AH63-AH69-AH70-AH71</f>
        <v>44.8825586915689</v>
      </c>
      <c r="AI73" s="13" t="n">
        <f aca="false">AI63-AI69-AI70-AI71</f>
        <v>28.8939739156934</v>
      </c>
      <c r="AJ73" s="13" t="n">
        <f aca="false">AJ63-AJ69-AJ70-AJ71</f>
        <v>13.8376775518886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94.4710956255842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6.14646513657639</v>
      </c>
      <c r="AB74" s="13" t="n">
        <f aca="false">Waterfall!AB28*AB73/(AB31+AB45+AB59+AB73+AB87+Inputs!$F$253)+Waterfall!AB29</f>
        <v>7.14910793985921</v>
      </c>
      <c r="AC74" s="13" t="n">
        <f aca="false">Waterfall!AC28*AC73/(AC31+AC45+AC59+AC73+AC87+Inputs!$F$253)+Waterfall!AC29</f>
        <v>6.82158994339973</v>
      </c>
      <c r="AD74" s="13" t="n">
        <f aca="false">Waterfall!AD28*AD73/(AD31+AD45+AD59+AD73+AD87+Inputs!$F$253)+Waterfall!AD29</f>
        <v>8.16555834532492</v>
      </c>
      <c r="AE74" s="13" t="n">
        <f aca="false">Waterfall!AE28*AE73/(AE31+AE45+AE59+AE73+AE87+Inputs!$F$253)+Waterfall!AE29</f>
        <v>8.77715414009103</v>
      </c>
      <c r="AF74" s="13" t="n">
        <f aca="false">Waterfall!AF28*AF73/(AF31+AF45+AF59+AF73+AF87+Inputs!$F$253)+Waterfall!AF29</f>
        <v>9.6638583288131</v>
      </c>
      <c r="AG74" s="13" t="n">
        <f aca="false">Waterfall!AG28*AG73/(AG31+AG45+AG59+AG73+AG87+Inputs!$F$253)+Waterfall!AG29</f>
        <v>10.0943520107805</v>
      </c>
      <c r="AH74" s="13" t="n">
        <f aca="false">Waterfall!AH28*AH73/(AH31+AH45+AH59+AH73+AH87+Inputs!$F$253)+Waterfall!AH29</f>
        <v>11.4713478749048</v>
      </c>
      <c r="AI74" s="13" t="n">
        <f aca="false">Waterfall!AI28*AI73/(AI31+AI45+AI59+AI73+AI87+Inputs!$F$253)+Waterfall!AI29</f>
        <v>12.343984353946</v>
      </c>
      <c r="AJ74" s="13" t="n">
        <f aca="false">Waterfall!AJ28*AJ73/(AJ31+AJ45+AJ59+AJ73+AJ87+Inputs!$F$253)+Waterfall!AJ29</f>
        <v>13.8376775518886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148.429348871122</v>
      </c>
      <c r="AB75" s="13" t="n">
        <f aca="false">IF(Time!AB34=1,INDEX(Funding!$J$64:$BJ$64,1,Time!$F$14),Time!AB35*(AB73-AB74))</f>
        <v>133.042699654056</v>
      </c>
      <c r="AC75" s="13" t="n">
        <f aca="false">IF(Time!AC34=1,INDEX(Funding!$J$64:$BJ$64,1,Time!$F$14),Time!AC35*(AC73-AC74))</f>
        <v>118.144662830424</v>
      </c>
      <c r="AD75" s="13" t="n">
        <f aca="false">IF(Time!AD34=1,INDEX(Funding!$J$64:$BJ$64,1,Time!$F$14),Time!AD35*(AD73-AD74))</f>
        <v>101.641614676615</v>
      </c>
      <c r="AE75" s="13" t="n">
        <f aca="false">IF(Time!AE34=1,INDEX(Funding!$J$64:$BJ$64,1,Time!$F$14),Time!AE35*(AE73-AE74))</f>
        <v>84.8152670699277</v>
      </c>
      <c r="AF75" s="13" t="n">
        <f aca="false">IF(Time!AF34=1,INDEX(Funding!$J$64:$BJ$64,1,Time!$F$14),Time!AF35*(AF73-AF74))</f>
        <v>67.6011752154465</v>
      </c>
      <c r="AG75" s="13" t="n">
        <f aca="false">IF(Time!AG34=1,INDEX(Funding!$J$64:$BJ$64,1,Time!$F$14),Time!AG35*(AG73-AG74))</f>
        <v>50.7776414758512</v>
      </c>
      <c r="AH75" s="13" t="n">
        <f aca="false">IF(Time!AH34=1,INDEX(Funding!$J$64:$BJ$64,1,Time!$F$14),Time!AH35*(AH73-AH74))</f>
        <v>33.4112108166641</v>
      </c>
      <c r="AI75" s="13" t="n">
        <f aca="false">IF(Time!AI34=1,INDEX(Funding!$J$64:$BJ$64,1,Time!$F$14),Time!AI35*(AI73-AI74))</f>
        <v>16.5499895617474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16.5642230389212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0.774435210931959</v>
      </c>
      <c r="AC108" s="13" t="n">
        <f aca="false">(Inputs!$F$95/100*Inputs!$F$96/100)*AC63*Time!AC25/Inputs!$F$248</f>
        <v>0.686609680379027</v>
      </c>
      <c r="AD108" s="13" t="n">
        <f aca="false">(Inputs!$F$95/100*Inputs!$F$96/100)*AD63*Time!AD25/Inputs!$F$248</f>
        <v>0.616423824367834</v>
      </c>
      <c r="AE108" s="13" t="n">
        <f aca="false">(Inputs!$F$95/100*Inputs!$F$96/100)*AE63*Time!AE25/Inputs!$F$248</f>
        <v>0.521672106450514</v>
      </c>
      <c r="AF108" s="13" t="n">
        <f aca="false">(Inputs!$F$95/100*Inputs!$F$96/100)*AF63*Time!AF25/Inputs!$F$248</f>
        <v>0.442526560569782</v>
      </c>
      <c r="AG108" s="13" t="n">
        <f aca="false">(Inputs!$F$95/100*Inputs!$F$96/100)*AG63*Time!AG25/Inputs!$F$248</f>
        <v>0.346960716684539</v>
      </c>
      <c r="AH108" s="13" t="n">
        <f aca="false">(Inputs!$F$95/100*Inputs!$F$96/100)*AH63*Time!AH25/Inputs!$F$248</f>
        <v>0.264934083360578</v>
      </c>
      <c r="AI108" s="13" t="n">
        <f aca="false">(Inputs!$F$95/100*Inputs!$F$96/100)*AI63*Time!AI25/Inputs!$F$248</f>
        <v>0.17148189529698</v>
      </c>
      <c r="AJ108" s="13" t="n">
        <f aca="false">(Inputs!$F$95/100*Inputs!$F$96/100)*AJ63*Time!AJ25/Inputs!$F$248</f>
        <v>0.0863501373188817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304.605987480117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13.7476585021512</v>
      </c>
      <c r="AC111" s="13" t="n">
        <f aca="false">AC23+AC37+AC51+AC65+AC79+AC92</f>
        <v>12.5335280009618</v>
      </c>
      <c r="AD111" s="13" t="n">
        <f aca="false">AD23+AD37+AD51+AD65+AD79+AD92</f>
        <v>11.6029697651877</v>
      </c>
      <c r="AE111" s="13" t="n">
        <f aca="false">AE23+AE37+AE51+AE65+AE79+AE92</f>
        <v>10.256160316303</v>
      </c>
      <c r="AF111" s="13" t="n">
        <f aca="false">AF23+AF37+AF51+AF65+AF79+AF92</f>
        <v>9.2156772777343</v>
      </c>
      <c r="AG111" s="13" t="n">
        <f aca="false">AG23+AG37+AG51+AG65+AG79+AG92</f>
        <v>8.0304696372671</v>
      </c>
      <c r="AH111" s="13" t="n">
        <f aca="false">AH23+AH37+AH51+AH65+AH79+AH92</f>
        <v>6.87973073388561</v>
      </c>
      <c r="AI111" s="13" t="n">
        <f aca="false">AI23+AI37+AI51+AI65+AI79+AI92</f>
        <v>5.45510565245701</v>
      </c>
      <c r="AJ111" s="13" t="n">
        <f aca="false">AJ23+AJ37+AJ51+AJ65+AJ79+AJ92</f>
        <v>4.21952491010157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312.836006916053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14.1277897948366</v>
      </c>
      <c r="AC112" s="13" t="n">
        <f aca="false">AC111+AC107+AC108+AC109</f>
        <v>12.9009930216528</v>
      </c>
      <c r="AD112" s="13" t="n">
        <f aca="false">AD111+AD107+AD108+AD109</f>
        <v>11.869580831726</v>
      </c>
      <c r="AE112" s="13" t="n">
        <f aca="false">AE111+AE107+AE108+AE109</f>
        <v>10.5224717902801</v>
      </c>
      <c r="AF112" s="13" t="n">
        <f aca="false">AF111+AF107+AF108+AF109</f>
        <v>9.35882480975787</v>
      </c>
      <c r="AG112" s="13" t="n">
        <f aca="false">AG111+AG107+AG108+AG109</f>
        <v>8.16322415454097</v>
      </c>
      <c r="AH112" s="13" t="n">
        <f aca="false">AH111+AH107+AH108+AH109</f>
        <v>6.89908446556765</v>
      </c>
      <c r="AI112" s="13" t="n">
        <f aca="false">AI111+AI107+AI108+AI109</f>
        <v>5.45609696432404</v>
      </c>
      <c r="AJ112" s="13" t="n">
        <f aca="false">AJ111+AJ107+AJ108+AJ109</f>
        <v>4.11815365744431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538.784879917207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22.2342993658728</v>
      </c>
      <c r="AC113" s="13" t="n">
        <f aca="false">AC27+AC41+AC55+AC69+AC83+AC93</f>
        <v>22.5368959569222</v>
      </c>
      <c r="AD113" s="13" t="n">
        <f aca="false">AD27+AD41+AD55+AD69+AD83+AD93</f>
        <v>24.1272449598299</v>
      </c>
      <c r="AE113" s="13" t="n">
        <f aca="false">AE27+AE41+AE55+AE69+AE83+AE93</f>
        <v>24.51760081064</v>
      </c>
      <c r="AF113" s="13" t="n">
        <f aca="false">AF27+AF41+AF55+AF69+AF83+AF93</f>
        <v>24.5963820281919</v>
      </c>
      <c r="AG113" s="13" t="n">
        <f aca="false">AG27+AG41+AG55+AG69+AG83+AG93</f>
        <v>24.0934661864385</v>
      </c>
      <c r="AH113" s="13" t="n">
        <f aca="false">AH27+AH41+AH55+AH69+AH83+AH93</f>
        <v>24.1310810694206</v>
      </c>
      <c r="AI113" s="13" t="n">
        <f aca="false">AI27+AI41+AI55+AI69+AI83+AI93</f>
        <v>23.2886900760362</v>
      </c>
      <c r="AJ113" s="13" t="n">
        <f aca="false">AJ27+AJ41+AJ55+AJ69+AJ83+AJ93</f>
        <v>22.3900070819318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851.620886833261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36.3620891607094</v>
      </c>
      <c r="AC114" s="13" t="n">
        <f aca="false">AC112+AC113</f>
        <v>35.437888978575</v>
      </c>
      <c r="AD114" s="13" t="n">
        <f aca="false">AD112+AD113</f>
        <v>35.996825791556</v>
      </c>
      <c r="AE114" s="13" t="n">
        <f aca="false">AE112+AE113</f>
        <v>35.0400726009201</v>
      </c>
      <c r="AF114" s="13" t="n">
        <f aca="false">AF112+AF113</f>
        <v>33.9552068379497</v>
      </c>
      <c r="AG114" s="13" t="n">
        <f aca="false">AG112+AG113</f>
        <v>32.2566903409795</v>
      </c>
      <c r="AH114" s="13" t="n">
        <f aca="false">AH112+AH113</f>
        <v>31.0301655349882</v>
      </c>
      <c r="AI114" s="13" t="n">
        <f aca="false">AI112+AI113</f>
        <v>28.7447870403602</v>
      </c>
      <c r="AJ114" s="13" t="n">
        <f aca="false">AJ112+AJ113</f>
        <v>26.5081607393761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400.631992778431</v>
      </c>
      <c r="AC115" s="13" t="n">
        <f aca="false">AC21+AC35+AC49+AC63+AC77+AC91</f>
        <v>371.248585472699</v>
      </c>
      <c r="AD115" s="13" t="n">
        <f aca="false">AD21+AD35+AD49+AD63+AD77+AD91</f>
        <v>341.890099572377</v>
      </c>
      <c r="AE115" s="13" t="n">
        <f aca="false">AE21+AE35+AE49+AE63+AE77+AE91</f>
        <v>309.597296267222</v>
      </c>
      <c r="AF115" s="13" t="n">
        <f aca="false">AF21+AF35+AF49+AF63+AF77+AF91</f>
        <v>276.302541316491</v>
      </c>
      <c r="AG115" s="13" t="n">
        <f aca="false">AG21+AG35+AG49+AG63+AG77+AG91</f>
        <v>242.042300959486</v>
      </c>
      <c r="AH115" s="13" t="n">
        <f aca="false">AH21+AH35+AH49+AH63+AH77+AH91</f>
        <v>207.854482762267</v>
      </c>
      <c r="AI115" s="13" t="n">
        <f aca="false">AI21+AI35+AI49+AI63+AI77+AI91</f>
        <v>172.252053817942</v>
      </c>
      <c r="AJ115" s="13" t="n">
        <f aca="false">AJ21+AJ35+AJ49+AJ63+AJ77+AJ91</f>
        <v>136.61937938796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400.631992778431</v>
      </c>
      <c r="AB116" s="13" t="n">
        <f aca="false">AB33+AB47+AB61+AB75+AB89+AB95</f>
        <v>371.248585472699</v>
      </c>
      <c r="AC116" s="13" t="n">
        <f aca="false">AC33+AC47+AC61+AC75+AC89+AC95</f>
        <v>341.890099572377</v>
      </c>
      <c r="AD116" s="13" t="n">
        <f aca="false">AD33+AD47+AD61+AD75+AD89+AD95</f>
        <v>309.597296267222</v>
      </c>
      <c r="AE116" s="13" t="n">
        <f aca="false">AE33+AE47+AE61+AE75+AE89+AE95</f>
        <v>276.302541316491</v>
      </c>
      <c r="AF116" s="13" t="n">
        <f aca="false">AF33+AF47+AF61+AF75+AF89+AF95</f>
        <v>242.042300959486</v>
      </c>
      <c r="AG116" s="13" t="n">
        <f aca="false">AG33+AG47+AG61+AG75+AG89+AG95</f>
        <v>207.854482762267</v>
      </c>
      <c r="AH116" s="13" t="n">
        <f aca="false">AH33+AH47+AH61+AH75+AH89+AH95</f>
        <v>172.252053817942</v>
      </c>
      <c r="AI116" s="13" t="n">
        <f aca="false">AI33+AI47+AI61+AI75+AI89+AI95</f>
        <v>136.61937938796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140.191807593915</v>
      </c>
      <c r="AC118" s="13" t="n">
        <f aca="false">IF(Time!AC34=1,AC75,AC73)</f>
        <v>124.966252773824</v>
      </c>
      <c r="AD118" s="13" t="n">
        <f aca="false">IF(Time!AD34=1,AD75,AD73)</f>
        <v>109.80717302194</v>
      </c>
      <c r="AE118" s="13" t="n">
        <f aca="false">IF(Time!AE34=1,AE75,AE73)</f>
        <v>93.5924212100187</v>
      </c>
      <c r="AF118" s="13" t="n">
        <f aca="false">IF(Time!AF34=1,AF75,AF73)</f>
        <v>77.2650335442596</v>
      </c>
      <c r="AG118" s="13" t="n">
        <f aca="false">IF(Time!AG34=1,AG75,AG73)</f>
        <v>60.8719934866317</v>
      </c>
      <c r="AH118" s="13" t="n">
        <f aca="false">IF(Time!AH34=1,AH75,AH73)</f>
        <v>44.8825586915689</v>
      </c>
      <c r="AI118" s="13" t="n">
        <f aca="false">IF(Time!AI34=1,AI75,AI73)</f>
        <v>28.8939739156934</v>
      </c>
      <c r="AJ118" s="13" t="n">
        <f aca="false">IF(Time!AJ34=1,AJ75,AJ73)</f>
        <v>13.8376775518886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14.5899166160588</v>
      </c>
      <c r="AC122" s="13" t="n">
        <f aca="false">IF(AND(Time!AC20&gt;=Time!$F$12,Time!AD20&gt;0),(IF(Time!AC34=1,AC75,AC73)-AC72)*AD19+IF(Time!AD46&gt;0,Time!AD45*AC72/Time!AD46,0)+IF(Time!AC34=1,AC75,AC73)*AD13,0)</f>
        <v>14.2976579890979</v>
      </c>
      <c r="AD122" s="13" t="n">
        <f aca="false">IF(AND(Time!AD20&gt;=Time!$F$12,Time!AE20&gt;0),(IF(Time!AD34=1,AD75,AD73)-AD72)*AE19+IF(Time!AE46&gt;0,Time!AE45*AD72/Time!AE46,0)+IF(Time!AD34=1,AD75,AD73)*AE13,0)</f>
        <v>13.4315111916144</v>
      </c>
      <c r="AE122" s="13" t="n">
        <f aca="false">IF(AND(Time!AE20&gt;=Time!$F$12,Time!AF20&gt;0),(IF(Time!AE34=1,AE75,AE73)-AE72)*AF19+IF(Time!AF46&gt;0,Time!AF45*AE72/Time!AF46,0)+IF(Time!AE34=1,AE75,AE73)*AF13,0)</f>
        <v>12.4348501769853</v>
      </c>
      <c r="AF122" s="13" t="n">
        <f aca="false">IF(AND(Time!AF20&gt;=Time!$F$12,Time!AG20&gt;0),(IF(Time!AF34=1,AF75,AF73)-AF72)*AG19+IF(Time!AG46&gt;0,Time!AG45*AF72/Time!AG46,0)+IF(Time!AF34=1,AF75,AF73)*AG13,0)</f>
        <v>11.2391841234471</v>
      </c>
      <c r="AG122" s="13" t="n">
        <f aca="false">IF(AND(Time!AG20&gt;=Time!$F$12,Time!AH20&gt;0),(IF(Time!AG34=1,AG75,AG73)-AG72)*AH19+IF(Time!AH46&gt;0,Time!AH45*AG72/Time!AH46,0)+IF(Time!AG34=1,AG75,AG73)*AH13,0)</f>
        <v>9.90859185384164</v>
      </c>
      <c r="AH122" s="13" t="n">
        <f aca="false">IF(AND(Time!AH20&gt;=Time!$F$12,Time!AI20&gt;0),(IF(Time!AH34=1,AH75,AH73)-AH72)*AI19+IF(Time!AI46&gt;0,Time!AI45*AH72/Time!AI46,0)+IF(Time!AH34=1,AH75,AH73)*AI13,0)</f>
        <v>8.12920099698677</v>
      </c>
      <c r="AI122" s="13" t="n">
        <f aca="false">IF(AND(Time!AI20&gt;=Time!$F$12,Time!AJ20&gt;0),(IF(Time!AI34=1,AI75,AI73)-AI72)*AJ19+IF(Time!AJ46&gt;0,Time!AJ45*AI72/Time!AJ46,0)+IF(Time!AI34=1,AI75,AI73)*AJ13,0)</f>
        <v>6.08413205162738</v>
      </c>
      <c r="AJ122" s="13" t="n">
        <f aca="false">IF(AND(Time!AJ20&gt;=Time!$F$12,Time!AK20&gt;0),(IF(Time!AJ34=1,AJ75,AJ73)-AJ72)*AK19+IF(Time!AK46&gt;0,Time!AK45*AJ72/Time!AK46,0)+IF(Time!AJ34=1,AJ75,AJ73)*AK13,0)</f>
        <v>3.43904669504123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36.2187998292663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36.8128904606567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36.0807855454925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35.1671497469047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33.7120211541648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32.7259667016326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30.8813722612661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29.1718079110051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26.5412983487335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853.803892662237</v>
      </c>
      <c r="Q128" s="13" t="n">
        <f aca="false">IF(Time!Q53=1,(Waterfall!Q7+R128)/(1+Q127),0)</f>
        <v>832.937788334629</v>
      </c>
      <c r="R128" s="13" t="n">
        <f aca="false">IF(Time!R53=1,(Waterfall!R7+S128)/(1+R127),0)</f>
        <v>811.186592575301</v>
      </c>
      <c r="S128" s="13" t="n">
        <f aca="false">IF(Time!S53=1,(Waterfall!S7+T128)/(1+S127),0)</f>
        <v>788.363494160308</v>
      </c>
      <c r="T128" s="13" t="n">
        <f aca="false">IF(Time!T53=1,(Waterfall!T7+U128)/(1+T127),0)</f>
        <v>764.866403495147</v>
      </c>
      <c r="U128" s="13" t="n">
        <f aca="false">IF(Time!U53=1,(Waterfall!U7+V128)/(1+U127),0)</f>
        <v>740.291801713842</v>
      </c>
      <c r="V128" s="13" t="n">
        <f aca="false">IF(Time!V53=1,(Waterfall!V7+W128)/(1+V127),0)</f>
        <v>714.930061336737</v>
      </c>
      <c r="W128" s="13" t="n">
        <f aca="false">IF(Time!W53=1,(Waterfall!W7+X128)/(1+W127),0)</f>
        <v>687.904719576269</v>
      </c>
      <c r="X128" s="13" t="n">
        <f aca="false">IF(Time!X53=1,(Waterfall!X7+Y128)/(1+X127),0)</f>
        <v>660.05213944975</v>
      </c>
      <c r="Y128" s="13" t="n">
        <f aca="false">IF(Time!Y53=1,(Waterfall!Y7+Z128)/(1+Y127),0)</f>
        <v>632.984455383432</v>
      </c>
      <c r="Z128" s="13" t="n">
        <f aca="false">IF(Time!Z53=1,(Waterfall!Z7+AA128)/(1+Z127),0)</f>
        <v>605.904257431614</v>
      </c>
      <c r="AA128" s="13" t="n">
        <f aca="false">IF(Time!AA53=1,(Waterfall!AA7+AB128)/(1+AA127),0)</f>
        <v>577.700513202129</v>
      </c>
      <c r="AB128" s="13" t="n">
        <f aca="false">IF(Time!AB53=1,(Waterfall!AB7+AC128)/(1+AB127),0)</f>
        <v>548.67206799512</v>
      </c>
      <c r="AC128" s="13" t="n">
        <f aca="false">IF(Time!AC53=1,(Waterfall!AC7+AD128)/(1+AC127),0)</f>
        <v>518.260324567073</v>
      </c>
      <c r="AD128" s="13" t="n">
        <f aca="false">IF(Time!AD53=1,(Waterfall!AD7+AE128)/(1+AD127),0)</f>
        <v>486.835586582703</v>
      </c>
      <c r="AE128" s="13" t="n">
        <f aca="false">IF(Time!AE53=1,(Waterfall!AE7+AF128)/(1+AE127),0)</f>
        <v>452.508884946438</v>
      </c>
      <c r="AF128" s="13" t="n">
        <f aca="false">IF(Time!AF53=1,(Waterfall!AF7+AG128)/(1+AF127),0)</f>
        <v>416.70489283514</v>
      </c>
      <c r="AG128" s="13" t="n">
        <f aca="false">IF(Time!AG53=1,(Waterfall!AG7+AH128)/(1+AG127),0)</f>
        <v>379.658542912328</v>
      </c>
      <c r="AH128" s="13" t="n">
        <f aca="false">IF(Time!AH53=1,(Waterfall!AH7+AI128)/(1+AH127),0)</f>
        <v>341.922901726338</v>
      </c>
      <c r="AI128" s="13" t="n">
        <f aca="false">IF(Time!AI53=1,(Waterfall!AI7+AJ128)/(1+AI127),0)</f>
        <v>302.292336129748</v>
      </c>
      <c r="AJ128" s="13" t="n">
        <f aca="false">IF(Time!AJ53=1,(Waterfall!AJ7+AK128)/(1+AJ127),0)</f>
        <v>261.496250219233</v>
      </c>
      <c r="AK128" s="13" t="n">
        <f aca="false">IF(Time!AK53=1,(Waterfall!AK7+AL128)/(1+AK127),0)</f>
        <v>218.734411676054</v>
      </c>
      <c r="AL128" s="13" t="n">
        <f aca="false">IF(Time!AL53=1,(Waterfall!AL7+AM128)/(1+AL127),0)</f>
        <v>174.584350123028</v>
      </c>
      <c r="AM128" s="13" t="n">
        <f aca="false">IF(Time!AM53=1,(Waterfall!AM7+AN128)/(1+AM127),0)</f>
        <v>127.762589579668</v>
      </c>
      <c r="AN128" s="13" t="n">
        <f aca="false">IF(Time!AN53=1,(Waterfall!AN7+AO128)/(1+AN127),0)</f>
        <v>79.5517795621732</v>
      </c>
      <c r="AO128" s="13" t="n">
        <f aca="false">IF(Time!AO53=1,(Waterfall!AO7+AP128)/(1+AO127),0)</f>
        <v>40.0690511437572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1.34827609313979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632.447327897953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37.2323167436201</v>
      </c>
      <c r="Q132" s="13" t="n">
        <f aca="false">IF(Time!Q53=1,(Waterfall!Q7)/$F$129,0)</f>
        <v>37.1448096407872</v>
      </c>
      <c r="R132" s="13" t="n">
        <f aca="false">IF(Time!R53=1,(Waterfall!R7)/$F$129,0)</f>
        <v>37.6127409969339</v>
      </c>
      <c r="S132" s="13" t="n">
        <f aca="false">IF(Time!S53=1,(Waterfall!S7)/$F$129,0)</f>
        <v>37.3223804805193</v>
      </c>
      <c r="T132" s="13" t="n">
        <f aca="false">IF(Time!T53=1,(Waterfall!T7)/$F$129,0)</f>
        <v>37.7376756975207</v>
      </c>
      <c r="U132" s="13" t="n">
        <f aca="false">IF(Time!U53=1,(Waterfall!U7)/$F$129,0)</f>
        <v>37.5597026737251</v>
      </c>
      <c r="V132" s="13" t="n">
        <f aca="false">IF(Time!V53=1,(Waterfall!V7)/$F$129,0)</f>
        <v>38.2815326386566</v>
      </c>
      <c r="W132" s="13" t="n">
        <f aca="false">IF(Time!W53=1,(Waterfall!W7)/$F$129,0)</f>
        <v>38.0176505403655</v>
      </c>
      <c r="X132" s="13" t="n">
        <f aca="false">IF(Time!X53=1,(Waterfall!X7)/$F$129,0)</f>
        <v>36.9130554275306</v>
      </c>
      <c r="Y132" s="13" t="n">
        <f aca="false">IF(Time!Y53=1,(Waterfall!Y7)/$F$129,0)</f>
        <v>36.5571469383467</v>
      </c>
      <c r="Z132" s="13" t="n">
        <f aca="false">IF(Time!Z53=1,(Waterfall!Z7)/$F$129,0)</f>
        <v>36.8592973963712</v>
      </c>
      <c r="AA132" s="13" t="n">
        <f aca="false">IF(Time!AA53=1,(Waterfall!AA7)/$F$129,0)</f>
        <v>36.5634895967986</v>
      </c>
      <c r="AB132" s="13" t="n">
        <f aca="false">IF(Time!AB53=1,(Waterfall!AB7)/$F$129,0)</f>
        <v>36.9912041691501</v>
      </c>
      <c r="AC132" s="13" t="n">
        <f aca="false">IF(Time!AC53=1,(Waterfall!AC7)/$F$129,0)</f>
        <v>36.8434623661421</v>
      </c>
      <c r="AD132" s="13" t="n">
        <f aca="false">IF(Time!AD53=1,(Waterfall!AD7)/$F$129,0)</f>
        <v>38.26800595929</v>
      </c>
      <c r="AE132" s="13" t="n">
        <f aca="false">IF(Time!AE53=1,(Waterfall!AE7)/$F$129,0)</f>
        <v>38.3309808320959</v>
      </c>
      <c r="AF132" s="13" t="n">
        <f aca="false">IF(Time!AF53=1,(Waterfall!AF7)/$F$129,0)</f>
        <v>38.4400458975301</v>
      </c>
      <c r="AG132" s="13" t="n">
        <f aca="false">IF(Time!AG53=1,(Waterfall!AG7)/$F$129,0)</f>
        <v>38.1667673051836</v>
      </c>
      <c r="AH132" s="13" t="n">
        <f aca="false">IF(Time!AH53=1,(Waterfall!AH7)/$F$129,0)</f>
        <v>38.6629022866066</v>
      </c>
      <c r="AI132" s="13" t="n">
        <f aca="false">IF(Time!AI53=1,(Waterfall!AI7)/$F$129,0)</f>
        <v>38.3624627486654</v>
      </c>
      <c r="AJ132" s="13" t="n">
        <f aca="false">IF(Time!AJ53=1,(Waterfall!AJ7)/$F$129,0)</f>
        <v>38.8049950180018</v>
      </c>
      <c r="AK132" s="13" t="n">
        <f aca="false">IF(Time!AK53=1,(Waterfall!AK7)/$F$129,0)</f>
        <v>38.6316993759622</v>
      </c>
      <c r="AL132" s="13" t="n">
        <f aca="false">IF(Time!AL53=1,(Waterfall!AL7)/$F$129,0)</f>
        <v>39.4600429745252</v>
      </c>
      <c r="AM132" s="13" t="n">
        <f aca="false">IF(Time!AM53=1,(Waterfall!AM7)/$F$129,0)</f>
        <v>39.182705714022</v>
      </c>
      <c r="AN132" s="13" t="n">
        <f aca="false">IF(Time!AN53=1,(Waterfall!AN7)/$F$129,0)</f>
        <v>31.4404769956125</v>
      </c>
      <c r="AO132" s="13" t="n">
        <f aca="false">IF(Time!AO53=1,(Waterfall!AO7)/$F$129,0)</f>
        <v>30.7929855678588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617.779839435506</v>
      </c>
      <c r="R133" s="13" t="n">
        <f aca="false">IF(Time!R53=1,IF(Time!R20=Time!$F$13,Funding!$F$25,Q133-Q134),0)</f>
        <v>601.647241765043</v>
      </c>
      <c r="S133" s="13" t="n">
        <f aca="false">IF(Time!S53=1,IF(Time!S20=Time!$F$13,Funding!$F$25,R133-R134),0)</f>
        <v>584.719626915888</v>
      </c>
      <c r="T133" s="13" t="n">
        <f aca="false">IF(Time!T53=1,IF(Time!T20=Time!$F$13,Funding!$F$25,S133-S134),0)</f>
        <v>567.292120202154</v>
      </c>
      <c r="U133" s="13" t="n">
        <f aca="false">IF(Time!U53=1,IF(Time!U20=Time!$F$13,Funding!$F$25,T133-T134),0)</f>
        <v>549.06543658272</v>
      </c>
      <c r="V133" s="13" t="n">
        <f aca="false">IF(Time!V53=1,IF(Time!V20=Time!$F$13,Funding!$F$25,U133-U134),0)</f>
        <v>530.254941828605</v>
      </c>
      <c r="W133" s="13" t="n">
        <f aca="false">IF(Time!W53=1,IF(Time!W20=Time!$F$13,Funding!$F$25,V133-V134),0)</f>
        <v>510.210574137168</v>
      </c>
      <c r="X133" s="13" t="n">
        <f aca="false">IF(Time!X53=1,IF(Time!X20=Time!$F$13,Funding!$F$25,W133-W134),0)</f>
        <v>489.552653798569</v>
      </c>
      <c r="Y133" s="13" t="n">
        <f aca="false">IF(Time!Y53=1,IF(Time!Y20=Time!$F$13,Funding!$F$25,X133-X134),0)</f>
        <v>469.476881333239</v>
      </c>
      <c r="Z133" s="13" t="n">
        <f aca="false">IF(Time!Z53=1,IF(Time!Z20=Time!$F$13,Funding!$F$25,Y133-Y134),0)</f>
        <v>449.391827471048</v>
      </c>
      <c r="AA133" s="13" t="n">
        <f aca="false">IF(Time!AA53=1,IF(Time!AA20=Time!$F$13,Funding!$F$25,Z133-Z134),0)</f>
        <v>428.47345298307</v>
      </c>
      <c r="AB133" s="13" t="n">
        <f aca="false">IF(Time!AB53=1,IF(Time!AB20=Time!$F$13,Funding!$F$25,AA133-AA134),0)</f>
        <v>406.943407798179</v>
      </c>
      <c r="AC133" s="13" t="n">
        <f aca="false">IF(Time!AC53=1,IF(Time!AC20=Time!$F$13,Funding!$F$25,AB133-AB134),0)</f>
        <v>384.387387126458</v>
      </c>
      <c r="AD133" s="13" t="n">
        <f aca="false">IF(Time!AD53=1,IF(Time!AD20=Time!$F$13,Funding!$F$25,AC133-AC134),0)</f>
        <v>361.080040697739</v>
      </c>
      <c r="AE133" s="13" t="n">
        <f aca="false">IF(Time!AE53=1,IF(Time!AE20=Time!$F$13,Funding!$F$25,AD133-AD134),0)</f>
        <v>335.620343080222</v>
      </c>
      <c r="AF133" s="13" t="n">
        <f aca="false">IF(Time!AF53=1,IF(Time!AF20=Time!$F$13,Funding!$F$25,AE133-AE134),0)</f>
        <v>309.064957062868</v>
      </c>
      <c r="AG133" s="13" t="n">
        <f aca="false">IF(Time!AG53=1,IF(Time!AG20=Time!$F$13,Funding!$F$25,AF133-AF134),0)</f>
        <v>281.588129348344</v>
      </c>
      <c r="AH133" s="13" t="n">
        <f aca="false">IF(Time!AH53=1,IF(Time!AH20=Time!$F$13,Funding!$F$25,AG133-AG134),0)</f>
        <v>253.600062677138</v>
      </c>
      <c r="AI133" s="13" t="n">
        <f aca="false">IF(Time!AI53=1,IF(Time!AI20=Time!$F$13,Funding!$F$25,AH133-AH134),0)</f>
        <v>224.206553589322</v>
      </c>
      <c r="AJ133" s="13" t="n">
        <f aca="false">IF(Time!AJ53=1,IF(Time!AJ20=Time!$F$13,Funding!$F$25,AI133-AI134),0)</f>
        <v>193.94859224291</v>
      </c>
      <c r="AK133" s="13" t="n">
        <f aca="false">IF(Time!AK53=1,IF(Time!AK20=Time!$F$13,Funding!$F$25,AJ133-AJ134),0)</f>
        <v>162.232656047974</v>
      </c>
      <c r="AL133" s="13" t="n">
        <f aca="false">IF(Time!AL53=1,IF(Time!AL20=Time!$F$13,Funding!$F$25,AK133-AK134),0)</f>
        <v>129.487091710175</v>
      </c>
      <c r="AM133" s="13" t="n">
        <f aca="false">IF(Time!AM53=1,IF(Time!AM20=Time!$F$13,Funding!$F$25,AL133-AL134),0)</f>
        <v>94.7599606859017</v>
      </c>
      <c r="AN133" s="13" t="n">
        <f aca="false">IF(Time!AN53=1,IF(Time!AN20=Time!$F$13,Funding!$F$25,AM133-AM134),0)</f>
        <v>59.0025885402423</v>
      </c>
      <c r="AO133" s="13" t="n">
        <f aca="false">IF(Time!AO53=1,IF(Time!AO20=Time!$F$13,Funding!$F$25,AN133-AN134),0)</f>
        <v>29.7187284916146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15.4761361072687</v>
      </c>
      <c r="Q134" s="13" t="n">
        <f aca="false">Q132-Q133*Q127</f>
        <v>16.1325976704628</v>
      </c>
      <c r="R134" s="13" t="n">
        <f aca="false">R132-R133*R127</f>
        <v>16.9276148491546</v>
      </c>
      <c r="S134" s="13" t="n">
        <f aca="false">S132-S133*S127</f>
        <v>17.4275067137344</v>
      </c>
      <c r="T134" s="13" t="n">
        <f aca="false">T132-T133*T127</f>
        <v>18.2266836194335</v>
      </c>
      <c r="U134" s="13" t="n">
        <f aca="false">U132-U133*U127</f>
        <v>18.8104947541155</v>
      </c>
      <c r="V134" s="13" t="n">
        <f aca="false">V132-V133*V127</f>
        <v>20.0443676914372</v>
      </c>
      <c r="W134" s="13" t="n">
        <f aca="false">W132-W133*W127</f>
        <v>20.6579203385983</v>
      </c>
      <c r="X134" s="13" t="n">
        <f aca="false">X132-X133*X127</f>
        <v>20.0757724653299</v>
      </c>
      <c r="Y134" s="13" t="n">
        <f aca="false">Y132-Y133*Y127</f>
        <v>20.0850538621916</v>
      </c>
      <c r="Z134" s="13" t="n">
        <f aca="false">Z132-Z133*Z127</f>
        <v>20.9183744879775</v>
      </c>
      <c r="AA134" s="13" t="n">
        <f aca="false">AA132-AA133*AA127</f>
        <v>21.5300451848917</v>
      </c>
      <c r="AB134" s="13" t="n">
        <f aca="false">AB132-AB133*AB127</f>
        <v>22.5560206717205</v>
      </c>
      <c r="AC134" s="13" t="n">
        <f aca="false">AC132-AC133*AC127</f>
        <v>23.3073464287194</v>
      </c>
      <c r="AD134" s="13" t="n">
        <f aca="false">AD132-AD133*AD127</f>
        <v>25.4596976175163</v>
      </c>
      <c r="AE134" s="13" t="n">
        <f aca="false">AE132-AE133*AE127</f>
        <v>26.5553860173548</v>
      </c>
      <c r="AF134" s="13" t="n">
        <f aca="false">AF132-AF133*AF127</f>
        <v>27.4768277145234</v>
      </c>
      <c r="AG134" s="13" t="n">
        <f aca="false">AG132-AG133*AG127</f>
        <v>27.9880666712058</v>
      </c>
      <c r="AH134" s="13" t="n">
        <f aca="false">AH132-AH133*AH127</f>
        <v>29.3935090878166</v>
      </c>
      <c r="AI134" s="13" t="n">
        <f aca="false">AI132-AI133*AI127</f>
        <v>30.2579613464119</v>
      </c>
      <c r="AJ134" s="13" t="n">
        <f aca="false">AJ132-AJ133*AJ127</f>
        <v>31.7159361949363</v>
      </c>
      <c r="AK134" s="13" t="n">
        <f aca="false">AK132-AK133*AK127</f>
        <v>32.7455643377991</v>
      </c>
      <c r="AL134" s="13" t="n">
        <f aca="false">AL132-AL133*AL127</f>
        <v>34.7271310242728</v>
      </c>
      <c r="AM134" s="13" t="n">
        <f aca="false">AM132-AM133*AM127</f>
        <v>35.7573721456594</v>
      </c>
      <c r="AN134" s="13" t="n">
        <f aca="false">AN132-AN133*AN127</f>
        <v>29.2838600486277</v>
      </c>
      <c r="AO134" s="13" t="n">
        <f aca="false">AO132-AO133*AO127</f>
        <v>29.7187284916153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36.2187998292663</v>
      </c>
      <c r="AD9" s="13" t="n">
        <f aca="false">IF(Time!AD34=1,SUM(Funding!$J$44:$BJ$44),AC13)</f>
        <v>36.8128904606567</v>
      </c>
      <c r="AE9" s="13" t="n">
        <f aca="false">IF(Time!AE34=1,SUM(Funding!$J$44:$BJ$44),AD13)</f>
        <v>36.0807855454925</v>
      </c>
      <c r="AF9" s="13" t="n">
        <f aca="false">IF(Time!AF34=1,SUM(Funding!$J$44:$BJ$44),AE13)</f>
        <v>35.1671497469047</v>
      </c>
      <c r="AG9" s="13" t="n">
        <f aca="false">IF(Time!AG34=1,SUM(Funding!$J$44:$BJ$44),AF13)</f>
        <v>33.7120211541648</v>
      </c>
      <c r="AH9" s="13" t="n">
        <f aca="false">IF(Time!AH34=1,SUM(Funding!$J$44:$BJ$44),AG13)</f>
        <v>32.7259667016326</v>
      </c>
      <c r="AI9" s="13" t="n">
        <f aca="false">IF(Time!AI34=1,SUM(Funding!$J$44:$BJ$44),AH13)</f>
        <v>30.8813722612661</v>
      </c>
      <c r="AJ9" s="13" t="n">
        <f aca="false">IF(Time!AJ34=1,SUM(Funding!$J$44:$BJ$44),AI13)</f>
        <v>29.1718079110051</v>
      </c>
      <c r="AK9" s="13" t="n">
        <f aca="false">IF(Time!AK34=1,SUM(Funding!$J$44:$BJ$44),AJ13)</f>
        <v>26.5412983487335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2.92842437451083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0.594090631390358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40.1743198116062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0.785948802709868</v>
      </c>
      <c r="AC12" s="13" t="n">
        <f aca="false">MAX(0,AC9-AC10-Debt!AC125)</f>
        <v>0</v>
      </c>
      <c r="AD12" s="13" t="n">
        <f aca="false">MAX(0,AD9-AD10-Debt!AD125)</f>
        <v>0.732104915164172</v>
      </c>
      <c r="AE12" s="13" t="n">
        <f aca="false">MAX(0,AE9-AE10-Debt!AE125)</f>
        <v>0.913635798587784</v>
      </c>
      <c r="AF12" s="13" t="n">
        <f aca="false">MAX(0,AF9-AF10-Debt!AF125)</f>
        <v>1.45512859273995</v>
      </c>
      <c r="AG12" s="13" t="n">
        <f aca="false">MAX(0,AG9-AG10-Debt!AG125)</f>
        <v>0.98605445253218</v>
      </c>
      <c r="AH12" s="13" t="n">
        <f aca="false">MAX(0,AH9-AH10-Debt!AH125)</f>
        <v>1.84459444036649</v>
      </c>
      <c r="AI12" s="13" t="n">
        <f aca="false">MAX(0,AI9-AI10-Debt!AI125)</f>
        <v>1.70956435026098</v>
      </c>
      <c r="AJ12" s="13" t="n">
        <f aca="false">MAX(0,AJ9-AJ10-Debt!AJ125)</f>
        <v>2.63050956227159</v>
      </c>
      <c r="AK12" s="13" t="n">
        <f aca="false">MAX(0,AK9-AK10-Debt!AK125)</f>
        <v>2.82725851333715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36.2187998292663</v>
      </c>
      <c r="AC13" s="13" t="n">
        <f aca="false">(1-Time!AC37)*(AC9-AC10+AC11-AC12)</f>
        <v>36.8128904606567</v>
      </c>
      <c r="AD13" s="13" t="n">
        <f aca="false">(1-Time!AD37)*(AD9-AD10+AD11-AD12)</f>
        <v>36.0807855454925</v>
      </c>
      <c r="AE13" s="13" t="n">
        <f aca="false">(1-Time!AE37)*(AE9-AE10+AE11-AE12)</f>
        <v>35.1671497469047</v>
      </c>
      <c r="AF13" s="13" t="n">
        <f aca="false">(1-Time!AF37)*(AF9-AF10+AF11-AF12)</f>
        <v>33.7120211541648</v>
      </c>
      <c r="AG13" s="13" t="n">
        <f aca="false">(1-Time!AG37)*(AG9-AG10+AG11-AG12)</f>
        <v>32.7259667016326</v>
      </c>
      <c r="AH13" s="13" t="n">
        <f aca="false">(1-Time!AH37)*(AH9-AH10+AH11-AH12)</f>
        <v>30.8813722612661</v>
      </c>
      <c r="AI13" s="13" t="n">
        <f aca="false">(1-Time!AI37)*(AI9-AI10+AI11-AI12)</f>
        <v>29.1718079110051</v>
      </c>
      <c r="AJ13" s="13" t="n">
        <f aca="false">(1-Time!AJ37)*(AJ9-AJ10+AJ11-AJ12)</f>
        <v>26.5412983487335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2302.71093259167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1.90730237486994</v>
      </c>
      <c r="P7" s="13" t="n">
        <f aca="false">Operations!P84-Tax!P27-Operations!P96-Reserves!P7+Operations!P79+Operations!P97</f>
        <v>50.1994425576313</v>
      </c>
      <c r="Q7" s="13" t="n">
        <f aca="false">Operations!Q84-Tax!Q27-Operations!Q96-Reserves!Q7+Operations!Q79+Operations!Q97</f>
        <v>50.0814588229017</v>
      </c>
      <c r="R7" s="13" t="n">
        <f aca="false">Operations!R84-Tax!R27-Operations!R96-Reserves!R7+Operations!R79+Operations!R97</f>
        <v>50.7123594836247</v>
      </c>
      <c r="S7" s="13" t="n">
        <f aca="false">Operations!S84-Tax!S27-Operations!S96-Reserves!S7+Operations!S79+Operations!S97</f>
        <v>50.3208733409513</v>
      </c>
      <c r="T7" s="13" t="n">
        <f aca="false">Operations!T84-Tax!T27-Operations!T96-Reserves!T7+Operations!T79+Operations!T97</f>
        <v>50.8808059536296</v>
      </c>
      <c r="U7" s="13" t="n">
        <f aca="false">Operations!U84-Tax!U27-Operations!U96-Reserves!U7+Operations!U79+Operations!U97</f>
        <v>50.6408491804221</v>
      </c>
      <c r="V7" s="13" t="n">
        <f aca="false">Operations!V84-Tax!V27-Operations!V96-Reserves!V7+Operations!V79+Operations!V97</f>
        <v>51.6140752654512</v>
      </c>
      <c r="W7" s="13" t="n">
        <f aca="false">Operations!W84-Tax!W27-Operations!W96-Reserves!W7+Operations!W79+Operations!W97</f>
        <v>51.2582893409178</v>
      </c>
      <c r="X7" s="13" t="n">
        <f aca="false">Operations!X84-Tax!X27-Operations!X96-Reserves!X7+Operations!X79+Operations!X97</f>
        <v>49.7689901576834</v>
      </c>
      <c r="Y7" s="13" t="n">
        <f aca="false">Operations!Y84-Tax!Y27-Operations!Y96-Reserves!Y7+Operations!Y79+Operations!Y97</f>
        <v>49.2891272503712</v>
      </c>
      <c r="Z7" s="13" t="n">
        <f aca="false">Operations!Z84-Tax!Z27-Operations!Z96-Reserves!Z7+Operations!Z79+Operations!Z97</f>
        <v>49.696509489457</v>
      </c>
      <c r="AA7" s="13" t="n">
        <f aca="false">Operations!AA84-Tax!AA27-Operations!AA96-Reserves!AA7+Operations!AA79+Operations!AA97</f>
        <v>49.297678905129</v>
      </c>
      <c r="AB7" s="13" t="n">
        <f aca="false">Operations!AB84-Tax!AB27-Operations!AB96-Reserves!AB7+Operations!AB79+Operations!AB97</f>
        <v>49.874356237718</v>
      </c>
      <c r="AC7" s="13" t="n">
        <f aca="false">Operations!AC84-Tax!AC27-Operations!AC96-Reserves!AC7+Operations!AC79+Operations!AC97</f>
        <v>49.6751594967649</v>
      </c>
      <c r="AD7" s="13" t="n">
        <f aca="false">Operations!AD84-Tax!AD27-Operations!AD96-Reserves!AD7+Operations!AD79+Operations!AD97</f>
        <v>51.5958375670416</v>
      </c>
      <c r="AE7" s="13" t="n">
        <f aca="false">Operations!AE84-Tax!AE27-Operations!AE96-Reserves!AE7+Operations!AE79+Operations!AE97</f>
        <v>51.6807450825143</v>
      </c>
      <c r="AF7" s="13" t="n">
        <f aca="false">Operations!AF84-Tax!AF27-Operations!AF96-Reserves!AF7+Operations!AF79+Operations!AF97</f>
        <v>51.827794902836</v>
      </c>
      <c r="AG7" s="13" t="n">
        <f aca="false">Operations!AG84-Tax!AG27-Operations!AG96-Reserves!AG7+Operations!AG79+Operations!AG97</f>
        <v>51.4593399100083</v>
      </c>
      <c r="AH7" s="13" t="n">
        <f aca="false">Operations!AH84-Tax!AH27-Operations!AH96-Reserves!AH7+Operations!AH79+Operations!AH97</f>
        <v>52.1282668444313</v>
      </c>
      <c r="AI7" s="13" t="n">
        <f aca="false">Operations!AI84-Tax!AI27-Operations!AI96-Reserves!AI7+Operations!AI79+Operations!AI97</f>
        <v>51.7231913979912</v>
      </c>
      <c r="AJ7" s="13" t="n">
        <f aca="false">Operations!AJ84-Tax!AJ27-Operations!AJ96-Reserves!AJ7+Operations!AJ79+Operations!AJ97</f>
        <v>52.3198470771804</v>
      </c>
      <c r="AK7" s="13" t="n">
        <f aca="false">Operations!AK84-Tax!AK27-Operations!AK96-Reserves!AK7+Operations!AK79+Operations!AK97</f>
        <v>52.0861967059731</v>
      </c>
      <c r="AL7" s="13" t="n">
        <f aca="false">Operations!AL84-Tax!AL27-Operations!AL96-Reserves!AL7+Operations!AL79+Operations!AL97</f>
        <v>53.203032576821</v>
      </c>
      <c r="AM7" s="13" t="n">
        <f aca="false">Operations!AM84-Tax!AM27-Operations!AM96-Reserves!AM7+Operations!AM79+Operations!AM97</f>
        <v>52.8291053787476</v>
      </c>
      <c r="AN7" s="13" t="n">
        <f aca="false">Operations!AN84-Tax!AN27-Operations!AN96-Reserves!AN7+Operations!AN79+Operations!AN97</f>
        <v>42.3904434900958</v>
      </c>
      <c r="AO7" s="13" t="n">
        <f aca="false">Operations!AO84-Tax!AO27-Operations!AO96-Reserves!AO7+Operations!AO79+Operations!AO97</f>
        <v>41.5174462775425</v>
      </c>
      <c r="AP7" s="13" t="n">
        <f aca="false">Operations!AP84-Tax!AP27-Operations!AP96-Reserves!AP7+Operations!AP79+Operations!AP97</f>
        <v>41.5626301596728</v>
      </c>
      <c r="AQ7" s="13" t="n">
        <f aca="false">Operations!AQ84-Tax!AQ27-Operations!AQ96-Reserves!AQ7+Operations!AQ79+Operations!AQ97</f>
        <v>41.1185972406055</v>
      </c>
      <c r="AR7" s="13" t="n">
        <f aca="false">Operations!AR84-Tax!AR27-Operations!AR96-Reserves!AR7+Operations!AR79+Operations!AR97</f>
        <v>41.7107680175404</v>
      </c>
      <c r="AS7" s="13" t="n">
        <f aca="false">Operations!AS84-Tax!AS27-Operations!AS96-Reserves!AS7+Operations!AS79+Operations!AS97</f>
        <v>41.4498608795818</v>
      </c>
      <c r="AT7" s="13" t="n">
        <f aca="false">Operations!AT84-Tax!AT27-Operations!AT96-Reserves!AT7+Operations!AT79+Operations!AT97</f>
        <v>48.1895172914652</v>
      </c>
      <c r="AU7" s="13" t="n">
        <f aca="false">Operations!AU84-Tax!AU27-Operations!AU96-Reserves!AU7+Operations!AU79+Operations!AU97</f>
        <v>43.756507155945</v>
      </c>
      <c r="AV7" s="13" t="n">
        <f aca="false">Operations!AV84-Tax!AV27-Operations!AV96-Reserves!AV7+Operations!AV79+Operations!AV97</f>
        <v>43.8688663082382</v>
      </c>
      <c r="AW7" s="13" t="n">
        <f aca="false">Operations!AW84-Tax!AW27-Operations!AW96-Reserves!AW7+Operations!AW79+Operations!AW97</f>
        <v>43.4429142747544</v>
      </c>
      <c r="AX7" s="13" t="n">
        <f aca="false">Operations!AX84-Tax!AX27-Operations!AX96-Reserves!AX7+Operations!AX79+Operations!AX97</f>
        <v>44.1164438465739</v>
      </c>
      <c r="AY7" s="13" t="n">
        <f aca="false">Operations!AY84-Tax!AY27-Operations!AY96-Reserves!AY7+Operations!AY79+Operations!AY97</f>
        <v>43.6627642005393</v>
      </c>
      <c r="AZ7" s="13" t="n">
        <f aca="false">Operations!AZ84-Tax!AZ27-Operations!AZ96-Reserves!AZ7+Operations!AZ79+Operations!AZ97</f>
        <v>44.2762323941222</v>
      </c>
      <c r="BA7" s="13" t="n">
        <f aca="false">Operations!BA84-Tax!BA27-Operations!BA96-Reserves!BA7+Operations!BA79+Operations!BA97</f>
        <v>43.9821930147613</v>
      </c>
      <c r="BB7" s="13" t="n">
        <f aca="false">Operations!BB84-Tax!BB27-Operations!BB96-Reserves!BB7+Operations!BB79+Operations!BB97</f>
        <v>46.2330659871095</v>
      </c>
      <c r="BC7" s="13" t="n">
        <f aca="false">Operations!BC84-Tax!BC27-Operations!BC96-Reserves!BC7+Operations!BC79+Operations!BC97</f>
        <v>42.837762507231</v>
      </c>
      <c r="BD7" s="13" t="n">
        <f aca="false">Operations!BD84-Tax!BD27-Operations!BD96-Reserves!BD7+Operations!BD79+Operations!BD97</f>
        <v>36.7300555480673</v>
      </c>
      <c r="BE7" s="13" t="n">
        <f aca="false">Operations!BE84-Tax!BE27-Operations!BE96-Reserves!BE7+Operations!BE79+Operations!BE97</f>
        <v>36.2974050275878</v>
      </c>
      <c r="BF7" s="13" t="n">
        <f aca="false">Operations!BF84-Tax!BF27-Operations!BF96-Reserves!BF7+Operations!BF79+Operations!BF97</f>
        <v>37.0003792325672</v>
      </c>
      <c r="BG7" s="13" t="n">
        <f aca="false">Operations!BG84-Tax!BG27-Operations!BG96-Reserves!BG7+Operations!BG79+Operations!BG97</f>
        <v>36.5362470533941</v>
      </c>
      <c r="BH7" s="13" t="n">
        <f aca="false">Operations!BH84-Tax!BH27-Operations!BH96-Reserves!BH7+Operations!BH79+Operations!BH97</f>
        <v>37.1727476552732</v>
      </c>
      <c r="BI7" s="13" t="n">
        <f aca="false">Operations!BI84-Tax!BI27-Operations!BI96-Reserves!BI7+Operations!BI79+Operations!BI97</f>
        <v>36.9168120827007</v>
      </c>
      <c r="BJ7" s="13" t="n">
        <f aca="false">Operations!BJ84-Tax!BJ27-Operations!BJ96-Reserves!BJ7+Operations!BJ79+Operations!BJ97</f>
        <v>44.9483242723966</v>
      </c>
      <c r="BK7" s="13" t="n">
        <f aca="false">Operations!BK84-Tax!BK27-Operations!BK96-Reserves!BK7+Operations!BK79+Operations!BK97</f>
        <v>39.7035231833974</v>
      </c>
      <c r="BL7" s="13" t="n">
        <f aca="false">Operations!BL84-Tax!BL27-Operations!BL96-Reserves!BL7+Operations!BL79+Operations!BL97</f>
        <v>40.4390239424383</v>
      </c>
      <c r="BM7" s="13" t="n">
        <f aca="false">Operations!BM84-Tax!BM27-Operations!BM96-Reserves!BM7+Operations!BM79+Operations!BM97</f>
        <v>36.7797662469989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1.90730237486883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1.90730237486994</v>
      </c>
      <c r="P9" s="13" t="n">
        <f aca="false">P7+P8</f>
        <v>52.1067449325001</v>
      </c>
      <c r="Q9" s="13" t="n">
        <f aca="false">Q7+Q8</f>
        <v>50.0814588229017</v>
      </c>
      <c r="R9" s="13" t="n">
        <f aca="false">R7+R8</f>
        <v>50.7123594836247</v>
      </c>
      <c r="S9" s="13" t="n">
        <f aca="false">S7+S8</f>
        <v>50.3208733409513</v>
      </c>
      <c r="T9" s="13" t="n">
        <f aca="false">T7+T8</f>
        <v>50.8808059536296</v>
      </c>
      <c r="U9" s="13" t="n">
        <f aca="false">U7+U8</f>
        <v>50.6408491804221</v>
      </c>
      <c r="V9" s="13" t="n">
        <f aca="false">V7+V8</f>
        <v>51.6140752654512</v>
      </c>
      <c r="W9" s="13" t="n">
        <f aca="false">W7+W8</f>
        <v>51.2582893409178</v>
      </c>
      <c r="X9" s="13" t="n">
        <f aca="false">X7+X8</f>
        <v>49.7689901576834</v>
      </c>
      <c r="Y9" s="13" t="n">
        <f aca="false">Y7+Y8</f>
        <v>49.2891272503712</v>
      </c>
      <c r="Z9" s="13" t="n">
        <f aca="false">Z7+Z8</f>
        <v>49.696509489457</v>
      </c>
      <c r="AA9" s="13" t="n">
        <f aca="false">AA7+AA8</f>
        <v>49.297678905129</v>
      </c>
      <c r="AB9" s="13" t="n">
        <f aca="false">AB7+AB8</f>
        <v>49.874356237718</v>
      </c>
      <c r="AC9" s="13" t="n">
        <f aca="false">AC7+AC8</f>
        <v>49.6751594967649</v>
      </c>
      <c r="AD9" s="13" t="n">
        <f aca="false">AD7+AD8</f>
        <v>51.5958375670416</v>
      </c>
      <c r="AE9" s="13" t="n">
        <f aca="false">AE7+AE8</f>
        <v>51.6807450825143</v>
      </c>
      <c r="AF9" s="13" t="n">
        <f aca="false">AF7+AF8</f>
        <v>51.827794902836</v>
      </c>
      <c r="AG9" s="13" t="n">
        <f aca="false">AG7+AG8</f>
        <v>51.4593399100083</v>
      </c>
      <c r="AH9" s="13" t="n">
        <f aca="false">AH7+AH8</f>
        <v>52.1282668444313</v>
      </c>
      <c r="AI9" s="13" t="n">
        <f aca="false">AI7+AI8</f>
        <v>51.7231913979912</v>
      </c>
      <c r="AJ9" s="13" t="n">
        <f aca="false">AJ7+AJ8</f>
        <v>52.3198470771804</v>
      </c>
      <c r="AK9" s="13" t="n">
        <f aca="false">AK7+AK8</f>
        <v>52.0861967059731</v>
      </c>
      <c r="AL9" s="13" t="n">
        <f aca="false">AL7+AL8</f>
        <v>53.203032576821</v>
      </c>
      <c r="AM9" s="13" t="n">
        <f aca="false">AM7+AM8</f>
        <v>52.8291053787476</v>
      </c>
      <c r="AN9" s="13" t="n">
        <f aca="false">AN7+AN8</f>
        <v>42.3904434900958</v>
      </c>
      <c r="AO9" s="13" t="n">
        <f aca="false">AO7+AO8</f>
        <v>41.5174462775425</v>
      </c>
      <c r="AP9" s="13" t="n">
        <f aca="false">AP7+AP8</f>
        <v>41.5626301596728</v>
      </c>
      <c r="AQ9" s="13" t="n">
        <f aca="false">AQ7+AQ8</f>
        <v>41.1185972406055</v>
      </c>
      <c r="AR9" s="13" t="n">
        <f aca="false">AR7+AR8</f>
        <v>41.7107680175404</v>
      </c>
      <c r="AS9" s="13" t="n">
        <f aca="false">AS7+AS8</f>
        <v>41.4498608795818</v>
      </c>
      <c r="AT9" s="13" t="n">
        <f aca="false">AT7+AT8</f>
        <v>48.1895172914652</v>
      </c>
      <c r="AU9" s="13" t="n">
        <f aca="false">AU7+AU8</f>
        <v>43.756507155945</v>
      </c>
      <c r="AV9" s="13" t="n">
        <f aca="false">AV7+AV8</f>
        <v>43.8688663082382</v>
      </c>
      <c r="AW9" s="13" t="n">
        <f aca="false">AW7+AW8</f>
        <v>43.4429142747544</v>
      </c>
      <c r="AX9" s="13" t="n">
        <f aca="false">AX7+AX8</f>
        <v>44.1164438465739</v>
      </c>
      <c r="AY9" s="13" t="n">
        <f aca="false">AY7+AY8</f>
        <v>43.6627642005393</v>
      </c>
      <c r="AZ9" s="13" t="n">
        <f aca="false">AZ7+AZ8</f>
        <v>44.2762323941222</v>
      </c>
      <c r="BA9" s="13" t="n">
        <f aca="false">BA7+BA8</f>
        <v>43.9821930147613</v>
      </c>
      <c r="BB9" s="13" t="n">
        <f aca="false">BB7+BB8</f>
        <v>46.2330659871095</v>
      </c>
      <c r="BC9" s="13" t="n">
        <f aca="false">BC7+BC8</f>
        <v>42.837762507231</v>
      </c>
      <c r="BD9" s="13" t="n">
        <f aca="false">BD7+BD8</f>
        <v>36.7300555480673</v>
      </c>
      <c r="BE9" s="13" t="n">
        <f aca="false">BE7+BE8</f>
        <v>36.2974050275878</v>
      </c>
      <c r="BF9" s="13" t="n">
        <f aca="false">BF7+BF8</f>
        <v>37.0003792325672</v>
      </c>
      <c r="BG9" s="13" t="n">
        <f aca="false">BG7+BG8</f>
        <v>36.5362470533941</v>
      </c>
      <c r="BH9" s="13" t="n">
        <f aca="false">BH7+BH8</f>
        <v>37.1727476552732</v>
      </c>
      <c r="BI9" s="13" t="n">
        <f aca="false">BI7+BI8</f>
        <v>36.9168120827007</v>
      </c>
      <c r="BJ9" s="13" t="n">
        <f aca="false">BJ7+BJ8</f>
        <v>44.9483242723966</v>
      </c>
      <c r="BK9" s="13" t="n">
        <f aca="false">BK7+BK8</f>
        <v>39.7035231833974</v>
      </c>
      <c r="BL9" s="13" t="n">
        <f aca="false">BL7+BL8</f>
        <v>40.4390239424383</v>
      </c>
      <c r="BM9" s="13" t="n">
        <f aca="false">BM7+BM8</f>
        <v>36.7797662469989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851.620886833261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36.3620891607094</v>
      </c>
      <c r="AC10" s="13" t="n">
        <f aca="false">Debt!AC114+Debt!AC110</f>
        <v>35.437888978575</v>
      </c>
      <c r="AD10" s="13" t="n">
        <f aca="false">Debt!AD114+Debt!AD110</f>
        <v>35.996825791556</v>
      </c>
      <c r="AE10" s="13" t="n">
        <f aca="false">Debt!AE114+Debt!AE110</f>
        <v>35.0400726009201</v>
      </c>
      <c r="AF10" s="13" t="n">
        <f aca="false">Debt!AF114+Debt!AF110</f>
        <v>33.9552068379497</v>
      </c>
      <c r="AG10" s="13" t="n">
        <f aca="false">Debt!AG114+Debt!AG110</f>
        <v>32.2566903409795</v>
      </c>
      <c r="AH10" s="13" t="n">
        <f aca="false">Debt!AH114+Debt!AH110</f>
        <v>31.0301655349882</v>
      </c>
      <c r="AI10" s="13" t="n">
        <f aca="false">Debt!AI114+Debt!AI110</f>
        <v>28.7447870403602</v>
      </c>
      <c r="AJ10" s="13" t="n">
        <f aca="false">Debt!AJ114+Debt!AJ110</f>
        <v>26.5081607393761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1.90730237486994</v>
      </c>
      <c r="P13" s="13" t="n">
        <f aca="false">MAX(0,P9-P10)</f>
        <v>14.8608494954036</v>
      </c>
      <c r="Q13" s="13" t="n">
        <f aca="false">MAX(0,Q9-Q10)</f>
        <v>12.9244423677559</v>
      </c>
      <c r="R13" s="13" t="n">
        <f aca="false">MAX(0,R9-R10)</f>
        <v>13.0875743959467</v>
      </c>
      <c r="S13" s="13" t="n">
        <f aca="false">MAX(0,S9-S10)</f>
        <v>12.9875608483943</v>
      </c>
      <c r="T13" s="13" t="n">
        <f aca="false">MAX(0,T9-T10)</f>
        <v>13.1295881718818</v>
      </c>
      <c r="U13" s="13" t="n">
        <f aca="false">MAX(0,U9-U10)</f>
        <v>13.0701564255694</v>
      </c>
      <c r="V13" s="13" t="n">
        <f aca="false">MAX(0,V9-V10)</f>
        <v>13.3261550302929</v>
      </c>
      <c r="W13" s="13" t="n">
        <f aca="false">MAX(0,W9-W10)</f>
        <v>13.235061915048</v>
      </c>
      <c r="X13" s="13" t="n">
        <f aca="false">MAX(0,X9-X10)</f>
        <v>12.842195083094</v>
      </c>
      <c r="Y13" s="13" t="n">
        <f aca="false">MAX(0,Y9-Y10)</f>
        <v>12.7187352058261</v>
      </c>
      <c r="Z13" s="13" t="n">
        <f aca="false">MAX(0,Z9-Z10)</f>
        <v>12.8251463809429</v>
      </c>
      <c r="AA13" s="13" t="n">
        <f aca="false">MAX(0,AA9-AA10)</f>
        <v>12.7233915502745</v>
      </c>
      <c r="AB13" s="13" t="n">
        <f aca="false">MAX(0,AB9-AB10)</f>
        <v>13.5122670770085</v>
      </c>
      <c r="AC13" s="13" t="n">
        <f aca="false">MAX(0,AC9-AC10)</f>
        <v>14.2372705181898</v>
      </c>
      <c r="AD13" s="13" t="n">
        <f aca="false">MAX(0,AD9-AD10)</f>
        <v>15.5990117754857</v>
      </c>
      <c r="AE13" s="13" t="n">
        <f aca="false">MAX(0,AE9-AE10)</f>
        <v>16.6406724815943</v>
      </c>
      <c r="AF13" s="13" t="n">
        <f aca="false">MAX(0,AF9-AF10)</f>
        <v>17.8725880648863</v>
      </c>
      <c r="AG13" s="13" t="n">
        <f aca="false">MAX(0,AG9-AG10)</f>
        <v>19.2026495690288</v>
      </c>
      <c r="AH13" s="13" t="n">
        <f aca="false">MAX(0,AH9-AH10)</f>
        <v>21.098101309443</v>
      </c>
      <c r="AI13" s="13" t="n">
        <f aca="false">MAX(0,AI9-AI10)</f>
        <v>22.978404357631</v>
      </c>
      <c r="AJ13" s="13" t="n">
        <f aca="false">MAX(0,AJ9-AJ10)</f>
        <v>25.8116863378043</v>
      </c>
      <c r="AK13" s="13" t="n">
        <f aca="false">MAX(0,AK9-AK10)</f>
        <v>29.0553588418821</v>
      </c>
      <c r="AL13" s="13" t="n">
        <f aca="false">MAX(0,AL9-AL10)</f>
        <v>29.4889927414247</v>
      </c>
      <c r="AM13" s="13" t="n">
        <f aca="false">MAX(0,AM9-AM10)</f>
        <v>29.2598135254695</v>
      </c>
      <c r="AN13" s="13" t="n">
        <f aca="false">MAX(0,AN9-AN10)</f>
        <v>23.2584262352316</v>
      </c>
      <c r="AO13" s="13" t="n">
        <f aca="false">MAX(0,AO9-AO10)</f>
        <v>22.6115385299343</v>
      </c>
      <c r="AP13" s="13" t="n">
        <f aca="false">MAX(0,AP9-AP10)</f>
        <v>41.5626301596728</v>
      </c>
      <c r="AQ13" s="13" t="n">
        <f aca="false">MAX(0,AQ9-AQ10)</f>
        <v>41.1185972406055</v>
      </c>
      <c r="AR13" s="13" t="n">
        <f aca="false">MAX(0,AR9-AR10)</f>
        <v>41.7107680175404</v>
      </c>
      <c r="AS13" s="13" t="n">
        <f aca="false">MAX(0,AS9-AS10)</f>
        <v>41.4498608795818</v>
      </c>
      <c r="AT13" s="13" t="n">
        <f aca="false">MAX(0,AT9-AT10)</f>
        <v>48.1895172914652</v>
      </c>
      <c r="AU13" s="13" t="n">
        <f aca="false">MAX(0,AU9-AU10)</f>
        <v>43.756507155945</v>
      </c>
      <c r="AV13" s="13" t="n">
        <f aca="false">MAX(0,AV9-AV10)</f>
        <v>43.8688663082382</v>
      </c>
      <c r="AW13" s="13" t="n">
        <f aca="false">MAX(0,AW9-AW10)</f>
        <v>43.4429142747544</v>
      </c>
      <c r="AX13" s="13" t="n">
        <f aca="false">MAX(0,AX9-AX10)</f>
        <v>44.1164438465739</v>
      </c>
      <c r="AY13" s="13" t="n">
        <f aca="false">MAX(0,AY9-AY10)</f>
        <v>43.6627642005393</v>
      </c>
      <c r="AZ13" s="13" t="n">
        <f aca="false">MAX(0,AZ9-AZ10)</f>
        <v>44.2762323941222</v>
      </c>
      <c r="BA13" s="13" t="n">
        <f aca="false">MAX(0,BA9-BA10)</f>
        <v>43.9821930147613</v>
      </c>
      <c r="BB13" s="13" t="n">
        <f aca="false">MAX(0,BB9-BB10)</f>
        <v>46.2330659871095</v>
      </c>
      <c r="BC13" s="13" t="n">
        <f aca="false">MAX(0,BC9-BC10)</f>
        <v>42.837762507231</v>
      </c>
      <c r="BD13" s="13" t="n">
        <f aca="false">MAX(0,BD9-BD10)</f>
        <v>36.7300555480673</v>
      </c>
      <c r="BE13" s="13" t="n">
        <f aca="false">MAX(0,BE9-BE10)</f>
        <v>36.2974050275878</v>
      </c>
      <c r="BF13" s="13" t="n">
        <f aca="false">MAX(0,BF9-BF10)</f>
        <v>37.0003792325672</v>
      </c>
      <c r="BG13" s="13" t="n">
        <f aca="false">MAX(0,BG9-BG10)</f>
        <v>36.5362470533941</v>
      </c>
      <c r="BH13" s="13" t="n">
        <f aca="false">MAX(0,BH9-BH10)</f>
        <v>37.1727476552732</v>
      </c>
      <c r="BI13" s="13" t="n">
        <f aca="false">MAX(0,BI9-BI10)</f>
        <v>36.9168120827007</v>
      </c>
      <c r="BJ13" s="13" t="n">
        <f aca="false">MAX(0,BJ9-BJ10)</f>
        <v>44.9483242723966</v>
      </c>
      <c r="BK13" s="13" t="n">
        <f aca="false">MAX(0,BK9-BK10)</f>
        <v>39.7035231833974</v>
      </c>
      <c r="BL13" s="13" t="n">
        <f aca="false">MAX(0,BL9-BL10)</f>
        <v>40.4390239424383</v>
      </c>
      <c r="BM13" s="13" t="n">
        <f aca="false">MAX(0,BM9-BM10)</f>
        <v>36.7797662469989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1.90730237486883</v>
      </c>
      <c r="P14" s="13" t="n">
        <f aca="false">P13-Reserves!P11+Reserves!P12</f>
        <v>14.9497284773543</v>
      </c>
      <c r="Q14" s="13" t="n">
        <f aca="false">Q13-Reserves!Q11+Reserves!Q12</f>
        <v>12.4566737352237</v>
      </c>
      <c r="R14" s="13" t="n">
        <f aca="false">R13-Reserves!R11+Reserves!R12</f>
        <v>13.3790469910678</v>
      </c>
      <c r="S14" s="13" t="n">
        <f aca="false">S13-Reserves!S11+Reserves!S12</f>
        <v>12.5696555592035</v>
      </c>
      <c r="T14" s="13" t="n">
        <f aca="false">T13-Reserves!T11+Reserves!T12</f>
        <v>13.3101131987769</v>
      </c>
      <c r="U14" s="13" t="n">
        <f aca="false">U13-Reserves!U11+Reserves!U12</f>
        <v>12.3529289452638</v>
      </c>
      <c r="V14" s="13" t="n">
        <f aca="false">V13-Reserves!V11+Reserves!V12</f>
        <v>13.5908478395815</v>
      </c>
      <c r="W14" s="13" t="n">
        <f aca="false">W13-Reserves!W11+Reserves!W12</f>
        <v>14.3314942663284</v>
      </c>
      <c r="X14" s="13" t="n">
        <f aca="false">X13-Reserves!X11+Reserves!X12</f>
        <v>13.1985981131382</v>
      </c>
      <c r="Y14" s="13" t="n">
        <f aca="false">Y13-Reserves!Y11+Reserves!Y12</f>
        <v>12.4177641418571</v>
      </c>
      <c r="Z14" s="13" t="n">
        <f aca="false">Z13-Reserves!Z11+Reserves!Z12</f>
        <v>13.1222221346025</v>
      </c>
      <c r="AA14" s="13" t="n">
        <f aca="false">AA13-Reserves!AA11+Reserves!AA12</f>
        <v>12.2929302731528</v>
      </c>
      <c r="AB14" s="13" t="n">
        <f aca="false">AB13-Reserves!AB11+Reserves!AB12</f>
        <v>14.2982158797184</v>
      </c>
      <c r="AC14" s="13" t="n">
        <f aca="false">AC13-Reserves!AC11+Reserves!AC12</f>
        <v>13.6431798867995</v>
      </c>
      <c r="AD14" s="13" t="n">
        <f aca="false">AD13-Reserves!AD11+Reserves!AD12</f>
        <v>16.3311166906498</v>
      </c>
      <c r="AE14" s="13" t="n">
        <f aca="false">AE13-Reserves!AE11+Reserves!AE12</f>
        <v>17.5543082801821</v>
      </c>
      <c r="AF14" s="13" t="n">
        <f aca="false">AF13-Reserves!AF11+Reserves!AF12</f>
        <v>19.3277166576262</v>
      </c>
      <c r="AG14" s="13" t="n">
        <f aca="false">AG13-Reserves!AG11+Reserves!AG12</f>
        <v>20.188704021561</v>
      </c>
      <c r="AH14" s="13" t="n">
        <f aca="false">AH13-Reserves!AH11+Reserves!AH12</f>
        <v>22.9426957498095</v>
      </c>
      <c r="AI14" s="13" t="n">
        <f aca="false">AI13-Reserves!AI11+Reserves!AI12</f>
        <v>24.687968707892</v>
      </c>
      <c r="AJ14" s="13" t="n">
        <f aca="false">AJ13-Reserves!AJ11+Reserves!AJ12</f>
        <v>28.4421959000759</v>
      </c>
      <c r="AK14" s="13" t="n">
        <f aca="false">AK13-Reserves!AK11+Reserves!AK12</f>
        <v>31.8826173552193</v>
      </c>
      <c r="AL14" s="13" t="n">
        <f aca="false">AL13-Reserves!AL11+Reserves!AL12</f>
        <v>29.633740723543</v>
      </c>
      <c r="AM14" s="13" t="n">
        <f aca="false">AM13-Reserves!AM11+Reserves!AM12</f>
        <v>33.6970881238834</v>
      </c>
      <c r="AN14" s="13" t="n">
        <f aca="false">AN13-Reserves!AN11+Reserves!AN12</f>
        <v>23.4845357424876</v>
      </c>
      <c r="AO14" s="13" t="n">
        <f aca="false">AO13-Reserves!AO11+Reserves!AO12</f>
        <v>41.5174462775425</v>
      </c>
      <c r="AP14" s="13" t="n">
        <f aca="false">AP13-Reserves!AP11+Reserves!AP12</f>
        <v>41.5626301596728</v>
      </c>
      <c r="AQ14" s="13" t="n">
        <f aca="false">AQ13-Reserves!AQ11+Reserves!AQ12</f>
        <v>41.1185972406055</v>
      </c>
      <c r="AR14" s="13" t="n">
        <f aca="false">AR13-Reserves!AR11+Reserves!AR12</f>
        <v>41.7107680175404</v>
      </c>
      <c r="AS14" s="13" t="n">
        <f aca="false">AS13-Reserves!AS11+Reserves!AS12</f>
        <v>41.4498608795818</v>
      </c>
      <c r="AT14" s="13" t="n">
        <f aca="false">AT13-Reserves!AT11+Reserves!AT12</f>
        <v>48.1895172914652</v>
      </c>
      <c r="AU14" s="13" t="n">
        <f aca="false">AU13-Reserves!AU11+Reserves!AU12</f>
        <v>43.756507155945</v>
      </c>
      <c r="AV14" s="13" t="n">
        <f aca="false">AV13-Reserves!AV11+Reserves!AV12</f>
        <v>43.8688663082382</v>
      </c>
      <c r="AW14" s="13" t="n">
        <f aca="false">AW13-Reserves!AW11+Reserves!AW12</f>
        <v>43.4429142747544</v>
      </c>
      <c r="AX14" s="13" t="n">
        <f aca="false">AX13-Reserves!AX11+Reserves!AX12</f>
        <v>44.1164438465739</v>
      </c>
      <c r="AY14" s="13" t="n">
        <f aca="false">AY13-Reserves!AY11+Reserves!AY12</f>
        <v>43.6627642005393</v>
      </c>
      <c r="AZ14" s="13" t="n">
        <f aca="false">AZ13-Reserves!AZ11+Reserves!AZ12</f>
        <v>44.2762323941222</v>
      </c>
      <c r="BA14" s="13" t="n">
        <f aca="false">BA13-Reserves!BA11+Reserves!BA12</f>
        <v>43.9821930147613</v>
      </c>
      <c r="BB14" s="13" t="n">
        <f aca="false">BB13-Reserves!BB11+Reserves!BB12</f>
        <v>46.2330659871095</v>
      </c>
      <c r="BC14" s="13" t="n">
        <f aca="false">BC13-Reserves!BC11+Reserves!BC12</f>
        <v>42.837762507231</v>
      </c>
      <c r="BD14" s="13" t="n">
        <f aca="false">BD13-Reserves!BD11+Reserves!BD12</f>
        <v>36.7300555480673</v>
      </c>
      <c r="BE14" s="13" t="n">
        <f aca="false">BE13-Reserves!BE11+Reserves!BE12</f>
        <v>36.2974050275878</v>
      </c>
      <c r="BF14" s="13" t="n">
        <f aca="false">BF13-Reserves!BF11+Reserves!BF12</f>
        <v>37.0003792325672</v>
      </c>
      <c r="BG14" s="13" t="n">
        <f aca="false">BG13-Reserves!BG11+Reserves!BG12</f>
        <v>36.5362470533941</v>
      </c>
      <c r="BH14" s="13" t="n">
        <f aca="false">BH13-Reserves!BH11+Reserves!BH12</f>
        <v>37.1727476552732</v>
      </c>
      <c r="BI14" s="13" t="n">
        <f aca="false">BI13-Reserves!BI11+Reserves!BI12</f>
        <v>36.9168120827007</v>
      </c>
      <c r="BJ14" s="13" t="n">
        <f aca="false">BJ13-Reserves!BJ11+Reserves!BJ12</f>
        <v>44.9483242723966</v>
      </c>
      <c r="BK14" s="13" t="n">
        <f aca="false">BK13-Reserves!BK11+Reserves!BK12</f>
        <v>39.7035231833974</v>
      </c>
      <c r="BL14" s="13" t="n">
        <f aca="false">BL13-Reserves!BL11+Reserves!BL12</f>
        <v>40.4390239424383</v>
      </c>
      <c r="BM14" s="13" t="n">
        <f aca="false">BM13-Reserves!BM11+Reserves!BM12</f>
        <v>36.7797662469989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1.90730237486883</v>
      </c>
      <c r="P15" s="13" t="n">
        <f aca="false">P14-Reserves!P14+Reserves!P15</f>
        <v>14.9497284773543</v>
      </c>
      <c r="Q15" s="13" t="n">
        <f aca="false">Q14-Reserves!Q14+Reserves!Q15</f>
        <v>12.4566737352237</v>
      </c>
      <c r="R15" s="13" t="n">
        <f aca="false">R14-Reserves!R14+Reserves!R15</f>
        <v>13.3790469910678</v>
      </c>
      <c r="S15" s="13" t="n">
        <f aca="false">S14-Reserves!S14+Reserves!S15</f>
        <v>12.5696555592035</v>
      </c>
      <c r="T15" s="13" t="n">
        <f aca="false">T14-Reserves!T14+Reserves!T15</f>
        <v>13.3101131987769</v>
      </c>
      <c r="U15" s="13" t="n">
        <f aca="false">U14-Reserves!U14+Reserves!U15</f>
        <v>12.3529289452638</v>
      </c>
      <c r="V15" s="13" t="n">
        <f aca="false">V14-Reserves!V14+Reserves!V15</f>
        <v>13.5908478395815</v>
      </c>
      <c r="W15" s="13" t="n">
        <f aca="false">W14-Reserves!W14+Reserves!W15</f>
        <v>14.3314942663284</v>
      </c>
      <c r="X15" s="13" t="n">
        <f aca="false">X14-Reserves!X14+Reserves!X15</f>
        <v>13.1985981131382</v>
      </c>
      <c r="Y15" s="13" t="n">
        <f aca="false">Y14-Reserves!Y14+Reserves!Y15</f>
        <v>12.4177641418571</v>
      </c>
      <c r="Z15" s="13" t="n">
        <f aca="false">Z14-Reserves!Z14+Reserves!Z15</f>
        <v>13.1222221346025</v>
      </c>
      <c r="AA15" s="13" t="n">
        <f aca="false">AA14-Reserves!AA14+Reserves!AA15</f>
        <v>12.2929302731528</v>
      </c>
      <c r="AB15" s="13" t="n">
        <f aca="false">AB14-Reserves!AB14+Reserves!AB15</f>
        <v>14.2982158797184</v>
      </c>
      <c r="AC15" s="13" t="n">
        <f aca="false">AC14-Reserves!AC14+Reserves!AC15</f>
        <v>13.6431798867995</v>
      </c>
      <c r="AD15" s="13" t="n">
        <f aca="false">AD14-Reserves!AD14+Reserves!AD15</f>
        <v>16.3311166906498</v>
      </c>
      <c r="AE15" s="13" t="n">
        <f aca="false">AE14-Reserves!AE14+Reserves!AE15</f>
        <v>17.5543082801821</v>
      </c>
      <c r="AF15" s="13" t="n">
        <f aca="false">AF14-Reserves!AF14+Reserves!AF15</f>
        <v>19.3277166576262</v>
      </c>
      <c r="AG15" s="13" t="n">
        <f aca="false">AG14-Reserves!AG14+Reserves!AG15</f>
        <v>20.188704021561</v>
      </c>
      <c r="AH15" s="13" t="n">
        <f aca="false">AH14-Reserves!AH14+Reserves!AH15</f>
        <v>22.9426957498095</v>
      </c>
      <c r="AI15" s="13" t="n">
        <f aca="false">AI14-Reserves!AI14+Reserves!AI15</f>
        <v>24.687968707892</v>
      </c>
      <c r="AJ15" s="13" t="n">
        <f aca="false">AJ14-Reserves!AJ14+Reserves!AJ15</f>
        <v>28.4421959000759</v>
      </c>
      <c r="AK15" s="13" t="n">
        <f aca="false">AK14-Reserves!AK14+Reserves!AK15</f>
        <v>31.8826173552193</v>
      </c>
      <c r="AL15" s="13" t="n">
        <f aca="false">AL14-Reserves!AL14+Reserves!AL15</f>
        <v>29.633740723543</v>
      </c>
      <c r="AM15" s="13" t="n">
        <f aca="false">AM14-Reserves!AM14+Reserves!AM15</f>
        <v>33.6970881238834</v>
      </c>
      <c r="AN15" s="13" t="n">
        <f aca="false">AN14-Reserves!AN14+Reserves!AN15</f>
        <v>23.4845357424876</v>
      </c>
      <c r="AO15" s="13" t="n">
        <f aca="false">AO14-Reserves!AO14+Reserves!AO15</f>
        <v>41.5174462775425</v>
      </c>
      <c r="AP15" s="13" t="n">
        <f aca="false">AP14-Reserves!AP14+Reserves!AP15</f>
        <v>41.5626301596728</v>
      </c>
      <c r="AQ15" s="13" t="n">
        <f aca="false">AQ14-Reserves!AQ14+Reserves!AQ15</f>
        <v>41.1185972406055</v>
      </c>
      <c r="AR15" s="13" t="n">
        <f aca="false">AR14-Reserves!AR14+Reserves!AR15</f>
        <v>41.7107680175404</v>
      </c>
      <c r="AS15" s="13" t="n">
        <f aca="false">AS14-Reserves!AS14+Reserves!AS15</f>
        <v>41.4498608795818</v>
      </c>
      <c r="AT15" s="13" t="n">
        <f aca="false">AT14-Reserves!AT14+Reserves!AT15</f>
        <v>48.1895172914652</v>
      </c>
      <c r="AU15" s="13" t="n">
        <f aca="false">AU14-Reserves!AU14+Reserves!AU15</f>
        <v>43.756507155945</v>
      </c>
      <c r="AV15" s="13" t="n">
        <f aca="false">AV14-Reserves!AV14+Reserves!AV15</f>
        <v>43.8688663082382</v>
      </c>
      <c r="AW15" s="13" t="n">
        <f aca="false">AW14-Reserves!AW14+Reserves!AW15</f>
        <v>43.4429142747544</v>
      </c>
      <c r="AX15" s="13" t="n">
        <f aca="false">AX14-Reserves!AX14+Reserves!AX15</f>
        <v>44.1164438465739</v>
      </c>
      <c r="AY15" s="13" t="n">
        <f aca="false">AY14-Reserves!AY14+Reserves!AY15</f>
        <v>43.6627642005393</v>
      </c>
      <c r="AZ15" s="13" t="n">
        <f aca="false">AZ14-Reserves!AZ14+Reserves!AZ15</f>
        <v>44.2762323941222</v>
      </c>
      <c r="BA15" s="13" t="n">
        <f aca="false">BA14-Reserves!BA14+Reserves!BA15</f>
        <v>43.4872246281526</v>
      </c>
      <c r="BB15" s="13" t="n">
        <f aca="false">BB14-Reserves!BB14+Reserves!BB15</f>
        <v>44.731915732465</v>
      </c>
      <c r="BC15" s="13" t="n">
        <f aca="false">BC14-Reserves!BC14+Reserves!BC15</f>
        <v>41.3201894338888</v>
      </c>
      <c r="BD15" s="13" t="n">
        <f aca="false">BD14-Reserves!BD14+Reserves!BD15</f>
        <v>35.1958799878207</v>
      </c>
      <c r="BE15" s="13" t="n">
        <f aca="false">BE14-Reserves!BE14+Reserves!BE15</f>
        <v>34.746445346632</v>
      </c>
      <c r="BF15" s="13" t="n">
        <f aca="false">BF14-Reserves!BF14+Reserves!BF15</f>
        <v>35.4324518099952</v>
      </c>
      <c r="BG15" s="13" t="n">
        <f aca="false">BG14-Reserves!BG14+Reserves!BG15</f>
        <v>34.9511662594573</v>
      </c>
      <c r="BH15" s="13" t="n">
        <f aca="false">BH14-Reserves!BH14+Reserves!BH15</f>
        <v>35.5703258294046</v>
      </c>
      <c r="BI15" s="13" t="n">
        <f aca="false">BI14-Reserves!BI14+Reserves!BI15</f>
        <v>35.2968595112973</v>
      </c>
      <c r="BJ15" s="13" t="n">
        <f aca="false">BJ14-Reserves!BJ14+Reserves!BJ15</f>
        <v>43.3106491663589</v>
      </c>
      <c r="BK15" s="13" t="n">
        <f aca="false">BK14-Reserves!BK14+Reserves!BK15</f>
        <v>38.0479316554231</v>
      </c>
      <c r="BL15" s="13" t="n">
        <f aca="false">BL14-Reserves!BL14+Reserves!BL15</f>
        <v>38.7653199840677</v>
      </c>
      <c r="BM15" s="13" t="n">
        <f aca="false">BM14-Reserves!BM14+Reserves!BM15</f>
        <v>54.7209464089599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1.34778455366744</v>
      </c>
      <c r="Q17" s="6" t="n">
        <f aca="false">IF(Debt!Q114&gt;Inputs!$F$253,Q7/Debt!Q114,0)</f>
        <v>1.3478331577929</v>
      </c>
      <c r="R17" s="6" t="n">
        <f aca="false">IF(Debt!R114&gt;Inputs!$F$253,R7/Debt!R114,0)</f>
        <v>1.34784449573462</v>
      </c>
      <c r="S17" s="6" t="n">
        <f aca="false">IF(Debt!S114&gt;Inputs!$F$253,S7/Debt!S114,0)</f>
        <v>1.34788128835296</v>
      </c>
      <c r="T17" s="6" t="n">
        <f aca="false">IF(Debt!T114&gt;Inputs!$F$253,T7/Debt!T114,0)</f>
        <v>1.34779244070452</v>
      </c>
      <c r="U17" s="6" t="n">
        <f aca="false">IF(Debt!U114&gt;Inputs!$F$253,U7/Debt!U114,0)</f>
        <v>1.34788169893091</v>
      </c>
      <c r="V17" s="6" t="n">
        <f aca="false">IF(Debt!V114&gt;Inputs!$F$253,V7/Debt!V114,0)</f>
        <v>1.34805115943738</v>
      </c>
      <c r="W17" s="6" t="n">
        <f aca="false">IF(Debt!W114&gt;Inputs!$F$253,W7/Debt!W114,0)</f>
        <v>1.34807834082078</v>
      </c>
      <c r="X17" s="6" t="n">
        <f aca="false">IF(Debt!X114&gt;Inputs!$F$253,X7/Debt!X114,0)</f>
        <v>1.34777442930408</v>
      </c>
      <c r="Y17" s="6" t="n">
        <f aca="false">IF(Debt!Y114&gt;Inputs!$F$253,Y7/Debt!Y114,0)</f>
        <v>1.34778777297038</v>
      </c>
      <c r="Z17" s="6" t="n">
        <f aca="false">IF(Debt!Z114&gt;Inputs!$F$253,Z7/Debt!Z114,0)</f>
        <v>1.34783488593025</v>
      </c>
      <c r="AA17" s="6" t="n">
        <f aca="false">IF(Debt!AA114&gt;Inputs!$F$253,AA7/Debt!AA114,0)</f>
        <v>1.34787804412506</v>
      </c>
      <c r="AB17" s="6" t="n">
        <f aca="false">IF(Debt!AB114&gt;Inputs!$F$253,AB7/Debt!AB114,0)</f>
        <v>1.37160315561871</v>
      </c>
      <c r="AC17" s="6" t="n">
        <f aca="false">IF(Debt!AC114&gt;Inputs!$F$253,AC7/Debt!AC114,0)</f>
        <v>1.4017527829267</v>
      </c>
      <c r="AD17" s="6" t="n">
        <f aca="false">IF(Debt!AD114&gt;Inputs!$F$253,AD7/Debt!AD114,0)</f>
        <v>1.43334409166557</v>
      </c>
      <c r="AE17" s="6" t="n">
        <f aca="false">IF(Debt!AE114&gt;Inputs!$F$253,AE7/Debt!AE114,0)</f>
        <v>1.47490405260055</v>
      </c>
      <c r="AF17" s="6" t="n">
        <f aca="false">IF(Debt!AF114&gt;Inputs!$F$253,AF7/Debt!AF114,0)</f>
        <v>1.52635780280128</v>
      </c>
      <c r="AG17" s="6" t="n">
        <f aca="false">IF(Debt!AG114&gt;Inputs!$F$253,AG7/Debt!AG114,0)</f>
        <v>1.5953074963997</v>
      </c>
      <c r="AH17" s="6" t="n">
        <f aca="false">IF(Debt!AH114&gt;Inputs!$F$253,AH7/Debt!AH114,0)</f>
        <v>1.6799222932167</v>
      </c>
      <c r="AI17" s="6" t="n">
        <f aca="false">IF(Debt!AI114&gt;Inputs!$F$253,AI7/Debt!AI114,0)</f>
        <v>1.79939379357263</v>
      </c>
      <c r="AJ17" s="6" t="n">
        <f aca="false">IF(Debt!AJ114&gt;Inputs!$F$253,AJ7/Debt!AJ114,0)</f>
        <v>1.97372603824085</v>
      </c>
      <c r="AK17" s="6" t="n">
        <f aca="false">IF(Debt!AK114&gt;Inputs!$F$253,AK7/Debt!AK114,0)</f>
        <v>2.26158496765697</v>
      </c>
      <c r="AL17" s="6" t="n">
        <f aca="false">IF(Debt!AL114&gt;Inputs!$F$253,AL7/Debt!AL114,0)</f>
        <v>2.24352463545281</v>
      </c>
      <c r="AM17" s="6" t="n">
        <f aca="false">IF(Debt!AM114&gt;Inputs!$F$253,AM7/Debt!AM114,0)</f>
        <v>2.24143795696602</v>
      </c>
      <c r="AN17" s="6" t="n">
        <f aca="false">IF(Debt!AN114&gt;Inputs!$F$253,AN7/Debt!AN114,0)</f>
        <v>2.21568081009953</v>
      </c>
      <c r="AO17" s="6" t="n">
        <f aca="false">IF(Debt!AO114&gt;Inputs!$F$253,AO7/Debt!AO114,0)</f>
        <v>2.19600385402256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1.34778455366744</v>
      </c>
      <c r="Q18" s="6" t="n">
        <f aca="false">IF(Debt!Q114&gt;Inputs!$F$253,IF(Debt!P114&gt;Inputs!$F$253,(Q7+P7)/(Debt!Q114+Debt!P114),Q17),0)</f>
        <v>1.34780882669982</v>
      </c>
      <c r="R18" s="6" t="n">
        <f aca="false">IF(Debt!R114&gt;Inputs!$F$253,IF(Debt!Q114&gt;Inputs!$F$253,(R7+Q7)/(Debt!R114+Debt!Q114),R17),0)</f>
        <v>1.34783886222381</v>
      </c>
      <c r="S18" s="6" t="n">
        <f aca="false">IF(Debt!S114&gt;Inputs!$F$253,IF(Debt!R114&gt;Inputs!$F$253,(S7+R7)/(Debt!S114+Debt!R114),S17),0)</f>
        <v>1.34786282051022</v>
      </c>
      <c r="T18" s="6" t="n">
        <f aca="false">IF(Debt!T114&gt;Inputs!$F$253,IF(Debt!S114&gt;Inputs!$F$253,(T7+S7)/(Debt!T114+Debt!S114),T17),0)</f>
        <v>1.34783661727473</v>
      </c>
      <c r="U18" s="6" t="n">
        <f aca="false">IF(Debt!U114&gt;Inputs!$F$253,IF(Debt!T114&gt;Inputs!$F$253,(U7+T7)/(Debt!U114+Debt!T114),U17),0)</f>
        <v>1.34783696285452</v>
      </c>
      <c r="V18" s="6" t="n">
        <f aca="false">IF(Debt!V114&gt;Inputs!$F$253,IF(Debt!U114&gt;Inputs!$F$253,(V7+U7)/(Debt!V114+Debt!U114),V17),0)</f>
        <v>1.34796723029115</v>
      </c>
      <c r="W18" s="6" t="n">
        <f aca="false">IF(Debt!W114&gt;Inputs!$F$253,IF(Debt!V114&gt;Inputs!$F$253,(W7+V7)/(Debt!W114+Debt!V114),W17),0)</f>
        <v>1.34806470298842</v>
      </c>
      <c r="X18" s="6" t="n">
        <f aca="false">IF(Debt!X114&gt;Inputs!$F$253,IF(Debt!W114&gt;Inputs!$F$253,(X7+W7)/(Debt!X114+Debt!W114),X17),0)</f>
        <v>1.34792860799985</v>
      </c>
      <c r="Y18" s="6" t="n">
        <f aca="false">IF(Debt!Y114&gt;Inputs!$F$253,IF(Debt!X114&gt;Inputs!$F$253,(Y7+X7)/(Debt!Y114+Debt!X114),Y17),0)</f>
        <v>1.34778106878413</v>
      </c>
      <c r="Z18" s="6" t="n">
        <f aca="false">IF(Debt!Z114&gt;Inputs!$F$253,IF(Debt!Y114&gt;Inputs!$F$253,(Z7+Y7)/(Debt!Z114+Debt!Y114),Z17),0)</f>
        <v>1.34781142598694</v>
      </c>
      <c r="AA18" s="6" t="n">
        <f aca="false">IF(Debt!AA114&gt;Inputs!$F$253,IF(Debt!Z114&gt;Inputs!$F$253,(AA7+Z7)/(Debt!AA114+Debt!Z114),AA17),0)</f>
        <v>1.3478563777437</v>
      </c>
      <c r="AB18" s="6" t="n">
        <f aca="false">IF(Debt!AB114&gt;Inputs!$F$253,IF(Debt!AA114&gt;Inputs!$F$253,(AB7+AA7)/(Debt!AB114+Debt!AA114),AB17),0)</f>
        <v>1.35970608742381</v>
      </c>
      <c r="AC18" s="6" t="n">
        <f aca="false">IF(Debt!AC114&gt;Inputs!$F$253,IF(Debt!AB114&gt;Inputs!$F$253,(AC7+AB7)/(Debt!AC114+Debt!AB114),AC17),0)</f>
        <v>1.3864839281896</v>
      </c>
      <c r="AD18" s="6" t="n">
        <f aca="false">IF(Debt!AD114&gt;Inputs!$F$253,IF(Debt!AC114&gt;Inputs!$F$253,(AD7+AC7)/(Debt!AD114+Debt!AC114),AD17),0)</f>
        <v>1.41767202948434</v>
      </c>
      <c r="AE18" s="6" t="n">
        <f aca="false">IF(Debt!AE114&gt;Inputs!$F$253,IF(Debt!AD114&gt;Inputs!$F$253,(AE7+AD7)/(Debt!AE114+Debt!AD114),AE17),0)</f>
        <v>1.45384419909435</v>
      </c>
      <c r="AF18" s="6" t="n">
        <f aca="false">IF(Debt!AF114&gt;Inputs!$F$253,IF(Debt!AE114&gt;Inputs!$F$253,(AF7+AE7)/(Debt!AF114+Debt!AE114),AF17),0)</f>
        <v>1.50022640428697</v>
      </c>
      <c r="AG18" s="6" t="n">
        <f aca="false">IF(Debt!AG114&gt;Inputs!$F$253,IF(Debt!AF114&gt;Inputs!$F$253,(AG7+AF7)/(Debt!AG114+Debt!AF114),AG17),0)</f>
        <v>1.55994827536393</v>
      </c>
      <c r="AH18" s="6" t="n">
        <f aca="false">IF(Debt!AH114&gt;Inputs!$F$253,IF(Debt!AG114&gt;Inputs!$F$253,(AH7+AG7)/(Debt!AH114+Debt!AG114),AH17),0)</f>
        <v>1.63679496035409</v>
      </c>
      <c r="AI18" s="6" t="n">
        <f aca="false">IF(Debt!AI114&gt;Inputs!$F$253,IF(Debt!AH114&gt;Inputs!$F$253,(AI7+AH7)/(Debt!AI114+Debt!AH114),AI17),0)</f>
        <v>1.73737416372709</v>
      </c>
      <c r="AJ18" s="6" t="n">
        <f aca="false">IF(Debt!AJ114&gt;Inputs!$F$253,IF(Debt!AI114&gt;Inputs!$F$253,(AJ7+AI7)/(Debt!AJ114+Debt!AI114),AJ17),0)</f>
        <v>1.8830314518229</v>
      </c>
      <c r="AK18" s="6" t="n">
        <f aca="false">IF(Debt!AK114&gt;Inputs!$F$253,IF(Debt!AJ114&gt;Inputs!$F$253,(AK7+AJ7)/(Debt!AK114+Debt!AJ114),AK17),0)</f>
        <v>2.10755256921658</v>
      </c>
      <c r="AL18" s="6" t="n">
        <f aca="false">IF(Debt!AL114&gt;Inputs!$F$253,IF(Debt!AK114&gt;Inputs!$F$253,(AL7+AK7)/(Debt!AL114+Debt!AK114),AL17),0)</f>
        <v>2.25242282073505</v>
      </c>
      <c r="AM18" s="6" t="n">
        <f aca="false">IF(Debt!AM114&gt;Inputs!$F$253,IF(Debt!AL114&gt;Inputs!$F$253,(AM7+AL7)/(Debt!AM114+Debt!AL114),AM17),0)</f>
        <v>2.24248449017322</v>
      </c>
      <c r="AN18" s="6" t="n">
        <f aca="false">IF(Debt!AN114&gt;Inputs!$F$253,IF(Debt!AM114&gt;Inputs!$F$253,(AN7+AM7)/(Debt!AN114+Debt!AM114),AN17),0)</f>
        <v>2.22989765085883</v>
      </c>
      <c r="AO18" s="6" t="n">
        <f aca="false">IF(Debt!AO114&gt;Inputs!$F$253,IF(Debt!AN114&gt;Inputs!$F$253,(AO7+AN7)/(Debt!AO114+Debt!AN114),AO17),0)</f>
        <v>2.20590081509926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94.4710956255842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6.14646513657639</v>
      </c>
      <c r="AB29" s="13" t="n">
        <f aca="false">IF(AND(AB24=1,Time!AB52=1,Inputs!$F$52=1),MIN(Inputs!$F$111*AB15,Debt!AB73),0)</f>
        <v>7.14910793985921</v>
      </c>
      <c r="AC29" s="13" t="n">
        <f aca="false">IF(AND(AC24=1,Time!AC52=1,Inputs!$F$52=1),MIN(Inputs!$F$111*AC15,Debt!AC73),0)</f>
        <v>6.82158994339973</v>
      </c>
      <c r="AD29" s="13" t="n">
        <f aca="false">IF(AND(AD24=1,Time!AD52=1,Inputs!$F$52=1),MIN(Inputs!$F$111*AD15,Debt!AD73),0)</f>
        <v>8.16555834532492</v>
      </c>
      <c r="AE29" s="13" t="n">
        <f aca="false">IF(AND(AE24=1,Time!AE52=1,Inputs!$F$52=1),MIN(Inputs!$F$111*AE15,Debt!AE73),0)</f>
        <v>8.77715414009103</v>
      </c>
      <c r="AF29" s="13" t="n">
        <f aca="false">IF(AND(AF24=1,Time!AF52=1,Inputs!$F$52=1),MIN(Inputs!$F$111*AF15,Debt!AF73),0)</f>
        <v>9.6638583288131</v>
      </c>
      <c r="AG29" s="13" t="n">
        <f aca="false">IF(AND(AG24=1,Time!AG52=1,Inputs!$F$52=1),MIN(Inputs!$F$111*AG15,Debt!AG73),0)</f>
        <v>10.0943520107805</v>
      </c>
      <c r="AH29" s="13" t="n">
        <f aca="false">IF(AND(AH24=1,Time!AH52=1,Inputs!$F$52=1),MIN(Inputs!$F$111*AH15,Debt!AH73),0)</f>
        <v>11.4713478749048</v>
      </c>
      <c r="AI29" s="13" t="n">
        <f aca="false">IF(AND(AI24=1,Time!AI52=1,Inputs!$F$52=1),MIN(Inputs!$F$111*AI15,Debt!AI73),0)</f>
        <v>12.343984353946</v>
      </c>
      <c r="AJ29" s="13" t="n">
        <f aca="false">IF(AND(AJ24=1,Time!AJ52=1,Inputs!$F$52=1),MIN(Inputs!$F$111*AJ15,Debt!AJ73),0)</f>
        <v>13.8376775518886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1.90730237486883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1393.86484556992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14.9497284773543</v>
      </c>
      <c r="Q31" s="13" t="n">
        <f aca="false">IF(Q24=1,Q15-Q29,0)</f>
        <v>12.4566737352237</v>
      </c>
      <c r="R31" s="13" t="n">
        <f aca="false">IF(R24=1,R15-R29,0)</f>
        <v>13.3790469910678</v>
      </c>
      <c r="S31" s="13" t="n">
        <f aca="false">IF(S24=1,S15-S29,0)</f>
        <v>12.5696555592035</v>
      </c>
      <c r="T31" s="13" t="n">
        <f aca="false">IF(T24=1,T15-T29,0)</f>
        <v>13.3101131987769</v>
      </c>
      <c r="U31" s="13" t="n">
        <f aca="false">IF(U24=1,U15-U29,0)</f>
        <v>12.3529289452638</v>
      </c>
      <c r="V31" s="13" t="n">
        <f aca="false">IF(V24=1,V15-V29,0)</f>
        <v>13.5908478395815</v>
      </c>
      <c r="W31" s="13" t="n">
        <f aca="false">IF(W24=1,W15-W29,0)</f>
        <v>14.3314942663284</v>
      </c>
      <c r="X31" s="13" t="n">
        <f aca="false">IF(X24=1,X15-X29,0)</f>
        <v>13.1985981131382</v>
      </c>
      <c r="Y31" s="13" t="n">
        <f aca="false">IF(Y24=1,Y15-Y29,0)</f>
        <v>12.4177641418571</v>
      </c>
      <c r="Z31" s="13" t="n">
        <f aca="false">IF(Z24=1,Z15-Z29,0)</f>
        <v>13.1222221346025</v>
      </c>
      <c r="AA31" s="13" t="n">
        <f aca="false">IF(AA24=1,AA15-AA29,0)</f>
        <v>6.14646513657639</v>
      </c>
      <c r="AB31" s="13" t="n">
        <f aca="false">IF(AB24=1,AB15-AB29,0)</f>
        <v>7.14910793985921</v>
      </c>
      <c r="AC31" s="13" t="n">
        <f aca="false">IF(AC24=1,AC15-AC29,0)</f>
        <v>6.82158994339973</v>
      </c>
      <c r="AD31" s="13" t="n">
        <f aca="false">IF(AD24=1,AD15-AD29,0)</f>
        <v>8.16555834532492</v>
      </c>
      <c r="AE31" s="13" t="n">
        <f aca="false">IF(AE24=1,AE15-AE29,0)</f>
        <v>8.77715414009103</v>
      </c>
      <c r="AF31" s="13" t="n">
        <f aca="false">IF(AF24=1,AF15-AF29,0)</f>
        <v>9.6638583288131</v>
      </c>
      <c r="AG31" s="13" t="n">
        <f aca="false">IF(AG24=1,AG15-AG29,0)</f>
        <v>10.0943520107805</v>
      </c>
      <c r="AH31" s="13" t="n">
        <f aca="false">IF(AH24=1,AH15-AH29,0)</f>
        <v>11.4713478749048</v>
      </c>
      <c r="AI31" s="13" t="n">
        <f aca="false">IF(AI24=1,AI15-AI29,0)</f>
        <v>12.343984353946</v>
      </c>
      <c r="AJ31" s="13" t="n">
        <f aca="false">IF(AJ24=1,AJ15-AJ29,0)</f>
        <v>14.6045183481872</v>
      </c>
      <c r="AK31" s="13" t="n">
        <f aca="false">IF(AK24=1,AK15-AK29,0)</f>
        <v>31.8826173552193</v>
      </c>
      <c r="AL31" s="13" t="n">
        <f aca="false">IF(AL24=1,AL15-AL29,0)</f>
        <v>29.633740723543</v>
      </c>
      <c r="AM31" s="13" t="n">
        <f aca="false">IF(AM24=1,AM15-AM29,0)</f>
        <v>33.6970881238834</v>
      </c>
      <c r="AN31" s="13" t="n">
        <f aca="false">IF(AN24=1,AN15-AN29,0)</f>
        <v>23.4845357424876</v>
      </c>
      <c r="AO31" s="13" t="n">
        <f aca="false">IF(AO24=1,AO15-AO29,0)</f>
        <v>41.5174462775425</v>
      </c>
      <c r="AP31" s="13" t="n">
        <f aca="false">IF(AP24=1,AP15-AP29,0)</f>
        <v>41.5626301596728</v>
      </c>
      <c r="AQ31" s="13" t="n">
        <f aca="false">IF(AQ24=1,AQ15-AQ29,0)</f>
        <v>41.1185972406055</v>
      </c>
      <c r="AR31" s="13" t="n">
        <f aca="false">IF(AR24=1,AR15-AR29,0)</f>
        <v>41.7107680175404</v>
      </c>
      <c r="AS31" s="13" t="n">
        <f aca="false">IF(AS24=1,AS15-AS29,0)</f>
        <v>41.4498608795818</v>
      </c>
      <c r="AT31" s="13" t="n">
        <f aca="false">IF(AT24=1,AT15-AT29,0)</f>
        <v>48.1895172914652</v>
      </c>
      <c r="AU31" s="13" t="n">
        <f aca="false">IF(AU24=1,AU15-AU29,0)</f>
        <v>43.756507155945</v>
      </c>
      <c r="AV31" s="13" t="n">
        <f aca="false">IF(AV24=1,AV15-AV29,0)</f>
        <v>43.8688663082382</v>
      </c>
      <c r="AW31" s="13" t="n">
        <f aca="false">IF(AW24=1,AW15-AW29,0)</f>
        <v>43.4429142747544</v>
      </c>
      <c r="AX31" s="13" t="n">
        <f aca="false">IF(AX24=1,AX15-AX29,0)</f>
        <v>44.1164438465739</v>
      </c>
      <c r="AY31" s="13" t="n">
        <f aca="false">IF(AY24=1,AY15-AY29,0)</f>
        <v>43.6627642005393</v>
      </c>
      <c r="AZ31" s="13" t="n">
        <f aca="false">IF(AZ24=1,AZ15-AZ29,0)</f>
        <v>44.2762323941222</v>
      </c>
      <c r="BA31" s="13" t="n">
        <f aca="false">IF(BA24=1,BA15-BA29,0)</f>
        <v>43.4872246281526</v>
      </c>
      <c r="BB31" s="13" t="n">
        <f aca="false">IF(BB24=1,BB15-BB29,0)</f>
        <v>44.731915732465</v>
      </c>
      <c r="BC31" s="13" t="n">
        <f aca="false">IF(BC24=1,BC15-BC29,0)</f>
        <v>41.3201894338888</v>
      </c>
      <c r="BD31" s="13" t="n">
        <f aca="false">IF(BD24=1,BD15-BD29,0)</f>
        <v>35.1958799878207</v>
      </c>
      <c r="BE31" s="13" t="n">
        <f aca="false">IF(BE24=1,BE15-BE29,0)</f>
        <v>34.746445346632</v>
      </c>
      <c r="BF31" s="13" t="n">
        <f aca="false">IF(BF24=1,BF15-BF29,0)</f>
        <v>35.4324518099952</v>
      </c>
      <c r="BG31" s="13" t="n">
        <f aca="false">IF(BG24=1,BG15-BG29,0)</f>
        <v>34.9511662594573</v>
      </c>
      <c r="BH31" s="13" t="n">
        <f aca="false">IF(BH24=1,BH15-BH29,0)</f>
        <v>35.5703258294046</v>
      </c>
      <c r="BI31" s="13" t="n">
        <f aca="false">IF(BI24=1,BI15-BI29,0)</f>
        <v>35.2968595112973</v>
      </c>
      <c r="BJ31" s="13" t="n">
        <f aca="false">IF(BJ24=1,BJ15-BJ29,0)</f>
        <v>43.3106491663589</v>
      </c>
      <c r="BK31" s="13" t="n">
        <f aca="false">IF(BK24=1,BK15-BK29,0)</f>
        <v>38.0479316554231</v>
      </c>
      <c r="BL31" s="13" t="n">
        <f aca="false">IF(BL24=1,BL15-BL29,0)</f>
        <v>38.7653199840677</v>
      </c>
      <c r="BM31" s="13" t="n">
        <f aca="false">IF(BM24=1,BM15-BM29,0)</f>
        <v>54.7209464089599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199.722580803435</v>
      </c>
      <c r="R33" s="13" t="n">
        <f aca="false">IF(Time!R20&lt;Time!$F$12,0,IF(Time!R34=1,INDEX(Funding!$J$72:$BJ$72,1,Time!$F$14),Q36))</f>
        <v>196.674755772088</v>
      </c>
      <c r="S33" s="13" t="n">
        <f aca="false">IF(Time!S20&lt;Time!$F$12,0,IF(Time!S34=1,INDEX(Funding!$J$72:$BJ$72,1,Time!$F$14),R36))</f>
        <v>192.714543660187</v>
      </c>
      <c r="T33" s="13" t="n">
        <f aca="false">IF(Time!T20&lt;Time!$F$12,0,IF(Time!T34=1,INDEX(Funding!$J$72:$BJ$72,1,Time!$F$14),S36))</f>
        <v>189.223591055058</v>
      </c>
      <c r="U33" s="13" t="n">
        <f aca="false">IF(Time!U20&lt;Time!$F$12,0,IF(Time!U34=1,INDEX(Funding!$J$72:$BJ$72,1,Time!$F$14),T36))</f>
        <v>184.975473395027</v>
      </c>
      <c r="V33" s="13" t="n">
        <f aca="false">IF(Time!V20&lt;Time!$F$12,0,IF(Time!V34=1,INDEX(Funding!$J$72:$BJ$72,1,Time!$F$14),U36))</f>
        <v>181.38480728538</v>
      </c>
      <c r="W33" s="13" t="n">
        <f aca="false">IF(Time!W20&lt;Time!$F$12,0,IF(Time!W34=1,INDEX(Funding!$J$72:$BJ$72,1,Time!$F$14),V36))</f>
        <v>176.480552408397</v>
      </c>
      <c r="X33" s="13" t="n">
        <f aca="false">IF(Time!X20&lt;Time!$F$12,0,IF(Time!X34=1,INDEX(Funding!$J$72:$BJ$72,1,Time!$F$14),W36))</f>
        <v>170.462984439774</v>
      </c>
      <c r="Y33" s="13" t="n">
        <f aca="false">IF(Time!Y20&lt;Time!$F$12,0,IF(Time!Y34=1,INDEX(Funding!$J$72:$BJ$72,1,Time!$F$14),X36))</f>
        <v>165.427928704738</v>
      </c>
      <c r="Z33" s="13" t="n">
        <f aca="false">IF(Time!Z20&lt;Time!$F$12,0,IF(Time!Z34=1,INDEX(Funding!$J$72:$BJ$72,1,Time!$F$14),Y36))</f>
        <v>160.80340630008</v>
      </c>
      <c r="AA33" s="13" t="n">
        <f aca="false">IF(Time!AA20&lt;Time!$F$12,0,IF(Time!AA34=1,INDEX(Funding!$J$72:$BJ$72,1,Time!$F$14),Z36))</f>
        <v>155.38212537678</v>
      </c>
      <c r="AB33" s="13" t="n">
        <f aca="false">IF(Time!AB20&lt;Time!$F$12,0,IF(Time!AB34=1,INDEX(Funding!$J$72:$BJ$72,1,Time!$F$14),AA36))</f>
        <v>156.555648311036</v>
      </c>
      <c r="AC33" s="13" t="n">
        <f aca="false">IF(Time!AC20&lt;Time!$F$12,0,IF(Time!AC34=1,INDEX(Funding!$J$72:$BJ$72,1,Time!$F$14),AB36))</f>
        <v>156.90405470673</v>
      </c>
      <c r="AD33" s="13" t="n">
        <f aca="false">IF(Time!AD20&lt;Time!$F$12,0,IF(Time!AD34=1,INDEX(Funding!$J$72:$BJ$72,1,Time!$F$14),AC36))</f>
        <v>157.514988341082</v>
      </c>
      <c r="AE33" s="13" t="n">
        <f aca="false">IF(Time!AE20&lt;Time!$F$12,0,IF(Time!AE34=1,INDEX(Funding!$J$72:$BJ$72,1,Time!$F$14),AD36))</f>
        <v>156.892887519599</v>
      </c>
      <c r="AF33" s="13" t="n">
        <f aca="false">IF(Time!AF20&lt;Time!$F$12,0,IF(Time!AF34=1,INDEX(Funding!$J$72:$BJ$72,1,Time!$F$14),AE36))</f>
        <v>155.506892834027</v>
      </c>
      <c r="AG33" s="13" t="n">
        <f aca="false">IF(Time!AG20&lt;Time!$F$12,0,IF(Time!AG34=1,INDEX(Funding!$J$72:$BJ$72,1,Time!$F$14),AF36))</f>
        <v>153.290323509977</v>
      </c>
      <c r="AH33" s="13" t="n">
        <f aca="false">IF(Time!AH20&lt;Time!$F$12,0,IF(Time!AH34=1,INDEX(Funding!$J$72:$BJ$72,1,Time!$F$14),AG36))</f>
        <v>150.417415643729</v>
      </c>
      <c r="AI33" s="13" t="n">
        <f aca="false">IF(Time!AI20&lt;Time!$F$12,0,IF(Time!AI34=1,INDEX(Funding!$J$72:$BJ$72,1,Time!$F$14),AH36))</f>
        <v>146.149619619378</v>
      </c>
      <c r="AJ33" s="13" t="n">
        <f aca="false">IF(Time!AJ20&lt;Time!$F$12,0,IF(Time!AJ34=1,INDEX(Funding!$J$72:$BJ$72,1,Time!$F$14),AI36))</f>
        <v>140.690683784214</v>
      </c>
      <c r="AK33" s="13" t="n">
        <f aca="false">IF(Time!AK20&lt;Time!$F$12,0,IF(Time!AK34=1,INDEX(Funding!$J$72:$BJ$72,1,Time!$F$14),AJ36))</f>
        <v>132.823900100542</v>
      </c>
      <c r="AL33" s="13" t="n">
        <f aca="false">IF(Time!AL20&lt;Time!$F$12,0,IF(Time!AL34=1,INDEX(Funding!$J$72:$BJ$72,1,Time!$F$14),AK36))</f>
        <v>107.23313269803</v>
      </c>
      <c r="AM33" s="13" t="n">
        <f aca="false">IF(Time!AM20&lt;Time!$F$12,0,IF(Time!AM34=1,INDEX(Funding!$J$72:$BJ$72,1,Time!$F$14),AL36))</f>
        <v>82.7348307678065</v>
      </c>
      <c r="AN33" s="13" t="n">
        <f aca="false">IF(Time!AN20&lt;Time!$F$12,0,IF(Time!AN34=1,INDEX(Funding!$J$72:$BJ$72,1,Time!$F$14),AM36))</f>
        <v>52.9353465207792</v>
      </c>
      <c r="AO33" s="13" t="n">
        <f aca="false">IF(Time!AO20&lt;Time!$F$12,0,IF(Time!AO34=1,INDEX(Funding!$J$72:$BJ$72,1,Time!$F$14),AN36))</f>
        <v>31.9859062774236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186.113465915106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9.40884870387687</v>
      </c>
      <c r="R34" s="13" t="n">
        <f aca="false">R24*MIN(R31,Tax!R13)</f>
        <v>9.41883487916738</v>
      </c>
      <c r="S34" s="13" t="n">
        <f aca="false">S24*MIN(S31,Tax!S13)</f>
        <v>9.07870295407376</v>
      </c>
      <c r="T34" s="13" t="n">
        <f aca="false">T24*MIN(T31,Tax!T13)</f>
        <v>9.06199553874633</v>
      </c>
      <c r="U34" s="13" t="n">
        <f aca="false">U24*MIN(U31,Tax!U13)</f>
        <v>8.76226283561649</v>
      </c>
      <c r="V34" s="13" t="n">
        <f aca="false">V24*MIN(V31,Tax!V13)</f>
        <v>8.68659296259847</v>
      </c>
      <c r="W34" s="13" t="n">
        <f aca="false">W24*MIN(W31,Tax!W13)</f>
        <v>8.31392629770517</v>
      </c>
      <c r="X34" s="13" t="n">
        <f aca="false">X24*MIN(X31,Tax!X13)</f>
        <v>8.16354237810204</v>
      </c>
      <c r="Y34" s="13" t="n">
        <f aca="false">Y24*MIN(Y31,Tax!Y13)</f>
        <v>7.7932417371999</v>
      </c>
      <c r="Z34" s="13" t="n">
        <f aca="false">Z24*MIN(Z31,Tax!Z13)</f>
        <v>7.70094121130248</v>
      </c>
      <c r="AA34" s="13" t="n">
        <f aca="false">AA24*MIN(AA31,Tax!AA13)</f>
        <v>6.14646513657639</v>
      </c>
      <c r="AB34" s="13" t="n">
        <f aca="false">AB24*MIN(AB31,Tax!AB13)</f>
        <v>7.14910793985921</v>
      </c>
      <c r="AC34" s="13" t="n">
        <f aca="false">AC24*MIN(AC31,Tax!AC13)</f>
        <v>6.82158994339973</v>
      </c>
      <c r="AD34" s="13" t="n">
        <f aca="false">AD24*MIN(AD31,Tax!AD13)</f>
        <v>7.54345752384141</v>
      </c>
      <c r="AE34" s="13" t="n">
        <f aca="false">AE24*MIN(AE31,Tax!AE13)</f>
        <v>7.39115945451917</v>
      </c>
      <c r="AF34" s="13" t="n">
        <f aca="false">AF24*MIN(AF31,Tax!AF13)</f>
        <v>7.4472890047638</v>
      </c>
      <c r="AG34" s="13" t="n">
        <f aca="false">AG24*MIN(AG31,Tax!AG13)</f>
        <v>7.22144414453167</v>
      </c>
      <c r="AH34" s="13" t="n">
        <f aca="false">AH24*MIN(AH31,Tax!AH13)</f>
        <v>7.20355185055445</v>
      </c>
      <c r="AI34" s="13" t="n">
        <f aca="false">AI24*MIN(AI31,Tax!AI13)</f>
        <v>6.88504851878139</v>
      </c>
      <c r="AJ34" s="13" t="n">
        <f aca="false">AJ24*MIN(AJ31,Tax!AJ13)</f>
        <v>6.73773466451522</v>
      </c>
      <c r="AK34" s="13" t="n">
        <f aca="false">AK24*MIN(AK31,Tax!AK13)</f>
        <v>6.29184995270785</v>
      </c>
      <c r="AL34" s="13" t="n">
        <f aca="false">AL24*MIN(AL31,Tax!AL13)</f>
        <v>5.13543879331936</v>
      </c>
      <c r="AM34" s="13" t="n">
        <f aca="false">AM24*MIN(AM31,Tax!AM13)</f>
        <v>3.89760387685598</v>
      </c>
      <c r="AN34" s="13" t="n">
        <f aca="false">AN24*MIN(AN31,Tax!AN13)</f>
        <v>2.53509549913211</v>
      </c>
      <c r="AO34" s="13" t="n">
        <f aca="false">AO24*MIN(AO31,Tax!AO13)</f>
        <v>1.50684289983644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206.994275031568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5.13883126383155</v>
      </c>
      <c r="Q35" s="13" t="n">
        <f aca="false">Q24*MIN(Q31-Q34,Q33+Tax!Q13-Q34)</f>
        <v>3.04782503134684</v>
      </c>
      <c r="R35" s="13" t="n">
        <f aca="false">R24*MIN(R31-R34,R33+Tax!R13-R34)</f>
        <v>3.96021211190038</v>
      </c>
      <c r="S35" s="13" t="n">
        <f aca="false">S24*MIN(S31-S34,S33+Tax!S13-S34)</f>
        <v>3.49095260512972</v>
      </c>
      <c r="T35" s="13" t="n">
        <f aca="false">T24*MIN(T31-T34,T33+Tax!T13-T34)</f>
        <v>4.24811766003053</v>
      </c>
      <c r="U35" s="13" t="n">
        <f aca="false">U24*MIN(U31-U34,U33+Tax!U13-U34)</f>
        <v>3.59066610964726</v>
      </c>
      <c r="V35" s="13" t="n">
        <f aca="false">V24*MIN(V31-V34,V33+Tax!V13-V34)</f>
        <v>4.90425487698298</v>
      </c>
      <c r="W35" s="13" t="n">
        <f aca="false">W24*MIN(W31-W34,W33+Tax!W13-W34)</f>
        <v>6.0175679686232</v>
      </c>
      <c r="X35" s="13" t="n">
        <f aca="false">X24*MIN(X31-X34,X33+Tax!X13-X34)</f>
        <v>5.03505573503615</v>
      </c>
      <c r="Y35" s="13" t="n">
        <f aca="false">Y24*MIN(Y31-Y34,Y33+Tax!Y13-Y34)</f>
        <v>4.62452240465723</v>
      </c>
      <c r="Z35" s="13" t="n">
        <f aca="false">Z24*MIN(Z31-Z34,Z33+Tax!Z13-Z34)</f>
        <v>5.42128092330005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0.622100821483511</v>
      </c>
      <c r="AE35" s="13" t="n">
        <f aca="false">AE24*MIN(AE31-AE34,AE33+Tax!AE13-AE34)</f>
        <v>1.38599468557186</v>
      </c>
      <c r="AF35" s="13" t="n">
        <f aca="false">AF24*MIN(AF31-AF34,AF33+Tax!AF13-AF34)</f>
        <v>2.21656932404931</v>
      </c>
      <c r="AG35" s="13" t="n">
        <f aca="false">AG24*MIN(AG31-AG34,AG33+Tax!AG13-AG34)</f>
        <v>2.87290786624882</v>
      </c>
      <c r="AH35" s="13" t="n">
        <f aca="false">AH24*MIN(AH31-AH34,AH33+Tax!AH13-AH34)</f>
        <v>4.26779602435031</v>
      </c>
      <c r="AI35" s="13" t="n">
        <f aca="false">AI24*MIN(AI31-AI34,AI33+Tax!AI13-AI34)</f>
        <v>5.4589358351646</v>
      </c>
      <c r="AJ35" s="13" t="n">
        <f aca="false">AJ24*MIN(AJ31-AJ34,AJ33+Tax!AJ13-AJ34)</f>
        <v>7.86678368367202</v>
      </c>
      <c r="AK35" s="13" t="n">
        <f aca="false">AK24*MIN(AK31-AK34,AK33+Tax!AK13-AK34)</f>
        <v>25.5907674025114</v>
      </c>
      <c r="AL35" s="13" t="n">
        <f aca="false">AL24*MIN(AL31-AL34,AL33+Tax!AL13-AL34)</f>
        <v>24.4983019302236</v>
      </c>
      <c r="AM35" s="13" t="n">
        <f aca="false">AM24*MIN(AM31-AM34,AM33+Tax!AM13-AM34)</f>
        <v>29.7994842470274</v>
      </c>
      <c r="AN35" s="13" t="n">
        <f aca="false">AN24*MIN(AN31-AN34,AN33+Tax!AN13-AN34)</f>
        <v>20.9494402433555</v>
      </c>
      <c r="AO35" s="13" t="n">
        <f aca="false">AO24*MIN(AO31-AO34,AO33+Tax!AO13-AO34)</f>
        <v>31.9859062774236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199.722580803435</v>
      </c>
      <c r="Q36" s="13" t="n">
        <f aca="false">Q33+Tax!Q13-Q34-Q35</f>
        <v>196.674755772088</v>
      </c>
      <c r="R36" s="13" t="n">
        <f aca="false">R33+Tax!R13-R34-R35</f>
        <v>192.714543660187</v>
      </c>
      <c r="S36" s="13" t="n">
        <f aca="false">S33+Tax!S13-S34-S35</f>
        <v>189.223591055058</v>
      </c>
      <c r="T36" s="13" t="n">
        <f aca="false">T33+Tax!T13-T34-T35</f>
        <v>184.975473395027</v>
      </c>
      <c r="U36" s="13" t="n">
        <f aca="false">U33+Tax!U13-U34-U35</f>
        <v>181.38480728538</v>
      </c>
      <c r="V36" s="13" t="n">
        <f aca="false">V33+Tax!V13-V34-V35</f>
        <v>176.480552408397</v>
      </c>
      <c r="W36" s="13" t="n">
        <f aca="false">W33+Tax!W13-W34-W35</f>
        <v>170.462984439774</v>
      </c>
      <c r="X36" s="13" t="n">
        <f aca="false">X33+Tax!X13-X34-X35</f>
        <v>165.427928704738</v>
      </c>
      <c r="Y36" s="13" t="n">
        <f aca="false">Y33+Tax!Y13-Y34-Y35</f>
        <v>160.80340630008</v>
      </c>
      <c r="Z36" s="13" t="n">
        <f aca="false">Z33+Tax!Z13-Z34-Z35</f>
        <v>155.38212537678</v>
      </c>
      <c r="AA36" s="13" t="n">
        <f aca="false">AA33+Tax!AA13-AA34-AA35</f>
        <v>156.555648311036</v>
      </c>
      <c r="AB36" s="13" t="n">
        <f aca="false">AB33+Tax!AB13-AB34-AB35</f>
        <v>156.90405470673</v>
      </c>
      <c r="AC36" s="13" t="n">
        <f aca="false">AC33+Tax!AC13-AC34-AC35</f>
        <v>157.514988341082</v>
      </c>
      <c r="AD36" s="13" t="n">
        <f aca="false">AD33+Tax!AD13-AD34-AD35</f>
        <v>156.892887519599</v>
      </c>
      <c r="AE36" s="13" t="n">
        <f aca="false">AE33+Tax!AE13-AE34-AE35</f>
        <v>155.506892834027</v>
      </c>
      <c r="AF36" s="13" t="n">
        <f aca="false">AF33+Tax!AF13-AF34-AF35</f>
        <v>153.290323509977</v>
      </c>
      <c r="AG36" s="13" t="n">
        <f aca="false">AG33+Tax!AG13-AG34-AG35</f>
        <v>150.417415643729</v>
      </c>
      <c r="AH36" s="13" t="n">
        <f aca="false">AH33+Tax!AH13-AH34-AH35</f>
        <v>146.149619619378</v>
      </c>
      <c r="AI36" s="13" t="n">
        <f aca="false">AI33+Tax!AI13-AI34-AI35</f>
        <v>140.690683784214</v>
      </c>
      <c r="AJ36" s="13" t="n">
        <f aca="false">AJ33+Tax!AJ13-AJ34-AJ35</f>
        <v>132.823900100542</v>
      </c>
      <c r="AK36" s="13" t="n">
        <f aca="false">AK33+Tax!AK13-AK34-AK35</f>
        <v>107.23313269803</v>
      </c>
      <c r="AL36" s="13" t="n">
        <f aca="false">AL33+Tax!AL13-AL34-AL35</f>
        <v>82.7348307678065</v>
      </c>
      <c r="AM36" s="13" t="n">
        <f aca="false">AM33+Tax!AM13-AM34-AM35</f>
        <v>52.9353465207792</v>
      </c>
      <c r="AN36" s="13" t="n">
        <f aca="false">AN33+Tax!AN13-AN34-AN35</f>
        <v>31.9859062774236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9.75127464571968</v>
      </c>
      <c r="P37" s="13" t="n">
        <f aca="false">MAX(0,O43+Financials!P14)</f>
        <v>17.0506367858976</v>
      </c>
      <c r="Q37" s="13" t="n">
        <f aca="false">MAX(0,P43+Financials!Q14)</f>
        <v>25.7040107540333</v>
      </c>
      <c r="R37" s="13" t="n">
        <f aca="false">MAX(0,Q43+Financials!R14)</f>
        <v>34.8240260552148</v>
      </c>
      <c r="S37" s="13" t="n">
        <f aca="false">MAX(0,R43+Financials!S14)</f>
        <v>45.1676417955094</v>
      </c>
      <c r="T37" s="13" t="n">
        <f aca="false">MAX(0,S43+Financials!T14)</f>
        <v>55.9873468187114</v>
      </c>
      <c r="U37" s="13" t="n">
        <f aca="false">MAX(0,T43+Financials!U14)</f>
        <v>68.0373771801292</v>
      </c>
      <c r="V37" s="13" t="n">
        <f aca="false">MAX(0,U43+Financials!V14)</f>
        <v>78.4059153960608</v>
      </c>
      <c r="W37" s="13" t="n">
        <f aca="false">MAX(0,V43+Financials!W14)</f>
        <v>92.5772168822049</v>
      </c>
      <c r="X37" s="13" t="n">
        <f aca="false">MAX(0,W43+Financials!X14)</f>
        <v>107.413806647402</v>
      </c>
      <c r="Y37" s="13" t="n">
        <f aca="false">MAX(0,X43+Financials!Y14)</f>
        <v>120.25906684486</v>
      </c>
      <c r="Z37" s="13" t="n">
        <f aca="false">MAX(0,Y43+Financials!Z14)</f>
        <v>127.926255300892</v>
      </c>
      <c r="AA37" s="13" t="n">
        <f aca="false">MAX(0,Z43+Financials!AA14)</f>
        <v>136.563562189478</v>
      </c>
      <c r="AB37" s="13" t="n">
        <f aca="false">MAX(0,AA43+Financials!AB14)</f>
        <v>145.761728169646</v>
      </c>
      <c r="AC37" s="13" t="n">
        <f aca="false">MAX(0,AB43+Financials!AC14)</f>
        <v>156.01836107631</v>
      </c>
      <c r="AD37" s="13" t="n">
        <f aca="false">MAX(0,AC43+Financials!AD14)</f>
        <v>158.201551840087</v>
      </c>
      <c r="AE37" s="13" t="n">
        <f aca="false">MAX(0,AD43+Financials!AE14)</f>
        <v>170.393291278755</v>
      </c>
      <c r="AF37" s="13" t="n">
        <f aca="false">MAX(0,AE43+Financials!AF14)</f>
        <v>183.294086901948</v>
      </c>
      <c r="AG37" s="13" t="n">
        <f aca="false">MAX(0,AF43+Financials!AG14)</f>
        <v>197.287877535083</v>
      </c>
      <c r="AH37" s="13" t="n">
        <f aca="false">MAX(0,AG43+Financials!AH14)</f>
        <v>212.291853089659</v>
      </c>
      <c r="AI37" s="13" t="n">
        <f aca="false">MAX(0,AH43+Financials!AI14)</f>
        <v>228.601526031692</v>
      </c>
      <c r="AJ37" s="13" t="n">
        <f aca="false">MAX(0,AI43+Financials!AJ14)</f>
        <v>246.01004403541</v>
      </c>
      <c r="AK37" s="13" t="n">
        <f aca="false">MAX(0,AJ43+Financials!AK14)</f>
        <v>264.850402500508</v>
      </c>
      <c r="AL37" s="13" t="n">
        <f aca="false">MAX(0,AK43+Financials!AL14)</f>
        <v>282.991538818478</v>
      </c>
      <c r="AM37" s="13" t="n">
        <f aca="false">MAX(0,AL43+Financials!AM14)</f>
        <v>304.59513495036</v>
      </c>
      <c r="AN37" s="13" t="n">
        <f aca="false">MAX(0,AM43+Financials!AN14)</f>
        <v>327.867934336612</v>
      </c>
      <c r="AO37" s="13" t="n">
        <f aca="false">MAX(0,AN43+Financials!AO14)</f>
        <v>352.314594776666</v>
      </c>
      <c r="AP37" s="13" t="n">
        <f aca="false">MAX(0,AO43+Financials!AP14)</f>
        <v>370.264372195018</v>
      </c>
      <c r="AQ37" s="13" t="n">
        <f aca="false">MAX(0,AP43+Financials!AQ14)</f>
        <v>354.756094837348</v>
      </c>
      <c r="AR37" s="13" t="n">
        <f aca="false">MAX(0,AQ43+Financials!AR14)</f>
        <v>339.757938143164</v>
      </c>
      <c r="AS37" s="13" t="n">
        <f aca="false">MAX(0,AR43+Financials!AS14)</f>
        <v>324.352774310479</v>
      </c>
      <c r="AT37" s="13" t="n">
        <f aca="false">MAX(0,AS43+Financials!AT14)</f>
        <v>298.910865660287</v>
      </c>
      <c r="AU37" s="13" t="n">
        <f aca="false">MAX(0,AT43+Financials!AU14)</f>
        <v>277.317305109526</v>
      </c>
      <c r="AV37" s="13" t="n">
        <f aca="false">MAX(0,AU43+Financials!AV14)</f>
        <v>260.07526840074</v>
      </c>
      <c r="AW37" s="13" t="n">
        <f aca="false">MAX(0,AV43+Financials!AW14)</f>
        <v>242.83737153485</v>
      </c>
      <c r="AX37" s="13" t="n">
        <f aca="false">MAX(0,AW43+Financials!AX14)</f>
        <v>226.162084439075</v>
      </c>
      <c r="AY37" s="13" t="n">
        <f aca="false">MAX(0,AX43+Financials!AY14)</f>
        <v>208.898860176048</v>
      </c>
      <c r="AZ37" s="13" t="n">
        <f aca="false">MAX(0,AY43+Financials!AZ14)</f>
        <v>192.160653557425</v>
      </c>
      <c r="BA37" s="13" t="n">
        <f aca="false">MAX(0,AZ43+Financials!BA14)</f>
        <v>174.974577184112</v>
      </c>
      <c r="BB37" s="13" t="n">
        <f aca="false">MAX(0,BA43+Financials!BB14)</f>
        <v>156.334476612963</v>
      </c>
      <c r="BC37" s="13" t="n">
        <f aca="false">MAX(0,BB43+Financials!BC14)</f>
        <v>138.970979331004</v>
      </c>
      <c r="BD37" s="13" t="n">
        <f aca="false">MAX(0,BC43+Financials!BD14)</f>
        <v>125.002154624321</v>
      </c>
      <c r="BE37" s="13" t="n">
        <f aca="false">MAX(0,BD43+Financials!BE14)</f>
        <v>117.283676967378</v>
      </c>
      <c r="BF37" s="13" t="n">
        <f aca="false">MAX(0,BE43+Financials!BF14)</f>
        <v>110.164086924741</v>
      </c>
      <c r="BG37" s="13" t="n">
        <f aca="false">MAX(0,BF43+Financials!BG14)</f>
        <v>102.450211970924</v>
      </c>
      <c r="BH37" s="13" t="n">
        <f aca="false">MAX(0,BG43+Financials!BH14)</f>
        <v>95.2946280523807</v>
      </c>
      <c r="BI37" s="13" t="n">
        <f aca="false">MAX(0,BH43+Financials!BI14)</f>
        <v>87.740902865802</v>
      </c>
      <c r="BJ37" s="13" t="n">
        <f aca="false">MAX(0,BI43+Financials!BJ14)</f>
        <v>68.2887802684381</v>
      </c>
      <c r="BK37" s="13" t="n">
        <f aca="false">MAX(0,BJ43+Financials!BK14)</f>
        <v>53.340556890105</v>
      </c>
      <c r="BL37" s="13" t="n">
        <f aca="false">MAX(0,BK43+Financials!BL14)</f>
        <v>43.5505549652087</v>
      </c>
      <c r="BM37" s="13" t="n">
        <f aca="false">MAX(0,BL43+Financials!BM14)</f>
        <v>10.3541928921483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8.02469710028241</v>
      </c>
      <c r="AP38" s="13" t="n">
        <f aca="false">AP24*MIN(AP31-AP34-AP35,AP37)</f>
        <v>41.5626301596728</v>
      </c>
      <c r="AQ38" s="13" t="n">
        <f aca="false">AQ24*MIN(AQ31-AQ34-AQ35,AQ37)</f>
        <v>41.1185972406055</v>
      </c>
      <c r="AR38" s="13" t="n">
        <f aca="false">AR24*MIN(AR31-AR34-AR35,AR37)</f>
        <v>41.7107680175404</v>
      </c>
      <c r="AS38" s="13" t="n">
        <f aca="false">AS24*MIN(AS31-AS34-AS35,AS37)</f>
        <v>41.4498608795818</v>
      </c>
      <c r="AT38" s="13" t="n">
        <f aca="false">AT24*MIN(AT31-AT34-AT35,AT37)</f>
        <v>48.1895172914652</v>
      </c>
      <c r="AU38" s="13" t="n">
        <f aca="false">AU24*MIN(AU31-AU34-AU35,AU37)</f>
        <v>43.756507155945</v>
      </c>
      <c r="AV38" s="13" t="n">
        <f aca="false">AV24*MIN(AV31-AV34-AV35,AV37)</f>
        <v>43.8688663082382</v>
      </c>
      <c r="AW38" s="13" t="n">
        <f aca="false">AW24*MIN(AW31-AW34-AW35,AW37)</f>
        <v>43.4429142747544</v>
      </c>
      <c r="AX38" s="13" t="n">
        <f aca="false">AX24*MIN(AX31-AX34-AX35,AX37)</f>
        <v>44.1164438465739</v>
      </c>
      <c r="AY38" s="13" t="n">
        <f aca="false">AY24*MIN(AY31-AY34-AY35,AY37)</f>
        <v>43.6627642005393</v>
      </c>
      <c r="AZ38" s="13" t="n">
        <f aca="false">AZ24*MIN(AZ31-AZ34-AZ35,AZ37)</f>
        <v>44.2762323941222</v>
      </c>
      <c r="BA38" s="13" t="n">
        <f aca="false">BA24*MIN(BA31-BA34-BA35,BA37)</f>
        <v>43.4872246281526</v>
      </c>
      <c r="BB38" s="13" t="n">
        <f aca="false">BB24*MIN(BB31-BB34-BB35,BB37)</f>
        <v>44.731915732465</v>
      </c>
      <c r="BC38" s="13" t="n">
        <f aca="false">BC24*MIN(BC31-BC34-BC35,BC37)</f>
        <v>41.3201894338888</v>
      </c>
      <c r="BD38" s="13" t="n">
        <f aca="false">BD24*MIN(BD31-BD34-BD35,BD37)</f>
        <v>35.1958799878207</v>
      </c>
      <c r="BE38" s="13" t="n">
        <f aca="false">BE24*MIN(BE31-BE34-BE35,BE37)</f>
        <v>34.746445346632</v>
      </c>
      <c r="BF38" s="13" t="n">
        <f aca="false">BF24*MIN(BF31-BF34-BF35,BF37)</f>
        <v>35.4324518099952</v>
      </c>
      <c r="BG38" s="13" t="n">
        <f aca="false">BG24*MIN(BG31-BG34-BG35,BG37)</f>
        <v>34.9511662594573</v>
      </c>
      <c r="BH38" s="13" t="n">
        <f aca="false">BH24*MIN(BH31-BH34-BH35,BH37)</f>
        <v>35.5703258294046</v>
      </c>
      <c r="BI38" s="13" t="n">
        <f aca="false">BI24*MIN(BI31-BI34-BI35,BI37)</f>
        <v>35.2968595112973</v>
      </c>
      <c r="BJ38" s="13" t="n">
        <f aca="false">BJ24*MIN(BJ31-BJ34-BJ35,BJ37)</f>
        <v>43.3106491663589</v>
      </c>
      <c r="BK38" s="13" t="n">
        <f aca="false">BK24*MIN(BK31-BK34-BK35,BK37)</f>
        <v>38.0479316554231</v>
      </c>
      <c r="BL38" s="13" t="n">
        <f aca="false">BL24*MIN(BL31-BL34-BL35,BL37)</f>
        <v>38.7653199840677</v>
      </c>
      <c r="BM38" s="13" t="n">
        <f aca="false">BM24*MIN(BM31-BM34-BM35,BM37)</f>
        <v>10.3541928921483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1000.75710462324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8.02469710028241</v>
      </c>
      <c r="AP41" s="13" t="n">
        <f aca="false">AP38+AP40</f>
        <v>41.5626301596728</v>
      </c>
      <c r="AQ41" s="13" t="n">
        <f aca="false">AQ38+AQ40</f>
        <v>41.1185972406055</v>
      </c>
      <c r="AR41" s="13" t="n">
        <f aca="false">AR38+AR40</f>
        <v>41.7107680175404</v>
      </c>
      <c r="AS41" s="13" t="n">
        <f aca="false">AS38+AS40</f>
        <v>41.4498608795818</v>
      </c>
      <c r="AT41" s="13" t="n">
        <f aca="false">AT38+AT40</f>
        <v>48.1895172914652</v>
      </c>
      <c r="AU41" s="13" t="n">
        <f aca="false">AU38+AU40</f>
        <v>43.756507155945</v>
      </c>
      <c r="AV41" s="13" t="n">
        <f aca="false">AV38+AV40</f>
        <v>43.8688663082382</v>
      </c>
      <c r="AW41" s="13" t="n">
        <f aca="false">AW38+AW40</f>
        <v>43.4429142747544</v>
      </c>
      <c r="AX41" s="13" t="n">
        <f aca="false">AX38+AX40</f>
        <v>44.1164438465739</v>
      </c>
      <c r="AY41" s="13" t="n">
        <f aca="false">AY38+AY40</f>
        <v>43.6627642005393</v>
      </c>
      <c r="AZ41" s="13" t="n">
        <f aca="false">AZ38+AZ40</f>
        <v>44.2762323941222</v>
      </c>
      <c r="BA41" s="13" t="n">
        <f aca="false">BA38+BA40</f>
        <v>43.4872246281526</v>
      </c>
      <c r="BB41" s="13" t="n">
        <f aca="false">BB38+BB40</f>
        <v>44.731915732465</v>
      </c>
      <c r="BC41" s="13" t="n">
        <f aca="false">BC38+BC40</f>
        <v>41.3201894338888</v>
      </c>
      <c r="BD41" s="13" t="n">
        <f aca="false">BD38+BD40</f>
        <v>35.1958799878207</v>
      </c>
      <c r="BE41" s="13" t="n">
        <f aca="false">BE38+BE40</f>
        <v>34.746445346632</v>
      </c>
      <c r="BF41" s="13" t="n">
        <f aca="false">BF38+BF40</f>
        <v>35.4324518099952</v>
      </c>
      <c r="BG41" s="13" t="n">
        <f aca="false">BG38+BG40</f>
        <v>34.9511662594573</v>
      </c>
      <c r="BH41" s="13" t="n">
        <f aca="false">BH38+BH40</f>
        <v>35.5703258294046</v>
      </c>
      <c r="BI41" s="13" t="n">
        <f aca="false">BI38+BI40</f>
        <v>35.2968595112973</v>
      </c>
      <c r="BJ41" s="13" t="n">
        <f aca="false">BJ38+BJ40</f>
        <v>43.3106491663589</v>
      </c>
      <c r="BK41" s="13" t="n">
        <f aca="false">BK38+BK40</f>
        <v>38.0479316554231</v>
      </c>
      <c r="BL41" s="13" t="n">
        <f aca="false">BL38+BL40</f>
        <v>38.7653199840677</v>
      </c>
      <c r="BM41" s="13" t="n">
        <f aca="false">BM38+BM40</f>
        <v>54.7209464089599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9.75127464571968</v>
      </c>
      <c r="P43" s="13" t="n">
        <f aca="false">IF(Time!P20&lt;Time!$F$12,0,O43+Financials!P14-P41)</f>
        <v>17.0506367858976</v>
      </c>
      <c r="Q43" s="13" t="n">
        <f aca="false">IF(Time!Q20&lt;Time!$F$12,0,P43+Financials!Q14-Q41)</f>
        <v>25.7040107540333</v>
      </c>
      <c r="R43" s="13" t="n">
        <f aca="false">IF(Time!R20&lt;Time!$F$12,0,Q43+Financials!R14-R41)</f>
        <v>34.8240260552148</v>
      </c>
      <c r="S43" s="13" t="n">
        <f aca="false">IF(Time!S20&lt;Time!$F$12,0,R43+Financials!S14-S41)</f>
        <v>45.1676417955094</v>
      </c>
      <c r="T43" s="13" t="n">
        <f aca="false">IF(Time!T20&lt;Time!$F$12,0,S43+Financials!T14-T41)</f>
        <v>55.9873468187114</v>
      </c>
      <c r="U43" s="13" t="n">
        <f aca="false">IF(Time!U20&lt;Time!$F$12,0,T43+Financials!U14-U41)</f>
        <v>68.0373771801292</v>
      </c>
      <c r="V43" s="13" t="n">
        <f aca="false">IF(Time!V20&lt;Time!$F$12,0,U43+Financials!V14-V41)</f>
        <v>78.4059153960608</v>
      </c>
      <c r="W43" s="13" t="n">
        <f aca="false">IF(Time!W20&lt;Time!$F$12,0,V43+Financials!W14-W41)</f>
        <v>92.5772168822049</v>
      </c>
      <c r="X43" s="13" t="n">
        <f aca="false">IF(Time!X20&lt;Time!$F$12,0,W43+Financials!X14-X41)</f>
        <v>107.413806647402</v>
      </c>
      <c r="Y43" s="13" t="n">
        <f aca="false">IF(Time!Y20&lt;Time!$F$12,0,X43+Financials!Y14-Y41)</f>
        <v>120.25906684486</v>
      </c>
      <c r="Z43" s="13" t="n">
        <f aca="false">IF(Time!Z20&lt;Time!$F$12,0,Y43+Financials!Z14-Z41)</f>
        <v>127.926255300892</v>
      </c>
      <c r="AA43" s="13" t="n">
        <f aca="false">IF(Time!AA20&lt;Time!$F$12,0,Z43+Financials!AA14-AA41)</f>
        <v>136.563562189478</v>
      </c>
      <c r="AB43" s="13" t="n">
        <f aca="false">IF(Time!AB20&lt;Time!$F$12,0,AA43+Financials!AB14-AB41)</f>
        <v>145.761728169646</v>
      </c>
      <c r="AC43" s="13" t="n">
        <f aca="false">IF(Time!AC20&lt;Time!$F$12,0,AB43+Financials!AC14-AC41)</f>
        <v>156.01836107631</v>
      </c>
      <c r="AD43" s="13" t="n">
        <f aca="false">IF(Time!AD20&lt;Time!$F$12,0,AC43+Financials!AD14-AD41)</f>
        <v>158.201551840087</v>
      </c>
      <c r="AE43" s="13" t="n">
        <f aca="false">IF(Time!AE20&lt;Time!$F$12,0,AD43+Financials!AE14-AE41)</f>
        <v>170.393291278755</v>
      </c>
      <c r="AF43" s="13" t="n">
        <f aca="false">IF(Time!AF20&lt;Time!$F$12,0,AE43+Financials!AF14-AF41)</f>
        <v>183.294086901948</v>
      </c>
      <c r="AG43" s="13" t="n">
        <f aca="false">IF(Time!AG20&lt;Time!$F$12,0,AF43+Financials!AG14-AG41)</f>
        <v>197.287877535083</v>
      </c>
      <c r="AH43" s="13" t="n">
        <f aca="false">IF(Time!AH20&lt;Time!$F$12,0,AG43+Financials!AH14-AH41)</f>
        <v>212.291853089659</v>
      </c>
      <c r="AI43" s="13" t="n">
        <f aca="false">IF(Time!AI20&lt;Time!$F$12,0,AH43+Financials!AI14-AI41)</f>
        <v>228.601526031692</v>
      </c>
      <c r="AJ43" s="13" t="n">
        <f aca="false">IF(Time!AJ20&lt;Time!$F$12,0,AI43+Financials!AJ14-AJ41)</f>
        <v>246.01004403541</v>
      </c>
      <c r="AK43" s="13" t="n">
        <f aca="false">IF(Time!AK20&lt;Time!$F$12,0,AJ43+Financials!AK14-AK41)</f>
        <v>264.850402500508</v>
      </c>
      <c r="AL43" s="13" t="n">
        <f aca="false">IF(Time!AL20&lt;Time!$F$12,0,AK43+Financials!AL14-AL41)</f>
        <v>282.991538818478</v>
      </c>
      <c r="AM43" s="13" t="n">
        <f aca="false">IF(Time!AM20&lt;Time!$F$12,0,AL43+Financials!AM14-AM41)</f>
        <v>304.59513495036</v>
      </c>
      <c r="AN43" s="13" t="n">
        <f aca="false">IF(Time!AN20&lt;Time!$F$12,0,AM43+Financials!AN14-AN41)</f>
        <v>327.867934336612</v>
      </c>
      <c r="AO43" s="13" t="n">
        <f aca="false">IF(Time!AO20&lt;Time!$F$12,0,AN43+Financials!AO14-AO41)</f>
        <v>344.289897676384</v>
      </c>
      <c r="AP43" s="13" t="n">
        <f aca="false">IF(Time!AP20&lt;Time!$F$12,0,AO43+Financials!AP14-AP41)</f>
        <v>328.701742035346</v>
      </c>
      <c r="AQ43" s="13" t="n">
        <f aca="false">IF(Time!AQ20&lt;Time!$F$12,0,AP43+Financials!AQ14-AQ41)</f>
        <v>313.637497596743</v>
      </c>
      <c r="AR43" s="13" t="n">
        <f aca="false">IF(Time!AR20&lt;Time!$F$12,0,AQ43+Financials!AR14-AR41)</f>
        <v>298.047170125624</v>
      </c>
      <c r="AS43" s="13" t="n">
        <f aca="false">IF(Time!AS20&lt;Time!$F$12,0,AR43+Financials!AS14-AS41)</f>
        <v>282.902913430897</v>
      </c>
      <c r="AT43" s="13" t="n">
        <f aca="false">IF(Time!AT20&lt;Time!$F$12,0,AS43+Financials!AT14-AT41)</f>
        <v>250.721348368822</v>
      </c>
      <c r="AU43" s="13" t="n">
        <f aca="false">IF(Time!AU20&lt;Time!$F$12,0,AT43+Financials!AU14-AU41)</f>
        <v>233.560797953581</v>
      </c>
      <c r="AV43" s="13" t="n">
        <f aca="false">IF(Time!AV20&lt;Time!$F$12,0,AU43+Financials!AV14-AV41)</f>
        <v>216.206402092502</v>
      </c>
      <c r="AW43" s="13" t="n">
        <f aca="false">IF(Time!AW20&lt;Time!$F$12,0,AV43+Financials!AW14-AW41)</f>
        <v>199.394457260096</v>
      </c>
      <c r="AX43" s="13" t="n">
        <f aca="false">IF(Time!AX20&lt;Time!$F$12,0,AW43+Financials!AX14-AX41)</f>
        <v>182.045640592501</v>
      </c>
      <c r="AY43" s="13" t="n">
        <f aca="false">IF(Time!AY20&lt;Time!$F$12,0,AX43+Financials!AY14-AY41)</f>
        <v>165.236095975509</v>
      </c>
      <c r="AZ43" s="13" t="n">
        <f aca="false">IF(Time!AZ20&lt;Time!$F$12,0,AY43+Financials!AZ14-AZ41)</f>
        <v>147.884421163303</v>
      </c>
      <c r="BA43" s="13" t="n">
        <f aca="false">IF(Time!BA20&lt;Time!$F$12,0,AZ43+Financials!BA14-BA41)</f>
        <v>131.48735255596</v>
      </c>
      <c r="BB43" s="13" t="n">
        <f aca="false">IF(Time!BB20&lt;Time!$F$12,0,BA43+Financials!BB14-BB41)</f>
        <v>111.602560880498</v>
      </c>
      <c r="BC43" s="13" t="n">
        <f aca="false">IF(Time!BC20&lt;Time!$F$12,0,BB43+Financials!BC14-BC41)</f>
        <v>97.6507898971148</v>
      </c>
      <c r="BD43" s="13" t="n">
        <f aca="false">IF(Time!BD20&lt;Time!$F$12,0,BC43+Financials!BD14-BD41)</f>
        <v>89.8062746365008</v>
      </c>
      <c r="BE43" s="13" t="n">
        <f aca="false">IF(Time!BE20&lt;Time!$F$12,0,BD43+Financials!BE14-BE41)</f>
        <v>82.5372316207463</v>
      </c>
      <c r="BF43" s="13" t="n">
        <f aca="false">IF(Time!BF20&lt;Time!$F$12,0,BE43+Financials!BF14-BF41)</f>
        <v>74.7316351147461</v>
      </c>
      <c r="BG43" s="13" t="n">
        <f aca="false">IF(Time!BG20&lt;Time!$F$12,0,BF43+Financials!BG14-BG41)</f>
        <v>67.4990457114663</v>
      </c>
      <c r="BH43" s="13" t="n">
        <f aca="false">IF(Time!BH20&lt;Time!$F$12,0,BG43+Financials!BH14-BH41)</f>
        <v>59.7243022229761</v>
      </c>
      <c r="BI43" s="13" t="n">
        <f aca="false">IF(Time!BI20&lt;Time!$F$12,0,BH43+Financials!BI14-BI41)</f>
        <v>52.4440433545047</v>
      </c>
      <c r="BJ43" s="13" t="n">
        <f aca="false">IF(Time!BJ20&lt;Time!$F$12,0,BI43+Financials!BJ14-BJ41)</f>
        <v>24.9781311020792</v>
      </c>
      <c r="BK43" s="13" t="n">
        <f aca="false">IF(Time!BK20&lt;Time!$F$12,0,BJ43+Financials!BK14-BK41)</f>
        <v>15.2926252346819</v>
      </c>
      <c r="BL43" s="13" t="n">
        <f aca="false">IF(Time!BL20&lt;Time!$F$12,0,BK43+Financials!BL14-BL41)</f>
        <v>4.78523498114094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1393.86484556992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14.9497284773543</v>
      </c>
      <c r="Q44" s="13" t="n">
        <f aca="false">Q34+Q35+Q41</f>
        <v>12.4566737352237</v>
      </c>
      <c r="R44" s="13" t="n">
        <f aca="false">R34+R35+R41</f>
        <v>13.3790469910678</v>
      </c>
      <c r="S44" s="13" t="n">
        <f aca="false">S34+S35+S41</f>
        <v>12.5696555592035</v>
      </c>
      <c r="T44" s="13" t="n">
        <f aca="false">T34+T35+T41</f>
        <v>13.3101131987769</v>
      </c>
      <c r="U44" s="13" t="n">
        <f aca="false">U34+U35+U41</f>
        <v>12.3529289452638</v>
      </c>
      <c r="V44" s="13" t="n">
        <f aca="false">V34+V35+V41</f>
        <v>13.5908478395815</v>
      </c>
      <c r="W44" s="13" t="n">
        <f aca="false">W34+W35+W41</f>
        <v>14.3314942663284</v>
      </c>
      <c r="X44" s="13" t="n">
        <f aca="false">X34+X35+X41</f>
        <v>13.1985981131382</v>
      </c>
      <c r="Y44" s="13" t="n">
        <f aca="false">Y34+Y35+Y41</f>
        <v>12.4177641418571</v>
      </c>
      <c r="Z44" s="13" t="n">
        <f aca="false">Z34+Z35+Z41</f>
        <v>13.1222221346025</v>
      </c>
      <c r="AA44" s="13" t="n">
        <f aca="false">AA34+AA35+AA41</f>
        <v>6.14646513657639</v>
      </c>
      <c r="AB44" s="13" t="n">
        <f aca="false">AB34+AB35+AB41</f>
        <v>7.14910793985921</v>
      </c>
      <c r="AC44" s="13" t="n">
        <f aca="false">AC34+AC35+AC41</f>
        <v>6.82158994339973</v>
      </c>
      <c r="AD44" s="13" t="n">
        <f aca="false">AD34+AD35+AD41</f>
        <v>8.16555834532492</v>
      </c>
      <c r="AE44" s="13" t="n">
        <f aca="false">AE34+AE35+AE41</f>
        <v>8.77715414009103</v>
      </c>
      <c r="AF44" s="13" t="n">
        <f aca="false">AF34+AF35+AF41</f>
        <v>9.6638583288131</v>
      </c>
      <c r="AG44" s="13" t="n">
        <f aca="false">AG34+AG35+AG41</f>
        <v>10.0943520107805</v>
      </c>
      <c r="AH44" s="13" t="n">
        <f aca="false">AH34+AH35+AH41</f>
        <v>11.4713478749048</v>
      </c>
      <c r="AI44" s="13" t="n">
        <f aca="false">AI34+AI35+AI41</f>
        <v>12.343984353946</v>
      </c>
      <c r="AJ44" s="13" t="n">
        <f aca="false">AJ34+AJ35+AJ41</f>
        <v>14.6045183481872</v>
      </c>
      <c r="AK44" s="13" t="n">
        <f aca="false">AK34+AK35+AK41</f>
        <v>31.8826173552193</v>
      </c>
      <c r="AL44" s="13" t="n">
        <f aca="false">AL34+AL35+AL41</f>
        <v>29.633740723543</v>
      </c>
      <c r="AM44" s="13" t="n">
        <f aca="false">AM34+AM35+AM41</f>
        <v>33.6970881238834</v>
      </c>
      <c r="AN44" s="13" t="n">
        <f aca="false">AN34+AN35+AN41</f>
        <v>23.4845357424876</v>
      </c>
      <c r="AO44" s="13" t="n">
        <f aca="false">AO34+AO35+AO41</f>
        <v>41.5174462775425</v>
      </c>
      <c r="AP44" s="13" t="n">
        <f aca="false">AP34+AP35+AP41</f>
        <v>41.5626301596728</v>
      </c>
      <c r="AQ44" s="13" t="n">
        <f aca="false">AQ34+AQ35+AQ41</f>
        <v>41.1185972406055</v>
      </c>
      <c r="AR44" s="13" t="n">
        <f aca="false">AR34+AR35+AR41</f>
        <v>41.7107680175404</v>
      </c>
      <c r="AS44" s="13" t="n">
        <f aca="false">AS34+AS35+AS41</f>
        <v>41.4498608795818</v>
      </c>
      <c r="AT44" s="13" t="n">
        <f aca="false">AT34+AT35+AT41</f>
        <v>48.1895172914652</v>
      </c>
      <c r="AU44" s="13" t="n">
        <f aca="false">AU34+AU35+AU41</f>
        <v>43.756507155945</v>
      </c>
      <c r="AV44" s="13" t="n">
        <f aca="false">AV34+AV35+AV41</f>
        <v>43.8688663082382</v>
      </c>
      <c r="AW44" s="13" t="n">
        <f aca="false">AW34+AW35+AW41</f>
        <v>43.4429142747544</v>
      </c>
      <c r="AX44" s="13" t="n">
        <f aca="false">AX34+AX35+AX41</f>
        <v>44.1164438465739</v>
      </c>
      <c r="AY44" s="13" t="n">
        <f aca="false">AY34+AY35+AY41</f>
        <v>43.6627642005393</v>
      </c>
      <c r="AZ44" s="13" t="n">
        <f aca="false">AZ34+AZ35+AZ41</f>
        <v>44.2762323941222</v>
      </c>
      <c r="BA44" s="13" t="n">
        <f aca="false">BA34+BA35+BA41</f>
        <v>43.4872246281526</v>
      </c>
      <c r="BB44" s="13" t="n">
        <f aca="false">BB34+BB35+BB41</f>
        <v>44.731915732465</v>
      </c>
      <c r="BC44" s="13" t="n">
        <f aca="false">BC34+BC35+BC41</f>
        <v>41.3201894338888</v>
      </c>
      <c r="BD44" s="13" t="n">
        <f aca="false">BD34+BD35+BD41</f>
        <v>35.1958799878207</v>
      </c>
      <c r="BE44" s="13" t="n">
        <f aca="false">BE34+BE35+BE41</f>
        <v>34.746445346632</v>
      </c>
      <c r="BF44" s="13" t="n">
        <f aca="false">BF34+BF35+BF41</f>
        <v>35.4324518099952</v>
      </c>
      <c r="BG44" s="13" t="n">
        <f aca="false">BG34+BG35+BG41</f>
        <v>34.9511662594573</v>
      </c>
      <c r="BH44" s="13" t="n">
        <f aca="false">BH34+BH35+BH41</f>
        <v>35.5703258294046</v>
      </c>
      <c r="BI44" s="13" t="n">
        <f aca="false">BI34+BI35+BI41</f>
        <v>35.2968595112973</v>
      </c>
      <c r="BJ44" s="13" t="n">
        <f aca="false">BJ34+BJ35+BJ41</f>
        <v>43.3106491663589</v>
      </c>
      <c r="BK44" s="13" t="n">
        <f aca="false">BK34+BK35+BK41</f>
        <v>38.0479316554231</v>
      </c>
      <c r="BL44" s="13" t="n">
        <f aca="false">BL34+BL35+BL41</f>
        <v>38.7653199840677</v>
      </c>
      <c r="BM44" s="13" t="n">
        <f aca="false">BM34+BM35+BM41</f>
        <v>54.7209464089599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504.284029137954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30.4205988294356</v>
      </c>
      <c r="R9" s="13" t="n">
        <f aca="false">Debt!R112+Debt!R110+Debt!R104-Debt!R103+Tax!R13</f>
        <v>30.1030586214148</v>
      </c>
      <c r="S9" s="13" t="n">
        <f aca="false">Debt!S112+Debt!S110+Debt!S104-Debt!S103+Tax!S13</f>
        <v>28.9722431643309</v>
      </c>
      <c r="T9" s="13" t="n">
        <f aca="false">Debt!T112+Debt!T110+Debt!T104-Debt!T103+Tax!T13</f>
        <v>28.5712177627321</v>
      </c>
      <c r="U9" s="13" t="n">
        <f aca="false">Debt!U112+Debt!U110+Debt!U104-Debt!U103+Tax!U13</f>
        <v>27.5091906808513</v>
      </c>
      <c r="V9" s="13" t="n">
        <f aca="false">Debt!V112+Debt!V110+Debt!V104-Debt!V103+Tax!V13</f>
        <v>26.9210050260101</v>
      </c>
      <c r="W9" s="13" t="n">
        <f aca="false">Debt!W112+Debt!W110+Debt!W104-Debt!W103+Tax!W13</f>
        <v>25.6706221144736</v>
      </c>
      <c r="X9" s="13" t="n">
        <f aca="false">Debt!X112+Debt!X110+Debt!X104-Debt!X103+Tax!X13</f>
        <v>24.9974619169561</v>
      </c>
      <c r="Y9" s="13" t="n">
        <f aca="false">Debt!Y112+Debt!Y110+Debt!Y104-Debt!Y103+Tax!Y13</f>
        <v>24.2613035539728</v>
      </c>
      <c r="Z9" s="13" t="n">
        <f aca="false">Debt!Z112+Debt!Z110+Debt!Z104-Debt!Z103+Tax!Z13</f>
        <v>23.6371756615147</v>
      </c>
      <c r="AA9" s="13" t="n">
        <f aca="false">Debt!AA112+Debt!AA110+Debt!AA104-Debt!AA103+Tax!AA13</f>
        <v>22.3482072260013</v>
      </c>
      <c r="AB9" s="13" t="n">
        <f aca="false">Debt!AB112+Debt!AB110+Debt!AB104-Debt!AB103+Tax!AB13</f>
        <v>21.6253041303898</v>
      </c>
      <c r="AC9" s="13" t="n">
        <f aca="false">Debt!AC112+Debt!AC110+Debt!AC104-Debt!AC103+Tax!AC13</f>
        <v>20.3335165994045</v>
      </c>
      <c r="AD9" s="13" t="n">
        <f aca="false">Debt!AD112+Debt!AD110+Debt!AD104-Debt!AD103+Tax!AD13</f>
        <v>19.4130383555674</v>
      </c>
      <c r="AE9" s="13" t="n">
        <f aca="false">Debt!AE112+Debt!AE110+Debt!AE104-Debt!AE103+Tax!AE13</f>
        <v>17.9136312447992</v>
      </c>
      <c r="AF9" s="13" t="n">
        <f aca="false">Debt!AF112+Debt!AF110+Debt!AF104-Debt!AF103+Tax!AF13</f>
        <v>16.8061138145217</v>
      </c>
      <c r="AG9" s="13" t="n">
        <f aca="false">Debt!AG112+Debt!AG110+Debt!AG104-Debt!AG103+Tax!AG13</f>
        <v>15.3846682990726</v>
      </c>
      <c r="AH9" s="13" t="n">
        <f aca="false">Debt!AH112+Debt!AH110+Debt!AH104-Debt!AH103+Tax!AH13</f>
        <v>14.1026363161221</v>
      </c>
      <c r="AI9" s="13" t="n">
        <f aca="false">Debt!AI112+Debt!AI110+Debt!AI104-Debt!AI103+Tax!AI13</f>
        <v>12.3411454831054</v>
      </c>
      <c r="AJ9" s="13" t="n">
        <f aca="false">Debt!AJ112+Debt!AJ110+Debt!AJ104-Debt!AJ103+Tax!AJ13</f>
        <v>10.8558883219595</v>
      </c>
      <c r="AK9" s="13" t="n">
        <f aca="false">Debt!AK112+Debt!AK110+Debt!AK104-Debt!AK103+Tax!AK13</f>
        <v>9.00806059984274</v>
      </c>
      <c r="AL9" s="13" t="n">
        <f aca="false">Debt!AL112+Debt!AL110+Debt!AL104-Debt!AL103+Tax!AL13</f>
        <v>7.30909204474095</v>
      </c>
      <c r="AM9" s="13" t="n">
        <f aca="false">Debt!AM112+Debt!AM110+Debt!AM104-Debt!AM103+Tax!AM13</f>
        <v>5.47879292625734</v>
      </c>
      <c r="AN9" s="13" t="n">
        <f aca="false">Debt!AN112+Debt!AN110+Debt!AN104-Debt!AN103+Tax!AN13</f>
        <v>3.52718896824225</v>
      </c>
      <c r="AO9" s="13" t="n">
        <f aca="false">Debt!AO112+Debt!AO110+Debt!AO104-Debt!AO103+Tax!AO13</f>
        <v>2.00409628386705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-49.1327772266179</v>
      </c>
      <c r="Z12" s="13" t="n">
        <f aca="false">IF(Time!Z20&gt;=Time!$F$12,Inputs!$F$184/100*(Z11-Z10-Tax!Z21),0)</f>
        <v>-45.6955395894602</v>
      </c>
      <c r="AA12" s="13" t="n">
        <f aca="false">IF(Time!AA20&gt;=Time!$F$12,Inputs!$F$184/100*(AA11-AA10-Tax!AA21),0)</f>
        <v>-41.8417903450481</v>
      </c>
      <c r="AB12" s="13" t="n">
        <f aca="false">IF(Time!AB20&gt;=Time!$F$12,Inputs!$F$184/100*(AB11-AB10-Tax!AB21),0)</f>
        <v>-37.7468622484221</v>
      </c>
      <c r="AC12" s="13" t="n">
        <f aca="false">IF(Time!AC20&gt;=Time!$F$12,Inputs!$F$184/100*(AC11-AC10-Tax!AC21),0)</f>
        <v>-33.1979153312944</v>
      </c>
      <c r="AD12" s="13" t="n">
        <f aca="false">IF(Time!AD20&gt;=Time!$F$12,Inputs!$F$184/100*(AD11-AD10-Tax!AD21),0)</f>
        <v>-32.1109175043578</v>
      </c>
      <c r="AE12" s="13" t="n">
        <f aca="false">IF(Time!AE20&gt;=Time!$F$12,Inputs!$F$184/100*(AE11-AE10-Tax!AE21),0)</f>
        <v>-26.7315310110155</v>
      </c>
      <c r="AF12" s="13" t="n">
        <f aca="false">IF(Time!AF20&gt;=Time!$F$12,Inputs!$F$184/100*(AF11-AF10-Tax!AF21),0)</f>
        <v>-21.0468829450813</v>
      </c>
      <c r="AG12" s="13" t="n">
        <f aca="false">IF(Time!AG20&gt;=Time!$F$12,Inputs!$F$184/100*(AG11-AG10-Tax!AG21),0)</f>
        <v>-14.8931278018318</v>
      </c>
      <c r="AH12" s="13" t="n">
        <f aca="false">IF(Time!AH20&gt;=Time!$F$12,Inputs!$F$184/100*(AH11-AH10-Tax!AH21),0)</f>
        <v>-8.30580791447903</v>
      </c>
      <c r="AI12" s="13" t="n">
        <f aca="false">IF(Time!AI20&gt;=Time!$F$12,Inputs!$F$184/100*(AI11-AI10-Tax!AI21),0)</f>
        <v>-1.15809055061623</v>
      </c>
      <c r="AJ12" s="13" t="n">
        <f aca="false">IF(Time!AJ20&gt;=Time!$F$12,Inputs!$F$184/100*(AJ11-AJ10-Tax!AJ21),0)</f>
        <v>6.46144284006855</v>
      </c>
      <c r="AK12" s="13" t="n">
        <f aca="false">IF(Time!AK20&gt;=Time!$F$12,Inputs!$F$184/100*(AK11-AK10-Tax!AK21),0)</f>
        <v>14.6951770918032</v>
      </c>
      <c r="AL12" s="13" t="n">
        <f aca="false">IF(Time!AL20&gt;=Time!$F$12,Inputs!$F$184/100*(AL11-AL10-Tax!AL21),0)</f>
        <v>22.6295849456068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-2.27833029517022</v>
      </c>
      <c r="Z13" s="13" t="n">
        <f aca="false">Z12-Y12</f>
        <v>3.43723763715771</v>
      </c>
      <c r="AA13" s="13" t="n">
        <f aca="false">AA12-Z12</f>
        <v>3.85374924441205</v>
      </c>
      <c r="AB13" s="13" t="n">
        <f aca="false">AB12-AA12</f>
        <v>4.09492809662603</v>
      </c>
      <c r="AC13" s="13" t="n">
        <f aca="false">AC12-AB12</f>
        <v>4.54894691712772</v>
      </c>
      <c r="AD13" s="13" t="n">
        <f aca="false">AD12-AC12</f>
        <v>1.08699782693665</v>
      </c>
      <c r="AE13" s="13" t="n">
        <f aca="false">AE12-AD12</f>
        <v>5.37938649334229</v>
      </c>
      <c r="AF13" s="13" t="n">
        <f aca="false">AF12-AE12</f>
        <v>5.68464806593418</v>
      </c>
      <c r="AG13" s="13" t="n">
        <f aca="false">AG12-AF12</f>
        <v>6.15375514324945</v>
      </c>
      <c r="AH13" s="13" t="n">
        <f aca="false">AH12-AG12</f>
        <v>6.5873198873528</v>
      </c>
      <c r="AI13" s="13" t="n">
        <f aca="false">AI12-AH12</f>
        <v>7.14771736386281</v>
      </c>
      <c r="AJ13" s="13" t="n">
        <f aca="false">AJ12-AI12</f>
        <v>7.61953339068477</v>
      </c>
      <c r="AK13" s="13" t="n">
        <f aca="false">AK12-AJ12</f>
        <v>8.23373425173467</v>
      </c>
      <c r="AL13" s="13" t="n">
        <f aca="false">AL12-AK12</f>
        <v>7.93440785380359</v>
      </c>
      <c r="AM13" s="13" t="n">
        <f aca="false">AM12-AL12</f>
        <v>9.33184135405932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956.390351106433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9.75127464571968</v>
      </c>
      <c r="P14" s="13" t="n">
        <f aca="false">Operations!P84-P8-P9-Tax!P27-P13</f>
        <v>7.29936214017796</v>
      </c>
      <c r="Q14" s="13" t="n">
        <f aca="false">Operations!Q84-Q8-Q9-Tax!Q27-Q13</f>
        <v>8.65337396813562</v>
      </c>
      <c r="R14" s="13" t="n">
        <f aca="false">Operations!R84-R8-R9-Tax!R27-R13</f>
        <v>9.12001530118157</v>
      </c>
      <c r="S14" s="13" t="n">
        <f aca="false">Operations!S84-S8-S9-Tax!S27-S13</f>
        <v>10.3436157402945</v>
      </c>
      <c r="T14" s="13" t="n">
        <f aca="false">Operations!T84-T8-T9-Tax!T27-T13</f>
        <v>10.819705023202</v>
      </c>
      <c r="U14" s="13" t="n">
        <f aca="false">Operations!U84-U8-U9-Tax!U27-U13</f>
        <v>12.0500303614178</v>
      </c>
      <c r="V14" s="13" t="n">
        <f aca="false">Operations!V84-V8-V9-Tax!V27-V13</f>
        <v>10.3685382159317</v>
      </c>
      <c r="W14" s="13" t="n">
        <f aca="false">Operations!W84-W8-W9-Tax!W27-W13</f>
        <v>14.1713014861441</v>
      </c>
      <c r="X14" s="13" t="n">
        <f aca="false">Operations!X84-X8-X9-Tax!X27-X13</f>
        <v>14.8365897651975</v>
      </c>
      <c r="Y14" s="13" t="n">
        <f aca="false">Operations!Y84-Y8-Y9-Tax!Y27-Y13</f>
        <v>12.8452601974579</v>
      </c>
      <c r="Z14" s="13" t="n">
        <f aca="false">Operations!Z84-Z8-Z9-Tax!Z27-Z13</f>
        <v>7.66718845603157</v>
      </c>
      <c r="AA14" s="13" t="n">
        <f aca="false">Operations!AA84-AA8-AA9-Tax!AA27-AA13</f>
        <v>8.63730688858608</v>
      </c>
      <c r="AB14" s="13" t="n">
        <f aca="false">Operations!AB84-AB8-AB9-Tax!AB27-AB13</f>
        <v>9.19816598016817</v>
      </c>
      <c r="AC14" s="13" t="n">
        <f aca="false">Operations!AC84-AC8-AC9-Tax!AC27-AC13</f>
        <v>10.2566329066636</v>
      </c>
      <c r="AD14" s="13" t="n">
        <f aca="false">Operations!AD84-AD8-AD9-Tax!AD27-AD13</f>
        <v>2.18319076377717</v>
      </c>
      <c r="AE14" s="13" t="n">
        <f aca="false">Operations!AE84-AE8-AE9-Tax!AE27-AE13</f>
        <v>12.1917394386677</v>
      </c>
      <c r="AF14" s="13" t="n">
        <f aca="false">Operations!AF84-AF8-AF9-Tax!AF27-AF13</f>
        <v>12.9007956231937</v>
      </c>
      <c r="AG14" s="13" t="n">
        <f aca="false">Operations!AG84-AG8-AG9-Tax!AG27-AG13</f>
        <v>13.993790633135</v>
      </c>
      <c r="AH14" s="13" t="n">
        <f aca="false">Operations!AH84-AH8-AH9-Tax!AH27-AH13</f>
        <v>15.0039755545762</v>
      </c>
      <c r="AI14" s="13" t="n">
        <f aca="false">Operations!AI84-AI8-AI9-Tax!AI27-AI13</f>
        <v>16.3096729420325</v>
      </c>
      <c r="AJ14" s="13" t="n">
        <f aca="false">Operations!AJ84-AJ8-AJ9-Tax!AJ27-AJ13</f>
        <v>17.4085180037182</v>
      </c>
      <c r="AK14" s="13" t="n">
        <f aca="false">Operations!AK84-AK8-AK9-Tax!AK27-AK13</f>
        <v>18.8403584650978</v>
      </c>
      <c r="AL14" s="13" t="n">
        <f aca="false">Operations!AL84-AL8-AL9-Tax!AL27-AL13</f>
        <v>18.1411363179705</v>
      </c>
      <c r="AM14" s="13" t="n">
        <f aca="false">Operations!AM84-AM8-AM9-Tax!AM27-AM13</f>
        <v>21.6035961318817</v>
      </c>
      <c r="AN14" s="13" t="n">
        <f aca="false">Operations!AN84-AN8-AN9-Tax!AN27-AN13</f>
        <v>23.2727993862523</v>
      </c>
      <c r="AO14" s="13" t="n">
        <f aca="false">Operations!AO84-AO8-AO9-Tax!AO27-AO13</f>
        <v>24.4466604400536</v>
      </c>
      <c r="AP14" s="13" t="n">
        <f aca="false">Operations!AP84-AP8-AP9-Tax!AP27-AP13</f>
        <v>25.974474518635</v>
      </c>
      <c r="AQ14" s="13" t="n">
        <f aca="false">Operations!AQ84-AQ8-AQ9-Tax!AQ27-AQ13</f>
        <v>26.0543528020024</v>
      </c>
      <c r="AR14" s="13" t="n">
        <f aca="false">Operations!AR84-AR8-AR9-Tax!AR27-AR13</f>
        <v>26.1204405464215</v>
      </c>
      <c r="AS14" s="13" t="n">
        <f aca="false">Operations!AS84-AS8-AS9-Tax!AS27-AS13</f>
        <v>26.3056041848556</v>
      </c>
      <c r="AT14" s="13" t="n">
        <f aca="false">Operations!AT84-AT8-AT9-Tax!AT27-AT13</f>
        <v>16.0079522293895</v>
      </c>
      <c r="AU14" s="13" t="n">
        <f aca="false">Operations!AU84-AU8-AU9-Tax!AU27-AU13</f>
        <v>26.595956740704</v>
      </c>
      <c r="AV14" s="13" t="n">
        <f aca="false">Operations!AV84-AV8-AV9-Tax!AV27-AV13</f>
        <v>26.514470447159</v>
      </c>
      <c r="AW14" s="13" t="n">
        <f aca="false">Operations!AW84-AW8-AW9-Tax!AW27-AW13</f>
        <v>26.6309694423487</v>
      </c>
      <c r="AX14" s="13" t="n">
        <f aca="false">Operations!AX84-AX8-AX9-Tax!AX27-AX13</f>
        <v>26.7676271789788</v>
      </c>
      <c r="AY14" s="13" t="n">
        <f aca="false">Operations!AY84-AY8-AY9-Tax!AY27-AY13</f>
        <v>26.8532195835472</v>
      </c>
      <c r="AZ14" s="13" t="n">
        <f aca="false">Operations!AZ84-AZ8-AZ9-Tax!AZ27-AZ13</f>
        <v>26.9245575819162</v>
      </c>
      <c r="BA14" s="13" t="n">
        <f aca="false">Operations!BA84-BA8-BA9-Tax!BA27-BA13</f>
        <v>27.0901560208094</v>
      </c>
      <c r="BB14" s="13" t="n">
        <f aca="false">Operations!BB84-BB8-BB9-Tax!BB27-BB13</f>
        <v>24.8471240570035</v>
      </c>
      <c r="BC14" s="13" t="n">
        <f aca="false">Operations!BC84-BC8-BC9-Tax!BC27-BC13</f>
        <v>27.3684184505056</v>
      </c>
      <c r="BD14" s="13" t="n">
        <f aca="false">Operations!BD84-BD8-BD9-Tax!BD27-BD13</f>
        <v>27.3513647272066</v>
      </c>
      <c r="BE14" s="13" t="n">
        <f aca="false">Operations!BE84-BE8-BE9-Tax!BE27-BE13</f>
        <v>27.4774023308776</v>
      </c>
      <c r="BF14" s="13" t="n">
        <f aca="false">Operations!BF84-BF8-BF9-Tax!BF27-BF13</f>
        <v>27.626855303995</v>
      </c>
      <c r="BG14" s="13" t="n">
        <f aca="false">Operations!BG84-BG8-BG9-Tax!BG27-BG13</f>
        <v>27.7185768561776</v>
      </c>
      <c r="BH14" s="13" t="n">
        <f aca="false">Operations!BH84-BH8-BH9-Tax!BH27-BH13</f>
        <v>27.7955823409144</v>
      </c>
      <c r="BI14" s="13" t="n">
        <f aca="false">Operations!BI84-BI8-BI9-Tax!BI27-BI13</f>
        <v>28.0166006428258</v>
      </c>
      <c r="BJ14" s="13" t="n">
        <f aca="false">Operations!BJ84-BJ8-BJ9-Tax!BJ27-BJ13</f>
        <v>15.8447369139334</v>
      </c>
      <c r="BK14" s="13" t="n">
        <f aca="false">Operations!BK84-BK8-BK9-Tax!BK27-BK13</f>
        <v>28.3624257880258</v>
      </c>
      <c r="BL14" s="13" t="n">
        <f aca="false">Operations!BL84-BL8-BL9-Tax!BL27-BL13</f>
        <v>28.2579297305268</v>
      </c>
      <c r="BM14" s="13" t="n">
        <f aca="false">Operations!BM84-BM8-BM9-Tax!BM27-BM13</f>
        <v>5.56895791100739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39.1531978119653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46.0825125474336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48.6493457224574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36.0807855454925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35.1671497469047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34.2074491090807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33.7168226114644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32.3676561260138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31.1535197306688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29.0184381233131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37.8441713697267</v>
      </c>
      <c r="P18" s="13" t="n">
        <f aca="false">Operations!P88+Operations!P89</f>
        <v>37.721553496701</v>
      </c>
      <c r="Q18" s="13" t="n">
        <f aca="false">Operations!Q88+Operations!Q89</f>
        <v>38.7137760113576</v>
      </c>
      <c r="R18" s="13" t="n">
        <f aca="false">Operations!R88+Operations!R89</f>
        <v>38.0651174742496</v>
      </c>
      <c r="S18" s="13" t="n">
        <f aca="false">Operations!S88+Operations!S89</f>
        <v>39.2024247487371</v>
      </c>
      <c r="T18" s="13" t="n">
        <f aca="false">Operations!T88+Operations!T89</f>
        <v>38.8128599558197</v>
      </c>
      <c r="U18" s="13" t="n">
        <f aca="false">Operations!U88+Operations!U89</f>
        <v>39.4590663818828</v>
      </c>
      <c r="V18" s="13" t="n">
        <f aca="false">Operations!V88+Operations!V89</f>
        <v>38.6472593707992</v>
      </c>
      <c r="W18" s="13" t="n">
        <f aca="false">Operations!W88+Operations!W89</f>
        <v>39.9848213953675</v>
      </c>
      <c r="X18" s="13" t="n">
        <f aca="false">Operations!X88+Operations!X89</f>
        <v>39.947148638543</v>
      </c>
      <c r="Y18" s="13" t="n">
        <f aca="false">Operations!Y88+Operations!Y89</f>
        <v>41.0061428770442</v>
      </c>
      <c r="Z18" s="13" t="n">
        <f aca="false">Operations!Z88+Operations!Z89</f>
        <v>40.3183695500722</v>
      </c>
      <c r="AA18" s="13" t="n">
        <f aca="false">Operations!AA88+Operations!AA89</f>
        <v>41.5340684291454</v>
      </c>
      <c r="AB18" s="13" t="n">
        <f aca="false">Operations!AB88+Operations!AB89</f>
        <v>41.1261154832341</v>
      </c>
      <c r="AC18" s="13" t="n">
        <f aca="false">Operations!AC88+Operations!AC89</f>
        <v>41.6584917069633</v>
      </c>
      <c r="AD18" s="13" t="n">
        <f aca="false">Operations!AD88+Operations!AD89</f>
        <v>40.2559801813169</v>
      </c>
      <c r="AE18" s="13" t="n">
        <f aca="false">Operations!AE88+Operations!AE89</f>
        <v>42.0574610386383</v>
      </c>
      <c r="AF18" s="13" t="n">
        <f aca="false">Operations!AF88+Operations!AF89</f>
        <v>42.3515233763904</v>
      </c>
      <c r="AG18" s="13" t="n">
        <f aca="false">Operations!AG88+Operations!AG89</f>
        <v>43.4826728123053</v>
      </c>
      <c r="AH18" s="13" t="n">
        <f aca="false">Operations!AH88+Operations!AH89</f>
        <v>42.7526431637962</v>
      </c>
      <c r="AI18" s="13" t="n">
        <f aca="false">Operations!AI88+Operations!AI89</f>
        <v>44.0530415819263</v>
      </c>
      <c r="AJ18" s="13" t="n">
        <f aca="false">Operations!AJ88+Operations!AJ89</f>
        <v>43.6252047939135</v>
      </c>
      <c r="AK18" s="13" t="n">
        <f aca="false">Operations!AK88+Operations!AK89</f>
        <v>44.3613561114493</v>
      </c>
      <c r="AL18" s="13" t="n">
        <f aca="false">Operations!AL88+Operations!AL89</f>
        <v>43.4324945400244</v>
      </c>
      <c r="AM18" s="13" t="n">
        <f aca="false">Operations!AM88+Operations!AM89</f>
        <v>44.9665060193528</v>
      </c>
      <c r="AN18" s="13" t="n">
        <f aca="false">Operations!AN88+Operations!AN89</f>
        <v>44.9490645464332</v>
      </c>
      <c r="AO18" s="13" t="n">
        <f aca="false">Operations!AO88+Operations!AO89</f>
        <v>46.1581860367072</v>
      </c>
      <c r="AP18" s="13" t="n">
        <f aca="false">Operations!AP88+Operations!AP89</f>
        <v>45.3825078466358</v>
      </c>
      <c r="AQ18" s="13" t="n">
        <f aca="false">Operations!AQ88+Operations!AQ89</f>
        <v>46.7744200892235</v>
      </c>
      <c r="AR18" s="13" t="n">
        <f aca="false">Operations!AR88+Operations!AR89</f>
        <v>46.3250826327762</v>
      </c>
      <c r="AS18" s="13" t="n">
        <f aca="false">Operations!AS88+Operations!AS89</f>
        <v>46.9285462965675</v>
      </c>
      <c r="AT18" s="13" t="n">
        <f aca="false">Operations!AT88+Operations!AT89</f>
        <v>45.332691751714</v>
      </c>
      <c r="AU18" s="13" t="n">
        <f aca="false">Operations!AU88+Operations!AU89</f>
        <v>47.3859696186786</v>
      </c>
      <c r="AV18" s="13" t="n">
        <f aca="false">Operations!AV88+Operations!AV89</f>
        <v>47.7553172058303</v>
      </c>
      <c r="AW18" s="13" t="n">
        <f aca="false">Operations!AW88+Operations!AW89</f>
        <v>49.0486957943364</v>
      </c>
      <c r="AX18" s="13" t="n">
        <f aca="false">Operations!AX88+Operations!AX89</f>
        <v>48.2237062976678</v>
      </c>
      <c r="AY18" s="13" t="n">
        <f aca="false">Operations!AY88+Operations!AY89</f>
        <v>49.7144935094476</v>
      </c>
      <c r="AZ18" s="13" t="n">
        <f aca="false">Operations!AZ88+Operations!AZ89</f>
        <v>49.2419076552215</v>
      </c>
      <c r="BA18" s="13" t="n">
        <f aca="false">Operations!BA88+Operations!BA89</f>
        <v>50.0830994271112</v>
      </c>
      <c r="BB18" s="13" t="n">
        <f aca="false">Operations!BB88+Operations!BB89</f>
        <v>49.0178412447673</v>
      </c>
      <c r="BC18" s="13" t="n">
        <f aca="false">Operations!BC88+Operations!BC89</f>
        <v>50.7811180089831</v>
      </c>
      <c r="BD18" s="13" t="n">
        <f aca="false">Operations!BD88+Operations!BD89</f>
        <v>50.7870778113947</v>
      </c>
      <c r="BE18" s="13" t="n">
        <f aca="false">Operations!BE88+Operations!BE89</f>
        <v>52.1715043184322</v>
      </c>
      <c r="BF18" s="13" t="n">
        <f aca="false">Operations!BF88+Operations!BF89</f>
        <v>51.2932487890968</v>
      </c>
      <c r="BG18" s="13" t="n">
        <f aca="false">Operations!BG88+Operations!BG89</f>
        <v>52.8908627094085</v>
      </c>
      <c r="BH18" s="13" t="n">
        <f aca="false">Operations!BH88+Operations!BH89</f>
        <v>52.3931392758677</v>
      </c>
      <c r="BI18" s="13" t="n">
        <f aca="false">Operations!BI88+Operations!BI89</f>
        <v>53.0796986244794</v>
      </c>
      <c r="BJ18" s="13" t="n">
        <f aca="false">Operations!BJ88+Operations!BJ89</f>
        <v>51.2581966474904</v>
      </c>
      <c r="BK18" s="13" t="n">
        <f aca="false">Operations!BK88+Operations!BK89</f>
        <v>53.6056331274875</v>
      </c>
      <c r="BL18" s="13" t="n">
        <f aca="false">Operations!BL88+Operations!BL89</f>
        <v>54.0624948826174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49.1327772266179</v>
      </c>
      <c r="Z20" s="13" t="n">
        <f aca="false">MAX(0,-Z12)</f>
        <v>45.6955395894602</v>
      </c>
      <c r="AA20" s="13" t="n">
        <f aca="false">MAX(0,-AA12)</f>
        <v>41.8417903450481</v>
      </c>
      <c r="AB20" s="13" t="n">
        <f aca="false">MAX(0,-AB12)</f>
        <v>37.7468622484221</v>
      </c>
      <c r="AC20" s="13" t="n">
        <f aca="false">MAX(0,-AC12)</f>
        <v>33.1979153312944</v>
      </c>
      <c r="AD20" s="13" t="n">
        <f aca="false">MAX(0,-AD12)</f>
        <v>32.1109175043578</v>
      </c>
      <c r="AE20" s="13" t="n">
        <f aca="false">MAX(0,-AE12)</f>
        <v>26.7315310110155</v>
      </c>
      <c r="AF20" s="13" t="n">
        <f aca="false">MAX(0,-AF12)</f>
        <v>21.0468829450813</v>
      </c>
      <c r="AG20" s="13" t="n">
        <f aca="false">MAX(0,-AG12)</f>
        <v>14.8931278018318</v>
      </c>
      <c r="AH20" s="13" t="n">
        <f aca="false">MAX(0,-AH12)</f>
        <v>8.30580791447903</v>
      </c>
      <c r="AI20" s="13" t="n">
        <f aca="false">MAX(0,-AI12)</f>
        <v>1.15809055061623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915.129384284685</v>
      </c>
      <c r="P21" s="13" t="n">
        <f aca="false">P16+P17+P18+P19+P20</f>
        <v>901.713241624433</v>
      </c>
      <c r="Q21" s="13" t="n">
        <f aca="false">Q16+Q17+Q18+Q19+Q20</f>
        <v>891.875889341215</v>
      </c>
      <c r="R21" s="13" t="n">
        <f aca="false">R16+R17+R18+R19+R20</f>
        <v>879.638414778579</v>
      </c>
      <c r="S21" s="13" t="n">
        <f aca="false">S16+S17+S18+S19+S20</f>
        <v>869.89628391185</v>
      </c>
      <c r="T21" s="13" t="n">
        <f aca="false">T16+T17+T18+T19+T20</f>
        <v>858.02885066163</v>
      </c>
      <c r="U21" s="13" t="n">
        <f aca="false">U16+U17+U18+U19+U20</f>
        <v>848.094941137592</v>
      </c>
      <c r="V21" s="13" t="n">
        <f aca="false">V16+V17+V18+V19+V20</f>
        <v>832.807219769629</v>
      </c>
      <c r="W21" s="13" t="n">
        <f aca="false">W16+W17+W18+W19+W20</f>
        <v>821.334737710055</v>
      </c>
      <c r="X21" s="13" t="n">
        <f aca="false">X16+X17+X18+X19+X20</f>
        <v>811.199792733958</v>
      </c>
      <c r="Y21" s="13" t="n">
        <f aca="false">Y16+Y17+Y18+Y19+Y20</f>
        <v>800.077099828286</v>
      </c>
      <c r="Z21" s="13" t="n">
        <f aca="false">Z16+Z17+Z18+Z19+Z20</f>
        <v>780.894024607184</v>
      </c>
      <c r="AA21" s="13" t="n">
        <f aca="false">AA16+AA17+AA18+AA19+AA20</f>
        <v>763.925447015655</v>
      </c>
      <c r="AB21" s="13" t="n">
        <f aca="false">AB16+AB17+AB18+AB19+AB20</f>
        <v>743.875628667096</v>
      </c>
      <c r="AC21" s="13" t="n">
        <f aca="false">AC16+AC17+AC18+AC19+AC20</f>
        <v>725.692160101775</v>
      </c>
      <c r="AD21" s="13" t="n">
        <f aca="false">AD16+AD17+AD18+AD19+AD20</f>
        <v>693.900359525282</v>
      </c>
      <c r="AE21" s="13" t="n">
        <f aca="false">AE16+AE17+AE18+AE19+AE20</f>
        <v>672.675087043727</v>
      </c>
      <c r="AF21" s="13" t="n">
        <f aca="false">AF16+AF17+AF18+AF19+AF20</f>
        <v>649.591069630776</v>
      </c>
      <c r="AG21" s="13" t="n">
        <f aca="false">AG16+AG17+AG18+AG19+AG20</f>
        <v>627.344106378879</v>
      </c>
      <c r="AH21" s="13" t="n">
        <f aca="false">AH16+AH17+AH18+AH19+AH20</f>
        <v>601.943859310621</v>
      </c>
      <c r="AI21" s="13" t="n">
        <f aca="false">AI16+AI17+AI18+AI19+AI20</f>
        <v>578.148672922598</v>
      </c>
      <c r="AJ21" s="13" t="n">
        <f aca="false">AJ16+AJ17+AJ18+AJ19+AJ20</f>
        <v>557.693932929668</v>
      </c>
      <c r="AK21" s="13" t="n">
        <f aca="false">AK16+AK17+AK18+AK19+AK20</f>
        <v>539.364522641837</v>
      </c>
      <c r="AL21" s="13" t="n">
        <f aca="false">AL16+AL17+AL18+AL19+AL20</f>
        <v>518.584614311852</v>
      </c>
      <c r="AM21" s="13" t="n">
        <f aca="false">AM16+AM17+AM18+AM19+AM20</f>
        <v>498.947620145821</v>
      </c>
      <c r="AN21" s="13" t="n">
        <f aca="false">AN16+AN17+AN18+AN19+AN20</f>
        <v>484.318227204187</v>
      </c>
      <c r="AO21" s="13" t="n">
        <f aca="false">AO16+AO17+AO18+AO19+AO20</f>
        <v>452.235598985394</v>
      </c>
      <c r="AP21" s="13" t="n">
        <f aca="false">AP16+AP17+AP18+AP19+AP20</f>
        <v>437.074078833864</v>
      </c>
      <c r="AQ21" s="13" t="n">
        <f aca="false">AQ16+AQ17+AQ18+AQ19+AQ20</f>
        <v>424.080149114993</v>
      </c>
      <c r="AR21" s="13" t="n">
        <f aca="false">AR16+AR17+AR18+AR19+AR20</f>
        <v>409.244969697087</v>
      </c>
      <c r="AS21" s="13" t="n">
        <f aca="false">AS16+AS17+AS18+AS19+AS20</f>
        <v>395.46259139942</v>
      </c>
      <c r="AT21" s="13" t="n">
        <f aca="false">AT16+AT17+AT18+AT19+AT20</f>
        <v>363.045671294699</v>
      </c>
      <c r="AU21" s="13" t="n">
        <f aca="false">AU16+AU17+AU18+AU19+AU20</f>
        <v>348.365218114718</v>
      </c>
      <c r="AV21" s="13" t="n">
        <f aca="false">AV16+AV17+AV18+AV19+AV20</f>
        <v>332.590475655847</v>
      </c>
      <c r="AW21" s="13" t="n">
        <f aca="false">AW16+AW17+AW18+AW19+AW20</f>
        <v>317.739764198331</v>
      </c>
      <c r="AX21" s="13" t="n">
        <f aca="false">AX16+AX17+AX18+AX19+AX20</f>
        <v>300.77068465564</v>
      </c>
      <c r="AY21" s="13" t="n">
        <f aca="false">AY16+AY17+AY18+AY19+AY20</f>
        <v>286.117381821398</v>
      </c>
      <c r="AZ21" s="13" t="n">
        <f aca="false">AZ16+AZ17+AZ18+AZ19+AZ20</f>
        <v>269.50070592115</v>
      </c>
      <c r="BA21" s="13" t="n">
        <f aca="false">BA16+BA17+BA18+BA19+BA20</f>
        <v>254.692776033626</v>
      </c>
      <c r="BB21" s="13" t="n">
        <f aca="false">BB16+BB17+BB18+BB19+BB20</f>
        <v>234.85709105344</v>
      </c>
      <c r="BC21" s="13" t="n">
        <f aca="false">BC16+BC17+BC18+BC19+BC20</f>
        <v>221.404209844053</v>
      </c>
      <c r="BD21" s="13" t="n">
        <f aca="false">BD16+BD17+BD18+BD19+BD20</f>
        <v>209.004989520878</v>
      </c>
      <c r="BE21" s="13" t="n">
        <f aca="false">BE16+BE17+BE18+BE19+BE20</f>
        <v>198.001020023039</v>
      </c>
      <c r="BF21" s="13" t="n">
        <f aca="false">BF16+BF17+BF18+BF19+BF20</f>
        <v>184.751336230443</v>
      </c>
      <c r="BG21" s="13" t="n">
        <f aca="false">BG16+BG17+BG18+BG19+BG20</f>
        <v>173.994675258859</v>
      </c>
      <c r="BH21" s="13" t="n">
        <f aca="false">BH16+BH17+BH18+BH19+BH20</f>
        <v>161.160017965354</v>
      </c>
      <c r="BI21" s="13" t="n">
        <f aca="false">BI16+BI17+BI18+BI19+BI20</f>
        <v>149.527174199536</v>
      </c>
      <c r="BJ21" s="13" t="n">
        <f aca="false">BJ16+BJ17+BJ18+BJ19+BJ20</f>
        <v>115.843364114961</v>
      </c>
      <c r="BK21" s="13" t="n">
        <f aca="false">BK16+BK17+BK18+BK19+BK20</f>
        <v>103.112661075987</v>
      </c>
      <c r="BL21" s="13" t="n">
        <f aca="false">BL16+BL17+BL18+BL19+BL20</f>
        <v>88.5094957425421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400.631992778431</v>
      </c>
      <c r="AB22" s="13" t="n">
        <f aca="false">IF(Time!AB20&lt;Time!$F$12,SUMIFS(Funding!$J$73:$BJ$73,Construction!$J$12:$BJ$12,"&lt;="&amp;Time!AB20),Debt!AB116)</f>
        <v>371.248585472699</v>
      </c>
      <c r="AC22" s="13" t="n">
        <f aca="false">IF(Time!AC20&lt;Time!$F$12,SUMIFS(Funding!$J$73:$BJ$73,Construction!$J$12:$BJ$12,"&lt;="&amp;Time!AC20),Debt!AC116)</f>
        <v>341.890099572377</v>
      </c>
      <c r="AD22" s="13" t="n">
        <f aca="false">IF(Time!AD20&lt;Time!$F$12,SUMIFS(Funding!$J$73:$BJ$73,Construction!$J$12:$BJ$12,"&lt;="&amp;Time!AD20),Debt!AD116)</f>
        <v>309.597296267222</v>
      </c>
      <c r="AE22" s="13" t="n">
        <f aca="false">IF(Time!AE20&lt;Time!$F$12,SUMIFS(Funding!$J$73:$BJ$73,Construction!$J$12:$BJ$12,"&lt;="&amp;Time!AE20),Debt!AE116)</f>
        <v>276.302541316491</v>
      </c>
      <c r="AF22" s="13" t="n">
        <f aca="false">IF(Time!AF20&lt;Time!$F$12,SUMIFS(Funding!$J$73:$BJ$73,Construction!$J$12:$BJ$12,"&lt;="&amp;Time!AF20),Debt!AF116)</f>
        <v>242.042300959486</v>
      </c>
      <c r="AG22" s="13" t="n">
        <f aca="false">IF(Time!AG20&lt;Time!$F$12,SUMIFS(Funding!$J$73:$BJ$73,Construction!$J$12:$BJ$12,"&lt;="&amp;Time!AG20),Debt!AG116)</f>
        <v>207.854482762267</v>
      </c>
      <c r="AH22" s="13" t="n">
        <f aca="false">IF(Time!AH20&lt;Time!$F$12,SUMIFS(Funding!$J$73:$BJ$73,Construction!$J$12:$BJ$12,"&lt;="&amp;Time!AH20),Debt!AH116)</f>
        <v>172.252053817942</v>
      </c>
      <c r="AI22" s="13" t="n">
        <f aca="false">IF(Time!AI20&lt;Time!$F$12,SUMIFS(Funding!$J$73:$BJ$73,Construction!$J$12:$BJ$12,"&lt;="&amp;Time!AI20),Debt!AI116)</f>
        <v>136.61937938796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199.722580803435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196.674755772088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192.714543660187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189.223591055058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184.975473395027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181.38480728538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176.480552408397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170.462984439774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165.427928704738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160.80340630008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155.38212537678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156.555648311036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156.90405470673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157.514988341082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156.892887519599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155.506892834027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153.290323509977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150.417415643729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146.149619619378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140.690683784214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132.823900100542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107.23313269803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82.7348307678065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52.9353465207792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31.9859062774236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22.8939685120963</v>
      </c>
      <c r="P24" s="13" t="n">
        <f aca="false">Operations!P90+Operations!P91+Operations!P92+Operations!P93+Operations!P94</f>
        <v>22.807009776242</v>
      </c>
      <c r="Q24" s="13" t="n">
        <f aca="false">Operations!Q90+Operations!Q91+Operations!Q92+Operations!Q93+Operations!Q94</f>
        <v>23.5093748858219</v>
      </c>
      <c r="R24" s="13" t="n">
        <f aca="false">Operations!R90+Operations!R91+Operations!R92+Operations!R93+Operations!R94</f>
        <v>23.0526584793352</v>
      </c>
      <c r="S24" s="13" t="n">
        <f aca="false">Operations!S90+Operations!S91+Operations!S92+Operations!S93+Operations!S94</f>
        <v>23.8976367597415</v>
      </c>
      <c r="T24" s="13" t="n">
        <f aca="false">Operations!T90+Operations!T91+Operations!T92+Operations!T93+Operations!T94</f>
        <v>23.7006117041125</v>
      </c>
      <c r="U24" s="13" t="n">
        <f aca="false">Operations!U90+Operations!U91+Operations!U92+Operations!U93+Operations!U94</f>
        <v>24.1311028379216</v>
      </c>
      <c r="V24" s="13" t="n">
        <f aca="false">Operations!V90+Operations!V91+Operations!V92+Operations!V93+Operations!V94</f>
        <v>23.4326063027563</v>
      </c>
      <c r="W24" s="13" t="n">
        <f aca="false">Operations!W90+Operations!W91+Operations!W92+Operations!W93+Operations!W94</f>
        <v>24.4729223347627</v>
      </c>
      <c r="X24" s="13" t="n">
        <f aca="false">Operations!X90+Operations!X91+Operations!X92+Operations!X93+Operations!X94</f>
        <v>24.6293188642395</v>
      </c>
      <c r="Y24" s="13" t="n">
        <f aca="false">Operations!Y90+Operations!Y91+Operations!Y92+Operations!Y93+Operations!Y94</f>
        <v>25.3882183935393</v>
      </c>
      <c r="Z24" s="13" t="n">
        <f aca="false">Operations!Z90+Operations!Z91+Operations!Z92+Operations!Z93+Operations!Z94</f>
        <v>24.8943642980081</v>
      </c>
      <c r="AA24" s="13" t="n">
        <f aca="false">Operations!AA90+Operations!AA91+Operations!AA92+Operations!AA93+Operations!AA94</f>
        <v>25.8074902198986</v>
      </c>
      <c r="AB24" s="13" t="n">
        <f aca="false">Operations!AB90+Operations!AB91+Operations!AB92+Operations!AB93+Operations!AB94</f>
        <v>25.5945068012091</v>
      </c>
      <c r="AC24" s="13" t="n">
        <f aca="false">Operations!AC90+Operations!AC91+Operations!AC92+Operations!AC93+Operations!AC94</f>
        <v>25.9019575951951</v>
      </c>
      <c r="AD24" s="13" t="n">
        <f aca="false">Operations!AD90+Operations!AD91+Operations!AD92+Operations!AD93+Operations!AD94</f>
        <v>24.8418703815628</v>
      </c>
      <c r="AE24" s="13" t="n">
        <f aca="false">Operations!AE90+Operations!AE91+Operations!AE92+Operations!AE93+Operations!AE94</f>
        <v>26.1056080976437</v>
      </c>
      <c r="AF24" s="13" t="n">
        <f aca="false">Operations!AF90+Operations!AF91+Operations!AF92+Operations!AF93+Operations!AF94</f>
        <v>26.5976047425526</v>
      </c>
      <c r="AG24" s="13" t="n">
        <f aca="false">Operations!AG90+Operations!AG91+Operations!AG92+Operations!AG93+Operations!AG94</f>
        <v>27.417576920989</v>
      </c>
      <c r="AH24" s="13" t="n">
        <f aca="false">Operations!AH90+Operations!AH91+Operations!AH92+Operations!AH93+Operations!AH94</f>
        <v>26.8835792668303</v>
      </c>
      <c r="AI24" s="13" t="n">
        <f aca="false">Operations!AI90+Operations!AI91+Operations!AI92+Operations!AI93+Operations!AI94</f>
        <v>27.8703302019212</v>
      </c>
      <c r="AJ24" s="13" t="n">
        <f aca="false">Operations!AJ90+Operations!AJ91+Operations!AJ92+Operations!AJ93+Operations!AJ94</f>
        <v>27.6400976826966</v>
      </c>
      <c r="AK24" s="13" t="n">
        <f aca="false">Operations!AK90+Operations!AK91+Operations!AK92+Operations!AK93+Operations!AK94</f>
        <v>28.1419892975006</v>
      </c>
      <c r="AL24" s="13" t="n">
        <f aca="false">Operations!AL90+Operations!AL91+Operations!AL92+Operations!AL93+Operations!AL94</f>
        <v>27.3252253099406</v>
      </c>
      <c r="AM24" s="13" t="n">
        <f aca="false">Operations!AM90+Operations!AM91+Operations!AM92+Operations!AM93+Operations!AM94</f>
        <v>28.5403807088727</v>
      </c>
      <c r="AN24" s="13" t="n">
        <f aca="false">Operations!AN90+Operations!AN91+Operations!AN92+Operations!AN93+Operations!AN94</f>
        <v>28.7235285472788</v>
      </c>
      <c r="AO24" s="13" t="n">
        <f aca="false">Operations!AO90+Operations!AO91+Operations!AO92+Operations!AO93+Operations!AO94</f>
        <v>29.6094737668993</v>
      </c>
      <c r="AP24" s="13" t="n">
        <f aca="false">Operations!AP90+Operations!AP91+Operations!AP92+Operations!AP93+Operations!AP94</f>
        <v>29.0320853935903</v>
      </c>
      <c r="AQ24" s="13" t="n">
        <f aca="false">Operations!AQ90+Operations!AQ91+Operations!AQ92+Operations!AQ93+Operations!AQ94</f>
        <v>30.0983762505057</v>
      </c>
      <c r="AR24" s="13" t="n">
        <f aca="false">Operations!AR90+Operations!AR91+Operations!AR92+Operations!AR93+Operations!AR94</f>
        <v>29.8495004409018</v>
      </c>
      <c r="AS24" s="13" t="n">
        <f aca="false">Operations!AS90+Operations!AS91+Operations!AS92+Operations!AS93+Operations!AS94</f>
        <v>30.2073549751439</v>
      </c>
      <c r="AT24" s="13" t="n">
        <f aca="false">Operations!AT90+Operations!AT91+Operations!AT92+Operations!AT93+Operations!AT94</f>
        <v>28.9679760696822</v>
      </c>
      <c r="AU24" s="13" t="n">
        <f aca="false">Operations!AU90+Operations!AU91+Operations!AU92+Operations!AU93+Operations!AU94</f>
        <v>30.4440494421253</v>
      </c>
      <c r="AV24" s="13" t="n">
        <f aca="false">Operations!AV90+Operations!AV91+Operations!AV92+Operations!AV93+Operations!AV94</f>
        <v>31.0196789815173</v>
      </c>
      <c r="AW24" s="13" t="n">
        <f aca="false">Operations!AW90+Operations!AW91+Operations!AW92+Operations!AW93+Operations!AW94</f>
        <v>31.9768884935901</v>
      </c>
      <c r="AX24" s="13" t="n">
        <f aca="false">Operations!AX90+Operations!AX91+Operations!AX92+Operations!AX93+Operations!AX94</f>
        <v>31.3526017556778</v>
      </c>
      <c r="AY24" s="13" t="n">
        <f aca="false">Operations!AY90+Operations!AY91+Operations!AY92+Operations!AY93+Operations!AY94</f>
        <v>32.5048196756107</v>
      </c>
      <c r="AZ24" s="13" t="n">
        <f aca="false">Operations!AZ90+Operations!AZ91+Operations!AZ92+Operations!AZ93+Operations!AZ94</f>
        <v>32.2357947247516</v>
      </c>
      <c r="BA24" s="13" t="n">
        <f aca="false">Operations!BA90+Operations!BA91+Operations!BA92+Operations!BA93+Operations!BA94</f>
        <v>32.8209095817542</v>
      </c>
      <c r="BB24" s="13" t="n">
        <f aca="false">Operations!BB90+Operations!BB91+Operations!BB92+Operations!BB93+Operations!BB94</f>
        <v>31.8659924142135</v>
      </c>
      <c r="BC24" s="13" t="n">
        <f aca="false">Operations!BC90+Operations!BC91+Operations!BC92+Operations!BC93+Operations!BC94</f>
        <v>33.2852373957911</v>
      </c>
      <c r="BD24" s="13" t="n">
        <f aca="false">Operations!BD90+Operations!BD91+Operations!BD92+Operations!BD93+Operations!BD94</f>
        <v>33.4996456816102</v>
      </c>
      <c r="BE24" s="13" t="n">
        <f aca="false">Operations!BE90+Operations!BE91+Operations!BE92+Operations!BE93+Operations!BE94</f>
        <v>34.5338325479048</v>
      </c>
      <c r="BF24" s="13" t="n">
        <f aca="false">Operations!BF90+Operations!BF91+Operations!BF92+Operations!BF93+Operations!BF94</f>
        <v>33.8588586096885</v>
      </c>
      <c r="BG24" s="13" t="n">
        <f aca="false">Operations!BG90+Operations!BG91+Operations!BG92+Operations!BG93+Operations!BG94</f>
        <v>35.1039003897637</v>
      </c>
      <c r="BH24" s="13" t="n">
        <f aca="false">Operations!BH90+Operations!BH91+Operations!BH92+Operations!BH93+Operations!BH94</f>
        <v>34.8130999331285</v>
      </c>
      <c r="BI24" s="13" t="n">
        <f aca="false">Operations!BI90+Operations!BI91+Operations!BI92+Operations!BI93+Operations!BI94</f>
        <v>35.229628384162</v>
      </c>
      <c r="BJ24" s="13" t="n">
        <f aca="false">Operations!BJ90+Operations!BJ91+Operations!BJ92+Operations!BJ93+Operations!BJ94</f>
        <v>33.7808439003921</v>
      </c>
      <c r="BK24" s="13" t="n">
        <f aca="false">Operations!BK90+Operations!BK91+Operations!BK92+Operations!BK93+Operations!BK94</f>
        <v>35.5047600771947</v>
      </c>
      <c r="BL24" s="13" t="n">
        <f aca="false">Operations!BL90+Operations!BL91+Operations!BL92+Operations!BL93+Operations!BL94</f>
        <v>36.17809834567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6.46144284006855</v>
      </c>
      <c r="AK25" s="13" t="n">
        <f aca="false">MAX(0,AK12)</f>
        <v>14.6951770918032</v>
      </c>
      <c r="AL25" s="13" t="n">
        <f aca="false">MAX(0,AL12)</f>
        <v>22.6295849456068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9.75127464571968</v>
      </c>
      <c r="P27" s="18" t="n">
        <f aca="false">Waterfall!P43</f>
        <v>17.0506367858976</v>
      </c>
      <c r="Q27" s="18" t="n">
        <f aca="false">Waterfall!Q43</f>
        <v>25.7040107540333</v>
      </c>
      <c r="R27" s="18" t="n">
        <f aca="false">Waterfall!R43</f>
        <v>34.8240260552148</v>
      </c>
      <c r="S27" s="18" t="n">
        <f aca="false">Waterfall!S43</f>
        <v>45.1676417955094</v>
      </c>
      <c r="T27" s="18" t="n">
        <f aca="false">Waterfall!T43</f>
        <v>55.9873468187114</v>
      </c>
      <c r="U27" s="18" t="n">
        <f aca="false">Waterfall!U43</f>
        <v>68.0373771801292</v>
      </c>
      <c r="V27" s="18" t="n">
        <f aca="false">Waterfall!V43</f>
        <v>78.4059153960608</v>
      </c>
      <c r="W27" s="18" t="n">
        <f aca="false">Waterfall!W43</f>
        <v>92.5772168822049</v>
      </c>
      <c r="X27" s="18" t="n">
        <f aca="false">Waterfall!X43</f>
        <v>107.413806647402</v>
      </c>
      <c r="Y27" s="18" t="n">
        <f aca="false">Waterfall!Y43</f>
        <v>120.25906684486</v>
      </c>
      <c r="Z27" s="18" t="n">
        <f aca="false">Waterfall!Z43</f>
        <v>127.926255300892</v>
      </c>
      <c r="AA27" s="18" t="n">
        <f aca="false">Waterfall!AA43</f>
        <v>136.563562189478</v>
      </c>
      <c r="AB27" s="18" t="n">
        <f aca="false">Waterfall!AB43</f>
        <v>145.761728169646</v>
      </c>
      <c r="AC27" s="18" t="n">
        <f aca="false">Waterfall!AC43</f>
        <v>156.01836107631</v>
      </c>
      <c r="AD27" s="18" t="n">
        <f aca="false">Waterfall!AD43</f>
        <v>158.201551840087</v>
      </c>
      <c r="AE27" s="18" t="n">
        <f aca="false">Waterfall!AE43</f>
        <v>170.393291278755</v>
      </c>
      <c r="AF27" s="18" t="n">
        <f aca="false">Waterfall!AF43</f>
        <v>183.294086901948</v>
      </c>
      <c r="AG27" s="18" t="n">
        <f aca="false">Waterfall!AG43</f>
        <v>197.287877535083</v>
      </c>
      <c r="AH27" s="18" t="n">
        <f aca="false">Waterfall!AH43</f>
        <v>212.291853089659</v>
      </c>
      <c r="AI27" s="18" t="n">
        <f aca="false">Waterfall!AI43</f>
        <v>228.601526031692</v>
      </c>
      <c r="AJ27" s="18" t="n">
        <f aca="false">Waterfall!AJ43</f>
        <v>246.01004403541</v>
      </c>
      <c r="AK27" s="18" t="n">
        <f aca="false">Waterfall!AK43</f>
        <v>264.850402500508</v>
      </c>
      <c r="AL27" s="18" t="n">
        <f aca="false">Waterfall!AL43</f>
        <v>282.991538818478</v>
      </c>
      <c r="AM27" s="18" t="n">
        <f aca="false">Waterfall!AM43</f>
        <v>304.59513495036</v>
      </c>
      <c r="AN27" s="18" t="n">
        <f aca="false">Waterfall!AN43</f>
        <v>327.867934336612</v>
      </c>
      <c r="AO27" s="18" t="n">
        <f aca="false">Waterfall!AO43</f>
        <v>344.289897676384</v>
      </c>
      <c r="AP27" s="18" t="n">
        <f aca="false">Waterfall!AP43</f>
        <v>328.701742035346</v>
      </c>
      <c r="AQ27" s="18" t="n">
        <f aca="false">Waterfall!AQ43</f>
        <v>313.637497596743</v>
      </c>
      <c r="AR27" s="18" t="n">
        <f aca="false">Waterfall!AR43</f>
        <v>298.047170125624</v>
      </c>
      <c r="AS27" s="18" t="n">
        <f aca="false">Waterfall!AS43</f>
        <v>282.902913430897</v>
      </c>
      <c r="AT27" s="18" t="n">
        <f aca="false">Waterfall!AT43</f>
        <v>250.721348368822</v>
      </c>
      <c r="AU27" s="18" t="n">
        <f aca="false">Waterfall!AU43</f>
        <v>233.560797953581</v>
      </c>
      <c r="AV27" s="18" t="n">
        <f aca="false">Waterfall!AV43</f>
        <v>216.206402092502</v>
      </c>
      <c r="AW27" s="18" t="n">
        <f aca="false">Waterfall!AW43</f>
        <v>199.394457260096</v>
      </c>
      <c r="AX27" s="18" t="n">
        <f aca="false">Waterfall!AX43</f>
        <v>182.045640592501</v>
      </c>
      <c r="AY27" s="18" t="n">
        <f aca="false">Waterfall!AY43</f>
        <v>165.236095975509</v>
      </c>
      <c r="AZ27" s="18" t="n">
        <f aca="false">Waterfall!AZ43</f>
        <v>147.884421163303</v>
      </c>
      <c r="BA27" s="18" t="n">
        <f aca="false">Waterfall!BA43</f>
        <v>131.48735255596</v>
      </c>
      <c r="BB27" s="18" t="n">
        <f aca="false">Waterfall!BB43</f>
        <v>111.602560880498</v>
      </c>
      <c r="BC27" s="18" t="n">
        <f aca="false">Waterfall!BC43</f>
        <v>97.6507898971148</v>
      </c>
      <c r="BD27" s="18" t="n">
        <f aca="false">Waterfall!BD43</f>
        <v>89.8062746365008</v>
      </c>
      <c r="BE27" s="18" t="n">
        <f aca="false">Waterfall!BE43</f>
        <v>82.5372316207463</v>
      </c>
      <c r="BF27" s="18" t="n">
        <f aca="false">Waterfall!BF43</f>
        <v>74.7316351147461</v>
      </c>
      <c r="BG27" s="18" t="n">
        <f aca="false">Waterfall!BG43</f>
        <v>67.4990457114663</v>
      </c>
      <c r="BH27" s="18" t="n">
        <f aca="false">Waterfall!BH43</f>
        <v>59.7243022229761</v>
      </c>
      <c r="BI27" s="18" t="n">
        <f aca="false">Waterfall!BI43</f>
        <v>52.4440433545047</v>
      </c>
      <c r="BJ27" s="18" t="n">
        <f aca="false">Waterfall!BJ43</f>
        <v>24.9781311020792</v>
      </c>
      <c r="BK27" s="18" t="n">
        <f aca="false">Waterfall!BK43</f>
        <v>15.2926252346819</v>
      </c>
      <c r="BL27" s="18" t="n">
        <f aca="false">Waterfall!BL43</f>
        <v>4.78523498114094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915.129384284685</v>
      </c>
      <c r="P28" s="13" t="n">
        <f aca="false">P22+P23+P24+P25+P26+P27</f>
        <v>901.713241624433</v>
      </c>
      <c r="Q28" s="13" t="n">
        <f aca="false">Q22+Q23+Q24+Q25+Q26+Q27</f>
        <v>891.875889341215</v>
      </c>
      <c r="R28" s="13" t="n">
        <f aca="false">R22+R23+R24+R25+R26+R27</f>
        <v>879.638414778578</v>
      </c>
      <c r="S28" s="13" t="n">
        <f aca="false">S22+S23+S24+S25+S26+S27</f>
        <v>869.89628391185</v>
      </c>
      <c r="T28" s="13" t="n">
        <f aca="false">T22+T23+T24+T25+T26+T27</f>
        <v>858.02885066163</v>
      </c>
      <c r="U28" s="13" t="n">
        <f aca="false">U22+U23+U24+U25+U26+U27</f>
        <v>848.094941137592</v>
      </c>
      <c r="V28" s="13" t="n">
        <f aca="false">V22+V23+V24+V25+V26+V27</f>
        <v>832.807219769629</v>
      </c>
      <c r="W28" s="13" t="n">
        <f aca="false">W22+W23+W24+W25+W26+W27</f>
        <v>821.334737710055</v>
      </c>
      <c r="X28" s="13" t="n">
        <f aca="false">X22+X23+X24+X25+X26+X27</f>
        <v>811.199792733958</v>
      </c>
      <c r="Y28" s="13" t="n">
        <f aca="false">Y22+Y23+Y24+Y25+Y26+Y27</f>
        <v>800.077099828286</v>
      </c>
      <c r="Z28" s="13" t="n">
        <f aca="false">Z22+Z23+Z24+Z25+Z26+Z27</f>
        <v>780.894024607184</v>
      </c>
      <c r="AA28" s="13" t="n">
        <f aca="false">AA22+AA23+AA24+AA25+AA26+AA27</f>
        <v>763.925447015655</v>
      </c>
      <c r="AB28" s="13" t="n">
        <f aca="false">AB22+AB23+AB24+AB25+AB26+AB27</f>
        <v>743.875628667096</v>
      </c>
      <c r="AC28" s="13" t="n">
        <f aca="false">AC22+AC23+AC24+AC25+AC26+AC27</f>
        <v>725.692160101775</v>
      </c>
      <c r="AD28" s="13" t="n">
        <f aca="false">AD22+AD23+AD24+AD25+AD26+AD27</f>
        <v>693.900359525282</v>
      </c>
      <c r="AE28" s="13" t="n">
        <f aca="false">AE22+AE23+AE24+AE25+AE26+AE27</f>
        <v>672.675087043727</v>
      </c>
      <c r="AF28" s="13" t="n">
        <f aca="false">AF22+AF23+AF24+AF25+AF26+AF27</f>
        <v>649.591069630776</v>
      </c>
      <c r="AG28" s="13" t="n">
        <f aca="false">AG22+AG23+AG24+AG25+AG26+AG27</f>
        <v>627.344106378879</v>
      </c>
      <c r="AH28" s="13" t="n">
        <f aca="false">AH22+AH23+AH24+AH25+AH26+AH27</f>
        <v>601.943859310621</v>
      </c>
      <c r="AI28" s="13" t="n">
        <f aca="false">AI22+AI23+AI24+AI25+AI26+AI27</f>
        <v>578.148672922598</v>
      </c>
      <c r="AJ28" s="13" t="n">
        <f aca="false">AJ22+AJ23+AJ24+AJ25+AJ26+AJ27</f>
        <v>557.693932929667</v>
      </c>
      <c r="AK28" s="13" t="n">
        <f aca="false">AK22+AK23+AK24+AK25+AK26+AK27</f>
        <v>539.364522641836</v>
      </c>
      <c r="AL28" s="13" t="n">
        <f aca="false">AL22+AL23+AL24+AL25+AL26+AL27</f>
        <v>518.584614311852</v>
      </c>
      <c r="AM28" s="13" t="n">
        <f aca="false">AM22+AM23+AM24+AM25+AM26+AM27</f>
        <v>498.947620145821</v>
      </c>
      <c r="AN28" s="13" t="n">
        <f aca="false">AN22+AN23+AN24+AN25+AN26+AN27</f>
        <v>484.318227204187</v>
      </c>
      <c r="AO28" s="13" t="n">
        <f aca="false">AO22+AO23+AO24+AO25+AO26+AO27</f>
        <v>452.235598985394</v>
      </c>
      <c r="AP28" s="13" t="n">
        <f aca="false">AP22+AP23+AP24+AP25+AP26+AP27</f>
        <v>437.074078833864</v>
      </c>
      <c r="AQ28" s="13" t="n">
        <f aca="false">AQ22+AQ23+AQ24+AQ25+AQ26+AQ27</f>
        <v>424.080149114993</v>
      </c>
      <c r="AR28" s="13" t="n">
        <f aca="false">AR22+AR23+AR24+AR25+AR26+AR27</f>
        <v>409.244969697087</v>
      </c>
      <c r="AS28" s="13" t="n">
        <f aca="false">AS22+AS23+AS24+AS25+AS26+AS27</f>
        <v>395.462591399419</v>
      </c>
      <c r="AT28" s="13" t="n">
        <f aca="false">AT22+AT23+AT24+AT25+AT26+AT27</f>
        <v>363.045671294699</v>
      </c>
      <c r="AU28" s="13" t="n">
        <f aca="false">AU22+AU23+AU24+AU25+AU26+AU27</f>
        <v>348.365218114718</v>
      </c>
      <c r="AV28" s="13" t="n">
        <f aca="false">AV22+AV23+AV24+AV25+AV26+AV27</f>
        <v>332.590475655847</v>
      </c>
      <c r="AW28" s="13" t="n">
        <f aca="false">AW22+AW23+AW24+AW25+AW26+AW27</f>
        <v>317.739764198331</v>
      </c>
      <c r="AX28" s="13" t="n">
        <f aca="false">AX22+AX23+AX24+AX25+AX26+AX27</f>
        <v>300.77068465564</v>
      </c>
      <c r="AY28" s="13" t="n">
        <f aca="false">AY22+AY23+AY24+AY25+AY26+AY27</f>
        <v>286.117381821398</v>
      </c>
      <c r="AZ28" s="13" t="n">
        <f aca="false">AZ22+AZ23+AZ24+AZ25+AZ26+AZ27</f>
        <v>269.500705921149</v>
      </c>
      <c r="BA28" s="13" t="n">
        <f aca="false">BA22+BA23+BA24+BA25+BA26+BA27</f>
        <v>254.692776033626</v>
      </c>
      <c r="BB28" s="13" t="n">
        <f aca="false">BB22+BB23+BB24+BB25+BB26+BB27</f>
        <v>234.85709105344</v>
      </c>
      <c r="BC28" s="13" t="n">
        <f aca="false">BC22+BC23+BC24+BC25+BC26+BC27</f>
        <v>221.404209844053</v>
      </c>
      <c r="BD28" s="13" t="n">
        <f aca="false">BD22+BD23+BD24+BD25+BD26+BD27</f>
        <v>209.004989520878</v>
      </c>
      <c r="BE28" s="13" t="n">
        <f aca="false">BE22+BE23+BE24+BE25+BE26+BE27</f>
        <v>198.001020023039</v>
      </c>
      <c r="BF28" s="13" t="n">
        <f aca="false">BF22+BF23+BF24+BF25+BF26+BF27</f>
        <v>184.751336230443</v>
      </c>
      <c r="BG28" s="13" t="n">
        <f aca="false">BG22+BG23+BG24+BG25+BG26+BG27</f>
        <v>173.994675258859</v>
      </c>
      <c r="BH28" s="13" t="n">
        <f aca="false">BH22+BH23+BH24+BH25+BH26+BH27</f>
        <v>161.160017965354</v>
      </c>
      <c r="BI28" s="13" t="n">
        <f aca="false">BI22+BI23+BI24+BI25+BI26+BI27</f>
        <v>149.527174199536</v>
      </c>
      <c r="BJ28" s="13" t="n">
        <f aca="false">BJ22+BJ23+BJ24+BJ25+BJ26+BJ27</f>
        <v>115.843364114961</v>
      </c>
      <c r="BK28" s="13" t="n">
        <f aca="false">BK22+BK23+BK24+BK25+BK26+BK27</f>
        <v>103.112661075987</v>
      </c>
      <c r="BL28" s="13" t="n">
        <f aca="false">BL22+BL23+BL24+BL25+BL26+BL27</f>
        <v>88.509495742542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0.0352637583854917</v>
      </c>
      <c r="AC7" s="16" t="n">
        <f aca="false">IF(Debt!AC115&gt;Inputs!$F$253,Debt!AC112/Debt!AC115,0)</f>
        <v>0.0347502819579135</v>
      </c>
      <c r="AD7" s="16" t="n">
        <f aca="false">IF(Debt!AD115&gt;Inputs!$F$253,Debt!AD112/Debt!AD115,0)</f>
        <v>0.0347175330510361</v>
      </c>
      <c r="AE7" s="16" t="n">
        <f aca="false">IF(Debt!AE115&gt;Inputs!$F$253,Debt!AE112/Debt!AE115,0)</f>
        <v>0.0339876087974548</v>
      </c>
      <c r="AF7" s="16" t="n">
        <f aca="false">IF(Debt!AF115&gt;Inputs!$F$253,Debt!AF112/Debt!AF115,0)</f>
        <v>0.0338716566455239</v>
      </c>
      <c r="AG7" s="16" t="n">
        <f aca="false">IF(Debt!AG115&gt;Inputs!$F$253,Debt!AG112/Debt!AG115,0)</f>
        <v>0.0337264359253772</v>
      </c>
      <c r="AH7" s="16" t="n">
        <f aca="false">IF(Debt!AH115&gt;Inputs!$F$253,Debt!AH112/Debt!AH115,0)</f>
        <v>0.0331918964358275</v>
      </c>
      <c r="AI7" s="16" t="n">
        <f aca="false">IF(Debt!AI115&gt;Inputs!$F$253,Debt!AI112/Debt!AI115,0)</f>
        <v>0.0316750763975839</v>
      </c>
      <c r="AJ7" s="16" t="n">
        <f aca="false">IF(Debt!AJ115&gt;Inputs!$F$253,Debt!AJ112/Debt!AJ115,0)</f>
        <v>0.0301432613432531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0.0352637583854917</v>
      </c>
      <c r="AC10" s="16" t="n">
        <f aca="false">IF(AC7&gt;0,AC7,$F$9)</f>
        <v>0.0347502819579135</v>
      </c>
      <c r="AD10" s="16" t="n">
        <f aca="false">IF(AD7&gt;0,AD7,$F$9)</f>
        <v>0.0347175330510361</v>
      </c>
      <c r="AE10" s="16" t="n">
        <f aca="false">IF(AE7&gt;0,AE7,$F$9)</f>
        <v>0.0339876087974548</v>
      </c>
      <c r="AF10" s="16" t="n">
        <f aca="false">IF(AF7&gt;0,AF7,$F$9)</f>
        <v>0.0338716566455239</v>
      </c>
      <c r="AG10" s="16" t="n">
        <f aca="false">IF(AG7&gt;0,AG7,$F$9)</f>
        <v>0.0337264359253772</v>
      </c>
      <c r="AH10" s="16" t="n">
        <f aca="false">IF(AH7&gt;0,AH7,$F$9)</f>
        <v>0.0331918964358275</v>
      </c>
      <c r="AI10" s="16" t="n">
        <f aca="false">IF(AI7&gt;0,AI7,$F$9)</f>
        <v>0.0316750763975839</v>
      </c>
      <c r="AJ10" s="16" t="n">
        <f aca="false">IF(AJ7&gt;0,AJ7,$F$9)</f>
        <v>0.0301432613432531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734.784044294555</v>
      </c>
      <c r="K11" s="13" t="n">
        <f aca="false">IF(Time!K20&lt;=$F$8,(Waterfall!K7+L11)/(1+K10),0)</f>
        <v>754.631983494287</v>
      </c>
      <c r="L11" s="13" t="n">
        <f aca="false">IF(Time!L20&lt;=$F$8,(Waterfall!L7+M11)/(1+L10),0)</f>
        <v>775.016053947188</v>
      </c>
      <c r="M11" s="13" t="n">
        <f aca="false">IF(Time!M20&lt;=$F$8,(Waterfall!M7+N11)/(1+M10),0)</f>
        <v>795.95073759608</v>
      </c>
      <c r="N11" s="13" t="n">
        <f aca="false">IF(Time!N20&lt;=$F$8,(Waterfall!N7+O11)/(1+N10),0)</f>
        <v>817.450907569091</v>
      </c>
      <c r="O11" s="13" t="n">
        <f aca="false">IF(Time!O20&lt;=$F$8,(Waterfall!O7+P11)/(1+O10),0)</f>
        <v>839.531838746324</v>
      </c>
      <c r="P11" s="13" t="n">
        <f aca="false">IF(Time!P20&lt;=$F$8,(Waterfall!P7+Q11)/(1+P10),0)</f>
        <v>860.30191623709</v>
      </c>
      <c r="Q11" s="13" t="n">
        <f aca="false">IF(Time!Q20&lt;=$F$8,(Waterfall!Q7+R11)/(1+Q10),0)</f>
        <v>839.659058400844</v>
      </c>
      <c r="R11" s="13" t="n">
        <f aca="false">IF(Time!R20&lt;=$F$8,(Waterfall!R7+S11)/(1+R10),0)</f>
        <v>818.136469569626</v>
      </c>
      <c r="S11" s="13" t="n">
        <f aca="false">IF(Time!S20&lt;=$F$8,(Waterfall!S7+T11)/(1+S10),0)</f>
        <v>795.552313631818</v>
      </c>
      <c r="T11" s="13" t="n">
        <f aca="false">IF(Time!T20&lt;=$F$8,(Waterfall!T7+U11)/(1+T10),0)</f>
        <v>772.299819948415</v>
      </c>
      <c r="U11" s="13" t="n">
        <f aca="false">IF(Time!U20&lt;=$F$8,(Waterfall!U7+V11)/(1+U10),0)</f>
        <v>747.98087715543</v>
      </c>
      <c r="V11" s="13" t="n">
        <f aca="false">IF(Time!V20&lt;=$F$8,(Waterfall!V7+W11)/(1+V10),0)</f>
        <v>722.881699424885</v>
      </c>
      <c r="W11" s="13" t="n">
        <f aca="false">IF(Time!W20&lt;=$F$8,(Waterfall!W7+X11)/(1+W10),0)</f>
        <v>696.129839953736</v>
      </c>
      <c r="X11" s="13" t="n">
        <f aca="false">IF(Time!X20&lt;=$F$8,(Waterfall!X7+Y11)/(1+X10),0)</f>
        <v>668.557116572389</v>
      </c>
      <c r="Y11" s="13" t="n">
        <f aca="false">IF(Time!Y20&lt;=$F$8,(Waterfall!Y7+Z11)/(1+Y10),0)</f>
        <v>641.781945896183</v>
      </c>
      <c r="Z11" s="13" t="n">
        <f aca="false">IF(Time!Z20&lt;=$F$8,(Waterfall!Z7+AA11)/(1+Z10),0)</f>
        <v>615.010417206526</v>
      </c>
      <c r="AA11" s="13" t="n">
        <f aca="false">IF(Time!AA20&lt;=$F$8,(Waterfall!AA7+AB11)/(1+AA10),0)</f>
        <v>587.129688621941</v>
      </c>
      <c r="AB11" s="13" t="n">
        <f aca="false">IF(Time!AB20&lt;=$F$8,(Waterfall!AB7+AC11)/(1+AB10),0)</f>
        <v>558.432076010363</v>
      </c>
      <c r="AC11" s="13" t="n">
        <f aca="false">IF(Time!AC20&lt;=$F$8,(Waterfall!AC7+AD11)/(1+AC10),0)</f>
        <v>528.250133575783</v>
      </c>
      <c r="AD11" s="13" t="n">
        <f aca="false">IF(Time!AD20&lt;=$F$8,(Waterfall!AD7+AE11)/(1+AD10),0)</f>
        <v>496.931815165082</v>
      </c>
      <c r="AE11" s="13" t="n">
        <f aca="false">IF(Time!AE20&lt;=$F$8,(Waterfall!AE7+AF11)/(1+AE10),0)</f>
        <v>462.588224315146</v>
      </c>
      <c r="AF11" s="13" t="n">
        <f aca="false">IF(Time!AF20&lt;=$F$8,(Waterfall!AF7+AG11)/(1+AF10),0)</f>
        <v>426.629746834964</v>
      </c>
      <c r="AG11" s="13" t="n">
        <f aca="false">IF(Time!AG20&lt;=$F$8,(Waterfall!AG7+AH11)/(1+AG10),0)</f>
        <v>389.252608231689</v>
      </c>
      <c r="AH11" s="13" t="n">
        <f aca="false">IF(Time!AH20&lt;=$F$8,(Waterfall!AH7+AI11)/(1+AH10),0)</f>
        <v>350.921371471992</v>
      </c>
      <c r="AI11" s="13" t="n">
        <f aca="false">IF(Time!AI20&lt;=$F$8,(Waterfall!AI7+AJ11)/(1+AI10),0)</f>
        <v>310.440850446578</v>
      </c>
      <c r="AJ11" s="13" t="n">
        <f aca="false">IF(Time!AJ20&lt;=$F$8,(Waterfall!AJ7+AK11)/(1+AJ10),0)</f>
        <v>268.550896703413</v>
      </c>
      <c r="AK11" s="13" t="n">
        <f aca="false">IF(Time!AK20&lt;=$F$8,(Waterfall!AK7+AL11)/(1+AK10),0)</f>
        <v>224.326049489529</v>
      </c>
      <c r="AL11" s="13" t="n">
        <f aca="false">IF(Time!AL20&lt;=$F$8,(Waterfall!AL7+AM11)/(1+AL10),0)</f>
        <v>178.309247324064</v>
      </c>
      <c r="AM11" s="13" t="n">
        <f aca="false">IF(Time!AM20&lt;=$F$8,(Waterfall!AM7+AN11)/(1+AM10),0)</f>
        <v>129.946332987394</v>
      </c>
      <c r="AN11" s="13" t="n">
        <f aca="false">IF(Time!AN20&lt;=$F$8,(Waterfall!AN7+AO11)/(1+AN10),0)</f>
        <v>80.6273295717856</v>
      </c>
      <c r="AO11" s="13" t="n">
        <f aca="false">IF(Time!AO20&lt;=$F$8,(Waterfall!AO7+AP11)/(1+AO10),0)</f>
        <v>40.4254759297855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1003.89795804921</v>
      </c>
      <c r="K12" s="13" t="n">
        <f aca="false">IF(Time!K20&lt;=Time!$F$15,(Waterfall!K7+L12)/(1+K10),0)</f>
        <v>1031.01518492534</v>
      </c>
      <c r="L12" s="13" t="n">
        <f aca="false">IF(Time!L20&lt;=Time!$F$15,(Waterfall!L7+M12)/(1+L10),0)</f>
        <v>1058.86490058438</v>
      </c>
      <c r="M12" s="13" t="n">
        <f aca="false">IF(Time!M20&lt;=Time!$F$15,(Waterfall!M7+N12)/(1+M10),0)</f>
        <v>1087.46689096606</v>
      </c>
      <c r="N12" s="13" t="n">
        <f aca="false">IF(Time!N20&lt;=Time!$F$15,(Waterfall!N7+O12)/(1+N10),0)</f>
        <v>1116.84147646667</v>
      </c>
      <c r="O12" s="13" t="n">
        <f aca="false">IF(Time!O20&lt;=Time!$F$15,(Waterfall!O7+P12)/(1+O10),0)</f>
        <v>1147.00952637572</v>
      </c>
      <c r="P12" s="13" t="n">
        <f aca="false">IF(Time!P20&lt;=Time!$F$15,(Waterfall!P7+Q12)/(1+P10),0)</f>
        <v>1176.08517132774</v>
      </c>
      <c r="Q12" s="13" t="n">
        <f aca="false">IF(Time!Q20&lt;=Time!$F$15,(Waterfall!Q7+R12)/(1+Q10),0)</f>
        <v>1166.29138212255</v>
      </c>
      <c r="R12" s="13" t="n">
        <f aca="false">IF(Time!R20&lt;=Time!$F$15,(Waterfall!R7+S12)/(1+R10),0)</f>
        <v>1155.8783620799</v>
      </c>
      <c r="S12" s="13" t="n">
        <f aca="false">IF(Time!S20&lt;=Time!$F$15,(Waterfall!S7+T12)/(1+S10),0)</f>
        <v>1144.90604970589</v>
      </c>
      <c r="T12" s="13" t="n">
        <f aca="false">IF(Time!T20&lt;=Time!$F$15,(Waterfall!T7+U12)/(1+T10),0)</f>
        <v>1133.54019050371</v>
      </c>
      <c r="U12" s="13" t="n">
        <f aca="false">IF(Time!U20&lt;=Time!$F$15,(Waterfall!U7+V12)/(1+U10),0)</f>
        <v>1121.64546048787</v>
      </c>
      <c r="V12" s="13" t="n">
        <f aca="false">IF(Time!V20&lt;=Time!$F$15,(Waterfall!V7+W12)/(1+V10),0)</f>
        <v>1109.3059913427</v>
      </c>
      <c r="W12" s="13" t="n">
        <f aca="false">IF(Time!W20&lt;=Time!$F$15,(Waterfall!W7+X12)/(1+W10),0)</f>
        <v>1095.84450032528</v>
      </c>
      <c r="X12" s="13" t="n">
        <f aca="false">IF(Time!X20&lt;=Time!$F$15,(Waterfall!X7+Y12)/(1+X10),0)</f>
        <v>1081.87192365488</v>
      </c>
      <c r="Y12" s="13" t="n">
        <f aca="false">IF(Time!Y20&lt;=Time!$F$15,(Waterfall!Y7+Z12)/(1+Y10),0)</f>
        <v>1069.31197233316</v>
      </c>
      <c r="Z12" s="13" t="n">
        <f aca="false">IF(Time!Z20&lt;=Time!$F$15,(Waterfall!Z7+AA12)/(1+Z10),0)</f>
        <v>1057.54078693692</v>
      </c>
      <c r="AA12" s="13" t="n">
        <f aca="false">IF(Time!AA20&lt;=Time!$F$15,(Waterfall!AA7+AB12)/(1+AA10),0)</f>
        <v>1045.35759016592</v>
      </c>
      <c r="AB12" s="13" t="n">
        <f aca="false">IF(Time!AB20&lt;=Time!$F$15,(Waterfall!AB7+AC12)/(1+AB10),0)</f>
        <v>1032.73738827346</v>
      </c>
      <c r="AC12" s="13" t="n">
        <f aca="false">IF(Time!AC20&lt;=Time!$F$15,(Waterfall!AC7+AD12)/(1+AC10),0)</f>
        <v>1019.28123377148</v>
      </c>
      <c r="AD12" s="13" t="n">
        <f aca="false">IF(Time!AD20&lt;=Time!$F$15,(Waterfall!AD7+AE12)/(1+AD10),0)</f>
        <v>1005.02638454269</v>
      </c>
      <c r="AE12" s="13" t="n">
        <f aca="false">IF(Time!AE20&lt;=Time!$F$15,(Waterfall!AE7+AF12)/(1+AE10),0)</f>
        <v>988.32258369817</v>
      </c>
      <c r="AF12" s="13" t="n">
        <f aca="false">IF(Time!AF20&lt;=Time!$F$15,(Waterfall!AF7+AG12)/(1+AF10),0)</f>
        <v>970.232559956079</v>
      </c>
      <c r="AG12" s="13" t="n">
        <f aca="false">IF(Time!AG20&lt;=Time!$F$15,(Waterfall!AG7+AH12)/(1+AG10),0)</f>
        <v>951.268149190383</v>
      </c>
      <c r="AH12" s="13" t="n">
        <f aca="false">IF(Time!AH20&lt;=Time!$F$15,(Waterfall!AH7+AI12)/(1+AH10),0)</f>
        <v>931.891693561897</v>
      </c>
      <c r="AI12" s="13" t="n">
        <f aca="false">IF(Time!AI20&lt;=Time!$F$15,(Waterfall!AI7+AJ12)/(1+AI10),0)</f>
        <v>910.69467929958</v>
      </c>
      <c r="AJ12" s="13" t="n">
        <f aca="false">IF(Time!AJ20&lt;=Time!$F$15,(Waterfall!AJ7+AK12)/(1+AJ10),0)</f>
        <v>887.817811443276</v>
      </c>
      <c r="AK12" s="13" t="n">
        <f aca="false">IF(Time!AK20&lt;=Time!$F$15,(Waterfall!AK7+AL12)/(1+AK10),0)</f>
        <v>862.259688681625</v>
      </c>
      <c r="AL12" s="13" t="n">
        <f aca="false">IF(Time!AL20&lt;=Time!$F$15,(Waterfall!AL7+AM12)/(1+AL10),0)</f>
        <v>833.502901372795</v>
      </c>
      <c r="AM12" s="13" t="n">
        <f aca="false">IF(Time!AM20&lt;=Time!$F$15,(Waterfall!AM7+AN12)/(1+AM10),0)</f>
        <v>802.92490174685</v>
      </c>
      <c r="AN12" s="13" t="n">
        <f aca="false">IF(Time!AN20&lt;=Time!$F$15,(Waterfall!AN7+AO12)/(1+AN10),0)</f>
        <v>771.784352013213</v>
      </c>
      <c r="AO12" s="13" t="n">
        <f aca="false">IF(Time!AO20&lt;=Time!$F$15,(Waterfall!AO7+AP12)/(1+AO10),0)</f>
        <v>750.343621315371</v>
      </c>
      <c r="AP12" s="13" t="n">
        <f aca="false">IF(Time!AP20&lt;=Time!$F$15,(Waterfall!AP7+AQ12)/(1+AP10),0)</f>
        <v>729.094408528217</v>
      </c>
      <c r="AQ12" s="13" t="n">
        <f aca="false">IF(Time!AQ20&lt;=Time!$F$15,(Waterfall!AQ7+AR12)/(1+AQ10),0)</f>
        <v>707.226029494024</v>
      </c>
      <c r="AR12" s="13" t="n">
        <f aca="false">IF(Time!AR20&lt;=Time!$F$15,(Waterfall!AR7+AS12)/(1+AR10),0)</f>
        <v>685.21097613527</v>
      </c>
      <c r="AS12" s="13" t="n">
        <f aca="false">IF(Time!AS20&lt;=Time!$F$15,(Waterfall!AS7+AT12)/(1+AS10),0)</f>
        <v>662.00908279856</v>
      </c>
      <c r="AT12" s="13" t="n">
        <f aca="false">IF(Time!AT20&lt;=Time!$F$15,(Waterfall!AT7+AU12)/(1+AT10),0)</f>
        <v>638.441368553873</v>
      </c>
      <c r="AU12" s="13" t="n">
        <f aca="false">IF(Time!AU20&lt;=Time!$F$15,(Waterfall!AU7+AV12)/(1+AU10),0)</f>
        <v>607.497388320601</v>
      </c>
      <c r="AV12" s="13" t="n">
        <f aca="false">IF(Time!AV20&lt;=Time!$F$15,(Waterfall!AV7+AW12)/(1+AV10),0)</f>
        <v>580.150561425146</v>
      </c>
      <c r="AW12" s="13" t="n">
        <f aca="false">IF(Time!AW20&lt;=Time!$F$15,(Waterfall!AW7+AX12)/(1+AW10),0)</f>
        <v>551.952684653584</v>
      </c>
      <c r="AX12" s="13" t="n">
        <f aca="false">IF(Time!AX20&lt;=Time!$F$15,(Waterfall!AX7+AY12)/(1+AX10),0)</f>
        <v>523.419080687344</v>
      </c>
      <c r="AY12" s="13" t="n">
        <f aca="false">IF(Time!AY20&lt;=Time!$F$15,(Waterfall!AY7+AZ12)/(1+AY10),0)</f>
        <v>493.441199279801</v>
      </c>
      <c r="AZ12" s="13" t="n">
        <f aca="false">IF(Time!AZ20&lt;=Time!$F$15,(Waterfall!AZ7+BA12)/(1+AZ10),0)</f>
        <v>463.107236919741</v>
      </c>
      <c r="BA12" s="13" t="n">
        <f aca="false">IF(Time!BA20&lt;=Time!$F$15,(Waterfall!BA7+BB12)/(1+BA10),0)</f>
        <v>431.340427331831</v>
      </c>
      <c r="BB12" s="13" t="n">
        <f aca="false">IF(Time!BB20&lt;=Time!$F$15,(Waterfall!BB7+BC12)/(1+BB10),0)</f>
        <v>399.009574112136</v>
      </c>
      <c r="BC12" s="13" t="n">
        <f aca="false">IF(Time!BC20&lt;=Time!$F$15,(Waterfall!BC7+BD12)/(1+BC10),0)</f>
        <v>363.554528998754</v>
      </c>
      <c r="BD12" s="13" t="n">
        <f aca="false">IF(Time!BD20&lt;=Time!$F$15,(Waterfall!BD7+BE12)/(1+BD10),0)</f>
        <v>330.537077974038</v>
      </c>
      <c r="BE12" s="13" t="n">
        <f aca="false">IF(Time!BE20&lt;=Time!$F$15,(Waterfall!BE7+BF12)/(1+BE10),0)</f>
        <v>302.735468651534</v>
      </c>
      <c r="BF12" s="13" t="n">
        <f aca="false">IF(Time!BF20&lt;=Time!$F$15,(Waterfall!BF7+BG12)/(1+BF10),0)</f>
        <v>274.615534572117</v>
      </c>
      <c r="BG12" s="13" t="n">
        <f aca="false">IF(Time!BG20&lt;=Time!$F$15,(Waterfall!BG7+BH12)/(1+BG10),0)</f>
        <v>245.03305244253</v>
      </c>
      <c r="BH12" s="13" t="n">
        <f aca="false">IF(Time!BH20&lt;=Time!$F$15,(Waterfall!BH7+BI12)/(1+BH10),0)</f>
        <v>215.115622393353</v>
      </c>
      <c r="BI12" s="13" t="n">
        <f aca="false">IF(Time!BI20&lt;=Time!$F$15,(Waterfall!BI7+BJ12)/(1+BI10),0)</f>
        <v>183.753564051938</v>
      </c>
      <c r="BJ12" s="13" t="n">
        <f aca="false">IF(Time!BJ20&lt;=Time!$F$15,(Waterfall!BJ7+BK12)/(1+BJ10),0)</f>
        <v>151.800291386507</v>
      </c>
      <c r="BK12" s="13" t="n">
        <f aca="false">IF(Time!BK20&lt;=Time!$F$15,(Waterfall!BK7+BL12)/(1+BK10),0)</f>
        <v>110.952386791614</v>
      </c>
      <c r="BL12" s="13" t="n">
        <f aca="false">IF(Time!BL20&lt;=Time!$F$15,(Waterfall!BL7+BM12)/(1+BL10),0)</f>
        <v>74.2459023221143</v>
      </c>
      <c r="BM12" s="13" t="n">
        <f aca="false">IF(Time!BM20&lt;=Time!$F$15,(Waterfall!BM7+BN12)/(1+BM10),0)</f>
        <v>35.8124039032104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1.41735387637655</v>
      </c>
      <c r="Q13" s="6" t="n">
        <f aca="false">IF(Debt!Q115&gt;Inputs!$F$253,(Q11+Reserves!Q9)/Debt!Q115,0)</f>
        <v>1.41933305616719</v>
      </c>
      <c r="R13" s="6" t="n">
        <f aca="false">IF(Debt!R115&gt;Inputs!$F$253,(R11+Reserves!R9)/Debt!R115,0)</f>
        <v>1.4224258505025</v>
      </c>
      <c r="S13" s="6" t="n">
        <f aca="false">IF(Debt!S115&gt;Inputs!$F$253,(S11+Reserves!S9)/Debt!S115,0)</f>
        <v>1.42451427997231</v>
      </c>
      <c r="T13" s="6" t="n">
        <f aca="false">IF(Debt!T115&gt;Inputs!$F$253,(T11+Reserves!T9)/Debt!T115,0)</f>
        <v>1.42805531008571</v>
      </c>
      <c r="U13" s="6" t="n">
        <f aca="false">IF(Debt!U115&gt;Inputs!$F$253,(U11+Reserves!U9)/Debt!U115,0)</f>
        <v>1.4308806553938</v>
      </c>
      <c r="V13" s="6" t="n">
        <f aca="false">IF(Debt!V115&gt;Inputs!$F$253,(V11+Reserves!V9)/Debt!V115,0)</f>
        <v>1.43569531338512</v>
      </c>
      <c r="W13" s="6" t="n">
        <f aca="false">IF(Debt!W115&gt;Inputs!$F$253,(W11+Reserves!W9)/Debt!W115,0)</f>
        <v>1.43917326088151</v>
      </c>
      <c r="X13" s="6" t="n">
        <f aca="false">IF(Debt!X115&gt;Inputs!$F$253,(X11+Reserves!X9)/Debt!X115,0)</f>
        <v>1.44136664793497</v>
      </c>
      <c r="Y13" s="6" t="n">
        <f aca="false">IF(Debt!Y115&gt;Inputs!$F$253,(Y11+Reserves!Y9)/Debt!Y115,0)</f>
        <v>1.44526476284529</v>
      </c>
      <c r="Z13" s="6" t="n">
        <f aca="false">IF(Debt!Z115&gt;Inputs!$F$253,(Z11+Reserves!Z9)/Debt!Z115,0)</f>
        <v>1.45101340258214</v>
      </c>
      <c r="AA13" s="6" t="n">
        <f aca="false">IF(Debt!AA115&gt;Inputs!$F$253,(AA11+Reserves!AA9)/Debt!AA115,0)</f>
        <v>1.45614817258862</v>
      </c>
      <c r="AB13" s="6" t="n">
        <f aca="false">IF(Debt!AB115&gt;Inputs!$F$253,(AB11+Reserves!AB9)/Debt!AB115,0)</f>
        <v>1.48624382319773</v>
      </c>
      <c r="AC13" s="6" t="n">
        <f aca="false">IF(Debt!AC115&gt;Inputs!$F$253,(AC11+Reserves!AC9)/Debt!AC115,0)</f>
        <v>1.52046083269605</v>
      </c>
      <c r="AD13" s="6" t="n">
        <f aca="false">IF(Debt!AD115&gt;Inputs!$F$253,(AD11+Reserves!AD9)/Debt!AD115,0)</f>
        <v>1.5611587065356</v>
      </c>
      <c r="AE13" s="6" t="n">
        <f aca="false">IF(Debt!AE115&gt;Inputs!$F$253,(AE11+Reserves!AE9)/Debt!AE115,0)</f>
        <v>1.61070208258609</v>
      </c>
      <c r="AF13" s="6" t="n">
        <f aca="false">IF(Debt!AF115&gt;Inputs!$F$253,(AF11+Reserves!AF9)/Debt!AF115,0)</f>
        <v>1.67134509288824</v>
      </c>
      <c r="AG13" s="6" t="n">
        <f aca="false">IF(Debt!AG115&gt;Inputs!$F$253,(AG11+Reserves!AG9)/Debt!AG115,0)</f>
        <v>1.74748226945938</v>
      </c>
      <c r="AH13" s="6" t="n">
        <f aca="false">IF(Debt!AH115&gt;Inputs!$F$253,(AH11+Reserves!AH9)/Debt!AH115,0)</f>
        <v>1.84574964694132</v>
      </c>
      <c r="AI13" s="6" t="n">
        <f aca="false">IF(Debt!AI115&gt;Inputs!$F$253,(AI11+Reserves!AI9)/Debt!AI115,0)</f>
        <v>1.98152773881348</v>
      </c>
      <c r="AJ13" s="6" t="n">
        <f aca="false">IF(Debt!AJ115&gt;Inputs!$F$253,(AJ11+Reserves!AJ9)/Debt!AJ115,0)</f>
        <v>2.17921283165086</v>
      </c>
      <c r="AK13" s="6" t="n">
        <f aca="false">IF(Debt!AK115&gt;Inputs!$F$253,(AK11+Reserves!AK9)/Debt!AK115,0)</f>
        <v>2.49888547506485</v>
      </c>
      <c r="AL13" s="6" t="n">
        <f aca="false">IF(Debt!AL115&gt;Inputs!$F$253,(AL11+Reserves!AL9)/Debt!AL115,0)</f>
        <v>2.52286070622719</v>
      </c>
      <c r="AM13" s="6" t="n">
        <f aca="false">IF(Debt!AM115&gt;Inputs!$F$253,(AM11+Reserves!AM9)/Debt!AM115,0)</f>
        <v>2.6225543085264</v>
      </c>
      <c r="AN13" s="6" t="n">
        <f aca="false">IF(Debt!AN115&gt;Inputs!$F$253,(AN11+Reserves!AN9)/Debt!AN115,0)</f>
        <v>2.72950007573617</v>
      </c>
      <c r="AO13" s="6" t="n">
        <f aca="false">IF(Debt!AO115&gt;Inputs!$F$253,(AO11+Reserves!AO9)/Debt!AO115,0)</f>
        <v>3.22301578950734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1.35853738371705</v>
      </c>
      <c r="Q14" s="6" t="n">
        <f aca="false">IF(Debt!Q115&gt;Inputs!$F$253,Q11/Debt!Q115,0)</f>
        <v>1.35918568520117</v>
      </c>
      <c r="R14" s="6" t="n">
        <f aca="false">IF(Debt!R115&gt;Inputs!$F$253,R11/Debt!R115,0)</f>
        <v>1.35988683434928</v>
      </c>
      <c r="S14" s="6" t="n">
        <f aca="false">IF(Debt!S115&gt;Inputs!$F$253,S11/Debt!S115,0)</f>
        <v>1.36066177118093</v>
      </c>
      <c r="T14" s="6" t="n">
        <f aca="false">IF(Debt!T115&gt;Inputs!$F$253,T11/Debt!T115,0)</f>
        <v>1.36150292695873</v>
      </c>
      <c r="U14" s="6" t="n">
        <f aca="false">IF(Debt!U115&gt;Inputs!$F$253,U11/Debt!U115,0)</f>
        <v>1.362445711678</v>
      </c>
      <c r="V14" s="6" t="n">
        <f aca="false">IF(Debt!V115&gt;Inputs!$F$253,V11/Debt!V115,0)</f>
        <v>1.36347778627805</v>
      </c>
      <c r="W14" s="6" t="n">
        <f aca="false">IF(Debt!W115&gt;Inputs!$F$253,W11/Debt!W115,0)</f>
        <v>1.36463565471303</v>
      </c>
      <c r="X14" s="6" t="n">
        <f aca="false">IF(Debt!X115&gt;Inputs!$F$253,X11/Debt!X115,0)</f>
        <v>1.36592190715926</v>
      </c>
      <c r="Y14" s="6" t="n">
        <f aca="false">IF(Debt!Y115&gt;Inputs!$F$253,Y11/Debt!Y115,0)</f>
        <v>1.36734964996182</v>
      </c>
      <c r="Z14" s="6" t="n">
        <f aca="false">IF(Debt!Z115&gt;Inputs!$F$253,Z11/Debt!Z115,0)</f>
        <v>1.36894201531914</v>
      </c>
      <c r="AA14" s="6" t="n">
        <f aca="false">IF(Debt!AA115&gt;Inputs!$F$253,AA11/Debt!AA115,0)</f>
        <v>1.37075897555473</v>
      </c>
      <c r="AB14" s="6" t="n">
        <f aca="false">IF(Debt!AB115&gt;Inputs!$F$253,AB11/Debt!AB115,0)</f>
        <v>1.39387788812763</v>
      </c>
      <c r="AC14" s="6" t="n">
        <f aca="false">IF(Debt!AC115&gt;Inputs!$F$253,AC11/Debt!AC115,0)</f>
        <v>1.42290140419843</v>
      </c>
      <c r="AD14" s="6" t="n">
        <f aca="false">IF(Debt!AD115&gt;Inputs!$F$253,AD11/Debt!AD115,0)</f>
        <v>1.45348407510667</v>
      </c>
      <c r="AE14" s="6" t="n">
        <f aca="false">IF(Debt!AE115&gt;Inputs!$F$253,AE11/Debt!AE115,0)</f>
        <v>1.49416105984295</v>
      </c>
      <c r="AF14" s="6" t="n">
        <f aca="false">IF(Debt!AF115&gt;Inputs!$F$253,AF11/Debt!AF115,0)</f>
        <v>1.54406740090849</v>
      </c>
      <c r="AG14" s="6" t="n">
        <f aca="false">IF(Debt!AG115&gt;Inputs!$F$253,AG11/Debt!AG115,0)</f>
        <v>1.6082007429637</v>
      </c>
      <c r="AH14" s="6" t="n">
        <f aca="false">IF(Debt!AH115&gt;Inputs!$F$253,AH11/Debt!AH115,0)</f>
        <v>1.68830311864555</v>
      </c>
      <c r="AI14" s="6" t="n">
        <f aca="false">IF(Debt!AI115&gt;Inputs!$F$253,AI11/Debt!AI115,0)</f>
        <v>1.80224759917633</v>
      </c>
      <c r="AJ14" s="6" t="n">
        <f aca="false">IF(Debt!AJ115&gt;Inputs!$F$253,AJ11/Debt!AJ115,0)</f>
        <v>1.96568669764489</v>
      </c>
      <c r="AK14" s="6" t="n">
        <f aca="false">IF(Debt!AK115&gt;Inputs!$F$253,AK11/Debt!AK115,0)</f>
        <v>2.23450804410571</v>
      </c>
      <c r="AL14" s="6" t="n">
        <f aca="false">IF(Debt!AL115&gt;Inputs!$F$253,AL11/Debt!AL115,0)</f>
        <v>2.22672049324568</v>
      </c>
      <c r="AM14" s="6" t="n">
        <f aca="false">IF(Debt!AM115&gt;Inputs!$F$253,AM11/Debt!AM115,0)</f>
        <v>2.21991289685978</v>
      </c>
      <c r="AN14" s="6" t="n">
        <f aca="false">IF(Debt!AN115&gt;Inputs!$F$253,AN11/Debt!AN115,0)</f>
        <v>2.20603190751649</v>
      </c>
      <c r="AO14" s="6" t="n">
        <f aca="false">IF(Debt!AO115&gt;Inputs!$F$253,AO11/Debt!AO115,0)</f>
        <v>2.19600385402256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1.85720343233977</v>
      </c>
      <c r="Q15" s="6" t="n">
        <f aca="false">IF(Debt!Q115&gt;Inputs!$F$253,Q12/Debt!Q115,0)</f>
        <v>1.88791692948984</v>
      </c>
      <c r="R15" s="6" t="n">
        <f aca="false">IF(Debt!R115&gt;Inputs!$F$253,R12/Debt!R115,0)</f>
        <v>1.92127331462015</v>
      </c>
      <c r="S15" s="6" t="n">
        <f aca="false">IF(Debt!S115&gt;Inputs!$F$253,S12/Debt!S115,0)</f>
        <v>1.95817404680384</v>
      </c>
      <c r="T15" s="6" t="n">
        <f aca="false">IF(Debt!T115&gt;Inputs!$F$253,T12/Debt!T115,0)</f>
        <v>1.99834086106513</v>
      </c>
      <c r="U15" s="6" t="n">
        <f aca="false">IF(Debt!U115&gt;Inputs!$F$253,U12/Debt!U115,0)</f>
        <v>2.04307502282207</v>
      </c>
      <c r="V15" s="6" t="n">
        <f aca="false">IF(Debt!V115&gt;Inputs!$F$253,V12/Debt!V115,0)</f>
        <v>2.09233969899121</v>
      </c>
      <c r="W15" s="6" t="n">
        <f aca="false">IF(Debt!W115&gt;Inputs!$F$253,W12/Debt!W115,0)</f>
        <v>2.14820338295576</v>
      </c>
      <c r="X15" s="6" t="n">
        <f aca="false">IF(Debt!X115&gt;Inputs!$F$253,X12/Debt!X115,0)</f>
        <v>2.21036097684068</v>
      </c>
      <c r="Y15" s="6" t="n">
        <f aca="false">IF(Debt!Y115&gt;Inputs!$F$253,Y12/Debt!Y115,0)</f>
        <v>2.27822449730651</v>
      </c>
      <c r="Z15" s="6" t="n">
        <f aca="false">IF(Debt!Z115&gt;Inputs!$F$253,Z12/Debt!Z115,0)</f>
        <v>2.35396340557507</v>
      </c>
      <c r="AA15" s="6" t="n">
        <f aca="false">IF(Debt!AA115&gt;Inputs!$F$253,AA12/Debt!AA115,0)</f>
        <v>2.44057373890845</v>
      </c>
      <c r="AB15" s="6" t="n">
        <f aca="false">IF(Debt!AB115&gt;Inputs!$F$253,AB12/Debt!AB115,0)</f>
        <v>2.57777063961194</v>
      </c>
      <c r="AC15" s="6" t="n">
        <f aca="false">IF(Debt!AC115&gt;Inputs!$F$253,AC12/Debt!AC115,0)</f>
        <v>2.74554913784699</v>
      </c>
      <c r="AD15" s="6" t="n">
        <f aca="false">IF(Debt!AD115&gt;Inputs!$F$253,AD12/Debt!AD115,0)</f>
        <v>2.93961827440963</v>
      </c>
      <c r="AE15" s="6" t="n">
        <f aca="false">IF(Debt!AE115&gt;Inputs!$F$253,AE12/Debt!AE115,0)</f>
        <v>3.19228428547103</v>
      </c>
      <c r="AF15" s="6" t="n">
        <f aca="false">IF(Debt!AF115&gt;Inputs!$F$253,AF12/Debt!AF115,0)</f>
        <v>3.51148619673652</v>
      </c>
      <c r="AG15" s="6" t="n">
        <f aca="false">IF(Debt!AG115&gt;Inputs!$F$253,AG12/Debt!AG115,0)</f>
        <v>3.93017313675931</v>
      </c>
      <c r="AH15" s="6" t="n">
        <f aca="false">IF(Debt!AH115&gt;Inputs!$F$253,AH12/Debt!AH115,0)</f>
        <v>4.48338511239974</v>
      </c>
      <c r="AI15" s="6" t="n">
        <f aca="false">IF(Debt!AI115&gt;Inputs!$F$253,AI12/Debt!AI115,0)</f>
        <v>5.28698879992525</v>
      </c>
      <c r="AJ15" s="6" t="n">
        <f aca="false">IF(Debt!AJ115&gt;Inputs!$F$253,AJ12/Debt!AJ115,0)</f>
        <v>6.49847639054288</v>
      </c>
      <c r="AK15" s="6" t="n">
        <f aca="false">IF(Debt!AK115&gt;Inputs!$F$253,AK12/Debt!AK115,0)</f>
        <v>8.58895440298436</v>
      </c>
      <c r="AL15" s="6" t="n">
        <f aca="false">IF(Debt!AL115&gt;Inputs!$F$253,AL12/Debt!AL115,0)</f>
        <v>10.4087590493466</v>
      </c>
      <c r="AM15" s="6" t="n">
        <f aca="false">IF(Debt!AM115&gt;Inputs!$F$253,AM12/Debt!AM115,0)</f>
        <v>13.7166113396261</v>
      </c>
      <c r="AN15" s="6" t="n">
        <f aca="false">IF(Debt!AN115&gt;Inputs!$F$253,AN12/Debt!AN115,0)</f>
        <v>21.1166724149932</v>
      </c>
      <c r="AO15" s="6" t="n">
        <f aca="false">IF(Debt!AO115&gt;Inputs!$F$253,AO12/Debt!AO115,0)</f>
        <v>40.7603731644809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1.34777442930408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1.53597832429625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1.41735387637655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1.85720343233977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1172.03107798586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14.9497284773543</v>
      </c>
      <c r="BS8" s="18" t="n">
        <f aca="false">Waterfall!Q44</f>
        <v>12.4566737352237</v>
      </c>
      <c r="BT8" s="18" t="n">
        <f aca="false">Waterfall!R44</f>
        <v>13.3790469910678</v>
      </c>
      <c r="BU8" s="18" t="n">
        <f aca="false">Waterfall!S44</f>
        <v>12.5696555592035</v>
      </c>
      <c r="BV8" s="18" t="n">
        <f aca="false">Waterfall!T44</f>
        <v>13.3101131987769</v>
      </c>
      <c r="BW8" s="18" t="n">
        <f aca="false">Waterfall!U44</f>
        <v>12.3529289452638</v>
      </c>
      <c r="BX8" s="18" t="n">
        <f aca="false">Waterfall!V44</f>
        <v>13.5908478395815</v>
      </c>
      <c r="BY8" s="18" t="n">
        <f aca="false">Waterfall!W44</f>
        <v>14.3314942663284</v>
      </c>
      <c r="BZ8" s="18" t="n">
        <f aca="false">Waterfall!X44</f>
        <v>13.1985981131382</v>
      </c>
      <c r="CA8" s="18" t="n">
        <f aca="false">Waterfall!Y44</f>
        <v>12.4177641418571</v>
      </c>
      <c r="CB8" s="18" t="n">
        <f aca="false">Waterfall!Z44</f>
        <v>13.1222221346025</v>
      </c>
      <c r="CC8" s="18" t="n">
        <f aca="false">Waterfall!AA44</f>
        <v>6.14646513657639</v>
      </c>
      <c r="CD8" s="18" t="n">
        <f aca="false">Waterfall!AB44</f>
        <v>7.14910793985921</v>
      </c>
      <c r="CE8" s="18" t="n">
        <f aca="false">Waterfall!AC44</f>
        <v>6.82158994339973</v>
      </c>
      <c r="CF8" s="18" t="n">
        <f aca="false">Waterfall!AD44</f>
        <v>8.16555834532492</v>
      </c>
      <c r="CG8" s="18" t="n">
        <f aca="false">Waterfall!AE44</f>
        <v>8.77715414009103</v>
      </c>
      <c r="CH8" s="18" t="n">
        <f aca="false">Waterfall!AF44</f>
        <v>9.6638583288131</v>
      </c>
      <c r="CI8" s="18" t="n">
        <f aca="false">Waterfall!AG44</f>
        <v>10.0943520107805</v>
      </c>
      <c r="CJ8" s="18" t="n">
        <f aca="false">Waterfall!AH44</f>
        <v>11.4713478749048</v>
      </c>
      <c r="CK8" s="18" t="n">
        <f aca="false">Waterfall!AI44</f>
        <v>12.343984353946</v>
      </c>
      <c r="CL8" s="18" t="n">
        <f aca="false">Waterfall!AJ44</f>
        <v>14.6045183481872</v>
      </c>
      <c r="CM8" s="18" t="n">
        <f aca="false">Waterfall!AK44</f>
        <v>31.8826173552193</v>
      </c>
      <c r="CN8" s="18" t="n">
        <f aca="false">Waterfall!AL44</f>
        <v>29.633740723543</v>
      </c>
      <c r="CO8" s="18" t="n">
        <f aca="false">Waterfall!AM44</f>
        <v>33.6970881238834</v>
      </c>
      <c r="CP8" s="18" t="n">
        <f aca="false">Waterfall!AN44</f>
        <v>23.4845357424876</v>
      </c>
      <c r="CQ8" s="18" t="n">
        <f aca="false">Waterfall!AO44</f>
        <v>41.5174462775425</v>
      </c>
      <c r="CR8" s="18" t="n">
        <f aca="false">Waterfall!AP44</f>
        <v>41.5626301596728</v>
      </c>
      <c r="CS8" s="18" t="n">
        <f aca="false">Waterfall!AQ44</f>
        <v>41.1185972406055</v>
      </c>
      <c r="CT8" s="18" t="n">
        <f aca="false">Waterfall!AR44</f>
        <v>41.7107680175404</v>
      </c>
      <c r="CU8" s="18" t="n">
        <f aca="false">Waterfall!AS44</f>
        <v>41.4498608795818</v>
      </c>
      <c r="CV8" s="18" t="n">
        <f aca="false">Waterfall!AT44</f>
        <v>48.1895172914652</v>
      </c>
      <c r="CW8" s="18" t="n">
        <f aca="false">Waterfall!AU44</f>
        <v>43.756507155945</v>
      </c>
      <c r="CX8" s="18" t="n">
        <f aca="false">Waterfall!AV44</f>
        <v>43.8688663082382</v>
      </c>
      <c r="CY8" s="18" t="n">
        <f aca="false">Waterfall!AW44</f>
        <v>43.4429142747544</v>
      </c>
      <c r="CZ8" s="18" t="n">
        <f aca="false">Waterfall!AX44</f>
        <v>44.1164438465739</v>
      </c>
      <c r="DA8" s="18" t="n">
        <f aca="false">Waterfall!AY44</f>
        <v>43.6627642005393</v>
      </c>
      <c r="DB8" s="18" t="n">
        <f aca="false">Waterfall!AZ44</f>
        <v>44.2762323941222</v>
      </c>
      <c r="DC8" s="18" t="n">
        <f aca="false">Waterfall!BA44</f>
        <v>43.4872246281526</v>
      </c>
      <c r="DD8" s="18" t="n">
        <f aca="false">Waterfall!BB44</f>
        <v>44.731915732465</v>
      </c>
      <c r="DE8" s="18" t="n">
        <f aca="false">Waterfall!BC44</f>
        <v>41.3201894338888</v>
      </c>
      <c r="DF8" s="18" t="n">
        <f aca="false">Waterfall!BD44</f>
        <v>35.1958799878207</v>
      </c>
      <c r="DG8" s="18" t="n">
        <f aca="false">Waterfall!BE44</f>
        <v>34.746445346632</v>
      </c>
      <c r="DH8" s="18" t="n">
        <f aca="false">Waterfall!BF44</f>
        <v>35.4324518099952</v>
      </c>
      <c r="DI8" s="18" t="n">
        <f aca="false">Waterfall!BG44</f>
        <v>34.9511662594573</v>
      </c>
      <c r="DJ8" s="18" t="n">
        <f aca="false">Waterfall!BH44</f>
        <v>35.5703258294046</v>
      </c>
      <c r="DK8" s="18" t="n">
        <f aca="false">Waterfall!BI44</f>
        <v>35.2968595112973</v>
      </c>
      <c r="DL8" s="18" t="n">
        <f aca="false">Waterfall!BJ44</f>
        <v>43.3106491663589</v>
      </c>
      <c r="DM8" s="18" t="n">
        <f aca="false">Waterfall!BK44</f>
        <v>38.0479316554231</v>
      </c>
      <c r="DN8" s="18" t="n">
        <f aca="false">Waterfall!BL44</f>
        <v>38.7653199840677</v>
      </c>
      <c r="DO8" s="18" t="n">
        <f aca="false">Waterfall!BM44</f>
        <v>54.7209464089599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1591.72093259167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1.90730237486994</v>
      </c>
      <c r="BR9" s="18" t="n">
        <f aca="false">Waterfall!P7</f>
        <v>50.1994425576313</v>
      </c>
      <c r="BS9" s="18" t="n">
        <f aca="false">Waterfall!Q7</f>
        <v>50.0814588229017</v>
      </c>
      <c r="BT9" s="18" t="n">
        <f aca="false">Waterfall!R7</f>
        <v>50.7123594836247</v>
      </c>
      <c r="BU9" s="18" t="n">
        <f aca="false">Waterfall!S7</f>
        <v>50.3208733409513</v>
      </c>
      <c r="BV9" s="18" t="n">
        <f aca="false">Waterfall!T7</f>
        <v>50.8808059536296</v>
      </c>
      <c r="BW9" s="18" t="n">
        <f aca="false">Waterfall!U7</f>
        <v>50.6408491804221</v>
      </c>
      <c r="BX9" s="18" t="n">
        <f aca="false">Waterfall!V7</f>
        <v>51.6140752654512</v>
      </c>
      <c r="BY9" s="18" t="n">
        <f aca="false">Waterfall!W7</f>
        <v>51.2582893409178</v>
      </c>
      <c r="BZ9" s="18" t="n">
        <f aca="false">Waterfall!X7</f>
        <v>49.7689901576834</v>
      </c>
      <c r="CA9" s="18" t="n">
        <f aca="false">Waterfall!Y7</f>
        <v>49.2891272503712</v>
      </c>
      <c r="CB9" s="18" t="n">
        <f aca="false">Waterfall!Z7</f>
        <v>49.696509489457</v>
      </c>
      <c r="CC9" s="18" t="n">
        <f aca="false">Waterfall!AA7</f>
        <v>49.297678905129</v>
      </c>
      <c r="CD9" s="18" t="n">
        <f aca="false">Waterfall!AB7</f>
        <v>49.874356237718</v>
      </c>
      <c r="CE9" s="18" t="n">
        <f aca="false">Waterfall!AC7</f>
        <v>49.6751594967649</v>
      </c>
      <c r="CF9" s="18" t="n">
        <f aca="false">Waterfall!AD7</f>
        <v>51.5958375670416</v>
      </c>
      <c r="CG9" s="18" t="n">
        <f aca="false">Waterfall!AE7</f>
        <v>51.6807450825143</v>
      </c>
      <c r="CH9" s="18" t="n">
        <f aca="false">Waterfall!AF7</f>
        <v>51.827794902836</v>
      </c>
      <c r="CI9" s="18" t="n">
        <f aca="false">Waterfall!AG7</f>
        <v>51.4593399100083</v>
      </c>
      <c r="CJ9" s="18" t="n">
        <f aca="false">Waterfall!AH7</f>
        <v>52.1282668444313</v>
      </c>
      <c r="CK9" s="18" t="n">
        <f aca="false">Waterfall!AI7</f>
        <v>51.7231913979912</v>
      </c>
      <c r="CL9" s="18" t="n">
        <f aca="false">Waterfall!AJ7</f>
        <v>52.3198470771804</v>
      </c>
      <c r="CM9" s="18" t="n">
        <f aca="false">Waterfall!AK7</f>
        <v>52.0861967059731</v>
      </c>
      <c r="CN9" s="18" t="n">
        <f aca="false">Waterfall!AL7</f>
        <v>53.203032576821</v>
      </c>
      <c r="CO9" s="18" t="n">
        <f aca="false">Waterfall!AM7</f>
        <v>52.8291053787476</v>
      </c>
      <c r="CP9" s="18" t="n">
        <f aca="false">Waterfall!AN7</f>
        <v>42.3904434900958</v>
      </c>
      <c r="CQ9" s="18" t="n">
        <f aca="false">Waterfall!AO7</f>
        <v>41.5174462775425</v>
      </c>
      <c r="CR9" s="18" t="n">
        <f aca="false">Waterfall!AP7</f>
        <v>41.5626301596728</v>
      </c>
      <c r="CS9" s="18" t="n">
        <f aca="false">Waterfall!AQ7</f>
        <v>41.1185972406055</v>
      </c>
      <c r="CT9" s="18" t="n">
        <f aca="false">Waterfall!AR7</f>
        <v>41.7107680175404</v>
      </c>
      <c r="CU9" s="18" t="n">
        <f aca="false">Waterfall!AS7</f>
        <v>41.4498608795818</v>
      </c>
      <c r="CV9" s="18" t="n">
        <f aca="false">Waterfall!AT7</f>
        <v>48.1895172914652</v>
      </c>
      <c r="CW9" s="18" t="n">
        <f aca="false">Waterfall!AU7</f>
        <v>43.756507155945</v>
      </c>
      <c r="CX9" s="18" t="n">
        <f aca="false">Waterfall!AV7</f>
        <v>43.8688663082382</v>
      </c>
      <c r="CY9" s="18" t="n">
        <f aca="false">Waterfall!AW7</f>
        <v>43.4429142747544</v>
      </c>
      <c r="CZ9" s="18" t="n">
        <f aca="false">Waterfall!AX7</f>
        <v>44.1164438465739</v>
      </c>
      <c r="DA9" s="18" t="n">
        <f aca="false">Waterfall!AY7</f>
        <v>43.6627642005393</v>
      </c>
      <c r="DB9" s="18" t="n">
        <f aca="false">Waterfall!AZ7</f>
        <v>44.2762323941222</v>
      </c>
      <c r="DC9" s="18" t="n">
        <f aca="false">Waterfall!BA7</f>
        <v>43.9821930147613</v>
      </c>
      <c r="DD9" s="18" t="n">
        <f aca="false">Waterfall!BB7</f>
        <v>46.2330659871095</v>
      </c>
      <c r="DE9" s="18" t="n">
        <f aca="false">Waterfall!BC7</f>
        <v>42.837762507231</v>
      </c>
      <c r="DF9" s="18" t="n">
        <f aca="false">Waterfall!BD7</f>
        <v>36.7300555480673</v>
      </c>
      <c r="DG9" s="18" t="n">
        <f aca="false">Waterfall!BE7</f>
        <v>36.2974050275878</v>
      </c>
      <c r="DH9" s="18" t="n">
        <f aca="false">Waterfall!BF7</f>
        <v>37.0003792325672</v>
      </c>
      <c r="DI9" s="18" t="n">
        <f aca="false">Waterfall!BG7</f>
        <v>36.5362470533941</v>
      </c>
      <c r="DJ9" s="18" t="n">
        <f aca="false">Waterfall!BH7</f>
        <v>37.1727476552732</v>
      </c>
      <c r="DK9" s="18" t="n">
        <f aca="false">Waterfall!BI7</f>
        <v>36.9168120827007</v>
      </c>
      <c r="DL9" s="18" t="n">
        <f aca="false">Waterfall!BJ7</f>
        <v>44.9483242723966</v>
      </c>
      <c r="DM9" s="18" t="n">
        <f aca="false">Waterfall!BK7</f>
        <v>39.7035231833974</v>
      </c>
      <c r="DN9" s="18" t="n">
        <f aca="false">Waterfall!BL7</f>
        <v>40.4390239424383</v>
      </c>
      <c r="DO9" s="18" t="n">
        <f aca="false">Waterfall!BM7</f>
        <v>36.7797662469989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1908.22825513678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1.90730237486994</v>
      </c>
      <c r="BR10" s="13" t="n">
        <f aca="false">Waterfall!P7+Tax!P27</f>
        <v>50.1994425576313</v>
      </c>
      <c r="BS10" s="13" t="n">
        <f aca="false">Waterfall!Q7+Tax!Q27</f>
        <v>50.0814588229017</v>
      </c>
      <c r="BT10" s="13" t="n">
        <f aca="false">Waterfall!R7+Tax!R27</f>
        <v>50.7123594836247</v>
      </c>
      <c r="BU10" s="13" t="n">
        <f aca="false">Waterfall!S7+Tax!S27</f>
        <v>50.3208733409513</v>
      </c>
      <c r="BV10" s="13" t="n">
        <f aca="false">Waterfall!T7+Tax!T27</f>
        <v>50.8808059536296</v>
      </c>
      <c r="BW10" s="13" t="n">
        <f aca="false">Waterfall!U7+Tax!U27</f>
        <v>50.6408491804221</v>
      </c>
      <c r="BX10" s="13" t="n">
        <f aca="false">Waterfall!V7+Tax!V27</f>
        <v>51.6140752654512</v>
      </c>
      <c r="BY10" s="13" t="n">
        <f aca="false">Waterfall!W7+Tax!W27</f>
        <v>51.2582893409178</v>
      </c>
      <c r="BZ10" s="13" t="n">
        <f aca="false">Waterfall!X7+Tax!X27</f>
        <v>49.7689901576834</v>
      </c>
      <c r="CA10" s="13" t="n">
        <f aca="false">Waterfall!Y7+Tax!Y27</f>
        <v>49.4063564902725</v>
      </c>
      <c r="CB10" s="13" t="n">
        <f aca="false">Waterfall!Z7+Tax!Z27</f>
        <v>50.0495421867935</v>
      </c>
      <c r="CC10" s="13" t="n">
        <f aca="false">Waterfall!AA7+Tax!AA27</f>
        <v>49.6524535868377</v>
      </c>
      <c r="CD10" s="13" t="n">
        <f aca="false">Waterfall!AB7+Tax!AB27</f>
        <v>50.2310224830104</v>
      </c>
      <c r="CE10" s="13" t="n">
        <f aca="false">Waterfall!AC7+Tax!AC27</f>
        <v>50.0327360633993</v>
      </c>
      <c r="CF10" s="13" t="n">
        <f aca="false">Waterfall!AD7+Tax!AD27</f>
        <v>51.9489750661166</v>
      </c>
      <c r="CG10" s="13" t="n">
        <f aca="false">Waterfall!AE7+Tax!AE27</f>
        <v>52.0409074616454</v>
      </c>
      <c r="CH10" s="13" t="n">
        <f aca="false">Waterfall!AF7+Tax!AF27</f>
        <v>52.1911781001554</v>
      </c>
      <c r="CI10" s="13" t="n">
        <f aca="false">Waterfall!AG7+Tax!AG27</f>
        <v>51.8243112777888</v>
      </c>
      <c r="CJ10" s="13" t="n">
        <f aca="false">Waterfall!AH7+Tax!AH27</f>
        <v>52.4947043603448</v>
      </c>
      <c r="CK10" s="13" t="n">
        <f aca="false">Waterfall!AI7+Tax!AI27</f>
        <v>52.0915256383053</v>
      </c>
      <c r="CL10" s="13" t="n">
        <f aca="false">Waterfall!AJ7+Tax!AJ27</f>
        <v>52.6902403183933</v>
      </c>
      <c r="CM10" s="13" t="n">
        <f aca="false">Waterfall!AK7+Tax!AK27</f>
        <v>52.4578848282562</v>
      </c>
      <c r="CN10" s="13" t="n">
        <f aca="false">Waterfall!AL7+Tax!AL27</f>
        <v>53.5755145843924</v>
      </c>
      <c r="CO10" s="13" t="n">
        <f aca="false">Waterfall!AM7+Tax!AM27</f>
        <v>53.2039256986883</v>
      </c>
      <c r="CP10" s="13" t="n">
        <f aca="false">Waterfall!AN7+Tax!AN27</f>
        <v>51.3604765071015</v>
      </c>
      <c r="CQ10" s="13" t="n">
        <f aca="false">Waterfall!AO7+Tax!AO27</f>
        <v>50.9905626033201</v>
      </c>
      <c r="CR10" s="13" t="n">
        <f aca="false">Waterfall!AP7+Tax!AP27</f>
        <v>51.6905239476997</v>
      </c>
      <c r="CS10" s="13" t="n">
        <f aca="false">Waterfall!AQ7+Tax!AQ27</f>
        <v>51.2807245786469</v>
      </c>
      <c r="CT10" s="13" t="n">
        <f aca="false">Waterfall!AR7+Tax!AR27</f>
        <v>51.9012186746186</v>
      </c>
      <c r="CU10" s="13" t="n">
        <f aca="false">Waterfall!AS7+Tax!AS27</f>
        <v>51.7196673817032</v>
      </c>
      <c r="CV10" s="13" t="n">
        <f aca="false">Waterfall!AT7+Tax!AT27</f>
        <v>54.0460443841011</v>
      </c>
      <c r="CW10" s="13" t="n">
        <f aca="false">Waterfall!AU7+Tax!AU27</f>
        <v>54.1507504677157</v>
      </c>
      <c r="CX10" s="13" t="n">
        <f aca="false">Waterfall!AV7+Tax!AV27</f>
        <v>54.2281869227753</v>
      </c>
      <c r="CY10" s="13" t="n">
        <f aca="false">Waterfall!AW7+Tax!AW27</f>
        <v>53.8521630300871</v>
      </c>
      <c r="CZ10" s="13" t="n">
        <f aca="false">Waterfall!AX7+Tax!AX27</f>
        <v>54.5842602033195</v>
      </c>
      <c r="DA10" s="13" t="n">
        <f aca="false">Waterfall!AY7+Tax!AY27</f>
        <v>54.1672630163856</v>
      </c>
      <c r="DB10" s="13" t="n">
        <f aca="false">Waterfall!AZ7+Tax!AZ27</f>
        <v>54.8113046378409</v>
      </c>
      <c r="DC10" s="13" t="n">
        <f aca="false">Waterfall!BA7+Tax!BA27</f>
        <v>54.5882360180058</v>
      </c>
      <c r="DD10" s="13" t="n">
        <f aca="false">Waterfall!BB7+Tax!BB27</f>
        <v>55.8778095772942</v>
      </c>
      <c r="DE10" s="13" t="n">
        <f aca="false">Waterfall!BC7+Tax!BC27</f>
        <v>55.4874399078868</v>
      </c>
      <c r="DF10" s="13" t="n">
        <f aca="false">Waterfall!BD7+Tax!BD27</f>
        <v>53.2211823509639</v>
      </c>
      <c r="DG10" s="13" t="n">
        <f aca="false">Waterfall!BE7+Tax!BE27</f>
        <v>52.8425479463434</v>
      </c>
      <c r="DH10" s="13" t="n">
        <f aca="false">Waterfall!BF7+Tax!BF27</f>
        <v>53.609573425516</v>
      </c>
      <c r="DI10" s="13" t="n">
        <f aca="false">Waterfall!BG7+Tax!BG27</f>
        <v>53.1847504829926</v>
      </c>
      <c r="DJ10" s="13" t="n">
        <f aca="false">Waterfall!BH7+Tax!BH27</f>
        <v>53.8542534354732</v>
      </c>
      <c r="DK10" s="13" t="n">
        <f aca="false">Waterfall!BI7+Tax!BI27</f>
        <v>53.6930399922913</v>
      </c>
      <c r="DL10" s="13" t="n">
        <f aca="false">Waterfall!BJ7+Tax!BJ27</f>
        <v>56.508039155319</v>
      </c>
      <c r="DM10" s="13" t="n">
        <f aca="false">Waterfall!BK7+Tax!BK27</f>
        <v>56.6279618695022</v>
      </c>
      <c r="DN10" s="13" t="n">
        <f aca="false">Waterfall!BL7+Tax!BL27</f>
        <v>57.3186786039007</v>
      </c>
      <c r="DO10" s="13" t="n">
        <f aca="false">Waterfall!BM7+Tax!BM27</f>
        <v>42.3458713934932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-206.884039106703</v>
      </c>
      <c r="BS11" s="13" t="n">
        <f aca="false">BR11+BS8</f>
        <v>-194.427365371479</v>
      </c>
      <c r="BT11" s="13" t="n">
        <f aca="false">BS11+BT8</f>
        <v>-181.048318380411</v>
      </c>
      <c r="BU11" s="13" t="n">
        <f aca="false">BT11+BU8</f>
        <v>-168.478662821208</v>
      </c>
      <c r="BV11" s="13" t="n">
        <f aca="false">BU11+BV8</f>
        <v>-155.168549622431</v>
      </c>
      <c r="BW11" s="13" t="n">
        <f aca="false">BV11+BW8</f>
        <v>-142.815620677167</v>
      </c>
      <c r="BX11" s="13" t="n">
        <f aca="false">BW11+BX8</f>
        <v>-129.224772837586</v>
      </c>
      <c r="BY11" s="13" t="n">
        <f aca="false">BX11+BY8</f>
        <v>-114.893278571258</v>
      </c>
      <c r="BZ11" s="13" t="n">
        <f aca="false">BY11+BZ8</f>
        <v>-101.694680458119</v>
      </c>
      <c r="CA11" s="13" t="n">
        <f aca="false">BZ11+CA8</f>
        <v>-89.2769163162622</v>
      </c>
      <c r="CB11" s="13" t="n">
        <f aca="false">CA11+CB8</f>
        <v>-76.1546941816597</v>
      </c>
      <c r="CC11" s="13" t="n">
        <f aca="false">CB11+CC8</f>
        <v>-70.0082290450833</v>
      </c>
      <c r="CD11" s="13" t="n">
        <f aca="false">CC11+CD8</f>
        <v>-62.8591211052241</v>
      </c>
      <c r="CE11" s="13" t="n">
        <f aca="false">CD11+CE8</f>
        <v>-56.0375311618244</v>
      </c>
      <c r="CF11" s="13" t="n">
        <f aca="false">CE11+CF8</f>
        <v>-47.8719728164994</v>
      </c>
      <c r="CG11" s="13" t="n">
        <f aca="false">CF11+CG8</f>
        <v>-39.0948186764084</v>
      </c>
      <c r="CH11" s="13" t="n">
        <f aca="false">CG11+CH8</f>
        <v>-29.4309603475953</v>
      </c>
      <c r="CI11" s="13" t="n">
        <f aca="false">CH11+CI8</f>
        <v>-19.3366083368148</v>
      </c>
      <c r="CJ11" s="13" t="n">
        <f aca="false">CI11+CJ8</f>
        <v>-7.86526046191004</v>
      </c>
      <c r="CK11" s="13" t="n">
        <f aca="false">CJ11+CK8</f>
        <v>4.47872389203595</v>
      </c>
      <c r="CL11" s="13" t="n">
        <f aca="false">CK11+CL8</f>
        <v>19.0832422402232</v>
      </c>
      <c r="CM11" s="13" t="n">
        <f aca="false">CL11+CM8</f>
        <v>50.9658595954425</v>
      </c>
      <c r="CN11" s="13" t="n">
        <f aca="false">CM11+CN8</f>
        <v>80.5996003189854</v>
      </c>
      <c r="CO11" s="13" t="n">
        <f aca="false">CN11+CO8</f>
        <v>114.296688442869</v>
      </c>
      <c r="CP11" s="13" t="n">
        <f aca="false">CO11+CP8</f>
        <v>137.781224185356</v>
      </c>
      <c r="CQ11" s="13" t="n">
        <f aca="false">CP11+CQ8</f>
        <v>179.298670462899</v>
      </c>
      <c r="CR11" s="13" t="n">
        <f aca="false">CQ11+CR8</f>
        <v>220.861300622572</v>
      </c>
      <c r="CS11" s="13" t="n">
        <f aca="false">CR11+CS8</f>
        <v>261.979897863177</v>
      </c>
      <c r="CT11" s="13" t="n">
        <f aca="false">CS11+CT8</f>
        <v>303.690665880718</v>
      </c>
      <c r="CU11" s="13" t="n">
        <f aca="false">CT11+CU8</f>
        <v>345.140526760299</v>
      </c>
      <c r="CV11" s="13" t="n">
        <f aca="false">CU11+CV8</f>
        <v>393.330044051765</v>
      </c>
      <c r="CW11" s="13" t="n">
        <f aca="false">CV11+CW8</f>
        <v>437.08655120771</v>
      </c>
      <c r="CX11" s="13" t="n">
        <f aca="false">CW11+CX8</f>
        <v>480.955417515948</v>
      </c>
      <c r="CY11" s="13" t="n">
        <f aca="false">CX11+CY8</f>
        <v>524.398331790702</v>
      </c>
      <c r="CZ11" s="13" t="n">
        <f aca="false">CY11+CZ8</f>
        <v>568.514775637276</v>
      </c>
      <c r="DA11" s="13" t="n">
        <f aca="false">CZ11+DA8</f>
        <v>612.177539837815</v>
      </c>
      <c r="DB11" s="13" t="n">
        <f aca="false">DA11+DB8</f>
        <v>656.453772231938</v>
      </c>
      <c r="DC11" s="13" t="n">
        <f aca="false">DB11+DC8</f>
        <v>699.94099686009</v>
      </c>
      <c r="DD11" s="13" t="n">
        <f aca="false">DC11+DD8</f>
        <v>744.672912592555</v>
      </c>
      <c r="DE11" s="13" t="n">
        <f aca="false">DD11+DE8</f>
        <v>785.993102026444</v>
      </c>
      <c r="DF11" s="13" t="n">
        <f aca="false">DE11+DF8</f>
        <v>821.188982014265</v>
      </c>
      <c r="DG11" s="13" t="n">
        <f aca="false">DF11+DG8</f>
        <v>855.935427360897</v>
      </c>
      <c r="DH11" s="13" t="n">
        <f aca="false">DG11+DH8</f>
        <v>891.367879170892</v>
      </c>
      <c r="DI11" s="13" t="n">
        <f aca="false">DH11+DI8</f>
        <v>926.319045430349</v>
      </c>
      <c r="DJ11" s="13" t="n">
        <f aca="false">DI11+DJ8</f>
        <v>961.889371259754</v>
      </c>
      <c r="DK11" s="13" t="n">
        <f aca="false">DJ11+DK8</f>
        <v>997.186230771051</v>
      </c>
      <c r="DL11" s="13" t="n">
        <f aca="false">DK11+DL8</f>
        <v>1040.49687993741</v>
      </c>
      <c r="DM11" s="13" t="n">
        <f aca="false">DL11+DM8</f>
        <v>1078.54481159283</v>
      </c>
      <c r="DN11" s="13" t="n">
        <f aca="false">DM11+DN8</f>
        <v>1117.3101315769</v>
      </c>
      <c r="DO11" s="13" t="n">
        <f aca="false">DN11+DO8</f>
        <v>1172.03107798586</v>
      </c>
      <c r="DP11" s="13" t="n">
        <f aca="false">DO11+DP8</f>
        <v>1172.03107798586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0.132324210035034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0.109453951121722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0.115683632705332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-43.6041818045459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1.34777442930408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1.53597832429625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1.41735387637655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1.85720343233977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0.132324210035034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0.109453951121722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-43.6041818045459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2026-10-03T21:27:44Z</dcterms:created>
  <dc:creator>openpyxl</dc:creator>
  <dc:description/>
  <dc:language>en-US</dc:language>
  <cp:lastModifiedBy/>
  <dcterms:modified xsi:type="dcterms:W3CDTF">2026-10-03T21:27:44Z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