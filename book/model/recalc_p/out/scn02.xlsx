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<sst xmlns="http://schemas.openxmlformats.org/spreadsheetml/2006/main" count="3618" uniqueCount="2025">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</sst>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2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72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72</v>
      </c>
      <c r="K37" s="13" t="n">
        <f aca="false">IF(Inputs!$F$312=1,INDEX(Inputs!$AJ$313:$AJ$1312,Inputs!$F$311),IF(AND(Inputs!$F$55=1,Inputs!K303&gt;0),Inputs!K303,Inputs!$F$38))</f>
        <v>72</v>
      </c>
      <c r="L37" s="13" t="n">
        <f aca="false">IF(Inputs!$F$312=1,INDEX(Inputs!$AJ$313:$AJ$1312,Inputs!$F$311),IF(AND(Inputs!$F$55=1,Inputs!L303&gt;0),Inputs!L303,Inputs!$F$38))</f>
        <v>72</v>
      </c>
      <c r="M37" s="13" t="n">
        <f aca="false">IF(Inputs!$F$312=1,INDEX(Inputs!$AJ$313:$AJ$1312,Inputs!$F$311),IF(AND(Inputs!$F$55=1,Inputs!M303&gt;0),Inputs!M303,Inputs!$F$38))</f>
        <v>72</v>
      </c>
      <c r="N37" s="13" t="n">
        <f aca="false">IF(Inputs!$F$312=1,INDEX(Inputs!$AJ$313:$AJ$1312,Inputs!$F$311),IF(AND(Inputs!$F$55=1,Inputs!N303&gt;0),Inputs!N303,Inputs!$F$38))</f>
        <v>72</v>
      </c>
      <c r="O37" s="13" t="n">
        <f aca="false">IF(Inputs!$F$312=1,INDEX(Inputs!$AJ$313:$AJ$1312,Inputs!$F$311),IF(AND(Inputs!$F$55=1,Inputs!O303&gt;0),Inputs!O303,Inputs!$F$38))</f>
        <v>72</v>
      </c>
      <c r="P37" s="13" t="n">
        <f aca="false">IF(Inputs!$F$312=1,INDEX(Inputs!$AJ$313:$AJ$1312,Inputs!$F$311),IF(AND(Inputs!$F$55=1,Inputs!P303&gt;0),Inputs!P303,Inputs!$F$38))</f>
        <v>72</v>
      </c>
      <c r="Q37" s="13" t="n">
        <f aca="false">IF(Inputs!$F$312=1,INDEX(Inputs!$AJ$313:$AJ$1312,Inputs!$F$311),IF(AND(Inputs!$F$55=1,Inputs!Q303&gt;0),Inputs!Q303,Inputs!$F$38))</f>
        <v>72</v>
      </c>
      <c r="R37" s="13" t="n">
        <f aca="false">IF(Inputs!$F$312=1,INDEX(Inputs!$AJ$313:$AJ$1312,Inputs!$F$311),IF(AND(Inputs!$F$55=1,Inputs!R303&gt;0),Inputs!R303,Inputs!$F$38))</f>
        <v>72</v>
      </c>
      <c r="S37" s="13" t="n">
        <f aca="false">IF(Inputs!$F$312=1,INDEX(Inputs!$AJ$313:$AJ$1312,Inputs!$F$311),IF(AND(Inputs!$F$55=1,Inputs!S303&gt;0),Inputs!S303,Inputs!$F$38))</f>
        <v>72</v>
      </c>
      <c r="T37" s="13" t="n">
        <f aca="false">IF(Inputs!$F$312=1,INDEX(Inputs!$AJ$313:$AJ$1312,Inputs!$F$311),IF(AND(Inputs!$F$55=1,Inputs!T303&gt;0),Inputs!T303,Inputs!$F$38))</f>
        <v>72</v>
      </c>
      <c r="U37" s="13" t="n">
        <f aca="false">IF(Inputs!$F$312=1,INDEX(Inputs!$AJ$313:$AJ$1312,Inputs!$F$311),IF(AND(Inputs!$F$55=1,Inputs!U303&gt;0),Inputs!U303,Inputs!$F$38))</f>
        <v>72</v>
      </c>
      <c r="V37" s="13" t="n">
        <f aca="false">IF(Inputs!$F$312=1,INDEX(Inputs!$AJ$313:$AJ$1312,Inputs!$F$311),IF(AND(Inputs!$F$55=1,Inputs!V303&gt;0),Inputs!V303,Inputs!$F$38))</f>
        <v>72</v>
      </c>
      <c r="W37" s="13" t="n">
        <f aca="false">IF(Inputs!$F$312=1,INDEX(Inputs!$AJ$313:$AJ$1312,Inputs!$F$311),IF(AND(Inputs!$F$55=1,Inputs!W303&gt;0),Inputs!W303,Inputs!$F$38))</f>
        <v>72</v>
      </c>
      <c r="X37" s="13" t="n">
        <f aca="false">IF(Inputs!$F$312=1,INDEX(Inputs!$AJ$313:$AJ$1312,Inputs!$F$311),IF(AND(Inputs!$F$55=1,Inputs!X303&gt;0),Inputs!X303,Inputs!$F$38))</f>
        <v>72</v>
      </c>
      <c r="Y37" s="13" t="n">
        <f aca="false">IF(Inputs!$F$312=1,INDEX(Inputs!$AJ$313:$AJ$1312,Inputs!$F$311),IF(AND(Inputs!$F$55=1,Inputs!Y303&gt;0),Inputs!Y303,Inputs!$F$38))</f>
        <v>72</v>
      </c>
      <c r="Z37" s="13" t="n">
        <f aca="false">IF(Inputs!$F$312=1,INDEX(Inputs!$AJ$313:$AJ$1312,Inputs!$F$311),IF(AND(Inputs!$F$55=1,Inputs!Z303&gt;0),Inputs!Z303,Inputs!$F$38))</f>
        <v>72</v>
      </c>
      <c r="AA37" s="13" t="n">
        <f aca="false">IF(Inputs!$F$312=1,INDEX(Inputs!$AJ$313:$AJ$1312,Inputs!$F$311),IF(AND(Inputs!$F$55=1,Inputs!AA303&gt;0),Inputs!AA303,Inputs!$F$38))</f>
        <v>72</v>
      </c>
      <c r="AB37" s="13" t="n">
        <f aca="false">IF(Inputs!$F$312=1,INDEX(Inputs!$AJ$313:$AJ$1312,Inputs!$F$311),IF(AND(Inputs!$F$55=1,Inputs!AB303&gt;0),Inputs!AB303,Inputs!$F$38))</f>
        <v>72</v>
      </c>
      <c r="AC37" s="13" t="n">
        <f aca="false">IF(Inputs!$F$312=1,INDEX(Inputs!$AJ$313:$AJ$1312,Inputs!$F$311),IF(AND(Inputs!$F$55=1,Inputs!AC303&gt;0),Inputs!AC303,Inputs!$F$38))</f>
        <v>72</v>
      </c>
      <c r="AD37" s="13" t="n">
        <f aca="false">IF(Inputs!$F$312=1,INDEX(Inputs!$AJ$313:$AJ$1312,Inputs!$F$311),IF(AND(Inputs!$F$55=1,Inputs!AD303&gt;0),Inputs!AD303,Inputs!$F$38))</f>
        <v>72</v>
      </c>
      <c r="AE37" s="13" t="n">
        <f aca="false">IF(Inputs!$F$312=1,INDEX(Inputs!$AJ$313:$AJ$1312,Inputs!$F$311),IF(AND(Inputs!$F$55=1,Inputs!AE303&gt;0),Inputs!AE303,Inputs!$F$38))</f>
        <v>72</v>
      </c>
      <c r="AF37" s="13" t="n">
        <f aca="false">IF(Inputs!$F$312=1,INDEX(Inputs!$AJ$313:$AJ$1312,Inputs!$F$311),IF(AND(Inputs!$F$55=1,Inputs!AF303&gt;0),Inputs!AF303,Inputs!$F$38))</f>
        <v>72</v>
      </c>
      <c r="AG37" s="13" t="n">
        <f aca="false">IF(Inputs!$F$312=1,INDEX(Inputs!$AJ$313:$AJ$1312,Inputs!$F$311),IF(AND(Inputs!$F$55=1,Inputs!AG303&gt;0),Inputs!AG303,Inputs!$F$38))</f>
        <v>72</v>
      </c>
      <c r="AH37" s="13" t="n">
        <f aca="false">IF(Inputs!$F$312=1,INDEX(Inputs!$AJ$313:$AJ$1312,Inputs!$F$311),IF(AND(Inputs!$F$55=1,Inputs!AH303&gt;0),Inputs!AH303,Inputs!$F$38))</f>
        <v>72</v>
      </c>
      <c r="AI37" s="13" t="n">
        <f aca="false">IF(Inputs!$F$312=1,INDEX(Inputs!$AJ$313:$AJ$1312,Inputs!$F$311),IF(AND(Inputs!$F$55=1,Inputs!AI303&gt;0),Inputs!AI303,Inputs!$F$38))</f>
        <v>72</v>
      </c>
      <c r="AJ37" s="13" t="n">
        <f aca="false">IF(Inputs!$F$312=1,INDEX(Inputs!$AJ$313:$AJ$1312,Inputs!$F$311),IF(AND(Inputs!$F$55=1,Inputs!AJ303&gt;0),Inputs!AJ303,Inputs!$F$38))</f>
        <v>72</v>
      </c>
      <c r="AK37" s="13" t="n">
        <f aca="false">IF(Inputs!$F$312=1,INDEX(Inputs!$AJ$313:$AJ$1312,Inputs!$F$311),IF(AND(Inputs!$F$55=1,Inputs!AK303&gt;0),Inputs!AK303,Inputs!$F$38))</f>
        <v>72</v>
      </c>
      <c r="AL37" s="13" t="n">
        <f aca="false">IF(Inputs!$F$312=1,INDEX(Inputs!$AJ$313:$AJ$1312,Inputs!$F$311),IF(AND(Inputs!$F$55=1,Inputs!AL303&gt;0),Inputs!AL303,Inputs!$F$38))</f>
        <v>72</v>
      </c>
      <c r="AM37" s="13" t="n">
        <f aca="false">IF(Inputs!$F$312=1,INDEX(Inputs!$AJ$313:$AJ$1312,Inputs!$F$311),IF(AND(Inputs!$F$55=1,Inputs!AM303&gt;0),Inputs!AM303,Inputs!$F$38))</f>
        <v>72</v>
      </c>
      <c r="AN37" s="13" t="n">
        <f aca="false">IF(Inputs!$F$312=1,INDEX(Inputs!$AJ$313:$AJ$1312,Inputs!$F$311),IF(AND(Inputs!$F$55=1,Inputs!AN303&gt;0),Inputs!AN303,Inputs!$F$38))</f>
        <v>72</v>
      </c>
      <c r="AO37" s="13" t="n">
        <f aca="false">IF(Inputs!$F$312=1,INDEX(Inputs!$AJ$313:$AJ$1312,Inputs!$F$311),IF(AND(Inputs!$F$55=1,Inputs!AO303&gt;0),Inputs!AO303,Inputs!$F$38))</f>
        <v>72</v>
      </c>
      <c r="AP37" s="13" t="n">
        <f aca="false">IF(Inputs!$F$312=1,INDEX(Inputs!$AJ$313:$AJ$1312,Inputs!$F$311),IF(AND(Inputs!$F$55=1,Inputs!AP303&gt;0),Inputs!AP303,Inputs!$F$38))</f>
        <v>72</v>
      </c>
      <c r="AQ37" s="13" t="n">
        <f aca="false">IF(Inputs!$F$312=1,INDEX(Inputs!$AJ$313:$AJ$1312,Inputs!$F$311),IF(AND(Inputs!$F$55=1,Inputs!AQ303&gt;0),Inputs!AQ303,Inputs!$F$38))</f>
        <v>72</v>
      </c>
      <c r="AR37" s="13" t="n">
        <f aca="false">IF(Inputs!$F$312=1,INDEX(Inputs!$AJ$313:$AJ$1312,Inputs!$F$311),IF(AND(Inputs!$F$55=1,Inputs!AR303&gt;0),Inputs!AR303,Inputs!$F$38))</f>
        <v>72</v>
      </c>
      <c r="AS37" s="13" t="n">
        <f aca="false">IF(Inputs!$F$312=1,INDEX(Inputs!$AJ$313:$AJ$1312,Inputs!$F$311),IF(AND(Inputs!$F$55=1,Inputs!AS303&gt;0),Inputs!AS303,Inputs!$F$38))</f>
        <v>72</v>
      </c>
      <c r="AT37" s="13" t="n">
        <f aca="false">IF(Inputs!$F$312=1,INDEX(Inputs!$AJ$313:$AJ$1312,Inputs!$F$311),IF(AND(Inputs!$F$55=1,Inputs!AT303&gt;0),Inputs!AT303,Inputs!$F$38))</f>
        <v>72</v>
      </c>
      <c r="AU37" s="13" t="n">
        <f aca="false">IF(Inputs!$F$312=1,INDEX(Inputs!$AJ$313:$AJ$1312,Inputs!$F$311),IF(AND(Inputs!$F$55=1,Inputs!AU303&gt;0),Inputs!AU303,Inputs!$F$38))</f>
        <v>72</v>
      </c>
      <c r="AV37" s="13" t="n">
        <f aca="false">IF(Inputs!$F$312=1,INDEX(Inputs!$AJ$313:$AJ$1312,Inputs!$F$311),IF(AND(Inputs!$F$55=1,Inputs!AV303&gt;0),Inputs!AV303,Inputs!$F$38))</f>
        <v>72</v>
      </c>
      <c r="AW37" s="13" t="n">
        <f aca="false">IF(Inputs!$F$312=1,INDEX(Inputs!$AJ$313:$AJ$1312,Inputs!$F$311),IF(AND(Inputs!$F$55=1,Inputs!AW303&gt;0),Inputs!AW303,Inputs!$F$38))</f>
        <v>72</v>
      </c>
      <c r="AX37" s="13" t="n">
        <f aca="false">IF(Inputs!$F$312=1,INDEX(Inputs!$AJ$313:$AJ$1312,Inputs!$F$311),IF(AND(Inputs!$F$55=1,Inputs!AX303&gt;0),Inputs!AX303,Inputs!$F$38))</f>
        <v>72</v>
      </c>
      <c r="AY37" s="13" t="n">
        <f aca="false">IF(Inputs!$F$312=1,INDEX(Inputs!$AJ$313:$AJ$1312,Inputs!$F$311),IF(AND(Inputs!$F$55=1,Inputs!AY303&gt;0),Inputs!AY303,Inputs!$F$38))</f>
        <v>72</v>
      </c>
      <c r="AZ37" s="13" t="n">
        <f aca="false">IF(Inputs!$F$312=1,INDEX(Inputs!$AJ$313:$AJ$1312,Inputs!$F$311),IF(AND(Inputs!$F$55=1,Inputs!AZ303&gt;0),Inputs!AZ303,Inputs!$F$38))</f>
        <v>72</v>
      </c>
      <c r="BA37" s="13" t="n">
        <f aca="false">IF(Inputs!$F$312=1,INDEX(Inputs!$AJ$313:$AJ$1312,Inputs!$F$311),IF(AND(Inputs!$F$55=1,Inputs!BA303&gt;0),Inputs!BA303,Inputs!$F$38))</f>
        <v>72</v>
      </c>
      <c r="BB37" s="13" t="n">
        <f aca="false">IF(Inputs!$F$312=1,INDEX(Inputs!$AJ$313:$AJ$1312,Inputs!$F$311),IF(AND(Inputs!$F$55=1,Inputs!BB303&gt;0),Inputs!BB303,Inputs!$F$38))</f>
        <v>72</v>
      </c>
      <c r="BC37" s="13" t="n">
        <f aca="false">IF(Inputs!$F$312=1,INDEX(Inputs!$AJ$313:$AJ$1312,Inputs!$F$311),IF(AND(Inputs!$F$55=1,Inputs!BC303&gt;0),Inputs!BC303,Inputs!$F$38))</f>
        <v>72</v>
      </c>
      <c r="BD37" s="13" t="n">
        <f aca="false">IF(Inputs!$F$312=1,INDEX(Inputs!$AJ$313:$AJ$1312,Inputs!$F$311),IF(AND(Inputs!$F$55=1,Inputs!BD303&gt;0),Inputs!BD303,Inputs!$F$38))</f>
        <v>72</v>
      </c>
      <c r="BE37" s="13" t="n">
        <f aca="false">IF(Inputs!$F$312=1,INDEX(Inputs!$AJ$313:$AJ$1312,Inputs!$F$311),IF(AND(Inputs!$F$55=1,Inputs!BE303&gt;0),Inputs!BE303,Inputs!$F$38))</f>
        <v>72</v>
      </c>
      <c r="BF37" s="13" t="n">
        <f aca="false">IF(Inputs!$F$312=1,INDEX(Inputs!$AJ$313:$AJ$1312,Inputs!$F$311),IF(AND(Inputs!$F$55=1,Inputs!BF303&gt;0),Inputs!BF303,Inputs!$F$38))</f>
        <v>72</v>
      </c>
      <c r="BG37" s="13" t="n">
        <f aca="false">IF(Inputs!$F$312=1,INDEX(Inputs!$AJ$313:$AJ$1312,Inputs!$F$311),IF(AND(Inputs!$F$55=1,Inputs!BG303&gt;0),Inputs!BG303,Inputs!$F$38))</f>
        <v>72</v>
      </c>
      <c r="BH37" s="13" t="n">
        <f aca="false">IF(Inputs!$F$312=1,INDEX(Inputs!$AJ$313:$AJ$1312,Inputs!$F$311),IF(AND(Inputs!$F$55=1,Inputs!BH303&gt;0),Inputs!BH303,Inputs!$F$38))</f>
        <v>72</v>
      </c>
      <c r="BI37" s="13" t="n">
        <f aca="false">IF(Inputs!$F$312=1,INDEX(Inputs!$AJ$313:$AJ$1312,Inputs!$F$311),IF(AND(Inputs!$F$55=1,Inputs!BI303&gt;0),Inputs!BI303,Inputs!$F$38))</f>
        <v>72</v>
      </c>
      <c r="BJ37" s="13" t="n">
        <f aca="false">IF(Inputs!$F$312=1,INDEX(Inputs!$AJ$313:$AJ$1312,Inputs!$F$311),IF(AND(Inputs!$F$55=1,Inputs!BJ303&gt;0),Inputs!BJ303,Inputs!$F$38))</f>
        <v>72</v>
      </c>
      <c r="BK37" s="13" t="n">
        <f aca="false">IF(Inputs!$F$312=1,INDEX(Inputs!$AJ$313:$AJ$1312,Inputs!$F$311),IF(AND(Inputs!$F$55=1,Inputs!BK303&gt;0),Inputs!BK303,Inputs!$F$38))</f>
        <v>72</v>
      </c>
      <c r="BL37" s="13" t="n">
        <f aca="false">IF(Inputs!$F$312=1,INDEX(Inputs!$AJ$313:$AJ$1312,Inputs!$F$311),IF(AND(Inputs!$F$55=1,Inputs!BL303&gt;0),Inputs!BL303,Inputs!$F$38))</f>
        <v>72</v>
      </c>
      <c r="BM37" s="13" t="n">
        <f aca="false">IF(Inputs!$F$312=1,INDEX(Inputs!$AJ$313:$AJ$1312,Inputs!$F$311),IF(AND(Inputs!$F$55=1,Inputs!BM303&gt;0),Inputs!BM303,Inputs!$F$38))</f>
        <v>72</v>
      </c>
      <c r="BN37" s="13" t="n">
        <f aca="false">IF(Inputs!$F$312=1,INDEX(Inputs!$AJ$313:$AJ$1312,Inputs!$F$311),IF(AND(Inputs!$F$55=1,Inputs!BN303&gt;0),Inputs!BN303,Inputs!$F$38))</f>
        <v>72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574303.891448549</v>
      </c>
      <c r="P38" s="15" t="n">
        <f aca="false">$F$34*Inputs!$F$215*Time!P30*P32/100*P37/100*P36</f>
        <v>1722050.11081303</v>
      </c>
      <c r="Q38" s="15" t="n">
        <f aca="false">$F$34*Inputs!$F$215*Time!Q30*Q32/100*Q37/100*Q36</f>
        <v>1715254.27585895</v>
      </c>
      <c r="R38" s="15" t="n">
        <f aca="false">$F$34*Inputs!$F$215*Time!R30*R32/100*R37/100*R36</f>
        <v>1702967.35115129</v>
      </c>
      <c r="S38" s="15" t="n">
        <f aca="false">$F$34*Inputs!$F$215*Time!S30*S32/100*S37/100*S36</f>
        <v>1707182.62880806</v>
      </c>
      <c r="T38" s="15" t="n">
        <f aca="false">$F$34*Inputs!$F$215*Time!T30*T32/100*T37/100*T36</f>
        <v>1716880.72961735</v>
      </c>
      <c r="U38" s="15" t="n">
        <f aca="false">$F$34*Inputs!$F$215*Time!U30*U32/100*U37/100*U36</f>
        <v>1696079.20581871</v>
      </c>
      <c r="V38" s="15" t="n">
        <f aca="false">$F$34*Inputs!$F$215*Time!V30*V32/100*V37/100*V36</f>
        <v>1655812.59205935</v>
      </c>
      <c r="W38" s="15" t="n">
        <f aca="false">$F$34*Inputs!$F$215*Time!W30*W32/100*W37/100*W36</f>
        <v>1674044.1214398</v>
      </c>
      <c r="X38" s="15" t="n">
        <f aca="false">$F$34*Inputs!$F$215*Time!X30*X32/100*X37/100*X36</f>
        <v>1711711.34842166</v>
      </c>
      <c r="Y38" s="15" t="n">
        <f aca="false">$F$34*Inputs!$F$215*Time!Y30*Y32/100*Y37/100*Y36</f>
        <v>1704948.57987181</v>
      </c>
      <c r="Z38" s="15" t="n">
        <f aca="false">$F$34*Inputs!$F$215*Time!Z30*Z32/100*Z37/100*Z36</f>
        <v>1692727.78797263</v>
      </c>
      <c r="AA38" s="15" t="n">
        <f aca="false">$F$34*Inputs!$F$215*Time!AA30*AA32/100*AA37/100*AA36</f>
        <v>1696909.99922516</v>
      </c>
      <c r="AB38" s="15" t="n">
        <f aca="false">$F$34*Inputs!$F$215*Time!AB30*AB32/100*AB37/100*AB36</f>
        <v>1706541.96722597</v>
      </c>
      <c r="AC38" s="15" t="n">
        <f aca="false">$F$34*Inputs!$F$215*Time!AC30*AC32/100*AC37/100*AC36</f>
        <v>1674344.24498381</v>
      </c>
      <c r="AD38" s="15" t="n">
        <f aca="false">$F$34*Inputs!$F$215*Time!AD30*AD32/100*AD37/100*AD36</f>
        <v>1611311.41190741</v>
      </c>
      <c r="AE38" s="15" t="n">
        <f aca="false">$F$34*Inputs!$F$215*Time!AE30*AE32/100*AE37/100*AE36</f>
        <v>1640947.86558806</v>
      </c>
      <c r="AF38" s="15" t="n">
        <f aca="false">$F$34*Inputs!$F$215*Time!AF30*AF32/100*AF37/100*AF36</f>
        <v>1701372.58603029</v>
      </c>
      <c r="AG38" s="15" t="n">
        <f aca="false">$F$34*Inputs!$F$215*Time!AG30*AG32/100*AG37/100*AG36</f>
        <v>1694642.88388468</v>
      </c>
      <c r="AH38" s="15" t="n">
        <f aca="false">$F$34*Inputs!$F$215*Time!AH30*AH32/100*AH37/100*AH36</f>
        <v>1682488.22479397</v>
      </c>
      <c r="AI38" s="15" t="n">
        <f aca="false">$F$34*Inputs!$F$215*Time!AI30*AI32/100*AI37/100*AI36</f>
        <v>1686637.36964226</v>
      </c>
      <c r="AJ38" s="15" t="n">
        <f aca="false">$F$34*Inputs!$F$215*Time!AJ30*AJ32/100*AJ37/100*AJ36</f>
        <v>1696203.2048346</v>
      </c>
      <c r="AK38" s="15" t="n">
        <f aca="false">$F$34*Inputs!$F$215*Time!AK30*AK32/100*AK37/100*AK36</f>
        <v>1675636.81991054</v>
      </c>
      <c r="AL38" s="15" t="n">
        <f aca="false">$F$34*Inputs!$F$215*Time!AL30*AL32/100*AL37/100*AL36</f>
        <v>1635840.48390032</v>
      </c>
      <c r="AM38" s="15" t="n">
        <f aca="false">$F$34*Inputs!$F$215*Time!AM30*AM32/100*AM37/100*AM36</f>
        <v>1653836.8744062</v>
      </c>
      <c r="AN38" s="15" t="n">
        <f aca="false">$F$34*Inputs!$F$215*Time!AN30*AN32/100*AN37/100*AN36</f>
        <v>1691033.82363891</v>
      </c>
      <c r="AO38" s="15" t="n">
        <f aca="false">$F$34*Inputs!$F$215*Time!AO30*AO32/100*AO37/100*AO36</f>
        <v>1684337.18789754</v>
      </c>
      <c r="AP38" s="15" t="n">
        <f aca="false">$F$34*Inputs!$F$215*Time!AP30*AP32/100*AP37/100*AP36</f>
        <v>1672248.6616153</v>
      </c>
      <c r="AQ38" s="15" t="n">
        <f aca="false">$F$34*Inputs!$F$215*Time!AQ30*AQ32/100*AQ37/100*AQ36</f>
        <v>1676364.74005936</v>
      </c>
      <c r="AR38" s="15" t="n">
        <f aca="false">$F$34*Inputs!$F$215*Time!AR30*AR32/100*AR37/100*AR36</f>
        <v>1685864.44244323</v>
      </c>
      <c r="AS38" s="15" t="n">
        <f aca="false">$F$34*Inputs!$F$215*Time!AS30*AS32/100*AS37/100*AS36</f>
        <v>1654041.47278242</v>
      </c>
      <c r="AT38" s="15" t="n">
        <f aca="false">$F$34*Inputs!$F$215*Time!AT30*AT32/100*AT37/100*AT36</f>
        <v>1591758.14486872</v>
      </c>
      <c r="AU38" s="15" t="n">
        <f aca="false">$F$34*Inputs!$F$215*Time!AU30*AU32/100*AU37/100*AU36</f>
        <v>1621019.84596802</v>
      </c>
      <c r="AV38" s="15" t="n">
        <f aca="false">$F$34*Inputs!$F$215*Time!AV30*AV32/100*AV37/100*AV36</f>
        <v>1680695.06124754</v>
      </c>
      <c r="AW38" s="15" t="n">
        <f aca="false">$F$34*Inputs!$F$215*Time!AW30*AW32/100*AW37/100*AW36</f>
        <v>1674031.4919104</v>
      </c>
      <c r="AX38" s="15" t="n">
        <f aca="false">$F$34*Inputs!$F$215*Time!AX30*AX32/100*AX37/100*AX36</f>
        <v>1662009.09843664</v>
      </c>
      <c r="AY38" s="15" t="n">
        <f aca="false">$F$34*Inputs!$F$215*Time!AY30*AY32/100*AY37/100*AY36</f>
        <v>1666092.11047646</v>
      </c>
      <c r="AZ38" s="15" t="n">
        <f aca="false">$F$34*Inputs!$F$215*Time!AZ30*AZ32/100*AZ37/100*AZ36</f>
        <v>1675525.68005185</v>
      </c>
      <c r="BA38" s="15" t="n">
        <f aca="false">$F$34*Inputs!$F$215*Time!BA30*BA32/100*BA37/100*BA36</f>
        <v>1655194.43400237</v>
      </c>
      <c r="BB38" s="15" t="n">
        <f aca="false">$F$34*Inputs!$F$215*Time!BB30*BB32/100*BB37/100*BB36</f>
        <v>1615868.37574129</v>
      </c>
      <c r="BC38" s="15" t="n">
        <f aca="false">$F$34*Inputs!$F$215*Time!BC30*BC32/100*BC37/100*BC36</f>
        <v>1633629.6273726</v>
      </c>
      <c r="BD38" s="15" t="n">
        <f aca="false">$F$34*Inputs!$F$215*Time!BD30*BD32/100*BD37/100*BD36</f>
        <v>1670356.29885617</v>
      </c>
      <c r="BE38" s="15" t="n">
        <f aca="false">$F$34*Inputs!$F$215*Time!BE30*BE32/100*BE37/100*BE36</f>
        <v>1663725.79592327</v>
      </c>
      <c r="BF38" s="15" t="n">
        <f aca="false">$F$34*Inputs!$F$215*Time!BF30*BF32/100*BF37/100*BF36</f>
        <v>1651769.53525798</v>
      </c>
      <c r="BG38" s="15" t="n">
        <f aca="false">$F$34*Inputs!$F$215*Time!BG30*BG32/100*BG37/100*BG36</f>
        <v>1655819.48089356</v>
      </c>
      <c r="BH38" s="15" t="n">
        <f aca="false">$F$34*Inputs!$F$215*Time!BH30*BH32/100*BH37/100*BH36</f>
        <v>1665186.91766048</v>
      </c>
      <c r="BI38" s="15" t="n">
        <f aca="false">$F$34*Inputs!$F$215*Time!BI30*BI32/100*BI37/100*BI36</f>
        <v>1633738.70058102</v>
      </c>
      <c r="BJ38" s="15" t="n">
        <f aca="false">$F$34*Inputs!$F$215*Time!BJ30*BJ32/100*BJ37/100*BJ36</f>
        <v>1572204.87783002</v>
      </c>
      <c r="BK38" s="15" t="n">
        <f aca="false">$F$34*Inputs!$F$215*Time!BK30*BK32/100*BK37/100*BK36</f>
        <v>1601091.82634797</v>
      </c>
      <c r="BL38" s="15" t="n">
        <f aca="false">$F$34*Inputs!$F$215*Time!BL30*BL32/100*BL37/100*BL36</f>
        <v>1660017.5364648</v>
      </c>
      <c r="BM38" s="15" t="n">
        <f aca="false">$F$34*Inputs!$F$215*Time!BM30*BM32/100*BM37/100*BM36</f>
        <v>1105960.38803268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3894299.10386367</v>
      </c>
      <c r="P42" s="15" t="n">
        <f aca="false">P38*P39*(1000*Inputs!$F$123/Inputs!$F$124)</f>
        <v>11681725.4876804</v>
      </c>
      <c r="Q42" s="15" t="n">
        <f aca="false">Q38*Q39*(1000*Inputs!$F$123/Inputs!$F$124)</f>
        <v>11642603.0438272</v>
      </c>
      <c r="R42" s="15" t="n">
        <f aca="false">R38*R39*(1000*Inputs!$F$123/Inputs!$F$124)</f>
        <v>11566131.1897408</v>
      </c>
      <c r="S42" s="15" t="n">
        <f aca="false">S38*S39*(1000*Inputs!$F$123/Inputs!$F$124)</f>
        <v>11601705.3580069</v>
      </c>
      <c r="T42" s="15" t="n">
        <f aca="false">T38*T39*(1000*Inputs!$F$123/Inputs!$F$124)</f>
        <v>11674596.4054247</v>
      </c>
      <c r="U42" s="15" t="n">
        <f aca="false">U38*U39*(1000*Inputs!$F$123/Inputs!$F$124)</f>
        <v>11540048.2559552</v>
      </c>
      <c r="V42" s="15" t="n">
        <f aca="false">V38*V39*(1000*Inputs!$F$123/Inputs!$F$124)</f>
        <v>11272812.0578001</v>
      </c>
      <c r="W42" s="15" t="n">
        <f aca="false">W38*W39*(1000*Inputs!$F$123/Inputs!$F$124)</f>
        <v>11403742.9871633</v>
      </c>
      <c r="X42" s="15" t="n">
        <f aca="false">X38*X39*(1000*Inputs!$F$123/Inputs!$F$124)</f>
        <v>11667299.0852397</v>
      </c>
      <c r="Y42" s="15" t="n">
        <f aca="false">Y38*Y39*(1000*Inputs!$F$123/Inputs!$F$124)</f>
        <v>11628138.9313389</v>
      </c>
      <c r="Z42" s="15" t="n">
        <f aca="false">Z38*Z39*(1000*Inputs!$F$123/Inputs!$F$124)</f>
        <v>11551676.5832336</v>
      </c>
      <c r="AA42" s="15" t="n">
        <f aca="false">AA38*AA39*(1000*Inputs!$F$123/Inputs!$F$124)</f>
        <v>11587120.4926551</v>
      </c>
      <c r="AB42" s="15" t="n">
        <f aca="false">AB38*AB39*(1000*Inputs!$F$123/Inputs!$F$124)</f>
        <v>11659833.5271253</v>
      </c>
      <c r="AC42" s="15" t="n">
        <f aca="false">AC38*AC39*(1000*Inputs!$F$123/Inputs!$F$124)</f>
        <v>11446656.2081418</v>
      </c>
      <c r="AD42" s="15" t="n">
        <f aca="false">AD38*AD39*(1000*Inputs!$F$123/Inputs!$F$124)</f>
        <v>11022287.2104426</v>
      </c>
      <c r="AE42" s="15" t="n">
        <f aca="false">AE38*AE39*(1000*Inputs!$F$123/Inputs!$F$124)</f>
        <v>11231693.0202219</v>
      </c>
      <c r="AF42" s="15" t="n">
        <f aca="false">AF38*AF39*(1000*Inputs!$F$123/Inputs!$F$124)</f>
        <v>11652199.7310816</v>
      </c>
      <c r="AG42" s="15" t="n">
        <f aca="false">AG38*AG39*(1000*Inputs!$F$123/Inputs!$F$124)</f>
        <v>11613004.0194308</v>
      </c>
      <c r="AH42" s="15" t="n">
        <f aca="false">AH38*AH39*(1000*Inputs!$F$123/Inputs!$F$124)</f>
        <v>11536555.4819018</v>
      </c>
      <c r="AI42" s="15" t="n">
        <f aca="false">AI38*AI39*(1000*Inputs!$F$123/Inputs!$F$124)</f>
        <v>11571866.9801812</v>
      </c>
      <c r="AJ42" s="15" t="n">
        <f aca="false">AJ38*AJ39*(1000*Inputs!$F$123/Inputs!$F$124)</f>
        <v>11644397.6971085</v>
      </c>
      <c r="AK42" s="15" t="n">
        <f aca="false">AK38*AK39*(1000*Inputs!$F$123/Inputs!$F$124)</f>
        <v>11510026.6339029</v>
      </c>
      <c r="AL42" s="15" t="n">
        <f aca="false">AL38*AL39*(1000*Inputs!$F$123/Inputs!$F$124)</f>
        <v>11243318.5856653</v>
      </c>
      <c r="AM42" s="15" t="n">
        <f aca="false">AM38*AM39*(1000*Inputs!$F$123/Inputs!$F$124)</f>
        <v>11373737.8660593</v>
      </c>
      <c r="AN42" s="15" t="n">
        <f aca="false">AN38*AN39*(1000*Inputs!$F$123/Inputs!$F$124)</f>
        <v>11636427.4252061</v>
      </c>
      <c r="AO42" s="15" t="n">
        <f aca="false">AO38*AO39*(1000*Inputs!$F$123/Inputs!$F$124)</f>
        <v>11597198.3081029</v>
      </c>
      <c r="AP42" s="15" t="n">
        <f aca="false">AP38*AP39*(1000*Inputs!$F$123/Inputs!$F$124)</f>
        <v>11520767.8857454</v>
      </c>
      <c r="AQ42" s="15" t="n">
        <f aca="false">AQ38*AQ39*(1000*Inputs!$F$123/Inputs!$F$124)</f>
        <v>11555944.8205851</v>
      </c>
      <c r="AR42" s="15" t="n">
        <f aca="false">AR38*AR39*(1000*Inputs!$F$123/Inputs!$F$124)</f>
        <v>11628288.9153744</v>
      </c>
      <c r="AS42" s="15" t="n">
        <f aca="false">AS38*AS39*(1000*Inputs!$F$123/Inputs!$F$124)</f>
        <v>11415518.1116008</v>
      </c>
      <c r="AT42" s="15" t="n">
        <f aca="false">AT38*AT39*(1000*Inputs!$F$123/Inputs!$F$124)</f>
        <v>10992139.5295154</v>
      </c>
      <c r="AU42" s="15" t="n">
        <f aca="false">AU38*AU39*(1000*Inputs!$F$123/Inputs!$F$124)</f>
        <v>11200805.3973145</v>
      </c>
      <c r="AV42" s="15" t="n">
        <f aca="false">AV38*AV39*(1000*Inputs!$F$123/Inputs!$F$124)</f>
        <v>11619982.1676133</v>
      </c>
      <c r="AW42" s="15" t="n">
        <f aca="false">AW38*AW39*(1000*Inputs!$F$123/Inputs!$F$124)</f>
        <v>11580721.7973554</v>
      </c>
      <c r="AX42" s="15" t="n">
        <f aca="false">AX38*AX39*(1000*Inputs!$F$123/Inputs!$F$124)</f>
        <v>11504313.7947645</v>
      </c>
      <c r="AY42" s="15" t="n">
        <f aca="false">AY38*AY39*(1000*Inputs!$F$123/Inputs!$F$124)</f>
        <v>11539354.0138669</v>
      </c>
      <c r="AZ42" s="15" t="n">
        <f aca="false">AZ38*AZ39*(1000*Inputs!$F$123/Inputs!$F$124)</f>
        <v>11611507.1819229</v>
      </c>
      <c r="BA42" s="15" t="n">
        <f aca="false">BA38*BA39*(1000*Inputs!$F$123/Inputs!$F$124)</f>
        <v>11477343.815436</v>
      </c>
      <c r="BB42" s="15" t="n">
        <f aca="false">BB38*BB39*(1000*Inputs!$F$123/Inputs!$F$124)</f>
        <v>11211225.1380255</v>
      </c>
      <c r="BC42" s="15" t="n">
        <f aca="false">BC38*BC39*(1000*Inputs!$F$123/Inputs!$F$124)</f>
        <v>11341102.1589955</v>
      </c>
      <c r="BD42" s="15" t="n">
        <f aca="false">BD38*BD39*(1000*Inputs!$F$123/Inputs!$F$124)</f>
        <v>11602863.9583032</v>
      </c>
      <c r="BE42" s="15" t="n">
        <f aca="false">BE38*BE39*(1000*Inputs!$F$123/Inputs!$F$124)</f>
        <v>11563574.487188</v>
      </c>
      <c r="BF42" s="15" t="n">
        <f aca="false">BF38*BF39*(1000*Inputs!$F$123/Inputs!$F$124)</f>
        <v>11487193.2089591</v>
      </c>
      <c r="BG42" s="15" t="n">
        <f aca="false">BG38*BG39*(1000*Inputs!$F$123/Inputs!$F$124)</f>
        <v>11522094.5600265</v>
      </c>
      <c r="BH42" s="15" t="n">
        <f aca="false">BH38*BH39*(1000*Inputs!$F$123/Inputs!$F$124)</f>
        <v>11594052.4967541</v>
      </c>
      <c r="BI42" s="15" t="n">
        <f aca="false">BI38*BI39*(1000*Inputs!$F$123/Inputs!$F$124)</f>
        <v>11381736.9936027</v>
      </c>
      <c r="BJ42" s="15" t="n">
        <f aca="false">BJ38*BJ39*(1000*Inputs!$F$123/Inputs!$F$124)</f>
        <v>10959446.3979559</v>
      </c>
      <c r="BK42" s="15" t="n">
        <f aca="false">BK38*BK39*(1000*Inputs!$F$123/Inputs!$F$124)</f>
        <v>11167323.5383623</v>
      </c>
      <c r="BL42" s="15" t="n">
        <f aca="false">BL38*BL39*(1000*Inputs!$F$123/Inputs!$F$124)</f>
        <v>11585072.7972757</v>
      </c>
      <c r="BM42" s="15" t="n">
        <f aca="false">BM38*BM39*(1000*Inputs!$F$123/Inputs!$F$124)</f>
        <v>7722120.56717998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457.234585351882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2.36839691109476</v>
      </c>
      <c r="P50" s="13" t="n">
        <f aca="false">P38*P49/1000000</f>
        <v>7.17933072147889</v>
      </c>
      <c r="Q50" s="13" t="n">
        <f aca="false">Q38*Q49/1000000</f>
        <v>7.22923151825704</v>
      </c>
      <c r="R50" s="13" t="n">
        <f aca="false">R38*R49/1000000</f>
        <v>7.25596856410652</v>
      </c>
      <c r="S50" s="13" t="n">
        <f aca="false">S38*S49/1000000</f>
        <v>7.35350685400336</v>
      </c>
      <c r="T50" s="13" t="n">
        <f aca="false">T38*T49/1000000</f>
        <v>7.47618591223712</v>
      </c>
      <c r="U50" s="13" t="n">
        <f aca="false">U38*U49/1000000</f>
        <v>7.46640500626944</v>
      </c>
      <c r="V50" s="13" t="n">
        <f aca="false">V38*V49/1000000</f>
        <v>7.36888948477391</v>
      </c>
      <c r="W50" s="13" t="n">
        <f aca="false">W38*W49/1000000</f>
        <v>7.53152999942985</v>
      </c>
      <c r="X50" s="13" t="n">
        <f aca="false">X38*X49/1000000</f>
        <v>7.78524506747455</v>
      </c>
      <c r="Y50" s="13" t="n">
        <f aca="false">Y38*Y49/1000000</f>
        <v>7.83932178310342</v>
      </c>
      <c r="Z50" s="13" t="n">
        <f aca="false">Z38*Z49/1000000</f>
        <v>7.86827947882185</v>
      </c>
      <c r="AA50" s="13" t="n">
        <f aca="false">AA38*AA49/1000000</f>
        <v>7.97401247102339</v>
      </c>
      <c r="AB50" s="13" t="n">
        <f aca="false">AB38*AB49/1000000</f>
        <v>8.10700652465728</v>
      </c>
      <c r="AC50" s="13" t="n">
        <f aca="false">AC38*AC49/1000000</f>
        <v>8.04106830539273</v>
      </c>
      <c r="AD50" s="13" t="n">
        <f aca="false">AD38*AD49/1000000</f>
        <v>7.82301077432059</v>
      </c>
      <c r="AE50" s="13" t="n">
        <f aca="false">AE38*AE49/1000000</f>
        <v>8.05405658865189</v>
      </c>
      <c r="AF50" s="13" t="n">
        <f aca="false">AF38*AF49/1000000</f>
        <v>8.44198880781372</v>
      </c>
      <c r="AG50" s="13" t="n">
        <f aca="false">AG38*AG49/1000000</f>
        <v>8.50058826970747</v>
      </c>
      <c r="AH50" s="13" t="n">
        <f aca="false">AH38*AH49/1000000</f>
        <v>8.53194938660919</v>
      </c>
      <c r="AI50" s="13" t="n">
        <f aca="false">AI38*AI49/1000000</f>
        <v>8.64656087453309</v>
      </c>
      <c r="AJ50" s="13" t="n">
        <f aca="false">AJ38*AJ49/1000000</f>
        <v>8.79073143736947</v>
      </c>
      <c r="AK50" s="13" t="n">
        <f aca="false">AK38*AK49/1000000</f>
        <v>8.77915012459341</v>
      </c>
      <c r="AL50" s="13" t="n">
        <f aca="false">AL38*AL49/1000000</f>
        <v>8.66440971374117</v>
      </c>
      <c r="AM50" s="13" t="n">
        <f aca="false">AM38*AM49/1000000</f>
        <v>8.85556239521915</v>
      </c>
      <c r="AN50" s="13" t="n">
        <f aca="false">AN38*AN49/1000000</f>
        <v>9.15379577208578</v>
      </c>
      <c r="AO50" s="13" t="n">
        <f aca="false">AO38*AO49/1000000</f>
        <v>9.21729335298088</v>
      </c>
      <c r="AP50" s="13" t="n">
        <f aca="false">AP38*AP49/1000000</f>
        <v>9.25125553960494</v>
      </c>
      <c r="AQ50" s="13" t="n">
        <f aca="false">AQ38*AQ49/1000000</f>
        <v>9.37548591330346</v>
      </c>
      <c r="AR50" s="13" t="n">
        <f aca="false">AR38*AR49/1000000</f>
        <v>9.53176588435542</v>
      </c>
      <c r="AS50" s="13" t="n">
        <f aca="false">AS38*AS49/1000000</f>
        <v>9.4541515250124</v>
      </c>
      <c r="AT50" s="13" t="n">
        <f aca="false">AT38*AT49/1000000</f>
        <v>9.19768840401151</v>
      </c>
      <c r="AU50" s="13" t="n">
        <f aca="false">AU38*AU49/1000000</f>
        <v>9.46924583575337</v>
      </c>
      <c r="AV50" s="13" t="n">
        <f aca="false">AV38*AV49/1000000</f>
        <v>9.9252494701576</v>
      </c>
      <c r="AW50" s="13" t="n">
        <f aca="false">AW38*AW49/1000000</f>
        <v>9.99405141160341</v>
      </c>
      <c r="AX50" s="13" t="n">
        <f aca="false">AX38*AX49/1000000</f>
        <v>10.0308283880253</v>
      </c>
      <c r="AY50" s="13" t="n">
        <f aca="false">AY38*AY49/1000000</f>
        <v>10.1654792728761</v>
      </c>
      <c r="AZ50" s="13" t="n">
        <f aca="false">AZ38*AZ49/1000000</f>
        <v>10.3348787950234</v>
      </c>
      <c r="BA50" s="13" t="n">
        <f aca="false">BA38*BA49/1000000</f>
        <v>10.3211660309494</v>
      </c>
      <c r="BB50" s="13" t="n">
        <f aca="false">BB38*BB49/1000000</f>
        <v>10.1861760157167</v>
      </c>
      <c r="BC50" s="13" t="n">
        <f aca="false">BC38*BC49/1000000</f>
        <v>10.4108033719646</v>
      </c>
      <c r="BD50" s="13" t="n">
        <f aca="false">BD38*BD49/1000000</f>
        <v>10.761311677415</v>
      </c>
      <c r="BE50" s="13" t="n">
        <f aca="false">BE38*BE49/1000000</f>
        <v>10.835857599785</v>
      </c>
      <c r="BF50" s="13" t="n">
        <f aca="false">BF38*BF49/1000000</f>
        <v>10.8756804461118</v>
      </c>
      <c r="BG50" s="13" t="n">
        <f aca="false">BG38*BG49/1000000</f>
        <v>11.0216197171281</v>
      </c>
      <c r="BH50" s="13" t="n">
        <f aca="false">BH38*BH49/1000000</f>
        <v>11.205232510975</v>
      </c>
      <c r="BI50" s="13" t="n">
        <f aca="false">BI38*BI49/1000000</f>
        <v>11.113885730996</v>
      </c>
      <c r="BJ50" s="13" t="n">
        <f aca="false">BJ38*BJ49/1000000</f>
        <v>10.8122957769278</v>
      </c>
      <c r="BK50" s="13" t="n">
        <f aca="false">BK38*BK49/1000000</f>
        <v>11.1314173629225</v>
      </c>
      <c r="BL50" s="13" t="n">
        <f aca="false">BL38*BL49/1000000</f>
        <v>11.667353327159</v>
      </c>
      <c r="BM50" s="13" t="n">
        <f aca="false">BM38*BM49/1000000</f>
        <v>7.85822924435455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4599.36577715673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24.2627008937847</v>
      </c>
      <c r="P51" s="13" t="n">
        <f aca="false">P38*P40*(1000*Inputs!$F$123/Inputs!$F$124)*P41/1000000</f>
        <v>72.7759526275028</v>
      </c>
      <c r="Q51" s="13" t="n">
        <f aca="false">Q38*Q40*(1000*Inputs!$F$123/Inputs!$F$124)*Q41/1000000</f>
        <v>73.975481208151</v>
      </c>
      <c r="R51" s="13" t="n">
        <f aca="false">R38*R40*(1000*Inputs!$F$123/Inputs!$F$124)*R41/1000000</f>
        <v>73.4822599102704</v>
      </c>
      <c r="S51" s="13" t="n">
        <f aca="false">S38*S40*(1000*Inputs!$F$123/Inputs!$F$124)*S41/1000000</f>
        <v>75.17494571943</v>
      </c>
      <c r="T51" s="13" t="n">
        <f aca="false">T38*T40*(1000*Inputs!$F$123/Inputs!$F$124)*T41/1000000</f>
        <v>75.6397254942039</v>
      </c>
      <c r="U51" s="13" t="n">
        <f aca="false">U38*U40*(1000*Inputs!$F$123/Inputs!$F$124)*U41/1000000</f>
        <v>76.2557661996923</v>
      </c>
      <c r="V51" s="13" t="n">
        <f aca="false">V38*V40*(1000*Inputs!$F$123/Inputs!$F$124)*V41/1000000</f>
        <v>74.4824926128489</v>
      </c>
      <c r="W51" s="13" t="n">
        <f aca="false">W38*W40*(1000*Inputs!$F$123/Inputs!$F$124)*W41/1000000</f>
        <v>76.8469166915968</v>
      </c>
      <c r="X51" s="13" t="n">
        <f aca="false">X38*X40*(1000*Inputs!$F$123/Inputs!$F$124)*X41/1000000</f>
        <v>78.61516371209</v>
      </c>
      <c r="Y51" s="13" t="n">
        <f aca="false">Y38*Y40*(1000*Inputs!$F$123/Inputs!$F$124)*Y41/1000000</f>
        <v>79.9104155359751</v>
      </c>
      <c r="Z51" s="13" t="n">
        <f aca="false">Z38*Z40*(1000*Inputs!$F$123/Inputs!$F$124)*Z41/1000000</f>
        <v>79.377105509786</v>
      </c>
      <c r="AA51" s="13" t="n">
        <f aca="false">AA38*AA40*(1000*Inputs!$F$123/Inputs!$F$124)*AA41/1000000</f>
        <v>81.2050501411663</v>
      </c>
      <c r="AB51" s="13" t="n">
        <f aca="false">AB38*AB40*(1000*Inputs!$F$123/Inputs!$F$124)*AB41/1000000</f>
        <v>81.7065775079112</v>
      </c>
      <c r="AC51" s="13" t="n">
        <f aca="false">AC38*AC40*(1000*Inputs!$F$123/Inputs!$F$124)*AC41/1000000</f>
        <v>81.8089240956146</v>
      </c>
      <c r="AD51" s="13" t="n">
        <f aca="false">AD38*AD40*(1000*Inputs!$F$123/Inputs!$F$124)*AD41/1000000</f>
        <v>78.7682165527954</v>
      </c>
      <c r="AE51" s="13" t="n">
        <f aca="false">AE38*AE40*(1000*Inputs!$F$123/Inputs!$F$124)*AE41/1000000</f>
        <v>81.8619300391864</v>
      </c>
      <c r="AF51" s="13" t="n">
        <f aca="false">AF38*AF40*(1000*Inputs!$F$123/Inputs!$F$124)*AF41/1000000</f>
        <v>84.9184415758167</v>
      </c>
      <c r="AG51" s="13" t="n">
        <f aca="false">AG38*AG40*(1000*Inputs!$F$123/Inputs!$F$124)*AG41/1000000</f>
        <v>86.3169786003738</v>
      </c>
      <c r="AH51" s="13" t="n">
        <f aca="false">AH38*AH40*(1000*Inputs!$F$123/Inputs!$F$124)*AH41/1000000</f>
        <v>85.7403488234929</v>
      </c>
      <c r="AI51" s="13" t="n">
        <f aca="false">AI38*AI40*(1000*Inputs!$F$123/Inputs!$F$124)*AI41/1000000</f>
        <v>87.7142533943758</v>
      </c>
      <c r="AJ51" s="13" t="n">
        <f aca="false">AJ38*AJ40*(1000*Inputs!$F$123/Inputs!$F$124)*AJ41/1000000</f>
        <v>88.2554012689944</v>
      </c>
      <c r="AK51" s="13" t="n">
        <f aca="false">AK38*AK40*(1000*Inputs!$F$123/Inputs!$F$124)*AK41/1000000</f>
        <v>88.9730209187975</v>
      </c>
      <c r="AL51" s="13" t="n">
        <f aca="false">AL38*AL40*(1000*Inputs!$F$123/Inputs!$F$124)*AL41/1000000</f>
        <v>86.9028746805759</v>
      </c>
      <c r="AM51" s="13" t="n">
        <f aca="false">AM38*AM40*(1000*Inputs!$F$123/Inputs!$F$124)*AM41/1000000</f>
        <v>89.6604009338069</v>
      </c>
      <c r="AN51" s="13" t="n">
        <f aca="false">AN38*AN40*(1000*Inputs!$F$123/Inputs!$F$124)*AN41/1000000</f>
        <v>91.722279020641</v>
      </c>
      <c r="AO51" s="13" t="n">
        <f aca="false">AO38*AO40*(1000*Inputs!$F$123/Inputs!$F$124)*AO41/1000000</f>
        <v>93.2322538067391</v>
      </c>
      <c r="AP51" s="13" t="n">
        <f aca="false">AP38*AP40*(1000*Inputs!$F$123/Inputs!$F$124)*AP41/1000000</f>
        <v>92.6088151835709</v>
      </c>
      <c r="AQ51" s="13" t="n">
        <f aca="false">AQ38*AQ40*(1000*Inputs!$F$123/Inputs!$F$124)*AQ41/1000000</f>
        <v>94.7402180107657</v>
      </c>
      <c r="AR51" s="13" t="n">
        <f aca="false">AR38*AR40*(1000*Inputs!$F$123/Inputs!$F$124)*AR41/1000000</f>
        <v>95.3240810025819</v>
      </c>
      <c r="AS51" s="13" t="n">
        <f aca="false">AS38*AS40*(1000*Inputs!$F$123/Inputs!$F$124)*AS41/1000000</f>
        <v>95.4422240882155</v>
      </c>
      <c r="AT51" s="13" t="n">
        <f aca="false">AT38*AT40*(1000*Inputs!$F$123/Inputs!$F$124)*AT41/1000000</f>
        <v>91.8935734702115</v>
      </c>
      <c r="AU51" s="13" t="n">
        <f aca="false">AU38*AU40*(1000*Inputs!$F$123/Inputs!$F$124)*AU41/1000000</f>
        <v>95.5015369441382</v>
      </c>
      <c r="AV51" s="13" t="n">
        <f aca="false">AV38*AV40*(1000*Inputs!$F$123/Inputs!$F$124)*AV41/1000000</f>
        <v>99.0660040301591</v>
      </c>
      <c r="AW51" s="13" t="n">
        <f aca="false">AW38*AW40*(1000*Inputs!$F$123/Inputs!$F$124)*AW41/1000000</f>
        <v>100.696205261975</v>
      </c>
      <c r="AX51" s="13" t="n">
        <f aca="false">AX38*AX40*(1000*Inputs!$F$123/Inputs!$F$124)*AX41/1000000</f>
        <v>100.022190213136</v>
      </c>
      <c r="AY51" s="13" t="n">
        <f aca="false">AY38*AY40*(1000*Inputs!$F$123/Inputs!$F$124)*AY41/1000000</f>
        <v>102.323531467976</v>
      </c>
      <c r="AZ51" s="13" t="n">
        <f aca="false">AZ38*AZ40*(1000*Inputs!$F$123/Inputs!$F$124)*AZ41/1000000</f>
        <v>102.953442722306</v>
      </c>
      <c r="BA51" s="13" t="n">
        <f aca="false">BA38*BA40*(1000*Inputs!$F$123/Inputs!$F$124)*BA41/1000000</f>
        <v>103.789194747798</v>
      </c>
      <c r="BB51" s="13" t="n">
        <f aca="false">BB38*BB40*(1000*Inputs!$F$123/Inputs!$F$124)*BB41/1000000</f>
        <v>101.372969920625</v>
      </c>
      <c r="BC51" s="13" t="n">
        <f aca="false">BC38*BC40*(1000*Inputs!$F$123/Inputs!$F$124)*BC41/1000000</f>
        <v>104.58825587595</v>
      </c>
      <c r="BD51" s="13" t="n">
        <f aca="false">BD38*BD40*(1000*Inputs!$F$123/Inputs!$F$124)*BD41/1000000</f>
        <v>106.991996926046</v>
      </c>
      <c r="BE51" s="13" t="n">
        <f aca="false">BE38*BE40*(1000*Inputs!$F$123/Inputs!$F$124)*BE41/1000000</f>
        <v>108.751898383974</v>
      </c>
      <c r="BF51" s="13" t="n">
        <f aca="false">BF38*BF40*(1000*Inputs!$F$123/Inputs!$F$124)*BF41/1000000</f>
        <v>108.023238839324</v>
      </c>
      <c r="BG51" s="13" t="n">
        <f aca="false">BG38*BG40*(1000*Inputs!$F$123/Inputs!$F$124)*BG41/1000000</f>
        <v>110.507930119183</v>
      </c>
      <c r="BH51" s="13" t="n">
        <f aca="false">BH38*BH40*(1000*Inputs!$F$123/Inputs!$F$124)*BH41/1000000</f>
        <v>111.187479414969</v>
      </c>
      <c r="BI51" s="13" t="n">
        <f aca="false">BI38*BI40*(1000*Inputs!$F$123/Inputs!$F$124)*BI41/1000000</f>
        <v>111.32379368244</v>
      </c>
      <c r="BJ51" s="13" t="n">
        <f aca="false">BJ38*BJ40*(1000*Inputs!$F$123/Inputs!$F$124)*BJ41/1000000</f>
        <v>107.183212797532</v>
      </c>
      <c r="BK51" s="13" t="n">
        <f aca="false">BK38*BK40*(1000*Inputs!$F$123/Inputs!$F$124)*BK41/1000000</f>
        <v>111.389991434017</v>
      </c>
      <c r="BL51" s="13" t="n">
        <f aca="false">BL38*BL40*(1000*Inputs!$F$123/Inputs!$F$124)*BL41/1000000</f>
        <v>115.545923871592</v>
      </c>
      <c r="BM51" s="13" t="n">
        <f aca="false">BM38*BM40*(1000*Inputs!$F$123/Inputs!$F$124)*BM41/1000000</f>
        <v>78.5521912726279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137.816040152181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0.773715028151503</v>
      </c>
      <c r="P53" s="13" t="n">
        <f aca="false">P42*Inputs!$F$148*(1+Inputs!$F$149/100)^(Time!P26-Inputs!$F$256)/1000000</f>
        <v>2.32091226777921</v>
      </c>
      <c r="Q53" s="13" t="n">
        <f aca="false">Q42*Inputs!$F$148*(1+Inputs!$F$149/100)^(Time!Q26-Inputs!$F$256)/1000000</f>
        <v>2.34783655597164</v>
      </c>
      <c r="R53" s="13" t="n">
        <f aca="false">R42*Inputs!$F$148*(1+Inputs!$F$149/100)^(Time!R26-Inputs!$F$256)/1000000</f>
        <v>2.33241531264219</v>
      </c>
      <c r="S53" s="13" t="n">
        <f aca="false">S42*Inputs!$F$148*(1+Inputs!$F$149/100)^(Time!S26-Inputs!$F$256)/1000000</f>
        <v>2.3746830039925</v>
      </c>
      <c r="T53" s="13" t="n">
        <f aca="false">T42*Inputs!$F$148*(1+Inputs!$F$149/100)^(Time!T26-Inputs!$F$256)/1000000</f>
        <v>2.38960263228031</v>
      </c>
      <c r="U53" s="13" t="n">
        <f aca="false">U42*Inputs!$F$148*(1+Inputs!$F$149/100)^(Time!U26-Inputs!$F$256)/1000000</f>
        <v>2.39749372589896</v>
      </c>
      <c r="V53" s="13" t="n">
        <f aca="false">V42*Inputs!$F$148*(1+Inputs!$F$149/100)^(Time!V26-Inputs!$F$256)/1000000</f>
        <v>2.34197427795564</v>
      </c>
      <c r="W53" s="13" t="n">
        <f aca="false">W42*Inputs!$F$148*(1+Inputs!$F$149/100)^(Time!W26-Inputs!$F$256)/1000000</f>
        <v>2.40471336704508</v>
      </c>
      <c r="X53" s="13" t="n">
        <f aca="false">X42*Inputs!$F$148*(1+Inputs!$F$149/100)^(Time!X26-Inputs!$F$256)/1000000</f>
        <v>2.4602895820408</v>
      </c>
      <c r="Y53" s="13" t="n">
        <f aca="false">Y42*Inputs!$F$148*(1+Inputs!$F$149/100)^(Time!Y26-Inputs!$F$256)/1000000</f>
        <v>2.48881233739017</v>
      </c>
      <c r="Z53" s="13" t="n">
        <f aca="false">Z42*Inputs!$F$148*(1+Inputs!$F$149/100)^(Time!Z26-Inputs!$F$256)/1000000</f>
        <v>2.47244682641425</v>
      </c>
      <c r="AA53" s="13" t="n">
        <f aca="false">AA42*Inputs!$F$148*(1+Inputs!$F$149/100)^(Time!AA26-Inputs!$F$256)/1000000</f>
        <v>2.51723350884753</v>
      </c>
      <c r="AB53" s="13" t="n">
        <f aca="false">AB42*Inputs!$F$148*(1+Inputs!$F$149/100)^(Time!AB26-Inputs!$F$256)/1000000</f>
        <v>2.53302998623933</v>
      </c>
      <c r="AC53" s="13" t="n">
        <f aca="false">AC42*Inputs!$F$148*(1+Inputs!$F$149/100)^(Time!AC26-Inputs!$F$256)/1000000</f>
        <v>2.52401924951947</v>
      </c>
      <c r="AD53" s="13" t="n">
        <f aca="false">AD42*Inputs!$F$148*(1+Inputs!$F$149/100)^(Time!AD26-Inputs!$F$256)/1000000</f>
        <v>2.43044471564553</v>
      </c>
      <c r="AE53" s="13" t="n">
        <f aca="false">AE42*Inputs!$F$148*(1+Inputs!$F$149/100)^(Time!AE26-Inputs!$F$256)/1000000</f>
        <v>2.51376856309207</v>
      </c>
      <c r="AF53" s="13" t="n">
        <f aca="false">AF42*Inputs!$F$148*(1+Inputs!$F$149/100)^(Time!AF26-Inputs!$F$256)/1000000</f>
        <v>2.60788229540519</v>
      </c>
      <c r="AG53" s="13" t="n">
        <f aca="false">AG42*Inputs!$F$148*(1+Inputs!$F$149/100)^(Time!AG26-Inputs!$F$256)/1000000</f>
        <v>2.63809653986858</v>
      </c>
      <c r="AH53" s="13" t="n">
        <f aca="false">AH42*Inputs!$F$148*(1+Inputs!$F$149/100)^(Time!AH26-Inputs!$F$256)/1000000</f>
        <v>2.62072992034483</v>
      </c>
      <c r="AI53" s="13" t="n">
        <f aca="false">AI42*Inputs!$F$148*(1+Inputs!$F$149/100)^(Time!AI26-Inputs!$F$256)/1000000</f>
        <v>2.6681828166075</v>
      </c>
      <c r="AJ53" s="13" t="n">
        <f aca="false">AJ42*Inputs!$F$148*(1+Inputs!$F$149/100)^(Time!AJ26-Inputs!$F$256)/1000000</f>
        <v>2.68490658407849</v>
      </c>
      <c r="AK53" s="13" t="n">
        <f aca="false">AK42*Inputs!$F$148*(1+Inputs!$F$149/100)^(Time!AK26-Inputs!$F$256)/1000000</f>
        <v>2.6937328406825</v>
      </c>
      <c r="AL53" s="13" t="n">
        <f aca="false">AL42*Inputs!$F$148*(1+Inputs!$F$149/100)^(Time!AL26-Inputs!$F$256)/1000000</f>
        <v>2.63131419898311</v>
      </c>
      <c r="AM53" s="13" t="n">
        <f aca="false">AM42*Inputs!$F$148*(1+Inputs!$F$149/100)^(Time!AM26-Inputs!$F$256)/1000000</f>
        <v>2.70176424159499</v>
      </c>
      <c r="AN53" s="13" t="n">
        <f aca="false">AN42*Inputs!$F$148*(1+Inputs!$F$149/100)^(Time!AN26-Inputs!$F$256)/1000000</f>
        <v>2.76416459457491</v>
      </c>
      <c r="AO53" s="13" t="n">
        <f aca="false">AO42*Inputs!$F$148*(1+Inputs!$F$149/100)^(Time!AO26-Inputs!$F$256)/1000000</f>
        <v>2.79616863878981</v>
      </c>
      <c r="AP53" s="13" t="n">
        <f aca="false">AP42*Inputs!$F$148*(1+Inputs!$F$149/100)^(Time!AP26-Inputs!$F$256)/1000000</f>
        <v>2.77774070952898</v>
      </c>
      <c r="AQ53" s="13" t="n">
        <f aca="false">AQ42*Inputs!$F$148*(1+Inputs!$F$149/100)^(Time!AQ26-Inputs!$F$256)/1000000</f>
        <v>2.82801545554963</v>
      </c>
      <c r="AR53" s="13" t="n">
        <f aca="false">AR42*Inputs!$F$148*(1+Inputs!$F$149/100)^(Time!AR26-Inputs!$F$256)/1000000</f>
        <v>2.84571978188196</v>
      </c>
      <c r="AS53" s="13" t="n">
        <f aca="false">AS42*Inputs!$F$148*(1+Inputs!$F$149/100)^(Time!AS26-Inputs!$F$256)/1000000</f>
        <v>2.83555443421073</v>
      </c>
      <c r="AT53" s="13" t="n">
        <f aca="false">AT42*Inputs!$F$148*(1+Inputs!$F$149/100)^(Time!AT26-Inputs!$F$256)/1000000</f>
        <v>2.73038942951751</v>
      </c>
      <c r="AU53" s="13" t="n">
        <f aca="false">AU42*Inputs!$F$148*(1+Inputs!$F$149/100)^(Time!AU26-Inputs!$F$256)/1000000</f>
        <v>2.823954243434</v>
      </c>
      <c r="AV53" s="13" t="n">
        <f aca="false">AV42*Inputs!$F$148*(1+Inputs!$F$149/100)^(Time!AV26-Inputs!$F$256)/1000000</f>
        <v>2.92963735971404</v>
      </c>
      <c r="AW53" s="13" t="n">
        <f aca="false">AW42*Inputs!$F$148*(1+Inputs!$F$149/100)^(Time!AW26-Inputs!$F$256)/1000000</f>
        <v>2.96353509512397</v>
      </c>
      <c r="AX53" s="13" t="n">
        <f aca="false">AX42*Inputs!$F$148*(1+Inputs!$F$149/100)^(Time!AX26-Inputs!$F$256)/1000000</f>
        <v>2.94398209996628</v>
      </c>
      <c r="AY53" s="13" t="n">
        <f aca="false">AY42*Inputs!$F$148*(1+Inputs!$F$149/100)^(Time!AY26-Inputs!$F$256)/1000000</f>
        <v>2.9972432125956</v>
      </c>
      <c r="AZ53" s="13" t="n">
        <f aca="false">AZ42*Inputs!$F$148*(1+Inputs!$F$149/100)^(Time!AZ26-Inputs!$F$256)/1000000</f>
        <v>3.01598434775477</v>
      </c>
      <c r="BA53" s="13" t="n">
        <f aca="false">BA42*Inputs!$F$148*(1+Inputs!$F$149/100)^(Time!BA26-Inputs!$F$256)/1000000</f>
        <v>3.02585367172411</v>
      </c>
      <c r="BB53" s="13" t="n">
        <f aca="false">BB42*Inputs!$F$148*(1+Inputs!$F$149/100)^(Time!BB26-Inputs!$F$256)/1000000</f>
        <v>2.95569491460175</v>
      </c>
      <c r="BC53" s="13" t="n">
        <f aca="false">BC42*Inputs!$F$148*(1+Inputs!$F$149/100)^(Time!BC26-Inputs!$F$256)/1000000</f>
        <v>3.03478434587695</v>
      </c>
      <c r="BD53" s="13" t="n">
        <f aca="false">BD42*Inputs!$F$148*(1+Inputs!$F$149/100)^(Time!BD26-Inputs!$F$256)/1000000</f>
        <v>3.10482962011489</v>
      </c>
      <c r="BE53" s="13" t="n">
        <f aca="false">BE42*Inputs!$F$148*(1+Inputs!$F$149/100)^(Time!BE26-Inputs!$F$256)/1000000</f>
        <v>3.14073082662333</v>
      </c>
      <c r="BF53" s="13" t="n">
        <f aca="false">BF42*Inputs!$F$148*(1+Inputs!$F$149/100)^(Time!BF26-Inputs!$F$256)/1000000</f>
        <v>3.11998524874201</v>
      </c>
      <c r="BG53" s="13" t="n">
        <f aca="false">BG42*Inputs!$F$148*(1+Inputs!$F$149/100)^(Time!BG26-Inputs!$F$256)/1000000</f>
        <v>3.17640661857797</v>
      </c>
      <c r="BH53" s="13" t="n">
        <f aca="false">BH42*Inputs!$F$148*(1+Inputs!$F$149/100)^(Time!BH26-Inputs!$F$256)/1000000</f>
        <v>3.19624395503533</v>
      </c>
      <c r="BI53" s="13" t="n">
        <f aca="false">BI42*Inputs!$F$148*(1+Inputs!$F$149/100)^(Time!BI26-Inputs!$F$256)/1000000</f>
        <v>3.18477859185959</v>
      </c>
      <c r="BJ53" s="13" t="n">
        <f aca="false">BJ42*Inputs!$F$148*(1+Inputs!$F$149/100)^(Time!BJ26-Inputs!$F$256)/1000000</f>
        <v>3.06661542842368</v>
      </c>
      <c r="BK53" s="13" t="n">
        <f aca="false">BK42*Inputs!$F$148*(1+Inputs!$F$149/100)^(Time!BK26-Inputs!$F$256)/1000000</f>
        <v>3.17165426925927</v>
      </c>
      <c r="BL53" s="13" t="n">
        <f aca="false">BL42*Inputs!$F$148*(1+Inputs!$F$149/100)^(Time!BL26-Inputs!$F$256)/1000000</f>
        <v>3.29030008586528</v>
      </c>
      <c r="BM53" s="13" t="n">
        <f aca="false">BM42*Inputs!$F$148*(1+Inputs!$F$149/100)^(Time!BM26-Inputs!$F$256)/1000000</f>
        <v>2.22607279436325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3792.04278771637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22.447121655942</v>
      </c>
      <c r="P55" s="13" t="n">
        <f aca="false">P48+P50</f>
        <v>67.6307956285765</v>
      </c>
      <c r="Q55" s="13" t="n">
        <f aca="false">Q48+Q50</f>
        <v>67.8983424115587</v>
      </c>
      <c r="R55" s="13" t="n">
        <f aca="false">R48+R50</f>
        <v>68.1451065247603</v>
      </c>
      <c r="S55" s="13" t="n">
        <f aca="false">S48+S50</f>
        <v>68.4650790125577</v>
      </c>
      <c r="T55" s="13" t="n">
        <f aca="false">T48+T50</f>
        <v>68.8126257336253</v>
      </c>
      <c r="U55" s="13" t="n">
        <f aca="false">U48+U50</f>
        <v>69.0301725779119</v>
      </c>
      <c r="V55" s="13" t="n">
        <f aca="false">V48+V50</f>
        <v>69.1624718078326</v>
      </c>
      <c r="W55" s="13" t="n">
        <f aca="false">W48+W50</f>
        <v>69.5574412832485</v>
      </c>
      <c r="X55" s="13" t="n">
        <f aca="false">X48+X50</f>
        <v>70.0460270272405</v>
      </c>
      <c r="Y55" s="13" t="n">
        <f aca="false">Y48+Y50</f>
        <v>70.3375439407661</v>
      </c>
      <c r="Z55" s="13" t="n">
        <f aca="false">Z48+Z50</f>
        <v>70.6065394673027</v>
      </c>
      <c r="AA55" s="13" t="n">
        <f aca="false">AA48+AA50</f>
        <v>70.9549363417546</v>
      </c>
      <c r="AB55" s="13" t="n">
        <f aca="false">AB48+AB50</f>
        <v>71.3332490584847</v>
      </c>
      <c r="AC55" s="13" t="n">
        <f aca="false">AC48+AC50</f>
        <v>71.5153133268801</v>
      </c>
      <c r="AD55" s="13" t="n">
        <f aca="false">AD48+AD50</f>
        <v>70.6274998150064</v>
      </c>
      <c r="AE55" s="13" t="n">
        <f aca="false">AE48+AE50</f>
        <v>72.0324758262119</v>
      </c>
      <c r="AF55" s="13" t="n">
        <f aca="false">AF48+AF50</f>
        <v>72.6766394638791</v>
      </c>
      <c r="AG55" s="13" t="n">
        <f aca="false">AG48+AG50</f>
        <v>72.9942735560938</v>
      </c>
      <c r="AH55" s="13" t="n">
        <f aca="false">AH48+AH50</f>
        <v>73.287503182708</v>
      </c>
      <c r="AI55" s="13" t="n">
        <f aca="false">AI48+AI50</f>
        <v>73.6668480628199</v>
      </c>
      <c r="AJ55" s="13" t="n">
        <f aca="false">AJ48+AJ50</f>
        <v>74.0786482425825</v>
      </c>
      <c r="AK55" s="13" t="n">
        <f aca="false">AK48+AK50</f>
        <v>74.3376244566225</v>
      </c>
      <c r="AL55" s="13" t="n">
        <f aca="false">AL48+AL50</f>
        <v>74.4964015142688</v>
      </c>
      <c r="AM55" s="13" t="n">
        <f aca="false">AM48+AM50</f>
        <v>74.9640639881529</v>
      </c>
      <c r="AN55" s="13" t="n">
        <f aca="false">AN48+AN50</f>
        <v>75.5418322178251</v>
      </c>
      <c r="AO55" s="13" t="n">
        <f aca="false">AO48+AO50</f>
        <v>75.8879228065592</v>
      </c>
      <c r="AP55" s="13" t="n">
        <f aca="false">AP48+AP50</f>
        <v>76.2075696127505</v>
      </c>
      <c r="AQ55" s="13" t="n">
        <f aca="false">AQ48+AQ50</f>
        <v>76.6206100404605</v>
      </c>
      <c r="AR55" s="13" t="n">
        <f aca="false">AR48+AR50</f>
        <v>77.0688596927102</v>
      </c>
      <c r="AS55" s="13" t="n">
        <f aca="false">AS48+AS50</f>
        <v>77.2864092085669</v>
      </c>
      <c r="AT55" s="13" t="n">
        <f aca="false">AT48+AT50</f>
        <v>76.3442297027827</v>
      </c>
      <c r="AU55" s="13" t="n">
        <f aca="false">AU48+AU50</f>
        <v>77.9015540139461</v>
      </c>
      <c r="AV55" s="13" t="n">
        <f aca="false">AV48+AV50</f>
        <v>78.6625153088464</v>
      </c>
      <c r="AW55" s="13" t="n">
        <f aca="false">AW48+AW50</f>
        <v>79.0396111953163</v>
      </c>
      <c r="AX55" s="13" t="n">
        <f aca="false">AX48+AX50</f>
        <v>79.3880549007652</v>
      </c>
      <c r="AY55" s="13" t="n">
        <f aca="false">AY48+AY50</f>
        <v>79.8377821974307</v>
      </c>
      <c r="AZ55" s="13" t="n">
        <f aca="false">AZ48+AZ50</f>
        <v>80.3257051166436</v>
      </c>
      <c r="BA55" s="13" t="n">
        <f aca="false">BA48+BA50</f>
        <v>80.6340004454442</v>
      </c>
      <c r="BB55" s="13" t="n">
        <f aca="false">BB48+BB50</f>
        <v>80.8245413420125</v>
      </c>
      <c r="BC55" s="13" t="n">
        <f aca="false">BC48+BC50</f>
        <v>81.3782609691782</v>
      </c>
      <c r="BD55" s="13" t="n">
        <f aca="false">BD48+BD50</f>
        <v>82.0614618664893</v>
      </c>
      <c r="BE55" s="13" t="n">
        <f aca="false">BE48+BE50</f>
        <v>82.4723400897373</v>
      </c>
      <c r="BF55" s="13" t="n">
        <f aca="false">BF48+BF50</f>
        <v>82.8521747649458</v>
      </c>
      <c r="BG55" s="13" t="n">
        <f aca="false">BG48+BG50</f>
        <v>83.3418456474595</v>
      </c>
      <c r="BH55" s="13" t="n">
        <f aca="false">BH48+BH50</f>
        <v>83.8729505304233</v>
      </c>
      <c r="BI55" s="13" t="n">
        <f aca="false">BI48+BI50</f>
        <v>84.1328974573946</v>
      </c>
      <c r="BJ55" s="13" t="n">
        <f aca="false">BJ48+BJ50</f>
        <v>83.1265956046938</v>
      </c>
      <c r="BK55" s="13" t="n">
        <f aca="false">BK48+BK50</f>
        <v>84.8645881729019</v>
      </c>
      <c r="BL55" s="13" t="n">
        <f aca="false">BL48+BL50</f>
        <v>85.7634740643476</v>
      </c>
      <c r="BM55" s="13" t="n">
        <f aca="false">BM48+BM50</f>
        <v>57.5002568399538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9219.57133698138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51.2998767456295</v>
      </c>
      <c r="P56" s="13" t="n">
        <f aca="false">P55+P51+P52+P53+P54</f>
        <v>154.239240964289</v>
      </c>
      <c r="Q56" s="13" t="n">
        <f aca="false">Q55+Q51+Q52+Q53+Q54</f>
        <v>155.715410179016</v>
      </c>
      <c r="R56" s="13" t="n">
        <f aca="false">R55+R51+R52+R53+R54</f>
        <v>155.644035894709</v>
      </c>
      <c r="S56" s="13" t="n">
        <f aca="false">S55+S51+S52+S53+S54</f>
        <v>157.680863989365</v>
      </c>
      <c r="T56" s="13" t="n">
        <f aca="false">T55+T51+T52+T53+T54</f>
        <v>158.701471819352</v>
      </c>
      <c r="U56" s="13" t="n">
        <f aca="false">U55+U51+U52+U53+U54</f>
        <v>159.59000181117</v>
      </c>
      <c r="V56" s="13" t="n">
        <f aca="false">V55+V51+V52+V53+V54</f>
        <v>158.024349427268</v>
      </c>
      <c r="W56" s="13" t="n">
        <f aca="false">W55+W51+W52+W53+W54</f>
        <v>160.827837168034</v>
      </c>
      <c r="X56" s="13" t="n">
        <f aca="false">X55+X51+X52+X53+X54</f>
        <v>163.339452210931</v>
      </c>
      <c r="Y56" s="13" t="n">
        <f aca="false">Y55+Y51+Y52+Y53+Y54</f>
        <v>164.935819127667</v>
      </c>
      <c r="Z56" s="13" t="n">
        <f aca="false">Z55+Z51+Z52+Z53+Z54</f>
        <v>164.857333271406</v>
      </c>
      <c r="AA56" s="13" t="n">
        <f aca="false">AA55+AA51+AA52+AA53+AA54</f>
        <v>167.059253015007</v>
      </c>
      <c r="AB56" s="13" t="n">
        <f aca="false">AB55+AB51+AB52+AB53+AB54</f>
        <v>168.160116642557</v>
      </c>
      <c r="AC56" s="13" t="n">
        <f aca="false">AC55+AC51+AC52+AC53+AC54</f>
        <v>168.485455348162</v>
      </c>
      <c r="AD56" s="13" t="n">
        <f aca="false">AD55+AD51+AD52+AD53+AD54</f>
        <v>164.602230074718</v>
      </c>
      <c r="AE56" s="13" t="n">
        <f aca="false">AE55+AE51+AE52+AE53+AE54</f>
        <v>169.164454399856</v>
      </c>
      <c r="AF56" s="13" t="n">
        <f aca="false">AF55+AF51+AF52+AF53+AF54</f>
        <v>173.170673361241</v>
      </c>
      <c r="AG56" s="13" t="n">
        <f aca="false">AG55+AG51+AG52+AG53+AG54</f>
        <v>174.896972867273</v>
      </c>
      <c r="AH56" s="13" t="n">
        <f aca="false">AH55+AH51+AH52+AH53+AH54</f>
        <v>174.810807603078</v>
      </c>
      <c r="AI56" s="13" t="n">
        <f aca="false">AI55+AI51+AI52+AI53+AI54</f>
        <v>177.191122807304</v>
      </c>
      <c r="AJ56" s="13" t="n">
        <f aca="false">AJ55+AJ51+AJ52+AJ53+AJ54</f>
        <v>178.378615157335</v>
      </c>
      <c r="AK56" s="13" t="n">
        <f aca="false">AK55+AK51+AK52+AK53+AK54</f>
        <v>179.417040272973</v>
      </c>
      <c r="AL56" s="13" t="n">
        <f aca="false">AL55+AL51+AL52+AL53+AL54</f>
        <v>177.590644341433</v>
      </c>
      <c r="AM56" s="13" t="n">
        <f aca="false">AM55+AM51+AM52+AM53+AM54</f>
        <v>180.86527976673</v>
      </c>
      <c r="AN56" s="13" t="n">
        <f aca="false">AN55+AN51+AN52+AN53+AN54</f>
        <v>183.79173058986</v>
      </c>
      <c r="AO56" s="13" t="n">
        <f aca="false">AO55+AO51+AO52+AO53+AO54</f>
        <v>185.658481614311</v>
      </c>
      <c r="AP56" s="13" t="n">
        <f aca="false">AP55+AP51+AP52+AP53+AP54</f>
        <v>185.564032084022</v>
      </c>
      <c r="AQ56" s="13" t="n">
        <f aca="false">AQ55+AQ51+AQ52+AQ53+AQ54</f>
        <v>188.137111914432</v>
      </c>
      <c r="AR56" s="13" t="n">
        <f aca="false">AR55+AR51+AR52+AR53+AR54</f>
        <v>189.418115654018</v>
      </c>
      <c r="AS56" s="13" t="n">
        <f aca="false">AS55+AS51+AS52+AS53+AS54</f>
        <v>189.799898355006</v>
      </c>
      <c r="AT56" s="13" t="n">
        <f aca="false">AT55+AT51+AT52+AT53+AT54</f>
        <v>185.360339607009</v>
      </c>
      <c r="AU56" s="13" t="n">
        <f aca="false">AU55+AU51+AU52+AU53+AU54</f>
        <v>190.596900021796</v>
      </c>
      <c r="AV56" s="13" t="n">
        <f aca="false">AV55+AV51+AV52+AV53+AV54</f>
        <v>195.266185908284</v>
      </c>
      <c r="AW56" s="13" t="n">
        <f aca="false">AW55+AW51+AW52+AW53+AW54</f>
        <v>197.284754194997</v>
      </c>
      <c r="AX56" s="13" t="n">
        <f aca="false">AX55+AX51+AX52+AX53+AX54</f>
        <v>197.181376861575</v>
      </c>
      <c r="AY56" s="13" t="n">
        <f aca="false">AY55+AY51+AY52+AY53+AY54</f>
        <v>199.962740560223</v>
      </c>
      <c r="AZ56" s="13" t="n">
        <f aca="false">AZ55+AZ51+AZ52+AZ53+AZ54</f>
        <v>201.344689079128</v>
      </c>
      <c r="BA56" s="13" t="n">
        <f aca="false">BA55+BA51+BA52+BA53+BA54</f>
        <v>202.558313238539</v>
      </c>
      <c r="BB56" s="13" t="n">
        <f aca="false">BB55+BB51+BB52+BB53+BB54</f>
        <v>200.428506423049</v>
      </c>
      <c r="BC56" s="13" t="n">
        <f aca="false">BC55+BC51+BC52+BC53+BC54</f>
        <v>204.252941325021</v>
      </c>
      <c r="BD56" s="13" t="n">
        <f aca="false">BD55+BD51+BD52+BD53+BD54</f>
        <v>207.662718162147</v>
      </c>
      <c r="BE56" s="13" t="n">
        <f aca="false">BE55+BE51+BE52+BE53+BE54</f>
        <v>209.845384036361</v>
      </c>
      <c r="BF56" s="13" t="n">
        <f aca="false">BF55+BF51+BF52+BF53+BF54</f>
        <v>209.732395048751</v>
      </c>
      <c r="BG56" s="13" t="n">
        <f aca="false">BG55+BG51+BG52+BG53+BG54</f>
        <v>212.738803342287</v>
      </c>
      <c r="BH56" s="13" t="n">
        <f aca="false">BH55+BH51+BH52+BH53+BH54</f>
        <v>214.229725039103</v>
      </c>
      <c r="BI56" s="13" t="n">
        <f aca="false">BI55+BI51+BI52+BI53+BI54</f>
        <v>214.677892214561</v>
      </c>
      <c r="BJ56" s="13" t="n">
        <f aca="false">BJ55+BJ51+BJ52+BJ53+BJ54</f>
        <v>209.589070736405</v>
      </c>
      <c r="BK56" s="13" t="n">
        <f aca="false">BK55+BK51+BK52+BK53+BK54</f>
        <v>215.613768801672</v>
      </c>
      <c r="BL56" s="13" t="n">
        <f aca="false">BL55+BL51+BL52+BL53+BL54</f>
        <v>221.055534631147</v>
      </c>
      <c r="BM56" s="13" t="n">
        <f aca="false">BM55+BM51+BM52+BM53+BM54</f>
        <v>149.171569271172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2654.98039215686</v>
      </c>
      <c r="P63" s="15" t="n">
        <f aca="false">IF(P31&gt;0,Inputs!$F$258*(Inputs!$F$129*P32/P31*P37/Inputs!$F$131+Inputs!$F$130*Inputs!$F$132)*Time!P30/12,0)</f>
        <v>7964.94117647059</v>
      </c>
      <c r="Q63" s="15" t="n">
        <f aca="false">IF(Q31&gt;0,Inputs!$F$258*(Inputs!$F$129*Q32/Q31*Q37/Inputs!$F$131+Inputs!$F$130*Inputs!$F$132)*Time!Q30/12,0)</f>
        <v>7964.94117647059</v>
      </c>
      <c r="R63" s="15" t="n">
        <f aca="false">IF(R31&gt;0,Inputs!$F$258*(Inputs!$F$129*R32/R31*R37/Inputs!$F$131+Inputs!$F$130*Inputs!$F$132)*Time!R30/12,0)</f>
        <v>7964.94117647059</v>
      </c>
      <c r="S63" s="15" t="n">
        <f aca="false">IF(S31&gt;0,Inputs!$F$258*(Inputs!$F$129*S32/S31*S37/Inputs!$F$131+Inputs!$F$130*Inputs!$F$132)*Time!S30/12,0)</f>
        <v>7964.94117647059</v>
      </c>
      <c r="T63" s="15" t="n">
        <f aca="false">IF(T31&gt;0,Inputs!$F$258*(Inputs!$F$129*T32/T31*T37/Inputs!$F$131+Inputs!$F$130*Inputs!$F$132)*Time!T30/12,0)</f>
        <v>7964.94117647059</v>
      </c>
      <c r="U63" s="15" t="n">
        <f aca="false">IF(U31&gt;0,Inputs!$F$258*(Inputs!$F$129*U32/U31*U37/Inputs!$F$131+Inputs!$F$130*Inputs!$F$132)*Time!U30/12,0)</f>
        <v>7964.94117647059</v>
      </c>
      <c r="V63" s="15" t="n">
        <f aca="false">IF(V31&gt;0,Inputs!$F$258*(Inputs!$F$129*V32/V31*V37/Inputs!$F$131+Inputs!$F$130*Inputs!$F$132)*Time!V30/12,0)</f>
        <v>7964.94117647059</v>
      </c>
      <c r="W63" s="15" t="n">
        <f aca="false">IF(W31&gt;0,Inputs!$F$258*(Inputs!$F$129*W32/W31*W37/Inputs!$F$131+Inputs!$F$130*Inputs!$F$132)*Time!W30/12,0)</f>
        <v>7964.94117647059</v>
      </c>
      <c r="X63" s="15" t="n">
        <f aca="false">IF(X31&gt;0,Inputs!$F$258*(Inputs!$F$129*X32/X31*X37/Inputs!$F$131+Inputs!$F$130*Inputs!$F$132)*Time!X30/12,0)</f>
        <v>7964.94117647059</v>
      </c>
      <c r="Y63" s="15" t="n">
        <f aca="false">IF(Y31&gt;0,Inputs!$F$258*(Inputs!$F$129*Y32/Y31*Y37/Inputs!$F$131+Inputs!$F$130*Inputs!$F$132)*Time!Y30/12,0)</f>
        <v>7964.94117647059</v>
      </c>
      <c r="Z63" s="15" t="n">
        <f aca="false">IF(Z31&gt;0,Inputs!$F$258*(Inputs!$F$129*Z32/Z31*Z37/Inputs!$F$131+Inputs!$F$130*Inputs!$F$132)*Time!Z30/12,0)</f>
        <v>7964.94117647059</v>
      </c>
      <c r="AA63" s="15" t="n">
        <f aca="false">IF(AA31&gt;0,Inputs!$F$258*(Inputs!$F$129*AA32/AA31*AA37/Inputs!$F$131+Inputs!$F$130*Inputs!$F$132)*Time!AA30/12,0)</f>
        <v>7964.94117647059</v>
      </c>
      <c r="AB63" s="15" t="n">
        <f aca="false">IF(AB31&gt;0,Inputs!$F$258*(Inputs!$F$129*AB32/AB31*AB37/Inputs!$F$131+Inputs!$F$130*Inputs!$F$132)*Time!AB30/12,0)</f>
        <v>7964.94117647059</v>
      </c>
      <c r="AC63" s="15" t="n">
        <f aca="false">IF(AC31&gt;0,Inputs!$F$258*(Inputs!$F$129*AC32/AC31*AC37/Inputs!$F$131+Inputs!$F$130*Inputs!$F$132)*Time!AC30/12,0)</f>
        <v>7964.94117647059</v>
      </c>
      <c r="AD63" s="15" t="n">
        <f aca="false">IF(AD31&gt;0,Inputs!$F$258*(Inputs!$F$129*AD32/AD31*AD37/Inputs!$F$131+Inputs!$F$130*Inputs!$F$132)*Time!AD30/12,0)</f>
        <v>7964.94117647059</v>
      </c>
      <c r="AE63" s="15" t="n">
        <f aca="false">IF(AE31&gt;0,Inputs!$F$258*(Inputs!$F$129*AE32/AE31*AE37/Inputs!$F$131+Inputs!$F$130*Inputs!$F$132)*Time!AE30/12,0)</f>
        <v>7964.94117647059</v>
      </c>
      <c r="AF63" s="15" t="n">
        <f aca="false">IF(AF31&gt;0,Inputs!$F$258*(Inputs!$F$129*AF32/AF31*AF37/Inputs!$F$131+Inputs!$F$130*Inputs!$F$132)*Time!AF30/12,0)</f>
        <v>7964.94117647059</v>
      </c>
      <c r="AG63" s="15" t="n">
        <f aca="false">IF(AG31&gt;0,Inputs!$F$258*(Inputs!$F$129*AG32/AG31*AG37/Inputs!$F$131+Inputs!$F$130*Inputs!$F$132)*Time!AG30/12,0)</f>
        <v>7964.94117647059</v>
      </c>
      <c r="AH63" s="15" t="n">
        <f aca="false">IF(AH31&gt;0,Inputs!$F$258*(Inputs!$F$129*AH32/AH31*AH37/Inputs!$F$131+Inputs!$F$130*Inputs!$F$132)*Time!AH30/12,0)</f>
        <v>7964.94117647059</v>
      </c>
      <c r="AI63" s="15" t="n">
        <f aca="false">IF(AI31&gt;0,Inputs!$F$258*(Inputs!$F$129*AI32/AI31*AI37/Inputs!$F$131+Inputs!$F$130*Inputs!$F$132)*Time!AI30/12,0)</f>
        <v>7964.94117647059</v>
      </c>
      <c r="AJ63" s="15" t="n">
        <f aca="false">IF(AJ31&gt;0,Inputs!$F$258*(Inputs!$F$129*AJ32/AJ31*AJ37/Inputs!$F$131+Inputs!$F$130*Inputs!$F$132)*Time!AJ30/12,0)</f>
        <v>7964.94117647059</v>
      </c>
      <c r="AK63" s="15" t="n">
        <f aca="false">IF(AK31&gt;0,Inputs!$F$258*(Inputs!$F$129*AK32/AK31*AK37/Inputs!$F$131+Inputs!$F$130*Inputs!$F$132)*Time!AK30/12,0)</f>
        <v>7964.94117647059</v>
      </c>
      <c r="AL63" s="15" t="n">
        <f aca="false">IF(AL31&gt;0,Inputs!$F$258*(Inputs!$F$129*AL32/AL31*AL37/Inputs!$F$131+Inputs!$F$130*Inputs!$F$132)*Time!AL30/12,0)</f>
        <v>7964.94117647059</v>
      </c>
      <c r="AM63" s="15" t="n">
        <f aca="false">IF(AM31&gt;0,Inputs!$F$258*(Inputs!$F$129*AM32/AM31*AM37/Inputs!$F$131+Inputs!$F$130*Inputs!$F$132)*Time!AM30/12,0)</f>
        <v>7964.94117647059</v>
      </c>
      <c r="AN63" s="15" t="n">
        <f aca="false">IF(AN31&gt;0,Inputs!$F$258*(Inputs!$F$129*AN32/AN31*AN37/Inputs!$F$131+Inputs!$F$130*Inputs!$F$132)*Time!AN30/12,0)</f>
        <v>7964.94117647059</v>
      </c>
      <c r="AO63" s="15" t="n">
        <f aca="false">IF(AO31&gt;0,Inputs!$F$258*(Inputs!$F$129*AO32/AO31*AO37/Inputs!$F$131+Inputs!$F$130*Inputs!$F$132)*Time!AO30/12,0)</f>
        <v>7964.94117647059</v>
      </c>
      <c r="AP63" s="15" t="n">
        <f aca="false">IF(AP31&gt;0,Inputs!$F$258*(Inputs!$F$129*AP32/AP31*AP37/Inputs!$F$131+Inputs!$F$130*Inputs!$F$132)*Time!AP30/12,0)</f>
        <v>7964.94117647059</v>
      </c>
      <c r="AQ63" s="15" t="n">
        <f aca="false">IF(AQ31&gt;0,Inputs!$F$258*(Inputs!$F$129*AQ32/AQ31*AQ37/Inputs!$F$131+Inputs!$F$130*Inputs!$F$132)*Time!AQ30/12,0)</f>
        <v>7964.94117647059</v>
      </c>
      <c r="AR63" s="15" t="n">
        <f aca="false">IF(AR31&gt;0,Inputs!$F$258*(Inputs!$F$129*AR32/AR31*AR37/Inputs!$F$131+Inputs!$F$130*Inputs!$F$132)*Time!AR30/12,0)</f>
        <v>7964.94117647059</v>
      </c>
      <c r="AS63" s="15" t="n">
        <f aca="false">IF(AS31&gt;0,Inputs!$F$258*(Inputs!$F$129*AS32/AS31*AS37/Inputs!$F$131+Inputs!$F$130*Inputs!$F$132)*Time!AS30/12,0)</f>
        <v>7964.94117647059</v>
      </c>
      <c r="AT63" s="15" t="n">
        <f aca="false">IF(AT31&gt;0,Inputs!$F$258*(Inputs!$F$129*AT32/AT31*AT37/Inputs!$F$131+Inputs!$F$130*Inputs!$F$132)*Time!AT30/12,0)</f>
        <v>7964.94117647059</v>
      </c>
      <c r="AU63" s="15" t="n">
        <f aca="false">IF(AU31&gt;0,Inputs!$F$258*(Inputs!$F$129*AU32/AU31*AU37/Inputs!$F$131+Inputs!$F$130*Inputs!$F$132)*Time!AU30/12,0)</f>
        <v>7964.94117647059</v>
      </c>
      <c r="AV63" s="15" t="n">
        <f aca="false">IF(AV31&gt;0,Inputs!$F$258*(Inputs!$F$129*AV32/AV31*AV37/Inputs!$F$131+Inputs!$F$130*Inputs!$F$132)*Time!AV30/12,0)</f>
        <v>7964.94117647059</v>
      </c>
      <c r="AW63" s="15" t="n">
        <f aca="false">IF(AW31&gt;0,Inputs!$F$258*(Inputs!$F$129*AW32/AW31*AW37/Inputs!$F$131+Inputs!$F$130*Inputs!$F$132)*Time!AW30/12,0)</f>
        <v>7964.94117647059</v>
      </c>
      <c r="AX63" s="15" t="n">
        <f aca="false">IF(AX31&gt;0,Inputs!$F$258*(Inputs!$F$129*AX32/AX31*AX37/Inputs!$F$131+Inputs!$F$130*Inputs!$F$132)*Time!AX30/12,0)</f>
        <v>7964.94117647059</v>
      </c>
      <c r="AY63" s="15" t="n">
        <f aca="false">IF(AY31&gt;0,Inputs!$F$258*(Inputs!$F$129*AY32/AY31*AY37/Inputs!$F$131+Inputs!$F$130*Inputs!$F$132)*Time!AY30/12,0)</f>
        <v>7964.94117647059</v>
      </c>
      <c r="AZ63" s="15" t="n">
        <f aca="false">IF(AZ31&gt;0,Inputs!$F$258*(Inputs!$F$129*AZ32/AZ31*AZ37/Inputs!$F$131+Inputs!$F$130*Inputs!$F$132)*Time!AZ30/12,0)</f>
        <v>7964.94117647059</v>
      </c>
      <c r="BA63" s="15" t="n">
        <f aca="false">IF(BA31&gt;0,Inputs!$F$258*(Inputs!$F$129*BA32/BA31*BA37/Inputs!$F$131+Inputs!$F$130*Inputs!$F$132)*Time!BA30/12,0)</f>
        <v>7964.94117647059</v>
      </c>
      <c r="BB63" s="15" t="n">
        <f aca="false">IF(BB31&gt;0,Inputs!$F$258*(Inputs!$F$129*BB32/BB31*BB37/Inputs!$F$131+Inputs!$F$130*Inputs!$F$132)*Time!BB30/12,0)</f>
        <v>7964.94117647059</v>
      </c>
      <c r="BC63" s="15" t="n">
        <f aca="false">IF(BC31&gt;0,Inputs!$F$258*(Inputs!$F$129*BC32/BC31*BC37/Inputs!$F$131+Inputs!$F$130*Inputs!$F$132)*Time!BC30/12,0)</f>
        <v>7964.94117647059</v>
      </c>
      <c r="BD63" s="15" t="n">
        <f aca="false">IF(BD31&gt;0,Inputs!$F$258*(Inputs!$F$129*BD32/BD31*BD37/Inputs!$F$131+Inputs!$F$130*Inputs!$F$132)*Time!BD30/12,0)</f>
        <v>7964.94117647059</v>
      </c>
      <c r="BE63" s="15" t="n">
        <f aca="false">IF(BE31&gt;0,Inputs!$F$258*(Inputs!$F$129*BE32/BE31*BE37/Inputs!$F$131+Inputs!$F$130*Inputs!$F$132)*Time!BE30/12,0)</f>
        <v>7964.94117647059</v>
      </c>
      <c r="BF63" s="15" t="n">
        <f aca="false">IF(BF31&gt;0,Inputs!$F$258*(Inputs!$F$129*BF32/BF31*BF37/Inputs!$F$131+Inputs!$F$130*Inputs!$F$132)*Time!BF30/12,0)</f>
        <v>7964.94117647059</v>
      </c>
      <c r="BG63" s="15" t="n">
        <f aca="false">IF(BG31&gt;0,Inputs!$F$258*(Inputs!$F$129*BG32/BG31*BG37/Inputs!$F$131+Inputs!$F$130*Inputs!$F$132)*Time!BG30/12,0)</f>
        <v>7964.94117647059</v>
      </c>
      <c r="BH63" s="15" t="n">
        <f aca="false">IF(BH31&gt;0,Inputs!$F$258*(Inputs!$F$129*BH32/BH31*BH37/Inputs!$F$131+Inputs!$F$130*Inputs!$F$132)*Time!BH30/12,0)</f>
        <v>7964.94117647059</v>
      </c>
      <c r="BI63" s="15" t="n">
        <f aca="false">IF(BI31&gt;0,Inputs!$F$258*(Inputs!$F$129*BI32/BI31*BI37/Inputs!$F$131+Inputs!$F$130*Inputs!$F$132)*Time!BI30/12,0)</f>
        <v>7964.94117647059</v>
      </c>
      <c r="BJ63" s="15" t="n">
        <f aca="false">IF(BJ31&gt;0,Inputs!$F$258*(Inputs!$F$129*BJ32/BJ31*BJ37/Inputs!$F$131+Inputs!$F$130*Inputs!$F$132)*Time!BJ30/12,0)</f>
        <v>7964.94117647059</v>
      </c>
      <c r="BK63" s="15" t="n">
        <f aca="false">IF(BK31&gt;0,Inputs!$F$258*(Inputs!$F$129*BK32/BK31*BK37/Inputs!$F$131+Inputs!$F$130*Inputs!$F$132)*Time!BK30/12,0)</f>
        <v>7964.94117647059</v>
      </c>
      <c r="BL63" s="15" t="n">
        <f aca="false">IF(BL31&gt;0,Inputs!$F$258*(Inputs!$F$129*BL32/BL31*BL37/Inputs!$F$131+Inputs!$F$130*Inputs!$F$132)*Time!BL30/12,0)</f>
        <v>7964.94117647059</v>
      </c>
      <c r="BM63" s="15" t="n">
        <f aca="false">IF(BM31&gt;0,Inputs!$F$258*(Inputs!$F$129*BM32/BM31*BM37/Inputs!$F$131+Inputs!$F$130*Inputs!$F$132)*Time!BM30/12,0)</f>
        <v>5309.96078431373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273.557654851988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1.36989585230154</v>
      </c>
      <c r="P64" s="13" t="n">
        <f aca="false">P63*Inputs!$F$156*P21/1000000</f>
        <v>4.15464818189397</v>
      </c>
      <c r="Q64" s="13" t="n">
        <f aca="false">Q63*Inputs!$F$156*Q21/1000000</f>
        <v>4.20010068315651</v>
      </c>
      <c r="R64" s="13" t="n">
        <f aca="false">R63*Inputs!$F$156*R21/1000000</f>
        <v>4.24605044189564</v>
      </c>
      <c r="S64" s="13" t="n">
        <f aca="false">S63*Inputs!$F$156*S21/1000000</f>
        <v>4.29250289818596</v>
      </c>
      <c r="T64" s="13" t="n">
        <f aca="false">T63*Inputs!$F$156*T21/1000000</f>
        <v>4.33946355161734</v>
      </c>
      <c r="U64" s="13" t="n">
        <f aca="false">U63*Inputs!$F$156*U21/1000000</f>
        <v>4.38693796194605</v>
      </c>
      <c r="V64" s="13" t="n">
        <f aca="false">V63*Inputs!$F$156*V21/1000000</f>
        <v>4.43493174975292</v>
      </c>
      <c r="W64" s="13" t="n">
        <f aca="false">W63*Inputs!$F$156*W21/1000000</f>
        <v>4.48345059710886</v>
      </c>
      <c r="X64" s="13" t="n">
        <f aca="false">X63*Inputs!$F$156*X21/1000000</f>
        <v>4.53250024824749</v>
      </c>
      <c r="Y64" s="13" t="n">
        <f aca="false">Y63*Inputs!$F$156*Y21/1000000</f>
        <v>4.58208651024525</v>
      </c>
      <c r="Z64" s="13" t="n">
        <f aca="false">Z63*Inputs!$F$156*Z21/1000000</f>
        <v>4.63221525370893</v>
      </c>
      <c r="AA64" s="13" t="n">
        <f aca="false">AA63*Inputs!$F$156*AA21/1000000</f>
        <v>4.68289241347065</v>
      </c>
      <c r="AB64" s="13" t="n">
        <f aca="false">AB63*Inputs!$F$156*AB21/1000000</f>
        <v>4.73412398929053</v>
      </c>
      <c r="AC64" s="13" t="n">
        <f aca="false">AC63*Inputs!$F$156*AC21/1000000</f>
        <v>4.785916046567</v>
      </c>
      <c r="AD64" s="13" t="n">
        <f aca="false">AD63*Inputs!$F$156*AD21/1000000</f>
        <v>4.83827471705492</v>
      </c>
      <c r="AE64" s="13" t="n">
        <f aca="false">AE63*Inputs!$F$156*AE21/1000000</f>
        <v>4.89120619959147</v>
      </c>
      <c r="AF64" s="13" t="n">
        <f aca="false">AF63*Inputs!$F$156*AF21/1000000</f>
        <v>4.94471676083012</v>
      </c>
      <c r="AG64" s="13" t="n">
        <f aca="false">AG63*Inputs!$F$156*AG21/1000000</f>
        <v>4.99881273598248</v>
      </c>
      <c r="AH64" s="13" t="n">
        <f aca="false">AH63*Inputs!$F$156*AH21/1000000</f>
        <v>5.05350052956839</v>
      </c>
      <c r="AI64" s="13" t="n">
        <f aca="false">AI63*Inputs!$F$156*AI21/1000000</f>
        <v>5.1087866161741</v>
      </c>
      <c r="AJ64" s="13" t="n">
        <f aca="false">AJ63*Inputs!$F$156*AJ21/1000000</f>
        <v>5.16467754121889</v>
      </c>
      <c r="AK64" s="13" t="n">
        <f aca="false">AK63*Inputs!$F$156*AK21/1000000</f>
        <v>5.22117992172993</v>
      </c>
      <c r="AL64" s="13" t="n">
        <f aca="false">AL63*Inputs!$F$156*AL21/1000000</f>
        <v>5.2783004471257</v>
      </c>
      <c r="AM64" s="13" t="n">
        <f aca="false">AM63*Inputs!$F$156*AM21/1000000</f>
        <v>5.33604588000799</v>
      </c>
      <c r="AN64" s="13" t="n">
        <f aca="false">AN63*Inputs!$F$156*AN21/1000000</f>
        <v>5.39442305696247</v>
      </c>
      <c r="AO64" s="13" t="n">
        <f aca="false">AO63*Inputs!$F$156*AO21/1000000</f>
        <v>5.45343888936816</v>
      </c>
      <c r="AP64" s="13" t="n">
        <f aca="false">AP63*Inputs!$F$156*AP21/1000000</f>
        <v>5.51310036421564</v>
      </c>
      <c r="AQ64" s="13" t="n">
        <f aca="false">AQ63*Inputs!$F$156*AQ21/1000000</f>
        <v>5.57341454493426</v>
      </c>
      <c r="AR64" s="13" t="n">
        <f aca="false">AR63*Inputs!$F$156*AR21/1000000</f>
        <v>5.63438857222839</v>
      </c>
      <c r="AS64" s="13" t="n">
        <f aca="false">AS63*Inputs!$F$156*AS21/1000000</f>
        <v>5.69602966492281</v>
      </c>
      <c r="AT64" s="13" t="n">
        <f aca="false">AT63*Inputs!$F$156*AT21/1000000</f>
        <v>5.75834512081741</v>
      </c>
      <c r="AU64" s="13" t="n">
        <f aca="false">AU63*Inputs!$F$156*AU21/1000000</f>
        <v>5.82134231755112</v>
      </c>
      <c r="AV64" s="13" t="n">
        <f aca="false">AV63*Inputs!$F$156*AV21/1000000</f>
        <v>5.88502871347539</v>
      </c>
      <c r="AW64" s="13" t="n">
        <f aca="false">AW63*Inputs!$F$156*AW21/1000000</f>
        <v>5.94941184853724</v>
      </c>
      <c r="AX64" s="13" t="n">
        <f aca="false">AX63*Inputs!$F$156*AX21/1000000</f>
        <v>6.01449934517185</v>
      </c>
      <c r="AY64" s="13" t="n">
        <f aca="false">AY63*Inputs!$F$156*AY21/1000000</f>
        <v>6.08029890920505</v>
      </c>
      <c r="AZ64" s="13" t="n">
        <f aca="false">AZ63*Inputs!$F$156*AZ21/1000000</f>
        <v>6.14681833076563</v>
      </c>
      <c r="BA64" s="13" t="n">
        <f aca="false">BA63*Inputs!$F$156*BA21/1000000</f>
        <v>6.21406548520756</v>
      </c>
      <c r="BB64" s="13" t="n">
        <f aca="false">BB63*Inputs!$F$156*BB21/1000000</f>
        <v>6.28204833404247</v>
      </c>
      <c r="BC64" s="13" t="n">
        <f aca="false">BC63*Inputs!$F$156*BC21/1000000</f>
        <v>6.35077492588213</v>
      </c>
      <c r="BD64" s="13" t="n">
        <f aca="false">BD63*Inputs!$F$156*BD21/1000000</f>
        <v>6.4202533973914</v>
      </c>
      <c r="BE64" s="13" t="n">
        <f aca="false">BE63*Inputs!$F$156*BE21/1000000</f>
        <v>6.49049197425153</v>
      </c>
      <c r="BF64" s="13" t="n">
        <f aca="false">BF63*Inputs!$F$156*BF21/1000000</f>
        <v>6.56149897213401</v>
      </c>
      <c r="BG64" s="13" t="n">
        <f aca="false">BG63*Inputs!$F$156*BG21/1000000</f>
        <v>6.63328279768507</v>
      </c>
      <c r="BH64" s="13" t="n">
        <f aca="false">BH63*Inputs!$F$156*BH21/1000000</f>
        <v>6.70585194952096</v>
      </c>
      <c r="BI64" s="13" t="n">
        <f aca="false">BI63*Inputs!$F$156*BI21/1000000</f>
        <v>6.77921501923413</v>
      </c>
      <c r="BJ64" s="13" t="n">
        <f aca="false">BJ63*Inputs!$F$156*BJ21/1000000</f>
        <v>6.85338069241042</v>
      </c>
      <c r="BK64" s="13" t="n">
        <f aca="false">BK63*Inputs!$F$156*BK21/1000000</f>
        <v>6.92835774965729</v>
      </c>
      <c r="BL64" s="13" t="n">
        <f aca="false">BL63*Inputs!$F$156*BL21/1000000</f>
        <v>7.00415506764345</v>
      </c>
      <c r="BM64" s="13" t="n">
        <f aca="false">BM63*Inputs!$F$156*BM21/1000000</f>
        <v>4.72052108009983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20.8562353324401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0.123459169107681</v>
      </c>
      <c r="P68" s="13" t="n">
        <f aca="false">Inputs!$F$161/100*P55</f>
        <v>0.371969375957171</v>
      </c>
      <c r="Q68" s="13" t="n">
        <f aca="false">Inputs!$F$161/100*Q55</f>
        <v>0.373440883263573</v>
      </c>
      <c r="R68" s="13" t="n">
        <f aca="false">Inputs!$F$161/100*R55</f>
        <v>0.374798085886182</v>
      </c>
      <c r="S68" s="13" t="n">
        <f aca="false">Inputs!$F$161/100*S55</f>
        <v>0.376557934569067</v>
      </c>
      <c r="T68" s="13" t="n">
        <f aca="false">Inputs!$F$161/100*T55</f>
        <v>0.378469441534939</v>
      </c>
      <c r="U68" s="13" t="n">
        <f aca="false">Inputs!$F$161/100*U55</f>
        <v>0.379665949178516</v>
      </c>
      <c r="V68" s="13" t="n">
        <f aca="false">Inputs!$F$161/100*V55</f>
        <v>0.380393594943079</v>
      </c>
      <c r="W68" s="13" t="n">
        <f aca="false">Inputs!$F$161/100*W55</f>
        <v>0.382565927057867</v>
      </c>
      <c r="X68" s="13" t="n">
        <f aca="false">Inputs!$F$161/100*X55</f>
        <v>0.385253148649823</v>
      </c>
      <c r="Y68" s="13" t="n">
        <f aca="false">Inputs!$F$161/100*Y55</f>
        <v>0.386856491674213</v>
      </c>
      <c r="Z68" s="13" t="n">
        <f aca="false">Inputs!$F$161/100*Z55</f>
        <v>0.388335967070165</v>
      </c>
      <c r="AA68" s="13" t="n">
        <f aca="false">Inputs!$F$161/100*AA55</f>
        <v>0.39025214987965</v>
      </c>
      <c r="AB68" s="13" t="n">
        <f aca="false">Inputs!$F$161/100*AB55</f>
        <v>0.392332869821666</v>
      </c>
      <c r="AC68" s="13" t="n">
        <f aca="false">Inputs!$F$161/100*AC55</f>
        <v>0.39333422329784</v>
      </c>
      <c r="AD68" s="13" t="n">
        <f aca="false">Inputs!$F$161/100*AD55</f>
        <v>0.388451248982535</v>
      </c>
      <c r="AE68" s="13" t="n">
        <f aca="false">Inputs!$F$161/100*AE55</f>
        <v>0.396178617044166</v>
      </c>
      <c r="AF68" s="13" t="n">
        <f aca="false">Inputs!$F$161/100*AF55</f>
        <v>0.399721517051335</v>
      </c>
      <c r="AG68" s="13" t="n">
        <f aca="false">Inputs!$F$161/100*AG55</f>
        <v>0.401468504558516</v>
      </c>
      <c r="AH68" s="13" t="n">
        <f aca="false">Inputs!$F$161/100*AH55</f>
        <v>0.403081267504894</v>
      </c>
      <c r="AI68" s="13" t="n">
        <f aca="false">Inputs!$F$161/100*AI55</f>
        <v>0.40516766434551</v>
      </c>
      <c r="AJ68" s="13" t="n">
        <f aca="false">Inputs!$F$161/100*AJ55</f>
        <v>0.407432565334204</v>
      </c>
      <c r="AK68" s="13" t="n">
        <f aca="false">Inputs!$F$161/100*AK55</f>
        <v>0.408856934511424</v>
      </c>
      <c r="AL68" s="13" t="n">
        <f aca="false">Inputs!$F$161/100*AL55</f>
        <v>0.409730208328479</v>
      </c>
      <c r="AM68" s="13" t="n">
        <f aca="false">Inputs!$F$161/100*AM55</f>
        <v>0.412302351934841</v>
      </c>
      <c r="AN68" s="13" t="n">
        <f aca="false">Inputs!$F$161/100*AN55</f>
        <v>0.415480077198038</v>
      </c>
      <c r="AO68" s="13" t="n">
        <f aca="false">Inputs!$F$161/100*AO55</f>
        <v>0.417383575436076</v>
      </c>
      <c r="AP68" s="13" t="n">
        <f aca="false">Inputs!$F$161/100*AP55</f>
        <v>0.419141632870128</v>
      </c>
      <c r="AQ68" s="13" t="n">
        <f aca="false">Inputs!$F$161/100*AQ55</f>
        <v>0.421413355222533</v>
      </c>
      <c r="AR68" s="13" t="n">
        <f aca="false">Inputs!$F$161/100*AR55</f>
        <v>0.423878728309906</v>
      </c>
      <c r="AS68" s="13" t="n">
        <f aca="false">Inputs!$F$161/100*AS55</f>
        <v>0.425075250647118</v>
      </c>
      <c r="AT68" s="13" t="n">
        <f aca="false">Inputs!$F$161/100*AT55</f>
        <v>0.419893263365305</v>
      </c>
      <c r="AU68" s="13" t="n">
        <f aca="false">Inputs!$F$161/100*AU55</f>
        <v>0.428458547076703</v>
      </c>
      <c r="AV68" s="13" t="n">
        <f aca="false">Inputs!$F$161/100*AV55</f>
        <v>0.432643834198655</v>
      </c>
      <c r="AW68" s="13" t="n">
        <f aca="false">Inputs!$F$161/100*AW55</f>
        <v>0.43471786157424</v>
      </c>
      <c r="AX68" s="13" t="n">
        <f aca="false">Inputs!$F$161/100*AX55</f>
        <v>0.436634301954209</v>
      </c>
      <c r="AY68" s="13" t="n">
        <f aca="false">Inputs!$F$161/100*AY55</f>
        <v>0.439107802085869</v>
      </c>
      <c r="AZ68" s="13" t="n">
        <f aca="false">Inputs!$F$161/100*AZ55</f>
        <v>0.44179137814154</v>
      </c>
      <c r="BA68" s="13" t="n">
        <f aca="false">Inputs!$F$161/100*BA55</f>
        <v>0.443487002449943</v>
      </c>
      <c r="BB68" s="13" t="n">
        <f aca="false">Inputs!$F$161/100*BB55</f>
        <v>0.444534977381069</v>
      </c>
      <c r="BC68" s="13" t="n">
        <f aca="false">Inputs!$F$161/100*BC55</f>
        <v>0.44758043533048</v>
      </c>
      <c r="BD68" s="13" t="n">
        <f aca="false">Inputs!$F$161/100*BD55</f>
        <v>0.451338040265691</v>
      </c>
      <c r="BE68" s="13" t="n">
        <f aca="false">Inputs!$F$161/100*BE55</f>
        <v>0.453597870493555</v>
      </c>
      <c r="BF68" s="13" t="n">
        <f aca="false">Inputs!$F$161/100*BF55</f>
        <v>0.455686961207202</v>
      </c>
      <c r="BG68" s="13" t="n">
        <f aca="false">Inputs!$F$161/100*BG55</f>
        <v>0.458380151061027</v>
      </c>
      <c r="BH68" s="13" t="n">
        <f aca="false">Inputs!$F$161/100*BH55</f>
        <v>0.461301227917328</v>
      </c>
      <c r="BI68" s="13" t="n">
        <f aca="false">Inputs!$F$161/100*BI55</f>
        <v>0.46273093601567</v>
      </c>
      <c r="BJ68" s="13" t="n">
        <f aca="false">Inputs!$F$161/100*BJ55</f>
        <v>0.457196275825816</v>
      </c>
      <c r="BK68" s="13" t="n">
        <f aca="false">Inputs!$F$161/100*BK55</f>
        <v>0.466755234950961</v>
      </c>
      <c r="BL68" s="13" t="n">
        <f aca="false">Inputs!$F$161/100*BL55</f>
        <v>0.471699107353912</v>
      </c>
      <c r="BM68" s="13" t="n">
        <f aca="false">Inputs!$F$161/100*BM55</f>
        <v>0.316251412619746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126.936751724505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0.657510652780899</v>
      </c>
      <c r="P69" s="13" t="n">
        <f aca="false">Inputs!$F$162*(Inputs!$F$219*P21+(1-Inputs!$F$219)*P27*Inputs!$F$153/P11)*P38/1000000</f>
        <v>1.99311458611368</v>
      </c>
      <c r="Q69" s="13" t="n">
        <f aca="false">Inputs!$F$162*(Inputs!$F$219*Q21+(1-Inputs!$F$219)*Q27*Inputs!$F$153/Q11)*Q38/1000000</f>
        <v>2.00696796740724</v>
      </c>
      <c r="R69" s="13" t="n">
        <f aca="false">Inputs!$F$162*(Inputs!$F$219*R21+(1-Inputs!$F$219)*R27*Inputs!$F$153/R11)*R38/1000000</f>
        <v>2.01439066433256</v>
      </c>
      <c r="S69" s="13" t="n">
        <f aca="false">Inputs!$F$162*(Inputs!$F$219*S21+(1-Inputs!$F$219)*S27*Inputs!$F$153/S11)*S38/1000000</f>
        <v>2.04146909209134</v>
      </c>
      <c r="T69" s="13" t="n">
        <f aca="false">Inputs!$F$162*(Inputs!$F$219*T21+(1-Inputs!$F$219)*T27*Inputs!$F$153/T11)*T38/1000000</f>
        <v>2.07552706070461</v>
      </c>
      <c r="U69" s="13" t="n">
        <f aca="false">Inputs!$F$162*(Inputs!$F$219*U21+(1-Inputs!$F$219)*U27*Inputs!$F$153/U11)*U38/1000000</f>
        <v>2.07281170086037</v>
      </c>
      <c r="V69" s="13" t="n">
        <f aca="false">Inputs!$F$162*(Inputs!$F$219*V21+(1-Inputs!$F$219)*V27*Inputs!$F$153/V11)*V38/1000000</f>
        <v>2.04573959402962</v>
      </c>
      <c r="W69" s="13" t="n">
        <f aca="false">Inputs!$F$162*(Inputs!$F$219*W21+(1-Inputs!$F$219)*W27*Inputs!$F$153/W11)*W38/1000000</f>
        <v>2.09089159978469</v>
      </c>
      <c r="X69" s="13" t="n">
        <f aca="false">Inputs!$F$162*(Inputs!$F$219*X21+(1-Inputs!$F$219)*X27*Inputs!$F$153/X11)*X38/1000000</f>
        <v>2.16132758086073</v>
      </c>
      <c r="Y69" s="13" t="n">
        <f aca="false">Inputs!$F$162*(Inputs!$F$219*Y21+(1-Inputs!$F$219)*Y27*Inputs!$F$153/Y11)*Y38/1000000</f>
        <v>2.17634027422594</v>
      </c>
      <c r="Z69" s="13" t="n">
        <f aca="false">Inputs!$F$162*(Inputs!$F$219*Z21+(1-Inputs!$F$219)*Z27*Inputs!$F$153/Z11)*Z38/1000000</f>
        <v>2.18437946450087</v>
      </c>
      <c r="AA69" s="13" t="n">
        <f aca="false">Inputs!$F$162*(Inputs!$F$219*AA21+(1-Inputs!$F$219)*AA27*Inputs!$F$153/AA11)*AA38/1000000</f>
        <v>2.21373289271945</v>
      </c>
      <c r="AB69" s="13" t="n">
        <f aca="false">Inputs!$F$162*(Inputs!$F$219*AB21+(1-Inputs!$F$219)*AB27*Inputs!$F$153/AB11)*AB38/1000000</f>
        <v>2.25065449425134</v>
      </c>
      <c r="AC69" s="13" t="n">
        <f aca="false">Inputs!$F$162*(Inputs!$F$219*AC21+(1-Inputs!$F$219)*AC27*Inputs!$F$153/AC11)*AC38/1000000</f>
        <v>2.23234882876565</v>
      </c>
      <c r="AD69" s="13" t="n">
        <f aca="false">Inputs!$F$162*(Inputs!$F$219*AD21+(1-Inputs!$F$219)*AD27*Inputs!$F$153/AD11)*AD38/1000000</f>
        <v>2.17181203743334</v>
      </c>
      <c r="AE69" s="13" t="n">
        <f aca="false">Inputs!$F$162*(Inputs!$F$219*AE21+(1-Inputs!$F$219)*AE27*Inputs!$F$153/AE11)*AE38/1000000</f>
        <v>2.235954615686</v>
      </c>
      <c r="AF69" s="13" t="n">
        <f aca="false">Inputs!$F$162*(Inputs!$F$219*AF21+(1-Inputs!$F$219)*AF27*Inputs!$F$153/AF11)*AF38/1000000</f>
        <v>2.34365175270766</v>
      </c>
      <c r="AG69" s="13" t="n">
        <f aca="false">Inputs!$F$162*(Inputs!$F$219*AG21+(1-Inputs!$F$219)*AG27*Inputs!$F$153/AG11)*AG38/1000000</f>
        <v>2.35992004382976</v>
      </c>
      <c r="AH69" s="13" t="n">
        <f aca="false">Inputs!$F$162*(Inputs!$F$219*AH21+(1-Inputs!$F$219)*AH27*Inputs!$F$153/AH11)*AH38/1000000</f>
        <v>2.36862646814123</v>
      </c>
      <c r="AI69" s="13" t="n">
        <f aca="false">Inputs!$F$162*(Inputs!$F$219*AI21+(1-Inputs!$F$219)*AI27*Inputs!$F$153/AI11)*AI38/1000000</f>
        <v>2.40044473048063</v>
      </c>
      <c r="AJ69" s="13" t="n">
        <f aca="false">Inputs!$F$162*(Inputs!$F$219*AJ21+(1-Inputs!$F$219)*AJ27*Inputs!$F$153/AJ11)*AJ38/1000000</f>
        <v>2.44046913704791</v>
      </c>
      <c r="AK69" s="13" t="n">
        <f aca="false">Inputs!$F$162*(Inputs!$F$219*AK21+(1-Inputs!$F$219)*AK27*Inputs!$F$153/AK11)*AK38/1000000</f>
        <v>2.43725395107643</v>
      </c>
      <c r="AL69" s="13" t="n">
        <f aca="false">Inputs!$F$162*(Inputs!$F$219*AL21+(1-Inputs!$F$219)*AL27*Inputs!$F$153/AL11)*AL38/1000000</f>
        <v>2.40539989735495</v>
      </c>
      <c r="AM69" s="13" t="n">
        <f aca="false">Inputs!$F$162*(Inputs!$F$219*AM21+(1-Inputs!$F$219)*AM27*Inputs!$F$153/AM11)*AM38/1000000</f>
        <v>2.45846740634832</v>
      </c>
      <c r="AN69" s="13" t="n">
        <f aca="false">Inputs!$F$162*(Inputs!$F$219*AN21+(1-Inputs!$F$219)*AN27*Inputs!$F$153/AN11)*AN38/1000000</f>
        <v>2.54126249081497</v>
      </c>
      <c r="AO69" s="13" t="n">
        <f aca="false">Inputs!$F$162*(Inputs!$F$219*AO21+(1-Inputs!$F$219)*AO27*Inputs!$F$153/AO11)*AO38/1000000</f>
        <v>2.558890590087</v>
      </c>
      <c r="AP69" s="13" t="n">
        <f aca="false">Inputs!$F$162*(Inputs!$F$219*AP21+(1-Inputs!$F$219)*AP27*Inputs!$F$153/AP11)*AP38/1000000</f>
        <v>2.56831911931385</v>
      </c>
      <c r="AQ69" s="13" t="n">
        <f aca="false">Inputs!$F$162*(Inputs!$F$219*AQ21+(1-Inputs!$F$219)*AQ27*Inputs!$F$153/AQ11)*AQ38/1000000</f>
        <v>2.60280776170444</v>
      </c>
      <c r="AR69" s="13" t="n">
        <f aca="false">Inputs!$F$162*(Inputs!$F$219*AR21+(1-Inputs!$F$219)*AR27*Inputs!$F$153/AR11)*AR38/1000000</f>
        <v>2.64619396327463</v>
      </c>
      <c r="AS69" s="13" t="n">
        <f aca="false">Inputs!$F$162*(Inputs!$F$219*AS21+(1-Inputs!$F$219)*AS27*Inputs!$F$153/AS11)*AS38/1000000</f>
        <v>2.62464678600981</v>
      </c>
      <c r="AT69" s="13" t="n">
        <f aca="false">Inputs!$F$162*(Inputs!$F$219*AT21+(1-Inputs!$F$219)*AT27*Inputs!$F$153/AT11)*AT38/1000000</f>
        <v>2.55344789476249</v>
      </c>
      <c r="AU69" s="13" t="n">
        <f aca="false">Inputs!$F$162*(Inputs!$F$219*AU21+(1-Inputs!$F$219)*AU27*Inputs!$F$153/AU11)*AU38/1000000</f>
        <v>2.62883724499162</v>
      </c>
      <c r="AV69" s="13" t="n">
        <f aca="false">Inputs!$F$162*(Inputs!$F$219*AV21+(1-Inputs!$F$219)*AV27*Inputs!$F$153/AV11)*AV38/1000000</f>
        <v>2.75543226203586</v>
      </c>
      <c r="AW69" s="13" t="n">
        <f aca="false">Inputs!$F$162*(Inputs!$F$219*AW21+(1-Inputs!$F$219)*AW27*Inputs!$F$153/AW11)*AW38/1000000</f>
        <v>2.77453294960251</v>
      </c>
      <c r="AX69" s="13" t="n">
        <f aca="false">Inputs!$F$162*(Inputs!$F$219*AX21+(1-Inputs!$F$219)*AX27*Inputs!$F$153/AX11)*AX38/1000000</f>
        <v>2.78474291637843</v>
      </c>
      <c r="AY69" s="13" t="n">
        <f aca="false">Inputs!$F$162*(Inputs!$F$219*AY21+(1-Inputs!$F$219)*AY27*Inputs!$F$153/AY11)*AY38/1000000</f>
        <v>2.82212448480602</v>
      </c>
      <c r="AZ69" s="13" t="n">
        <f aca="false">Inputs!$F$162*(Inputs!$F$219*AZ21+(1-Inputs!$F$219)*AZ27*Inputs!$F$153/AZ11)*AZ38/1000000</f>
        <v>2.86915291566829</v>
      </c>
      <c r="BA69" s="13" t="n">
        <f aca="false">Inputs!$F$162*(Inputs!$F$219*BA21+(1-Inputs!$F$219)*BA27*Inputs!$F$153/BA11)*BA38/1000000</f>
        <v>2.86534599951522</v>
      </c>
      <c r="BB69" s="13" t="n">
        <f aca="false">Inputs!$F$162*(Inputs!$F$219*BB21+(1-Inputs!$F$219)*BB27*Inputs!$F$153/BB11)*BB38/1000000</f>
        <v>2.82787028224047</v>
      </c>
      <c r="BC69" s="13" t="n">
        <f aca="false">Inputs!$F$162*(Inputs!$F$219*BC21+(1-Inputs!$F$219)*BC27*Inputs!$F$153/BC11)*BC38/1000000</f>
        <v>2.89023097818088</v>
      </c>
      <c r="BD69" s="13" t="n">
        <f aca="false">Inputs!$F$162*(Inputs!$F$219*BD21+(1-Inputs!$F$219)*BD27*Inputs!$F$153/BD11)*BD38/1000000</f>
        <v>2.98753854670635</v>
      </c>
      <c r="BE69" s="13" t="n">
        <f aca="false">Inputs!$F$162*(Inputs!$F$219*BE21+(1-Inputs!$F$219)*BE27*Inputs!$F$153/BE11)*BE38/1000000</f>
        <v>3.00823386928932</v>
      </c>
      <c r="BF69" s="13" t="n">
        <f aca="false">Inputs!$F$162*(Inputs!$F$219*BF21+(1-Inputs!$F$219)*BF27*Inputs!$F$153/BF11)*BF38/1000000</f>
        <v>3.01928942571288</v>
      </c>
      <c r="BG69" s="13" t="n">
        <f aca="false">Inputs!$F$162*(Inputs!$F$219*BG21+(1-Inputs!$F$219)*BG27*Inputs!$F$153/BG11)*BG38/1000000</f>
        <v>3.05980485828365</v>
      </c>
      <c r="BH69" s="13" t="n">
        <f aca="false">Inputs!$F$162*(Inputs!$F$219*BH21+(1-Inputs!$F$219)*BH27*Inputs!$F$153/BH11)*BH38/1000000</f>
        <v>3.11077915544459</v>
      </c>
      <c r="BI69" s="13" t="n">
        <f aca="false">Inputs!$F$162*(Inputs!$F$219*BI21+(1-Inputs!$F$219)*BI27*Inputs!$F$153/BI11)*BI38/1000000</f>
        <v>3.08541960500265</v>
      </c>
      <c r="BJ69" s="13" t="n">
        <f aca="false">Inputs!$F$162*(Inputs!$F$219*BJ21+(1-Inputs!$F$219)*BJ27*Inputs!$F$153/BJ11)*BJ38/1000000</f>
        <v>3.0016926728138</v>
      </c>
      <c r="BK69" s="13" t="n">
        <f aca="false">Inputs!$F$162*(Inputs!$F$219*BK21+(1-Inputs!$F$219)*BK27*Inputs!$F$153/BK11)*BK38/1000000</f>
        <v>3.0902867092867</v>
      </c>
      <c r="BL69" s="13" t="n">
        <f aca="false">Inputs!$F$162*(Inputs!$F$219*BL21+(1-Inputs!$F$219)*BL27*Inputs!$F$153/BL11)*BL38/1000000</f>
        <v>3.23907241494402</v>
      </c>
      <c r="BM69" s="13" t="n">
        <f aca="false">Inputs!$F$162*(Inputs!$F$219*BM21+(1-Inputs!$F$219)*BM27*Inputs!$F$153/BM11)*BM38/1000000</f>
        <v>2.18158933409907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1103.78763294597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5.63492172762648</v>
      </c>
      <c r="P72" s="13" t="n">
        <f aca="false">P60+P61+P62+P64+P65+P66+P67+P68+P69+P70+P71</f>
        <v>17.083151227781</v>
      </c>
      <c r="Q72" s="13" t="n">
        <f aca="false">Q60+Q61+Q62+Q64+Q65+Q66+Q67+Q68+Q69+Q70+Q71</f>
        <v>17.2238458101386</v>
      </c>
      <c r="R72" s="13" t="n">
        <f aca="false">R60+R61+R62+R64+R65+R66+R67+R68+R69+R70+R71</f>
        <v>17.3261039115629</v>
      </c>
      <c r="S72" s="13" t="n">
        <f aca="false">S60+S61+S62+S64+S65+S66+S67+S68+S69+S70+S71</f>
        <v>17.5485238973743</v>
      </c>
      <c r="T72" s="13" t="n">
        <f aca="false">T60+T61+T62+T64+T65+T66+T67+T68+T69+T70+T71</f>
        <v>17.8141877396976</v>
      </c>
      <c r="U72" s="13" t="n">
        <f aca="false">U60+U61+U62+U64+U65+U66+U67+U68+U69+U70+U71</f>
        <v>17.8567296411035</v>
      </c>
      <c r="V72" s="13" t="n">
        <f aca="false">V60+V61+V62+V64+V65+V66+V67+V68+V69+V70+V71</f>
        <v>17.7513982594743</v>
      </c>
      <c r="W72" s="13" t="n">
        <f aca="false">W60+W61+W62+W64+W65+W66+W67+W68+W69+W70+W71</f>
        <v>18.0868301376703</v>
      </c>
      <c r="X72" s="13" t="n">
        <f aca="false">X60+X61+X62+X64+X65+X66+X67+X68+X69+X70+X71</f>
        <v>18.5774601814756</v>
      </c>
      <c r="Y72" s="13" t="n">
        <f aca="false">Y60+Y61+Y62+Y64+Y65+Y66+Y67+Y68+Y69+Y70+Y71</f>
        <v>18.7308478873788</v>
      </c>
      <c r="Z72" s="13" t="n">
        <f aca="false">Z60+Z61+Z62+Z64+Z65+Z66+Z67+Z68+Z69+Z70+Z71</f>
        <v>18.8423463007108</v>
      </c>
      <c r="AA72" s="13" t="n">
        <f aca="false">AA60+AA61+AA62+AA64+AA65+AA66+AA67+AA68+AA69+AA70+AA71</f>
        <v>19.084803263197</v>
      </c>
      <c r="AB72" s="13" t="n">
        <f aca="false">AB60+AB61+AB62+AB64+AB65+AB66+AB67+AB68+AB69+AB70+AB71</f>
        <v>19.3743899250793</v>
      </c>
      <c r="AC72" s="13" t="n">
        <f aca="false">AC60+AC61+AC62+AC64+AC65+AC66+AC67+AC68+AC69+AC70+AC71</f>
        <v>19.3268505201246</v>
      </c>
      <c r="AD72" s="13" t="n">
        <f aca="false">AD60+AD61+AD62+AD64+AD65+AD66+AD67+AD68+AD69+AD70+AD71</f>
        <v>19.0535809077596</v>
      </c>
      <c r="AE72" s="13" t="n">
        <f aca="false">AE60+AE61+AE62+AE64+AE65+AE66+AE67+AE68+AE69+AE70+AE71</f>
        <v>19.4796918115525</v>
      </c>
      <c r="AF72" s="13" t="n">
        <f aca="false">AF60+AF61+AF62+AF64+AF65+AF66+AF67+AF68+AF69+AF70+AF71</f>
        <v>20.2064610097891</v>
      </c>
      <c r="AG72" s="13" t="n">
        <f aca="false">AG60+AG61+AG62+AG64+AG65+AG66+AG67+AG68+AG69+AG70+AG71</f>
        <v>20.3736869071959</v>
      </c>
      <c r="AH72" s="13" t="n">
        <f aca="false">AH60+AH61+AH62+AH64+AH65+AH66+AH67+AH68+AH69+AH70+AH71</f>
        <v>20.495260576507</v>
      </c>
      <c r="AI72" s="13" t="n">
        <f aca="false">AI60+AI61+AI62+AI64+AI65+AI66+AI67+AI68+AI69+AI70+AI71</f>
        <v>20.7595594065057</v>
      </c>
      <c r="AJ72" s="13" t="n">
        <f aca="false">AJ60+AJ61+AJ62+AJ64+AJ65+AJ66+AJ67+AJ68+AJ69+AJ70+AJ71</f>
        <v>21.0752229049397</v>
      </c>
      <c r="AK72" s="13" t="n">
        <f aca="false">AK60+AK61+AK62+AK64+AK65+AK66+AK67+AK68+AK69+AK70+AK71</f>
        <v>21.1258716539799</v>
      </c>
      <c r="AL72" s="13" t="n">
        <f aca="false">AL60+AL61+AL62+AL64+AL65+AL66+AL67+AL68+AL69+AL70+AL71</f>
        <v>21.0008834075236</v>
      </c>
      <c r="AM72" s="13" t="n">
        <f aca="false">AM60+AM61+AM62+AM64+AM65+AM66+AM67+AM68+AM69+AM70+AM71</f>
        <v>21.399418564436</v>
      </c>
      <c r="AN72" s="13" t="n">
        <f aca="false">AN60+AN61+AN62+AN64+AN65+AN66+AN67+AN68+AN69+AN70+AN71</f>
        <v>21.9822933944452</v>
      </c>
      <c r="AO72" s="13" t="n">
        <f aca="false">AO60+AO61+AO62+AO64+AO65+AO66+AO67+AO68+AO69+AO70+AO71</f>
        <v>22.1646058429543</v>
      </c>
      <c r="AP72" s="13" t="n">
        <f aca="false">AP60+AP61+AP62+AP64+AP65+AP66+AP67+AP68+AP69+AP70+AP71</f>
        <v>22.297165153718</v>
      </c>
      <c r="AQ72" s="13" t="n">
        <f aca="false">AQ60+AQ61+AQ62+AQ64+AQ65+AQ66+AQ67+AQ68+AQ69+AQ70+AQ71</f>
        <v>22.5852733079035</v>
      </c>
      <c r="AR72" s="13" t="n">
        <f aca="false">AR60+AR61+AR62+AR64+AR65+AR66+AR67+AR68+AR69+AR70+AR71</f>
        <v>22.9293615884797</v>
      </c>
      <c r="AS72" s="13" t="n">
        <f aca="false">AS60+AS61+AS62+AS64+AS65+AS66+AS67+AS68+AS69+AS70+AS71</f>
        <v>22.8730261848306</v>
      </c>
      <c r="AT72" s="13" t="n">
        <f aca="false">AT60+AT61+AT62+AT64+AT65+AT66+AT67+AT68+AT69+AT70+AT71</f>
        <v>22.5492696981145</v>
      </c>
      <c r="AU72" s="13" t="n">
        <f aca="false">AU60+AU61+AU62+AU64+AU65+AU66+AU67+AU68+AU69+AU70+AU71</f>
        <v>23.0548295133193</v>
      </c>
      <c r="AV72" s="13" t="n">
        <f aca="false">AV60+AV61+AV62+AV64+AV65+AV66+AV67+AV68+AV69+AV70+AV71</f>
        <v>23.9181910679192</v>
      </c>
      <c r="AW72" s="13" t="n">
        <f aca="false">AW60+AW61+AW62+AW64+AW65+AW66+AW67+AW68+AW69+AW70+AW71</f>
        <v>24.116951035634</v>
      </c>
      <c r="AX72" s="13" t="n">
        <f aca="false">AX60+AX61+AX62+AX64+AX65+AX66+AX67+AX68+AX69+AX70+AX71</f>
        <v>24.2614886309439</v>
      </c>
      <c r="AY72" s="13" t="n">
        <f aca="false">AY60+AY61+AY62+AY64+AY65+AY66+AY67+AY68+AY69+AY70+AY71</f>
        <v>24.5755507726819</v>
      </c>
      <c r="AZ72" s="13" t="n">
        <f aca="false">AZ60+AZ61+AZ62+AZ64+AZ65+AZ66+AZ67+AZ68+AZ69+AZ70+AZ71</f>
        <v>24.9506231673949</v>
      </c>
      <c r="BA72" s="13" t="n">
        <f aca="false">BA60+BA61+BA62+BA64+BA65+BA66+BA67+BA68+BA69+BA70+BA71</f>
        <v>25.0109236102531</v>
      </c>
      <c r="BB72" s="13" t="n">
        <f aca="false">BB60+BB61+BB62+BB64+BB65+BB66+BB67+BB68+BB69+BB70+BB71</f>
        <v>24.8626114735755</v>
      </c>
      <c r="BC72" s="13" t="n">
        <f aca="false">BC60+BC61+BC62+BC64+BC65+BC66+BC67+BC68+BC69+BC70+BC71</f>
        <v>25.3361198477152</v>
      </c>
      <c r="BD72" s="13" t="n">
        <f aca="false">BD60+BD61+BD62+BD64+BD65+BD66+BD67+BD68+BD69+BD70+BD71</f>
        <v>26.0285804030696</v>
      </c>
      <c r="BE72" s="13" t="n">
        <f aca="false">BE60+BE61+BE62+BE64+BE65+BE66+BE67+BE68+BE69+BE70+BE71</f>
        <v>26.2452716237827</v>
      </c>
      <c r="BF72" s="13" t="n">
        <f aca="false">BF60+BF61+BF62+BF64+BF65+BF66+BF67+BF68+BF69+BF70+BF71</f>
        <v>26.4028698363972</v>
      </c>
      <c r="BG72" s="13" t="n">
        <f aca="false">BG60+BG61+BG62+BG64+BG65+BG66+BG67+BG68+BG69+BG70+BG71</f>
        <v>26.7452237950431</v>
      </c>
      <c r="BH72" s="13" t="n">
        <f aca="false">BH60+BH61+BH62+BH64+BH65+BH66+BH67+BH68+BH69+BH70+BH71</f>
        <v>27.1540700515148</v>
      </c>
      <c r="BI72" s="13" t="n">
        <f aca="false">BI60+BI61+BI62+BI64+BI65+BI66+BI67+BI68+BI69+BI70+BI71</f>
        <v>27.0873124215109</v>
      </c>
      <c r="BJ72" s="13" t="n">
        <f aca="false">BJ60+BJ61+BJ62+BJ64+BJ65+BJ66+BJ67+BJ68+BJ69+BJ70+BJ71</f>
        <v>26.7036330439263</v>
      </c>
      <c r="BK72" s="13" t="n">
        <f aca="false">BK60+BK61+BK62+BK64+BK65+BK66+BK67+BK68+BK69+BK70+BK71</f>
        <v>27.3035657606896</v>
      </c>
      <c r="BL72" s="13" t="n">
        <f aca="false">BL60+BL61+BL62+BL64+BL65+BL66+BL67+BL68+BL69+BL70+BL71</f>
        <v>28.3291878863489</v>
      </c>
      <c r="BM72" s="13" t="n">
        <f aca="false">BM60+BM61+BM62+BM64+BM65+BM66+BM67+BM68+BM69+BM70+BM71</f>
        <v>19.0876062532221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4602.87402428052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24.2173955896</v>
      </c>
      <c r="P73" s="13" t="n">
        <f aca="false">P42*P41/1000000</f>
        <v>72.644899572196</v>
      </c>
      <c r="Q73" s="13" t="n">
        <f aca="false">Q42*Q41/1000000</f>
        <v>73.8496418500094</v>
      </c>
      <c r="R73" s="13" t="n">
        <f aca="false">R42*R41/1000000</f>
        <v>73.3645768680095</v>
      </c>
      <c r="S73" s="13" t="n">
        <f aca="false">S42*S41/1000000</f>
        <v>75.0620301971261</v>
      </c>
      <c r="T73" s="13" t="n">
        <f aca="false">T42*T41/1000000</f>
        <v>75.5336289693357</v>
      </c>
      <c r="U73" s="13" t="n">
        <f aca="false">U42*U41/1000000</f>
        <v>76.1563763613696</v>
      </c>
      <c r="V73" s="13" t="n">
        <f aca="false">V42*V41/1000000</f>
        <v>74.3928013716743</v>
      </c>
      <c r="W73" s="13" t="n">
        <f aca="false">W42*W41/1000000</f>
        <v>76.7619925036953</v>
      </c>
      <c r="X73" s="13" t="n">
        <f aca="false">X42*X41/1000000</f>
        <v>78.5360671428393</v>
      </c>
      <c r="Y73" s="13" t="n">
        <f aca="false">Y42*Y41/1000000</f>
        <v>79.8379178462549</v>
      </c>
      <c r="Z73" s="13" t="n">
        <f aca="false">Z42*Z41/1000000</f>
        <v>79.3129331773918</v>
      </c>
      <c r="AA73" s="13" t="n">
        <f aca="false">AA42*AA41/1000000</f>
        <v>81.1474141320701</v>
      </c>
      <c r="AB73" s="13" t="n">
        <f aca="false">AB42*AB41/1000000</f>
        <v>81.6566411418946</v>
      </c>
      <c r="AC73" s="13" t="n">
        <f aca="false">AC42*AC41/1000000</f>
        <v>81.7669828655943</v>
      </c>
      <c r="AD73" s="13" t="n">
        <f aca="false">AD42*AD41/1000000</f>
        <v>78.7355847059395</v>
      </c>
      <c r="AE73" s="13" t="n">
        <f aca="false">AE42*AE41/1000000</f>
        <v>81.83606345096</v>
      </c>
      <c r="AF73" s="13" t="n">
        <f aca="false">AF42*AF41/1000000</f>
        <v>84.8999482819921</v>
      </c>
      <c r="AG73" s="13" t="n">
        <f aca="false">AG42*AG41/1000000</f>
        <v>86.3066487590886</v>
      </c>
      <c r="AH73" s="13" t="n">
        <f aca="false">AH42*AH41/1000000</f>
        <v>85.7384911087835</v>
      </c>
      <c r="AI73" s="13" t="n">
        <f aca="false">AI42*AI41/1000000</f>
        <v>87.7209409744295</v>
      </c>
      <c r="AJ73" s="13" t="n">
        <f aca="false">AJ42*AJ41/1000000</f>
        <v>88.2707626021162</v>
      </c>
      <c r="AK73" s="13" t="n">
        <f aca="false">AK42*AK41/1000000</f>
        <v>88.9972012355363</v>
      </c>
      <c r="AL73" s="13" t="n">
        <f aca="false">AL42*AL41/1000000</f>
        <v>86.9349757867936</v>
      </c>
      <c r="AM73" s="13" t="n">
        <f aca="false">AM42*AM41/1000000</f>
        <v>89.7022645784391</v>
      </c>
      <c r="AN73" s="13" t="n">
        <f aca="false">AN42*AN41/1000000</f>
        <v>91.7740415627583</v>
      </c>
      <c r="AO73" s="13" t="n">
        <f aca="false">AO42*AO41/1000000</f>
        <v>93.2939428108835</v>
      </c>
      <c r="AP73" s="13" t="n">
        <f aca="false">AP42*AP41/1000000</f>
        <v>92.6790964261793</v>
      </c>
      <c r="AQ73" s="13" t="n">
        <f aca="false">AQ42*AQ41/1000000</f>
        <v>94.8213196935165</v>
      </c>
      <c r="AR73" s="13" t="n">
        <f aca="false">AR42*AR41/1000000</f>
        <v>95.4149329935503</v>
      </c>
      <c r="AS73" s="13" t="n">
        <f aca="false">AS42*AS41/1000000</f>
        <v>95.5424415152124</v>
      </c>
      <c r="AT73" s="13" t="n">
        <f aca="false">AT42*AT41/1000000</f>
        <v>91.9989647301703</v>
      </c>
      <c r="AU73" s="13" t="n">
        <f aca="false">AU42*AU41/1000000</f>
        <v>95.6203064825278</v>
      </c>
      <c r="AV73" s="13" t="n">
        <f aca="false">AV42*AV41/1000000</f>
        <v>99.198782299628</v>
      </c>
      <c r="AW73" s="13" t="n">
        <f aca="false">AW42*AW41/1000000</f>
        <v>100.840892314214</v>
      </c>
      <c r="AX73" s="13" t="n">
        <f aca="false">AX42*AX41/1000000</f>
        <v>100.175558037471</v>
      </c>
      <c r="AY73" s="13" t="n">
        <f aca="false">AY42*AY41/1000000</f>
        <v>102.490289583569</v>
      </c>
      <c r="AZ73" s="13" t="n">
        <f aca="false">AZ42*AZ41/1000000</f>
        <v>103.131139936158</v>
      </c>
      <c r="BA73" s="13" t="n">
        <f aca="false">BA42*BA41/1000000</f>
        <v>103.978317649173</v>
      </c>
      <c r="BB73" s="13" t="n">
        <f aca="false">BB42*BB41/1000000</f>
        <v>101.567431226571</v>
      </c>
      <c r="BC73" s="13" t="n">
        <f aca="false">BC42*BC41/1000000</f>
        <v>104.798925306888</v>
      </c>
      <c r="BD73" s="13" t="n">
        <f aca="false">BD42*BD41/1000000</f>
        <v>107.217769160796</v>
      </c>
      <c r="BE73" s="13" t="n">
        <f aca="false">BE42*BE41/1000000</f>
        <v>108.991803901729</v>
      </c>
      <c r="BF73" s="13" t="n">
        <f aca="false">BF42*BF41/1000000</f>
        <v>108.271876572363</v>
      </c>
      <c r="BG73" s="13" t="n">
        <f aca="false">BG42*BG41/1000000</f>
        <v>110.772853987258</v>
      </c>
      <c r="BH73" s="13" t="n">
        <f aca="false">BH42*BH41/1000000</f>
        <v>111.464654074197</v>
      </c>
      <c r="BI73" s="13" t="n">
        <f aca="false">BI42*BI41/1000000</f>
        <v>111.611932467341</v>
      </c>
      <c r="BJ73" s="13" t="n">
        <f aca="false">BJ42*BJ41/1000000</f>
        <v>107.4708536962</v>
      </c>
      <c r="BK73" s="13" t="n">
        <f aca="false">BK42*BK41/1000000</f>
        <v>111.699531673532</v>
      </c>
      <c r="BL73" s="13" t="n">
        <f aca="false">BL42*BL41/1000000</f>
        <v>115.878007959035</v>
      </c>
      <c r="BM73" s="13" t="n">
        <f aca="false">BM42*BM41/1000000</f>
        <v>78.7841771464597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5431.03679638879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28.8074497855027</v>
      </c>
      <c r="P74" s="13" t="n">
        <f aca="false">P73+P52+P53+P54</f>
        <v>86.4773922804052</v>
      </c>
      <c r="Q74" s="13" t="n">
        <f aca="false">Q73+Q52+Q53+Q54</f>
        <v>87.6912284093158</v>
      </c>
      <c r="R74" s="13" t="n">
        <f aca="false">R73+R52+R53+R54</f>
        <v>87.3812463276881</v>
      </c>
      <c r="S74" s="13" t="n">
        <f aca="false">S73+S52+S53+S54</f>
        <v>89.1028694545033</v>
      </c>
      <c r="T74" s="13" t="n">
        <f aca="false">T73+T52+T53+T54</f>
        <v>89.782749560858</v>
      </c>
      <c r="U74" s="13" t="n">
        <f aca="false">U73+U52+U53+U54</f>
        <v>90.4604393949359</v>
      </c>
      <c r="V74" s="13" t="n">
        <f aca="false">V73+V52+V53+V54</f>
        <v>88.7721863782605</v>
      </c>
      <c r="W74" s="13" t="n">
        <f aca="false">W73+W52+W53+W54</f>
        <v>91.1854716968837</v>
      </c>
      <c r="X74" s="13" t="n">
        <f aca="false">X73+X52+X53+X54</f>
        <v>93.2143286144402</v>
      </c>
      <c r="Y74" s="13" t="n">
        <f aca="false">Y73+Y52+Y53+Y54</f>
        <v>94.5257774971806</v>
      </c>
      <c r="Z74" s="13" t="n">
        <f aca="false">Z73+Z52+Z53+Z54</f>
        <v>94.1866214717095</v>
      </c>
      <c r="AA74" s="13" t="n">
        <f aca="false">AA73+AA52+AA53+AA54</f>
        <v>96.0466806641562</v>
      </c>
      <c r="AB74" s="13" t="n">
        <f aca="false">AB73+AB52+AB53+AB54</f>
        <v>96.776931218056</v>
      </c>
      <c r="AC74" s="13" t="n">
        <f aca="false">AC73+AC52+AC53+AC54</f>
        <v>96.9282007912621</v>
      </c>
      <c r="AD74" s="13" t="n">
        <f aca="false">AD73+AD52+AD53+AD54</f>
        <v>93.9420984128559</v>
      </c>
      <c r="AE74" s="13" t="n">
        <f aca="false">AE73+AE52+AE53+AE54</f>
        <v>97.106111985418</v>
      </c>
      <c r="AF74" s="13" t="n">
        <f aca="false">AF73+AF52+AF53+AF54</f>
        <v>100.475540603537</v>
      </c>
      <c r="AG74" s="13" t="n">
        <f aca="false">AG73+AG52+AG53+AG54</f>
        <v>101.892369469894</v>
      </c>
      <c r="AH74" s="13" t="n">
        <f aca="false">AH73+AH52+AH53+AH54</f>
        <v>101.52144670566</v>
      </c>
      <c r="AI74" s="13" t="n">
        <f aca="false">AI73+AI52+AI53+AI54</f>
        <v>103.530962324537</v>
      </c>
      <c r="AJ74" s="13" t="n">
        <f aca="false">AJ73+AJ52+AJ53+AJ54</f>
        <v>104.315328247875</v>
      </c>
      <c r="AK74" s="13" t="n">
        <f aca="false">AK73+AK52+AK53+AK54</f>
        <v>105.103596133089</v>
      </c>
      <c r="AL74" s="13" t="n">
        <f aca="false">AL73+AL52+AL53+AL54</f>
        <v>103.126343933382</v>
      </c>
      <c r="AM74" s="13" t="n">
        <f aca="false">AM73+AM52+AM53+AM54</f>
        <v>105.94307942321</v>
      </c>
      <c r="AN74" s="13" t="n">
        <f aca="false">AN73+AN52+AN53+AN54</f>
        <v>108.301660914152</v>
      </c>
      <c r="AO74" s="13" t="n">
        <f aca="false">AO73+AO52+AO53+AO54</f>
        <v>109.832247811896</v>
      </c>
      <c r="AP74" s="13" t="n">
        <f aca="false">AP73+AP52+AP53+AP54</f>
        <v>109.42674371388</v>
      </c>
      <c r="AQ74" s="13" t="n">
        <f aca="false">AQ73+AQ52+AQ53+AQ54</f>
        <v>111.597603556723</v>
      </c>
      <c r="AR74" s="13" t="n">
        <f aca="false">AR73+AR52+AR53+AR54</f>
        <v>112.440107952276</v>
      </c>
      <c r="AS74" s="13" t="n">
        <f aca="false">AS73+AS52+AS53+AS54</f>
        <v>112.613706573436</v>
      </c>
      <c r="AT74" s="13" t="n">
        <f aca="false">AT73+AT52+AT53+AT54</f>
        <v>109.121501164185</v>
      </c>
      <c r="AU74" s="13" t="n">
        <f aca="false">AU73+AU52+AU53+AU54</f>
        <v>112.81411554624</v>
      </c>
      <c r="AV74" s="13" t="n">
        <f aca="false">AV73+AV52+AV53+AV54</f>
        <v>116.736448868906</v>
      </c>
      <c r="AW74" s="13" t="n">
        <f aca="false">AW73+AW52+AW53+AW54</f>
        <v>118.38983005192</v>
      </c>
      <c r="AX74" s="13" t="n">
        <f aca="false">AX73+AX52+AX53+AX54</f>
        <v>117.946689785145</v>
      </c>
      <c r="AY74" s="13" t="n">
        <f aca="false">AY73+AY52+AY53+AY54</f>
        <v>120.291716478385</v>
      </c>
      <c r="AZ74" s="13" t="n">
        <f aca="false">AZ73+AZ52+AZ53+AZ54</f>
        <v>121.196681176336</v>
      </c>
      <c r="BA74" s="13" t="n">
        <f aca="false">BA73+BA52+BA53+BA54</f>
        <v>122.113435694469</v>
      </c>
      <c r="BB74" s="13" t="n">
        <f aca="false">BB73+BB52+BB53+BB54</f>
        <v>119.798426386982</v>
      </c>
      <c r="BC74" s="13" t="n">
        <f aca="false">BC73+BC52+BC53+BC54</f>
        <v>123.085349786781</v>
      </c>
      <c r="BD74" s="13" t="n">
        <f aca="false">BD73+BD52+BD53+BD54</f>
        <v>125.827028530408</v>
      </c>
      <c r="BE74" s="13" t="n">
        <f aca="false">BE73+BE52+BE53+BE54</f>
        <v>127.612949464379</v>
      </c>
      <c r="BF74" s="13" t="n">
        <f aca="false">BF73+BF52+BF53+BF54</f>
        <v>127.128858016844</v>
      </c>
      <c r="BG74" s="13" t="n">
        <f aca="false">BG73+BG52+BG53+BG54</f>
        <v>129.661881562902</v>
      </c>
      <c r="BH74" s="13" t="n">
        <f aca="false">BH73+BH52+BH53+BH54</f>
        <v>130.633949167908</v>
      </c>
      <c r="BI74" s="13" t="n">
        <f aca="false">BI73+BI52+BI53+BI54</f>
        <v>130.833133542068</v>
      </c>
      <c r="BJ74" s="13" t="n">
        <f aca="false">BJ73+BJ52+BJ53+BJ54</f>
        <v>126.750116030379</v>
      </c>
      <c r="BK74" s="13" t="n">
        <f aca="false">BK73+BK52+BK53+BK54</f>
        <v>131.058720868285</v>
      </c>
      <c r="BL74" s="13" t="n">
        <f aca="false">BL73+BL52+BL53+BL54</f>
        <v>135.624144654243</v>
      </c>
      <c r="BM74" s="13" t="n">
        <f aca="false">BM73+BM52+BM53+BM54</f>
        <v>91.9032983050503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6605.7030818446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34.4423715131292</v>
      </c>
      <c r="P83" s="13" t="n">
        <f aca="false">P72+P74+P75+P76+P79+P82</f>
        <v>103.659189241374</v>
      </c>
      <c r="Q83" s="13" t="n">
        <f aca="false">Q72+Q74+Q75+Q76+Q79+Q82</f>
        <v>104.927825648583</v>
      </c>
      <c r="R83" s="13" t="n">
        <f aca="false">R72+R74+R75+R76+R79+R82</f>
        <v>104.707350239251</v>
      </c>
      <c r="S83" s="13" t="n">
        <f aca="false">S72+S74+S75+S76+S79+S82</f>
        <v>106.651393351878</v>
      </c>
      <c r="T83" s="13" t="n">
        <f aca="false">T72+T74+T75+T76+T79+T82</f>
        <v>107.596937300556</v>
      </c>
      <c r="U83" s="13" t="n">
        <f aca="false">U72+U74+U75+U76+U79+U82</f>
        <v>108.317169036039</v>
      </c>
      <c r="V83" s="13" t="n">
        <f aca="false">V72+V74+V75+V76+V79+V82</f>
        <v>109.021194452464</v>
      </c>
      <c r="W83" s="13" t="n">
        <f aca="false">W72+W74+W75+W76+W79+W82</f>
        <v>109.272301834554</v>
      </c>
      <c r="X83" s="13" t="n">
        <f aca="false">X72+X74+X75+X76+X79+X82</f>
        <v>111.791788795916</v>
      </c>
      <c r="Y83" s="13" t="n">
        <f aca="false">Y72+Y74+Y75+Y76+Y79+Y82</f>
        <v>113.256625384559</v>
      </c>
      <c r="Z83" s="13" t="n">
        <f aca="false">Z72+Z74+Z75+Z76+Z79+Z82</f>
        <v>113.02896777242</v>
      </c>
      <c r="AA83" s="13" t="n">
        <f aca="false">AA72+AA74+AA75+AA76+AA79+AA82</f>
        <v>115.131483927353</v>
      </c>
      <c r="AB83" s="13" t="n">
        <f aca="false">AB72+AB74+AB75+AB76+AB79+AB82</f>
        <v>116.151321143135</v>
      </c>
      <c r="AC83" s="13" t="n">
        <f aca="false">AC72+AC74+AC75+AC76+AC79+AC82</f>
        <v>116.255051311387</v>
      </c>
      <c r="AD83" s="13" t="n">
        <f aca="false">AD72+AD74+AD75+AD76+AD79+AD82</f>
        <v>124.832134582416</v>
      </c>
      <c r="AE83" s="13" t="n">
        <f aca="false">AE72+AE74+AE75+AE76+AE79+AE82</f>
        <v>116.58580379697</v>
      </c>
      <c r="AF83" s="13" t="n">
        <f aca="false">AF72+AF74+AF75+AF76+AF79+AF82</f>
        <v>120.682001613326</v>
      </c>
      <c r="AG83" s="13" t="n">
        <f aca="false">AG72+AG74+AG75+AG76+AG79+AG82</f>
        <v>122.266056377089</v>
      </c>
      <c r="AH83" s="13" t="n">
        <f aca="false">AH72+AH74+AH75+AH76+AH79+AH82</f>
        <v>122.016707282167</v>
      </c>
      <c r="AI83" s="13" t="n">
        <f aca="false">AI72+AI74+AI75+AI76+AI79+AI82</f>
        <v>124.290521731043</v>
      </c>
      <c r="AJ83" s="13" t="n">
        <f aca="false">AJ72+AJ74+AJ75+AJ76+AJ79+AJ82</f>
        <v>125.390551152814</v>
      </c>
      <c r="AK83" s="13" t="n">
        <f aca="false">AK72+AK74+AK75+AK76+AK79+AK82</f>
        <v>126.229467787069</v>
      </c>
      <c r="AL83" s="13" t="n">
        <f aca="false">AL72+AL74+AL75+AL76+AL79+AL82</f>
        <v>127.099795070401</v>
      </c>
      <c r="AM83" s="13" t="n">
        <f aca="false">AM72+AM74+AM75+AM76+AM79+AM82</f>
        <v>127.342497987646</v>
      </c>
      <c r="AN83" s="13" t="n">
        <f aca="false">AN72+AN74+AN75+AN76+AN79+AN82</f>
        <v>130.283954308598</v>
      </c>
      <c r="AO83" s="13" t="n">
        <f aca="false">AO72+AO74+AO75+AO76+AO79+AO82</f>
        <v>131.996853654851</v>
      </c>
      <c r="AP83" s="13" t="n">
        <f aca="false">AP72+AP74+AP75+AP76+AP79+AP82</f>
        <v>131.723908867598</v>
      </c>
      <c r="AQ83" s="13" t="n">
        <f aca="false">AQ72+AQ74+AQ75+AQ76+AQ79+AQ82</f>
        <v>134.182876864626</v>
      </c>
      <c r="AR83" s="13" t="n">
        <f aca="false">AR72+AR74+AR75+AR76+AR79+AR82</f>
        <v>135.369469540756</v>
      </c>
      <c r="AS83" s="13" t="n">
        <f aca="false">AS72+AS74+AS75+AS76+AS79+AS82</f>
        <v>135.486732758267</v>
      </c>
      <c r="AT83" s="13" t="n">
        <f aca="false">AT72+AT74+AT75+AT76+AT79+AT82</f>
        <v>145.758105375221</v>
      </c>
      <c r="AU83" s="13" t="n">
        <f aca="false">AU72+AU74+AU75+AU76+AU79+AU82</f>
        <v>135.868945059559</v>
      </c>
      <c r="AV83" s="13" t="n">
        <f aca="false">AV72+AV74+AV75+AV76+AV79+AV82</f>
        <v>140.654639936825</v>
      </c>
      <c r="AW83" s="13" t="n">
        <f aca="false">AW72+AW74+AW75+AW76+AW79+AW82</f>
        <v>142.506781087554</v>
      </c>
      <c r="AX83" s="13" t="n">
        <f aca="false">AX72+AX74+AX75+AX76+AX79+AX82</f>
        <v>142.208178416089</v>
      </c>
      <c r="AY83" s="13" t="n">
        <f aca="false">AY72+AY74+AY75+AY76+AY79+AY82</f>
        <v>144.867267251067</v>
      </c>
      <c r="AZ83" s="13" t="n">
        <f aca="false">AZ72+AZ74+AZ75+AZ76+AZ79+AZ82</f>
        <v>146.147304343731</v>
      </c>
      <c r="BA83" s="13" t="n">
        <f aca="false">BA72+BA74+BA75+BA76+BA79+BA82</f>
        <v>147.124359304722</v>
      </c>
      <c r="BB83" s="13" t="n">
        <f aca="false">BB72+BB74+BB75+BB76+BB79+BB82</f>
        <v>148.198883866098</v>
      </c>
      <c r="BC83" s="13" t="n">
        <f aca="false">BC72+BC74+BC75+BC76+BC79+BC82</f>
        <v>148.421469634496</v>
      </c>
      <c r="BD83" s="13" t="n">
        <f aca="false">BD72+BD74+BD75+BD76+BD79+BD82</f>
        <v>151.855608933478</v>
      </c>
      <c r="BE83" s="13" t="n">
        <f aca="false">BE72+BE74+BE75+BE76+BE79+BE82</f>
        <v>153.858221088161</v>
      </c>
      <c r="BF83" s="13" t="n">
        <f aca="false">BF72+BF74+BF75+BF76+BF79+BF82</f>
        <v>153.531727853241</v>
      </c>
      <c r="BG83" s="13" t="n">
        <f aca="false">BG72+BG74+BG75+BG76+BG79+BG82</f>
        <v>156.407105357945</v>
      </c>
      <c r="BH83" s="13" t="n">
        <f aca="false">BH72+BH74+BH75+BH76+BH79+BH82</f>
        <v>157.788019219423</v>
      </c>
      <c r="BI83" s="13" t="n">
        <f aca="false">BI72+BI74+BI75+BI76+BI79+BI82</f>
        <v>157.920445963579</v>
      </c>
      <c r="BJ83" s="13" t="n">
        <f aca="false">BJ72+BJ74+BJ75+BJ76+BJ79+BJ82</f>
        <v>170.220001240983</v>
      </c>
      <c r="BK83" s="13" t="n">
        <f aca="false">BK72+BK74+BK75+BK76+BK79+BK82</f>
        <v>158.362286628975</v>
      </c>
      <c r="BL83" s="13" t="n">
        <f aca="false">BL72+BL74+BL75+BL76+BL79+BL82</f>
        <v>163.953332540591</v>
      </c>
      <c r="BM83" s="13" t="n">
        <f aca="false">BM72+BM74+BM75+BM76+BM79+BM82</f>
        <v>130.060094414627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2613.86825513678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16.8575052325003</v>
      </c>
      <c r="P84" s="13" t="n">
        <f aca="false">P56-P83+P58</f>
        <v>50.5800517229148</v>
      </c>
      <c r="Q84" s="13" t="n">
        <f aca="false">Q56-Q83+Q58</f>
        <v>50.7875845304332</v>
      </c>
      <c r="R84" s="13" t="n">
        <f aca="false">R56-R83+R58</f>
        <v>50.9366856554583</v>
      </c>
      <c r="S84" s="13" t="n">
        <f aca="false">S56-S83+S58</f>
        <v>51.0294706374873</v>
      </c>
      <c r="T84" s="13" t="n">
        <f aca="false">T56-T83+T58</f>
        <v>51.104534518796</v>
      </c>
      <c r="U84" s="13" t="n">
        <f aca="false">U56-U83+U58</f>
        <v>51.272832775131</v>
      </c>
      <c r="V84" s="13" t="n">
        <f aca="false">V56-V83+V58</f>
        <v>49.0031549748037</v>
      </c>
      <c r="W84" s="13" t="n">
        <f aca="false">W56-W83+W58</f>
        <v>51.5555353334797</v>
      </c>
      <c r="X84" s="13" t="n">
        <f aca="false">X56-X83+X58</f>
        <v>51.5476634150156</v>
      </c>
      <c r="Y84" s="13" t="n">
        <f aca="false">Y56-Y83+Y58</f>
        <v>51.6791937431074</v>
      </c>
      <c r="Z84" s="13" t="n">
        <f aca="false">Z56-Z83+Z58</f>
        <v>51.8283654989861</v>
      </c>
      <c r="AA84" s="13" t="n">
        <f aca="false">AA56-AA83+AA58</f>
        <v>51.9277690876538</v>
      </c>
      <c r="AB84" s="13" t="n">
        <f aca="false">AB56-AB83+AB58</f>
        <v>52.0087954994221</v>
      </c>
      <c r="AC84" s="13" t="n">
        <f aca="false">AC56-AC83+AC58</f>
        <v>52.2304040367758</v>
      </c>
      <c r="AD84" s="13" t="n">
        <f aca="false">AD56-AD83+AD58</f>
        <v>39.7700954923019</v>
      </c>
      <c r="AE84" s="13" t="n">
        <f aca="false">AE56-AE83+AE58</f>
        <v>52.5786506028858</v>
      </c>
      <c r="AF84" s="13" t="n">
        <f aca="false">AF56-AF83+AF58</f>
        <v>52.4886717479146</v>
      </c>
      <c r="AG84" s="13" t="n">
        <f aca="false">AG56-AG83+AG58</f>
        <v>52.6309164901831</v>
      </c>
      <c r="AH84" s="13" t="n">
        <f aca="false">AH56-AH83+AH58</f>
        <v>52.7941003209103</v>
      </c>
      <c r="AI84" s="13" t="n">
        <f aca="false">AI56-AI83+AI58</f>
        <v>52.9006010762604</v>
      </c>
      <c r="AJ84" s="13" t="n">
        <f aca="false">AJ56-AJ83+AJ58</f>
        <v>52.988064004521</v>
      </c>
      <c r="AK84" s="13" t="n">
        <f aca="false">AK56-AK83+AK58</f>
        <v>53.1875724859039</v>
      </c>
      <c r="AL84" s="13" t="n">
        <f aca="false">AL56-AL83+AL58</f>
        <v>50.490849271032</v>
      </c>
      <c r="AM84" s="13" t="n">
        <f aca="false">AM56-AM83+AM58</f>
        <v>53.5227817790847</v>
      </c>
      <c r="AN84" s="13" t="n">
        <f aca="false">AN56-AN83+AN58</f>
        <v>53.5077762812626</v>
      </c>
      <c r="AO84" s="13" t="n">
        <f aca="false">AO56-AO83+AO58</f>
        <v>53.6616279594606</v>
      </c>
      <c r="AP84" s="13" t="n">
        <f aca="false">AP56-AP83+AP58</f>
        <v>53.8401232164241</v>
      </c>
      <c r="AQ84" s="13" t="n">
        <f aca="false">AQ56-AQ83+AQ58</f>
        <v>53.9542350498062</v>
      </c>
      <c r="AR84" s="13" t="n">
        <f aca="false">AR56-AR83+AR58</f>
        <v>54.048646113262</v>
      </c>
      <c r="AS84" s="13" t="n">
        <f aca="false">AS56-AS83+AS58</f>
        <v>54.3131655967393</v>
      </c>
      <c r="AT84" s="13" t="n">
        <f aca="false">AT56-AT83+AT58</f>
        <v>39.6022342317878</v>
      </c>
      <c r="AU84" s="13" t="n">
        <f aca="false">AU56-AU83+AU58</f>
        <v>54.7279549622371</v>
      </c>
      <c r="AV84" s="13" t="n">
        <f aca="false">AV56-AV83+AV58</f>
        <v>54.6115459714584</v>
      </c>
      <c r="AW84" s="13" t="n">
        <f aca="false">AW56-AW83+AW58</f>
        <v>54.7779731074438</v>
      </c>
      <c r="AX84" s="13" t="n">
        <f aca="false">AX56-AX83+AX58</f>
        <v>54.9731984454866</v>
      </c>
      <c r="AY84" s="13" t="n">
        <f aca="false">AY56-AY83+AY58</f>
        <v>55.095473309156</v>
      </c>
      <c r="AZ84" s="13" t="n">
        <f aca="false">AZ56-AZ83+AZ58</f>
        <v>55.1973847353973</v>
      </c>
      <c r="BA84" s="13" t="n">
        <f aca="false">BA56-BA83+BA58</f>
        <v>55.4339539338162</v>
      </c>
      <c r="BB84" s="13" t="n">
        <f aca="false">BB56-BB83+BB58</f>
        <v>52.2296225569507</v>
      </c>
      <c r="BC84" s="13" t="n">
        <f aca="false">BC56-BC83+BC58</f>
        <v>55.831471690525</v>
      </c>
      <c r="BD84" s="13" t="n">
        <f aca="false">BD56-BD83+BD58</f>
        <v>55.8071092286694</v>
      </c>
      <c r="BE84" s="13" t="n">
        <f aca="false">BE56-BE83+BE58</f>
        <v>55.9871629481993</v>
      </c>
      <c r="BF84" s="13" t="n">
        <f aca="false">BF56-BF83+BF58</f>
        <v>56.2006671955099</v>
      </c>
      <c r="BG84" s="13" t="n">
        <f aca="false">BG56-BG83+BG58</f>
        <v>56.3316979843421</v>
      </c>
      <c r="BH84" s="13" t="n">
        <f aca="false">BH56-BH83+BH58</f>
        <v>56.4417058196806</v>
      </c>
      <c r="BI84" s="13" t="n">
        <f aca="false">BI56-BI83+BI58</f>
        <v>56.7574462509825</v>
      </c>
      <c r="BJ84" s="13" t="n">
        <f aca="false">BJ56-BJ83+BJ58</f>
        <v>39.3690694954219</v>
      </c>
      <c r="BK84" s="13" t="n">
        <f aca="false">BK56-BK83+BK58</f>
        <v>57.2514821726968</v>
      </c>
      <c r="BL84" s="13" t="n">
        <f aca="false">BL56-BL83+BL58</f>
        <v>57.1022020905554</v>
      </c>
      <c r="BM84" s="13" t="n">
        <f aca="false">BM56-BM83+BM58</f>
        <v>19.1114748565457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37.8441713697267</v>
      </c>
      <c r="P88" s="13" t="n">
        <f aca="false">(1-P86)*(P56/MAX(Time!P31,1)*Inputs!$F$168+P55/MAX(Time!P31,1)*P87)</f>
        <v>37.721553496701</v>
      </c>
      <c r="Q88" s="13" t="n">
        <f aca="false">(1-Q86)*(Q56/MAX(Time!Q31,1)*Inputs!$F$168+Q55/MAX(Time!Q31,1)*Q87)</f>
        <v>38.7137760113576</v>
      </c>
      <c r="R88" s="13" t="n">
        <f aca="false">(1-R86)*(R56/MAX(Time!R31,1)*Inputs!$F$168+R55/MAX(Time!R31,1)*R87)</f>
        <v>38.0651174742496</v>
      </c>
      <c r="S88" s="13" t="n">
        <f aca="false">(1-S86)*(S56/MAX(Time!S31,1)*Inputs!$F$168+S55/MAX(Time!S31,1)*S87)</f>
        <v>39.2024247487371</v>
      </c>
      <c r="T88" s="13" t="n">
        <f aca="false">(1-T86)*(T56/MAX(Time!T31,1)*Inputs!$F$168+T55/MAX(Time!T31,1)*T87)</f>
        <v>38.8128599558197</v>
      </c>
      <c r="U88" s="13" t="n">
        <f aca="false">(1-U86)*(U56/MAX(Time!U31,1)*Inputs!$F$168+U55/MAX(Time!U31,1)*U87)</f>
        <v>39.4590663818828</v>
      </c>
      <c r="V88" s="13" t="n">
        <f aca="false">(1-V86)*(V56/MAX(Time!V31,1)*Inputs!$F$168+V55/MAX(Time!V31,1)*V87)</f>
        <v>38.6472593707992</v>
      </c>
      <c r="W88" s="13" t="n">
        <f aca="false">(1-W86)*(W56/MAX(Time!W31,1)*Inputs!$F$168+W55/MAX(Time!W31,1)*W87)</f>
        <v>39.9848213953675</v>
      </c>
      <c r="X88" s="13" t="n">
        <f aca="false">(1-X86)*(X56/MAX(Time!X31,1)*Inputs!$F$168+X55/MAX(Time!X31,1)*X87)</f>
        <v>39.947148638543</v>
      </c>
      <c r="Y88" s="13" t="n">
        <f aca="false">(1-Y86)*(Y56/MAX(Time!Y31,1)*Inputs!$F$168+Y55/MAX(Time!Y31,1)*Y87)</f>
        <v>41.0061428770442</v>
      </c>
      <c r="Z88" s="13" t="n">
        <f aca="false">(1-Z86)*(Z56/MAX(Time!Z31,1)*Inputs!$F$168+Z55/MAX(Time!Z31,1)*Z87)</f>
        <v>40.3183695500722</v>
      </c>
      <c r="AA88" s="13" t="n">
        <f aca="false">(1-AA86)*(AA56/MAX(Time!AA31,1)*Inputs!$F$168+AA55/MAX(Time!AA31,1)*AA87)</f>
        <v>41.5340684291454</v>
      </c>
      <c r="AB88" s="13" t="n">
        <f aca="false">(1-AB86)*(AB56/MAX(Time!AB31,1)*Inputs!$F$168+AB55/MAX(Time!AB31,1)*AB87)</f>
        <v>41.1261154832341</v>
      </c>
      <c r="AC88" s="13" t="n">
        <f aca="false">(1-AC86)*(AC56/MAX(Time!AC31,1)*Inputs!$F$168+AC55/MAX(Time!AC31,1)*AC87)</f>
        <v>41.6584917069633</v>
      </c>
      <c r="AD88" s="13" t="n">
        <f aca="false">(1-AD86)*(AD56/MAX(Time!AD31,1)*Inputs!$F$168+AD55/MAX(Time!AD31,1)*AD87)</f>
        <v>40.2559801813169</v>
      </c>
      <c r="AE88" s="13" t="n">
        <f aca="false">(1-AE86)*(AE56/MAX(Time!AE31,1)*Inputs!$F$168+AE55/MAX(Time!AE31,1)*AE87)</f>
        <v>42.0574610386383</v>
      </c>
      <c r="AF88" s="13" t="n">
        <f aca="false">(1-AF86)*(AF56/MAX(Time!AF31,1)*Inputs!$F$168+AF55/MAX(Time!AF31,1)*AF87)</f>
        <v>42.3515233763904</v>
      </c>
      <c r="AG88" s="13" t="n">
        <f aca="false">(1-AG86)*(AG56/MAX(Time!AG31,1)*Inputs!$F$168+AG55/MAX(Time!AG31,1)*AG87)</f>
        <v>43.4826728123053</v>
      </c>
      <c r="AH88" s="13" t="n">
        <f aca="false">(1-AH86)*(AH56/MAX(Time!AH31,1)*Inputs!$F$168+AH55/MAX(Time!AH31,1)*AH87)</f>
        <v>42.7526431637962</v>
      </c>
      <c r="AI88" s="13" t="n">
        <f aca="false">(1-AI86)*(AI56/MAX(Time!AI31,1)*Inputs!$F$168+AI55/MAX(Time!AI31,1)*AI87)</f>
        <v>44.0530415819263</v>
      </c>
      <c r="AJ88" s="13" t="n">
        <f aca="false">(1-AJ86)*(AJ56/MAX(Time!AJ31,1)*Inputs!$F$168+AJ55/MAX(Time!AJ31,1)*AJ87)</f>
        <v>43.6252047939135</v>
      </c>
      <c r="AK88" s="13" t="n">
        <f aca="false">(1-AK86)*(AK56/MAX(Time!AK31,1)*Inputs!$F$168+AK55/MAX(Time!AK31,1)*AK87)</f>
        <v>44.3613561114493</v>
      </c>
      <c r="AL88" s="13" t="n">
        <f aca="false">(1-AL86)*(AL56/MAX(Time!AL31,1)*Inputs!$F$168+AL55/MAX(Time!AL31,1)*AL87)</f>
        <v>43.4324945400244</v>
      </c>
      <c r="AM88" s="13" t="n">
        <f aca="false">(1-AM86)*(AM56/MAX(Time!AM31,1)*Inputs!$F$168+AM55/MAX(Time!AM31,1)*AM87)</f>
        <v>44.9665060193528</v>
      </c>
      <c r="AN88" s="13" t="n">
        <f aca="false">(1-AN86)*(AN56/MAX(Time!AN31,1)*Inputs!$F$168+AN55/MAX(Time!AN31,1)*AN87)</f>
        <v>44.9490645464332</v>
      </c>
      <c r="AO88" s="13" t="n">
        <f aca="false">(1-AO86)*(AO56/MAX(Time!AO31,1)*Inputs!$F$168+AO55/MAX(Time!AO31,1)*AO87)</f>
        <v>46.1581860367072</v>
      </c>
      <c r="AP88" s="13" t="n">
        <f aca="false">(1-AP86)*(AP56/MAX(Time!AP31,1)*Inputs!$F$168+AP55/MAX(Time!AP31,1)*AP87)</f>
        <v>45.3825078466358</v>
      </c>
      <c r="AQ88" s="13" t="n">
        <f aca="false">(1-AQ86)*(AQ56/MAX(Time!AQ31,1)*Inputs!$F$168+AQ55/MAX(Time!AQ31,1)*AQ87)</f>
        <v>46.7744200892235</v>
      </c>
      <c r="AR88" s="13" t="n">
        <f aca="false">(1-AR86)*(AR56/MAX(Time!AR31,1)*Inputs!$F$168+AR55/MAX(Time!AR31,1)*AR87)</f>
        <v>46.3250826327762</v>
      </c>
      <c r="AS88" s="13" t="n">
        <f aca="false">(1-AS86)*(AS56/MAX(Time!AS31,1)*Inputs!$F$168+AS55/MAX(Time!AS31,1)*AS87)</f>
        <v>46.9285462965675</v>
      </c>
      <c r="AT88" s="13" t="n">
        <f aca="false">(1-AT86)*(AT56/MAX(Time!AT31,1)*Inputs!$F$168+AT55/MAX(Time!AT31,1)*AT87)</f>
        <v>45.332691751714</v>
      </c>
      <c r="AU88" s="13" t="n">
        <f aca="false">(1-AU86)*(AU56/MAX(Time!AU31,1)*Inputs!$F$168+AU55/MAX(Time!AU31,1)*AU87)</f>
        <v>47.3859696186786</v>
      </c>
      <c r="AV88" s="13" t="n">
        <f aca="false">(1-AV86)*(AV56/MAX(Time!AV31,1)*Inputs!$F$168+AV55/MAX(Time!AV31,1)*AV87)</f>
        <v>47.7553172058303</v>
      </c>
      <c r="AW88" s="13" t="n">
        <f aca="false">(1-AW86)*(AW56/MAX(Time!AW31,1)*Inputs!$F$168+AW55/MAX(Time!AW31,1)*AW87)</f>
        <v>49.0486957943364</v>
      </c>
      <c r="AX88" s="13" t="n">
        <f aca="false">(1-AX86)*(AX56/MAX(Time!AX31,1)*Inputs!$F$168+AX55/MAX(Time!AX31,1)*AX87)</f>
        <v>48.2237062976678</v>
      </c>
      <c r="AY88" s="13" t="n">
        <f aca="false">(1-AY86)*(AY56/MAX(Time!AY31,1)*Inputs!$F$168+AY55/MAX(Time!AY31,1)*AY87)</f>
        <v>49.7144935094476</v>
      </c>
      <c r="AZ88" s="13" t="n">
        <f aca="false">(1-AZ86)*(AZ56/MAX(Time!AZ31,1)*Inputs!$F$168+AZ55/MAX(Time!AZ31,1)*AZ87)</f>
        <v>49.2419076552215</v>
      </c>
      <c r="BA88" s="13" t="n">
        <f aca="false">(1-BA86)*(BA56/MAX(Time!BA31,1)*Inputs!$F$168+BA55/MAX(Time!BA31,1)*BA87)</f>
        <v>50.0830994271112</v>
      </c>
      <c r="BB88" s="13" t="n">
        <f aca="false">(1-BB86)*(BB56/MAX(Time!BB31,1)*Inputs!$F$168+BB55/MAX(Time!BB31,1)*BB87)</f>
        <v>49.0178412447673</v>
      </c>
      <c r="BC88" s="13" t="n">
        <f aca="false">(1-BC86)*(BC56/MAX(Time!BC31,1)*Inputs!$F$168+BC55/MAX(Time!BC31,1)*BC87)</f>
        <v>50.7811180089831</v>
      </c>
      <c r="BD88" s="13" t="n">
        <f aca="false">(1-BD86)*(BD56/MAX(Time!BD31,1)*Inputs!$F$168+BD55/MAX(Time!BD31,1)*BD87)</f>
        <v>50.7870778113947</v>
      </c>
      <c r="BE88" s="13" t="n">
        <f aca="false">(1-BE86)*(BE56/MAX(Time!BE31,1)*Inputs!$F$168+BE55/MAX(Time!BE31,1)*BE87)</f>
        <v>52.1715043184322</v>
      </c>
      <c r="BF88" s="13" t="n">
        <f aca="false">(1-BF86)*(BF56/MAX(Time!BF31,1)*Inputs!$F$168+BF55/MAX(Time!BF31,1)*BF87)</f>
        <v>51.2932487890968</v>
      </c>
      <c r="BG88" s="13" t="n">
        <f aca="false">(1-BG86)*(BG56/MAX(Time!BG31,1)*Inputs!$F$168+BG55/MAX(Time!BG31,1)*BG87)</f>
        <v>52.8908627094085</v>
      </c>
      <c r="BH88" s="13" t="n">
        <f aca="false">(1-BH86)*(BH56/MAX(Time!BH31,1)*Inputs!$F$168+BH55/MAX(Time!BH31,1)*BH87)</f>
        <v>52.3931392758677</v>
      </c>
      <c r="BI88" s="13" t="n">
        <f aca="false">(1-BI86)*(BI56/MAX(Time!BI31,1)*Inputs!$F$168+BI55/MAX(Time!BI31,1)*BI87)</f>
        <v>53.0796986244794</v>
      </c>
      <c r="BJ88" s="13" t="n">
        <f aca="false">(1-BJ86)*(BJ56/MAX(Time!BJ31,1)*Inputs!$F$168+BJ55/MAX(Time!BJ31,1)*BJ87)</f>
        <v>51.2581966474904</v>
      </c>
      <c r="BK88" s="13" t="n">
        <f aca="false">(1-BK86)*(BK56/MAX(Time!BK31,1)*Inputs!$F$168+BK55/MAX(Time!BK31,1)*BK87)</f>
        <v>53.6056331274875</v>
      </c>
      <c r="BL88" s="13" t="n">
        <f aca="false">(1-BL86)*(BL56/MAX(Time!BL31,1)*Inputs!$F$168+BL55/MAX(Time!BL31,1)*BL87)</f>
        <v>54.0624948826174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17.8652918283934</v>
      </c>
      <c r="P90" s="13" t="n">
        <f aca="false">(1-P86)*(P73+P54)/MAX(Time!P31,1)*Inputs!$F$169</f>
        <v>17.7664156562436</v>
      </c>
      <c r="Q90" s="13" t="n">
        <f aca="false">(1-Q86)*(Q73+Q54)/MAX(Time!Q31,1)*Inputs!$F$169</f>
        <v>18.3604081947537</v>
      </c>
      <c r="R90" s="13" t="n">
        <f aca="false">(1-R86)*(R73+R54)/MAX(Time!R31,1)*Inputs!$F$169</f>
        <v>17.9424236905458</v>
      </c>
      <c r="S90" s="13" t="n">
        <f aca="false">(1-S86)*(S73+S54)/MAX(Time!S31,1)*Inputs!$F$169</f>
        <v>18.6618307119927</v>
      </c>
      <c r="T90" s="13" t="n">
        <f aca="false">(1-T86)*(T73+T54)/MAX(Time!T31,1)*Inputs!$F$169</f>
        <v>18.4728983892397</v>
      </c>
      <c r="U90" s="13" t="n">
        <f aca="false">(1-U86)*(U73+U54)/MAX(Time!U31,1)*Inputs!$F$169</f>
        <v>18.8298732761628</v>
      </c>
      <c r="V90" s="13" t="n">
        <f aca="false">(1-V86)*(V73+V54)/MAX(Time!V31,1)*Inputs!$F$169</f>
        <v>18.1938916398116</v>
      </c>
      <c r="W90" s="13" t="n">
        <f aca="false">(1-W86)*(W73+W54)/MAX(Time!W31,1)*Inputs!$F$169</f>
        <v>19.0844732743994</v>
      </c>
      <c r="X90" s="13" t="n">
        <f aca="false">(1-X86)*(X73+X54)/MAX(Time!X31,1)*Inputs!$F$169</f>
        <v>19.2071903338466</v>
      </c>
      <c r="Y90" s="13" t="n">
        <f aca="false">(1-Y86)*(Y73+Y54)/MAX(Time!Y31,1)*Inputs!$F$169</f>
        <v>19.8492060943728</v>
      </c>
      <c r="Z90" s="13" t="n">
        <f aca="false">(1-Z86)*(Z73+Z54)/MAX(Time!Z31,1)*Inputs!$F$169</f>
        <v>19.3971847444708</v>
      </c>
      <c r="AA90" s="13" t="n">
        <f aca="false">(1-AA86)*(AA73+AA54)/MAX(Time!AA31,1)*Inputs!$F$169</f>
        <v>20.1747714692992</v>
      </c>
      <c r="AB90" s="13" t="n">
        <f aca="false">(1-AB86)*(AB73+AB54)/MAX(Time!AB31,1)*Inputs!$F$169</f>
        <v>19.9703741923112</v>
      </c>
      <c r="AC90" s="13" t="n">
        <f aca="false">(1-AC86)*(AC73+AC54)/MAX(Time!AC31,1)*Inputs!$F$169</f>
        <v>20.2171111480865</v>
      </c>
      <c r="AD90" s="13" t="n">
        <f aca="false">(1-AD86)*(AD73+AD54)/MAX(Time!AD31,1)*Inputs!$F$169</f>
        <v>19.2559853900395</v>
      </c>
      <c r="AE90" s="13" t="n">
        <f aca="false">(1-AE86)*(AE73+AE54)/MAX(Time!AE31,1)*Inputs!$F$169</f>
        <v>20.3459826259293</v>
      </c>
      <c r="AF90" s="13" t="n">
        <f aca="false">(1-AF86)*(AF73+AF54)/MAX(Time!AF31,1)*Inputs!$F$169</f>
        <v>20.7635743080959</v>
      </c>
      <c r="AG90" s="13" t="n">
        <f aca="false">(1-AG86)*(AG73+AG54)/MAX(Time!AG31,1)*Inputs!$F$169</f>
        <v>21.4574541113756</v>
      </c>
      <c r="AH90" s="13" t="n">
        <f aca="false">(1-AH86)*(AH73+AH54)/MAX(Time!AH31,1)*Inputs!$F$169</f>
        <v>20.9686527168221</v>
      </c>
      <c r="AI90" s="13" t="n">
        <f aca="false">(1-AI86)*(AI73+AI54)/MAX(Time!AI31,1)*Inputs!$F$169</f>
        <v>21.8090737229245</v>
      </c>
      <c r="AJ90" s="13" t="n">
        <f aca="false">(1-AJ86)*(AJ73+AJ54)/MAX(Time!AJ31,1)*Inputs!$F$169</f>
        <v>21.5879582450828</v>
      </c>
      <c r="AK90" s="13" t="n">
        <f aca="false">(1-AK86)*(AK73+AK54)/MAX(Time!AK31,1)*Inputs!$F$169</f>
        <v>22.0048025032919</v>
      </c>
      <c r="AL90" s="13" t="n">
        <f aca="false">(1-AL86)*(AL73+AL54)/MAX(Time!AL31,1)*Inputs!$F$169</f>
        <v>21.261271252205</v>
      </c>
      <c r="AM90" s="13" t="n">
        <f aca="false">(1-AM86)*(AM73+AM54)/MAX(Time!AM31,1)*Inputs!$F$169</f>
        <v>22.3016679891147</v>
      </c>
      <c r="AN90" s="13" t="n">
        <f aca="false">(1-AN86)*(AN73+AN54)/MAX(Time!AN31,1)*Inputs!$F$169</f>
        <v>22.4447384256746</v>
      </c>
      <c r="AO90" s="13" t="n">
        <f aca="false">(1-AO86)*(AO73+AO54)/MAX(Time!AO31,1)*Inputs!$F$169</f>
        <v>23.1946266656893</v>
      </c>
      <c r="AP90" s="13" t="n">
        <f aca="false">(1-AP86)*(AP73+AP54)/MAX(Time!AP31,1)*Inputs!$F$169</f>
        <v>22.6660833650982</v>
      </c>
      <c r="AQ90" s="13" t="n">
        <f aca="false">(1-AQ86)*(AQ73+AQ54)/MAX(Time!AQ31,1)*Inputs!$F$169</f>
        <v>23.5743612497693</v>
      </c>
      <c r="AR90" s="13" t="n">
        <f aca="false">(1-AR86)*(AR73+AR54)/MAX(Time!AR31,1)*Inputs!$F$169</f>
        <v>23.3351738299444</v>
      </c>
      <c r="AS90" s="13" t="n">
        <f aca="false">(1-AS86)*(AS73+AS54)/MAX(Time!AS31,1)*Inputs!$F$169</f>
        <v>23.6231311438712</v>
      </c>
      <c r="AT90" s="13" t="n">
        <f aca="false">(1-AT86)*(AT73+AT54)/MAX(Time!AT31,1)*Inputs!$F$169</f>
        <v>22.4997468090091</v>
      </c>
      <c r="AU90" s="13" t="n">
        <f aca="false">(1-AU86)*(AU73+AU54)/MAX(Time!AU31,1)*Inputs!$F$169</f>
        <v>23.7730043741091</v>
      </c>
      <c r="AV90" s="13" t="n">
        <f aca="false">(1-AV86)*(AV73+AV54)/MAX(Time!AV31,1)*Inputs!$F$169</f>
        <v>24.2605717580612</v>
      </c>
      <c r="AW90" s="13" t="n">
        <f aca="false">(1-AW86)*(AW73+AW54)/MAX(Time!AW31,1)*Inputs!$F$169</f>
        <v>25.0709400781194</v>
      </c>
      <c r="AX90" s="13" t="n">
        <f aca="false">(1-AX86)*(AX73+AX54)/MAX(Time!AX31,1)*Inputs!$F$169</f>
        <v>24.4994571287292</v>
      </c>
      <c r="AY90" s="13" t="n">
        <f aca="false">(1-AY86)*(AY73+AY54)/MAX(Time!AY31,1)*Inputs!$F$169</f>
        <v>25.4810112224342</v>
      </c>
      <c r="AZ90" s="13" t="n">
        <f aca="false">(1-AZ86)*(AZ73+AZ54)/MAX(Time!AZ31,1)*Inputs!$F$169</f>
        <v>25.2222896582995</v>
      </c>
      <c r="BA90" s="13" t="n">
        <f aca="false">(1-BA86)*(BA73+BA54)/MAX(Time!BA31,1)*Inputs!$F$169</f>
        <v>25.7089246934767</v>
      </c>
      <c r="BB90" s="13" t="n">
        <f aca="false">(1-BB86)*(BB73+BB54)/MAX(Time!BB31,1)*Inputs!$F$169</f>
        <v>24.8398608978026</v>
      </c>
      <c r="BC90" s="13" t="n">
        <f aca="false">(1-BC86)*(BC73+BC54)/MAX(Time!BC31,1)*Inputs!$F$169</f>
        <v>26.0549814298892</v>
      </c>
      <c r="BD90" s="13" t="n">
        <f aca="false">(1-BD86)*(BD73+BD54)/MAX(Time!BD31,1)*Inputs!$F$169</f>
        <v>26.2217370230209</v>
      </c>
      <c r="BE90" s="13" t="n">
        <f aca="false">(1-BE86)*(BE73+BE54)/MAX(Time!BE31,1)*Inputs!$F$169</f>
        <v>27.0974098098222</v>
      </c>
      <c r="BF90" s="13" t="n">
        <f aca="false">(1-BF86)*(BF73+BF54)/MAX(Time!BF31,1)*Inputs!$F$169</f>
        <v>26.4795350312844</v>
      </c>
      <c r="BG90" s="13" t="n">
        <f aca="false">(1-BG86)*(BG73+BG54)/MAX(Time!BG31,1)*Inputs!$F$169</f>
        <v>27.540212317274</v>
      </c>
      <c r="BH90" s="13" t="n">
        <f aca="false">(1-BH86)*(BH73+BH54)/MAX(Time!BH31,1)*Inputs!$F$169</f>
        <v>27.2603773551026</v>
      </c>
      <c r="BI90" s="13" t="n">
        <f aca="false">(1-BI86)*(BI73+BI54)/MAX(Time!BI31,1)*Inputs!$F$169</f>
        <v>27.5963569287382</v>
      </c>
      <c r="BJ90" s="13" t="n">
        <f aca="false">(1-BJ86)*(BJ73+BJ54)/MAX(Time!BJ31,1)*Inputs!$F$169</f>
        <v>26.2836326974402</v>
      </c>
      <c r="BK90" s="13" t="n">
        <f aca="false">(1-BK86)*(BK73+BK54)/MAX(Time!BK31,1)*Inputs!$F$169</f>
        <v>27.770601797287</v>
      </c>
      <c r="BL90" s="13" t="n">
        <f aca="false">(1-BL86)*(BL73+BL54)/MAX(Time!BL31,1)*Inputs!$F$169</f>
        <v>28.3397302073728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2.25740370290299</v>
      </c>
      <c r="P91" s="13" t="n">
        <f aca="false">(1-P86)*(P52+P53)/MAX(Time!P31,1)*Inputs!$F$170</f>
        <v>2.25529772416454</v>
      </c>
      <c r="Q91" s="13" t="n">
        <f aca="false">(1-Q86)*(Q52+Q53)/MAX(Time!Q31,1)*Inputs!$F$170</f>
        <v>2.2941856175646</v>
      </c>
      <c r="R91" s="13" t="n">
        <f aca="false">(1-R86)*(R52+R53)/MAX(Time!R31,1)*Inputs!$F$170</f>
        <v>2.28532654233891</v>
      </c>
      <c r="S91" s="13" t="n">
        <f aca="false">(1-S86)*(S52+S53)/MAX(Time!S31,1)*Inputs!$F$170</f>
        <v>2.32721092663712</v>
      </c>
      <c r="T91" s="13" t="n">
        <f aca="false">(1-T86)*(T52+T53)/MAX(Time!T31,1)*Inputs!$F$170</f>
        <v>2.32322618340038</v>
      </c>
      <c r="U91" s="13" t="n">
        <f aca="false">(1-U86)*(U52+U53)/MAX(Time!U31,1)*Inputs!$F$170</f>
        <v>2.35781258795047</v>
      </c>
      <c r="V91" s="13" t="n">
        <f aca="false">(1-V86)*(V52+V53)/MAX(Time!V31,1)*Inputs!$F$170</f>
        <v>2.34446494672602</v>
      </c>
      <c r="W91" s="13" t="n">
        <f aca="false">(1-W86)*(W52+W53)/MAX(Time!W31,1)*Inputs!$F$170</f>
        <v>2.39063191047322</v>
      </c>
      <c r="X91" s="13" t="n">
        <f aca="false">(1-X86)*(X52+X53)/MAX(Time!X31,1)*Inputs!$F$170</f>
        <v>2.39319480515232</v>
      </c>
      <c r="Y91" s="13" t="n">
        <f aca="false">(1-Y86)*(Y52+Y53)/MAX(Time!Y31,1)*Inputs!$F$170</f>
        <v>2.43445187584403</v>
      </c>
      <c r="Z91" s="13" t="n">
        <f aca="false">(1-Z86)*(Z52+Z53)/MAX(Time!Z31,1)*Inputs!$F$170</f>
        <v>2.42505787407354</v>
      </c>
      <c r="AA91" s="13" t="n">
        <f aca="false">(1-AA86)*(AA52+AA53)/MAX(Time!AA31,1)*Inputs!$F$170</f>
        <v>2.469491690401</v>
      </c>
      <c r="AB91" s="13" t="n">
        <f aca="false">(1-AB86)*(AB52+AB53)/MAX(Time!AB31,1)*Inputs!$F$170</f>
        <v>2.46526468633066</v>
      </c>
      <c r="AC91" s="13" t="n">
        <f aca="false">(1-AC86)*(AC52+AC53)/MAX(Time!AC31,1)*Inputs!$F$170</f>
        <v>2.49910185587931</v>
      </c>
      <c r="AD91" s="13" t="n">
        <f aca="false">(1-AD86)*(AD52+AD53)/MAX(Time!AD31,1)*Inputs!$F$170</f>
        <v>2.47932288699724</v>
      </c>
      <c r="AE91" s="13" t="n">
        <f aca="false">(1-AE86)*(AE52+AE53)/MAX(Time!AE31,1)*Inputs!$F$170</f>
        <v>2.53094727090464</v>
      </c>
      <c r="AF91" s="13" t="n">
        <f aca="false">(1-AF86)*(AF52+AF53)/MAX(Time!AF31,1)*Inputs!$F$170</f>
        <v>2.53949874807801</v>
      </c>
      <c r="AG91" s="13" t="n">
        <f aca="false">(1-AG86)*(AG52+AG53)/MAX(Time!AG31,1)*Inputs!$F$170</f>
        <v>2.58326862610027</v>
      </c>
      <c r="AH91" s="13" t="n">
        <f aca="false">(1-AH86)*(AH52+AH53)/MAX(Time!AH31,1)*Inputs!$F$170</f>
        <v>2.57330797775166</v>
      </c>
      <c r="AI91" s="13" t="n">
        <f aca="false">(1-AI86)*(AI52+AI53)/MAX(Time!AI31,1)*Inputs!$F$170</f>
        <v>2.6204455276422</v>
      </c>
      <c r="AJ91" s="13" t="n">
        <f aca="false">(1-AJ86)*(AJ52+AJ53)/MAX(Time!AJ31,1)*Inputs!$F$170</f>
        <v>2.61596179006932</v>
      </c>
      <c r="AK91" s="13" t="n">
        <f aca="false">(1-AK86)*(AK52+AK53)/MAX(Time!AK31,1)*Inputs!$F$170</f>
        <v>2.65490025783838</v>
      </c>
      <c r="AL91" s="13" t="n">
        <f aca="false">(1-AL86)*(AL52+AL53)/MAX(Time!AL31,1)*Inputs!$F$170</f>
        <v>2.63989698042201</v>
      </c>
      <c r="AM91" s="13" t="n">
        <f aca="false">(1-AM86)*(AM52+AM53)/MAX(Time!AM31,1)*Inputs!$F$170</f>
        <v>2.6918477643266</v>
      </c>
      <c r="AN91" s="13" t="n">
        <f aca="false">(1-AN86)*(AN52+AN53)/MAX(Time!AN31,1)*Inputs!$F$170</f>
        <v>2.69472054642297</v>
      </c>
      <c r="AO91" s="13" t="n">
        <f aca="false">(1-AO86)*(AO52+AO53)/MAX(Time!AO31,1)*Inputs!$F$170</f>
        <v>2.74115552502977</v>
      </c>
      <c r="AP91" s="13" t="n">
        <f aca="false">(1-AP86)*(AP52+AP53)/MAX(Time!AP31,1)*Inputs!$F$170</f>
        <v>2.73059466647291</v>
      </c>
      <c r="AQ91" s="13" t="n">
        <f aca="false">(1-AQ86)*(AQ52+AQ53)/MAX(Time!AQ31,1)*Inputs!$F$170</f>
        <v>2.78059953533803</v>
      </c>
      <c r="AR91" s="13" t="n">
        <f aca="false">(1-AR86)*(AR52+AR53)/MAX(Time!AR31,1)*Inputs!$F$170</f>
        <v>2.77584374327056</v>
      </c>
      <c r="AS91" s="13" t="n">
        <f aca="false">(1-AS86)*(AS52+AS53)/MAX(Time!AS31,1)*Inputs!$F$170</f>
        <v>2.81394478981712</v>
      </c>
      <c r="AT91" s="13" t="n">
        <f aca="false">(1-AT86)*(AT52+AT53)/MAX(Time!AT31,1)*Inputs!$F$170</f>
        <v>2.79171789685016</v>
      </c>
      <c r="AU91" s="13" t="n">
        <f aca="false">(1-AU86)*(AU52+AU53)/MAX(Time!AU31,1)*Inputs!$F$170</f>
        <v>2.84980260724506</v>
      </c>
      <c r="AV91" s="13" t="n">
        <f aca="false">(1-AV86)*(AV52+AV53)/MAX(Time!AV31,1)*Inputs!$F$170</f>
        <v>2.8594021580345</v>
      </c>
      <c r="AW91" s="13" t="n">
        <f aca="false">(1-AW86)*(AW52+AW53)/MAX(Time!AW31,1)*Inputs!$F$170</f>
        <v>2.90866371343193</v>
      </c>
      <c r="AX91" s="13" t="n">
        <f aca="false">(1-AX86)*(AX52+AX53)/MAX(Time!AX31,1)*Inputs!$F$170</f>
        <v>2.89746713277293</v>
      </c>
      <c r="AY91" s="13" t="n">
        <f aca="false">(1-AY86)*(AY52+AY53)/MAX(Time!AY31,1)*Inputs!$F$170</f>
        <v>2.95051274499719</v>
      </c>
      <c r="AZ91" s="13" t="n">
        <f aca="false">(1-AZ86)*(AZ52+AZ53)/MAX(Time!AZ31,1)*Inputs!$F$170</f>
        <v>2.94546868046382</v>
      </c>
      <c r="BA91" s="13" t="n">
        <f aca="false">(1-BA86)*(BA52+BA53)/MAX(Time!BA31,1)*Inputs!$F$170</f>
        <v>2.98930517230166</v>
      </c>
      <c r="BB91" s="13" t="n">
        <f aca="false">(1-BB86)*(BB52+BB53)/MAX(Time!BB31,1)*Inputs!$F$170</f>
        <v>2.97244486311056</v>
      </c>
      <c r="BC91" s="13" t="n">
        <f aca="false">(1-BC86)*(BC52+BC53)/MAX(Time!BC31,1)*Inputs!$F$170</f>
        <v>3.03089908506511</v>
      </c>
      <c r="BD91" s="13" t="n">
        <f aca="false">(1-BD86)*(BD52+BD53)/MAX(Time!BD31,1)*Inputs!$F$170</f>
        <v>3.03411837548017</v>
      </c>
      <c r="BE91" s="13" t="n">
        <f aca="false">(1-BE86)*(BE52+BE53)/MAX(Time!BE31,1)*Inputs!$F$170</f>
        <v>3.08637771756621</v>
      </c>
      <c r="BF91" s="13" t="n">
        <f aca="false">(1-BF86)*(BF52+BF53)/MAX(Time!BF31,1)*Inputs!$F$170</f>
        <v>3.0745078442089</v>
      </c>
      <c r="BG91" s="13" t="n">
        <f aca="false">(1-BG86)*(BG52+BG53)/MAX(Time!BG31,1)*Inputs!$F$170</f>
        <v>3.13077805121179</v>
      </c>
      <c r="BH91" s="13" t="n">
        <f aca="false">(1-BH86)*(BH52+BH53)/MAX(Time!BH31,1)*Inputs!$F$170</f>
        <v>3.12542854788761</v>
      </c>
      <c r="BI91" s="13" t="n">
        <f aca="false">(1-BI86)*(BI52+BI53)/MAX(Time!BI31,1)*Inputs!$F$170</f>
        <v>3.16832984748238</v>
      </c>
      <c r="BJ91" s="13" t="n">
        <f aca="false">(1-BJ86)*(BJ52+BJ53)/MAX(Time!BJ31,1)*Inputs!$F$170</f>
        <v>3.14335798926834</v>
      </c>
      <c r="BK91" s="13" t="n">
        <f aca="false">(1-BK86)*(BK52+BK53)/MAX(Time!BK31,1)*Inputs!$F$170</f>
        <v>3.20870539139554</v>
      </c>
      <c r="BL91" s="13" t="n">
        <f aca="false">(1-BL86)*(BL52+BL53)/MAX(Time!BL31,1)*Inputs!$F$170</f>
        <v>3.21947880900116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1.62279433704839</v>
      </c>
      <c r="P92" s="13" t="n">
        <f aca="false">(1-P86)*(P60+P61+P62+P64)/MAX(Time!P31,1)*Inputs!$F$171</f>
        <v>1.63163193951614</v>
      </c>
      <c r="Q92" s="13" t="n">
        <f aca="false">(1-Q86)*(Q60+Q61+Q62+Q64)/MAX(Time!Q31,1)*Inputs!$F$171</f>
        <v>1.67142656726559</v>
      </c>
      <c r="R92" s="13" t="n">
        <f aca="false">(1-R86)*(R60+R61+R62+R64)/MAX(Time!R31,1)*Inputs!$F$171</f>
        <v>1.65143205399881</v>
      </c>
      <c r="S92" s="13" t="n">
        <f aca="false">(1-S86)*(S60+S61+S62+S64)/MAX(Time!S31,1)*Inputs!$F$171</f>
        <v>1.70268409232076</v>
      </c>
      <c r="T92" s="13" t="n">
        <f aca="false">(1-T86)*(T60+T61+T62+T64)/MAX(Time!T31,1)*Inputs!$F$171</f>
        <v>1.70421345471358</v>
      </c>
      <c r="U92" s="13" t="n">
        <f aca="false">(1-U86)*(U60+U61+U62+U64)/MAX(Time!U31,1)*Inputs!$F$171</f>
        <v>1.72186426890952</v>
      </c>
      <c r="V92" s="13" t="n">
        <f aca="false">(1-V86)*(V60+V61+V62+V64)/MAX(Time!V31,1)*Inputs!$F$171</f>
        <v>1.68193088590525</v>
      </c>
      <c r="W92" s="13" t="n">
        <f aca="false">(1-W86)*(W60+W61+W62+W64)/MAX(Time!W31,1)*Inputs!$F$171</f>
        <v>1.74899069753059</v>
      </c>
      <c r="X92" s="13" t="n">
        <f aca="false">(1-X86)*(X60+X61+X62+X64)/MAX(Time!X31,1)*Inputs!$F$171</f>
        <v>1.78002368603306</v>
      </c>
      <c r="Y92" s="13" t="n">
        <f aca="false">(1-Y86)*(Y60+Y61+Y62+Y64)/MAX(Time!Y31,1)*Inputs!$F$171</f>
        <v>1.82343750887836</v>
      </c>
      <c r="Z92" s="13" t="n">
        <f aca="false">(1-Z86)*(Z60+Z61+Z62+Z64)/MAX(Time!Z31,1)*Inputs!$F$171</f>
        <v>1.80162455808743</v>
      </c>
      <c r="AA92" s="13" t="n">
        <f aca="false">(1-AA86)*(AA60+AA61+AA62+AA64)/MAX(Time!AA31,1)*Inputs!$F$171</f>
        <v>1.85753780663391</v>
      </c>
      <c r="AB92" s="13" t="n">
        <f aca="false">(1-AB86)*(AB60+AB61+AB62+AB64)/MAX(Time!AB31,1)*Inputs!$F$171</f>
        <v>1.85920625968255</v>
      </c>
      <c r="AC92" s="13" t="n">
        <f aca="false">(1-AC86)*(AC60+AC61+AC62+AC64)/MAX(Time!AC31,1)*Inputs!$F$171</f>
        <v>1.86555526618163</v>
      </c>
      <c r="AD92" s="13" t="n">
        <f aca="false">(1-AD86)*(AD60+AD61+AD62+AD64)/MAX(Time!AD31,1)*Inputs!$F$171</f>
        <v>1.80229134424263</v>
      </c>
      <c r="AE92" s="13" t="n">
        <f aca="false">(1-AE86)*(AE60+AE61+AE62+AE64)/MAX(Time!AE31,1)*Inputs!$F$171</f>
        <v>1.88152799461196</v>
      </c>
      <c r="AF92" s="13" t="n">
        <f aca="false">(1-AF86)*(AF60+AF61+AF62+AF64)/MAX(Time!AF31,1)*Inputs!$F$171</f>
        <v>1.94191119093827</v>
      </c>
      <c r="AG92" s="13" t="n">
        <f aca="false">(1-AG86)*(AG60+AG61+AG62+AG64)/MAX(Time!AG31,1)*Inputs!$F$171</f>
        <v>1.98927336318699</v>
      </c>
      <c r="AH92" s="13" t="n">
        <f aca="false">(1-AH86)*(AH60+AH61+AH62+AH64)/MAX(Time!AH31,1)*Inputs!$F$171</f>
        <v>1.96547659375035</v>
      </c>
      <c r="AI92" s="13" t="n">
        <f aca="false">(1-AI86)*(AI60+AI61+AI62+AI64)/MAX(Time!AI31,1)*Inputs!$F$171</f>
        <v>2.0264749747978</v>
      </c>
      <c r="AJ92" s="13" t="n">
        <f aca="false">(1-AJ86)*(AJ60+AJ61+AJ62+AJ64)/MAX(Time!AJ31,1)*Inputs!$F$171</f>
        <v>2.02829516835596</v>
      </c>
      <c r="AK92" s="13" t="n">
        <f aca="false">(1-AK86)*(AK60+AK61+AK62+AK64)/MAX(Time!AK31,1)*Inputs!$F$171</f>
        <v>2.04930254924018</v>
      </c>
      <c r="AL92" s="13" t="n">
        <f aca="false">(1-AL86)*(AL60+AL61+AL62+AL64)/MAX(Time!AL31,1)*Inputs!$F$171</f>
        <v>2.0017752353467</v>
      </c>
      <c r="AM92" s="13" t="n">
        <f aca="false">(1-AM86)*(AM60+AM61+AM62+AM64)/MAX(Time!AM31,1)*Inputs!$F$171</f>
        <v>2.08158747455555</v>
      </c>
      <c r="AN92" s="13" t="n">
        <f aca="false">(1-AN86)*(AN60+AN61+AN62+AN64)/MAX(Time!AN31,1)*Inputs!$F$171</f>
        <v>2.11852185062511</v>
      </c>
      <c r="AO92" s="13" t="n">
        <f aca="false">(1-AO86)*(AO60+AO61+AO62+AO64)/MAX(Time!AO31,1)*Inputs!$F$171</f>
        <v>2.17019146212445</v>
      </c>
      <c r="AP92" s="13" t="n">
        <f aca="false">(1-AP86)*(AP60+AP61+AP62+AP64)/MAX(Time!AP31,1)*Inputs!$F$171</f>
        <v>2.1442304520324</v>
      </c>
      <c r="AQ92" s="13" t="n">
        <f aca="false">(1-AQ86)*(AQ60+AQ61+AQ62+AQ64)/MAX(Time!AQ31,1)*Inputs!$F$171</f>
        <v>2.21077644224286</v>
      </c>
      <c r="AR92" s="13" t="n">
        <f aca="false">(1-AR86)*(AR60+AR61+AR62+AR64)/MAX(Time!AR31,1)*Inputs!$F$171</f>
        <v>2.21276217662832</v>
      </c>
      <c r="AS92" s="13" t="n">
        <f aca="false">(1-AS86)*(AS60+AS61+AS62+AS64)/MAX(Time!AS31,1)*Inputs!$F$171</f>
        <v>2.22031854180682</v>
      </c>
      <c r="AT92" s="13" t="n">
        <f aca="false">(1-AT86)*(AT60+AT61+AT62+AT64)/MAX(Time!AT31,1)*Inputs!$F$171</f>
        <v>2.14502403756194</v>
      </c>
      <c r="AU92" s="13" t="n">
        <f aca="false">(1-AU86)*(AU60+AU61+AU62+AU64)/MAX(Time!AU31,1)*Inputs!$F$171</f>
        <v>2.23932872378321</v>
      </c>
      <c r="AV92" s="13" t="n">
        <f aca="false">(1-AV86)*(AV60+AV61+AV62+AV64)/MAX(Time!AV31,1)*Inputs!$F$171</f>
        <v>2.31119468929345</v>
      </c>
      <c r="AW92" s="13" t="n">
        <f aca="false">(1-AW86)*(AW60+AW61+AW62+AW64)/MAX(Time!AW31,1)*Inputs!$F$171</f>
        <v>2.36756348797253</v>
      </c>
      <c r="AX92" s="13" t="n">
        <f aca="false">(1-AX86)*(AX60+AX61+AX62+AX64)/MAX(Time!AX31,1)*Inputs!$F$171</f>
        <v>2.33924140640621</v>
      </c>
      <c r="AY92" s="13" t="n">
        <f aca="false">(1-AY86)*(AY60+AY61+AY62+AY64)/MAX(Time!AY31,1)*Inputs!$F$171</f>
        <v>2.41183954322638</v>
      </c>
      <c r="AZ92" s="13" t="n">
        <f aca="false">(1-AZ86)*(AZ60+AZ61+AZ62+AZ64)/MAX(Time!AZ31,1)*Inputs!$F$171</f>
        <v>2.41400587385198</v>
      </c>
      <c r="BA92" s="13" t="n">
        <f aca="false">(1-BA86)*(BA60+BA61+BA62+BA64)/MAX(Time!BA31,1)*Inputs!$F$171</f>
        <v>2.43900812285396</v>
      </c>
      <c r="BB92" s="13" t="n">
        <f aca="false">(1-BB86)*(BB60+BB61+BB62+BB64)/MAX(Time!BB31,1)*Inputs!$F$171</f>
        <v>2.38244277837293</v>
      </c>
      <c r="BC92" s="13" t="n">
        <f aca="false">(1-BC86)*(BC60+BC61+BC62+BC64)/MAX(Time!BC31,1)*Inputs!$F$171</f>
        <v>2.47743251027255</v>
      </c>
      <c r="BD92" s="13" t="n">
        <f aca="false">(1-BD86)*(BD60+BD61+BD62+BD64)/MAX(Time!BD31,1)*Inputs!$F$171</f>
        <v>2.52139051114441</v>
      </c>
      <c r="BE92" s="13" t="n">
        <f aca="false">(1-BE86)*(BE60+BE61+BE62+BE64)/MAX(Time!BE31,1)*Inputs!$F$171</f>
        <v>2.58288587316322</v>
      </c>
      <c r="BF92" s="13" t="n">
        <f aca="false">(1-BF86)*(BF60+BF61+BF62+BF64)/MAX(Time!BF31,1)*Inputs!$F$171</f>
        <v>2.55198798816547</v>
      </c>
      <c r="BG92" s="13" t="n">
        <f aca="false">(1-BG86)*(BG60+BG61+BG62+BG64)/MAX(Time!BG31,1)*Inputs!$F$171</f>
        <v>2.63118869512154</v>
      </c>
      <c r="BH92" s="13" t="n">
        <f aca="false">(1-BH86)*(BH60+BH61+BH62+BH64)/MAX(Time!BH31,1)*Inputs!$F$171</f>
        <v>2.63355204664216</v>
      </c>
      <c r="BI92" s="13" t="n">
        <f aca="false">(1-BI86)*(BI60+BI61+BI62+BI64)/MAX(Time!BI31,1)*Inputs!$F$171</f>
        <v>2.64254536783646</v>
      </c>
      <c r="BJ92" s="13" t="n">
        <f aca="false">(1-BJ86)*(BJ60+BJ61+BJ62+BJ64)/MAX(Time!BJ31,1)*Inputs!$F$171</f>
        <v>2.55293248586956</v>
      </c>
      <c r="BK92" s="13" t="n">
        <f aca="false">(1-BK86)*(BK60+BK61+BK62+BK64)/MAX(Time!BK31,1)*Inputs!$F$171</f>
        <v>2.6651706206448</v>
      </c>
      <c r="BL92" s="13" t="n">
        <f aca="false">(1-BL86)*(BL60+BL61+BL62+BL64)/MAX(Time!BL31,1)*Inputs!$F$171</f>
        <v>2.75070297588499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1.14847864375152</v>
      </c>
      <c r="P93" s="13" t="n">
        <f aca="false">(1-P86)*(P65+P66+P67+P68+P69+P70+P71)/MAX(Time!P31,1)*Inputs!$F$172</f>
        <v>1.15366445631772</v>
      </c>
      <c r="Q93" s="13" t="n">
        <f aca="false">(1-Q86)*(Q65+Q66+Q67+Q68+Q69+Q70+Q71)/MAX(Time!Q31,1)*Inputs!$F$172</f>
        <v>1.18335450623804</v>
      </c>
      <c r="R93" s="13" t="n">
        <f aca="false">(1-R86)*(R65+R66+R67+R68+R69+R70+R71)/MAX(Time!R31,1)*Inputs!$F$172</f>
        <v>1.17347619245165</v>
      </c>
      <c r="S93" s="13" t="n">
        <f aca="false">(1-S86)*(S65+S66+S67+S68+S69+S70+S71)/MAX(Time!S31,1)*Inputs!$F$172</f>
        <v>1.20591102879099</v>
      </c>
      <c r="T93" s="13" t="n">
        <f aca="false">(1-T86)*(T65+T66+T67+T68+T69+T70+T71)/MAX(Time!T31,1)*Inputs!$F$172</f>
        <v>1.20027367675885</v>
      </c>
      <c r="U93" s="13" t="n">
        <f aca="false">(1-U86)*(U65+U66+U67+U68+U69+U70+U71)/MAX(Time!U31,1)*Inputs!$F$172</f>
        <v>1.22155270489876</v>
      </c>
      <c r="V93" s="13" t="n">
        <f aca="false">(1-V86)*(V65+V66+V67+V68+V69+V70+V71)/MAX(Time!V31,1)*Inputs!$F$172</f>
        <v>1.21231883031339</v>
      </c>
      <c r="W93" s="13" t="n">
        <f aca="false">(1-W86)*(W65+W66+W67+W68+W69+W70+W71)/MAX(Time!W31,1)*Inputs!$F$172</f>
        <v>1.24882645235952</v>
      </c>
      <c r="X93" s="13" t="n">
        <f aca="false">(1-X86)*(X65+X66+X67+X68+X69+X70+X71)/MAX(Time!X31,1)*Inputs!$F$172</f>
        <v>1.24891003920754</v>
      </c>
      <c r="Y93" s="13" t="n">
        <f aca="false">(1-Y86)*(Y65+Y66+Y67+Y68+Y69+Y70+Y71)/MAX(Time!Y31,1)*Inputs!$F$172</f>
        <v>1.28112291444409</v>
      </c>
      <c r="Z93" s="13" t="n">
        <f aca="false">(1-Z86)*(Z65+Z66+Z67+Z68+Z69+Z70+Z71)/MAX(Time!Z31,1)*Inputs!$F$172</f>
        <v>1.27049712137628</v>
      </c>
      <c r="AA93" s="13" t="n">
        <f aca="false">(1-AA86)*(AA65+AA66+AA67+AA68+AA69+AA70+AA71)/MAX(Time!AA31,1)*Inputs!$F$172</f>
        <v>1.30568925356448</v>
      </c>
      <c r="AB93" s="13" t="n">
        <f aca="false">(1-AB86)*(AB65+AB66+AB67+AB68+AB69+AB70+AB71)/MAX(Time!AB31,1)*Inputs!$F$172</f>
        <v>1.29966166288473</v>
      </c>
      <c r="AC93" s="13" t="n">
        <f aca="false">(1-AC86)*(AC65+AC66+AC67+AC68+AC69+AC70+AC71)/MAX(Time!AC31,1)*Inputs!$F$172</f>
        <v>1.3201893250477</v>
      </c>
      <c r="AD93" s="13" t="n">
        <f aca="false">(1-AD86)*(AD65+AD66+AD67+AD68+AD69+AD70+AD71)/MAX(Time!AD31,1)*Inputs!$F$172</f>
        <v>1.3042707602834</v>
      </c>
      <c r="AE93" s="13" t="n">
        <f aca="false">(1-AE86)*(AE65+AE66+AE67+AE68+AE69+AE70+AE71)/MAX(Time!AE31,1)*Inputs!$F$172</f>
        <v>1.34715020619785</v>
      </c>
      <c r="AF93" s="13" t="n">
        <f aca="false">(1-AF86)*(AF65+AF66+AF67+AF68+AF69+AF70+AF71)/MAX(Time!AF31,1)*Inputs!$F$172</f>
        <v>1.35262049544039</v>
      </c>
      <c r="AG93" s="13" t="n">
        <f aca="false">(1-AG86)*(AG65+AG66+AG67+AG68+AG69+AG70+AG71)/MAX(Time!AG31,1)*Inputs!$F$172</f>
        <v>1.38758082032614</v>
      </c>
      <c r="AH93" s="13" t="n">
        <f aca="false">(1-AH86)*(AH65+AH66+AH67+AH68+AH69+AH70+AH71)/MAX(Time!AH31,1)*Inputs!$F$172</f>
        <v>1.37614197850623</v>
      </c>
      <c r="AI93" s="13" t="n">
        <f aca="false">(1-AI86)*(AI65+AI66+AI67+AI68+AI69+AI70+AI71)/MAX(Time!AI31,1)*Inputs!$F$172</f>
        <v>1.41433597655674</v>
      </c>
      <c r="AJ93" s="13" t="n">
        <f aca="false">(1-AJ86)*(AJ65+AJ66+AJ67+AJ68+AJ69+AJ70+AJ71)/MAX(Time!AJ31,1)*Inputs!$F$172</f>
        <v>1.40788247918855</v>
      </c>
      <c r="AK93" s="13" t="n">
        <f aca="false">(1-AK86)*(AK65+AK66+AK67+AK68+AK69+AK70+AK71)/MAX(Time!AK31,1)*Inputs!$F$172</f>
        <v>1.43298398713013</v>
      </c>
      <c r="AL93" s="13" t="n">
        <f aca="false">(1-AL86)*(AL65+AL66+AL67+AL68+AL69+AL70+AL71)/MAX(Time!AL31,1)*Inputs!$F$172</f>
        <v>1.42228184196693</v>
      </c>
      <c r="AM93" s="13" t="n">
        <f aca="false">(1-AM86)*(AM65+AM66+AM67+AM68+AM69+AM70+AM71)/MAX(Time!AM31,1)*Inputs!$F$172</f>
        <v>1.46527748087583</v>
      </c>
      <c r="AN93" s="13" t="n">
        <f aca="false">(1-AN86)*(AN65+AN66+AN67+AN68+AN69+AN70+AN71)/MAX(Time!AN31,1)*Inputs!$F$172</f>
        <v>1.46554772455616</v>
      </c>
      <c r="AO93" s="13" t="n">
        <f aca="false">(1-AO86)*(AO65+AO66+AO67+AO68+AO69+AO70+AO71)/MAX(Time!AO31,1)*Inputs!$F$172</f>
        <v>1.50350011405582</v>
      </c>
      <c r="AP93" s="13" t="n">
        <f aca="false">(1-AP86)*(AP65+AP66+AP67+AP68+AP69+AP70+AP71)/MAX(Time!AP31,1)*Inputs!$F$172</f>
        <v>1.49117690998684</v>
      </c>
      <c r="AQ93" s="13" t="n">
        <f aca="false">(1-AQ86)*(AQ65+AQ66+AQ67+AQ68+AQ69+AQ70+AQ71)/MAX(Time!AQ31,1)*Inputs!$F$172</f>
        <v>1.5326390231555</v>
      </c>
      <c r="AR93" s="13" t="n">
        <f aca="false">(1-AR86)*(AR65+AR66+AR67+AR68+AR69+AR70+AR71)/MAX(Time!AR31,1)*Inputs!$F$172</f>
        <v>1.52572069105859</v>
      </c>
      <c r="AS93" s="13" t="n">
        <f aca="false">(1-AS86)*(AS65+AS66+AS67+AS68+AS69+AS70+AS71)/MAX(Time!AS31,1)*Inputs!$F$172</f>
        <v>1.54996049964877</v>
      </c>
      <c r="AT93" s="13" t="n">
        <f aca="false">(1-AT86)*(AT65+AT66+AT67+AT68+AT69+AT70+AT71)/MAX(Time!AT31,1)*Inputs!$F$172</f>
        <v>1.53148732626107</v>
      </c>
      <c r="AU93" s="13" t="n">
        <f aca="false">(1-AU86)*(AU65+AU66+AU67+AU68+AU69+AU70+AU71)/MAX(Time!AU31,1)*Inputs!$F$172</f>
        <v>1.58191373698795</v>
      </c>
      <c r="AV93" s="13" t="n">
        <f aca="false">(1-AV86)*(AV65+AV66+AV67+AV68+AV69+AV70+AV71)/MAX(Time!AV31,1)*Inputs!$F$172</f>
        <v>1.58851037612815</v>
      </c>
      <c r="AW93" s="13" t="n">
        <f aca="false">(1-AW86)*(AW65+AW66+AW67+AW68+AW69+AW70+AW71)/MAX(Time!AW31,1)*Inputs!$F$172</f>
        <v>1.62972121406626</v>
      </c>
      <c r="AX93" s="13" t="n">
        <f aca="false">(1-AX86)*(AX65+AX66+AX67+AX68+AX69+AX70+AX71)/MAX(Time!AX31,1)*Inputs!$F$172</f>
        <v>1.61643608776943</v>
      </c>
      <c r="AY93" s="13" t="n">
        <f aca="false">(1-AY86)*(AY65+AY66+AY67+AY68+AY69+AY70+AY71)/MAX(Time!AY31,1)*Inputs!$F$172</f>
        <v>1.66145616495294</v>
      </c>
      <c r="AZ93" s="13" t="n">
        <f aca="false">(1-AZ86)*(AZ65+AZ66+AZ67+AZ68+AZ69+AZ70+AZ71)/MAX(Time!AZ31,1)*Inputs!$F$172</f>
        <v>1.65403051213631</v>
      </c>
      <c r="BA93" s="13" t="n">
        <f aca="false">(1-BA86)*(BA65+BA66+BA67+BA68+BA69+BA70+BA71)/MAX(Time!BA31,1)*Inputs!$F$172</f>
        <v>1.68367159312184</v>
      </c>
      <c r="BB93" s="13" t="n">
        <f aca="false">(1-BB86)*(BB65+BB66+BB67+BB68+BB69+BB70+BB71)/MAX(Time!BB31,1)*Inputs!$F$172</f>
        <v>1.67124387492743</v>
      </c>
      <c r="BC93" s="13" t="n">
        <f aca="false">(1-BC86)*(BC65+BC66+BC67+BC68+BC69+BC70+BC71)/MAX(Time!BC31,1)*Inputs!$F$172</f>
        <v>1.72192437056421</v>
      </c>
      <c r="BD93" s="13" t="n">
        <f aca="false">(1-BD86)*(BD65+BD66+BD67+BD68+BD69+BD70+BD71)/MAX(Time!BD31,1)*Inputs!$F$172</f>
        <v>1.72239977196477</v>
      </c>
      <c r="BE93" s="13" t="n">
        <f aca="false">(1-BE86)*(BE65+BE66+BE67+BE68+BE69+BE70+BE71)/MAX(Time!BE31,1)*Inputs!$F$172</f>
        <v>1.76715914735325</v>
      </c>
      <c r="BF93" s="13" t="n">
        <f aca="false">(1-BF86)*(BF65+BF66+BF67+BF68+BF69+BF70+BF71)/MAX(Time!BF31,1)*Inputs!$F$172</f>
        <v>1.75282774602973</v>
      </c>
      <c r="BG93" s="13" t="n">
        <f aca="false">(1-BG86)*(BG65+BG66+BG67+BG68+BG69+BG70+BG71)/MAX(Time!BG31,1)*Inputs!$F$172</f>
        <v>1.80172132615633</v>
      </c>
      <c r="BH93" s="13" t="n">
        <f aca="false">(1-BH86)*(BH65+BH66+BH67+BH68+BH69+BH70+BH71)/MAX(Time!BH31,1)*Inputs!$F$172</f>
        <v>1.79374198349612</v>
      </c>
      <c r="BI93" s="13" t="n">
        <f aca="false">(1-BI86)*(BI65+BI66+BI67+BI68+BI69+BI70+BI71)/MAX(Time!BI31,1)*Inputs!$F$172</f>
        <v>1.8223962401049</v>
      </c>
      <c r="BJ93" s="13" t="n">
        <f aca="false">(1-BJ86)*(BJ65+BJ66+BJ67+BJ68+BJ69+BJ70+BJ71)/MAX(Time!BJ31,1)*Inputs!$F$172</f>
        <v>1.80092072781408</v>
      </c>
      <c r="BK93" s="13" t="n">
        <f aca="false">(1-BK86)*(BK65+BK66+BK67+BK68+BK69+BK70+BK71)/MAX(Time!BK31,1)*Inputs!$F$172</f>
        <v>1.86028226786729</v>
      </c>
      <c r="BL93" s="13" t="n">
        <f aca="false">(1-BL86)*(BL65+BL66+BL67+BL68+BL69+BL70+BL71)/MAX(Time!BL31,1)*Inputs!$F$172</f>
        <v>1.86818635341103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14.9502028576304</v>
      </c>
      <c r="P95" s="13" t="n">
        <f aca="false">P88+P89-P90-P91-P92-P93-P94</f>
        <v>14.914543720459</v>
      </c>
      <c r="Q95" s="13" t="n">
        <f aca="false">Q88+Q89-Q90-Q91-Q92-Q93-Q94</f>
        <v>15.2044011255357</v>
      </c>
      <c r="R95" s="13" t="n">
        <f aca="false">R88+R89-R90-R91-R92-R93-R94</f>
        <v>15.0124589949144</v>
      </c>
      <c r="S95" s="13" t="n">
        <f aca="false">S88+S89-S90-S91-S92-S93-S94</f>
        <v>15.3047879889956</v>
      </c>
      <c r="T95" s="13" t="n">
        <f aca="false">T88+T89-T90-T91-T92-T93-T94</f>
        <v>15.1122482517072</v>
      </c>
      <c r="U95" s="13" t="n">
        <f aca="false">U88+U89-U90-U91-U92-U93-U94</f>
        <v>15.3279635439612</v>
      </c>
      <c r="V95" s="13" t="n">
        <f aca="false">V88+V89-V90-V91-V92-V93-V94</f>
        <v>15.2146530680429</v>
      </c>
      <c r="W95" s="13" t="n">
        <f aca="false">W88+W89-W90-W91-W92-W93-W94</f>
        <v>15.5118990606048</v>
      </c>
      <c r="X95" s="13" t="n">
        <f aca="false">X88+X89-X90-X91-X92-X93-X94</f>
        <v>15.3178297743035</v>
      </c>
      <c r="Y95" s="13" t="n">
        <f aca="false">Y88+Y89-Y90-Y91-Y92-Y93-Y94</f>
        <v>15.617924483505</v>
      </c>
      <c r="Z95" s="13" t="n">
        <f aca="false">Z88+Z89-Z90-Z91-Z92-Z93-Z94</f>
        <v>15.4240052520642</v>
      </c>
      <c r="AA95" s="13" t="n">
        <f aca="false">AA88+AA89-AA90-AA91-AA92-AA93-AA94</f>
        <v>15.7265782092468</v>
      </c>
      <c r="AB95" s="13" t="n">
        <f aca="false">AB88+AB89-AB90-AB91-AB92-AB93-AB94</f>
        <v>15.531608682025</v>
      </c>
      <c r="AC95" s="13" t="n">
        <f aca="false">AC88+AC89-AC90-AC91-AC92-AC93-AC94</f>
        <v>15.7565341117681</v>
      </c>
      <c r="AD95" s="13" t="n">
        <f aca="false">AD88+AD89-AD90-AD91-AD92-AD93-AD94</f>
        <v>15.4141097997541</v>
      </c>
      <c r="AE95" s="13" t="n">
        <f aca="false">AE88+AE89-AE90-AE91-AE92-AE93-AE94</f>
        <v>15.9518529409946</v>
      </c>
      <c r="AF95" s="13" t="n">
        <f aca="false">AF88+AF89-AF90-AF91-AF92-AF93-AF94</f>
        <v>15.7539186338379</v>
      </c>
      <c r="AG95" s="13" t="n">
        <f aca="false">AG88+AG89-AG90-AG91-AG92-AG93-AG94</f>
        <v>16.0650958913163</v>
      </c>
      <c r="AH95" s="13" t="n">
        <f aca="false">AH88+AH89-AH90-AH91-AH92-AH93-AH94</f>
        <v>15.8690638969659</v>
      </c>
      <c r="AI95" s="13" t="n">
        <f aca="false">AI88+AI89-AI90-AI91-AI92-AI93-AI94</f>
        <v>16.1827113800051</v>
      </c>
      <c r="AJ95" s="13" t="n">
        <f aca="false">AJ88+AJ89-AJ90-AJ91-AJ92-AJ93-AJ94</f>
        <v>15.9851071112169</v>
      </c>
      <c r="AK95" s="13" t="n">
        <f aca="false">AK88+AK89-AK90-AK91-AK92-AK93-AK94</f>
        <v>16.2193668139487</v>
      </c>
      <c r="AL95" s="13" t="n">
        <f aca="false">AL88+AL89-AL90-AL91-AL92-AL93-AL94</f>
        <v>16.1072692300838</v>
      </c>
      <c r="AM95" s="13" t="n">
        <f aca="false">AM88+AM89-AM90-AM91-AM92-AM93-AM94</f>
        <v>16.4261253104802</v>
      </c>
      <c r="AN95" s="13" t="n">
        <f aca="false">AN88+AN89-AN90-AN91-AN92-AN93-AN94</f>
        <v>16.2255359991544</v>
      </c>
      <c r="AO95" s="13" t="n">
        <f aca="false">AO88+AO89-AO90-AO91-AO92-AO93-AO94</f>
        <v>16.5487122698079</v>
      </c>
      <c r="AP95" s="13" t="n">
        <f aca="false">AP88+AP89-AP90-AP91-AP92-AP93-AP94</f>
        <v>16.3504224530455</v>
      </c>
      <c r="AQ95" s="13" t="n">
        <f aca="false">AQ88+AQ89-AQ90-AQ91-AQ92-AQ93-AQ94</f>
        <v>16.6760438387178</v>
      </c>
      <c r="AR95" s="13" t="n">
        <f aca="false">AR88+AR89-AR90-AR91-AR92-AR93-AR94</f>
        <v>16.4755821918743</v>
      </c>
      <c r="AS95" s="13" t="n">
        <f aca="false">AS88+AS89-AS90-AS91-AS92-AS93-AS94</f>
        <v>16.7211913214236</v>
      </c>
      <c r="AT95" s="13" t="n">
        <f aca="false">AT88+AT89-AT90-AT91-AT92-AT93-AT94</f>
        <v>16.3647156820318</v>
      </c>
      <c r="AU95" s="13" t="n">
        <f aca="false">AU88+AU89-AU90-AU91-AU92-AU93-AU94</f>
        <v>16.9419201765532</v>
      </c>
      <c r="AV95" s="13" t="n">
        <f aca="false">AV88+AV89-AV90-AV91-AV92-AV93-AV94</f>
        <v>16.735638224313</v>
      </c>
      <c r="AW95" s="13" t="n">
        <f aca="false">AW88+AW89-AW90-AW91-AW92-AW93-AW94</f>
        <v>17.0718073007462</v>
      </c>
      <c r="AX95" s="13" t="n">
        <f aca="false">AX88+AX89-AX90-AX91-AX92-AX93-AX94</f>
        <v>16.87110454199</v>
      </c>
      <c r="AY95" s="13" t="n">
        <f aca="false">AY88+AY89-AY90-AY91-AY92-AY93-AY94</f>
        <v>17.209673833837</v>
      </c>
      <c r="AZ95" s="13" t="n">
        <f aca="false">AZ88+AZ89-AZ90-AZ91-AZ92-AZ93-AZ94</f>
        <v>17.00611293047</v>
      </c>
      <c r="BA95" s="13" t="n">
        <f aca="false">BA88+BA89-BA90-BA91-BA92-BA93-BA94</f>
        <v>17.262189845357</v>
      </c>
      <c r="BB95" s="13" t="n">
        <f aca="false">BB88+BB89-BB90-BB91-BB92-BB93-BB94</f>
        <v>17.1518488305538</v>
      </c>
      <c r="BC95" s="13" t="n">
        <f aca="false">BC88+BC89-BC90-BC91-BC92-BC93-BC94</f>
        <v>17.495880613192</v>
      </c>
      <c r="BD95" s="13" t="n">
        <f aca="false">BD88+BD89-BD90-BD91-BD92-BD93-BD94</f>
        <v>17.2874321297845</v>
      </c>
      <c r="BE95" s="13" t="n">
        <f aca="false">BE88+BE89-BE90-BE91-BE92-BE93-BE94</f>
        <v>17.6376717705274</v>
      </c>
      <c r="BF95" s="13" t="n">
        <f aca="false">BF88+BF89-BF90-BF91-BF92-BF93-BF94</f>
        <v>17.4343901794083</v>
      </c>
      <c r="BG95" s="13" t="n">
        <f aca="false">BG88+BG89-BG90-BG91-BG92-BG93-BG94</f>
        <v>17.7869623196448</v>
      </c>
      <c r="BH95" s="13" t="n">
        <f aca="false">BH88+BH89-BH90-BH91-BH92-BH93-BH94</f>
        <v>17.5800393427392</v>
      </c>
      <c r="BI95" s="13" t="n">
        <f aca="false">BI88+BI89-BI90-BI91-BI92-BI93-BI94</f>
        <v>17.8500702403174</v>
      </c>
      <c r="BJ95" s="13" t="n">
        <f aca="false">BJ88+BJ89-BJ90-BJ91-BJ92-BJ93-BJ94</f>
        <v>17.4773527470982</v>
      </c>
      <c r="BK95" s="13" t="n">
        <f aca="false">BK88+BK89-BK90-BK91-BK92-BK93-BK94</f>
        <v>18.1008730502928</v>
      </c>
      <c r="BL95" s="13" t="n">
        <f aca="false">BL88+BL89-BL90-BL91-BL92-BL93-BL94</f>
        <v>17.8843965369475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14.9502028576304</v>
      </c>
      <c r="P96" s="13" t="n">
        <f aca="false">P95-O95</f>
        <v>-0.0356591371713346</v>
      </c>
      <c r="Q96" s="13" t="n">
        <f aca="false">Q95-P95</f>
        <v>0.28985740507661</v>
      </c>
      <c r="R96" s="13" t="n">
        <f aca="false">R95-Q95</f>
        <v>-0.191942130621261</v>
      </c>
      <c r="S96" s="13" t="n">
        <f aca="false">S95-R95</f>
        <v>0.292328994081212</v>
      </c>
      <c r="T96" s="13" t="n">
        <f aca="false">T95-S95</f>
        <v>-0.192539737288438</v>
      </c>
      <c r="U96" s="13" t="n">
        <f aca="false">U95-T95</f>
        <v>0.21571529225406</v>
      </c>
      <c r="V96" s="13" t="n">
        <f aca="false">V95-U95</f>
        <v>-0.113310475918349</v>
      </c>
      <c r="W96" s="13" t="n">
        <f aca="false">W95-V95</f>
        <v>0.297245992561916</v>
      </c>
      <c r="X96" s="13" t="n">
        <f aca="false">X95-W95</f>
        <v>-0.194069286301271</v>
      </c>
      <c r="Y96" s="13" t="n">
        <f aca="false">Y95-X95</f>
        <v>0.300094709201462</v>
      </c>
      <c r="Z96" s="13" t="n">
        <f aca="false">Z95-Y95</f>
        <v>-0.193919231440828</v>
      </c>
      <c r="AA96" s="13" t="n">
        <f aca="false">AA95-Z95</f>
        <v>0.302572957182624</v>
      </c>
      <c r="AB96" s="13" t="n">
        <f aca="false">AB95-AA95</f>
        <v>-0.194969527221764</v>
      </c>
      <c r="AC96" s="13" t="n">
        <f aca="false">AC95-AB95</f>
        <v>0.224925429743106</v>
      </c>
      <c r="AD96" s="13" t="n">
        <f aca="false">AD95-AC95</f>
        <v>-0.342424312013984</v>
      </c>
      <c r="AE96" s="13" t="n">
        <f aca="false">AE95-AD95</f>
        <v>0.537743141240449</v>
      </c>
      <c r="AF96" s="13" t="n">
        <f aca="false">AF95-AE95</f>
        <v>-0.197934307156711</v>
      </c>
      <c r="AG96" s="13" t="n">
        <f aca="false">AG95-AF95</f>
        <v>0.311177257478441</v>
      </c>
      <c r="AH96" s="13" t="n">
        <f aca="false">AH95-AG95</f>
        <v>-0.196031994350435</v>
      </c>
      <c r="AI96" s="13" t="n">
        <f aca="false">AI95-AH95</f>
        <v>0.313647483039226</v>
      </c>
      <c r="AJ96" s="13" t="n">
        <f aca="false">AJ95-AI95</f>
        <v>-0.197604268788162</v>
      </c>
      <c r="AK96" s="13" t="n">
        <f aca="false">AK95-AJ95</f>
        <v>0.234259702731773</v>
      </c>
      <c r="AL96" s="13" t="n">
        <f aca="false">AL95-AK95</f>
        <v>-0.112097583864944</v>
      </c>
      <c r="AM96" s="13" t="n">
        <f aca="false">AM95-AL95</f>
        <v>0.318856080396397</v>
      </c>
      <c r="AN96" s="13" t="n">
        <f aca="false">AN95-AM95</f>
        <v>-0.200589311325778</v>
      </c>
      <c r="AO96" s="13" t="n">
        <f aca="false">AO95-AN95</f>
        <v>0.323176270653534</v>
      </c>
      <c r="AP96" s="13" t="n">
        <f aca="false">AP95-AO95</f>
        <v>-0.198289816762468</v>
      </c>
      <c r="AQ96" s="13" t="n">
        <f aca="false">AQ95-AP95</f>
        <v>0.325621385672349</v>
      </c>
      <c r="AR96" s="13" t="n">
        <f aca="false">AR95-AQ95</f>
        <v>-0.200461646843468</v>
      </c>
      <c r="AS96" s="13" t="n">
        <f aca="false">AS95-AR95</f>
        <v>0.245609129549219</v>
      </c>
      <c r="AT96" s="13" t="n">
        <f aca="false">AT95-AS95</f>
        <v>-0.356475639391743</v>
      </c>
      <c r="AU96" s="13" t="n">
        <f aca="false">AU95-AT95</f>
        <v>0.577204494521428</v>
      </c>
      <c r="AV96" s="13" t="n">
        <f aca="false">AV95-AU95</f>
        <v>-0.206281952240257</v>
      </c>
      <c r="AW96" s="13" t="n">
        <f aca="false">AW95-AV95</f>
        <v>0.336169076433261</v>
      </c>
      <c r="AX96" s="13" t="n">
        <f aca="false">AX95-AW95</f>
        <v>-0.200702758756215</v>
      </c>
      <c r="AY96" s="13" t="n">
        <f aca="false">AY95-AX95</f>
        <v>0.338569291846948</v>
      </c>
      <c r="AZ96" s="13" t="n">
        <f aca="false">AZ95-AY95</f>
        <v>-0.203560903367013</v>
      </c>
      <c r="BA96" s="13" t="n">
        <f aca="false">BA95-AZ95</f>
        <v>0.256076914887046</v>
      </c>
      <c r="BB96" s="13" t="n">
        <f aca="false">BB95-BA95</f>
        <v>-0.110341014803218</v>
      </c>
      <c r="BC96" s="13" t="n">
        <f aca="false">BC95-BB95</f>
        <v>0.344031782638169</v>
      </c>
      <c r="BD96" s="13" t="n">
        <f aca="false">BD95-BC95</f>
        <v>-0.208448483407501</v>
      </c>
      <c r="BE96" s="13" t="n">
        <f aca="false">BE95-BD95</f>
        <v>0.350239640742888</v>
      </c>
      <c r="BF96" s="13" t="n">
        <f aca="false">BF95-BE95</f>
        <v>-0.203281591119076</v>
      </c>
      <c r="BG96" s="13" t="n">
        <f aca="false">BG95-BF95</f>
        <v>0.352572140236529</v>
      </c>
      <c r="BH96" s="13" t="n">
        <f aca="false">BH95-BG95</f>
        <v>-0.206922976905638</v>
      </c>
      <c r="BI96" s="13" t="n">
        <f aca="false">BI95-BH95</f>
        <v>0.270030897578259</v>
      </c>
      <c r="BJ96" s="13" t="n">
        <f aca="false">BJ95-BI95</f>
        <v>-0.372717493219184</v>
      </c>
      <c r="BK96" s="13" t="n">
        <f aca="false">BK95-BJ95</f>
        <v>0.623520303194564</v>
      </c>
      <c r="BL96" s="13" t="n">
        <f aca="false">BL95-BK95</f>
        <v>-0.216476513345349</v>
      </c>
      <c r="BM96" s="13" t="n">
        <f aca="false">BM95-BL95</f>
        <v>-17.8843965369475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-3.50824712378579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0.0453053041847795</v>
      </c>
      <c r="P98" s="13" t="n">
        <f aca="false">P51-P73</f>
        <v>0.131053055306879</v>
      </c>
      <c r="Q98" s="13" t="n">
        <f aca="false">Q51-Q73</f>
        <v>0.12583935814159</v>
      </c>
      <c r="R98" s="13" t="n">
        <f aca="false">R51-R73</f>
        <v>0.117683042260865</v>
      </c>
      <c r="S98" s="13" t="n">
        <f aca="false">S51-S73</f>
        <v>0.112915522303922</v>
      </c>
      <c r="T98" s="13" t="n">
        <f aca="false">T51-T73</f>
        <v>0.106096524868235</v>
      </c>
      <c r="U98" s="13" t="n">
        <f aca="false">U51-U73</f>
        <v>0.0993898383226224</v>
      </c>
      <c r="V98" s="13" t="n">
        <f aca="false">V51-V73</f>
        <v>0.08969124117462</v>
      </c>
      <c r="W98" s="13" t="n">
        <f aca="false">W51-W73</f>
        <v>0.0849241879014784</v>
      </c>
      <c r="X98" s="13" t="n">
        <f aca="false">X51-X73</f>
        <v>0.0790965692506376</v>
      </c>
      <c r="Y98" s="13" t="n">
        <f aca="false">Y51-Y73</f>
        <v>0.0724976897201515</v>
      </c>
      <c r="Z98" s="13" t="n">
        <f aca="false">Z51-Z73</f>
        <v>0.0641723323942074</v>
      </c>
      <c r="AA98" s="13" t="n">
        <f aca="false">AA51-AA73</f>
        <v>0.0576360090961714</v>
      </c>
      <c r="AB98" s="13" t="n">
        <f aca="false">AB51-AB73</f>
        <v>0.0499363660166381</v>
      </c>
      <c r="AC98" s="13" t="n">
        <f aca="false">AC51-AC73</f>
        <v>0.0419412300202851</v>
      </c>
      <c r="AD98" s="13" t="n">
        <f aca="false">AD51-AD73</f>
        <v>0.0326318468559208</v>
      </c>
      <c r="AE98" s="13" t="n">
        <f aca="false">AE51-AE73</f>
        <v>0.0258665882263927</v>
      </c>
      <c r="AF98" s="13" t="n">
        <f aca="false">AF51-AF73</f>
        <v>0.0184932938245908</v>
      </c>
      <c r="AG98" s="13" t="n">
        <f aca="false">AG51-AG73</f>
        <v>0.0103298412851984</v>
      </c>
      <c r="AH98" s="13" t="n">
        <f aca="false">AH51-AH73</f>
        <v>0.00185771470934526</v>
      </c>
      <c r="AI98" s="13" t="n">
        <f aca="false">AI51-AI73</f>
        <v>-0.00668758005376446</v>
      </c>
      <c r="AJ98" s="13" t="n">
        <f aca="false">AJ51-AJ73</f>
        <v>-0.0153613331217457</v>
      </c>
      <c r="AK98" s="13" t="n">
        <f aca="false">AK51-AK73</f>
        <v>-0.0241803167387218</v>
      </c>
      <c r="AL98" s="13" t="n">
        <f aca="false">AL51-AL73</f>
        <v>-0.0321011062177803</v>
      </c>
      <c r="AM98" s="13" t="n">
        <f aca="false">AM51-AM73</f>
        <v>-0.0418636446321727</v>
      </c>
      <c r="AN98" s="13" t="n">
        <f aca="false">AN51-AN73</f>
        <v>-0.051762542117288</v>
      </c>
      <c r="AO98" s="13" t="n">
        <f aca="false">AO51-AO73</f>
        <v>-0.0616890041443554</v>
      </c>
      <c r="AP98" s="13" t="n">
        <f aca="false">AP51-AP73</f>
        <v>-0.0702812426083739</v>
      </c>
      <c r="AQ98" s="13" t="n">
        <f aca="false">AQ51-AQ73</f>
        <v>-0.0811016827508553</v>
      </c>
      <c r="AR98" s="13" t="n">
        <f aca="false">AR51-AR73</f>
        <v>-0.0908519909684458</v>
      </c>
      <c r="AS98" s="13" t="n">
        <f aca="false">AS51-AS73</f>
        <v>-0.100217426996949</v>
      </c>
      <c r="AT98" s="13" t="n">
        <f aca="false">AT51-AT73</f>
        <v>-0.10539125995885</v>
      </c>
      <c r="AU98" s="13" t="n">
        <f aca="false">AU51-AU73</f>
        <v>-0.118769538389657</v>
      </c>
      <c r="AV98" s="13" t="n">
        <f aca="false">AV51-AV73</f>
        <v>-0.132778269468815</v>
      </c>
      <c r="AW98" s="13" t="n">
        <f aca="false">AW51-AW73</f>
        <v>-0.144687052238524</v>
      </c>
      <c r="AX98" s="13" t="n">
        <f aca="false">AX51-AX73</f>
        <v>-0.153367824334694</v>
      </c>
      <c r="AY98" s="13" t="n">
        <f aca="false">AY51-AY73</f>
        <v>-0.166758115592813</v>
      </c>
      <c r="AZ98" s="13" t="n">
        <f aca="false">AZ51-AZ73</f>
        <v>-0.177697213851417</v>
      </c>
      <c r="BA98" s="13" t="n">
        <f aca="false">BA51-BA73</f>
        <v>-0.189122901374887</v>
      </c>
      <c r="BB98" s="13" t="n">
        <f aca="false">BB51-BB73</f>
        <v>-0.194461305946049</v>
      </c>
      <c r="BC98" s="13" t="n">
        <f aca="false">BC51-BC73</f>
        <v>-0.210669430938012</v>
      </c>
      <c r="BD98" s="13" t="n">
        <f aca="false">BD51-BD73</f>
        <v>-0.225772234750337</v>
      </c>
      <c r="BE98" s="13" t="n">
        <f aca="false">BE51-BE73</f>
        <v>-0.239905517755389</v>
      </c>
      <c r="BF98" s="13" t="n">
        <f aca="false">BF51-BF73</f>
        <v>-0.248637733038677</v>
      </c>
      <c r="BG98" s="13" t="n">
        <f aca="false">BG51-BG73</f>
        <v>-0.264923868074234</v>
      </c>
      <c r="BH98" s="13" t="n">
        <f aca="false">BH51-BH73</f>
        <v>-0.277174659227981</v>
      </c>
      <c r="BI98" s="13" t="n">
        <f aca="false">BI51-BI73</f>
        <v>-0.288138784901193</v>
      </c>
      <c r="BJ98" s="13" t="n">
        <f aca="false">BJ51-BJ73</f>
        <v>-0.287640898667647</v>
      </c>
      <c r="BK98" s="13" t="n">
        <f aca="false">BK51-BK73</f>
        <v>-0.309540239515499</v>
      </c>
      <c r="BL98" s="13" t="n">
        <f aca="false">BL51-BL73</f>
        <v>-0.332084087443349</v>
      </c>
      <c r="BM98" s="13" t="n">
        <f aca="false">BM51-BM73</f>
        <v>-0.231985873831846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198.077913137389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9.53515621438891</v>
      </c>
      <c r="R13" s="13" t="n">
        <f aca="false">IF(Time!R20&gt;=Time!$F$12,Waterfall!R33*Inputs!$F$104/100*Time!R31/Inputs!$F$248,0)</f>
        <v>9.55328480288954</v>
      </c>
      <c r="S13" s="13" t="n">
        <f aca="false">IF(Time!S20&gt;=Time!$F$12,Waterfall!S33*Inputs!$F$104/100*Time!S31/Inputs!$F$248,0)</f>
        <v>9.21729464010805</v>
      </c>
      <c r="T13" s="13" t="n">
        <f aca="false">IF(Time!T20&gt;=Time!$F$12,Waterfall!T33*Inputs!$F$104/100*Time!T31/Inputs!$F$248,0)</f>
        <v>9.2095215373244</v>
      </c>
      <c r="U13" s="13" t="n">
        <f aca="false">IF(Time!U20&gt;=Time!$F$12,Waterfall!U33*Inputs!$F$104/100*Time!U31/Inputs!$F$248,0)</f>
        <v>8.91517357705536</v>
      </c>
      <c r="V13" s="13" t="n">
        <f aca="false">IF(Time!V20&gt;=Time!$F$12,Waterfall!V33*Inputs!$F$104/100*Time!V31/Inputs!$F$248,0)</f>
        <v>8.84850700008011</v>
      </c>
      <c r="W13" s="13" t="n">
        <f aca="false">IF(Time!W20&gt;=Time!$F$12,Waterfall!W33*Inputs!$F$104/100*Time!W31/Inputs!$F$248,0)</f>
        <v>8.4808281361506</v>
      </c>
      <c r="X13" s="13" t="n">
        <f aca="false">IF(Time!X20&gt;=Time!$F$12,Waterfall!X33*Inputs!$F$104/100*Time!X31/Inputs!$F$248,0)</f>
        <v>8.34120354297342</v>
      </c>
      <c r="Y13" s="13" t="n">
        <f aca="false">IF(Time!Y20&gt;=Time!$F$12,Waterfall!Y33*Inputs!$F$104/100*Time!Y31/Inputs!$F$248,0)</f>
        <v>7.97637579709409</v>
      </c>
      <c r="Z13" s="13" t="n">
        <f aca="false">IF(Time!Z20&gt;=Time!$F$12,Waterfall!Z33*Inputs!$F$104/100*Time!Z31/Inputs!$F$248,0)</f>
        <v>7.89588100772471</v>
      </c>
      <c r="AA13" s="13" t="n">
        <f aca="false">IF(Time!AA20&gt;=Time!$F$12,Waterfall!AA33*Inputs!$F$104/100*Time!AA31/Inputs!$F$248,0)</f>
        <v>7.52093303469132</v>
      </c>
      <c r="AB13" s="13" t="n">
        <f aca="false">IF(Time!AB20&gt;=Time!$F$12,Waterfall!AB33*Inputs!$F$104/100*Time!AB31/Inputs!$F$248,0)</f>
        <v>7.71141321581436</v>
      </c>
      <c r="AC13" s="13" t="n">
        <f aca="false">IF(Time!AC20&gt;=Time!$F$12,Waterfall!AC33*Inputs!$F$104/100*Time!AC31/Inputs!$F$248,0)</f>
        <v>7.65583096438516</v>
      </c>
      <c r="AD13" s="13" t="n">
        <f aca="false">IF(Time!AD20&gt;=Time!$F$12,Waterfall!AD33*Inputs!$F$104/100*Time!AD31/Inputs!$F$248,0)</f>
        <v>7.78223754969489</v>
      </c>
      <c r="AE13" s="13" t="n">
        <f aca="false">IF(Time!AE20&gt;=Time!$F$12,Waterfall!AE33*Inputs!$F$104/100*Time!AE31/Inputs!$F$248,0)</f>
        <v>7.63978037982735</v>
      </c>
      <c r="AF13" s="13" t="n">
        <f aca="false">IF(Time!AF20&gt;=Time!$F$12,Waterfall!AF33*Inputs!$F$104/100*Time!AF31/Inputs!$F$248,0)</f>
        <v>7.7149694531205</v>
      </c>
      <c r="AG13" s="13" t="n">
        <f aca="false">IF(Time!AG20&gt;=Time!$F$12,Waterfall!AG33*Inputs!$F$104/100*Time!AG31/Inputs!$F$248,0)</f>
        <v>7.5010551155192</v>
      </c>
      <c r="AH13" s="13" t="n">
        <f aca="false">IF(Time!AH20&gt;=Time!$F$12,Waterfall!AH33*Inputs!$F$104/100*Time!AH31/Inputs!$F$248,0)</f>
        <v>7.50490553866049</v>
      </c>
      <c r="AI13" s="13" t="n">
        <f aca="false">IF(Time!AI20&gt;=Time!$F$12,Waterfall!AI33*Inputs!$F$104/100*Time!AI31/Inputs!$F$248,0)</f>
        <v>7.19918282597603</v>
      </c>
      <c r="AJ13" s="13" t="n">
        <f aca="false">IF(Time!AJ20&gt;=Time!$F$12,Waterfall!AJ33*Inputs!$F$104/100*Time!AJ31/Inputs!$F$248,0)</f>
        <v>7.0745281852579</v>
      </c>
      <c r="AK13" s="13" t="n">
        <f aca="false">IF(Time!AK20&gt;=Time!$F$12,Waterfall!AK33*Inputs!$F$104/100*Time!AK31/Inputs!$F$248,0)</f>
        <v>6.65990707195035</v>
      </c>
      <c r="AL13" s="13" t="n">
        <f aca="false">IF(Time!AL20&gt;=Time!$F$12,Waterfall!AL33*Inputs!$F$104/100*Time!AL31/Inputs!$F$248,0)</f>
        <v>5.74051353992904</v>
      </c>
      <c r="AM13" s="13" t="n">
        <f aca="false">IF(Time!AM20&gt;=Time!$F$12,Waterfall!AM33*Inputs!$F$104/100*Time!AM31/Inputs!$F$248,0)</f>
        <v>4.36275442713225</v>
      </c>
      <c r="AN13" s="13" t="n">
        <f aca="false">IF(Time!AN20&gt;=Time!$F$12,Waterfall!AN33*Inputs!$F$104/100*Time!AN31/Inputs!$F$248,0)</f>
        <v>3.01579455265893</v>
      </c>
      <c r="AO13" s="13" t="n">
        <f aca="false">IF(Time!AO20&gt;=Time!$F$12,Waterfall!AO33*Inputs!$F$104/100*Time!AO31/Inputs!$F$248,0)</f>
        <v>1.84577017802547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0.790176705447729</v>
      </c>
      <c r="Q14" s="3" t="n">
        <f aca="false">IF(Waterfall!Q33&gt;0,MIN(1,Inputs!$F$183*(Waterfall!$F$32+MAX(0,Waterfall!P43))/Waterfall!Q33),1)</f>
        <v>0.917866312777628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194.108376693991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7.84916504639595</v>
      </c>
      <c r="Q15" s="13" t="n">
        <f aca="false">Q13*Q14</f>
        <v>8.75199867625984</v>
      </c>
      <c r="R15" s="13" t="n">
        <f aca="false">R13*R14</f>
        <v>9.55328480288954</v>
      </c>
      <c r="S15" s="13" t="n">
        <f aca="false">S13*S14</f>
        <v>9.21729464010805</v>
      </c>
      <c r="T15" s="13" t="n">
        <f aca="false">T13*T14</f>
        <v>9.2095215373244</v>
      </c>
      <c r="U15" s="13" t="n">
        <f aca="false">U13*U14</f>
        <v>8.91517357705536</v>
      </c>
      <c r="V15" s="13" t="n">
        <f aca="false">V13*V14</f>
        <v>8.84850700008011</v>
      </c>
      <c r="W15" s="13" t="n">
        <f aca="false">W13*W14</f>
        <v>8.4808281361506</v>
      </c>
      <c r="X15" s="13" t="n">
        <f aca="false">X13*X14</f>
        <v>8.34120354297342</v>
      </c>
      <c r="Y15" s="13" t="n">
        <f aca="false">Y13*Y14</f>
        <v>7.97637579709409</v>
      </c>
      <c r="Z15" s="13" t="n">
        <f aca="false">Z13*Z14</f>
        <v>7.89588100772471</v>
      </c>
      <c r="AA15" s="13" t="n">
        <f aca="false">AA13*AA14</f>
        <v>7.52093303469132</v>
      </c>
      <c r="AB15" s="13" t="n">
        <f aca="false">AB13*AB14</f>
        <v>7.71141321581436</v>
      </c>
      <c r="AC15" s="13" t="n">
        <f aca="false">AC13*AC14</f>
        <v>7.65583096438516</v>
      </c>
      <c r="AD15" s="13" t="n">
        <f aca="false">AD13*AD14</f>
        <v>7.78223754969489</v>
      </c>
      <c r="AE15" s="13" t="n">
        <f aca="false">AE13*AE14</f>
        <v>7.63978037982735</v>
      </c>
      <c r="AF15" s="13" t="n">
        <f aca="false">AF13*AF14</f>
        <v>7.7149694531205</v>
      </c>
      <c r="AG15" s="13" t="n">
        <f aca="false">AG13*AG14</f>
        <v>7.5010551155192</v>
      </c>
      <c r="AH15" s="13" t="n">
        <f aca="false">AH13*AH14</f>
        <v>7.50490553866049</v>
      </c>
      <c r="AI15" s="13" t="n">
        <f aca="false">AI13*AI14</f>
        <v>7.19918282597603</v>
      </c>
      <c r="AJ15" s="13" t="n">
        <f aca="false">AJ13*AJ14</f>
        <v>7.0745281852579</v>
      </c>
      <c r="AK15" s="13" t="n">
        <f aca="false">AK13*AK14</f>
        <v>6.65990707195035</v>
      </c>
      <c r="AL15" s="13" t="n">
        <f aca="false">AL13*AL14</f>
        <v>5.74051353992904</v>
      </c>
      <c r="AM15" s="13" t="n">
        <f aca="false">AM13*AM14</f>
        <v>4.36275442713225</v>
      </c>
      <c r="AN15" s="13" t="n">
        <f aca="false">AN13*AN14</f>
        <v>3.01579455265893</v>
      </c>
      <c r="AO15" s="13" t="n">
        <f aca="false">AO13*AO14</f>
        <v>1.84577017802547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316.968191683488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14.4276807053223</v>
      </c>
      <c r="AC16" s="13" t="n">
        <f aca="false">Debt!AC112+Debt!AC110+Debt!AC104-Debt!AC103</f>
        <v>13.2190226231177</v>
      </c>
      <c r="AD16" s="13" t="n">
        <f aca="false">Debt!AD112+Debt!AD110+Debt!AD104-Debt!AD103</f>
        <v>12.2083413503865</v>
      </c>
      <c r="AE16" s="13" t="n">
        <f aca="false">Debt!AE112+Debt!AE110+Debt!AE104-Debt!AE103</f>
        <v>10.8603267183016</v>
      </c>
      <c r="AF16" s="13" t="n">
        <f aca="false">Debt!AF112+Debt!AF110+Debt!AF104-Debt!AF103</f>
        <v>9.70054860327574</v>
      </c>
      <c r="AG16" s="13" t="n">
        <f aca="false">Debt!AG112+Debt!AG110+Debt!AG104-Debt!AG103</f>
        <v>8.51920753842434</v>
      </c>
      <c r="AH16" s="13" t="n">
        <f aca="false">Debt!AH112+Debt!AH110+Debt!AH104-Debt!AH103</f>
        <v>7.24783906544827</v>
      </c>
      <c r="AI16" s="13" t="n">
        <f aca="false">Debt!AI112+Debt!AI110+Debt!AI104-Debt!AI103</f>
        <v>5.77765982877043</v>
      </c>
      <c r="AJ16" s="13" t="n">
        <f aca="false">Debt!AJ112+Debt!AJ110+Debt!AJ104-Debt!AJ103</f>
        <v>4.41518791111082</v>
      </c>
      <c r="AK16" s="13" t="n">
        <f aca="false">Debt!AK112+Debt!AK110+Debt!AK104-Debt!AK103</f>
        <v>2.95228827598203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1255.13637624144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2.31753335881838</v>
      </c>
      <c r="Z18" s="13" t="n">
        <f aca="false">(Operations!Z84-Z16-Z15)*Z17-Z12</f>
        <v>7.67747018081828</v>
      </c>
      <c r="AA18" s="13" t="n">
        <f aca="false">(Operations!AA84-AA16-AA15)*AA17-AA12</f>
        <v>9.03551544304287</v>
      </c>
      <c r="AB18" s="13" t="n">
        <f aca="false">(Operations!AB84-AB16-AB15)*AB17-AB12</f>
        <v>9.79484004319309</v>
      </c>
      <c r="AC18" s="13" t="n">
        <f aca="false">(Operations!AC84-AC16-AC15)*AC17-AC12</f>
        <v>11.2806889141806</v>
      </c>
      <c r="AD18" s="13" t="n">
        <f aca="false">(Operations!AD84-AD16-AD15)*AD17-AD12</f>
        <v>-0.295344942871768</v>
      </c>
      <c r="AE18" s="13" t="n">
        <f aca="false">(Operations!AE84-AE16-AE15)*AE17-AE12</f>
        <v>14.0036819696647</v>
      </c>
      <c r="AF18" s="13" t="n">
        <f aca="false">(Operations!AF84-AF16-AF15)*AF17-AF12</f>
        <v>14.9982921564261</v>
      </c>
      <c r="AG18" s="13" t="n">
        <f aca="false">(Operations!AG84-AG16-AG15)*AG17-AG12</f>
        <v>16.5357923011473</v>
      </c>
      <c r="AH18" s="13" t="n">
        <f aca="false">(Operations!AH84-AH16-AH15)*AH17-AH12</f>
        <v>17.9664941817092</v>
      </c>
      <c r="AI18" s="13" t="n">
        <f aca="false">(Operations!AI84-AI16-AI15)*AI17-AI12</f>
        <v>19.8488968864217</v>
      </c>
      <c r="AJ18" s="13" t="n">
        <f aca="false">(Operations!AJ84-AJ16-AJ15)*AJ17-AJ12</f>
        <v>21.42348637306</v>
      </c>
      <c r="AK18" s="13" t="n">
        <f aca="false">(Operations!AK84-AK16-AK15)*AK17-AK12</f>
        <v>23.5005156028792</v>
      </c>
      <c r="AL18" s="13" t="n">
        <f aca="false">(Operations!AL84-AL16-AL15)*AL17-AL12</f>
        <v>22.5561221369303</v>
      </c>
      <c r="AM18" s="13" t="n">
        <f aca="false">(Operations!AM84-AM16-AM15)*AM17-AM12</f>
        <v>27.5311927069909</v>
      </c>
      <c r="AN18" s="13" t="n">
        <f aca="false">(Operations!AN84-AN16-AN15)*AN17-AN12</f>
        <v>29.4303713932296</v>
      </c>
      <c r="AO18" s="13" t="n">
        <f aca="false">(Operations!AO84-AO16-AO15)*AO17-AO12</f>
        <v>31.2547931919237</v>
      </c>
      <c r="AP18" s="13" t="n">
        <f aca="false">(Operations!AP84-AP16-AP15)*AP17-AP12</f>
        <v>33.7652616813319</v>
      </c>
      <c r="AQ18" s="13" t="n">
        <f aca="false">(Operations!AQ84-AQ16-AQ15)*AQ17-AQ12</f>
        <v>33.8793735147139</v>
      </c>
      <c r="AR18" s="13" t="n">
        <f aca="false">(Operations!AR84-AR16-AR15)*AR17-AR12</f>
        <v>33.9737845781698</v>
      </c>
      <c r="AS18" s="13" t="n">
        <f aca="false">(Operations!AS84-AS16-AS15)*AS17-AS12</f>
        <v>34.2383040616471</v>
      </c>
      <c r="AT18" s="13" t="n">
        <f aca="false">(Operations!AT84-AT16-AT15)*AT17-AT12</f>
        <v>19.5273726966955</v>
      </c>
      <c r="AU18" s="13" t="n">
        <f aca="false">(Operations!AU84-AU16-AU15)*AU17-AU12</f>
        <v>34.6530934271448</v>
      </c>
      <c r="AV18" s="13" t="n">
        <f aca="false">(Operations!AV84-AV16-AV15)*AV17-AV12</f>
        <v>34.5366844363662</v>
      </c>
      <c r="AW18" s="13" t="n">
        <f aca="false">(Operations!AW84-AW16-AW15)*AW17-AW12</f>
        <v>34.7031115723515</v>
      </c>
      <c r="AX18" s="13" t="n">
        <f aca="false">(Operations!AX84-AX16-AX15)*AX17-AX12</f>
        <v>34.8983369103944</v>
      </c>
      <c r="AY18" s="13" t="n">
        <f aca="false">(Operations!AY84-AY16-AY15)*AY17-AY12</f>
        <v>35.0206117740637</v>
      </c>
      <c r="AZ18" s="13" t="n">
        <f aca="false">(Operations!AZ84-AZ16-AZ15)*AZ17-AZ12</f>
        <v>35.122523200305</v>
      </c>
      <c r="BA18" s="13" t="n">
        <f aca="false">(Operations!BA84-BA16-BA15)*BA17-BA12</f>
        <v>35.3590923987239</v>
      </c>
      <c r="BB18" s="13" t="n">
        <f aca="false">(Operations!BB84-BB16-BB15)*BB17-BB12</f>
        <v>32.1547610218584</v>
      </c>
      <c r="BC18" s="13" t="n">
        <f aca="false">(Operations!BC84-BC16-BC15)*BC17-BC12</f>
        <v>42.1694131458094</v>
      </c>
      <c r="BD18" s="13" t="n">
        <f aca="false">(Operations!BD84-BD16-BD15)*BD17-BD12</f>
        <v>54.9706566647072</v>
      </c>
      <c r="BE18" s="13" t="n">
        <f aca="false">(Operations!BE84-BE16-BE15)*BE17-BE12</f>
        <v>55.1507103842371</v>
      </c>
      <c r="BF18" s="13" t="n">
        <f aca="false">(Operations!BF84-BF16-BF15)*BF17-BF12</f>
        <v>55.3642146315477</v>
      </c>
      <c r="BG18" s="13" t="n">
        <f aca="false">(Operations!BG84-BG16-BG15)*BG17-BG12</f>
        <v>55.4952454203799</v>
      </c>
      <c r="BH18" s="13" t="n">
        <f aca="false">(Operations!BH84-BH16-BH15)*BH17-BH12</f>
        <v>55.6052532557184</v>
      </c>
      <c r="BI18" s="13" t="n">
        <f aca="false">(Operations!BI84-BI16-BI15)*BI17-BI12</f>
        <v>55.9209936870203</v>
      </c>
      <c r="BJ18" s="13" t="n">
        <f aca="false">(Operations!BJ84-BJ16-BJ15)*BJ17-BJ12</f>
        <v>38.5326169314597</v>
      </c>
      <c r="BK18" s="13" t="n">
        <f aca="false">(Operations!BK84-BK16-BK15)*BK17-BK12</f>
        <v>56.4150296087346</v>
      </c>
      <c r="BL18" s="13" t="n">
        <f aca="false">(Operations!BL84-BL16-BL15)*BL17-BL12</f>
        <v>56.2657495265932</v>
      </c>
      <c r="BM18" s="13" t="n">
        <f aca="false">(Operations!BM84-BM16-BM15)*BM17-BM12</f>
        <v>18.5538398139042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0.295344942871768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0.295344942871768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2.31753335881838</v>
      </c>
      <c r="Z20" s="13" t="n">
        <f aca="false">MIN(Y21,MAX(0,Z18-Z19))</f>
        <v>7.67747018081828</v>
      </c>
      <c r="AA20" s="13" t="n">
        <f aca="false">MIN(Z21,MAX(0,AA18-AA19))</f>
        <v>9.03551544304287</v>
      </c>
      <c r="AB20" s="13" t="n">
        <f aca="false">MIN(AA21,MAX(0,AB18-AB19))</f>
        <v>9.79484004319309</v>
      </c>
      <c r="AC20" s="13" t="n">
        <f aca="false">MIN(AB21,MAX(0,AC18-AC19))</f>
        <v>11.2806889141806</v>
      </c>
      <c r="AD20" s="13" t="n">
        <f aca="false">MIN(AC21,MAX(0,AD18-AD19))</f>
        <v>0</v>
      </c>
      <c r="AE20" s="13" t="n">
        <f aca="false">MIN(AD21,MAX(0,AE18-AE19))</f>
        <v>13.7083370267929</v>
      </c>
      <c r="AF20" s="13" t="n">
        <f aca="false">MIN(AE21,MAX(0,AF18-AF19))</f>
        <v>14.9982921564261</v>
      </c>
      <c r="AG20" s="13" t="n">
        <f aca="false">MIN(AF21,MAX(0,AG18-AG19))</f>
        <v>16.5357923011473</v>
      </c>
      <c r="AH20" s="13" t="n">
        <f aca="false">MIN(AG21,MAX(0,AH18-AH19))</f>
        <v>17.9664941817092</v>
      </c>
      <c r="AI20" s="13" t="n">
        <f aca="false">MIN(AH21,MAX(0,AI18-AI19))</f>
        <v>19.8488968864217</v>
      </c>
      <c r="AJ20" s="13" t="n">
        <f aca="false">MIN(AI21,MAX(0,AJ18-AJ19))</f>
        <v>21.42348637306</v>
      </c>
      <c r="AK20" s="13" t="n">
        <f aca="false">MIN(AJ21,MAX(0,AK18-AK19))</f>
        <v>23.5005156028792</v>
      </c>
      <c r="AL20" s="13" t="n">
        <f aca="false">MIN(AK21,MAX(0,AL18-AL19))</f>
        <v>22.5561221369303</v>
      </c>
      <c r="AM20" s="13" t="n">
        <f aca="false">MIN(AL21,MAX(0,AM18-AM19))</f>
        <v>27.5311927069909</v>
      </c>
      <c r="AN20" s="13" t="n">
        <f aca="false">MIN(AM21,MAX(0,AN18-AN19))</f>
        <v>7.66701495737727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223.52465891097</v>
      </c>
      <c r="Z21" s="13" t="n">
        <f aca="false">Y21+Z11-Z20</f>
        <v>215.847188730151</v>
      </c>
      <c r="AA21" s="13" t="n">
        <f aca="false">Z21+AA11-AA20</f>
        <v>206.811673287109</v>
      </c>
      <c r="AB21" s="13" t="n">
        <f aca="false">AA21+AB11-AB20</f>
        <v>197.016833243916</v>
      </c>
      <c r="AC21" s="13" t="n">
        <f aca="false">AB21+AC11-AC20</f>
        <v>185.736144329735</v>
      </c>
      <c r="AD21" s="13" t="n">
        <f aca="false">AC21+AD11-AD20</f>
        <v>185.736144329735</v>
      </c>
      <c r="AE21" s="13" t="n">
        <f aca="false">AD21+AE11-AE20</f>
        <v>172.027807302942</v>
      </c>
      <c r="AF21" s="13" t="n">
        <f aca="false">AE21+AF11-AF20</f>
        <v>157.029515146516</v>
      </c>
      <c r="AG21" s="13" t="n">
        <f aca="false">AF21+AG11-AG20</f>
        <v>140.493722845369</v>
      </c>
      <c r="AH21" s="13" t="n">
        <f aca="false">AG21+AH11-AH20</f>
        <v>122.527228663659</v>
      </c>
      <c r="AI21" s="13" t="n">
        <f aca="false">AH21+AI11-AI20</f>
        <v>102.678331777238</v>
      </c>
      <c r="AJ21" s="13" t="n">
        <f aca="false">AI21+AJ11-AJ20</f>
        <v>81.2548454041777</v>
      </c>
      <c r="AK21" s="13" t="n">
        <f aca="false">AJ21+AK11-AK20</f>
        <v>57.7543298012985</v>
      </c>
      <c r="AL21" s="13" t="n">
        <f aca="false">AK21+AL11-AL20</f>
        <v>35.1982076643682</v>
      </c>
      <c r="AM21" s="13" t="n">
        <f aca="false">AL21+AM11-AM20</f>
        <v>7.66701495737727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0.295344942871768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1029.29418397165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21.7633564358523</v>
      </c>
      <c r="AO23" s="13" t="n">
        <f aca="false">MAX(0,AO18-AO19-AO20)</f>
        <v>31.2547931919237</v>
      </c>
      <c r="AP23" s="13" t="n">
        <f aca="false">MAX(0,AP18-AP19-AP20)</f>
        <v>33.7652616813319</v>
      </c>
      <c r="AQ23" s="13" t="n">
        <f aca="false">MAX(0,AQ18-AQ19-AQ20)</f>
        <v>33.8793735147139</v>
      </c>
      <c r="AR23" s="13" t="n">
        <f aca="false">MAX(0,AR18-AR19-AR20)</f>
        <v>33.9737845781698</v>
      </c>
      <c r="AS23" s="13" t="n">
        <f aca="false">MAX(0,AS18-AS19-AS20)</f>
        <v>34.2383040616471</v>
      </c>
      <c r="AT23" s="13" t="n">
        <f aca="false">MAX(0,AT18-AT19-AT20)</f>
        <v>19.5273726966955</v>
      </c>
      <c r="AU23" s="13" t="n">
        <f aca="false">MAX(0,AU18-AU19-AU20)</f>
        <v>34.6530934271448</v>
      </c>
      <c r="AV23" s="13" t="n">
        <f aca="false">MAX(0,AV18-AV19-AV20)</f>
        <v>34.5366844363662</v>
      </c>
      <c r="AW23" s="13" t="n">
        <f aca="false">MAX(0,AW18-AW19-AW20)</f>
        <v>34.7031115723515</v>
      </c>
      <c r="AX23" s="13" t="n">
        <f aca="false">MAX(0,AX18-AX19-AX20)</f>
        <v>34.8983369103944</v>
      </c>
      <c r="AY23" s="13" t="n">
        <f aca="false">MAX(0,AY18-AY19-AY20)</f>
        <v>35.0206117740637</v>
      </c>
      <c r="AZ23" s="13" t="n">
        <f aca="false">MAX(0,AZ18-AZ19-AZ20)</f>
        <v>35.122523200305</v>
      </c>
      <c r="BA23" s="13" t="n">
        <f aca="false">MAX(0,BA18-BA19-BA20)</f>
        <v>35.3590923987239</v>
      </c>
      <c r="BB23" s="13" t="n">
        <f aca="false">MAX(0,BB18-BB19-BB20)</f>
        <v>32.1547610218584</v>
      </c>
      <c r="BC23" s="13" t="n">
        <f aca="false">MAX(0,BC18-BC19-BC20)</f>
        <v>42.1694131458094</v>
      </c>
      <c r="BD23" s="13" t="n">
        <f aca="false">MAX(0,BD18-BD19-BD20)</f>
        <v>54.9706566647072</v>
      </c>
      <c r="BE23" s="13" t="n">
        <f aca="false">MAX(0,BE18-BE19-BE20)</f>
        <v>55.1507103842371</v>
      </c>
      <c r="BF23" s="13" t="n">
        <f aca="false">MAX(0,BF18-BF19-BF20)</f>
        <v>55.3642146315477</v>
      </c>
      <c r="BG23" s="13" t="n">
        <f aca="false">MAX(0,BG18-BG19-BG20)</f>
        <v>55.4952454203799</v>
      </c>
      <c r="BH23" s="13" t="n">
        <f aca="false">MAX(0,BH18-BH19-BH20)</f>
        <v>55.6052532557184</v>
      </c>
      <c r="BI23" s="13" t="n">
        <f aca="false">MAX(0,BI18-BI19-BI20)</f>
        <v>55.9209936870203</v>
      </c>
      <c r="BJ23" s="13" t="n">
        <f aca="false">MAX(0,BJ18-BJ19-BJ20)</f>
        <v>38.5326169314597</v>
      </c>
      <c r="BK23" s="13" t="n">
        <f aca="false">MAX(0,BK18-BK19-BK20)</f>
        <v>56.4150296087346</v>
      </c>
      <c r="BL23" s="13" t="n">
        <f aca="false">MAX(0,BL18-BL19-BL20)</f>
        <v>56.2657495265932</v>
      </c>
      <c r="BM23" s="13" t="n">
        <f aca="false">MAX(0,BM18-BM19-BM20)</f>
        <v>18.5538398139042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308.788255191496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6.5290069307557</v>
      </c>
      <c r="AO25" s="13" t="n">
        <f aca="false">AO23*AO24</f>
        <v>9.3764379575771</v>
      </c>
      <c r="AP25" s="13" t="n">
        <f aca="false">AP23*AP24</f>
        <v>10.1295785043996</v>
      </c>
      <c r="AQ25" s="13" t="n">
        <f aca="false">AQ23*AQ24</f>
        <v>10.1638120544142</v>
      </c>
      <c r="AR25" s="13" t="n">
        <f aca="false">AR23*AR24</f>
        <v>10.1921353734509</v>
      </c>
      <c r="AS25" s="13" t="n">
        <f aca="false">AS23*AS24</f>
        <v>10.2714912184941</v>
      </c>
      <c r="AT25" s="13" t="n">
        <f aca="false">AT23*AT24</f>
        <v>5.85821180900864</v>
      </c>
      <c r="AU25" s="13" t="n">
        <f aca="false">AU23*AU24</f>
        <v>10.3959280281434</v>
      </c>
      <c r="AV25" s="13" t="n">
        <f aca="false">AV23*AV24</f>
        <v>10.3610053309098</v>
      </c>
      <c r="AW25" s="13" t="n">
        <f aca="false">AW23*AW24</f>
        <v>10.4109334717055</v>
      </c>
      <c r="AX25" s="13" t="n">
        <f aca="false">AX23*AX24</f>
        <v>10.4695010731183</v>
      </c>
      <c r="AY25" s="13" t="n">
        <f aca="false">AY23*AY24</f>
        <v>10.5061835322191</v>
      </c>
      <c r="AZ25" s="13" t="n">
        <f aca="false">AZ23*AZ24</f>
        <v>10.5367569600915</v>
      </c>
      <c r="BA25" s="13" t="n">
        <f aca="false">BA23*BA24</f>
        <v>10.6077277196172</v>
      </c>
      <c r="BB25" s="13" t="n">
        <f aca="false">BB23*BB24</f>
        <v>9.64642830655751</v>
      </c>
      <c r="BC25" s="13" t="n">
        <f aca="false">BC23*BC24</f>
        <v>12.6508239437428</v>
      </c>
      <c r="BD25" s="13" t="n">
        <f aca="false">BD23*BD24</f>
        <v>16.4911969994122</v>
      </c>
      <c r="BE25" s="13" t="n">
        <f aca="false">BE23*BE24</f>
        <v>16.5452131152711</v>
      </c>
      <c r="BF25" s="13" t="n">
        <f aca="false">BF23*BF24</f>
        <v>16.6092643894643</v>
      </c>
      <c r="BG25" s="13" t="n">
        <f aca="false">BG23*BG24</f>
        <v>16.648573626114</v>
      </c>
      <c r="BH25" s="13" t="n">
        <f aca="false">BH23*BH24</f>
        <v>16.6815759767155</v>
      </c>
      <c r="BI25" s="13" t="n">
        <f aca="false">BI23*BI24</f>
        <v>16.7762981061061</v>
      </c>
      <c r="BJ25" s="13" t="n">
        <f aca="false">BJ23*BJ24</f>
        <v>11.5597850794379</v>
      </c>
      <c r="BK25" s="13" t="n">
        <f aca="false">BK23*BK24</f>
        <v>16.9245088826204</v>
      </c>
      <c r="BL25" s="13" t="n">
        <f aca="false">BL23*BL24</f>
        <v>16.879724857978</v>
      </c>
      <c r="BM25" s="13" t="n">
        <f aca="false">BM23*BM24</f>
        <v>5.56615194417127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15.519779540463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0.117229239901277</v>
      </c>
      <c r="Z26" s="13" t="n">
        <f aca="false">IF(Time!Z30&gt;0,Inputs!$F$176/100*Operations!Z55*(Z8+Z9)/Time!Z30,0)</f>
        <v>0.353032697336513</v>
      </c>
      <c r="AA26" s="13" t="n">
        <f aca="false">IF(Time!AA30&gt;0,Inputs!$F$176/100*Operations!AA55*(AA8+AA9)/Time!AA30,0)</f>
        <v>0.354774681708773</v>
      </c>
      <c r="AB26" s="13" t="n">
        <f aca="false">IF(Time!AB30&gt;0,Inputs!$F$176/100*Operations!AB55*(AB8+AB9)/Time!AB30,0)</f>
        <v>0.356666245292423</v>
      </c>
      <c r="AC26" s="13" t="n">
        <f aca="false">IF(Time!AC30&gt;0,Inputs!$F$176/100*Operations!AC55*(AC8+AC9)/Time!AC30,0)</f>
        <v>0.3575765666344</v>
      </c>
      <c r="AD26" s="13" t="n">
        <f aca="false">IF(Time!AD30&gt;0,Inputs!$F$176/100*Operations!AD55*(AD8+AD9)/Time!AD30,0)</f>
        <v>0.353137499075032</v>
      </c>
      <c r="AE26" s="13" t="n">
        <f aca="false">IF(Time!AE30&gt;0,Inputs!$F$176/100*Operations!AE55*(AE8+AE9)/Time!AE30,0)</f>
        <v>0.36016237913106</v>
      </c>
      <c r="AF26" s="13" t="n">
        <f aca="false">IF(Time!AF30&gt;0,Inputs!$F$176/100*Operations!AF55*(AF8+AF9)/Time!AF30,0)</f>
        <v>0.363383197319396</v>
      </c>
      <c r="AG26" s="13" t="n">
        <f aca="false">IF(Time!AG30&gt;0,Inputs!$F$176/100*Operations!AG55*(AG8+AG9)/Time!AG30,0)</f>
        <v>0.364971367780469</v>
      </c>
      <c r="AH26" s="13" t="n">
        <f aca="false">IF(Time!AH30&gt;0,Inputs!$F$176/100*Operations!AH55*(AH8+AH9)/Time!AH30,0)</f>
        <v>0.36643751591354</v>
      </c>
      <c r="AI26" s="13" t="n">
        <f aca="false">IF(Time!AI30&gt;0,Inputs!$F$176/100*Operations!AI55*(AI8+AI9)/Time!AI30,0)</f>
        <v>0.3683342403141</v>
      </c>
      <c r="AJ26" s="13" t="n">
        <f aca="false">IF(Time!AJ30&gt;0,Inputs!$F$176/100*Operations!AJ55*(AJ8+AJ9)/Time!AJ30,0)</f>
        <v>0.370393241212912</v>
      </c>
      <c r="AK26" s="13" t="n">
        <f aca="false">IF(Time!AK30&gt;0,Inputs!$F$176/100*Operations!AK55*(AK8+AK9)/Time!AK30,0)</f>
        <v>0.371688122283113</v>
      </c>
      <c r="AL26" s="13" t="n">
        <f aca="false">IF(Time!AL30&gt;0,Inputs!$F$176/100*Operations!AL55*(AL8+AL9)/Time!AL30,0)</f>
        <v>0.372482007571344</v>
      </c>
      <c r="AM26" s="13" t="n">
        <f aca="false">IF(Time!AM30&gt;0,Inputs!$F$176/100*Operations!AM55*(AM8+AM9)/Time!AM30,0)</f>
        <v>0.374820319940765</v>
      </c>
      <c r="AN26" s="13" t="n">
        <f aca="false">IF(Time!AN30&gt;0,Inputs!$F$176/100*Operations!AN55*(AN8+AN9)/Time!AN30,0)</f>
        <v>0.377709161089125</v>
      </c>
      <c r="AO26" s="13" t="n">
        <f aca="false">IF(Time!AO30&gt;0,Inputs!$F$176/100*Operations!AO55*(AO8+AO9)/Time!AO30,0)</f>
        <v>0.379439614032796</v>
      </c>
      <c r="AP26" s="13" t="n">
        <f aca="false">IF(Time!AP30&gt;0,Inputs!$F$176/100*Operations!AP55*(AP8+AP9)/Time!AP30,0)</f>
        <v>0.381037848063752</v>
      </c>
      <c r="AQ26" s="13" t="n">
        <f aca="false">IF(Time!AQ30&gt;0,Inputs!$F$176/100*Operations!AQ55*(AQ8+AQ9)/Time!AQ30,0)</f>
        <v>0.383103050202302</v>
      </c>
      <c r="AR26" s="13" t="n">
        <f aca="false">IF(Time!AR30&gt;0,Inputs!$F$176/100*Operations!AR55*(AR8+AR9)/Time!AR30,0)</f>
        <v>0.385344298463551</v>
      </c>
      <c r="AS26" s="13" t="n">
        <f aca="false">IF(Time!AS30&gt;0,Inputs!$F$176/100*Operations!AS55*(AS8+AS9)/Time!AS30,0)</f>
        <v>0.386432046042835</v>
      </c>
      <c r="AT26" s="13" t="n">
        <f aca="false">IF(Time!AT30&gt;0,Inputs!$F$176/100*Operations!AT55*(AT8+AT9)/Time!AT30,0)</f>
        <v>0.381721148513914</v>
      </c>
      <c r="AU26" s="13" t="n">
        <f aca="false">IF(Time!AU30&gt;0,Inputs!$F$176/100*Operations!AU55*(AU8+AU9)/Time!AU30,0)</f>
        <v>0.38950777006973</v>
      </c>
      <c r="AV26" s="13" t="n">
        <f aca="false">IF(Time!AV30&gt;0,Inputs!$F$176/100*Operations!AV55*(AV8+AV9)/Time!AV30,0)</f>
        <v>0.393312576544232</v>
      </c>
      <c r="AW26" s="13" t="n">
        <f aca="false">IF(Time!AW30&gt;0,Inputs!$F$176/100*Operations!AW55*(AW8+AW9)/Time!AW30,0)</f>
        <v>0.395198055976582</v>
      </c>
      <c r="AX26" s="13" t="n">
        <f aca="false">IF(Time!AX30&gt;0,Inputs!$F$176/100*Operations!AX55*(AX8+AX9)/Time!AX30,0)</f>
        <v>0.396940274503826</v>
      </c>
      <c r="AY26" s="13" t="n">
        <f aca="false">IF(Time!AY30&gt;0,Inputs!$F$176/100*Operations!AY55*(AY8+AY9)/Time!AY30,0)</f>
        <v>0.399188910987154</v>
      </c>
      <c r="AZ26" s="13" t="n">
        <f aca="false">IF(Time!AZ30&gt;0,Inputs!$F$176/100*Operations!AZ55*(AZ8+AZ9)/Time!AZ30,0)</f>
        <v>0.401628525583218</v>
      </c>
      <c r="BA26" s="13" t="n">
        <f aca="false">IF(Time!BA30&gt;0,Inputs!$F$176/100*Operations!BA55*(BA8+BA9)/Time!BA30,0)</f>
        <v>0.403170002227221</v>
      </c>
      <c r="BB26" s="13" t="n">
        <f aca="false">IF(Time!BB30&gt;0,Inputs!$F$176/100*Operations!BB55*(BB8+BB9)/Time!BB30,0)</f>
        <v>0.404122706710063</v>
      </c>
      <c r="BC26" s="13" t="n">
        <f aca="false">IF(Time!BC30&gt;0,Inputs!$F$176/100*Operations!BC55*(BC8+BC9)/Time!BC30,0)</f>
        <v>0.406891304845891</v>
      </c>
      <c r="BD26" s="13" t="n">
        <f aca="false">IF(Time!BD30&gt;0,Inputs!$F$176/100*Operations!BD55*(BD8+BD9)/Time!BD30,0)</f>
        <v>0.410307309332447</v>
      </c>
      <c r="BE26" s="13" t="n">
        <f aca="false">IF(Time!BE30&gt;0,Inputs!$F$176/100*Operations!BE55*(BE8+BE9)/Time!BE30,0)</f>
        <v>0.412361700448687</v>
      </c>
      <c r="BF26" s="13" t="n">
        <f aca="false">IF(Time!BF30&gt;0,Inputs!$F$176/100*Operations!BF55*(BF8+BF9)/Time!BF30,0)</f>
        <v>0.414260873824729</v>
      </c>
      <c r="BG26" s="13" t="n">
        <f aca="false">IF(Time!BG30&gt;0,Inputs!$F$176/100*Operations!BG55*(BG8+BG9)/Time!BG30,0)</f>
        <v>0.416709228237297</v>
      </c>
      <c r="BH26" s="13" t="n">
        <f aca="false">IF(Time!BH30&gt;0,Inputs!$F$176/100*Operations!BH55*(BH8+BH9)/Time!BH30,0)</f>
        <v>0.419364752652117</v>
      </c>
      <c r="BI26" s="13" t="n">
        <f aca="false">IF(Time!BI30&gt;0,Inputs!$F$176/100*Operations!BI55*(BI8+BI9)/Time!BI30,0)</f>
        <v>0.420664487286973</v>
      </c>
      <c r="BJ26" s="13" t="n">
        <f aca="false">IF(Time!BJ30&gt;0,Inputs!$F$176/100*Operations!BJ55*(BJ8+BJ9)/Time!BJ30,0)</f>
        <v>0.415632978023469</v>
      </c>
      <c r="BK26" s="13" t="n">
        <f aca="false">IF(Time!BK30&gt;0,Inputs!$F$176/100*Operations!BK55*(BK8+BK9)/Time!BK30,0)</f>
        <v>0.42432294086451</v>
      </c>
      <c r="BL26" s="13" t="n">
        <f aca="false">IF(Time!BL30&gt;0,Inputs!$F$176/100*Operations!BL55*(BL8+BL9)/Time!BL30,0)</f>
        <v>0.428817370321738</v>
      </c>
      <c r="BM26" s="13" t="n">
        <f aca="false">IF(Time!BM30&gt;0,Inputs!$F$176/100*Operations!BM55*(BM8+BM9)/Time!BM30,0)</f>
        <v>0.287501284199769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313.993344512911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0.117229239901277</v>
      </c>
      <c r="Z27" s="13" t="n">
        <f aca="false">MAX(Z25,Z26)</f>
        <v>0.353032697336513</v>
      </c>
      <c r="AA27" s="13" t="n">
        <f aca="false">MAX(AA25,AA26)</f>
        <v>0.354774681708773</v>
      </c>
      <c r="AB27" s="13" t="n">
        <f aca="false">MAX(AB25,AB26)</f>
        <v>0.356666245292423</v>
      </c>
      <c r="AC27" s="13" t="n">
        <f aca="false">MAX(AC25,AC26)</f>
        <v>0.3575765666344</v>
      </c>
      <c r="AD27" s="13" t="n">
        <f aca="false">MAX(AD25,AD26)</f>
        <v>0.353137499075032</v>
      </c>
      <c r="AE27" s="13" t="n">
        <f aca="false">MAX(AE25,AE26)</f>
        <v>0.36016237913106</v>
      </c>
      <c r="AF27" s="13" t="n">
        <f aca="false">MAX(AF25,AF26)</f>
        <v>0.363383197319396</v>
      </c>
      <c r="AG27" s="13" t="n">
        <f aca="false">MAX(AG25,AG26)</f>
        <v>0.364971367780469</v>
      </c>
      <c r="AH27" s="13" t="n">
        <f aca="false">MAX(AH25,AH26)</f>
        <v>0.36643751591354</v>
      </c>
      <c r="AI27" s="13" t="n">
        <f aca="false">MAX(AI25,AI26)</f>
        <v>0.3683342403141</v>
      </c>
      <c r="AJ27" s="13" t="n">
        <f aca="false">MAX(AJ25,AJ26)</f>
        <v>0.370393241212912</v>
      </c>
      <c r="AK27" s="13" t="n">
        <f aca="false">MAX(AK25,AK26)</f>
        <v>0.371688122283113</v>
      </c>
      <c r="AL27" s="13" t="n">
        <f aca="false">MAX(AL25,AL26)</f>
        <v>0.372482007571344</v>
      </c>
      <c r="AM27" s="13" t="n">
        <f aca="false">MAX(AM25,AM26)</f>
        <v>0.374820319940765</v>
      </c>
      <c r="AN27" s="13" t="n">
        <f aca="false">MAX(AN25,AN26)</f>
        <v>6.5290069307557</v>
      </c>
      <c r="AO27" s="13" t="n">
        <f aca="false">MAX(AO25,AO26)</f>
        <v>9.3764379575771</v>
      </c>
      <c r="AP27" s="13" t="n">
        <f aca="false">MAX(AP25,AP26)</f>
        <v>10.1295785043996</v>
      </c>
      <c r="AQ27" s="13" t="n">
        <f aca="false">MAX(AQ25,AQ26)</f>
        <v>10.1638120544142</v>
      </c>
      <c r="AR27" s="13" t="n">
        <f aca="false">MAX(AR25,AR26)</f>
        <v>10.1921353734509</v>
      </c>
      <c r="AS27" s="13" t="n">
        <f aca="false">MAX(AS25,AS26)</f>
        <v>10.2714912184941</v>
      </c>
      <c r="AT27" s="13" t="n">
        <f aca="false">MAX(AT25,AT26)</f>
        <v>5.85821180900864</v>
      </c>
      <c r="AU27" s="13" t="n">
        <f aca="false">MAX(AU25,AU26)</f>
        <v>10.3959280281434</v>
      </c>
      <c r="AV27" s="13" t="n">
        <f aca="false">MAX(AV25,AV26)</f>
        <v>10.3610053309098</v>
      </c>
      <c r="AW27" s="13" t="n">
        <f aca="false">MAX(AW25,AW26)</f>
        <v>10.4109334717055</v>
      </c>
      <c r="AX27" s="13" t="n">
        <f aca="false">MAX(AX25,AX26)</f>
        <v>10.4695010731183</v>
      </c>
      <c r="AY27" s="13" t="n">
        <f aca="false">MAX(AY25,AY26)</f>
        <v>10.5061835322191</v>
      </c>
      <c r="AZ27" s="13" t="n">
        <f aca="false">MAX(AZ25,AZ26)</f>
        <v>10.5367569600915</v>
      </c>
      <c r="BA27" s="13" t="n">
        <f aca="false">MAX(BA25,BA26)</f>
        <v>10.6077277196172</v>
      </c>
      <c r="BB27" s="13" t="n">
        <f aca="false">MAX(BB25,BB26)</f>
        <v>9.64642830655751</v>
      </c>
      <c r="BC27" s="13" t="n">
        <f aca="false">MAX(BC25,BC26)</f>
        <v>12.6508239437428</v>
      </c>
      <c r="BD27" s="13" t="n">
        <f aca="false">MAX(BD25,BD26)</f>
        <v>16.4911969994122</v>
      </c>
      <c r="BE27" s="13" t="n">
        <f aca="false">MAX(BE25,BE26)</f>
        <v>16.5452131152711</v>
      </c>
      <c r="BF27" s="13" t="n">
        <f aca="false">MAX(BF25,BF26)</f>
        <v>16.6092643894643</v>
      </c>
      <c r="BG27" s="13" t="n">
        <f aca="false">MAX(BG25,BG26)</f>
        <v>16.648573626114</v>
      </c>
      <c r="BH27" s="13" t="n">
        <f aca="false">MAX(BH25,BH26)</f>
        <v>16.6815759767155</v>
      </c>
      <c r="BI27" s="13" t="n">
        <f aca="false">MAX(BI25,BI26)</f>
        <v>16.7762981061061</v>
      </c>
      <c r="BJ27" s="13" t="n">
        <f aca="false">MAX(BJ25,BJ26)</f>
        <v>11.5597850794379</v>
      </c>
      <c r="BK27" s="13" t="n">
        <f aca="false">MAX(BK25,BK26)</f>
        <v>16.9245088826204</v>
      </c>
      <c r="BL27" s="13" t="n">
        <f aca="false">MAX(BL25,BL26)</f>
        <v>16.879724857978</v>
      </c>
      <c r="BM27" s="13" t="n">
        <f aca="false">MAX(BM25,BM26)</f>
        <v>5.56615194417127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3.96953644339816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2.08426502346225</v>
      </c>
      <c r="Q28" s="13" t="n">
        <f aca="false">Q13-Q15</f>
        <v>0.783157538129073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118.606330363224</v>
      </c>
      <c r="K45" s="13" t="n">
        <f aca="false">Construction!K14*(Construction!K32+Construction!K38)+K33+K34+K35+K36+K37+K38+K39+K40+K41+K42+K43+K44</f>
        <v>2.43384191930603</v>
      </c>
      <c r="L45" s="13" t="n">
        <f aca="false">Construction!L14*(Construction!L32+Construction!L38)+L33+L34+L35+L36+L37+L38+L39+L40+L41+L42+L43+L44</f>
        <v>3.1036028181447</v>
      </c>
      <c r="M45" s="13" t="n">
        <f aca="false">Construction!M14*(Construction!M32+Construction!M38)+M33+M34+M35+M36+M37+M38+M39+M40+M41+M42+M43+M44</f>
        <v>4.38969421955323</v>
      </c>
      <c r="N45" s="13" t="n">
        <f aca="false">Construction!N14*(Construction!N32+Construction!N38)+N33+N34+N35+N36+N37+N38+N39+N40+N41+N42+N43+N44</f>
        <v>6.32284162828597</v>
      </c>
      <c r="O45" s="13" t="n">
        <f aca="false">Construction!O14*(Construction!O32+Construction!O38)+O33+O34+O35+O36+O37+O38+O39+O40+O41+O42+O43+O44</f>
        <v>8.71479321626865</v>
      </c>
      <c r="P45" s="13" t="n">
        <f aca="false">Construction!P14*(Construction!P32+Construction!P38)+P33+P34+P35+P36+P37+P38+P39+P40+P41+P42+P43+P44</f>
        <v>11.3706273738202</v>
      </c>
      <c r="Q45" s="13" t="n">
        <f aca="false">Construction!Q14*(Construction!Q32+Construction!Q38)+Q33+Q34+Q35+Q36+Q37+Q38+Q39+Q40+Q41+Q42+Q43+Q44</f>
        <v>14.4337095123824</v>
      </c>
      <c r="R45" s="13" t="n">
        <f aca="false">Construction!R14*(Construction!R32+Construction!R38)+R33+R34+R35+R36+R37+R38+R39+R40+R41+R42+R43+R44</f>
        <v>17.4870749769041</v>
      </c>
      <c r="S45" s="13" t="n">
        <f aca="false">Construction!S14*(Construction!S32+Construction!S38)+S33+S34+S35+S36+S37+S38+S39+S40+S41+S42+S43+S44</f>
        <v>20.5958071122019</v>
      </c>
      <c r="T45" s="13" t="n">
        <f aca="false">Construction!T14*(Construction!T32+Construction!T38)+T33+T34+T35+T36+T37+T38+T39+T40+T41+T42+T43+T44</f>
        <v>23.5052364413651</v>
      </c>
      <c r="U45" s="13" t="n">
        <f aca="false">Construction!U14*(Construction!U32+Construction!U38)+U33+U34+U35+U36+U37+U38+U39+U40+U41+U42+U43+U44</f>
        <v>26.2943439871741</v>
      </c>
      <c r="V45" s="13" t="n">
        <f aca="false">Construction!V14*(Construction!V32+Construction!V38)+V33+V34+V35+V36+V37+V38+V39+V40+V41+V42+V43+V44</f>
        <v>28.746588674662</v>
      </c>
      <c r="W45" s="13" t="n">
        <f aca="false">Construction!W14*(Construction!W32+Construction!W38)+W33+W34+W35+W36+W37+W38+W39+W40+W41+W42+W43+W44</f>
        <v>30.785979610715</v>
      </c>
      <c r="X45" s="13" t="n">
        <f aca="false">Construction!X14*(Construction!X32+Construction!X38)+X33+X34+X35+X36+X37+X38+X39+X40+X41+X42+X43+X44</f>
        <v>32.4737191327687</v>
      </c>
      <c r="Y45" s="13" t="n">
        <f aca="false">Construction!Y14*(Construction!Y32+Construction!Y38)+Y33+Y34+Y35+Y36+Y37+Y38+Y39+Y40+Y41+Y42+Y43+Y44</f>
        <v>33.5976633363489</v>
      </c>
      <c r="Z45" s="13" t="n">
        <f aca="false">Construction!Z14*(Construction!Z32+Construction!Z38)+Z33+Z34+Z35+Z36+Z37+Z38+Z39+Z40+Z41+Z42+Z43+Z44</f>
        <v>34.301089906046</v>
      </c>
      <c r="AA45" s="13" t="n">
        <f aca="false">Construction!AA14*(Construction!AA32+Construction!AA38)+AA33+AA34+AA35+AA36+AA37+AA38+AA39+AA40+AA41+AA42+AA43+AA44</f>
        <v>35.5809589659477</v>
      </c>
      <c r="AB45" s="13" t="n">
        <f aca="false">Construction!AB14*(Construction!AB32+Construction!AB38)+AB33+AB34+AB35+AB36+AB37+AB38+AB39+AB40+AB41+AB42+AB43+AB44</f>
        <v>33.9391856124134</v>
      </c>
      <c r="AC45" s="13" t="n">
        <f aca="false">Construction!AC14*(Construction!AC32+Construction!AC38)+AC33+AC34+AC35+AC36+AC37+AC38+AC39+AC40+AC41+AC42+AC43+AC44</f>
        <v>33.1310836200673</v>
      </c>
      <c r="AD45" s="13" t="n">
        <f aca="false">Construction!AD14*(Construction!AD32+Construction!AD38)+AD33+AD34+AD35+AD36+AD37+AD38+AD39+AD40+AD41+AD42+AD43+AD44</f>
        <v>31.6702420297621</v>
      </c>
      <c r="AE45" s="13" t="n">
        <f aca="false">Construction!AE14*(Construction!AE32+Construction!AE38)+AE33+AE34+AE35+AE36+AE37+AE38+AE39+AE40+AE41+AE42+AE43+AE44</f>
        <v>29.879450737808</v>
      </c>
      <c r="AF45" s="13" t="n">
        <f aca="false">Construction!AF14*(Construction!AF32+Construction!AF38)+AF33+AF34+AF35+AF36+AF37+AF38+AF39+AF40+AF41+AF42+AF43+AF44</f>
        <v>27.5784366310691</v>
      </c>
      <c r="AG45" s="13" t="n">
        <f aca="false">Construction!AG14*(Construction!AG32+Construction!AG38)+AG33+AG34+AG35+AG36+AG37+AG38+AG39+AG40+AG41+AG42+AG43+AG44</f>
        <v>25.0868622214952</v>
      </c>
      <c r="AH45" s="13" t="n">
        <f aca="false">Construction!AH14*(Construction!AH32+Construction!AH38)+AH33+AH34+AH35+AH36+AH37+AH38+AH39+AH40+AH41+AH42+AH43+AH44</f>
        <v>22.2950595341123</v>
      </c>
      <c r="AI45" s="13" t="n">
        <f aca="false">Construction!AI14*(Construction!AI32+Construction!AI38)+AI33+AI34+AI35+AI36+AI37+AI38+AI39+AI40+AI41+AI42+AI43+AI44</f>
        <v>19.2969483017208</v>
      </c>
      <c r="AJ45" s="13" t="n">
        <f aca="false">Construction!AJ14*(Construction!AJ32+Construction!AJ38)+AJ33+AJ34+AJ35+AJ36+AJ37+AJ38+AJ39+AJ40+AJ41+AJ42+AJ43+AJ44</f>
        <v>16.4025350342263</v>
      </c>
      <c r="AK45" s="13" t="n">
        <f aca="false">Construction!AK14*(Construction!AK32+Construction!AK38)+AK33+AK34+AK35+AK36+AK37+AK38+AK39+AK40+AK41+AK42+AK43+AK44</f>
        <v>13.4565226325876</v>
      </c>
      <c r="AL45" s="13" t="n">
        <f aca="false">Construction!AL14*(Construction!AL32+Construction!AL38)+AL33+AL34+AL35+AL36+AL37+AL38+AL39+AL40+AL41+AL42+AL43+AL44</f>
        <v>10.8597049598704</v>
      </c>
      <c r="AM45" s="13" t="n">
        <f aca="false">Construction!AM14*(Construction!AM32+Construction!AM38)+AM33+AM34+AM35+AM36+AM37+AM38+AM39+AM40+AM41+AM42+AM43+AM44</f>
        <v>8.53410733528511</v>
      </c>
      <c r="AN45" s="13" t="n">
        <f aca="false">Construction!AN14*(Construction!AN32+Construction!AN38)+AN33+AN34+AN35+AN36+AN37+AN38+AN39+AN40+AN41+AN42+AN43+AN44</f>
        <v>6.45504268952994</v>
      </c>
      <c r="AO45" s="13" t="n">
        <f aca="false">Construction!AO14*(Construction!AO32+Construction!AO38)+AO33+AO34+AO35+AO36+AO37+AO38+AO39+AO40+AO41+AO42+AO43+AO44</f>
        <v>5.3840338637843</v>
      </c>
      <c r="AP45" s="13" t="n">
        <f aca="false">Construction!AP14*(Construction!AP32+Construction!AP38)+AP33+AP34+AP35+AP36+AP37+AP38+AP39+AP40+AP41+AP42+AP43+AP44</f>
        <v>52.9296062075416</v>
      </c>
      <c r="AQ45" s="13" t="n">
        <f aca="false">Construction!AQ14*(Construction!AQ32+Construction!AQ38)+AQ33+AQ34+AQ35+AQ36+AQ37+AQ38+AQ39+AQ40+AQ41+AQ42+AQ43+AQ44</f>
        <v>40.7915609492879</v>
      </c>
      <c r="AR45" s="13" t="n">
        <f aca="false">Construction!AR14*(Construction!AR32+Construction!AR38)+AR33+AR34+AR35+AR36+AR37+AR38+AR39+AR40+AR41+AR42+AR43+AR44</f>
        <v>3.61274689787676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836.452563962178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158.201081290236</v>
      </c>
      <c r="AC63" s="13" t="n">
        <f aca="false">Time!AC35*AB75</f>
        <v>143.243860445692</v>
      </c>
      <c r="AD63" s="13" t="n">
        <f aca="false">Time!AD35*AC75</f>
        <v>128.636763942515</v>
      </c>
      <c r="AE63" s="13" t="n">
        <f aca="false">Time!AE35*AD75</f>
        <v>112.078278088889</v>
      </c>
      <c r="AF63" s="13" t="n">
        <f aca="false">Time!AF35*AE75</f>
        <v>95.0065200287</v>
      </c>
      <c r="AG63" s="13" t="n">
        <f aca="false">Time!AG35*AF75</f>
        <v>77.3912976959138</v>
      </c>
      <c r="AH63" s="13" t="n">
        <f aca="false">Time!AH35*AG75</f>
        <v>60.0517734634497</v>
      </c>
      <c r="AI63" s="13" t="n">
        <f aca="false">Time!AI35*AH75</f>
        <v>41.9449890180274</v>
      </c>
      <c r="AJ63" s="13" t="n">
        <f aca="false">Time!AJ35*AI75</f>
        <v>24.160524768408</v>
      </c>
      <c r="AK63" s="13" t="n">
        <f aca="false">Time!AK35*AJ75</f>
        <v>6.07987595192391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140.607174222391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6.935847899727</v>
      </c>
      <c r="AC65" s="13" t="n">
        <f aca="false">AC63*AC13</f>
        <v>6.21183190372269</v>
      </c>
      <c r="AD65" s="13" t="n">
        <f aca="false">AD63*AD13</f>
        <v>5.63968982855136</v>
      </c>
      <c r="AE65" s="13" t="n">
        <f aca="false">AE63*AE13</f>
        <v>4.83361788701131</v>
      </c>
      <c r="AF65" s="13" t="n">
        <f aca="false">AF63*AF13</f>
        <v>4.16527350525827</v>
      </c>
      <c r="AG65" s="13" t="n">
        <f aca="false">AG63*AG13</f>
        <v>3.55383705363995</v>
      </c>
      <c r="AH65" s="13" t="n">
        <f aca="false">AH63*AH13</f>
        <v>2.80330575086415</v>
      </c>
      <c r="AI65" s="13" t="n">
        <f aca="false">AI63*AI13</f>
        <v>1.92612943088893</v>
      </c>
      <c r="AJ65" s="13" t="n">
        <f aca="false">AJ63*AJ13</f>
        <v>1.12784908955931</v>
      </c>
      <c r="AK65" s="13" t="n">
        <f aca="false">AK63*AK13</f>
        <v>0.280732642565316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140.155476489694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7.84191358390596</v>
      </c>
      <c r="AC66" s="13" t="n">
        <f aca="false">Time!AC35*(AC63-AC64)*AC19</f>
        <v>7.8340429855829</v>
      </c>
      <c r="AD66" s="13" t="n">
        <f aca="false">Time!AD35*(AD63-AD64)*AD19</f>
        <v>8.44568159110172</v>
      </c>
      <c r="AE66" s="13" t="n">
        <f aca="false">Time!AE35*(AE63-AE64)*AE19</f>
        <v>8.3579188068268</v>
      </c>
      <c r="AF66" s="13" t="n">
        <f aca="false">Time!AF35*(AF63-AF64)*AF19</f>
        <v>8.02957657015456</v>
      </c>
      <c r="AG66" s="13" t="n">
        <f aca="false">Time!AG35*(AG63-AG64)*AG19</f>
        <v>7.32279938653014</v>
      </c>
      <c r="AH66" s="13" t="n">
        <f aca="false">Time!AH35*(AH63-AH64)*AH19</f>
        <v>6.70967508769967</v>
      </c>
      <c r="AI66" s="13" t="n">
        <f aca="false">Time!AI35*(AI63-AI64)*AI19</f>
        <v>5.49077277177052</v>
      </c>
      <c r="AJ66" s="13" t="n">
        <f aca="false">Time!AJ35*(AJ63-AJ64)*AJ19</f>
        <v>3.8766073430422</v>
      </c>
      <c r="AK66" s="13" t="n">
        <f aca="false">Time!AK35*(AK63-AK64)*AK19</f>
        <v>1.21315837427067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140.155476489694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7.84191358390596</v>
      </c>
      <c r="AC69" s="13" t="n">
        <f aca="false">AC66-AC67+AC68</f>
        <v>7.8340429855829</v>
      </c>
      <c r="AD69" s="13" t="n">
        <f aca="false">AD66-AD67+AD68</f>
        <v>8.44568159110172</v>
      </c>
      <c r="AE69" s="13" t="n">
        <f aca="false">AE66-AE67+AE68</f>
        <v>8.3579188068268</v>
      </c>
      <c r="AF69" s="13" t="n">
        <f aca="false">AF66-AF67+AF68</f>
        <v>8.02957657015456</v>
      </c>
      <c r="AG69" s="13" t="n">
        <f aca="false">AG66-AG67+AG68</f>
        <v>7.32279938653014</v>
      </c>
      <c r="AH69" s="13" t="n">
        <f aca="false">AH66-AH67+AH68</f>
        <v>6.70967508769967</v>
      </c>
      <c r="AI69" s="13" t="n">
        <f aca="false">AI66-AI67+AI68</f>
        <v>5.49077277177052</v>
      </c>
      <c r="AJ69" s="13" t="n">
        <f aca="false">AJ66-AJ67+AJ68</f>
        <v>3.8766073430422</v>
      </c>
      <c r="AK69" s="13" t="n">
        <f aca="false">AK66-AK67+AK68</f>
        <v>1.21315837427067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150.35916770633</v>
      </c>
      <c r="AC73" s="13" t="n">
        <f aca="false">AC63-AC69-AC70-AC71</f>
        <v>135.409817460109</v>
      </c>
      <c r="AD73" s="13" t="n">
        <f aca="false">AD63-AD69-AD70-AD71</f>
        <v>120.191082351414</v>
      </c>
      <c r="AE73" s="13" t="n">
        <f aca="false">AE63-AE69-AE70-AE71</f>
        <v>103.720359282062</v>
      </c>
      <c r="AF73" s="13" t="n">
        <f aca="false">AF63-AF69-AF70-AF71</f>
        <v>86.9769434585455</v>
      </c>
      <c r="AG73" s="13" t="n">
        <f aca="false">AG63-AG69-AG70-AG71</f>
        <v>70.0684983093836</v>
      </c>
      <c r="AH73" s="13" t="n">
        <f aca="false">AH63-AH69-AH70-AH71</f>
        <v>53.34209837575</v>
      </c>
      <c r="AI73" s="13" t="n">
        <f aca="false">AI63-AI69-AI70-AI71</f>
        <v>36.4542162462568</v>
      </c>
      <c r="AJ73" s="13" t="n">
        <f aca="false">AJ63-AJ69-AJ70-AJ71</f>
        <v>20.2839174253658</v>
      </c>
      <c r="AK73" s="13" t="n">
        <f aca="false">AK63-AK69-AK70-AK71</f>
        <v>4.86671757765324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99.2253999261111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6.14646513675997</v>
      </c>
      <c r="AB74" s="13" t="n">
        <f aca="false">Waterfall!AB28*AB73/(AB31+AB45+AB59+AB73+AB87+Inputs!$F$253)+Waterfall!AB29</f>
        <v>7.11530726063816</v>
      </c>
      <c r="AC74" s="13" t="n">
        <f aca="false">Waterfall!AC28*AC73/(AC31+AC45+AC59+AC73+AC87+Inputs!$F$253)+Waterfall!AC29</f>
        <v>6.77305351759387</v>
      </c>
      <c r="AD74" s="13" t="n">
        <f aca="false">Waterfall!AD28*AD73/(AD31+AD45+AD59+AD73+AD87+Inputs!$F$253)+Waterfall!AD29</f>
        <v>8.11280426252467</v>
      </c>
      <c r="AE74" s="13" t="n">
        <f aca="false">Waterfall!AE28*AE73/(AE31+AE45+AE59+AE73+AE87+Inputs!$F$253)+Waterfall!AE29</f>
        <v>8.71383925336212</v>
      </c>
      <c r="AF74" s="13" t="n">
        <f aca="false">Waterfall!AF28*AF73/(AF31+AF45+AF59+AF73+AF87+Inputs!$F$253)+Waterfall!AF29</f>
        <v>9.58564576263172</v>
      </c>
      <c r="AG74" s="13" t="n">
        <f aca="false">Waterfall!AG28*AG73/(AG31+AG45+AG59+AG73+AG87+Inputs!$F$253)+Waterfall!AG29</f>
        <v>10.0167248459339</v>
      </c>
      <c r="AH74" s="13" t="n">
        <f aca="false">Waterfall!AH28*AH73/(AH31+AH45+AH59+AH73+AH87+Inputs!$F$253)+Waterfall!AH29</f>
        <v>11.3971093577227</v>
      </c>
      <c r="AI74" s="13" t="n">
        <f aca="false">Waterfall!AI28*AI73/(AI31+AI45+AI59+AI73+AI87+Inputs!$F$253)+Waterfall!AI29</f>
        <v>12.2936914778488</v>
      </c>
      <c r="AJ74" s="13" t="n">
        <f aca="false">Waterfall!AJ28*AJ73/(AJ31+AJ45+AJ59+AJ73+AJ87+Inputs!$F$253)+Waterfall!AJ29</f>
        <v>14.2040414734419</v>
      </c>
      <c r="AK74" s="13" t="n">
        <f aca="false">Waterfall!AK28*AK73/(AK31+AK45+AK59+AK73+AK87+Inputs!$F$253)+Waterfall!AK29</f>
        <v>4.86671757765324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158.201081290236</v>
      </c>
      <c r="AB75" s="13" t="n">
        <f aca="false">IF(Time!AB34=1,INDEX(Funding!$J$64:$BJ$64,1,Time!$F$14),Time!AB35*(AB73-AB74))</f>
        <v>143.243860445692</v>
      </c>
      <c r="AC75" s="13" t="n">
        <f aca="false">IF(Time!AC34=1,INDEX(Funding!$J$64:$BJ$64,1,Time!$F$14),Time!AC35*(AC73-AC74))</f>
        <v>128.636763942515</v>
      </c>
      <c r="AD75" s="13" t="n">
        <f aca="false">IF(Time!AD34=1,INDEX(Funding!$J$64:$BJ$64,1,Time!$F$14),Time!AD35*(AD73-AD74))</f>
        <v>112.078278088889</v>
      </c>
      <c r="AE75" s="13" t="n">
        <f aca="false">IF(Time!AE34=1,INDEX(Funding!$J$64:$BJ$64,1,Time!$F$14),Time!AE35*(AE73-AE74))</f>
        <v>95.0065200287</v>
      </c>
      <c r="AF75" s="13" t="n">
        <f aca="false">IF(Time!AF34=1,INDEX(Funding!$J$64:$BJ$64,1,Time!$F$14),Time!AF35*(AF73-AF74))</f>
        <v>77.3912976959138</v>
      </c>
      <c r="AG75" s="13" t="n">
        <f aca="false">IF(Time!AG34=1,INDEX(Funding!$J$64:$BJ$64,1,Time!$F$14),Time!AG35*(AG73-AG74))</f>
        <v>60.0517734634497</v>
      </c>
      <c r="AH75" s="13" t="n">
        <f aca="false">IF(Time!AH34=1,INDEX(Funding!$J$64:$BJ$64,1,Time!$F$14),Time!AH35*(AH73-AH74))</f>
        <v>41.9449890180274</v>
      </c>
      <c r="AI75" s="13" t="n">
        <f aca="false">IF(Time!AI34=1,INDEX(Funding!$J$64:$BJ$64,1,Time!$F$14),Time!AI35*(AI73-AI74))</f>
        <v>24.160524768408</v>
      </c>
      <c r="AJ75" s="13" t="n">
        <f aca="false">IF(Time!AJ34=1,INDEX(Funding!$J$64:$BJ$64,1,Time!$F$14),Time!AJ35*(AJ73-AJ74))</f>
        <v>6.07987595192391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17.329620633377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0.825419559477057</v>
      </c>
      <c r="AC108" s="13" t="n">
        <f aca="false">(Inputs!$F$95/100*Inputs!$F$96/100)*AC63*Time!AC25/Inputs!$F$248</f>
        <v>0.73925605457959</v>
      </c>
      <c r="AD108" s="13" t="n">
        <f aca="false">(Inputs!$F$95/100*Inputs!$F$96/100)*AD63*Time!AD25/Inputs!$F$248</f>
        <v>0.671166721238702</v>
      </c>
      <c r="AE108" s="13" t="n">
        <f aca="false">(Inputs!$F$95/100*Inputs!$F$96/100)*AE63*Time!AE25/Inputs!$F$248</f>
        <v>0.575237923994028</v>
      </c>
      <c r="AF108" s="13" t="n">
        <f aca="false">(Inputs!$F$95/100*Inputs!$F$96/100)*AF63*Time!AF25/Inputs!$F$248</f>
        <v>0.495699771897689</v>
      </c>
      <c r="AG108" s="13" t="n">
        <f aca="false">(Inputs!$F$95/100*Inputs!$F$96/100)*AG63*Time!AG25/Inputs!$F$248</f>
        <v>0.39720818503737</v>
      </c>
      <c r="AH108" s="13" t="n">
        <f aca="false">(Inputs!$F$95/100*Inputs!$F$96/100)*AH63*Time!AH25/Inputs!$F$248</f>
        <v>0.313322184613133</v>
      </c>
      <c r="AI108" s="13" t="n">
        <f aca="false">(Inputs!$F$95/100*Inputs!$F$96/100)*AI63*Time!AI25/Inputs!$F$248</f>
        <v>0.215281219662799</v>
      </c>
      <c r="AJ108" s="13" t="n">
        <f aca="false">(Inputs!$F$95/100*Inputs!$F$96/100)*AJ63*Time!AJ25/Inputs!$F$248</f>
        <v>0.126058365394401</v>
      </c>
      <c r="AK108" s="13" t="n">
        <f aca="false">(Inputs!$F$95/100*Inputs!$F$96/100)*AK63*Time!AK25/Inputs!$F$248</f>
        <v>0.031377157070244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307.935760347738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13.994362858736</v>
      </c>
      <c r="AC111" s="13" t="n">
        <f aca="false">AC23+AC37+AC51+AC65+AC79+AC92</f>
        <v>12.7972731657517</v>
      </c>
      <c r="AD111" s="13" t="n">
        <f aca="false">AD23+AD37+AD51+AD65+AD79+AD92</f>
        <v>11.8853842767574</v>
      </c>
      <c r="AE111" s="13" t="n">
        <f aca="false">AE23+AE37+AE51+AE65+AE79+AE92</f>
        <v>10.5394494133363</v>
      </c>
      <c r="AF111" s="13" t="n">
        <f aca="false">AF23+AF37+AF51+AF65+AF79+AF92</f>
        <v>9.5032854238608</v>
      </c>
      <c r="AG111" s="13" t="n">
        <f aca="false">AG23+AG37+AG51+AG65+AG79+AG92</f>
        <v>8.3357300327649</v>
      </c>
      <c r="AH111" s="13" t="n">
        <f aca="false">AH23+AH37+AH51+AH65+AH79+AH92</f>
        <v>7.17984573315425</v>
      </c>
      <c r="AI111" s="13" t="n">
        <f aca="false">AI23+AI37+AI51+AI65+AI79+AI92</f>
        <v>5.73294816799938</v>
      </c>
      <c r="AJ111" s="13" t="n">
        <f aca="false">AJ23+AJ37+AJ51+AJ65+AJ79+AJ92</f>
        <v>4.47728156770481</v>
      </c>
      <c r="AK111" s="13" t="n">
        <f aca="false">AK23+AK37+AK51+AK65+AK79+AK92</f>
        <v>3.05605148621857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316.968191683488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14.4276807053223</v>
      </c>
      <c r="AC112" s="13" t="n">
        <f aca="false">AC111+AC107+AC108+AC109</f>
        <v>13.2190226231177</v>
      </c>
      <c r="AD112" s="13" t="n">
        <f aca="false">AD111+AD107+AD108+AD109</f>
        <v>12.2083413503865</v>
      </c>
      <c r="AE112" s="13" t="n">
        <f aca="false">AE111+AE107+AE108+AE109</f>
        <v>10.8603267183016</v>
      </c>
      <c r="AF112" s="13" t="n">
        <f aca="false">AF111+AF107+AF108+AF109</f>
        <v>9.70054860327574</v>
      </c>
      <c r="AG112" s="13" t="n">
        <f aca="false">AG111+AG107+AG108+AG109</f>
        <v>8.51920753842434</v>
      </c>
      <c r="AH112" s="13" t="n">
        <f aca="false">AH111+AH107+AH108+AH109</f>
        <v>7.24783906544827</v>
      </c>
      <c r="AI112" s="13" t="n">
        <f aca="false">AI111+AI107+AI108+AI109</f>
        <v>5.77765982877043</v>
      </c>
      <c r="AJ112" s="13" t="n">
        <f aca="false">AJ111+AJ107+AJ108+AJ109</f>
        <v>4.41518791111082</v>
      </c>
      <c r="AK112" s="13" t="n">
        <f aca="false">AK111+AK107+AK108+AK109</f>
        <v>2.95228827598203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530.724274852339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21.9708495141123</v>
      </c>
      <c r="AC113" s="13" t="n">
        <f aca="false">AC27+AC41+AC55+AC69+AC83+AC93</f>
        <v>22.2965203428555</v>
      </c>
      <c r="AD113" s="13" t="n">
        <f aca="false">AD27+AD41+AD55+AD69+AD83+AD93</f>
        <v>23.8781589261954</v>
      </c>
      <c r="AE113" s="13" t="n">
        <f aca="false">AE27+AE41+AE55+AE69+AE83+AE93</f>
        <v>24.2903614669857</v>
      </c>
      <c r="AF113" s="13" t="n">
        <f aca="false">AF27+AF41+AF55+AF69+AF83+AF93</f>
        <v>24.3850721518094</v>
      </c>
      <c r="AG113" s="13" t="n">
        <f aca="false">AG27+AG41+AG55+AG69+AG83+AG93</f>
        <v>23.9048793497462</v>
      </c>
      <c r="AH113" s="13" t="n">
        <f aca="false">AH27+AH41+AH55+AH69+AH83+AH93</f>
        <v>23.9353817544859</v>
      </c>
      <c r="AI113" s="13" t="n">
        <f aca="false">AI27+AI41+AI55+AI69+AI83+AI93</f>
        <v>23.1216466420853</v>
      </c>
      <c r="AJ113" s="13" t="n">
        <f aca="false">AJ27+AJ41+AJ55+AJ69+AJ83+AJ93</f>
        <v>22.183824793213</v>
      </c>
      <c r="AK113" s="13" t="n">
        <f aca="false">AK27+AK41+AK55+AK69+AK83+AK93</f>
        <v>20.0066646314877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847.692466535827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36.3985302194347</v>
      </c>
      <c r="AC114" s="13" t="n">
        <f aca="false">AC112+AC113</f>
        <v>35.5155429659733</v>
      </c>
      <c r="AD114" s="13" t="n">
        <f aca="false">AD112+AD113</f>
        <v>36.0865002765819</v>
      </c>
      <c r="AE114" s="13" t="n">
        <f aca="false">AE112+AE113</f>
        <v>35.1506881852873</v>
      </c>
      <c r="AF114" s="13" t="n">
        <f aca="false">AF112+AF113</f>
        <v>34.0856207550851</v>
      </c>
      <c r="AG114" s="13" t="n">
        <f aca="false">AG112+AG113</f>
        <v>32.4240868881705</v>
      </c>
      <c r="AH114" s="13" t="n">
        <f aca="false">AH112+AH113</f>
        <v>31.1832208199342</v>
      </c>
      <c r="AI114" s="13" t="n">
        <f aca="false">AI112+AI113</f>
        <v>28.8993064708557</v>
      </c>
      <c r="AJ114" s="13" t="n">
        <f aca="false">AJ112+AJ113</f>
        <v>26.5990127043238</v>
      </c>
      <c r="AK114" s="13" t="n">
        <f aca="false">AK112+AK113</f>
        <v>22.9589529074698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398.36011643387</v>
      </c>
      <c r="AC115" s="13" t="n">
        <f aca="false">AC21+AC35+AC49+AC63+AC77+AC91</f>
        <v>369.273959659119</v>
      </c>
      <c r="AD115" s="13" t="n">
        <f aca="false">AD21+AD35+AD49+AD63+AD77+AD91</f>
        <v>340.20438579867</v>
      </c>
      <c r="AE115" s="13" t="n">
        <f aca="false">AE21+AE35+AE49+AE63+AE77+AE91</f>
        <v>308.21342260995</v>
      </c>
      <c r="AF115" s="13" t="n">
        <f aca="false">AF21+AF35+AF49+AF63+AF77+AF91</f>
        <v>275.209221889602</v>
      </c>
      <c r="AG115" s="13" t="n">
        <f aca="false">AG21+AG35+AG49+AG63+AG77+AG91</f>
        <v>241.238503975161</v>
      </c>
      <c r="AH115" s="13" t="n">
        <f aca="false">AH21+AH35+AH49+AH63+AH77+AH91</f>
        <v>207.316899779481</v>
      </c>
      <c r="AI115" s="13" t="n">
        <f aca="false">AI21+AI35+AI49+AI63+AI77+AI91</f>
        <v>171.984408667272</v>
      </c>
      <c r="AJ115" s="13" t="n">
        <f aca="false">AJ21+AJ35+AJ49+AJ63+AJ77+AJ91</f>
        <v>136.569070547338</v>
      </c>
      <c r="AK115" s="13" t="n">
        <f aca="false">AK21+AK35+AK49+AK63+AK77+AK91</f>
        <v>100.181204280683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398.36011643387</v>
      </c>
      <c r="AB116" s="13" t="n">
        <f aca="false">AB33+AB47+AB61+AB75+AB89+AB95</f>
        <v>369.273959659119</v>
      </c>
      <c r="AC116" s="13" t="n">
        <f aca="false">AC33+AC47+AC61+AC75+AC89+AC95</f>
        <v>340.20438579867</v>
      </c>
      <c r="AD116" s="13" t="n">
        <f aca="false">AD33+AD47+AD61+AD75+AD89+AD95</f>
        <v>308.21342260995</v>
      </c>
      <c r="AE116" s="13" t="n">
        <f aca="false">AE33+AE47+AE61+AE75+AE89+AE95</f>
        <v>275.209221889602</v>
      </c>
      <c r="AF116" s="13" t="n">
        <f aca="false">AF33+AF47+AF61+AF75+AF89+AF95</f>
        <v>241.238503975161</v>
      </c>
      <c r="AG116" s="13" t="n">
        <f aca="false">AG33+AG47+AG61+AG75+AG89+AG95</f>
        <v>207.316899779481</v>
      </c>
      <c r="AH116" s="13" t="n">
        <f aca="false">AH33+AH47+AH61+AH75+AH89+AH95</f>
        <v>171.984408667272</v>
      </c>
      <c r="AI116" s="13" t="n">
        <f aca="false">AI33+AI47+AI61+AI75+AI89+AI95</f>
        <v>136.569070547338</v>
      </c>
      <c r="AJ116" s="13" t="n">
        <f aca="false">AJ33+AJ47+AJ61+AJ75+AJ89+AJ95</f>
        <v>100.181204280683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150.35916770633</v>
      </c>
      <c r="AC118" s="13" t="n">
        <f aca="false">IF(Time!AC34=1,AC75,AC73)</f>
        <v>135.409817460109</v>
      </c>
      <c r="AD118" s="13" t="n">
        <f aca="false">IF(Time!AD34=1,AD75,AD73)</f>
        <v>120.191082351414</v>
      </c>
      <c r="AE118" s="13" t="n">
        <f aca="false">IF(Time!AE34=1,AE75,AE73)</f>
        <v>103.720359282062</v>
      </c>
      <c r="AF118" s="13" t="n">
        <f aca="false">IF(Time!AF34=1,AF75,AF73)</f>
        <v>86.9769434585455</v>
      </c>
      <c r="AG118" s="13" t="n">
        <f aca="false">IF(Time!AG34=1,AG75,AG73)</f>
        <v>70.0684983093836</v>
      </c>
      <c r="AH118" s="13" t="n">
        <f aca="false">IF(Time!AH34=1,AH75,AH73)</f>
        <v>53.34209837575</v>
      </c>
      <c r="AI118" s="13" t="n">
        <f aca="false">IF(Time!AI34=1,AI75,AI73)</f>
        <v>36.4542162462568</v>
      </c>
      <c r="AJ118" s="13" t="n">
        <f aca="false">IF(Time!AJ34=1,AJ75,AJ73)</f>
        <v>20.2839174253658</v>
      </c>
      <c r="AK118" s="13" t="n">
        <f aca="false">IF(Time!AK34=1,AK75,AK73)</f>
        <v>4.86671757765324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14.7435712182857</v>
      </c>
      <c r="AC122" s="13" t="n">
        <f aca="false">IF(AND(Time!AC20&gt;=Time!$F$12,Time!AD20&gt;0),(IF(Time!AC34=1,AC75,AC73)-AC72)*AD19+IF(Time!AD46&gt;0,Time!AD45*AC72/Time!AD46,0)+IF(Time!AC34=1,AC75,AC73)*AD13,0)</f>
        <v>14.8270021286091</v>
      </c>
      <c r="AD122" s="13" t="n">
        <f aca="false">IF(AND(Time!AD20&gt;=Time!$F$12,Time!AE20&gt;0),(IF(Time!AD34=1,AD75,AD73)-AD72)*AE19+IF(Time!AE46&gt;0,Time!AE45*AD72/Time!AE46,0)+IF(Time!AD34=1,AD75,AD73)*AE13,0)</f>
        <v>14.1464082081394</v>
      </c>
      <c r="AE122" s="13" t="n">
        <f aca="false">IF(AND(Time!AE20&gt;=Time!$F$12,Time!AF20&gt;0),(IF(Time!AE34=1,AE75,AE73)-AE72)*AF19+IF(Time!AF46&gt;0,Time!AF45*AE72/Time!AF46,0)+IF(Time!AE34=1,AE75,AE73)*AF13,0)</f>
        <v>13.3133413457372</v>
      </c>
      <c r="AF122" s="13" t="n">
        <f aca="false">IF(AND(Time!AF20&gt;=Time!$F$12,Time!AG20&gt;0),(IF(Time!AF34=1,AF75,AF73)-AF72)*AG19+IF(Time!AG46&gt;0,Time!AG45*AF72/Time!AG46,0)+IF(Time!AF34=1,AF75,AF73)*AG13,0)</f>
        <v>12.2238109560189</v>
      </c>
      <c r="AG122" s="13" t="n">
        <f aca="false">IF(AND(Time!AG20&gt;=Time!$F$12,Time!AH20&gt;0),(IF(Time!AG34=1,AG75,AG73)-AG72)*AH19+IF(Time!AH46&gt;0,Time!AH45*AG72/Time!AH46,0)+IF(Time!AG34=1,AG75,AG73)*AH13,0)</f>
        <v>11.0997601462979</v>
      </c>
      <c r="AH122" s="13" t="n">
        <f aca="false">IF(AND(Time!AH20&gt;=Time!$F$12,Time!AI20&gt;0),(IF(Time!AH34=1,AH75,AH73)-AH72)*AI19+IF(Time!AI46&gt;0,Time!AI45*AH72/Time!AI46,0)+IF(Time!AH34=1,AH75,AH73)*AI13,0)</f>
        <v>9.4321904999794</v>
      </c>
      <c r="AI122" s="13" t="n">
        <f aca="false">IF(AND(Time!AI20&gt;=Time!$F$12,Time!AJ20&gt;0),(IF(Time!AI34=1,AI75,AI73)-AI72)*AJ19+IF(Time!AJ46&gt;0,Time!AJ45*AI72/Time!AJ46,0)+IF(Time!AI34=1,AI75,AI73)*AJ13,0)</f>
        <v>7.55089298505529</v>
      </c>
      <c r="AJ122" s="13" t="n">
        <f aca="false">IF(AND(Time!AJ20&gt;=Time!$F$12,Time!AK20&gt;0),(IF(Time!AJ34=1,AJ75,AJ73)-AJ72)*AK19+IF(Time!AK46&gt;0,Time!AK45*AJ72/Time!AK46,0)+IF(Time!AJ34=1,AJ75,AJ73)*AK13,0)</f>
        <v>4.98397701986143</v>
      </c>
      <c r="AK122" s="13" t="n">
        <f aca="false">IF(AND(Time!AK20&gt;=Time!$F$12,Time!AL20&gt;0),(IF(Time!AK34=1,AK75,AK73)-AK72)*AL19+IF(Time!AL46&gt;0,Time!AL45*AK72/Time!AL46,0)+IF(Time!AK34=1,AK75,AK73)*AL13,0)</f>
        <v>1.53732722067327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36.249960128616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36.8634696242198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36.1471983896302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35.2495767801331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33.8204594026205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32.8222627325904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30.9730900416422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29.2095920130801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26.5223434390528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23.3969069090295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804.304902871819</v>
      </c>
      <c r="Q128" s="13" t="n">
        <f aca="false">IF(Time!Q53=1,(Waterfall!Q7+R128)/(1+Q127),0)</f>
        <v>786.050222608685</v>
      </c>
      <c r="R128" s="13" t="n">
        <f aca="false">IF(Time!R53=1,(Waterfall!R7+S128)/(1+R127),0)</f>
        <v>766.851134681056</v>
      </c>
      <c r="S128" s="13" t="n">
        <f aca="false">IF(Time!S53=1,(Waterfall!S7+T128)/(1+S127),0)</f>
        <v>746.616383675226</v>
      </c>
      <c r="T128" s="13" t="n">
        <f aca="false">IF(Time!T53=1,(Waterfall!T7+U128)/(1+T127),0)</f>
        <v>725.638374925277</v>
      </c>
      <c r="U128" s="13" t="n">
        <f aca="false">IF(Time!U53=1,(Waterfall!U7+V128)/(1+U127),0)</f>
        <v>703.606878838876</v>
      </c>
      <c r="V128" s="13" t="n">
        <f aca="false">IF(Time!V53=1,(Waterfall!V7+W128)/(1+V127),0)</f>
        <v>680.725524902244</v>
      </c>
      <c r="W128" s="13" t="n">
        <f aca="false">IF(Time!W53=1,(Waterfall!W7+X128)/(1+W127),0)</f>
        <v>656.175152827048</v>
      </c>
      <c r="X128" s="13" t="n">
        <f aca="false">IF(Time!X53=1,(Waterfall!X7+Y128)/(1+X127),0)</f>
        <v>630.705285865245</v>
      </c>
      <c r="Y128" s="13" t="n">
        <f aca="false">IF(Time!Y53=1,(Waterfall!Y7+Z128)/(1+Y127),0)</f>
        <v>606.011337016808</v>
      </c>
      <c r="Z128" s="13" t="n">
        <f aca="false">IF(Time!Z53=1,(Waterfall!Z7+AA128)/(1+Z127),0)</f>
        <v>581.458041132102</v>
      </c>
      <c r="AA128" s="13" t="n">
        <f aca="false">IF(Time!AA53=1,(Waterfall!AA7+AB128)/(1+AA127),0)</f>
        <v>555.774929409948</v>
      </c>
      <c r="AB128" s="13" t="n">
        <f aca="false">IF(Time!AB53=1,(Waterfall!AB7+AC128)/(1+AB127),0)</f>
        <v>529.162560319028</v>
      </c>
      <c r="AC128" s="13" t="n">
        <f aca="false">IF(Time!AC53=1,(Waterfall!AC7+AD128)/(1+AC127),0)</f>
        <v>501.141872180498</v>
      </c>
      <c r="AD128" s="13" t="n">
        <f aca="false">IF(Time!AD53=1,(Waterfall!AD7+AE128)/(1+AD127),0)</f>
        <v>472.002415925218</v>
      </c>
      <c r="AE128" s="13" t="n">
        <f aca="false">IF(Time!AE53=1,(Waterfall!AE7+AF128)/(1+AE127),0)</f>
        <v>439.899613038154</v>
      </c>
      <c r="AF128" s="13" t="n">
        <f aca="false">IF(Time!AF53=1,(Waterfall!AF7+AG128)/(1+AF127),0)</f>
        <v>406.174444000633</v>
      </c>
      <c r="AG128" s="13" t="n">
        <f aca="false">IF(Time!AG53=1,(Waterfall!AG7+AH128)/(1+AG127),0)</f>
        <v>371.121081295363</v>
      </c>
      <c r="AH128" s="13" t="n">
        <f aca="false">IF(Time!AH53=1,(Waterfall!AH7+AI128)/(1+AH127),0)</f>
        <v>335.372689906575</v>
      </c>
      <c r="AI128" s="13" t="n">
        <f aca="false">IF(Time!AI53=1,(Waterfall!AI7+AJ128)/(1+AI127),0)</f>
        <v>297.611801543408</v>
      </c>
      <c r="AJ128" s="13" t="n">
        <f aca="false">IF(Time!AJ53=1,(Waterfall!AJ7+AK128)/(1+AJ127),0)</f>
        <v>258.487634908537</v>
      </c>
      <c r="AK128" s="13" t="n">
        <f aca="false">IF(Time!AK53=1,(Waterfall!AK7+AL128)/(1+AK127),0)</f>
        <v>217.241407703303</v>
      </c>
      <c r="AL128" s="13" t="n">
        <f aca="false">IF(Time!AL53=1,(Waterfall!AL7+AM128)/(1+AL127),0)</f>
        <v>174.388517179779</v>
      </c>
      <c r="AM128" s="13" t="n">
        <f aca="false">IF(Time!AM53=1,(Waterfall!AM7+AN128)/(1+AM127),0)</f>
        <v>128.65629515049</v>
      </c>
      <c r="AN128" s="13" t="n">
        <f aca="false">IF(Time!AN53=1,(Waterfall!AN7+AO128)/(1+AN127),0)</f>
        <v>81.2736937078297</v>
      </c>
      <c r="AO128" s="13" t="n">
        <f aca="false">IF(Time!AO53=1,(Waterfall!AO7+AP128)/(1+AO127),0)</f>
        <v>39.9239921859906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1.3484360468905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629.219888294952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37.2279001836176</v>
      </c>
      <c r="Q132" s="13" t="n">
        <f aca="false">IF(Time!Q53=1,(Waterfall!Q7)/$F$129,0)</f>
        <v>37.1404034610243</v>
      </c>
      <c r="R132" s="13" t="n">
        <f aca="false">IF(Time!R53=1,(Waterfall!R7)/$F$129,0)</f>
        <v>37.6082793103669</v>
      </c>
      <c r="S132" s="13" t="n">
        <f aca="false">IF(Time!S53=1,(Waterfall!S7)/$F$129,0)</f>
        <v>37.3179532370049</v>
      </c>
      <c r="T132" s="13" t="n">
        <f aca="false">IF(Time!T53=1,(Waterfall!T7)/$F$129,0)</f>
        <v>37.7331991909895</v>
      </c>
      <c r="U132" s="13" t="n">
        <f aca="false">IF(Time!U53=1,(Waterfall!U7)/$F$129,0)</f>
        <v>37.5552472786531</v>
      </c>
      <c r="V132" s="13" t="n">
        <f aca="false">IF(Time!V53=1,(Waterfall!V7)/$F$129,0)</f>
        <v>38.2769916189008</v>
      </c>
      <c r="W132" s="13" t="n">
        <f aca="false">IF(Time!W53=1,(Waterfall!W7)/$F$129,0)</f>
        <v>38.0131408227478</v>
      </c>
      <c r="X132" s="13" t="n">
        <f aca="false">IF(Time!X53=1,(Waterfall!X7)/$F$129,0)</f>
        <v>36.908676738842</v>
      </c>
      <c r="Y132" s="13" t="n">
        <f aca="false">IF(Time!Y53=1,(Waterfall!Y7)/$F$129,0)</f>
        <v>36.5528104681214</v>
      </c>
      <c r="Z132" s="13" t="n">
        <f aca="false">IF(Time!Z53=1,(Waterfall!Z7)/$F$129,0)</f>
        <v>36.8549250845507</v>
      </c>
      <c r="AA132" s="13" t="n">
        <f aca="false">IF(Time!AA53=1,(Waterfall!AA7)/$F$129,0)</f>
        <v>36.5591523741966</v>
      </c>
      <c r="AB132" s="13" t="n">
        <f aca="false">IF(Time!AB53=1,(Waterfall!AB7)/$F$129,0)</f>
        <v>36.9868162103265</v>
      </c>
      <c r="AC132" s="13" t="n">
        <f aca="false">IF(Time!AC53=1,(Waterfall!AC7)/$F$129,0)</f>
        <v>36.8390919326995</v>
      </c>
      <c r="AD132" s="13" t="n">
        <f aca="false">IF(Time!AD53=1,(Waterfall!AD7)/$F$129,0)</f>
        <v>38.2634665440916</v>
      </c>
      <c r="AE132" s="13" t="n">
        <f aca="false">IF(Time!AE53=1,(Waterfall!AE7)/$F$129,0)</f>
        <v>38.3264339467122</v>
      </c>
      <c r="AF132" s="13" t="n">
        <f aca="false">IF(Time!AF53=1,(Waterfall!AF7)/$F$129,0)</f>
        <v>38.435486074665</v>
      </c>
      <c r="AG132" s="13" t="n">
        <f aca="false">IF(Time!AG53=1,(Waterfall!AG7)/$F$129,0)</f>
        <v>38.1622398990845</v>
      </c>
      <c r="AH132" s="13" t="n">
        <f aca="false">IF(Time!AH53=1,(Waterfall!AH7)/$F$129,0)</f>
        <v>38.658316028142</v>
      </c>
      <c r="AI132" s="13" t="n">
        <f aca="false">IF(Time!AI53=1,(Waterfall!AI7)/$F$129,0)</f>
        <v>38.3579121288438</v>
      </c>
      <c r="AJ132" s="13" t="n">
        <f aca="false">IF(Time!AJ53=1,(Waterfall!AJ7)/$F$129,0)</f>
        <v>38.8003919042585</v>
      </c>
      <c r="AK132" s="13" t="n">
        <f aca="false">IF(Time!AK53=1,(Waterfall!AK7)/$F$129,0)</f>
        <v>38.6271168188393</v>
      </c>
      <c r="AL132" s="13" t="n">
        <f aca="false">IF(Time!AL53=1,(Waterfall!AL7)/$F$129,0)</f>
        <v>39.4553621578922</v>
      </c>
      <c r="AM132" s="13" t="n">
        <f aca="false">IF(Time!AM53=1,(Waterfall!AM7)/$F$129,0)</f>
        <v>39.178057795601</v>
      </c>
      <c r="AN132" s="13" t="n">
        <f aca="false">IF(Time!AN53=1,(Waterfall!AN7)/$F$129,0)</f>
        <v>33.2470121068978</v>
      </c>
      <c r="AO132" s="13" t="n">
        <f aca="false">IF(Time!AO53=1,(Waterfall!AO7)/$F$129,0)</f>
        <v>30.8610295176442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432.648111421841</v>
      </c>
      <c r="R133" s="13" t="n">
        <f aca="false">IF(Time!R53=1,IF(Time!R20=Time!$F$13,Funding!$F$25*(1-Inputs!$F$75),Q133-Q134),0)</f>
        <v>423.718000873471</v>
      </c>
      <c r="S133" s="13" t="n">
        <f aca="false">IF(Time!S53=1,IF(Time!S20=Time!$F$13,Funding!$F$25*(1-Inputs!$F$75),R133-R134),0)</f>
        <v>414.033217011644</v>
      </c>
      <c r="T133" s="13" t="n">
        <f aca="false">IF(Time!T53=1,IF(Time!T20=Time!$F$13,Funding!$F$25*(1-Inputs!$F$75),S133-S134),0)</f>
        <v>403.885814235675</v>
      </c>
      <c r="U133" s="13" t="n">
        <f aca="false">IF(Time!U53=1,IF(Time!U20=Time!$F$13,Funding!$F$25*(1-Inputs!$F$75),T133-T134),0)</f>
        <v>392.977022876249</v>
      </c>
      <c r="V133" s="13" t="n">
        <f aca="false">IF(Time!V53=1,IF(Time!V20=Time!$F$13,Funding!$F$25*(1-Inputs!$F$75),U133-U134),0)</f>
        <v>381.517252745964</v>
      </c>
      <c r="W133" s="13" t="n">
        <f aca="false">IF(Time!W53=1,IF(Time!W20=Time!$F$13,Funding!$F$25*(1-Inputs!$F$75),V133-V134),0)</f>
        <v>368.857321460921</v>
      </c>
      <c r="X133" s="13" t="n">
        <f aca="false">IF(Time!X53=1,IF(Time!X20=Time!$F$13,Funding!$F$25*(1-Inputs!$F$75),W133-W134),0)</f>
        <v>355.607975582473</v>
      </c>
      <c r="Y133" s="13" t="n">
        <f aca="false">IF(Time!Y53=1,IF(Time!Y20=Time!$F$13,Funding!$F$25*(1-Inputs!$F$75),X133-X134),0)</f>
        <v>342.968242934421</v>
      </c>
      <c r="Z133" s="13" t="n">
        <f aca="false">IF(Time!Z53=1,IF(Time!Z20=Time!$F$13,Funding!$F$25*(1-Inputs!$F$75),Y133-Y134),0)</f>
        <v>330.366159021869</v>
      </c>
      <c r="AA133" s="13" t="n">
        <f aca="false">IF(Time!AA53=1,IF(Time!AA20=Time!$F$13,Funding!$F$25*(1-Inputs!$F$75),Z133-Z134),0)</f>
        <v>316.967839775921</v>
      </c>
      <c r="AB133" s="13" t="n">
        <f aca="false">IF(Time!AB53=1,IF(Time!AB20=Time!$F$13,Funding!$F$25*(1-Inputs!$F$75),AA133-AA134),0)</f>
        <v>302.982498086268</v>
      </c>
      <c r="AC133" s="13" t="n">
        <f aca="false">IF(Time!AC53=1,IF(Time!AC20=Time!$F$13,Funding!$F$25*(1-Inputs!$F$75),AB133-AB134),0)</f>
        <v>288.003343742201</v>
      </c>
      <c r="AD133" s="13" t="n">
        <f aca="false">IF(Time!AD53=1,IF(Time!AD20=Time!$F$13,Funding!$F$25*(1-Inputs!$F$75),AC133-AC134),0)</f>
        <v>272.291532302516</v>
      </c>
      <c r="AE133" s="13" t="n">
        <f aca="false">IF(Time!AE53=1,IF(Time!AE20=Time!$F$13,Funding!$F$25*(1-Inputs!$F$75),AD133-AD134),0)</f>
        <v>254.45019662243</v>
      </c>
      <c r="AF133" s="13" t="n">
        <f aca="false">IF(Time!AF53=1,IF(Time!AF20=Time!$F$13,Funding!$F$25*(1-Inputs!$F$75),AE133-AE134),0)</f>
        <v>235.514471262034</v>
      </c>
      <c r="AG133" s="13" t="n">
        <f aca="false">IF(Time!AG53=1,IF(Time!AG20=Time!$F$13,Funding!$F$25*(1-Inputs!$F$75),AF133-AF134),0)</f>
        <v>215.664237890924</v>
      </c>
      <c r="AH133" s="13" t="n">
        <f aca="false">IF(Time!AH53=1,IF(Time!AH20=Time!$F$13,Funding!$F$25*(1-Inputs!$F$75),AG133-AG134),0)</f>
        <v>195.320931748893</v>
      </c>
      <c r="AI133" s="13" t="n">
        <f aca="false">IF(Time!AI53=1,IF(Time!AI20=Time!$F$13,Funding!$F$25*(1-Inputs!$F$75),AH133-AH134),0)</f>
        <v>173.570971226696</v>
      </c>
      <c r="AJ133" s="13" t="n">
        <f aca="false">IF(Time!AJ53=1,IF(Time!AJ20=Time!$F$13,Funding!$F$25*(1-Inputs!$F$75),AI133-AI134),0)</f>
        <v>150.934380887173</v>
      </c>
      <c r="AK133" s="13" t="n">
        <f aca="false">IF(Time!AK53=1,IF(Time!AK20=Time!$F$13,Funding!$F$25*(1-Inputs!$F$75),AJ133-AJ134),0)</f>
        <v>126.822785640792</v>
      </c>
      <c r="AL133" s="13" t="n">
        <f aca="false">IF(Time!AL53=1,IF(Time!AL20=Time!$F$13,Funding!$F$25*(1-Inputs!$F$75),AK133-AK134),0)</f>
        <v>101.645714022239</v>
      </c>
      <c r="AM133" s="13" t="n">
        <f aca="false">IF(Time!AM53=1,IF(Time!AM20=Time!$F$13,Funding!$F$25*(1-Inputs!$F$75),AL133-AL134),0)</f>
        <v>74.4495828426619</v>
      </c>
      <c r="AN133" s="13" t="n">
        <f aca="false">IF(Time!AN53=1,IF(Time!AN20=Time!$F$13,Funding!$F$25*(1-Inputs!$F$75),AM133-AM134),0)</f>
        <v>46.1653744225177</v>
      </c>
      <c r="AO133" s="13" t="n">
        <f aca="false">IF(Time!AO53=1,IF(Time!AO20=Time!$F$13,Funding!$F$25*(1-Inputs!$F$75),AN133-AN134),0)</f>
        <v>22.4827761246413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8.31666092306214</v>
      </c>
      <c r="Q134" s="13" t="n">
        <f aca="false">Q132-Q149-Q133*Q127</f>
        <v>8.93011054837011</v>
      </c>
      <c r="R134" s="13" t="n">
        <f aca="false">R132-R149-R133*R127</f>
        <v>9.68478386182689</v>
      </c>
      <c r="S134" s="13" t="n">
        <f aca="false">S132-S149-S133*S127</f>
        <v>10.147402775969</v>
      </c>
      <c r="T134" s="13" t="n">
        <f aca="false">T132-T149-T133*T127</f>
        <v>10.9087913594265</v>
      </c>
      <c r="U134" s="13" t="n">
        <f aca="false">U132-U149-U133*U127</f>
        <v>11.4597701302843</v>
      </c>
      <c r="V134" s="13" t="n">
        <f aca="false">V132-V149-V133*V127</f>
        <v>12.6599312850432</v>
      </c>
      <c r="W134" s="13" t="n">
        <f aca="false">W132-W149-W133*W127</f>
        <v>13.2493458784486</v>
      </c>
      <c r="X134" s="13" t="n">
        <f aca="false">X132-X149-X133*X127</f>
        <v>12.6397326480518</v>
      </c>
      <c r="Y134" s="13" t="n">
        <f aca="false">Y132-Y149-Y133*Y127</f>
        <v>12.6020839125518</v>
      </c>
      <c r="Z134" s="13" t="n">
        <f aca="false">Z132-Z149-Z133*Z127</f>
        <v>13.3983192459484</v>
      </c>
      <c r="AA134" s="13" t="n">
        <f aca="false">AA132-AA149-AA133*AA127</f>
        <v>13.9853416896527</v>
      </c>
      <c r="AB134" s="13" t="n">
        <f aca="false">AB132-AB149-AB133*AB127</f>
        <v>14.9791543440667</v>
      </c>
      <c r="AC134" s="13" t="n">
        <f aca="false">AC132-AC149-AC133*AC127</f>
        <v>15.7118114396856</v>
      </c>
      <c r="AD134" s="13" t="n">
        <f aca="false">AD132-AD149-AD133*AD127</f>
        <v>17.8413356800859</v>
      </c>
      <c r="AE134" s="13" t="n">
        <f aca="false">AE132-AE149-AE133*AE127</f>
        <v>18.9357253603954</v>
      </c>
      <c r="AF134" s="13" t="n">
        <f aca="false">AF132-AF149-AF133*AF127</f>
        <v>19.8502333711107</v>
      </c>
      <c r="AG134" s="13" t="n">
        <f aca="false">AG132-AG149-AG133*AG127</f>
        <v>20.3433061420304</v>
      </c>
      <c r="AH134" s="13" t="n">
        <f aca="false">AH132-AH149-AH133*AH127</f>
        <v>21.749960522197</v>
      </c>
      <c r="AI134" s="13" t="n">
        <f aca="false">AI132-AI149-AI133*AI127</f>
        <v>22.6365903395231</v>
      </c>
      <c r="AJ134" s="13" t="n">
        <f aca="false">AJ132-AJ149-AJ133*AJ127</f>
        <v>24.1115952463811</v>
      </c>
      <c r="AK134" s="13" t="n">
        <f aca="false">AK132-AK149-AK133*AK127</f>
        <v>25.1770716185529</v>
      </c>
      <c r="AL134" s="13" t="n">
        <f aca="false">AL132-AL149-AL133*AL127</f>
        <v>27.1961311795772</v>
      </c>
      <c r="AM134" s="13" t="n">
        <f aca="false">AM132-AM149-AM133*AM127</f>
        <v>28.2842084201442</v>
      </c>
      <c r="AN134" s="13" t="n">
        <f aca="false">AN132-AN149-AN133*AN127</f>
        <v>23.6825982978764</v>
      </c>
      <c r="AO134" s="13" t="n">
        <f aca="false">AO132-AO149-AO133*AO127</f>
        <v>22.4827761246416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37.6247850871586</v>
      </c>
      <c r="S9" s="13" t="n">
        <f aca="false">IF(Time!S34=1,SUM(Funding!$J$44:$BJ$44),R13)</f>
        <v>37.3333124921438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36.249960128616</v>
      </c>
      <c r="AD9" s="13" t="n">
        <f aca="false">IF(Time!AD34=1,SUM(Funding!$J$44:$BJ$44),AC13)</f>
        <v>36.8634696242198</v>
      </c>
      <c r="AE9" s="13" t="n">
        <f aca="false">IF(Time!AE34=1,SUM(Funding!$J$44:$BJ$44),AD13)</f>
        <v>36.1471983896302</v>
      </c>
      <c r="AF9" s="13" t="n">
        <f aca="false">IF(Time!AF34=1,SUM(Funding!$J$44:$BJ$44),AE13)</f>
        <v>35.2495767801331</v>
      </c>
      <c r="AG9" s="13" t="n">
        <f aca="false">IF(Time!AG34=1,SUM(Funding!$J$44:$BJ$44),AF13)</f>
        <v>33.8204594026205</v>
      </c>
      <c r="AH9" s="13" t="n">
        <f aca="false">IF(Time!AH34=1,SUM(Funding!$J$44:$BJ$44),AG13)</f>
        <v>32.8222627325904</v>
      </c>
      <c r="AI9" s="13" t="n">
        <f aca="false">IF(Time!AI34=1,SUM(Funding!$J$44:$BJ$44),AH13)</f>
        <v>30.9730900416422</v>
      </c>
      <c r="AJ9" s="13" t="n">
        <f aca="false">IF(Time!AJ34=1,SUM(Funding!$J$44:$BJ$44),AI13)</f>
        <v>29.2095920130801</v>
      </c>
      <c r="AK9" s="13" t="n">
        <f aca="false">IF(Time!AK34=1,SUM(Funding!$J$44:$BJ$44),AJ13)</f>
        <v>26.5223434390528</v>
      </c>
      <c r="AL9" s="13" t="n">
        <f aca="false">IF(Time!AL34=1,SUM(Funding!$J$44:$BJ$44),AK13)</f>
        <v>23.3969069090295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2.94784323833304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0.467768632427955</v>
      </c>
      <c r="R11" s="13" t="n">
        <f aca="false">MIN(Waterfall!R13,MAX(0,Debt!R125-(R9-R10)))</f>
        <v>0</v>
      </c>
      <c r="S11" s="13" t="n">
        <f aca="false">MIN(Waterfall!S13,MAX(0,Debt!S125-(S9-S10)))</f>
        <v>0.417905289094385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0.613509495603843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40.1937386749278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0.291472595014866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0.754788502993023</v>
      </c>
      <c r="AC12" s="13" t="n">
        <f aca="false">MAX(0,AC9-AC10-Debt!AC125)</f>
        <v>0</v>
      </c>
      <c r="AD12" s="13" t="n">
        <f aca="false">MAX(0,AD9-AD10-Debt!AD125)</f>
        <v>0.716271234589591</v>
      </c>
      <c r="AE12" s="13" t="n">
        <f aca="false">MAX(0,AE9-AE10-Debt!AE125)</f>
        <v>0.897621609497179</v>
      </c>
      <c r="AF12" s="13" t="n">
        <f aca="false">MAX(0,AF9-AF10-Debt!AF125)</f>
        <v>1.42911737751257</v>
      </c>
      <c r="AG12" s="13" t="n">
        <f aca="false">MAX(0,AG9-AG10-Debt!AG125)</f>
        <v>0.998196670030069</v>
      </c>
      <c r="AH12" s="13" t="n">
        <f aca="false">MAX(0,AH9-AH10-Debt!AH125)</f>
        <v>1.84917269094823</v>
      </c>
      <c r="AI12" s="13" t="n">
        <f aca="false">MAX(0,AI9-AI10-Debt!AI125)</f>
        <v>1.7634980285621</v>
      </c>
      <c r="AJ12" s="13" t="n">
        <f aca="false">MAX(0,AJ9-AJ10-Debt!AJ125)</f>
        <v>2.68724857402729</v>
      </c>
      <c r="AK12" s="13" t="n">
        <f aca="false">MAX(0,AK9-AK10-Debt!AK125)</f>
        <v>3.12543653002335</v>
      </c>
      <c r="AL12" s="13" t="n">
        <f aca="false">MAX(0,AL9-AL10-Debt!AL125)</f>
        <v>1.63074258877825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37.6247850871586</v>
      </c>
      <c r="R13" s="13" t="n">
        <f aca="false">(1-Time!R37)*(R9-R10+R11-R12)</f>
        <v>37.3333124921438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36.249960128616</v>
      </c>
      <c r="AC13" s="13" t="n">
        <f aca="false">(1-Time!AC37)*(AC9-AC10+AC11-AC12)</f>
        <v>36.8634696242198</v>
      </c>
      <c r="AD13" s="13" t="n">
        <f aca="false">(1-Time!AD37)*(AD9-AD10+AD11-AD12)</f>
        <v>36.1471983896302</v>
      </c>
      <c r="AE13" s="13" t="n">
        <f aca="false">(1-Time!AE37)*(AE9-AE10+AE11-AE12)</f>
        <v>35.2495767801331</v>
      </c>
      <c r="AF13" s="13" t="n">
        <f aca="false">(1-Time!AF37)*(AF9-AF10+AF11-AF12)</f>
        <v>33.8204594026205</v>
      </c>
      <c r="AG13" s="13" t="n">
        <f aca="false">(1-Time!AG37)*(AG9-AG10+AG11-AG12)</f>
        <v>32.8222627325904</v>
      </c>
      <c r="AH13" s="13" t="n">
        <f aca="false">(1-Time!AH37)*(AH9-AH10+AH11-AH12)</f>
        <v>30.9730900416422</v>
      </c>
      <c r="AI13" s="13" t="n">
        <f aca="false">(1-Time!AI37)*(AI9-AI10+AI11-AI12)</f>
        <v>29.2095920130801</v>
      </c>
      <c r="AJ13" s="13" t="n">
        <f aca="false">(1-Time!AJ37)*(AJ9-AJ10+AJ11-AJ12)</f>
        <v>26.5223434390528</v>
      </c>
      <c r="AK13" s="13" t="n">
        <f aca="false">(1-Time!AK37)*(AK9-AK10+AK11-AK12)</f>
        <v>23.3969069090295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2305.22491062387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1.90730237486994</v>
      </c>
      <c r="P7" s="13" t="n">
        <f aca="false">Operations!P84-Tax!P27-Operations!P96-Reserves!P7+Operations!P79+Operations!P97</f>
        <v>50.1994425576313</v>
      </c>
      <c r="Q7" s="13" t="n">
        <f aca="false">Operations!Q84-Tax!Q27-Operations!Q96-Reserves!Q7+Operations!Q79+Operations!Q97</f>
        <v>50.0814588229017</v>
      </c>
      <c r="R7" s="13" t="n">
        <f aca="false">Operations!R84-Tax!R27-Operations!R96-Reserves!R7+Operations!R79+Operations!R97</f>
        <v>50.7123594836247</v>
      </c>
      <c r="S7" s="13" t="n">
        <f aca="false">Operations!S84-Tax!S27-Operations!S96-Reserves!S7+Operations!S79+Operations!S97</f>
        <v>50.3208733409513</v>
      </c>
      <c r="T7" s="13" t="n">
        <f aca="false">Operations!T84-Tax!T27-Operations!T96-Reserves!T7+Operations!T79+Operations!T97</f>
        <v>50.8808059536296</v>
      </c>
      <c r="U7" s="13" t="n">
        <f aca="false">Operations!U84-Tax!U27-Operations!U96-Reserves!U7+Operations!U79+Operations!U97</f>
        <v>50.6408491804221</v>
      </c>
      <c r="V7" s="13" t="n">
        <f aca="false">Operations!V84-Tax!V27-Operations!V96-Reserves!V7+Operations!V79+Operations!V97</f>
        <v>51.6140752654512</v>
      </c>
      <c r="W7" s="13" t="n">
        <f aca="false">Operations!W84-Tax!W27-Operations!W96-Reserves!W7+Operations!W79+Operations!W97</f>
        <v>51.2582893409178</v>
      </c>
      <c r="X7" s="13" t="n">
        <f aca="false">Operations!X84-Tax!X27-Operations!X96-Reserves!X7+Operations!X79+Operations!X97</f>
        <v>49.7689901576834</v>
      </c>
      <c r="Y7" s="13" t="n">
        <f aca="false">Operations!Y84-Tax!Y27-Operations!Y96-Reserves!Y7+Operations!Y79+Operations!Y97</f>
        <v>49.2891272503712</v>
      </c>
      <c r="Z7" s="13" t="n">
        <f aca="false">Operations!Z84-Tax!Z27-Operations!Z96-Reserves!Z7+Operations!Z79+Operations!Z97</f>
        <v>49.696509489457</v>
      </c>
      <c r="AA7" s="13" t="n">
        <f aca="false">Operations!AA84-Tax!AA27-Operations!AA96-Reserves!AA7+Operations!AA79+Operations!AA97</f>
        <v>49.297678905129</v>
      </c>
      <c r="AB7" s="13" t="n">
        <f aca="false">Operations!AB84-Tax!AB27-Operations!AB96-Reserves!AB7+Operations!AB79+Operations!AB97</f>
        <v>49.874356237718</v>
      </c>
      <c r="AC7" s="13" t="n">
        <f aca="false">Operations!AC84-Tax!AC27-Operations!AC96-Reserves!AC7+Operations!AC79+Operations!AC97</f>
        <v>49.6751594967649</v>
      </c>
      <c r="AD7" s="13" t="n">
        <f aca="false">Operations!AD84-Tax!AD27-Operations!AD96-Reserves!AD7+Operations!AD79+Operations!AD97</f>
        <v>51.5958375670416</v>
      </c>
      <c r="AE7" s="13" t="n">
        <f aca="false">Operations!AE84-Tax!AE27-Operations!AE96-Reserves!AE7+Operations!AE79+Operations!AE97</f>
        <v>51.6807450825143</v>
      </c>
      <c r="AF7" s="13" t="n">
        <f aca="false">Operations!AF84-Tax!AF27-Operations!AF96-Reserves!AF7+Operations!AF79+Operations!AF97</f>
        <v>51.827794902836</v>
      </c>
      <c r="AG7" s="13" t="n">
        <f aca="false">Operations!AG84-Tax!AG27-Operations!AG96-Reserves!AG7+Operations!AG79+Operations!AG97</f>
        <v>51.4593399100083</v>
      </c>
      <c r="AH7" s="13" t="n">
        <f aca="false">Operations!AH84-Tax!AH27-Operations!AH96-Reserves!AH7+Operations!AH79+Operations!AH97</f>
        <v>52.1282668444313</v>
      </c>
      <c r="AI7" s="13" t="n">
        <f aca="false">Operations!AI84-Tax!AI27-Operations!AI96-Reserves!AI7+Operations!AI79+Operations!AI97</f>
        <v>51.7231913979912</v>
      </c>
      <c r="AJ7" s="13" t="n">
        <f aca="false">Operations!AJ84-Tax!AJ27-Operations!AJ96-Reserves!AJ7+Operations!AJ79+Operations!AJ97</f>
        <v>52.3198470771804</v>
      </c>
      <c r="AK7" s="13" t="n">
        <f aca="false">Operations!AK84-Tax!AK27-Operations!AK96-Reserves!AK7+Operations!AK79+Operations!AK97</f>
        <v>52.0861967059731</v>
      </c>
      <c r="AL7" s="13" t="n">
        <f aca="false">Operations!AL84-Tax!AL27-Operations!AL96-Reserves!AL7+Operations!AL79+Operations!AL97</f>
        <v>53.203032576821</v>
      </c>
      <c r="AM7" s="13" t="n">
        <f aca="false">Operations!AM84-Tax!AM27-Operations!AM96-Reserves!AM7+Operations!AM79+Operations!AM97</f>
        <v>52.8291053787476</v>
      </c>
      <c r="AN7" s="13" t="n">
        <f aca="false">Operations!AN84-Tax!AN27-Operations!AN96-Reserves!AN7+Operations!AN79+Operations!AN97</f>
        <v>44.8314695763458</v>
      </c>
      <c r="AO7" s="13" t="n">
        <f aca="false">Operations!AO84-Tax!AO27-Operations!AO96-Reserves!AO7+Operations!AO79+Operations!AO97</f>
        <v>41.614124645743</v>
      </c>
      <c r="AP7" s="13" t="n">
        <f aca="false">Operations!AP84-Tax!AP27-Operations!AP96-Reserves!AP7+Operations!AP79+Operations!AP97</f>
        <v>41.5609454433001</v>
      </c>
      <c r="AQ7" s="13" t="n">
        <f aca="false">Operations!AQ84-Tax!AQ27-Operations!AQ96-Reserves!AQ7+Operations!AQ79+Operations!AQ97</f>
        <v>41.1169125242327</v>
      </c>
      <c r="AR7" s="13" t="n">
        <f aca="false">Operations!AR84-Tax!AR27-Operations!AR96-Reserves!AR7+Operations!AR79+Operations!AR97</f>
        <v>41.7090833011676</v>
      </c>
      <c r="AS7" s="13" t="n">
        <f aca="false">Operations!AS84-Tax!AS27-Operations!AS96-Reserves!AS7+Operations!AS79+Operations!AS97</f>
        <v>41.4481761632091</v>
      </c>
      <c r="AT7" s="13" t="n">
        <f aca="false">Operations!AT84-Tax!AT27-Operations!AT96-Reserves!AT7+Operations!AT79+Operations!AT97</f>
        <v>48.1878325750925</v>
      </c>
      <c r="AU7" s="13" t="n">
        <f aca="false">Operations!AU84-Tax!AU27-Operations!AU96-Reserves!AU7+Operations!AU79+Operations!AU97</f>
        <v>43.7548224395722</v>
      </c>
      <c r="AV7" s="13" t="n">
        <f aca="false">Operations!AV84-Tax!AV27-Operations!AV96-Reserves!AV7+Operations!AV79+Operations!AV97</f>
        <v>43.8671815918655</v>
      </c>
      <c r="AW7" s="13" t="n">
        <f aca="false">Operations!AW84-Tax!AW27-Operations!AW96-Reserves!AW7+Operations!AW79+Operations!AW97</f>
        <v>43.4412295583817</v>
      </c>
      <c r="AX7" s="13" t="n">
        <f aca="false">Operations!AX84-Tax!AX27-Operations!AX96-Reserves!AX7+Operations!AX79+Operations!AX97</f>
        <v>44.1147591302012</v>
      </c>
      <c r="AY7" s="13" t="n">
        <f aca="false">Operations!AY84-Tax!AY27-Operations!AY96-Reserves!AY7+Operations!AY79+Operations!AY97</f>
        <v>43.6610794841665</v>
      </c>
      <c r="AZ7" s="13" t="n">
        <f aca="false">Operations!AZ84-Tax!AZ27-Operations!AZ96-Reserves!AZ7+Operations!AZ79+Operations!AZ97</f>
        <v>44.2745476777494</v>
      </c>
      <c r="BA7" s="13" t="n">
        <f aca="false">Operations!BA84-Tax!BA27-Operations!BA96-Reserves!BA7+Operations!BA79+Operations!BA97</f>
        <v>43.9805082983886</v>
      </c>
      <c r="BB7" s="13" t="n">
        <f aca="false">Operations!BB84-Tax!BB27-Operations!BB96-Reserves!BB7+Operations!BB79+Operations!BB97</f>
        <v>46.2313812707367</v>
      </c>
      <c r="BC7" s="13" t="n">
        <f aca="false">Operations!BC84-Tax!BC27-Operations!BC96-Reserves!BC7+Operations!BC79+Operations!BC97</f>
        <v>42.836615964144</v>
      </c>
      <c r="BD7" s="13" t="n">
        <f aca="false">Operations!BD84-Tax!BD27-Operations!BD96-Reserves!BD7+Operations!BD79+Operations!BD97</f>
        <v>36.7299853515517</v>
      </c>
      <c r="BE7" s="13" t="n">
        <f aca="false">Operations!BE84-Tax!BE27-Operations!BE96-Reserves!BE7+Operations!BE79+Operations!BE97</f>
        <v>36.2973348310723</v>
      </c>
      <c r="BF7" s="13" t="n">
        <f aca="false">Operations!BF84-Tax!BF27-Operations!BF96-Reserves!BF7+Operations!BF79+Operations!BF97</f>
        <v>37.0003090360517</v>
      </c>
      <c r="BG7" s="13" t="n">
        <f aca="false">Operations!BG84-Tax!BG27-Operations!BG96-Reserves!BG7+Operations!BG79+Operations!BG97</f>
        <v>36.5361768568786</v>
      </c>
      <c r="BH7" s="13" t="n">
        <f aca="false">Operations!BH84-Tax!BH27-Operations!BH96-Reserves!BH7+Operations!BH79+Operations!BH97</f>
        <v>37.1726774587577</v>
      </c>
      <c r="BI7" s="13" t="n">
        <f aca="false">Operations!BI84-Tax!BI27-Operations!BI96-Reserves!BI7+Operations!BI79+Operations!BI97</f>
        <v>36.9167418861852</v>
      </c>
      <c r="BJ7" s="13" t="n">
        <f aca="false">Operations!BJ84-Tax!BJ27-Operations!BJ96-Reserves!BJ7+Operations!BJ79+Operations!BJ97</f>
        <v>44.9482540758811</v>
      </c>
      <c r="BK7" s="13" t="n">
        <f aca="false">Operations!BK84-Tax!BK27-Operations!BK96-Reserves!BK7+Operations!BK79+Operations!BK97</f>
        <v>39.7034529868818</v>
      </c>
      <c r="BL7" s="13" t="n">
        <f aca="false">Operations!BL84-Tax!BL27-Operations!BL96-Reserves!BL7+Operations!BL79+Operations!BL97</f>
        <v>40.4389537459228</v>
      </c>
      <c r="BM7" s="13" t="n">
        <f aca="false">Operations!BM84-Tax!BM27-Operations!BM96-Reserves!BM7+Operations!BM79+Operations!BM97</f>
        <v>36.7797194493219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1.90730237486898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1.90730237486994</v>
      </c>
      <c r="P9" s="13" t="n">
        <f aca="false">P7+P8</f>
        <v>52.1067449325002</v>
      </c>
      <c r="Q9" s="13" t="n">
        <f aca="false">Q7+Q8</f>
        <v>50.0814588229017</v>
      </c>
      <c r="R9" s="13" t="n">
        <f aca="false">R7+R8</f>
        <v>50.7123594836247</v>
      </c>
      <c r="S9" s="13" t="n">
        <f aca="false">S7+S8</f>
        <v>50.3208733409513</v>
      </c>
      <c r="T9" s="13" t="n">
        <f aca="false">T7+T8</f>
        <v>50.8808059536296</v>
      </c>
      <c r="U9" s="13" t="n">
        <f aca="false">U7+U8</f>
        <v>50.6408491804221</v>
      </c>
      <c r="V9" s="13" t="n">
        <f aca="false">V7+V8</f>
        <v>51.6140752654512</v>
      </c>
      <c r="W9" s="13" t="n">
        <f aca="false">W7+W8</f>
        <v>51.2582893409178</v>
      </c>
      <c r="X9" s="13" t="n">
        <f aca="false">X7+X8</f>
        <v>49.7689901576834</v>
      </c>
      <c r="Y9" s="13" t="n">
        <f aca="false">Y7+Y8</f>
        <v>49.2891272503712</v>
      </c>
      <c r="Z9" s="13" t="n">
        <f aca="false">Z7+Z8</f>
        <v>49.696509489457</v>
      </c>
      <c r="AA9" s="13" t="n">
        <f aca="false">AA7+AA8</f>
        <v>49.297678905129</v>
      </c>
      <c r="AB9" s="13" t="n">
        <f aca="false">AB7+AB8</f>
        <v>49.874356237718</v>
      </c>
      <c r="AC9" s="13" t="n">
        <f aca="false">AC7+AC8</f>
        <v>49.6751594967649</v>
      </c>
      <c r="AD9" s="13" t="n">
        <f aca="false">AD7+AD8</f>
        <v>51.5958375670416</v>
      </c>
      <c r="AE9" s="13" t="n">
        <f aca="false">AE7+AE8</f>
        <v>51.6807450825143</v>
      </c>
      <c r="AF9" s="13" t="n">
        <f aca="false">AF7+AF8</f>
        <v>51.827794902836</v>
      </c>
      <c r="AG9" s="13" t="n">
        <f aca="false">AG7+AG8</f>
        <v>51.4593399100083</v>
      </c>
      <c r="AH9" s="13" t="n">
        <f aca="false">AH7+AH8</f>
        <v>52.1282668444313</v>
      </c>
      <c r="AI9" s="13" t="n">
        <f aca="false">AI7+AI8</f>
        <v>51.7231913979912</v>
      </c>
      <c r="AJ9" s="13" t="n">
        <f aca="false">AJ7+AJ8</f>
        <v>52.3198470771804</v>
      </c>
      <c r="AK9" s="13" t="n">
        <f aca="false">AK7+AK8</f>
        <v>52.0861967059731</v>
      </c>
      <c r="AL9" s="13" t="n">
        <f aca="false">AL7+AL8</f>
        <v>53.203032576821</v>
      </c>
      <c r="AM9" s="13" t="n">
        <f aca="false">AM7+AM8</f>
        <v>52.8291053787476</v>
      </c>
      <c r="AN9" s="13" t="n">
        <f aca="false">AN7+AN8</f>
        <v>44.8314695763458</v>
      </c>
      <c r="AO9" s="13" t="n">
        <f aca="false">AO7+AO8</f>
        <v>41.614124645743</v>
      </c>
      <c r="AP9" s="13" t="n">
        <f aca="false">AP7+AP8</f>
        <v>41.5609454433001</v>
      </c>
      <c r="AQ9" s="13" t="n">
        <f aca="false">AQ7+AQ8</f>
        <v>41.1169125242327</v>
      </c>
      <c r="AR9" s="13" t="n">
        <f aca="false">AR7+AR8</f>
        <v>41.7090833011676</v>
      </c>
      <c r="AS9" s="13" t="n">
        <f aca="false">AS7+AS8</f>
        <v>41.4481761632091</v>
      </c>
      <c r="AT9" s="13" t="n">
        <f aca="false">AT7+AT8</f>
        <v>48.1878325750925</v>
      </c>
      <c r="AU9" s="13" t="n">
        <f aca="false">AU7+AU8</f>
        <v>43.7548224395722</v>
      </c>
      <c r="AV9" s="13" t="n">
        <f aca="false">AV7+AV8</f>
        <v>43.8671815918655</v>
      </c>
      <c r="AW9" s="13" t="n">
        <f aca="false">AW7+AW8</f>
        <v>43.4412295583817</v>
      </c>
      <c r="AX9" s="13" t="n">
        <f aca="false">AX7+AX8</f>
        <v>44.1147591302012</v>
      </c>
      <c r="AY9" s="13" t="n">
        <f aca="false">AY7+AY8</f>
        <v>43.6610794841665</v>
      </c>
      <c r="AZ9" s="13" t="n">
        <f aca="false">AZ7+AZ8</f>
        <v>44.2745476777494</v>
      </c>
      <c r="BA9" s="13" t="n">
        <f aca="false">BA7+BA8</f>
        <v>43.9805082983886</v>
      </c>
      <c r="BB9" s="13" t="n">
        <f aca="false">BB7+BB8</f>
        <v>46.2313812707367</v>
      </c>
      <c r="BC9" s="13" t="n">
        <f aca="false">BC7+BC8</f>
        <v>42.836615964144</v>
      </c>
      <c r="BD9" s="13" t="n">
        <f aca="false">BD7+BD8</f>
        <v>36.7299853515517</v>
      </c>
      <c r="BE9" s="13" t="n">
        <f aca="false">BE7+BE8</f>
        <v>36.2973348310723</v>
      </c>
      <c r="BF9" s="13" t="n">
        <f aca="false">BF7+BF8</f>
        <v>37.0003090360517</v>
      </c>
      <c r="BG9" s="13" t="n">
        <f aca="false">BG7+BG8</f>
        <v>36.5361768568786</v>
      </c>
      <c r="BH9" s="13" t="n">
        <f aca="false">BH7+BH8</f>
        <v>37.1726774587577</v>
      </c>
      <c r="BI9" s="13" t="n">
        <f aca="false">BI7+BI8</f>
        <v>36.9167418861852</v>
      </c>
      <c r="BJ9" s="13" t="n">
        <f aca="false">BJ7+BJ8</f>
        <v>44.9482540758811</v>
      </c>
      <c r="BK9" s="13" t="n">
        <f aca="false">BK7+BK8</f>
        <v>39.7034529868818</v>
      </c>
      <c r="BL9" s="13" t="n">
        <f aca="false">BL7+BL8</f>
        <v>40.4389537459228</v>
      </c>
      <c r="BM9" s="13" t="n">
        <f aca="false">BM7+BM8</f>
        <v>36.7797194493219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847.692466535827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36.3985302194347</v>
      </c>
      <c r="AC10" s="13" t="n">
        <f aca="false">Debt!AC114+Debt!AC110</f>
        <v>35.5155429659733</v>
      </c>
      <c r="AD10" s="13" t="n">
        <f aca="false">Debt!AD114+Debt!AD110</f>
        <v>36.0865002765819</v>
      </c>
      <c r="AE10" s="13" t="n">
        <f aca="false">Debt!AE114+Debt!AE110</f>
        <v>35.1506881852873</v>
      </c>
      <c r="AF10" s="13" t="n">
        <f aca="false">Debt!AF114+Debt!AF110</f>
        <v>34.0856207550851</v>
      </c>
      <c r="AG10" s="13" t="n">
        <f aca="false">Debt!AG114+Debt!AG110</f>
        <v>32.4240868881705</v>
      </c>
      <c r="AH10" s="13" t="n">
        <f aca="false">Debt!AH114+Debt!AH110</f>
        <v>31.1832208199342</v>
      </c>
      <c r="AI10" s="13" t="n">
        <f aca="false">Debt!AI114+Debt!AI110</f>
        <v>28.8993064708557</v>
      </c>
      <c r="AJ10" s="13" t="n">
        <f aca="false">Debt!AJ114+Debt!AJ110</f>
        <v>26.5990127043238</v>
      </c>
      <c r="AK10" s="13" t="n">
        <f aca="false">Debt!AK114+Debt!AK110</f>
        <v>22.9589529074698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1.90730237486994</v>
      </c>
      <c r="P13" s="13" t="n">
        <f aca="false">MAX(0,P9-P10)</f>
        <v>14.8608494959045</v>
      </c>
      <c r="Q13" s="13" t="n">
        <f aca="false">MAX(0,Q9-Q10)</f>
        <v>12.924442368171</v>
      </c>
      <c r="R13" s="13" t="n">
        <f aca="false">MAX(0,R9-R10)</f>
        <v>13.0875743964661</v>
      </c>
      <c r="S13" s="13" t="n">
        <f aca="false">MAX(0,S9-S10)</f>
        <v>12.9875608488075</v>
      </c>
      <c r="T13" s="13" t="n">
        <f aca="false">MAX(0,T9-T10)</f>
        <v>13.1295881723914</v>
      </c>
      <c r="U13" s="13" t="n">
        <f aca="false">MAX(0,U9-U10)</f>
        <v>13.0701564259917</v>
      </c>
      <c r="V13" s="13" t="n">
        <f aca="false">MAX(0,V9-V10)</f>
        <v>13.3261550307684</v>
      </c>
      <c r="W13" s="13" t="n">
        <f aca="false">MAX(0,W9-W10)</f>
        <v>13.2350619154073</v>
      </c>
      <c r="X13" s="13" t="n">
        <f aca="false">MAX(0,X9-X10)</f>
        <v>12.8421950835329</v>
      </c>
      <c r="Y13" s="13" t="n">
        <f aca="false">MAX(0,Y9-Y10)</f>
        <v>12.7187352061569</v>
      </c>
      <c r="Z13" s="13" t="n">
        <f aca="false">MAX(0,Z9-Z10)</f>
        <v>12.8251463813465</v>
      </c>
      <c r="AA13" s="13" t="n">
        <f aca="false">MAX(0,AA9-AA10)</f>
        <v>12.7233915505774</v>
      </c>
      <c r="AB13" s="13" t="n">
        <f aca="false">MAX(0,AB9-AB10)</f>
        <v>13.4758260182833</v>
      </c>
      <c r="AC13" s="13" t="n">
        <f aca="false">MAX(0,AC9-AC10)</f>
        <v>14.1596165307916</v>
      </c>
      <c r="AD13" s="13" t="n">
        <f aca="false">MAX(0,AD9-AD10)</f>
        <v>15.5093372904598</v>
      </c>
      <c r="AE13" s="13" t="n">
        <f aca="false">MAX(0,AE9-AE10)</f>
        <v>16.5300568972271</v>
      </c>
      <c r="AF13" s="13" t="n">
        <f aca="false">MAX(0,AF9-AF10)</f>
        <v>17.7421741477509</v>
      </c>
      <c r="AG13" s="13" t="n">
        <f aca="false">MAX(0,AG9-AG10)</f>
        <v>19.0352530218378</v>
      </c>
      <c r="AH13" s="13" t="n">
        <f aca="false">MAX(0,AH9-AH10)</f>
        <v>20.9450460244971</v>
      </c>
      <c r="AI13" s="13" t="n">
        <f aca="false">MAX(0,AI9-AI10)</f>
        <v>22.8238849271355</v>
      </c>
      <c r="AJ13" s="13" t="n">
        <f aca="false">MAX(0,AJ9-AJ10)</f>
        <v>25.7208343728565</v>
      </c>
      <c r="AK13" s="13" t="n">
        <f aca="false">MAX(0,AK9-AK10)</f>
        <v>29.1272437985033</v>
      </c>
      <c r="AL13" s="13" t="n">
        <f aca="false">MAX(0,AL9-AL10)</f>
        <v>31.3688451540947</v>
      </c>
      <c r="AM13" s="13" t="n">
        <f aca="false">MAX(0,AM9-AM10)</f>
        <v>31.0629410584964</v>
      </c>
      <c r="AN13" s="13" t="n">
        <f aca="false">MAX(0,AN9-AN10)</f>
        <v>26.0009203001386</v>
      </c>
      <c r="AO13" s="13" t="n">
        <f aca="false">MAX(0,AO9-AO10)</f>
        <v>23.5909265697348</v>
      </c>
      <c r="AP13" s="13" t="n">
        <f aca="false">MAX(0,AP9-AP10)</f>
        <v>41.5609454433001</v>
      </c>
      <c r="AQ13" s="13" t="n">
        <f aca="false">MAX(0,AQ9-AQ10)</f>
        <v>41.1169125242327</v>
      </c>
      <c r="AR13" s="13" t="n">
        <f aca="false">MAX(0,AR9-AR10)</f>
        <v>41.7090833011676</v>
      </c>
      <c r="AS13" s="13" t="n">
        <f aca="false">MAX(0,AS9-AS10)</f>
        <v>41.4481761632091</v>
      </c>
      <c r="AT13" s="13" t="n">
        <f aca="false">MAX(0,AT9-AT10)</f>
        <v>48.1878325750925</v>
      </c>
      <c r="AU13" s="13" t="n">
        <f aca="false">MAX(0,AU9-AU10)</f>
        <v>43.7548224395722</v>
      </c>
      <c r="AV13" s="13" t="n">
        <f aca="false">MAX(0,AV9-AV10)</f>
        <v>43.8671815918655</v>
      </c>
      <c r="AW13" s="13" t="n">
        <f aca="false">MAX(0,AW9-AW10)</f>
        <v>43.4412295583817</v>
      </c>
      <c r="AX13" s="13" t="n">
        <f aca="false">MAX(0,AX9-AX10)</f>
        <v>44.1147591302012</v>
      </c>
      <c r="AY13" s="13" t="n">
        <f aca="false">MAX(0,AY9-AY10)</f>
        <v>43.6610794841665</v>
      </c>
      <c r="AZ13" s="13" t="n">
        <f aca="false">MAX(0,AZ9-AZ10)</f>
        <v>44.2745476777494</v>
      </c>
      <c r="BA13" s="13" t="n">
        <f aca="false">MAX(0,BA9-BA10)</f>
        <v>43.9805082983886</v>
      </c>
      <c r="BB13" s="13" t="n">
        <f aca="false">MAX(0,BB9-BB10)</f>
        <v>46.2313812707367</v>
      </c>
      <c r="BC13" s="13" t="n">
        <f aca="false">MAX(0,BC9-BC10)</f>
        <v>42.836615964144</v>
      </c>
      <c r="BD13" s="13" t="n">
        <f aca="false">MAX(0,BD9-BD10)</f>
        <v>36.7299853515517</v>
      </c>
      <c r="BE13" s="13" t="n">
        <f aca="false">MAX(0,BE9-BE10)</f>
        <v>36.2973348310723</v>
      </c>
      <c r="BF13" s="13" t="n">
        <f aca="false">MAX(0,BF9-BF10)</f>
        <v>37.0003090360517</v>
      </c>
      <c r="BG13" s="13" t="n">
        <f aca="false">MAX(0,BG9-BG10)</f>
        <v>36.5361768568786</v>
      </c>
      <c r="BH13" s="13" t="n">
        <f aca="false">MAX(0,BH9-BH10)</f>
        <v>37.1726774587577</v>
      </c>
      <c r="BI13" s="13" t="n">
        <f aca="false">MAX(0,BI9-BI10)</f>
        <v>36.9167418861852</v>
      </c>
      <c r="BJ13" s="13" t="n">
        <f aca="false">MAX(0,BJ9-BJ10)</f>
        <v>44.9482540758811</v>
      </c>
      <c r="BK13" s="13" t="n">
        <f aca="false">MAX(0,BK9-BK10)</f>
        <v>39.7034529868818</v>
      </c>
      <c r="BL13" s="13" t="n">
        <f aca="false">MAX(0,BL9-BL10)</f>
        <v>40.4389537459228</v>
      </c>
      <c r="BM13" s="13" t="n">
        <f aca="false">MAX(0,BM9-BM10)</f>
        <v>36.7797194493219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1.90730237486898</v>
      </c>
      <c r="P14" s="13" t="n">
        <f aca="false">P13-Reserves!P11+Reserves!P12</f>
        <v>14.9497284777696</v>
      </c>
      <c r="Q14" s="13" t="n">
        <f aca="false">Q13-Reserves!Q11+Reserves!Q12</f>
        <v>12.4566737357431</v>
      </c>
      <c r="R14" s="13" t="n">
        <f aca="false">R13-Reserves!R11+Reserves!R12</f>
        <v>13.3790469914809</v>
      </c>
      <c r="S14" s="13" t="n">
        <f aca="false">S13-Reserves!S11+Reserves!S12</f>
        <v>12.5696555597131</v>
      </c>
      <c r="T14" s="13" t="n">
        <f aca="false">T13-Reserves!T11+Reserves!T12</f>
        <v>13.3101131991992</v>
      </c>
      <c r="U14" s="13" t="n">
        <f aca="false">U13-Reserves!U11+Reserves!U12</f>
        <v>12.3529289457393</v>
      </c>
      <c r="V14" s="13" t="n">
        <f aca="false">V13-Reserves!V11+Reserves!V12</f>
        <v>13.5908478399407</v>
      </c>
      <c r="W14" s="13" t="n">
        <f aca="false">W13-Reserves!W11+Reserves!W12</f>
        <v>14.3314942667673</v>
      </c>
      <c r="X14" s="13" t="n">
        <f aca="false">X13-Reserves!X11+Reserves!X12</f>
        <v>13.198598113469</v>
      </c>
      <c r="Y14" s="13" t="n">
        <f aca="false">Y13-Reserves!Y11+Reserves!Y12</f>
        <v>12.4177641422608</v>
      </c>
      <c r="Z14" s="13" t="n">
        <f aca="false">Z13-Reserves!Z11+Reserves!Z12</f>
        <v>13.1222221349054</v>
      </c>
      <c r="AA14" s="13" t="n">
        <f aca="false">AA13-Reserves!AA11+Reserves!AA12</f>
        <v>12.2929302735199</v>
      </c>
      <c r="AB14" s="13" t="n">
        <f aca="false">AB13-Reserves!AB11+Reserves!AB12</f>
        <v>14.2306145212763</v>
      </c>
      <c r="AC14" s="13" t="n">
        <f aca="false">AC13-Reserves!AC11+Reserves!AC12</f>
        <v>13.5461070351877</v>
      </c>
      <c r="AD14" s="13" t="n">
        <f aca="false">AD13-Reserves!AD11+Reserves!AD12</f>
        <v>16.2256085250493</v>
      </c>
      <c r="AE14" s="13" t="n">
        <f aca="false">AE13-Reserves!AE11+Reserves!AE12</f>
        <v>17.4276785067242</v>
      </c>
      <c r="AF14" s="13" t="n">
        <f aca="false">AF13-Reserves!AF11+Reserves!AF12</f>
        <v>19.1712915252635</v>
      </c>
      <c r="AG14" s="13" t="n">
        <f aca="false">AG13-Reserves!AG11+Reserves!AG12</f>
        <v>20.0334496918679</v>
      </c>
      <c r="AH14" s="13" t="n">
        <f aca="false">AH13-Reserves!AH11+Reserves!AH12</f>
        <v>22.7942187154453</v>
      </c>
      <c r="AI14" s="13" t="n">
        <f aca="false">AI13-Reserves!AI11+Reserves!AI12</f>
        <v>24.5873829556976</v>
      </c>
      <c r="AJ14" s="13" t="n">
        <f aca="false">AJ13-Reserves!AJ11+Reserves!AJ12</f>
        <v>28.4080829468838</v>
      </c>
      <c r="AK14" s="13" t="n">
        <f aca="false">AK13-Reserves!AK11+Reserves!AK12</f>
        <v>32.2526803285267</v>
      </c>
      <c r="AL14" s="13" t="n">
        <f aca="false">AL13-Reserves!AL11+Reserves!AL12</f>
        <v>32.9995877428729</v>
      </c>
      <c r="AM14" s="13" t="n">
        <f aca="false">AM13-Reserves!AM11+Reserves!AM12</f>
        <v>33.9985561025404</v>
      </c>
      <c r="AN14" s="13" t="n">
        <f aca="false">AN13-Reserves!AN11+Reserves!AN12</f>
        <v>26.8082715003376</v>
      </c>
      <c r="AO14" s="13" t="n">
        <f aca="false">AO13-Reserves!AO11+Reserves!AO12</f>
        <v>41.614124645743</v>
      </c>
      <c r="AP14" s="13" t="n">
        <f aca="false">AP13-Reserves!AP11+Reserves!AP12</f>
        <v>41.5609454433001</v>
      </c>
      <c r="AQ14" s="13" t="n">
        <f aca="false">AQ13-Reserves!AQ11+Reserves!AQ12</f>
        <v>41.1169125242327</v>
      </c>
      <c r="AR14" s="13" t="n">
        <f aca="false">AR13-Reserves!AR11+Reserves!AR12</f>
        <v>41.7090833011676</v>
      </c>
      <c r="AS14" s="13" t="n">
        <f aca="false">AS13-Reserves!AS11+Reserves!AS12</f>
        <v>41.4481761632091</v>
      </c>
      <c r="AT14" s="13" t="n">
        <f aca="false">AT13-Reserves!AT11+Reserves!AT12</f>
        <v>48.1878325750925</v>
      </c>
      <c r="AU14" s="13" t="n">
        <f aca="false">AU13-Reserves!AU11+Reserves!AU12</f>
        <v>43.7548224395722</v>
      </c>
      <c r="AV14" s="13" t="n">
        <f aca="false">AV13-Reserves!AV11+Reserves!AV12</f>
        <v>43.8671815918655</v>
      </c>
      <c r="AW14" s="13" t="n">
        <f aca="false">AW13-Reserves!AW11+Reserves!AW12</f>
        <v>43.4412295583817</v>
      </c>
      <c r="AX14" s="13" t="n">
        <f aca="false">AX13-Reserves!AX11+Reserves!AX12</f>
        <v>44.1147591302012</v>
      </c>
      <c r="AY14" s="13" t="n">
        <f aca="false">AY13-Reserves!AY11+Reserves!AY12</f>
        <v>43.6610794841665</v>
      </c>
      <c r="AZ14" s="13" t="n">
        <f aca="false">AZ13-Reserves!AZ11+Reserves!AZ12</f>
        <v>44.2745476777494</v>
      </c>
      <c r="BA14" s="13" t="n">
        <f aca="false">BA13-Reserves!BA11+Reserves!BA12</f>
        <v>43.9805082983886</v>
      </c>
      <c r="BB14" s="13" t="n">
        <f aca="false">BB13-Reserves!BB11+Reserves!BB12</f>
        <v>46.2313812707367</v>
      </c>
      <c r="BC14" s="13" t="n">
        <f aca="false">BC13-Reserves!BC11+Reserves!BC12</f>
        <v>42.836615964144</v>
      </c>
      <c r="BD14" s="13" t="n">
        <f aca="false">BD13-Reserves!BD11+Reserves!BD12</f>
        <v>36.7299853515517</v>
      </c>
      <c r="BE14" s="13" t="n">
        <f aca="false">BE13-Reserves!BE11+Reserves!BE12</f>
        <v>36.2973348310723</v>
      </c>
      <c r="BF14" s="13" t="n">
        <f aca="false">BF13-Reserves!BF11+Reserves!BF12</f>
        <v>37.0003090360517</v>
      </c>
      <c r="BG14" s="13" t="n">
        <f aca="false">BG13-Reserves!BG11+Reserves!BG12</f>
        <v>36.5361768568786</v>
      </c>
      <c r="BH14" s="13" t="n">
        <f aca="false">BH13-Reserves!BH11+Reserves!BH12</f>
        <v>37.1726774587577</v>
      </c>
      <c r="BI14" s="13" t="n">
        <f aca="false">BI13-Reserves!BI11+Reserves!BI12</f>
        <v>36.9167418861852</v>
      </c>
      <c r="BJ14" s="13" t="n">
        <f aca="false">BJ13-Reserves!BJ11+Reserves!BJ12</f>
        <v>44.9482540758811</v>
      </c>
      <c r="BK14" s="13" t="n">
        <f aca="false">BK13-Reserves!BK11+Reserves!BK12</f>
        <v>39.7034529868818</v>
      </c>
      <c r="BL14" s="13" t="n">
        <f aca="false">BL13-Reserves!BL11+Reserves!BL12</f>
        <v>40.4389537459228</v>
      </c>
      <c r="BM14" s="13" t="n">
        <f aca="false">BM13-Reserves!BM11+Reserves!BM12</f>
        <v>36.7797194493219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1.90730237486898</v>
      </c>
      <c r="P15" s="13" t="n">
        <f aca="false">P14-Reserves!P14+Reserves!P15</f>
        <v>14.9497284777696</v>
      </c>
      <c r="Q15" s="13" t="n">
        <f aca="false">Q14-Reserves!Q14+Reserves!Q15</f>
        <v>12.4566737357431</v>
      </c>
      <c r="R15" s="13" t="n">
        <f aca="false">R14-Reserves!R14+Reserves!R15</f>
        <v>13.3790469914809</v>
      </c>
      <c r="S15" s="13" t="n">
        <f aca="false">S14-Reserves!S14+Reserves!S15</f>
        <v>12.5696555597131</v>
      </c>
      <c r="T15" s="13" t="n">
        <f aca="false">T14-Reserves!T14+Reserves!T15</f>
        <v>13.3101131991992</v>
      </c>
      <c r="U15" s="13" t="n">
        <f aca="false">U14-Reserves!U14+Reserves!U15</f>
        <v>12.3529289457393</v>
      </c>
      <c r="V15" s="13" t="n">
        <f aca="false">V14-Reserves!V14+Reserves!V15</f>
        <v>13.5908478399407</v>
      </c>
      <c r="W15" s="13" t="n">
        <f aca="false">W14-Reserves!W14+Reserves!W15</f>
        <v>14.3314942667673</v>
      </c>
      <c r="X15" s="13" t="n">
        <f aca="false">X14-Reserves!X14+Reserves!X15</f>
        <v>13.198598113469</v>
      </c>
      <c r="Y15" s="13" t="n">
        <f aca="false">Y14-Reserves!Y14+Reserves!Y15</f>
        <v>12.4177641422608</v>
      </c>
      <c r="Z15" s="13" t="n">
        <f aca="false">Z14-Reserves!Z14+Reserves!Z15</f>
        <v>13.1222221349054</v>
      </c>
      <c r="AA15" s="13" t="n">
        <f aca="false">AA14-Reserves!AA14+Reserves!AA15</f>
        <v>12.2929302735199</v>
      </c>
      <c r="AB15" s="13" t="n">
        <f aca="false">AB14-Reserves!AB14+Reserves!AB15</f>
        <v>14.2306145212763</v>
      </c>
      <c r="AC15" s="13" t="n">
        <f aca="false">AC14-Reserves!AC14+Reserves!AC15</f>
        <v>13.5461070351877</v>
      </c>
      <c r="AD15" s="13" t="n">
        <f aca="false">AD14-Reserves!AD14+Reserves!AD15</f>
        <v>16.2256085250493</v>
      </c>
      <c r="AE15" s="13" t="n">
        <f aca="false">AE14-Reserves!AE14+Reserves!AE15</f>
        <v>17.4276785067242</v>
      </c>
      <c r="AF15" s="13" t="n">
        <f aca="false">AF14-Reserves!AF14+Reserves!AF15</f>
        <v>19.1712915252635</v>
      </c>
      <c r="AG15" s="13" t="n">
        <f aca="false">AG14-Reserves!AG14+Reserves!AG15</f>
        <v>20.0334496918679</v>
      </c>
      <c r="AH15" s="13" t="n">
        <f aca="false">AH14-Reserves!AH14+Reserves!AH15</f>
        <v>22.7942187154453</v>
      </c>
      <c r="AI15" s="13" t="n">
        <f aca="false">AI14-Reserves!AI14+Reserves!AI15</f>
        <v>24.5873829556976</v>
      </c>
      <c r="AJ15" s="13" t="n">
        <f aca="false">AJ14-Reserves!AJ14+Reserves!AJ15</f>
        <v>28.4080829468838</v>
      </c>
      <c r="AK15" s="13" t="n">
        <f aca="false">AK14-Reserves!AK14+Reserves!AK15</f>
        <v>32.2526803285267</v>
      </c>
      <c r="AL15" s="13" t="n">
        <f aca="false">AL14-Reserves!AL14+Reserves!AL15</f>
        <v>32.9995877428729</v>
      </c>
      <c r="AM15" s="13" t="n">
        <f aca="false">AM14-Reserves!AM14+Reserves!AM15</f>
        <v>33.9985561025404</v>
      </c>
      <c r="AN15" s="13" t="n">
        <f aca="false">AN14-Reserves!AN14+Reserves!AN15</f>
        <v>26.8082715003376</v>
      </c>
      <c r="AO15" s="13" t="n">
        <f aca="false">AO14-Reserves!AO14+Reserves!AO15</f>
        <v>41.614124645743</v>
      </c>
      <c r="AP15" s="13" t="n">
        <f aca="false">AP14-Reserves!AP14+Reserves!AP15</f>
        <v>41.5609454433001</v>
      </c>
      <c r="AQ15" s="13" t="n">
        <f aca="false">AQ14-Reserves!AQ14+Reserves!AQ15</f>
        <v>41.1169125242327</v>
      </c>
      <c r="AR15" s="13" t="n">
        <f aca="false">AR14-Reserves!AR14+Reserves!AR15</f>
        <v>41.7090833011676</v>
      </c>
      <c r="AS15" s="13" t="n">
        <f aca="false">AS14-Reserves!AS14+Reserves!AS15</f>
        <v>41.4481761632091</v>
      </c>
      <c r="AT15" s="13" t="n">
        <f aca="false">AT14-Reserves!AT14+Reserves!AT15</f>
        <v>48.1878325750925</v>
      </c>
      <c r="AU15" s="13" t="n">
        <f aca="false">AU14-Reserves!AU14+Reserves!AU15</f>
        <v>43.7548224395722</v>
      </c>
      <c r="AV15" s="13" t="n">
        <f aca="false">AV14-Reserves!AV14+Reserves!AV15</f>
        <v>43.8671815918655</v>
      </c>
      <c r="AW15" s="13" t="n">
        <f aca="false">AW14-Reserves!AW14+Reserves!AW15</f>
        <v>43.4412295583817</v>
      </c>
      <c r="AX15" s="13" t="n">
        <f aca="false">AX14-Reserves!AX14+Reserves!AX15</f>
        <v>44.1147591302012</v>
      </c>
      <c r="AY15" s="13" t="n">
        <f aca="false">AY14-Reserves!AY14+Reserves!AY15</f>
        <v>43.6610794841665</v>
      </c>
      <c r="AZ15" s="13" t="n">
        <f aca="false">AZ14-Reserves!AZ14+Reserves!AZ15</f>
        <v>44.2745476777494</v>
      </c>
      <c r="BA15" s="13" t="n">
        <f aca="false">BA14-Reserves!BA14+Reserves!BA15</f>
        <v>43.4855399117799</v>
      </c>
      <c r="BB15" s="13" t="n">
        <f aca="false">BB14-Reserves!BB14+Reserves!BB15</f>
        <v>44.7302310160923</v>
      </c>
      <c r="BC15" s="13" t="n">
        <f aca="false">BC14-Reserves!BC14+Reserves!BC15</f>
        <v>41.3190428908018</v>
      </c>
      <c r="BD15" s="13" t="n">
        <f aca="false">BD14-Reserves!BD14+Reserves!BD15</f>
        <v>35.1958097913051</v>
      </c>
      <c r="BE15" s="13" t="n">
        <f aca="false">BE14-Reserves!BE14+Reserves!BE15</f>
        <v>34.7463751501165</v>
      </c>
      <c r="BF15" s="13" t="n">
        <f aca="false">BF14-Reserves!BF14+Reserves!BF15</f>
        <v>35.4323816134796</v>
      </c>
      <c r="BG15" s="13" t="n">
        <f aca="false">BG14-Reserves!BG14+Reserves!BG15</f>
        <v>34.9510960629418</v>
      </c>
      <c r="BH15" s="13" t="n">
        <f aca="false">BH14-Reserves!BH14+Reserves!BH15</f>
        <v>35.5702556328891</v>
      </c>
      <c r="BI15" s="13" t="n">
        <f aca="false">BI14-Reserves!BI14+Reserves!BI15</f>
        <v>35.2967893147818</v>
      </c>
      <c r="BJ15" s="13" t="n">
        <f aca="false">BJ14-Reserves!BJ14+Reserves!BJ15</f>
        <v>43.3105789698434</v>
      </c>
      <c r="BK15" s="13" t="n">
        <f aca="false">BK14-Reserves!BK14+Reserves!BK15</f>
        <v>38.0478614589076</v>
      </c>
      <c r="BL15" s="13" t="n">
        <f aca="false">BL14-Reserves!BL14+Reserves!BL15</f>
        <v>38.7652497875522</v>
      </c>
      <c r="BM15" s="13" t="n">
        <f aca="false">BM14-Reserves!BM14+Reserves!BM15</f>
        <v>54.7208996112829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1.34778455368556</v>
      </c>
      <c r="Q17" s="3" t="n">
        <f aca="false">IF(Debt!Q114&gt;Inputs!$F$253,Q7/Debt!Q114,0)</f>
        <v>1.34783315780795</v>
      </c>
      <c r="R17" s="3" t="n">
        <f aca="false">IF(Debt!R114&gt;Inputs!$F$253,R7/Debt!R114,0)</f>
        <v>1.34784449575322</v>
      </c>
      <c r="S17" s="3" t="n">
        <f aca="false">IF(Debt!S114&gt;Inputs!$F$253,S7/Debt!S114,0)</f>
        <v>1.34788128836788</v>
      </c>
      <c r="T17" s="3" t="n">
        <f aca="false">IF(Debt!T114&gt;Inputs!$F$253,T7/Debt!T114,0)</f>
        <v>1.34779244072271</v>
      </c>
      <c r="U17" s="3" t="n">
        <f aca="false">IF(Debt!U114&gt;Inputs!$F$253,U7/Debt!U114,0)</f>
        <v>1.34788169894606</v>
      </c>
      <c r="V17" s="3" t="n">
        <f aca="false">IF(Debt!V114&gt;Inputs!$F$253,V7/Debt!V114,0)</f>
        <v>1.34805115945413</v>
      </c>
      <c r="W17" s="3" t="n">
        <f aca="false">IF(Debt!W114&gt;Inputs!$F$253,W7/Debt!W114,0)</f>
        <v>1.34807834083352</v>
      </c>
      <c r="X17" s="3" t="n">
        <f aca="false">IF(Debt!X114&gt;Inputs!$F$253,X7/Debt!X114,0)</f>
        <v>1.3477744293201</v>
      </c>
      <c r="Y17" s="3" t="n">
        <f aca="false">IF(Debt!Y114&gt;Inputs!$F$253,Y7/Debt!Y114,0)</f>
        <v>1.34778777298257</v>
      </c>
      <c r="Z17" s="3" t="n">
        <f aca="false">IF(Debt!Z114&gt;Inputs!$F$253,Z7/Debt!Z114,0)</f>
        <v>1.34783488594501</v>
      </c>
      <c r="AA17" s="3" t="n">
        <f aca="false">IF(Debt!AA114&gt;Inputs!$F$253,AA7/Debt!AA114,0)</f>
        <v>1.34787804413622</v>
      </c>
      <c r="AB17" s="3" t="n">
        <f aca="false">IF(Debt!AB114&gt;Inputs!$F$253,AB7/Debt!AB114,0)</f>
        <v>1.37022994986451</v>
      </c>
      <c r="AC17" s="3" t="n">
        <f aca="false">IF(Debt!AC114&gt;Inputs!$F$253,AC7/Debt!AC114,0)</f>
        <v>1.39868787996167</v>
      </c>
      <c r="AD17" s="3" t="n">
        <f aca="false">IF(Debt!AD114&gt;Inputs!$F$253,AD7/Debt!AD114,0)</f>
        <v>1.429782250193</v>
      </c>
      <c r="AE17" s="3" t="n">
        <f aca="false">IF(Debt!AE114&gt;Inputs!$F$253,AE7/Debt!AE114,0)</f>
        <v>1.47026268191659</v>
      </c>
      <c r="AF17" s="3" t="n">
        <f aca="false">IF(Debt!AF114&gt;Inputs!$F$253,AF7/Debt!AF114,0)</f>
        <v>1.52051785341489</v>
      </c>
      <c r="AG17" s="3" t="n">
        <f aca="false">IF(Debt!AG114&gt;Inputs!$F$253,AG7/Debt!AG114,0)</f>
        <v>1.58707136726748</v>
      </c>
      <c r="AH17" s="3" t="n">
        <f aca="false">IF(Debt!AH114&gt;Inputs!$F$253,AH7/Debt!AH114,0)</f>
        <v>1.67167680161851</v>
      </c>
      <c r="AI17" s="3" t="n">
        <f aca="false">IF(Debt!AI114&gt;Inputs!$F$253,AI7/Debt!AI114,0)</f>
        <v>1.78977275631693</v>
      </c>
      <c r="AJ17" s="3" t="n">
        <f aca="false">IF(Debt!AJ114&gt;Inputs!$F$253,AJ7/Debt!AJ114,0)</f>
        <v>1.96698455159862</v>
      </c>
      <c r="AK17" s="3" t="n">
        <f aca="false">IF(Debt!AK114&gt;Inputs!$F$253,AK7/Debt!AK114,0)</f>
        <v>2.26866603698755</v>
      </c>
      <c r="AL17" s="3" t="n">
        <f aca="false">IF(Debt!AL114&gt;Inputs!$F$253,AL7/Debt!AL114,0)</f>
        <v>2.43668479832888</v>
      </c>
      <c r="AM17" s="3" t="n">
        <f aca="false">IF(Debt!AM114&gt;Inputs!$F$253,AM7/Debt!AM114,0)</f>
        <v>2.42712058043206</v>
      </c>
      <c r="AN17" s="3" t="n">
        <f aca="false">IF(Debt!AN114&gt;Inputs!$F$253,AN7/Debt!AN114,0)</f>
        <v>2.38078395477243</v>
      </c>
      <c r="AO17" s="3" t="n">
        <f aca="false">IF(Debt!AO114&gt;Inputs!$F$253,AO7/Debt!AO114,0)</f>
        <v>2.30892011896258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1.34778455368556</v>
      </c>
      <c r="Q18" s="3" t="n">
        <f aca="false">IF(Debt!Q114&gt;Inputs!$F$253,IF(Debt!P114&gt;Inputs!$F$253,(Q7+P7)/(Debt!Q114+Debt!P114),Q17),0)</f>
        <v>1.34780882671641</v>
      </c>
      <c r="R18" s="3" t="n">
        <f aca="false">IF(Debt!R114&gt;Inputs!$F$253,IF(Debt!Q114&gt;Inputs!$F$253,(R7+Q7)/(Debt!R114+Debt!Q114),R17),0)</f>
        <v>1.34783886224065</v>
      </c>
      <c r="S18" s="3" t="n">
        <f aca="false">IF(Debt!S114&gt;Inputs!$F$253,IF(Debt!R114&gt;Inputs!$F$253,(S7+R7)/(Debt!S114+Debt!R114),S17),0)</f>
        <v>1.34786282052699</v>
      </c>
      <c r="T18" s="3" t="n">
        <f aca="false">IF(Debt!T114&gt;Inputs!$F$253,IF(Debt!S114&gt;Inputs!$F$253,(T7+S7)/(Debt!T114+Debt!S114),T17),0)</f>
        <v>1.34783661729129</v>
      </c>
      <c r="U18" s="3" t="n">
        <f aca="false">IF(Debt!U114&gt;Inputs!$F$253,IF(Debt!T114&gt;Inputs!$F$253,(U7+T7)/(Debt!U114+Debt!T114),U17),0)</f>
        <v>1.3478369628712</v>
      </c>
      <c r="V18" s="3" t="n">
        <f aca="false">IF(Debt!V114&gt;Inputs!$F$253,IF(Debt!U114&gt;Inputs!$F$253,(V7+U7)/(Debt!V114+Debt!U114),V17),0)</f>
        <v>1.3479672303071</v>
      </c>
      <c r="W18" s="3" t="n">
        <f aca="false">IF(Debt!W114&gt;Inputs!$F$253,IF(Debt!V114&gt;Inputs!$F$253,(W7+V7)/(Debt!W114+Debt!V114),W17),0)</f>
        <v>1.34806470300316</v>
      </c>
      <c r="X18" s="3" t="n">
        <f aca="false">IF(Debt!X114&gt;Inputs!$F$253,IF(Debt!W114&gt;Inputs!$F$253,(X7+W7)/(Debt!X114+Debt!W114),X17),0)</f>
        <v>1.3479286080142</v>
      </c>
      <c r="Y18" s="3" t="n">
        <f aca="false">IF(Debt!Y114&gt;Inputs!$F$253,IF(Debt!X114&gt;Inputs!$F$253,(Y7+X7)/(Debt!Y114+Debt!X114),Y17),0)</f>
        <v>1.34778106879825</v>
      </c>
      <c r="Z18" s="3" t="n">
        <f aca="false">IF(Debt!Z114&gt;Inputs!$F$253,IF(Debt!Y114&gt;Inputs!$F$253,(Z7+Y7)/(Debt!Z114+Debt!Y114),Z17),0)</f>
        <v>1.34781142600041</v>
      </c>
      <c r="AA18" s="3" t="n">
        <f aca="false">IF(Debt!AA114&gt;Inputs!$F$253,IF(Debt!Z114&gt;Inputs!$F$253,(AA7+Z7)/(Debt!AA114+Debt!Z114),AA17),0)</f>
        <v>1.34785637775667</v>
      </c>
      <c r="AB18" s="3" t="n">
        <f aca="false">IF(Debt!AB114&gt;Inputs!$F$253,IF(Debt!AA114&gt;Inputs!$F$253,(AB7+AA7)/(Debt!AB114+Debt!AA114),AB17),0)</f>
        <v>1.35902707939566</v>
      </c>
      <c r="AC18" s="3" t="n">
        <f aca="false">IF(Debt!AC114&gt;Inputs!$F$253,IF(Debt!AB114&gt;Inputs!$F$253,(AC7+AB7)/(Debt!AC114+Debt!AB114),AC17),0)</f>
        <v>1.38428420648383</v>
      </c>
      <c r="AD18" s="3" t="n">
        <f aca="false">IF(Debt!AD114&gt;Inputs!$F$253,IF(Debt!AC114&gt;Inputs!$F$253,(AD7+AC7)/(Debt!AD114+Debt!AC114),AD17),0)</f>
        <v>1.41435903889986</v>
      </c>
      <c r="AE18" s="3" t="n">
        <f aca="false">IF(Debt!AE114&gt;Inputs!$F$253,IF(Debt!AD114&gt;Inputs!$F$253,(AE7+AD7)/(Debt!AE114+Debt!AD114),AE17),0)</f>
        <v>1.44975657910526</v>
      </c>
      <c r="AF18" s="3" t="n">
        <f aca="false">IF(Debt!AF114&gt;Inputs!$F$253,IF(Debt!AE114&gt;Inputs!$F$253,(AF7+AE7)/(Debt!AF114+Debt!AE114),AF17),0)</f>
        <v>1.49500372809437</v>
      </c>
      <c r="AG18" s="3" t="n">
        <f aca="false">IF(Debt!AG114&gt;Inputs!$F$253,IF(Debt!AF114&gt;Inputs!$F$253,(AG7+AF7)/(Debt!AG114+Debt!AF114),AG17),0)</f>
        <v>1.5529632962282</v>
      </c>
      <c r="AH18" s="3" t="n">
        <f aca="false">IF(Debt!AH114&gt;Inputs!$F$253,IF(Debt!AG114&gt;Inputs!$F$253,(AH7+AG7)/(Debt!AH114+Debt!AG114),AH17),0)</f>
        <v>1.62854883325365</v>
      </c>
      <c r="AI18" s="3" t="n">
        <f aca="false">IF(Debt!AI114&gt;Inputs!$F$253,IF(Debt!AH114&gt;Inputs!$F$253,(AI7+AH7)/(Debt!AI114+Debt!AH114),AI17),0)</f>
        <v>1.72848019091803</v>
      </c>
      <c r="AJ18" s="3" t="n">
        <f aca="false">IF(Debt!AJ114&gt;Inputs!$F$253,IF(Debt!AI114&gt;Inputs!$F$253,(AJ7+AI7)/(Debt!AJ114+Debt!AI114),AJ17),0)</f>
        <v>1.87470611761703</v>
      </c>
      <c r="AK18" s="3" t="n">
        <f aca="false">IF(Debt!AK114&gt;Inputs!$F$253,IF(Debt!AJ114&gt;Inputs!$F$253,(AK7+AJ7)/(Debt!AK114+Debt!AJ114),AK17),0)</f>
        <v>2.1067459588839</v>
      </c>
      <c r="AL18" s="3" t="n">
        <f aca="false">IF(Debt!AL114&gt;Inputs!$F$253,IF(Debt!AK114&gt;Inputs!$F$253,(AL7+AK7)/(Debt!AL114+Debt!AK114),AL17),0)</f>
        <v>2.35056592385902</v>
      </c>
      <c r="AM18" s="3" t="n">
        <f aca="false">IF(Debt!AM114&gt;Inputs!$F$253,IF(Debt!AL114&gt;Inputs!$F$253,(AM7+AL7)/(Debt!AM114+Debt!AL114),AM17),0)</f>
        <v>2.43191015018925</v>
      </c>
      <c r="AN18" s="3" t="n">
        <f aca="false">IF(Debt!AN114&gt;Inputs!$F$253,IF(Debt!AM114&gt;Inputs!$F$253,(AN7+AM7)/(Debt!AN114+Debt!AM114),AN17),0)</f>
        <v>2.40562760635908</v>
      </c>
      <c r="AO18" s="3" t="n">
        <f aca="false">IF(Debt!AO114&gt;Inputs!$F$253,IF(Debt!AN114&gt;Inputs!$F$253,(AO7+AN7)/(Debt!AO114+Debt!AN114),AO17),0)</f>
        <v>2.34563919364613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99.2253999261111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6.14646513675997</v>
      </c>
      <c r="AB29" s="13" t="n">
        <f aca="false">IF(AND(AB24=1,Time!AB52=1,Inputs!$F$52=1),MIN(Inputs!$F$111*AB15,Debt!AB73),0)</f>
        <v>7.11530726063816</v>
      </c>
      <c r="AC29" s="13" t="n">
        <f aca="false">IF(AND(AC24=1,Time!AC52=1,Inputs!$F$52=1),MIN(Inputs!$F$111*AC15,Debt!AC73),0)</f>
        <v>6.77305351759387</v>
      </c>
      <c r="AD29" s="13" t="n">
        <f aca="false">IF(AND(AD24=1,Time!AD52=1,Inputs!$F$52=1),MIN(Inputs!$F$111*AD15,Debt!AD73),0)</f>
        <v>8.11280426252467</v>
      </c>
      <c r="AE29" s="13" t="n">
        <f aca="false">IF(AND(AE24=1,Time!AE52=1,Inputs!$F$52=1),MIN(Inputs!$F$111*AE15,Debt!AE73),0)</f>
        <v>8.71383925336212</v>
      </c>
      <c r="AF29" s="13" t="n">
        <f aca="false">IF(AND(AF24=1,Time!AF52=1,Inputs!$F$52=1),MIN(Inputs!$F$111*AF15,Debt!AF73),0)</f>
        <v>9.58564576263172</v>
      </c>
      <c r="AG29" s="13" t="n">
        <f aca="false">IF(AND(AG24=1,Time!AG52=1,Inputs!$F$52=1),MIN(Inputs!$F$111*AG15,Debt!AG73),0)</f>
        <v>10.0167248459339</v>
      </c>
      <c r="AH29" s="13" t="n">
        <f aca="false">IF(AND(AH24=1,Time!AH52=1,Inputs!$F$52=1),MIN(Inputs!$F$111*AH15,Debt!AH73),0)</f>
        <v>11.3971093577227</v>
      </c>
      <c r="AI29" s="13" t="n">
        <f aca="false">IF(AND(AI24=1,Time!AI52=1,Inputs!$F$52=1),MIN(Inputs!$F$111*AI15,Debt!AI73),0)</f>
        <v>12.2936914778488</v>
      </c>
      <c r="AJ29" s="13" t="n">
        <f aca="false">IF(AND(AJ24=1,Time!AJ52=1,Inputs!$F$52=1),MIN(Inputs!$F$111*AJ15,Debt!AJ73),0)</f>
        <v>14.2040414734419</v>
      </c>
      <c r="AK29" s="13" t="n">
        <f aca="false">IF(AND(AK24=1,Time!AK52=1,Inputs!$F$52=1),MIN(Inputs!$F$111*AK15,Debt!AK73),0)</f>
        <v>4.86671757765324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1.90730237486898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1395.55293959853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14.9497284777696</v>
      </c>
      <c r="Q31" s="13" t="n">
        <f aca="false">IF(Q24=1,Q15-Q29,0)</f>
        <v>12.4566737357431</v>
      </c>
      <c r="R31" s="13" t="n">
        <f aca="false">IF(R24=1,R15-R29,0)</f>
        <v>13.3790469914809</v>
      </c>
      <c r="S31" s="13" t="n">
        <f aca="false">IF(S24=1,S15-S29,0)</f>
        <v>12.5696555597131</v>
      </c>
      <c r="T31" s="13" t="n">
        <f aca="false">IF(T24=1,T15-T29,0)</f>
        <v>13.3101131991992</v>
      </c>
      <c r="U31" s="13" t="n">
        <f aca="false">IF(U24=1,U15-U29,0)</f>
        <v>12.3529289457393</v>
      </c>
      <c r="V31" s="13" t="n">
        <f aca="false">IF(V24=1,V15-V29,0)</f>
        <v>13.5908478399407</v>
      </c>
      <c r="W31" s="13" t="n">
        <f aca="false">IF(W24=1,W15-W29,0)</f>
        <v>14.3314942667673</v>
      </c>
      <c r="X31" s="13" t="n">
        <f aca="false">IF(X24=1,X15-X29,0)</f>
        <v>13.198598113469</v>
      </c>
      <c r="Y31" s="13" t="n">
        <f aca="false">IF(Y24=1,Y15-Y29,0)</f>
        <v>12.4177641422608</v>
      </c>
      <c r="Z31" s="13" t="n">
        <f aca="false">IF(Z24=1,Z15-Z29,0)</f>
        <v>13.1222221349054</v>
      </c>
      <c r="AA31" s="13" t="n">
        <f aca="false">IF(AA24=1,AA15-AA29,0)</f>
        <v>6.14646513675997</v>
      </c>
      <c r="AB31" s="13" t="n">
        <f aca="false">IF(AB24=1,AB15-AB29,0)</f>
        <v>7.11530726063816</v>
      </c>
      <c r="AC31" s="13" t="n">
        <f aca="false">IF(AC24=1,AC15-AC29,0)</f>
        <v>6.77305351759387</v>
      </c>
      <c r="AD31" s="13" t="n">
        <f aca="false">IF(AD24=1,AD15-AD29,0)</f>
        <v>8.11280426252467</v>
      </c>
      <c r="AE31" s="13" t="n">
        <f aca="false">IF(AE24=1,AE15-AE29,0)</f>
        <v>8.71383925336212</v>
      </c>
      <c r="AF31" s="13" t="n">
        <f aca="false">IF(AF24=1,AF15-AF29,0)</f>
        <v>9.58564576263172</v>
      </c>
      <c r="AG31" s="13" t="n">
        <f aca="false">IF(AG24=1,AG15-AG29,0)</f>
        <v>10.0167248459339</v>
      </c>
      <c r="AH31" s="13" t="n">
        <f aca="false">IF(AH24=1,AH15-AH29,0)</f>
        <v>11.3971093577227</v>
      </c>
      <c r="AI31" s="13" t="n">
        <f aca="false">IF(AI24=1,AI15-AI29,0)</f>
        <v>12.2936914778488</v>
      </c>
      <c r="AJ31" s="13" t="n">
        <f aca="false">IF(AJ24=1,AJ15-AJ29,0)</f>
        <v>14.2040414734419</v>
      </c>
      <c r="AK31" s="13" t="n">
        <f aca="false">IF(AK24=1,AK15-AK29,0)</f>
        <v>27.3859627508734</v>
      </c>
      <c r="AL31" s="13" t="n">
        <f aca="false">IF(AL24=1,AL15-AL29,0)</f>
        <v>32.9995877428729</v>
      </c>
      <c r="AM31" s="13" t="n">
        <f aca="false">IF(AM24=1,AM15-AM29,0)</f>
        <v>33.9985561025404</v>
      </c>
      <c r="AN31" s="13" t="n">
        <f aca="false">IF(AN24=1,AN15-AN29,0)</f>
        <v>26.8082715003376</v>
      </c>
      <c r="AO31" s="13" t="n">
        <f aca="false">IF(AO24=1,AO15-AO29,0)</f>
        <v>41.614124645743</v>
      </c>
      <c r="AP31" s="13" t="n">
        <f aca="false">IF(AP24=1,AP15-AP29,0)</f>
        <v>41.5609454433001</v>
      </c>
      <c r="AQ31" s="13" t="n">
        <f aca="false">IF(AQ24=1,AQ15-AQ29,0)</f>
        <v>41.1169125242327</v>
      </c>
      <c r="AR31" s="13" t="n">
        <f aca="false">IF(AR24=1,AR15-AR29,0)</f>
        <v>41.7090833011676</v>
      </c>
      <c r="AS31" s="13" t="n">
        <f aca="false">IF(AS24=1,AS15-AS29,0)</f>
        <v>41.4481761632091</v>
      </c>
      <c r="AT31" s="13" t="n">
        <f aca="false">IF(AT24=1,AT15-AT29,0)</f>
        <v>48.1878325750925</v>
      </c>
      <c r="AU31" s="13" t="n">
        <f aca="false">IF(AU24=1,AU15-AU29,0)</f>
        <v>43.7548224395722</v>
      </c>
      <c r="AV31" s="13" t="n">
        <f aca="false">IF(AV24=1,AV15-AV29,0)</f>
        <v>43.8671815918655</v>
      </c>
      <c r="AW31" s="13" t="n">
        <f aca="false">IF(AW24=1,AW15-AW29,0)</f>
        <v>43.4412295583817</v>
      </c>
      <c r="AX31" s="13" t="n">
        <f aca="false">IF(AX24=1,AX15-AX29,0)</f>
        <v>44.1147591302012</v>
      </c>
      <c r="AY31" s="13" t="n">
        <f aca="false">IF(AY24=1,AY15-AY29,0)</f>
        <v>43.6610794841665</v>
      </c>
      <c r="AZ31" s="13" t="n">
        <f aca="false">IF(AZ24=1,AZ15-AZ29,0)</f>
        <v>44.2745476777494</v>
      </c>
      <c r="BA31" s="13" t="n">
        <f aca="false">IF(BA24=1,BA15-BA29,0)</f>
        <v>43.4855399117799</v>
      </c>
      <c r="BB31" s="13" t="n">
        <f aca="false">IF(BB24=1,BB15-BB29,0)</f>
        <v>44.7302310160923</v>
      </c>
      <c r="BC31" s="13" t="n">
        <f aca="false">IF(BC24=1,BC15-BC29,0)</f>
        <v>41.3190428908018</v>
      </c>
      <c r="BD31" s="13" t="n">
        <f aca="false">IF(BD24=1,BD15-BD29,0)</f>
        <v>35.1958097913051</v>
      </c>
      <c r="BE31" s="13" t="n">
        <f aca="false">IF(BE24=1,BE15-BE29,0)</f>
        <v>34.7463751501165</v>
      </c>
      <c r="BF31" s="13" t="n">
        <f aca="false">IF(BF24=1,BF15-BF29,0)</f>
        <v>35.4323816134796</v>
      </c>
      <c r="BG31" s="13" t="n">
        <f aca="false">IF(BG24=1,BG15-BG29,0)</f>
        <v>34.9510960629418</v>
      </c>
      <c r="BH31" s="13" t="n">
        <f aca="false">IF(BH24=1,BH15-BH29,0)</f>
        <v>35.5702556328891</v>
      </c>
      <c r="BI31" s="13" t="n">
        <f aca="false">IF(BI24=1,BI15-BI29,0)</f>
        <v>35.2967893147818</v>
      </c>
      <c r="BJ31" s="13" t="n">
        <f aca="false">IF(BJ24=1,BJ15-BJ29,0)</f>
        <v>43.3105789698434</v>
      </c>
      <c r="BK31" s="13" t="n">
        <f aca="false">IF(BK24=1,BK15-BK29,0)</f>
        <v>38.0478614589076</v>
      </c>
      <c r="BL31" s="13" t="n">
        <f aca="false">IF(BL24=1,BL15-BL29,0)</f>
        <v>38.7652497875522</v>
      </c>
      <c r="BM31" s="13" t="n">
        <f aca="false">IF(BM24=1,BM15-BM29,0)</f>
        <v>54.7208996112829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202.403723073681</v>
      </c>
      <c r="R33" s="13" t="n">
        <f aca="false">IF(Time!R20&lt;Time!$F$12,0,IF(Time!R34=1,INDEX(Funding!$J$72:$BJ$72,1,Time!$F$14),Q36))</f>
        <v>199.482205552327</v>
      </c>
      <c r="S33" s="13" t="n">
        <f aca="false">IF(Time!S20&lt;Time!$F$12,0,IF(Time!S34=1,INDEX(Funding!$J$72:$BJ$72,1,Time!$F$14),R36))</f>
        <v>195.656443363736</v>
      </c>
      <c r="T33" s="13" t="n">
        <f aca="false">IF(Time!T20&lt;Time!$F$12,0,IF(Time!T34=1,INDEX(Funding!$J$72:$BJ$72,1,Time!$F$14),S36))</f>
        <v>192.304082444131</v>
      </c>
      <c r="U33" s="13" t="n">
        <f aca="false">IF(Time!U20&lt;Time!$F$12,0,IF(Time!U34=1,INDEX(Funding!$J$72:$BJ$72,1,Time!$F$14),T36))</f>
        <v>188.203490782256</v>
      </c>
      <c r="V33" s="13" t="n">
        <f aca="false">IF(Time!V20&lt;Time!$F$12,0,IF(Time!V34=1,INDEX(Funding!$J$72:$BJ$72,1,Time!$F$14),U36))</f>
        <v>184.765735413572</v>
      </c>
      <c r="W33" s="13" t="n">
        <f aca="false">IF(Time!W20&lt;Time!$F$12,0,IF(Time!W34=1,INDEX(Funding!$J$72:$BJ$72,1,Time!$F$14),V36))</f>
        <v>180.023394573711</v>
      </c>
      <c r="X33" s="13" t="n">
        <f aca="false">IF(Time!X20&lt;Time!$F$12,0,IF(Time!X34=1,INDEX(Funding!$J$72:$BJ$72,1,Time!$F$14),W36))</f>
        <v>174.172728443095</v>
      </c>
      <c r="Y33" s="13" t="n">
        <f aca="false">IF(Time!Y20&lt;Time!$F$12,0,IF(Time!Y34=1,INDEX(Funding!$J$72:$BJ$72,1,Time!$F$14),X36))</f>
        <v>169.315333872599</v>
      </c>
      <c r="Z33" s="13" t="n">
        <f aca="false">IF(Time!Z20&lt;Time!$F$12,0,IF(Time!Z34=1,INDEX(Funding!$J$72:$BJ$72,1,Time!$F$14),Y36))</f>
        <v>164.873945527433</v>
      </c>
      <c r="AA33" s="13" t="n">
        <f aca="false">IF(Time!AA20&lt;Time!$F$12,0,IF(Time!AA34=1,INDEX(Funding!$J$72:$BJ$72,1,Time!$F$14),Z36))</f>
        <v>159.647604400252</v>
      </c>
      <c r="AB33" s="13" t="n">
        <f aca="false">IF(Time!AB20&lt;Time!$F$12,0,IF(Time!AB34=1,INDEX(Funding!$J$72:$BJ$72,1,Time!$F$14),AA36))</f>
        <v>161.022072298183</v>
      </c>
      <c r="AC33" s="13" t="n">
        <f aca="false">IF(Time!AC20&lt;Time!$F$12,0,IF(Time!AC34=1,INDEX(Funding!$J$72:$BJ$72,1,Time!$F$14),AB36))</f>
        <v>161.618178253359</v>
      </c>
      <c r="AD33" s="13" t="n">
        <f aca="false">IF(Time!AD20&lt;Time!$F$12,0,IF(Time!AD34=1,INDEX(Funding!$J$72:$BJ$72,1,Time!$F$14),AC36))</f>
        <v>162.500955700151</v>
      </c>
      <c r="AE33" s="13" t="n">
        <f aca="false">IF(Time!AE20&lt;Time!$F$12,0,IF(Time!AE34=1,INDEX(Funding!$J$72:$BJ$72,1,Time!$F$14),AD36))</f>
        <v>162.170388987321</v>
      </c>
      <c r="AF33" s="13" t="n">
        <f aca="false">IF(Time!AF20&lt;Time!$F$12,0,IF(Time!AF34=1,INDEX(Funding!$J$72:$BJ$72,1,Time!$F$14),AE36))</f>
        <v>161.096330113786</v>
      </c>
      <c r="AG33" s="13" t="n">
        <f aca="false">IF(Time!AG20&lt;Time!$F$12,0,IF(Time!AG34=1,INDEX(Funding!$J$72:$BJ$72,1,Time!$F$14),AF36))</f>
        <v>159.225653804275</v>
      </c>
      <c r="AH33" s="13" t="n">
        <f aca="false">IF(Time!AH20&lt;Time!$F$12,0,IF(Time!AH34=1,INDEX(Funding!$J$72:$BJ$72,1,Time!$F$14),AG36))</f>
        <v>156.70998407386</v>
      </c>
      <c r="AI33" s="13" t="n">
        <f aca="false">IF(Time!AI20&lt;Time!$F$12,0,IF(Time!AI34=1,INDEX(Funding!$J$72:$BJ$72,1,Time!$F$14),AH36))</f>
        <v>152.817780254798</v>
      </c>
      <c r="AJ33" s="13" t="n">
        <f aca="false">IF(Time!AJ20&lt;Time!$F$12,0,IF(Time!AJ34=1,INDEX(Funding!$J$72:$BJ$72,1,Time!$F$14),AI36))</f>
        <v>147.723271602925</v>
      </c>
      <c r="AK33" s="13" t="n">
        <f aca="false">IF(Time!AK20&lt;Time!$F$12,0,IF(Time!AK34=1,INDEX(Funding!$J$72:$BJ$72,1,Time!$F$14),AJ36))</f>
        <v>140.593758314741</v>
      </c>
      <c r="AL33" s="13" t="n">
        <f aca="false">IF(Time!AL20&lt;Time!$F$12,0,IF(Time!AL34=1,INDEX(Funding!$J$72:$BJ$72,1,Time!$F$14),AK36))</f>
        <v>119.867702635818</v>
      </c>
      <c r="AM33" s="13" t="n">
        <f aca="false">IF(Time!AM20&lt;Time!$F$12,0,IF(Time!AM34=1,INDEX(Funding!$J$72:$BJ$72,1,Time!$F$14),AL36))</f>
        <v>92.6086284328742</v>
      </c>
      <c r="AN33" s="13" t="n">
        <f aca="false">IF(Time!AN20&lt;Time!$F$12,0,IF(Time!AN34=1,INDEX(Funding!$J$72:$BJ$72,1,Time!$F$14),AM36))</f>
        <v>62.9728267574661</v>
      </c>
      <c r="AO33" s="13" t="n">
        <f aca="false">IF(Time!AO20&lt;Time!$F$12,0,IF(Time!AO34=1,INDEX(Funding!$J$72:$BJ$72,1,Time!$F$14),AN36))</f>
        <v>39.1803498097875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191.982881058392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9.53515621438891</v>
      </c>
      <c r="R34" s="13" t="n">
        <f aca="false">R24*MIN(R31,Tax!R13)</f>
        <v>9.55328480288954</v>
      </c>
      <c r="S34" s="13" t="n">
        <f aca="false">S24*MIN(S31,Tax!S13)</f>
        <v>9.21729464010805</v>
      </c>
      <c r="T34" s="13" t="n">
        <f aca="false">T24*MIN(T31,Tax!T13)</f>
        <v>9.2095215373244</v>
      </c>
      <c r="U34" s="13" t="n">
        <f aca="false">U24*MIN(U31,Tax!U13)</f>
        <v>8.91517357705536</v>
      </c>
      <c r="V34" s="13" t="n">
        <f aca="false">V24*MIN(V31,Tax!V13)</f>
        <v>8.84850700008011</v>
      </c>
      <c r="W34" s="13" t="n">
        <f aca="false">W24*MIN(W31,Tax!W13)</f>
        <v>8.4808281361506</v>
      </c>
      <c r="X34" s="13" t="n">
        <f aca="false">X24*MIN(X31,Tax!X13)</f>
        <v>8.34120354297342</v>
      </c>
      <c r="Y34" s="13" t="n">
        <f aca="false">Y24*MIN(Y31,Tax!Y13)</f>
        <v>7.97637579709409</v>
      </c>
      <c r="Z34" s="13" t="n">
        <f aca="false">Z24*MIN(Z31,Tax!Z13)</f>
        <v>7.89588100772471</v>
      </c>
      <c r="AA34" s="13" t="n">
        <f aca="false">AA24*MIN(AA31,Tax!AA13)</f>
        <v>6.14646513675997</v>
      </c>
      <c r="AB34" s="13" t="n">
        <f aca="false">AB24*MIN(AB31,Tax!AB13)</f>
        <v>7.11530726063816</v>
      </c>
      <c r="AC34" s="13" t="n">
        <f aca="false">AC24*MIN(AC31,Tax!AC13)</f>
        <v>6.77305351759387</v>
      </c>
      <c r="AD34" s="13" t="n">
        <f aca="false">AD24*MIN(AD31,Tax!AD13)</f>
        <v>7.78223754969489</v>
      </c>
      <c r="AE34" s="13" t="n">
        <f aca="false">AE24*MIN(AE31,Tax!AE13)</f>
        <v>7.63978037982735</v>
      </c>
      <c r="AF34" s="13" t="n">
        <f aca="false">AF24*MIN(AF31,Tax!AF13)</f>
        <v>7.7149694531205</v>
      </c>
      <c r="AG34" s="13" t="n">
        <f aca="false">AG24*MIN(AG31,Tax!AG13)</f>
        <v>7.5010551155192</v>
      </c>
      <c r="AH34" s="13" t="n">
        <f aca="false">AH24*MIN(AH31,Tax!AH13)</f>
        <v>7.50490553866049</v>
      </c>
      <c r="AI34" s="13" t="n">
        <f aca="false">AI24*MIN(AI31,Tax!AI13)</f>
        <v>7.19918282597603</v>
      </c>
      <c r="AJ34" s="13" t="n">
        <f aca="false">AJ24*MIN(AJ31,Tax!AJ13)</f>
        <v>7.0745281852579</v>
      </c>
      <c r="AK34" s="13" t="n">
        <f aca="false">AK24*MIN(AK31,Tax!AK13)</f>
        <v>6.65990707195035</v>
      </c>
      <c r="AL34" s="13" t="n">
        <f aca="false">AL24*MIN(AL31,Tax!AL13)</f>
        <v>5.74051353992904</v>
      </c>
      <c r="AM34" s="13" t="n">
        <f aca="false">AM24*MIN(AM31,Tax!AM13)</f>
        <v>4.36275442713225</v>
      </c>
      <c r="AN34" s="13" t="n">
        <f aca="false">AN24*MIN(AN31,Tax!AN13)</f>
        <v>3.01579455265893</v>
      </c>
      <c r="AO34" s="13" t="n">
        <f aca="false">AO24*MIN(AO31,Tax!AO13)</f>
        <v>1.84577017802547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210.273372781492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5.01629840791136</v>
      </c>
      <c r="Q35" s="13" t="n">
        <f aca="false">Q24*MIN(Q31-Q34,Q33+Tax!Q13-Q34)</f>
        <v>2.92151752135415</v>
      </c>
      <c r="R35" s="13" t="n">
        <f aca="false">R24*MIN(R31-R34,R33+Tax!R13-R34)</f>
        <v>3.82576218859141</v>
      </c>
      <c r="S35" s="13" t="n">
        <f aca="false">S24*MIN(S31-S34,S33+Tax!S13-S34)</f>
        <v>3.35236091960507</v>
      </c>
      <c r="T35" s="13" t="n">
        <f aca="false">T24*MIN(T31-T34,T33+Tax!T13-T34)</f>
        <v>4.10059166187476</v>
      </c>
      <c r="U35" s="13" t="n">
        <f aca="false">U24*MIN(U31-U34,U33+Tax!U13-U34)</f>
        <v>3.43775536868395</v>
      </c>
      <c r="V35" s="13" t="n">
        <f aca="false">V24*MIN(V31-V34,V33+Tax!V13-V34)</f>
        <v>4.74234083986063</v>
      </c>
      <c r="W35" s="13" t="n">
        <f aca="false">W24*MIN(W31-W34,W33+Tax!W13-W34)</f>
        <v>5.85066613061668</v>
      </c>
      <c r="X35" s="13" t="n">
        <f aca="false">X24*MIN(X31-X34,X33+Tax!X13-X34)</f>
        <v>4.85739457049555</v>
      </c>
      <c r="Y35" s="13" t="n">
        <f aca="false">Y24*MIN(Y31-Y34,Y33+Tax!Y13-Y34)</f>
        <v>4.44138834516668</v>
      </c>
      <c r="Z35" s="13" t="n">
        <f aca="false">Z24*MIN(Z31-Z34,Z33+Tax!Z13-Z34)</f>
        <v>5.2263411271807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0.330566712829784</v>
      </c>
      <c r="AE35" s="13" t="n">
        <f aca="false">AE24*MIN(AE31-AE34,AE33+Tax!AE13-AE34)</f>
        <v>1.07405887353477</v>
      </c>
      <c r="AF35" s="13" t="n">
        <f aca="false">AF24*MIN(AF31-AF34,AF33+Tax!AF13-AF34)</f>
        <v>1.87067630951123</v>
      </c>
      <c r="AG35" s="13" t="n">
        <f aca="false">AG24*MIN(AG31-AG34,AG33+Tax!AG13-AG34)</f>
        <v>2.51566973041473</v>
      </c>
      <c r="AH35" s="13" t="n">
        <f aca="false">AH24*MIN(AH31-AH34,AH33+Tax!AH13-AH34)</f>
        <v>3.89220381906218</v>
      </c>
      <c r="AI35" s="13" t="n">
        <f aca="false">AI24*MIN(AI31-AI34,AI33+Tax!AI13-AI34)</f>
        <v>5.09450865187277</v>
      </c>
      <c r="AJ35" s="13" t="n">
        <f aca="false">AJ24*MIN(AJ31-AJ34,AJ33+Tax!AJ13-AJ34)</f>
        <v>7.12951328818402</v>
      </c>
      <c r="AK35" s="13" t="n">
        <f aca="false">AK24*MIN(AK31-AK34,AK33+Tax!AK13-AK34)</f>
        <v>20.7260556789231</v>
      </c>
      <c r="AL35" s="13" t="n">
        <f aca="false">AL24*MIN(AL31-AL34,AL33+Tax!AL13-AL34)</f>
        <v>27.2590742029439</v>
      </c>
      <c r="AM35" s="13" t="n">
        <f aca="false">AM24*MIN(AM31-AM34,AM33+Tax!AM13-AM34)</f>
        <v>29.6358016754081</v>
      </c>
      <c r="AN35" s="13" t="n">
        <f aca="false">AN24*MIN(AN31-AN34,AN33+Tax!AN13-AN34)</f>
        <v>23.7924769476787</v>
      </c>
      <c r="AO35" s="13" t="n">
        <f aca="false">AO24*MIN(AO31-AO34,AO33+Tax!AO13-AO34)</f>
        <v>39.1803498097875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202.403723073681</v>
      </c>
      <c r="Q36" s="13" t="n">
        <f aca="false">Q33+Tax!Q13-Q34-Q35</f>
        <v>199.482205552327</v>
      </c>
      <c r="R36" s="13" t="n">
        <f aca="false">R33+Tax!R13-R34-R35</f>
        <v>195.656443363736</v>
      </c>
      <c r="S36" s="13" t="n">
        <f aca="false">S33+Tax!S13-S34-S35</f>
        <v>192.304082444131</v>
      </c>
      <c r="T36" s="13" t="n">
        <f aca="false">T33+Tax!T13-T34-T35</f>
        <v>188.203490782256</v>
      </c>
      <c r="U36" s="13" t="n">
        <f aca="false">U33+Tax!U13-U34-U35</f>
        <v>184.765735413572</v>
      </c>
      <c r="V36" s="13" t="n">
        <f aca="false">V33+Tax!V13-V34-V35</f>
        <v>180.023394573711</v>
      </c>
      <c r="W36" s="13" t="n">
        <f aca="false">W33+Tax!W13-W34-W35</f>
        <v>174.172728443095</v>
      </c>
      <c r="X36" s="13" t="n">
        <f aca="false">X33+Tax!X13-X34-X35</f>
        <v>169.315333872599</v>
      </c>
      <c r="Y36" s="13" t="n">
        <f aca="false">Y33+Tax!Y13-Y34-Y35</f>
        <v>164.873945527433</v>
      </c>
      <c r="Z36" s="13" t="n">
        <f aca="false">Z33+Tax!Z13-Z34-Z35</f>
        <v>159.647604400252</v>
      </c>
      <c r="AA36" s="13" t="n">
        <f aca="false">AA33+Tax!AA13-AA34-AA35</f>
        <v>161.022072298183</v>
      </c>
      <c r="AB36" s="13" t="n">
        <f aca="false">AB33+Tax!AB13-AB34-AB35</f>
        <v>161.618178253359</v>
      </c>
      <c r="AC36" s="13" t="n">
        <f aca="false">AC33+Tax!AC13-AC34-AC35</f>
        <v>162.500955700151</v>
      </c>
      <c r="AD36" s="13" t="n">
        <f aca="false">AD33+Tax!AD13-AD34-AD35</f>
        <v>162.170388987321</v>
      </c>
      <c r="AE36" s="13" t="n">
        <f aca="false">AE33+Tax!AE13-AE34-AE35</f>
        <v>161.096330113786</v>
      </c>
      <c r="AF36" s="13" t="n">
        <f aca="false">AF33+Tax!AF13-AF34-AF35</f>
        <v>159.225653804275</v>
      </c>
      <c r="AG36" s="13" t="n">
        <f aca="false">AG33+Tax!AG13-AG34-AG35</f>
        <v>156.70998407386</v>
      </c>
      <c r="AH36" s="13" t="n">
        <f aca="false">AH33+Tax!AH13-AH34-AH35</f>
        <v>152.817780254798</v>
      </c>
      <c r="AI36" s="13" t="n">
        <f aca="false">AI33+Tax!AI13-AI34-AI35</f>
        <v>147.723271602925</v>
      </c>
      <c r="AJ36" s="13" t="n">
        <f aca="false">AJ33+Tax!AJ13-AJ34-AJ35</f>
        <v>140.593758314741</v>
      </c>
      <c r="AK36" s="13" t="n">
        <f aca="false">AK33+Tax!AK13-AK34-AK35</f>
        <v>119.867702635818</v>
      </c>
      <c r="AL36" s="13" t="n">
        <f aca="false">AL33+Tax!AL13-AL34-AL35</f>
        <v>92.6086284328742</v>
      </c>
      <c r="AM36" s="13" t="n">
        <f aca="false">AM33+Tax!AM13-AM34-AM35</f>
        <v>62.9728267574661</v>
      </c>
      <c r="AN36" s="13" t="n">
        <f aca="false">AN33+Tax!AN13-AN34-AN35</f>
        <v>39.1803498097875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9.71237915491165</v>
      </c>
      <c r="P37" s="13" t="n">
        <f aca="false">MAX(0,O43+Financials!P14)</f>
        <v>17.006075745539</v>
      </c>
      <c r="Q37" s="13" t="n">
        <f aca="false">MAX(0,P43+Financials!Q14)</f>
        <v>25.6072323452353</v>
      </c>
      <c r="R37" s="13" t="n">
        <f aca="false">MAX(0,Q43+Financials!R14)</f>
        <v>34.6268555108168</v>
      </c>
      <c r="S37" s="13" t="n">
        <f aca="false">MAX(0,R43+Financials!S14)</f>
        <v>44.8288870314125</v>
      </c>
      <c r="T37" s="13" t="n">
        <f aca="false">MAX(0,S43+Financials!T14)</f>
        <v>55.4606162405501</v>
      </c>
      <c r="U37" s="13" t="n">
        <f aca="false">MAX(0,T43+Financials!U14)</f>
        <v>67.2847226108621</v>
      </c>
      <c r="V37" s="13" t="n">
        <f aca="false">MAX(0,U43+Financials!V14)</f>
        <v>77.3850199868884</v>
      </c>
      <c r="W37" s="13" t="n">
        <f aca="false">MAX(0,V43+Financials!W14)</f>
        <v>91.259193814264</v>
      </c>
      <c r="X37" s="13" t="n">
        <f aca="false">MAX(0,W43+Financials!X14)</f>
        <v>105.760626283315</v>
      </c>
      <c r="Y37" s="13" t="n">
        <f aca="false">MAX(0,X43+Financials!Y14)</f>
        <v>118.257776598336</v>
      </c>
      <c r="Z37" s="13" t="n">
        <f aca="false">MAX(0,Y43+Financials!Z14)</f>
        <v>125.621040206666</v>
      </c>
      <c r="AA37" s="13" t="n">
        <f aca="false">MAX(0,Z43+Financials!AA14)</f>
        <v>133.933193514181</v>
      </c>
      <c r="AB37" s="13" t="n">
        <f aca="false">MAX(0,AA43+Financials!AB14)</f>
        <v>142.774982478218</v>
      </c>
      <c r="AC37" s="13" t="n">
        <f aca="false">MAX(0,AB43+Financials!AC14)</f>
        <v>152.655955330604</v>
      </c>
      <c r="AD37" s="13" t="n">
        <f aca="false">MAX(0,AC43+Financials!AD14)</f>
        <v>154.349540067752</v>
      </c>
      <c r="AE37" s="13" t="n">
        <f aca="false">MAX(0,AD43+Financials!AE14)</f>
        <v>166.222625729341</v>
      </c>
      <c r="AF37" s="13" t="n">
        <f aca="false">MAX(0,AE43+Financials!AF14)</f>
        <v>178.700114220614</v>
      </c>
      <c r="AG37" s="13" t="n">
        <f aca="false">MAX(0,AF43+Financials!AG14)</f>
        <v>192.252264642731</v>
      </c>
      <c r="AH37" s="13" t="n">
        <f aca="false">MAX(0,AG43+Financials!AH14)</f>
        <v>206.804440233108</v>
      </c>
      <c r="AI37" s="13" t="n">
        <f aca="false">MAX(0,AH43+Financials!AI14)</f>
        <v>222.672400992383</v>
      </c>
      <c r="AJ37" s="13" t="n">
        <f aca="false">MAX(0,AI43+Financials!AJ14)</f>
        <v>239.640515391407</v>
      </c>
      <c r="AK37" s="13" t="n">
        <f aca="false">MAX(0,AJ43+Financials!AK14)</f>
        <v>258.061255370233</v>
      </c>
      <c r="AL37" s="13" t="n">
        <f aca="false">MAX(0,AK43+Financials!AL14)</f>
        <v>275.820126037607</v>
      </c>
      <c r="AM37" s="13" t="n">
        <f aca="false">MAX(0,AL43+Financials!AM14)</f>
        <v>297.059207791654</v>
      </c>
      <c r="AN37" s="13" t="n">
        <f aca="false">MAX(0,AM43+Financials!AN14)</f>
        <v>320.002534946009</v>
      </c>
      <c r="AO37" s="13" t="n">
        <f aca="false">MAX(0,AN43+Financials!AO14)</f>
        <v>344.222957359449</v>
      </c>
      <c r="AP37" s="13" t="n">
        <f aca="false">MAX(0,AO43+Financials!AP14)</f>
        <v>369.612703057546</v>
      </c>
      <c r="AQ37" s="13" t="n">
        <f aca="false">MAX(0,AP43+Financials!AQ14)</f>
        <v>354.109386253639</v>
      </c>
      <c r="AR37" s="13" t="n">
        <f aca="false">MAX(0,AQ43+Financials!AR14)</f>
        <v>339.11619011322</v>
      </c>
      <c r="AS37" s="13" t="n">
        <f aca="false">MAX(0,AR43+Financials!AS14)</f>
        <v>323.715986834299</v>
      </c>
      <c r="AT37" s="13" t="n">
        <f aca="false">MAX(0,AS43+Financials!AT14)</f>
        <v>298.279038737871</v>
      </c>
      <c r="AU37" s="13" t="n">
        <f aca="false">MAX(0,AT43+Financials!AU14)</f>
        <v>276.690438740874</v>
      </c>
      <c r="AV37" s="13" t="n">
        <f aca="false">MAX(0,AU43+Financials!AV14)</f>
        <v>259.453362585852</v>
      </c>
      <c r="AW37" s="13" t="n">
        <f aca="false">MAX(0,AV43+Financials!AW14)</f>
        <v>242.220426273727</v>
      </c>
      <c r="AX37" s="13" t="n">
        <f aca="false">MAX(0,AW43+Financials!AX14)</f>
        <v>225.550099731715</v>
      </c>
      <c r="AY37" s="13" t="n">
        <f aca="false">MAX(0,AX43+Financials!AY14)</f>
        <v>208.291836022453</v>
      </c>
      <c r="AZ37" s="13" t="n">
        <f aca="false">MAX(0,AY43+Financials!AZ14)</f>
        <v>191.558589957594</v>
      </c>
      <c r="BA37" s="13" t="n">
        <f aca="false">MAX(0,AZ43+Financials!BA14)</f>
        <v>174.377474138045</v>
      </c>
      <c r="BB37" s="13" t="n">
        <f aca="false">MAX(0,BA43+Financials!BB14)</f>
        <v>155.74233412066</v>
      </c>
      <c r="BC37" s="13" t="n">
        <f aca="false">MAX(0,BB43+Financials!BC14)</f>
        <v>138.383797392465</v>
      </c>
      <c r="BD37" s="13" t="n">
        <f aca="false">MAX(0,BC43+Financials!BD14)</f>
        <v>124.419395066261</v>
      </c>
      <c r="BE37" s="13" t="n">
        <f aca="false">MAX(0,BD43+Financials!BE14)</f>
        <v>116.704263443225</v>
      </c>
      <c r="BF37" s="13" t="n">
        <f aca="false">MAX(0,BE43+Financials!BF14)</f>
        <v>109.588019434495</v>
      </c>
      <c r="BG37" s="13" t="n">
        <f aca="false">MAX(0,BF43+Financials!BG14)</f>
        <v>101.877490514585</v>
      </c>
      <c r="BH37" s="13" t="n">
        <f aca="false">MAX(0,BG43+Financials!BH14)</f>
        <v>94.7252526299486</v>
      </c>
      <c r="BI37" s="13" t="n">
        <f aca="false">MAX(0,BH43+Financials!BI14)</f>
        <v>87.1748734772768</v>
      </c>
      <c r="BJ37" s="13" t="n">
        <f aca="false">MAX(0,BI43+Financials!BJ14)</f>
        <v>67.7260969138199</v>
      </c>
      <c r="BK37" s="13" t="n">
        <f aca="false">MAX(0,BJ43+Financials!BK14)</f>
        <v>52.7812195693937</v>
      </c>
      <c r="BL37" s="13" t="n">
        <f aca="false">MAX(0,BK43+Financials!BL14)</f>
        <v>42.9945636784044</v>
      </c>
      <c r="BM37" s="13" t="n">
        <f aca="false">MAX(0,BL43+Financials!BM14)</f>
        <v>9.8004556934539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0.588004657930078</v>
      </c>
      <c r="AP38" s="13" t="n">
        <f aca="false">AP24*MIN(AP31-AP34-AP35,AP37)</f>
        <v>41.5609454433001</v>
      </c>
      <c r="AQ38" s="13" t="n">
        <f aca="false">AQ24*MIN(AQ31-AQ34-AQ35,AQ37)</f>
        <v>41.1169125242327</v>
      </c>
      <c r="AR38" s="13" t="n">
        <f aca="false">AR24*MIN(AR31-AR34-AR35,AR37)</f>
        <v>41.7090833011676</v>
      </c>
      <c r="AS38" s="13" t="n">
        <f aca="false">AS24*MIN(AS31-AS34-AS35,AS37)</f>
        <v>41.4481761632091</v>
      </c>
      <c r="AT38" s="13" t="n">
        <f aca="false">AT24*MIN(AT31-AT34-AT35,AT37)</f>
        <v>48.1878325750925</v>
      </c>
      <c r="AU38" s="13" t="n">
        <f aca="false">AU24*MIN(AU31-AU34-AU35,AU37)</f>
        <v>43.7548224395722</v>
      </c>
      <c r="AV38" s="13" t="n">
        <f aca="false">AV24*MIN(AV31-AV34-AV35,AV37)</f>
        <v>43.8671815918655</v>
      </c>
      <c r="AW38" s="13" t="n">
        <f aca="false">AW24*MIN(AW31-AW34-AW35,AW37)</f>
        <v>43.4412295583817</v>
      </c>
      <c r="AX38" s="13" t="n">
        <f aca="false">AX24*MIN(AX31-AX34-AX35,AX37)</f>
        <v>44.1147591302012</v>
      </c>
      <c r="AY38" s="13" t="n">
        <f aca="false">AY24*MIN(AY31-AY34-AY35,AY37)</f>
        <v>43.6610794841665</v>
      </c>
      <c r="AZ38" s="13" t="n">
        <f aca="false">AZ24*MIN(AZ31-AZ34-AZ35,AZ37)</f>
        <v>44.2745476777494</v>
      </c>
      <c r="BA38" s="13" t="n">
        <f aca="false">BA24*MIN(BA31-BA34-BA35,BA37)</f>
        <v>43.4855399117799</v>
      </c>
      <c r="BB38" s="13" t="n">
        <f aca="false">BB24*MIN(BB31-BB34-BB35,BB37)</f>
        <v>44.7302310160923</v>
      </c>
      <c r="BC38" s="13" t="n">
        <f aca="false">BC24*MIN(BC31-BC34-BC35,BC37)</f>
        <v>41.3190428908018</v>
      </c>
      <c r="BD38" s="13" t="n">
        <f aca="false">BD24*MIN(BD31-BD34-BD35,BD37)</f>
        <v>35.1958097913051</v>
      </c>
      <c r="BE38" s="13" t="n">
        <f aca="false">BE24*MIN(BE31-BE34-BE35,BE37)</f>
        <v>34.7463751501165</v>
      </c>
      <c r="BF38" s="13" t="n">
        <f aca="false">BF24*MIN(BF31-BF34-BF35,BF37)</f>
        <v>35.4323816134796</v>
      </c>
      <c r="BG38" s="13" t="n">
        <f aca="false">BG24*MIN(BG31-BG34-BG35,BG37)</f>
        <v>34.9510960629418</v>
      </c>
      <c r="BH38" s="13" t="n">
        <f aca="false">BH24*MIN(BH31-BH34-BH35,BH37)</f>
        <v>35.5702556328891</v>
      </c>
      <c r="BI38" s="13" t="n">
        <f aca="false">BI24*MIN(BI31-BI34-BI35,BI37)</f>
        <v>35.2967893147818</v>
      </c>
      <c r="BJ38" s="13" t="n">
        <f aca="false">BJ24*MIN(BJ31-BJ34-BJ35,BJ37)</f>
        <v>43.3105789698434</v>
      </c>
      <c r="BK38" s="13" t="n">
        <f aca="false">BK24*MIN(BK31-BK34-BK35,BK37)</f>
        <v>38.0478614589076</v>
      </c>
      <c r="BL38" s="13" t="n">
        <f aca="false">BL24*MIN(BL31-BL34-BL35,BL37)</f>
        <v>38.7652497875522</v>
      </c>
      <c r="BM38" s="13" t="n">
        <f aca="false">BM24*MIN(BM31-BM34-BM35,BM37)</f>
        <v>9.8004556934539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44.920443917829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993.296685758643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0.588004657930078</v>
      </c>
      <c r="AP41" s="13" t="n">
        <f aca="false">AP38+AP40</f>
        <v>41.5609454433001</v>
      </c>
      <c r="AQ41" s="13" t="n">
        <f aca="false">AQ38+AQ40</f>
        <v>41.1169125242327</v>
      </c>
      <c r="AR41" s="13" t="n">
        <f aca="false">AR38+AR40</f>
        <v>41.7090833011676</v>
      </c>
      <c r="AS41" s="13" t="n">
        <f aca="false">AS38+AS40</f>
        <v>41.4481761632091</v>
      </c>
      <c r="AT41" s="13" t="n">
        <f aca="false">AT38+AT40</f>
        <v>48.1878325750925</v>
      </c>
      <c r="AU41" s="13" t="n">
        <f aca="false">AU38+AU40</f>
        <v>43.7548224395722</v>
      </c>
      <c r="AV41" s="13" t="n">
        <f aca="false">AV38+AV40</f>
        <v>43.8671815918655</v>
      </c>
      <c r="AW41" s="13" t="n">
        <f aca="false">AW38+AW40</f>
        <v>43.4412295583817</v>
      </c>
      <c r="AX41" s="13" t="n">
        <f aca="false">AX38+AX40</f>
        <v>44.1147591302012</v>
      </c>
      <c r="AY41" s="13" t="n">
        <f aca="false">AY38+AY40</f>
        <v>43.6610794841665</v>
      </c>
      <c r="AZ41" s="13" t="n">
        <f aca="false">AZ38+AZ40</f>
        <v>44.2745476777494</v>
      </c>
      <c r="BA41" s="13" t="n">
        <f aca="false">BA38+BA40</f>
        <v>43.4855399117799</v>
      </c>
      <c r="BB41" s="13" t="n">
        <f aca="false">BB38+BB40</f>
        <v>44.7302310160923</v>
      </c>
      <c r="BC41" s="13" t="n">
        <f aca="false">BC38+BC40</f>
        <v>41.3190428908018</v>
      </c>
      <c r="BD41" s="13" t="n">
        <f aca="false">BD38+BD40</f>
        <v>35.1958097913051</v>
      </c>
      <c r="BE41" s="13" t="n">
        <f aca="false">BE38+BE40</f>
        <v>34.7463751501165</v>
      </c>
      <c r="BF41" s="13" t="n">
        <f aca="false">BF38+BF40</f>
        <v>35.4323816134796</v>
      </c>
      <c r="BG41" s="13" t="n">
        <f aca="false">BG38+BG40</f>
        <v>34.9510960629418</v>
      </c>
      <c r="BH41" s="13" t="n">
        <f aca="false">BH38+BH40</f>
        <v>35.5702556328891</v>
      </c>
      <c r="BI41" s="13" t="n">
        <f aca="false">BI38+BI40</f>
        <v>35.2967893147818</v>
      </c>
      <c r="BJ41" s="13" t="n">
        <f aca="false">BJ38+BJ40</f>
        <v>43.3105789698434</v>
      </c>
      <c r="BK41" s="13" t="n">
        <f aca="false">BK38+BK40</f>
        <v>38.0478614589076</v>
      </c>
      <c r="BL41" s="13" t="n">
        <f aca="false">BL38+BL40</f>
        <v>38.7652497875522</v>
      </c>
      <c r="BM41" s="13" t="n">
        <f aca="false">BM38+BM40</f>
        <v>54.7208996112829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9.71237915491165</v>
      </c>
      <c r="P43" s="13" t="n">
        <f aca="false">IF(Time!P20&lt;Time!$F$12,0,O43+Financials!P14-P41)</f>
        <v>17.006075745539</v>
      </c>
      <c r="Q43" s="13" t="n">
        <f aca="false">IF(Time!Q20&lt;Time!$F$12,0,P43+Financials!Q14-Q41)</f>
        <v>25.6072323452353</v>
      </c>
      <c r="R43" s="13" t="n">
        <f aca="false">IF(Time!R20&lt;Time!$F$12,0,Q43+Financials!R14-R41)</f>
        <v>34.6268555108168</v>
      </c>
      <c r="S43" s="13" t="n">
        <f aca="false">IF(Time!S20&lt;Time!$F$12,0,R43+Financials!S14-S41)</f>
        <v>44.8288870314125</v>
      </c>
      <c r="T43" s="13" t="n">
        <f aca="false">IF(Time!T20&lt;Time!$F$12,0,S43+Financials!T14-T41)</f>
        <v>55.4606162405501</v>
      </c>
      <c r="U43" s="13" t="n">
        <f aca="false">IF(Time!U20&lt;Time!$F$12,0,T43+Financials!U14-U41)</f>
        <v>67.2847226108621</v>
      </c>
      <c r="V43" s="13" t="n">
        <f aca="false">IF(Time!V20&lt;Time!$F$12,0,U43+Financials!V14-V41)</f>
        <v>77.3850199868884</v>
      </c>
      <c r="W43" s="13" t="n">
        <f aca="false">IF(Time!W20&lt;Time!$F$12,0,V43+Financials!W14-W41)</f>
        <v>91.259193814264</v>
      </c>
      <c r="X43" s="13" t="n">
        <f aca="false">IF(Time!X20&lt;Time!$F$12,0,W43+Financials!X14-X41)</f>
        <v>105.760626283315</v>
      </c>
      <c r="Y43" s="13" t="n">
        <f aca="false">IF(Time!Y20&lt;Time!$F$12,0,X43+Financials!Y14-Y41)</f>
        <v>118.257776598336</v>
      </c>
      <c r="Z43" s="13" t="n">
        <f aca="false">IF(Time!Z20&lt;Time!$F$12,0,Y43+Financials!Z14-Z41)</f>
        <v>125.621040206666</v>
      </c>
      <c r="AA43" s="13" t="n">
        <f aca="false">IF(Time!AA20&lt;Time!$F$12,0,Z43+Financials!AA14-AA41)</f>
        <v>133.933193514181</v>
      </c>
      <c r="AB43" s="13" t="n">
        <f aca="false">IF(Time!AB20&lt;Time!$F$12,0,AA43+Financials!AB14-AB41)</f>
        <v>142.774982478218</v>
      </c>
      <c r="AC43" s="13" t="n">
        <f aca="false">IF(Time!AC20&lt;Time!$F$12,0,AB43+Financials!AC14-AC41)</f>
        <v>152.655955330604</v>
      </c>
      <c r="AD43" s="13" t="n">
        <f aca="false">IF(Time!AD20&lt;Time!$F$12,0,AC43+Financials!AD14-AD41)</f>
        <v>154.349540067752</v>
      </c>
      <c r="AE43" s="13" t="n">
        <f aca="false">IF(Time!AE20&lt;Time!$F$12,0,AD43+Financials!AE14-AE41)</f>
        <v>166.222625729341</v>
      </c>
      <c r="AF43" s="13" t="n">
        <f aca="false">IF(Time!AF20&lt;Time!$F$12,0,AE43+Financials!AF14-AF41)</f>
        <v>178.700114220614</v>
      </c>
      <c r="AG43" s="13" t="n">
        <f aca="false">IF(Time!AG20&lt;Time!$F$12,0,AF43+Financials!AG14-AG41)</f>
        <v>192.252264642731</v>
      </c>
      <c r="AH43" s="13" t="n">
        <f aca="false">IF(Time!AH20&lt;Time!$F$12,0,AG43+Financials!AH14-AH41)</f>
        <v>206.804440233108</v>
      </c>
      <c r="AI43" s="13" t="n">
        <f aca="false">IF(Time!AI20&lt;Time!$F$12,0,AH43+Financials!AI14-AI41)</f>
        <v>222.672400992383</v>
      </c>
      <c r="AJ43" s="13" t="n">
        <f aca="false">IF(Time!AJ20&lt;Time!$F$12,0,AI43+Financials!AJ14-AJ41)</f>
        <v>239.640515391407</v>
      </c>
      <c r="AK43" s="13" t="n">
        <f aca="false">IF(Time!AK20&lt;Time!$F$12,0,AJ43+Financials!AK14-AK41)</f>
        <v>258.061255370233</v>
      </c>
      <c r="AL43" s="13" t="n">
        <f aca="false">IF(Time!AL20&lt;Time!$F$12,0,AK43+Financials!AL14-AL41)</f>
        <v>275.820126037607</v>
      </c>
      <c r="AM43" s="13" t="n">
        <f aca="false">IF(Time!AM20&lt;Time!$F$12,0,AL43+Financials!AM14-AM41)</f>
        <v>297.059207791654</v>
      </c>
      <c r="AN43" s="13" t="n">
        <f aca="false">IF(Time!AN20&lt;Time!$F$12,0,AM43+Financials!AN14-AN41)</f>
        <v>320.002534946009</v>
      </c>
      <c r="AO43" s="13" t="n">
        <f aca="false">IF(Time!AO20&lt;Time!$F$12,0,AN43+Financials!AO14-AO41)</f>
        <v>343.634952701519</v>
      </c>
      <c r="AP43" s="13" t="n">
        <f aca="false">IF(Time!AP20&lt;Time!$F$12,0,AO43+Financials!AP14-AP41)</f>
        <v>328.051757614246</v>
      </c>
      <c r="AQ43" s="13" t="n">
        <f aca="false">IF(Time!AQ20&lt;Time!$F$12,0,AP43+Financials!AQ14-AQ41)</f>
        <v>312.992473729407</v>
      </c>
      <c r="AR43" s="13" t="n">
        <f aca="false">IF(Time!AR20&lt;Time!$F$12,0,AQ43+Financials!AR14-AR41)</f>
        <v>297.407106812052</v>
      </c>
      <c r="AS43" s="13" t="n">
        <f aca="false">IF(Time!AS20&lt;Time!$F$12,0,AR43+Financials!AS14-AS41)</f>
        <v>282.26781067109</v>
      </c>
      <c r="AT43" s="13" t="n">
        <f aca="false">IF(Time!AT20&lt;Time!$F$12,0,AS43+Financials!AT14-AT41)</f>
        <v>250.091206162778</v>
      </c>
      <c r="AU43" s="13" t="n">
        <f aca="false">IF(Time!AU20&lt;Time!$F$12,0,AT43+Financials!AU14-AU41)</f>
        <v>232.935616301302</v>
      </c>
      <c r="AV43" s="13" t="n">
        <f aca="false">IF(Time!AV20&lt;Time!$F$12,0,AU43+Financials!AV14-AV41)</f>
        <v>215.586180993987</v>
      </c>
      <c r="AW43" s="13" t="n">
        <f aca="false">IF(Time!AW20&lt;Time!$F$12,0,AV43+Financials!AW14-AW41)</f>
        <v>198.779196715345</v>
      </c>
      <c r="AX43" s="13" t="n">
        <f aca="false">IF(Time!AX20&lt;Time!$F$12,0,AW43+Financials!AX14-AX41)</f>
        <v>181.435340601514</v>
      </c>
      <c r="AY43" s="13" t="n">
        <f aca="false">IF(Time!AY20&lt;Time!$F$12,0,AX43+Financials!AY14-AY41)</f>
        <v>164.630756538286</v>
      </c>
      <c r="AZ43" s="13" t="n">
        <f aca="false">IF(Time!AZ20&lt;Time!$F$12,0,AY43+Financials!AZ14-AZ41)</f>
        <v>147.284042279844</v>
      </c>
      <c r="BA43" s="13" t="n">
        <f aca="false">IF(Time!BA20&lt;Time!$F$12,0,AZ43+Financials!BA14-BA41)</f>
        <v>130.891934226265</v>
      </c>
      <c r="BB43" s="13" t="n">
        <f aca="false">IF(Time!BB20&lt;Time!$F$12,0,BA43+Financials!BB14-BB41)</f>
        <v>111.012103104568</v>
      </c>
      <c r="BC43" s="13" t="n">
        <f aca="false">IF(Time!BC20&lt;Time!$F$12,0,BB43+Financials!BC14-BC41)</f>
        <v>97.0647545016633</v>
      </c>
      <c r="BD43" s="13" t="n">
        <f aca="false">IF(Time!BD20&lt;Time!$F$12,0,BC43+Financials!BD14-BD41)</f>
        <v>89.2235852749563</v>
      </c>
      <c r="BE43" s="13" t="n">
        <f aca="false">IF(Time!BE20&lt;Time!$F$12,0,BD43+Financials!BE14-BE41)</f>
        <v>81.9578882931088</v>
      </c>
      <c r="BF43" s="13" t="n">
        <f aca="false">IF(Time!BF20&lt;Time!$F$12,0,BE43+Financials!BF14-BF41)</f>
        <v>74.1556378210156</v>
      </c>
      <c r="BG43" s="13" t="n">
        <f aca="false">IF(Time!BG20&lt;Time!$F$12,0,BF43+Financials!BG14-BG41)</f>
        <v>66.9263944516427</v>
      </c>
      <c r="BH43" s="13" t="n">
        <f aca="false">IF(Time!BH20&lt;Time!$F$12,0,BG43+Financials!BH14-BH41)</f>
        <v>59.1549969970595</v>
      </c>
      <c r="BI43" s="13" t="n">
        <f aca="false">IF(Time!BI20&lt;Time!$F$12,0,BH43+Financials!BI14-BI41)</f>
        <v>51.878084162495</v>
      </c>
      <c r="BJ43" s="13" t="n">
        <f aca="false">IF(Time!BJ20&lt;Time!$F$12,0,BI43+Financials!BJ14-BJ41)</f>
        <v>24.4155179439765</v>
      </c>
      <c r="BK43" s="13" t="n">
        <f aca="false">IF(Time!BK20&lt;Time!$F$12,0,BJ43+Financials!BK14-BK41)</f>
        <v>14.7333581104862</v>
      </c>
      <c r="BL43" s="13" t="n">
        <f aca="false">IF(Time!BL20&lt;Time!$F$12,0,BK43+Financials!BL14-BL41)</f>
        <v>4.2293138908522</v>
      </c>
      <c r="BM43" s="13" t="n">
        <f aca="false">IF(Time!BM20&lt;Time!$F$12,0,BL43+Financials!BM14-BM41)</f>
        <v>-44.920443917829</v>
      </c>
      <c r="BN43" s="13" t="n">
        <f aca="false">IF(Time!BN20&lt;Time!$F$12,0,BM43+Financials!BN14-BN41)</f>
        <v>-44.920443917829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1395.55293959853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14.9497284777696</v>
      </c>
      <c r="Q44" s="13" t="n">
        <f aca="false">Q34+Q35+Q41</f>
        <v>12.4566737357431</v>
      </c>
      <c r="R44" s="13" t="n">
        <f aca="false">R34+R35+R41</f>
        <v>13.3790469914809</v>
      </c>
      <c r="S44" s="13" t="n">
        <f aca="false">S34+S35+S41</f>
        <v>12.5696555597131</v>
      </c>
      <c r="T44" s="13" t="n">
        <f aca="false">T34+T35+T41</f>
        <v>13.3101131991992</v>
      </c>
      <c r="U44" s="13" t="n">
        <f aca="false">U34+U35+U41</f>
        <v>12.3529289457393</v>
      </c>
      <c r="V44" s="13" t="n">
        <f aca="false">V34+V35+V41</f>
        <v>13.5908478399407</v>
      </c>
      <c r="W44" s="13" t="n">
        <f aca="false">W34+W35+W41</f>
        <v>14.3314942667673</v>
      </c>
      <c r="X44" s="13" t="n">
        <f aca="false">X34+X35+X41</f>
        <v>13.198598113469</v>
      </c>
      <c r="Y44" s="13" t="n">
        <f aca="false">Y34+Y35+Y41</f>
        <v>12.4177641422608</v>
      </c>
      <c r="Z44" s="13" t="n">
        <f aca="false">Z34+Z35+Z41</f>
        <v>13.1222221349054</v>
      </c>
      <c r="AA44" s="13" t="n">
        <f aca="false">AA34+AA35+AA41</f>
        <v>6.14646513675997</v>
      </c>
      <c r="AB44" s="13" t="n">
        <f aca="false">AB34+AB35+AB41</f>
        <v>7.11530726063816</v>
      </c>
      <c r="AC44" s="13" t="n">
        <f aca="false">AC34+AC35+AC41</f>
        <v>6.77305351759387</v>
      </c>
      <c r="AD44" s="13" t="n">
        <f aca="false">AD34+AD35+AD41</f>
        <v>8.11280426252467</v>
      </c>
      <c r="AE44" s="13" t="n">
        <f aca="false">AE34+AE35+AE41</f>
        <v>8.71383925336212</v>
      </c>
      <c r="AF44" s="13" t="n">
        <f aca="false">AF34+AF35+AF41</f>
        <v>9.58564576263172</v>
      </c>
      <c r="AG44" s="13" t="n">
        <f aca="false">AG34+AG35+AG41</f>
        <v>10.0167248459339</v>
      </c>
      <c r="AH44" s="13" t="n">
        <f aca="false">AH34+AH35+AH41</f>
        <v>11.3971093577227</v>
      </c>
      <c r="AI44" s="13" t="n">
        <f aca="false">AI34+AI35+AI41</f>
        <v>12.2936914778488</v>
      </c>
      <c r="AJ44" s="13" t="n">
        <f aca="false">AJ34+AJ35+AJ41</f>
        <v>14.2040414734419</v>
      </c>
      <c r="AK44" s="13" t="n">
        <f aca="false">AK34+AK35+AK41</f>
        <v>27.3859627508734</v>
      </c>
      <c r="AL44" s="13" t="n">
        <f aca="false">AL34+AL35+AL41</f>
        <v>32.9995877428729</v>
      </c>
      <c r="AM44" s="13" t="n">
        <f aca="false">AM34+AM35+AM41</f>
        <v>33.9985561025404</v>
      </c>
      <c r="AN44" s="13" t="n">
        <f aca="false">AN34+AN35+AN41</f>
        <v>26.8082715003376</v>
      </c>
      <c r="AO44" s="13" t="n">
        <f aca="false">AO34+AO35+AO41</f>
        <v>41.614124645743</v>
      </c>
      <c r="AP44" s="13" t="n">
        <f aca="false">AP34+AP35+AP41</f>
        <v>41.5609454433001</v>
      </c>
      <c r="AQ44" s="13" t="n">
        <f aca="false">AQ34+AQ35+AQ41</f>
        <v>41.1169125242327</v>
      </c>
      <c r="AR44" s="13" t="n">
        <f aca="false">AR34+AR35+AR41</f>
        <v>41.7090833011676</v>
      </c>
      <c r="AS44" s="13" t="n">
        <f aca="false">AS34+AS35+AS41</f>
        <v>41.4481761632091</v>
      </c>
      <c r="AT44" s="13" t="n">
        <f aca="false">AT34+AT35+AT41</f>
        <v>48.1878325750925</v>
      </c>
      <c r="AU44" s="13" t="n">
        <f aca="false">AU34+AU35+AU41</f>
        <v>43.7548224395722</v>
      </c>
      <c r="AV44" s="13" t="n">
        <f aca="false">AV34+AV35+AV41</f>
        <v>43.8671815918655</v>
      </c>
      <c r="AW44" s="13" t="n">
        <f aca="false">AW34+AW35+AW41</f>
        <v>43.4412295583817</v>
      </c>
      <c r="AX44" s="13" t="n">
        <f aca="false">AX34+AX35+AX41</f>
        <v>44.1147591302012</v>
      </c>
      <c r="AY44" s="13" t="n">
        <f aca="false">AY34+AY35+AY41</f>
        <v>43.6610794841665</v>
      </c>
      <c r="AZ44" s="13" t="n">
        <f aca="false">AZ34+AZ35+AZ41</f>
        <v>44.2745476777494</v>
      </c>
      <c r="BA44" s="13" t="n">
        <f aca="false">BA34+BA35+BA41</f>
        <v>43.4855399117799</v>
      </c>
      <c r="BB44" s="13" t="n">
        <f aca="false">BB34+BB35+BB41</f>
        <v>44.7302310160923</v>
      </c>
      <c r="BC44" s="13" t="n">
        <f aca="false">BC34+BC35+BC41</f>
        <v>41.3190428908018</v>
      </c>
      <c r="BD44" s="13" t="n">
        <f aca="false">BD34+BD35+BD41</f>
        <v>35.1958097913051</v>
      </c>
      <c r="BE44" s="13" t="n">
        <f aca="false">BE34+BE35+BE41</f>
        <v>34.7463751501165</v>
      </c>
      <c r="BF44" s="13" t="n">
        <f aca="false">BF34+BF35+BF41</f>
        <v>35.4323816134796</v>
      </c>
      <c r="BG44" s="13" t="n">
        <f aca="false">BG34+BG35+BG41</f>
        <v>34.9510960629418</v>
      </c>
      <c r="BH44" s="13" t="n">
        <f aca="false">BH34+BH35+BH41</f>
        <v>35.5702556328891</v>
      </c>
      <c r="BI44" s="13" t="n">
        <f aca="false">BI34+BI35+BI41</f>
        <v>35.2967893147818</v>
      </c>
      <c r="BJ44" s="13" t="n">
        <f aca="false">BJ34+BJ35+BJ41</f>
        <v>43.3105789698434</v>
      </c>
      <c r="BK44" s="13" t="n">
        <f aca="false">BK34+BK35+BK41</f>
        <v>38.0478614589076</v>
      </c>
      <c r="BL44" s="13" t="n">
        <f aca="false">BL34+BL35+BL41</f>
        <v>38.7652497875522</v>
      </c>
      <c r="BM44" s="13" t="n">
        <f aca="false">BM34+BM35+BM41</f>
        <v>54.7208996112829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515.046104820877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30.4760920352664</v>
      </c>
      <c r="R9" s="13" t="n">
        <f aca="false">Debt!R112+Debt!R110+Debt!R104-Debt!R103+Tax!R13</f>
        <v>30.2067265944063</v>
      </c>
      <c r="S9" s="13" t="n">
        <f aca="false">Debt!S112+Debt!S110+Debt!S104-Debt!S103+Tax!S13</f>
        <v>29.1171032214211</v>
      </c>
      <c r="T9" s="13" t="n">
        <f aca="false">Debt!T112+Debt!T110+Debt!T104-Debt!T103+Tax!T13</f>
        <v>28.7624694141878</v>
      </c>
      <c r="U9" s="13" t="n">
        <f aca="false">Debt!U112+Debt!U110+Debt!U104-Debt!U103+Tax!U13</f>
        <v>27.7383905093486</v>
      </c>
      <c r="V9" s="13" t="n">
        <f aca="false">Debt!V112+Debt!V110+Debt!V104-Debt!V103+Tax!V13</f>
        <v>27.1925217033069</v>
      </c>
      <c r="W9" s="13" t="n">
        <f aca="false">Debt!W112+Debt!W110+Debt!W104-Debt!W103+Tax!W13</f>
        <v>25.9710256106336</v>
      </c>
      <c r="X9" s="13" t="n">
        <f aca="false">Debt!X112+Debt!X110+Debt!X104-Debt!X103+Tax!X13</f>
        <v>25.3358950504944</v>
      </c>
      <c r="Y9" s="13" t="n">
        <f aca="false">Debt!Y112+Debt!Y110+Debt!Y104-Debt!Y103+Tax!Y13</f>
        <v>24.65173213156</v>
      </c>
      <c r="Z9" s="13" t="n">
        <f aca="false">Debt!Z112+Debt!Z110+Debt!Z104-Debt!Z103+Tax!Z13</f>
        <v>24.0760337830756</v>
      </c>
      <c r="AA9" s="13" t="n">
        <f aca="false">Debt!AA112+Debt!AA110+Debt!AA104-Debt!AA103+Tax!AA13</f>
        <v>22.8173921095187</v>
      </c>
      <c r="AB9" s="13" t="n">
        <f aca="false">Debt!AB112+Debt!AB110+Debt!AB104-Debt!AB103+Tax!AB13</f>
        <v>22.1390939211367</v>
      </c>
      <c r="AC9" s="13" t="n">
        <f aca="false">Debt!AC112+Debt!AC110+Debt!AC104-Debt!AC103+Tax!AC13</f>
        <v>20.8748535875029</v>
      </c>
      <c r="AD9" s="13" t="n">
        <f aca="false">Debt!AD112+Debt!AD110+Debt!AD104-Debt!AD103+Tax!AD13</f>
        <v>19.9905789000814</v>
      </c>
      <c r="AE9" s="13" t="n">
        <f aca="false">Debt!AE112+Debt!AE110+Debt!AE104-Debt!AE103+Tax!AE13</f>
        <v>18.5001070981289</v>
      </c>
      <c r="AF9" s="13" t="n">
        <f aca="false">Debt!AF112+Debt!AF110+Debt!AF104-Debt!AF103+Tax!AF13</f>
        <v>17.4155180563962</v>
      </c>
      <c r="AG9" s="13" t="n">
        <f aca="false">Debt!AG112+Debt!AG110+Debt!AG104-Debt!AG103+Tax!AG13</f>
        <v>16.0202626539435</v>
      </c>
      <c r="AH9" s="13" t="n">
        <f aca="false">Debt!AH112+Debt!AH110+Debt!AH104-Debt!AH103+Tax!AH13</f>
        <v>14.7527446041088</v>
      </c>
      <c r="AI9" s="13" t="n">
        <f aca="false">Debt!AI112+Debt!AI110+Debt!AI104-Debt!AI103+Tax!AI13</f>
        <v>12.9768426547465</v>
      </c>
      <c r="AJ9" s="13" t="n">
        <f aca="false">Debt!AJ112+Debt!AJ110+Debt!AJ104-Debt!AJ103+Tax!AJ13</f>
        <v>11.4897160963687</v>
      </c>
      <c r="AK9" s="13" t="n">
        <f aca="false">Debt!AK112+Debt!AK110+Debt!AK104-Debt!AK103+Tax!AK13</f>
        <v>9.61219534793238</v>
      </c>
      <c r="AL9" s="13" t="n">
        <f aca="false">Debt!AL112+Debt!AL110+Debt!AL104-Debt!AL103+Tax!AL13</f>
        <v>7.85986559900938</v>
      </c>
      <c r="AM9" s="13" t="n">
        <f aca="false">Debt!AM112+Debt!AM110+Debt!AM104-Debt!AM103+Tax!AM13</f>
        <v>5.91672753700157</v>
      </c>
      <c r="AN9" s="13" t="n">
        <f aca="false">Debt!AN112+Debt!AN110+Debt!AN104-Debt!AN103+Tax!AN13</f>
        <v>4.00254335294078</v>
      </c>
      <c r="AO9" s="13" t="n">
        <f aca="false">Debt!AO112+Debt!AO110+Debt!AO104-Debt!AO103+Tax!AO13</f>
        <v>2.33197323244465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-49.1573128045003</v>
      </c>
      <c r="Z12" s="13" t="n">
        <f aca="false">IF(Time!Z20&gt;=Time!$F$12,Inputs!$F$184/100*(Z11-Z10-Tax!Z21),0)</f>
        <v>-45.8503286735002</v>
      </c>
      <c r="AA12" s="13" t="n">
        <f aca="false">IF(Time!AA20&gt;=Time!$F$12,Inputs!$F$184/100*(AA11-AA10-Tax!AA21),0)</f>
        <v>-42.1359309638328</v>
      </c>
      <c r="AB12" s="13" t="n">
        <f aca="false">IF(Time!AB20&gt;=Time!$F$12,Inputs!$F$184/100*(AB11-AB10-Tax!AB21),0)</f>
        <v>-38.1937358741202</v>
      </c>
      <c r="AC12" s="13" t="n">
        <f aca="false">IF(Time!AC20&gt;=Time!$F$12,Inputs!$F$184/100*(AC11-AC10-Tax!AC21),0)</f>
        <v>-33.8057861231114</v>
      </c>
      <c r="AD12" s="13" t="n">
        <f aca="false">IF(Time!AD20&gt;=Time!$F$12,Inputs!$F$184/100*(AD11-AD10-Tax!AD21),0)</f>
        <v>-32.8020430463568</v>
      </c>
      <c r="AE12" s="13" t="n">
        <f aca="false">IF(Time!AE20&gt;=Time!$F$12,Inputs!$F$184/100*(AE11-AE10-Tax!AE21),0)</f>
        <v>-27.6857988615643</v>
      </c>
      <c r="AF12" s="13" t="n">
        <f aca="false">IF(Time!AF20&gt;=Time!$F$12,Inputs!$F$184/100*(AF11-AF10-Tax!AF21),0)</f>
        <v>-22.1825681378819</v>
      </c>
      <c r="AG12" s="13" t="n">
        <f aca="false">IF(Time!AG20&gt;=Time!$F$12,Inputs!$F$184/100*(AG11-AG10-Tax!AG21),0)</f>
        <v>-16.2180873707831</v>
      </c>
      <c r="AH12" s="13" t="n">
        <f aca="false">IF(Time!AH20&gt;=Time!$F$12,Inputs!$F$184/100*(AH11-AH10-Tax!AH21),0)</f>
        <v>-9.82439603951567</v>
      </c>
      <c r="AI12" s="13" t="n">
        <f aca="false">IF(Time!AI20&gt;=Time!$F$12,Inputs!$F$184/100*(AI11-AI10-Tax!AI21),0)</f>
        <v>-2.86598389683454</v>
      </c>
      <c r="AJ12" s="13" t="n">
        <f aca="false">IF(Time!AJ20&gt;=Time!$F$12,Inputs!$F$184/100*(AJ11-AJ10-Tax!AJ21),0)</f>
        <v>4.56480509183808</v>
      </c>
      <c r="AK12" s="13" t="n">
        <f aca="false">IF(Time!AK20&gt;=Time!$F$12,Inputs!$F$184/100*(AK11-AK10-Tax!AK21),0)</f>
        <v>12.6187028494565</v>
      </c>
      <c r="AL12" s="13" t="n">
        <f aca="false">IF(Time!AL20&gt;=Time!$F$12,Inputs!$F$184/100*(AL11-AL10-Tax!AL21),0)</f>
        <v>20.3892825672902</v>
      </c>
      <c r="AM12" s="13" t="n">
        <f aca="false">IF(Time!AM20&gt;=Time!$F$12,Inputs!$F$184/100*(AM11-AM10-Tax!AM21),0)</f>
        <v>29.6523834561421</v>
      </c>
      <c r="AN12" s="13" t="n">
        <f aca="false">IF(Time!AN20&gt;=Time!$F$12,Inputs!$F$184/100*(AN11-AN10-Tax!AN21),0)</f>
        <v>32.9562310201098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-2.31596922261834</v>
      </c>
      <c r="Z13" s="13" t="n">
        <f aca="false">Z12-Y12</f>
        <v>3.30698413100014</v>
      </c>
      <c r="AA13" s="13" t="n">
        <f aca="false">AA12-Z12</f>
        <v>3.71439770966741</v>
      </c>
      <c r="AB13" s="13" t="n">
        <f aca="false">AB12-AA12</f>
        <v>3.94219508971258</v>
      </c>
      <c r="AC13" s="13" t="n">
        <f aca="false">AC12-AB12</f>
        <v>4.38794975100877</v>
      </c>
      <c r="AD13" s="13" t="n">
        <f aca="false">AD12-AC12</f>
        <v>1.00374307675464</v>
      </c>
      <c r="AE13" s="13" t="n">
        <f aca="false">AE12-AD12</f>
        <v>5.11624418479249</v>
      </c>
      <c r="AF13" s="13" t="n">
        <f aca="false">AF12-AE12</f>
        <v>5.5032307236824</v>
      </c>
      <c r="AG13" s="13" t="n">
        <f aca="false">AG12-AF12</f>
        <v>5.96448076709881</v>
      </c>
      <c r="AH13" s="13" t="n">
        <f aca="false">AH12-AG12</f>
        <v>6.39369133126739</v>
      </c>
      <c r="AI13" s="13" t="n">
        <f aca="false">AI12-AH12</f>
        <v>6.95841214268113</v>
      </c>
      <c r="AJ13" s="13" t="n">
        <f aca="false">AJ12-AI12</f>
        <v>7.43078898867262</v>
      </c>
      <c r="AK13" s="13" t="n">
        <f aca="false">AK12-AJ12</f>
        <v>8.05389775761837</v>
      </c>
      <c r="AL13" s="13" t="n">
        <f aca="false">AL12-AK12</f>
        <v>7.77057971783371</v>
      </c>
      <c r="AM13" s="13" t="n">
        <f aca="false">AM12-AL12</f>
        <v>9.26310088885189</v>
      </c>
      <c r="AN13" s="13" t="n">
        <f aca="false">AN12-AM12</f>
        <v>3.30384756396778</v>
      </c>
      <c r="AO13" s="13" t="n">
        <f aca="false">AO12-AN12</f>
        <v>1.00374307675462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948.376241840814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9.71237915491165</v>
      </c>
      <c r="P14" s="13" t="n">
        <f aca="false">Operations!P84-P8-P9-Tax!P27-P13</f>
        <v>7.29369659062736</v>
      </c>
      <c r="Q14" s="13" t="n">
        <f aca="false">Operations!Q84-Q8-Q9-Tax!Q27-Q13</f>
        <v>8.60115659969626</v>
      </c>
      <c r="R14" s="13" t="n">
        <f aca="false">Operations!R84-R8-R9-Tax!R27-R13</f>
        <v>9.01962316558154</v>
      </c>
      <c r="S14" s="13" t="n">
        <f aca="false">Operations!S84-S8-S9-Tax!S27-S13</f>
        <v>10.2020315205957</v>
      </c>
      <c r="T14" s="13" t="n">
        <f aca="false">Operations!T84-T8-T9-Tax!T27-T13</f>
        <v>10.6317292091376</v>
      </c>
      <c r="U14" s="13" t="n">
        <f aca="false">Operations!U84-U8-U9-Tax!U27-U13</f>
        <v>11.8241063703119</v>
      </c>
      <c r="V14" s="13" t="n">
        <f aca="false">Operations!V84-V8-V9-Tax!V27-V13</f>
        <v>10.1002973760263</v>
      </c>
      <c r="W14" s="13" t="n">
        <f aca="false">Operations!W84-W8-W9-Tax!W27-W13</f>
        <v>13.8741738273756</v>
      </c>
      <c r="X14" s="13" t="n">
        <f aca="false">Operations!X84-X8-X9-Tax!X27-X13</f>
        <v>14.5014324690506</v>
      </c>
      <c r="Y14" s="13" t="n">
        <f aca="false">Operations!Y84-Y8-Y9-Tax!Y27-Y13</f>
        <v>12.4971503150209</v>
      </c>
      <c r="Z14" s="13" t="n">
        <f aca="false">Operations!Z84-Z8-Z9-Tax!Z27-Z13</f>
        <v>7.36326360833034</v>
      </c>
      <c r="AA14" s="13" t="n">
        <f aca="false">Operations!AA84-AA8-AA9-Tax!AA27-AA13</f>
        <v>8.3121533075154</v>
      </c>
      <c r="AB14" s="13" t="n">
        <f aca="false">Operations!AB84-AB8-AB9-Tax!AB27-AB13</f>
        <v>8.8417889640368</v>
      </c>
      <c r="AC14" s="13" t="n">
        <f aca="false">Operations!AC84-AC8-AC9-Tax!AC27-AC13</f>
        <v>9.88097285238618</v>
      </c>
      <c r="AD14" s="13" t="n">
        <f aca="false">Operations!AD84-AD8-AD9-Tax!AD27-AD13</f>
        <v>1.69358473714728</v>
      </c>
      <c r="AE14" s="13" t="n">
        <f aca="false">Operations!AE84-AE8-AE9-Tax!AE27-AE13</f>
        <v>11.8730856615898</v>
      </c>
      <c r="AF14" s="13" t="n">
        <f aca="false">Operations!AF84-AF8-AF9-Tax!AF27-AF13</f>
        <v>12.477488491273</v>
      </c>
      <c r="AG14" s="13" t="n">
        <f aca="false">Operations!AG84-AG8-AG9-Tax!AG27-AG13</f>
        <v>13.5521504221167</v>
      </c>
      <c r="AH14" s="13" t="n">
        <f aca="false">Operations!AH84-AH8-AH9-Tax!AH27-AH13</f>
        <v>14.552175590377</v>
      </c>
      <c r="AI14" s="13" t="n">
        <f aca="false">Operations!AI84-AI8-AI9-Tax!AI27-AI13</f>
        <v>15.8679607592752</v>
      </c>
      <c r="AJ14" s="13" t="n">
        <f aca="false">Operations!AJ84-AJ8-AJ9-Tax!AJ27-AJ13</f>
        <v>16.9681143990232</v>
      </c>
      <c r="AK14" s="13" t="n">
        <f aca="false">Operations!AK84-AK8-AK9-Tax!AK27-AK13</f>
        <v>18.4207399788265</v>
      </c>
      <c r="AL14" s="13" t="n">
        <f aca="false">Operations!AL84-AL8-AL9-Tax!AL27-AL13</f>
        <v>17.758870667374</v>
      </c>
      <c r="AM14" s="13" t="n">
        <f aca="false">Operations!AM84-AM8-AM9-Tax!AM27-AM13</f>
        <v>21.239081754047</v>
      </c>
      <c r="AN14" s="13" t="n">
        <f aca="false">Operations!AN84-AN8-AN9-Tax!AN27-AN13</f>
        <v>22.9433271543548</v>
      </c>
      <c r="AO14" s="13" t="n">
        <f aca="false">Operations!AO84-AO8-AO9-Tax!AO27-AO13</f>
        <v>24.2204224134407</v>
      </c>
      <c r="AP14" s="13" t="n">
        <f aca="false">Operations!AP84-AP8-AP9-Tax!AP27-AP13</f>
        <v>25.9777503560264</v>
      </c>
      <c r="AQ14" s="13" t="n">
        <f aca="false">Operations!AQ84-AQ8-AQ9-Tax!AQ27-AQ13</f>
        <v>26.0576286393938</v>
      </c>
      <c r="AR14" s="13" t="n">
        <f aca="false">Operations!AR84-AR8-AR9-Tax!AR27-AR13</f>
        <v>26.1237163838129</v>
      </c>
      <c r="AS14" s="13" t="n">
        <f aca="false">Operations!AS84-AS8-AS9-Tax!AS27-AS13</f>
        <v>26.308880022247</v>
      </c>
      <c r="AT14" s="13" t="n">
        <f aca="false">Operations!AT84-AT8-AT9-Tax!AT27-AT13</f>
        <v>16.0112280667809</v>
      </c>
      <c r="AU14" s="13" t="n">
        <f aca="false">Operations!AU84-AU8-AU9-Tax!AU27-AU13</f>
        <v>26.5992325780955</v>
      </c>
      <c r="AV14" s="13" t="n">
        <f aca="false">Operations!AV84-AV8-AV9-Tax!AV27-AV13</f>
        <v>26.5177462845504</v>
      </c>
      <c r="AW14" s="13" t="n">
        <f aca="false">Operations!AW84-AW8-AW9-Tax!AW27-AW13</f>
        <v>26.6342452797402</v>
      </c>
      <c r="AX14" s="13" t="n">
        <f aca="false">Operations!AX84-AX8-AX9-Tax!AX27-AX13</f>
        <v>26.7709030163702</v>
      </c>
      <c r="AY14" s="13" t="n">
        <f aca="false">Operations!AY84-AY8-AY9-Tax!AY27-AY13</f>
        <v>26.8564954209387</v>
      </c>
      <c r="AZ14" s="13" t="n">
        <f aca="false">Operations!AZ84-AZ8-AZ9-Tax!AZ27-AZ13</f>
        <v>26.9278334193076</v>
      </c>
      <c r="BA14" s="13" t="n">
        <f aca="false">Operations!BA84-BA8-BA9-Tax!BA27-BA13</f>
        <v>27.0934318582009</v>
      </c>
      <c r="BB14" s="13" t="n">
        <f aca="false">Operations!BB84-BB8-BB9-Tax!BB27-BB13</f>
        <v>24.850399894395</v>
      </c>
      <c r="BC14" s="13" t="n">
        <f aca="false">Operations!BC84-BC8-BC9-Tax!BC27-BC13</f>
        <v>27.371694287897</v>
      </c>
      <c r="BD14" s="13" t="n">
        <f aca="false">Operations!BD84-BD8-BD9-Tax!BD27-BD13</f>
        <v>27.354640564598</v>
      </c>
      <c r="BE14" s="13" t="n">
        <f aca="false">Operations!BE84-BE8-BE9-Tax!BE27-BE13</f>
        <v>27.480678168269</v>
      </c>
      <c r="BF14" s="13" t="n">
        <f aca="false">Operations!BF84-BF8-BF9-Tax!BF27-BF13</f>
        <v>27.6301311413864</v>
      </c>
      <c r="BG14" s="13" t="n">
        <f aca="false">Operations!BG84-BG8-BG9-Tax!BG27-BG13</f>
        <v>27.721852693569</v>
      </c>
      <c r="BH14" s="13" t="n">
        <f aca="false">Operations!BH84-BH8-BH9-Tax!BH27-BH13</f>
        <v>27.7988581783059</v>
      </c>
      <c r="BI14" s="13" t="n">
        <f aca="false">Operations!BI84-BI8-BI9-Tax!BI27-BI13</f>
        <v>28.0198764802172</v>
      </c>
      <c r="BJ14" s="13" t="n">
        <f aca="false">Operations!BJ84-BJ8-BJ9-Tax!BJ27-BJ13</f>
        <v>15.8480127513248</v>
      </c>
      <c r="BK14" s="13" t="n">
        <f aca="false">Operations!BK84-BK8-BK9-Tax!BK27-BK13</f>
        <v>28.3657016254173</v>
      </c>
      <c r="BL14" s="13" t="n">
        <f aca="false">Operations!BL84-BL8-BL9-Tax!BL27-BL13</f>
        <v>28.2612055679182</v>
      </c>
      <c r="BM14" s="13" t="n">
        <f aca="false">Operations!BM84-BM8-BM9-Tax!BM27-BM13</f>
        <v>5.57114180260171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39.1531978114647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38.4573216920684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38.5821173995084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46.1136728467833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48.6999248860206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36.1471983896302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35.2495767801331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34.3158873575364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33.8131186424222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32.4593739063899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31.1913038327437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28.9994832136324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26.3694746385249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37.8441713697267</v>
      </c>
      <c r="P18" s="13" t="n">
        <f aca="false">Operations!P88+Operations!P89</f>
        <v>37.721553496701</v>
      </c>
      <c r="Q18" s="13" t="n">
        <f aca="false">Operations!Q88+Operations!Q89</f>
        <v>38.7137760113576</v>
      </c>
      <c r="R18" s="13" t="n">
        <f aca="false">Operations!R88+Operations!R89</f>
        <v>38.0651174742496</v>
      </c>
      <c r="S18" s="13" t="n">
        <f aca="false">Operations!S88+Operations!S89</f>
        <v>39.2024247487371</v>
      </c>
      <c r="T18" s="13" t="n">
        <f aca="false">Operations!T88+Operations!T89</f>
        <v>38.8128599558197</v>
      </c>
      <c r="U18" s="13" t="n">
        <f aca="false">Operations!U88+Operations!U89</f>
        <v>39.4590663818828</v>
      </c>
      <c r="V18" s="13" t="n">
        <f aca="false">Operations!V88+Operations!V89</f>
        <v>38.6472593707992</v>
      </c>
      <c r="W18" s="13" t="n">
        <f aca="false">Operations!W88+Operations!W89</f>
        <v>39.9848213953675</v>
      </c>
      <c r="X18" s="13" t="n">
        <f aca="false">Operations!X88+Operations!X89</f>
        <v>39.947148638543</v>
      </c>
      <c r="Y18" s="13" t="n">
        <f aca="false">Operations!Y88+Operations!Y89</f>
        <v>41.0061428770442</v>
      </c>
      <c r="Z18" s="13" t="n">
        <f aca="false">Operations!Z88+Operations!Z89</f>
        <v>40.3183695500722</v>
      </c>
      <c r="AA18" s="13" t="n">
        <f aca="false">Operations!AA88+Operations!AA89</f>
        <v>41.5340684291454</v>
      </c>
      <c r="AB18" s="13" t="n">
        <f aca="false">Operations!AB88+Operations!AB89</f>
        <v>41.1261154832341</v>
      </c>
      <c r="AC18" s="13" t="n">
        <f aca="false">Operations!AC88+Operations!AC89</f>
        <v>41.6584917069633</v>
      </c>
      <c r="AD18" s="13" t="n">
        <f aca="false">Operations!AD88+Operations!AD89</f>
        <v>40.2559801813169</v>
      </c>
      <c r="AE18" s="13" t="n">
        <f aca="false">Operations!AE88+Operations!AE89</f>
        <v>42.0574610386383</v>
      </c>
      <c r="AF18" s="13" t="n">
        <f aca="false">Operations!AF88+Operations!AF89</f>
        <v>42.3515233763904</v>
      </c>
      <c r="AG18" s="13" t="n">
        <f aca="false">Operations!AG88+Operations!AG89</f>
        <v>43.4826728123053</v>
      </c>
      <c r="AH18" s="13" t="n">
        <f aca="false">Operations!AH88+Operations!AH89</f>
        <v>42.7526431637962</v>
      </c>
      <c r="AI18" s="13" t="n">
        <f aca="false">Operations!AI88+Operations!AI89</f>
        <v>44.0530415819263</v>
      </c>
      <c r="AJ18" s="13" t="n">
        <f aca="false">Operations!AJ88+Operations!AJ89</f>
        <v>43.6252047939135</v>
      </c>
      <c r="AK18" s="13" t="n">
        <f aca="false">Operations!AK88+Operations!AK89</f>
        <v>44.3613561114493</v>
      </c>
      <c r="AL18" s="13" t="n">
        <f aca="false">Operations!AL88+Operations!AL89</f>
        <v>43.4324945400244</v>
      </c>
      <c r="AM18" s="13" t="n">
        <f aca="false">Operations!AM88+Operations!AM89</f>
        <v>44.9665060193528</v>
      </c>
      <c r="AN18" s="13" t="n">
        <f aca="false">Operations!AN88+Operations!AN89</f>
        <v>44.9490645464332</v>
      </c>
      <c r="AO18" s="13" t="n">
        <f aca="false">Operations!AO88+Operations!AO89</f>
        <v>46.1581860367072</v>
      </c>
      <c r="AP18" s="13" t="n">
        <f aca="false">Operations!AP88+Operations!AP89</f>
        <v>45.3825078466358</v>
      </c>
      <c r="AQ18" s="13" t="n">
        <f aca="false">Operations!AQ88+Operations!AQ89</f>
        <v>46.7744200892235</v>
      </c>
      <c r="AR18" s="13" t="n">
        <f aca="false">Operations!AR88+Operations!AR89</f>
        <v>46.3250826327762</v>
      </c>
      <c r="AS18" s="13" t="n">
        <f aca="false">Operations!AS88+Operations!AS89</f>
        <v>46.9285462965675</v>
      </c>
      <c r="AT18" s="13" t="n">
        <f aca="false">Operations!AT88+Operations!AT89</f>
        <v>45.332691751714</v>
      </c>
      <c r="AU18" s="13" t="n">
        <f aca="false">Operations!AU88+Operations!AU89</f>
        <v>47.3859696186786</v>
      </c>
      <c r="AV18" s="13" t="n">
        <f aca="false">Operations!AV88+Operations!AV89</f>
        <v>47.7553172058303</v>
      </c>
      <c r="AW18" s="13" t="n">
        <f aca="false">Operations!AW88+Operations!AW89</f>
        <v>49.0486957943364</v>
      </c>
      <c r="AX18" s="13" t="n">
        <f aca="false">Operations!AX88+Operations!AX89</f>
        <v>48.2237062976678</v>
      </c>
      <c r="AY18" s="13" t="n">
        <f aca="false">Operations!AY88+Operations!AY89</f>
        <v>49.7144935094476</v>
      </c>
      <c r="AZ18" s="13" t="n">
        <f aca="false">Operations!AZ88+Operations!AZ89</f>
        <v>49.2419076552215</v>
      </c>
      <c r="BA18" s="13" t="n">
        <f aca="false">Operations!BA88+Operations!BA89</f>
        <v>50.0830994271112</v>
      </c>
      <c r="BB18" s="13" t="n">
        <f aca="false">Operations!BB88+Operations!BB89</f>
        <v>49.0178412447673</v>
      </c>
      <c r="BC18" s="13" t="n">
        <f aca="false">Operations!BC88+Operations!BC89</f>
        <v>50.7811180089831</v>
      </c>
      <c r="BD18" s="13" t="n">
        <f aca="false">Operations!BD88+Operations!BD89</f>
        <v>50.7870778113947</v>
      </c>
      <c r="BE18" s="13" t="n">
        <f aca="false">Operations!BE88+Operations!BE89</f>
        <v>52.1715043184322</v>
      </c>
      <c r="BF18" s="13" t="n">
        <f aca="false">Operations!BF88+Operations!BF89</f>
        <v>51.2932487890968</v>
      </c>
      <c r="BG18" s="13" t="n">
        <f aca="false">Operations!BG88+Operations!BG89</f>
        <v>52.8908627094085</v>
      </c>
      <c r="BH18" s="13" t="n">
        <f aca="false">Operations!BH88+Operations!BH89</f>
        <v>52.3931392758677</v>
      </c>
      <c r="BI18" s="13" t="n">
        <f aca="false">Operations!BI88+Operations!BI89</f>
        <v>53.0796986244794</v>
      </c>
      <c r="BJ18" s="13" t="n">
        <f aca="false">Operations!BJ88+Operations!BJ89</f>
        <v>51.2581966474904</v>
      </c>
      <c r="BK18" s="13" t="n">
        <f aca="false">Operations!BK88+Operations!BK89</f>
        <v>53.6056331274875</v>
      </c>
      <c r="BL18" s="13" t="n">
        <f aca="false">Operations!BL88+Operations!BL89</f>
        <v>54.0624948826174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49.1573128045003</v>
      </c>
      <c r="Z20" s="13" t="n">
        <f aca="false">MAX(0,-Z12)</f>
        <v>45.8503286735002</v>
      </c>
      <c r="AA20" s="13" t="n">
        <f aca="false">MAX(0,-AA12)</f>
        <v>42.1359309638328</v>
      </c>
      <c r="AB20" s="13" t="n">
        <f aca="false">MAX(0,-AB12)</f>
        <v>38.1937358741202</v>
      </c>
      <c r="AC20" s="13" t="n">
        <f aca="false">MAX(0,-AC12)</f>
        <v>33.8057861231114</v>
      </c>
      <c r="AD20" s="13" t="n">
        <f aca="false">MAX(0,-AD12)</f>
        <v>32.8020430463568</v>
      </c>
      <c r="AE20" s="13" t="n">
        <f aca="false">MAX(0,-AE12)</f>
        <v>27.6857988615643</v>
      </c>
      <c r="AF20" s="13" t="n">
        <f aca="false">MAX(0,-AF12)</f>
        <v>22.1825681378819</v>
      </c>
      <c r="AG20" s="13" t="n">
        <f aca="false">MAX(0,-AG12)</f>
        <v>16.2180873707831</v>
      </c>
      <c r="AH20" s="13" t="n">
        <f aca="false">MAX(0,-AH12)</f>
        <v>9.82439603951567</v>
      </c>
      <c r="AI20" s="13" t="n">
        <f aca="false">MAX(0,-AI12)</f>
        <v>2.86598389683454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914.896487844879</v>
      </c>
      <c r="P21" s="13" t="n">
        <f aca="false">P16+P17+P18+P19+P20</f>
        <v>901.483621022104</v>
      </c>
      <c r="Q21" s="13" t="n">
        <f aca="false">Q16+Q17+Q18+Q19+Q20</f>
        <v>891.649544576173</v>
      </c>
      <c r="R21" s="13" t="n">
        <f aca="false">R16+R17+R18+R19+R20</f>
        <v>879.415345851034</v>
      </c>
      <c r="S21" s="13" t="n">
        <f aca="false">S16+S17+S18+S19+S20</f>
        <v>869.676490821601</v>
      </c>
      <c r="T21" s="13" t="n">
        <f aca="false">T16+T17+T18+T19+T20</f>
        <v>857.81233340886</v>
      </c>
      <c r="U21" s="13" t="n">
        <f aca="false">U16+U17+U18+U19+U20</f>
        <v>847.88169972216</v>
      </c>
      <c r="V21" s="13" t="n">
        <f aca="false">V16+V17+V18+V19+V20</f>
        <v>832.597254191704</v>
      </c>
      <c r="W21" s="13" t="n">
        <f aca="false">W16+W17+W18+W19+W20</f>
        <v>821.128047969442</v>
      </c>
      <c r="X21" s="13" t="n">
        <f aca="false">X16+X17+X18+X19+X20</f>
        <v>810.996378830844</v>
      </c>
      <c r="Y21" s="13" t="n">
        <f aca="false">Y16+Y17+Y18+Y19+Y20</f>
        <v>799.91600462025</v>
      </c>
      <c r="Z21" s="13" t="n">
        <f aca="false">Z16+Z17+Z18+Z19+Z20</f>
        <v>780.867862673109</v>
      </c>
      <c r="AA21" s="13" t="n">
        <f aca="false">AA16+AA17+AA18+AA19+AA20</f>
        <v>764.043316383962</v>
      </c>
      <c r="AB21" s="13" t="n">
        <f aca="false">AB16+AB17+AB18+AB19+AB20</f>
        <v>744.182071109735</v>
      </c>
      <c r="AC21" s="13" t="n">
        <f aca="false">AC16+AC17+AC18+AC19+AC20</f>
        <v>726.183698342449</v>
      </c>
      <c r="AD21" s="13" t="n">
        <f aca="false">AD16+AD17+AD18+AD19+AD20</f>
        <v>694.495665964414</v>
      </c>
      <c r="AE21" s="13" t="n">
        <f aca="false">AE16+AE17+AE18+AE19+AE20</f>
        <v>673.554229748202</v>
      </c>
      <c r="AF21" s="13" t="n">
        <f aca="false">AF16+AF17+AF18+AF19+AF20</f>
        <v>650.682320660432</v>
      </c>
      <c r="AG21" s="13" t="n">
        <f aca="false">AG16+AG17+AG18+AG19+AG20</f>
        <v>628.61716933489</v>
      </c>
      <c r="AH21" s="13" t="n">
        <f aca="false">AH16+AH17+AH18+AH19+AH20</f>
        <v>603.410652339838</v>
      </c>
      <c r="AI21" s="13" t="n">
        <f aca="false">AI16+AI17+AI18+AI19+AI20</f>
        <v>579.755517262397</v>
      </c>
      <c r="AJ21" s="13" t="n">
        <f aca="false">AJ16+AJ17+AJ18+AJ19+AJ20</f>
        <v>557.540824679195</v>
      </c>
      <c r="AK21" s="13" t="n">
        <f aca="false">AK16+AK17+AK18+AK19+AK20</f>
        <v>538.91791614238</v>
      </c>
      <c r="AL21" s="13" t="n">
        <f aca="false">AL16+AL17+AL18+AL19+AL20</f>
        <v>516.656692973437</v>
      </c>
      <c r="AM21" s="13" t="n">
        <f aca="false">AM16+AM17+AM18+AM19+AM20</f>
        <v>498.526038129478</v>
      </c>
      <c r="AN21" s="13" t="n">
        <f aca="false">AN16+AN17+AN18+AN19+AN20</f>
        <v>483.320083262603</v>
      </c>
      <c r="AO21" s="13" t="n">
        <f aca="false">AO16+AO17+AO18+AO19+AO20</f>
        <v>452.124844483112</v>
      </c>
      <c r="AP21" s="13" t="n">
        <f aca="false">AP16+AP17+AP18+AP19+AP20</f>
        <v>436.968004099284</v>
      </c>
      <c r="AQ21" s="13" t="n">
        <f aca="false">AQ16+AQ17+AQ18+AQ19+AQ20</f>
        <v>423.978754148115</v>
      </c>
      <c r="AR21" s="13" t="n">
        <f aca="false">AR16+AR17+AR18+AR19+AR20</f>
        <v>409.148254497911</v>
      </c>
      <c r="AS21" s="13" t="n">
        <f aca="false">AS16+AS17+AS18+AS19+AS20</f>
        <v>395.370555967946</v>
      </c>
      <c r="AT21" s="13" t="n">
        <f aca="false">AT16+AT17+AT18+AT19+AT20</f>
        <v>362.958315630927</v>
      </c>
      <c r="AU21" s="13" t="n">
        <f aca="false">AU16+AU17+AU18+AU19+AU20</f>
        <v>348.282542218648</v>
      </c>
      <c r="AV21" s="13" t="n">
        <f aca="false">AV16+AV17+AV18+AV19+AV20</f>
        <v>332.51247952748</v>
      </c>
      <c r="AW21" s="13" t="n">
        <f aca="false">AW16+AW17+AW18+AW19+AW20</f>
        <v>317.666447837666</v>
      </c>
      <c r="AX21" s="13" t="n">
        <f aca="false">AX16+AX17+AX18+AX19+AX20</f>
        <v>300.702048062677</v>
      </c>
      <c r="AY21" s="13" t="n">
        <f aca="false">AY16+AY17+AY18+AY19+AY20</f>
        <v>286.053424996137</v>
      </c>
      <c r="AZ21" s="13" t="n">
        <f aca="false">AZ16+AZ17+AZ18+AZ19+AZ20</f>
        <v>269.44142886359</v>
      </c>
      <c r="BA21" s="13" t="n">
        <f aca="false">BA16+BA17+BA18+BA19+BA20</f>
        <v>254.638178743768</v>
      </c>
      <c r="BB21" s="13" t="n">
        <f aca="false">BB16+BB17+BB18+BB19+BB20</f>
        <v>234.807173531285</v>
      </c>
      <c r="BC21" s="13" t="n">
        <f aca="false">BC16+BC17+BC18+BC19+BC20</f>
        <v>221.3589720896</v>
      </c>
      <c r="BD21" s="13" t="n">
        <f aca="false">BD16+BD17+BD18+BD19+BD20</f>
        <v>208.964431534127</v>
      </c>
      <c r="BE21" s="13" t="n">
        <f aca="false">BE16+BE17+BE18+BE19+BE20</f>
        <v>197.96514180399</v>
      </c>
      <c r="BF21" s="13" t="n">
        <f aca="false">BF16+BF17+BF18+BF19+BF20</f>
        <v>184.720137779096</v>
      </c>
      <c r="BG21" s="13" t="n">
        <f aca="false">BG16+BG17+BG18+BG19+BG20</f>
        <v>173.968156575214</v>
      </c>
      <c r="BH21" s="13" t="n">
        <f aca="false">BH16+BH17+BH18+BH19+BH20</f>
        <v>161.138179049411</v>
      </c>
      <c r="BI21" s="13" t="n">
        <f aca="false">BI16+BI17+BI18+BI19+BI20</f>
        <v>149.510015051296</v>
      </c>
      <c r="BJ21" s="13" t="n">
        <f aca="false">BJ16+BJ17+BJ18+BJ19+BJ20</f>
        <v>115.830884734423</v>
      </c>
      <c r="BK21" s="13" t="n">
        <f aca="false">BK16+BK17+BK18+BK19+BK20</f>
        <v>103.104861463151</v>
      </c>
      <c r="BL21" s="13" t="n">
        <f aca="false">BL16+BL17+BL18+BL19+BL20</f>
        <v>88.5063758974075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398.36011643387</v>
      </c>
      <c r="AB22" s="13" t="n">
        <f aca="false">IF(Time!AB20&lt;Time!$F$12,SUMIFS(Funding!$J$73:$BJ$73,Construction!$J$12:$BJ$12,"&lt;="&amp;Time!AB20),Debt!AB116)</f>
        <v>369.273959659119</v>
      </c>
      <c r="AC22" s="13" t="n">
        <f aca="false">IF(Time!AC20&lt;Time!$F$12,SUMIFS(Funding!$J$73:$BJ$73,Construction!$J$12:$BJ$12,"&lt;="&amp;Time!AC20),Debt!AC116)</f>
        <v>340.20438579867</v>
      </c>
      <c r="AD22" s="13" t="n">
        <f aca="false">IF(Time!AD20&lt;Time!$F$12,SUMIFS(Funding!$J$73:$BJ$73,Construction!$J$12:$BJ$12,"&lt;="&amp;Time!AD20),Debt!AD116)</f>
        <v>308.21342260995</v>
      </c>
      <c r="AE22" s="13" t="n">
        <f aca="false">IF(Time!AE20&lt;Time!$F$12,SUMIFS(Funding!$J$73:$BJ$73,Construction!$J$12:$BJ$12,"&lt;="&amp;Time!AE20),Debt!AE116)</f>
        <v>275.209221889602</v>
      </c>
      <c r="AF22" s="13" t="n">
        <f aca="false">IF(Time!AF20&lt;Time!$F$12,SUMIFS(Funding!$J$73:$BJ$73,Construction!$J$12:$BJ$12,"&lt;="&amp;Time!AF20),Debt!AF116)</f>
        <v>241.238503975161</v>
      </c>
      <c r="AG22" s="13" t="n">
        <f aca="false">IF(Time!AG20&lt;Time!$F$12,SUMIFS(Funding!$J$73:$BJ$73,Construction!$J$12:$BJ$12,"&lt;="&amp;Time!AG20),Debt!AG116)</f>
        <v>207.316899779481</v>
      </c>
      <c r="AH22" s="13" t="n">
        <f aca="false">IF(Time!AH20&lt;Time!$F$12,SUMIFS(Funding!$J$73:$BJ$73,Construction!$J$12:$BJ$12,"&lt;="&amp;Time!AH20),Debt!AH116)</f>
        <v>171.984408667272</v>
      </c>
      <c r="AI22" s="13" t="n">
        <f aca="false">IF(Time!AI20&lt;Time!$F$12,SUMIFS(Funding!$J$73:$BJ$73,Construction!$J$12:$BJ$12,"&lt;="&amp;Time!AI20),Debt!AI116)</f>
        <v>136.569070547338</v>
      </c>
      <c r="AJ22" s="13" t="n">
        <f aca="false">IF(Time!AJ20&lt;Time!$F$12,SUMIFS(Funding!$J$73:$BJ$73,Construction!$J$12:$BJ$12,"&lt;="&amp;Time!AJ20),Debt!AJ116)</f>
        <v>100.181204280683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202.403723073681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199.482205552327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195.656443363736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192.304082444131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188.203490782256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184.765735413572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180.023394573711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174.172728443095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169.315333872599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164.873945527433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159.647604400252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161.022072298183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161.618178253359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162.500955700151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162.170388987321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161.096330113786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159.225653804275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156.70998407386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152.817780254798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147.723271602925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140.593758314741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119.867702635818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92.6086284328742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62.9728267574661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39.1803498097875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22.8939685120963</v>
      </c>
      <c r="P24" s="13" t="n">
        <f aca="false">Operations!P90+Operations!P91+Operations!P92+Operations!P93+Operations!P94</f>
        <v>22.807009776242</v>
      </c>
      <c r="Q24" s="13" t="n">
        <f aca="false">Operations!Q90+Operations!Q91+Operations!Q92+Operations!Q93+Operations!Q94</f>
        <v>23.5093748858219</v>
      </c>
      <c r="R24" s="13" t="n">
        <f aca="false">Operations!R90+Operations!R91+Operations!R92+Operations!R93+Operations!R94</f>
        <v>23.0526584793352</v>
      </c>
      <c r="S24" s="13" t="n">
        <f aca="false">Operations!S90+Operations!S91+Operations!S92+Operations!S93+Operations!S94</f>
        <v>23.8976367597415</v>
      </c>
      <c r="T24" s="13" t="n">
        <f aca="false">Operations!T90+Operations!T91+Operations!T92+Operations!T93+Operations!T94</f>
        <v>23.7006117041125</v>
      </c>
      <c r="U24" s="13" t="n">
        <f aca="false">Operations!U90+Operations!U91+Operations!U92+Operations!U93+Operations!U94</f>
        <v>24.1311028379216</v>
      </c>
      <c r="V24" s="13" t="n">
        <f aca="false">Operations!V90+Operations!V91+Operations!V92+Operations!V93+Operations!V94</f>
        <v>23.4326063027563</v>
      </c>
      <c r="W24" s="13" t="n">
        <f aca="false">Operations!W90+Operations!W91+Operations!W92+Operations!W93+Operations!W94</f>
        <v>24.4729223347627</v>
      </c>
      <c r="X24" s="13" t="n">
        <f aca="false">Operations!X90+Operations!X91+Operations!X92+Operations!X93+Operations!X94</f>
        <v>24.6293188642395</v>
      </c>
      <c r="Y24" s="13" t="n">
        <f aca="false">Operations!Y90+Operations!Y91+Operations!Y92+Operations!Y93+Operations!Y94</f>
        <v>25.3882183935393</v>
      </c>
      <c r="Z24" s="13" t="n">
        <f aca="false">Operations!Z90+Operations!Z91+Operations!Z92+Operations!Z93+Operations!Z94</f>
        <v>24.8943642980081</v>
      </c>
      <c r="AA24" s="13" t="n">
        <f aca="false">Operations!AA90+Operations!AA91+Operations!AA92+Operations!AA93+Operations!AA94</f>
        <v>25.8074902198986</v>
      </c>
      <c r="AB24" s="13" t="n">
        <f aca="false">Operations!AB90+Operations!AB91+Operations!AB92+Operations!AB93+Operations!AB94</f>
        <v>25.5945068012091</v>
      </c>
      <c r="AC24" s="13" t="n">
        <f aca="false">Operations!AC90+Operations!AC91+Operations!AC92+Operations!AC93+Operations!AC94</f>
        <v>25.9019575951951</v>
      </c>
      <c r="AD24" s="13" t="n">
        <f aca="false">Operations!AD90+Operations!AD91+Operations!AD92+Operations!AD93+Operations!AD94</f>
        <v>24.8418703815628</v>
      </c>
      <c r="AE24" s="13" t="n">
        <f aca="false">Operations!AE90+Operations!AE91+Operations!AE92+Operations!AE93+Operations!AE94</f>
        <v>26.1056080976437</v>
      </c>
      <c r="AF24" s="13" t="n">
        <f aca="false">Operations!AF90+Operations!AF91+Operations!AF92+Operations!AF93+Operations!AF94</f>
        <v>26.5976047425526</v>
      </c>
      <c r="AG24" s="13" t="n">
        <f aca="false">Operations!AG90+Operations!AG91+Operations!AG92+Operations!AG93+Operations!AG94</f>
        <v>27.417576920989</v>
      </c>
      <c r="AH24" s="13" t="n">
        <f aca="false">Operations!AH90+Operations!AH91+Operations!AH92+Operations!AH93+Operations!AH94</f>
        <v>26.8835792668303</v>
      </c>
      <c r="AI24" s="13" t="n">
        <f aca="false">Operations!AI90+Operations!AI91+Operations!AI92+Operations!AI93+Operations!AI94</f>
        <v>27.8703302019212</v>
      </c>
      <c r="AJ24" s="13" t="n">
        <f aca="false">Operations!AJ90+Operations!AJ91+Operations!AJ92+Operations!AJ93+Operations!AJ94</f>
        <v>27.6400976826966</v>
      </c>
      <c r="AK24" s="13" t="n">
        <f aca="false">Operations!AK90+Operations!AK91+Operations!AK92+Operations!AK93+Operations!AK94</f>
        <v>28.1419892975006</v>
      </c>
      <c r="AL24" s="13" t="n">
        <f aca="false">Operations!AL90+Operations!AL91+Operations!AL92+Operations!AL93+Operations!AL94</f>
        <v>27.3252253099406</v>
      </c>
      <c r="AM24" s="13" t="n">
        <f aca="false">Operations!AM90+Operations!AM91+Operations!AM92+Operations!AM93+Operations!AM94</f>
        <v>28.5403807088727</v>
      </c>
      <c r="AN24" s="13" t="n">
        <f aca="false">Operations!AN90+Operations!AN91+Operations!AN92+Operations!AN93+Operations!AN94</f>
        <v>28.7235285472788</v>
      </c>
      <c r="AO24" s="13" t="n">
        <f aca="false">Operations!AO90+Operations!AO91+Operations!AO92+Operations!AO93+Operations!AO94</f>
        <v>29.6094737668993</v>
      </c>
      <c r="AP24" s="13" t="n">
        <f aca="false">Operations!AP90+Operations!AP91+Operations!AP92+Operations!AP93+Operations!AP94</f>
        <v>29.0320853935903</v>
      </c>
      <c r="AQ24" s="13" t="n">
        <f aca="false">Operations!AQ90+Operations!AQ91+Operations!AQ92+Operations!AQ93+Operations!AQ94</f>
        <v>30.0983762505057</v>
      </c>
      <c r="AR24" s="13" t="n">
        <f aca="false">Operations!AR90+Operations!AR91+Operations!AR92+Operations!AR93+Operations!AR94</f>
        <v>29.8495004409018</v>
      </c>
      <c r="AS24" s="13" t="n">
        <f aca="false">Operations!AS90+Operations!AS91+Operations!AS92+Operations!AS93+Operations!AS94</f>
        <v>30.2073549751439</v>
      </c>
      <c r="AT24" s="13" t="n">
        <f aca="false">Operations!AT90+Operations!AT91+Operations!AT92+Operations!AT93+Operations!AT94</f>
        <v>28.9679760696822</v>
      </c>
      <c r="AU24" s="13" t="n">
        <f aca="false">Operations!AU90+Operations!AU91+Operations!AU92+Operations!AU93+Operations!AU94</f>
        <v>30.4440494421253</v>
      </c>
      <c r="AV24" s="13" t="n">
        <f aca="false">Operations!AV90+Operations!AV91+Operations!AV92+Operations!AV93+Operations!AV94</f>
        <v>31.0196789815173</v>
      </c>
      <c r="AW24" s="13" t="n">
        <f aca="false">Operations!AW90+Operations!AW91+Operations!AW92+Operations!AW93+Operations!AW94</f>
        <v>31.9768884935901</v>
      </c>
      <c r="AX24" s="13" t="n">
        <f aca="false">Operations!AX90+Operations!AX91+Operations!AX92+Operations!AX93+Operations!AX94</f>
        <v>31.3526017556778</v>
      </c>
      <c r="AY24" s="13" t="n">
        <f aca="false">Operations!AY90+Operations!AY91+Operations!AY92+Operations!AY93+Operations!AY94</f>
        <v>32.5048196756107</v>
      </c>
      <c r="AZ24" s="13" t="n">
        <f aca="false">Operations!AZ90+Operations!AZ91+Operations!AZ92+Operations!AZ93+Operations!AZ94</f>
        <v>32.2357947247516</v>
      </c>
      <c r="BA24" s="13" t="n">
        <f aca="false">Operations!BA90+Operations!BA91+Operations!BA92+Operations!BA93+Operations!BA94</f>
        <v>32.8209095817542</v>
      </c>
      <c r="BB24" s="13" t="n">
        <f aca="false">Operations!BB90+Operations!BB91+Operations!BB92+Operations!BB93+Operations!BB94</f>
        <v>31.8659924142135</v>
      </c>
      <c r="BC24" s="13" t="n">
        <f aca="false">Operations!BC90+Operations!BC91+Operations!BC92+Operations!BC93+Operations!BC94</f>
        <v>33.2852373957911</v>
      </c>
      <c r="BD24" s="13" t="n">
        <f aca="false">Operations!BD90+Operations!BD91+Operations!BD92+Operations!BD93+Operations!BD94</f>
        <v>33.4996456816102</v>
      </c>
      <c r="BE24" s="13" t="n">
        <f aca="false">Operations!BE90+Operations!BE91+Operations!BE92+Operations!BE93+Operations!BE94</f>
        <v>34.5338325479048</v>
      </c>
      <c r="BF24" s="13" t="n">
        <f aca="false">Operations!BF90+Operations!BF91+Operations!BF92+Operations!BF93+Operations!BF94</f>
        <v>33.8588586096885</v>
      </c>
      <c r="BG24" s="13" t="n">
        <f aca="false">Operations!BG90+Operations!BG91+Operations!BG92+Operations!BG93+Operations!BG94</f>
        <v>35.1039003897637</v>
      </c>
      <c r="BH24" s="13" t="n">
        <f aca="false">Operations!BH90+Operations!BH91+Operations!BH92+Operations!BH93+Operations!BH94</f>
        <v>34.8130999331285</v>
      </c>
      <c r="BI24" s="13" t="n">
        <f aca="false">Operations!BI90+Operations!BI91+Operations!BI92+Operations!BI93+Operations!BI94</f>
        <v>35.229628384162</v>
      </c>
      <c r="BJ24" s="13" t="n">
        <f aca="false">Operations!BJ90+Operations!BJ91+Operations!BJ92+Operations!BJ93+Operations!BJ94</f>
        <v>33.7808439003921</v>
      </c>
      <c r="BK24" s="13" t="n">
        <f aca="false">Operations!BK90+Operations!BK91+Operations!BK92+Operations!BK93+Operations!BK94</f>
        <v>35.5047600771947</v>
      </c>
      <c r="BL24" s="13" t="n">
        <f aca="false">Operations!BL90+Operations!BL91+Operations!BL92+Operations!BL93+Operations!BL94</f>
        <v>36.17809834567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4.56480509183808</v>
      </c>
      <c r="AK25" s="13" t="n">
        <f aca="false">MAX(0,AK12)</f>
        <v>12.6187028494565</v>
      </c>
      <c r="AL25" s="13" t="n">
        <f aca="false">MAX(0,AL12)</f>
        <v>20.3892825672902</v>
      </c>
      <c r="AM25" s="13" t="n">
        <f aca="false">MAX(0,AM12)</f>
        <v>29.6523834561421</v>
      </c>
      <c r="AN25" s="13" t="n">
        <f aca="false">MAX(0,AN12)</f>
        <v>32.9562310201098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9.71237915491165</v>
      </c>
      <c r="P27" s="18" t="n">
        <f aca="false">Waterfall!P43</f>
        <v>17.006075745539</v>
      </c>
      <c r="Q27" s="18" t="n">
        <f aca="false">Waterfall!Q43</f>
        <v>25.6072323452353</v>
      </c>
      <c r="R27" s="18" t="n">
        <f aca="false">Waterfall!R43</f>
        <v>34.6268555108168</v>
      </c>
      <c r="S27" s="18" t="n">
        <f aca="false">Waterfall!S43</f>
        <v>44.8288870314125</v>
      </c>
      <c r="T27" s="18" t="n">
        <f aca="false">Waterfall!T43</f>
        <v>55.4606162405501</v>
      </c>
      <c r="U27" s="18" t="n">
        <f aca="false">Waterfall!U43</f>
        <v>67.2847226108621</v>
      </c>
      <c r="V27" s="18" t="n">
        <f aca="false">Waterfall!V43</f>
        <v>77.3850199868884</v>
      </c>
      <c r="W27" s="18" t="n">
        <f aca="false">Waterfall!W43</f>
        <v>91.259193814264</v>
      </c>
      <c r="X27" s="18" t="n">
        <f aca="false">Waterfall!X43</f>
        <v>105.760626283315</v>
      </c>
      <c r="Y27" s="18" t="n">
        <f aca="false">Waterfall!Y43</f>
        <v>118.257776598336</v>
      </c>
      <c r="Z27" s="18" t="n">
        <f aca="false">Waterfall!Z43</f>
        <v>125.621040206666</v>
      </c>
      <c r="AA27" s="18" t="n">
        <f aca="false">Waterfall!AA43</f>
        <v>133.933193514181</v>
      </c>
      <c r="AB27" s="18" t="n">
        <f aca="false">Waterfall!AB43</f>
        <v>142.774982478218</v>
      </c>
      <c r="AC27" s="18" t="n">
        <f aca="false">Waterfall!AC43</f>
        <v>152.655955330604</v>
      </c>
      <c r="AD27" s="18" t="n">
        <f aca="false">Waterfall!AD43</f>
        <v>154.349540067752</v>
      </c>
      <c r="AE27" s="18" t="n">
        <f aca="false">Waterfall!AE43</f>
        <v>166.222625729341</v>
      </c>
      <c r="AF27" s="18" t="n">
        <f aca="false">Waterfall!AF43</f>
        <v>178.700114220614</v>
      </c>
      <c r="AG27" s="18" t="n">
        <f aca="false">Waterfall!AG43</f>
        <v>192.252264642731</v>
      </c>
      <c r="AH27" s="18" t="n">
        <f aca="false">Waterfall!AH43</f>
        <v>206.804440233108</v>
      </c>
      <c r="AI27" s="18" t="n">
        <f aca="false">Waterfall!AI43</f>
        <v>222.672400992383</v>
      </c>
      <c r="AJ27" s="18" t="n">
        <f aca="false">Waterfall!AJ43</f>
        <v>239.640515391407</v>
      </c>
      <c r="AK27" s="18" t="n">
        <f aca="false">Waterfall!AK43</f>
        <v>258.061255370233</v>
      </c>
      <c r="AL27" s="18" t="n">
        <f aca="false">Waterfall!AL43</f>
        <v>275.820126037607</v>
      </c>
      <c r="AM27" s="18" t="n">
        <f aca="false">Waterfall!AM43</f>
        <v>297.059207791654</v>
      </c>
      <c r="AN27" s="18" t="n">
        <f aca="false">Waterfall!AN43</f>
        <v>320.002534946009</v>
      </c>
      <c r="AO27" s="18" t="n">
        <f aca="false">Waterfall!AO43</f>
        <v>343.634952701519</v>
      </c>
      <c r="AP27" s="18" t="n">
        <f aca="false">Waterfall!AP43</f>
        <v>328.051757614246</v>
      </c>
      <c r="AQ27" s="18" t="n">
        <f aca="false">Waterfall!AQ43</f>
        <v>312.992473729407</v>
      </c>
      <c r="AR27" s="18" t="n">
        <f aca="false">Waterfall!AR43</f>
        <v>297.407106812052</v>
      </c>
      <c r="AS27" s="18" t="n">
        <f aca="false">Waterfall!AS43</f>
        <v>282.26781067109</v>
      </c>
      <c r="AT27" s="18" t="n">
        <f aca="false">Waterfall!AT43</f>
        <v>250.091206162778</v>
      </c>
      <c r="AU27" s="18" t="n">
        <f aca="false">Waterfall!AU43</f>
        <v>232.935616301302</v>
      </c>
      <c r="AV27" s="18" t="n">
        <f aca="false">Waterfall!AV43</f>
        <v>215.586180993987</v>
      </c>
      <c r="AW27" s="18" t="n">
        <f aca="false">Waterfall!AW43</f>
        <v>198.779196715345</v>
      </c>
      <c r="AX27" s="18" t="n">
        <f aca="false">Waterfall!AX43</f>
        <v>181.435340601514</v>
      </c>
      <c r="AY27" s="18" t="n">
        <f aca="false">Waterfall!AY43</f>
        <v>164.630756538286</v>
      </c>
      <c r="AZ27" s="18" t="n">
        <f aca="false">Waterfall!AZ43</f>
        <v>147.284042279844</v>
      </c>
      <c r="BA27" s="18" t="n">
        <f aca="false">Waterfall!BA43</f>
        <v>130.891934226265</v>
      </c>
      <c r="BB27" s="18" t="n">
        <f aca="false">Waterfall!BB43</f>
        <v>111.012103104568</v>
      </c>
      <c r="BC27" s="18" t="n">
        <f aca="false">Waterfall!BC43</f>
        <v>97.0647545016633</v>
      </c>
      <c r="BD27" s="18" t="n">
        <f aca="false">Waterfall!BD43</f>
        <v>89.2235852749563</v>
      </c>
      <c r="BE27" s="18" t="n">
        <f aca="false">Waterfall!BE43</f>
        <v>81.9578882931088</v>
      </c>
      <c r="BF27" s="18" t="n">
        <f aca="false">Waterfall!BF43</f>
        <v>74.1556378210156</v>
      </c>
      <c r="BG27" s="18" t="n">
        <f aca="false">Waterfall!BG43</f>
        <v>66.9263944516427</v>
      </c>
      <c r="BH27" s="18" t="n">
        <f aca="false">Waterfall!BH43</f>
        <v>59.1549969970595</v>
      </c>
      <c r="BI27" s="18" t="n">
        <f aca="false">Waterfall!BI43</f>
        <v>51.878084162495</v>
      </c>
      <c r="BJ27" s="18" t="n">
        <f aca="false">Waterfall!BJ43</f>
        <v>24.4155179439765</v>
      </c>
      <c r="BK27" s="18" t="n">
        <f aca="false">Waterfall!BK43</f>
        <v>14.7333581104862</v>
      </c>
      <c r="BL27" s="18" t="n">
        <f aca="false">Waterfall!BL43</f>
        <v>4.2293138908522</v>
      </c>
      <c r="BM27" s="18" t="n">
        <f aca="false">Waterfall!BM43</f>
        <v>-44.920443917829</v>
      </c>
      <c r="BN27" s="18" t="n">
        <f aca="false">Waterfall!BN43</f>
        <v>-44.920443917829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914.89648784488</v>
      </c>
      <c r="P28" s="13" t="n">
        <f aca="false">P22+P23+P24+P25+P26+P27</f>
        <v>901.483621022104</v>
      </c>
      <c r="Q28" s="13" t="n">
        <f aca="false">Q22+Q23+Q24+Q25+Q26+Q27</f>
        <v>891.649544576173</v>
      </c>
      <c r="R28" s="13" t="n">
        <f aca="false">R22+R23+R24+R25+R26+R27</f>
        <v>879.415345851034</v>
      </c>
      <c r="S28" s="13" t="n">
        <f aca="false">S22+S23+S24+S25+S26+S27</f>
        <v>869.676490821601</v>
      </c>
      <c r="T28" s="13" t="n">
        <f aca="false">T22+T23+T24+T25+T26+T27</f>
        <v>857.81233340886</v>
      </c>
      <c r="U28" s="13" t="n">
        <f aca="false">U22+U23+U24+U25+U26+U27</f>
        <v>847.88169972216</v>
      </c>
      <c r="V28" s="13" t="n">
        <f aca="false">V22+V23+V24+V25+V26+V27</f>
        <v>832.597254191704</v>
      </c>
      <c r="W28" s="13" t="n">
        <f aca="false">W22+W23+W24+W25+W26+W27</f>
        <v>821.128047969442</v>
      </c>
      <c r="X28" s="13" t="n">
        <f aca="false">X22+X23+X24+X25+X26+X27</f>
        <v>810.996378830844</v>
      </c>
      <c r="Y28" s="13" t="n">
        <f aca="false">Y22+Y23+Y24+Y25+Y26+Y27</f>
        <v>799.91600462025</v>
      </c>
      <c r="Z28" s="13" t="n">
        <f aca="false">Z22+Z23+Z24+Z25+Z26+Z27</f>
        <v>780.867862673109</v>
      </c>
      <c r="AA28" s="13" t="n">
        <f aca="false">AA22+AA23+AA24+AA25+AA26+AA27</f>
        <v>764.043316383962</v>
      </c>
      <c r="AB28" s="13" t="n">
        <f aca="false">AB22+AB23+AB24+AB25+AB26+AB27</f>
        <v>744.182071109735</v>
      </c>
      <c r="AC28" s="13" t="n">
        <f aca="false">AC22+AC23+AC24+AC25+AC26+AC27</f>
        <v>726.183698342449</v>
      </c>
      <c r="AD28" s="13" t="n">
        <f aca="false">AD22+AD23+AD24+AD25+AD26+AD27</f>
        <v>694.495665964414</v>
      </c>
      <c r="AE28" s="13" t="n">
        <f aca="false">AE22+AE23+AE24+AE25+AE26+AE27</f>
        <v>673.554229748202</v>
      </c>
      <c r="AF28" s="13" t="n">
        <f aca="false">AF22+AF23+AF24+AF25+AF26+AF27</f>
        <v>650.682320660432</v>
      </c>
      <c r="AG28" s="13" t="n">
        <f aca="false">AG22+AG23+AG24+AG25+AG26+AG27</f>
        <v>628.61716933489</v>
      </c>
      <c r="AH28" s="13" t="n">
        <f aca="false">AH22+AH23+AH24+AH25+AH26+AH27</f>
        <v>603.410652339838</v>
      </c>
      <c r="AI28" s="13" t="n">
        <f aca="false">AI22+AI23+AI24+AI25+AI26+AI27</f>
        <v>579.755517262397</v>
      </c>
      <c r="AJ28" s="13" t="n">
        <f aca="false">AJ22+AJ23+AJ24+AJ25+AJ26+AJ27</f>
        <v>557.540824679195</v>
      </c>
      <c r="AK28" s="13" t="n">
        <f aca="false">AK22+AK23+AK24+AK25+AK26+AK27</f>
        <v>538.91791614238</v>
      </c>
      <c r="AL28" s="13" t="n">
        <f aca="false">AL22+AL23+AL24+AL25+AL26+AL27</f>
        <v>516.656692973437</v>
      </c>
      <c r="AM28" s="13" t="n">
        <f aca="false">AM22+AM23+AM24+AM25+AM26+AM27</f>
        <v>498.526038129478</v>
      </c>
      <c r="AN28" s="13" t="n">
        <f aca="false">AN22+AN23+AN24+AN25+AN26+AN27</f>
        <v>483.320083262603</v>
      </c>
      <c r="AO28" s="13" t="n">
        <f aca="false">AO22+AO23+AO24+AO25+AO26+AO27</f>
        <v>452.124844483112</v>
      </c>
      <c r="AP28" s="13" t="n">
        <f aca="false">AP22+AP23+AP24+AP25+AP26+AP27</f>
        <v>436.968004099284</v>
      </c>
      <c r="AQ28" s="13" t="n">
        <f aca="false">AQ22+AQ23+AQ24+AQ25+AQ26+AQ27</f>
        <v>423.978754148115</v>
      </c>
      <c r="AR28" s="13" t="n">
        <f aca="false">AR22+AR23+AR24+AR25+AR26+AR27</f>
        <v>409.148254497911</v>
      </c>
      <c r="AS28" s="13" t="n">
        <f aca="false">AS22+AS23+AS24+AS25+AS26+AS27</f>
        <v>395.370555967946</v>
      </c>
      <c r="AT28" s="13" t="n">
        <f aca="false">AT22+AT23+AT24+AT25+AT26+AT27</f>
        <v>362.958315630927</v>
      </c>
      <c r="AU28" s="13" t="n">
        <f aca="false">AU22+AU23+AU24+AU25+AU26+AU27</f>
        <v>348.282542218648</v>
      </c>
      <c r="AV28" s="13" t="n">
        <f aca="false">AV22+AV23+AV24+AV25+AV26+AV27</f>
        <v>332.51247952748</v>
      </c>
      <c r="AW28" s="13" t="n">
        <f aca="false">AW22+AW23+AW24+AW25+AW26+AW27</f>
        <v>317.666447837666</v>
      </c>
      <c r="AX28" s="13" t="n">
        <f aca="false">AX22+AX23+AX24+AX25+AX26+AX27</f>
        <v>300.702048062677</v>
      </c>
      <c r="AY28" s="13" t="n">
        <f aca="false">AY22+AY23+AY24+AY25+AY26+AY27</f>
        <v>286.053424996137</v>
      </c>
      <c r="AZ28" s="13" t="n">
        <f aca="false">AZ22+AZ23+AZ24+AZ25+AZ26+AZ27</f>
        <v>269.44142886359</v>
      </c>
      <c r="BA28" s="13" t="n">
        <f aca="false">BA22+BA23+BA24+BA25+BA26+BA27</f>
        <v>254.638178743769</v>
      </c>
      <c r="BB28" s="13" t="n">
        <f aca="false">BB22+BB23+BB24+BB25+BB26+BB27</f>
        <v>234.807173531285</v>
      </c>
      <c r="BC28" s="13" t="n">
        <f aca="false">BC22+BC23+BC24+BC25+BC26+BC27</f>
        <v>221.3589720896</v>
      </c>
      <c r="BD28" s="13" t="n">
        <f aca="false">BD22+BD23+BD24+BD25+BD26+BD27</f>
        <v>208.964431534127</v>
      </c>
      <c r="BE28" s="13" t="n">
        <f aca="false">BE22+BE23+BE24+BE25+BE26+BE27</f>
        <v>197.96514180399</v>
      </c>
      <c r="BF28" s="13" t="n">
        <f aca="false">BF22+BF23+BF24+BF25+BF26+BF27</f>
        <v>184.720137779096</v>
      </c>
      <c r="BG28" s="13" t="n">
        <f aca="false">BG22+BG23+BG24+BG25+BG26+BG27</f>
        <v>173.968156575214</v>
      </c>
      <c r="BH28" s="13" t="n">
        <f aca="false">BH22+BH23+BH24+BH25+BH26+BH27</f>
        <v>161.138179049411</v>
      </c>
      <c r="BI28" s="13" t="n">
        <f aca="false">BI22+BI23+BI24+BI25+BI26+BI27</f>
        <v>149.510015051296</v>
      </c>
      <c r="BJ28" s="13" t="n">
        <f aca="false">BJ22+BJ23+BJ24+BJ25+BJ26+BJ27</f>
        <v>115.830884734423</v>
      </c>
      <c r="BK28" s="13" t="n">
        <f aca="false">BK22+BK23+BK24+BK25+BK26+BK27</f>
        <v>103.104861463151</v>
      </c>
      <c r="BL28" s="13" t="n">
        <f aca="false">BL22+BL23+BL24+BL25+BL26+BL27</f>
        <v>88.5063758974075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2613.86825513678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16.8575052325003</v>
      </c>
      <c r="P32" s="18" t="n">
        <f aca="false">Operations!P84</f>
        <v>50.5800517229148</v>
      </c>
      <c r="Q32" s="18" t="n">
        <f aca="false">Operations!Q84</f>
        <v>50.7875845304332</v>
      </c>
      <c r="R32" s="18" t="n">
        <f aca="false">Operations!R84</f>
        <v>50.9366856554583</v>
      </c>
      <c r="S32" s="18" t="n">
        <f aca="false">Operations!S84</f>
        <v>51.0294706374873</v>
      </c>
      <c r="T32" s="18" t="n">
        <f aca="false">Operations!T84</f>
        <v>51.104534518796</v>
      </c>
      <c r="U32" s="18" t="n">
        <f aca="false">Operations!U84</f>
        <v>51.272832775131</v>
      </c>
      <c r="V32" s="18" t="n">
        <f aca="false">Operations!V84</f>
        <v>49.0031549748037</v>
      </c>
      <c r="W32" s="18" t="n">
        <f aca="false">Operations!W84</f>
        <v>51.5555353334797</v>
      </c>
      <c r="X32" s="18" t="n">
        <f aca="false">Operations!X84</f>
        <v>51.5476634150156</v>
      </c>
      <c r="Y32" s="18" t="n">
        <f aca="false">Operations!Y84</f>
        <v>51.6791937431074</v>
      </c>
      <c r="Z32" s="18" t="n">
        <f aca="false">Operations!Z84</f>
        <v>51.8283654989861</v>
      </c>
      <c r="AA32" s="18" t="n">
        <f aca="false">Operations!AA84</f>
        <v>51.9277690876538</v>
      </c>
      <c r="AB32" s="18" t="n">
        <f aca="false">Operations!AB84</f>
        <v>52.0087954994221</v>
      </c>
      <c r="AC32" s="18" t="n">
        <f aca="false">Operations!AC84</f>
        <v>52.2304040367758</v>
      </c>
      <c r="AD32" s="18" t="n">
        <f aca="false">Operations!AD84</f>
        <v>39.7700954923019</v>
      </c>
      <c r="AE32" s="18" t="n">
        <f aca="false">Operations!AE84</f>
        <v>52.5786506028858</v>
      </c>
      <c r="AF32" s="18" t="n">
        <f aca="false">Operations!AF84</f>
        <v>52.4886717479146</v>
      </c>
      <c r="AG32" s="18" t="n">
        <f aca="false">Operations!AG84</f>
        <v>52.6309164901831</v>
      </c>
      <c r="AH32" s="18" t="n">
        <f aca="false">Operations!AH84</f>
        <v>52.7941003209103</v>
      </c>
      <c r="AI32" s="18" t="n">
        <f aca="false">Operations!AI84</f>
        <v>52.9006010762604</v>
      </c>
      <c r="AJ32" s="18" t="n">
        <f aca="false">Operations!AJ84</f>
        <v>52.988064004521</v>
      </c>
      <c r="AK32" s="18" t="n">
        <f aca="false">Operations!AK84</f>
        <v>53.1875724859039</v>
      </c>
      <c r="AL32" s="18" t="n">
        <f aca="false">Operations!AL84</f>
        <v>50.490849271032</v>
      </c>
      <c r="AM32" s="18" t="n">
        <f aca="false">Operations!AM84</f>
        <v>53.5227817790847</v>
      </c>
      <c r="AN32" s="18" t="n">
        <f aca="false">Operations!AN84</f>
        <v>53.5077762812626</v>
      </c>
      <c r="AO32" s="18" t="n">
        <f aca="false">Operations!AO84</f>
        <v>53.6616279594606</v>
      </c>
      <c r="AP32" s="18" t="n">
        <f aca="false">Operations!AP84</f>
        <v>53.8401232164241</v>
      </c>
      <c r="AQ32" s="18" t="n">
        <f aca="false">Operations!AQ84</f>
        <v>53.9542350498062</v>
      </c>
      <c r="AR32" s="18" t="n">
        <f aca="false">Operations!AR84</f>
        <v>54.048646113262</v>
      </c>
      <c r="AS32" s="18" t="n">
        <f aca="false">Operations!AS84</f>
        <v>54.3131655967393</v>
      </c>
      <c r="AT32" s="18" t="n">
        <f aca="false">Operations!AT84</f>
        <v>39.6022342317878</v>
      </c>
      <c r="AU32" s="18" t="n">
        <f aca="false">Operations!AU84</f>
        <v>54.7279549622371</v>
      </c>
      <c r="AV32" s="18" t="n">
        <f aca="false">Operations!AV84</f>
        <v>54.6115459714584</v>
      </c>
      <c r="AW32" s="18" t="n">
        <f aca="false">Operations!AW84</f>
        <v>54.7779731074438</v>
      </c>
      <c r="AX32" s="18" t="n">
        <f aca="false">Operations!AX84</f>
        <v>54.9731984454866</v>
      </c>
      <c r="AY32" s="18" t="n">
        <f aca="false">Operations!AY84</f>
        <v>55.095473309156</v>
      </c>
      <c r="AZ32" s="18" t="n">
        <f aca="false">Operations!AZ84</f>
        <v>55.1973847353973</v>
      </c>
      <c r="BA32" s="18" t="n">
        <f aca="false">Operations!BA84</f>
        <v>55.4339539338162</v>
      </c>
      <c r="BB32" s="18" t="n">
        <f aca="false">Operations!BB84</f>
        <v>52.2296225569507</v>
      </c>
      <c r="BC32" s="18" t="n">
        <f aca="false">Operations!BC84</f>
        <v>55.831471690525</v>
      </c>
      <c r="BD32" s="18" t="n">
        <f aca="false">Operations!BD84</f>
        <v>55.8071092286694</v>
      </c>
      <c r="BE32" s="18" t="n">
        <f aca="false">Operations!BE84</f>
        <v>55.9871629481993</v>
      </c>
      <c r="BF32" s="18" t="n">
        <f aca="false">Operations!BF84</f>
        <v>56.2006671955099</v>
      </c>
      <c r="BG32" s="18" t="n">
        <f aca="false">Operations!BG84</f>
        <v>56.3316979843421</v>
      </c>
      <c r="BH32" s="18" t="n">
        <f aca="false">Operations!BH84</f>
        <v>56.4417058196806</v>
      </c>
      <c r="BI32" s="18" t="n">
        <f aca="false">Operations!BI84</f>
        <v>56.7574462509825</v>
      </c>
      <c r="BJ32" s="18" t="n">
        <f aca="false">Operations!BJ84</f>
        <v>39.3690694954219</v>
      </c>
      <c r="BK32" s="18" t="n">
        <f aca="false">Operations!BK84</f>
        <v>57.2514821726968</v>
      </c>
      <c r="BL32" s="18" t="n">
        <f aca="false">Operations!BL84</f>
        <v>57.1022020905554</v>
      </c>
      <c r="BM32" s="18" t="n">
        <f aca="false">Operations!BM84</f>
        <v>19.1114748565457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-313.993344512911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-0.117229239901277</v>
      </c>
      <c r="Z33" s="13" t="n">
        <f aca="false">-Tax!Z27</f>
        <v>-0.353032697336513</v>
      </c>
      <c r="AA33" s="13" t="n">
        <f aca="false">-Tax!AA27</f>
        <v>-0.354774681708773</v>
      </c>
      <c r="AB33" s="13" t="n">
        <f aca="false">-Tax!AB27</f>
        <v>-0.356666245292423</v>
      </c>
      <c r="AC33" s="13" t="n">
        <f aca="false">-Tax!AC27</f>
        <v>-0.3575765666344</v>
      </c>
      <c r="AD33" s="13" t="n">
        <f aca="false">-Tax!AD27</f>
        <v>-0.353137499075032</v>
      </c>
      <c r="AE33" s="13" t="n">
        <f aca="false">-Tax!AE27</f>
        <v>-0.36016237913106</v>
      </c>
      <c r="AF33" s="13" t="n">
        <f aca="false">-Tax!AF27</f>
        <v>-0.363383197319396</v>
      </c>
      <c r="AG33" s="13" t="n">
        <f aca="false">-Tax!AG27</f>
        <v>-0.364971367780469</v>
      </c>
      <c r="AH33" s="13" t="n">
        <f aca="false">-Tax!AH27</f>
        <v>-0.36643751591354</v>
      </c>
      <c r="AI33" s="13" t="n">
        <f aca="false">-Tax!AI27</f>
        <v>-0.3683342403141</v>
      </c>
      <c r="AJ33" s="13" t="n">
        <f aca="false">-Tax!AJ27</f>
        <v>-0.370393241212912</v>
      </c>
      <c r="AK33" s="13" t="n">
        <f aca="false">-Tax!AK27</f>
        <v>-0.371688122283113</v>
      </c>
      <c r="AL33" s="13" t="n">
        <f aca="false">-Tax!AL27</f>
        <v>-0.372482007571344</v>
      </c>
      <c r="AM33" s="13" t="n">
        <f aca="false">-Tax!AM27</f>
        <v>-0.374820319940765</v>
      </c>
      <c r="AN33" s="13" t="n">
        <f aca="false">-Tax!AN27</f>
        <v>-6.5290069307557</v>
      </c>
      <c r="AO33" s="13" t="n">
        <f aca="false">-Tax!AO27</f>
        <v>-9.3764379575771</v>
      </c>
      <c r="AP33" s="13" t="n">
        <f aca="false">-Tax!AP27</f>
        <v>-10.1295785043996</v>
      </c>
      <c r="AQ33" s="13" t="n">
        <f aca="false">-Tax!AQ27</f>
        <v>-10.1638120544142</v>
      </c>
      <c r="AR33" s="13" t="n">
        <f aca="false">-Tax!AR27</f>
        <v>-10.1921353734509</v>
      </c>
      <c r="AS33" s="13" t="n">
        <f aca="false">-Tax!AS27</f>
        <v>-10.2714912184941</v>
      </c>
      <c r="AT33" s="13" t="n">
        <f aca="false">-Tax!AT27</f>
        <v>-5.85821180900864</v>
      </c>
      <c r="AU33" s="13" t="n">
        <f aca="false">-Tax!AU27</f>
        <v>-10.3959280281434</v>
      </c>
      <c r="AV33" s="13" t="n">
        <f aca="false">-Tax!AV27</f>
        <v>-10.3610053309098</v>
      </c>
      <c r="AW33" s="13" t="n">
        <f aca="false">-Tax!AW27</f>
        <v>-10.4109334717055</v>
      </c>
      <c r="AX33" s="13" t="n">
        <f aca="false">-Tax!AX27</f>
        <v>-10.4695010731183</v>
      </c>
      <c r="AY33" s="13" t="n">
        <f aca="false">-Tax!AY27</f>
        <v>-10.5061835322191</v>
      </c>
      <c r="AZ33" s="13" t="n">
        <f aca="false">-Tax!AZ27</f>
        <v>-10.5367569600915</v>
      </c>
      <c r="BA33" s="13" t="n">
        <f aca="false">-Tax!BA27</f>
        <v>-10.6077277196172</v>
      </c>
      <c r="BB33" s="13" t="n">
        <f aca="false">-Tax!BB27</f>
        <v>-9.64642830655751</v>
      </c>
      <c r="BC33" s="13" t="n">
        <f aca="false">-Tax!BC27</f>
        <v>-12.6508239437428</v>
      </c>
      <c r="BD33" s="13" t="n">
        <f aca="false">-Tax!BD27</f>
        <v>-16.4911969994122</v>
      </c>
      <c r="BE33" s="13" t="n">
        <f aca="false">-Tax!BE27</f>
        <v>-16.5452131152711</v>
      </c>
      <c r="BF33" s="13" t="n">
        <f aca="false">-Tax!BF27</f>
        <v>-16.6092643894643</v>
      </c>
      <c r="BG33" s="13" t="n">
        <f aca="false">-Tax!BG27</f>
        <v>-16.648573626114</v>
      </c>
      <c r="BH33" s="13" t="n">
        <f aca="false">-Tax!BH27</f>
        <v>-16.6815759767155</v>
      </c>
      <c r="BI33" s="13" t="n">
        <f aca="false">-Tax!BI27</f>
        <v>-16.7762981061061</v>
      </c>
      <c r="BJ33" s="13" t="n">
        <f aca="false">-Tax!BJ27</f>
        <v>-11.5597850794379</v>
      </c>
      <c r="BK33" s="13" t="n">
        <f aca="false">-Tax!BK27</f>
        <v>-16.9245088826204</v>
      </c>
      <c r="BL33" s="13" t="n">
        <f aca="false">-Tax!BL27</f>
        <v>-16.879724857978</v>
      </c>
      <c r="BM33" s="13" t="n">
        <f aca="false">-Tax!BM27</f>
        <v>-5.56615194417127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-14.9502028576304</v>
      </c>
      <c r="P34" s="13" t="n">
        <f aca="false">-Operations!P96+Operations!P97</f>
        <v>0.0356591371713346</v>
      </c>
      <c r="Q34" s="13" t="n">
        <f aca="false">-Operations!Q96+Operations!Q97</f>
        <v>-0.28985740507661</v>
      </c>
      <c r="R34" s="13" t="n">
        <f aca="false">-Operations!R96+Operations!R97</f>
        <v>0.191942130621261</v>
      </c>
      <c r="S34" s="13" t="n">
        <f aca="false">-Operations!S96+Operations!S97</f>
        <v>-0.292328994081212</v>
      </c>
      <c r="T34" s="13" t="n">
        <f aca="false">-Operations!T96+Operations!T97</f>
        <v>0.192539737288438</v>
      </c>
      <c r="U34" s="13" t="n">
        <f aca="false">-Operations!U96+Operations!U97</f>
        <v>-0.21571529225406</v>
      </c>
      <c r="V34" s="13" t="n">
        <f aca="false">-Operations!V96+Operations!V97</f>
        <v>0.113310475918349</v>
      </c>
      <c r="W34" s="13" t="n">
        <f aca="false">-Operations!W96+Operations!W97</f>
        <v>-0.297245992561916</v>
      </c>
      <c r="X34" s="13" t="n">
        <f aca="false">-Operations!X96+Operations!X97</f>
        <v>0.194069286301271</v>
      </c>
      <c r="Y34" s="13" t="n">
        <f aca="false">-Operations!Y96+Operations!Y97</f>
        <v>-0.300094709201462</v>
      </c>
      <c r="Z34" s="13" t="n">
        <f aca="false">-Operations!Z96+Operations!Z97</f>
        <v>0.193919231440828</v>
      </c>
      <c r="AA34" s="13" t="n">
        <f aca="false">-Operations!AA96+Operations!AA97</f>
        <v>-0.302572957182624</v>
      </c>
      <c r="AB34" s="13" t="n">
        <f aca="false">-Operations!AB96+Operations!AB97</f>
        <v>0.194969527221764</v>
      </c>
      <c r="AC34" s="13" t="n">
        <f aca="false">-Operations!AC96+Operations!AC97</f>
        <v>-0.224925429743106</v>
      </c>
      <c r="AD34" s="13" t="n">
        <f aca="false">-Operations!AD96+Operations!AD97</f>
        <v>0.342424312013984</v>
      </c>
      <c r="AE34" s="13" t="n">
        <f aca="false">-Operations!AE96+Operations!AE97</f>
        <v>-0.537743141240449</v>
      </c>
      <c r="AF34" s="13" t="n">
        <f aca="false">-Operations!AF96+Operations!AF97</f>
        <v>0.197934307156711</v>
      </c>
      <c r="AG34" s="13" t="n">
        <f aca="false">-Operations!AG96+Operations!AG97</f>
        <v>-0.311177257478441</v>
      </c>
      <c r="AH34" s="13" t="n">
        <f aca="false">-Operations!AH96+Operations!AH97</f>
        <v>0.196031994350435</v>
      </c>
      <c r="AI34" s="13" t="n">
        <f aca="false">-Operations!AI96+Operations!AI97</f>
        <v>-0.313647483039226</v>
      </c>
      <c r="AJ34" s="13" t="n">
        <f aca="false">-Operations!AJ96+Operations!AJ97</f>
        <v>0.197604268788162</v>
      </c>
      <c r="AK34" s="13" t="n">
        <f aca="false">-Operations!AK96+Operations!AK97</f>
        <v>-0.234259702731773</v>
      </c>
      <c r="AL34" s="13" t="n">
        <f aca="false">-Operations!AL96+Operations!AL97</f>
        <v>0.112097583864944</v>
      </c>
      <c r="AM34" s="13" t="n">
        <f aca="false">-Operations!AM96+Operations!AM97</f>
        <v>-0.318856080396397</v>
      </c>
      <c r="AN34" s="13" t="n">
        <f aca="false">-Operations!AN96+Operations!AN97</f>
        <v>0.200589311325778</v>
      </c>
      <c r="AO34" s="13" t="n">
        <f aca="false">-Operations!AO96+Operations!AO97</f>
        <v>-0.323176270653534</v>
      </c>
      <c r="AP34" s="13" t="n">
        <f aca="false">-Operations!AP96+Operations!AP97</f>
        <v>0.198289816762468</v>
      </c>
      <c r="AQ34" s="13" t="n">
        <f aca="false">-Operations!AQ96+Operations!AQ97</f>
        <v>-0.325621385672349</v>
      </c>
      <c r="AR34" s="13" t="n">
        <f aca="false">-Operations!AR96+Operations!AR97</f>
        <v>0.200461646843468</v>
      </c>
      <c r="AS34" s="13" t="n">
        <f aca="false">-Operations!AS96+Operations!AS97</f>
        <v>-0.245609129549219</v>
      </c>
      <c r="AT34" s="13" t="n">
        <f aca="false">-Operations!AT96+Operations!AT97</f>
        <v>0.356475639391743</v>
      </c>
      <c r="AU34" s="13" t="n">
        <f aca="false">-Operations!AU96+Operations!AU97</f>
        <v>-0.577204494521428</v>
      </c>
      <c r="AV34" s="13" t="n">
        <f aca="false">-Operations!AV96+Operations!AV97</f>
        <v>0.206281952240257</v>
      </c>
      <c r="AW34" s="13" t="n">
        <f aca="false">-Operations!AW96+Operations!AW97</f>
        <v>-0.336169076433261</v>
      </c>
      <c r="AX34" s="13" t="n">
        <f aca="false">-Operations!AX96+Operations!AX97</f>
        <v>0.200702758756215</v>
      </c>
      <c r="AY34" s="13" t="n">
        <f aca="false">-Operations!AY96+Operations!AY97</f>
        <v>-0.338569291846948</v>
      </c>
      <c r="AZ34" s="13" t="n">
        <f aca="false">-Operations!AZ96+Operations!AZ97</f>
        <v>0.203560903367013</v>
      </c>
      <c r="BA34" s="13" t="n">
        <f aca="false">-Operations!BA96+Operations!BA97</f>
        <v>-0.256076914887046</v>
      </c>
      <c r="BB34" s="13" t="n">
        <f aca="false">-Operations!BB96+Operations!BB97</f>
        <v>0.110341014803218</v>
      </c>
      <c r="BC34" s="13" t="n">
        <f aca="false">-Operations!BC96+Operations!BC97</f>
        <v>-0.344031782638169</v>
      </c>
      <c r="BD34" s="13" t="n">
        <f aca="false">-Operations!BD96+Operations!BD97</f>
        <v>0.208448483407501</v>
      </c>
      <c r="BE34" s="13" t="n">
        <f aca="false">-Operations!BE96+Operations!BE97</f>
        <v>-0.350239640742888</v>
      </c>
      <c r="BF34" s="13" t="n">
        <f aca="false">-Operations!BF96+Operations!BF97</f>
        <v>0.203281591119076</v>
      </c>
      <c r="BG34" s="13" t="n">
        <f aca="false">-Operations!BG96+Operations!BG97</f>
        <v>-0.352572140236529</v>
      </c>
      <c r="BH34" s="13" t="n">
        <f aca="false">-Operations!BH96+Operations!BH97</f>
        <v>0.206922976905638</v>
      </c>
      <c r="BI34" s="13" t="n">
        <f aca="false">-Operations!BI96+Operations!BI97</f>
        <v>-0.270030897578259</v>
      </c>
      <c r="BJ34" s="13" t="n">
        <f aca="false">-Operations!BJ96+Operations!BJ97</f>
        <v>0.372717493219184</v>
      </c>
      <c r="BK34" s="13" t="n">
        <f aca="false">-Operations!BK96+Operations!BK97</f>
        <v>-0.623520303194564</v>
      </c>
      <c r="BL34" s="13" t="n">
        <f aca="false">-Operations!BL96+Operations!BL97</f>
        <v>0.216476513345349</v>
      </c>
      <c r="BM34" s="13" t="n">
        <f aca="false">-Operations!BM96+Operations!BM97</f>
        <v>23.2343965369475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2305.22491062387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1.90730237486994</v>
      </c>
      <c r="P36" s="13" t="n">
        <f aca="false">P32+P33+P34+P35</f>
        <v>50.1994425576313</v>
      </c>
      <c r="Q36" s="13" t="n">
        <f aca="false">Q32+Q33+Q34+Q35</f>
        <v>50.0814588229017</v>
      </c>
      <c r="R36" s="13" t="n">
        <f aca="false">R32+R33+R34+R35</f>
        <v>50.7123594836247</v>
      </c>
      <c r="S36" s="13" t="n">
        <f aca="false">S32+S33+S34+S35</f>
        <v>50.3208733409513</v>
      </c>
      <c r="T36" s="13" t="n">
        <f aca="false">T32+T33+T34+T35</f>
        <v>50.8808059536296</v>
      </c>
      <c r="U36" s="13" t="n">
        <f aca="false">U32+U33+U34+U35</f>
        <v>50.6408491804221</v>
      </c>
      <c r="V36" s="13" t="n">
        <f aca="false">V32+V33+V34+V35</f>
        <v>51.6140752654512</v>
      </c>
      <c r="W36" s="13" t="n">
        <f aca="false">W32+W33+W34+W35</f>
        <v>51.2582893409178</v>
      </c>
      <c r="X36" s="13" t="n">
        <f aca="false">X32+X33+X34+X35</f>
        <v>49.7689901576834</v>
      </c>
      <c r="Y36" s="13" t="n">
        <f aca="false">Y32+Y33+Y34+Y35</f>
        <v>49.2891272503712</v>
      </c>
      <c r="Z36" s="13" t="n">
        <f aca="false">Z32+Z33+Z34+Z35</f>
        <v>49.696509489457</v>
      </c>
      <c r="AA36" s="13" t="n">
        <f aca="false">AA32+AA33+AA34+AA35</f>
        <v>49.297678905129</v>
      </c>
      <c r="AB36" s="13" t="n">
        <f aca="false">AB32+AB33+AB34+AB35</f>
        <v>49.874356237718</v>
      </c>
      <c r="AC36" s="13" t="n">
        <f aca="false">AC32+AC33+AC34+AC35</f>
        <v>49.6751594967649</v>
      </c>
      <c r="AD36" s="13" t="n">
        <f aca="false">AD32+AD33+AD34+AD35</f>
        <v>51.5958375670416</v>
      </c>
      <c r="AE36" s="13" t="n">
        <f aca="false">AE32+AE33+AE34+AE35</f>
        <v>51.6807450825143</v>
      </c>
      <c r="AF36" s="13" t="n">
        <f aca="false">AF32+AF33+AF34+AF35</f>
        <v>51.827794902836</v>
      </c>
      <c r="AG36" s="13" t="n">
        <f aca="false">AG32+AG33+AG34+AG35</f>
        <v>51.4593399100083</v>
      </c>
      <c r="AH36" s="13" t="n">
        <f aca="false">AH32+AH33+AH34+AH35</f>
        <v>52.1282668444313</v>
      </c>
      <c r="AI36" s="13" t="n">
        <f aca="false">AI32+AI33+AI34+AI35</f>
        <v>51.7231913979912</v>
      </c>
      <c r="AJ36" s="13" t="n">
        <f aca="false">AJ32+AJ33+AJ34+AJ35</f>
        <v>52.3198470771804</v>
      </c>
      <c r="AK36" s="13" t="n">
        <f aca="false">AK32+AK33+AK34+AK35</f>
        <v>52.0861967059731</v>
      </c>
      <c r="AL36" s="13" t="n">
        <f aca="false">AL32+AL33+AL34+AL35</f>
        <v>53.203032576821</v>
      </c>
      <c r="AM36" s="13" t="n">
        <f aca="false">AM32+AM33+AM34+AM35</f>
        <v>52.8291053787476</v>
      </c>
      <c r="AN36" s="13" t="n">
        <f aca="false">AN32+AN33+AN34+AN35</f>
        <v>44.8314695763458</v>
      </c>
      <c r="AO36" s="13" t="n">
        <f aca="false">AO32+AO33+AO34+AO35</f>
        <v>41.614124645743</v>
      </c>
      <c r="AP36" s="13" t="n">
        <f aca="false">AP32+AP33+AP34+AP35</f>
        <v>41.5609454433001</v>
      </c>
      <c r="AQ36" s="13" t="n">
        <f aca="false">AQ32+AQ33+AQ34+AQ35</f>
        <v>41.1169125242327</v>
      </c>
      <c r="AR36" s="13" t="n">
        <f aca="false">AR32+AR33+AR34+AR35</f>
        <v>41.7090833011676</v>
      </c>
      <c r="AS36" s="13" t="n">
        <f aca="false">AS32+AS33+AS34+AS35</f>
        <v>41.4481761632091</v>
      </c>
      <c r="AT36" s="13" t="n">
        <f aca="false">AT32+AT33+AT34+AT35</f>
        <v>48.1878325750925</v>
      </c>
      <c r="AU36" s="13" t="n">
        <f aca="false">AU32+AU33+AU34+AU35</f>
        <v>43.7548224395722</v>
      </c>
      <c r="AV36" s="13" t="n">
        <f aca="false">AV32+AV33+AV34+AV35</f>
        <v>43.8671815918655</v>
      </c>
      <c r="AW36" s="13" t="n">
        <f aca="false">AW32+AW33+AW34+AW35</f>
        <v>43.4412295583817</v>
      </c>
      <c r="AX36" s="13" t="n">
        <f aca="false">AX32+AX33+AX34+AX35</f>
        <v>44.1147591302012</v>
      </c>
      <c r="AY36" s="13" t="n">
        <f aca="false">AY32+AY33+AY34+AY35</f>
        <v>43.6610794841665</v>
      </c>
      <c r="AZ36" s="13" t="n">
        <f aca="false">AZ32+AZ33+AZ34+AZ35</f>
        <v>44.2745476777494</v>
      </c>
      <c r="BA36" s="13" t="n">
        <f aca="false">BA32+BA33+BA34+BA35</f>
        <v>43.9805082983886</v>
      </c>
      <c r="BB36" s="13" t="n">
        <f aca="false">BB32+BB33+BB34+BB35</f>
        <v>46.2313812707367</v>
      </c>
      <c r="BC36" s="13" t="n">
        <f aca="false">BC32+BC33+BC34+BC35</f>
        <v>42.836615964144</v>
      </c>
      <c r="BD36" s="13" t="n">
        <f aca="false">BD32+BD33+BD34+BD35</f>
        <v>36.7299853515517</v>
      </c>
      <c r="BE36" s="13" t="n">
        <f aca="false">BE32+BE33+BE34+BE35</f>
        <v>36.2973348310723</v>
      </c>
      <c r="BF36" s="13" t="n">
        <f aca="false">BF32+BF33+BF34+BF35</f>
        <v>37.0003090360517</v>
      </c>
      <c r="BG36" s="13" t="n">
        <f aca="false">BG32+BG33+BG34+BG35</f>
        <v>36.5361768568786</v>
      </c>
      <c r="BH36" s="13" t="n">
        <f aca="false">BH32+BH33+BH34+BH35</f>
        <v>37.1726774587577</v>
      </c>
      <c r="BI36" s="13" t="n">
        <f aca="false">BI32+BI33+BI34+BI35</f>
        <v>36.9167418861852</v>
      </c>
      <c r="BJ36" s="13" t="n">
        <f aca="false">BJ32+BJ33+BJ34+BJ35</f>
        <v>44.9482540758811</v>
      </c>
      <c r="BK36" s="13" t="n">
        <f aca="false">BK32+BK33+BK34+BK35</f>
        <v>39.7034529868818</v>
      </c>
      <c r="BL36" s="13" t="n">
        <f aca="false">BL32+BL33+BL34+BL35</f>
        <v>40.4389537459228</v>
      </c>
      <c r="BM36" s="13" t="n">
        <f aca="false">BM32+BM33+BM34+BM35</f>
        <v>36.7797194493219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-847.692466535827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-36.3985302194347</v>
      </c>
      <c r="AC37" s="13" t="n">
        <f aca="false">-(Debt!AC114+Debt!AC110)</f>
        <v>-35.5155429659733</v>
      </c>
      <c r="AD37" s="13" t="n">
        <f aca="false">-(Debt!AD114+Debt!AD110)</f>
        <v>-36.0865002765819</v>
      </c>
      <c r="AE37" s="13" t="n">
        <f aca="false">-(Debt!AE114+Debt!AE110)</f>
        <v>-35.1506881852873</v>
      </c>
      <c r="AF37" s="13" t="n">
        <f aca="false">-(Debt!AF114+Debt!AF110)</f>
        <v>-34.0856207550851</v>
      </c>
      <c r="AG37" s="13" t="n">
        <f aca="false">-(Debt!AG114+Debt!AG110)</f>
        <v>-32.4240868881705</v>
      </c>
      <c r="AH37" s="13" t="n">
        <f aca="false">-(Debt!AH114+Debt!AH110)</f>
        <v>-31.1832208199342</v>
      </c>
      <c r="AI37" s="13" t="n">
        <f aca="false">-(Debt!AI114+Debt!AI110)</f>
        <v>-28.8993064708557</v>
      </c>
      <c r="AJ37" s="13" t="n">
        <f aca="false">-(Debt!AJ114+Debt!AJ110)</f>
        <v>-26.5990127043238</v>
      </c>
      <c r="AK37" s="13" t="n">
        <f aca="false">-(Debt!AK114+Debt!AK110)</f>
        <v>-22.9589529074698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-99.2253999261111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-6.14646513675997</v>
      </c>
      <c r="AB43" s="13" t="n">
        <f aca="false">-(Waterfall!AB28+Waterfall!AB29)</f>
        <v>-7.11530726063816</v>
      </c>
      <c r="AC43" s="13" t="n">
        <f aca="false">-(Waterfall!AC28+Waterfall!AC29)</f>
        <v>-6.77305351759387</v>
      </c>
      <c r="AD43" s="13" t="n">
        <f aca="false">-(Waterfall!AD28+Waterfall!AD29)</f>
        <v>-8.11280426252467</v>
      </c>
      <c r="AE43" s="13" t="n">
        <f aca="false">-(Waterfall!AE28+Waterfall!AE29)</f>
        <v>-8.71383925336212</v>
      </c>
      <c r="AF43" s="13" t="n">
        <f aca="false">-(Waterfall!AF28+Waterfall!AF29)</f>
        <v>-9.58564576263172</v>
      </c>
      <c r="AG43" s="13" t="n">
        <f aca="false">-(Waterfall!AG28+Waterfall!AG29)</f>
        <v>-10.0167248459339</v>
      </c>
      <c r="AH43" s="13" t="n">
        <f aca="false">-(Waterfall!AH28+Waterfall!AH29)</f>
        <v>-11.3971093577227</v>
      </c>
      <c r="AI43" s="13" t="n">
        <f aca="false">-(Waterfall!AI28+Waterfall!AI29)</f>
        <v>-12.2936914778488</v>
      </c>
      <c r="AJ43" s="13" t="n">
        <f aca="false">-(Waterfall!AJ28+Waterfall!AJ29)</f>
        <v>-14.2040414734419</v>
      </c>
      <c r="AK43" s="13" t="n">
        <f aca="false">-(Waterfall!AK28+Waterfall!AK29)</f>
        <v>-4.86671757765324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-402.256253839883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-14.9497284777696</v>
      </c>
      <c r="Q44" s="13" t="n">
        <f aca="false">-(Waterfall!Q34+Waterfall!Q35)</f>
        <v>-12.4566737357431</v>
      </c>
      <c r="R44" s="13" t="n">
        <f aca="false">-(Waterfall!R34+Waterfall!R35)</f>
        <v>-13.3790469914809</v>
      </c>
      <c r="S44" s="13" t="n">
        <f aca="false">-(Waterfall!S34+Waterfall!S35)</f>
        <v>-12.5696555597131</v>
      </c>
      <c r="T44" s="13" t="n">
        <f aca="false">-(Waterfall!T34+Waterfall!T35)</f>
        <v>-13.3101131991992</v>
      </c>
      <c r="U44" s="13" t="n">
        <f aca="false">-(Waterfall!U34+Waterfall!U35)</f>
        <v>-12.3529289457393</v>
      </c>
      <c r="V44" s="13" t="n">
        <f aca="false">-(Waterfall!V34+Waterfall!V35)</f>
        <v>-13.5908478399407</v>
      </c>
      <c r="W44" s="13" t="n">
        <f aca="false">-(Waterfall!W34+Waterfall!W35)</f>
        <v>-14.3314942667673</v>
      </c>
      <c r="X44" s="13" t="n">
        <f aca="false">-(Waterfall!X34+Waterfall!X35)</f>
        <v>-13.198598113469</v>
      </c>
      <c r="Y44" s="13" t="n">
        <f aca="false">-(Waterfall!Y34+Waterfall!Y35)</f>
        <v>-12.4177641422608</v>
      </c>
      <c r="Z44" s="13" t="n">
        <f aca="false">-(Waterfall!Z34+Waterfall!Z35)</f>
        <v>-13.1222221349054</v>
      </c>
      <c r="AA44" s="13" t="n">
        <f aca="false">-(Waterfall!AA34+Waterfall!AA35)</f>
        <v>-6.14646513675997</v>
      </c>
      <c r="AB44" s="13" t="n">
        <f aca="false">-(Waterfall!AB34+Waterfall!AB35)</f>
        <v>-7.11530726063816</v>
      </c>
      <c r="AC44" s="13" t="n">
        <f aca="false">-(Waterfall!AC34+Waterfall!AC35)</f>
        <v>-6.77305351759387</v>
      </c>
      <c r="AD44" s="13" t="n">
        <f aca="false">-(Waterfall!AD34+Waterfall!AD35)</f>
        <v>-8.11280426252467</v>
      </c>
      <c r="AE44" s="13" t="n">
        <f aca="false">-(Waterfall!AE34+Waterfall!AE35)</f>
        <v>-8.71383925336212</v>
      </c>
      <c r="AF44" s="13" t="n">
        <f aca="false">-(Waterfall!AF34+Waterfall!AF35)</f>
        <v>-9.58564576263172</v>
      </c>
      <c r="AG44" s="13" t="n">
        <f aca="false">-(Waterfall!AG34+Waterfall!AG35)</f>
        <v>-10.0167248459339</v>
      </c>
      <c r="AH44" s="13" t="n">
        <f aca="false">-(Waterfall!AH34+Waterfall!AH35)</f>
        <v>-11.3971093577227</v>
      </c>
      <c r="AI44" s="13" t="n">
        <f aca="false">-(Waterfall!AI34+Waterfall!AI35)</f>
        <v>-12.2936914778488</v>
      </c>
      <c r="AJ44" s="13" t="n">
        <f aca="false">-(Waterfall!AJ34+Waterfall!AJ35)</f>
        <v>-14.2040414734419</v>
      </c>
      <c r="AK44" s="13" t="n">
        <f aca="false">-(Waterfall!AK34+Waterfall!AK35)</f>
        <v>-27.3859627508734</v>
      </c>
      <c r="AL44" s="13" t="n">
        <f aca="false">-(Waterfall!AL34+Waterfall!AL35)</f>
        <v>-32.9995877428729</v>
      </c>
      <c r="AM44" s="13" t="n">
        <f aca="false">-(Waterfall!AM34+Waterfall!AM35)</f>
        <v>-33.9985561025404</v>
      </c>
      <c r="AN44" s="13" t="n">
        <f aca="false">-(Waterfall!AN34+Waterfall!AN35)</f>
        <v>-26.8082715003376</v>
      </c>
      <c r="AO44" s="13" t="n">
        <f aca="false">-(Waterfall!AO34+Waterfall!AO35)</f>
        <v>-41.0261199878129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-993.296685758643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-0.588004657930078</v>
      </c>
      <c r="AP45" s="13" t="n">
        <f aca="false">-Waterfall!AP41</f>
        <v>-41.5609454433001</v>
      </c>
      <c r="AQ45" s="13" t="n">
        <f aca="false">-Waterfall!AQ41</f>
        <v>-41.1169125242327</v>
      </c>
      <c r="AR45" s="13" t="n">
        <f aca="false">-Waterfall!AR41</f>
        <v>-41.7090833011676</v>
      </c>
      <c r="AS45" s="13" t="n">
        <f aca="false">-Waterfall!AS41</f>
        <v>-41.4481761632091</v>
      </c>
      <c r="AT45" s="13" t="n">
        <f aca="false">-Waterfall!AT41</f>
        <v>-48.1878325750925</v>
      </c>
      <c r="AU45" s="13" t="n">
        <f aca="false">-Waterfall!AU41</f>
        <v>-43.7548224395722</v>
      </c>
      <c r="AV45" s="13" t="n">
        <f aca="false">-Waterfall!AV41</f>
        <v>-43.8671815918655</v>
      </c>
      <c r="AW45" s="13" t="n">
        <f aca="false">-Waterfall!AW41</f>
        <v>-43.4412295583817</v>
      </c>
      <c r="AX45" s="13" t="n">
        <f aca="false">-Waterfall!AX41</f>
        <v>-44.1147591302012</v>
      </c>
      <c r="AY45" s="13" t="n">
        <f aca="false">-Waterfall!AY41</f>
        <v>-43.6610794841665</v>
      </c>
      <c r="AZ45" s="13" t="n">
        <f aca="false">-Waterfall!AZ41</f>
        <v>-44.2745476777494</v>
      </c>
      <c r="BA45" s="13" t="n">
        <f aca="false">-Waterfall!BA41</f>
        <v>-43.4855399117799</v>
      </c>
      <c r="BB45" s="13" t="n">
        <f aca="false">-Waterfall!BB41</f>
        <v>-44.7302310160923</v>
      </c>
      <c r="BC45" s="13" t="n">
        <f aca="false">-Waterfall!BC41</f>
        <v>-41.3190428908018</v>
      </c>
      <c r="BD45" s="13" t="n">
        <f aca="false">-Waterfall!BD41</f>
        <v>-35.1958097913051</v>
      </c>
      <c r="BE45" s="13" t="n">
        <f aca="false">-Waterfall!BE41</f>
        <v>-34.7463751501165</v>
      </c>
      <c r="BF45" s="13" t="n">
        <f aca="false">-Waterfall!BF41</f>
        <v>-35.4323816134796</v>
      </c>
      <c r="BG45" s="13" t="n">
        <f aca="false">-Waterfall!BG41</f>
        <v>-34.9510960629418</v>
      </c>
      <c r="BH45" s="13" t="n">
        <f aca="false">-Waterfall!BH41</f>
        <v>-35.5702556328891</v>
      </c>
      <c r="BI45" s="13" t="n">
        <f aca="false">-Waterfall!BI41</f>
        <v>-35.2967893147818</v>
      </c>
      <c r="BJ45" s="13" t="n">
        <f aca="false">-Waterfall!BJ41</f>
        <v>-43.3105789698434</v>
      </c>
      <c r="BK45" s="13" t="n">
        <f aca="false">-Waterfall!BK41</f>
        <v>-38.0478614589076</v>
      </c>
      <c r="BL45" s="13" t="n">
        <f aca="false">-Waterfall!BL41</f>
        <v>-38.7652497875522</v>
      </c>
      <c r="BM45" s="13" t="n">
        <f aca="false">-Waterfall!BM41</f>
        <v>-54.7208996112829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39.1531978114647</v>
      </c>
      <c r="P49" s="13" t="n">
        <f aca="false">P36+P37+P38+P39+P40+P41+P42+P43+P44+P45+P46+P47+P48</f>
        <v>-1.57991305427918</v>
      </c>
      <c r="Q49" s="13" t="n">
        <f aca="false">Q36+Q37+Q38+Q39+Q40+Q41+Q42+Q43+Q44+Q45+Q46+Q47+Q48</f>
        <v>0.884036934882815</v>
      </c>
      <c r="R49" s="13" t="n">
        <f aca="false">R36+R37+R38+R39+R40+R41+R42+R43+R44+R45+R46+R47+R48</f>
        <v>0.124795707439993</v>
      </c>
      <c r="S49" s="13" t="n">
        <f aca="false">S36+S37+S38+S39+S40+S41+S42+S43+S44+S45+S46+S47+S48</f>
        <v>0.834173591549245</v>
      </c>
      <c r="T49" s="13" t="n">
        <f aca="false">T36+T37+T38+T39+T40+T41+T42+T43+T44+T45+T46+T47+T48</f>
        <v>0.235743275647117</v>
      </c>
      <c r="U49" s="13" t="n">
        <f aca="false">U36+U37+U38+U39+U40+U41+U42+U43+U44+U45+U46+U47+U48</f>
        <v>1.13349578270723</v>
      </c>
      <c r="V49" s="13" t="n">
        <f aca="false">V36+V37+V38+V39+V40+V41+V42+V43+V44+V45+V46+V47+V48</f>
        <v>-2.76230262390146</v>
      </c>
      <c r="W49" s="13" t="n">
        <f aca="false">W36+W37+W38+W39+W40+W41+W42+W43+W44+W45+W46+W47+W48</f>
        <v>-1.09643235136002</v>
      </c>
      <c r="X49" s="13" t="n">
        <f aca="false">X36+X37+X38+X39+X40+X41+X42+X43+X44+X45+X46+X47+X48</f>
        <v>1.61633951369738</v>
      </c>
      <c r="Y49" s="13" t="n">
        <f aca="false">Y36+Y37+Y38+Y39+Y40+Y41+Y42+Y43+Y44+Y45+Y46+Y47+Y48</f>
        <v>2.27371360752954</v>
      </c>
      <c r="Z49" s="13" t="n">
        <f aca="false">Z36+Z37+Z38+Z39+Z40+Z41+Z42+Z43+Z44+Z45+Z46+Z47+Z48</f>
        <v>1.67566679007455</v>
      </c>
      <c r="AA49" s="13" t="n">
        <f aca="false">AA36+AA37+AA38+AA39+AA40+AA41+AA42+AA43+AA44+AA45+AA46+AA47+AA48</f>
        <v>2.40320382069091</v>
      </c>
      <c r="AB49" s="13" t="n">
        <f aca="false">AB36+AB37+AB38+AB39+AB40+AB41+AB42+AB43+AB44+AB45+AB46+AB47+AB48</f>
        <v>1.21795404064044</v>
      </c>
      <c r="AC49" s="13" t="n">
        <f aca="false">AC36+AC37+AC38+AC39+AC40+AC41+AC42+AC43+AC44+AC45+AC46+AC47+AC48</f>
        <v>2.5862520392373</v>
      </c>
      <c r="AD49" s="13" t="n">
        <f aca="false">AD36+AD37+AD38+AD39+AD40+AD41+AD42+AD43+AD44+AD45+AD46+AD47+AD48</f>
        <v>-12.5527264963904</v>
      </c>
      <c r="AE49" s="13" t="n">
        <f aca="false">AE36+AE37+AE38+AE39+AE40+AE41+AE42+AE43+AE44+AE45+AE46+AE47+AE48</f>
        <v>-0.897621609497179</v>
      </c>
      <c r="AF49" s="13" t="n">
        <f aca="false">AF36+AF37+AF38+AF39+AF40+AF41+AF42+AF43+AF44+AF45+AF46+AF47+AF48</f>
        <v>-0.933689422596655</v>
      </c>
      <c r="AG49" s="13" t="n">
        <f aca="false">AG36+AG37+AG38+AG39+AG40+AG41+AG42+AG43+AG44+AG45+AG46+AG47+AG48</f>
        <v>-0.502768715114155</v>
      </c>
      <c r="AH49" s="13" t="n">
        <f aca="false">AH36+AH37+AH38+AH39+AH40+AH41+AH42+AH43+AH44+AH45+AH46+AH47+AH48</f>
        <v>-1.35374473603231</v>
      </c>
      <c r="AI49" s="13" t="n">
        <f aca="false">AI36+AI37+AI38+AI39+AI40+AI41+AI42+AI43+AI44+AI45+AI46+AI47+AI48</f>
        <v>-1.26807007364619</v>
      </c>
      <c r="AJ49" s="13" t="n">
        <f aca="false">AJ36+AJ37+AJ38+AJ39+AJ40+AJ41+AJ42+AJ43+AJ44+AJ45+AJ46+AJ47+AJ48</f>
        <v>-2.19182061911138</v>
      </c>
      <c r="AK49" s="13" t="n">
        <f aca="false">AK36+AK37+AK38+AK39+AK40+AK41+AK42+AK43+AK44+AK45+AK46+AK47+AK48</f>
        <v>-2.63000857510743</v>
      </c>
      <c r="AL49" s="13" t="n">
        <f aca="false">AL36+AL37+AL38+AL39+AL40+AL41+AL42+AL43+AL44+AL45+AL46+AL47+AL48</f>
        <v>-4.60331031827374</v>
      </c>
      <c r="AM49" s="13" t="n">
        <f aca="false">AM36+AM37+AM38+AM39+AM40+AM41+AM42+AM43+AM44+AM45+AM46+AM47+AM48</f>
        <v>-2.93561504404399</v>
      </c>
      <c r="AN49" s="13" t="n">
        <f aca="false">AN36+AN37+AN38+AN39+AN40+AN41+AN42+AN43+AN44+AN45+AN46+AN47+AN48</f>
        <v>1.54053788528793</v>
      </c>
      <c r="AO49" s="13" t="n">
        <f aca="false">AO36+AO37+AO38+AO39+AO40+AO41+AO42+AO43+AO44+AO45+AO46+AO47+AO48</f>
        <v>-15.6753089905213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0.467768632427955</v>
      </c>
      <c r="R50" s="13" t="n">
        <f aca="false">Reserves!R11-Reserves!R10-Reserves!R12</f>
        <v>-0.291472595014866</v>
      </c>
      <c r="S50" s="13" t="n">
        <f aca="false">Reserves!S11-Reserves!S10-Reserves!S12</f>
        <v>0.417905289094385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-0.754788502993023</v>
      </c>
      <c r="AC50" s="13" t="n">
        <f aca="false">Reserves!AC11-Reserves!AC10-Reserves!AC12</f>
        <v>0.613509495603843</v>
      </c>
      <c r="AD50" s="13" t="n">
        <f aca="false">Reserves!AD11-Reserves!AD10-Reserves!AD12</f>
        <v>-0.716271234589591</v>
      </c>
      <c r="AE50" s="13" t="n">
        <f aca="false">Reserves!AE11-Reserves!AE10-Reserves!AE12</f>
        <v>-0.897621609497179</v>
      </c>
      <c r="AF50" s="13" t="n">
        <f aca="false">Reserves!AF11-Reserves!AF10-Reserves!AF12</f>
        <v>-1.42911737751257</v>
      </c>
      <c r="AG50" s="13" t="n">
        <f aca="false">Reserves!AG11-Reserves!AG10-Reserves!AG12</f>
        <v>-0.998196670030069</v>
      </c>
      <c r="AH50" s="13" t="n">
        <f aca="false">Reserves!AH11-Reserves!AH10-Reserves!AH12</f>
        <v>-1.84917269094823</v>
      </c>
      <c r="AI50" s="13" t="n">
        <f aca="false">Reserves!AI11-Reserves!AI10-Reserves!AI12</f>
        <v>-1.7634980285621</v>
      </c>
      <c r="AJ50" s="13" t="n">
        <f aca="false">Reserves!AJ11-Reserves!AJ10-Reserves!AJ12</f>
        <v>-2.68724857402729</v>
      </c>
      <c r="AK50" s="13" t="n">
        <f aca="false">Reserves!AK11-Reserves!AK10-Reserves!AK12</f>
        <v>-3.12543653002335</v>
      </c>
      <c r="AL50" s="13" t="n">
        <f aca="false">Reserves!AL11-Reserves!AL10-Reserves!AL12</f>
        <v>-1.63074258877825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39.1531978114647</v>
      </c>
      <c r="P51" s="13" t="n">
        <f aca="false">P17-O17</f>
        <v>-1.57991305427918</v>
      </c>
      <c r="Q51" s="13" t="n">
        <f aca="false">Q17-P17</f>
        <v>0.884036934882815</v>
      </c>
      <c r="R51" s="13" t="n">
        <f aca="false">R17-Q17</f>
        <v>0.124795707439993</v>
      </c>
      <c r="S51" s="13" t="n">
        <f aca="false">S17-R17</f>
        <v>0.834173591549245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1.21795404064044</v>
      </c>
      <c r="AC51" s="13" t="n">
        <f aca="false">AC17-AB17</f>
        <v>2.5862520392373</v>
      </c>
      <c r="AD51" s="13" t="n">
        <f aca="false">AD17-AC17</f>
        <v>-12.5527264963903</v>
      </c>
      <c r="AE51" s="13" t="n">
        <f aca="false">AE17-AD17</f>
        <v>-0.897621609497179</v>
      </c>
      <c r="AF51" s="13" t="n">
        <f aca="false">AF17-AE17</f>
        <v>-0.933689422596657</v>
      </c>
      <c r="AG51" s="13" t="n">
        <f aca="false">AG17-AF17</f>
        <v>-0.502768715114151</v>
      </c>
      <c r="AH51" s="13" t="n">
        <f aca="false">AH17-AG17</f>
        <v>-1.35374473603232</v>
      </c>
      <c r="AI51" s="13" t="n">
        <f aca="false">AI17-AH17</f>
        <v>-1.26807007364619</v>
      </c>
      <c r="AJ51" s="13" t="n">
        <f aca="false">AJ17-AI17</f>
        <v>-2.19182061911138</v>
      </c>
      <c r="AK51" s="13" t="n">
        <f aca="false">AK17-AJ17</f>
        <v>-2.63000857510743</v>
      </c>
      <c r="AL51" s="13" t="n">
        <f aca="false">AL17-AK17</f>
        <v>-4.60331031827373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0.0362176837241622</v>
      </c>
      <c r="AC7" s="16" t="n">
        <f aca="false">IF(Debt!AC115&gt;Inputs!$F$253,Debt!AC112/Debt!AC115,0)</f>
        <v>0.0357973322443867</v>
      </c>
      <c r="AD7" s="16" t="n">
        <f aca="false">IF(Debt!AD115&gt;Inputs!$F$253,Debt!AD112/Debt!AD115,0)</f>
        <v>0.0358853144168791</v>
      </c>
      <c r="AE7" s="16" t="n">
        <f aca="false">IF(Debt!AE115&gt;Inputs!$F$253,Debt!AE112/Debt!AE115,0)</f>
        <v>0.0352363846659771</v>
      </c>
      <c r="AF7" s="16" t="n">
        <f aca="false">IF(Debt!AF115&gt;Inputs!$F$253,Debt!AF112/Debt!AF115,0)</f>
        <v>0.0352479053451452</v>
      </c>
      <c r="AG7" s="16" t="n">
        <f aca="false">IF(Debt!AG115&gt;Inputs!$F$253,Debt!AG112/Debt!AG115,0)</f>
        <v>0.0353144601630489</v>
      </c>
      <c r="AH7" s="16" t="n">
        <f aca="false">IF(Debt!AH115&gt;Inputs!$F$253,Debt!AH112/Debt!AH115,0)</f>
        <v>0.034960194143158</v>
      </c>
      <c r="AI7" s="16" t="n">
        <f aca="false">IF(Debt!AI115&gt;Inputs!$F$253,Debt!AI112/Debt!AI115,0)</f>
        <v>0.0335940907291667</v>
      </c>
      <c r="AJ7" s="16" t="n">
        <f aca="false">IF(Debt!AJ115&gt;Inputs!$F$253,Debt!AJ112/Debt!AJ115,0)</f>
        <v>0.0323293399699928</v>
      </c>
      <c r="AK7" s="16" t="n">
        <f aca="false">IF(Debt!AK115&gt;Inputs!$F$253,Debt!AK112/Debt!AK115,0)</f>
        <v>0.0294694827954997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0.0362176837241622</v>
      </c>
      <c r="AC10" s="16" t="n">
        <f aca="false">IF(AC7&gt;0,AC7,$F$9)</f>
        <v>0.0357973322443867</v>
      </c>
      <c r="AD10" s="16" t="n">
        <f aca="false">IF(AD7&gt;0,AD7,$F$9)</f>
        <v>0.0358853144168791</v>
      </c>
      <c r="AE10" s="16" t="n">
        <f aca="false">IF(AE7&gt;0,AE7,$F$9)</f>
        <v>0.0352363846659771</v>
      </c>
      <c r="AF10" s="16" t="n">
        <f aca="false">IF(AF7&gt;0,AF7,$F$9)</f>
        <v>0.0352479053451452</v>
      </c>
      <c r="AG10" s="16" t="n">
        <f aca="false">IF(AG7&gt;0,AG7,$F$9)</f>
        <v>0.0353144601630489</v>
      </c>
      <c r="AH10" s="16" t="n">
        <f aca="false">IF(AH7&gt;0,AH7,$F$9)</f>
        <v>0.034960194143158</v>
      </c>
      <c r="AI10" s="16" t="n">
        <f aca="false">IF(AI7&gt;0,AI7,$F$9)</f>
        <v>0.0335940907291667</v>
      </c>
      <c r="AJ10" s="16" t="n">
        <f aca="false">IF(AJ7&gt;0,AJ7,$F$9)</f>
        <v>0.0323293399699928</v>
      </c>
      <c r="AK10" s="16" t="n">
        <f aca="false">IF(AK7&gt;0,AK7,$F$9)</f>
        <v>0.0294694827954997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727.733457781818</v>
      </c>
      <c r="K11" s="13" t="n">
        <f aca="false">IF(Time!K20&lt;=$F$8,(Waterfall!K7+L11)/(1+K10),0)</f>
        <v>747.909447427762</v>
      </c>
      <c r="L11" s="13" t="n">
        <f aca="false">IF(Time!L20&lt;=$F$8,(Waterfall!L7+M11)/(1+L10),0)</f>
        <v>768.644804729323</v>
      </c>
      <c r="M11" s="13" t="n">
        <f aca="false">IF(Time!M20&lt;=$F$8,(Waterfall!M7+N11)/(1+M10),0)</f>
        <v>789.95503783156</v>
      </c>
      <c r="N11" s="13" t="n">
        <f aca="false">IF(Time!N20&lt;=$F$8,(Waterfall!N7+O11)/(1+N10),0)</f>
        <v>811.856084833894</v>
      </c>
      <c r="O11" s="13" t="n">
        <f aca="false">IF(Time!O20&lt;=$F$8,(Waterfall!O7+P11)/(1+O10),0)</f>
        <v>834.364325710344</v>
      </c>
      <c r="P11" s="13" t="n">
        <f aca="false">IF(Time!P20&lt;=$F$8,(Waterfall!P7+Q11)/(1+P10),0)</f>
        <v>855.589292185375</v>
      </c>
      <c r="Q11" s="13" t="n">
        <f aca="false">IF(Time!Q20&lt;=$F$8,(Waterfall!Q7+R11)/(1+Q10),0)</f>
        <v>834.784527151673</v>
      </c>
      <c r="R11" s="13" t="n">
        <f aca="false">IF(Time!R20&lt;=$F$8,(Waterfall!R7+S11)/(1+R10),0)</f>
        <v>813.157976021604</v>
      </c>
      <c r="S11" s="13" t="n">
        <f aca="false">IF(Time!S20&lt;=$F$8,(Waterfall!S7+T11)/(1+S10),0)</f>
        <v>790.523965462153</v>
      </c>
      <c r="T11" s="13" t="n">
        <f aca="false">IF(Time!T20&lt;=$F$8,(Waterfall!T7+U11)/(1+T10),0)</f>
        <v>767.271892727936</v>
      </c>
      <c r="U11" s="13" t="n">
        <f aca="false">IF(Time!U20&lt;=$F$8,(Waterfall!U7+V11)/(1+U10),0)</f>
        <v>743.004090629696</v>
      </c>
      <c r="V11" s="13" t="n">
        <f aca="false">IF(Time!V20&lt;=$F$8,(Waterfall!V7+W11)/(1+V10),0)</f>
        <v>718.000327792589</v>
      </c>
      <c r="W11" s="13" t="n">
        <f aca="false">IF(Time!W20&lt;=$F$8,(Waterfall!W7+X11)/(1+W10),0)</f>
        <v>691.389130763361</v>
      </c>
      <c r="X11" s="13" t="n">
        <f aca="false">IF(Time!X20&lt;=$F$8,(Waterfall!X7+Y11)/(1+X10),0)</f>
        <v>663.989717771382</v>
      </c>
      <c r="Y11" s="13" t="n">
        <f aca="false">IF(Time!Y20&lt;=$F$8,(Waterfall!Y7+Z11)/(1+Y10),0)</f>
        <v>637.42499737814</v>
      </c>
      <c r="Z11" s="13" t="n">
        <f aca="false">IF(Time!Z20&lt;=$F$8,(Waterfall!Z7+AA11)/(1+Z10),0)</f>
        <v>610.927374767843</v>
      </c>
      <c r="AA11" s="13" t="n">
        <f aca="false">IF(Time!AA20&lt;=$F$8,(Waterfall!AA7+AB11)/(1+AA10),0)</f>
        <v>583.37070407705</v>
      </c>
      <c r="AB11" s="13" t="n">
        <f aca="false">IF(Time!AB20&lt;=$F$8,(Waterfall!AB7+AC11)/(1+AB10),0)</f>
        <v>555.030828919372</v>
      </c>
      <c r="AC11" s="13" t="n">
        <f aca="false">IF(Time!AC20&lt;=$F$8,(Waterfall!AC7+AD11)/(1+AC10),0)</f>
        <v>525.258403700615</v>
      </c>
      <c r="AD11" s="13" t="n">
        <f aca="false">IF(Time!AD20&lt;=$F$8,(Waterfall!AD7+AE11)/(1+AD10),0)</f>
        <v>494.386093795278</v>
      </c>
      <c r="AE11" s="13" t="n">
        <f aca="false">IF(Time!AE20&lt;=$F$8,(Waterfall!AE7+AF11)/(1+AE10),0)</f>
        <v>460.531456647412</v>
      </c>
      <c r="AF11" s="13" t="n">
        <f aca="false">IF(Time!AF20&lt;=$F$8,(Waterfall!AF7+AG11)/(1+AF10),0)</f>
        <v>425.078175122109</v>
      </c>
      <c r="AG11" s="13" t="n">
        <f aca="false">IF(Time!AG20&lt;=$F$8,(Waterfall!AG7+AH11)/(1+AG10),0)</f>
        <v>388.233495500264</v>
      </c>
      <c r="AH11" s="13" t="n">
        <f aca="false">IF(Time!AH20&lt;=$F$8,(Waterfall!AH7+AI11)/(1+AH10),0)</f>
        <v>350.484411901061</v>
      </c>
      <c r="AI11" s="13" t="n">
        <f aca="false">IF(Time!AI20&lt;=$F$8,(Waterfall!AI7+AJ11)/(1+AI10),0)</f>
        <v>310.609148140841</v>
      </c>
      <c r="AJ11" s="13" t="n">
        <f aca="false">IF(Time!AJ20&lt;=$F$8,(Waterfall!AJ7+AK11)/(1+AJ10),0)</f>
        <v>269.320588646803</v>
      </c>
      <c r="AK11" s="13" t="n">
        <f aca="false">IF(Time!AK20&lt;=$F$8,(Waterfall!AK7+AL11)/(1+AK10),0)</f>
        <v>225.707698440904</v>
      </c>
      <c r="AL11" s="13" t="n">
        <f aca="false">IF(Time!AL20&lt;=$F$8,(Waterfall!AL7+AM11)/(1+AL10),0)</f>
        <v>180.272990870947</v>
      </c>
      <c r="AM11" s="13" t="n">
        <f aca="false">IF(Time!AM20&lt;=$F$8,(Waterfall!AM7+AN11)/(1+AM10),0)</f>
        <v>132.143294952779</v>
      </c>
      <c r="AN11" s="13" t="n">
        <f aca="false">IF(Time!AN20&lt;=$F$8,(Waterfall!AN7+AO11)/(1+AN10),0)</f>
        <v>83.0079491499489</v>
      </c>
      <c r="AO11" s="13" t="n">
        <f aca="false">IF(Time!AO20&lt;=$F$8,(Waterfall!AO7+AP11)/(1+AO10),0)</f>
        <v>40.4915206314935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987.611328133709</v>
      </c>
      <c r="K12" s="13" t="n">
        <f aca="false">IF(Time!K20&lt;=Time!$F$15,(Waterfall!K7+L12)/(1+K10),0)</f>
        <v>1014.99228158249</v>
      </c>
      <c r="L12" s="13" t="n">
        <f aca="false">IF(Time!L20&lt;=Time!$F$15,(Waterfall!L7+M12)/(1+L10),0)</f>
        <v>1043.13235614542</v>
      </c>
      <c r="M12" s="13" t="n">
        <f aca="false">IF(Time!M20&lt;=Time!$F$15,(Waterfall!M7+N12)/(1+M10),0)</f>
        <v>1072.05259801679</v>
      </c>
      <c r="N12" s="13" t="n">
        <f aca="false">IF(Time!N20&lt;=Time!$F$15,(Waterfall!N7+O12)/(1+N10),0)</f>
        <v>1101.77463688446</v>
      </c>
      <c r="O12" s="13" t="n">
        <f aca="false">IF(Time!O20&lt;=Time!$F$15,(Waterfall!O7+P12)/(1+O10),0)</f>
        <v>1132.32070210689</v>
      </c>
      <c r="P12" s="13" t="n">
        <f aca="false">IF(Time!P20&lt;=Time!$F$15,(Waterfall!P7+Q12)/(1+P10),0)</f>
        <v>1161.80633696378</v>
      </c>
      <c r="Q12" s="13" t="n">
        <f aca="false">IF(Time!Q20&lt;=Time!$F$15,(Waterfall!Q7+R12)/(1+Q10),0)</f>
        <v>1151.52198326038</v>
      </c>
      <c r="R12" s="13" t="n">
        <f aca="false">IF(Time!R20&lt;=Time!$F$15,(Waterfall!R7+S12)/(1+R10),0)</f>
        <v>1140.69191287868</v>
      </c>
      <c r="S12" s="13" t="n">
        <f aca="false">IF(Time!S20&lt;=Time!$F$15,(Waterfall!S7+T12)/(1+S10),0)</f>
        <v>1129.36765077497</v>
      </c>
      <c r="T12" s="13" t="n">
        <f aca="false">IF(Time!T20&lt;=Time!$F$15,(Waterfall!T7+U12)/(1+T10),0)</f>
        <v>1117.71812591446</v>
      </c>
      <c r="U12" s="13" t="n">
        <f aca="false">IF(Time!U20&lt;=Time!$F$15,(Waterfall!U7+V12)/(1+U10),0)</f>
        <v>1105.60563283156</v>
      </c>
      <c r="V12" s="13" t="n">
        <f aca="false">IF(Time!V20&lt;=Time!$F$15,(Waterfall!V7+W12)/(1+V10),0)</f>
        <v>1093.1133045382</v>
      </c>
      <c r="W12" s="13" t="n">
        <f aca="false">IF(Time!W20&lt;=Time!$F$15,(Waterfall!W7+X12)/(1+W10),0)</f>
        <v>1079.56464205019</v>
      </c>
      <c r="X12" s="13" t="n">
        <f aca="false">IF(Time!X20&lt;=Time!$F$15,(Waterfall!X7+Y12)/(1+X10),0)</f>
        <v>1065.56062553379</v>
      </c>
      <c r="Y12" s="13" t="n">
        <f aca="false">IF(Time!Y20&lt;=Time!$F$15,(Waterfall!Y7+Z12)/(1+Y10),0)</f>
        <v>1053.0294954566</v>
      </c>
      <c r="Z12" s="13" t="n">
        <f aca="false">IF(Time!Z20&lt;=Time!$F$15,(Waterfall!Z7+AA12)/(1+Z10),0)</f>
        <v>1041.39205543304</v>
      </c>
      <c r="AA12" s="13" t="n">
        <f aca="false">IF(Time!AA20&lt;=Time!$F$15,(Waterfall!AA7+AB12)/(1+AA10),0)</f>
        <v>1029.43530550544</v>
      </c>
      <c r="AB12" s="13" t="n">
        <f aca="false">IF(Time!AB20&lt;=Time!$F$15,(Waterfall!AB7+AC12)/(1+AB10),0)</f>
        <v>1017.12046264727</v>
      </c>
      <c r="AC12" s="13" t="n">
        <f aca="false">IF(Time!AC20&lt;=Time!$F$15,(Waterfall!AC7+AD12)/(1+AC10),0)</f>
        <v>1004.08385363508</v>
      </c>
      <c r="AD12" s="13" t="n">
        <f aca="false">IF(Time!AD20&lt;=Time!$F$15,(Waterfall!AD7+AE12)/(1+AD10),0)</f>
        <v>990.352217448118</v>
      </c>
      <c r="AE12" s="13" t="n">
        <f aca="false">IF(Time!AE20&lt;=Time!$F$15,(Waterfall!AE7+AF12)/(1+AE10),0)</f>
        <v>974.295480587656</v>
      </c>
      <c r="AF12" s="13" t="n">
        <f aca="false">IF(Time!AF20&lt;=Time!$F$15,(Waterfall!AF7+AG12)/(1+AF10),0)</f>
        <v>956.945385837451</v>
      </c>
      <c r="AG12" s="13" t="n">
        <f aca="false">IF(Time!AG20&lt;=Time!$F$15,(Waterfall!AG7+AH12)/(1+AG10),0)</f>
        <v>938.847911315087</v>
      </c>
      <c r="AH12" s="13" t="n">
        <f aca="false">IF(Time!AH20&lt;=Time!$F$15,(Waterfall!AH7+AI12)/(1+AH10),0)</f>
        <v>920.543478568377</v>
      </c>
      <c r="AI12" s="13" t="n">
        <f aca="false">IF(Time!AI20&lt;=Time!$F$15,(Waterfall!AI7+AJ12)/(1+AI10),0)</f>
        <v>900.597590451914</v>
      </c>
      <c r="AJ12" s="13" t="n">
        <f aca="false">IF(Time!AJ20&lt;=Time!$F$15,(Waterfall!AJ7+AK12)/(1+AJ10),0)</f>
        <v>879.129156218033</v>
      </c>
      <c r="AK12" s="13" t="n">
        <f aca="false">IF(Time!AK20&lt;=Time!$F$15,(Waterfall!AK7+AL12)/(1+AK10),0)</f>
        <v>855.230974509758</v>
      </c>
      <c r="AL12" s="13" t="n">
        <f aca="false">IF(Time!AL20&lt;=Time!$F$15,(Waterfall!AL7+AM12)/(1+AL10),0)</f>
        <v>828.347992293279</v>
      </c>
      <c r="AM12" s="13" t="n">
        <f aca="false">IF(Time!AM20&lt;=Time!$F$15,(Waterfall!AM7+AN12)/(1+AM10),0)</f>
        <v>798.456761529476</v>
      </c>
      <c r="AN12" s="13" t="n">
        <f aca="false">IF(Time!AN20&lt;=Time!$F$15,(Waterfall!AN7+AO12)/(1+AN10),0)</f>
        <v>767.946664541654</v>
      </c>
      <c r="AO12" s="13" t="n">
        <f aca="false">IF(Time!AO20&lt;=Time!$F$15,(Waterfall!AO7+AP12)/(1+AO10),0)</f>
        <v>744.532758908159</v>
      </c>
      <c r="AP12" s="13" t="n">
        <f aca="false">IF(Time!AP20&lt;=Time!$F$15,(Waterfall!AP7+AQ12)/(1+AP10),0)</f>
        <v>723.560374825759</v>
      </c>
      <c r="AQ12" s="13" t="n">
        <f aca="false">IF(Time!AQ20&lt;=Time!$F$15,(Waterfall!AQ7+AR12)/(1+AQ10),0)</f>
        <v>702.059722714577</v>
      </c>
      <c r="AR12" s="13" t="n">
        <f aca="false">IF(Time!AR20&lt;=Time!$F$15,(Waterfall!AR7+AS12)/(1+AR10),0)</f>
        <v>680.407010365363</v>
      </c>
      <c r="AS12" s="13" t="n">
        <f aca="false">IF(Time!AS20&lt;=Time!$F$15,(Waterfall!AS7+AT12)/(1+AS10),0)</f>
        <v>657.561818299872</v>
      </c>
      <c r="AT12" s="13" t="n">
        <f aca="false">IF(Time!AT20&lt;=Time!$F$15,(Waterfall!AT7+AU12)/(1+AT10),0)</f>
        <v>634.344163621857</v>
      </c>
      <c r="AU12" s="13" t="n">
        <f aca="false">IF(Time!AU20&lt;=Time!$F$15,(Waterfall!AU7+AV12)/(1+AU10),0)</f>
        <v>603.743156470747</v>
      </c>
      <c r="AV12" s="13" t="n">
        <f aca="false">IF(Time!AV20&lt;=Time!$F$15,(Waterfall!AV7+AW12)/(1+AV10),0)</f>
        <v>576.726764212593</v>
      </c>
      <c r="AW12" s="13" t="n">
        <f aca="false">IF(Time!AW20&lt;=Time!$F$15,(Waterfall!AW7+AX12)/(1+AW10),0)</f>
        <v>548.848998936365</v>
      </c>
      <c r="AX12" s="13" t="n">
        <f aca="false">IF(Time!AX20&lt;=Time!$F$15,(Waterfall!AX7+AY12)/(1+AX10),0)</f>
        <v>520.6242907586</v>
      </c>
      <c r="AY12" s="13" t="n">
        <f aca="false">IF(Time!AY20&lt;=Time!$F$15,(Waterfall!AY7+AZ12)/(1+AY10),0)</f>
        <v>490.943539282505</v>
      </c>
      <c r="AZ12" s="13" t="n">
        <f aca="false">IF(Time!AZ20&lt;=Time!$F$15,(Waterfall!AZ7+BA12)/(1+AZ10),0)</f>
        <v>460.893585766765</v>
      </c>
      <c r="BA12" s="13" t="n">
        <f aca="false">IF(Time!BA20&lt;=Time!$F$15,(Waterfall!BA7+BB12)/(1+BA10),0)</f>
        <v>429.397046458531</v>
      </c>
      <c r="BB12" s="13" t="n">
        <f aca="false">IF(Time!BB20&lt;=Time!$F$15,(Waterfall!BB7+BC12)/(1+BB10),0)</f>
        <v>397.32132317546</v>
      </c>
      <c r="BC12" s="13" t="n">
        <f aca="false">IF(Time!BC20&lt;=Time!$F$15,(Waterfall!BC7+BD12)/(1+BC10),0)</f>
        <v>362.105446024783</v>
      </c>
      <c r="BD12" s="13" t="n">
        <f aca="false">IF(Time!BD20&lt;=Time!$F$15,(Waterfall!BD7+BE12)/(1+BD10),0)</f>
        <v>329.307994333784</v>
      </c>
      <c r="BE12" s="13" t="n">
        <f aca="false">IF(Time!BE20&lt;=Time!$F$15,(Waterfall!BE7+BF12)/(1+BE10),0)</f>
        <v>301.707882857012</v>
      </c>
      <c r="BF12" s="13" t="n">
        <f aca="false">IF(Time!BF20&lt;=Time!$F$15,(Waterfall!BF7+BG12)/(1+BF10),0)</f>
        <v>273.775224756864</v>
      </c>
      <c r="BG12" s="13" t="n">
        <f aca="false">IF(Time!BG20&lt;=Time!$F$15,(Waterfall!BG7+BH12)/(1+BG10),0)</f>
        <v>244.365175644888</v>
      </c>
      <c r="BH12" s="13" t="n">
        <f aca="false">IF(Time!BH20&lt;=Time!$F$15,(Waterfall!BH7+BI12)/(1+BH10),0)</f>
        <v>214.603882093044</v>
      </c>
      <c r="BI12" s="13" t="n">
        <f aca="false">IF(Time!BI20&lt;=Time!$F$15,(Waterfall!BI7+BJ12)/(1+BI10),0)</f>
        <v>183.380973271125</v>
      </c>
      <c r="BJ12" s="13" t="n">
        <f aca="false">IF(Time!BJ20&lt;=Time!$F$15,(Waterfall!BJ7+BK12)/(1+BJ10),0)</f>
        <v>151.548362914715</v>
      </c>
      <c r="BK12" s="13" t="n">
        <f aca="false">IF(Time!BK20&lt;=Time!$F$15,(Waterfall!BK7+BL12)/(1+BK10),0)</f>
        <v>110.801699638778</v>
      </c>
      <c r="BL12" s="13" t="n">
        <f aca="false">IF(Time!BL20&lt;=Time!$F$15,(Waterfall!BL7+BM12)/(1+BL10),0)</f>
        <v>74.1701597551893</v>
      </c>
      <c r="BM12" s="13" t="n">
        <f aca="false">IF(Time!BM20&lt;=Time!$F$15,(Waterfall!BM7+BN12)/(1+BM10),0)</f>
        <v>35.7875308343199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1.41731192723606</v>
      </c>
      <c r="Q13" s="3" t="n">
        <f aca="false">IF(Debt!Q115&gt;Inputs!$F$253,(Q11+Reserves!Q9)/Debt!Q115,0)</f>
        <v>1.41929958131411</v>
      </c>
      <c r="R13" s="3" t="n">
        <f aca="false">IF(Debt!R115&gt;Inputs!$F$253,(R11+Reserves!R9)/Debt!R115,0)</f>
        <v>1.42240374439393</v>
      </c>
      <c r="S13" s="3" t="n">
        <f aca="false">IF(Debt!S115&gt;Inputs!$F$253,(S11+Reserves!S9)/Debt!S115,0)</f>
        <v>1.42449373906403</v>
      </c>
      <c r="T13" s="3" t="n">
        <f aca="false">IF(Debt!T115&gt;Inputs!$F$253,(T11+Reserves!T9)/Debt!T115,0)</f>
        <v>1.42804112149799</v>
      </c>
      <c r="U13" s="3" t="n">
        <f aca="false">IF(Debt!U115&gt;Inputs!$F$253,(U11+Reserves!U9)/Debt!U115,0)</f>
        <v>1.43086325524499</v>
      </c>
      <c r="V13" s="3" t="n">
        <f aca="false">IF(Debt!V115&gt;Inputs!$F$253,(V11+Reserves!V9)/Debt!V115,0)</f>
        <v>1.43568223165963</v>
      </c>
      <c r="W13" s="3" t="n">
        <f aca="false">IF(Debt!W115&gt;Inputs!$F$253,(W11+Reserves!W9)/Debt!W115,0)</f>
        <v>1.43914927364783</v>
      </c>
      <c r="X13" s="3" t="n">
        <f aca="false">IF(Debt!X115&gt;Inputs!$F$253,(X11+Reserves!X9)/Debt!X115,0)</f>
        <v>1.4413171614008</v>
      </c>
      <c r="Y13" s="3" t="n">
        <f aca="false">IF(Debt!Y115&gt;Inputs!$F$253,(Y11+Reserves!Y9)/Debt!Y115,0)</f>
        <v>1.4451925328192</v>
      </c>
      <c r="Z13" s="3" t="n">
        <f aca="false">IF(Debt!Z115&gt;Inputs!$F$253,(Z11+Reserves!Z9)/Debt!Z115,0)</f>
        <v>1.45091626192326</v>
      </c>
      <c r="AA13" s="3" t="n">
        <f aca="false">IF(Debt!AA115&gt;Inputs!$F$253,(AA11+Reserves!AA9)/Debt!AA115,0)</f>
        <v>1.4560067890919</v>
      </c>
      <c r="AB13" s="3" t="n">
        <f aca="false">IF(Debt!AB115&gt;Inputs!$F$253,(AB11+Reserves!AB9)/Debt!AB115,0)</f>
        <v>1.48618185688592</v>
      </c>
      <c r="AC13" s="3" t="n">
        <f aca="false">IF(Debt!AC115&gt;Inputs!$F$253,(AC11+Reserves!AC9)/Debt!AC115,0)</f>
        <v>1.52057395097008</v>
      </c>
      <c r="AD13" s="3" t="n">
        <f aca="false">IF(Debt!AD115&gt;Inputs!$F$253,(AD11+Reserves!AD9)/Debt!AD115,0)</f>
        <v>1.56156000802966</v>
      </c>
      <c r="AE13" s="3" t="n">
        <f aca="false">IF(Debt!AE115&gt;Inputs!$F$253,(AE11+Reserves!AE9)/Debt!AE115,0)</f>
        <v>1.61147639460725</v>
      </c>
      <c r="AF13" s="3" t="n">
        <f aca="false">IF(Debt!AF115&gt;Inputs!$F$253,(AF11+Reserves!AF9)/Debt!AF115,0)</f>
        <v>1.67264653684788</v>
      </c>
      <c r="AG13" s="3" t="n">
        <f aca="false">IF(Debt!AG115&gt;Inputs!$F$253,(AG11+Reserves!AG9)/Debt!AG115,0)</f>
        <v>1.74952981364178</v>
      </c>
      <c r="AH13" s="3" t="n">
        <f aca="false">IF(Debt!AH115&gt;Inputs!$F$253,(AH11+Reserves!AH9)/Debt!AH115,0)</f>
        <v>1.84889256515686</v>
      </c>
      <c r="AI13" s="3" t="n">
        <f aca="false">IF(Debt!AI115&gt;Inputs!$F$253,(AI11+Reserves!AI9)/Debt!AI115,0)</f>
        <v>1.9861232819268</v>
      </c>
      <c r="AJ13" s="3" t="n">
        <f aca="false">IF(Debt!AJ115&gt;Inputs!$F$253,(AJ11+Reserves!AJ9)/Debt!AJ115,0)</f>
        <v>2.18592818610715</v>
      </c>
      <c r="AK13" s="3" t="n">
        <f aca="false">IF(Debt!AK115&gt;Inputs!$F$253,(AK11+Reserves!AK9)/Debt!AK115,0)</f>
        <v>2.51773816946011</v>
      </c>
      <c r="AL13" s="3" t="n">
        <f aca="false">IF(Debt!AL115&gt;Inputs!$F$253,(AL11+Reserves!AL9)/Debt!AL115,0)</f>
        <v>2.70449857899874</v>
      </c>
      <c r="AM13" s="3" t="n">
        <f aca="false">IF(Debt!AM115&gt;Inputs!$F$253,(AM11+Reserves!AM9)/Debt!AM115,0)</f>
        <v>2.76850495696014</v>
      </c>
      <c r="AN13" s="3" t="n">
        <f aca="false">IF(Debt!AN115&gt;Inputs!$F$253,(AN11+Reserves!AN9)/Debt!AN115,0)</f>
        <v>2.87835524877643</v>
      </c>
      <c r="AO13" s="3" t="n">
        <f aca="false">IF(Debt!AO115&gt;Inputs!$F$253,(AO11+Reserves!AO9)/Debt!AO115,0)</f>
        <v>3.33664454118091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1.35818673529164</v>
      </c>
      <c r="Q14" s="3" t="n">
        <f aca="false">IF(Debt!Q115&gt;Inputs!$F$253,Q11/Debt!Q115,0)</f>
        <v>1.35881738697003</v>
      </c>
      <c r="R14" s="3" t="n">
        <f aca="false">IF(Debt!R115&gt;Inputs!$F$253,R11/Debt!R115,0)</f>
        <v>1.35949974864272</v>
      </c>
      <c r="S14" s="3" t="n">
        <f aca="false">IF(Debt!S115&gt;Inputs!$F$253,S11/Debt!S115,0)</f>
        <v>1.36025432084572</v>
      </c>
      <c r="T14" s="3" t="n">
        <f aca="false">IF(Debt!T115&gt;Inputs!$F$253,T11/Debt!T115,0)</f>
        <v>1.36107373798507</v>
      </c>
      <c r="U14" s="3" t="n">
        <f aca="false">IF(Debt!U115&gt;Inputs!$F$253,U11/Debt!U115,0)</f>
        <v>1.36199282171222</v>
      </c>
      <c r="V14" s="3" t="n">
        <f aca="false">IF(Debt!V115&gt;Inputs!$F$253,V11/Debt!V115,0)</f>
        <v>1.36299924747797</v>
      </c>
      <c r="W14" s="3" t="n">
        <f aca="false">IF(Debt!W115&gt;Inputs!$F$253,W11/Debt!W115,0)</f>
        <v>1.36412847160515</v>
      </c>
      <c r="X14" s="3" t="n">
        <f aca="false">IF(Debt!X115&gt;Inputs!$F$253,X11/Debt!X115,0)</f>
        <v>1.36538340541062</v>
      </c>
      <c r="Y14" s="3" t="n">
        <f aca="false">IF(Debt!Y115&gt;Inputs!$F$253,Y11/Debt!Y115,0)</f>
        <v>1.36677766777113</v>
      </c>
      <c r="Z14" s="3" t="n">
        <f aca="false">IF(Debt!Z115&gt;Inputs!$F$253,Z11/Debt!Z115,0)</f>
        <v>1.36833311193405</v>
      </c>
      <c r="AA14" s="3" t="n">
        <f aca="false">IF(Debt!AA115&gt;Inputs!$F$253,AA11/Debt!AA115,0)</f>
        <v>1.37010818287612</v>
      </c>
      <c r="AB14" s="3" t="n">
        <f aca="false">IF(Debt!AB115&gt;Inputs!$F$253,AB11/Debt!AB115,0)</f>
        <v>1.39328915225757</v>
      </c>
      <c r="AC14" s="3" t="n">
        <f aca="false">IF(Debt!AC115&gt;Inputs!$F$253,AC11/Debt!AC115,0)</f>
        <v>1.4224084584396</v>
      </c>
      <c r="AD14" s="3" t="n">
        <f aca="false">IF(Debt!AD115&gt;Inputs!$F$253,AD11/Debt!AD115,0)</f>
        <v>1.45320317559883</v>
      </c>
      <c r="AE14" s="3" t="n">
        <f aca="false">IF(Debt!AE115&gt;Inputs!$F$253,AE11/Debt!AE115,0)</f>
        <v>1.49419662760834</v>
      </c>
      <c r="AF14" s="3" t="n">
        <f aca="false">IF(Debt!AF115&gt;Inputs!$F$253,AF11/Debt!AF115,0)</f>
        <v>1.54456370394676</v>
      </c>
      <c r="AG14" s="3" t="n">
        <f aca="false">IF(Debt!AG115&gt;Inputs!$F$253,AG11/Debt!AG115,0)</f>
        <v>1.60933470031898</v>
      </c>
      <c r="AH14" s="3" t="n">
        <f aca="false">IF(Debt!AH115&gt;Inputs!$F$253,AH11/Debt!AH115,0)</f>
        <v>1.69057328309397</v>
      </c>
      <c r="AI14" s="3" t="n">
        <f aca="false">IF(Debt!AI115&gt;Inputs!$F$253,AI11/Debt!AI115,0)</f>
        <v>1.80603085214403</v>
      </c>
      <c r="AJ14" s="3" t="n">
        <f aca="false">IF(Debt!AJ115&gt;Inputs!$F$253,AJ11/Debt!AJ115,0)</f>
        <v>1.97204672747223</v>
      </c>
      <c r="AK14" s="3" t="n">
        <f aca="false">IF(Debt!AK115&gt;Inputs!$F$253,AK11/Debt!AK115,0)</f>
        <v>2.25299446200033</v>
      </c>
      <c r="AL14" s="3" t="n">
        <f aca="false">IF(Debt!AL115&gt;Inputs!$F$253,AL11/Debt!AL115,0)</f>
        <v>2.39381495722566</v>
      </c>
      <c r="AM14" s="3" t="n">
        <f aca="false">IF(Debt!AM115&gt;Inputs!$F$253,AM11/Debt!AM115,0)</f>
        <v>2.37697779482695</v>
      </c>
      <c r="AN14" s="3" t="n">
        <f aca="false">IF(Debt!AN115&gt;Inputs!$F$253,AN11/Debt!AN115,0)</f>
        <v>2.34613009636204</v>
      </c>
      <c r="AO14" s="3" t="n">
        <f aca="false">IF(Debt!AO115&gt;Inputs!$F$253,AO11/Debt!AO115,0)</f>
        <v>2.30892011896258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1.84428436663989</v>
      </c>
      <c r="Q15" s="3" t="n">
        <f aca="false">IF(Debt!Q115&gt;Inputs!$F$253,Q12/Debt!Q115,0)</f>
        <v>1.87438559465312</v>
      </c>
      <c r="R15" s="3" t="n">
        <f aca="false">IF(Debt!R115&gt;Inputs!$F$253,R12/Debt!R115,0)</f>
        <v>1.90709605582981</v>
      </c>
      <c r="S15" s="3" t="n">
        <f aca="false">IF(Debt!S115&gt;Inputs!$F$253,S12/Debt!S115,0)</f>
        <v>1.94330253592239</v>
      </c>
      <c r="T15" s="3" t="n">
        <f aca="false">IF(Debt!T115&gt;Inputs!$F$253,T12/Debt!T115,0)</f>
        <v>1.98273493669014</v>
      </c>
      <c r="U15" s="3" t="n">
        <f aca="false">IF(Debt!U115&gt;Inputs!$F$253,U12/Debt!U115,0)</f>
        <v>2.02667381586688</v>
      </c>
      <c r="V15" s="3" t="n">
        <f aca="false">IF(Debt!V115&gt;Inputs!$F$253,V12/Debt!V115,0)</f>
        <v>2.07508625528668</v>
      </c>
      <c r="W15" s="3" t="n">
        <f aca="false">IF(Debt!W115&gt;Inputs!$F$253,W12/Debt!W115,0)</f>
        <v>2.13000870223824</v>
      </c>
      <c r="X15" s="3" t="n">
        <f aca="false">IF(Debt!X115&gt;Inputs!$F$253,X12/Debt!X115,0)</f>
        <v>2.191146574447</v>
      </c>
      <c r="Y15" s="3" t="n">
        <f aca="false">IF(Debt!Y115&gt;Inputs!$F$253,Y12/Debt!Y115,0)</f>
        <v>2.25792399704175</v>
      </c>
      <c r="Z15" s="3" t="n">
        <f aca="false">IF(Debt!Z115&gt;Inputs!$F$253,Z12/Debt!Z115,0)</f>
        <v>2.33247238674741</v>
      </c>
      <c r="AA15" s="3" t="n">
        <f aca="false">IF(Debt!AA115&gt;Inputs!$F$253,AA12/Debt!AA115,0)</f>
        <v>2.41773837108607</v>
      </c>
      <c r="AB15" s="3" t="n">
        <f aca="false">IF(Debt!AB115&gt;Inputs!$F$253,AB12/Debt!AB115,0)</f>
        <v>2.55326881554448</v>
      </c>
      <c r="AC15" s="3" t="n">
        <f aca="false">IF(Debt!AC115&gt;Inputs!$F$253,AC12/Debt!AC115,0)</f>
        <v>2.71907570889094</v>
      </c>
      <c r="AD15" s="3" t="n">
        <f aca="false">IF(Debt!AD115&gt;Inputs!$F$253,AD12/Debt!AD115,0)</f>
        <v>2.91105070595474</v>
      </c>
      <c r="AE15" s="3" t="n">
        <f aca="false">IF(Debt!AE115&gt;Inputs!$F$253,AE12/Debt!AE115,0)</f>
        <v>3.16110658756301</v>
      </c>
      <c r="AF15" s="3" t="n">
        <f aca="false">IF(Debt!AF115&gt;Inputs!$F$253,AF12/Debt!AF115,0)</f>
        <v>3.47715595889923</v>
      </c>
      <c r="AG15" s="3" t="n">
        <f aca="false">IF(Debt!AG115&gt;Inputs!$F$253,AG12/Debt!AG115,0)</f>
        <v>3.89178301077408</v>
      </c>
      <c r="AH15" s="3" t="n">
        <f aca="false">IF(Debt!AH115&gt;Inputs!$F$253,AH12/Debt!AH115,0)</f>
        <v>4.44027225733909</v>
      </c>
      <c r="AI15" s="3" t="n">
        <f aca="false">IF(Debt!AI115&gt;Inputs!$F$253,AI12/Debt!AI115,0)</f>
        <v>5.23650717777706</v>
      </c>
      <c r="AJ15" s="3" t="n">
        <f aca="false">IF(Debt!AJ115&gt;Inputs!$F$253,AJ12/Debt!AJ115,0)</f>
        <v>6.43724931783369</v>
      </c>
      <c r="AK15" s="3" t="n">
        <f aca="false">IF(Debt!AK115&gt;Inputs!$F$253,AK12/Debt!AK115,0)</f>
        <v>8.53684062445097</v>
      </c>
      <c r="AL15" s="3" t="n">
        <f aca="false">IF(Debt!AL115&gt;Inputs!$F$253,AL12/Debt!AL115,0)</f>
        <v>10.9994947338452</v>
      </c>
      <c r="AM15" s="3" t="n">
        <f aca="false">IF(Debt!AM115&gt;Inputs!$F$253,AM12/Debt!AM115,0)</f>
        <v>14.3625447886948</v>
      </c>
      <c r="AN15" s="3" t="n">
        <f aca="false">IF(Debt!AN115&gt;Inputs!$F$253,AN12/Debt!AN115,0)</f>
        <v>21.7051836665347</v>
      </c>
      <c r="AO15" s="3" t="n">
        <f aca="false">IF(Debt!AO115&gt;Inputs!$F$253,AO12/Debt!AO115,0)</f>
        <v>42.4549792020581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1.3477744293201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1.54609009621639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1.41731192723606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1.84428436663989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1.34780882671641</v>
      </c>
      <c r="P20" s="3" t="n">
        <f aca="false">IF(Debt!Q114&gt;Inputs!$F$253,(Waterfall!Q7+IF(Debt!R114&gt;Inputs!$F$253,Waterfall!R7,0))/(Debt!Q114+Debt!R114),0)</f>
        <v>1.34783886224065</v>
      </c>
      <c r="Q20" s="3" t="n">
        <f aca="false">IF(Debt!R114&gt;Inputs!$F$253,(Waterfall!R7+IF(Debt!S114&gt;Inputs!$F$253,Waterfall!S7,0))/(Debt!R114+Debt!S114),0)</f>
        <v>1.34786282052699</v>
      </c>
      <c r="R20" s="3" t="n">
        <f aca="false">IF(Debt!S114&gt;Inputs!$F$253,(Waterfall!S7+IF(Debt!T114&gt;Inputs!$F$253,Waterfall!T7,0))/(Debt!S114+Debt!T114),0)</f>
        <v>1.34783661729129</v>
      </c>
      <c r="S20" s="3" t="n">
        <f aca="false">IF(Debt!T114&gt;Inputs!$F$253,(Waterfall!T7+IF(Debt!U114&gt;Inputs!$F$253,Waterfall!U7,0))/(Debt!T114+Debt!U114),0)</f>
        <v>1.3478369628712</v>
      </c>
      <c r="T20" s="3" t="n">
        <f aca="false">IF(Debt!U114&gt;Inputs!$F$253,(Waterfall!U7+IF(Debt!V114&gt;Inputs!$F$253,Waterfall!V7,0))/(Debt!U114+Debt!V114),0)</f>
        <v>1.3479672303071</v>
      </c>
      <c r="U20" s="3" t="n">
        <f aca="false">IF(Debt!V114&gt;Inputs!$F$253,(Waterfall!V7+IF(Debt!W114&gt;Inputs!$F$253,Waterfall!W7,0))/(Debt!V114+Debt!W114),0)</f>
        <v>1.34806470300316</v>
      </c>
      <c r="V20" s="3" t="n">
        <f aca="false">IF(Debt!W114&gt;Inputs!$F$253,(Waterfall!W7+IF(Debt!X114&gt;Inputs!$F$253,Waterfall!X7,0))/(Debt!W114+Debt!X114),0)</f>
        <v>1.3479286080142</v>
      </c>
      <c r="W20" s="3" t="n">
        <f aca="false">IF(Debt!X114&gt;Inputs!$F$253,(Waterfall!X7+IF(Debt!Y114&gt;Inputs!$F$253,Waterfall!Y7,0))/(Debt!X114+Debt!Y114),0)</f>
        <v>1.34778106879825</v>
      </c>
      <c r="X20" s="3" t="n">
        <f aca="false">IF(Debt!Y114&gt;Inputs!$F$253,(Waterfall!Y7+IF(Debt!Z114&gt;Inputs!$F$253,Waterfall!Z7,0))/(Debt!Y114+Debt!Z114),0)</f>
        <v>1.34781142600041</v>
      </c>
      <c r="Y20" s="3" t="n">
        <f aca="false">IF(Debt!Z114&gt;Inputs!$F$253,(Waterfall!Z7+IF(Debt!AA114&gt;Inputs!$F$253,Waterfall!AA7,0))/(Debt!Z114+Debt!AA114),0)</f>
        <v>1.34785637775667</v>
      </c>
      <c r="Z20" s="3" t="n">
        <f aca="false">IF(Debt!AA114&gt;Inputs!$F$253,(Waterfall!AA7+IF(Debt!AB114&gt;Inputs!$F$253,Waterfall!AB7,0))/(Debt!AA114+Debt!AB114),0)</f>
        <v>1.35902707939566</v>
      </c>
      <c r="AA20" s="3" t="n">
        <f aca="false">IF(Debt!AB114&gt;Inputs!$F$253,(Waterfall!AB7+IF(Debt!AC114&gt;Inputs!$F$253,Waterfall!AC7,0))/(Debt!AB114+Debt!AC114),0)</f>
        <v>1.38428420648383</v>
      </c>
      <c r="AB20" s="3" t="n">
        <f aca="false">IF(Debt!AC114&gt;Inputs!$F$253,(Waterfall!AC7+IF(Debt!AD114&gt;Inputs!$F$253,Waterfall!AD7,0))/(Debt!AC114+Debt!AD114),0)</f>
        <v>1.41435903889986</v>
      </c>
      <c r="AC20" s="3" t="n">
        <f aca="false">IF(Debt!AD114&gt;Inputs!$F$253,(Waterfall!AD7+IF(Debt!AE114&gt;Inputs!$F$253,Waterfall!AE7,0))/(Debt!AD114+Debt!AE114),0)</f>
        <v>1.44975657910526</v>
      </c>
      <c r="AD20" s="3" t="n">
        <f aca="false">IF(Debt!AE114&gt;Inputs!$F$253,(Waterfall!AE7+IF(Debt!AF114&gt;Inputs!$F$253,Waterfall!AF7,0))/(Debt!AE114+Debt!AF114),0)</f>
        <v>1.49500372809437</v>
      </c>
      <c r="AE20" s="3" t="n">
        <f aca="false">IF(Debt!AF114&gt;Inputs!$F$253,(Waterfall!AF7+IF(Debt!AG114&gt;Inputs!$F$253,Waterfall!AG7,0))/(Debt!AF114+Debt!AG114),0)</f>
        <v>1.5529632962282</v>
      </c>
      <c r="AF20" s="3" t="n">
        <f aca="false">IF(Debt!AG114&gt;Inputs!$F$253,(Waterfall!AG7+IF(Debt!AH114&gt;Inputs!$F$253,Waterfall!AH7,0))/(Debt!AG114+Debt!AH114),0)</f>
        <v>1.62854883325365</v>
      </c>
      <c r="AG20" s="3" t="n">
        <f aca="false">IF(Debt!AH114&gt;Inputs!$F$253,(Waterfall!AH7+IF(Debt!AI114&gt;Inputs!$F$253,Waterfall!AI7,0))/(Debt!AH114+Debt!AI114),0)</f>
        <v>1.72848019091803</v>
      </c>
      <c r="AH20" s="3" t="n">
        <f aca="false">IF(Debt!AI114&gt;Inputs!$F$253,(Waterfall!AI7+IF(Debt!AJ114&gt;Inputs!$F$253,Waterfall!AJ7,0))/(Debt!AI114+Debt!AJ114),0)</f>
        <v>1.87470611761703</v>
      </c>
      <c r="AI20" s="3" t="n">
        <f aca="false">IF(Debt!AJ114&gt;Inputs!$F$253,(Waterfall!AJ7+IF(Debt!AK114&gt;Inputs!$F$253,Waterfall!AK7,0))/(Debt!AJ114+Debt!AK114),0)</f>
        <v>2.1067459588839</v>
      </c>
      <c r="AJ20" s="3" t="n">
        <f aca="false">IF(Debt!AK114&gt;Inputs!$F$253,(Waterfall!AK7+IF(Debt!AL114&gt;Inputs!$F$253,Waterfall!AL7,0))/(Debt!AK114+Debt!AL114),0)</f>
        <v>2.35056592385902</v>
      </c>
      <c r="AK20" s="3" t="n">
        <f aca="false">IF(Debt!AL114&gt;Inputs!$F$253,(Waterfall!AL7+IF(Debt!AM114&gt;Inputs!$F$253,Waterfall!AM7,0))/(Debt!AL114+Debt!AM114),0)</f>
        <v>2.43191015018925</v>
      </c>
      <c r="AL20" s="3" t="n">
        <f aca="false">IF(Debt!AM114&gt;Inputs!$F$253,(Waterfall!AM7+IF(Debt!AN114&gt;Inputs!$F$253,Waterfall!AN7,0))/(Debt!AM114+Debt!AN114),0)</f>
        <v>2.40562760635908</v>
      </c>
      <c r="AM20" s="3" t="n">
        <f aca="false">IF(Debt!AN114&gt;Inputs!$F$253,(Waterfall!AN7+IF(Debt!AO114&gt;Inputs!$F$253,Waterfall!AO7,0))/(Debt!AN114+Debt!AO114),0)</f>
        <v>2.34563919364613</v>
      </c>
      <c r="AN20" s="3" t="n">
        <f aca="false">IF(Debt!AO114&gt;Inputs!$F$253,(Waterfall!AO7+IF(Debt!AP114&gt;Inputs!$F$253,Waterfall!AP7,0))/(Debt!AO114+Debt!AP114),0)</f>
        <v>2.30892011896258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1170.95072000938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14.9497284777696</v>
      </c>
      <c r="BS8" s="18" t="n">
        <f aca="false">Waterfall!Q44</f>
        <v>12.4566737357431</v>
      </c>
      <c r="BT8" s="18" t="n">
        <f aca="false">Waterfall!R44</f>
        <v>13.3790469914809</v>
      </c>
      <c r="BU8" s="18" t="n">
        <f aca="false">Waterfall!S44</f>
        <v>12.5696555597131</v>
      </c>
      <c r="BV8" s="18" t="n">
        <f aca="false">Waterfall!T44</f>
        <v>13.3101131991992</v>
      </c>
      <c r="BW8" s="18" t="n">
        <f aca="false">Waterfall!U44</f>
        <v>12.3529289457393</v>
      </c>
      <c r="BX8" s="18" t="n">
        <f aca="false">Waterfall!V44</f>
        <v>13.5908478399407</v>
      </c>
      <c r="BY8" s="18" t="n">
        <f aca="false">Waterfall!W44</f>
        <v>14.3314942667673</v>
      </c>
      <c r="BZ8" s="18" t="n">
        <f aca="false">Waterfall!X44</f>
        <v>13.198598113469</v>
      </c>
      <c r="CA8" s="18" t="n">
        <f aca="false">Waterfall!Y44</f>
        <v>12.4177641422608</v>
      </c>
      <c r="CB8" s="18" t="n">
        <f aca="false">Waterfall!Z44</f>
        <v>13.1222221349054</v>
      </c>
      <c r="CC8" s="18" t="n">
        <f aca="false">Waterfall!AA44</f>
        <v>6.14646513675997</v>
      </c>
      <c r="CD8" s="18" t="n">
        <f aca="false">Waterfall!AB44</f>
        <v>7.11530726063816</v>
      </c>
      <c r="CE8" s="18" t="n">
        <f aca="false">Waterfall!AC44</f>
        <v>6.77305351759387</v>
      </c>
      <c r="CF8" s="18" t="n">
        <f aca="false">Waterfall!AD44</f>
        <v>8.11280426252467</v>
      </c>
      <c r="CG8" s="18" t="n">
        <f aca="false">Waterfall!AE44</f>
        <v>8.71383925336212</v>
      </c>
      <c r="CH8" s="18" t="n">
        <f aca="false">Waterfall!AF44</f>
        <v>9.58564576263172</v>
      </c>
      <c r="CI8" s="18" t="n">
        <f aca="false">Waterfall!AG44</f>
        <v>10.0167248459339</v>
      </c>
      <c r="CJ8" s="18" t="n">
        <f aca="false">Waterfall!AH44</f>
        <v>11.3971093577227</v>
      </c>
      <c r="CK8" s="18" t="n">
        <f aca="false">Waterfall!AI44</f>
        <v>12.2936914778488</v>
      </c>
      <c r="CL8" s="18" t="n">
        <f aca="false">Waterfall!AJ44</f>
        <v>14.2040414734419</v>
      </c>
      <c r="CM8" s="18" t="n">
        <f aca="false">Waterfall!AK44</f>
        <v>27.3859627508734</v>
      </c>
      <c r="CN8" s="18" t="n">
        <f aca="false">Waterfall!AL44</f>
        <v>32.9995877428729</v>
      </c>
      <c r="CO8" s="18" t="n">
        <f aca="false">Waterfall!AM44</f>
        <v>33.9985561025404</v>
      </c>
      <c r="CP8" s="18" t="n">
        <f aca="false">Waterfall!AN44</f>
        <v>26.8082715003376</v>
      </c>
      <c r="CQ8" s="18" t="n">
        <f aca="false">Waterfall!AO44</f>
        <v>41.614124645743</v>
      </c>
      <c r="CR8" s="18" t="n">
        <f aca="false">Waterfall!AP44</f>
        <v>41.5609454433001</v>
      </c>
      <c r="CS8" s="18" t="n">
        <f aca="false">Waterfall!AQ44</f>
        <v>41.1169125242327</v>
      </c>
      <c r="CT8" s="18" t="n">
        <f aca="false">Waterfall!AR44</f>
        <v>41.7090833011676</v>
      </c>
      <c r="CU8" s="18" t="n">
        <f aca="false">Waterfall!AS44</f>
        <v>41.4481761632091</v>
      </c>
      <c r="CV8" s="18" t="n">
        <f aca="false">Waterfall!AT44</f>
        <v>48.1878325750925</v>
      </c>
      <c r="CW8" s="18" t="n">
        <f aca="false">Waterfall!AU44</f>
        <v>43.7548224395722</v>
      </c>
      <c r="CX8" s="18" t="n">
        <f aca="false">Waterfall!AV44</f>
        <v>43.8671815918655</v>
      </c>
      <c r="CY8" s="18" t="n">
        <f aca="false">Waterfall!AW44</f>
        <v>43.4412295583817</v>
      </c>
      <c r="CZ8" s="18" t="n">
        <f aca="false">Waterfall!AX44</f>
        <v>44.1147591302012</v>
      </c>
      <c r="DA8" s="18" t="n">
        <f aca="false">Waterfall!AY44</f>
        <v>43.6610794841665</v>
      </c>
      <c r="DB8" s="18" t="n">
        <f aca="false">Waterfall!AZ44</f>
        <v>44.2745476777494</v>
      </c>
      <c r="DC8" s="18" t="n">
        <f aca="false">Waterfall!BA44</f>
        <v>43.4855399117799</v>
      </c>
      <c r="DD8" s="18" t="n">
        <f aca="false">Waterfall!BB44</f>
        <v>44.7302310160923</v>
      </c>
      <c r="DE8" s="18" t="n">
        <f aca="false">Waterfall!BC44</f>
        <v>41.3190428908018</v>
      </c>
      <c r="DF8" s="18" t="n">
        <f aca="false">Waterfall!BD44</f>
        <v>35.1958097913051</v>
      </c>
      <c r="DG8" s="18" t="n">
        <f aca="false">Waterfall!BE44</f>
        <v>34.7463751501165</v>
      </c>
      <c r="DH8" s="18" t="n">
        <f aca="false">Waterfall!BF44</f>
        <v>35.4323816134796</v>
      </c>
      <c r="DI8" s="18" t="n">
        <f aca="false">Waterfall!BG44</f>
        <v>34.9510960629418</v>
      </c>
      <c r="DJ8" s="18" t="n">
        <f aca="false">Waterfall!BH44</f>
        <v>35.5702556328891</v>
      </c>
      <c r="DK8" s="18" t="n">
        <f aca="false">Waterfall!BI44</f>
        <v>35.2967893147818</v>
      </c>
      <c r="DL8" s="18" t="n">
        <f aca="false">Waterfall!BJ44</f>
        <v>43.3105789698434</v>
      </c>
      <c r="DM8" s="18" t="n">
        <f aca="false">Waterfall!BK44</f>
        <v>38.0478614589076</v>
      </c>
      <c r="DN8" s="18" t="n">
        <f aca="false">Waterfall!BL44</f>
        <v>38.7652497875522</v>
      </c>
      <c r="DO8" s="18" t="n">
        <f aca="false">Waterfall!BM44</f>
        <v>54.7208996112829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1594.23491062387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1.90730237486994</v>
      </c>
      <c r="BR9" s="18" t="n">
        <f aca="false">Waterfall!P7</f>
        <v>50.1994425576313</v>
      </c>
      <c r="BS9" s="18" t="n">
        <f aca="false">Waterfall!Q7</f>
        <v>50.0814588229017</v>
      </c>
      <c r="BT9" s="18" t="n">
        <f aca="false">Waterfall!R7</f>
        <v>50.7123594836247</v>
      </c>
      <c r="BU9" s="18" t="n">
        <f aca="false">Waterfall!S7</f>
        <v>50.3208733409513</v>
      </c>
      <c r="BV9" s="18" t="n">
        <f aca="false">Waterfall!T7</f>
        <v>50.8808059536296</v>
      </c>
      <c r="BW9" s="18" t="n">
        <f aca="false">Waterfall!U7</f>
        <v>50.6408491804221</v>
      </c>
      <c r="BX9" s="18" t="n">
        <f aca="false">Waterfall!V7</f>
        <v>51.6140752654512</v>
      </c>
      <c r="BY9" s="18" t="n">
        <f aca="false">Waterfall!W7</f>
        <v>51.2582893409178</v>
      </c>
      <c r="BZ9" s="18" t="n">
        <f aca="false">Waterfall!X7</f>
        <v>49.7689901576834</v>
      </c>
      <c r="CA9" s="18" t="n">
        <f aca="false">Waterfall!Y7</f>
        <v>49.2891272503712</v>
      </c>
      <c r="CB9" s="18" t="n">
        <f aca="false">Waterfall!Z7</f>
        <v>49.696509489457</v>
      </c>
      <c r="CC9" s="18" t="n">
        <f aca="false">Waterfall!AA7</f>
        <v>49.297678905129</v>
      </c>
      <c r="CD9" s="18" t="n">
        <f aca="false">Waterfall!AB7</f>
        <v>49.874356237718</v>
      </c>
      <c r="CE9" s="18" t="n">
        <f aca="false">Waterfall!AC7</f>
        <v>49.6751594967649</v>
      </c>
      <c r="CF9" s="18" t="n">
        <f aca="false">Waterfall!AD7</f>
        <v>51.5958375670416</v>
      </c>
      <c r="CG9" s="18" t="n">
        <f aca="false">Waterfall!AE7</f>
        <v>51.6807450825143</v>
      </c>
      <c r="CH9" s="18" t="n">
        <f aca="false">Waterfall!AF7</f>
        <v>51.827794902836</v>
      </c>
      <c r="CI9" s="18" t="n">
        <f aca="false">Waterfall!AG7</f>
        <v>51.4593399100083</v>
      </c>
      <c r="CJ9" s="18" t="n">
        <f aca="false">Waterfall!AH7</f>
        <v>52.1282668444313</v>
      </c>
      <c r="CK9" s="18" t="n">
        <f aca="false">Waterfall!AI7</f>
        <v>51.7231913979912</v>
      </c>
      <c r="CL9" s="18" t="n">
        <f aca="false">Waterfall!AJ7</f>
        <v>52.3198470771804</v>
      </c>
      <c r="CM9" s="18" t="n">
        <f aca="false">Waterfall!AK7</f>
        <v>52.0861967059731</v>
      </c>
      <c r="CN9" s="18" t="n">
        <f aca="false">Waterfall!AL7</f>
        <v>53.203032576821</v>
      </c>
      <c r="CO9" s="18" t="n">
        <f aca="false">Waterfall!AM7</f>
        <v>52.8291053787476</v>
      </c>
      <c r="CP9" s="18" t="n">
        <f aca="false">Waterfall!AN7</f>
        <v>44.8314695763458</v>
      </c>
      <c r="CQ9" s="18" t="n">
        <f aca="false">Waterfall!AO7</f>
        <v>41.614124645743</v>
      </c>
      <c r="CR9" s="18" t="n">
        <f aca="false">Waterfall!AP7</f>
        <v>41.5609454433001</v>
      </c>
      <c r="CS9" s="18" t="n">
        <f aca="false">Waterfall!AQ7</f>
        <v>41.1169125242327</v>
      </c>
      <c r="CT9" s="18" t="n">
        <f aca="false">Waterfall!AR7</f>
        <v>41.7090833011676</v>
      </c>
      <c r="CU9" s="18" t="n">
        <f aca="false">Waterfall!AS7</f>
        <v>41.4481761632091</v>
      </c>
      <c r="CV9" s="18" t="n">
        <f aca="false">Waterfall!AT7</f>
        <v>48.1878325750925</v>
      </c>
      <c r="CW9" s="18" t="n">
        <f aca="false">Waterfall!AU7</f>
        <v>43.7548224395722</v>
      </c>
      <c r="CX9" s="18" t="n">
        <f aca="false">Waterfall!AV7</f>
        <v>43.8671815918655</v>
      </c>
      <c r="CY9" s="18" t="n">
        <f aca="false">Waterfall!AW7</f>
        <v>43.4412295583817</v>
      </c>
      <c r="CZ9" s="18" t="n">
        <f aca="false">Waterfall!AX7</f>
        <v>44.1147591302012</v>
      </c>
      <c r="DA9" s="18" t="n">
        <f aca="false">Waterfall!AY7</f>
        <v>43.6610794841665</v>
      </c>
      <c r="DB9" s="18" t="n">
        <f aca="false">Waterfall!AZ7</f>
        <v>44.2745476777494</v>
      </c>
      <c r="DC9" s="18" t="n">
        <f aca="false">Waterfall!BA7</f>
        <v>43.9805082983886</v>
      </c>
      <c r="DD9" s="18" t="n">
        <f aca="false">Waterfall!BB7</f>
        <v>46.2313812707367</v>
      </c>
      <c r="DE9" s="18" t="n">
        <f aca="false">Waterfall!BC7</f>
        <v>42.836615964144</v>
      </c>
      <c r="DF9" s="18" t="n">
        <f aca="false">Waterfall!BD7</f>
        <v>36.7299853515517</v>
      </c>
      <c r="DG9" s="18" t="n">
        <f aca="false">Waterfall!BE7</f>
        <v>36.2973348310723</v>
      </c>
      <c r="DH9" s="18" t="n">
        <f aca="false">Waterfall!BF7</f>
        <v>37.0003090360517</v>
      </c>
      <c r="DI9" s="18" t="n">
        <f aca="false">Waterfall!BG7</f>
        <v>36.5361768568786</v>
      </c>
      <c r="DJ9" s="18" t="n">
        <f aca="false">Waterfall!BH7</f>
        <v>37.1726774587577</v>
      </c>
      <c r="DK9" s="18" t="n">
        <f aca="false">Waterfall!BI7</f>
        <v>36.9167418861852</v>
      </c>
      <c r="DL9" s="18" t="n">
        <f aca="false">Waterfall!BJ7</f>
        <v>44.9482540758811</v>
      </c>
      <c r="DM9" s="18" t="n">
        <f aca="false">Waterfall!BK7</f>
        <v>39.7034529868818</v>
      </c>
      <c r="DN9" s="18" t="n">
        <f aca="false">Waterfall!BL7</f>
        <v>40.4389537459228</v>
      </c>
      <c r="DO9" s="18" t="n">
        <f aca="false">Waterfall!BM7</f>
        <v>36.7797194493219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1908.22825513678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1.90730237486994</v>
      </c>
      <c r="BR10" s="13" t="n">
        <f aca="false">Waterfall!P7+Tax!P27</f>
        <v>50.1994425576313</v>
      </c>
      <c r="BS10" s="13" t="n">
        <f aca="false">Waterfall!Q7+Tax!Q27</f>
        <v>50.0814588229017</v>
      </c>
      <c r="BT10" s="13" t="n">
        <f aca="false">Waterfall!R7+Tax!R27</f>
        <v>50.7123594836247</v>
      </c>
      <c r="BU10" s="13" t="n">
        <f aca="false">Waterfall!S7+Tax!S27</f>
        <v>50.3208733409513</v>
      </c>
      <c r="BV10" s="13" t="n">
        <f aca="false">Waterfall!T7+Tax!T27</f>
        <v>50.8808059536296</v>
      </c>
      <c r="BW10" s="13" t="n">
        <f aca="false">Waterfall!U7+Tax!U27</f>
        <v>50.6408491804221</v>
      </c>
      <c r="BX10" s="13" t="n">
        <f aca="false">Waterfall!V7+Tax!V27</f>
        <v>51.6140752654512</v>
      </c>
      <c r="BY10" s="13" t="n">
        <f aca="false">Waterfall!W7+Tax!W27</f>
        <v>51.2582893409178</v>
      </c>
      <c r="BZ10" s="13" t="n">
        <f aca="false">Waterfall!X7+Tax!X27</f>
        <v>49.7689901576834</v>
      </c>
      <c r="CA10" s="13" t="n">
        <f aca="false">Waterfall!Y7+Tax!Y27</f>
        <v>49.4063564902725</v>
      </c>
      <c r="CB10" s="13" t="n">
        <f aca="false">Waterfall!Z7+Tax!Z27</f>
        <v>50.0495421867935</v>
      </c>
      <c r="CC10" s="13" t="n">
        <f aca="false">Waterfall!AA7+Tax!AA27</f>
        <v>49.6524535868377</v>
      </c>
      <c r="CD10" s="13" t="n">
        <f aca="false">Waterfall!AB7+Tax!AB27</f>
        <v>50.2310224830104</v>
      </c>
      <c r="CE10" s="13" t="n">
        <f aca="false">Waterfall!AC7+Tax!AC27</f>
        <v>50.0327360633993</v>
      </c>
      <c r="CF10" s="13" t="n">
        <f aca="false">Waterfall!AD7+Tax!AD27</f>
        <v>51.9489750661166</v>
      </c>
      <c r="CG10" s="13" t="n">
        <f aca="false">Waterfall!AE7+Tax!AE27</f>
        <v>52.0409074616454</v>
      </c>
      <c r="CH10" s="13" t="n">
        <f aca="false">Waterfall!AF7+Tax!AF27</f>
        <v>52.1911781001554</v>
      </c>
      <c r="CI10" s="13" t="n">
        <f aca="false">Waterfall!AG7+Tax!AG27</f>
        <v>51.8243112777888</v>
      </c>
      <c r="CJ10" s="13" t="n">
        <f aca="false">Waterfall!AH7+Tax!AH27</f>
        <v>52.4947043603448</v>
      </c>
      <c r="CK10" s="13" t="n">
        <f aca="false">Waterfall!AI7+Tax!AI27</f>
        <v>52.0915256383053</v>
      </c>
      <c r="CL10" s="13" t="n">
        <f aca="false">Waterfall!AJ7+Tax!AJ27</f>
        <v>52.6902403183933</v>
      </c>
      <c r="CM10" s="13" t="n">
        <f aca="false">Waterfall!AK7+Tax!AK27</f>
        <v>52.4578848282562</v>
      </c>
      <c r="CN10" s="13" t="n">
        <f aca="false">Waterfall!AL7+Tax!AL27</f>
        <v>53.5755145843924</v>
      </c>
      <c r="CO10" s="13" t="n">
        <f aca="false">Waterfall!AM7+Tax!AM27</f>
        <v>53.2039256986883</v>
      </c>
      <c r="CP10" s="13" t="n">
        <f aca="false">Waterfall!AN7+Tax!AN27</f>
        <v>51.3604765071015</v>
      </c>
      <c r="CQ10" s="13" t="n">
        <f aca="false">Waterfall!AO7+Tax!AO27</f>
        <v>50.9905626033201</v>
      </c>
      <c r="CR10" s="13" t="n">
        <f aca="false">Waterfall!AP7+Tax!AP27</f>
        <v>51.6905239476997</v>
      </c>
      <c r="CS10" s="13" t="n">
        <f aca="false">Waterfall!AQ7+Tax!AQ27</f>
        <v>51.2807245786469</v>
      </c>
      <c r="CT10" s="13" t="n">
        <f aca="false">Waterfall!AR7+Tax!AR27</f>
        <v>51.9012186746186</v>
      </c>
      <c r="CU10" s="13" t="n">
        <f aca="false">Waterfall!AS7+Tax!AS27</f>
        <v>51.7196673817032</v>
      </c>
      <c r="CV10" s="13" t="n">
        <f aca="false">Waterfall!AT7+Tax!AT27</f>
        <v>54.0460443841012</v>
      </c>
      <c r="CW10" s="13" t="n">
        <f aca="false">Waterfall!AU7+Tax!AU27</f>
        <v>54.1507504677157</v>
      </c>
      <c r="CX10" s="13" t="n">
        <f aca="false">Waterfall!AV7+Tax!AV27</f>
        <v>54.2281869227753</v>
      </c>
      <c r="CY10" s="13" t="n">
        <f aca="false">Waterfall!AW7+Tax!AW27</f>
        <v>53.8521630300871</v>
      </c>
      <c r="CZ10" s="13" t="n">
        <f aca="false">Waterfall!AX7+Tax!AX27</f>
        <v>54.5842602033195</v>
      </c>
      <c r="DA10" s="13" t="n">
        <f aca="false">Waterfall!AY7+Tax!AY27</f>
        <v>54.1672630163856</v>
      </c>
      <c r="DB10" s="13" t="n">
        <f aca="false">Waterfall!AZ7+Tax!AZ27</f>
        <v>54.8113046378409</v>
      </c>
      <c r="DC10" s="13" t="n">
        <f aca="false">Waterfall!BA7+Tax!BA27</f>
        <v>54.5882360180058</v>
      </c>
      <c r="DD10" s="13" t="n">
        <f aca="false">Waterfall!BB7+Tax!BB27</f>
        <v>55.8778095772942</v>
      </c>
      <c r="DE10" s="13" t="n">
        <f aca="false">Waterfall!BC7+Tax!BC27</f>
        <v>55.4874399078868</v>
      </c>
      <c r="DF10" s="13" t="n">
        <f aca="false">Waterfall!BD7+Tax!BD27</f>
        <v>53.2211823509639</v>
      </c>
      <c r="DG10" s="13" t="n">
        <f aca="false">Waterfall!BE7+Tax!BE27</f>
        <v>52.8425479463434</v>
      </c>
      <c r="DH10" s="13" t="n">
        <f aca="false">Waterfall!BF7+Tax!BF27</f>
        <v>53.609573425516</v>
      </c>
      <c r="DI10" s="13" t="n">
        <f aca="false">Waterfall!BG7+Tax!BG27</f>
        <v>53.1847504829926</v>
      </c>
      <c r="DJ10" s="13" t="n">
        <f aca="false">Waterfall!BH7+Tax!BH27</f>
        <v>53.8542534354732</v>
      </c>
      <c r="DK10" s="13" t="n">
        <f aca="false">Waterfall!BI7+Tax!BI27</f>
        <v>53.6930399922913</v>
      </c>
      <c r="DL10" s="13" t="n">
        <f aca="false">Waterfall!BJ7+Tax!BJ27</f>
        <v>56.508039155319</v>
      </c>
      <c r="DM10" s="13" t="n">
        <f aca="false">Waterfall!BK7+Tax!BK27</f>
        <v>56.6279618695022</v>
      </c>
      <c r="DN10" s="13" t="n">
        <f aca="false">Waterfall!BL7+Tax!BL27</f>
        <v>57.3186786039007</v>
      </c>
      <c r="DO10" s="13" t="n">
        <f aca="false">Waterfall!BM7+Tax!BM27</f>
        <v>42.3458713934932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-209.652491111376</v>
      </c>
      <c r="BS11" s="13" t="n">
        <f aca="false">BR11+BS8</f>
        <v>-197.195817375633</v>
      </c>
      <c r="BT11" s="13" t="n">
        <f aca="false">BS11+BT8</f>
        <v>-183.816770384152</v>
      </c>
      <c r="BU11" s="13" t="n">
        <f aca="false">BT11+BU8</f>
        <v>-171.247114824439</v>
      </c>
      <c r="BV11" s="13" t="n">
        <f aca="false">BU11+BV8</f>
        <v>-157.937001625239</v>
      </c>
      <c r="BW11" s="13" t="n">
        <f aca="false">BV11+BW8</f>
        <v>-145.5840726795</v>
      </c>
      <c r="BX11" s="13" t="n">
        <f aca="false">BW11+BX8</f>
        <v>-131.993224839559</v>
      </c>
      <c r="BY11" s="13" t="n">
        <f aca="false">BX11+BY8</f>
        <v>-117.661730572792</v>
      </c>
      <c r="BZ11" s="13" t="n">
        <f aca="false">BY11+BZ8</f>
        <v>-104.463132459323</v>
      </c>
      <c r="CA11" s="13" t="n">
        <f aca="false">BZ11+CA8</f>
        <v>-92.0453683170624</v>
      </c>
      <c r="CB11" s="13" t="n">
        <f aca="false">CA11+CB8</f>
        <v>-78.9231461821569</v>
      </c>
      <c r="CC11" s="13" t="n">
        <f aca="false">CB11+CC8</f>
        <v>-72.776681045397</v>
      </c>
      <c r="CD11" s="13" t="n">
        <f aca="false">CC11+CD8</f>
        <v>-65.6613737847588</v>
      </c>
      <c r="CE11" s="13" t="n">
        <f aca="false">CD11+CE8</f>
        <v>-58.8883202671649</v>
      </c>
      <c r="CF11" s="13" t="n">
        <f aca="false">CE11+CF8</f>
        <v>-50.7755160046403</v>
      </c>
      <c r="CG11" s="13" t="n">
        <f aca="false">CF11+CG8</f>
        <v>-42.0616767512782</v>
      </c>
      <c r="CH11" s="13" t="n">
        <f aca="false">CG11+CH8</f>
        <v>-32.4760309886464</v>
      </c>
      <c r="CI11" s="13" t="n">
        <f aca="false">CH11+CI8</f>
        <v>-22.4593061427125</v>
      </c>
      <c r="CJ11" s="13" t="n">
        <f aca="false">CI11+CJ8</f>
        <v>-11.0621967849898</v>
      </c>
      <c r="CK11" s="13" t="n">
        <f aca="false">CJ11+CK8</f>
        <v>1.23149469285897</v>
      </c>
      <c r="CL11" s="13" t="n">
        <f aca="false">CK11+CL8</f>
        <v>15.4355361663009</v>
      </c>
      <c r="CM11" s="13" t="n">
        <f aca="false">CL11+CM8</f>
        <v>42.8214989171743</v>
      </c>
      <c r="CN11" s="13" t="n">
        <f aca="false">CM11+CN8</f>
        <v>75.8210866600472</v>
      </c>
      <c r="CO11" s="13" t="n">
        <f aca="false">CN11+CO8</f>
        <v>109.819642762588</v>
      </c>
      <c r="CP11" s="13" t="n">
        <f aca="false">CO11+CP8</f>
        <v>136.627914262925</v>
      </c>
      <c r="CQ11" s="13" t="n">
        <f aca="false">CP11+CQ8</f>
        <v>178.242038908668</v>
      </c>
      <c r="CR11" s="13" t="n">
        <f aca="false">CQ11+CR8</f>
        <v>219.802984351968</v>
      </c>
      <c r="CS11" s="13" t="n">
        <f aca="false">CR11+CS8</f>
        <v>260.919896876201</v>
      </c>
      <c r="CT11" s="13" t="n">
        <f aca="false">CS11+CT8</f>
        <v>302.628980177369</v>
      </c>
      <c r="CU11" s="13" t="n">
        <f aca="false">CT11+CU8</f>
        <v>344.077156340578</v>
      </c>
      <c r="CV11" s="13" t="n">
        <f aca="false">CU11+CV8</f>
        <v>392.26498891567</v>
      </c>
      <c r="CW11" s="13" t="n">
        <f aca="false">CV11+CW8</f>
        <v>436.019811355243</v>
      </c>
      <c r="CX11" s="13" t="n">
        <f aca="false">CW11+CX8</f>
        <v>479.886992947108</v>
      </c>
      <c r="CY11" s="13" t="n">
        <f aca="false">CX11+CY8</f>
        <v>523.32822250549</v>
      </c>
      <c r="CZ11" s="13" t="n">
        <f aca="false">CY11+CZ8</f>
        <v>567.442981635691</v>
      </c>
      <c r="DA11" s="13" t="n">
        <f aca="false">CZ11+DA8</f>
        <v>611.104061119857</v>
      </c>
      <c r="DB11" s="13" t="n">
        <f aca="false">DA11+DB8</f>
        <v>655.378608797607</v>
      </c>
      <c r="DC11" s="13" t="n">
        <f aca="false">DB11+DC8</f>
        <v>698.864148709387</v>
      </c>
      <c r="DD11" s="13" t="n">
        <f aca="false">DC11+DD8</f>
        <v>743.594379725479</v>
      </c>
      <c r="DE11" s="13" t="n">
        <f aca="false">DD11+DE8</f>
        <v>784.913422616281</v>
      </c>
      <c r="DF11" s="13" t="n">
        <f aca="false">DE11+DF8</f>
        <v>820.109232407586</v>
      </c>
      <c r="DG11" s="13" t="n">
        <f aca="false">DF11+DG8</f>
        <v>854.855607557702</v>
      </c>
      <c r="DH11" s="13" t="n">
        <f aca="false">DG11+DH8</f>
        <v>890.287989171182</v>
      </c>
      <c r="DI11" s="13" t="n">
        <f aca="false">DH11+DI8</f>
        <v>925.239085234124</v>
      </c>
      <c r="DJ11" s="13" t="n">
        <f aca="false">DI11+DJ8</f>
        <v>960.809340867013</v>
      </c>
      <c r="DK11" s="13" t="n">
        <f aca="false">DJ11+DK8</f>
        <v>996.106130181795</v>
      </c>
      <c r="DL11" s="13" t="n">
        <f aca="false">DK11+DL8</f>
        <v>1039.41670915164</v>
      </c>
      <c r="DM11" s="13" t="n">
        <f aca="false">DL11+DM8</f>
        <v>1077.46457061055</v>
      </c>
      <c r="DN11" s="13" t="n">
        <f aca="false">DM11+DN8</f>
        <v>1116.2298203981</v>
      </c>
      <c r="DO11" s="13" t="n">
        <f aca="false">DN11+DO8</f>
        <v>1170.95072000938</v>
      </c>
      <c r="DP11" s="13" t="n">
        <f aca="false">DO11+DP8</f>
        <v>1170.95072000938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0.131205892884929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0.109551625971133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0.115683632705332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-45.8165002848035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1.3477744293201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1.54609009621639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1.41731192723606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1.84428436663989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0.131205892884929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0.109551625971133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-45.8165002848035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2026-10-03T23:21:04Z</dcterms:created>
  <dc:creator>openpyxl</dc:creator>
  <dc:description/>
  <dc:language>en-US</dc:language>
  <cp:lastModifiedBy/>
  <dcterms:modified xsi:type="dcterms:W3CDTF">2026-10-03T23:21:05Z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